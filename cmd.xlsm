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2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tho\Desktop\"/>
    </mc:Choice>
  </mc:AlternateContent>
  <xr:revisionPtr revIDLastSave="0" documentId="13_ncr:1_{8C06003A-EE38-42F5-8ABA-C2DF07607D33}" xr6:coauthVersionLast="45" xr6:coauthVersionMax="45" xr10:uidLastSave="{00000000-0000-0000-0000-000000000000}"/>
  <bookViews>
    <workbookView xWindow="28680" yWindow="-120" windowWidth="29040" windowHeight="15990" tabRatio="933" activeTab="5" xr2:uid="{00000000-000D-0000-FFFF-FFFF00000000}"/>
  </bookViews>
  <sheets>
    <sheet name="ADMIN1" sheetId="25" r:id="rId1"/>
    <sheet name="AIDE" sheetId="1" r:id="rId2"/>
    <sheet name="COMMANDE" sheetId="13" r:id="rId3"/>
    <sheet name="ADMIN2" sheetId="6" state="hidden" r:id="rId4"/>
    <sheet name="BL" sheetId="14" state="hidden" r:id="rId5"/>
    <sheet name="BON_COMMANDE" sheetId="21" r:id="rId6"/>
    <sheet name="BON_FACTURE" sheetId="22" r:id="rId7"/>
    <sheet name="FACTURE" sheetId="20" state="hidden" r:id="rId8"/>
    <sheet name="BDD" sheetId="15" state="hidden" r:id="rId9"/>
    <sheet name="CATALOGUE" sheetId="17" state="hidden" r:id="rId10"/>
    <sheet name="COMPTA" sheetId="5" state="hidden" r:id="rId11"/>
    <sheet name="POIDS" sheetId="7" state="hidden" r:id="rId12"/>
    <sheet name="PAL" sheetId="8" state="hidden" r:id="rId13"/>
    <sheet name="PEDIDO" sheetId="9" state="hidden" r:id="rId14"/>
    <sheet name="STG" sheetId="10" state="hidden" r:id="rId15"/>
  </sheets>
  <functionGroups builtInGroupCount="19"/>
  <externalReferences>
    <externalReference r:id="rId16"/>
  </externalReferences>
  <definedNames>
    <definedName name="_xlnm._FilterDatabase" localSheetId="0" hidden="1">ADMIN1!$U$11:$AK$262</definedName>
    <definedName name="_xlnm._FilterDatabase" localSheetId="4" hidden="1">BL!$A$5:$D$240</definedName>
    <definedName name="_xlnm._FilterDatabase" localSheetId="5" hidden="1">BON_COMMANDE!#REF!</definedName>
    <definedName name="_xlnm._FilterDatabase" localSheetId="6" hidden="1">BON_FACTURE!#REF!</definedName>
    <definedName name="_xlnm._FilterDatabase" localSheetId="9" hidden="1">CATALOGUE!$B$4:$G$254</definedName>
    <definedName name="_xlnm._FilterDatabase" localSheetId="2" hidden="1">COMMANDE!$A$11:$M$261</definedName>
    <definedName name="_xlnm._FilterDatabase" localSheetId="7" hidden="1">FACTURE!$A$8:$F$257</definedName>
    <definedName name="_xlnm._FilterDatabase" localSheetId="13" hidden="1">PEDIDO!$A$3:$D$169</definedName>
    <definedName name="AVOIR" localSheetId="5">BON_COMMANDE!$E$6</definedName>
    <definedName name="AVOIR" localSheetId="6">BON_FACTURE!$E$6</definedName>
    <definedName name="AVOIR">FACTURE!$E$5</definedName>
    <definedName name="base" localSheetId="12">#REF!</definedName>
    <definedName name="Bases" localSheetId="12">#REF!</definedName>
    <definedName name="BDD" localSheetId="12">#REF!</definedName>
    <definedName name="code" localSheetId="12">#REF!</definedName>
    <definedName name="DEPT" localSheetId="0">ADMIN1!$X$2</definedName>
    <definedName name="DEPT">#REF!</definedName>
    <definedName name="FDP_1" localSheetId="0">[1]ADMIN2!$F$5</definedName>
    <definedName name="FDP_1">ADMIN2!$F$5</definedName>
    <definedName name="FDP_2" localSheetId="0">[1]ADMIN2!$F$6</definedName>
    <definedName name="FDP_2">ADMIN2!$F$6</definedName>
    <definedName name="FDP_3" localSheetId="0">[1]ADMIN2!$F$7</definedName>
    <definedName name="FDP_3">ADMIN2!$F$7</definedName>
    <definedName name="FDP_CMD" localSheetId="0">[1]ADMIN2!$F$8</definedName>
    <definedName name="FDP_CMD">ADMIN2!$F$8</definedName>
    <definedName name="FDP_CMD_KG" localSheetId="0">[1]ADMIN2!$F$9</definedName>
    <definedName name="FDP_CMD_KG">ADMIN2!$F$9</definedName>
    <definedName name="FDP_FACT_AUT" localSheetId="0">[1]ADMIN2!$F$11</definedName>
    <definedName name="FDP_FACT_AUT">ADMIN2!$F$11</definedName>
    <definedName name="FDP_FACT_KG" localSheetId="0">[1]ADMIN2!$F$13</definedName>
    <definedName name="FDP_FACT_KG">ADMIN2!$F$13</definedName>
    <definedName name="FDP_FACT_MAN" localSheetId="0">[1]ADMIN2!$F$12</definedName>
    <definedName name="FDP_FACT_MAN">ADMIN2!$F$12</definedName>
    <definedName name="FRS_ADM" localSheetId="0">[1]ADMIN2!$F$2</definedName>
    <definedName name="FRS_ADM">ADMIN2!$F$2</definedName>
    <definedName name="_xlnm.Print_Titles" localSheetId="5">BON_COMMANDE!#REF!</definedName>
    <definedName name="_xlnm.Print_Titles" localSheetId="6">BON_FACTURE!#REF!</definedName>
    <definedName name="_xlnm.Print_Titles" localSheetId="9">CATALOGUE!$4:$4</definedName>
    <definedName name="_xlnm.Print_Titles" localSheetId="7">FACTURE!$8:$8</definedName>
    <definedName name="_xlnm.Print_Titles" localSheetId="12">PAL!$1:$2</definedName>
    <definedName name="_xlnm.Print_Titles" localSheetId="13">PEDIDO!$1:$3</definedName>
    <definedName name="_xlnm.Print_Titles" localSheetId="11">POIDS!$1:$2</definedName>
    <definedName name="IND_GAZ" localSheetId="0">[1]ADMIN2!$F$1</definedName>
    <definedName name="IND_GAZ">ADMIN2!$F$1</definedName>
    <definedName name="LOT_DE_6_PAIRES_DE_MI_CHAUSSETTES_ENFANT_TENNIS" localSheetId="12">#NAME?</definedName>
    <definedName name="PDS_CMD_ARR" localSheetId="0">[1]ADMIN2!$F$4</definedName>
    <definedName name="PDS_CMD_ARR">ADMIN2!$F$4</definedName>
    <definedName name="PDS_FACT_ARR" localSheetId="0">[1]ADMIN2!$F$10</definedName>
    <definedName name="PDS_FACT_ARR">ADMIN2!$F$10</definedName>
    <definedName name="QTE_CMD" localSheetId="0">ADMIN1!$AI$9</definedName>
    <definedName name="QTE_CMD">#REF!</definedName>
    <definedName name="QTE_FACT" localSheetId="0">ADMIN1!$AM$9</definedName>
    <definedName name="QTE_FACT">#REF!</definedName>
    <definedName name="RDV_SAN" localSheetId="0">[1]ADMIN2!$F$3</definedName>
    <definedName name="RDV_SAN">ADMIN2!$F$3</definedName>
    <definedName name="reduc1" localSheetId="0">[1]ADMIN2!$B$2</definedName>
    <definedName name="reduc1">ADMIN2!$B$2</definedName>
    <definedName name="reduc2" localSheetId="0">[1]ADMIN2!$B$3</definedName>
    <definedName name="reduc2">ADMIN2!$B$3</definedName>
    <definedName name="reduc3" localSheetId="0">[1]ADMIN2!$B$4</definedName>
    <definedName name="reduc3">ADMIN2!$B$4</definedName>
    <definedName name="rep" localSheetId="12">#REF!</definedName>
    <definedName name="SocieteVille" localSheetId="12">#NAME?</definedName>
    <definedName name="TOT_FACT" localSheetId="0">ADMIN1!$AO$9</definedName>
    <definedName name="TOT_FACT">#REF!</definedName>
    <definedName name="TOT_FDP_1" localSheetId="0">[1]ADMIN2!$G$5</definedName>
    <definedName name="TOT_FDP_1">ADMIN2!$G$5</definedName>
    <definedName name="TOT_FDP_2" localSheetId="0">[1]ADMIN2!$G$6</definedName>
    <definedName name="TOT_FDP_2">ADMIN2!$G$6</definedName>
    <definedName name="TOT_FDP_3" localSheetId="0">[1]ADMIN2!$G$7</definedName>
    <definedName name="TOT_FDP_3">ADMIN2!$G$7</definedName>
    <definedName name="TOT_FDP_4" localSheetId="0">[1]ADMIN2!$H$5</definedName>
    <definedName name="TOT_FDP_4">ADMIN2!$H$5</definedName>
    <definedName name="TOT_FDP_5" localSheetId="0">[1]ADMIN2!$H$6</definedName>
    <definedName name="TOT_FDP_5">ADMIN2!$H$6</definedName>
    <definedName name="TOT_FDP_6" localSheetId="0">[1]ADMIN2!$H$7</definedName>
    <definedName name="TOT_FDP_6">ADMIN2!$H$7</definedName>
    <definedName name="_xlnm.Print_Area" localSheetId="5">BON_COMMANDE!$B$2:$F$12</definedName>
    <definedName name="_xlnm.Print_Area" localSheetId="6">BON_FACTURE!$B$2:$F$12</definedName>
  </definedNames>
  <calcPr calcId="191029"/>
</workbook>
</file>

<file path=xl/calcChain.xml><?xml version="1.0" encoding="utf-8"?>
<calcChain xmlns="http://schemas.openxmlformats.org/spreadsheetml/2006/main">
  <c r="X2" i="25" l="1"/>
  <c r="X3" i="25"/>
  <c r="X4" i="25"/>
  <c r="X5" i="25"/>
  <c r="X6" i="25"/>
  <c r="X7" i="25"/>
  <c r="AD7" i="25"/>
  <c r="X8" i="25"/>
  <c r="X9" i="25"/>
  <c r="AM9" i="25"/>
  <c r="X10" i="25"/>
  <c r="AV10" i="25"/>
  <c r="AY10" i="25"/>
  <c r="BB10" i="25"/>
  <c r="BE10" i="25"/>
  <c r="BH10" i="25"/>
  <c r="BK10" i="25"/>
  <c r="BN10" i="25"/>
  <c r="BQ10" i="25"/>
  <c r="BT10" i="25"/>
  <c r="BW10" i="25"/>
  <c r="BZ10" i="25"/>
  <c r="CC10" i="25"/>
  <c r="CF10" i="25"/>
  <c r="CI10" i="25"/>
  <c r="CL10" i="25"/>
  <c r="CO10" i="25"/>
  <c r="CR10" i="25"/>
  <c r="CU10" i="25"/>
  <c r="CX10" i="25"/>
  <c r="DA10" i="25"/>
  <c r="AV11" i="25"/>
  <c r="AY11" i="25"/>
  <c r="BB11" i="25"/>
  <c r="BE11" i="25"/>
  <c r="BH11" i="25"/>
  <c r="BK11" i="25"/>
  <c r="BN11" i="25"/>
  <c r="BQ11" i="25"/>
  <c r="BT11" i="25"/>
  <c r="BW11" i="25"/>
  <c r="BZ11" i="25"/>
  <c r="CC11" i="25"/>
  <c r="CF11" i="25"/>
  <c r="CI11" i="25"/>
  <c r="CL11" i="25"/>
  <c r="CO11" i="25"/>
  <c r="CR11" i="25"/>
  <c r="CU11" i="25"/>
  <c r="CX11" i="25"/>
  <c r="DA11" i="25"/>
  <c r="V12" i="25"/>
  <c r="W12" i="25"/>
  <c r="X12" i="25"/>
  <c r="AA12" i="25"/>
  <c r="AB12" i="25"/>
  <c r="AC12" i="25"/>
  <c r="AD12" i="25"/>
  <c r="AE12" i="25"/>
  <c r="AF12" i="25"/>
  <c r="AG12" i="25"/>
  <c r="AH12" i="25"/>
  <c r="AV12" i="25"/>
  <c r="AY12" i="25"/>
  <c r="BB12" i="25"/>
  <c r="BE12" i="25"/>
  <c r="BH12" i="25"/>
  <c r="BK12" i="25"/>
  <c r="BN12" i="25"/>
  <c r="BQ12" i="25"/>
  <c r="BT12" i="25"/>
  <c r="BW12" i="25"/>
  <c r="BZ12" i="25"/>
  <c r="CC12" i="25"/>
  <c r="CF12" i="25"/>
  <c r="CI12" i="25"/>
  <c r="CL12" i="25"/>
  <c r="CO12" i="25"/>
  <c r="CR12" i="25"/>
  <c r="CU12" i="25"/>
  <c r="CX12" i="25"/>
  <c r="DA12" i="25"/>
  <c r="V13" i="25"/>
  <c r="W13" i="25"/>
  <c r="X13" i="25"/>
  <c r="AA13" i="25"/>
  <c r="AC13" i="25"/>
  <c r="AD13" i="25"/>
  <c r="AF13" i="25"/>
  <c r="AG13" i="25"/>
  <c r="AH13" i="25"/>
  <c r="AV13" i="25"/>
  <c r="AY13" i="25"/>
  <c r="BB13" i="25"/>
  <c r="BE13" i="25"/>
  <c r="BH13" i="25"/>
  <c r="BK13" i="25"/>
  <c r="BN13" i="25"/>
  <c r="BQ13" i="25"/>
  <c r="BT13" i="25"/>
  <c r="BW13" i="25"/>
  <c r="BZ13" i="25"/>
  <c r="CC13" i="25"/>
  <c r="CF13" i="25"/>
  <c r="CI13" i="25"/>
  <c r="CL13" i="25"/>
  <c r="CO13" i="25"/>
  <c r="CR13" i="25"/>
  <c r="CU13" i="25"/>
  <c r="CX13" i="25"/>
  <c r="DA13" i="25"/>
  <c r="V14" i="25"/>
  <c r="W14" i="25"/>
  <c r="X14" i="25"/>
  <c r="AA14" i="25"/>
  <c r="AB14" i="25"/>
  <c r="AC14" i="25"/>
  <c r="AD14" i="25"/>
  <c r="AE14" i="25"/>
  <c r="AF14" i="25"/>
  <c r="AG14" i="25"/>
  <c r="AH14" i="25"/>
  <c r="AV14" i="25"/>
  <c r="AY14" i="25"/>
  <c r="BB14" i="25"/>
  <c r="BE14" i="25"/>
  <c r="BH14" i="25"/>
  <c r="BK14" i="25"/>
  <c r="BN14" i="25"/>
  <c r="BQ14" i="25"/>
  <c r="BT14" i="25"/>
  <c r="BW14" i="25"/>
  <c r="BZ14" i="25"/>
  <c r="CC14" i="25"/>
  <c r="CF14" i="25"/>
  <c r="CI14" i="25"/>
  <c r="CL14" i="25"/>
  <c r="CO14" i="25"/>
  <c r="CR14" i="25"/>
  <c r="CU14" i="25"/>
  <c r="CX14" i="25"/>
  <c r="DA14" i="25"/>
  <c r="V15" i="25"/>
  <c r="W15" i="25"/>
  <c r="X15" i="25"/>
  <c r="AA15" i="25"/>
  <c r="AB15" i="25"/>
  <c r="AC15" i="25"/>
  <c r="AD15" i="25"/>
  <c r="AE15" i="25"/>
  <c r="AF15" i="25"/>
  <c r="AG15" i="25"/>
  <c r="AH15" i="25"/>
  <c r="AV15" i="25"/>
  <c r="AY15" i="25"/>
  <c r="BB15" i="25"/>
  <c r="BE15" i="25"/>
  <c r="BH15" i="25"/>
  <c r="BK15" i="25"/>
  <c r="BN15" i="25"/>
  <c r="BQ15" i="25"/>
  <c r="BT15" i="25"/>
  <c r="BW15" i="25"/>
  <c r="BZ15" i="25"/>
  <c r="CC15" i="25"/>
  <c r="CF15" i="25"/>
  <c r="CI15" i="25"/>
  <c r="CL15" i="25"/>
  <c r="CO15" i="25"/>
  <c r="CR15" i="25"/>
  <c r="CU15" i="25"/>
  <c r="CX15" i="25"/>
  <c r="DA15" i="25"/>
  <c r="V16" i="25"/>
  <c r="W16" i="25"/>
  <c r="X16" i="25"/>
  <c r="AA16" i="25"/>
  <c r="AB16" i="25"/>
  <c r="AC16" i="25"/>
  <c r="AD16" i="25"/>
  <c r="AE16" i="25"/>
  <c r="AF16" i="25"/>
  <c r="AG16" i="25"/>
  <c r="AH16" i="25"/>
  <c r="AV16" i="25"/>
  <c r="AY16" i="25"/>
  <c r="BB16" i="25"/>
  <c r="BE16" i="25"/>
  <c r="BH16" i="25"/>
  <c r="BK16" i="25"/>
  <c r="BN16" i="25"/>
  <c r="BQ16" i="25"/>
  <c r="BT16" i="25"/>
  <c r="BW16" i="25"/>
  <c r="BZ16" i="25"/>
  <c r="CC16" i="25"/>
  <c r="CF16" i="25"/>
  <c r="CI16" i="25"/>
  <c r="CL16" i="25"/>
  <c r="CO16" i="25"/>
  <c r="CR16" i="25"/>
  <c r="CU16" i="25"/>
  <c r="CX16" i="25"/>
  <c r="DA16" i="25"/>
  <c r="V17" i="25"/>
  <c r="W17" i="25"/>
  <c r="X17" i="25"/>
  <c r="AA17" i="25"/>
  <c r="AB17" i="25"/>
  <c r="AC17" i="25"/>
  <c r="AD17" i="25"/>
  <c r="AE17" i="25"/>
  <c r="AF17" i="25"/>
  <c r="AG17" i="25"/>
  <c r="AH17" i="25"/>
  <c r="AV17" i="25"/>
  <c r="AY17" i="25"/>
  <c r="BB17" i="25"/>
  <c r="BE17" i="25"/>
  <c r="BH17" i="25"/>
  <c r="BK17" i="25"/>
  <c r="BN17" i="25"/>
  <c r="BQ17" i="25"/>
  <c r="BT17" i="25"/>
  <c r="BW17" i="25"/>
  <c r="BZ17" i="25"/>
  <c r="CC17" i="25"/>
  <c r="CF17" i="25"/>
  <c r="CI17" i="25"/>
  <c r="CL17" i="25"/>
  <c r="CO17" i="25"/>
  <c r="CR17" i="25"/>
  <c r="CU17" i="25"/>
  <c r="CX17" i="25"/>
  <c r="DA17" i="25"/>
  <c r="V18" i="25"/>
  <c r="W18" i="25"/>
  <c r="X18" i="25"/>
  <c r="AA18" i="25"/>
  <c r="AB18" i="25"/>
  <c r="AC18" i="25"/>
  <c r="AD18" i="25"/>
  <c r="AE18" i="25"/>
  <c r="AF18" i="25"/>
  <c r="AG18" i="25"/>
  <c r="AH18" i="25"/>
  <c r="AV18" i="25"/>
  <c r="AY18" i="25"/>
  <c r="BB18" i="25"/>
  <c r="BE18" i="25"/>
  <c r="BH18" i="25"/>
  <c r="BK18" i="25"/>
  <c r="BN18" i="25"/>
  <c r="BQ18" i="25"/>
  <c r="BT18" i="25"/>
  <c r="BW18" i="25"/>
  <c r="BZ18" i="25"/>
  <c r="CC18" i="25"/>
  <c r="CF18" i="25"/>
  <c r="CI18" i="25"/>
  <c r="CL18" i="25"/>
  <c r="CO18" i="25"/>
  <c r="CR18" i="25"/>
  <c r="CU18" i="25"/>
  <c r="CX18" i="25"/>
  <c r="DA18" i="25"/>
  <c r="V19" i="25"/>
  <c r="W19" i="25"/>
  <c r="X19" i="25"/>
  <c r="AA19" i="25"/>
  <c r="AB19" i="25"/>
  <c r="AC19" i="25"/>
  <c r="AD19" i="25"/>
  <c r="AE19" i="25"/>
  <c r="AF19" i="25"/>
  <c r="AG19" i="25"/>
  <c r="AH19" i="25"/>
  <c r="AV19" i="25"/>
  <c r="AY19" i="25"/>
  <c r="BB19" i="25"/>
  <c r="BE19" i="25"/>
  <c r="BH19" i="25"/>
  <c r="BK19" i="25"/>
  <c r="BN19" i="25"/>
  <c r="BQ19" i="25"/>
  <c r="BT19" i="25"/>
  <c r="BW19" i="25"/>
  <c r="BZ19" i="25"/>
  <c r="CC19" i="25"/>
  <c r="CF19" i="25"/>
  <c r="CI19" i="25"/>
  <c r="CL19" i="25"/>
  <c r="CO19" i="25"/>
  <c r="CR19" i="25"/>
  <c r="CU19" i="25"/>
  <c r="CX19" i="25"/>
  <c r="DA19" i="25"/>
  <c r="V20" i="25"/>
  <c r="W20" i="25"/>
  <c r="X20" i="25"/>
  <c r="AA20" i="25"/>
  <c r="AB20" i="25"/>
  <c r="AC20" i="25"/>
  <c r="AD20" i="25"/>
  <c r="AE20" i="25"/>
  <c r="AF20" i="25"/>
  <c r="AG20" i="25"/>
  <c r="AH20" i="25"/>
  <c r="AV20" i="25"/>
  <c r="AY20" i="25"/>
  <c r="BB20" i="25"/>
  <c r="BE20" i="25"/>
  <c r="BH20" i="25"/>
  <c r="BK20" i="25"/>
  <c r="BN20" i="25"/>
  <c r="BQ20" i="25"/>
  <c r="BT20" i="25"/>
  <c r="BW20" i="25"/>
  <c r="BZ20" i="25"/>
  <c r="CC20" i="25"/>
  <c r="CF20" i="25"/>
  <c r="CI20" i="25"/>
  <c r="CL20" i="25"/>
  <c r="CO20" i="25"/>
  <c r="CR20" i="25"/>
  <c r="CU20" i="25"/>
  <c r="CX20" i="25"/>
  <c r="DA20" i="25"/>
  <c r="V21" i="25"/>
  <c r="W21" i="25"/>
  <c r="X21" i="25"/>
  <c r="AA21" i="25"/>
  <c r="AB21" i="25"/>
  <c r="AC21" i="25"/>
  <c r="AD21" i="25"/>
  <c r="AE21" i="25"/>
  <c r="AF21" i="25"/>
  <c r="AG21" i="25"/>
  <c r="AH21" i="25"/>
  <c r="AV21" i="25"/>
  <c r="AY21" i="25"/>
  <c r="BB21" i="25"/>
  <c r="BE21" i="25"/>
  <c r="BH21" i="25"/>
  <c r="BK21" i="25"/>
  <c r="BN21" i="25"/>
  <c r="BQ21" i="25"/>
  <c r="BT21" i="25"/>
  <c r="BW21" i="25"/>
  <c r="BZ21" i="25"/>
  <c r="CC21" i="25"/>
  <c r="CF21" i="25"/>
  <c r="CI21" i="25"/>
  <c r="CL21" i="25"/>
  <c r="CO21" i="25"/>
  <c r="CR21" i="25"/>
  <c r="CU21" i="25"/>
  <c r="CX21" i="25"/>
  <c r="DA21" i="25"/>
  <c r="V22" i="25"/>
  <c r="W22" i="25"/>
  <c r="X22" i="25"/>
  <c r="AA22" i="25"/>
  <c r="AB22" i="25"/>
  <c r="AC22" i="25"/>
  <c r="AD22" i="25"/>
  <c r="AE22" i="25"/>
  <c r="AF22" i="25"/>
  <c r="AG22" i="25"/>
  <c r="AH22" i="25"/>
  <c r="AV22" i="25"/>
  <c r="AY22" i="25"/>
  <c r="BB22" i="25"/>
  <c r="BE22" i="25"/>
  <c r="BH22" i="25"/>
  <c r="BK22" i="25"/>
  <c r="BN22" i="25"/>
  <c r="BQ22" i="25"/>
  <c r="BT22" i="25"/>
  <c r="BW22" i="25"/>
  <c r="BZ22" i="25"/>
  <c r="CC22" i="25"/>
  <c r="CF22" i="25"/>
  <c r="CI22" i="25"/>
  <c r="CL22" i="25"/>
  <c r="CO22" i="25"/>
  <c r="CR22" i="25"/>
  <c r="CU22" i="25"/>
  <c r="CX22" i="25"/>
  <c r="DA22" i="25"/>
  <c r="V23" i="25"/>
  <c r="W23" i="25"/>
  <c r="X23" i="25"/>
  <c r="AA23" i="25"/>
  <c r="AH23" i="25"/>
  <c r="AV23" i="25"/>
  <c r="AY23" i="25"/>
  <c r="BB23" i="25"/>
  <c r="BE23" i="25"/>
  <c r="BH23" i="25"/>
  <c r="BK23" i="25"/>
  <c r="BN23" i="25"/>
  <c r="BQ23" i="25"/>
  <c r="BT23" i="25"/>
  <c r="BW23" i="25"/>
  <c r="BZ23" i="25"/>
  <c r="CC23" i="25"/>
  <c r="CF23" i="25"/>
  <c r="CI23" i="25"/>
  <c r="CL23" i="25"/>
  <c r="CO23" i="25"/>
  <c r="CR23" i="25"/>
  <c r="CU23" i="25"/>
  <c r="CX23" i="25"/>
  <c r="DA23" i="25"/>
  <c r="V24" i="25"/>
  <c r="W24" i="25"/>
  <c r="X24" i="25"/>
  <c r="AA24" i="25"/>
  <c r="AC24" i="25"/>
  <c r="AD24" i="25"/>
  <c r="AF24" i="25"/>
  <c r="AG24" i="25"/>
  <c r="AH24" i="25"/>
  <c r="AV24" i="25"/>
  <c r="AY24" i="25"/>
  <c r="BB24" i="25"/>
  <c r="BE24" i="25"/>
  <c r="BH24" i="25"/>
  <c r="BK24" i="25"/>
  <c r="BN24" i="25"/>
  <c r="BQ24" i="25"/>
  <c r="BT24" i="25"/>
  <c r="BW24" i="25"/>
  <c r="BZ24" i="25"/>
  <c r="CC24" i="25"/>
  <c r="CF24" i="25"/>
  <c r="CI24" i="25"/>
  <c r="CL24" i="25"/>
  <c r="CO24" i="25"/>
  <c r="CR24" i="25"/>
  <c r="CU24" i="25"/>
  <c r="CX24" i="25"/>
  <c r="DA24" i="25"/>
  <c r="V25" i="25"/>
  <c r="W25" i="25"/>
  <c r="X25" i="25"/>
  <c r="AA25" i="25"/>
  <c r="AC25" i="25"/>
  <c r="AD25" i="25"/>
  <c r="AF25" i="25"/>
  <c r="AG25" i="25"/>
  <c r="AH25" i="25"/>
  <c r="AV25" i="25"/>
  <c r="AY25" i="25"/>
  <c r="BB25" i="25"/>
  <c r="BE25" i="25"/>
  <c r="BH25" i="25"/>
  <c r="BK25" i="25"/>
  <c r="BN25" i="25"/>
  <c r="BQ25" i="25"/>
  <c r="BT25" i="25"/>
  <c r="BW25" i="25"/>
  <c r="BZ25" i="25"/>
  <c r="CC25" i="25"/>
  <c r="CF25" i="25"/>
  <c r="CI25" i="25"/>
  <c r="CL25" i="25"/>
  <c r="CO25" i="25"/>
  <c r="CR25" i="25"/>
  <c r="CU25" i="25"/>
  <c r="CX25" i="25"/>
  <c r="DA25" i="25"/>
  <c r="V26" i="25"/>
  <c r="W26" i="25"/>
  <c r="X26" i="25"/>
  <c r="AA26" i="25"/>
  <c r="AD26" i="25"/>
  <c r="AG26" i="25"/>
  <c r="AH26" i="25"/>
  <c r="AV26" i="25"/>
  <c r="AI26" i="25" s="1"/>
  <c r="CA26" i="25" s="1"/>
  <c r="AY26" i="25"/>
  <c r="BB26" i="25"/>
  <c r="BC26" i="25"/>
  <c r="BE26" i="25"/>
  <c r="BH26" i="25"/>
  <c r="BK26" i="25"/>
  <c r="BN26" i="25"/>
  <c r="BO26" i="25"/>
  <c r="BQ26" i="25"/>
  <c r="BT26" i="25"/>
  <c r="BW26" i="25"/>
  <c r="BZ26" i="25"/>
  <c r="CC26" i="25"/>
  <c r="CF26" i="25"/>
  <c r="CI26" i="25"/>
  <c r="CL26" i="25"/>
  <c r="CM26" i="25"/>
  <c r="CO26" i="25"/>
  <c r="CR26" i="25"/>
  <c r="CU26" i="25"/>
  <c r="CX26" i="25"/>
  <c r="CY26" i="25"/>
  <c r="DA26" i="25"/>
  <c r="V27" i="25"/>
  <c r="W27" i="25"/>
  <c r="X27" i="25"/>
  <c r="AA27" i="25"/>
  <c r="AB27" i="25"/>
  <c r="AC27" i="25"/>
  <c r="AD27" i="25"/>
  <c r="AE27" i="25"/>
  <c r="AF27" i="25"/>
  <c r="AG27" i="25"/>
  <c r="AH27" i="25"/>
  <c r="AV27" i="25"/>
  <c r="AY27" i="25"/>
  <c r="BB27" i="25"/>
  <c r="BE27" i="25"/>
  <c r="BH27" i="25"/>
  <c r="BK27" i="25"/>
  <c r="BN27" i="25"/>
  <c r="BQ27" i="25"/>
  <c r="BT27" i="25"/>
  <c r="BW27" i="25"/>
  <c r="BZ27" i="25"/>
  <c r="CC27" i="25"/>
  <c r="CF27" i="25"/>
  <c r="CI27" i="25"/>
  <c r="CL27" i="25"/>
  <c r="CO27" i="25"/>
  <c r="CR27" i="25"/>
  <c r="CU27" i="25"/>
  <c r="CX27" i="25"/>
  <c r="DA27" i="25"/>
  <c r="V28" i="25"/>
  <c r="W28" i="25"/>
  <c r="X28" i="25"/>
  <c r="AA28" i="25"/>
  <c r="AD28" i="25"/>
  <c r="AG28" i="25"/>
  <c r="AH28" i="25"/>
  <c r="AV28" i="25"/>
  <c r="AI28" i="25" s="1"/>
  <c r="BF28" i="25" s="1"/>
  <c r="AY28" i="25"/>
  <c r="BB28" i="25"/>
  <c r="BE28" i="25"/>
  <c r="BH28" i="25"/>
  <c r="BK28" i="25"/>
  <c r="BN28" i="25"/>
  <c r="BQ28" i="25"/>
  <c r="BT28" i="25"/>
  <c r="BW28" i="25"/>
  <c r="BZ28" i="25"/>
  <c r="CC28" i="25"/>
  <c r="CF28" i="25"/>
  <c r="CI28" i="25"/>
  <c r="CL28" i="25"/>
  <c r="CO28" i="25"/>
  <c r="CR28" i="25"/>
  <c r="CU28" i="25"/>
  <c r="CX28" i="25"/>
  <c r="DA28" i="25"/>
  <c r="V29" i="25"/>
  <c r="W29" i="25"/>
  <c r="X29" i="25"/>
  <c r="AA29" i="25"/>
  <c r="AC29" i="25"/>
  <c r="AD29" i="25"/>
  <c r="AF29" i="25"/>
  <c r="AG29" i="25"/>
  <c r="AH29" i="25"/>
  <c r="AV29" i="25"/>
  <c r="AY29" i="25"/>
  <c r="BB29" i="25"/>
  <c r="BE29" i="25"/>
  <c r="BH29" i="25"/>
  <c r="BK29" i="25"/>
  <c r="BN29" i="25"/>
  <c r="BQ29" i="25"/>
  <c r="BT29" i="25"/>
  <c r="BW29" i="25"/>
  <c r="BZ29" i="25"/>
  <c r="CC29" i="25"/>
  <c r="CF29" i="25"/>
  <c r="CI29" i="25"/>
  <c r="CL29" i="25"/>
  <c r="CO29" i="25"/>
  <c r="CR29" i="25"/>
  <c r="CU29" i="25"/>
  <c r="CX29" i="25"/>
  <c r="DA29" i="25"/>
  <c r="V30" i="25"/>
  <c r="W30" i="25"/>
  <c r="X30" i="25"/>
  <c r="AA30" i="25"/>
  <c r="AC30" i="25"/>
  <c r="AD30" i="25"/>
  <c r="AF30" i="25"/>
  <c r="AG30" i="25"/>
  <c r="AH30" i="25"/>
  <c r="AV30" i="25"/>
  <c r="AY30" i="25"/>
  <c r="BB30" i="25"/>
  <c r="BE30" i="25"/>
  <c r="BH30" i="25"/>
  <c r="BK30" i="25"/>
  <c r="BN30" i="25"/>
  <c r="BQ30" i="25"/>
  <c r="BT30" i="25"/>
  <c r="BW30" i="25"/>
  <c r="BZ30" i="25"/>
  <c r="CC30" i="25"/>
  <c r="CF30" i="25"/>
  <c r="CI30" i="25"/>
  <c r="CL30" i="25"/>
  <c r="CO30" i="25"/>
  <c r="CR30" i="25"/>
  <c r="CU30" i="25"/>
  <c r="CX30" i="25"/>
  <c r="DA30" i="25"/>
  <c r="V31" i="25"/>
  <c r="W31" i="25"/>
  <c r="X31" i="25"/>
  <c r="AA31" i="25"/>
  <c r="AB31" i="25"/>
  <c r="AC31" i="25"/>
  <c r="AD31" i="25"/>
  <c r="AE31" i="25"/>
  <c r="AF31" i="25"/>
  <c r="AG31" i="25"/>
  <c r="AH31" i="25"/>
  <c r="AV31" i="25"/>
  <c r="AY31" i="25"/>
  <c r="BB31" i="25"/>
  <c r="BE31" i="25"/>
  <c r="BH31" i="25"/>
  <c r="BK31" i="25"/>
  <c r="BN31" i="25"/>
  <c r="BQ31" i="25"/>
  <c r="BT31" i="25"/>
  <c r="BW31" i="25"/>
  <c r="BZ31" i="25"/>
  <c r="CC31" i="25"/>
  <c r="CF31" i="25"/>
  <c r="CI31" i="25"/>
  <c r="CL31" i="25"/>
  <c r="CO31" i="25"/>
  <c r="CR31" i="25"/>
  <c r="CU31" i="25"/>
  <c r="CX31" i="25"/>
  <c r="DA31" i="25"/>
  <c r="V32" i="25"/>
  <c r="W32" i="25"/>
  <c r="X32" i="25"/>
  <c r="AA32" i="25"/>
  <c r="AC32" i="25"/>
  <c r="AD32" i="25"/>
  <c r="AF32" i="25"/>
  <c r="AG32" i="25"/>
  <c r="AH32" i="25"/>
  <c r="AV32" i="25"/>
  <c r="AI32" i="25" s="1"/>
  <c r="AY32" i="25"/>
  <c r="BB32" i="25"/>
  <c r="BE32" i="25"/>
  <c r="BH32" i="25"/>
  <c r="BK32" i="25"/>
  <c r="BN32" i="25"/>
  <c r="BQ32" i="25"/>
  <c r="BT32" i="25"/>
  <c r="BW32" i="25"/>
  <c r="BZ32" i="25"/>
  <c r="CC32" i="25"/>
  <c r="CF32" i="25"/>
  <c r="CI32" i="25"/>
  <c r="CL32" i="25"/>
  <c r="CO32" i="25"/>
  <c r="CR32" i="25"/>
  <c r="CU32" i="25"/>
  <c r="CX32" i="25"/>
  <c r="DA32" i="25"/>
  <c r="V33" i="25"/>
  <c r="W33" i="25"/>
  <c r="X33" i="25"/>
  <c r="AA33" i="25"/>
  <c r="AH33" i="25"/>
  <c r="AV33" i="25"/>
  <c r="AY33" i="25"/>
  <c r="BB33" i="25"/>
  <c r="BE33" i="25"/>
  <c r="BH33" i="25"/>
  <c r="BK33" i="25"/>
  <c r="BN33" i="25"/>
  <c r="BQ33" i="25"/>
  <c r="BT33" i="25"/>
  <c r="BW33" i="25"/>
  <c r="BZ33" i="25"/>
  <c r="CC33" i="25"/>
  <c r="CF33" i="25"/>
  <c r="CI33" i="25"/>
  <c r="CL33" i="25"/>
  <c r="CO33" i="25"/>
  <c r="CR33" i="25"/>
  <c r="CU33" i="25"/>
  <c r="CX33" i="25"/>
  <c r="DA33" i="25"/>
  <c r="V34" i="25"/>
  <c r="W34" i="25"/>
  <c r="X34" i="25"/>
  <c r="AA34" i="25"/>
  <c r="AH34" i="25"/>
  <c r="AV34" i="25"/>
  <c r="AI34" i="25" s="1"/>
  <c r="AY34" i="25"/>
  <c r="BB34" i="25"/>
  <c r="BE34" i="25"/>
  <c r="BH34" i="25"/>
  <c r="BK34" i="25"/>
  <c r="BN34" i="25"/>
  <c r="BQ34" i="25"/>
  <c r="BT34" i="25"/>
  <c r="BW34" i="25"/>
  <c r="BZ34" i="25"/>
  <c r="CC34" i="25"/>
  <c r="CF34" i="25"/>
  <c r="CI34" i="25"/>
  <c r="CL34" i="25"/>
  <c r="CO34" i="25"/>
  <c r="CR34" i="25"/>
  <c r="CU34" i="25"/>
  <c r="CX34" i="25"/>
  <c r="DA34" i="25"/>
  <c r="V35" i="25"/>
  <c r="W35" i="25"/>
  <c r="X35" i="25"/>
  <c r="AA35" i="25"/>
  <c r="AC35" i="25"/>
  <c r="AD35" i="25"/>
  <c r="AF35" i="25"/>
  <c r="AG35" i="25"/>
  <c r="AH35" i="25"/>
  <c r="AV35" i="25"/>
  <c r="AY35" i="25"/>
  <c r="BB35" i="25"/>
  <c r="BE35" i="25"/>
  <c r="BH35" i="25"/>
  <c r="BK35" i="25"/>
  <c r="BN35" i="25"/>
  <c r="BQ35" i="25"/>
  <c r="BT35" i="25"/>
  <c r="BW35" i="25"/>
  <c r="BZ35" i="25"/>
  <c r="CC35" i="25"/>
  <c r="CF35" i="25"/>
  <c r="CI35" i="25"/>
  <c r="CL35" i="25"/>
  <c r="CO35" i="25"/>
  <c r="CR35" i="25"/>
  <c r="CU35" i="25"/>
  <c r="CX35" i="25"/>
  <c r="DA35" i="25"/>
  <c r="V36" i="25"/>
  <c r="W36" i="25"/>
  <c r="X36" i="25"/>
  <c r="AA36" i="25"/>
  <c r="AD36" i="25"/>
  <c r="AG36" i="25"/>
  <c r="AH36" i="25"/>
  <c r="AV36" i="25"/>
  <c r="AY36" i="25"/>
  <c r="BB36" i="25"/>
  <c r="BE36" i="25"/>
  <c r="BH36" i="25"/>
  <c r="BK36" i="25"/>
  <c r="BN36" i="25"/>
  <c r="BQ36" i="25"/>
  <c r="BT36" i="25"/>
  <c r="BW36" i="25"/>
  <c r="BZ36" i="25"/>
  <c r="CC36" i="25"/>
  <c r="CF36" i="25"/>
  <c r="CI36" i="25"/>
  <c r="CL36" i="25"/>
  <c r="CO36" i="25"/>
  <c r="CR36" i="25"/>
  <c r="CU36" i="25"/>
  <c r="CX36" i="25"/>
  <c r="DA36" i="25"/>
  <c r="V37" i="25"/>
  <c r="W37" i="25"/>
  <c r="X37" i="25"/>
  <c r="AA37" i="25"/>
  <c r="AD37" i="25"/>
  <c r="AG37" i="25"/>
  <c r="AH37" i="25"/>
  <c r="AV37" i="25"/>
  <c r="AY37" i="25"/>
  <c r="BB37" i="25"/>
  <c r="BE37" i="25"/>
  <c r="BH37" i="25"/>
  <c r="BK37" i="25"/>
  <c r="BN37" i="25"/>
  <c r="BQ37" i="25"/>
  <c r="BT37" i="25"/>
  <c r="BW37" i="25"/>
  <c r="BZ37" i="25"/>
  <c r="CC37" i="25"/>
  <c r="CF37" i="25"/>
  <c r="CI37" i="25"/>
  <c r="CL37" i="25"/>
  <c r="CO37" i="25"/>
  <c r="CR37" i="25"/>
  <c r="CU37" i="25"/>
  <c r="CX37" i="25"/>
  <c r="DA37" i="25"/>
  <c r="V38" i="25"/>
  <c r="W38" i="25"/>
  <c r="X38" i="25"/>
  <c r="AA38" i="25"/>
  <c r="AH38" i="25"/>
  <c r="AV38" i="25"/>
  <c r="AY38" i="25"/>
  <c r="BB38" i="25"/>
  <c r="BE38" i="25"/>
  <c r="BH38" i="25"/>
  <c r="BK38" i="25"/>
  <c r="BN38" i="25"/>
  <c r="BQ38" i="25"/>
  <c r="BT38" i="25"/>
  <c r="BW38" i="25"/>
  <c r="BZ38" i="25"/>
  <c r="CC38" i="25"/>
  <c r="CF38" i="25"/>
  <c r="CI38" i="25"/>
  <c r="CL38" i="25"/>
  <c r="CO38" i="25"/>
  <c r="CR38" i="25"/>
  <c r="CU38" i="25"/>
  <c r="CX38" i="25"/>
  <c r="DA38" i="25"/>
  <c r="V39" i="25"/>
  <c r="W39" i="25"/>
  <c r="X39" i="25"/>
  <c r="AA39" i="25"/>
  <c r="AH39" i="25"/>
  <c r="AV39" i="25"/>
  <c r="AI39" i="25" s="1"/>
  <c r="AY39" i="25"/>
  <c r="BB39" i="25"/>
  <c r="BE39" i="25"/>
  <c r="BH39" i="25"/>
  <c r="BK39" i="25"/>
  <c r="BN39" i="25"/>
  <c r="BQ39" i="25"/>
  <c r="BT39" i="25"/>
  <c r="BW39" i="25"/>
  <c r="BZ39" i="25"/>
  <c r="CC39" i="25"/>
  <c r="CF39" i="25"/>
  <c r="CI39" i="25"/>
  <c r="CL39" i="25"/>
  <c r="CO39" i="25"/>
  <c r="CR39" i="25"/>
  <c r="CU39" i="25"/>
  <c r="CX39" i="25"/>
  <c r="DA39" i="25"/>
  <c r="V40" i="25"/>
  <c r="W40" i="25"/>
  <c r="X40" i="25"/>
  <c r="AA40" i="25"/>
  <c r="AD40" i="25"/>
  <c r="AG40" i="25"/>
  <c r="AH40" i="25"/>
  <c r="AV40" i="25"/>
  <c r="AI40" i="25" s="1"/>
  <c r="AY40" i="25"/>
  <c r="BB40" i="25"/>
  <c r="BE40" i="25"/>
  <c r="BH40" i="25"/>
  <c r="BK40" i="25"/>
  <c r="BN40" i="25"/>
  <c r="BQ40" i="25"/>
  <c r="BT40" i="25"/>
  <c r="BW40" i="25"/>
  <c r="BZ40" i="25"/>
  <c r="CC40" i="25"/>
  <c r="CF40" i="25"/>
  <c r="CI40" i="25"/>
  <c r="CL40" i="25"/>
  <c r="CO40" i="25"/>
  <c r="CR40" i="25"/>
  <c r="CU40" i="25"/>
  <c r="CX40" i="25"/>
  <c r="DA40" i="25"/>
  <c r="V41" i="25"/>
  <c r="W41" i="25"/>
  <c r="X41" i="25"/>
  <c r="AA41" i="25"/>
  <c r="AB41" i="25"/>
  <c r="AC41" i="25"/>
  <c r="AD41" i="25"/>
  <c r="AE41" i="25"/>
  <c r="AF41" i="25"/>
  <c r="AG41" i="25"/>
  <c r="AH41" i="25"/>
  <c r="AV41" i="25"/>
  <c r="AI41" i="25" s="1"/>
  <c r="AY41" i="25"/>
  <c r="BB41" i="25"/>
  <c r="BE41" i="25"/>
  <c r="BH41" i="25"/>
  <c r="BK41" i="25"/>
  <c r="BN41" i="25"/>
  <c r="BQ41" i="25"/>
  <c r="BT41" i="25"/>
  <c r="BW41" i="25"/>
  <c r="BZ41" i="25"/>
  <c r="CC41" i="25"/>
  <c r="CF41" i="25"/>
  <c r="CI41" i="25"/>
  <c r="CL41" i="25"/>
  <c r="CO41" i="25"/>
  <c r="CR41" i="25"/>
  <c r="CU41" i="25"/>
  <c r="CX41" i="25"/>
  <c r="DA41" i="25"/>
  <c r="V42" i="25"/>
  <c r="W42" i="25"/>
  <c r="X42" i="25"/>
  <c r="AA42" i="25"/>
  <c r="AB42" i="25"/>
  <c r="AC42" i="25"/>
  <c r="AD42" i="25"/>
  <c r="AE42" i="25"/>
  <c r="AF42" i="25"/>
  <c r="AG42" i="25"/>
  <c r="AH42" i="25"/>
  <c r="AV42" i="25"/>
  <c r="AI42" i="25" s="1"/>
  <c r="AY42" i="25"/>
  <c r="BB42" i="25"/>
  <c r="BE42" i="25"/>
  <c r="BH42" i="25"/>
  <c r="BK42" i="25"/>
  <c r="BN42" i="25"/>
  <c r="BQ42" i="25"/>
  <c r="BT42" i="25"/>
  <c r="BW42" i="25"/>
  <c r="BZ42" i="25"/>
  <c r="CC42" i="25"/>
  <c r="CF42" i="25"/>
  <c r="CI42" i="25"/>
  <c r="CL42" i="25"/>
  <c r="CO42" i="25"/>
  <c r="CR42" i="25"/>
  <c r="CU42" i="25"/>
  <c r="CX42" i="25"/>
  <c r="DA42" i="25"/>
  <c r="V43" i="25"/>
  <c r="W43" i="25"/>
  <c r="X43" i="25"/>
  <c r="AA43" i="25"/>
  <c r="AD43" i="25"/>
  <c r="AG43" i="25"/>
  <c r="AH43" i="25"/>
  <c r="AV43" i="25"/>
  <c r="AI43" i="25" s="1"/>
  <c r="AY43" i="25"/>
  <c r="BB43" i="25"/>
  <c r="BE43" i="25"/>
  <c r="BH43" i="25"/>
  <c r="BK43" i="25"/>
  <c r="BN43" i="25"/>
  <c r="BQ43" i="25"/>
  <c r="BT43" i="25"/>
  <c r="BW43" i="25"/>
  <c r="BZ43" i="25"/>
  <c r="CC43" i="25"/>
  <c r="CF43" i="25"/>
  <c r="CI43" i="25"/>
  <c r="CL43" i="25"/>
  <c r="CO43" i="25"/>
  <c r="CR43" i="25"/>
  <c r="CU43" i="25"/>
  <c r="CX43" i="25"/>
  <c r="DA43" i="25"/>
  <c r="V44" i="25"/>
  <c r="W44" i="25"/>
  <c r="X44" i="25"/>
  <c r="AA44" i="25"/>
  <c r="AC44" i="25"/>
  <c r="AD44" i="25"/>
  <c r="AF44" i="25"/>
  <c r="AG44" i="25"/>
  <c r="AH44" i="25"/>
  <c r="AV44" i="25"/>
  <c r="AI44" i="25" s="1"/>
  <c r="AY44" i="25"/>
  <c r="BB44" i="25"/>
  <c r="BE44" i="25"/>
  <c r="BH44" i="25"/>
  <c r="BK44" i="25"/>
  <c r="BN44" i="25"/>
  <c r="BQ44" i="25"/>
  <c r="BT44" i="25"/>
  <c r="BW44" i="25"/>
  <c r="BZ44" i="25"/>
  <c r="CC44" i="25"/>
  <c r="CF44" i="25"/>
  <c r="CI44" i="25"/>
  <c r="CL44" i="25"/>
  <c r="CO44" i="25"/>
  <c r="CR44" i="25"/>
  <c r="CU44" i="25"/>
  <c r="CX44" i="25"/>
  <c r="DA44" i="25"/>
  <c r="V45" i="25"/>
  <c r="W45" i="25"/>
  <c r="X45" i="25"/>
  <c r="AA45" i="25"/>
  <c r="AB45" i="25"/>
  <c r="AC45" i="25"/>
  <c r="AD45" i="25"/>
  <c r="AE45" i="25"/>
  <c r="AF45" i="25"/>
  <c r="AG45" i="25"/>
  <c r="AH45" i="25"/>
  <c r="AV45" i="25"/>
  <c r="AY45" i="25"/>
  <c r="BB45" i="25"/>
  <c r="BE45" i="25"/>
  <c r="BH45" i="25"/>
  <c r="BK45" i="25"/>
  <c r="BN45" i="25"/>
  <c r="BQ45" i="25"/>
  <c r="BT45" i="25"/>
  <c r="BW45" i="25"/>
  <c r="BZ45" i="25"/>
  <c r="CC45" i="25"/>
  <c r="CF45" i="25"/>
  <c r="CI45" i="25"/>
  <c r="CL45" i="25"/>
  <c r="CO45" i="25"/>
  <c r="CR45" i="25"/>
  <c r="CU45" i="25"/>
  <c r="CX45" i="25"/>
  <c r="DA45" i="25"/>
  <c r="V46" i="25"/>
  <c r="W46" i="25"/>
  <c r="X46" i="25"/>
  <c r="AA46" i="25"/>
  <c r="AB46" i="25"/>
  <c r="AC46" i="25"/>
  <c r="AD46" i="25"/>
  <c r="AE46" i="25"/>
  <c r="AF46" i="25"/>
  <c r="AG46" i="25"/>
  <c r="AH46" i="25"/>
  <c r="AV46" i="25"/>
  <c r="AY46" i="25"/>
  <c r="BB46" i="25"/>
  <c r="BE46" i="25"/>
  <c r="BH46" i="25"/>
  <c r="BK46" i="25"/>
  <c r="BN46" i="25"/>
  <c r="BQ46" i="25"/>
  <c r="BT46" i="25"/>
  <c r="BW46" i="25"/>
  <c r="BZ46" i="25"/>
  <c r="CC46" i="25"/>
  <c r="CF46" i="25"/>
  <c r="CI46" i="25"/>
  <c r="CL46" i="25"/>
  <c r="CO46" i="25"/>
  <c r="CR46" i="25"/>
  <c r="CU46" i="25"/>
  <c r="CX46" i="25"/>
  <c r="DA46" i="25"/>
  <c r="V47" i="25"/>
  <c r="W47" i="25"/>
  <c r="X47" i="25"/>
  <c r="AA47" i="25"/>
  <c r="AC47" i="25"/>
  <c r="AD47" i="25"/>
  <c r="AF47" i="25"/>
  <c r="AG47" i="25"/>
  <c r="AH47" i="25"/>
  <c r="AV47" i="25"/>
  <c r="AY47" i="25"/>
  <c r="BB47" i="25"/>
  <c r="BE47" i="25"/>
  <c r="BH47" i="25"/>
  <c r="BK47" i="25"/>
  <c r="BN47" i="25"/>
  <c r="BQ47" i="25"/>
  <c r="BT47" i="25"/>
  <c r="BW47" i="25"/>
  <c r="BZ47" i="25"/>
  <c r="CC47" i="25"/>
  <c r="CF47" i="25"/>
  <c r="CI47" i="25"/>
  <c r="CL47" i="25"/>
  <c r="CO47" i="25"/>
  <c r="CR47" i="25"/>
  <c r="CU47" i="25"/>
  <c r="CX47" i="25"/>
  <c r="DA47" i="25"/>
  <c r="V48" i="25"/>
  <c r="W48" i="25"/>
  <c r="X48" i="25"/>
  <c r="AA48" i="25"/>
  <c r="AC48" i="25"/>
  <c r="AD48" i="25"/>
  <c r="AF48" i="25"/>
  <c r="AG48" i="25"/>
  <c r="AH48" i="25"/>
  <c r="AV48" i="25"/>
  <c r="AY48" i="25"/>
  <c r="BB48" i="25"/>
  <c r="BE48" i="25"/>
  <c r="BH48" i="25"/>
  <c r="BK48" i="25"/>
  <c r="BN48" i="25"/>
  <c r="BQ48" i="25"/>
  <c r="BT48" i="25"/>
  <c r="BW48" i="25"/>
  <c r="BZ48" i="25"/>
  <c r="CC48" i="25"/>
  <c r="CF48" i="25"/>
  <c r="CI48" i="25"/>
  <c r="CL48" i="25"/>
  <c r="CO48" i="25"/>
  <c r="CR48" i="25"/>
  <c r="CU48" i="25"/>
  <c r="CX48" i="25"/>
  <c r="DA48" i="25"/>
  <c r="V49" i="25"/>
  <c r="W49" i="25"/>
  <c r="X49" i="25"/>
  <c r="AA49" i="25"/>
  <c r="AB49" i="25"/>
  <c r="AC49" i="25"/>
  <c r="AD49" i="25"/>
  <c r="AE49" i="25"/>
  <c r="AF49" i="25"/>
  <c r="AG49" i="25"/>
  <c r="AH49" i="25"/>
  <c r="AV49" i="25"/>
  <c r="AI49" i="25" s="1"/>
  <c r="AY49" i="25"/>
  <c r="BB49" i="25"/>
  <c r="BE49" i="25"/>
  <c r="BH49" i="25"/>
  <c r="BK49" i="25"/>
  <c r="BN49" i="25"/>
  <c r="BQ49" i="25"/>
  <c r="BT49" i="25"/>
  <c r="BW49" i="25"/>
  <c r="BZ49" i="25"/>
  <c r="CC49" i="25"/>
  <c r="CF49" i="25"/>
  <c r="CI49" i="25"/>
  <c r="CL49" i="25"/>
  <c r="CO49" i="25"/>
  <c r="CR49" i="25"/>
  <c r="CU49" i="25"/>
  <c r="CX49" i="25"/>
  <c r="DA49" i="25"/>
  <c r="V50" i="25"/>
  <c r="W50" i="25"/>
  <c r="X50" i="25"/>
  <c r="AA50" i="25"/>
  <c r="AB50" i="25"/>
  <c r="AC50" i="25"/>
  <c r="AD50" i="25"/>
  <c r="AE50" i="25"/>
  <c r="AF50" i="25"/>
  <c r="AG50" i="25"/>
  <c r="AH50" i="25"/>
  <c r="AV50" i="25"/>
  <c r="AI50" i="25" s="1"/>
  <c r="AY50" i="25"/>
  <c r="BB50" i="25"/>
  <c r="BE50" i="25"/>
  <c r="BH50" i="25"/>
  <c r="BK50" i="25"/>
  <c r="BN50" i="25"/>
  <c r="BQ50" i="25"/>
  <c r="BT50" i="25"/>
  <c r="BW50" i="25"/>
  <c r="BZ50" i="25"/>
  <c r="CC50" i="25"/>
  <c r="CF50" i="25"/>
  <c r="CI50" i="25"/>
  <c r="CL50" i="25"/>
  <c r="CO50" i="25"/>
  <c r="CR50" i="25"/>
  <c r="CU50" i="25"/>
  <c r="CX50" i="25"/>
  <c r="DA50" i="25"/>
  <c r="V51" i="25"/>
  <c r="W51" i="25"/>
  <c r="X51" i="25"/>
  <c r="AA51" i="25"/>
  <c r="AB51" i="25"/>
  <c r="AC51" i="25"/>
  <c r="AD51" i="25"/>
  <c r="AE51" i="25"/>
  <c r="AF51" i="25"/>
  <c r="AG51" i="25"/>
  <c r="AH51" i="25"/>
  <c r="AV51" i="25"/>
  <c r="AI51" i="25" s="1"/>
  <c r="AY51" i="25"/>
  <c r="BB51" i="25"/>
  <c r="BE51" i="25"/>
  <c r="BH51" i="25"/>
  <c r="BK51" i="25"/>
  <c r="BN51" i="25"/>
  <c r="BQ51" i="25"/>
  <c r="BT51" i="25"/>
  <c r="BW51" i="25"/>
  <c r="BZ51" i="25"/>
  <c r="CC51" i="25"/>
  <c r="CF51" i="25"/>
  <c r="CI51" i="25"/>
  <c r="CL51" i="25"/>
  <c r="CO51" i="25"/>
  <c r="CR51" i="25"/>
  <c r="CU51" i="25"/>
  <c r="CX51" i="25"/>
  <c r="DA51" i="25"/>
  <c r="V52" i="25"/>
  <c r="W52" i="25"/>
  <c r="X52" i="25"/>
  <c r="AA52" i="25"/>
  <c r="AB52" i="25"/>
  <c r="AC52" i="25"/>
  <c r="AD52" i="25"/>
  <c r="AE52" i="25"/>
  <c r="AF52" i="25"/>
  <c r="AG52" i="25"/>
  <c r="AH52" i="25"/>
  <c r="AV52" i="25"/>
  <c r="AI52" i="25" s="1"/>
  <c r="AY52" i="25"/>
  <c r="BB52" i="25"/>
  <c r="BE52" i="25"/>
  <c r="BH52" i="25"/>
  <c r="BK52" i="25"/>
  <c r="BN52" i="25"/>
  <c r="BQ52" i="25"/>
  <c r="BT52" i="25"/>
  <c r="BW52" i="25"/>
  <c r="BZ52" i="25"/>
  <c r="CC52" i="25"/>
  <c r="CF52" i="25"/>
  <c r="CI52" i="25"/>
  <c r="CL52" i="25"/>
  <c r="CO52" i="25"/>
  <c r="CR52" i="25"/>
  <c r="CU52" i="25"/>
  <c r="CX52" i="25"/>
  <c r="DA52" i="25"/>
  <c r="V53" i="25"/>
  <c r="W53" i="25"/>
  <c r="X53" i="25"/>
  <c r="AA53" i="25"/>
  <c r="AC53" i="25"/>
  <c r="AD53" i="25"/>
  <c r="AF53" i="25"/>
  <c r="AG53" i="25"/>
  <c r="AH53" i="25"/>
  <c r="AV53" i="25"/>
  <c r="AI53" i="25" s="1"/>
  <c r="AY53" i="25"/>
  <c r="BB53" i="25"/>
  <c r="BE53" i="25"/>
  <c r="BH53" i="25"/>
  <c r="BK53" i="25"/>
  <c r="BN53" i="25"/>
  <c r="BQ53" i="25"/>
  <c r="BT53" i="25"/>
  <c r="BW53" i="25"/>
  <c r="BZ53" i="25"/>
  <c r="CC53" i="25"/>
  <c r="CF53" i="25"/>
  <c r="CI53" i="25"/>
  <c r="CL53" i="25"/>
  <c r="CO53" i="25"/>
  <c r="CR53" i="25"/>
  <c r="CU53" i="25"/>
  <c r="CX53" i="25"/>
  <c r="DA53" i="25"/>
  <c r="V54" i="25"/>
  <c r="W54" i="25"/>
  <c r="X54" i="25"/>
  <c r="AA54" i="25"/>
  <c r="AB54" i="25"/>
  <c r="AC54" i="25"/>
  <c r="AD54" i="25"/>
  <c r="AE54" i="25"/>
  <c r="AF54" i="25"/>
  <c r="AG54" i="25"/>
  <c r="AH54" i="25"/>
  <c r="AV54" i="25"/>
  <c r="AI54" i="25" s="1"/>
  <c r="AY54" i="25"/>
  <c r="BB54" i="25"/>
  <c r="BE54" i="25"/>
  <c r="BH54" i="25"/>
  <c r="BK54" i="25"/>
  <c r="BN54" i="25"/>
  <c r="BQ54" i="25"/>
  <c r="BT54" i="25"/>
  <c r="BW54" i="25"/>
  <c r="BZ54" i="25"/>
  <c r="CC54" i="25"/>
  <c r="CF54" i="25"/>
  <c r="CI54" i="25"/>
  <c r="CL54" i="25"/>
  <c r="CO54" i="25"/>
  <c r="CR54" i="25"/>
  <c r="CU54" i="25"/>
  <c r="CX54" i="25"/>
  <c r="DA54" i="25"/>
  <c r="V55" i="25"/>
  <c r="W55" i="25"/>
  <c r="X55" i="25"/>
  <c r="AA55" i="25"/>
  <c r="AB55" i="25"/>
  <c r="AC55" i="25"/>
  <c r="AD55" i="25"/>
  <c r="AE55" i="25"/>
  <c r="AF55" i="25"/>
  <c r="AG55" i="25"/>
  <c r="AH55" i="25"/>
  <c r="AV55" i="25"/>
  <c r="AI55" i="25" s="1"/>
  <c r="AY55" i="25"/>
  <c r="BB55" i="25"/>
  <c r="BE55" i="25"/>
  <c r="BH55" i="25"/>
  <c r="BK55" i="25"/>
  <c r="BN55" i="25"/>
  <c r="BQ55" i="25"/>
  <c r="BT55" i="25"/>
  <c r="BW55" i="25"/>
  <c r="BZ55" i="25"/>
  <c r="CC55" i="25"/>
  <c r="CF55" i="25"/>
  <c r="CI55" i="25"/>
  <c r="CL55" i="25"/>
  <c r="CO55" i="25"/>
  <c r="CR55" i="25"/>
  <c r="CU55" i="25"/>
  <c r="CX55" i="25"/>
  <c r="DA55" i="25"/>
  <c r="V56" i="25"/>
  <c r="W56" i="25"/>
  <c r="X56" i="25"/>
  <c r="AA56" i="25"/>
  <c r="AC56" i="25"/>
  <c r="AD56" i="25"/>
  <c r="AF56" i="25"/>
  <c r="AG56" i="25"/>
  <c r="AH56" i="25"/>
  <c r="AV56" i="25"/>
  <c r="AI56" i="25" s="1"/>
  <c r="AY56" i="25"/>
  <c r="BB56" i="25"/>
  <c r="BE56" i="25"/>
  <c r="BH56" i="25"/>
  <c r="BK56" i="25"/>
  <c r="BN56" i="25"/>
  <c r="BQ56" i="25"/>
  <c r="BT56" i="25"/>
  <c r="BW56" i="25"/>
  <c r="BZ56" i="25"/>
  <c r="CC56" i="25"/>
  <c r="CF56" i="25"/>
  <c r="CI56" i="25"/>
  <c r="CL56" i="25"/>
  <c r="CO56" i="25"/>
  <c r="CR56" i="25"/>
  <c r="CU56" i="25"/>
  <c r="CX56" i="25"/>
  <c r="DA56" i="25"/>
  <c r="V57" i="25"/>
  <c r="W57" i="25"/>
  <c r="X57" i="25"/>
  <c r="AA57" i="25"/>
  <c r="AB57" i="25"/>
  <c r="AC57" i="25"/>
  <c r="AD57" i="25"/>
  <c r="AE57" i="25"/>
  <c r="AF57" i="25"/>
  <c r="AG57" i="25"/>
  <c r="AH57" i="25"/>
  <c r="AV57" i="25"/>
  <c r="AI57" i="25" s="1"/>
  <c r="AY57" i="25"/>
  <c r="BB57" i="25"/>
  <c r="BE57" i="25"/>
  <c r="BH57" i="25"/>
  <c r="BK57" i="25"/>
  <c r="BN57" i="25"/>
  <c r="BQ57" i="25"/>
  <c r="BT57" i="25"/>
  <c r="BW57" i="25"/>
  <c r="BZ57" i="25"/>
  <c r="CC57" i="25"/>
  <c r="CF57" i="25"/>
  <c r="CI57" i="25"/>
  <c r="CL57" i="25"/>
  <c r="CO57" i="25"/>
  <c r="CR57" i="25"/>
  <c r="CU57" i="25"/>
  <c r="CX57" i="25"/>
  <c r="DA57" i="25"/>
  <c r="V58" i="25"/>
  <c r="W58" i="25"/>
  <c r="X58" i="25"/>
  <c r="AA58" i="25"/>
  <c r="AH58" i="25"/>
  <c r="AV58" i="25"/>
  <c r="AI58" i="25" s="1"/>
  <c r="AY58" i="25"/>
  <c r="BB58" i="25"/>
  <c r="BE58" i="25"/>
  <c r="BH58" i="25"/>
  <c r="BK58" i="25"/>
  <c r="BN58" i="25"/>
  <c r="BQ58" i="25"/>
  <c r="BT58" i="25"/>
  <c r="BW58" i="25"/>
  <c r="BZ58" i="25"/>
  <c r="CC58" i="25"/>
  <c r="CF58" i="25"/>
  <c r="CI58" i="25"/>
  <c r="CL58" i="25"/>
  <c r="CO58" i="25"/>
  <c r="CR58" i="25"/>
  <c r="CU58" i="25"/>
  <c r="CX58" i="25"/>
  <c r="DA58" i="25"/>
  <c r="V59" i="25"/>
  <c r="W59" i="25"/>
  <c r="X59" i="25"/>
  <c r="AA59" i="25"/>
  <c r="AC59" i="25"/>
  <c r="AD59" i="25"/>
  <c r="AF59" i="25"/>
  <c r="AG59" i="25"/>
  <c r="AH59" i="25"/>
  <c r="AV59" i="25"/>
  <c r="AI59" i="25" s="1"/>
  <c r="AY59" i="25"/>
  <c r="BB59" i="25"/>
  <c r="BE59" i="25"/>
  <c r="BH59" i="25"/>
  <c r="BK59" i="25"/>
  <c r="BN59" i="25"/>
  <c r="BQ59" i="25"/>
  <c r="BT59" i="25"/>
  <c r="BW59" i="25"/>
  <c r="BZ59" i="25"/>
  <c r="CC59" i="25"/>
  <c r="CF59" i="25"/>
  <c r="CI59" i="25"/>
  <c r="CL59" i="25"/>
  <c r="CO59" i="25"/>
  <c r="CR59" i="25"/>
  <c r="CU59" i="25"/>
  <c r="CX59" i="25"/>
  <c r="DA59" i="25"/>
  <c r="V60" i="25"/>
  <c r="W60" i="25"/>
  <c r="X60" i="25"/>
  <c r="AA60" i="25"/>
  <c r="AB60" i="25"/>
  <c r="AC60" i="25"/>
  <c r="AD60" i="25"/>
  <c r="AE60" i="25"/>
  <c r="AF60" i="25"/>
  <c r="AG60" i="25"/>
  <c r="AH60" i="25"/>
  <c r="AV60" i="25"/>
  <c r="AI60" i="25" s="1"/>
  <c r="AY60" i="25"/>
  <c r="BB60" i="25"/>
  <c r="BE60" i="25"/>
  <c r="BH60" i="25"/>
  <c r="BK60" i="25"/>
  <c r="BN60" i="25"/>
  <c r="BQ60" i="25"/>
  <c r="BT60" i="25"/>
  <c r="BW60" i="25"/>
  <c r="BZ60" i="25"/>
  <c r="CC60" i="25"/>
  <c r="CF60" i="25"/>
  <c r="CI60" i="25"/>
  <c r="CL60" i="25"/>
  <c r="CO60" i="25"/>
  <c r="CR60" i="25"/>
  <c r="CU60" i="25"/>
  <c r="CX60" i="25"/>
  <c r="CY60" i="25"/>
  <c r="DA60" i="25"/>
  <c r="V61" i="25"/>
  <c r="W61" i="25"/>
  <c r="X61" i="25"/>
  <c r="AA61" i="25"/>
  <c r="AH61" i="25"/>
  <c r="AV61" i="25"/>
  <c r="AY61" i="25"/>
  <c r="BB61" i="25"/>
  <c r="BE61" i="25"/>
  <c r="BH61" i="25"/>
  <c r="BK61" i="25"/>
  <c r="BN61" i="25"/>
  <c r="BQ61" i="25"/>
  <c r="BT61" i="25"/>
  <c r="BW61" i="25"/>
  <c r="BZ61" i="25"/>
  <c r="CC61" i="25"/>
  <c r="CF61" i="25"/>
  <c r="CI61" i="25"/>
  <c r="CL61" i="25"/>
  <c r="CO61" i="25"/>
  <c r="CR61" i="25"/>
  <c r="CU61" i="25"/>
  <c r="CX61" i="25"/>
  <c r="DA61" i="25"/>
  <c r="V62" i="25"/>
  <c r="W62" i="25"/>
  <c r="X62" i="25"/>
  <c r="AA62" i="25"/>
  <c r="AD62" i="25"/>
  <c r="AG62" i="25"/>
  <c r="AH62" i="25"/>
  <c r="AV62" i="25"/>
  <c r="AY62" i="25"/>
  <c r="BB62" i="25"/>
  <c r="BE62" i="25"/>
  <c r="BH62" i="25"/>
  <c r="BK62" i="25"/>
  <c r="BN62" i="25"/>
  <c r="BQ62" i="25"/>
  <c r="BT62" i="25"/>
  <c r="BW62" i="25"/>
  <c r="BZ62" i="25"/>
  <c r="CC62" i="25"/>
  <c r="CF62" i="25"/>
  <c r="CI62" i="25"/>
  <c r="CL62" i="25"/>
  <c r="CO62" i="25"/>
  <c r="CR62" i="25"/>
  <c r="CU62" i="25"/>
  <c r="CX62" i="25"/>
  <c r="DA62" i="25"/>
  <c r="V63" i="25"/>
  <c r="W63" i="25"/>
  <c r="X63" i="25"/>
  <c r="AA63" i="25"/>
  <c r="AB63" i="25"/>
  <c r="AC63" i="25"/>
  <c r="AD63" i="25"/>
  <c r="AE63" i="25"/>
  <c r="AF63" i="25"/>
  <c r="AG63" i="25"/>
  <c r="AH63" i="25"/>
  <c r="AV63" i="25"/>
  <c r="AY63" i="25"/>
  <c r="BB63" i="25"/>
  <c r="BE63" i="25"/>
  <c r="BH63" i="25"/>
  <c r="BK63" i="25"/>
  <c r="BN63" i="25"/>
  <c r="BQ63" i="25"/>
  <c r="BT63" i="25"/>
  <c r="BW63" i="25"/>
  <c r="BZ63" i="25"/>
  <c r="CC63" i="25"/>
  <c r="CF63" i="25"/>
  <c r="CI63" i="25"/>
  <c r="CL63" i="25"/>
  <c r="CO63" i="25"/>
  <c r="CR63" i="25"/>
  <c r="CU63" i="25"/>
  <c r="CX63" i="25"/>
  <c r="DA63" i="25"/>
  <c r="V64" i="25"/>
  <c r="W64" i="25"/>
  <c r="X64" i="25"/>
  <c r="AA64" i="25"/>
  <c r="AC64" i="25"/>
  <c r="AD64" i="25"/>
  <c r="AF64" i="25"/>
  <c r="AG64" i="25"/>
  <c r="AH64" i="25"/>
  <c r="AV64" i="25"/>
  <c r="AI64" i="25" s="1"/>
  <c r="AY64" i="25"/>
  <c r="BB64" i="25"/>
  <c r="BE64" i="25"/>
  <c r="BH64" i="25"/>
  <c r="BK64" i="25"/>
  <c r="BN64" i="25"/>
  <c r="BQ64" i="25"/>
  <c r="BT64" i="25"/>
  <c r="BW64" i="25"/>
  <c r="BZ64" i="25"/>
  <c r="CC64" i="25"/>
  <c r="CF64" i="25"/>
  <c r="CI64" i="25"/>
  <c r="CL64" i="25"/>
  <c r="CO64" i="25"/>
  <c r="CR64" i="25"/>
  <c r="CU64" i="25"/>
  <c r="CX64" i="25"/>
  <c r="DA64" i="25"/>
  <c r="V65" i="25"/>
  <c r="W65" i="25"/>
  <c r="X65" i="25"/>
  <c r="AA65" i="25"/>
  <c r="AC65" i="25"/>
  <c r="AD65" i="25"/>
  <c r="AF65" i="25"/>
  <c r="AG65" i="25"/>
  <c r="AH65" i="25"/>
  <c r="AV65" i="25"/>
  <c r="AI65" i="25" s="1"/>
  <c r="AY65" i="25"/>
  <c r="BB65" i="25"/>
  <c r="BE65" i="25"/>
  <c r="BH65" i="25"/>
  <c r="BK65" i="25"/>
  <c r="BN65" i="25"/>
  <c r="BQ65" i="25"/>
  <c r="BT65" i="25"/>
  <c r="BW65" i="25"/>
  <c r="BZ65" i="25"/>
  <c r="CC65" i="25"/>
  <c r="CF65" i="25"/>
  <c r="CI65" i="25"/>
  <c r="CL65" i="25"/>
  <c r="CO65" i="25"/>
  <c r="CR65" i="25"/>
  <c r="CU65" i="25"/>
  <c r="CX65" i="25"/>
  <c r="DA65" i="25"/>
  <c r="V66" i="25"/>
  <c r="W66" i="25"/>
  <c r="X66" i="25"/>
  <c r="AA66" i="25"/>
  <c r="AB66" i="25"/>
  <c r="AC66" i="25"/>
  <c r="AD66" i="25"/>
  <c r="AE66" i="25"/>
  <c r="AF66" i="25"/>
  <c r="AG66" i="25"/>
  <c r="AH66" i="25"/>
  <c r="AV66" i="25"/>
  <c r="AI66" i="25" s="1"/>
  <c r="AY66" i="25"/>
  <c r="BB66" i="25"/>
  <c r="BE66" i="25"/>
  <c r="BH66" i="25"/>
  <c r="BK66" i="25"/>
  <c r="BN66" i="25"/>
  <c r="BQ66" i="25"/>
  <c r="BT66" i="25"/>
  <c r="BW66" i="25"/>
  <c r="BZ66" i="25"/>
  <c r="CC66" i="25"/>
  <c r="CF66" i="25"/>
  <c r="CI66" i="25"/>
  <c r="CL66" i="25"/>
  <c r="CO66" i="25"/>
  <c r="CR66" i="25"/>
  <c r="CU66" i="25"/>
  <c r="CX66" i="25"/>
  <c r="DA66" i="25"/>
  <c r="V67" i="25"/>
  <c r="W67" i="25"/>
  <c r="X67" i="25"/>
  <c r="AA67" i="25"/>
  <c r="AC67" i="25"/>
  <c r="AD67" i="25"/>
  <c r="AF67" i="25"/>
  <c r="AG67" i="25"/>
  <c r="AH67" i="25"/>
  <c r="AV67" i="25"/>
  <c r="AI67" i="25" s="1"/>
  <c r="AY67" i="25"/>
  <c r="BB67" i="25"/>
  <c r="BE67" i="25"/>
  <c r="BH67" i="25"/>
  <c r="BK67" i="25"/>
  <c r="BN67" i="25"/>
  <c r="BQ67" i="25"/>
  <c r="BT67" i="25"/>
  <c r="BW67" i="25"/>
  <c r="BZ67" i="25"/>
  <c r="CC67" i="25"/>
  <c r="CF67" i="25"/>
  <c r="CI67" i="25"/>
  <c r="CL67" i="25"/>
  <c r="CO67" i="25"/>
  <c r="CR67" i="25"/>
  <c r="CU67" i="25"/>
  <c r="CX67" i="25"/>
  <c r="DA67" i="25"/>
  <c r="V68" i="25"/>
  <c r="W68" i="25"/>
  <c r="X68" i="25"/>
  <c r="AA68" i="25"/>
  <c r="AD68" i="25"/>
  <c r="AG68" i="25"/>
  <c r="AH68" i="25"/>
  <c r="AV68" i="25"/>
  <c r="AI68" i="25" s="1"/>
  <c r="AY68" i="25"/>
  <c r="BB68" i="25"/>
  <c r="BE68" i="25"/>
  <c r="BH68" i="25"/>
  <c r="BK68" i="25"/>
  <c r="BN68" i="25"/>
  <c r="BQ68" i="25"/>
  <c r="BT68" i="25"/>
  <c r="BW68" i="25"/>
  <c r="BZ68" i="25"/>
  <c r="CC68" i="25"/>
  <c r="CF68" i="25"/>
  <c r="CI68" i="25"/>
  <c r="CL68" i="25"/>
  <c r="CO68" i="25"/>
  <c r="CR68" i="25"/>
  <c r="CU68" i="25"/>
  <c r="CX68" i="25"/>
  <c r="DA68" i="25"/>
  <c r="V69" i="25"/>
  <c r="W69" i="25"/>
  <c r="X69" i="25"/>
  <c r="AA69" i="25"/>
  <c r="AH69" i="25"/>
  <c r="AV69" i="25"/>
  <c r="AI69" i="25" s="1"/>
  <c r="AY69" i="25"/>
  <c r="BB69" i="25"/>
  <c r="BE69" i="25"/>
  <c r="BH69" i="25"/>
  <c r="BK69" i="25"/>
  <c r="BN69" i="25"/>
  <c r="BQ69" i="25"/>
  <c r="BT69" i="25"/>
  <c r="BW69" i="25"/>
  <c r="BZ69" i="25"/>
  <c r="CC69" i="25"/>
  <c r="CF69" i="25"/>
  <c r="CI69" i="25"/>
  <c r="CL69" i="25"/>
  <c r="CO69" i="25"/>
  <c r="CR69" i="25"/>
  <c r="CU69" i="25"/>
  <c r="CX69" i="25"/>
  <c r="DA69" i="25"/>
  <c r="V70" i="25"/>
  <c r="W70" i="25"/>
  <c r="X70" i="25"/>
  <c r="AA70" i="25"/>
  <c r="AH70" i="25"/>
  <c r="AV70" i="25"/>
  <c r="AI70" i="25" s="1"/>
  <c r="AY70" i="25"/>
  <c r="BB70" i="25"/>
  <c r="BE70" i="25"/>
  <c r="BH70" i="25"/>
  <c r="BK70" i="25"/>
  <c r="BN70" i="25"/>
  <c r="BQ70" i="25"/>
  <c r="BT70" i="25"/>
  <c r="BW70" i="25"/>
  <c r="BZ70" i="25"/>
  <c r="CC70" i="25"/>
  <c r="CF70" i="25"/>
  <c r="CI70" i="25"/>
  <c r="CL70" i="25"/>
  <c r="CO70" i="25"/>
  <c r="CR70" i="25"/>
  <c r="CU70" i="25"/>
  <c r="CX70" i="25"/>
  <c r="DA70" i="25"/>
  <c r="V71" i="25"/>
  <c r="W71" i="25"/>
  <c r="X71" i="25"/>
  <c r="AA71" i="25"/>
  <c r="AC71" i="25"/>
  <c r="AD71" i="25"/>
  <c r="AF71" i="25"/>
  <c r="AG71" i="25"/>
  <c r="AH71" i="25"/>
  <c r="AV71" i="25"/>
  <c r="AI71" i="25" s="1"/>
  <c r="AY71" i="25"/>
  <c r="BB71" i="25"/>
  <c r="BE71" i="25"/>
  <c r="BH71" i="25"/>
  <c r="BK71" i="25"/>
  <c r="BN71" i="25"/>
  <c r="BQ71" i="25"/>
  <c r="BT71" i="25"/>
  <c r="BW71" i="25"/>
  <c r="BZ71" i="25"/>
  <c r="CC71" i="25"/>
  <c r="CF71" i="25"/>
  <c r="CI71" i="25"/>
  <c r="CL71" i="25"/>
  <c r="CO71" i="25"/>
  <c r="CR71" i="25"/>
  <c r="CU71" i="25"/>
  <c r="CX71" i="25"/>
  <c r="DA71" i="25"/>
  <c r="V72" i="25"/>
  <c r="W72" i="25"/>
  <c r="X72" i="25"/>
  <c r="AA72" i="25"/>
  <c r="AD72" i="25"/>
  <c r="AG72" i="25"/>
  <c r="AH72" i="25"/>
  <c r="AV72" i="25"/>
  <c r="AI72" i="25" s="1"/>
  <c r="AY72" i="25"/>
  <c r="BB72" i="25"/>
  <c r="BE72" i="25"/>
  <c r="BH72" i="25"/>
  <c r="BK72" i="25"/>
  <c r="BN72" i="25"/>
  <c r="BQ72" i="25"/>
  <c r="BT72" i="25"/>
  <c r="BW72" i="25"/>
  <c r="BZ72" i="25"/>
  <c r="CC72" i="25"/>
  <c r="CF72" i="25"/>
  <c r="CI72" i="25"/>
  <c r="CL72" i="25"/>
  <c r="CO72" i="25"/>
  <c r="CR72" i="25"/>
  <c r="CU72" i="25"/>
  <c r="CX72" i="25"/>
  <c r="DA72" i="25"/>
  <c r="V73" i="25"/>
  <c r="W73" i="25"/>
  <c r="X73" i="25"/>
  <c r="AA73" i="25"/>
  <c r="AD73" i="25"/>
  <c r="AG73" i="25"/>
  <c r="AH73" i="25"/>
  <c r="AV73" i="25"/>
  <c r="AI73" i="25" s="1"/>
  <c r="AY73" i="25"/>
  <c r="BB73" i="25"/>
  <c r="BE73" i="25"/>
  <c r="BH73" i="25"/>
  <c r="BK73" i="25"/>
  <c r="BN73" i="25"/>
  <c r="BQ73" i="25"/>
  <c r="BT73" i="25"/>
  <c r="BW73" i="25"/>
  <c r="BZ73" i="25"/>
  <c r="CC73" i="25"/>
  <c r="CF73" i="25"/>
  <c r="CI73" i="25"/>
  <c r="CL73" i="25"/>
  <c r="CO73" i="25"/>
  <c r="CR73" i="25"/>
  <c r="CU73" i="25"/>
  <c r="CX73" i="25"/>
  <c r="DA73" i="25"/>
  <c r="V74" i="25"/>
  <c r="W74" i="25"/>
  <c r="X74" i="25"/>
  <c r="AA74" i="25"/>
  <c r="AC74" i="25"/>
  <c r="AD74" i="25"/>
  <c r="AF74" i="25"/>
  <c r="AG74" i="25"/>
  <c r="AH74" i="25"/>
  <c r="AV74" i="25"/>
  <c r="AI74" i="25" s="1"/>
  <c r="AY74" i="25"/>
  <c r="BB74" i="25"/>
  <c r="BE74" i="25"/>
  <c r="BH74" i="25"/>
  <c r="BK74" i="25"/>
  <c r="BN74" i="25"/>
  <c r="BQ74" i="25"/>
  <c r="BT74" i="25"/>
  <c r="BW74" i="25"/>
  <c r="BZ74" i="25"/>
  <c r="CC74" i="25"/>
  <c r="CF74" i="25"/>
  <c r="CI74" i="25"/>
  <c r="CL74" i="25"/>
  <c r="CO74" i="25"/>
  <c r="CR74" i="25"/>
  <c r="CU74" i="25"/>
  <c r="CX74" i="25"/>
  <c r="DA74" i="25"/>
  <c r="V75" i="25"/>
  <c r="W75" i="25"/>
  <c r="X75" i="25"/>
  <c r="AA75" i="25"/>
  <c r="AB75" i="25"/>
  <c r="AC75" i="25"/>
  <c r="AD75" i="25"/>
  <c r="AE75" i="25"/>
  <c r="AF75" i="25"/>
  <c r="AG75" i="25"/>
  <c r="AH75" i="25"/>
  <c r="AV75" i="25"/>
  <c r="AI75" i="25" s="1"/>
  <c r="AY75" i="25"/>
  <c r="BB75" i="25"/>
  <c r="BE75" i="25"/>
  <c r="BH75" i="25"/>
  <c r="BK75" i="25"/>
  <c r="BN75" i="25"/>
  <c r="BQ75" i="25"/>
  <c r="BT75" i="25"/>
  <c r="BW75" i="25"/>
  <c r="BZ75" i="25"/>
  <c r="CC75" i="25"/>
  <c r="CF75" i="25"/>
  <c r="CI75" i="25"/>
  <c r="CL75" i="25"/>
  <c r="CO75" i="25"/>
  <c r="CR75" i="25"/>
  <c r="CU75" i="25"/>
  <c r="CX75" i="25"/>
  <c r="DA75" i="25"/>
  <c r="V76" i="25"/>
  <c r="W76" i="25"/>
  <c r="X76" i="25"/>
  <c r="AA76" i="25"/>
  <c r="AB76" i="25"/>
  <c r="AC76" i="25"/>
  <c r="AD76" i="25"/>
  <c r="AE76" i="25"/>
  <c r="AF76" i="25"/>
  <c r="AG76" i="25"/>
  <c r="AH76" i="25"/>
  <c r="AV76" i="25"/>
  <c r="AY76" i="25"/>
  <c r="BB76" i="25"/>
  <c r="BE76" i="25"/>
  <c r="BH76" i="25"/>
  <c r="BK76" i="25"/>
  <c r="BN76" i="25"/>
  <c r="BQ76" i="25"/>
  <c r="BT76" i="25"/>
  <c r="BW76" i="25"/>
  <c r="BZ76" i="25"/>
  <c r="CC76" i="25"/>
  <c r="CF76" i="25"/>
  <c r="CI76" i="25"/>
  <c r="CL76" i="25"/>
  <c r="CO76" i="25"/>
  <c r="CR76" i="25"/>
  <c r="CU76" i="25"/>
  <c r="CX76" i="25"/>
  <c r="DA76" i="25"/>
  <c r="V77" i="25"/>
  <c r="W77" i="25"/>
  <c r="X77" i="25"/>
  <c r="AA77" i="25"/>
  <c r="AB77" i="25"/>
  <c r="AC77" i="25"/>
  <c r="AD77" i="25"/>
  <c r="AE77" i="25"/>
  <c r="AF77" i="25"/>
  <c r="AG77" i="25"/>
  <c r="AH77" i="25"/>
  <c r="AV77" i="25"/>
  <c r="AY77" i="25"/>
  <c r="BB77" i="25"/>
  <c r="BE77" i="25"/>
  <c r="BH77" i="25"/>
  <c r="BK77" i="25"/>
  <c r="BN77" i="25"/>
  <c r="BQ77" i="25"/>
  <c r="BT77" i="25"/>
  <c r="BW77" i="25"/>
  <c r="BZ77" i="25"/>
  <c r="CC77" i="25"/>
  <c r="CF77" i="25"/>
  <c r="CI77" i="25"/>
  <c r="CL77" i="25"/>
  <c r="CO77" i="25"/>
  <c r="CR77" i="25"/>
  <c r="CU77" i="25"/>
  <c r="CX77" i="25"/>
  <c r="DA77" i="25"/>
  <c r="V78" i="25"/>
  <c r="W78" i="25"/>
  <c r="X78" i="25"/>
  <c r="AA78" i="25"/>
  <c r="AB78" i="25"/>
  <c r="AC78" i="25"/>
  <c r="AD78" i="25"/>
  <c r="AE78" i="25"/>
  <c r="AF78" i="25"/>
  <c r="AG78" i="25"/>
  <c r="AH78" i="25"/>
  <c r="AV78" i="25"/>
  <c r="AY78" i="25"/>
  <c r="BB78" i="25"/>
  <c r="BE78" i="25"/>
  <c r="BH78" i="25"/>
  <c r="BK78" i="25"/>
  <c r="BN78" i="25"/>
  <c r="BQ78" i="25"/>
  <c r="BT78" i="25"/>
  <c r="BW78" i="25"/>
  <c r="BZ78" i="25"/>
  <c r="CC78" i="25"/>
  <c r="CF78" i="25"/>
  <c r="CI78" i="25"/>
  <c r="CL78" i="25"/>
  <c r="CO78" i="25"/>
  <c r="CR78" i="25"/>
  <c r="CU78" i="25"/>
  <c r="CX78" i="25"/>
  <c r="DA78" i="25"/>
  <c r="V79" i="25"/>
  <c r="W79" i="25"/>
  <c r="X79" i="25"/>
  <c r="AA79" i="25"/>
  <c r="AB79" i="25"/>
  <c r="AC79" i="25"/>
  <c r="AD79" i="25"/>
  <c r="AE79" i="25"/>
  <c r="AF79" i="25"/>
  <c r="AG79" i="25"/>
  <c r="AH79" i="25"/>
  <c r="AV79" i="25"/>
  <c r="AI79" i="25" s="1"/>
  <c r="AY79" i="25"/>
  <c r="BB79" i="25"/>
  <c r="BE79" i="25"/>
  <c r="BH79" i="25"/>
  <c r="BK79" i="25"/>
  <c r="BN79" i="25"/>
  <c r="BQ79" i="25"/>
  <c r="BT79" i="25"/>
  <c r="BW79" i="25"/>
  <c r="BZ79" i="25"/>
  <c r="CC79" i="25"/>
  <c r="CF79" i="25"/>
  <c r="CI79" i="25"/>
  <c r="CL79" i="25"/>
  <c r="CO79" i="25"/>
  <c r="CR79" i="25"/>
  <c r="CU79" i="25"/>
  <c r="CX79" i="25"/>
  <c r="DA79" i="25"/>
  <c r="V80" i="25"/>
  <c r="W80" i="25"/>
  <c r="X80" i="25"/>
  <c r="AA80" i="25"/>
  <c r="AH80" i="25"/>
  <c r="AV80" i="25"/>
  <c r="AI80" i="25" s="1"/>
  <c r="AY80" i="25"/>
  <c r="BB80" i="25"/>
  <c r="BE80" i="25"/>
  <c r="BH80" i="25"/>
  <c r="BK80" i="25"/>
  <c r="BN80" i="25"/>
  <c r="BQ80" i="25"/>
  <c r="BT80" i="25"/>
  <c r="BW80" i="25"/>
  <c r="BZ80" i="25"/>
  <c r="CC80" i="25"/>
  <c r="CF80" i="25"/>
  <c r="CI80" i="25"/>
  <c r="CL80" i="25"/>
  <c r="CO80" i="25"/>
  <c r="CR80" i="25"/>
  <c r="CU80" i="25"/>
  <c r="CX80" i="25"/>
  <c r="DA80" i="25"/>
  <c r="V81" i="25"/>
  <c r="W81" i="25"/>
  <c r="X81" i="25"/>
  <c r="AA81" i="25"/>
  <c r="AH81" i="25"/>
  <c r="AV81" i="25"/>
  <c r="AI81" i="25" s="1"/>
  <c r="AY81" i="25"/>
  <c r="BB81" i="25"/>
  <c r="BE81" i="25"/>
  <c r="BH81" i="25"/>
  <c r="BK81" i="25"/>
  <c r="BN81" i="25"/>
  <c r="BQ81" i="25"/>
  <c r="BT81" i="25"/>
  <c r="BW81" i="25"/>
  <c r="BZ81" i="25"/>
  <c r="CC81" i="25"/>
  <c r="CF81" i="25"/>
  <c r="CI81" i="25"/>
  <c r="CL81" i="25"/>
  <c r="CO81" i="25"/>
  <c r="CR81" i="25"/>
  <c r="CU81" i="25"/>
  <c r="CX81" i="25"/>
  <c r="DA81" i="25"/>
  <c r="V82" i="25"/>
  <c r="W82" i="25"/>
  <c r="X82" i="25"/>
  <c r="AA82" i="25"/>
  <c r="AH82" i="25"/>
  <c r="AV82" i="25"/>
  <c r="AI82" i="25" s="1"/>
  <c r="AY82" i="25"/>
  <c r="BB82" i="25"/>
  <c r="BE82" i="25"/>
  <c r="BH82" i="25"/>
  <c r="BK82" i="25"/>
  <c r="BN82" i="25"/>
  <c r="BQ82" i="25"/>
  <c r="BT82" i="25"/>
  <c r="BW82" i="25"/>
  <c r="BZ82" i="25"/>
  <c r="CC82" i="25"/>
  <c r="CF82" i="25"/>
  <c r="CI82" i="25"/>
  <c r="CL82" i="25"/>
  <c r="CO82" i="25"/>
  <c r="CR82" i="25"/>
  <c r="CU82" i="25"/>
  <c r="CX82" i="25"/>
  <c r="DA82" i="25"/>
  <c r="V83" i="25"/>
  <c r="W83" i="25"/>
  <c r="X83" i="25"/>
  <c r="AA83" i="25"/>
  <c r="AD83" i="25"/>
  <c r="AG83" i="25"/>
  <c r="AH83" i="25"/>
  <c r="AV83" i="25"/>
  <c r="AI83" i="25" s="1"/>
  <c r="AY83" i="25"/>
  <c r="BB83" i="25"/>
  <c r="BE83" i="25"/>
  <c r="BH83" i="25"/>
  <c r="BK83" i="25"/>
  <c r="BN83" i="25"/>
  <c r="BQ83" i="25"/>
  <c r="BT83" i="25"/>
  <c r="BW83" i="25"/>
  <c r="BZ83" i="25"/>
  <c r="CC83" i="25"/>
  <c r="CF83" i="25"/>
  <c r="CI83" i="25"/>
  <c r="CL83" i="25"/>
  <c r="CO83" i="25"/>
  <c r="CR83" i="25"/>
  <c r="CU83" i="25"/>
  <c r="CX83" i="25"/>
  <c r="DA83" i="25"/>
  <c r="V84" i="25"/>
  <c r="W84" i="25"/>
  <c r="X84" i="25"/>
  <c r="AA84" i="25"/>
  <c r="AB84" i="25"/>
  <c r="AC84" i="25"/>
  <c r="AD84" i="25"/>
  <c r="AE84" i="25"/>
  <c r="AF84" i="25"/>
  <c r="AG84" i="25"/>
  <c r="AH84" i="25"/>
  <c r="AV84" i="25"/>
  <c r="AI84" i="25" s="1"/>
  <c r="AY84" i="25"/>
  <c r="BB84" i="25"/>
  <c r="BE84" i="25"/>
  <c r="BH84" i="25"/>
  <c r="BK84" i="25"/>
  <c r="BN84" i="25"/>
  <c r="BQ84" i="25"/>
  <c r="BT84" i="25"/>
  <c r="BW84" i="25"/>
  <c r="BZ84" i="25"/>
  <c r="CC84" i="25"/>
  <c r="CF84" i="25"/>
  <c r="CI84" i="25"/>
  <c r="CL84" i="25"/>
  <c r="CO84" i="25"/>
  <c r="CR84" i="25"/>
  <c r="CU84" i="25"/>
  <c r="CX84" i="25"/>
  <c r="DA84" i="25"/>
  <c r="V85" i="25"/>
  <c r="W85" i="25"/>
  <c r="X85" i="25"/>
  <c r="AA85" i="25"/>
  <c r="AD85" i="25"/>
  <c r="AG85" i="25"/>
  <c r="AH85" i="25"/>
  <c r="AV85" i="25"/>
  <c r="AI85" i="25" s="1"/>
  <c r="AY85" i="25"/>
  <c r="BB85" i="25"/>
  <c r="BE85" i="25"/>
  <c r="BH85" i="25"/>
  <c r="BK85" i="25"/>
  <c r="BN85" i="25"/>
  <c r="BQ85" i="25"/>
  <c r="BT85" i="25"/>
  <c r="BW85" i="25"/>
  <c r="BZ85" i="25"/>
  <c r="CC85" i="25"/>
  <c r="CF85" i="25"/>
  <c r="CI85" i="25"/>
  <c r="CL85" i="25"/>
  <c r="CO85" i="25"/>
  <c r="CR85" i="25"/>
  <c r="CU85" i="25"/>
  <c r="CX85" i="25"/>
  <c r="DA85" i="25"/>
  <c r="V86" i="25"/>
  <c r="W86" i="25"/>
  <c r="X86" i="25"/>
  <c r="AA86" i="25"/>
  <c r="AD86" i="25"/>
  <c r="AG86" i="25"/>
  <c r="AH86" i="25"/>
  <c r="AV86" i="25"/>
  <c r="AI86" i="25" s="1"/>
  <c r="AY86" i="25"/>
  <c r="BB86" i="25"/>
  <c r="BE86" i="25"/>
  <c r="BH86" i="25"/>
  <c r="BK86" i="25"/>
  <c r="BN86" i="25"/>
  <c r="BQ86" i="25"/>
  <c r="BT86" i="25"/>
  <c r="BW86" i="25"/>
  <c r="BZ86" i="25"/>
  <c r="CC86" i="25"/>
  <c r="CF86" i="25"/>
  <c r="CI86" i="25"/>
  <c r="CL86" i="25"/>
  <c r="CO86" i="25"/>
  <c r="CR86" i="25"/>
  <c r="CU86" i="25"/>
  <c r="CX86" i="25"/>
  <c r="DA86" i="25"/>
  <c r="V87" i="25"/>
  <c r="W87" i="25"/>
  <c r="X87" i="25"/>
  <c r="AA87" i="25"/>
  <c r="AD87" i="25"/>
  <c r="AG87" i="25"/>
  <c r="AH87" i="25"/>
  <c r="AV87" i="25"/>
  <c r="AI87" i="25" s="1"/>
  <c r="AY87" i="25"/>
  <c r="BB87" i="25"/>
  <c r="BE87" i="25"/>
  <c r="BH87" i="25"/>
  <c r="BK87" i="25"/>
  <c r="BN87" i="25"/>
  <c r="BQ87" i="25"/>
  <c r="BT87" i="25"/>
  <c r="BW87" i="25"/>
  <c r="BZ87" i="25"/>
  <c r="CC87" i="25"/>
  <c r="CF87" i="25"/>
  <c r="CI87" i="25"/>
  <c r="CL87" i="25"/>
  <c r="CO87" i="25"/>
  <c r="CR87" i="25"/>
  <c r="CU87" i="25"/>
  <c r="CX87" i="25"/>
  <c r="DA87" i="25"/>
  <c r="V88" i="25"/>
  <c r="W88" i="25"/>
  <c r="X88" i="25"/>
  <c r="AA88" i="25"/>
  <c r="AD88" i="25"/>
  <c r="AG88" i="25"/>
  <c r="AH88" i="25"/>
  <c r="AV88" i="25"/>
  <c r="AI88" i="25" s="1"/>
  <c r="AY88" i="25"/>
  <c r="BB88" i="25"/>
  <c r="BE88" i="25"/>
  <c r="BH88" i="25"/>
  <c r="BK88" i="25"/>
  <c r="BN88" i="25"/>
  <c r="BQ88" i="25"/>
  <c r="BT88" i="25"/>
  <c r="BW88" i="25"/>
  <c r="BZ88" i="25"/>
  <c r="CC88" i="25"/>
  <c r="CF88" i="25"/>
  <c r="CI88" i="25"/>
  <c r="CL88" i="25"/>
  <c r="CO88" i="25"/>
  <c r="CR88" i="25"/>
  <c r="CU88" i="25"/>
  <c r="CX88" i="25"/>
  <c r="DA88" i="25"/>
  <c r="V89" i="25"/>
  <c r="W89" i="25"/>
  <c r="X89" i="25"/>
  <c r="AA89" i="25"/>
  <c r="AC89" i="25"/>
  <c r="AD89" i="25"/>
  <c r="AF89" i="25"/>
  <c r="AG89" i="25"/>
  <c r="AH89" i="25"/>
  <c r="AV89" i="25"/>
  <c r="AI89" i="25" s="1"/>
  <c r="AY89" i="25"/>
  <c r="BB89" i="25"/>
  <c r="BE89" i="25"/>
  <c r="BH89" i="25"/>
  <c r="BK89" i="25"/>
  <c r="BN89" i="25"/>
  <c r="BQ89" i="25"/>
  <c r="BT89" i="25"/>
  <c r="BW89" i="25"/>
  <c r="BZ89" i="25"/>
  <c r="CC89" i="25"/>
  <c r="CF89" i="25"/>
  <c r="CI89" i="25"/>
  <c r="CL89" i="25"/>
  <c r="CO89" i="25"/>
  <c r="CR89" i="25"/>
  <c r="CU89" i="25"/>
  <c r="CX89" i="25"/>
  <c r="DA89" i="25"/>
  <c r="V90" i="25"/>
  <c r="W90" i="25"/>
  <c r="X90" i="25"/>
  <c r="AA90" i="25"/>
  <c r="AC90" i="25"/>
  <c r="AD90" i="25"/>
  <c r="AF90" i="25"/>
  <c r="AG90" i="25"/>
  <c r="AH90" i="25"/>
  <c r="AV90" i="25"/>
  <c r="AY90" i="25"/>
  <c r="BB90" i="25"/>
  <c r="BE90" i="25"/>
  <c r="BH90" i="25"/>
  <c r="BK90" i="25"/>
  <c r="BN90" i="25"/>
  <c r="BQ90" i="25"/>
  <c r="BT90" i="25"/>
  <c r="BW90" i="25"/>
  <c r="BZ90" i="25"/>
  <c r="CC90" i="25"/>
  <c r="CF90" i="25"/>
  <c r="CI90" i="25"/>
  <c r="CL90" i="25"/>
  <c r="CO90" i="25"/>
  <c r="CR90" i="25"/>
  <c r="CU90" i="25"/>
  <c r="CX90" i="25"/>
  <c r="DA90" i="25"/>
  <c r="V91" i="25"/>
  <c r="W91" i="25"/>
  <c r="X91" i="25"/>
  <c r="AA91" i="25"/>
  <c r="AC91" i="25"/>
  <c r="AD91" i="25"/>
  <c r="AF91" i="25"/>
  <c r="AG91" i="25"/>
  <c r="AH91" i="25"/>
  <c r="AV91" i="25"/>
  <c r="AY91" i="25"/>
  <c r="BB91" i="25"/>
  <c r="BE91" i="25"/>
  <c r="BH91" i="25"/>
  <c r="BK91" i="25"/>
  <c r="BN91" i="25"/>
  <c r="BQ91" i="25"/>
  <c r="BT91" i="25"/>
  <c r="BW91" i="25"/>
  <c r="BZ91" i="25"/>
  <c r="CC91" i="25"/>
  <c r="CF91" i="25"/>
  <c r="CI91" i="25"/>
  <c r="CL91" i="25"/>
  <c r="CO91" i="25"/>
  <c r="CR91" i="25"/>
  <c r="CU91" i="25"/>
  <c r="CX91" i="25"/>
  <c r="DA91" i="25"/>
  <c r="V92" i="25"/>
  <c r="W92" i="25"/>
  <c r="X92" i="25"/>
  <c r="AA92" i="25"/>
  <c r="AD92" i="25"/>
  <c r="AG92" i="25"/>
  <c r="AH92" i="25"/>
  <c r="AV92" i="25"/>
  <c r="AY92" i="25"/>
  <c r="BB92" i="25"/>
  <c r="BE92" i="25"/>
  <c r="BH92" i="25"/>
  <c r="BK92" i="25"/>
  <c r="BN92" i="25"/>
  <c r="BQ92" i="25"/>
  <c r="BT92" i="25"/>
  <c r="BW92" i="25"/>
  <c r="BZ92" i="25"/>
  <c r="CC92" i="25"/>
  <c r="CF92" i="25"/>
  <c r="CI92" i="25"/>
  <c r="CL92" i="25"/>
  <c r="CO92" i="25"/>
  <c r="CR92" i="25"/>
  <c r="CU92" i="25"/>
  <c r="CX92" i="25"/>
  <c r="DA92" i="25"/>
  <c r="V93" i="25"/>
  <c r="W93" i="25"/>
  <c r="X93" i="25"/>
  <c r="AA93" i="25"/>
  <c r="AB93" i="25"/>
  <c r="AC93" i="25"/>
  <c r="AD93" i="25"/>
  <c r="AE93" i="25"/>
  <c r="AF93" i="25"/>
  <c r="AG93" i="25"/>
  <c r="AH93" i="25"/>
  <c r="AV93" i="25"/>
  <c r="AY93" i="25"/>
  <c r="BB93" i="25"/>
  <c r="BE93" i="25"/>
  <c r="BH93" i="25"/>
  <c r="BK93" i="25"/>
  <c r="BN93" i="25"/>
  <c r="BQ93" i="25"/>
  <c r="BT93" i="25"/>
  <c r="BW93" i="25"/>
  <c r="BZ93" i="25"/>
  <c r="CC93" i="25"/>
  <c r="CF93" i="25"/>
  <c r="CI93" i="25"/>
  <c r="CL93" i="25"/>
  <c r="CO93" i="25"/>
  <c r="CR93" i="25"/>
  <c r="CU93" i="25"/>
  <c r="CX93" i="25"/>
  <c r="DA93" i="25"/>
  <c r="V94" i="25"/>
  <c r="W94" i="25"/>
  <c r="X94" i="25"/>
  <c r="AA94" i="25"/>
  <c r="AB94" i="25"/>
  <c r="AC94" i="25"/>
  <c r="AD94" i="25"/>
  <c r="AE94" i="25"/>
  <c r="AF94" i="25"/>
  <c r="AG94" i="25"/>
  <c r="AH94" i="25"/>
  <c r="AV94" i="25"/>
  <c r="AI94" i="25" s="1"/>
  <c r="AY94" i="25"/>
  <c r="BB94" i="25"/>
  <c r="BE94" i="25"/>
  <c r="BH94" i="25"/>
  <c r="BK94" i="25"/>
  <c r="BN94" i="25"/>
  <c r="BQ94" i="25"/>
  <c r="BT94" i="25"/>
  <c r="BW94" i="25"/>
  <c r="BZ94" i="25"/>
  <c r="CC94" i="25"/>
  <c r="CF94" i="25"/>
  <c r="CI94" i="25"/>
  <c r="CL94" i="25"/>
  <c r="CO94" i="25"/>
  <c r="CR94" i="25"/>
  <c r="CU94" i="25"/>
  <c r="CX94" i="25"/>
  <c r="DA94" i="25"/>
  <c r="V95" i="25"/>
  <c r="W95" i="25"/>
  <c r="X95" i="25"/>
  <c r="AA95" i="25"/>
  <c r="AB95" i="25"/>
  <c r="AC95" i="25"/>
  <c r="AD95" i="25"/>
  <c r="AE95" i="25"/>
  <c r="AF95" i="25"/>
  <c r="AG95" i="25"/>
  <c r="AH95" i="25"/>
  <c r="AV95" i="25"/>
  <c r="AY95" i="25"/>
  <c r="BB95" i="25"/>
  <c r="BE95" i="25"/>
  <c r="BH95" i="25"/>
  <c r="BK95" i="25"/>
  <c r="BN95" i="25"/>
  <c r="BQ95" i="25"/>
  <c r="BT95" i="25"/>
  <c r="BW95" i="25"/>
  <c r="BZ95" i="25"/>
  <c r="CC95" i="25"/>
  <c r="CF95" i="25"/>
  <c r="CI95" i="25"/>
  <c r="CL95" i="25"/>
  <c r="CO95" i="25"/>
  <c r="CR95" i="25"/>
  <c r="CU95" i="25"/>
  <c r="CX95" i="25"/>
  <c r="DA95" i="25"/>
  <c r="V96" i="25"/>
  <c r="W96" i="25"/>
  <c r="X96" i="25"/>
  <c r="AA96" i="25"/>
  <c r="AB96" i="25"/>
  <c r="AC96" i="25"/>
  <c r="AD96" i="25"/>
  <c r="AE96" i="25"/>
  <c r="AF96" i="25"/>
  <c r="AG96" i="25"/>
  <c r="AH96" i="25"/>
  <c r="AV96" i="25"/>
  <c r="AI96" i="25" s="1"/>
  <c r="AY96" i="25"/>
  <c r="BB96" i="25"/>
  <c r="BE96" i="25"/>
  <c r="BH96" i="25"/>
  <c r="BK96" i="25"/>
  <c r="BN96" i="25"/>
  <c r="BQ96" i="25"/>
  <c r="BT96" i="25"/>
  <c r="BW96" i="25"/>
  <c r="BZ96" i="25"/>
  <c r="CC96" i="25"/>
  <c r="CF96" i="25"/>
  <c r="CI96" i="25"/>
  <c r="CL96" i="25"/>
  <c r="CO96" i="25"/>
  <c r="CR96" i="25"/>
  <c r="CU96" i="25"/>
  <c r="CX96" i="25"/>
  <c r="DA96" i="25"/>
  <c r="V97" i="25"/>
  <c r="W97" i="25"/>
  <c r="X97" i="25"/>
  <c r="AA97" i="25"/>
  <c r="AC97" i="25"/>
  <c r="AD97" i="25"/>
  <c r="AF97" i="25"/>
  <c r="AG97" i="25"/>
  <c r="AH97" i="25"/>
  <c r="AV97" i="25"/>
  <c r="AY97" i="25"/>
  <c r="BB97" i="25"/>
  <c r="BE97" i="25"/>
  <c r="BH97" i="25"/>
  <c r="BK97" i="25"/>
  <c r="BN97" i="25"/>
  <c r="BQ97" i="25"/>
  <c r="BT97" i="25"/>
  <c r="BW97" i="25"/>
  <c r="BZ97" i="25"/>
  <c r="CC97" i="25"/>
  <c r="CF97" i="25"/>
  <c r="CI97" i="25"/>
  <c r="CL97" i="25"/>
  <c r="CO97" i="25"/>
  <c r="CR97" i="25"/>
  <c r="CU97" i="25"/>
  <c r="CX97" i="25"/>
  <c r="DA97" i="25"/>
  <c r="V98" i="25"/>
  <c r="W98" i="25"/>
  <c r="X98" i="25"/>
  <c r="AA98" i="25"/>
  <c r="AC98" i="25"/>
  <c r="AD98" i="25"/>
  <c r="AF98" i="25"/>
  <c r="AG98" i="25"/>
  <c r="AH98" i="25"/>
  <c r="AV98" i="25"/>
  <c r="AI98" i="25" s="1"/>
  <c r="AY98" i="25"/>
  <c r="BB98" i="25"/>
  <c r="BE98" i="25"/>
  <c r="BH98" i="25"/>
  <c r="BK98" i="25"/>
  <c r="BN98" i="25"/>
  <c r="BQ98" i="25"/>
  <c r="BT98" i="25"/>
  <c r="BW98" i="25"/>
  <c r="BZ98" i="25"/>
  <c r="CC98" i="25"/>
  <c r="CF98" i="25"/>
  <c r="CI98" i="25"/>
  <c r="CL98" i="25"/>
  <c r="CO98" i="25"/>
  <c r="CR98" i="25"/>
  <c r="CU98" i="25"/>
  <c r="CX98" i="25"/>
  <c r="DA98" i="25"/>
  <c r="V99" i="25"/>
  <c r="W99" i="25"/>
  <c r="X99" i="25"/>
  <c r="AA99" i="25"/>
  <c r="AC99" i="25"/>
  <c r="AD99" i="25"/>
  <c r="AF99" i="25"/>
  <c r="AG99" i="25"/>
  <c r="AH99" i="25"/>
  <c r="AV99" i="25"/>
  <c r="AY99" i="25"/>
  <c r="BB99" i="25"/>
  <c r="BE99" i="25"/>
  <c r="BH99" i="25"/>
  <c r="BK99" i="25"/>
  <c r="BN99" i="25"/>
  <c r="BQ99" i="25"/>
  <c r="BT99" i="25"/>
  <c r="BW99" i="25"/>
  <c r="BZ99" i="25"/>
  <c r="CC99" i="25"/>
  <c r="CF99" i="25"/>
  <c r="CI99" i="25"/>
  <c r="CL99" i="25"/>
  <c r="CO99" i="25"/>
  <c r="CR99" i="25"/>
  <c r="CU99" i="25"/>
  <c r="CX99" i="25"/>
  <c r="DA99" i="25"/>
  <c r="V100" i="25"/>
  <c r="W100" i="25"/>
  <c r="X100" i="25"/>
  <c r="AA100" i="25"/>
  <c r="AD100" i="25"/>
  <c r="AG100" i="25"/>
  <c r="AH100" i="25"/>
  <c r="AV100" i="25"/>
  <c r="AI100" i="25" s="1"/>
  <c r="AY100" i="25"/>
  <c r="BB100" i="25"/>
  <c r="BE100" i="25"/>
  <c r="BH100" i="25"/>
  <c r="BK100" i="25"/>
  <c r="BN100" i="25"/>
  <c r="BQ100" i="25"/>
  <c r="BT100" i="25"/>
  <c r="BW100" i="25"/>
  <c r="BZ100" i="25"/>
  <c r="CC100" i="25"/>
  <c r="CF100" i="25"/>
  <c r="CI100" i="25"/>
  <c r="CL100" i="25"/>
  <c r="CO100" i="25"/>
  <c r="CR100" i="25"/>
  <c r="CU100" i="25"/>
  <c r="CX100" i="25"/>
  <c r="DA100" i="25"/>
  <c r="V101" i="25"/>
  <c r="W101" i="25"/>
  <c r="X101" i="25"/>
  <c r="AA101" i="25"/>
  <c r="AH101" i="25"/>
  <c r="AV101" i="25"/>
  <c r="AY101" i="25"/>
  <c r="BB101" i="25"/>
  <c r="BE101" i="25"/>
  <c r="BH101" i="25"/>
  <c r="BK101" i="25"/>
  <c r="BN101" i="25"/>
  <c r="BQ101" i="25"/>
  <c r="BT101" i="25"/>
  <c r="BW101" i="25"/>
  <c r="BZ101" i="25"/>
  <c r="CC101" i="25"/>
  <c r="CF101" i="25"/>
  <c r="CI101" i="25"/>
  <c r="CL101" i="25"/>
  <c r="CO101" i="25"/>
  <c r="CR101" i="25"/>
  <c r="CU101" i="25"/>
  <c r="CX101" i="25"/>
  <c r="DA101" i="25"/>
  <c r="V102" i="25"/>
  <c r="W102" i="25"/>
  <c r="X102" i="25"/>
  <c r="AA102" i="25"/>
  <c r="AC102" i="25"/>
  <c r="AD102" i="25"/>
  <c r="AF102" i="25"/>
  <c r="AG102" i="25"/>
  <c r="AH102" i="25"/>
  <c r="AV102" i="25"/>
  <c r="AI102" i="25" s="1"/>
  <c r="AY102" i="25"/>
  <c r="BB102" i="25"/>
  <c r="BE102" i="25"/>
  <c r="BH102" i="25"/>
  <c r="BK102" i="25"/>
  <c r="BN102" i="25"/>
  <c r="BQ102" i="25"/>
  <c r="BT102" i="25"/>
  <c r="BW102" i="25"/>
  <c r="BZ102" i="25"/>
  <c r="CC102" i="25"/>
  <c r="CF102" i="25"/>
  <c r="CI102" i="25"/>
  <c r="CL102" i="25"/>
  <c r="CO102" i="25"/>
  <c r="CR102" i="25"/>
  <c r="CU102" i="25"/>
  <c r="CX102" i="25"/>
  <c r="DA102" i="25"/>
  <c r="V103" i="25"/>
  <c r="W103" i="25"/>
  <c r="X103" i="25"/>
  <c r="AA103" i="25"/>
  <c r="AB103" i="25"/>
  <c r="AC103" i="25"/>
  <c r="AD103" i="25"/>
  <c r="AE103" i="25"/>
  <c r="AF103" i="25"/>
  <c r="AG103" i="25"/>
  <c r="AH103" i="25"/>
  <c r="AV103" i="25"/>
  <c r="AY103" i="25"/>
  <c r="BB103" i="25"/>
  <c r="BE103" i="25"/>
  <c r="BH103" i="25"/>
  <c r="BK103" i="25"/>
  <c r="BN103" i="25"/>
  <c r="BQ103" i="25"/>
  <c r="BT103" i="25"/>
  <c r="BW103" i="25"/>
  <c r="BZ103" i="25"/>
  <c r="CC103" i="25"/>
  <c r="CF103" i="25"/>
  <c r="CI103" i="25"/>
  <c r="CL103" i="25"/>
  <c r="CO103" i="25"/>
  <c r="CR103" i="25"/>
  <c r="CU103" i="25"/>
  <c r="CX103" i="25"/>
  <c r="DA103" i="25"/>
  <c r="V104" i="25"/>
  <c r="W104" i="25"/>
  <c r="X104" i="25"/>
  <c r="AA104" i="25"/>
  <c r="AB104" i="25"/>
  <c r="AC104" i="25"/>
  <c r="AD104" i="25"/>
  <c r="AE104" i="25"/>
  <c r="AF104" i="25"/>
  <c r="AG104" i="25"/>
  <c r="AH104" i="25"/>
  <c r="AV104" i="25"/>
  <c r="AI104" i="25" s="1"/>
  <c r="AY104" i="25"/>
  <c r="BB104" i="25"/>
  <c r="BE104" i="25"/>
  <c r="BH104" i="25"/>
  <c r="BK104" i="25"/>
  <c r="BN104" i="25"/>
  <c r="BQ104" i="25"/>
  <c r="BT104" i="25"/>
  <c r="BW104" i="25"/>
  <c r="BZ104" i="25"/>
  <c r="CC104" i="25"/>
  <c r="CF104" i="25"/>
  <c r="CI104" i="25"/>
  <c r="CL104" i="25"/>
  <c r="CO104" i="25"/>
  <c r="CR104" i="25"/>
  <c r="CU104" i="25"/>
  <c r="CX104" i="25"/>
  <c r="DA104" i="25"/>
  <c r="V105" i="25"/>
  <c r="W105" i="25"/>
  <c r="X105" i="25"/>
  <c r="AA105" i="25"/>
  <c r="AB105" i="25"/>
  <c r="AC105" i="25"/>
  <c r="AD105" i="25"/>
  <c r="AE105" i="25"/>
  <c r="AF105" i="25"/>
  <c r="AG105" i="25"/>
  <c r="AH105" i="25"/>
  <c r="AV105" i="25"/>
  <c r="AY105" i="25"/>
  <c r="BB105" i="25"/>
  <c r="BE105" i="25"/>
  <c r="BH105" i="25"/>
  <c r="BK105" i="25"/>
  <c r="BN105" i="25"/>
  <c r="BQ105" i="25"/>
  <c r="BT105" i="25"/>
  <c r="BW105" i="25"/>
  <c r="BZ105" i="25"/>
  <c r="CC105" i="25"/>
  <c r="CF105" i="25"/>
  <c r="CI105" i="25"/>
  <c r="CL105" i="25"/>
  <c r="CO105" i="25"/>
  <c r="CR105" i="25"/>
  <c r="CU105" i="25"/>
  <c r="CX105" i="25"/>
  <c r="DA105" i="25"/>
  <c r="V106" i="25"/>
  <c r="W106" i="25"/>
  <c r="X106" i="25"/>
  <c r="AA106" i="25"/>
  <c r="AB106" i="25"/>
  <c r="AC106" i="25"/>
  <c r="AD106" i="25"/>
  <c r="AE106" i="25"/>
  <c r="AF106" i="25"/>
  <c r="AG106" i="25"/>
  <c r="AH106" i="25"/>
  <c r="AV106" i="25"/>
  <c r="AI106" i="25" s="1"/>
  <c r="CY106" i="25" s="1"/>
  <c r="AY106" i="25"/>
  <c r="BB106" i="25"/>
  <c r="BE106" i="25"/>
  <c r="BH106" i="25"/>
  <c r="BK106" i="25"/>
  <c r="BN106" i="25"/>
  <c r="BQ106" i="25"/>
  <c r="BT106" i="25"/>
  <c r="BW106" i="25"/>
  <c r="BZ106" i="25"/>
  <c r="CC106" i="25"/>
  <c r="CF106" i="25"/>
  <c r="CI106" i="25"/>
  <c r="CL106" i="25"/>
  <c r="CO106" i="25"/>
  <c r="CR106" i="25"/>
  <c r="CU106" i="25"/>
  <c r="CX106" i="25"/>
  <c r="DA106" i="25"/>
  <c r="V107" i="25"/>
  <c r="W107" i="25"/>
  <c r="X107" i="25"/>
  <c r="AA107" i="25"/>
  <c r="AB107" i="25"/>
  <c r="AC107" i="25"/>
  <c r="AD107" i="25"/>
  <c r="AE107" i="25"/>
  <c r="AF107" i="25"/>
  <c r="AG107" i="25"/>
  <c r="AH107" i="25"/>
  <c r="AV107" i="25"/>
  <c r="AY107" i="25"/>
  <c r="BB107" i="25"/>
  <c r="BE107" i="25"/>
  <c r="BH107" i="25"/>
  <c r="BK107" i="25"/>
  <c r="BN107" i="25"/>
  <c r="BQ107" i="25"/>
  <c r="BT107" i="25"/>
  <c r="BW107" i="25"/>
  <c r="BZ107" i="25"/>
  <c r="CC107" i="25"/>
  <c r="CF107" i="25"/>
  <c r="CI107" i="25"/>
  <c r="CL107" i="25"/>
  <c r="CO107" i="25"/>
  <c r="CR107" i="25"/>
  <c r="CU107" i="25"/>
  <c r="CX107" i="25"/>
  <c r="DA107" i="25"/>
  <c r="V108" i="25"/>
  <c r="W108" i="25"/>
  <c r="X108" i="25"/>
  <c r="AA108" i="25"/>
  <c r="AB108" i="25"/>
  <c r="AC108" i="25"/>
  <c r="AD108" i="25"/>
  <c r="AE108" i="25"/>
  <c r="AF108" i="25"/>
  <c r="AG108" i="25"/>
  <c r="AH108" i="25"/>
  <c r="AV108" i="25"/>
  <c r="AI108" i="25" s="1"/>
  <c r="AY108" i="25"/>
  <c r="BB108" i="25"/>
  <c r="BE108" i="25"/>
  <c r="BH108" i="25"/>
  <c r="BK108" i="25"/>
  <c r="BN108" i="25"/>
  <c r="BQ108" i="25"/>
  <c r="BT108" i="25"/>
  <c r="BW108" i="25"/>
  <c r="BZ108" i="25"/>
  <c r="CC108" i="25"/>
  <c r="CF108" i="25"/>
  <c r="CI108" i="25"/>
  <c r="CL108" i="25"/>
  <c r="CO108" i="25"/>
  <c r="CR108" i="25"/>
  <c r="CU108" i="25"/>
  <c r="CX108" i="25"/>
  <c r="DA108" i="25"/>
  <c r="V109" i="25"/>
  <c r="W109" i="25"/>
  <c r="X109" i="25"/>
  <c r="AA109" i="25"/>
  <c r="AC109" i="25"/>
  <c r="AD109" i="25"/>
  <c r="AF109" i="25"/>
  <c r="AG109" i="25"/>
  <c r="AH109" i="25"/>
  <c r="AV109" i="25"/>
  <c r="AI109" i="25" s="1"/>
  <c r="AY109" i="25"/>
  <c r="BB109" i="25"/>
  <c r="BE109" i="25"/>
  <c r="BH109" i="25"/>
  <c r="BK109" i="25"/>
  <c r="BN109" i="25"/>
  <c r="BQ109" i="25"/>
  <c r="BT109" i="25"/>
  <c r="BW109" i="25"/>
  <c r="BZ109" i="25"/>
  <c r="CC109" i="25"/>
  <c r="CF109" i="25"/>
  <c r="CI109" i="25"/>
  <c r="CL109" i="25"/>
  <c r="CO109" i="25"/>
  <c r="CR109" i="25"/>
  <c r="CU109" i="25"/>
  <c r="CX109" i="25"/>
  <c r="DA109" i="25"/>
  <c r="V110" i="25"/>
  <c r="W110" i="25"/>
  <c r="X110" i="25"/>
  <c r="AA110" i="25"/>
  <c r="AH110" i="25"/>
  <c r="AV110" i="25"/>
  <c r="AI110" i="25" s="1"/>
  <c r="AY110" i="25"/>
  <c r="BB110" i="25"/>
  <c r="BE110" i="25"/>
  <c r="BH110" i="25"/>
  <c r="BK110" i="25"/>
  <c r="BN110" i="25"/>
  <c r="BQ110" i="25"/>
  <c r="BT110" i="25"/>
  <c r="BW110" i="25"/>
  <c r="BZ110" i="25"/>
  <c r="CC110" i="25"/>
  <c r="CF110" i="25"/>
  <c r="CI110" i="25"/>
  <c r="CL110" i="25"/>
  <c r="CO110" i="25"/>
  <c r="CR110" i="25"/>
  <c r="CU110" i="25"/>
  <c r="CX110" i="25"/>
  <c r="DA110" i="25"/>
  <c r="V111" i="25"/>
  <c r="W111" i="25"/>
  <c r="X111" i="25"/>
  <c r="AA111" i="25"/>
  <c r="AB111" i="25"/>
  <c r="AC111" i="25"/>
  <c r="AD111" i="25"/>
  <c r="AE111" i="25"/>
  <c r="AF111" i="25"/>
  <c r="AG111" i="25"/>
  <c r="AH111" i="25"/>
  <c r="AV111" i="25"/>
  <c r="AI111" i="25" s="1"/>
  <c r="AY111" i="25"/>
  <c r="BB111" i="25"/>
  <c r="BE111" i="25"/>
  <c r="BH111" i="25"/>
  <c r="BK111" i="25"/>
  <c r="BN111" i="25"/>
  <c r="BQ111" i="25"/>
  <c r="BT111" i="25"/>
  <c r="BW111" i="25"/>
  <c r="BZ111" i="25"/>
  <c r="CC111" i="25"/>
  <c r="CF111" i="25"/>
  <c r="CI111" i="25"/>
  <c r="CL111" i="25"/>
  <c r="CO111" i="25"/>
  <c r="CR111" i="25"/>
  <c r="CU111" i="25"/>
  <c r="CX111" i="25"/>
  <c r="DA111" i="25"/>
  <c r="V112" i="25"/>
  <c r="W112" i="25"/>
  <c r="X112" i="25"/>
  <c r="AA112" i="25"/>
  <c r="AC112" i="25"/>
  <c r="AD112" i="25"/>
  <c r="AF112" i="25"/>
  <c r="AG112" i="25"/>
  <c r="AH112" i="25"/>
  <c r="AV112" i="25"/>
  <c r="AI112" i="25" s="1"/>
  <c r="AY112" i="25"/>
  <c r="BB112" i="25"/>
  <c r="BE112" i="25"/>
  <c r="BH112" i="25"/>
  <c r="BK112" i="25"/>
  <c r="BN112" i="25"/>
  <c r="BQ112" i="25"/>
  <c r="BT112" i="25"/>
  <c r="BW112" i="25"/>
  <c r="BZ112" i="25"/>
  <c r="CC112" i="25"/>
  <c r="CF112" i="25"/>
  <c r="CI112" i="25"/>
  <c r="CL112" i="25"/>
  <c r="CO112" i="25"/>
  <c r="CR112" i="25"/>
  <c r="CU112" i="25"/>
  <c r="CX112" i="25"/>
  <c r="DA112" i="25"/>
  <c r="V113" i="25"/>
  <c r="W113" i="25"/>
  <c r="X113" i="25"/>
  <c r="AA113" i="25"/>
  <c r="AC113" i="25"/>
  <c r="AD113" i="25"/>
  <c r="AF113" i="25"/>
  <c r="AG113" i="25"/>
  <c r="AH113" i="25"/>
  <c r="AV113" i="25"/>
  <c r="AI113" i="25" s="1"/>
  <c r="AY113" i="25"/>
  <c r="BB113" i="25"/>
  <c r="BE113" i="25"/>
  <c r="BH113" i="25"/>
  <c r="BK113" i="25"/>
  <c r="BN113" i="25"/>
  <c r="BQ113" i="25"/>
  <c r="BT113" i="25"/>
  <c r="BW113" i="25"/>
  <c r="BZ113" i="25"/>
  <c r="CC113" i="25"/>
  <c r="CF113" i="25"/>
  <c r="CI113" i="25"/>
  <c r="CL113" i="25"/>
  <c r="CO113" i="25"/>
  <c r="CR113" i="25"/>
  <c r="CU113" i="25"/>
  <c r="CX113" i="25"/>
  <c r="DA113" i="25"/>
  <c r="V114" i="25"/>
  <c r="W114" i="25"/>
  <c r="X114" i="25"/>
  <c r="AA114" i="25"/>
  <c r="AC114" i="25"/>
  <c r="AD114" i="25"/>
  <c r="AF114" i="25"/>
  <c r="AG114" i="25"/>
  <c r="AH114" i="25"/>
  <c r="AV114" i="25"/>
  <c r="AI114" i="25" s="1"/>
  <c r="AY114" i="25"/>
  <c r="BB114" i="25"/>
  <c r="BE114" i="25"/>
  <c r="BH114" i="25"/>
  <c r="BK114" i="25"/>
  <c r="BN114" i="25"/>
  <c r="BQ114" i="25"/>
  <c r="BT114" i="25"/>
  <c r="BW114" i="25"/>
  <c r="BZ114" i="25"/>
  <c r="CC114" i="25"/>
  <c r="CF114" i="25"/>
  <c r="CI114" i="25"/>
  <c r="CL114" i="25"/>
  <c r="CO114" i="25"/>
  <c r="CR114" i="25"/>
  <c r="CU114" i="25"/>
  <c r="CX114" i="25"/>
  <c r="DA114" i="25"/>
  <c r="V115" i="25"/>
  <c r="W115" i="25"/>
  <c r="X115" i="25"/>
  <c r="AA115" i="25"/>
  <c r="AC115" i="25"/>
  <c r="AD115" i="25"/>
  <c r="AF115" i="25"/>
  <c r="AG115" i="25"/>
  <c r="AH115" i="25"/>
  <c r="AV115" i="25"/>
  <c r="AI115" i="25" s="1"/>
  <c r="AY115" i="25"/>
  <c r="BB115" i="25"/>
  <c r="BE115" i="25"/>
  <c r="BH115" i="25"/>
  <c r="BK115" i="25"/>
  <c r="BN115" i="25"/>
  <c r="BQ115" i="25"/>
  <c r="BT115" i="25"/>
  <c r="BW115" i="25"/>
  <c r="BZ115" i="25"/>
  <c r="CC115" i="25"/>
  <c r="CF115" i="25"/>
  <c r="CI115" i="25"/>
  <c r="CL115" i="25"/>
  <c r="CO115" i="25"/>
  <c r="CR115" i="25"/>
  <c r="CU115" i="25"/>
  <c r="CX115" i="25"/>
  <c r="DA115" i="25"/>
  <c r="V116" i="25"/>
  <c r="W116" i="25"/>
  <c r="X116" i="25"/>
  <c r="AA116" i="25"/>
  <c r="AC116" i="25"/>
  <c r="AD116" i="25"/>
  <c r="AF116" i="25"/>
  <c r="AG116" i="25"/>
  <c r="AH116" i="25"/>
  <c r="AV116" i="25"/>
  <c r="AI116" i="25" s="1"/>
  <c r="AY116" i="25"/>
  <c r="BB116" i="25"/>
  <c r="BE116" i="25"/>
  <c r="BH116" i="25"/>
  <c r="BK116" i="25"/>
  <c r="BN116" i="25"/>
  <c r="BQ116" i="25"/>
  <c r="BT116" i="25"/>
  <c r="BW116" i="25"/>
  <c r="BZ116" i="25"/>
  <c r="CC116" i="25"/>
  <c r="CF116" i="25"/>
  <c r="CI116" i="25"/>
  <c r="CL116" i="25"/>
  <c r="CO116" i="25"/>
  <c r="CR116" i="25"/>
  <c r="CU116" i="25"/>
  <c r="CX116" i="25"/>
  <c r="DA116" i="25"/>
  <c r="V117" i="25"/>
  <c r="W117" i="25"/>
  <c r="X117" i="25"/>
  <c r="AA117" i="25"/>
  <c r="AC117" i="25"/>
  <c r="AD117" i="25"/>
  <c r="AF117" i="25"/>
  <c r="AG117" i="25"/>
  <c r="AH117" i="25"/>
  <c r="AV117" i="25"/>
  <c r="AI117" i="25" s="1"/>
  <c r="AY117" i="25"/>
  <c r="BB117" i="25"/>
  <c r="BE117" i="25"/>
  <c r="BH117" i="25"/>
  <c r="BK117" i="25"/>
  <c r="BN117" i="25"/>
  <c r="BQ117" i="25"/>
  <c r="BT117" i="25"/>
  <c r="BW117" i="25"/>
  <c r="BZ117" i="25"/>
  <c r="CC117" i="25"/>
  <c r="CF117" i="25"/>
  <c r="CI117" i="25"/>
  <c r="CL117" i="25"/>
  <c r="CO117" i="25"/>
  <c r="CR117" i="25"/>
  <c r="CU117" i="25"/>
  <c r="CX117" i="25"/>
  <c r="DA117" i="25"/>
  <c r="V118" i="25"/>
  <c r="W118" i="25"/>
  <c r="X118" i="25"/>
  <c r="AA118" i="25"/>
  <c r="AC118" i="25"/>
  <c r="AD118" i="25"/>
  <c r="AF118" i="25"/>
  <c r="AG118" i="25"/>
  <c r="AH118" i="25"/>
  <c r="AV118" i="25"/>
  <c r="AI118" i="25" s="1"/>
  <c r="AY118" i="25"/>
  <c r="BB118" i="25"/>
  <c r="BE118" i="25"/>
  <c r="BH118" i="25"/>
  <c r="BK118" i="25"/>
  <c r="BN118" i="25"/>
  <c r="BQ118" i="25"/>
  <c r="BT118" i="25"/>
  <c r="BW118" i="25"/>
  <c r="BZ118" i="25"/>
  <c r="CC118" i="25"/>
  <c r="CF118" i="25"/>
  <c r="CI118" i="25"/>
  <c r="CL118" i="25"/>
  <c r="CO118" i="25"/>
  <c r="CR118" i="25"/>
  <c r="CU118" i="25"/>
  <c r="CX118" i="25"/>
  <c r="DA118" i="25"/>
  <c r="V119" i="25"/>
  <c r="W119" i="25"/>
  <c r="X119" i="25"/>
  <c r="AA119" i="25"/>
  <c r="AC119" i="25"/>
  <c r="AD119" i="25"/>
  <c r="AF119" i="25"/>
  <c r="AG119" i="25"/>
  <c r="AH119" i="25"/>
  <c r="AV119" i="25"/>
  <c r="AI119" i="25" s="1"/>
  <c r="AY119" i="25"/>
  <c r="BB119" i="25"/>
  <c r="BE119" i="25"/>
  <c r="BH119" i="25"/>
  <c r="BK119" i="25"/>
  <c r="BN119" i="25"/>
  <c r="BQ119" i="25"/>
  <c r="BT119" i="25"/>
  <c r="BW119" i="25"/>
  <c r="BZ119" i="25"/>
  <c r="CC119" i="25"/>
  <c r="CF119" i="25"/>
  <c r="CI119" i="25"/>
  <c r="CL119" i="25"/>
  <c r="CO119" i="25"/>
  <c r="CR119" i="25"/>
  <c r="CU119" i="25"/>
  <c r="CX119" i="25"/>
  <c r="DA119" i="25"/>
  <c r="V120" i="25"/>
  <c r="W120" i="25"/>
  <c r="X120" i="25"/>
  <c r="AA120" i="25"/>
  <c r="AB120" i="25"/>
  <c r="AC120" i="25"/>
  <c r="AD120" i="25"/>
  <c r="AE120" i="25"/>
  <c r="AF120" i="25"/>
  <c r="AG120" i="25"/>
  <c r="AH120" i="25"/>
  <c r="AV120" i="25"/>
  <c r="AI120" i="25" s="1"/>
  <c r="AY120" i="25"/>
  <c r="BB120" i="25"/>
  <c r="BE120" i="25"/>
  <c r="BH120" i="25"/>
  <c r="BK120" i="25"/>
  <c r="BN120" i="25"/>
  <c r="BQ120" i="25"/>
  <c r="BT120" i="25"/>
  <c r="BW120" i="25"/>
  <c r="BZ120" i="25"/>
  <c r="CC120" i="25"/>
  <c r="CF120" i="25"/>
  <c r="CI120" i="25"/>
  <c r="CL120" i="25"/>
  <c r="CO120" i="25"/>
  <c r="CR120" i="25"/>
  <c r="CU120" i="25"/>
  <c r="CX120" i="25"/>
  <c r="DA120" i="25"/>
  <c r="V121" i="25"/>
  <c r="W121" i="25"/>
  <c r="X121" i="25"/>
  <c r="AA121" i="25"/>
  <c r="AD121" i="25"/>
  <c r="AG121" i="25"/>
  <c r="AH121" i="25"/>
  <c r="AV121" i="25"/>
  <c r="AI121" i="25" s="1"/>
  <c r="AY121" i="25"/>
  <c r="BB121" i="25"/>
  <c r="BE121" i="25"/>
  <c r="BH121" i="25"/>
  <c r="BK121" i="25"/>
  <c r="BN121" i="25"/>
  <c r="BQ121" i="25"/>
  <c r="BT121" i="25"/>
  <c r="BW121" i="25"/>
  <c r="BZ121" i="25"/>
  <c r="CC121" i="25"/>
  <c r="CF121" i="25"/>
  <c r="CI121" i="25"/>
  <c r="CL121" i="25"/>
  <c r="CO121" i="25"/>
  <c r="CR121" i="25"/>
  <c r="CU121" i="25"/>
  <c r="CX121" i="25"/>
  <c r="DA121" i="25"/>
  <c r="V122" i="25"/>
  <c r="W122" i="25"/>
  <c r="X122" i="25"/>
  <c r="AA122" i="25"/>
  <c r="AH122" i="25"/>
  <c r="AV122" i="25"/>
  <c r="AI122" i="25" s="1"/>
  <c r="AY122" i="25"/>
  <c r="BB122" i="25"/>
  <c r="BE122" i="25"/>
  <c r="BH122" i="25"/>
  <c r="BK122" i="25"/>
  <c r="BN122" i="25"/>
  <c r="BQ122" i="25"/>
  <c r="BT122" i="25"/>
  <c r="BW122" i="25"/>
  <c r="BZ122" i="25"/>
  <c r="CC122" i="25"/>
  <c r="CF122" i="25"/>
  <c r="CI122" i="25"/>
  <c r="CL122" i="25"/>
  <c r="CO122" i="25"/>
  <c r="CR122" i="25"/>
  <c r="CU122" i="25"/>
  <c r="CX122" i="25"/>
  <c r="DA122" i="25"/>
  <c r="V123" i="25"/>
  <c r="W123" i="25"/>
  <c r="X123" i="25"/>
  <c r="AA123" i="25"/>
  <c r="AH123" i="25"/>
  <c r="AV123" i="25"/>
  <c r="AI123" i="25" s="1"/>
  <c r="AY123" i="25"/>
  <c r="BB123" i="25"/>
  <c r="BE123" i="25"/>
  <c r="BH123" i="25"/>
  <c r="BK123" i="25"/>
  <c r="BN123" i="25"/>
  <c r="BQ123" i="25"/>
  <c r="BT123" i="25"/>
  <c r="BW123" i="25"/>
  <c r="BZ123" i="25"/>
  <c r="CC123" i="25"/>
  <c r="CF123" i="25"/>
  <c r="CI123" i="25"/>
  <c r="CL123" i="25"/>
  <c r="CO123" i="25"/>
  <c r="CR123" i="25"/>
  <c r="CU123" i="25"/>
  <c r="CX123" i="25"/>
  <c r="DA123" i="25"/>
  <c r="V124" i="25"/>
  <c r="W124" i="25"/>
  <c r="X124" i="25"/>
  <c r="AA124" i="25"/>
  <c r="AC124" i="25"/>
  <c r="AD124" i="25"/>
  <c r="AF124" i="25"/>
  <c r="AG124" i="25"/>
  <c r="AH124" i="25"/>
  <c r="AV124" i="25"/>
  <c r="AI124" i="25" s="1"/>
  <c r="AY124" i="25"/>
  <c r="BB124" i="25"/>
  <c r="BE124" i="25"/>
  <c r="BH124" i="25"/>
  <c r="BK124" i="25"/>
  <c r="BN124" i="25"/>
  <c r="BQ124" i="25"/>
  <c r="BT124" i="25"/>
  <c r="BW124" i="25"/>
  <c r="BZ124" i="25"/>
  <c r="CC124" i="25"/>
  <c r="CF124" i="25"/>
  <c r="CI124" i="25"/>
  <c r="CL124" i="25"/>
  <c r="CO124" i="25"/>
  <c r="CR124" i="25"/>
  <c r="CU124" i="25"/>
  <c r="CX124" i="25"/>
  <c r="DA124" i="25"/>
  <c r="V125" i="25"/>
  <c r="W125" i="25"/>
  <c r="X125" i="25"/>
  <c r="AA125" i="25"/>
  <c r="AD125" i="25"/>
  <c r="AG125" i="25"/>
  <c r="AH125" i="25"/>
  <c r="AV125" i="25"/>
  <c r="AY125" i="25"/>
  <c r="BB125" i="25"/>
  <c r="BE125" i="25"/>
  <c r="BH125" i="25"/>
  <c r="BK125" i="25"/>
  <c r="BN125" i="25"/>
  <c r="BQ125" i="25"/>
  <c r="BT125" i="25"/>
  <c r="BW125" i="25"/>
  <c r="BZ125" i="25"/>
  <c r="CC125" i="25"/>
  <c r="CF125" i="25"/>
  <c r="CI125" i="25"/>
  <c r="CL125" i="25"/>
  <c r="CO125" i="25"/>
  <c r="CR125" i="25"/>
  <c r="CU125" i="25"/>
  <c r="CX125" i="25"/>
  <c r="DA125" i="25"/>
  <c r="V126" i="25"/>
  <c r="W126" i="25"/>
  <c r="X126" i="25"/>
  <c r="AA126" i="25"/>
  <c r="AB126" i="25"/>
  <c r="AC126" i="25"/>
  <c r="AD126" i="25"/>
  <c r="AE126" i="25"/>
  <c r="AF126" i="25"/>
  <c r="AG126" i="25"/>
  <c r="AH126" i="25"/>
  <c r="AV126" i="25"/>
  <c r="AI126" i="25" s="1"/>
  <c r="AY126" i="25"/>
  <c r="BB126" i="25"/>
  <c r="BE126" i="25"/>
  <c r="BH126" i="25"/>
  <c r="BK126" i="25"/>
  <c r="BN126" i="25"/>
  <c r="BQ126" i="25"/>
  <c r="BT126" i="25"/>
  <c r="BW126" i="25"/>
  <c r="BZ126" i="25"/>
  <c r="CC126" i="25"/>
  <c r="CF126" i="25"/>
  <c r="CI126" i="25"/>
  <c r="CL126" i="25"/>
  <c r="CO126" i="25"/>
  <c r="CR126" i="25"/>
  <c r="CU126" i="25"/>
  <c r="CX126" i="25"/>
  <c r="DA126" i="25"/>
  <c r="V127" i="25"/>
  <c r="W127" i="25"/>
  <c r="X127" i="25"/>
  <c r="AA127" i="25"/>
  <c r="AH127" i="25"/>
  <c r="AV127" i="25"/>
  <c r="AY127" i="25"/>
  <c r="BB127" i="25"/>
  <c r="BE127" i="25"/>
  <c r="BH127" i="25"/>
  <c r="BK127" i="25"/>
  <c r="BN127" i="25"/>
  <c r="BQ127" i="25"/>
  <c r="BT127" i="25"/>
  <c r="BW127" i="25"/>
  <c r="BZ127" i="25"/>
  <c r="CC127" i="25"/>
  <c r="CF127" i="25"/>
  <c r="CI127" i="25"/>
  <c r="CL127" i="25"/>
  <c r="CO127" i="25"/>
  <c r="CR127" i="25"/>
  <c r="CU127" i="25"/>
  <c r="CX127" i="25"/>
  <c r="DA127" i="25"/>
  <c r="V128" i="25"/>
  <c r="W128" i="25"/>
  <c r="X128" i="25"/>
  <c r="AA128" i="25"/>
  <c r="AH128" i="25"/>
  <c r="AV128" i="25"/>
  <c r="AI128" i="25" s="1"/>
  <c r="AY128" i="25"/>
  <c r="BB128" i="25"/>
  <c r="BE128" i="25"/>
  <c r="BH128" i="25"/>
  <c r="BK128" i="25"/>
  <c r="BN128" i="25"/>
  <c r="BQ128" i="25"/>
  <c r="BT128" i="25"/>
  <c r="BW128" i="25"/>
  <c r="BZ128" i="25"/>
  <c r="CC128" i="25"/>
  <c r="CF128" i="25"/>
  <c r="CI128" i="25"/>
  <c r="CL128" i="25"/>
  <c r="CO128" i="25"/>
  <c r="CR128" i="25"/>
  <c r="CU128" i="25"/>
  <c r="CX128" i="25"/>
  <c r="DA128" i="25"/>
  <c r="V129" i="25"/>
  <c r="W129" i="25"/>
  <c r="X129" i="25"/>
  <c r="AA129" i="25"/>
  <c r="AH129" i="25"/>
  <c r="AV129" i="25"/>
  <c r="AY129" i="25"/>
  <c r="BB129" i="25"/>
  <c r="BE129" i="25"/>
  <c r="BH129" i="25"/>
  <c r="BK129" i="25"/>
  <c r="BN129" i="25"/>
  <c r="BQ129" i="25"/>
  <c r="BT129" i="25"/>
  <c r="BW129" i="25"/>
  <c r="BZ129" i="25"/>
  <c r="CC129" i="25"/>
  <c r="CF129" i="25"/>
  <c r="CI129" i="25"/>
  <c r="CL129" i="25"/>
  <c r="CO129" i="25"/>
  <c r="CR129" i="25"/>
  <c r="CU129" i="25"/>
  <c r="CX129" i="25"/>
  <c r="DA129" i="25"/>
  <c r="V130" i="25"/>
  <c r="W130" i="25"/>
  <c r="X130" i="25"/>
  <c r="AA130" i="25"/>
  <c r="AD130" i="25"/>
  <c r="AG130" i="25"/>
  <c r="AH130" i="25"/>
  <c r="AV130" i="25"/>
  <c r="AI130" i="25" s="1"/>
  <c r="AY130" i="25"/>
  <c r="BB130" i="25"/>
  <c r="BE130" i="25"/>
  <c r="BH130" i="25"/>
  <c r="BK130" i="25"/>
  <c r="BN130" i="25"/>
  <c r="BQ130" i="25"/>
  <c r="BT130" i="25"/>
  <c r="BW130" i="25"/>
  <c r="BZ130" i="25"/>
  <c r="CC130" i="25"/>
  <c r="CF130" i="25"/>
  <c r="CI130" i="25"/>
  <c r="CL130" i="25"/>
  <c r="CO130" i="25"/>
  <c r="CR130" i="25"/>
  <c r="CU130" i="25"/>
  <c r="CX130" i="25"/>
  <c r="DA130" i="25"/>
  <c r="V131" i="25"/>
  <c r="W131" i="25"/>
  <c r="X131" i="25"/>
  <c r="AA131" i="25"/>
  <c r="AD131" i="25"/>
  <c r="AG131" i="25"/>
  <c r="AH131" i="25"/>
  <c r="AV131" i="25"/>
  <c r="AY131" i="25"/>
  <c r="BB131" i="25"/>
  <c r="BE131" i="25"/>
  <c r="BH131" i="25"/>
  <c r="BK131" i="25"/>
  <c r="BN131" i="25"/>
  <c r="BQ131" i="25"/>
  <c r="BT131" i="25"/>
  <c r="BW131" i="25"/>
  <c r="BZ131" i="25"/>
  <c r="CC131" i="25"/>
  <c r="CF131" i="25"/>
  <c r="CI131" i="25"/>
  <c r="CL131" i="25"/>
  <c r="CO131" i="25"/>
  <c r="CR131" i="25"/>
  <c r="CU131" i="25"/>
  <c r="CX131" i="25"/>
  <c r="DA131" i="25"/>
  <c r="V132" i="25"/>
  <c r="W132" i="25"/>
  <c r="X132" i="25"/>
  <c r="AA132" i="25"/>
  <c r="AB132" i="25"/>
  <c r="AC132" i="25"/>
  <c r="AD132" i="25"/>
  <c r="AE132" i="25"/>
  <c r="AF132" i="25"/>
  <c r="AG132" i="25"/>
  <c r="AH132" i="25"/>
  <c r="AV132" i="25"/>
  <c r="AI132" i="25" s="1"/>
  <c r="AY132" i="25"/>
  <c r="BB132" i="25"/>
  <c r="BE132" i="25"/>
  <c r="BH132" i="25"/>
  <c r="BK132" i="25"/>
  <c r="BN132" i="25"/>
  <c r="BQ132" i="25"/>
  <c r="BT132" i="25"/>
  <c r="BW132" i="25"/>
  <c r="BZ132" i="25"/>
  <c r="CC132" i="25"/>
  <c r="CF132" i="25"/>
  <c r="CI132" i="25"/>
  <c r="CL132" i="25"/>
  <c r="CO132" i="25"/>
  <c r="CR132" i="25"/>
  <c r="CU132" i="25"/>
  <c r="CX132" i="25"/>
  <c r="DA132" i="25"/>
  <c r="V133" i="25"/>
  <c r="W133" i="25"/>
  <c r="X133" i="25"/>
  <c r="AA133" i="25"/>
  <c r="AB133" i="25"/>
  <c r="AC133" i="25"/>
  <c r="AD133" i="25"/>
  <c r="AE133" i="25"/>
  <c r="AF133" i="25"/>
  <c r="AG133" i="25"/>
  <c r="AH133" i="25"/>
  <c r="AV133" i="25"/>
  <c r="AY133" i="25"/>
  <c r="BB133" i="25"/>
  <c r="BE133" i="25"/>
  <c r="BH133" i="25"/>
  <c r="BK133" i="25"/>
  <c r="BN133" i="25"/>
  <c r="BQ133" i="25"/>
  <c r="BT133" i="25"/>
  <c r="BW133" i="25"/>
  <c r="BZ133" i="25"/>
  <c r="CC133" i="25"/>
  <c r="CF133" i="25"/>
  <c r="CI133" i="25"/>
  <c r="CL133" i="25"/>
  <c r="CO133" i="25"/>
  <c r="CR133" i="25"/>
  <c r="CU133" i="25"/>
  <c r="CX133" i="25"/>
  <c r="DA133" i="25"/>
  <c r="V134" i="25"/>
  <c r="W134" i="25"/>
  <c r="X134" i="25"/>
  <c r="AA134" i="25"/>
  <c r="AB134" i="25"/>
  <c r="AC134" i="25"/>
  <c r="AD134" i="25"/>
  <c r="AE134" i="25"/>
  <c r="AF134" i="25"/>
  <c r="AG134" i="25"/>
  <c r="AH134" i="25"/>
  <c r="AV134" i="25"/>
  <c r="AI134" i="25" s="1"/>
  <c r="AY134" i="25"/>
  <c r="BB134" i="25"/>
  <c r="BE134" i="25"/>
  <c r="BH134" i="25"/>
  <c r="BK134" i="25"/>
  <c r="BN134" i="25"/>
  <c r="BQ134" i="25"/>
  <c r="BT134" i="25"/>
  <c r="BW134" i="25"/>
  <c r="BZ134" i="25"/>
  <c r="CC134" i="25"/>
  <c r="CF134" i="25"/>
  <c r="CI134" i="25"/>
  <c r="CL134" i="25"/>
  <c r="CO134" i="25"/>
  <c r="CR134" i="25"/>
  <c r="CU134" i="25"/>
  <c r="CX134" i="25"/>
  <c r="DA134" i="25"/>
  <c r="V135" i="25"/>
  <c r="W135" i="25"/>
  <c r="X135" i="25"/>
  <c r="AA135" i="25"/>
  <c r="AH135" i="25"/>
  <c r="AV135" i="25"/>
  <c r="AY135" i="25"/>
  <c r="BB135" i="25"/>
  <c r="BE135" i="25"/>
  <c r="BH135" i="25"/>
  <c r="BK135" i="25"/>
  <c r="BN135" i="25"/>
  <c r="BQ135" i="25"/>
  <c r="BT135" i="25"/>
  <c r="BW135" i="25"/>
  <c r="BZ135" i="25"/>
  <c r="CC135" i="25"/>
  <c r="CF135" i="25"/>
  <c r="CI135" i="25"/>
  <c r="CL135" i="25"/>
  <c r="CO135" i="25"/>
  <c r="CR135" i="25"/>
  <c r="CU135" i="25"/>
  <c r="CX135" i="25"/>
  <c r="DA135" i="25"/>
  <c r="V136" i="25"/>
  <c r="W136" i="25"/>
  <c r="X136" i="25"/>
  <c r="AA136" i="25"/>
  <c r="AD136" i="25"/>
  <c r="AG136" i="25"/>
  <c r="AH136" i="25"/>
  <c r="AV136" i="25"/>
  <c r="AI136" i="25" s="1"/>
  <c r="AY136" i="25"/>
  <c r="BB136" i="25"/>
  <c r="BE136" i="25"/>
  <c r="BH136" i="25"/>
  <c r="BK136" i="25"/>
  <c r="BN136" i="25"/>
  <c r="BQ136" i="25"/>
  <c r="BT136" i="25"/>
  <c r="BW136" i="25"/>
  <c r="BZ136" i="25"/>
  <c r="CC136" i="25"/>
  <c r="CF136" i="25"/>
  <c r="CI136" i="25"/>
  <c r="CL136" i="25"/>
  <c r="CO136" i="25"/>
  <c r="CR136" i="25"/>
  <c r="CU136" i="25"/>
  <c r="CX136" i="25"/>
  <c r="DA136" i="25"/>
  <c r="V137" i="25"/>
  <c r="W137" i="25"/>
  <c r="X137" i="25"/>
  <c r="AA137" i="25"/>
  <c r="AH137" i="25"/>
  <c r="AV137" i="25"/>
  <c r="AY137" i="25"/>
  <c r="BB137" i="25"/>
  <c r="BE137" i="25"/>
  <c r="BH137" i="25"/>
  <c r="BK137" i="25"/>
  <c r="BN137" i="25"/>
  <c r="BQ137" i="25"/>
  <c r="BT137" i="25"/>
  <c r="BW137" i="25"/>
  <c r="BZ137" i="25"/>
  <c r="CC137" i="25"/>
  <c r="CF137" i="25"/>
  <c r="CI137" i="25"/>
  <c r="CL137" i="25"/>
  <c r="CO137" i="25"/>
  <c r="CR137" i="25"/>
  <c r="CU137" i="25"/>
  <c r="CX137" i="25"/>
  <c r="DA137" i="25"/>
  <c r="V138" i="25"/>
  <c r="W138" i="25"/>
  <c r="X138" i="25"/>
  <c r="AA138" i="25"/>
  <c r="AD138" i="25"/>
  <c r="AG138" i="25"/>
  <c r="AH138" i="25"/>
  <c r="AV138" i="25"/>
  <c r="AI138" i="25" s="1"/>
  <c r="AY138" i="25"/>
  <c r="BB138" i="25"/>
  <c r="BE138" i="25"/>
  <c r="BH138" i="25"/>
  <c r="BK138" i="25"/>
  <c r="BN138" i="25"/>
  <c r="BQ138" i="25"/>
  <c r="BT138" i="25"/>
  <c r="BW138" i="25"/>
  <c r="BZ138" i="25"/>
  <c r="CC138" i="25"/>
  <c r="CF138" i="25"/>
  <c r="CI138" i="25"/>
  <c r="CL138" i="25"/>
  <c r="CO138" i="25"/>
  <c r="CR138" i="25"/>
  <c r="CU138" i="25"/>
  <c r="CX138" i="25"/>
  <c r="DA138" i="25"/>
  <c r="V139" i="25"/>
  <c r="W139" i="25"/>
  <c r="X139" i="25"/>
  <c r="AA139" i="25"/>
  <c r="AD139" i="25"/>
  <c r="AG139" i="25"/>
  <c r="AH139" i="25"/>
  <c r="AV139" i="25"/>
  <c r="AY139" i="25"/>
  <c r="BB139" i="25"/>
  <c r="BE139" i="25"/>
  <c r="BH139" i="25"/>
  <c r="BK139" i="25"/>
  <c r="BN139" i="25"/>
  <c r="BQ139" i="25"/>
  <c r="BT139" i="25"/>
  <c r="BW139" i="25"/>
  <c r="BZ139" i="25"/>
  <c r="CC139" i="25"/>
  <c r="CF139" i="25"/>
  <c r="CI139" i="25"/>
  <c r="CL139" i="25"/>
  <c r="CO139" i="25"/>
  <c r="CR139" i="25"/>
  <c r="CU139" i="25"/>
  <c r="CX139" i="25"/>
  <c r="DA139" i="25"/>
  <c r="V140" i="25"/>
  <c r="W140" i="25"/>
  <c r="X140" i="25"/>
  <c r="AA140" i="25"/>
  <c r="AD140" i="25"/>
  <c r="AG140" i="25"/>
  <c r="AH140" i="25"/>
  <c r="AV140" i="25"/>
  <c r="AI140" i="25" s="1"/>
  <c r="AY140" i="25"/>
  <c r="BB140" i="25"/>
  <c r="BE140" i="25"/>
  <c r="BH140" i="25"/>
  <c r="BK140" i="25"/>
  <c r="BN140" i="25"/>
  <c r="BQ140" i="25"/>
  <c r="BT140" i="25"/>
  <c r="BW140" i="25"/>
  <c r="BZ140" i="25"/>
  <c r="CC140" i="25"/>
  <c r="CF140" i="25"/>
  <c r="CI140" i="25"/>
  <c r="CL140" i="25"/>
  <c r="CO140" i="25"/>
  <c r="CR140" i="25"/>
  <c r="CU140" i="25"/>
  <c r="CX140" i="25"/>
  <c r="DA140" i="25"/>
  <c r="V141" i="25"/>
  <c r="W141" i="25"/>
  <c r="X141" i="25"/>
  <c r="AA141" i="25"/>
  <c r="AB141" i="25"/>
  <c r="AC141" i="25"/>
  <c r="AD141" i="25"/>
  <c r="AE141" i="25"/>
  <c r="AF141" i="25"/>
  <c r="AG141" i="25"/>
  <c r="AH141" i="25"/>
  <c r="AV141" i="25"/>
  <c r="AI141" i="25" s="1"/>
  <c r="AY141" i="25"/>
  <c r="BB141" i="25"/>
  <c r="BE141" i="25"/>
  <c r="BH141" i="25"/>
  <c r="BK141" i="25"/>
  <c r="BN141" i="25"/>
  <c r="BQ141" i="25"/>
  <c r="BT141" i="25"/>
  <c r="BW141" i="25"/>
  <c r="BZ141" i="25"/>
  <c r="CC141" i="25"/>
  <c r="CF141" i="25"/>
  <c r="CI141" i="25"/>
  <c r="CL141" i="25"/>
  <c r="CO141" i="25"/>
  <c r="CR141" i="25"/>
  <c r="CU141" i="25"/>
  <c r="CX141" i="25"/>
  <c r="DA141" i="25"/>
  <c r="V142" i="25"/>
  <c r="W142" i="25"/>
  <c r="X142" i="25"/>
  <c r="AA142" i="25"/>
  <c r="AB142" i="25"/>
  <c r="AC142" i="25"/>
  <c r="AD142" i="25"/>
  <c r="AE142" i="25"/>
  <c r="AF142" i="25"/>
  <c r="AG142" i="25"/>
  <c r="AH142" i="25"/>
  <c r="AV142" i="25"/>
  <c r="AI142" i="25" s="1"/>
  <c r="AY142" i="25"/>
  <c r="BB142" i="25"/>
  <c r="BE142" i="25"/>
  <c r="BH142" i="25"/>
  <c r="BK142" i="25"/>
  <c r="BN142" i="25"/>
  <c r="BQ142" i="25"/>
  <c r="BT142" i="25"/>
  <c r="BW142" i="25"/>
  <c r="BZ142" i="25"/>
  <c r="CC142" i="25"/>
  <c r="CF142" i="25"/>
  <c r="CI142" i="25"/>
  <c r="CL142" i="25"/>
  <c r="CO142" i="25"/>
  <c r="CR142" i="25"/>
  <c r="CU142" i="25"/>
  <c r="CX142" i="25"/>
  <c r="DA142" i="25"/>
  <c r="V143" i="25"/>
  <c r="W143" i="25"/>
  <c r="X143" i="25"/>
  <c r="AA143" i="25"/>
  <c r="AC143" i="25"/>
  <c r="AD143" i="25"/>
  <c r="AF143" i="25"/>
  <c r="AG143" i="25"/>
  <c r="AH143" i="25"/>
  <c r="AV143" i="25"/>
  <c r="AI143" i="25" s="1"/>
  <c r="AY143" i="25"/>
  <c r="BB143" i="25"/>
  <c r="BE143" i="25"/>
  <c r="BH143" i="25"/>
  <c r="BK143" i="25"/>
  <c r="BN143" i="25"/>
  <c r="BQ143" i="25"/>
  <c r="BT143" i="25"/>
  <c r="BW143" i="25"/>
  <c r="BZ143" i="25"/>
  <c r="CC143" i="25"/>
  <c r="CF143" i="25"/>
  <c r="CI143" i="25"/>
  <c r="CL143" i="25"/>
  <c r="CO143" i="25"/>
  <c r="CR143" i="25"/>
  <c r="CU143" i="25"/>
  <c r="CX143" i="25"/>
  <c r="DA143" i="25"/>
  <c r="V144" i="25"/>
  <c r="W144" i="25"/>
  <c r="X144" i="25"/>
  <c r="AA144" i="25"/>
  <c r="AB144" i="25"/>
  <c r="AC144" i="25"/>
  <c r="AD144" i="25"/>
  <c r="AE144" i="25"/>
  <c r="AF144" i="25"/>
  <c r="AG144" i="25"/>
  <c r="AH144" i="25"/>
  <c r="AV144" i="25"/>
  <c r="AI144" i="25" s="1"/>
  <c r="AY144" i="25"/>
  <c r="BB144" i="25"/>
  <c r="BE144" i="25"/>
  <c r="BH144" i="25"/>
  <c r="BK144" i="25"/>
  <c r="BN144" i="25"/>
  <c r="BQ144" i="25"/>
  <c r="BT144" i="25"/>
  <c r="BW144" i="25"/>
  <c r="BZ144" i="25"/>
  <c r="CC144" i="25"/>
  <c r="CF144" i="25"/>
  <c r="CI144" i="25"/>
  <c r="CL144" i="25"/>
  <c r="CO144" i="25"/>
  <c r="CR144" i="25"/>
  <c r="CU144" i="25"/>
  <c r="CX144" i="25"/>
  <c r="DA144" i="25"/>
  <c r="V145" i="25"/>
  <c r="W145" i="25"/>
  <c r="X145" i="25"/>
  <c r="AA145" i="25"/>
  <c r="AC145" i="25"/>
  <c r="AD145" i="25"/>
  <c r="AF145" i="25"/>
  <c r="AG145" i="25"/>
  <c r="AH145" i="25"/>
  <c r="AV145" i="25"/>
  <c r="AI145" i="25" s="1"/>
  <c r="AY145" i="25"/>
  <c r="BB145" i="25"/>
  <c r="BE145" i="25"/>
  <c r="BH145" i="25"/>
  <c r="BK145" i="25"/>
  <c r="BN145" i="25"/>
  <c r="BQ145" i="25"/>
  <c r="BT145" i="25"/>
  <c r="BW145" i="25"/>
  <c r="BZ145" i="25"/>
  <c r="CC145" i="25"/>
  <c r="CF145" i="25"/>
  <c r="CI145" i="25"/>
  <c r="CL145" i="25"/>
  <c r="CO145" i="25"/>
  <c r="CR145" i="25"/>
  <c r="CU145" i="25"/>
  <c r="CX145" i="25"/>
  <c r="DA145" i="25"/>
  <c r="V146" i="25"/>
  <c r="W146" i="25"/>
  <c r="X146" i="25"/>
  <c r="AA146" i="25"/>
  <c r="AB146" i="25"/>
  <c r="AC146" i="25"/>
  <c r="AD146" i="25"/>
  <c r="AE146" i="25"/>
  <c r="AF146" i="25"/>
  <c r="AG146" i="25"/>
  <c r="AH146" i="25"/>
  <c r="AV146" i="25"/>
  <c r="AI146" i="25" s="1"/>
  <c r="AY146" i="25"/>
  <c r="BB146" i="25"/>
  <c r="BE146" i="25"/>
  <c r="BH146" i="25"/>
  <c r="BK146" i="25"/>
  <c r="BN146" i="25"/>
  <c r="BQ146" i="25"/>
  <c r="BT146" i="25"/>
  <c r="BW146" i="25"/>
  <c r="BZ146" i="25"/>
  <c r="CC146" i="25"/>
  <c r="CF146" i="25"/>
  <c r="CI146" i="25"/>
  <c r="CL146" i="25"/>
  <c r="CO146" i="25"/>
  <c r="CR146" i="25"/>
  <c r="CU146" i="25"/>
  <c r="CX146" i="25"/>
  <c r="DA146" i="25"/>
  <c r="V147" i="25"/>
  <c r="W147" i="25"/>
  <c r="X147" i="25"/>
  <c r="AA147" i="25"/>
  <c r="AB147" i="25"/>
  <c r="AC147" i="25"/>
  <c r="AD147" i="25"/>
  <c r="AE147" i="25"/>
  <c r="AF147" i="25"/>
  <c r="AG147" i="25"/>
  <c r="AH147" i="25"/>
  <c r="AV147" i="25"/>
  <c r="AY147" i="25"/>
  <c r="BB147" i="25"/>
  <c r="BE147" i="25"/>
  <c r="BH147" i="25"/>
  <c r="BK147" i="25"/>
  <c r="BN147" i="25"/>
  <c r="BQ147" i="25"/>
  <c r="BT147" i="25"/>
  <c r="BW147" i="25"/>
  <c r="BZ147" i="25"/>
  <c r="CC147" i="25"/>
  <c r="CF147" i="25"/>
  <c r="CI147" i="25"/>
  <c r="CL147" i="25"/>
  <c r="CO147" i="25"/>
  <c r="CR147" i="25"/>
  <c r="CU147" i="25"/>
  <c r="CX147" i="25"/>
  <c r="DA147" i="25"/>
  <c r="V148" i="25"/>
  <c r="W148" i="25"/>
  <c r="X148" i="25"/>
  <c r="AA148" i="25"/>
  <c r="AH148" i="25"/>
  <c r="AV148" i="25"/>
  <c r="AI148" i="25" s="1"/>
  <c r="AY148" i="25"/>
  <c r="BB148" i="25"/>
  <c r="BE148" i="25"/>
  <c r="BH148" i="25"/>
  <c r="BK148" i="25"/>
  <c r="BN148" i="25"/>
  <c r="BQ148" i="25"/>
  <c r="BT148" i="25"/>
  <c r="BW148" i="25"/>
  <c r="BZ148" i="25"/>
  <c r="CC148" i="25"/>
  <c r="CF148" i="25"/>
  <c r="CI148" i="25"/>
  <c r="CL148" i="25"/>
  <c r="CO148" i="25"/>
  <c r="CR148" i="25"/>
  <c r="CU148" i="25"/>
  <c r="CX148" i="25"/>
  <c r="DA148" i="25"/>
  <c r="V149" i="25"/>
  <c r="W149" i="25"/>
  <c r="X149" i="25"/>
  <c r="AA149" i="25"/>
  <c r="AC149" i="25"/>
  <c r="AD149" i="25"/>
  <c r="AF149" i="25"/>
  <c r="AG149" i="25"/>
  <c r="AH149" i="25"/>
  <c r="AV149" i="25"/>
  <c r="AY149" i="25"/>
  <c r="BB149" i="25"/>
  <c r="BE149" i="25"/>
  <c r="BH149" i="25"/>
  <c r="BK149" i="25"/>
  <c r="BN149" i="25"/>
  <c r="BQ149" i="25"/>
  <c r="BT149" i="25"/>
  <c r="BW149" i="25"/>
  <c r="BZ149" i="25"/>
  <c r="CC149" i="25"/>
  <c r="CF149" i="25"/>
  <c r="CI149" i="25"/>
  <c r="CL149" i="25"/>
  <c r="CO149" i="25"/>
  <c r="CR149" i="25"/>
  <c r="CU149" i="25"/>
  <c r="CX149" i="25"/>
  <c r="DA149" i="25"/>
  <c r="V150" i="25"/>
  <c r="W150" i="25"/>
  <c r="X150" i="25"/>
  <c r="AA150" i="25"/>
  <c r="AB150" i="25"/>
  <c r="AC150" i="25"/>
  <c r="AD150" i="25"/>
  <c r="AE150" i="25"/>
  <c r="AF150" i="25"/>
  <c r="AG150" i="25"/>
  <c r="AH150" i="25"/>
  <c r="AV150" i="25"/>
  <c r="AI150" i="25" s="1"/>
  <c r="AY150" i="25"/>
  <c r="BB150" i="25"/>
  <c r="BE150" i="25"/>
  <c r="BH150" i="25"/>
  <c r="BK150" i="25"/>
  <c r="BN150" i="25"/>
  <c r="BQ150" i="25"/>
  <c r="BT150" i="25"/>
  <c r="BW150" i="25"/>
  <c r="BZ150" i="25"/>
  <c r="CC150" i="25"/>
  <c r="CF150" i="25"/>
  <c r="CI150" i="25"/>
  <c r="CL150" i="25"/>
  <c r="CO150" i="25"/>
  <c r="CR150" i="25"/>
  <c r="CU150" i="25"/>
  <c r="CX150" i="25"/>
  <c r="DA150" i="25"/>
  <c r="V151" i="25"/>
  <c r="W151" i="25"/>
  <c r="X151" i="25"/>
  <c r="AA151" i="25"/>
  <c r="AB151" i="25"/>
  <c r="AC151" i="25"/>
  <c r="AD151" i="25"/>
  <c r="AE151" i="25"/>
  <c r="AF151" i="25"/>
  <c r="AG151" i="25"/>
  <c r="AH151" i="25"/>
  <c r="AV151" i="25"/>
  <c r="AY151" i="25"/>
  <c r="BB151" i="25"/>
  <c r="BE151" i="25"/>
  <c r="BH151" i="25"/>
  <c r="BK151" i="25"/>
  <c r="BN151" i="25"/>
  <c r="BQ151" i="25"/>
  <c r="BT151" i="25"/>
  <c r="BW151" i="25"/>
  <c r="BZ151" i="25"/>
  <c r="CC151" i="25"/>
  <c r="CF151" i="25"/>
  <c r="CI151" i="25"/>
  <c r="CL151" i="25"/>
  <c r="CO151" i="25"/>
  <c r="CR151" i="25"/>
  <c r="CU151" i="25"/>
  <c r="CX151" i="25"/>
  <c r="DA151" i="25"/>
  <c r="V152" i="25"/>
  <c r="W152" i="25"/>
  <c r="X152" i="25"/>
  <c r="AA152" i="25"/>
  <c r="AC152" i="25"/>
  <c r="AD152" i="25"/>
  <c r="AF152" i="25"/>
  <c r="AG152" i="25"/>
  <c r="AH152" i="25"/>
  <c r="AV152" i="25"/>
  <c r="AI152" i="25" s="1"/>
  <c r="AY152" i="25"/>
  <c r="BB152" i="25"/>
  <c r="BE152" i="25"/>
  <c r="BH152" i="25"/>
  <c r="BK152" i="25"/>
  <c r="BN152" i="25"/>
  <c r="BQ152" i="25"/>
  <c r="BT152" i="25"/>
  <c r="BW152" i="25"/>
  <c r="BZ152" i="25"/>
  <c r="CC152" i="25"/>
  <c r="CF152" i="25"/>
  <c r="CI152" i="25"/>
  <c r="CL152" i="25"/>
  <c r="CO152" i="25"/>
  <c r="CR152" i="25"/>
  <c r="CU152" i="25"/>
  <c r="CX152" i="25"/>
  <c r="DA152" i="25"/>
  <c r="V153" i="25"/>
  <c r="W153" i="25"/>
  <c r="X153" i="25"/>
  <c r="AA153" i="25"/>
  <c r="AB153" i="25"/>
  <c r="AC153" i="25"/>
  <c r="AD153" i="25"/>
  <c r="AE153" i="25"/>
  <c r="AF153" i="25"/>
  <c r="AG153" i="25"/>
  <c r="AH153" i="25"/>
  <c r="AV153" i="25"/>
  <c r="AY153" i="25"/>
  <c r="BB153" i="25"/>
  <c r="BE153" i="25"/>
  <c r="BH153" i="25"/>
  <c r="BK153" i="25"/>
  <c r="BN153" i="25"/>
  <c r="BQ153" i="25"/>
  <c r="BT153" i="25"/>
  <c r="BW153" i="25"/>
  <c r="BZ153" i="25"/>
  <c r="CC153" i="25"/>
  <c r="CF153" i="25"/>
  <c r="CI153" i="25"/>
  <c r="CL153" i="25"/>
  <c r="CO153" i="25"/>
  <c r="CR153" i="25"/>
  <c r="CU153" i="25"/>
  <c r="CX153" i="25"/>
  <c r="DA153" i="25"/>
  <c r="V154" i="25"/>
  <c r="W154" i="25"/>
  <c r="X154" i="25"/>
  <c r="AA154" i="25"/>
  <c r="AB154" i="25"/>
  <c r="AC154" i="25"/>
  <c r="AD154" i="25"/>
  <c r="AE154" i="25"/>
  <c r="AF154" i="25"/>
  <c r="AG154" i="25"/>
  <c r="AH154" i="25"/>
  <c r="AV154" i="25"/>
  <c r="AI154" i="25" s="1"/>
  <c r="AY154" i="25"/>
  <c r="BB154" i="25"/>
  <c r="BE154" i="25"/>
  <c r="BH154" i="25"/>
  <c r="BK154" i="25"/>
  <c r="BN154" i="25"/>
  <c r="BQ154" i="25"/>
  <c r="BT154" i="25"/>
  <c r="BW154" i="25"/>
  <c r="BZ154" i="25"/>
  <c r="CC154" i="25"/>
  <c r="CF154" i="25"/>
  <c r="CI154" i="25"/>
  <c r="CL154" i="25"/>
  <c r="CO154" i="25"/>
  <c r="CR154" i="25"/>
  <c r="CU154" i="25"/>
  <c r="CX154" i="25"/>
  <c r="DA154" i="25"/>
  <c r="V155" i="25"/>
  <c r="W155" i="25"/>
  <c r="X155" i="25"/>
  <c r="AA155" i="25"/>
  <c r="AB155" i="25"/>
  <c r="AC155" i="25"/>
  <c r="AD155" i="25"/>
  <c r="AE155" i="25"/>
  <c r="AF155" i="25"/>
  <c r="AG155" i="25"/>
  <c r="AH155" i="25"/>
  <c r="AV155" i="25"/>
  <c r="AY155" i="25"/>
  <c r="BB155" i="25"/>
  <c r="BE155" i="25"/>
  <c r="BH155" i="25"/>
  <c r="BK155" i="25"/>
  <c r="BN155" i="25"/>
  <c r="BQ155" i="25"/>
  <c r="BT155" i="25"/>
  <c r="BW155" i="25"/>
  <c r="BZ155" i="25"/>
  <c r="CC155" i="25"/>
  <c r="CF155" i="25"/>
  <c r="CI155" i="25"/>
  <c r="CL155" i="25"/>
  <c r="CO155" i="25"/>
  <c r="CR155" i="25"/>
  <c r="CU155" i="25"/>
  <c r="CX155" i="25"/>
  <c r="DA155" i="25"/>
  <c r="V156" i="25"/>
  <c r="W156" i="25"/>
  <c r="X156" i="25"/>
  <c r="AA156" i="25"/>
  <c r="AD156" i="25"/>
  <c r="AG156" i="25"/>
  <c r="AH156" i="25"/>
  <c r="AV156" i="25"/>
  <c r="AI156" i="25" s="1"/>
  <c r="AY156" i="25"/>
  <c r="BB156" i="25"/>
  <c r="BE156" i="25"/>
  <c r="BH156" i="25"/>
  <c r="BK156" i="25"/>
  <c r="BN156" i="25"/>
  <c r="BQ156" i="25"/>
  <c r="BT156" i="25"/>
  <c r="BW156" i="25"/>
  <c r="BZ156" i="25"/>
  <c r="CC156" i="25"/>
  <c r="CF156" i="25"/>
  <c r="CI156" i="25"/>
  <c r="CL156" i="25"/>
  <c r="CO156" i="25"/>
  <c r="CR156" i="25"/>
  <c r="CU156" i="25"/>
  <c r="CX156" i="25"/>
  <c r="DA156" i="25"/>
  <c r="V157" i="25"/>
  <c r="W157" i="25"/>
  <c r="X157" i="25"/>
  <c r="AA157" i="25"/>
  <c r="AC157" i="25"/>
  <c r="AD157" i="25"/>
  <c r="AF157" i="25"/>
  <c r="AG157" i="25"/>
  <c r="AH157" i="25"/>
  <c r="AV157" i="25"/>
  <c r="AY157" i="25"/>
  <c r="BB157" i="25"/>
  <c r="BE157" i="25"/>
  <c r="BH157" i="25"/>
  <c r="BK157" i="25"/>
  <c r="BN157" i="25"/>
  <c r="BQ157" i="25"/>
  <c r="BT157" i="25"/>
  <c r="BW157" i="25"/>
  <c r="BZ157" i="25"/>
  <c r="CC157" i="25"/>
  <c r="CF157" i="25"/>
  <c r="CI157" i="25"/>
  <c r="CL157" i="25"/>
  <c r="CO157" i="25"/>
  <c r="CR157" i="25"/>
  <c r="CU157" i="25"/>
  <c r="CX157" i="25"/>
  <c r="DA157" i="25"/>
  <c r="V158" i="25"/>
  <c r="W158" i="25"/>
  <c r="X158" i="25"/>
  <c r="AA158" i="25"/>
  <c r="AH158" i="25"/>
  <c r="AV158" i="25"/>
  <c r="AI158" i="25" s="1"/>
  <c r="AY158" i="25"/>
  <c r="BB158" i="25"/>
  <c r="BE158" i="25"/>
  <c r="BH158" i="25"/>
  <c r="BK158" i="25"/>
  <c r="BN158" i="25"/>
  <c r="BQ158" i="25"/>
  <c r="BT158" i="25"/>
  <c r="BW158" i="25"/>
  <c r="BZ158" i="25"/>
  <c r="CC158" i="25"/>
  <c r="CF158" i="25"/>
  <c r="CI158" i="25"/>
  <c r="CL158" i="25"/>
  <c r="CO158" i="25"/>
  <c r="CR158" i="25"/>
  <c r="CU158" i="25"/>
  <c r="CX158" i="25"/>
  <c r="DA158" i="25"/>
  <c r="V159" i="25"/>
  <c r="W159" i="25"/>
  <c r="X159" i="25"/>
  <c r="AA159" i="25"/>
  <c r="AB159" i="25"/>
  <c r="AC159" i="25"/>
  <c r="AD159" i="25"/>
  <c r="AE159" i="25"/>
  <c r="AF159" i="25"/>
  <c r="AG159" i="25"/>
  <c r="AH159" i="25"/>
  <c r="AV159" i="25"/>
  <c r="AY159" i="25"/>
  <c r="BB159" i="25"/>
  <c r="BE159" i="25"/>
  <c r="BH159" i="25"/>
  <c r="BK159" i="25"/>
  <c r="BN159" i="25"/>
  <c r="BQ159" i="25"/>
  <c r="BT159" i="25"/>
  <c r="BW159" i="25"/>
  <c r="BZ159" i="25"/>
  <c r="CC159" i="25"/>
  <c r="CF159" i="25"/>
  <c r="CI159" i="25"/>
  <c r="CL159" i="25"/>
  <c r="CO159" i="25"/>
  <c r="CR159" i="25"/>
  <c r="CU159" i="25"/>
  <c r="CX159" i="25"/>
  <c r="DA159" i="25"/>
  <c r="V160" i="25"/>
  <c r="W160" i="25"/>
  <c r="X160" i="25"/>
  <c r="AA160" i="25"/>
  <c r="AB160" i="25"/>
  <c r="AC160" i="25"/>
  <c r="AD160" i="25"/>
  <c r="AE160" i="25"/>
  <c r="AF160" i="25"/>
  <c r="AG160" i="25"/>
  <c r="AH160" i="25"/>
  <c r="AV160" i="25"/>
  <c r="AI160" i="25" s="1"/>
  <c r="AY160" i="25"/>
  <c r="BB160" i="25"/>
  <c r="BE160" i="25"/>
  <c r="BH160" i="25"/>
  <c r="BK160" i="25"/>
  <c r="BN160" i="25"/>
  <c r="BQ160" i="25"/>
  <c r="BT160" i="25"/>
  <c r="BW160" i="25"/>
  <c r="BZ160" i="25"/>
  <c r="CC160" i="25"/>
  <c r="CF160" i="25"/>
  <c r="CI160" i="25"/>
  <c r="CL160" i="25"/>
  <c r="CO160" i="25"/>
  <c r="CR160" i="25"/>
  <c r="CU160" i="25"/>
  <c r="CX160" i="25"/>
  <c r="DA160" i="25"/>
  <c r="V161" i="25"/>
  <c r="W161" i="25"/>
  <c r="X161" i="25"/>
  <c r="AA161" i="25"/>
  <c r="AH161" i="25"/>
  <c r="AV161" i="25"/>
  <c r="AY161" i="25"/>
  <c r="BB161" i="25"/>
  <c r="BE161" i="25"/>
  <c r="BH161" i="25"/>
  <c r="BK161" i="25"/>
  <c r="BN161" i="25"/>
  <c r="BQ161" i="25"/>
  <c r="BT161" i="25"/>
  <c r="BW161" i="25"/>
  <c r="BZ161" i="25"/>
  <c r="CC161" i="25"/>
  <c r="CF161" i="25"/>
  <c r="CI161" i="25"/>
  <c r="CL161" i="25"/>
  <c r="CO161" i="25"/>
  <c r="CR161" i="25"/>
  <c r="CU161" i="25"/>
  <c r="CX161" i="25"/>
  <c r="DA161" i="25"/>
  <c r="V162" i="25"/>
  <c r="W162" i="25"/>
  <c r="X162" i="25"/>
  <c r="AA162" i="25"/>
  <c r="AH162" i="25"/>
  <c r="AV162" i="25"/>
  <c r="AI162" i="25" s="1"/>
  <c r="AY162" i="25"/>
  <c r="BB162" i="25"/>
  <c r="BE162" i="25"/>
  <c r="BH162" i="25"/>
  <c r="BK162" i="25"/>
  <c r="BN162" i="25"/>
  <c r="BQ162" i="25"/>
  <c r="BT162" i="25"/>
  <c r="BW162" i="25"/>
  <c r="BZ162" i="25"/>
  <c r="CC162" i="25"/>
  <c r="CF162" i="25"/>
  <c r="CI162" i="25"/>
  <c r="CL162" i="25"/>
  <c r="CO162" i="25"/>
  <c r="CR162" i="25"/>
  <c r="CU162" i="25"/>
  <c r="CX162" i="25"/>
  <c r="DA162" i="25"/>
  <c r="V163" i="25"/>
  <c r="W163" i="25"/>
  <c r="X163" i="25"/>
  <c r="AA163" i="25"/>
  <c r="AH163" i="25"/>
  <c r="AV163" i="25"/>
  <c r="AY163" i="25"/>
  <c r="BB163" i="25"/>
  <c r="BE163" i="25"/>
  <c r="BH163" i="25"/>
  <c r="BK163" i="25"/>
  <c r="BN163" i="25"/>
  <c r="BQ163" i="25"/>
  <c r="BT163" i="25"/>
  <c r="BW163" i="25"/>
  <c r="BZ163" i="25"/>
  <c r="CC163" i="25"/>
  <c r="CF163" i="25"/>
  <c r="CI163" i="25"/>
  <c r="CL163" i="25"/>
  <c r="CO163" i="25"/>
  <c r="CR163" i="25"/>
  <c r="CU163" i="25"/>
  <c r="CX163" i="25"/>
  <c r="DA163" i="25"/>
  <c r="V164" i="25"/>
  <c r="W164" i="25"/>
  <c r="X164" i="25"/>
  <c r="AA164" i="25"/>
  <c r="AH164" i="25"/>
  <c r="AV164" i="25"/>
  <c r="AI164" i="25" s="1"/>
  <c r="AY164" i="25"/>
  <c r="BB164" i="25"/>
  <c r="BE164" i="25"/>
  <c r="BH164" i="25"/>
  <c r="BK164" i="25"/>
  <c r="BN164" i="25"/>
  <c r="BQ164" i="25"/>
  <c r="BT164" i="25"/>
  <c r="BW164" i="25"/>
  <c r="BZ164" i="25"/>
  <c r="CC164" i="25"/>
  <c r="CF164" i="25"/>
  <c r="CI164" i="25"/>
  <c r="CL164" i="25"/>
  <c r="CO164" i="25"/>
  <c r="CR164" i="25"/>
  <c r="CU164" i="25"/>
  <c r="CX164" i="25"/>
  <c r="DA164" i="25"/>
  <c r="V165" i="25"/>
  <c r="W165" i="25"/>
  <c r="X165" i="25"/>
  <c r="AA165" i="25"/>
  <c r="AH165" i="25"/>
  <c r="AV165" i="25"/>
  <c r="AY165" i="25"/>
  <c r="BB165" i="25"/>
  <c r="BE165" i="25"/>
  <c r="BH165" i="25"/>
  <c r="BK165" i="25"/>
  <c r="BN165" i="25"/>
  <c r="BQ165" i="25"/>
  <c r="BT165" i="25"/>
  <c r="BW165" i="25"/>
  <c r="BZ165" i="25"/>
  <c r="CC165" i="25"/>
  <c r="CF165" i="25"/>
  <c r="CI165" i="25"/>
  <c r="CL165" i="25"/>
  <c r="CO165" i="25"/>
  <c r="CR165" i="25"/>
  <c r="CU165" i="25"/>
  <c r="CX165" i="25"/>
  <c r="DA165" i="25"/>
  <c r="V166" i="25"/>
  <c r="W166" i="25"/>
  <c r="X166" i="25"/>
  <c r="AA166" i="25"/>
  <c r="AH166" i="25"/>
  <c r="AV166" i="25"/>
  <c r="AI166" i="25" s="1"/>
  <c r="AY166" i="25"/>
  <c r="BB166" i="25"/>
  <c r="BE166" i="25"/>
  <c r="BH166" i="25"/>
  <c r="BK166" i="25"/>
  <c r="BN166" i="25"/>
  <c r="BQ166" i="25"/>
  <c r="BT166" i="25"/>
  <c r="BW166" i="25"/>
  <c r="BZ166" i="25"/>
  <c r="CC166" i="25"/>
  <c r="CF166" i="25"/>
  <c r="CI166" i="25"/>
  <c r="CL166" i="25"/>
  <c r="CO166" i="25"/>
  <c r="CR166" i="25"/>
  <c r="CU166" i="25"/>
  <c r="CX166" i="25"/>
  <c r="DA166" i="25"/>
  <c r="V167" i="25"/>
  <c r="W167" i="25"/>
  <c r="X167" i="25"/>
  <c r="AA167" i="25"/>
  <c r="AH167" i="25"/>
  <c r="AV167" i="25"/>
  <c r="AY167" i="25"/>
  <c r="BB167" i="25"/>
  <c r="BE167" i="25"/>
  <c r="BH167" i="25"/>
  <c r="BK167" i="25"/>
  <c r="BN167" i="25"/>
  <c r="BQ167" i="25"/>
  <c r="BT167" i="25"/>
  <c r="BW167" i="25"/>
  <c r="BZ167" i="25"/>
  <c r="CC167" i="25"/>
  <c r="CF167" i="25"/>
  <c r="CI167" i="25"/>
  <c r="CL167" i="25"/>
  <c r="CO167" i="25"/>
  <c r="CR167" i="25"/>
  <c r="CU167" i="25"/>
  <c r="CX167" i="25"/>
  <c r="DA167" i="25"/>
  <c r="V168" i="25"/>
  <c r="W168" i="25"/>
  <c r="X168" i="25"/>
  <c r="AA168" i="25"/>
  <c r="AH168" i="25"/>
  <c r="AV168" i="25"/>
  <c r="AY168" i="25"/>
  <c r="BB168" i="25"/>
  <c r="BE168" i="25"/>
  <c r="BH168" i="25"/>
  <c r="BK168" i="25"/>
  <c r="BN168" i="25"/>
  <c r="BQ168" i="25"/>
  <c r="BT168" i="25"/>
  <c r="BW168" i="25"/>
  <c r="BZ168" i="25"/>
  <c r="CC168" i="25"/>
  <c r="CF168" i="25"/>
  <c r="CI168" i="25"/>
  <c r="CL168" i="25"/>
  <c r="CO168" i="25"/>
  <c r="CR168" i="25"/>
  <c r="CU168" i="25"/>
  <c r="CX168" i="25"/>
  <c r="DA168" i="25"/>
  <c r="V169" i="25"/>
  <c r="W169" i="25"/>
  <c r="X169" i="25"/>
  <c r="AA169" i="25"/>
  <c r="AD169" i="25"/>
  <c r="AG169" i="25"/>
  <c r="AH169" i="25"/>
  <c r="AV169" i="25"/>
  <c r="AI169" i="25" s="1"/>
  <c r="AY169" i="25"/>
  <c r="BB169" i="25"/>
  <c r="BE169" i="25"/>
  <c r="BH169" i="25"/>
  <c r="BK169" i="25"/>
  <c r="BN169" i="25"/>
  <c r="BQ169" i="25"/>
  <c r="BT169" i="25"/>
  <c r="BW169" i="25"/>
  <c r="BZ169" i="25"/>
  <c r="CC169" i="25"/>
  <c r="CF169" i="25"/>
  <c r="CI169" i="25"/>
  <c r="CL169" i="25"/>
  <c r="CO169" i="25"/>
  <c r="CR169" i="25"/>
  <c r="CU169" i="25"/>
  <c r="CX169" i="25"/>
  <c r="DA169" i="25"/>
  <c r="V170" i="25"/>
  <c r="W170" i="25"/>
  <c r="X170" i="25"/>
  <c r="AA170" i="25"/>
  <c r="AD170" i="25"/>
  <c r="AG170" i="25"/>
  <c r="AH170" i="25"/>
  <c r="AV170" i="25"/>
  <c r="AI170" i="25" s="1"/>
  <c r="AY170" i="25"/>
  <c r="BB170" i="25"/>
  <c r="BE170" i="25"/>
  <c r="BH170" i="25"/>
  <c r="BK170" i="25"/>
  <c r="BN170" i="25"/>
  <c r="BQ170" i="25"/>
  <c r="BT170" i="25"/>
  <c r="BW170" i="25"/>
  <c r="BZ170" i="25"/>
  <c r="CC170" i="25"/>
  <c r="CF170" i="25"/>
  <c r="CI170" i="25"/>
  <c r="CL170" i="25"/>
  <c r="CO170" i="25"/>
  <c r="CR170" i="25"/>
  <c r="CU170" i="25"/>
  <c r="CX170" i="25"/>
  <c r="DA170" i="25"/>
  <c r="V171" i="25"/>
  <c r="W171" i="25"/>
  <c r="X171" i="25"/>
  <c r="AA171" i="25"/>
  <c r="AB171" i="25"/>
  <c r="AC171" i="25"/>
  <c r="AD171" i="25"/>
  <c r="AE171" i="25"/>
  <c r="AF171" i="25"/>
  <c r="AG171" i="25"/>
  <c r="AH171" i="25"/>
  <c r="AV171" i="25"/>
  <c r="AI171" i="25" s="1"/>
  <c r="AY171" i="25"/>
  <c r="BB171" i="25"/>
  <c r="BE171" i="25"/>
  <c r="BH171" i="25"/>
  <c r="BK171" i="25"/>
  <c r="BN171" i="25"/>
  <c r="BQ171" i="25"/>
  <c r="BT171" i="25"/>
  <c r="BW171" i="25"/>
  <c r="BZ171" i="25"/>
  <c r="CC171" i="25"/>
  <c r="CF171" i="25"/>
  <c r="CI171" i="25"/>
  <c r="CL171" i="25"/>
  <c r="CO171" i="25"/>
  <c r="CR171" i="25"/>
  <c r="CU171" i="25"/>
  <c r="CX171" i="25"/>
  <c r="DA171" i="25"/>
  <c r="V172" i="25"/>
  <c r="W172" i="25"/>
  <c r="X172" i="25"/>
  <c r="AA172" i="25"/>
  <c r="AD172" i="25"/>
  <c r="AG172" i="25"/>
  <c r="AH172" i="25"/>
  <c r="AV172" i="25"/>
  <c r="AI172" i="25" s="1"/>
  <c r="AY172" i="25"/>
  <c r="BB172" i="25"/>
  <c r="BE172" i="25"/>
  <c r="BH172" i="25"/>
  <c r="BK172" i="25"/>
  <c r="BN172" i="25"/>
  <c r="BQ172" i="25"/>
  <c r="BT172" i="25"/>
  <c r="BW172" i="25"/>
  <c r="BZ172" i="25"/>
  <c r="CC172" i="25"/>
  <c r="CF172" i="25"/>
  <c r="CI172" i="25"/>
  <c r="CL172" i="25"/>
  <c r="CO172" i="25"/>
  <c r="CR172" i="25"/>
  <c r="CU172" i="25"/>
  <c r="CX172" i="25"/>
  <c r="DA172" i="25"/>
  <c r="V173" i="25"/>
  <c r="W173" i="25"/>
  <c r="X173" i="25"/>
  <c r="AA173" i="25"/>
  <c r="AD173" i="25"/>
  <c r="AG173" i="25"/>
  <c r="AH173" i="25"/>
  <c r="AV173" i="25"/>
  <c r="AI173" i="25" s="1"/>
  <c r="AY173" i="25"/>
  <c r="BB173" i="25"/>
  <c r="BE173" i="25"/>
  <c r="BH173" i="25"/>
  <c r="BK173" i="25"/>
  <c r="BN173" i="25"/>
  <c r="BQ173" i="25"/>
  <c r="BT173" i="25"/>
  <c r="BW173" i="25"/>
  <c r="BZ173" i="25"/>
  <c r="CC173" i="25"/>
  <c r="CF173" i="25"/>
  <c r="CI173" i="25"/>
  <c r="CL173" i="25"/>
  <c r="CO173" i="25"/>
  <c r="CR173" i="25"/>
  <c r="CU173" i="25"/>
  <c r="CX173" i="25"/>
  <c r="DA173" i="25"/>
  <c r="V174" i="25"/>
  <c r="W174" i="25"/>
  <c r="X174" i="25"/>
  <c r="AA174" i="25"/>
  <c r="AB174" i="25"/>
  <c r="AC174" i="25"/>
  <c r="AD174" i="25"/>
  <c r="AE174" i="25"/>
  <c r="AF174" i="25"/>
  <c r="AG174" i="25"/>
  <c r="AH174" i="25"/>
  <c r="AV174" i="25"/>
  <c r="AI174" i="25" s="1"/>
  <c r="AY174" i="25"/>
  <c r="BB174" i="25"/>
  <c r="BE174" i="25"/>
  <c r="BH174" i="25"/>
  <c r="BK174" i="25"/>
  <c r="BN174" i="25"/>
  <c r="BQ174" i="25"/>
  <c r="BT174" i="25"/>
  <c r="BW174" i="25"/>
  <c r="BZ174" i="25"/>
  <c r="CC174" i="25"/>
  <c r="CF174" i="25"/>
  <c r="CI174" i="25"/>
  <c r="CL174" i="25"/>
  <c r="CO174" i="25"/>
  <c r="CR174" i="25"/>
  <c r="CU174" i="25"/>
  <c r="CX174" i="25"/>
  <c r="DA174" i="25"/>
  <c r="V175" i="25"/>
  <c r="W175" i="25"/>
  <c r="X175" i="25"/>
  <c r="AA175" i="25"/>
  <c r="AB175" i="25"/>
  <c r="AC175" i="25"/>
  <c r="AD175" i="25"/>
  <c r="AE175" i="25"/>
  <c r="AF175" i="25"/>
  <c r="AG175" i="25"/>
  <c r="AH175" i="25"/>
  <c r="AV175" i="25"/>
  <c r="AI175" i="25" s="1"/>
  <c r="AY175" i="25"/>
  <c r="BB175" i="25"/>
  <c r="BE175" i="25"/>
  <c r="BH175" i="25"/>
  <c r="BK175" i="25"/>
  <c r="BN175" i="25"/>
  <c r="BQ175" i="25"/>
  <c r="BT175" i="25"/>
  <c r="BW175" i="25"/>
  <c r="BZ175" i="25"/>
  <c r="CC175" i="25"/>
  <c r="CF175" i="25"/>
  <c r="CI175" i="25"/>
  <c r="CL175" i="25"/>
  <c r="CO175" i="25"/>
  <c r="CR175" i="25"/>
  <c r="CU175" i="25"/>
  <c r="CX175" i="25"/>
  <c r="DA175" i="25"/>
  <c r="V176" i="25"/>
  <c r="W176" i="25"/>
  <c r="X176" i="25"/>
  <c r="AA176" i="25"/>
  <c r="AH176" i="25"/>
  <c r="AV176" i="25"/>
  <c r="AI176" i="25" s="1"/>
  <c r="AY176" i="25"/>
  <c r="BB176" i="25"/>
  <c r="BE176" i="25"/>
  <c r="BH176" i="25"/>
  <c r="BK176" i="25"/>
  <c r="BN176" i="25"/>
  <c r="BQ176" i="25"/>
  <c r="BT176" i="25"/>
  <c r="BW176" i="25"/>
  <c r="BZ176" i="25"/>
  <c r="CC176" i="25"/>
  <c r="CF176" i="25"/>
  <c r="CI176" i="25"/>
  <c r="CL176" i="25"/>
  <c r="CO176" i="25"/>
  <c r="CR176" i="25"/>
  <c r="CU176" i="25"/>
  <c r="CX176" i="25"/>
  <c r="DA176" i="25"/>
  <c r="V177" i="25"/>
  <c r="W177" i="25"/>
  <c r="X177" i="25"/>
  <c r="AA177" i="25"/>
  <c r="AD177" i="25"/>
  <c r="AG177" i="25"/>
  <c r="AH177" i="25"/>
  <c r="AV177" i="25"/>
  <c r="AI177" i="25" s="1"/>
  <c r="AY177" i="25"/>
  <c r="BB177" i="25"/>
  <c r="BE177" i="25"/>
  <c r="BH177" i="25"/>
  <c r="BK177" i="25"/>
  <c r="BN177" i="25"/>
  <c r="BQ177" i="25"/>
  <c r="BT177" i="25"/>
  <c r="BW177" i="25"/>
  <c r="BZ177" i="25"/>
  <c r="CC177" i="25"/>
  <c r="CF177" i="25"/>
  <c r="CI177" i="25"/>
  <c r="CL177" i="25"/>
  <c r="CO177" i="25"/>
  <c r="CR177" i="25"/>
  <c r="CU177" i="25"/>
  <c r="CX177" i="25"/>
  <c r="DA177" i="25"/>
  <c r="V178" i="25"/>
  <c r="W178" i="25"/>
  <c r="X178" i="25"/>
  <c r="AA178" i="25"/>
  <c r="AC178" i="25"/>
  <c r="AD178" i="25"/>
  <c r="AF178" i="25"/>
  <c r="AG178" i="25"/>
  <c r="AH178" i="25"/>
  <c r="AV178" i="25"/>
  <c r="AI178" i="25" s="1"/>
  <c r="AY178" i="25"/>
  <c r="BB178" i="25"/>
  <c r="BE178" i="25"/>
  <c r="BH178" i="25"/>
  <c r="BK178" i="25"/>
  <c r="BN178" i="25"/>
  <c r="BQ178" i="25"/>
  <c r="BT178" i="25"/>
  <c r="BW178" i="25"/>
  <c r="BZ178" i="25"/>
  <c r="CC178" i="25"/>
  <c r="CF178" i="25"/>
  <c r="CI178" i="25"/>
  <c r="CL178" i="25"/>
  <c r="CO178" i="25"/>
  <c r="CR178" i="25"/>
  <c r="CU178" i="25"/>
  <c r="CX178" i="25"/>
  <c r="DA178" i="25"/>
  <c r="V179" i="25"/>
  <c r="W179" i="25"/>
  <c r="X179" i="25"/>
  <c r="AA179" i="25"/>
  <c r="AC179" i="25"/>
  <c r="AD179" i="25"/>
  <c r="AF179" i="25"/>
  <c r="AG179" i="25"/>
  <c r="AH179" i="25"/>
  <c r="AV179" i="25"/>
  <c r="AI179" i="25" s="1"/>
  <c r="AY179" i="25"/>
  <c r="BB179" i="25"/>
  <c r="BE179" i="25"/>
  <c r="BH179" i="25"/>
  <c r="BK179" i="25"/>
  <c r="BN179" i="25"/>
  <c r="BQ179" i="25"/>
  <c r="BT179" i="25"/>
  <c r="BW179" i="25"/>
  <c r="BZ179" i="25"/>
  <c r="CC179" i="25"/>
  <c r="CF179" i="25"/>
  <c r="CI179" i="25"/>
  <c r="CL179" i="25"/>
  <c r="CO179" i="25"/>
  <c r="CR179" i="25"/>
  <c r="CU179" i="25"/>
  <c r="CX179" i="25"/>
  <c r="DA179" i="25"/>
  <c r="V180" i="25"/>
  <c r="W180" i="25"/>
  <c r="X180" i="25"/>
  <c r="AA180" i="25"/>
  <c r="AC180" i="25"/>
  <c r="AD180" i="25"/>
  <c r="AF180" i="25"/>
  <c r="AG180" i="25"/>
  <c r="AH180" i="25"/>
  <c r="AV180" i="25"/>
  <c r="AY180" i="25"/>
  <c r="BB180" i="25"/>
  <c r="BE180" i="25"/>
  <c r="BH180" i="25"/>
  <c r="BK180" i="25"/>
  <c r="BN180" i="25"/>
  <c r="BQ180" i="25"/>
  <c r="BT180" i="25"/>
  <c r="BW180" i="25"/>
  <c r="BZ180" i="25"/>
  <c r="CC180" i="25"/>
  <c r="CF180" i="25"/>
  <c r="CI180" i="25"/>
  <c r="CL180" i="25"/>
  <c r="CO180" i="25"/>
  <c r="CR180" i="25"/>
  <c r="CU180" i="25"/>
  <c r="CX180" i="25"/>
  <c r="DA180" i="25"/>
  <c r="V181" i="25"/>
  <c r="W181" i="25"/>
  <c r="X181" i="25"/>
  <c r="AA181" i="25"/>
  <c r="AC181" i="25"/>
  <c r="AD181" i="25"/>
  <c r="AF181" i="25"/>
  <c r="AG181" i="25"/>
  <c r="AH181" i="25"/>
  <c r="AV181" i="25"/>
  <c r="AI181" i="25" s="1"/>
  <c r="AY181" i="25"/>
  <c r="BB181" i="25"/>
  <c r="BE181" i="25"/>
  <c r="BH181" i="25"/>
  <c r="BK181" i="25"/>
  <c r="BN181" i="25"/>
  <c r="BQ181" i="25"/>
  <c r="BT181" i="25"/>
  <c r="BW181" i="25"/>
  <c r="BZ181" i="25"/>
  <c r="CC181" i="25"/>
  <c r="CF181" i="25"/>
  <c r="CI181" i="25"/>
  <c r="CL181" i="25"/>
  <c r="CO181" i="25"/>
  <c r="CR181" i="25"/>
  <c r="CU181" i="25"/>
  <c r="CX181" i="25"/>
  <c r="DA181" i="25"/>
  <c r="V182" i="25"/>
  <c r="W182" i="25"/>
  <c r="X182" i="25"/>
  <c r="AA182" i="25"/>
  <c r="AC182" i="25"/>
  <c r="AD182" i="25"/>
  <c r="AF182" i="25"/>
  <c r="AG182" i="25"/>
  <c r="AH182" i="25"/>
  <c r="AV182" i="25"/>
  <c r="AY182" i="25"/>
  <c r="BB182" i="25"/>
  <c r="BE182" i="25"/>
  <c r="BH182" i="25"/>
  <c r="BK182" i="25"/>
  <c r="BN182" i="25"/>
  <c r="BQ182" i="25"/>
  <c r="BT182" i="25"/>
  <c r="BW182" i="25"/>
  <c r="BZ182" i="25"/>
  <c r="CC182" i="25"/>
  <c r="CF182" i="25"/>
  <c r="CI182" i="25"/>
  <c r="CL182" i="25"/>
  <c r="CO182" i="25"/>
  <c r="CR182" i="25"/>
  <c r="CU182" i="25"/>
  <c r="CX182" i="25"/>
  <c r="DA182" i="25"/>
  <c r="V183" i="25"/>
  <c r="W183" i="25"/>
  <c r="X183" i="25"/>
  <c r="AA183" i="25"/>
  <c r="AC183" i="25"/>
  <c r="AD183" i="25"/>
  <c r="AF183" i="25"/>
  <c r="AG183" i="25"/>
  <c r="AH183" i="25"/>
  <c r="AV183" i="25"/>
  <c r="AI183" i="25" s="1"/>
  <c r="AY183" i="25"/>
  <c r="BB183" i="25"/>
  <c r="BE183" i="25"/>
  <c r="BH183" i="25"/>
  <c r="BK183" i="25"/>
  <c r="BN183" i="25"/>
  <c r="BQ183" i="25"/>
  <c r="BT183" i="25"/>
  <c r="BW183" i="25"/>
  <c r="BZ183" i="25"/>
  <c r="CC183" i="25"/>
  <c r="CF183" i="25"/>
  <c r="CI183" i="25"/>
  <c r="CL183" i="25"/>
  <c r="CO183" i="25"/>
  <c r="CR183" i="25"/>
  <c r="CU183" i="25"/>
  <c r="CX183" i="25"/>
  <c r="DA183" i="25"/>
  <c r="V184" i="25"/>
  <c r="W184" i="25"/>
  <c r="X184" i="25"/>
  <c r="AA184" i="25"/>
  <c r="AC184" i="25"/>
  <c r="AD184" i="25"/>
  <c r="AF184" i="25"/>
  <c r="AG184" i="25"/>
  <c r="AH184" i="25"/>
  <c r="AV184" i="25"/>
  <c r="AY184" i="25"/>
  <c r="BB184" i="25"/>
  <c r="BE184" i="25"/>
  <c r="BH184" i="25"/>
  <c r="BK184" i="25"/>
  <c r="BN184" i="25"/>
  <c r="BQ184" i="25"/>
  <c r="BT184" i="25"/>
  <c r="BW184" i="25"/>
  <c r="BZ184" i="25"/>
  <c r="CC184" i="25"/>
  <c r="CF184" i="25"/>
  <c r="CI184" i="25"/>
  <c r="CL184" i="25"/>
  <c r="CO184" i="25"/>
  <c r="CR184" i="25"/>
  <c r="CU184" i="25"/>
  <c r="CX184" i="25"/>
  <c r="DA184" i="25"/>
  <c r="V185" i="25"/>
  <c r="W185" i="25"/>
  <c r="X185" i="25"/>
  <c r="AA185" i="25"/>
  <c r="AB185" i="25"/>
  <c r="AC185" i="25"/>
  <c r="AD185" i="25"/>
  <c r="AE185" i="25"/>
  <c r="AF185" i="25"/>
  <c r="AG185" i="25"/>
  <c r="AH185" i="25"/>
  <c r="AV185" i="25"/>
  <c r="AI185" i="25" s="1"/>
  <c r="AY185" i="25"/>
  <c r="BB185" i="25"/>
  <c r="BE185" i="25"/>
  <c r="BH185" i="25"/>
  <c r="BK185" i="25"/>
  <c r="BN185" i="25"/>
  <c r="BQ185" i="25"/>
  <c r="BT185" i="25"/>
  <c r="BW185" i="25"/>
  <c r="BZ185" i="25"/>
  <c r="CC185" i="25"/>
  <c r="CF185" i="25"/>
  <c r="CI185" i="25"/>
  <c r="CL185" i="25"/>
  <c r="CO185" i="25"/>
  <c r="CR185" i="25"/>
  <c r="CU185" i="25"/>
  <c r="CX185" i="25"/>
  <c r="DA185" i="25"/>
  <c r="V186" i="25"/>
  <c r="W186" i="25"/>
  <c r="X186" i="25"/>
  <c r="AA186" i="25"/>
  <c r="AB186" i="25"/>
  <c r="AC186" i="25"/>
  <c r="AD186" i="25"/>
  <c r="AE186" i="25"/>
  <c r="AF186" i="25"/>
  <c r="AG186" i="25"/>
  <c r="AH186" i="25"/>
  <c r="AV186" i="25"/>
  <c r="AY186" i="25"/>
  <c r="BB186" i="25"/>
  <c r="BE186" i="25"/>
  <c r="BH186" i="25"/>
  <c r="BK186" i="25"/>
  <c r="BN186" i="25"/>
  <c r="BQ186" i="25"/>
  <c r="BT186" i="25"/>
  <c r="BW186" i="25"/>
  <c r="BZ186" i="25"/>
  <c r="CC186" i="25"/>
  <c r="CF186" i="25"/>
  <c r="CI186" i="25"/>
  <c r="CL186" i="25"/>
  <c r="CO186" i="25"/>
  <c r="CR186" i="25"/>
  <c r="CU186" i="25"/>
  <c r="CX186" i="25"/>
  <c r="DA186" i="25"/>
  <c r="V187" i="25"/>
  <c r="W187" i="25"/>
  <c r="X187" i="25"/>
  <c r="AA187" i="25"/>
  <c r="AB187" i="25"/>
  <c r="AC187" i="25"/>
  <c r="AD187" i="25"/>
  <c r="AE187" i="25"/>
  <c r="AF187" i="25"/>
  <c r="AG187" i="25"/>
  <c r="AH187" i="25"/>
  <c r="AV187" i="25"/>
  <c r="AI187" i="25" s="1"/>
  <c r="AY187" i="25"/>
  <c r="BB187" i="25"/>
  <c r="BE187" i="25"/>
  <c r="BH187" i="25"/>
  <c r="BK187" i="25"/>
  <c r="BN187" i="25"/>
  <c r="BQ187" i="25"/>
  <c r="BT187" i="25"/>
  <c r="BW187" i="25"/>
  <c r="BZ187" i="25"/>
  <c r="CC187" i="25"/>
  <c r="CF187" i="25"/>
  <c r="CI187" i="25"/>
  <c r="CL187" i="25"/>
  <c r="CO187" i="25"/>
  <c r="CR187" i="25"/>
  <c r="CU187" i="25"/>
  <c r="CX187" i="25"/>
  <c r="DA187" i="25"/>
  <c r="V188" i="25"/>
  <c r="W188" i="25"/>
  <c r="X188" i="25"/>
  <c r="AA188" i="25"/>
  <c r="AC188" i="25"/>
  <c r="AD188" i="25"/>
  <c r="AF188" i="25"/>
  <c r="AG188" i="25"/>
  <c r="AH188" i="25"/>
  <c r="AV188" i="25"/>
  <c r="AY188" i="25"/>
  <c r="BB188" i="25"/>
  <c r="BE188" i="25"/>
  <c r="BH188" i="25"/>
  <c r="BK188" i="25"/>
  <c r="BN188" i="25"/>
  <c r="BQ188" i="25"/>
  <c r="BT188" i="25"/>
  <c r="BW188" i="25"/>
  <c r="BZ188" i="25"/>
  <c r="CC188" i="25"/>
  <c r="CF188" i="25"/>
  <c r="CI188" i="25"/>
  <c r="CL188" i="25"/>
  <c r="CO188" i="25"/>
  <c r="CR188" i="25"/>
  <c r="CU188" i="25"/>
  <c r="CX188" i="25"/>
  <c r="DA188" i="25"/>
  <c r="V189" i="25"/>
  <c r="W189" i="25"/>
  <c r="X189" i="25"/>
  <c r="AA189" i="25"/>
  <c r="AD189" i="25"/>
  <c r="AG189" i="25"/>
  <c r="AH189" i="25"/>
  <c r="AV189" i="25"/>
  <c r="AI189" i="25" s="1"/>
  <c r="AY189" i="25"/>
  <c r="BB189" i="25"/>
  <c r="BE189" i="25"/>
  <c r="BH189" i="25"/>
  <c r="BK189" i="25"/>
  <c r="BN189" i="25"/>
  <c r="BQ189" i="25"/>
  <c r="BT189" i="25"/>
  <c r="BW189" i="25"/>
  <c r="BZ189" i="25"/>
  <c r="CC189" i="25"/>
  <c r="CF189" i="25"/>
  <c r="CI189" i="25"/>
  <c r="CL189" i="25"/>
  <c r="CO189" i="25"/>
  <c r="CR189" i="25"/>
  <c r="CU189" i="25"/>
  <c r="CX189" i="25"/>
  <c r="DA189" i="25"/>
  <c r="V190" i="25"/>
  <c r="W190" i="25"/>
  <c r="X190" i="25"/>
  <c r="AA190" i="25"/>
  <c r="AB190" i="25"/>
  <c r="AC190" i="25"/>
  <c r="AD190" i="25"/>
  <c r="AE190" i="25"/>
  <c r="AF190" i="25"/>
  <c r="AG190" i="25"/>
  <c r="AH190" i="25"/>
  <c r="AV190" i="25"/>
  <c r="AY190" i="25"/>
  <c r="BB190" i="25"/>
  <c r="BE190" i="25"/>
  <c r="BH190" i="25"/>
  <c r="BK190" i="25"/>
  <c r="BN190" i="25"/>
  <c r="BQ190" i="25"/>
  <c r="BT190" i="25"/>
  <c r="BW190" i="25"/>
  <c r="BZ190" i="25"/>
  <c r="CC190" i="25"/>
  <c r="CF190" i="25"/>
  <c r="CI190" i="25"/>
  <c r="CL190" i="25"/>
  <c r="CO190" i="25"/>
  <c r="CR190" i="25"/>
  <c r="CU190" i="25"/>
  <c r="CX190" i="25"/>
  <c r="DA190" i="25"/>
  <c r="V191" i="25"/>
  <c r="W191" i="25"/>
  <c r="X191" i="25"/>
  <c r="AA191" i="25"/>
  <c r="AB191" i="25"/>
  <c r="AC191" i="25"/>
  <c r="AD191" i="25"/>
  <c r="AE191" i="25"/>
  <c r="AF191" i="25"/>
  <c r="AG191" i="25"/>
  <c r="AH191" i="25"/>
  <c r="AV191" i="25"/>
  <c r="AI191" i="25" s="1"/>
  <c r="AY191" i="25"/>
  <c r="BB191" i="25"/>
  <c r="BE191" i="25"/>
  <c r="BH191" i="25"/>
  <c r="BK191" i="25"/>
  <c r="BN191" i="25"/>
  <c r="BQ191" i="25"/>
  <c r="BT191" i="25"/>
  <c r="BW191" i="25"/>
  <c r="BZ191" i="25"/>
  <c r="CC191" i="25"/>
  <c r="CF191" i="25"/>
  <c r="CI191" i="25"/>
  <c r="CL191" i="25"/>
  <c r="CO191" i="25"/>
  <c r="CR191" i="25"/>
  <c r="CU191" i="25"/>
  <c r="CX191" i="25"/>
  <c r="DA191" i="25"/>
  <c r="V192" i="25"/>
  <c r="W192" i="25"/>
  <c r="X192" i="25"/>
  <c r="AA192" i="25"/>
  <c r="AC192" i="25"/>
  <c r="AD192" i="25"/>
  <c r="AF192" i="25"/>
  <c r="AG192" i="25"/>
  <c r="AH192" i="25"/>
  <c r="AV192" i="25"/>
  <c r="AY192" i="25"/>
  <c r="BB192" i="25"/>
  <c r="BE192" i="25"/>
  <c r="BH192" i="25"/>
  <c r="BK192" i="25"/>
  <c r="BN192" i="25"/>
  <c r="BQ192" i="25"/>
  <c r="BT192" i="25"/>
  <c r="BW192" i="25"/>
  <c r="BZ192" i="25"/>
  <c r="CC192" i="25"/>
  <c r="CF192" i="25"/>
  <c r="CI192" i="25"/>
  <c r="CL192" i="25"/>
  <c r="CO192" i="25"/>
  <c r="CR192" i="25"/>
  <c r="CU192" i="25"/>
  <c r="CX192" i="25"/>
  <c r="DA192" i="25"/>
  <c r="V193" i="25"/>
  <c r="W193" i="25"/>
  <c r="X193" i="25"/>
  <c r="AA193" i="25"/>
  <c r="AB193" i="25"/>
  <c r="AC193" i="25"/>
  <c r="AD193" i="25"/>
  <c r="AE193" i="25"/>
  <c r="AF193" i="25"/>
  <c r="AG193" i="25"/>
  <c r="AH193" i="25"/>
  <c r="AV193" i="25"/>
  <c r="AI193" i="25" s="1"/>
  <c r="AY193" i="25"/>
  <c r="BB193" i="25"/>
  <c r="BE193" i="25"/>
  <c r="BH193" i="25"/>
  <c r="BK193" i="25"/>
  <c r="BN193" i="25"/>
  <c r="BQ193" i="25"/>
  <c r="BT193" i="25"/>
  <c r="BW193" i="25"/>
  <c r="BZ193" i="25"/>
  <c r="CC193" i="25"/>
  <c r="CF193" i="25"/>
  <c r="CI193" i="25"/>
  <c r="CL193" i="25"/>
  <c r="CO193" i="25"/>
  <c r="CR193" i="25"/>
  <c r="CU193" i="25"/>
  <c r="CX193" i="25"/>
  <c r="DA193" i="25"/>
  <c r="V194" i="25"/>
  <c r="W194" i="25"/>
  <c r="X194" i="25"/>
  <c r="AA194" i="25"/>
  <c r="AD194" i="25"/>
  <c r="AG194" i="25"/>
  <c r="AH194" i="25"/>
  <c r="AV194" i="25"/>
  <c r="AY194" i="25"/>
  <c r="BB194" i="25"/>
  <c r="BE194" i="25"/>
  <c r="BH194" i="25"/>
  <c r="BK194" i="25"/>
  <c r="BN194" i="25"/>
  <c r="BQ194" i="25"/>
  <c r="BT194" i="25"/>
  <c r="BW194" i="25"/>
  <c r="BZ194" i="25"/>
  <c r="CC194" i="25"/>
  <c r="CF194" i="25"/>
  <c r="CI194" i="25"/>
  <c r="CL194" i="25"/>
  <c r="CO194" i="25"/>
  <c r="CR194" i="25"/>
  <c r="CU194" i="25"/>
  <c r="CX194" i="25"/>
  <c r="DA194" i="25"/>
  <c r="V195" i="25"/>
  <c r="W195" i="25"/>
  <c r="X195" i="25"/>
  <c r="AA195" i="25"/>
  <c r="AD195" i="25"/>
  <c r="AG195" i="25"/>
  <c r="AH195" i="25"/>
  <c r="AV195" i="25"/>
  <c r="AI195" i="25" s="1"/>
  <c r="AY195" i="25"/>
  <c r="BB195" i="25"/>
  <c r="BE195" i="25"/>
  <c r="BH195" i="25"/>
  <c r="BK195" i="25"/>
  <c r="BN195" i="25"/>
  <c r="BQ195" i="25"/>
  <c r="BT195" i="25"/>
  <c r="BW195" i="25"/>
  <c r="BZ195" i="25"/>
  <c r="CC195" i="25"/>
  <c r="CF195" i="25"/>
  <c r="CI195" i="25"/>
  <c r="CL195" i="25"/>
  <c r="CO195" i="25"/>
  <c r="CR195" i="25"/>
  <c r="CU195" i="25"/>
  <c r="CX195" i="25"/>
  <c r="DA195" i="25"/>
  <c r="V196" i="25"/>
  <c r="W196" i="25"/>
  <c r="X196" i="25"/>
  <c r="AA196" i="25"/>
  <c r="AC196" i="25"/>
  <c r="AD196" i="25"/>
  <c r="AF196" i="25"/>
  <c r="AG196" i="25"/>
  <c r="AH196" i="25"/>
  <c r="AV196" i="25"/>
  <c r="AY196" i="25"/>
  <c r="BB196" i="25"/>
  <c r="BE196" i="25"/>
  <c r="BH196" i="25"/>
  <c r="BK196" i="25"/>
  <c r="BN196" i="25"/>
  <c r="BQ196" i="25"/>
  <c r="BT196" i="25"/>
  <c r="BW196" i="25"/>
  <c r="BZ196" i="25"/>
  <c r="CC196" i="25"/>
  <c r="CF196" i="25"/>
  <c r="CI196" i="25"/>
  <c r="CL196" i="25"/>
  <c r="CO196" i="25"/>
  <c r="CR196" i="25"/>
  <c r="CU196" i="25"/>
  <c r="CX196" i="25"/>
  <c r="DA196" i="25"/>
  <c r="V197" i="25"/>
  <c r="W197" i="25"/>
  <c r="X197" i="25"/>
  <c r="AA197" i="25"/>
  <c r="AB197" i="25"/>
  <c r="AC197" i="25"/>
  <c r="AD197" i="25"/>
  <c r="AE197" i="25"/>
  <c r="AF197" i="25"/>
  <c r="AG197" i="25"/>
  <c r="AH197" i="25"/>
  <c r="AV197" i="25"/>
  <c r="AY197" i="25"/>
  <c r="BB197" i="25"/>
  <c r="BE197" i="25"/>
  <c r="BH197" i="25"/>
  <c r="BK197" i="25"/>
  <c r="BN197" i="25"/>
  <c r="BQ197" i="25"/>
  <c r="BT197" i="25"/>
  <c r="BW197" i="25"/>
  <c r="BZ197" i="25"/>
  <c r="CC197" i="25"/>
  <c r="CF197" i="25"/>
  <c r="CI197" i="25"/>
  <c r="CL197" i="25"/>
  <c r="CO197" i="25"/>
  <c r="CR197" i="25"/>
  <c r="CU197" i="25"/>
  <c r="CX197" i="25"/>
  <c r="DA197" i="25"/>
  <c r="V198" i="25"/>
  <c r="W198" i="25"/>
  <c r="X198" i="25"/>
  <c r="AA198" i="25"/>
  <c r="AB198" i="25"/>
  <c r="AC198" i="25"/>
  <c r="AD198" i="25"/>
  <c r="AE198" i="25"/>
  <c r="AF198" i="25"/>
  <c r="AG198" i="25"/>
  <c r="AH198" i="25"/>
  <c r="AV198" i="25"/>
  <c r="AY198" i="25"/>
  <c r="BB198" i="25"/>
  <c r="BE198" i="25"/>
  <c r="BH198" i="25"/>
  <c r="BK198" i="25"/>
  <c r="BN198" i="25"/>
  <c r="BQ198" i="25"/>
  <c r="BT198" i="25"/>
  <c r="BW198" i="25"/>
  <c r="BZ198" i="25"/>
  <c r="CC198" i="25"/>
  <c r="CF198" i="25"/>
  <c r="CI198" i="25"/>
  <c r="CL198" i="25"/>
  <c r="CO198" i="25"/>
  <c r="CR198" i="25"/>
  <c r="CU198" i="25"/>
  <c r="CX198" i="25"/>
  <c r="DA198" i="25"/>
  <c r="V199" i="25"/>
  <c r="W199" i="25"/>
  <c r="X199" i="25"/>
  <c r="AA199" i="25"/>
  <c r="AB199" i="25"/>
  <c r="AC199" i="25"/>
  <c r="AD199" i="25"/>
  <c r="AE199" i="25"/>
  <c r="AF199" i="25"/>
  <c r="AG199" i="25"/>
  <c r="AH199" i="25"/>
  <c r="AV199" i="25"/>
  <c r="AY199" i="25"/>
  <c r="BB199" i="25"/>
  <c r="BE199" i="25"/>
  <c r="BH199" i="25"/>
  <c r="BK199" i="25"/>
  <c r="BN199" i="25"/>
  <c r="BQ199" i="25"/>
  <c r="BT199" i="25"/>
  <c r="BW199" i="25"/>
  <c r="BZ199" i="25"/>
  <c r="CC199" i="25"/>
  <c r="CF199" i="25"/>
  <c r="CI199" i="25"/>
  <c r="CL199" i="25"/>
  <c r="CO199" i="25"/>
  <c r="CR199" i="25"/>
  <c r="CU199" i="25"/>
  <c r="CX199" i="25"/>
  <c r="DA199" i="25"/>
  <c r="V200" i="25"/>
  <c r="W200" i="25"/>
  <c r="X200" i="25"/>
  <c r="AA200" i="25"/>
  <c r="AB200" i="25"/>
  <c r="AC200" i="25"/>
  <c r="AD200" i="25"/>
  <c r="AE200" i="25"/>
  <c r="AF200" i="25"/>
  <c r="AG200" i="25"/>
  <c r="AH200" i="25"/>
  <c r="AV200" i="25"/>
  <c r="AI200" i="25" s="1"/>
  <c r="AY200" i="25"/>
  <c r="BB200" i="25"/>
  <c r="BE200" i="25"/>
  <c r="BH200" i="25"/>
  <c r="BK200" i="25"/>
  <c r="BN200" i="25"/>
  <c r="BQ200" i="25"/>
  <c r="BT200" i="25"/>
  <c r="BW200" i="25"/>
  <c r="BZ200" i="25"/>
  <c r="CC200" i="25"/>
  <c r="CF200" i="25"/>
  <c r="CI200" i="25"/>
  <c r="CL200" i="25"/>
  <c r="CO200" i="25"/>
  <c r="CR200" i="25"/>
  <c r="CU200" i="25"/>
  <c r="CX200" i="25"/>
  <c r="DA200" i="25"/>
  <c r="V201" i="25"/>
  <c r="W201" i="25"/>
  <c r="X201" i="25"/>
  <c r="AA201" i="25"/>
  <c r="AC201" i="25"/>
  <c r="AD201" i="25"/>
  <c r="AF201" i="25"/>
  <c r="AG201" i="25"/>
  <c r="AH201" i="25"/>
  <c r="AV201" i="25"/>
  <c r="AY201" i="25"/>
  <c r="BB201" i="25"/>
  <c r="BE201" i="25"/>
  <c r="BH201" i="25"/>
  <c r="BK201" i="25"/>
  <c r="BN201" i="25"/>
  <c r="BQ201" i="25"/>
  <c r="BT201" i="25"/>
  <c r="BW201" i="25"/>
  <c r="BZ201" i="25"/>
  <c r="CC201" i="25"/>
  <c r="CF201" i="25"/>
  <c r="CI201" i="25"/>
  <c r="CL201" i="25"/>
  <c r="CO201" i="25"/>
  <c r="CR201" i="25"/>
  <c r="CU201" i="25"/>
  <c r="CX201" i="25"/>
  <c r="DA201" i="25"/>
  <c r="V202" i="25"/>
  <c r="W202" i="25"/>
  <c r="X202" i="25"/>
  <c r="AA202" i="25"/>
  <c r="AB202" i="25"/>
  <c r="AC202" i="25"/>
  <c r="AD202" i="25"/>
  <c r="AE202" i="25"/>
  <c r="AF202" i="25"/>
  <c r="AG202" i="25"/>
  <c r="AH202" i="25"/>
  <c r="AV202" i="25"/>
  <c r="AI202" i="25" s="1"/>
  <c r="AY202" i="25"/>
  <c r="BB202" i="25"/>
  <c r="BE202" i="25"/>
  <c r="BH202" i="25"/>
  <c r="BK202" i="25"/>
  <c r="BN202" i="25"/>
  <c r="BQ202" i="25"/>
  <c r="BT202" i="25"/>
  <c r="BW202" i="25"/>
  <c r="BZ202" i="25"/>
  <c r="CC202" i="25"/>
  <c r="CF202" i="25"/>
  <c r="CI202" i="25"/>
  <c r="CL202" i="25"/>
  <c r="CO202" i="25"/>
  <c r="CR202" i="25"/>
  <c r="CU202" i="25"/>
  <c r="CX202" i="25"/>
  <c r="DA202" i="25"/>
  <c r="V203" i="25"/>
  <c r="W203" i="25"/>
  <c r="X203" i="25"/>
  <c r="AA203" i="25"/>
  <c r="AD203" i="25"/>
  <c r="AG203" i="25"/>
  <c r="AH203" i="25"/>
  <c r="AV203" i="25"/>
  <c r="AI203" i="25" s="1"/>
  <c r="AY203" i="25"/>
  <c r="BB203" i="25"/>
  <c r="BE203" i="25"/>
  <c r="BH203" i="25"/>
  <c r="BK203" i="25"/>
  <c r="BN203" i="25"/>
  <c r="BQ203" i="25"/>
  <c r="BT203" i="25"/>
  <c r="BW203" i="25"/>
  <c r="BZ203" i="25"/>
  <c r="CC203" i="25"/>
  <c r="CF203" i="25"/>
  <c r="CI203" i="25"/>
  <c r="CL203" i="25"/>
  <c r="CO203" i="25"/>
  <c r="CR203" i="25"/>
  <c r="CU203" i="25"/>
  <c r="CX203" i="25"/>
  <c r="DA203" i="25"/>
  <c r="V204" i="25"/>
  <c r="W204" i="25"/>
  <c r="X204" i="25"/>
  <c r="AA204" i="25"/>
  <c r="AD204" i="25"/>
  <c r="AG204" i="25"/>
  <c r="AH204" i="25"/>
  <c r="AV204" i="25"/>
  <c r="AI204" i="25" s="1"/>
  <c r="AY204" i="25"/>
  <c r="BB204" i="25"/>
  <c r="BE204" i="25"/>
  <c r="BH204" i="25"/>
  <c r="BK204" i="25"/>
  <c r="BN204" i="25"/>
  <c r="BQ204" i="25"/>
  <c r="BT204" i="25"/>
  <c r="BW204" i="25"/>
  <c r="BZ204" i="25"/>
  <c r="CC204" i="25"/>
  <c r="CF204" i="25"/>
  <c r="CI204" i="25"/>
  <c r="CL204" i="25"/>
  <c r="CO204" i="25"/>
  <c r="CR204" i="25"/>
  <c r="CU204" i="25"/>
  <c r="CX204" i="25"/>
  <c r="DA204" i="25"/>
  <c r="V205" i="25"/>
  <c r="W205" i="25"/>
  <c r="X205" i="25"/>
  <c r="AA205" i="25"/>
  <c r="AH205" i="25"/>
  <c r="AV205" i="25"/>
  <c r="AY205" i="25"/>
  <c r="BB205" i="25"/>
  <c r="BE205" i="25"/>
  <c r="BH205" i="25"/>
  <c r="BK205" i="25"/>
  <c r="BN205" i="25"/>
  <c r="BQ205" i="25"/>
  <c r="BT205" i="25"/>
  <c r="BW205" i="25"/>
  <c r="BZ205" i="25"/>
  <c r="CC205" i="25"/>
  <c r="CF205" i="25"/>
  <c r="CI205" i="25"/>
  <c r="CL205" i="25"/>
  <c r="CO205" i="25"/>
  <c r="CR205" i="25"/>
  <c r="CU205" i="25"/>
  <c r="CX205" i="25"/>
  <c r="DA205" i="25"/>
  <c r="V206" i="25"/>
  <c r="W206" i="25"/>
  <c r="X206" i="25"/>
  <c r="AA206" i="25"/>
  <c r="AH206" i="25"/>
  <c r="AI206" i="25"/>
  <c r="AZ206" i="25" s="1"/>
  <c r="AV206" i="25"/>
  <c r="AY206" i="25"/>
  <c r="BB206" i="25"/>
  <c r="BE206" i="25"/>
  <c r="BH206" i="25"/>
  <c r="BK206" i="25"/>
  <c r="BN206" i="25"/>
  <c r="BQ206" i="25"/>
  <c r="BT206" i="25"/>
  <c r="BW206" i="25"/>
  <c r="BZ206" i="25"/>
  <c r="CC206" i="25"/>
  <c r="CF206" i="25"/>
  <c r="CI206" i="25"/>
  <c r="CL206" i="25"/>
  <c r="CO206" i="25"/>
  <c r="CR206" i="25"/>
  <c r="CU206" i="25"/>
  <c r="CX206" i="25"/>
  <c r="DA206" i="25"/>
  <c r="V207" i="25"/>
  <c r="W207" i="25"/>
  <c r="X207" i="25"/>
  <c r="AA207" i="25"/>
  <c r="AH207" i="25"/>
  <c r="AV207" i="25"/>
  <c r="AI207" i="25" s="1"/>
  <c r="AY207" i="25"/>
  <c r="BB207" i="25"/>
  <c r="BE207" i="25"/>
  <c r="BH207" i="25"/>
  <c r="BK207" i="25"/>
  <c r="BN207" i="25"/>
  <c r="BQ207" i="25"/>
  <c r="BT207" i="25"/>
  <c r="BW207" i="25"/>
  <c r="BZ207" i="25"/>
  <c r="CC207" i="25"/>
  <c r="CF207" i="25"/>
  <c r="CI207" i="25"/>
  <c r="CL207" i="25"/>
  <c r="CO207" i="25"/>
  <c r="CR207" i="25"/>
  <c r="CU207" i="25"/>
  <c r="CX207" i="25"/>
  <c r="DA207" i="25"/>
  <c r="V208" i="25"/>
  <c r="W208" i="25"/>
  <c r="X208" i="25"/>
  <c r="AA208" i="25"/>
  <c r="AH208" i="25"/>
  <c r="AV208" i="25"/>
  <c r="AY208" i="25"/>
  <c r="BB208" i="25"/>
  <c r="BE208" i="25"/>
  <c r="BH208" i="25"/>
  <c r="BK208" i="25"/>
  <c r="BN208" i="25"/>
  <c r="BQ208" i="25"/>
  <c r="BT208" i="25"/>
  <c r="BW208" i="25"/>
  <c r="BZ208" i="25"/>
  <c r="CC208" i="25"/>
  <c r="CF208" i="25"/>
  <c r="CI208" i="25"/>
  <c r="CL208" i="25"/>
  <c r="CO208" i="25"/>
  <c r="CR208" i="25"/>
  <c r="CU208" i="25"/>
  <c r="CX208" i="25"/>
  <c r="DA208" i="25"/>
  <c r="V209" i="25"/>
  <c r="W209" i="25"/>
  <c r="X209" i="25"/>
  <c r="AA209" i="25"/>
  <c r="AH209" i="25"/>
  <c r="AV209" i="25"/>
  <c r="AY209" i="25"/>
  <c r="BB209" i="25"/>
  <c r="BE209" i="25"/>
  <c r="BH209" i="25"/>
  <c r="BK209" i="25"/>
  <c r="BN209" i="25"/>
  <c r="BQ209" i="25"/>
  <c r="BT209" i="25"/>
  <c r="BW209" i="25"/>
  <c r="BZ209" i="25"/>
  <c r="CC209" i="25"/>
  <c r="CF209" i="25"/>
  <c r="CI209" i="25"/>
  <c r="CL209" i="25"/>
  <c r="CO209" i="25"/>
  <c r="CR209" i="25"/>
  <c r="CU209" i="25"/>
  <c r="CX209" i="25"/>
  <c r="DA209" i="25"/>
  <c r="V210" i="25"/>
  <c r="W210" i="25"/>
  <c r="X210" i="25"/>
  <c r="AA210" i="25"/>
  <c r="AC210" i="25"/>
  <c r="AD210" i="25"/>
  <c r="AF210" i="25"/>
  <c r="AG210" i="25"/>
  <c r="AH210" i="25"/>
  <c r="AV210" i="25"/>
  <c r="AI210" i="25" s="1"/>
  <c r="AY210" i="25"/>
  <c r="BB210" i="25"/>
  <c r="BE210" i="25"/>
  <c r="BH210" i="25"/>
  <c r="BK210" i="25"/>
  <c r="BN210" i="25"/>
  <c r="BQ210" i="25"/>
  <c r="BT210" i="25"/>
  <c r="BW210" i="25"/>
  <c r="BZ210" i="25"/>
  <c r="CC210" i="25"/>
  <c r="CF210" i="25"/>
  <c r="CI210" i="25"/>
  <c r="CL210" i="25"/>
  <c r="CO210" i="25"/>
  <c r="CR210" i="25"/>
  <c r="CU210" i="25"/>
  <c r="CX210" i="25"/>
  <c r="DA210" i="25"/>
  <c r="V211" i="25"/>
  <c r="W211" i="25"/>
  <c r="X211" i="25"/>
  <c r="AA211" i="25"/>
  <c r="AB211" i="25"/>
  <c r="AC211" i="25"/>
  <c r="AD211" i="25"/>
  <c r="AE211" i="25"/>
  <c r="AF211" i="25"/>
  <c r="AG211" i="25"/>
  <c r="AH211" i="25"/>
  <c r="AV211" i="25"/>
  <c r="AY211" i="25"/>
  <c r="BB211" i="25"/>
  <c r="BE211" i="25"/>
  <c r="BH211" i="25"/>
  <c r="BK211" i="25"/>
  <c r="BN211" i="25"/>
  <c r="BQ211" i="25"/>
  <c r="BT211" i="25"/>
  <c r="BW211" i="25"/>
  <c r="BZ211" i="25"/>
  <c r="CC211" i="25"/>
  <c r="CF211" i="25"/>
  <c r="CI211" i="25"/>
  <c r="CL211" i="25"/>
  <c r="CO211" i="25"/>
  <c r="CR211" i="25"/>
  <c r="CU211" i="25"/>
  <c r="CX211" i="25"/>
  <c r="DA211" i="25"/>
  <c r="V212" i="25"/>
  <c r="W212" i="25"/>
  <c r="X212" i="25"/>
  <c r="AA212" i="25"/>
  <c r="AC212" i="25"/>
  <c r="AD212" i="25"/>
  <c r="AF212" i="25"/>
  <c r="AG212" i="25"/>
  <c r="AH212" i="25"/>
  <c r="AV212" i="25"/>
  <c r="AI212" i="25" s="1"/>
  <c r="AY212" i="25"/>
  <c r="BB212" i="25"/>
  <c r="BE212" i="25"/>
  <c r="BH212" i="25"/>
  <c r="BK212" i="25"/>
  <c r="BN212" i="25"/>
  <c r="BQ212" i="25"/>
  <c r="BT212" i="25"/>
  <c r="BW212" i="25"/>
  <c r="BZ212" i="25"/>
  <c r="CC212" i="25"/>
  <c r="CF212" i="25"/>
  <c r="CI212" i="25"/>
  <c r="CL212" i="25"/>
  <c r="CO212" i="25"/>
  <c r="CR212" i="25"/>
  <c r="CU212" i="25"/>
  <c r="CX212" i="25"/>
  <c r="DA212" i="25"/>
  <c r="V213" i="25"/>
  <c r="W213" i="25"/>
  <c r="X213" i="25"/>
  <c r="AA213" i="25"/>
  <c r="AB213" i="25"/>
  <c r="AC213" i="25"/>
  <c r="AD213" i="25"/>
  <c r="AE213" i="25"/>
  <c r="AF213" i="25"/>
  <c r="AG213" i="25"/>
  <c r="AH213" i="25"/>
  <c r="AV213" i="25"/>
  <c r="AY213" i="25"/>
  <c r="BB213" i="25"/>
  <c r="BE213" i="25"/>
  <c r="BH213" i="25"/>
  <c r="BK213" i="25"/>
  <c r="BN213" i="25"/>
  <c r="BQ213" i="25"/>
  <c r="BT213" i="25"/>
  <c r="BW213" i="25"/>
  <c r="BZ213" i="25"/>
  <c r="CC213" i="25"/>
  <c r="CF213" i="25"/>
  <c r="CI213" i="25"/>
  <c r="CL213" i="25"/>
  <c r="CO213" i="25"/>
  <c r="CR213" i="25"/>
  <c r="CU213" i="25"/>
  <c r="CX213" i="25"/>
  <c r="DA213" i="25"/>
  <c r="V214" i="25"/>
  <c r="W214" i="25"/>
  <c r="X214" i="25"/>
  <c r="AA214" i="25"/>
  <c r="AB214" i="25"/>
  <c r="AC214" i="25"/>
  <c r="AD214" i="25"/>
  <c r="AE214" i="25"/>
  <c r="AF214" i="25"/>
  <c r="AG214" i="25"/>
  <c r="AH214" i="25"/>
  <c r="AV214" i="25"/>
  <c r="AY214" i="25"/>
  <c r="BB214" i="25"/>
  <c r="BE214" i="25"/>
  <c r="BH214" i="25"/>
  <c r="BK214" i="25"/>
  <c r="BN214" i="25"/>
  <c r="BQ214" i="25"/>
  <c r="BT214" i="25"/>
  <c r="BW214" i="25"/>
  <c r="BZ214" i="25"/>
  <c r="CC214" i="25"/>
  <c r="CF214" i="25"/>
  <c r="CI214" i="25"/>
  <c r="CL214" i="25"/>
  <c r="CO214" i="25"/>
  <c r="CR214" i="25"/>
  <c r="CU214" i="25"/>
  <c r="CX214" i="25"/>
  <c r="DA214" i="25"/>
  <c r="V215" i="25"/>
  <c r="W215" i="25"/>
  <c r="X215" i="25"/>
  <c r="AA215" i="25"/>
  <c r="AB215" i="25"/>
  <c r="AC215" i="25"/>
  <c r="AD215" i="25"/>
  <c r="AE215" i="25"/>
  <c r="AF215" i="25"/>
  <c r="AG215" i="25"/>
  <c r="AH215" i="25"/>
  <c r="AV215" i="25"/>
  <c r="AY215" i="25"/>
  <c r="BB215" i="25"/>
  <c r="BE215" i="25"/>
  <c r="BH215" i="25"/>
  <c r="BK215" i="25"/>
  <c r="BN215" i="25"/>
  <c r="BQ215" i="25"/>
  <c r="BT215" i="25"/>
  <c r="BW215" i="25"/>
  <c r="BZ215" i="25"/>
  <c r="CC215" i="25"/>
  <c r="CF215" i="25"/>
  <c r="CI215" i="25"/>
  <c r="CL215" i="25"/>
  <c r="CO215" i="25"/>
  <c r="CR215" i="25"/>
  <c r="CU215" i="25"/>
  <c r="CX215" i="25"/>
  <c r="DA215" i="25"/>
  <c r="V216" i="25"/>
  <c r="W216" i="25"/>
  <c r="X216" i="25"/>
  <c r="AA216" i="25"/>
  <c r="AB216" i="25"/>
  <c r="AC216" i="25"/>
  <c r="AD216" i="25"/>
  <c r="AE216" i="25"/>
  <c r="AF216" i="25"/>
  <c r="AG216" i="25"/>
  <c r="AH216" i="25"/>
  <c r="AV216" i="25"/>
  <c r="AI216" i="25" s="1"/>
  <c r="AY216" i="25"/>
  <c r="BB216" i="25"/>
  <c r="BE216" i="25"/>
  <c r="BH216" i="25"/>
  <c r="BK216" i="25"/>
  <c r="BN216" i="25"/>
  <c r="BQ216" i="25"/>
  <c r="BT216" i="25"/>
  <c r="BW216" i="25"/>
  <c r="BZ216" i="25"/>
  <c r="CC216" i="25"/>
  <c r="CF216" i="25"/>
  <c r="CI216" i="25"/>
  <c r="CL216" i="25"/>
  <c r="CO216" i="25"/>
  <c r="CR216" i="25"/>
  <c r="CU216" i="25"/>
  <c r="CX216" i="25"/>
  <c r="DA216" i="25"/>
  <c r="V217" i="25"/>
  <c r="W217" i="25"/>
  <c r="X217" i="25"/>
  <c r="AA217" i="25"/>
  <c r="AB217" i="25"/>
  <c r="AC217" i="25"/>
  <c r="AD217" i="25"/>
  <c r="AE217" i="25"/>
  <c r="AF217" i="25"/>
  <c r="AG217" i="25"/>
  <c r="AH217" i="25"/>
  <c r="AV217" i="25"/>
  <c r="AY217" i="25"/>
  <c r="BB217" i="25"/>
  <c r="BE217" i="25"/>
  <c r="BH217" i="25"/>
  <c r="BK217" i="25"/>
  <c r="BN217" i="25"/>
  <c r="BQ217" i="25"/>
  <c r="BT217" i="25"/>
  <c r="BW217" i="25"/>
  <c r="BZ217" i="25"/>
  <c r="CC217" i="25"/>
  <c r="CF217" i="25"/>
  <c r="CI217" i="25"/>
  <c r="CL217" i="25"/>
  <c r="CO217" i="25"/>
  <c r="CR217" i="25"/>
  <c r="CU217" i="25"/>
  <c r="CX217" i="25"/>
  <c r="DA217" i="25"/>
  <c r="V218" i="25"/>
  <c r="W218" i="25"/>
  <c r="X218" i="25"/>
  <c r="AA218" i="25"/>
  <c r="AD218" i="25"/>
  <c r="AG218" i="25"/>
  <c r="AH218" i="25"/>
  <c r="AV218" i="25"/>
  <c r="AI218" i="25" s="1"/>
  <c r="AY218" i="25"/>
  <c r="BB218" i="25"/>
  <c r="BE218" i="25"/>
  <c r="BH218" i="25"/>
  <c r="BK218" i="25"/>
  <c r="BN218" i="25"/>
  <c r="BQ218" i="25"/>
  <c r="BT218" i="25"/>
  <c r="BW218" i="25"/>
  <c r="BZ218" i="25"/>
  <c r="CC218" i="25"/>
  <c r="CF218" i="25"/>
  <c r="CI218" i="25"/>
  <c r="CL218" i="25"/>
  <c r="CO218" i="25"/>
  <c r="CR218" i="25"/>
  <c r="CU218" i="25"/>
  <c r="CX218" i="25"/>
  <c r="DA218" i="25"/>
  <c r="V219" i="25"/>
  <c r="W219" i="25"/>
  <c r="X219" i="25"/>
  <c r="AA219" i="25"/>
  <c r="AD219" i="25"/>
  <c r="AG219" i="25"/>
  <c r="AH219" i="25"/>
  <c r="AV219" i="25"/>
  <c r="AY219" i="25"/>
  <c r="BB219" i="25"/>
  <c r="BE219" i="25"/>
  <c r="BH219" i="25"/>
  <c r="BK219" i="25"/>
  <c r="BN219" i="25"/>
  <c r="BQ219" i="25"/>
  <c r="BT219" i="25"/>
  <c r="BW219" i="25"/>
  <c r="BZ219" i="25"/>
  <c r="CC219" i="25"/>
  <c r="CF219" i="25"/>
  <c r="CI219" i="25"/>
  <c r="CL219" i="25"/>
  <c r="CO219" i="25"/>
  <c r="CR219" i="25"/>
  <c r="CU219" i="25"/>
  <c r="CX219" i="25"/>
  <c r="DA219" i="25"/>
  <c r="V220" i="25"/>
  <c r="W220" i="25"/>
  <c r="X220" i="25"/>
  <c r="AA220" i="25"/>
  <c r="AB220" i="25"/>
  <c r="AC220" i="25"/>
  <c r="AD220" i="25"/>
  <c r="AE220" i="25"/>
  <c r="AF220" i="25"/>
  <c r="AG220" i="25"/>
  <c r="AH220" i="25"/>
  <c r="AV220" i="25"/>
  <c r="AY220" i="25"/>
  <c r="BB220" i="25"/>
  <c r="BE220" i="25"/>
  <c r="BH220" i="25"/>
  <c r="BK220" i="25"/>
  <c r="BN220" i="25"/>
  <c r="BQ220" i="25"/>
  <c r="BT220" i="25"/>
  <c r="BW220" i="25"/>
  <c r="BZ220" i="25"/>
  <c r="CC220" i="25"/>
  <c r="CF220" i="25"/>
  <c r="CI220" i="25"/>
  <c r="CL220" i="25"/>
  <c r="CO220" i="25"/>
  <c r="CR220" i="25"/>
  <c r="CU220" i="25"/>
  <c r="CX220" i="25"/>
  <c r="DA220" i="25"/>
  <c r="V221" i="25"/>
  <c r="W221" i="25"/>
  <c r="X221" i="25"/>
  <c r="AA221" i="25"/>
  <c r="AC221" i="25"/>
  <c r="AD221" i="25"/>
  <c r="AF221" i="25"/>
  <c r="AG221" i="25"/>
  <c r="AH221" i="25"/>
  <c r="AV221" i="25"/>
  <c r="AY221" i="25"/>
  <c r="BB221" i="25"/>
  <c r="BE221" i="25"/>
  <c r="BH221" i="25"/>
  <c r="BK221" i="25"/>
  <c r="BN221" i="25"/>
  <c r="BQ221" i="25"/>
  <c r="BT221" i="25"/>
  <c r="BW221" i="25"/>
  <c r="BZ221" i="25"/>
  <c r="CC221" i="25"/>
  <c r="CF221" i="25"/>
  <c r="CI221" i="25"/>
  <c r="CL221" i="25"/>
  <c r="CO221" i="25"/>
  <c r="CR221" i="25"/>
  <c r="CU221" i="25"/>
  <c r="CX221" i="25"/>
  <c r="DA221" i="25"/>
  <c r="V222" i="25"/>
  <c r="W222" i="25"/>
  <c r="X222" i="25"/>
  <c r="AA222" i="25"/>
  <c r="AD222" i="25"/>
  <c r="AG222" i="25"/>
  <c r="AH222" i="25"/>
  <c r="AV222" i="25"/>
  <c r="AY222" i="25"/>
  <c r="BB222" i="25"/>
  <c r="BE222" i="25"/>
  <c r="BH222" i="25"/>
  <c r="BK222" i="25"/>
  <c r="BN222" i="25"/>
  <c r="BQ222" i="25"/>
  <c r="BT222" i="25"/>
  <c r="BW222" i="25"/>
  <c r="BZ222" i="25"/>
  <c r="CC222" i="25"/>
  <c r="CF222" i="25"/>
  <c r="CI222" i="25"/>
  <c r="CL222" i="25"/>
  <c r="CO222" i="25"/>
  <c r="CR222" i="25"/>
  <c r="CU222" i="25"/>
  <c r="CX222" i="25"/>
  <c r="DA222" i="25"/>
  <c r="V223" i="25"/>
  <c r="W223" i="25"/>
  <c r="X223" i="25"/>
  <c r="AA223" i="25"/>
  <c r="AB223" i="25"/>
  <c r="AC223" i="25"/>
  <c r="AD223" i="25"/>
  <c r="AE223" i="25"/>
  <c r="AF223" i="25"/>
  <c r="AG223" i="25"/>
  <c r="AH223" i="25"/>
  <c r="AV223" i="25"/>
  <c r="AY223" i="25"/>
  <c r="BB223" i="25"/>
  <c r="BE223" i="25"/>
  <c r="BH223" i="25"/>
  <c r="BK223" i="25"/>
  <c r="BN223" i="25"/>
  <c r="BQ223" i="25"/>
  <c r="BT223" i="25"/>
  <c r="BW223" i="25"/>
  <c r="BZ223" i="25"/>
  <c r="CC223" i="25"/>
  <c r="CF223" i="25"/>
  <c r="CI223" i="25"/>
  <c r="CL223" i="25"/>
  <c r="CO223" i="25"/>
  <c r="CR223" i="25"/>
  <c r="CU223" i="25"/>
  <c r="CX223" i="25"/>
  <c r="DA223" i="25"/>
  <c r="V224" i="25"/>
  <c r="W224" i="25"/>
  <c r="X224" i="25"/>
  <c r="AA224" i="25"/>
  <c r="AC224" i="25"/>
  <c r="AD224" i="25"/>
  <c r="AF224" i="25"/>
  <c r="AG224" i="25"/>
  <c r="AH224" i="25"/>
  <c r="AV224" i="25"/>
  <c r="AY224" i="25"/>
  <c r="BB224" i="25"/>
  <c r="BE224" i="25"/>
  <c r="BH224" i="25"/>
  <c r="BK224" i="25"/>
  <c r="BN224" i="25"/>
  <c r="BQ224" i="25"/>
  <c r="BT224" i="25"/>
  <c r="BW224" i="25"/>
  <c r="BZ224" i="25"/>
  <c r="CC224" i="25"/>
  <c r="CF224" i="25"/>
  <c r="CI224" i="25"/>
  <c r="CL224" i="25"/>
  <c r="CO224" i="25"/>
  <c r="CR224" i="25"/>
  <c r="CU224" i="25"/>
  <c r="CX224" i="25"/>
  <c r="DA224" i="25"/>
  <c r="V225" i="25"/>
  <c r="W225" i="25"/>
  <c r="X225" i="25"/>
  <c r="AA225" i="25"/>
  <c r="AB225" i="25"/>
  <c r="AC225" i="25"/>
  <c r="AD225" i="25"/>
  <c r="AE225" i="25"/>
  <c r="AF225" i="25"/>
  <c r="AG225" i="25"/>
  <c r="AH225" i="25"/>
  <c r="AV225" i="25"/>
  <c r="AY225" i="25"/>
  <c r="BB225" i="25"/>
  <c r="BE225" i="25"/>
  <c r="BH225" i="25"/>
  <c r="BK225" i="25"/>
  <c r="BN225" i="25"/>
  <c r="BQ225" i="25"/>
  <c r="BT225" i="25"/>
  <c r="BW225" i="25"/>
  <c r="BZ225" i="25"/>
  <c r="CC225" i="25"/>
  <c r="CF225" i="25"/>
  <c r="CI225" i="25"/>
  <c r="CL225" i="25"/>
  <c r="CO225" i="25"/>
  <c r="CR225" i="25"/>
  <c r="CU225" i="25"/>
  <c r="CX225" i="25"/>
  <c r="DA225" i="25"/>
  <c r="V226" i="25"/>
  <c r="W226" i="25"/>
  <c r="X226" i="25"/>
  <c r="AA226" i="25"/>
  <c r="AB226" i="25"/>
  <c r="AC226" i="25"/>
  <c r="AD226" i="25"/>
  <c r="AE226" i="25"/>
  <c r="AF226" i="25"/>
  <c r="AG226" i="25"/>
  <c r="AH226" i="25"/>
  <c r="AV226" i="25"/>
  <c r="AY226" i="25"/>
  <c r="BB226" i="25"/>
  <c r="BE226" i="25"/>
  <c r="BH226" i="25"/>
  <c r="BK226" i="25"/>
  <c r="BN226" i="25"/>
  <c r="BQ226" i="25"/>
  <c r="BT226" i="25"/>
  <c r="BW226" i="25"/>
  <c r="BZ226" i="25"/>
  <c r="CC226" i="25"/>
  <c r="CF226" i="25"/>
  <c r="CI226" i="25"/>
  <c r="CL226" i="25"/>
  <c r="CO226" i="25"/>
  <c r="CR226" i="25"/>
  <c r="CU226" i="25"/>
  <c r="CX226" i="25"/>
  <c r="DA226" i="25"/>
  <c r="V227" i="25"/>
  <c r="W227" i="25"/>
  <c r="X227" i="25"/>
  <c r="AA227" i="25"/>
  <c r="AD227" i="25"/>
  <c r="AG227" i="25"/>
  <c r="AH227" i="25"/>
  <c r="AV227" i="25"/>
  <c r="AY227" i="25"/>
  <c r="BB227" i="25"/>
  <c r="BE227" i="25"/>
  <c r="BH227" i="25"/>
  <c r="BK227" i="25"/>
  <c r="BN227" i="25"/>
  <c r="BQ227" i="25"/>
  <c r="BT227" i="25"/>
  <c r="BW227" i="25"/>
  <c r="BZ227" i="25"/>
  <c r="CC227" i="25"/>
  <c r="CF227" i="25"/>
  <c r="CI227" i="25"/>
  <c r="CL227" i="25"/>
  <c r="CO227" i="25"/>
  <c r="CR227" i="25"/>
  <c r="CU227" i="25"/>
  <c r="CX227" i="25"/>
  <c r="DA227" i="25"/>
  <c r="V228" i="25"/>
  <c r="W228" i="25"/>
  <c r="X228" i="25"/>
  <c r="AA228" i="25"/>
  <c r="AD228" i="25"/>
  <c r="AG228" i="25"/>
  <c r="AH228" i="25"/>
  <c r="AV228" i="25"/>
  <c r="AY228" i="25"/>
  <c r="BB228" i="25"/>
  <c r="BE228" i="25"/>
  <c r="BH228" i="25"/>
  <c r="BK228" i="25"/>
  <c r="BN228" i="25"/>
  <c r="BQ228" i="25"/>
  <c r="BT228" i="25"/>
  <c r="BW228" i="25"/>
  <c r="BZ228" i="25"/>
  <c r="CC228" i="25"/>
  <c r="CF228" i="25"/>
  <c r="CI228" i="25"/>
  <c r="CL228" i="25"/>
  <c r="CO228" i="25"/>
  <c r="CR228" i="25"/>
  <c r="CU228" i="25"/>
  <c r="CX228" i="25"/>
  <c r="DA228" i="25"/>
  <c r="V229" i="25"/>
  <c r="W229" i="25"/>
  <c r="X229" i="25"/>
  <c r="AA229" i="25"/>
  <c r="AB229" i="25"/>
  <c r="AC229" i="25"/>
  <c r="AD229" i="25"/>
  <c r="AE229" i="25"/>
  <c r="AF229" i="25"/>
  <c r="AG229" i="25"/>
  <c r="AH229" i="25"/>
  <c r="AV229" i="25"/>
  <c r="AY229" i="25"/>
  <c r="BB229" i="25"/>
  <c r="BE229" i="25"/>
  <c r="BH229" i="25"/>
  <c r="BK229" i="25"/>
  <c r="BN229" i="25"/>
  <c r="BQ229" i="25"/>
  <c r="BT229" i="25"/>
  <c r="BW229" i="25"/>
  <c r="BZ229" i="25"/>
  <c r="CC229" i="25"/>
  <c r="CF229" i="25"/>
  <c r="CI229" i="25"/>
  <c r="CL229" i="25"/>
  <c r="CO229" i="25"/>
  <c r="CR229" i="25"/>
  <c r="CU229" i="25"/>
  <c r="CX229" i="25"/>
  <c r="DA229" i="25"/>
  <c r="V230" i="25"/>
  <c r="W230" i="25"/>
  <c r="X230" i="25"/>
  <c r="AA230" i="25"/>
  <c r="AD230" i="25"/>
  <c r="AG230" i="25"/>
  <c r="AH230" i="25"/>
  <c r="AI230" i="25"/>
  <c r="AZ230" i="25" s="1"/>
  <c r="AV230" i="25"/>
  <c r="AY230" i="25"/>
  <c r="BB230" i="25"/>
  <c r="BE230" i="25"/>
  <c r="BH230" i="25"/>
  <c r="BK230" i="25"/>
  <c r="BN230" i="25"/>
  <c r="BQ230" i="25"/>
  <c r="BT230" i="25"/>
  <c r="BW230" i="25"/>
  <c r="BZ230" i="25"/>
  <c r="CC230" i="25"/>
  <c r="CF230" i="25"/>
  <c r="CI230" i="25"/>
  <c r="CL230" i="25"/>
  <c r="CO230" i="25"/>
  <c r="CR230" i="25"/>
  <c r="CU230" i="25"/>
  <c r="CX230" i="25"/>
  <c r="DA230" i="25"/>
  <c r="V231" i="25"/>
  <c r="W231" i="25"/>
  <c r="X231" i="25"/>
  <c r="AA231" i="25"/>
  <c r="AH231" i="25"/>
  <c r="AV231" i="25"/>
  <c r="AI231" i="25" s="1"/>
  <c r="BR231" i="25" s="1"/>
  <c r="AY231" i="25"/>
  <c r="BB231" i="25"/>
  <c r="BE231" i="25"/>
  <c r="BH231" i="25"/>
  <c r="BK231" i="25"/>
  <c r="BN231" i="25"/>
  <c r="BQ231" i="25"/>
  <c r="BT231" i="25"/>
  <c r="BW231" i="25"/>
  <c r="BZ231" i="25"/>
  <c r="CC231" i="25"/>
  <c r="CF231" i="25"/>
  <c r="CI231" i="25"/>
  <c r="CL231" i="25"/>
  <c r="CO231" i="25"/>
  <c r="CR231" i="25"/>
  <c r="CU231" i="25"/>
  <c r="CX231" i="25"/>
  <c r="DA231" i="25"/>
  <c r="V232" i="25"/>
  <c r="W232" i="25"/>
  <c r="X232" i="25"/>
  <c r="AA232" i="25"/>
  <c r="AH232" i="25"/>
  <c r="AV232" i="25"/>
  <c r="AY232" i="25"/>
  <c r="BB232" i="25"/>
  <c r="BE232" i="25"/>
  <c r="BH232" i="25"/>
  <c r="BK232" i="25"/>
  <c r="BN232" i="25"/>
  <c r="BQ232" i="25"/>
  <c r="BT232" i="25"/>
  <c r="BW232" i="25"/>
  <c r="BZ232" i="25"/>
  <c r="CC232" i="25"/>
  <c r="CF232" i="25"/>
  <c r="CI232" i="25"/>
  <c r="CL232" i="25"/>
  <c r="CO232" i="25"/>
  <c r="CR232" i="25"/>
  <c r="CU232" i="25"/>
  <c r="CX232" i="25"/>
  <c r="DA232" i="25"/>
  <c r="V233" i="25"/>
  <c r="W233" i="25"/>
  <c r="X233" i="25"/>
  <c r="AA233" i="25"/>
  <c r="AC233" i="25"/>
  <c r="AD233" i="25"/>
  <c r="AF233" i="25"/>
  <c r="AG233" i="25"/>
  <c r="AH233" i="25"/>
  <c r="AV233" i="25"/>
  <c r="AY233" i="25"/>
  <c r="BB233" i="25"/>
  <c r="BE233" i="25"/>
  <c r="BH233" i="25"/>
  <c r="BK233" i="25"/>
  <c r="BN233" i="25"/>
  <c r="BQ233" i="25"/>
  <c r="BT233" i="25"/>
  <c r="BW233" i="25"/>
  <c r="BZ233" i="25"/>
  <c r="CC233" i="25"/>
  <c r="CF233" i="25"/>
  <c r="CI233" i="25"/>
  <c r="CL233" i="25"/>
  <c r="CO233" i="25"/>
  <c r="CR233" i="25"/>
  <c r="CU233" i="25"/>
  <c r="CX233" i="25"/>
  <c r="DA233" i="25"/>
  <c r="V234" i="25"/>
  <c r="W234" i="25"/>
  <c r="X234" i="25"/>
  <c r="AA234" i="25"/>
  <c r="AH234" i="25"/>
  <c r="AV234" i="25"/>
  <c r="AY234" i="25"/>
  <c r="BB234" i="25"/>
  <c r="BE234" i="25"/>
  <c r="BH234" i="25"/>
  <c r="BK234" i="25"/>
  <c r="BN234" i="25"/>
  <c r="BQ234" i="25"/>
  <c r="BT234" i="25"/>
  <c r="BW234" i="25"/>
  <c r="BZ234" i="25"/>
  <c r="CC234" i="25"/>
  <c r="CF234" i="25"/>
  <c r="CI234" i="25"/>
  <c r="CL234" i="25"/>
  <c r="CO234" i="25"/>
  <c r="CR234" i="25"/>
  <c r="CU234" i="25"/>
  <c r="CX234" i="25"/>
  <c r="DA234" i="25"/>
  <c r="V235" i="25"/>
  <c r="W235" i="25"/>
  <c r="X235" i="25"/>
  <c r="AA235" i="25"/>
  <c r="AC235" i="25"/>
  <c r="AD235" i="25"/>
  <c r="AF235" i="25"/>
  <c r="AG235" i="25"/>
  <c r="AH235" i="25"/>
  <c r="AV235" i="25"/>
  <c r="AY235" i="25"/>
  <c r="BB235" i="25"/>
  <c r="BE235" i="25"/>
  <c r="BH235" i="25"/>
  <c r="BK235" i="25"/>
  <c r="BN235" i="25"/>
  <c r="BQ235" i="25"/>
  <c r="BT235" i="25"/>
  <c r="BW235" i="25"/>
  <c r="BZ235" i="25"/>
  <c r="CC235" i="25"/>
  <c r="CF235" i="25"/>
  <c r="CI235" i="25"/>
  <c r="CL235" i="25"/>
  <c r="CO235" i="25"/>
  <c r="CR235" i="25"/>
  <c r="CU235" i="25"/>
  <c r="CX235" i="25"/>
  <c r="DA235" i="25"/>
  <c r="V236" i="25"/>
  <c r="W236" i="25"/>
  <c r="X236" i="25"/>
  <c r="AA236" i="25"/>
  <c r="AD236" i="25"/>
  <c r="AG236" i="25"/>
  <c r="AH236" i="25"/>
  <c r="AV236" i="25"/>
  <c r="AY236" i="25"/>
  <c r="BB236" i="25"/>
  <c r="BE236" i="25"/>
  <c r="BH236" i="25"/>
  <c r="BK236" i="25"/>
  <c r="BN236" i="25"/>
  <c r="BQ236" i="25"/>
  <c r="BT236" i="25"/>
  <c r="BW236" i="25"/>
  <c r="BZ236" i="25"/>
  <c r="CC236" i="25"/>
  <c r="CF236" i="25"/>
  <c r="CI236" i="25"/>
  <c r="CL236" i="25"/>
  <c r="CO236" i="25"/>
  <c r="CR236" i="25"/>
  <c r="CU236" i="25"/>
  <c r="CX236" i="25"/>
  <c r="DA236" i="25"/>
  <c r="V237" i="25"/>
  <c r="W237" i="25"/>
  <c r="X237" i="25"/>
  <c r="AA237" i="25"/>
  <c r="AC237" i="25"/>
  <c r="AD237" i="25"/>
  <c r="AF237" i="25"/>
  <c r="AG237" i="25"/>
  <c r="AH237" i="25"/>
  <c r="AV237" i="25"/>
  <c r="AY237" i="25"/>
  <c r="BB237" i="25"/>
  <c r="BE237" i="25"/>
  <c r="BH237" i="25"/>
  <c r="BK237" i="25"/>
  <c r="BN237" i="25"/>
  <c r="BQ237" i="25"/>
  <c r="BT237" i="25"/>
  <c r="BW237" i="25"/>
  <c r="BZ237" i="25"/>
  <c r="CC237" i="25"/>
  <c r="CF237" i="25"/>
  <c r="CI237" i="25"/>
  <c r="CL237" i="25"/>
  <c r="CO237" i="25"/>
  <c r="CR237" i="25"/>
  <c r="CU237" i="25"/>
  <c r="CX237" i="25"/>
  <c r="DA237" i="25"/>
  <c r="V238" i="25"/>
  <c r="W238" i="25"/>
  <c r="X238" i="25"/>
  <c r="AA238" i="25"/>
  <c r="AC238" i="25"/>
  <c r="AD238" i="25"/>
  <c r="AF238" i="25"/>
  <c r="AG238" i="25"/>
  <c r="AH238" i="25"/>
  <c r="AV238" i="25"/>
  <c r="AY238" i="25"/>
  <c r="BB238" i="25"/>
  <c r="BE238" i="25"/>
  <c r="BH238" i="25"/>
  <c r="BK238" i="25"/>
  <c r="BN238" i="25"/>
  <c r="BQ238" i="25"/>
  <c r="BT238" i="25"/>
  <c r="BW238" i="25"/>
  <c r="BZ238" i="25"/>
  <c r="CC238" i="25"/>
  <c r="CF238" i="25"/>
  <c r="CI238" i="25"/>
  <c r="CL238" i="25"/>
  <c r="CO238" i="25"/>
  <c r="CR238" i="25"/>
  <c r="CU238" i="25"/>
  <c r="CX238" i="25"/>
  <c r="DA238" i="25"/>
  <c r="V239" i="25"/>
  <c r="W239" i="25"/>
  <c r="X239" i="25"/>
  <c r="AA239" i="25"/>
  <c r="AD239" i="25"/>
  <c r="AG239" i="25"/>
  <c r="AH239" i="25"/>
  <c r="AV239" i="25"/>
  <c r="AY239" i="25"/>
  <c r="BB239" i="25"/>
  <c r="BE239" i="25"/>
  <c r="BH239" i="25"/>
  <c r="BK239" i="25"/>
  <c r="BN239" i="25"/>
  <c r="BQ239" i="25"/>
  <c r="BT239" i="25"/>
  <c r="BW239" i="25"/>
  <c r="BZ239" i="25"/>
  <c r="CC239" i="25"/>
  <c r="CF239" i="25"/>
  <c r="CI239" i="25"/>
  <c r="CL239" i="25"/>
  <c r="CO239" i="25"/>
  <c r="CR239" i="25"/>
  <c r="CU239" i="25"/>
  <c r="CX239" i="25"/>
  <c r="DA239" i="25"/>
  <c r="V240" i="25"/>
  <c r="W240" i="25"/>
  <c r="X240" i="25"/>
  <c r="AA240" i="25"/>
  <c r="AB240" i="25"/>
  <c r="AC240" i="25"/>
  <c r="AD240" i="25"/>
  <c r="AE240" i="25"/>
  <c r="AF240" i="25"/>
  <c r="AG240" i="25"/>
  <c r="AH240" i="25"/>
  <c r="AV240" i="25"/>
  <c r="AY240" i="25"/>
  <c r="BB240" i="25"/>
  <c r="BE240" i="25"/>
  <c r="BH240" i="25"/>
  <c r="BK240" i="25"/>
  <c r="BN240" i="25"/>
  <c r="BQ240" i="25"/>
  <c r="BT240" i="25"/>
  <c r="BW240" i="25"/>
  <c r="BZ240" i="25"/>
  <c r="CC240" i="25"/>
  <c r="CF240" i="25"/>
  <c r="CI240" i="25"/>
  <c r="CL240" i="25"/>
  <c r="CO240" i="25"/>
  <c r="CR240" i="25"/>
  <c r="CU240" i="25"/>
  <c r="CX240" i="25"/>
  <c r="DA240" i="25"/>
  <c r="V241" i="25"/>
  <c r="W241" i="25"/>
  <c r="X241" i="25"/>
  <c r="AA241" i="25"/>
  <c r="AC241" i="25"/>
  <c r="AD241" i="25"/>
  <c r="AF241" i="25"/>
  <c r="AG241" i="25"/>
  <c r="AH241" i="25"/>
  <c r="AV241" i="25"/>
  <c r="AY241" i="25"/>
  <c r="BB241" i="25"/>
  <c r="BE241" i="25"/>
  <c r="BH241" i="25"/>
  <c r="BK241" i="25"/>
  <c r="BN241" i="25"/>
  <c r="BQ241" i="25"/>
  <c r="BT241" i="25"/>
  <c r="BW241" i="25"/>
  <c r="BZ241" i="25"/>
  <c r="CC241" i="25"/>
  <c r="CF241" i="25"/>
  <c r="CI241" i="25"/>
  <c r="CL241" i="25"/>
  <c r="CO241" i="25"/>
  <c r="CR241" i="25"/>
  <c r="CU241" i="25"/>
  <c r="CX241" i="25"/>
  <c r="DA241" i="25"/>
  <c r="V242" i="25"/>
  <c r="W242" i="25"/>
  <c r="X242" i="25"/>
  <c r="AA242" i="25"/>
  <c r="AC242" i="25"/>
  <c r="AD242" i="25"/>
  <c r="AF242" i="25"/>
  <c r="AG242" i="25"/>
  <c r="AH242" i="25"/>
  <c r="AV242" i="25"/>
  <c r="AI242" i="25" s="1"/>
  <c r="AY242" i="25"/>
  <c r="BB242" i="25"/>
  <c r="BE242" i="25"/>
  <c r="BH242" i="25"/>
  <c r="BK242" i="25"/>
  <c r="BN242" i="25"/>
  <c r="BQ242" i="25"/>
  <c r="BT242" i="25"/>
  <c r="BW242" i="25"/>
  <c r="BZ242" i="25"/>
  <c r="CC242" i="25"/>
  <c r="CF242" i="25"/>
  <c r="CI242" i="25"/>
  <c r="CL242" i="25"/>
  <c r="CO242" i="25"/>
  <c r="CR242" i="25"/>
  <c r="CU242" i="25"/>
  <c r="CX242" i="25"/>
  <c r="DA242" i="25"/>
  <c r="V243" i="25"/>
  <c r="W243" i="25"/>
  <c r="X243" i="25"/>
  <c r="AA243" i="25"/>
  <c r="AC243" i="25"/>
  <c r="AD243" i="25"/>
  <c r="AF243" i="25"/>
  <c r="AG243" i="25"/>
  <c r="AH243" i="25"/>
  <c r="AV243" i="25"/>
  <c r="AI243" i="25" s="1"/>
  <c r="AY243" i="25"/>
  <c r="BB243" i="25"/>
  <c r="BE243" i="25"/>
  <c r="BH243" i="25"/>
  <c r="BK243" i="25"/>
  <c r="BN243" i="25"/>
  <c r="BQ243" i="25"/>
  <c r="BT243" i="25"/>
  <c r="BW243" i="25"/>
  <c r="BZ243" i="25"/>
  <c r="CC243" i="25"/>
  <c r="CF243" i="25"/>
  <c r="CI243" i="25"/>
  <c r="CL243" i="25"/>
  <c r="CO243" i="25"/>
  <c r="CR243" i="25"/>
  <c r="CU243" i="25"/>
  <c r="CX243" i="25"/>
  <c r="DA243" i="25"/>
  <c r="V244" i="25"/>
  <c r="W244" i="25"/>
  <c r="X244" i="25"/>
  <c r="AA244" i="25"/>
  <c r="AD244" i="25"/>
  <c r="AG244" i="25"/>
  <c r="AH244" i="25"/>
  <c r="AV244" i="25"/>
  <c r="AY244" i="25"/>
  <c r="BB244" i="25"/>
  <c r="BE244" i="25"/>
  <c r="BH244" i="25"/>
  <c r="BK244" i="25"/>
  <c r="BN244" i="25"/>
  <c r="BQ244" i="25"/>
  <c r="BT244" i="25"/>
  <c r="BW244" i="25"/>
  <c r="BZ244" i="25"/>
  <c r="CC244" i="25"/>
  <c r="CF244" i="25"/>
  <c r="CI244" i="25"/>
  <c r="CL244" i="25"/>
  <c r="CO244" i="25"/>
  <c r="CR244" i="25"/>
  <c r="CU244" i="25"/>
  <c r="CX244" i="25"/>
  <c r="DA244" i="25"/>
  <c r="V245" i="25"/>
  <c r="W245" i="25"/>
  <c r="X245" i="25"/>
  <c r="AA245" i="25"/>
  <c r="AB245" i="25"/>
  <c r="AC245" i="25"/>
  <c r="AD245" i="25"/>
  <c r="AE245" i="25"/>
  <c r="AF245" i="25"/>
  <c r="AG245" i="25"/>
  <c r="AH245" i="25"/>
  <c r="AV245" i="25"/>
  <c r="AY245" i="25"/>
  <c r="BB245" i="25"/>
  <c r="BE245" i="25"/>
  <c r="BH245" i="25"/>
  <c r="BK245" i="25"/>
  <c r="BN245" i="25"/>
  <c r="BQ245" i="25"/>
  <c r="BT245" i="25"/>
  <c r="BW245" i="25"/>
  <c r="BZ245" i="25"/>
  <c r="CC245" i="25"/>
  <c r="CF245" i="25"/>
  <c r="CI245" i="25"/>
  <c r="CL245" i="25"/>
  <c r="CO245" i="25"/>
  <c r="CR245" i="25"/>
  <c r="CU245" i="25"/>
  <c r="CX245" i="25"/>
  <c r="DA245" i="25"/>
  <c r="V246" i="25"/>
  <c r="W246" i="25"/>
  <c r="X246" i="25"/>
  <c r="AA246" i="25"/>
  <c r="AB246" i="25"/>
  <c r="AC246" i="25"/>
  <c r="AD246" i="25"/>
  <c r="AE246" i="25"/>
  <c r="AF246" i="25"/>
  <c r="AG246" i="25"/>
  <c r="AH246" i="25"/>
  <c r="AV246" i="25"/>
  <c r="AY246" i="25"/>
  <c r="BB246" i="25"/>
  <c r="BE246" i="25"/>
  <c r="BH246" i="25"/>
  <c r="BK246" i="25"/>
  <c r="BN246" i="25"/>
  <c r="BQ246" i="25"/>
  <c r="BT246" i="25"/>
  <c r="BW246" i="25"/>
  <c r="BZ246" i="25"/>
  <c r="CC246" i="25"/>
  <c r="CF246" i="25"/>
  <c r="CI246" i="25"/>
  <c r="CL246" i="25"/>
  <c r="CO246" i="25"/>
  <c r="CR246" i="25"/>
  <c r="CU246" i="25"/>
  <c r="CX246" i="25"/>
  <c r="DA246" i="25"/>
  <c r="V247" i="25"/>
  <c r="W247" i="25"/>
  <c r="X247" i="25"/>
  <c r="AA247" i="25"/>
  <c r="AB247" i="25"/>
  <c r="AC247" i="25"/>
  <c r="AD247" i="25"/>
  <c r="AE247" i="25"/>
  <c r="AF247" i="25"/>
  <c r="AG247" i="25"/>
  <c r="AH247" i="25"/>
  <c r="AV247" i="25"/>
  <c r="AY247" i="25"/>
  <c r="BB247" i="25"/>
  <c r="BE247" i="25"/>
  <c r="BH247" i="25"/>
  <c r="BK247" i="25"/>
  <c r="BN247" i="25"/>
  <c r="BQ247" i="25"/>
  <c r="BT247" i="25"/>
  <c r="BW247" i="25"/>
  <c r="BZ247" i="25"/>
  <c r="CC247" i="25"/>
  <c r="CF247" i="25"/>
  <c r="CI247" i="25"/>
  <c r="CL247" i="25"/>
  <c r="CO247" i="25"/>
  <c r="CR247" i="25"/>
  <c r="CU247" i="25"/>
  <c r="CX247" i="25"/>
  <c r="DA247" i="25"/>
  <c r="V248" i="25"/>
  <c r="W248" i="25"/>
  <c r="X248" i="25"/>
  <c r="AA248" i="25"/>
  <c r="AB248" i="25"/>
  <c r="AC248" i="25"/>
  <c r="AD248" i="25"/>
  <c r="AE248" i="25"/>
  <c r="AF248" i="25"/>
  <c r="AG248" i="25"/>
  <c r="AH248" i="25"/>
  <c r="AV248" i="25"/>
  <c r="AY248" i="25"/>
  <c r="BB248" i="25"/>
  <c r="BE248" i="25"/>
  <c r="BH248" i="25"/>
  <c r="BK248" i="25"/>
  <c r="BN248" i="25"/>
  <c r="BQ248" i="25"/>
  <c r="BT248" i="25"/>
  <c r="BW248" i="25"/>
  <c r="BZ248" i="25"/>
  <c r="CC248" i="25"/>
  <c r="CF248" i="25"/>
  <c r="CI248" i="25"/>
  <c r="CL248" i="25"/>
  <c r="CO248" i="25"/>
  <c r="CR248" i="25"/>
  <c r="CU248" i="25"/>
  <c r="CX248" i="25"/>
  <c r="DA248" i="25"/>
  <c r="V249" i="25"/>
  <c r="W249" i="25"/>
  <c r="X249" i="25"/>
  <c r="AA249" i="25"/>
  <c r="AC249" i="25"/>
  <c r="AD249" i="25"/>
  <c r="AF249" i="25"/>
  <c r="AG249" i="25"/>
  <c r="AH249" i="25"/>
  <c r="AV249" i="25"/>
  <c r="AY249" i="25"/>
  <c r="BB249" i="25"/>
  <c r="BE249" i="25"/>
  <c r="BH249" i="25"/>
  <c r="BK249" i="25"/>
  <c r="BN249" i="25"/>
  <c r="BQ249" i="25"/>
  <c r="BT249" i="25"/>
  <c r="BW249" i="25"/>
  <c r="BZ249" i="25"/>
  <c r="CC249" i="25"/>
  <c r="CF249" i="25"/>
  <c r="CI249" i="25"/>
  <c r="CL249" i="25"/>
  <c r="CO249" i="25"/>
  <c r="CR249" i="25"/>
  <c r="CU249" i="25"/>
  <c r="CX249" i="25"/>
  <c r="DA249" i="25"/>
  <c r="V250" i="25"/>
  <c r="W250" i="25"/>
  <c r="X250" i="25"/>
  <c r="AA250" i="25"/>
  <c r="AB250" i="25"/>
  <c r="AC250" i="25"/>
  <c r="AD250" i="25"/>
  <c r="AE250" i="25"/>
  <c r="AF250" i="25"/>
  <c r="AG250" i="25"/>
  <c r="AH250" i="25"/>
  <c r="AV250" i="25"/>
  <c r="AY250" i="25"/>
  <c r="BB250" i="25"/>
  <c r="BE250" i="25"/>
  <c r="BH250" i="25"/>
  <c r="BK250" i="25"/>
  <c r="BN250" i="25"/>
  <c r="BQ250" i="25"/>
  <c r="BT250" i="25"/>
  <c r="BW250" i="25"/>
  <c r="BZ250" i="25"/>
  <c r="CC250" i="25"/>
  <c r="CF250" i="25"/>
  <c r="CI250" i="25"/>
  <c r="CL250" i="25"/>
  <c r="CO250" i="25"/>
  <c r="CR250" i="25"/>
  <c r="CU250" i="25"/>
  <c r="CX250" i="25"/>
  <c r="DA250" i="25"/>
  <c r="V251" i="25"/>
  <c r="W251" i="25"/>
  <c r="X251" i="25"/>
  <c r="AA251" i="25"/>
  <c r="AB251" i="25"/>
  <c r="AC251" i="25"/>
  <c r="AD251" i="25"/>
  <c r="AE251" i="25"/>
  <c r="AF251" i="25"/>
  <c r="AG251" i="25"/>
  <c r="AH251" i="25"/>
  <c r="AV251" i="25"/>
  <c r="AY251" i="25"/>
  <c r="BB251" i="25"/>
  <c r="BE251" i="25"/>
  <c r="BH251" i="25"/>
  <c r="BK251" i="25"/>
  <c r="BN251" i="25"/>
  <c r="BQ251" i="25"/>
  <c r="BT251" i="25"/>
  <c r="BW251" i="25"/>
  <c r="BZ251" i="25"/>
  <c r="CC251" i="25"/>
  <c r="CF251" i="25"/>
  <c r="CI251" i="25"/>
  <c r="CL251" i="25"/>
  <c r="CO251" i="25"/>
  <c r="CR251" i="25"/>
  <c r="CU251" i="25"/>
  <c r="CX251" i="25"/>
  <c r="DA251" i="25"/>
  <c r="V252" i="25"/>
  <c r="W252" i="25"/>
  <c r="X252" i="25"/>
  <c r="AA252" i="25"/>
  <c r="AD252" i="25"/>
  <c r="AG252" i="25"/>
  <c r="AH252" i="25"/>
  <c r="AV252" i="25"/>
  <c r="AY252" i="25"/>
  <c r="BB252" i="25"/>
  <c r="BE252" i="25"/>
  <c r="BH252" i="25"/>
  <c r="BK252" i="25"/>
  <c r="BN252" i="25"/>
  <c r="BQ252" i="25"/>
  <c r="BT252" i="25"/>
  <c r="BW252" i="25"/>
  <c r="BZ252" i="25"/>
  <c r="CC252" i="25"/>
  <c r="CF252" i="25"/>
  <c r="CI252" i="25"/>
  <c r="CL252" i="25"/>
  <c r="CO252" i="25"/>
  <c r="CR252" i="25"/>
  <c r="CU252" i="25"/>
  <c r="CX252" i="25"/>
  <c r="DA252" i="25"/>
  <c r="V253" i="25"/>
  <c r="W253" i="25"/>
  <c r="X253" i="25"/>
  <c r="AA253" i="25"/>
  <c r="AC253" i="25"/>
  <c r="AD253" i="25"/>
  <c r="AF253" i="25"/>
  <c r="AG253" i="25"/>
  <c r="AH253" i="25"/>
  <c r="AV253" i="25"/>
  <c r="AI253" i="25" s="1"/>
  <c r="AY253" i="25"/>
  <c r="BB253" i="25"/>
  <c r="BE253" i="25"/>
  <c r="BH253" i="25"/>
  <c r="BK253" i="25"/>
  <c r="BN253" i="25"/>
  <c r="BQ253" i="25"/>
  <c r="BT253" i="25"/>
  <c r="BW253" i="25"/>
  <c r="BZ253" i="25"/>
  <c r="CC253" i="25"/>
  <c r="CF253" i="25"/>
  <c r="CI253" i="25"/>
  <c r="CL253" i="25"/>
  <c r="CO253" i="25"/>
  <c r="CR253" i="25"/>
  <c r="CU253" i="25"/>
  <c r="CX253" i="25"/>
  <c r="DA253" i="25"/>
  <c r="V254" i="25"/>
  <c r="W254" i="25"/>
  <c r="X254" i="25"/>
  <c r="AA254" i="25"/>
  <c r="AB254" i="25"/>
  <c r="AC254" i="25"/>
  <c r="AD254" i="25"/>
  <c r="AE254" i="25"/>
  <c r="AF254" i="25"/>
  <c r="AG254" i="25"/>
  <c r="AH254" i="25"/>
  <c r="AV254" i="25"/>
  <c r="AY254" i="25"/>
  <c r="BB254" i="25"/>
  <c r="BE254" i="25"/>
  <c r="BH254" i="25"/>
  <c r="BK254" i="25"/>
  <c r="BN254" i="25"/>
  <c r="BQ254" i="25"/>
  <c r="BT254" i="25"/>
  <c r="BW254" i="25"/>
  <c r="BZ254" i="25"/>
  <c r="CC254" i="25"/>
  <c r="CF254" i="25"/>
  <c r="CI254" i="25"/>
  <c r="CL254" i="25"/>
  <c r="CO254" i="25"/>
  <c r="CR254" i="25"/>
  <c r="CU254" i="25"/>
  <c r="CX254" i="25"/>
  <c r="DA254" i="25"/>
  <c r="V255" i="25"/>
  <c r="W255" i="25"/>
  <c r="X255" i="25"/>
  <c r="AA255" i="25"/>
  <c r="AB255" i="25"/>
  <c r="AC255" i="25"/>
  <c r="AD255" i="25"/>
  <c r="AE255" i="25"/>
  <c r="AF255" i="25"/>
  <c r="AG255" i="25"/>
  <c r="AH255" i="25"/>
  <c r="AV255" i="25"/>
  <c r="AY255" i="25"/>
  <c r="BB255" i="25"/>
  <c r="BE255" i="25"/>
  <c r="BH255" i="25"/>
  <c r="BK255" i="25"/>
  <c r="BN255" i="25"/>
  <c r="BQ255" i="25"/>
  <c r="BT255" i="25"/>
  <c r="BW255" i="25"/>
  <c r="BZ255" i="25"/>
  <c r="CC255" i="25"/>
  <c r="CF255" i="25"/>
  <c r="CI255" i="25"/>
  <c r="CL255" i="25"/>
  <c r="CO255" i="25"/>
  <c r="CR255" i="25"/>
  <c r="CU255" i="25"/>
  <c r="CX255" i="25"/>
  <c r="DA255" i="25"/>
  <c r="V256" i="25"/>
  <c r="W256" i="25"/>
  <c r="X256" i="25"/>
  <c r="AA256" i="25"/>
  <c r="AB256" i="25"/>
  <c r="AC256" i="25"/>
  <c r="AD256" i="25"/>
  <c r="AE256" i="25"/>
  <c r="AF256" i="25"/>
  <c r="AG256" i="25"/>
  <c r="AH256" i="25"/>
  <c r="AV256" i="25"/>
  <c r="AY256" i="25"/>
  <c r="BB256" i="25"/>
  <c r="BE256" i="25"/>
  <c r="BH256" i="25"/>
  <c r="BK256" i="25"/>
  <c r="BN256" i="25"/>
  <c r="BQ256" i="25"/>
  <c r="BT256" i="25"/>
  <c r="BW256" i="25"/>
  <c r="BZ256" i="25"/>
  <c r="CC256" i="25"/>
  <c r="CF256" i="25"/>
  <c r="AI256" i="25" s="1"/>
  <c r="CI256" i="25"/>
  <c r="CL256" i="25"/>
  <c r="CO256" i="25"/>
  <c r="CR256" i="25"/>
  <c r="CU256" i="25"/>
  <c r="CX256" i="25"/>
  <c r="DA256" i="25"/>
  <c r="V257" i="25"/>
  <c r="W257" i="25"/>
  <c r="X257" i="25"/>
  <c r="AA257" i="25"/>
  <c r="AB257" i="25"/>
  <c r="AC257" i="25"/>
  <c r="AD257" i="25"/>
  <c r="AE257" i="25"/>
  <c r="AF257" i="25"/>
  <c r="AG257" i="25"/>
  <c r="AH257" i="25"/>
  <c r="AV257" i="25"/>
  <c r="AI257" i="25" s="1"/>
  <c r="AY257" i="25"/>
  <c r="BB257" i="25"/>
  <c r="BE257" i="25"/>
  <c r="BH257" i="25"/>
  <c r="BK257" i="25"/>
  <c r="BN257" i="25"/>
  <c r="BQ257" i="25"/>
  <c r="BT257" i="25"/>
  <c r="BW257" i="25"/>
  <c r="BZ257" i="25"/>
  <c r="CC257" i="25"/>
  <c r="CF257" i="25"/>
  <c r="CI257" i="25"/>
  <c r="CL257" i="25"/>
  <c r="CO257" i="25"/>
  <c r="CR257" i="25"/>
  <c r="CU257" i="25"/>
  <c r="CX257" i="25"/>
  <c r="DA257" i="25"/>
  <c r="V258" i="25"/>
  <c r="W258" i="25"/>
  <c r="X258" i="25"/>
  <c r="AA258" i="25"/>
  <c r="AB258" i="25"/>
  <c r="AC258" i="25"/>
  <c r="AD258" i="25"/>
  <c r="AE258" i="25"/>
  <c r="AF258" i="25"/>
  <c r="AG258" i="25"/>
  <c r="AH258" i="25"/>
  <c r="AV258" i="25"/>
  <c r="AI258" i="25" s="1"/>
  <c r="AY258" i="25"/>
  <c r="BB258" i="25"/>
  <c r="BE258" i="25"/>
  <c r="BH258" i="25"/>
  <c r="BK258" i="25"/>
  <c r="BN258" i="25"/>
  <c r="BQ258" i="25"/>
  <c r="BT258" i="25"/>
  <c r="BW258" i="25"/>
  <c r="BZ258" i="25"/>
  <c r="CC258" i="25"/>
  <c r="CF258" i="25"/>
  <c r="CI258" i="25"/>
  <c r="CL258" i="25"/>
  <c r="CO258" i="25"/>
  <c r="CR258" i="25"/>
  <c r="CU258" i="25"/>
  <c r="CX258" i="25"/>
  <c r="DA258" i="25"/>
  <c r="V259" i="25"/>
  <c r="W259" i="25"/>
  <c r="X259" i="25"/>
  <c r="AA259" i="25"/>
  <c r="AB259" i="25"/>
  <c r="AC259" i="25"/>
  <c r="AD259" i="25"/>
  <c r="AE259" i="25"/>
  <c r="AF259" i="25"/>
  <c r="AG259" i="25"/>
  <c r="AH259" i="25"/>
  <c r="AV259" i="25"/>
  <c r="AY259" i="25"/>
  <c r="BB259" i="25"/>
  <c r="BE259" i="25"/>
  <c r="BH259" i="25"/>
  <c r="BK259" i="25"/>
  <c r="BN259" i="25"/>
  <c r="BQ259" i="25"/>
  <c r="BT259" i="25"/>
  <c r="BW259" i="25"/>
  <c r="BZ259" i="25"/>
  <c r="CC259" i="25"/>
  <c r="CF259" i="25"/>
  <c r="CI259" i="25"/>
  <c r="CL259" i="25"/>
  <c r="CO259" i="25"/>
  <c r="CR259" i="25"/>
  <c r="CU259" i="25"/>
  <c r="CX259" i="25"/>
  <c r="DA259" i="25"/>
  <c r="V260" i="25"/>
  <c r="W260" i="25"/>
  <c r="X260" i="25"/>
  <c r="AA260" i="25"/>
  <c r="AB260" i="25"/>
  <c r="AC260" i="25"/>
  <c r="AD260" i="25"/>
  <c r="AE260" i="25"/>
  <c r="AF260" i="25"/>
  <c r="AG260" i="25"/>
  <c r="AH260" i="25"/>
  <c r="AV260" i="25"/>
  <c r="AY260" i="25"/>
  <c r="BB260" i="25"/>
  <c r="BE260" i="25"/>
  <c r="BH260" i="25"/>
  <c r="BK260" i="25"/>
  <c r="BN260" i="25"/>
  <c r="BQ260" i="25"/>
  <c r="BT260" i="25"/>
  <c r="BW260" i="25"/>
  <c r="BZ260" i="25"/>
  <c r="CC260" i="25"/>
  <c r="CF260" i="25"/>
  <c r="CI260" i="25"/>
  <c r="CL260" i="25"/>
  <c r="CO260" i="25"/>
  <c r="CR260" i="25"/>
  <c r="CU260" i="25"/>
  <c r="CX260" i="25"/>
  <c r="DA260" i="25"/>
  <c r="V261" i="25"/>
  <c r="W261" i="25"/>
  <c r="X261" i="25"/>
  <c r="AA261" i="25"/>
  <c r="AB261" i="25"/>
  <c r="AC261" i="25"/>
  <c r="AD261" i="25"/>
  <c r="AE261" i="25"/>
  <c r="AF261" i="25"/>
  <c r="AG261" i="25"/>
  <c r="AH261" i="25"/>
  <c r="AV261" i="25"/>
  <c r="AI261" i="25" s="1"/>
  <c r="AY261" i="25"/>
  <c r="BB261" i="25"/>
  <c r="BE261" i="25"/>
  <c r="BH261" i="25"/>
  <c r="BK261" i="25"/>
  <c r="BN261" i="25"/>
  <c r="BQ261" i="25"/>
  <c r="BT261" i="25"/>
  <c r="BW261" i="25"/>
  <c r="BZ261" i="25"/>
  <c r="CC261" i="25"/>
  <c r="CF261" i="25"/>
  <c r="CI261" i="25"/>
  <c r="CL261" i="25"/>
  <c r="CO261" i="25"/>
  <c r="CR261" i="25"/>
  <c r="CU261" i="25"/>
  <c r="CX261" i="25"/>
  <c r="DA261" i="25"/>
  <c r="V262" i="25"/>
  <c r="W262" i="25"/>
  <c r="X262" i="25"/>
  <c r="AA262" i="25"/>
  <c r="AB262" i="25"/>
  <c r="AC262" i="25"/>
  <c r="AD262" i="25"/>
  <c r="AE262" i="25"/>
  <c r="AF262" i="25"/>
  <c r="AG262" i="25"/>
  <c r="AH262" i="25"/>
  <c r="AV262" i="25"/>
  <c r="AI262" i="25" s="1"/>
  <c r="AY262" i="25"/>
  <c r="BB262" i="25"/>
  <c r="BE262" i="25"/>
  <c r="BH262" i="25"/>
  <c r="BK262" i="25"/>
  <c r="BN262" i="25"/>
  <c r="BQ262" i="25"/>
  <c r="BT262" i="25"/>
  <c r="BW262" i="25"/>
  <c r="BZ262" i="25"/>
  <c r="CC262" i="25"/>
  <c r="CF262" i="25"/>
  <c r="CI262" i="25"/>
  <c r="CL262" i="25"/>
  <c r="CO262" i="25"/>
  <c r="CR262" i="25"/>
  <c r="CU262" i="25"/>
  <c r="CX262" i="25"/>
  <c r="DA262" i="25"/>
  <c r="BF262" i="25" l="1"/>
  <c r="BC262" i="25"/>
  <c r="BL262" i="25"/>
  <c r="BX262" i="25"/>
  <c r="CJ262" i="25"/>
  <c r="CV262" i="25"/>
  <c r="AZ262" i="25"/>
  <c r="AW262" i="25"/>
  <c r="BI262" i="25"/>
  <c r="BU262" i="25"/>
  <c r="CG262" i="25"/>
  <c r="CS262" i="25"/>
  <c r="BR262" i="25"/>
  <c r="CD262" i="25"/>
  <c r="CP262" i="25"/>
  <c r="CM262" i="25"/>
  <c r="DB262" i="25"/>
  <c r="BO262" i="25"/>
  <c r="CA262" i="25"/>
  <c r="CY262" i="25"/>
  <c r="AW258" i="25"/>
  <c r="BI258" i="25"/>
  <c r="BU258" i="25"/>
  <c r="CG258" i="25"/>
  <c r="CS258" i="25"/>
  <c r="BF258" i="25"/>
  <c r="BR258" i="25"/>
  <c r="CD258" i="25"/>
  <c r="CP258" i="25"/>
  <c r="DB258" i="25"/>
  <c r="BC258" i="25"/>
  <c r="BO258" i="25"/>
  <c r="CA258" i="25"/>
  <c r="CM258" i="25"/>
  <c r="CY258" i="25"/>
  <c r="AZ258" i="25"/>
  <c r="BX258" i="25"/>
  <c r="CV258" i="25"/>
  <c r="BL258" i="25"/>
  <c r="CJ258" i="25"/>
  <c r="AW218" i="25"/>
  <c r="BI218" i="25"/>
  <c r="BU218" i="25"/>
  <c r="CG218" i="25"/>
  <c r="CS218" i="25"/>
  <c r="BF218" i="25"/>
  <c r="BR218" i="25"/>
  <c r="CD218" i="25"/>
  <c r="CP218" i="25"/>
  <c r="DB218" i="25"/>
  <c r="BC218" i="25"/>
  <c r="BO218" i="25"/>
  <c r="CA218" i="25"/>
  <c r="CM218" i="25"/>
  <c r="CY218" i="25"/>
  <c r="AZ218" i="25"/>
  <c r="BX218" i="25"/>
  <c r="CV218" i="25"/>
  <c r="BL218" i="25"/>
  <c r="CJ218" i="25"/>
  <c r="AW202" i="25"/>
  <c r="BI202" i="25"/>
  <c r="BU202" i="25"/>
  <c r="CG202" i="25"/>
  <c r="CS202" i="25"/>
  <c r="BF202" i="25"/>
  <c r="BR202" i="25"/>
  <c r="CD202" i="25"/>
  <c r="CP202" i="25"/>
  <c r="DB202" i="25"/>
  <c r="BC202" i="25"/>
  <c r="BO202" i="25"/>
  <c r="CA202" i="25"/>
  <c r="CM202" i="25"/>
  <c r="CY202" i="25"/>
  <c r="BL202" i="25"/>
  <c r="CJ202" i="25"/>
  <c r="AZ202" i="25"/>
  <c r="BX202" i="25"/>
  <c r="CV202" i="25"/>
  <c r="AW200" i="25"/>
  <c r="BI200" i="25"/>
  <c r="BU200" i="25"/>
  <c r="CG200" i="25"/>
  <c r="CS200" i="25"/>
  <c r="BF200" i="25"/>
  <c r="BR200" i="25"/>
  <c r="CD200" i="25"/>
  <c r="CP200" i="25"/>
  <c r="DB200" i="25"/>
  <c r="BC200" i="25"/>
  <c r="BO200" i="25"/>
  <c r="CA200" i="25"/>
  <c r="CM200" i="25"/>
  <c r="CY200" i="25"/>
  <c r="BL200" i="25"/>
  <c r="CJ200" i="25"/>
  <c r="AZ200" i="25"/>
  <c r="BX200" i="25"/>
  <c r="CV200" i="25"/>
  <c r="AW256" i="25"/>
  <c r="BI256" i="25"/>
  <c r="BU256" i="25"/>
  <c r="CG256" i="25"/>
  <c r="CS256" i="25"/>
  <c r="BF256" i="25"/>
  <c r="BR256" i="25"/>
  <c r="CD256" i="25"/>
  <c r="CP256" i="25"/>
  <c r="DB256" i="25"/>
  <c r="BC256" i="25"/>
  <c r="BO256" i="25"/>
  <c r="CA256" i="25"/>
  <c r="CM256" i="25"/>
  <c r="CY256" i="25"/>
  <c r="BL256" i="25"/>
  <c r="CJ256" i="25"/>
  <c r="CV256" i="25"/>
  <c r="AZ256" i="25"/>
  <c r="BX256" i="25"/>
  <c r="AW242" i="25"/>
  <c r="BI242" i="25"/>
  <c r="BU242" i="25"/>
  <c r="CG242" i="25"/>
  <c r="CS242" i="25"/>
  <c r="BF242" i="25"/>
  <c r="BR242" i="25"/>
  <c r="CD242" i="25"/>
  <c r="CP242" i="25"/>
  <c r="DB242" i="25"/>
  <c r="BC242" i="25"/>
  <c r="BO242" i="25"/>
  <c r="CA242" i="25"/>
  <c r="CM242" i="25"/>
  <c r="CY242" i="25"/>
  <c r="CJ242" i="25"/>
  <c r="AZ242" i="25"/>
  <c r="BX242" i="25"/>
  <c r="CV242" i="25"/>
  <c r="BL242" i="25"/>
  <c r="AW204" i="25"/>
  <c r="BI204" i="25"/>
  <c r="BU204" i="25"/>
  <c r="CG204" i="25"/>
  <c r="CS204" i="25"/>
  <c r="BF204" i="25"/>
  <c r="BR204" i="25"/>
  <c r="CD204" i="25"/>
  <c r="CP204" i="25"/>
  <c r="DB204" i="25"/>
  <c r="BC204" i="25"/>
  <c r="BO204" i="25"/>
  <c r="CA204" i="25"/>
  <c r="CM204" i="25"/>
  <c r="CY204" i="25"/>
  <c r="BL204" i="25"/>
  <c r="CJ204" i="25"/>
  <c r="AZ204" i="25"/>
  <c r="BX204" i="25"/>
  <c r="CV204" i="25"/>
  <c r="AW216" i="25"/>
  <c r="BI216" i="25"/>
  <c r="BU216" i="25"/>
  <c r="CG216" i="25"/>
  <c r="CS216" i="25"/>
  <c r="BF216" i="25"/>
  <c r="BR216" i="25"/>
  <c r="CD216" i="25"/>
  <c r="CP216" i="25"/>
  <c r="DB216" i="25"/>
  <c r="BC216" i="25"/>
  <c r="BO216" i="25"/>
  <c r="CA216" i="25"/>
  <c r="CM216" i="25"/>
  <c r="CY216" i="25"/>
  <c r="BL216" i="25"/>
  <c r="CJ216" i="25"/>
  <c r="AZ216" i="25"/>
  <c r="BX216" i="25"/>
  <c r="CV216" i="25"/>
  <c r="AW212" i="25"/>
  <c r="BI212" i="25"/>
  <c r="BU212" i="25"/>
  <c r="CG212" i="25"/>
  <c r="CS212" i="25"/>
  <c r="BF212" i="25"/>
  <c r="BR212" i="25"/>
  <c r="CD212" i="25"/>
  <c r="CP212" i="25"/>
  <c r="DB212" i="25"/>
  <c r="BC212" i="25"/>
  <c r="BO212" i="25"/>
  <c r="CA212" i="25"/>
  <c r="CM212" i="25"/>
  <c r="CY212" i="25"/>
  <c r="BL212" i="25"/>
  <c r="CJ212" i="25"/>
  <c r="AZ212" i="25"/>
  <c r="BX212" i="25"/>
  <c r="CV212" i="25"/>
  <c r="AW210" i="25"/>
  <c r="BI210" i="25"/>
  <c r="BU210" i="25"/>
  <c r="CG210" i="25"/>
  <c r="CS210" i="25"/>
  <c r="BF210" i="25"/>
  <c r="BR210" i="25"/>
  <c r="CD210" i="25"/>
  <c r="CP210" i="25"/>
  <c r="DB210" i="25"/>
  <c r="BC210" i="25"/>
  <c r="BO210" i="25"/>
  <c r="CA210" i="25"/>
  <c r="CM210" i="25"/>
  <c r="CY210" i="25"/>
  <c r="CJ210" i="25"/>
  <c r="AZ210" i="25"/>
  <c r="BX210" i="25"/>
  <c r="CV210" i="25"/>
  <c r="BL210" i="25"/>
  <c r="BC253" i="25"/>
  <c r="BO253" i="25"/>
  <c r="CA253" i="25"/>
  <c r="CM253" i="25"/>
  <c r="CY253" i="25"/>
  <c r="AZ253" i="25"/>
  <c r="BL253" i="25"/>
  <c r="BX253" i="25"/>
  <c r="CJ253" i="25"/>
  <c r="CV253" i="25"/>
  <c r="AW253" i="25"/>
  <c r="BI253" i="25"/>
  <c r="BU253" i="25"/>
  <c r="CG253" i="25"/>
  <c r="CS253" i="25"/>
  <c r="CV230" i="25"/>
  <c r="BC207" i="25"/>
  <c r="BO207" i="25"/>
  <c r="CA207" i="25"/>
  <c r="CM207" i="25"/>
  <c r="CY207" i="25"/>
  <c r="AZ207" i="25"/>
  <c r="BL207" i="25"/>
  <c r="BX207" i="25"/>
  <c r="CJ207" i="25"/>
  <c r="CV207" i="25"/>
  <c r="AW207" i="25"/>
  <c r="BI207" i="25"/>
  <c r="BU207" i="25"/>
  <c r="CG207" i="25"/>
  <c r="CS207" i="25"/>
  <c r="BF176" i="25"/>
  <c r="BR176" i="25"/>
  <c r="CD176" i="25"/>
  <c r="CP176" i="25"/>
  <c r="DB176" i="25"/>
  <c r="BC176" i="25"/>
  <c r="BO176" i="25"/>
  <c r="CA176" i="25"/>
  <c r="CM176" i="25"/>
  <c r="CY176" i="25"/>
  <c r="AZ176" i="25"/>
  <c r="BL176" i="25"/>
  <c r="BX176" i="25"/>
  <c r="CJ176" i="25"/>
  <c r="CV176" i="25"/>
  <c r="AW176" i="25"/>
  <c r="BI176" i="25"/>
  <c r="BU176" i="25"/>
  <c r="CG176" i="25"/>
  <c r="CS176" i="25"/>
  <c r="CP257" i="25"/>
  <c r="BR257" i="25"/>
  <c r="AI250" i="25"/>
  <c r="AI248" i="25"/>
  <c r="AI245" i="25"/>
  <c r="AI244" i="25"/>
  <c r="CP243" i="25"/>
  <c r="BR243" i="25"/>
  <c r="AI240" i="25"/>
  <c r="AI237" i="25"/>
  <c r="AI233" i="25"/>
  <c r="CP231" i="25"/>
  <c r="AI225" i="25"/>
  <c r="AI224" i="25"/>
  <c r="AI221" i="25"/>
  <c r="AI219" i="25"/>
  <c r="AI217" i="25"/>
  <c r="AI213" i="25"/>
  <c r="CP207" i="25"/>
  <c r="BR207" i="25"/>
  <c r="AI205" i="25"/>
  <c r="CP203" i="25"/>
  <c r="BR203" i="25"/>
  <c r="AI197" i="25"/>
  <c r="BC261" i="25"/>
  <c r="BO261" i="25"/>
  <c r="CA261" i="25"/>
  <c r="CM261" i="25"/>
  <c r="CY261" i="25"/>
  <c r="AZ261" i="25"/>
  <c r="BL261" i="25"/>
  <c r="BX261" i="25"/>
  <c r="CJ261" i="25"/>
  <c r="CV261" i="25"/>
  <c r="AW261" i="25"/>
  <c r="BI261" i="25"/>
  <c r="BU261" i="25"/>
  <c r="CG261" i="25"/>
  <c r="CS261" i="25"/>
  <c r="AI260" i="25"/>
  <c r="BC243" i="25"/>
  <c r="BO243" i="25"/>
  <c r="CA243" i="25"/>
  <c r="CM243" i="25"/>
  <c r="CY243" i="25"/>
  <c r="AZ243" i="25"/>
  <c r="BL243" i="25"/>
  <c r="BX243" i="25"/>
  <c r="CJ243" i="25"/>
  <c r="CV243" i="25"/>
  <c r="AW243" i="25"/>
  <c r="BI243" i="25"/>
  <c r="BU243" i="25"/>
  <c r="CG243" i="25"/>
  <c r="CS243" i="25"/>
  <c r="AI234" i="25"/>
  <c r="BC231" i="25"/>
  <c r="BO231" i="25"/>
  <c r="CA231" i="25"/>
  <c r="CM231" i="25"/>
  <c r="CY231" i="25"/>
  <c r="AZ231" i="25"/>
  <c r="BL231" i="25"/>
  <c r="BX231" i="25"/>
  <c r="CJ231" i="25"/>
  <c r="CV231" i="25"/>
  <c r="AW231" i="25"/>
  <c r="BI231" i="25"/>
  <c r="BU231" i="25"/>
  <c r="CG231" i="25"/>
  <c r="CS231" i="25"/>
  <c r="AW230" i="25"/>
  <c r="BI230" i="25"/>
  <c r="BU230" i="25"/>
  <c r="CG230" i="25"/>
  <c r="CS230" i="25"/>
  <c r="BF230" i="25"/>
  <c r="BR230" i="25"/>
  <c r="CD230" i="25"/>
  <c r="CP230" i="25"/>
  <c r="DB230" i="25"/>
  <c r="BC230" i="25"/>
  <c r="BO230" i="25"/>
  <c r="CA230" i="25"/>
  <c r="CM230" i="25"/>
  <c r="CY230" i="25"/>
  <c r="AW206" i="25"/>
  <c r="BI206" i="25"/>
  <c r="BU206" i="25"/>
  <c r="CG206" i="25"/>
  <c r="CS206" i="25"/>
  <c r="BF206" i="25"/>
  <c r="BR206" i="25"/>
  <c r="CD206" i="25"/>
  <c r="CP206" i="25"/>
  <c r="DB206" i="25"/>
  <c r="BC206" i="25"/>
  <c r="BO206" i="25"/>
  <c r="CA206" i="25"/>
  <c r="CM206" i="25"/>
  <c r="CY206" i="25"/>
  <c r="BF170" i="25"/>
  <c r="BR170" i="25"/>
  <c r="CD170" i="25"/>
  <c r="CP170" i="25"/>
  <c r="DB170" i="25"/>
  <c r="BC170" i="25"/>
  <c r="BO170" i="25"/>
  <c r="CA170" i="25"/>
  <c r="CM170" i="25"/>
  <c r="CY170" i="25"/>
  <c r="AZ170" i="25"/>
  <c r="BL170" i="25"/>
  <c r="BX170" i="25"/>
  <c r="CJ170" i="25"/>
  <c r="CV170" i="25"/>
  <c r="AW170" i="25"/>
  <c r="BI170" i="25"/>
  <c r="BU170" i="25"/>
  <c r="CG170" i="25"/>
  <c r="CS170" i="25"/>
  <c r="CP261" i="25"/>
  <c r="BR261" i="25"/>
  <c r="CP253" i="25"/>
  <c r="BR253" i="25"/>
  <c r="AI251" i="25"/>
  <c r="AI259" i="25"/>
  <c r="AI255" i="25"/>
  <c r="AI254" i="25"/>
  <c r="AI252" i="25"/>
  <c r="AI235" i="25"/>
  <c r="CJ230" i="25"/>
  <c r="BL230" i="25"/>
  <c r="AI227" i="25"/>
  <c r="AI223" i="25"/>
  <c r="AI222" i="25"/>
  <c r="AI211" i="25"/>
  <c r="CJ206" i="25"/>
  <c r="BL206" i="25"/>
  <c r="BC257" i="25"/>
  <c r="BO257" i="25"/>
  <c r="CA257" i="25"/>
  <c r="CM257" i="25"/>
  <c r="CY257" i="25"/>
  <c r="AZ257" i="25"/>
  <c r="BL257" i="25"/>
  <c r="BX257" i="25"/>
  <c r="CJ257" i="25"/>
  <c r="CV257" i="25"/>
  <c r="AW257" i="25"/>
  <c r="BI257" i="25"/>
  <c r="BU257" i="25"/>
  <c r="CG257" i="25"/>
  <c r="CS257" i="25"/>
  <c r="AI238" i="25"/>
  <c r="BX230" i="25"/>
  <c r="CV206" i="25"/>
  <c r="BX206" i="25"/>
  <c r="BC203" i="25"/>
  <c r="BO203" i="25"/>
  <c r="CA203" i="25"/>
  <c r="CM203" i="25"/>
  <c r="CY203" i="25"/>
  <c r="AZ203" i="25"/>
  <c r="BL203" i="25"/>
  <c r="BX203" i="25"/>
  <c r="CJ203" i="25"/>
  <c r="CV203" i="25"/>
  <c r="AW203" i="25"/>
  <c r="BI203" i="25"/>
  <c r="BU203" i="25"/>
  <c r="CG203" i="25"/>
  <c r="CS203" i="25"/>
  <c r="BF178" i="25"/>
  <c r="BR178" i="25"/>
  <c r="CD178" i="25"/>
  <c r="CP178" i="25"/>
  <c r="DB178" i="25"/>
  <c r="BC178" i="25"/>
  <c r="BO178" i="25"/>
  <c r="CA178" i="25"/>
  <c r="CM178" i="25"/>
  <c r="CY178" i="25"/>
  <c r="AZ178" i="25"/>
  <c r="BL178" i="25"/>
  <c r="BX178" i="25"/>
  <c r="CJ178" i="25"/>
  <c r="CV178" i="25"/>
  <c r="AW178" i="25"/>
  <c r="BI178" i="25"/>
  <c r="BU178" i="25"/>
  <c r="CG178" i="25"/>
  <c r="CS178" i="25"/>
  <c r="BF174" i="25"/>
  <c r="BR174" i="25"/>
  <c r="CD174" i="25"/>
  <c r="CP174" i="25"/>
  <c r="DB174" i="25"/>
  <c r="BC174" i="25"/>
  <c r="BO174" i="25"/>
  <c r="CA174" i="25"/>
  <c r="CM174" i="25"/>
  <c r="CY174" i="25"/>
  <c r="AZ174" i="25"/>
  <c r="BL174" i="25"/>
  <c r="BX174" i="25"/>
  <c r="CJ174" i="25"/>
  <c r="CV174" i="25"/>
  <c r="AW174" i="25"/>
  <c r="BI174" i="25"/>
  <c r="BU174" i="25"/>
  <c r="CG174" i="25"/>
  <c r="CS174" i="25"/>
  <c r="DB261" i="25"/>
  <c r="CD261" i="25"/>
  <c r="BF261" i="25"/>
  <c r="DB257" i="25"/>
  <c r="CD257" i="25"/>
  <c r="BF257" i="25"/>
  <c r="DB253" i="25"/>
  <c r="CD253" i="25"/>
  <c r="BF253" i="25"/>
  <c r="AI249" i="25"/>
  <c r="AI247" i="25"/>
  <c r="AI246" i="25"/>
  <c r="DB243" i="25"/>
  <c r="CD243" i="25"/>
  <c r="BF243" i="25"/>
  <c r="AI241" i="25"/>
  <c r="AI239" i="25"/>
  <c r="AI236" i="25"/>
  <c r="AI232" i="25"/>
  <c r="DB231" i="25"/>
  <c r="CD231" i="25"/>
  <c r="BF231" i="25"/>
  <c r="AI229" i="25"/>
  <c r="AI228" i="25"/>
  <c r="AI226" i="25"/>
  <c r="AI220" i="25"/>
  <c r="AI215" i="25"/>
  <c r="AI214" i="25"/>
  <c r="AI209" i="25"/>
  <c r="AI208" i="25"/>
  <c r="DB207" i="25"/>
  <c r="CD207" i="25"/>
  <c r="BF207" i="25"/>
  <c r="DB203" i="25"/>
  <c r="CD203" i="25"/>
  <c r="BF203" i="25"/>
  <c r="AI201" i="25"/>
  <c r="AI199" i="25"/>
  <c r="AI198" i="25"/>
  <c r="AZ195" i="25"/>
  <c r="BL195" i="25"/>
  <c r="BX195" i="25"/>
  <c r="CJ195" i="25"/>
  <c r="CV195" i="25"/>
  <c r="AW195" i="25"/>
  <c r="BI195" i="25"/>
  <c r="BU195" i="25"/>
  <c r="CG195" i="25"/>
  <c r="CS195" i="25"/>
  <c r="BF195" i="25"/>
  <c r="BR195" i="25"/>
  <c r="CD195" i="25"/>
  <c r="CP195" i="25"/>
  <c r="DB195" i="25"/>
  <c r="BC195" i="25"/>
  <c r="BO195" i="25"/>
  <c r="CA195" i="25"/>
  <c r="CM195" i="25"/>
  <c r="CY195" i="25"/>
  <c r="AZ189" i="25"/>
  <c r="BL189" i="25"/>
  <c r="BX189" i="25"/>
  <c r="CJ189" i="25"/>
  <c r="CV189" i="25"/>
  <c r="AW189" i="25"/>
  <c r="BI189" i="25"/>
  <c r="BU189" i="25"/>
  <c r="CG189" i="25"/>
  <c r="CS189" i="25"/>
  <c r="BF189" i="25"/>
  <c r="BR189" i="25"/>
  <c r="CD189" i="25"/>
  <c r="CP189" i="25"/>
  <c r="DB189" i="25"/>
  <c r="BC189" i="25"/>
  <c r="BO189" i="25"/>
  <c r="CA189" i="25"/>
  <c r="CM189" i="25"/>
  <c r="CY189" i="25"/>
  <c r="AZ187" i="25"/>
  <c r="BL187" i="25"/>
  <c r="BX187" i="25"/>
  <c r="CJ187" i="25"/>
  <c r="CV187" i="25"/>
  <c r="AW187" i="25"/>
  <c r="BI187" i="25"/>
  <c r="BU187" i="25"/>
  <c r="CG187" i="25"/>
  <c r="CS187" i="25"/>
  <c r="BF187" i="25"/>
  <c r="BR187" i="25"/>
  <c r="CD187" i="25"/>
  <c r="CP187" i="25"/>
  <c r="DB187" i="25"/>
  <c r="BC187" i="25"/>
  <c r="BO187" i="25"/>
  <c r="CA187" i="25"/>
  <c r="CM187" i="25"/>
  <c r="CY187" i="25"/>
  <c r="AZ181" i="25"/>
  <c r="BL181" i="25"/>
  <c r="BX181" i="25"/>
  <c r="CJ181" i="25"/>
  <c r="CV181" i="25"/>
  <c r="AW181" i="25"/>
  <c r="BI181" i="25"/>
  <c r="BU181" i="25"/>
  <c r="CG181" i="25"/>
  <c r="CS181" i="25"/>
  <c r="BF181" i="25"/>
  <c r="BR181" i="25"/>
  <c r="CD181" i="25"/>
  <c r="CP181" i="25"/>
  <c r="DB181" i="25"/>
  <c r="BC181" i="25"/>
  <c r="BO181" i="25"/>
  <c r="CA181" i="25"/>
  <c r="CM181" i="25"/>
  <c r="CY181" i="25"/>
  <c r="AZ177" i="25"/>
  <c r="BL177" i="25"/>
  <c r="BX177" i="25"/>
  <c r="CJ177" i="25"/>
  <c r="CV177" i="25"/>
  <c r="AW177" i="25"/>
  <c r="BI177" i="25"/>
  <c r="BU177" i="25"/>
  <c r="CG177" i="25"/>
  <c r="CS177" i="25"/>
  <c r="BF177" i="25"/>
  <c r="BR177" i="25"/>
  <c r="CD177" i="25"/>
  <c r="CP177" i="25"/>
  <c r="DB177" i="25"/>
  <c r="BC177" i="25"/>
  <c r="BO177" i="25"/>
  <c r="CA177" i="25"/>
  <c r="CM177" i="25"/>
  <c r="CY177" i="25"/>
  <c r="AZ175" i="25"/>
  <c r="BL175" i="25"/>
  <c r="BX175" i="25"/>
  <c r="CJ175" i="25"/>
  <c r="CV175" i="25"/>
  <c r="AW175" i="25"/>
  <c r="BI175" i="25"/>
  <c r="BU175" i="25"/>
  <c r="CG175" i="25"/>
  <c r="CS175" i="25"/>
  <c r="BF175" i="25"/>
  <c r="BR175" i="25"/>
  <c r="CD175" i="25"/>
  <c r="CP175" i="25"/>
  <c r="DB175" i="25"/>
  <c r="BC175" i="25"/>
  <c r="BO175" i="25"/>
  <c r="CA175" i="25"/>
  <c r="CM175" i="25"/>
  <c r="CY175" i="25"/>
  <c r="AZ171" i="25"/>
  <c r="BL171" i="25"/>
  <c r="BX171" i="25"/>
  <c r="CJ171" i="25"/>
  <c r="CV171" i="25"/>
  <c r="AW171" i="25"/>
  <c r="BI171" i="25"/>
  <c r="BU171" i="25"/>
  <c r="CG171" i="25"/>
  <c r="CS171" i="25"/>
  <c r="BF171" i="25"/>
  <c r="BR171" i="25"/>
  <c r="CD171" i="25"/>
  <c r="CP171" i="25"/>
  <c r="DB171" i="25"/>
  <c r="BC171" i="25"/>
  <c r="BO171" i="25"/>
  <c r="CA171" i="25"/>
  <c r="CM171" i="25"/>
  <c r="CY171" i="25"/>
  <c r="BF172" i="25"/>
  <c r="BR172" i="25"/>
  <c r="CD172" i="25"/>
  <c r="CP172" i="25"/>
  <c r="DB172" i="25"/>
  <c r="BC172" i="25"/>
  <c r="BO172" i="25"/>
  <c r="CA172" i="25"/>
  <c r="CM172" i="25"/>
  <c r="CY172" i="25"/>
  <c r="AZ172" i="25"/>
  <c r="BL172" i="25"/>
  <c r="BX172" i="25"/>
  <c r="CJ172" i="25"/>
  <c r="CV172" i="25"/>
  <c r="AW172" i="25"/>
  <c r="BI172" i="25"/>
  <c r="BU172" i="25"/>
  <c r="CG172" i="25"/>
  <c r="CS172" i="25"/>
  <c r="AZ193" i="25"/>
  <c r="BL193" i="25"/>
  <c r="BX193" i="25"/>
  <c r="CJ193" i="25"/>
  <c r="CV193" i="25"/>
  <c r="AW193" i="25"/>
  <c r="BI193" i="25"/>
  <c r="BU193" i="25"/>
  <c r="CG193" i="25"/>
  <c r="CS193" i="25"/>
  <c r="BF193" i="25"/>
  <c r="BR193" i="25"/>
  <c r="CD193" i="25"/>
  <c r="CP193" i="25"/>
  <c r="DB193" i="25"/>
  <c r="BC193" i="25"/>
  <c r="BO193" i="25"/>
  <c r="CA193" i="25"/>
  <c r="CM193" i="25"/>
  <c r="CY193" i="25"/>
  <c r="AZ191" i="25"/>
  <c r="BL191" i="25"/>
  <c r="BX191" i="25"/>
  <c r="CJ191" i="25"/>
  <c r="CV191" i="25"/>
  <c r="AW191" i="25"/>
  <c r="BI191" i="25"/>
  <c r="BU191" i="25"/>
  <c r="CG191" i="25"/>
  <c r="CS191" i="25"/>
  <c r="BF191" i="25"/>
  <c r="BR191" i="25"/>
  <c r="CD191" i="25"/>
  <c r="CP191" i="25"/>
  <c r="DB191" i="25"/>
  <c r="BC191" i="25"/>
  <c r="BO191" i="25"/>
  <c r="CA191" i="25"/>
  <c r="CM191" i="25"/>
  <c r="CY191" i="25"/>
  <c r="AZ185" i="25"/>
  <c r="BL185" i="25"/>
  <c r="BX185" i="25"/>
  <c r="CJ185" i="25"/>
  <c r="CV185" i="25"/>
  <c r="AW185" i="25"/>
  <c r="BI185" i="25"/>
  <c r="BU185" i="25"/>
  <c r="CG185" i="25"/>
  <c r="CS185" i="25"/>
  <c r="BF185" i="25"/>
  <c r="BR185" i="25"/>
  <c r="CD185" i="25"/>
  <c r="CP185" i="25"/>
  <c r="DB185" i="25"/>
  <c r="BC185" i="25"/>
  <c r="BO185" i="25"/>
  <c r="CA185" i="25"/>
  <c r="CM185" i="25"/>
  <c r="CY185" i="25"/>
  <c r="AZ183" i="25"/>
  <c r="BL183" i="25"/>
  <c r="BX183" i="25"/>
  <c r="CJ183" i="25"/>
  <c r="CV183" i="25"/>
  <c r="AW183" i="25"/>
  <c r="BI183" i="25"/>
  <c r="BU183" i="25"/>
  <c r="CG183" i="25"/>
  <c r="CS183" i="25"/>
  <c r="BF183" i="25"/>
  <c r="BR183" i="25"/>
  <c r="CD183" i="25"/>
  <c r="CP183" i="25"/>
  <c r="DB183" i="25"/>
  <c r="BC183" i="25"/>
  <c r="BO183" i="25"/>
  <c r="CA183" i="25"/>
  <c r="CM183" i="25"/>
  <c r="CY183" i="25"/>
  <c r="AZ179" i="25"/>
  <c r="BL179" i="25"/>
  <c r="BX179" i="25"/>
  <c r="CJ179" i="25"/>
  <c r="CV179" i="25"/>
  <c r="AW179" i="25"/>
  <c r="BI179" i="25"/>
  <c r="BU179" i="25"/>
  <c r="CG179" i="25"/>
  <c r="CS179" i="25"/>
  <c r="BF179" i="25"/>
  <c r="BR179" i="25"/>
  <c r="CD179" i="25"/>
  <c r="CP179" i="25"/>
  <c r="DB179" i="25"/>
  <c r="BC179" i="25"/>
  <c r="BO179" i="25"/>
  <c r="CA179" i="25"/>
  <c r="CM179" i="25"/>
  <c r="CY179" i="25"/>
  <c r="AZ173" i="25"/>
  <c r="BL173" i="25"/>
  <c r="BX173" i="25"/>
  <c r="CJ173" i="25"/>
  <c r="CV173" i="25"/>
  <c r="AW173" i="25"/>
  <c r="BI173" i="25"/>
  <c r="BU173" i="25"/>
  <c r="CG173" i="25"/>
  <c r="CS173" i="25"/>
  <c r="BF173" i="25"/>
  <c r="BR173" i="25"/>
  <c r="CD173" i="25"/>
  <c r="CP173" i="25"/>
  <c r="DB173" i="25"/>
  <c r="BC173" i="25"/>
  <c r="BO173" i="25"/>
  <c r="CA173" i="25"/>
  <c r="CM173" i="25"/>
  <c r="CY173" i="25"/>
  <c r="AZ169" i="25"/>
  <c r="BL169" i="25"/>
  <c r="BX169" i="25"/>
  <c r="CJ169" i="25"/>
  <c r="CV169" i="25"/>
  <c r="AW169" i="25"/>
  <c r="BI169" i="25"/>
  <c r="BU169" i="25"/>
  <c r="CG169" i="25"/>
  <c r="CS169" i="25"/>
  <c r="BF169" i="25"/>
  <c r="BR169" i="25"/>
  <c r="CD169" i="25"/>
  <c r="CP169" i="25"/>
  <c r="DB169" i="25"/>
  <c r="BC169" i="25"/>
  <c r="BO169" i="25"/>
  <c r="CA169" i="25"/>
  <c r="CM169" i="25"/>
  <c r="CY169" i="25"/>
  <c r="AZ166" i="25"/>
  <c r="BL166" i="25"/>
  <c r="BX166" i="25"/>
  <c r="CJ166" i="25"/>
  <c r="CV166" i="25"/>
  <c r="AW166" i="25"/>
  <c r="BI166" i="25"/>
  <c r="BU166" i="25"/>
  <c r="CG166" i="25"/>
  <c r="CS166" i="25"/>
  <c r="BF166" i="25"/>
  <c r="BR166" i="25"/>
  <c r="CD166" i="25"/>
  <c r="CP166" i="25"/>
  <c r="DB166" i="25"/>
  <c r="BC166" i="25"/>
  <c r="BO166" i="25"/>
  <c r="CA166" i="25"/>
  <c r="CM166" i="25"/>
  <c r="CY166" i="25"/>
  <c r="AZ162" i="25"/>
  <c r="BL162" i="25"/>
  <c r="BX162" i="25"/>
  <c r="CJ162" i="25"/>
  <c r="CV162" i="25"/>
  <c r="AW162" i="25"/>
  <c r="BI162" i="25"/>
  <c r="BU162" i="25"/>
  <c r="CG162" i="25"/>
  <c r="CS162" i="25"/>
  <c r="BF162" i="25"/>
  <c r="BR162" i="25"/>
  <c r="CD162" i="25"/>
  <c r="CP162" i="25"/>
  <c r="DB162" i="25"/>
  <c r="BC162" i="25"/>
  <c r="BO162" i="25"/>
  <c r="CA162" i="25"/>
  <c r="CM162" i="25"/>
  <c r="CY162" i="25"/>
  <c r="AZ158" i="25"/>
  <c r="BL158" i="25"/>
  <c r="BX158" i="25"/>
  <c r="CJ158" i="25"/>
  <c r="CV158" i="25"/>
  <c r="AW158" i="25"/>
  <c r="BI158" i="25"/>
  <c r="BU158" i="25"/>
  <c r="CG158" i="25"/>
  <c r="CS158" i="25"/>
  <c r="BF158" i="25"/>
  <c r="BR158" i="25"/>
  <c r="CD158" i="25"/>
  <c r="CP158" i="25"/>
  <c r="DB158" i="25"/>
  <c r="BC158" i="25"/>
  <c r="BO158" i="25"/>
  <c r="CA158" i="25"/>
  <c r="CM158" i="25"/>
  <c r="CY158" i="25"/>
  <c r="AZ154" i="25"/>
  <c r="BL154" i="25"/>
  <c r="BX154" i="25"/>
  <c r="CJ154" i="25"/>
  <c r="CV154" i="25"/>
  <c r="AW154" i="25"/>
  <c r="BI154" i="25"/>
  <c r="BU154" i="25"/>
  <c r="CG154" i="25"/>
  <c r="CS154" i="25"/>
  <c r="BF154" i="25"/>
  <c r="BR154" i="25"/>
  <c r="CD154" i="25"/>
  <c r="CP154" i="25"/>
  <c r="DB154" i="25"/>
  <c r="BC154" i="25"/>
  <c r="BO154" i="25"/>
  <c r="CA154" i="25"/>
  <c r="CM154" i="25"/>
  <c r="CY154" i="25"/>
  <c r="AZ140" i="25"/>
  <c r="BL140" i="25"/>
  <c r="BX140" i="25"/>
  <c r="CJ140" i="25"/>
  <c r="CV140" i="25"/>
  <c r="AW140" i="25"/>
  <c r="BI140" i="25"/>
  <c r="BU140" i="25"/>
  <c r="CG140" i="25"/>
  <c r="CS140" i="25"/>
  <c r="BF140" i="25"/>
  <c r="BR140" i="25"/>
  <c r="CD140" i="25"/>
  <c r="CP140" i="25"/>
  <c r="DB140" i="25"/>
  <c r="BC140" i="25"/>
  <c r="BO140" i="25"/>
  <c r="CA140" i="25"/>
  <c r="CM140" i="25"/>
  <c r="CY140" i="25"/>
  <c r="AI196" i="25"/>
  <c r="AI194" i="25"/>
  <c r="AI192" i="25"/>
  <c r="AI190" i="25"/>
  <c r="AI188" i="25"/>
  <c r="AI186" i="25"/>
  <c r="AI184" i="25"/>
  <c r="AI182" i="25"/>
  <c r="AI180" i="25"/>
  <c r="AI168" i="25"/>
  <c r="BF145" i="25"/>
  <c r="BR145" i="25"/>
  <c r="CD145" i="25"/>
  <c r="CP145" i="25"/>
  <c r="DB145" i="25"/>
  <c r="BC145" i="25"/>
  <c r="BO145" i="25"/>
  <c r="CA145" i="25"/>
  <c r="CM145" i="25"/>
  <c r="CY145" i="25"/>
  <c r="AZ145" i="25"/>
  <c r="BL145" i="25"/>
  <c r="BX145" i="25"/>
  <c r="CJ145" i="25"/>
  <c r="CV145" i="25"/>
  <c r="AW145" i="25"/>
  <c r="BI145" i="25"/>
  <c r="BU145" i="25"/>
  <c r="CG145" i="25"/>
  <c r="CS145" i="25"/>
  <c r="BF143" i="25"/>
  <c r="BR143" i="25"/>
  <c r="CD143" i="25"/>
  <c r="CP143" i="25"/>
  <c r="DB143" i="25"/>
  <c r="BC143" i="25"/>
  <c r="BO143" i="25"/>
  <c r="CA143" i="25"/>
  <c r="CM143" i="25"/>
  <c r="CY143" i="25"/>
  <c r="AZ143" i="25"/>
  <c r="BL143" i="25"/>
  <c r="BX143" i="25"/>
  <c r="CJ143" i="25"/>
  <c r="CV143" i="25"/>
  <c r="AW143" i="25"/>
  <c r="BI143" i="25"/>
  <c r="BU143" i="25"/>
  <c r="CG143" i="25"/>
  <c r="CS143" i="25"/>
  <c r="BF141" i="25"/>
  <c r="BR141" i="25"/>
  <c r="CD141" i="25"/>
  <c r="CP141" i="25"/>
  <c r="DB141" i="25"/>
  <c r="BC141" i="25"/>
  <c r="BO141" i="25"/>
  <c r="CA141" i="25"/>
  <c r="CM141" i="25"/>
  <c r="CY141" i="25"/>
  <c r="AZ141" i="25"/>
  <c r="BL141" i="25"/>
  <c r="BX141" i="25"/>
  <c r="CJ141" i="25"/>
  <c r="CV141" i="25"/>
  <c r="AW141" i="25"/>
  <c r="BI141" i="25"/>
  <c r="BU141" i="25"/>
  <c r="CG141" i="25"/>
  <c r="CS141" i="25"/>
  <c r="AZ164" i="25"/>
  <c r="BL164" i="25"/>
  <c r="BX164" i="25"/>
  <c r="CJ164" i="25"/>
  <c r="CV164" i="25"/>
  <c r="AW164" i="25"/>
  <c r="BI164" i="25"/>
  <c r="BU164" i="25"/>
  <c r="CG164" i="25"/>
  <c r="CS164" i="25"/>
  <c r="BF164" i="25"/>
  <c r="BR164" i="25"/>
  <c r="CD164" i="25"/>
  <c r="CP164" i="25"/>
  <c r="DB164" i="25"/>
  <c r="BC164" i="25"/>
  <c r="BO164" i="25"/>
  <c r="CA164" i="25"/>
  <c r="CM164" i="25"/>
  <c r="CY164" i="25"/>
  <c r="AZ160" i="25"/>
  <c r="BL160" i="25"/>
  <c r="BX160" i="25"/>
  <c r="CJ160" i="25"/>
  <c r="CV160" i="25"/>
  <c r="AW160" i="25"/>
  <c r="BI160" i="25"/>
  <c r="BU160" i="25"/>
  <c r="CG160" i="25"/>
  <c r="CS160" i="25"/>
  <c r="BF160" i="25"/>
  <c r="BR160" i="25"/>
  <c r="CD160" i="25"/>
  <c r="CP160" i="25"/>
  <c r="DB160" i="25"/>
  <c r="BC160" i="25"/>
  <c r="BO160" i="25"/>
  <c r="CA160" i="25"/>
  <c r="CM160" i="25"/>
  <c r="CY160" i="25"/>
  <c r="AZ156" i="25"/>
  <c r="BL156" i="25"/>
  <c r="BX156" i="25"/>
  <c r="CJ156" i="25"/>
  <c r="CV156" i="25"/>
  <c r="AW156" i="25"/>
  <c r="BI156" i="25"/>
  <c r="BU156" i="25"/>
  <c r="CG156" i="25"/>
  <c r="CS156" i="25"/>
  <c r="BF156" i="25"/>
  <c r="BR156" i="25"/>
  <c r="CD156" i="25"/>
  <c r="CP156" i="25"/>
  <c r="DB156" i="25"/>
  <c r="BC156" i="25"/>
  <c r="BO156" i="25"/>
  <c r="CA156" i="25"/>
  <c r="CM156" i="25"/>
  <c r="CY156" i="25"/>
  <c r="AZ152" i="25"/>
  <c r="BL152" i="25"/>
  <c r="BX152" i="25"/>
  <c r="CJ152" i="25"/>
  <c r="CV152" i="25"/>
  <c r="AW152" i="25"/>
  <c r="BI152" i="25"/>
  <c r="BU152" i="25"/>
  <c r="CG152" i="25"/>
  <c r="CS152" i="25"/>
  <c r="BF152" i="25"/>
  <c r="BR152" i="25"/>
  <c r="CD152" i="25"/>
  <c r="CP152" i="25"/>
  <c r="DB152" i="25"/>
  <c r="BC152" i="25"/>
  <c r="BO152" i="25"/>
  <c r="CA152" i="25"/>
  <c r="CM152" i="25"/>
  <c r="CY152" i="25"/>
  <c r="AZ150" i="25"/>
  <c r="BL150" i="25"/>
  <c r="BX150" i="25"/>
  <c r="CJ150" i="25"/>
  <c r="CV150" i="25"/>
  <c r="AW150" i="25"/>
  <c r="BI150" i="25"/>
  <c r="BU150" i="25"/>
  <c r="CG150" i="25"/>
  <c r="CS150" i="25"/>
  <c r="BF150" i="25"/>
  <c r="BR150" i="25"/>
  <c r="CD150" i="25"/>
  <c r="CP150" i="25"/>
  <c r="DB150" i="25"/>
  <c r="BC150" i="25"/>
  <c r="BO150" i="25"/>
  <c r="CA150" i="25"/>
  <c r="CM150" i="25"/>
  <c r="CY150" i="25"/>
  <c r="AZ148" i="25"/>
  <c r="BL148" i="25"/>
  <c r="BX148" i="25"/>
  <c r="CJ148" i="25"/>
  <c r="CV148" i="25"/>
  <c r="AW148" i="25"/>
  <c r="BI148" i="25"/>
  <c r="BU148" i="25"/>
  <c r="CG148" i="25"/>
  <c r="CS148" i="25"/>
  <c r="BF148" i="25"/>
  <c r="BR148" i="25"/>
  <c r="CD148" i="25"/>
  <c r="CP148" i="25"/>
  <c r="DB148" i="25"/>
  <c r="BC148" i="25"/>
  <c r="BO148" i="25"/>
  <c r="CA148" i="25"/>
  <c r="CM148" i="25"/>
  <c r="CY148" i="25"/>
  <c r="AZ146" i="25"/>
  <c r="BL146" i="25"/>
  <c r="BX146" i="25"/>
  <c r="CJ146" i="25"/>
  <c r="CV146" i="25"/>
  <c r="AW146" i="25"/>
  <c r="BI146" i="25"/>
  <c r="BU146" i="25"/>
  <c r="CG146" i="25"/>
  <c r="CS146" i="25"/>
  <c r="BF146" i="25"/>
  <c r="BR146" i="25"/>
  <c r="CD146" i="25"/>
  <c r="CP146" i="25"/>
  <c r="DB146" i="25"/>
  <c r="BC146" i="25"/>
  <c r="BO146" i="25"/>
  <c r="CA146" i="25"/>
  <c r="CM146" i="25"/>
  <c r="CY146" i="25"/>
  <c r="AZ144" i="25"/>
  <c r="BL144" i="25"/>
  <c r="BX144" i="25"/>
  <c r="CJ144" i="25"/>
  <c r="CV144" i="25"/>
  <c r="AW144" i="25"/>
  <c r="BI144" i="25"/>
  <c r="BU144" i="25"/>
  <c r="CG144" i="25"/>
  <c r="CS144" i="25"/>
  <c r="BF144" i="25"/>
  <c r="BR144" i="25"/>
  <c r="CD144" i="25"/>
  <c r="CP144" i="25"/>
  <c r="DB144" i="25"/>
  <c r="BC144" i="25"/>
  <c r="BO144" i="25"/>
  <c r="CA144" i="25"/>
  <c r="CM144" i="25"/>
  <c r="CY144" i="25"/>
  <c r="AZ142" i="25"/>
  <c r="BL142" i="25"/>
  <c r="BX142" i="25"/>
  <c r="CJ142" i="25"/>
  <c r="CV142" i="25"/>
  <c r="AW142" i="25"/>
  <c r="BI142" i="25"/>
  <c r="BU142" i="25"/>
  <c r="CG142" i="25"/>
  <c r="CS142" i="25"/>
  <c r="BF142" i="25"/>
  <c r="BR142" i="25"/>
  <c r="CD142" i="25"/>
  <c r="CP142" i="25"/>
  <c r="DB142" i="25"/>
  <c r="BC142" i="25"/>
  <c r="BO142" i="25"/>
  <c r="CA142" i="25"/>
  <c r="CM142" i="25"/>
  <c r="CY142" i="25"/>
  <c r="BC132" i="25"/>
  <c r="BO132" i="25"/>
  <c r="CA132" i="25"/>
  <c r="CM132" i="25"/>
  <c r="CY132" i="25"/>
  <c r="AZ132" i="25"/>
  <c r="BL132" i="25"/>
  <c r="BX132" i="25"/>
  <c r="CJ132" i="25"/>
  <c r="CV132" i="25"/>
  <c r="AW132" i="25"/>
  <c r="BI132" i="25"/>
  <c r="BU132" i="25"/>
  <c r="CG132" i="25"/>
  <c r="CS132" i="25"/>
  <c r="BF132" i="25"/>
  <c r="BR132" i="25"/>
  <c r="CD132" i="25"/>
  <c r="CP132" i="25"/>
  <c r="DB132" i="25"/>
  <c r="BC126" i="25"/>
  <c r="BO126" i="25"/>
  <c r="CA126" i="25"/>
  <c r="CM126" i="25"/>
  <c r="CY126" i="25"/>
  <c r="AZ126" i="25"/>
  <c r="BL126" i="25"/>
  <c r="BX126" i="25"/>
  <c r="CJ126" i="25"/>
  <c r="CV126" i="25"/>
  <c r="AW126" i="25"/>
  <c r="BI126" i="25"/>
  <c r="BU126" i="25"/>
  <c r="CG126" i="25"/>
  <c r="CS126" i="25"/>
  <c r="BF126" i="25"/>
  <c r="BR126" i="25"/>
  <c r="CD126" i="25"/>
  <c r="CP126" i="25"/>
  <c r="DB126" i="25"/>
  <c r="BC122" i="25"/>
  <c r="BO122" i="25"/>
  <c r="CA122" i="25"/>
  <c r="CM122" i="25"/>
  <c r="CY122" i="25"/>
  <c r="AZ122" i="25"/>
  <c r="BL122" i="25"/>
  <c r="BX122" i="25"/>
  <c r="CJ122" i="25"/>
  <c r="CV122" i="25"/>
  <c r="AW122" i="25"/>
  <c r="BI122" i="25"/>
  <c r="BU122" i="25"/>
  <c r="CG122" i="25"/>
  <c r="CS122" i="25"/>
  <c r="BF122" i="25"/>
  <c r="BR122" i="25"/>
  <c r="CD122" i="25"/>
  <c r="CP122" i="25"/>
  <c r="DB122" i="25"/>
  <c r="BC120" i="25"/>
  <c r="BO120" i="25"/>
  <c r="CA120" i="25"/>
  <c r="CM120" i="25"/>
  <c r="CY120" i="25"/>
  <c r="AZ120" i="25"/>
  <c r="BL120" i="25"/>
  <c r="BX120" i="25"/>
  <c r="CJ120" i="25"/>
  <c r="CV120" i="25"/>
  <c r="AW120" i="25"/>
  <c r="BI120" i="25"/>
  <c r="BU120" i="25"/>
  <c r="CG120" i="25"/>
  <c r="CS120" i="25"/>
  <c r="BF120" i="25"/>
  <c r="BR120" i="25"/>
  <c r="CD120" i="25"/>
  <c r="CP120" i="25"/>
  <c r="DB120" i="25"/>
  <c r="BC118" i="25"/>
  <c r="BO118" i="25"/>
  <c r="CA118" i="25"/>
  <c r="CM118" i="25"/>
  <c r="CY118" i="25"/>
  <c r="AZ118" i="25"/>
  <c r="BL118" i="25"/>
  <c r="BX118" i="25"/>
  <c r="CJ118" i="25"/>
  <c r="CV118" i="25"/>
  <c r="AW118" i="25"/>
  <c r="BI118" i="25"/>
  <c r="BU118" i="25"/>
  <c r="CG118" i="25"/>
  <c r="CS118" i="25"/>
  <c r="BF118" i="25"/>
  <c r="BR118" i="25"/>
  <c r="CD118" i="25"/>
  <c r="CP118" i="25"/>
  <c r="DB118" i="25"/>
  <c r="BC114" i="25"/>
  <c r="BO114" i="25"/>
  <c r="CA114" i="25"/>
  <c r="CM114" i="25"/>
  <c r="CY114" i="25"/>
  <c r="AZ114" i="25"/>
  <c r="BL114" i="25"/>
  <c r="BX114" i="25"/>
  <c r="CJ114" i="25"/>
  <c r="CV114" i="25"/>
  <c r="AW114" i="25"/>
  <c r="BI114" i="25"/>
  <c r="BU114" i="25"/>
  <c r="CG114" i="25"/>
  <c r="CS114" i="25"/>
  <c r="BF114" i="25"/>
  <c r="BR114" i="25"/>
  <c r="CD114" i="25"/>
  <c r="CP114" i="25"/>
  <c r="DB114" i="25"/>
  <c r="BC108" i="25"/>
  <c r="BO108" i="25"/>
  <c r="CA108" i="25"/>
  <c r="CM108" i="25"/>
  <c r="CY108" i="25"/>
  <c r="AZ108" i="25"/>
  <c r="BL108" i="25"/>
  <c r="BX108" i="25"/>
  <c r="CJ108" i="25"/>
  <c r="CV108" i="25"/>
  <c r="AW108" i="25"/>
  <c r="BI108" i="25"/>
  <c r="BU108" i="25"/>
  <c r="CG108" i="25"/>
  <c r="CS108" i="25"/>
  <c r="BF108" i="25"/>
  <c r="BR108" i="25"/>
  <c r="CD108" i="25"/>
  <c r="CP108" i="25"/>
  <c r="DB108" i="25"/>
  <c r="AI167" i="25"/>
  <c r="AI165" i="25"/>
  <c r="AI163" i="25"/>
  <c r="AI161" i="25"/>
  <c r="AI159" i="25"/>
  <c r="AI157" i="25"/>
  <c r="AI155" i="25"/>
  <c r="AI153" i="25"/>
  <c r="AI151" i="25"/>
  <c r="AI149" i="25"/>
  <c r="AI147" i="25"/>
  <c r="AW121" i="25"/>
  <c r="BI121" i="25"/>
  <c r="BU121" i="25"/>
  <c r="CG121" i="25"/>
  <c r="CS121" i="25"/>
  <c r="BF121" i="25"/>
  <c r="BR121" i="25"/>
  <c r="CD121" i="25"/>
  <c r="CP121" i="25"/>
  <c r="DB121" i="25"/>
  <c r="BC121" i="25"/>
  <c r="BO121" i="25"/>
  <c r="CA121" i="25"/>
  <c r="CM121" i="25"/>
  <c r="CY121" i="25"/>
  <c r="AZ121" i="25"/>
  <c r="BL121" i="25"/>
  <c r="BX121" i="25"/>
  <c r="CJ121" i="25"/>
  <c r="CV121" i="25"/>
  <c r="AW117" i="25"/>
  <c r="BI117" i="25"/>
  <c r="BU117" i="25"/>
  <c r="CG117" i="25"/>
  <c r="CS117" i="25"/>
  <c r="BF117" i="25"/>
  <c r="BR117" i="25"/>
  <c r="CD117" i="25"/>
  <c r="CP117" i="25"/>
  <c r="DB117" i="25"/>
  <c r="BC117" i="25"/>
  <c r="BO117" i="25"/>
  <c r="CA117" i="25"/>
  <c r="CM117" i="25"/>
  <c r="CY117" i="25"/>
  <c r="AZ117" i="25"/>
  <c r="BL117" i="25"/>
  <c r="BX117" i="25"/>
  <c r="CJ117" i="25"/>
  <c r="CV117" i="25"/>
  <c r="AW113" i="25"/>
  <c r="BI113" i="25"/>
  <c r="BU113" i="25"/>
  <c r="CG113" i="25"/>
  <c r="CS113" i="25"/>
  <c r="BF113" i="25"/>
  <c r="BR113" i="25"/>
  <c r="CD113" i="25"/>
  <c r="CP113" i="25"/>
  <c r="DB113" i="25"/>
  <c r="BC113" i="25"/>
  <c r="BO113" i="25"/>
  <c r="CA113" i="25"/>
  <c r="CM113" i="25"/>
  <c r="CY113" i="25"/>
  <c r="AZ113" i="25"/>
  <c r="BL113" i="25"/>
  <c r="BX113" i="25"/>
  <c r="CJ113" i="25"/>
  <c r="CV113" i="25"/>
  <c r="BC138" i="25"/>
  <c r="BO138" i="25"/>
  <c r="CA138" i="25"/>
  <c r="CM138" i="25"/>
  <c r="CY138" i="25"/>
  <c r="AZ138" i="25"/>
  <c r="BL138" i="25"/>
  <c r="BX138" i="25"/>
  <c r="CJ138" i="25"/>
  <c r="CV138" i="25"/>
  <c r="AW138" i="25"/>
  <c r="BI138" i="25"/>
  <c r="BU138" i="25"/>
  <c r="CG138" i="25"/>
  <c r="CS138" i="25"/>
  <c r="BF138" i="25"/>
  <c r="BR138" i="25"/>
  <c r="CD138" i="25"/>
  <c r="CP138" i="25"/>
  <c r="DB138" i="25"/>
  <c r="BC136" i="25"/>
  <c r="BO136" i="25"/>
  <c r="CA136" i="25"/>
  <c r="CM136" i="25"/>
  <c r="CY136" i="25"/>
  <c r="AZ136" i="25"/>
  <c r="BL136" i="25"/>
  <c r="BX136" i="25"/>
  <c r="CJ136" i="25"/>
  <c r="CV136" i="25"/>
  <c r="AW136" i="25"/>
  <c r="BI136" i="25"/>
  <c r="BU136" i="25"/>
  <c r="CG136" i="25"/>
  <c r="CS136" i="25"/>
  <c r="BF136" i="25"/>
  <c r="BR136" i="25"/>
  <c r="CD136" i="25"/>
  <c r="CP136" i="25"/>
  <c r="DB136" i="25"/>
  <c r="BC134" i="25"/>
  <c r="BO134" i="25"/>
  <c r="CA134" i="25"/>
  <c r="CM134" i="25"/>
  <c r="CY134" i="25"/>
  <c r="AZ134" i="25"/>
  <c r="BL134" i="25"/>
  <c r="BX134" i="25"/>
  <c r="CJ134" i="25"/>
  <c r="CV134" i="25"/>
  <c r="AW134" i="25"/>
  <c r="BI134" i="25"/>
  <c r="BU134" i="25"/>
  <c r="CG134" i="25"/>
  <c r="CS134" i="25"/>
  <c r="BF134" i="25"/>
  <c r="BR134" i="25"/>
  <c r="CD134" i="25"/>
  <c r="CP134" i="25"/>
  <c r="DB134" i="25"/>
  <c r="BC130" i="25"/>
  <c r="BO130" i="25"/>
  <c r="CA130" i="25"/>
  <c r="CM130" i="25"/>
  <c r="CY130" i="25"/>
  <c r="AZ130" i="25"/>
  <c r="BL130" i="25"/>
  <c r="BX130" i="25"/>
  <c r="CJ130" i="25"/>
  <c r="CV130" i="25"/>
  <c r="AW130" i="25"/>
  <c r="BI130" i="25"/>
  <c r="BU130" i="25"/>
  <c r="CG130" i="25"/>
  <c r="CS130" i="25"/>
  <c r="BF130" i="25"/>
  <c r="BR130" i="25"/>
  <c r="CD130" i="25"/>
  <c r="CP130" i="25"/>
  <c r="DB130" i="25"/>
  <c r="BC128" i="25"/>
  <c r="BO128" i="25"/>
  <c r="CA128" i="25"/>
  <c r="CM128" i="25"/>
  <c r="CY128" i="25"/>
  <c r="AZ128" i="25"/>
  <c r="BL128" i="25"/>
  <c r="BX128" i="25"/>
  <c r="CJ128" i="25"/>
  <c r="CV128" i="25"/>
  <c r="AW128" i="25"/>
  <c r="BI128" i="25"/>
  <c r="BU128" i="25"/>
  <c r="CG128" i="25"/>
  <c r="CS128" i="25"/>
  <c r="BF128" i="25"/>
  <c r="BR128" i="25"/>
  <c r="CD128" i="25"/>
  <c r="CP128" i="25"/>
  <c r="DB128" i="25"/>
  <c r="BC124" i="25"/>
  <c r="BO124" i="25"/>
  <c r="CA124" i="25"/>
  <c r="CM124" i="25"/>
  <c r="CY124" i="25"/>
  <c r="AZ124" i="25"/>
  <c r="BL124" i="25"/>
  <c r="BX124" i="25"/>
  <c r="CJ124" i="25"/>
  <c r="CV124" i="25"/>
  <c r="AW124" i="25"/>
  <c r="BI124" i="25"/>
  <c r="BU124" i="25"/>
  <c r="CG124" i="25"/>
  <c r="CS124" i="25"/>
  <c r="BF124" i="25"/>
  <c r="BR124" i="25"/>
  <c r="CD124" i="25"/>
  <c r="CP124" i="25"/>
  <c r="DB124" i="25"/>
  <c r="BC116" i="25"/>
  <c r="BO116" i="25"/>
  <c r="CA116" i="25"/>
  <c r="CM116" i="25"/>
  <c r="CY116" i="25"/>
  <c r="AZ116" i="25"/>
  <c r="BL116" i="25"/>
  <c r="BX116" i="25"/>
  <c r="CJ116" i="25"/>
  <c r="CV116" i="25"/>
  <c r="AW116" i="25"/>
  <c r="BI116" i="25"/>
  <c r="BU116" i="25"/>
  <c r="CG116" i="25"/>
  <c r="CS116" i="25"/>
  <c r="BF116" i="25"/>
  <c r="BR116" i="25"/>
  <c r="CD116" i="25"/>
  <c r="CP116" i="25"/>
  <c r="DB116" i="25"/>
  <c r="BC112" i="25"/>
  <c r="BO112" i="25"/>
  <c r="CA112" i="25"/>
  <c r="CM112" i="25"/>
  <c r="CY112" i="25"/>
  <c r="AZ112" i="25"/>
  <c r="BL112" i="25"/>
  <c r="BX112" i="25"/>
  <c r="CJ112" i="25"/>
  <c r="CV112" i="25"/>
  <c r="AW112" i="25"/>
  <c r="BI112" i="25"/>
  <c r="BU112" i="25"/>
  <c r="CG112" i="25"/>
  <c r="CS112" i="25"/>
  <c r="BF112" i="25"/>
  <c r="BR112" i="25"/>
  <c r="CD112" i="25"/>
  <c r="CP112" i="25"/>
  <c r="DB112" i="25"/>
  <c r="BC110" i="25"/>
  <c r="BO110" i="25"/>
  <c r="CA110" i="25"/>
  <c r="CM110" i="25"/>
  <c r="CY110" i="25"/>
  <c r="AZ110" i="25"/>
  <c r="BL110" i="25"/>
  <c r="BX110" i="25"/>
  <c r="CJ110" i="25"/>
  <c r="CV110" i="25"/>
  <c r="AW110" i="25"/>
  <c r="BI110" i="25"/>
  <c r="BU110" i="25"/>
  <c r="CG110" i="25"/>
  <c r="CS110" i="25"/>
  <c r="BF110" i="25"/>
  <c r="BR110" i="25"/>
  <c r="CD110" i="25"/>
  <c r="CP110" i="25"/>
  <c r="DB110" i="25"/>
  <c r="AW123" i="25"/>
  <c r="BI123" i="25"/>
  <c r="BU123" i="25"/>
  <c r="CG123" i="25"/>
  <c r="CS123" i="25"/>
  <c r="BF123" i="25"/>
  <c r="BR123" i="25"/>
  <c r="CD123" i="25"/>
  <c r="CP123" i="25"/>
  <c r="DB123" i="25"/>
  <c r="BC123" i="25"/>
  <c r="BO123" i="25"/>
  <c r="CA123" i="25"/>
  <c r="CM123" i="25"/>
  <c r="CY123" i="25"/>
  <c r="AZ123" i="25"/>
  <c r="BL123" i="25"/>
  <c r="BX123" i="25"/>
  <c r="CJ123" i="25"/>
  <c r="CV123" i="25"/>
  <c r="AW119" i="25"/>
  <c r="BI119" i="25"/>
  <c r="BU119" i="25"/>
  <c r="CG119" i="25"/>
  <c r="CS119" i="25"/>
  <c r="BF119" i="25"/>
  <c r="BR119" i="25"/>
  <c r="CD119" i="25"/>
  <c r="CP119" i="25"/>
  <c r="DB119" i="25"/>
  <c r="BC119" i="25"/>
  <c r="BO119" i="25"/>
  <c r="CA119" i="25"/>
  <c r="CM119" i="25"/>
  <c r="CY119" i="25"/>
  <c r="AZ119" i="25"/>
  <c r="BL119" i="25"/>
  <c r="BX119" i="25"/>
  <c r="CJ119" i="25"/>
  <c r="CV119" i="25"/>
  <c r="AW115" i="25"/>
  <c r="BI115" i="25"/>
  <c r="BU115" i="25"/>
  <c r="CG115" i="25"/>
  <c r="CS115" i="25"/>
  <c r="BF115" i="25"/>
  <c r="BR115" i="25"/>
  <c r="CD115" i="25"/>
  <c r="CP115" i="25"/>
  <c r="DB115" i="25"/>
  <c r="BC115" i="25"/>
  <c r="BO115" i="25"/>
  <c r="CA115" i="25"/>
  <c r="CM115" i="25"/>
  <c r="CY115" i="25"/>
  <c r="AZ115" i="25"/>
  <c r="BL115" i="25"/>
  <c r="BX115" i="25"/>
  <c r="CJ115" i="25"/>
  <c r="CV115" i="25"/>
  <c r="AW111" i="25"/>
  <c r="BI111" i="25"/>
  <c r="BU111" i="25"/>
  <c r="CG111" i="25"/>
  <c r="CS111" i="25"/>
  <c r="BF111" i="25"/>
  <c r="BR111" i="25"/>
  <c r="CD111" i="25"/>
  <c r="CP111" i="25"/>
  <c r="DB111" i="25"/>
  <c r="BC111" i="25"/>
  <c r="BO111" i="25"/>
  <c r="CA111" i="25"/>
  <c r="CM111" i="25"/>
  <c r="CY111" i="25"/>
  <c r="AZ111" i="25"/>
  <c r="BL111" i="25"/>
  <c r="BX111" i="25"/>
  <c r="CJ111" i="25"/>
  <c r="CV111" i="25"/>
  <c r="AW109" i="25"/>
  <c r="BI109" i="25"/>
  <c r="BU109" i="25"/>
  <c r="CG109" i="25"/>
  <c r="CS109" i="25"/>
  <c r="BF109" i="25"/>
  <c r="BR109" i="25"/>
  <c r="CD109" i="25"/>
  <c r="CP109" i="25"/>
  <c r="DB109" i="25"/>
  <c r="BC109" i="25"/>
  <c r="BO109" i="25"/>
  <c r="CA109" i="25"/>
  <c r="CM109" i="25"/>
  <c r="CY109" i="25"/>
  <c r="AZ109" i="25"/>
  <c r="BL109" i="25"/>
  <c r="BX109" i="25"/>
  <c r="CJ109" i="25"/>
  <c r="CV109" i="25"/>
  <c r="AI139" i="25"/>
  <c r="AI137" i="25"/>
  <c r="AI135" i="25"/>
  <c r="AI133" i="25"/>
  <c r="AI131" i="25"/>
  <c r="AI129" i="25"/>
  <c r="AI127" i="25"/>
  <c r="AI125" i="25"/>
  <c r="AI107" i="25"/>
  <c r="BC104" i="25"/>
  <c r="BO104" i="25"/>
  <c r="CA104" i="25"/>
  <c r="CM104" i="25"/>
  <c r="CY104" i="25"/>
  <c r="AZ104" i="25"/>
  <c r="BL104" i="25"/>
  <c r="BX104" i="25"/>
  <c r="CJ104" i="25"/>
  <c r="CV104" i="25"/>
  <c r="AW104" i="25"/>
  <c r="BI104" i="25"/>
  <c r="BU104" i="25"/>
  <c r="CG104" i="25"/>
  <c r="CS104" i="25"/>
  <c r="BF104" i="25"/>
  <c r="BR104" i="25"/>
  <c r="CD104" i="25"/>
  <c r="CP104" i="25"/>
  <c r="DB104" i="25"/>
  <c r="BC100" i="25"/>
  <c r="BO100" i="25"/>
  <c r="CA100" i="25"/>
  <c r="CM100" i="25"/>
  <c r="CY100" i="25"/>
  <c r="AZ100" i="25"/>
  <c r="BL100" i="25"/>
  <c r="BX100" i="25"/>
  <c r="CJ100" i="25"/>
  <c r="CV100" i="25"/>
  <c r="AW100" i="25"/>
  <c r="BI100" i="25"/>
  <c r="BU100" i="25"/>
  <c r="CG100" i="25"/>
  <c r="CS100" i="25"/>
  <c r="BF100" i="25"/>
  <c r="BR100" i="25"/>
  <c r="CD100" i="25"/>
  <c r="CP100" i="25"/>
  <c r="DB100" i="25"/>
  <c r="BC98" i="25"/>
  <c r="BO98" i="25"/>
  <c r="CA98" i="25"/>
  <c r="CM98" i="25"/>
  <c r="CY98" i="25"/>
  <c r="AZ98" i="25"/>
  <c r="BL98" i="25"/>
  <c r="BX98" i="25"/>
  <c r="CJ98" i="25"/>
  <c r="CV98" i="25"/>
  <c r="AW98" i="25"/>
  <c r="BI98" i="25"/>
  <c r="BU98" i="25"/>
  <c r="CG98" i="25"/>
  <c r="CS98" i="25"/>
  <c r="BF98" i="25"/>
  <c r="BR98" i="25"/>
  <c r="CD98" i="25"/>
  <c r="CP98" i="25"/>
  <c r="DB98" i="25"/>
  <c r="BC94" i="25"/>
  <c r="BO94" i="25"/>
  <c r="CA94" i="25"/>
  <c r="CM94" i="25"/>
  <c r="CY94" i="25"/>
  <c r="AZ94" i="25"/>
  <c r="BL94" i="25"/>
  <c r="BX94" i="25"/>
  <c r="CJ94" i="25"/>
  <c r="CV94" i="25"/>
  <c r="AW94" i="25"/>
  <c r="BI94" i="25"/>
  <c r="BU94" i="25"/>
  <c r="CG94" i="25"/>
  <c r="CS94" i="25"/>
  <c r="BF94" i="25"/>
  <c r="BR94" i="25"/>
  <c r="CD94" i="25"/>
  <c r="CP94" i="25"/>
  <c r="DB94" i="25"/>
  <c r="BC106" i="25"/>
  <c r="BO106" i="25"/>
  <c r="CA106" i="25"/>
  <c r="AZ106" i="25"/>
  <c r="BL106" i="25"/>
  <c r="BX106" i="25"/>
  <c r="CJ106" i="25"/>
  <c r="CV106" i="25"/>
  <c r="AW106" i="25"/>
  <c r="BI106" i="25"/>
  <c r="BU106" i="25"/>
  <c r="CG106" i="25"/>
  <c r="CS106" i="25"/>
  <c r="BF106" i="25"/>
  <c r="BR106" i="25"/>
  <c r="CD106" i="25"/>
  <c r="CP106" i="25"/>
  <c r="DB106" i="25"/>
  <c r="BC102" i="25"/>
  <c r="BO102" i="25"/>
  <c r="CA102" i="25"/>
  <c r="CM102" i="25"/>
  <c r="CY102" i="25"/>
  <c r="AZ102" i="25"/>
  <c r="BL102" i="25"/>
  <c r="BX102" i="25"/>
  <c r="CJ102" i="25"/>
  <c r="CV102" i="25"/>
  <c r="AW102" i="25"/>
  <c r="BI102" i="25"/>
  <c r="BU102" i="25"/>
  <c r="CG102" i="25"/>
  <c r="CS102" i="25"/>
  <c r="BF102" i="25"/>
  <c r="BR102" i="25"/>
  <c r="CD102" i="25"/>
  <c r="CP102" i="25"/>
  <c r="DB102" i="25"/>
  <c r="BC96" i="25"/>
  <c r="BO96" i="25"/>
  <c r="CA96" i="25"/>
  <c r="CM96" i="25"/>
  <c r="CY96" i="25"/>
  <c r="AZ96" i="25"/>
  <c r="BL96" i="25"/>
  <c r="BX96" i="25"/>
  <c r="CJ96" i="25"/>
  <c r="CV96" i="25"/>
  <c r="AW96" i="25"/>
  <c r="BI96" i="25"/>
  <c r="BU96" i="25"/>
  <c r="CG96" i="25"/>
  <c r="CS96" i="25"/>
  <c r="BF96" i="25"/>
  <c r="BR96" i="25"/>
  <c r="CD96" i="25"/>
  <c r="CP96" i="25"/>
  <c r="DB96" i="25"/>
  <c r="CM106" i="25"/>
  <c r="AI105" i="25"/>
  <c r="AI103" i="25"/>
  <c r="AI101" i="25"/>
  <c r="AI99" i="25"/>
  <c r="AI97" i="25"/>
  <c r="AI95" i="25"/>
  <c r="AI93" i="25"/>
  <c r="AI90" i="25"/>
  <c r="AZ88" i="25"/>
  <c r="BL88" i="25"/>
  <c r="BX88" i="25"/>
  <c r="CJ88" i="25"/>
  <c r="CV88" i="25"/>
  <c r="AW88" i="25"/>
  <c r="BI88" i="25"/>
  <c r="BU88" i="25"/>
  <c r="CG88" i="25"/>
  <c r="CS88" i="25"/>
  <c r="BF88" i="25"/>
  <c r="BR88" i="25"/>
  <c r="CD88" i="25"/>
  <c r="CP88" i="25"/>
  <c r="DB88" i="25"/>
  <c r="BC88" i="25"/>
  <c r="BO88" i="25"/>
  <c r="CA88" i="25"/>
  <c r="CM88" i="25"/>
  <c r="CY88" i="25"/>
  <c r="AZ84" i="25"/>
  <c r="BL84" i="25"/>
  <c r="BX84" i="25"/>
  <c r="CJ84" i="25"/>
  <c r="CV84" i="25"/>
  <c r="AW84" i="25"/>
  <c r="BI84" i="25"/>
  <c r="BU84" i="25"/>
  <c r="CG84" i="25"/>
  <c r="CS84" i="25"/>
  <c r="BF84" i="25"/>
  <c r="BR84" i="25"/>
  <c r="CD84" i="25"/>
  <c r="CP84" i="25"/>
  <c r="DB84" i="25"/>
  <c r="BC84" i="25"/>
  <c r="BO84" i="25"/>
  <c r="CA84" i="25"/>
  <c r="CM84" i="25"/>
  <c r="CY84" i="25"/>
  <c r="AZ80" i="25"/>
  <c r="BL80" i="25"/>
  <c r="BX80" i="25"/>
  <c r="CJ80" i="25"/>
  <c r="CV80" i="25"/>
  <c r="AW80" i="25"/>
  <c r="BI80" i="25"/>
  <c r="BU80" i="25"/>
  <c r="CG80" i="25"/>
  <c r="CS80" i="25"/>
  <c r="BF80" i="25"/>
  <c r="BR80" i="25"/>
  <c r="CD80" i="25"/>
  <c r="CP80" i="25"/>
  <c r="DB80" i="25"/>
  <c r="BC80" i="25"/>
  <c r="BO80" i="25"/>
  <c r="CA80" i="25"/>
  <c r="CM80" i="25"/>
  <c r="CY80" i="25"/>
  <c r="AI91" i="25"/>
  <c r="BF85" i="25"/>
  <c r="BR85" i="25"/>
  <c r="CD85" i="25"/>
  <c r="CP85" i="25"/>
  <c r="DB85" i="25"/>
  <c r="BC85" i="25"/>
  <c r="BO85" i="25"/>
  <c r="CA85" i="25"/>
  <c r="CM85" i="25"/>
  <c r="CY85" i="25"/>
  <c r="AZ85" i="25"/>
  <c r="BL85" i="25"/>
  <c r="BX85" i="25"/>
  <c r="CJ85" i="25"/>
  <c r="CV85" i="25"/>
  <c r="AW85" i="25"/>
  <c r="BI85" i="25"/>
  <c r="BU85" i="25"/>
  <c r="CG85" i="25"/>
  <c r="CS85" i="25"/>
  <c r="BF79" i="25"/>
  <c r="BR79" i="25"/>
  <c r="CD79" i="25"/>
  <c r="CP79" i="25"/>
  <c r="DB79" i="25"/>
  <c r="BC79" i="25"/>
  <c r="BO79" i="25"/>
  <c r="CA79" i="25"/>
  <c r="CM79" i="25"/>
  <c r="CY79" i="25"/>
  <c r="AZ79" i="25"/>
  <c r="BL79" i="25"/>
  <c r="BX79" i="25"/>
  <c r="CJ79" i="25"/>
  <c r="CV79" i="25"/>
  <c r="AW79" i="25"/>
  <c r="BI79" i="25"/>
  <c r="BU79" i="25"/>
  <c r="CG79" i="25"/>
  <c r="CS79" i="25"/>
  <c r="AI92" i="25"/>
  <c r="AZ86" i="25"/>
  <c r="BL86" i="25"/>
  <c r="BX86" i="25"/>
  <c r="CJ86" i="25"/>
  <c r="CV86" i="25"/>
  <c r="AW86" i="25"/>
  <c r="BI86" i="25"/>
  <c r="BU86" i="25"/>
  <c r="CG86" i="25"/>
  <c r="CS86" i="25"/>
  <c r="BF86" i="25"/>
  <c r="BR86" i="25"/>
  <c r="CD86" i="25"/>
  <c r="CP86" i="25"/>
  <c r="DB86" i="25"/>
  <c r="BC86" i="25"/>
  <c r="BO86" i="25"/>
  <c r="CA86" i="25"/>
  <c r="CM86" i="25"/>
  <c r="CY86" i="25"/>
  <c r="AZ82" i="25"/>
  <c r="BL82" i="25"/>
  <c r="BX82" i="25"/>
  <c r="CJ82" i="25"/>
  <c r="CV82" i="25"/>
  <c r="AW82" i="25"/>
  <c r="BI82" i="25"/>
  <c r="BU82" i="25"/>
  <c r="CG82" i="25"/>
  <c r="CS82" i="25"/>
  <c r="BF82" i="25"/>
  <c r="BR82" i="25"/>
  <c r="CD82" i="25"/>
  <c r="CP82" i="25"/>
  <c r="DB82" i="25"/>
  <c r="BC82" i="25"/>
  <c r="BO82" i="25"/>
  <c r="CA82" i="25"/>
  <c r="CM82" i="25"/>
  <c r="CY82" i="25"/>
  <c r="BF89" i="25"/>
  <c r="BR89" i="25"/>
  <c r="CD89" i="25"/>
  <c r="CP89" i="25"/>
  <c r="DB89" i="25"/>
  <c r="BC89" i="25"/>
  <c r="BO89" i="25"/>
  <c r="CA89" i="25"/>
  <c r="CM89" i="25"/>
  <c r="CY89" i="25"/>
  <c r="AZ89" i="25"/>
  <c r="BL89" i="25"/>
  <c r="BX89" i="25"/>
  <c r="CJ89" i="25"/>
  <c r="CV89" i="25"/>
  <c r="AW89" i="25"/>
  <c r="BI89" i="25"/>
  <c r="BU89" i="25"/>
  <c r="CG89" i="25"/>
  <c r="CS89" i="25"/>
  <c r="BF87" i="25"/>
  <c r="BR87" i="25"/>
  <c r="CD87" i="25"/>
  <c r="CP87" i="25"/>
  <c r="DB87" i="25"/>
  <c r="BC87" i="25"/>
  <c r="BO87" i="25"/>
  <c r="CA87" i="25"/>
  <c r="CM87" i="25"/>
  <c r="CY87" i="25"/>
  <c r="AZ87" i="25"/>
  <c r="BL87" i="25"/>
  <c r="BX87" i="25"/>
  <c r="CJ87" i="25"/>
  <c r="CV87" i="25"/>
  <c r="AW87" i="25"/>
  <c r="BI87" i="25"/>
  <c r="BU87" i="25"/>
  <c r="CG87" i="25"/>
  <c r="CS87" i="25"/>
  <c r="BF83" i="25"/>
  <c r="BR83" i="25"/>
  <c r="CD83" i="25"/>
  <c r="CP83" i="25"/>
  <c r="DB83" i="25"/>
  <c r="BC83" i="25"/>
  <c r="BO83" i="25"/>
  <c r="CA83" i="25"/>
  <c r="CM83" i="25"/>
  <c r="CY83" i="25"/>
  <c r="AZ83" i="25"/>
  <c r="BL83" i="25"/>
  <c r="BX83" i="25"/>
  <c r="CJ83" i="25"/>
  <c r="CV83" i="25"/>
  <c r="AW83" i="25"/>
  <c r="BI83" i="25"/>
  <c r="BU83" i="25"/>
  <c r="CG83" i="25"/>
  <c r="CS83" i="25"/>
  <c r="BF81" i="25"/>
  <c r="BR81" i="25"/>
  <c r="CD81" i="25"/>
  <c r="CP81" i="25"/>
  <c r="DB81" i="25"/>
  <c r="BC81" i="25"/>
  <c r="BO81" i="25"/>
  <c r="CA81" i="25"/>
  <c r="CM81" i="25"/>
  <c r="CY81" i="25"/>
  <c r="AZ81" i="25"/>
  <c r="BL81" i="25"/>
  <c r="BX81" i="25"/>
  <c r="CJ81" i="25"/>
  <c r="CV81" i="25"/>
  <c r="AW81" i="25"/>
  <c r="BI81" i="25"/>
  <c r="BU81" i="25"/>
  <c r="CG81" i="25"/>
  <c r="CS81" i="25"/>
  <c r="AI77" i="25"/>
  <c r="AZ74" i="25"/>
  <c r="BL74" i="25"/>
  <c r="BX74" i="25"/>
  <c r="CJ74" i="25"/>
  <c r="CV74" i="25"/>
  <c r="AW74" i="25"/>
  <c r="BI74" i="25"/>
  <c r="BU74" i="25"/>
  <c r="CG74" i="25"/>
  <c r="CS74" i="25"/>
  <c r="BF74" i="25"/>
  <c r="BR74" i="25"/>
  <c r="CD74" i="25"/>
  <c r="CP74" i="25"/>
  <c r="DB74" i="25"/>
  <c r="BC74" i="25"/>
  <c r="BO74" i="25"/>
  <c r="CA74" i="25"/>
  <c r="CM74" i="25"/>
  <c r="CY74" i="25"/>
  <c r="AZ72" i="25"/>
  <c r="BL72" i="25"/>
  <c r="BX72" i="25"/>
  <c r="CJ72" i="25"/>
  <c r="CV72" i="25"/>
  <c r="AW72" i="25"/>
  <c r="BI72" i="25"/>
  <c r="BU72" i="25"/>
  <c r="CG72" i="25"/>
  <c r="CS72" i="25"/>
  <c r="BF72" i="25"/>
  <c r="BR72" i="25"/>
  <c r="CD72" i="25"/>
  <c r="CP72" i="25"/>
  <c r="DB72" i="25"/>
  <c r="BC72" i="25"/>
  <c r="BO72" i="25"/>
  <c r="CA72" i="25"/>
  <c r="CM72" i="25"/>
  <c r="CY72" i="25"/>
  <c r="AZ70" i="25"/>
  <c r="BL70" i="25"/>
  <c r="BX70" i="25"/>
  <c r="CJ70" i="25"/>
  <c r="CV70" i="25"/>
  <c r="AW70" i="25"/>
  <c r="BI70" i="25"/>
  <c r="BU70" i="25"/>
  <c r="CG70" i="25"/>
  <c r="CS70" i="25"/>
  <c r="BF70" i="25"/>
  <c r="BR70" i="25"/>
  <c r="CD70" i="25"/>
  <c r="CP70" i="25"/>
  <c r="DB70" i="25"/>
  <c r="BC70" i="25"/>
  <c r="BO70" i="25"/>
  <c r="CA70" i="25"/>
  <c r="CM70" i="25"/>
  <c r="CY70" i="25"/>
  <c r="BF75" i="25"/>
  <c r="BR75" i="25"/>
  <c r="CD75" i="25"/>
  <c r="CP75" i="25"/>
  <c r="DB75" i="25"/>
  <c r="BC75" i="25"/>
  <c r="BO75" i="25"/>
  <c r="CA75" i="25"/>
  <c r="CM75" i="25"/>
  <c r="CY75" i="25"/>
  <c r="AZ75" i="25"/>
  <c r="BL75" i="25"/>
  <c r="BX75" i="25"/>
  <c r="CJ75" i="25"/>
  <c r="CV75" i="25"/>
  <c r="AW75" i="25"/>
  <c r="BI75" i="25"/>
  <c r="BU75" i="25"/>
  <c r="CG75" i="25"/>
  <c r="CS75" i="25"/>
  <c r="BF73" i="25"/>
  <c r="BR73" i="25"/>
  <c r="CD73" i="25"/>
  <c r="CP73" i="25"/>
  <c r="DB73" i="25"/>
  <c r="BC73" i="25"/>
  <c r="BO73" i="25"/>
  <c r="CA73" i="25"/>
  <c r="CM73" i="25"/>
  <c r="CY73" i="25"/>
  <c r="AZ73" i="25"/>
  <c r="BL73" i="25"/>
  <c r="BX73" i="25"/>
  <c r="CJ73" i="25"/>
  <c r="CV73" i="25"/>
  <c r="AW73" i="25"/>
  <c r="BI73" i="25"/>
  <c r="BU73" i="25"/>
  <c r="CG73" i="25"/>
  <c r="CS73" i="25"/>
  <c r="BF69" i="25"/>
  <c r="BR69" i="25"/>
  <c r="CD69" i="25"/>
  <c r="CP69" i="25"/>
  <c r="DB69" i="25"/>
  <c r="BC69" i="25"/>
  <c r="BO69" i="25"/>
  <c r="CA69" i="25"/>
  <c r="CM69" i="25"/>
  <c r="CY69" i="25"/>
  <c r="AZ69" i="25"/>
  <c r="BL69" i="25"/>
  <c r="BX69" i="25"/>
  <c r="CJ69" i="25"/>
  <c r="CV69" i="25"/>
  <c r="AW69" i="25"/>
  <c r="BI69" i="25"/>
  <c r="BU69" i="25"/>
  <c r="CG69" i="25"/>
  <c r="CS69" i="25"/>
  <c r="BF67" i="25"/>
  <c r="BR67" i="25"/>
  <c r="CD67" i="25"/>
  <c r="CP67" i="25"/>
  <c r="DB67" i="25"/>
  <c r="BC67" i="25"/>
  <c r="BO67" i="25"/>
  <c r="CA67" i="25"/>
  <c r="CM67" i="25"/>
  <c r="CY67" i="25"/>
  <c r="AZ67" i="25"/>
  <c r="BL67" i="25"/>
  <c r="BX67" i="25"/>
  <c r="CJ67" i="25"/>
  <c r="CV67" i="25"/>
  <c r="AW67" i="25"/>
  <c r="BI67" i="25"/>
  <c r="BU67" i="25"/>
  <c r="CG67" i="25"/>
  <c r="CS67" i="25"/>
  <c r="BF65" i="25"/>
  <c r="BR65" i="25"/>
  <c r="CD65" i="25"/>
  <c r="CP65" i="25"/>
  <c r="DB65" i="25"/>
  <c r="BC65" i="25"/>
  <c r="BO65" i="25"/>
  <c r="CA65" i="25"/>
  <c r="CM65" i="25"/>
  <c r="CY65" i="25"/>
  <c r="AZ65" i="25"/>
  <c r="BL65" i="25"/>
  <c r="BX65" i="25"/>
  <c r="CJ65" i="25"/>
  <c r="CV65" i="25"/>
  <c r="AW65" i="25"/>
  <c r="BI65" i="25"/>
  <c r="BU65" i="25"/>
  <c r="CG65" i="25"/>
  <c r="CS65" i="25"/>
  <c r="AI76" i="25"/>
  <c r="AZ68" i="25"/>
  <c r="BL68" i="25"/>
  <c r="BX68" i="25"/>
  <c r="CJ68" i="25"/>
  <c r="CV68" i="25"/>
  <c r="AW68" i="25"/>
  <c r="BI68" i="25"/>
  <c r="BU68" i="25"/>
  <c r="CG68" i="25"/>
  <c r="CS68" i="25"/>
  <c r="BF68" i="25"/>
  <c r="BR68" i="25"/>
  <c r="CD68" i="25"/>
  <c r="CP68" i="25"/>
  <c r="DB68" i="25"/>
  <c r="BC68" i="25"/>
  <c r="BO68" i="25"/>
  <c r="CA68" i="25"/>
  <c r="CM68" i="25"/>
  <c r="CY68" i="25"/>
  <c r="AZ66" i="25"/>
  <c r="BL66" i="25"/>
  <c r="BX66" i="25"/>
  <c r="CJ66" i="25"/>
  <c r="CV66" i="25"/>
  <c r="AW66" i="25"/>
  <c r="BI66" i="25"/>
  <c r="BU66" i="25"/>
  <c r="CG66" i="25"/>
  <c r="CS66" i="25"/>
  <c r="BF66" i="25"/>
  <c r="BR66" i="25"/>
  <c r="CD66" i="25"/>
  <c r="CP66" i="25"/>
  <c r="DB66" i="25"/>
  <c r="BC66" i="25"/>
  <c r="BO66" i="25"/>
  <c r="CA66" i="25"/>
  <c r="CM66" i="25"/>
  <c r="CY66" i="25"/>
  <c r="AZ64" i="25"/>
  <c r="BL64" i="25"/>
  <c r="BX64" i="25"/>
  <c r="CJ64" i="25"/>
  <c r="CV64" i="25"/>
  <c r="AW64" i="25"/>
  <c r="BI64" i="25"/>
  <c r="BU64" i="25"/>
  <c r="CG64" i="25"/>
  <c r="CS64" i="25"/>
  <c r="BF64" i="25"/>
  <c r="BR64" i="25"/>
  <c r="CD64" i="25"/>
  <c r="CP64" i="25"/>
  <c r="DB64" i="25"/>
  <c r="BC64" i="25"/>
  <c r="BO64" i="25"/>
  <c r="CA64" i="25"/>
  <c r="CM64" i="25"/>
  <c r="CY64" i="25"/>
  <c r="AI78" i="25"/>
  <c r="BF71" i="25"/>
  <c r="BR71" i="25"/>
  <c r="CD71" i="25"/>
  <c r="CP71" i="25"/>
  <c r="DB71" i="25"/>
  <c r="BC71" i="25"/>
  <c r="BO71" i="25"/>
  <c r="CA71" i="25"/>
  <c r="CM71" i="25"/>
  <c r="CY71" i="25"/>
  <c r="AZ71" i="25"/>
  <c r="BL71" i="25"/>
  <c r="BX71" i="25"/>
  <c r="CJ71" i="25"/>
  <c r="CV71" i="25"/>
  <c r="AW71" i="25"/>
  <c r="BI71" i="25"/>
  <c r="BU71" i="25"/>
  <c r="CG71" i="25"/>
  <c r="CS71" i="25"/>
  <c r="AZ57" i="25"/>
  <c r="BL57" i="25"/>
  <c r="BX57" i="25"/>
  <c r="CJ57" i="25"/>
  <c r="CV57" i="25"/>
  <c r="AW57" i="25"/>
  <c r="BI57" i="25"/>
  <c r="BU57" i="25"/>
  <c r="CG57" i="25"/>
  <c r="CS57" i="25"/>
  <c r="BF57" i="25"/>
  <c r="BR57" i="25"/>
  <c r="CD57" i="25"/>
  <c r="CP57" i="25"/>
  <c r="DB57" i="25"/>
  <c r="BC57" i="25"/>
  <c r="BO57" i="25"/>
  <c r="CA57" i="25"/>
  <c r="CM57" i="25"/>
  <c r="CY57" i="25"/>
  <c r="AZ55" i="25"/>
  <c r="BL55" i="25"/>
  <c r="BX55" i="25"/>
  <c r="CJ55" i="25"/>
  <c r="CV55" i="25"/>
  <c r="AW55" i="25"/>
  <c r="BI55" i="25"/>
  <c r="BU55" i="25"/>
  <c r="CG55" i="25"/>
  <c r="CS55" i="25"/>
  <c r="BF55" i="25"/>
  <c r="BR55" i="25"/>
  <c r="CD55" i="25"/>
  <c r="CP55" i="25"/>
  <c r="DB55" i="25"/>
  <c r="BC55" i="25"/>
  <c r="BO55" i="25"/>
  <c r="CA55" i="25"/>
  <c r="CM55" i="25"/>
  <c r="CY55" i="25"/>
  <c r="AZ49" i="25"/>
  <c r="BL49" i="25"/>
  <c r="BX49" i="25"/>
  <c r="CJ49" i="25"/>
  <c r="CV49" i="25"/>
  <c r="AW49" i="25"/>
  <c r="BI49" i="25"/>
  <c r="BU49" i="25"/>
  <c r="CG49" i="25"/>
  <c r="CS49" i="25"/>
  <c r="BF49" i="25"/>
  <c r="BR49" i="25"/>
  <c r="CD49" i="25"/>
  <c r="CP49" i="25"/>
  <c r="DB49" i="25"/>
  <c r="BC49" i="25"/>
  <c r="BO49" i="25"/>
  <c r="CA49" i="25"/>
  <c r="CM49" i="25"/>
  <c r="CY49" i="25"/>
  <c r="AI62" i="25"/>
  <c r="BF50" i="25"/>
  <c r="BR50" i="25"/>
  <c r="CD50" i="25"/>
  <c r="CP50" i="25"/>
  <c r="DB50" i="25"/>
  <c r="BC50" i="25"/>
  <c r="BO50" i="25"/>
  <c r="CA50" i="25"/>
  <c r="CM50" i="25"/>
  <c r="CY50" i="25"/>
  <c r="AZ50" i="25"/>
  <c r="BL50" i="25"/>
  <c r="BX50" i="25"/>
  <c r="CJ50" i="25"/>
  <c r="CV50" i="25"/>
  <c r="AW50" i="25"/>
  <c r="BI50" i="25"/>
  <c r="BU50" i="25"/>
  <c r="CG50" i="25"/>
  <c r="CS50" i="25"/>
  <c r="AI61" i="25"/>
  <c r="AZ59" i="25"/>
  <c r="BL59" i="25"/>
  <c r="BX59" i="25"/>
  <c r="CJ59" i="25"/>
  <c r="CV59" i="25"/>
  <c r="AW59" i="25"/>
  <c r="BI59" i="25"/>
  <c r="BU59" i="25"/>
  <c r="CG59" i="25"/>
  <c r="CS59" i="25"/>
  <c r="BF59" i="25"/>
  <c r="BR59" i="25"/>
  <c r="CD59" i="25"/>
  <c r="CP59" i="25"/>
  <c r="DB59" i="25"/>
  <c r="BC59" i="25"/>
  <c r="BO59" i="25"/>
  <c r="CA59" i="25"/>
  <c r="CM59" i="25"/>
  <c r="CY59" i="25"/>
  <c r="AZ53" i="25"/>
  <c r="BL53" i="25"/>
  <c r="BX53" i="25"/>
  <c r="CJ53" i="25"/>
  <c r="CV53" i="25"/>
  <c r="AW53" i="25"/>
  <c r="BI53" i="25"/>
  <c r="BU53" i="25"/>
  <c r="CG53" i="25"/>
  <c r="CS53" i="25"/>
  <c r="BF53" i="25"/>
  <c r="BR53" i="25"/>
  <c r="CD53" i="25"/>
  <c r="CP53" i="25"/>
  <c r="DB53" i="25"/>
  <c r="BC53" i="25"/>
  <c r="BO53" i="25"/>
  <c r="CA53" i="25"/>
  <c r="CM53" i="25"/>
  <c r="CY53" i="25"/>
  <c r="AZ51" i="25"/>
  <c r="BL51" i="25"/>
  <c r="BX51" i="25"/>
  <c r="CJ51" i="25"/>
  <c r="CV51" i="25"/>
  <c r="AW51" i="25"/>
  <c r="BI51" i="25"/>
  <c r="BU51" i="25"/>
  <c r="CG51" i="25"/>
  <c r="CS51" i="25"/>
  <c r="BF51" i="25"/>
  <c r="BR51" i="25"/>
  <c r="CD51" i="25"/>
  <c r="CP51" i="25"/>
  <c r="DB51" i="25"/>
  <c r="BC51" i="25"/>
  <c r="BO51" i="25"/>
  <c r="CA51" i="25"/>
  <c r="CM51" i="25"/>
  <c r="CY51" i="25"/>
  <c r="AI63" i="25"/>
  <c r="BF60" i="25"/>
  <c r="BR60" i="25"/>
  <c r="CD60" i="25"/>
  <c r="CP60" i="25"/>
  <c r="DB60" i="25"/>
  <c r="BC60" i="25"/>
  <c r="BO60" i="25"/>
  <c r="CA60" i="25"/>
  <c r="CM60" i="25"/>
  <c r="AZ60" i="25"/>
  <c r="BL60" i="25"/>
  <c r="BX60" i="25"/>
  <c r="CJ60" i="25"/>
  <c r="CV60" i="25"/>
  <c r="AW60" i="25"/>
  <c r="BI60" i="25"/>
  <c r="BU60" i="25"/>
  <c r="CG60" i="25"/>
  <c r="CS60" i="25"/>
  <c r="BF58" i="25"/>
  <c r="BR58" i="25"/>
  <c r="CD58" i="25"/>
  <c r="CP58" i="25"/>
  <c r="DB58" i="25"/>
  <c r="BC58" i="25"/>
  <c r="BO58" i="25"/>
  <c r="CA58" i="25"/>
  <c r="CM58" i="25"/>
  <c r="CY58" i="25"/>
  <c r="AZ58" i="25"/>
  <c r="BL58" i="25"/>
  <c r="BX58" i="25"/>
  <c r="CJ58" i="25"/>
  <c r="CV58" i="25"/>
  <c r="AW58" i="25"/>
  <c r="BI58" i="25"/>
  <c r="BU58" i="25"/>
  <c r="CG58" i="25"/>
  <c r="CS58" i="25"/>
  <c r="BF56" i="25"/>
  <c r="BR56" i="25"/>
  <c r="CD56" i="25"/>
  <c r="CP56" i="25"/>
  <c r="DB56" i="25"/>
  <c r="BC56" i="25"/>
  <c r="BO56" i="25"/>
  <c r="CA56" i="25"/>
  <c r="CM56" i="25"/>
  <c r="CY56" i="25"/>
  <c r="AZ56" i="25"/>
  <c r="BL56" i="25"/>
  <c r="BX56" i="25"/>
  <c r="CJ56" i="25"/>
  <c r="CV56" i="25"/>
  <c r="AW56" i="25"/>
  <c r="BI56" i="25"/>
  <c r="BU56" i="25"/>
  <c r="CG56" i="25"/>
  <c r="CS56" i="25"/>
  <c r="BF54" i="25"/>
  <c r="BR54" i="25"/>
  <c r="CD54" i="25"/>
  <c r="CP54" i="25"/>
  <c r="DB54" i="25"/>
  <c r="BC54" i="25"/>
  <c r="BO54" i="25"/>
  <c r="CA54" i="25"/>
  <c r="CM54" i="25"/>
  <c r="CY54" i="25"/>
  <c r="AZ54" i="25"/>
  <c r="BL54" i="25"/>
  <c r="BX54" i="25"/>
  <c r="CJ54" i="25"/>
  <c r="CV54" i="25"/>
  <c r="AW54" i="25"/>
  <c r="BI54" i="25"/>
  <c r="BU54" i="25"/>
  <c r="CG54" i="25"/>
  <c r="CS54" i="25"/>
  <c r="BF52" i="25"/>
  <c r="BR52" i="25"/>
  <c r="CD52" i="25"/>
  <c r="CP52" i="25"/>
  <c r="DB52" i="25"/>
  <c r="BC52" i="25"/>
  <c r="BO52" i="25"/>
  <c r="CA52" i="25"/>
  <c r="CM52" i="25"/>
  <c r="CY52" i="25"/>
  <c r="AZ52" i="25"/>
  <c r="BL52" i="25"/>
  <c r="BX52" i="25"/>
  <c r="CJ52" i="25"/>
  <c r="CV52" i="25"/>
  <c r="AW52" i="25"/>
  <c r="BI52" i="25"/>
  <c r="BU52" i="25"/>
  <c r="CG52" i="25"/>
  <c r="CS52" i="25"/>
  <c r="AI48" i="25"/>
  <c r="AI47" i="25"/>
  <c r="AI45" i="25"/>
  <c r="AZ43" i="25"/>
  <c r="BL43" i="25"/>
  <c r="BX43" i="25"/>
  <c r="CJ43" i="25"/>
  <c r="CV43" i="25"/>
  <c r="AW43" i="25"/>
  <c r="BI43" i="25"/>
  <c r="BU43" i="25"/>
  <c r="CG43" i="25"/>
  <c r="CS43" i="25"/>
  <c r="BF43" i="25"/>
  <c r="BR43" i="25"/>
  <c r="CD43" i="25"/>
  <c r="CP43" i="25"/>
  <c r="DB43" i="25"/>
  <c r="BC43" i="25"/>
  <c r="BO43" i="25"/>
  <c r="CA43" i="25"/>
  <c r="CM43" i="25"/>
  <c r="CY43" i="25"/>
  <c r="AZ39" i="25"/>
  <c r="BL39" i="25"/>
  <c r="BX39" i="25"/>
  <c r="CJ39" i="25"/>
  <c r="CV39" i="25"/>
  <c r="AW39" i="25"/>
  <c r="BI39" i="25"/>
  <c r="BU39" i="25"/>
  <c r="CG39" i="25"/>
  <c r="CS39" i="25"/>
  <c r="BF39" i="25"/>
  <c r="BR39" i="25"/>
  <c r="CD39" i="25"/>
  <c r="CP39" i="25"/>
  <c r="DB39" i="25"/>
  <c r="BC39" i="25"/>
  <c r="BO39" i="25"/>
  <c r="CA39" i="25"/>
  <c r="CM39" i="25"/>
  <c r="CY39" i="25"/>
  <c r="BF40" i="25"/>
  <c r="BR40" i="25"/>
  <c r="CD40" i="25"/>
  <c r="CP40" i="25"/>
  <c r="DB40" i="25"/>
  <c r="BC40" i="25"/>
  <c r="BO40" i="25"/>
  <c r="CA40" i="25"/>
  <c r="CM40" i="25"/>
  <c r="CY40" i="25"/>
  <c r="AZ40" i="25"/>
  <c r="BL40" i="25"/>
  <c r="BX40" i="25"/>
  <c r="CJ40" i="25"/>
  <c r="CV40" i="25"/>
  <c r="AW40" i="25"/>
  <c r="BI40" i="25"/>
  <c r="BU40" i="25"/>
  <c r="CG40" i="25"/>
  <c r="CS40" i="25"/>
  <c r="AZ41" i="25"/>
  <c r="BL41" i="25"/>
  <c r="BX41" i="25"/>
  <c r="CJ41" i="25"/>
  <c r="CV41" i="25"/>
  <c r="AW41" i="25"/>
  <c r="BI41" i="25"/>
  <c r="BU41" i="25"/>
  <c r="CG41" i="25"/>
  <c r="CS41" i="25"/>
  <c r="BF41" i="25"/>
  <c r="BR41" i="25"/>
  <c r="CD41" i="25"/>
  <c r="CP41" i="25"/>
  <c r="DB41" i="25"/>
  <c r="BC41" i="25"/>
  <c r="BO41" i="25"/>
  <c r="CA41" i="25"/>
  <c r="CM41" i="25"/>
  <c r="CY41" i="25"/>
  <c r="AI46" i="25"/>
  <c r="BF44" i="25"/>
  <c r="BR44" i="25"/>
  <c r="CD44" i="25"/>
  <c r="CP44" i="25"/>
  <c r="DB44" i="25"/>
  <c r="BC44" i="25"/>
  <c r="BO44" i="25"/>
  <c r="CA44" i="25"/>
  <c r="CM44" i="25"/>
  <c r="CY44" i="25"/>
  <c r="AZ44" i="25"/>
  <c r="BL44" i="25"/>
  <c r="BX44" i="25"/>
  <c r="CJ44" i="25"/>
  <c r="CV44" i="25"/>
  <c r="AW44" i="25"/>
  <c r="BI44" i="25"/>
  <c r="BU44" i="25"/>
  <c r="CG44" i="25"/>
  <c r="CS44" i="25"/>
  <c r="BF42" i="25"/>
  <c r="BR42" i="25"/>
  <c r="CD42" i="25"/>
  <c r="CP42" i="25"/>
  <c r="DB42" i="25"/>
  <c r="BC42" i="25"/>
  <c r="BO42" i="25"/>
  <c r="CA42" i="25"/>
  <c r="CM42" i="25"/>
  <c r="CY42" i="25"/>
  <c r="AZ42" i="25"/>
  <c r="BL42" i="25"/>
  <c r="BX42" i="25"/>
  <c r="CJ42" i="25"/>
  <c r="CV42" i="25"/>
  <c r="AW42" i="25"/>
  <c r="BI42" i="25"/>
  <c r="BU42" i="25"/>
  <c r="CG42" i="25"/>
  <c r="CS42" i="25"/>
  <c r="AI36" i="25"/>
  <c r="BC34" i="25"/>
  <c r="BO34" i="25"/>
  <c r="CA34" i="25"/>
  <c r="CM34" i="25"/>
  <c r="CY34" i="25"/>
  <c r="AZ34" i="25"/>
  <c r="BL34" i="25"/>
  <c r="BX34" i="25"/>
  <c r="CJ34" i="25"/>
  <c r="CV34" i="25"/>
  <c r="AW34" i="25"/>
  <c r="BI34" i="25"/>
  <c r="BU34" i="25"/>
  <c r="CG34" i="25"/>
  <c r="CS34" i="25"/>
  <c r="BF34" i="25"/>
  <c r="BR34" i="25"/>
  <c r="CD34" i="25"/>
  <c r="CP34" i="25"/>
  <c r="DB34" i="25"/>
  <c r="AI38" i="25"/>
  <c r="BC32" i="25"/>
  <c r="BO32" i="25"/>
  <c r="CA32" i="25"/>
  <c r="CM32" i="25"/>
  <c r="AZ32" i="25"/>
  <c r="BX32" i="25"/>
  <c r="CY32" i="25"/>
  <c r="AW32" i="25"/>
  <c r="BF32" i="25"/>
  <c r="BU32" i="25"/>
  <c r="CD32" i="25"/>
  <c r="CV32" i="25"/>
  <c r="BL32" i="25"/>
  <c r="CJ32" i="25"/>
  <c r="CS32" i="25"/>
  <c r="BI32" i="25"/>
  <c r="BR32" i="25"/>
  <c r="CG32" i="25"/>
  <c r="CP32" i="25"/>
  <c r="DB32" i="25"/>
  <c r="AI37" i="25"/>
  <c r="AI35" i="25"/>
  <c r="AI33" i="25"/>
  <c r="AI30" i="25"/>
  <c r="DB28" i="25"/>
  <c r="CD28" i="25"/>
  <c r="BC28" i="25"/>
  <c r="BO28" i="25"/>
  <c r="CA28" i="25"/>
  <c r="CM28" i="25"/>
  <c r="CY28" i="25"/>
  <c r="AZ28" i="25"/>
  <c r="BL28" i="25"/>
  <c r="BX28" i="25"/>
  <c r="CJ28" i="25"/>
  <c r="CV28" i="25"/>
  <c r="AW28" i="25"/>
  <c r="BI28" i="25"/>
  <c r="BU28" i="25"/>
  <c r="CG28" i="25"/>
  <c r="CS28" i="25"/>
  <c r="AI27" i="25"/>
  <c r="AI29" i="25"/>
  <c r="CP28" i="25"/>
  <c r="BR28" i="25"/>
  <c r="AI31" i="25"/>
  <c r="AZ26" i="25"/>
  <c r="BL26" i="25"/>
  <c r="BX26" i="25"/>
  <c r="CJ26" i="25"/>
  <c r="CV26" i="25"/>
  <c r="AW26" i="25"/>
  <c r="BI26" i="25"/>
  <c r="BU26" i="25"/>
  <c r="CG26" i="25"/>
  <c r="CS26" i="25"/>
  <c r="BF26" i="25"/>
  <c r="BR26" i="25"/>
  <c r="CD26" i="25"/>
  <c r="CP26" i="25"/>
  <c r="DB26" i="25"/>
  <c r="AI23" i="25"/>
  <c r="AI20" i="25"/>
  <c r="AI24" i="25"/>
  <c r="AI25" i="25"/>
  <c r="CL9" i="25"/>
  <c r="AI22" i="25"/>
  <c r="AI21" i="25"/>
  <c r="AI18" i="25"/>
  <c r="BT9" i="25"/>
  <c r="BK9" i="25"/>
  <c r="BW9" i="25"/>
  <c r="AI19" i="25"/>
  <c r="AI16" i="25"/>
  <c r="AY9" i="25"/>
  <c r="AI15" i="25"/>
  <c r="AI13" i="25"/>
  <c r="CR9" i="25"/>
  <c r="BN9" i="25"/>
  <c r="AV9" i="25"/>
  <c r="AI12" i="25"/>
  <c r="AI17" i="25"/>
  <c r="CU9" i="25"/>
  <c r="CI9" i="25"/>
  <c r="AI14" i="25"/>
  <c r="CX9" i="25"/>
  <c r="BZ9" i="25"/>
  <c r="BB9" i="25"/>
  <c r="CF9" i="25"/>
  <c r="BH9" i="25"/>
  <c r="DA9" i="25"/>
  <c r="CO9" i="25"/>
  <c r="CC9" i="25"/>
  <c r="BQ9" i="25"/>
  <c r="BE9" i="25"/>
  <c r="F12" i="21"/>
  <c r="F12" i="22"/>
  <c r="E4" i="22"/>
  <c r="AW17" i="25" l="1"/>
  <c r="BI17" i="25"/>
  <c r="BU17" i="25"/>
  <c r="CG17" i="25"/>
  <c r="CS17" i="25"/>
  <c r="BF17" i="25"/>
  <c r="BR17" i="25"/>
  <c r="CD17" i="25"/>
  <c r="BC17" i="25"/>
  <c r="BO17" i="25"/>
  <c r="CA17" i="25"/>
  <c r="CM17" i="25"/>
  <c r="CV17" i="25"/>
  <c r="DB17" i="25"/>
  <c r="AZ17" i="25"/>
  <c r="BL17" i="25"/>
  <c r="BX17" i="25"/>
  <c r="CJ17" i="25"/>
  <c r="CY17" i="25"/>
  <c r="CP17" i="25"/>
  <c r="AW20" i="25"/>
  <c r="BI20" i="25"/>
  <c r="BF20" i="25"/>
  <c r="BO20" i="25"/>
  <c r="CA20" i="25"/>
  <c r="CM20" i="25"/>
  <c r="CY20" i="25"/>
  <c r="BC20" i="25"/>
  <c r="BL20" i="25"/>
  <c r="BX20" i="25"/>
  <c r="CJ20" i="25"/>
  <c r="CV20" i="25"/>
  <c r="BU20" i="25"/>
  <c r="CG20" i="25"/>
  <c r="CS20" i="25"/>
  <c r="AZ20" i="25"/>
  <c r="BR20" i="25"/>
  <c r="CP20" i="25"/>
  <c r="DB20" i="25"/>
  <c r="CD20" i="25"/>
  <c r="AZ38" i="25"/>
  <c r="BL38" i="25"/>
  <c r="BX38" i="25"/>
  <c r="CJ38" i="25"/>
  <c r="BF38" i="25"/>
  <c r="BR38" i="25"/>
  <c r="CD38" i="25"/>
  <c r="CP38" i="25"/>
  <c r="DB38" i="25"/>
  <c r="AW38" i="25"/>
  <c r="BC38" i="25"/>
  <c r="BI38" i="25"/>
  <c r="BO38" i="25"/>
  <c r="BU38" i="25"/>
  <c r="CA38" i="25"/>
  <c r="CG38" i="25"/>
  <c r="CM38" i="25"/>
  <c r="CS38" i="25"/>
  <c r="CY38" i="25"/>
  <c r="CV38" i="25"/>
  <c r="AS34" i="25"/>
  <c r="AS40" i="25"/>
  <c r="AS43" i="25"/>
  <c r="AW48" i="25"/>
  <c r="BF48" i="25"/>
  <c r="BR48" i="25"/>
  <c r="CD48" i="25"/>
  <c r="CP48" i="25"/>
  <c r="DB48" i="25"/>
  <c r="BI48" i="25"/>
  <c r="BX48" i="25"/>
  <c r="CG48" i="25"/>
  <c r="CV48" i="25"/>
  <c r="AZ48" i="25"/>
  <c r="BO48" i="25"/>
  <c r="CM48" i="25"/>
  <c r="BL48" i="25"/>
  <c r="BU48" i="25"/>
  <c r="CJ48" i="25"/>
  <c r="CS48" i="25"/>
  <c r="BC48" i="25"/>
  <c r="CA48" i="25"/>
  <c r="CY48" i="25"/>
  <c r="AS52" i="25"/>
  <c r="AS56" i="25"/>
  <c r="AS58" i="25"/>
  <c r="AS53" i="25"/>
  <c r="AZ61" i="25"/>
  <c r="BL61" i="25"/>
  <c r="BX61" i="25"/>
  <c r="CJ61" i="25"/>
  <c r="CV61" i="25"/>
  <c r="BF61" i="25"/>
  <c r="BR61" i="25"/>
  <c r="CD61" i="25"/>
  <c r="CP61" i="25"/>
  <c r="DB61" i="25"/>
  <c r="BC61" i="25"/>
  <c r="BO61" i="25"/>
  <c r="CA61" i="25"/>
  <c r="CM61" i="25"/>
  <c r="CY61" i="25"/>
  <c r="BI61" i="25"/>
  <c r="CG61" i="25"/>
  <c r="AW61" i="25"/>
  <c r="BU61" i="25"/>
  <c r="CS61" i="25"/>
  <c r="AS57" i="25"/>
  <c r="AS66" i="25"/>
  <c r="AS72" i="25"/>
  <c r="AS74" i="25"/>
  <c r="AS83" i="25"/>
  <c r="AS86" i="25"/>
  <c r="BF91" i="25"/>
  <c r="BR91" i="25"/>
  <c r="CD91" i="25"/>
  <c r="CP91" i="25"/>
  <c r="DB91" i="25"/>
  <c r="AZ91" i="25"/>
  <c r="BL91" i="25"/>
  <c r="BX91" i="25"/>
  <c r="CJ91" i="25"/>
  <c r="CV91" i="25"/>
  <c r="AW91" i="25"/>
  <c r="BI91" i="25"/>
  <c r="BU91" i="25"/>
  <c r="CG91" i="25"/>
  <c r="CS91" i="25"/>
  <c r="BC91" i="25"/>
  <c r="CA91" i="25"/>
  <c r="CY91" i="25"/>
  <c r="BO91" i="25"/>
  <c r="CM91" i="25"/>
  <c r="AW93" i="25"/>
  <c r="BI93" i="25"/>
  <c r="BU93" i="25"/>
  <c r="CG93" i="25"/>
  <c r="CS93" i="25"/>
  <c r="BF93" i="25"/>
  <c r="BR93" i="25"/>
  <c r="CD93" i="25"/>
  <c r="CP93" i="25"/>
  <c r="DB93" i="25"/>
  <c r="BC93" i="25"/>
  <c r="BO93" i="25"/>
  <c r="CA93" i="25"/>
  <c r="CM93" i="25"/>
  <c r="CY93" i="25"/>
  <c r="AZ93" i="25"/>
  <c r="BL93" i="25"/>
  <c r="BX93" i="25"/>
  <c r="CJ93" i="25"/>
  <c r="CV93" i="25"/>
  <c r="AW97" i="25"/>
  <c r="BI97" i="25"/>
  <c r="BU97" i="25"/>
  <c r="CG97" i="25"/>
  <c r="CS97" i="25"/>
  <c r="BF97" i="25"/>
  <c r="BR97" i="25"/>
  <c r="CD97" i="25"/>
  <c r="CP97" i="25"/>
  <c r="DB97" i="25"/>
  <c r="BC97" i="25"/>
  <c r="BO97" i="25"/>
  <c r="CA97" i="25"/>
  <c r="CM97" i="25"/>
  <c r="CY97" i="25"/>
  <c r="AZ97" i="25"/>
  <c r="BL97" i="25"/>
  <c r="BX97" i="25"/>
  <c r="CJ97" i="25"/>
  <c r="CV97" i="25"/>
  <c r="AW101" i="25"/>
  <c r="BI101" i="25"/>
  <c r="BU101" i="25"/>
  <c r="CG101" i="25"/>
  <c r="CS101" i="25"/>
  <c r="BF101" i="25"/>
  <c r="BR101" i="25"/>
  <c r="CD101" i="25"/>
  <c r="CP101" i="25"/>
  <c r="DB101" i="25"/>
  <c r="BC101" i="25"/>
  <c r="BO101" i="25"/>
  <c r="CA101" i="25"/>
  <c r="CM101" i="25"/>
  <c r="CY101" i="25"/>
  <c r="AZ101" i="25"/>
  <c r="BL101" i="25"/>
  <c r="BX101" i="25"/>
  <c r="CJ101" i="25"/>
  <c r="CV101" i="25"/>
  <c r="AW105" i="25"/>
  <c r="BI105" i="25"/>
  <c r="BU105" i="25"/>
  <c r="CG105" i="25"/>
  <c r="CS105" i="25"/>
  <c r="BF105" i="25"/>
  <c r="BR105" i="25"/>
  <c r="CD105" i="25"/>
  <c r="CP105" i="25"/>
  <c r="DB105" i="25"/>
  <c r="BC105" i="25"/>
  <c r="BO105" i="25"/>
  <c r="CA105" i="25"/>
  <c r="CM105" i="25"/>
  <c r="CY105" i="25"/>
  <c r="AZ105" i="25"/>
  <c r="BL105" i="25"/>
  <c r="BX105" i="25"/>
  <c r="CJ105" i="25"/>
  <c r="CV105" i="25"/>
  <c r="AS96" i="25"/>
  <c r="AW125" i="25"/>
  <c r="BI125" i="25"/>
  <c r="BU125" i="25"/>
  <c r="CG125" i="25"/>
  <c r="CS125" i="25"/>
  <c r="BF125" i="25"/>
  <c r="BR125" i="25"/>
  <c r="CD125" i="25"/>
  <c r="CP125" i="25"/>
  <c r="DB125" i="25"/>
  <c r="BC125" i="25"/>
  <c r="BO125" i="25"/>
  <c r="CA125" i="25"/>
  <c r="CM125" i="25"/>
  <c r="CY125" i="25"/>
  <c r="AZ125" i="25"/>
  <c r="BL125" i="25"/>
  <c r="BX125" i="25"/>
  <c r="CJ125" i="25"/>
  <c r="CV125" i="25"/>
  <c r="AW129" i="25"/>
  <c r="BI129" i="25"/>
  <c r="BU129" i="25"/>
  <c r="CG129" i="25"/>
  <c r="CS129" i="25"/>
  <c r="BF129" i="25"/>
  <c r="BR129" i="25"/>
  <c r="CD129" i="25"/>
  <c r="CP129" i="25"/>
  <c r="DB129" i="25"/>
  <c r="BC129" i="25"/>
  <c r="BO129" i="25"/>
  <c r="CA129" i="25"/>
  <c r="CM129" i="25"/>
  <c r="CY129" i="25"/>
  <c r="AZ129" i="25"/>
  <c r="BL129" i="25"/>
  <c r="BX129" i="25"/>
  <c r="CJ129" i="25"/>
  <c r="CV129" i="25"/>
  <c r="AW133" i="25"/>
  <c r="BI133" i="25"/>
  <c r="BU133" i="25"/>
  <c r="CG133" i="25"/>
  <c r="CS133" i="25"/>
  <c r="BF133" i="25"/>
  <c r="BR133" i="25"/>
  <c r="CD133" i="25"/>
  <c r="CP133" i="25"/>
  <c r="DB133" i="25"/>
  <c r="BC133" i="25"/>
  <c r="BO133" i="25"/>
  <c r="CA133" i="25"/>
  <c r="CM133" i="25"/>
  <c r="CY133" i="25"/>
  <c r="AZ133" i="25"/>
  <c r="BL133" i="25"/>
  <c r="BX133" i="25"/>
  <c r="CJ133" i="25"/>
  <c r="CV133" i="25"/>
  <c r="AW137" i="25"/>
  <c r="BI137" i="25"/>
  <c r="BU137" i="25"/>
  <c r="CG137" i="25"/>
  <c r="CS137" i="25"/>
  <c r="BF137" i="25"/>
  <c r="BR137" i="25"/>
  <c r="CD137" i="25"/>
  <c r="CP137" i="25"/>
  <c r="DB137" i="25"/>
  <c r="BC137" i="25"/>
  <c r="BO137" i="25"/>
  <c r="CA137" i="25"/>
  <c r="CM137" i="25"/>
  <c r="CY137" i="25"/>
  <c r="AZ137" i="25"/>
  <c r="BL137" i="25"/>
  <c r="BX137" i="25"/>
  <c r="CJ137" i="25"/>
  <c r="CV137" i="25"/>
  <c r="AS111" i="25"/>
  <c r="AS119" i="25"/>
  <c r="AS110" i="25"/>
  <c r="AS112" i="25"/>
  <c r="AS124" i="25"/>
  <c r="AS134" i="25"/>
  <c r="AW14" i="25"/>
  <c r="BI14" i="25"/>
  <c r="BU14" i="25"/>
  <c r="CG14" i="25"/>
  <c r="CS14" i="25"/>
  <c r="BF14" i="25"/>
  <c r="BR14" i="25"/>
  <c r="CD14" i="25"/>
  <c r="CP14" i="25"/>
  <c r="DB14" i="25"/>
  <c r="BC14" i="25"/>
  <c r="BO14" i="25"/>
  <c r="CA14" i="25"/>
  <c r="CM14" i="25"/>
  <c r="CY14" i="25"/>
  <c r="AZ14" i="25"/>
  <c r="BX14" i="25"/>
  <c r="CV14" i="25"/>
  <c r="CJ14" i="25"/>
  <c r="BL14" i="25"/>
  <c r="AZ15" i="25"/>
  <c r="BL15" i="25"/>
  <c r="AW15" i="25"/>
  <c r="BU15" i="25"/>
  <c r="CG15" i="25"/>
  <c r="CS15" i="25"/>
  <c r="BC15" i="25"/>
  <c r="BR15" i="25"/>
  <c r="CD15" i="25"/>
  <c r="CP15" i="25"/>
  <c r="DB15" i="25"/>
  <c r="BI15" i="25"/>
  <c r="BO15" i="25"/>
  <c r="BX15" i="25"/>
  <c r="CJ15" i="25"/>
  <c r="CV15" i="25"/>
  <c r="BF15" i="25"/>
  <c r="CY15" i="25"/>
  <c r="CA15" i="25"/>
  <c r="CM15" i="25"/>
  <c r="AZ18" i="25"/>
  <c r="BL18" i="25"/>
  <c r="BX18" i="25"/>
  <c r="CJ18" i="25"/>
  <c r="CV18" i="25"/>
  <c r="AW18" i="25"/>
  <c r="BI18" i="25"/>
  <c r="BU18" i="25"/>
  <c r="CG18" i="25"/>
  <c r="CS18" i="25"/>
  <c r="BF18" i="25"/>
  <c r="BR18" i="25"/>
  <c r="CD18" i="25"/>
  <c r="CP18" i="25"/>
  <c r="DB18" i="25"/>
  <c r="BC18" i="25"/>
  <c r="CA18" i="25"/>
  <c r="CY18" i="25"/>
  <c r="BO18" i="25"/>
  <c r="CM18" i="25"/>
  <c r="BF35" i="25"/>
  <c r="BR35" i="25"/>
  <c r="CD35" i="25"/>
  <c r="CP35" i="25"/>
  <c r="DB35" i="25"/>
  <c r="BC35" i="25"/>
  <c r="BO35" i="25"/>
  <c r="CA35" i="25"/>
  <c r="CM35" i="25"/>
  <c r="CY35" i="25"/>
  <c r="AZ35" i="25"/>
  <c r="BL35" i="25"/>
  <c r="BX35" i="25"/>
  <c r="CJ35" i="25"/>
  <c r="CV35" i="25"/>
  <c r="BI35" i="25"/>
  <c r="CG35" i="25"/>
  <c r="AW35" i="25"/>
  <c r="BU35" i="25"/>
  <c r="CS35" i="25"/>
  <c r="AS42" i="25"/>
  <c r="AS44" i="25"/>
  <c r="AS39" i="25"/>
  <c r="AS51" i="25"/>
  <c r="AS59" i="25"/>
  <c r="AS55" i="25"/>
  <c r="AS64" i="25"/>
  <c r="AS65" i="25"/>
  <c r="AS69" i="25"/>
  <c r="AS70" i="25"/>
  <c r="AS81" i="25"/>
  <c r="AS87" i="25"/>
  <c r="AS89" i="25"/>
  <c r="AS85" i="25"/>
  <c r="AS88" i="25"/>
  <c r="AZ90" i="25"/>
  <c r="BL90" i="25"/>
  <c r="BX90" i="25"/>
  <c r="CJ90" i="25"/>
  <c r="CV90" i="25"/>
  <c r="BF90" i="25"/>
  <c r="BR90" i="25"/>
  <c r="CD90" i="25"/>
  <c r="CP90" i="25"/>
  <c r="DB90" i="25"/>
  <c r="BC90" i="25"/>
  <c r="BO90" i="25"/>
  <c r="CA90" i="25"/>
  <c r="CM90" i="25"/>
  <c r="CY90" i="25"/>
  <c r="AW90" i="25"/>
  <c r="BU90" i="25"/>
  <c r="CS90" i="25"/>
  <c r="BI90" i="25"/>
  <c r="CG90" i="25"/>
  <c r="AS102" i="25"/>
  <c r="AS100" i="25"/>
  <c r="AW107" i="25"/>
  <c r="BI107" i="25"/>
  <c r="BU107" i="25"/>
  <c r="CG107" i="25"/>
  <c r="CS107" i="25"/>
  <c r="BF107" i="25"/>
  <c r="BR107" i="25"/>
  <c r="CD107" i="25"/>
  <c r="CP107" i="25"/>
  <c r="DB107" i="25"/>
  <c r="BC107" i="25"/>
  <c r="BO107" i="25"/>
  <c r="CA107" i="25"/>
  <c r="CM107" i="25"/>
  <c r="CY107" i="25"/>
  <c r="AZ107" i="25"/>
  <c r="BL107" i="25"/>
  <c r="BX107" i="25"/>
  <c r="CJ107" i="25"/>
  <c r="CV107" i="25"/>
  <c r="AS109" i="25"/>
  <c r="AS128" i="25"/>
  <c r="AS130" i="25"/>
  <c r="AS136" i="25"/>
  <c r="AS32" i="25"/>
  <c r="AI9" i="25"/>
  <c r="AW12" i="25"/>
  <c r="BI12" i="25"/>
  <c r="BU12" i="25"/>
  <c r="CG12" i="25"/>
  <c r="CS12" i="25"/>
  <c r="BF12" i="25"/>
  <c r="BR12" i="25"/>
  <c r="CD12" i="25"/>
  <c r="CP12" i="25"/>
  <c r="DB12" i="25"/>
  <c r="BC12" i="25"/>
  <c r="BO12" i="25"/>
  <c r="CA12" i="25"/>
  <c r="CM12" i="25"/>
  <c r="CY12" i="25"/>
  <c r="AZ12" i="25"/>
  <c r="BX12" i="25"/>
  <c r="CV12" i="25"/>
  <c r="BL12" i="25"/>
  <c r="CJ12" i="25"/>
  <c r="BC13" i="25"/>
  <c r="BO13" i="25"/>
  <c r="CA13" i="25"/>
  <c r="CM13" i="25"/>
  <c r="CY13" i="25"/>
  <c r="AZ13" i="25"/>
  <c r="BL13" i="25"/>
  <c r="BX13" i="25"/>
  <c r="CJ13" i="25"/>
  <c r="CV13" i="25"/>
  <c r="AW13" i="25"/>
  <c r="BI13" i="25"/>
  <c r="BU13" i="25"/>
  <c r="CG13" i="25"/>
  <c r="CS13" i="25"/>
  <c r="BR13" i="25"/>
  <c r="CP13" i="25"/>
  <c r="CD13" i="25"/>
  <c r="BF13" i="25"/>
  <c r="DB13" i="25"/>
  <c r="BF19" i="25"/>
  <c r="BR19" i="25"/>
  <c r="BC19" i="25"/>
  <c r="BO19" i="25"/>
  <c r="CA19" i="25"/>
  <c r="CM19" i="25"/>
  <c r="CY19" i="25"/>
  <c r="AZ19" i="25"/>
  <c r="BL19" i="25"/>
  <c r="BX19" i="25"/>
  <c r="CJ19" i="25"/>
  <c r="CV19" i="25"/>
  <c r="CD19" i="25"/>
  <c r="CP19" i="25"/>
  <c r="DB19" i="25"/>
  <c r="BI19" i="25"/>
  <c r="CG19" i="25"/>
  <c r="CS19" i="25"/>
  <c r="BU19" i="25"/>
  <c r="AW19" i="25"/>
  <c r="AW21" i="25"/>
  <c r="BI21" i="25"/>
  <c r="BU21" i="25"/>
  <c r="CG21" i="25"/>
  <c r="CS21" i="25"/>
  <c r="BF21" i="25"/>
  <c r="BR21" i="25"/>
  <c r="CD21" i="25"/>
  <c r="CP21" i="25"/>
  <c r="DB21" i="25"/>
  <c r="BC21" i="25"/>
  <c r="BO21" i="25"/>
  <c r="CA21" i="25"/>
  <c r="CM21" i="25"/>
  <c r="CY21" i="25"/>
  <c r="AZ21" i="25"/>
  <c r="BX21" i="25"/>
  <c r="CV21" i="25"/>
  <c r="BL21" i="25"/>
  <c r="CJ21" i="25"/>
  <c r="BC22" i="25"/>
  <c r="BO22" i="25"/>
  <c r="CA22" i="25"/>
  <c r="CM22" i="25"/>
  <c r="CY22" i="25"/>
  <c r="AZ22" i="25"/>
  <c r="BL22" i="25"/>
  <c r="BX22" i="25"/>
  <c r="CJ22" i="25"/>
  <c r="CV22" i="25"/>
  <c r="AW22" i="25"/>
  <c r="BI22" i="25"/>
  <c r="BU22" i="25"/>
  <c r="CG22" i="25"/>
  <c r="CS22" i="25"/>
  <c r="BF22" i="25"/>
  <c r="CD22" i="25"/>
  <c r="DB22" i="25"/>
  <c r="CP22" i="25"/>
  <c r="BR22" i="25"/>
  <c r="AW23" i="25"/>
  <c r="BI23" i="25"/>
  <c r="BU23" i="25"/>
  <c r="CG23" i="25"/>
  <c r="CS23" i="25"/>
  <c r="BF23" i="25"/>
  <c r="BR23" i="25"/>
  <c r="CD23" i="25"/>
  <c r="CP23" i="25"/>
  <c r="DB23" i="25"/>
  <c r="BC23" i="25"/>
  <c r="BO23" i="25"/>
  <c r="CA23" i="25"/>
  <c r="CM23" i="25"/>
  <c r="CY23" i="25"/>
  <c r="AZ23" i="25"/>
  <c r="BX23" i="25"/>
  <c r="CV23" i="25"/>
  <c r="BL23" i="25"/>
  <c r="CJ23" i="25"/>
  <c r="AS26" i="25"/>
  <c r="BF29" i="25"/>
  <c r="BR29" i="25"/>
  <c r="CD29" i="25"/>
  <c r="CP29" i="25"/>
  <c r="DB29" i="25"/>
  <c r="BC29" i="25"/>
  <c r="BO29" i="25"/>
  <c r="CA29" i="25"/>
  <c r="CM29" i="25"/>
  <c r="CY29" i="25"/>
  <c r="AZ29" i="25"/>
  <c r="BL29" i="25"/>
  <c r="BX29" i="25"/>
  <c r="CJ29" i="25"/>
  <c r="CV29" i="25"/>
  <c r="CG29" i="25"/>
  <c r="BU29" i="25"/>
  <c r="BI29" i="25"/>
  <c r="AW29" i="25"/>
  <c r="CS29" i="25"/>
  <c r="AZ36" i="25"/>
  <c r="BL36" i="25"/>
  <c r="BX36" i="25"/>
  <c r="CJ36" i="25"/>
  <c r="CV36" i="25"/>
  <c r="AW36" i="25"/>
  <c r="BI36" i="25"/>
  <c r="BU36" i="25"/>
  <c r="CG36" i="25"/>
  <c r="CS36" i="25"/>
  <c r="BF36" i="25"/>
  <c r="BR36" i="25"/>
  <c r="CD36" i="25"/>
  <c r="CP36" i="25"/>
  <c r="DB36" i="25"/>
  <c r="BC36" i="25"/>
  <c r="CA36" i="25"/>
  <c r="CY36" i="25"/>
  <c r="BO36" i="25"/>
  <c r="CM36" i="25"/>
  <c r="AS41" i="25"/>
  <c r="BC47" i="25"/>
  <c r="BO47" i="25"/>
  <c r="CA47" i="25"/>
  <c r="CM47" i="25"/>
  <c r="CY47" i="25"/>
  <c r="BL47" i="25"/>
  <c r="BX47" i="25"/>
  <c r="CJ47" i="25"/>
  <c r="CV47" i="25"/>
  <c r="AW47" i="25"/>
  <c r="BF47" i="25"/>
  <c r="BR47" i="25"/>
  <c r="CD47" i="25"/>
  <c r="CP47" i="25"/>
  <c r="DB47" i="25"/>
  <c r="BI47" i="25"/>
  <c r="BU47" i="25"/>
  <c r="CG47" i="25"/>
  <c r="CS47" i="25"/>
  <c r="BF63" i="25"/>
  <c r="BR63" i="25"/>
  <c r="CD63" i="25"/>
  <c r="CP63" i="25"/>
  <c r="BC63" i="25"/>
  <c r="BO63" i="25"/>
  <c r="CA63" i="25"/>
  <c r="CJ63" i="25"/>
  <c r="CS63" i="25"/>
  <c r="DB63" i="25"/>
  <c r="AW63" i="25"/>
  <c r="BI63" i="25"/>
  <c r="BU63" i="25"/>
  <c r="CY63" i="25"/>
  <c r="CG63" i="25"/>
  <c r="CV63" i="25"/>
  <c r="AZ63" i="25"/>
  <c r="BL63" i="25"/>
  <c r="BX63" i="25"/>
  <c r="CM63" i="25"/>
  <c r="BF62" i="25"/>
  <c r="BR62" i="25"/>
  <c r="CD62" i="25"/>
  <c r="CP62" i="25"/>
  <c r="DB62" i="25"/>
  <c r="AZ62" i="25"/>
  <c r="BL62" i="25"/>
  <c r="BX62" i="25"/>
  <c r="CJ62" i="25"/>
  <c r="CV62" i="25"/>
  <c r="AW62" i="25"/>
  <c r="BI62" i="25"/>
  <c r="BU62" i="25"/>
  <c r="CG62" i="25"/>
  <c r="CS62" i="25"/>
  <c r="BC62" i="25"/>
  <c r="CA62" i="25"/>
  <c r="CY62" i="25"/>
  <c r="BO62" i="25"/>
  <c r="CM62" i="25"/>
  <c r="AS71" i="25"/>
  <c r="AS67" i="25"/>
  <c r="AS75" i="25"/>
  <c r="AZ77" i="25"/>
  <c r="BL77" i="25"/>
  <c r="BX77" i="25"/>
  <c r="CJ77" i="25"/>
  <c r="CV77" i="25"/>
  <c r="AW77" i="25"/>
  <c r="BI77" i="25"/>
  <c r="BU77" i="25"/>
  <c r="CG77" i="25"/>
  <c r="CS77" i="25"/>
  <c r="BF77" i="25"/>
  <c r="BR77" i="25"/>
  <c r="CD77" i="25"/>
  <c r="CP77" i="25"/>
  <c r="DB77" i="25"/>
  <c r="BC77" i="25"/>
  <c r="BO77" i="25"/>
  <c r="CA77" i="25"/>
  <c r="CM77" i="25"/>
  <c r="CY77" i="25"/>
  <c r="AS82" i="25"/>
  <c r="AS79" i="25"/>
  <c r="AW95" i="25"/>
  <c r="BI95" i="25"/>
  <c r="BU95" i="25"/>
  <c r="CG95" i="25"/>
  <c r="CS95" i="25"/>
  <c r="BF95" i="25"/>
  <c r="BR95" i="25"/>
  <c r="CD95" i="25"/>
  <c r="CP95" i="25"/>
  <c r="DB95" i="25"/>
  <c r="BC95" i="25"/>
  <c r="BO95" i="25"/>
  <c r="CA95" i="25"/>
  <c r="CM95" i="25"/>
  <c r="CY95" i="25"/>
  <c r="AZ95" i="25"/>
  <c r="BL95" i="25"/>
  <c r="BX95" i="25"/>
  <c r="CJ95" i="25"/>
  <c r="CV95" i="25"/>
  <c r="AW99" i="25"/>
  <c r="BI99" i="25"/>
  <c r="BU99" i="25"/>
  <c r="CG99" i="25"/>
  <c r="CS99" i="25"/>
  <c r="BF99" i="25"/>
  <c r="BR99" i="25"/>
  <c r="CD99" i="25"/>
  <c r="CP99" i="25"/>
  <c r="DB99" i="25"/>
  <c r="BC99" i="25"/>
  <c r="BO99" i="25"/>
  <c r="CA99" i="25"/>
  <c r="CM99" i="25"/>
  <c r="CY99" i="25"/>
  <c r="AZ99" i="25"/>
  <c r="BL99" i="25"/>
  <c r="BX99" i="25"/>
  <c r="CJ99" i="25"/>
  <c r="CV99" i="25"/>
  <c r="AW103" i="25"/>
  <c r="BI103" i="25"/>
  <c r="BU103" i="25"/>
  <c r="CG103" i="25"/>
  <c r="CS103" i="25"/>
  <c r="BF103" i="25"/>
  <c r="BR103" i="25"/>
  <c r="CD103" i="25"/>
  <c r="CP103" i="25"/>
  <c r="DB103" i="25"/>
  <c r="BC103" i="25"/>
  <c r="BO103" i="25"/>
  <c r="CA103" i="25"/>
  <c r="CM103" i="25"/>
  <c r="CY103" i="25"/>
  <c r="AZ103" i="25"/>
  <c r="BL103" i="25"/>
  <c r="BX103" i="25"/>
  <c r="CJ103" i="25"/>
  <c r="CV103" i="25"/>
  <c r="AS98" i="25"/>
  <c r="AS104" i="25"/>
  <c r="AW127" i="25"/>
  <c r="BI127" i="25"/>
  <c r="BU127" i="25"/>
  <c r="CG127" i="25"/>
  <c r="CS127" i="25"/>
  <c r="BF127" i="25"/>
  <c r="BR127" i="25"/>
  <c r="CD127" i="25"/>
  <c r="CP127" i="25"/>
  <c r="DB127" i="25"/>
  <c r="BC127" i="25"/>
  <c r="BO127" i="25"/>
  <c r="CA127" i="25"/>
  <c r="CM127" i="25"/>
  <c r="CY127" i="25"/>
  <c r="AZ127" i="25"/>
  <c r="BL127" i="25"/>
  <c r="BX127" i="25"/>
  <c r="CJ127" i="25"/>
  <c r="CV127" i="25"/>
  <c r="AW131" i="25"/>
  <c r="BI131" i="25"/>
  <c r="BU131" i="25"/>
  <c r="CG131" i="25"/>
  <c r="CS131" i="25"/>
  <c r="BF131" i="25"/>
  <c r="BR131" i="25"/>
  <c r="CD131" i="25"/>
  <c r="CP131" i="25"/>
  <c r="DB131" i="25"/>
  <c r="BC131" i="25"/>
  <c r="BO131" i="25"/>
  <c r="CA131" i="25"/>
  <c r="CM131" i="25"/>
  <c r="CY131" i="25"/>
  <c r="AZ131" i="25"/>
  <c r="BL131" i="25"/>
  <c r="BX131" i="25"/>
  <c r="CJ131" i="25"/>
  <c r="CV131" i="25"/>
  <c r="AW135" i="25"/>
  <c r="BI135" i="25"/>
  <c r="BU135" i="25"/>
  <c r="CG135" i="25"/>
  <c r="CS135" i="25"/>
  <c r="BF135" i="25"/>
  <c r="BR135" i="25"/>
  <c r="CD135" i="25"/>
  <c r="CP135" i="25"/>
  <c r="DB135" i="25"/>
  <c r="BC135" i="25"/>
  <c r="BO135" i="25"/>
  <c r="CA135" i="25"/>
  <c r="CM135" i="25"/>
  <c r="CY135" i="25"/>
  <c r="AZ135" i="25"/>
  <c r="BL135" i="25"/>
  <c r="BX135" i="25"/>
  <c r="CJ135" i="25"/>
  <c r="CV135" i="25"/>
  <c r="AZ139" i="25"/>
  <c r="BF139" i="25"/>
  <c r="BR139" i="25"/>
  <c r="CD139" i="25"/>
  <c r="CP139" i="25"/>
  <c r="DB139" i="25"/>
  <c r="AW139" i="25"/>
  <c r="BO139" i="25"/>
  <c r="CA139" i="25"/>
  <c r="CM139" i="25"/>
  <c r="CY139" i="25"/>
  <c r="BC139" i="25"/>
  <c r="BL139" i="25"/>
  <c r="BX139" i="25"/>
  <c r="CJ139" i="25"/>
  <c r="CV139" i="25"/>
  <c r="BI139" i="25"/>
  <c r="BU139" i="25"/>
  <c r="CG139" i="25"/>
  <c r="CS139" i="25"/>
  <c r="AS115" i="25"/>
  <c r="AS123" i="25"/>
  <c r="AS116" i="25"/>
  <c r="BC16" i="25"/>
  <c r="BO16" i="25"/>
  <c r="CA16" i="25"/>
  <c r="CM16" i="25"/>
  <c r="CY16" i="25"/>
  <c r="AZ16" i="25"/>
  <c r="BL16" i="25"/>
  <c r="BX16" i="25"/>
  <c r="CJ16" i="25"/>
  <c r="CV16" i="25"/>
  <c r="BF16" i="25"/>
  <c r="BR16" i="25"/>
  <c r="CD16" i="25"/>
  <c r="CP16" i="25"/>
  <c r="DB16" i="25"/>
  <c r="BU16" i="25"/>
  <c r="CG16" i="25"/>
  <c r="AW16" i="25"/>
  <c r="AS16" i="25" s="1"/>
  <c r="CS16" i="25"/>
  <c r="BI16" i="25"/>
  <c r="BC24" i="25"/>
  <c r="AZ24" i="25"/>
  <c r="BL24" i="25"/>
  <c r="BX24" i="25"/>
  <c r="CJ24" i="25"/>
  <c r="CV24" i="25"/>
  <c r="AW24" i="25"/>
  <c r="BI24" i="25"/>
  <c r="BU24" i="25"/>
  <c r="CG24" i="25"/>
  <c r="CS24" i="25"/>
  <c r="BF24" i="25"/>
  <c r="BO24" i="25"/>
  <c r="CA24" i="25"/>
  <c r="CM24" i="25"/>
  <c r="CY24" i="25"/>
  <c r="BR24" i="25"/>
  <c r="CD24" i="25"/>
  <c r="CP24" i="25"/>
  <c r="DB24" i="25"/>
  <c r="AS28" i="25"/>
  <c r="AZ30" i="25"/>
  <c r="BL30" i="25"/>
  <c r="BX30" i="25"/>
  <c r="CJ30" i="25"/>
  <c r="CV30" i="25"/>
  <c r="AW30" i="25"/>
  <c r="BI30" i="25"/>
  <c r="BU30" i="25"/>
  <c r="CG30" i="25"/>
  <c r="CS30" i="25"/>
  <c r="BF30" i="25"/>
  <c r="CA30" i="25"/>
  <c r="DB30" i="25"/>
  <c r="BO30" i="25"/>
  <c r="CP30" i="25"/>
  <c r="BC30" i="25"/>
  <c r="CD30" i="25"/>
  <c r="CY30" i="25"/>
  <c r="BR30" i="25"/>
  <c r="CM30" i="25"/>
  <c r="BF25" i="25"/>
  <c r="BR25" i="25"/>
  <c r="CD25" i="25"/>
  <c r="CP25" i="25"/>
  <c r="DB25" i="25"/>
  <c r="BC25" i="25"/>
  <c r="BO25" i="25"/>
  <c r="CA25" i="25"/>
  <c r="CM25" i="25"/>
  <c r="CY25" i="25"/>
  <c r="AZ25" i="25"/>
  <c r="BL25" i="25"/>
  <c r="BX25" i="25"/>
  <c r="CJ25" i="25"/>
  <c r="CV25" i="25"/>
  <c r="BU25" i="25"/>
  <c r="CG25" i="25"/>
  <c r="AW25" i="25"/>
  <c r="AS25" i="25" s="1"/>
  <c r="CS25" i="25"/>
  <c r="BI25" i="25"/>
  <c r="BF31" i="25"/>
  <c r="BR31" i="25"/>
  <c r="CD31" i="25"/>
  <c r="CP31" i="25"/>
  <c r="DB31" i="25"/>
  <c r="BC31" i="25"/>
  <c r="BO31" i="25"/>
  <c r="CA31" i="25"/>
  <c r="CM31" i="25"/>
  <c r="CY31" i="25"/>
  <c r="AW31" i="25"/>
  <c r="BX31" i="25"/>
  <c r="CS31" i="25"/>
  <c r="BL31" i="25"/>
  <c r="CG31" i="25"/>
  <c r="AZ31" i="25"/>
  <c r="BU31" i="25"/>
  <c r="CV31" i="25"/>
  <c r="BI31" i="25"/>
  <c r="CJ31" i="25"/>
  <c r="AW27" i="25"/>
  <c r="BI27" i="25"/>
  <c r="BU27" i="25"/>
  <c r="CG27" i="25"/>
  <c r="CS27" i="25"/>
  <c r="BF27" i="25"/>
  <c r="BR27" i="25"/>
  <c r="CD27" i="25"/>
  <c r="CP27" i="25"/>
  <c r="DB27" i="25"/>
  <c r="BC27" i="25"/>
  <c r="BO27" i="25"/>
  <c r="CA27" i="25"/>
  <c r="CM27" i="25"/>
  <c r="CY27" i="25"/>
  <c r="AZ27" i="25"/>
  <c r="BX27" i="25"/>
  <c r="CV27" i="25"/>
  <c r="BL27" i="25"/>
  <c r="CJ27" i="25"/>
  <c r="AW33" i="25"/>
  <c r="BI33" i="25"/>
  <c r="BU33" i="25"/>
  <c r="CG33" i="25"/>
  <c r="CS33" i="25"/>
  <c r="BF33" i="25"/>
  <c r="BR33" i="25"/>
  <c r="CD33" i="25"/>
  <c r="CP33" i="25"/>
  <c r="DB33" i="25"/>
  <c r="BC33" i="25"/>
  <c r="BO33" i="25"/>
  <c r="CA33" i="25"/>
  <c r="CM33" i="25"/>
  <c r="CY33" i="25"/>
  <c r="AZ33" i="25"/>
  <c r="BL33" i="25"/>
  <c r="BX33" i="25"/>
  <c r="CJ33" i="25"/>
  <c r="CV33" i="25"/>
  <c r="BF37" i="25"/>
  <c r="BR37" i="25"/>
  <c r="CD37" i="25"/>
  <c r="CP37" i="25"/>
  <c r="DB37" i="25"/>
  <c r="BC37" i="25"/>
  <c r="BO37" i="25"/>
  <c r="CA37" i="25"/>
  <c r="CM37" i="25"/>
  <c r="CY37" i="25"/>
  <c r="AZ37" i="25"/>
  <c r="BL37" i="25"/>
  <c r="BX37" i="25"/>
  <c r="CJ37" i="25"/>
  <c r="CV37" i="25"/>
  <c r="AW37" i="25"/>
  <c r="BU37" i="25"/>
  <c r="CS37" i="25"/>
  <c r="BI37" i="25"/>
  <c r="CG37" i="25"/>
  <c r="BC46" i="25"/>
  <c r="AZ46" i="25"/>
  <c r="BL46" i="25"/>
  <c r="BX46" i="25"/>
  <c r="CJ46" i="25"/>
  <c r="CV46" i="25"/>
  <c r="AW46" i="25"/>
  <c r="BI46" i="25"/>
  <c r="BU46" i="25"/>
  <c r="CG46" i="25"/>
  <c r="CS46" i="25"/>
  <c r="BR46" i="25"/>
  <c r="CD46" i="25"/>
  <c r="CP46" i="25"/>
  <c r="DB46" i="25"/>
  <c r="BF46" i="25"/>
  <c r="BO46" i="25"/>
  <c r="CA46" i="25"/>
  <c r="CM46" i="25"/>
  <c r="CY46" i="25"/>
  <c r="AZ45" i="25"/>
  <c r="AW45" i="25"/>
  <c r="BI45" i="25"/>
  <c r="BU45" i="25"/>
  <c r="CG45" i="25"/>
  <c r="CS45" i="25"/>
  <c r="BF45" i="25"/>
  <c r="BR45" i="25"/>
  <c r="CD45" i="25"/>
  <c r="CP45" i="25"/>
  <c r="DB45" i="25"/>
  <c r="BC45" i="25"/>
  <c r="BO45" i="25"/>
  <c r="CA45" i="25"/>
  <c r="CM45" i="25"/>
  <c r="CY45" i="25"/>
  <c r="BX45" i="25"/>
  <c r="CV45" i="25"/>
  <c r="BL45" i="25"/>
  <c r="CJ45" i="25"/>
  <c r="AS54" i="25"/>
  <c r="AS60" i="25"/>
  <c r="AS50" i="25"/>
  <c r="AS49" i="25"/>
  <c r="BF78" i="25"/>
  <c r="BR78" i="25"/>
  <c r="CD78" i="25"/>
  <c r="CP78" i="25"/>
  <c r="DB78" i="25"/>
  <c r="BC78" i="25"/>
  <c r="BO78" i="25"/>
  <c r="CA78" i="25"/>
  <c r="CM78" i="25"/>
  <c r="CY78" i="25"/>
  <c r="AW78" i="25"/>
  <c r="BI78" i="25"/>
  <c r="BU78" i="25"/>
  <c r="CG78" i="25"/>
  <c r="CS78" i="25"/>
  <c r="AZ78" i="25"/>
  <c r="BL78" i="25"/>
  <c r="BX78" i="25"/>
  <c r="CJ78" i="25"/>
  <c r="CV78" i="25"/>
  <c r="AS68" i="25"/>
  <c r="AW76" i="25"/>
  <c r="BI76" i="25"/>
  <c r="BU76" i="25"/>
  <c r="CG76" i="25"/>
  <c r="BF76" i="25"/>
  <c r="BR76" i="25"/>
  <c r="CD76" i="25"/>
  <c r="CP76" i="25"/>
  <c r="DB76" i="25"/>
  <c r="BC76" i="25"/>
  <c r="BO76" i="25"/>
  <c r="CA76" i="25"/>
  <c r="CM76" i="25"/>
  <c r="CY76" i="25"/>
  <c r="CS76" i="25"/>
  <c r="AZ76" i="25"/>
  <c r="BX76" i="25"/>
  <c r="CV76" i="25"/>
  <c r="BL76" i="25"/>
  <c r="CJ76" i="25"/>
  <c r="AS73" i="25"/>
  <c r="BF92" i="25"/>
  <c r="BR92" i="25"/>
  <c r="CD92" i="25"/>
  <c r="CP92" i="25"/>
  <c r="DB92" i="25"/>
  <c r="BC92" i="25"/>
  <c r="BO92" i="25"/>
  <c r="CA92" i="25"/>
  <c r="CM92" i="25"/>
  <c r="CY92" i="25"/>
  <c r="AZ92" i="25"/>
  <c r="BL92" i="25"/>
  <c r="BX92" i="25"/>
  <c r="CJ92" i="25"/>
  <c r="CV92" i="25"/>
  <c r="AW92" i="25"/>
  <c r="BI92" i="25"/>
  <c r="BU92" i="25"/>
  <c r="CG92" i="25"/>
  <c r="CS92" i="25"/>
  <c r="AS80" i="25"/>
  <c r="AS84" i="25"/>
  <c r="AS106" i="25"/>
  <c r="AS94" i="25"/>
  <c r="AS138" i="25"/>
  <c r="AS113" i="25"/>
  <c r="BF147" i="25"/>
  <c r="BR147" i="25"/>
  <c r="CD147" i="25"/>
  <c r="CP147" i="25"/>
  <c r="DB147" i="25"/>
  <c r="BC147" i="25"/>
  <c r="BO147" i="25"/>
  <c r="CA147" i="25"/>
  <c r="CM147" i="25"/>
  <c r="CY147" i="25"/>
  <c r="AZ147" i="25"/>
  <c r="BL147" i="25"/>
  <c r="BX147" i="25"/>
  <c r="CJ147" i="25"/>
  <c r="CV147" i="25"/>
  <c r="AW147" i="25"/>
  <c r="BI147" i="25"/>
  <c r="BU147" i="25"/>
  <c r="CG147" i="25"/>
  <c r="CS147" i="25"/>
  <c r="BF151" i="25"/>
  <c r="BR151" i="25"/>
  <c r="CD151" i="25"/>
  <c r="CP151" i="25"/>
  <c r="DB151" i="25"/>
  <c r="BC151" i="25"/>
  <c r="BO151" i="25"/>
  <c r="CA151" i="25"/>
  <c r="CM151" i="25"/>
  <c r="CY151" i="25"/>
  <c r="AZ151" i="25"/>
  <c r="BL151" i="25"/>
  <c r="BX151" i="25"/>
  <c r="CJ151" i="25"/>
  <c r="CV151" i="25"/>
  <c r="AW151" i="25"/>
  <c r="BI151" i="25"/>
  <c r="BU151" i="25"/>
  <c r="CG151" i="25"/>
  <c r="CS151" i="25"/>
  <c r="BF155" i="25"/>
  <c r="BR155" i="25"/>
  <c r="CD155" i="25"/>
  <c r="CP155" i="25"/>
  <c r="DB155" i="25"/>
  <c r="BC155" i="25"/>
  <c r="BO155" i="25"/>
  <c r="CA155" i="25"/>
  <c r="CM155" i="25"/>
  <c r="CY155" i="25"/>
  <c r="AZ155" i="25"/>
  <c r="BL155" i="25"/>
  <c r="BX155" i="25"/>
  <c r="CJ155" i="25"/>
  <c r="CV155" i="25"/>
  <c r="AW155" i="25"/>
  <c r="BI155" i="25"/>
  <c r="BU155" i="25"/>
  <c r="CG155" i="25"/>
  <c r="CS155" i="25"/>
  <c r="BF159" i="25"/>
  <c r="BR159" i="25"/>
  <c r="CD159" i="25"/>
  <c r="CP159" i="25"/>
  <c r="DB159" i="25"/>
  <c r="BC159" i="25"/>
  <c r="BO159" i="25"/>
  <c r="CA159" i="25"/>
  <c r="CM159" i="25"/>
  <c r="CY159" i="25"/>
  <c r="AZ159" i="25"/>
  <c r="BL159" i="25"/>
  <c r="BX159" i="25"/>
  <c r="CJ159" i="25"/>
  <c r="CV159" i="25"/>
  <c r="AW159" i="25"/>
  <c r="BI159" i="25"/>
  <c r="BU159" i="25"/>
  <c r="CG159" i="25"/>
  <c r="CS159" i="25"/>
  <c r="BF163" i="25"/>
  <c r="BR163" i="25"/>
  <c r="CD163" i="25"/>
  <c r="CP163" i="25"/>
  <c r="DB163" i="25"/>
  <c r="BC163" i="25"/>
  <c r="BO163" i="25"/>
  <c r="CA163" i="25"/>
  <c r="CM163" i="25"/>
  <c r="CY163" i="25"/>
  <c r="AZ163" i="25"/>
  <c r="BL163" i="25"/>
  <c r="BX163" i="25"/>
  <c r="CJ163" i="25"/>
  <c r="CV163" i="25"/>
  <c r="AW163" i="25"/>
  <c r="BI163" i="25"/>
  <c r="BU163" i="25"/>
  <c r="CG163" i="25"/>
  <c r="CS163" i="25"/>
  <c r="BF167" i="25"/>
  <c r="BR167" i="25"/>
  <c r="CD167" i="25"/>
  <c r="BC167" i="25"/>
  <c r="BO167" i="25"/>
  <c r="CA167" i="25"/>
  <c r="CM167" i="25"/>
  <c r="AZ167" i="25"/>
  <c r="BL167" i="25"/>
  <c r="AW167" i="25"/>
  <c r="BI167" i="25"/>
  <c r="BU167" i="25"/>
  <c r="CG167" i="25"/>
  <c r="CV167" i="25"/>
  <c r="CS167" i="25"/>
  <c r="CJ167" i="25"/>
  <c r="DB167" i="25"/>
  <c r="BX167" i="25"/>
  <c r="CP167" i="25"/>
  <c r="CY167" i="25"/>
  <c r="AS108" i="25"/>
  <c r="AS132" i="25"/>
  <c r="AS142" i="25"/>
  <c r="AS150" i="25"/>
  <c r="AS164" i="25"/>
  <c r="AS145" i="25"/>
  <c r="BF182" i="25"/>
  <c r="BR182" i="25"/>
  <c r="CD182" i="25"/>
  <c r="CP182" i="25"/>
  <c r="DB182" i="25"/>
  <c r="BC182" i="25"/>
  <c r="BO182" i="25"/>
  <c r="CA182" i="25"/>
  <c r="CM182" i="25"/>
  <c r="CY182" i="25"/>
  <c r="AZ182" i="25"/>
  <c r="BL182" i="25"/>
  <c r="BX182" i="25"/>
  <c r="CJ182" i="25"/>
  <c r="CV182" i="25"/>
  <c r="AW182" i="25"/>
  <c r="BI182" i="25"/>
  <c r="BU182" i="25"/>
  <c r="CG182" i="25"/>
  <c r="CS182" i="25"/>
  <c r="BF186" i="25"/>
  <c r="BR186" i="25"/>
  <c r="CD186" i="25"/>
  <c r="CP186" i="25"/>
  <c r="DB186" i="25"/>
  <c r="BC186" i="25"/>
  <c r="BO186" i="25"/>
  <c r="CA186" i="25"/>
  <c r="CM186" i="25"/>
  <c r="CY186" i="25"/>
  <c r="AZ186" i="25"/>
  <c r="BL186" i="25"/>
  <c r="BX186" i="25"/>
  <c r="CJ186" i="25"/>
  <c r="CV186" i="25"/>
  <c r="AW186" i="25"/>
  <c r="BI186" i="25"/>
  <c r="BU186" i="25"/>
  <c r="CG186" i="25"/>
  <c r="CS186" i="25"/>
  <c r="BF190" i="25"/>
  <c r="BR190" i="25"/>
  <c r="CD190" i="25"/>
  <c r="CP190" i="25"/>
  <c r="DB190" i="25"/>
  <c r="BC190" i="25"/>
  <c r="BO190" i="25"/>
  <c r="CA190" i="25"/>
  <c r="CM190" i="25"/>
  <c r="CY190" i="25"/>
  <c r="AZ190" i="25"/>
  <c r="BL190" i="25"/>
  <c r="BX190" i="25"/>
  <c r="CJ190" i="25"/>
  <c r="CV190" i="25"/>
  <c r="AW190" i="25"/>
  <c r="BI190" i="25"/>
  <c r="BU190" i="25"/>
  <c r="CG190" i="25"/>
  <c r="CS190" i="25"/>
  <c r="BF194" i="25"/>
  <c r="BR194" i="25"/>
  <c r="CD194" i="25"/>
  <c r="CP194" i="25"/>
  <c r="DB194" i="25"/>
  <c r="BC194" i="25"/>
  <c r="BO194" i="25"/>
  <c r="CA194" i="25"/>
  <c r="CM194" i="25"/>
  <c r="CY194" i="25"/>
  <c r="AZ194" i="25"/>
  <c r="BL194" i="25"/>
  <c r="BX194" i="25"/>
  <c r="CJ194" i="25"/>
  <c r="CV194" i="25"/>
  <c r="AW194" i="25"/>
  <c r="BI194" i="25"/>
  <c r="BU194" i="25"/>
  <c r="CG194" i="25"/>
  <c r="CS194" i="25"/>
  <c r="AS154" i="25"/>
  <c r="AS172" i="25"/>
  <c r="AS175" i="25"/>
  <c r="AS181" i="25"/>
  <c r="AS187" i="25"/>
  <c r="AW198" i="25"/>
  <c r="BI198" i="25"/>
  <c r="BU198" i="25"/>
  <c r="CG198" i="25"/>
  <c r="CS198" i="25"/>
  <c r="BF198" i="25"/>
  <c r="BR198" i="25"/>
  <c r="CD198" i="25"/>
  <c r="CP198" i="25"/>
  <c r="DB198" i="25"/>
  <c r="BC198" i="25"/>
  <c r="BO198" i="25"/>
  <c r="CA198" i="25"/>
  <c r="CM198" i="25"/>
  <c r="CY198" i="25"/>
  <c r="AZ198" i="25"/>
  <c r="BX198" i="25"/>
  <c r="CV198" i="25"/>
  <c r="BL198" i="25"/>
  <c r="CJ198" i="25"/>
  <c r="BC199" i="25"/>
  <c r="BO199" i="25"/>
  <c r="CA199" i="25"/>
  <c r="CM199" i="25"/>
  <c r="CY199" i="25"/>
  <c r="AZ199" i="25"/>
  <c r="BL199" i="25"/>
  <c r="BX199" i="25"/>
  <c r="CJ199" i="25"/>
  <c r="CV199" i="25"/>
  <c r="AW199" i="25"/>
  <c r="BI199" i="25"/>
  <c r="BU199" i="25"/>
  <c r="CG199" i="25"/>
  <c r="CS199" i="25"/>
  <c r="BR199" i="25"/>
  <c r="BF199" i="25"/>
  <c r="CD199" i="25"/>
  <c r="DB199" i="25"/>
  <c r="CP199" i="25"/>
  <c r="BC241" i="25"/>
  <c r="BO241" i="25"/>
  <c r="CA241" i="25"/>
  <c r="CM241" i="25"/>
  <c r="CY241" i="25"/>
  <c r="AZ241" i="25"/>
  <c r="BL241" i="25"/>
  <c r="BX241" i="25"/>
  <c r="CJ241" i="25"/>
  <c r="CV241" i="25"/>
  <c r="AW241" i="25"/>
  <c r="BI241" i="25"/>
  <c r="BU241" i="25"/>
  <c r="CG241" i="25"/>
  <c r="CS241" i="25"/>
  <c r="BF241" i="25"/>
  <c r="CD241" i="25"/>
  <c r="DB241" i="25"/>
  <c r="BR241" i="25"/>
  <c r="CP241" i="25"/>
  <c r="AS257" i="25"/>
  <c r="BC223" i="25"/>
  <c r="BO223" i="25"/>
  <c r="CA223" i="25"/>
  <c r="CM223" i="25"/>
  <c r="CY223" i="25"/>
  <c r="AZ223" i="25"/>
  <c r="BL223" i="25"/>
  <c r="BX223" i="25"/>
  <c r="CJ223" i="25"/>
  <c r="CV223" i="25"/>
  <c r="AW223" i="25"/>
  <c r="BI223" i="25"/>
  <c r="BU223" i="25"/>
  <c r="CG223" i="25"/>
  <c r="CS223" i="25"/>
  <c r="BR223" i="25"/>
  <c r="CP223" i="25"/>
  <c r="BF223" i="25"/>
  <c r="CD223" i="25"/>
  <c r="DB223" i="25"/>
  <c r="BC227" i="25"/>
  <c r="BO227" i="25"/>
  <c r="CA227" i="25"/>
  <c r="CM227" i="25"/>
  <c r="CY227" i="25"/>
  <c r="AZ227" i="25"/>
  <c r="BL227" i="25"/>
  <c r="BX227" i="25"/>
  <c r="CJ227" i="25"/>
  <c r="CV227" i="25"/>
  <c r="AW227" i="25"/>
  <c r="BI227" i="25"/>
  <c r="BU227" i="25"/>
  <c r="CG227" i="25"/>
  <c r="CS227" i="25"/>
  <c r="BR227" i="25"/>
  <c r="CP227" i="25"/>
  <c r="BF227" i="25"/>
  <c r="CD227" i="25"/>
  <c r="DB227" i="25"/>
  <c r="AS231" i="25"/>
  <c r="AW260" i="25"/>
  <c r="BI260" i="25"/>
  <c r="BU260" i="25"/>
  <c r="CG260" i="25"/>
  <c r="CS260" i="25"/>
  <c r="BF260" i="25"/>
  <c r="BR260" i="25"/>
  <c r="CD260" i="25"/>
  <c r="CP260" i="25"/>
  <c r="DB260" i="25"/>
  <c r="BC260" i="25"/>
  <c r="BO260" i="25"/>
  <c r="CA260" i="25"/>
  <c r="CM260" i="25"/>
  <c r="CY260" i="25"/>
  <c r="BL260" i="25"/>
  <c r="CJ260" i="25"/>
  <c r="AZ260" i="25"/>
  <c r="BX260" i="25"/>
  <c r="CV260" i="25"/>
  <c r="BC197" i="25"/>
  <c r="BO197" i="25"/>
  <c r="CA197" i="25"/>
  <c r="CM197" i="25"/>
  <c r="CY197" i="25"/>
  <c r="AZ197" i="25"/>
  <c r="BL197" i="25"/>
  <c r="BX197" i="25"/>
  <c r="CJ197" i="25"/>
  <c r="CV197" i="25"/>
  <c r="AW197" i="25"/>
  <c r="BI197" i="25"/>
  <c r="BU197" i="25"/>
  <c r="CG197" i="25"/>
  <c r="CS197" i="25"/>
  <c r="BF197" i="25"/>
  <c r="BR197" i="25"/>
  <c r="CP197" i="25"/>
  <c r="DB197" i="25"/>
  <c r="CD197" i="25"/>
  <c r="BC205" i="25"/>
  <c r="BO205" i="25"/>
  <c r="CA205" i="25"/>
  <c r="CM205" i="25"/>
  <c r="CY205" i="25"/>
  <c r="AZ205" i="25"/>
  <c r="BL205" i="25"/>
  <c r="BX205" i="25"/>
  <c r="CJ205" i="25"/>
  <c r="CV205" i="25"/>
  <c r="AW205" i="25"/>
  <c r="BI205" i="25"/>
  <c r="BU205" i="25"/>
  <c r="CG205" i="25"/>
  <c r="CS205" i="25"/>
  <c r="BR205" i="25"/>
  <c r="CP205" i="25"/>
  <c r="CD205" i="25"/>
  <c r="DB205" i="25"/>
  <c r="BF205" i="25"/>
  <c r="BC213" i="25"/>
  <c r="BO213" i="25"/>
  <c r="CA213" i="25"/>
  <c r="CM213" i="25"/>
  <c r="CY213" i="25"/>
  <c r="AZ213" i="25"/>
  <c r="BL213" i="25"/>
  <c r="BX213" i="25"/>
  <c r="CJ213" i="25"/>
  <c r="CV213" i="25"/>
  <c r="AW213" i="25"/>
  <c r="BI213" i="25"/>
  <c r="BU213" i="25"/>
  <c r="CG213" i="25"/>
  <c r="CS213" i="25"/>
  <c r="DB213" i="25"/>
  <c r="BR213" i="25"/>
  <c r="CP213" i="25"/>
  <c r="BF213" i="25"/>
  <c r="CD213" i="25"/>
  <c r="BC221" i="25"/>
  <c r="BO221" i="25"/>
  <c r="CA221" i="25"/>
  <c r="CM221" i="25"/>
  <c r="CY221" i="25"/>
  <c r="AZ221" i="25"/>
  <c r="BL221" i="25"/>
  <c r="BX221" i="25"/>
  <c r="CJ221" i="25"/>
  <c r="CV221" i="25"/>
  <c r="AW221" i="25"/>
  <c r="BI221" i="25"/>
  <c r="BU221" i="25"/>
  <c r="CG221" i="25"/>
  <c r="CS221" i="25"/>
  <c r="BF221" i="25"/>
  <c r="CD221" i="25"/>
  <c r="DB221" i="25"/>
  <c r="BR221" i="25"/>
  <c r="CP221" i="25"/>
  <c r="AW224" i="25"/>
  <c r="BI224" i="25"/>
  <c r="BU224" i="25"/>
  <c r="CG224" i="25"/>
  <c r="CS224" i="25"/>
  <c r="BF224" i="25"/>
  <c r="BR224" i="25"/>
  <c r="CD224" i="25"/>
  <c r="CP224" i="25"/>
  <c r="DB224" i="25"/>
  <c r="BC224" i="25"/>
  <c r="BO224" i="25"/>
  <c r="CA224" i="25"/>
  <c r="CM224" i="25"/>
  <c r="CY224" i="25"/>
  <c r="BL224" i="25"/>
  <c r="CJ224" i="25"/>
  <c r="AZ224" i="25"/>
  <c r="BX224" i="25"/>
  <c r="CV224" i="25"/>
  <c r="AW240" i="25"/>
  <c r="BI240" i="25"/>
  <c r="BU240" i="25"/>
  <c r="CG240" i="25"/>
  <c r="CS240" i="25"/>
  <c r="BF240" i="25"/>
  <c r="BR240" i="25"/>
  <c r="CD240" i="25"/>
  <c r="CP240" i="25"/>
  <c r="DB240" i="25"/>
  <c r="BC240" i="25"/>
  <c r="BO240" i="25"/>
  <c r="CA240" i="25"/>
  <c r="CM240" i="25"/>
  <c r="CY240" i="25"/>
  <c r="BL240" i="25"/>
  <c r="CJ240" i="25"/>
  <c r="AZ240" i="25"/>
  <c r="BX240" i="25"/>
  <c r="CV240" i="25"/>
  <c r="AS253" i="25"/>
  <c r="AS204" i="25"/>
  <c r="AS256" i="25"/>
  <c r="AS202" i="25"/>
  <c r="AS121" i="25"/>
  <c r="AS118" i="25"/>
  <c r="AS122" i="25"/>
  <c r="AS126" i="25"/>
  <c r="AS148" i="25"/>
  <c r="AS156" i="25"/>
  <c r="AS158" i="25"/>
  <c r="AS169" i="25"/>
  <c r="AS171" i="25"/>
  <c r="BC209" i="25"/>
  <c r="BO209" i="25"/>
  <c r="CA209" i="25"/>
  <c r="CM209" i="25"/>
  <c r="CY209" i="25"/>
  <c r="AZ209" i="25"/>
  <c r="BL209" i="25"/>
  <c r="BX209" i="25"/>
  <c r="CJ209" i="25"/>
  <c r="CV209" i="25"/>
  <c r="AW209" i="25"/>
  <c r="BI209" i="25"/>
  <c r="BU209" i="25"/>
  <c r="CG209" i="25"/>
  <c r="CS209" i="25"/>
  <c r="CP209" i="25"/>
  <c r="BF209" i="25"/>
  <c r="CD209" i="25"/>
  <c r="DB209" i="25"/>
  <c r="BR209" i="25"/>
  <c r="AW220" i="25"/>
  <c r="BI220" i="25"/>
  <c r="BU220" i="25"/>
  <c r="CG220" i="25"/>
  <c r="CS220" i="25"/>
  <c r="BF220" i="25"/>
  <c r="BR220" i="25"/>
  <c r="CD220" i="25"/>
  <c r="CP220" i="25"/>
  <c r="DB220" i="25"/>
  <c r="BC220" i="25"/>
  <c r="BO220" i="25"/>
  <c r="CA220" i="25"/>
  <c r="CM220" i="25"/>
  <c r="CY220" i="25"/>
  <c r="AZ220" i="25"/>
  <c r="BX220" i="25"/>
  <c r="CV220" i="25"/>
  <c r="BL220" i="25"/>
  <c r="CJ220" i="25"/>
  <c r="AW228" i="25"/>
  <c r="BI228" i="25"/>
  <c r="BU228" i="25"/>
  <c r="CG228" i="25"/>
  <c r="CS228" i="25"/>
  <c r="BF228" i="25"/>
  <c r="BR228" i="25"/>
  <c r="CD228" i="25"/>
  <c r="CP228" i="25"/>
  <c r="DB228" i="25"/>
  <c r="BC228" i="25"/>
  <c r="BO228" i="25"/>
  <c r="CA228" i="25"/>
  <c r="CM228" i="25"/>
  <c r="CY228" i="25"/>
  <c r="AZ228" i="25"/>
  <c r="BX228" i="25"/>
  <c r="CV228" i="25"/>
  <c r="BL228" i="25"/>
  <c r="CJ228" i="25"/>
  <c r="AW236" i="25"/>
  <c r="BI236" i="25"/>
  <c r="BU236" i="25"/>
  <c r="CG236" i="25"/>
  <c r="CS236" i="25"/>
  <c r="BF236" i="25"/>
  <c r="BR236" i="25"/>
  <c r="CD236" i="25"/>
  <c r="CP236" i="25"/>
  <c r="DB236" i="25"/>
  <c r="BC236" i="25"/>
  <c r="BO236" i="25"/>
  <c r="CA236" i="25"/>
  <c r="CM236" i="25"/>
  <c r="CY236" i="25"/>
  <c r="AZ236" i="25"/>
  <c r="BX236" i="25"/>
  <c r="CV236" i="25"/>
  <c r="BL236" i="25"/>
  <c r="CJ236" i="25"/>
  <c r="BC249" i="25"/>
  <c r="BO249" i="25"/>
  <c r="CA249" i="25"/>
  <c r="CM249" i="25"/>
  <c r="CY249" i="25"/>
  <c r="AZ249" i="25"/>
  <c r="BL249" i="25"/>
  <c r="BX249" i="25"/>
  <c r="CJ249" i="25"/>
  <c r="CV249" i="25"/>
  <c r="AW249" i="25"/>
  <c r="BI249" i="25"/>
  <c r="BU249" i="25"/>
  <c r="CG249" i="25"/>
  <c r="CS249" i="25"/>
  <c r="BR249" i="25"/>
  <c r="BF249" i="25"/>
  <c r="CD249" i="25"/>
  <c r="DB249" i="25"/>
  <c r="CP249" i="25"/>
  <c r="BC211" i="25"/>
  <c r="BO211" i="25"/>
  <c r="CA211" i="25"/>
  <c r="CM211" i="25"/>
  <c r="CY211" i="25"/>
  <c r="AZ211" i="25"/>
  <c r="BL211" i="25"/>
  <c r="BX211" i="25"/>
  <c r="CJ211" i="25"/>
  <c r="CV211" i="25"/>
  <c r="AW211" i="25"/>
  <c r="BI211" i="25"/>
  <c r="BU211" i="25"/>
  <c r="CG211" i="25"/>
  <c r="CS211" i="25"/>
  <c r="BR211" i="25"/>
  <c r="CP211" i="25"/>
  <c r="BF211" i="25"/>
  <c r="CD211" i="25"/>
  <c r="DB211" i="25"/>
  <c r="AW252" i="25"/>
  <c r="BI252" i="25"/>
  <c r="BU252" i="25"/>
  <c r="CG252" i="25"/>
  <c r="CS252" i="25"/>
  <c r="BF252" i="25"/>
  <c r="BR252" i="25"/>
  <c r="CD252" i="25"/>
  <c r="CP252" i="25"/>
  <c r="DB252" i="25"/>
  <c r="BC252" i="25"/>
  <c r="BO252" i="25"/>
  <c r="CA252" i="25"/>
  <c r="CM252" i="25"/>
  <c r="CY252" i="25"/>
  <c r="AZ252" i="25"/>
  <c r="BX252" i="25"/>
  <c r="CV252" i="25"/>
  <c r="BL252" i="25"/>
  <c r="CJ252" i="25"/>
  <c r="AS170" i="25"/>
  <c r="AS261" i="25"/>
  <c r="BC225" i="25"/>
  <c r="BO225" i="25"/>
  <c r="CA225" i="25"/>
  <c r="CM225" i="25"/>
  <c r="CY225" i="25"/>
  <c r="AZ225" i="25"/>
  <c r="BL225" i="25"/>
  <c r="BX225" i="25"/>
  <c r="CJ225" i="25"/>
  <c r="CV225" i="25"/>
  <c r="AW225" i="25"/>
  <c r="BI225" i="25"/>
  <c r="BU225" i="25"/>
  <c r="CG225" i="25"/>
  <c r="CS225" i="25"/>
  <c r="CD225" i="25"/>
  <c r="DB225" i="25"/>
  <c r="BR225" i="25"/>
  <c r="CP225" i="25"/>
  <c r="BF225" i="25"/>
  <c r="AW244" i="25"/>
  <c r="BI244" i="25"/>
  <c r="BU244" i="25"/>
  <c r="CG244" i="25"/>
  <c r="CS244" i="25"/>
  <c r="BF244" i="25"/>
  <c r="BR244" i="25"/>
  <c r="CD244" i="25"/>
  <c r="CP244" i="25"/>
  <c r="DB244" i="25"/>
  <c r="BC244" i="25"/>
  <c r="BO244" i="25"/>
  <c r="CA244" i="25"/>
  <c r="CM244" i="25"/>
  <c r="CY244" i="25"/>
  <c r="BL244" i="25"/>
  <c r="CJ244" i="25"/>
  <c r="AZ244" i="25"/>
  <c r="BX244" i="25"/>
  <c r="CV244" i="25"/>
  <c r="BC245" i="25"/>
  <c r="BO245" i="25"/>
  <c r="CA245" i="25"/>
  <c r="CM245" i="25"/>
  <c r="CY245" i="25"/>
  <c r="AZ245" i="25"/>
  <c r="BL245" i="25"/>
  <c r="BX245" i="25"/>
  <c r="CJ245" i="25"/>
  <c r="CV245" i="25"/>
  <c r="AW245" i="25"/>
  <c r="BI245" i="25"/>
  <c r="BU245" i="25"/>
  <c r="CG245" i="25"/>
  <c r="CS245" i="25"/>
  <c r="BF245" i="25"/>
  <c r="CD245" i="25"/>
  <c r="DB245" i="25"/>
  <c r="BR245" i="25"/>
  <c r="CP245" i="25"/>
  <c r="AW250" i="25"/>
  <c r="BI250" i="25"/>
  <c r="BU250" i="25"/>
  <c r="CG250" i="25"/>
  <c r="CS250" i="25"/>
  <c r="BF250" i="25"/>
  <c r="BR250" i="25"/>
  <c r="CD250" i="25"/>
  <c r="CP250" i="25"/>
  <c r="DB250" i="25"/>
  <c r="BC250" i="25"/>
  <c r="BO250" i="25"/>
  <c r="CA250" i="25"/>
  <c r="CM250" i="25"/>
  <c r="CY250" i="25"/>
  <c r="BL250" i="25"/>
  <c r="CJ250" i="25"/>
  <c r="BX250" i="25"/>
  <c r="CV250" i="25"/>
  <c r="AZ250" i="25"/>
  <c r="AS207" i="25"/>
  <c r="AS210" i="25"/>
  <c r="AS216" i="25"/>
  <c r="AS258" i="25"/>
  <c r="AS117" i="25"/>
  <c r="BF149" i="25"/>
  <c r="BR149" i="25"/>
  <c r="CD149" i="25"/>
  <c r="CP149" i="25"/>
  <c r="DB149" i="25"/>
  <c r="BC149" i="25"/>
  <c r="BO149" i="25"/>
  <c r="CA149" i="25"/>
  <c r="CM149" i="25"/>
  <c r="CY149" i="25"/>
  <c r="AZ149" i="25"/>
  <c r="BL149" i="25"/>
  <c r="BX149" i="25"/>
  <c r="CJ149" i="25"/>
  <c r="CV149" i="25"/>
  <c r="AW149" i="25"/>
  <c r="BI149" i="25"/>
  <c r="BU149" i="25"/>
  <c r="CG149" i="25"/>
  <c r="CS149" i="25"/>
  <c r="BF153" i="25"/>
  <c r="BR153" i="25"/>
  <c r="CD153" i="25"/>
  <c r="CP153" i="25"/>
  <c r="DB153" i="25"/>
  <c r="BC153" i="25"/>
  <c r="BO153" i="25"/>
  <c r="CA153" i="25"/>
  <c r="CM153" i="25"/>
  <c r="CY153" i="25"/>
  <c r="AZ153" i="25"/>
  <c r="BL153" i="25"/>
  <c r="BX153" i="25"/>
  <c r="CJ153" i="25"/>
  <c r="CV153" i="25"/>
  <c r="AW153" i="25"/>
  <c r="BI153" i="25"/>
  <c r="BU153" i="25"/>
  <c r="CG153" i="25"/>
  <c r="CS153" i="25"/>
  <c r="BF157" i="25"/>
  <c r="BR157" i="25"/>
  <c r="CD157" i="25"/>
  <c r="CP157" i="25"/>
  <c r="DB157" i="25"/>
  <c r="BC157" i="25"/>
  <c r="BO157" i="25"/>
  <c r="CA157" i="25"/>
  <c r="CM157" i="25"/>
  <c r="CY157" i="25"/>
  <c r="AZ157" i="25"/>
  <c r="BL157" i="25"/>
  <c r="BX157" i="25"/>
  <c r="CJ157" i="25"/>
  <c r="CV157" i="25"/>
  <c r="AW157" i="25"/>
  <c r="BI157" i="25"/>
  <c r="BU157" i="25"/>
  <c r="CG157" i="25"/>
  <c r="CS157" i="25"/>
  <c r="BF161" i="25"/>
  <c r="BR161" i="25"/>
  <c r="CD161" i="25"/>
  <c r="CP161" i="25"/>
  <c r="DB161" i="25"/>
  <c r="BC161" i="25"/>
  <c r="BO161" i="25"/>
  <c r="CA161" i="25"/>
  <c r="CM161" i="25"/>
  <c r="CY161" i="25"/>
  <c r="AZ161" i="25"/>
  <c r="BL161" i="25"/>
  <c r="BX161" i="25"/>
  <c r="CJ161" i="25"/>
  <c r="CV161" i="25"/>
  <c r="AW161" i="25"/>
  <c r="BI161" i="25"/>
  <c r="BU161" i="25"/>
  <c r="CG161" i="25"/>
  <c r="CS161" i="25"/>
  <c r="BF165" i="25"/>
  <c r="BR165" i="25"/>
  <c r="CD165" i="25"/>
  <c r="CP165" i="25"/>
  <c r="DB165" i="25"/>
  <c r="BC165" i="25"/>
  <c r="BO165" i="25"/>
  <c r="CA165" i="25"/>
  <c r="CM165" i="25"/>
  <c r="CY165" i="25"/>
  <c r="AZ165" i="25"/>
  <c r="BL165" i="25"/>
  <c r="BX165" i="25"/>
  <c r="CJ165" i="25"/>
  <c r="CV165" i="25"/>
  <c r="AW165" i="25"/>
  <c r="BI165" i="25"/>
  <c r="BU165" i="25"/>
  <c r="CG165" i="25"/>
  <c r="CS165" i="25"/>
  <c r="AS120" i="25"/>
  <c r="AS146" i="25"/>
  <c r="AS141" i="25"/>
  <c r="BF180" i="25"/>
  <c r="BR180" i="25"/>
  <c r="CD180" i="25"/>
  <c r="CP180" i="25"/>
  <c r="DB180" i="25"/>
  <c r="BC180" i="25"/>
  <c r="BO180" i="25"/>
  <c r="CA180" i="25"/>
  <c r="CM180" i="25"/>
  <c r="CY180" i="25"/>
  <c r="AZ180" i="25"/>
  <c r="BL180" i="25"/>
  <c r="BX180" i="25"/>
  <c r="CJ180" i="25"/>
  <c r="CV180" i="25"/>
  <c r="AW180" i="25"/>
  <c r="BI180" i="25"/>
  <c r="BU180" i="25"/>
  <c r="CG180" i="25"/>
  <c r="CS180" i="25"/>
  <c r="BF184" i="25"/>
  <c r="BR184" i="25"/>
  <c r="CD184" i="25"/>
  <c r="CP184" i="25"/>
  <c r="DB184" i="25"/>
  <c r="BC184" i="25"/>
  <c r="BO184" i="25"/>
  <c r="CA184" i="25"/>
  <c r="CM184" i="25"/>
  <c r="CY184" i="25"/>
  <c r="AZ184" i="25"/>
  <c r="BL184" i="25"/>
  <c r="BX184" i="25"/>
  <c r="CJ184" i="25"/>
  <c r="CV184" i="25"/>
  <c r="AW184" i="25"/>
  <c r="BI184" i="25"/>
  <c r="BU184" i="25"/>
  <c r="CG184" i="25"/>
  <c r="CS184" i="25"/>
  <c r="BF188" i="25"/>
  <c r="BR188" i="25"/>
  <c r="CD188" i="25"/>
  <c r="CP188" i="25"/>
  <c r="DB188" i="25"/>
  <c r="BC188" i="25"/>
  <c r="BO188" i="25"/>
  <c r="CA188" i="25"/>
  <c r="CM188" i="25"/>
  <c r="CY188" i="25"/>
  <c r="AZ188" i="25"/>
  <c r="BL188" i="25"/>
  <c r="BX188" i="25"/>
  <c r="CJ188" i="25"/>
  <c r="CV188" i="25"/>
  <c r="AW188" i="25"/>
  <c r="BI188" i="25"/>
  <c r="BU188" i="25"/>
  <c r="CG188" i="25"/>
  <c r="CS188" i="25"/>
  <c r="BF192" i="25"/>
  <c r="BR192" i="25"/>
  <c r="CD192" i="25"/>
  <c r="CP192" i="25"/>
  <c r="DB192" i="25"/>
  <c r="BC192" i="25"/>
  <c r="BO192" i="25"/>
  <c r="CA192" i="25"/>
  <c r="CM192" i="25"/>
  <c r="CY192" i="25"/>
  <c r="AZ192" i="25"/>
  <c r="BL192" i="25"/>
  <c r="BX192" i="25"/>
  <c r="CJ192" i="25"/>
  <c r="CV192" i="25"/>
  <c r="AW192" i="25"/>
  <c r="BI192" i="25"/>
  <c r="BU192" i="25"/>
  <c r="CG192" i="25"/>
  <c r="CS192" i="25"/>
  <c r="BF196" i="25"/>
  <c r="BR196" i="25"/>
  <c r="CD196" i="25"/>
  <c r="CP196" i="25"/>
  <c r="AZ196" i="25"/>
  <c r="BL196" i="25"/>
  <c r="BX196" i="25"/>
  <c r="AW196" i="25"/>
  <c r="BI196" i="25"/>
  <c r="BU196" i="25"/>
  <c r="CG196" i="25"/>
  <c r="CM196" i="25"/>
  <c r="BC196" i="25"/>
  <c r="CA196" i="25"/>
  <c r="CS196" i="25"/>
  <c r="DB196" i="25"/>
  <c r="CJ196" i="25"/>
  <c r="CY196" i="25"/>
  <c r="BO196" i="25"/>
  <c r="CV196" i="25"/>
  <c r="AS162" i="25"/>
  <c r="AS179" i="25"/>
  <c r="AS185" i="25"/>
  <c r="AS193" i="25"/>
  <c r="BC201" i="25"/>
  <c r="BO201" i="25"/>
  <c r="CA201" i="25"/>
  <c r="CM201" i="25"/>
  <c r="CY201" i="25"/>
  <c r="AZ201" i="25"/>
  <c r="BL201" i="25"/>
  <c r="BX201" i="25"/>
  <c r="CJ201" i="25"/>
  <c r="CV201" i="25"/>
  <c r="AW201" i="25"/>
  <c r="BI201" i="25"/>
  <c r="BU201" i="25"/>
  <c r="CG201" i="25"/>
  <c r="CS201" i="25"/>
  <c r="BR201" i="25"/>
  <c r="CP201" i="25"/>
  <c r="BF201" i="25"/>
  <c r="CD201" i="25"/>
  <c r="DB201" i="25"/>
  <c r="AW208" i="25"/>
  <c r="BI208" i="25"/>
  <c r="BU208" i="25"/>
  <c r="CG208" i="25"/>
  <c r="CS208" i="25"/>
  <c r="BF208" i="25"/>
  <c r="BR208" i="25"/>
  <c r="CD208" i="25"/>
  <c r="CP208" i="25"/>
  <c r="DB208" i="25"/>
  <c r="BC208" i="25"/>
  <c r="BO208" i="25"/>
  <c r="CA208" i="25"/>
  <c r="CM208" i="25"/>
  <c r="CY208" i="25"/>
  <c r="AZ208" i="25"/>
  <c r="BX208" i="25"/>
  <c r="CV208" i="25"/>
  <c r="BL208" i="25"/>
  <c r="CJ208" i="25"/>
  <c r="AW214" i="25"/>
  <c r="BI214" i="25"/>
  <c r="BU214" i="25"/>
  <c r="CG214" i="25"/>
  <c r="CS214" i="25"/>
  <c r="BF214" i="25"/>
  <c r="BR214" i="25"/>
  <c r="CD214" i="25"/>
  <c r="CP214" i="25"/>
  <c r="DB214" i="25"/>
  <c r="BC214" i="25"/>
  <c r="BO214" i="25"/>
  <c r="CA214" i="25"/>
  <c r="CM214" i="25"/>
  <c r="CY214" i="25"/>
  <c r="AZ214" i="25"/>
  <c r="BX214" i="25"/>
  <c r="CV214" i="25"/>
  <c r="BL214" i="25"/>
  <c r="CJ214" i="25"/>
  <c r="BC229" i="25"/>
  <c r="BO229" i="25"/>
  <c r="CA229" i="25"/>
  <c r="CM229" i="25"/>
  <c r="CY229" i="25"/>
  <c r="AZ229" i="25"/>
  <c r="BL229" i="25"/>
  <c r="BX229" i="25"/>
  <c r="CJ229" i="25"/>
  <c r="CV229" i="25"/>
  <c r="AW229" i="25"/>
  <c r="BI229" i="25"/>
  <c r="BU229" i="25"/>
  <c r="CG229" i="25"/>
  <c r="CS229" i="25"/>
  <c r="BF229" i="25"/>
  <c r="CD229" i="25"/>
  <c r="DB229" i="25"/>
  <c r="BR229" i="25"/>
  <c r="CP229" i="25"/>
  <c r="AW232" i="25"/>
  <c r="BI232" i="25"/>
  <c r="BU232" i="25"/>
  <c r="CG232" i="25"/>
  <c r="CS232" i="25"/>
  <c r="BF232" i="25"/>
  <c r="BR232" i="25"/>
  <c r="CD232" i="25"/>
  <c r="CP232" i="25"/>
  <c r="DB232" i="25"/>
  <c r="BC232" i="25"/>
  <c r="BO232" i="25"/>
  <c r="CA232" i="25"/>
  <c r="CM232" i="25"/>
  <c r="CY232" i="25"/>
  <c r="AZ232" i="25"/>
  <c r="BX232" i="25"/>
  <c r="CV232" i="25"/>
  <c r="BL232" i="25"/>
  <c r="CJ232" i="25"/>
  <c r="BC239" i="25"/>
  <c r="BO239" i="25"/>
  <c r="CA239" i="25"/>
  <c r="CM239" i="25"/>
  <c r="CY239" i="25"/>
  <c r="AZ239" i="25"/>
  <c r="BL239" i="25"/>
  <c r="BX239" i="25"/>
  <c r="CJ239" i="25"/>
  <c r="CV239" i="25"/>
  <c r="AW239" i="25"/>
  <c r="BI239" i="25"/>
  <c r="BU239" i="25"/>
  <c r="CG239" i="25"/>
  <c r="CS239" i="25"/>
  <c r="CP239" i="25"/>
  <c r="BF239" i="25"/>
  <c r="CD239" i="25"/>
  <c r="DB239" i="25"/>
  <c r="BR239" i="25"/>
  <c r="AS178" i="25"/>
  <c r="AW254" i="25"/>
  <c r="BI254" i="25"/>
  <c r="BU254" i="25"/>
  <c r="CG254" i="25"/>
  <c r="CS254" i="25"/>
  <c r="BF254" i="25"/>
  <c r="BR254" i="25"/>
  <c r="CD254" i="25"/>
  <c r="CP254" i="25"/>
  <c r="DB254" i="25"/>
  <c r="BC254" i="25"/>
  <c r="BO254" i="25"/>
  <c r="CA254" i="25"/>
  <c r="CM254" i="25"/>
  <c r="CY254" i="25"/>
  <c r="AZ254" i="25"/>
  <c r="BX254" i="25"/>
  <c r="CV254" i="25"/>
  <c r="BL254" i="25"/>
  <c r="CJ254" i="25"/>
  <c r="AW234" i="25"/>
  <c r="BI234" i="25"/>
  <c r="BU234" i="25"/>
  <c r="CG234" i="25"/>
  <c r="CS234" i="25"/>
  <c r="BF234" i="25"/>
  <c r="BR234" i="25"/>
  <c r="CD234" i="25"/>
  <c r="CP234" i="25"/>
  <c r="DB234" i="25"/>
  <c r="BC234" i="25"/>
  <c r="BO234" i="25"/>
  <c r="CA234" i="25"/>
  <c r="CM234" i="25"/>
  <c r="CY234" i="25"/>
  <c r="AZ234" i="25"/>
  <c r="BX234" i="25"/>
  <c r="BL234" i="25"/>
  <c r="CJ234" i="25"/>
  <c r="CV234" i="25"/>
  <c r="AS243" i="25"/>
  <c r="BC219" i="25"/>
  <c r="BO219" i="25"/>
  <c r="CA219" i="25"/>
  <c r="CM219" i="25"/>
  <c r="CY219" i="25"/>
  <c r="AZ219" i="25"/>
  <c r="BL219" i="25"/>
  <c r="BX219" i="25"/>
  <c r="CJ219" i="25"/>
  <c r="CV219" i="25"/>
  <c r="AW219" i="25"/>
  <c r="BI219" i="25"/>
  <c r="BU219" i="25"/>
  <c r="CG219" i="25"/>
  <c r="CS219" i="25"/>
  <c r="BR219" i="25"/>
  <c r="CP219" i="25"/>
  <c r="BF219" i="25"/>
  <c r="CD219" i="25"/>
  <c r="DB219" i="25"/>
  <c r="BC237" i="25"/>
  <c r="BO237" i="25"/>
  <c r="CA237" i="25"/>
  <c r="CM237" i="25"/>
  <c r="CY237" i="25"/>
  <c r="AZ237" i="25"/>
  <c r="BL237" i="25"/>
  <c r="BX237" i="25"/>
  <c r="CJ237" i="25"/>
  <c r="CV237" i="25"/>
  <c r="AW237" i="25"/>
  <c r="BI237" i="25"/>
  <c r="BU237" i="25"/>
  <c r="CG237" i="25"/>
  <c r="CS237" i="25"/>
  <c r="BF237" i="25"/>
  <c r="CD237" i="25"/>
  <c r="DB237" i="25"/>
  <c r="BR237" i="25"/>
  <c r="CP237" i="25"/>
  <c r="AS176" i="25"/>
  <c r="AS242" i="25"/>
  <c r="AS200" i="25"/>
  <c r="AS262" i="25"/>
  <c r="AS114" i="25"/>
  <c r="AS144" i="25"/>
  <c r="AS152" i="25"/>
  <c r="AS160" i="25"/>
  <c r="AS143" i="25"/>
  <c r="BF168" i="25"/>
  <c r="BR168" i="25"/>
  <c r="CD168" i="25"/>
  <c r="CP168" i="25"/>
  <c r="DB168" i="25"/>
  <c r="BC168" i="25"/>
  <c r="BO168" i="25"/>
  <c r="CA168" i="25"/>
  <c r="CM168" i="25"/>
  <c r="CY168" i="25"/>
  <c r="AZ168" i="25"/>
  <c r="BL168" i="25"/>
  <c r="BX168" i="25"/>
  <c r="CJ168" i="25"/>
  <c r="CV168" i="25"/>
  <c r="AW168" i="25"/>
  <c r="BI168" i="25"/>
  <c r="BU168" i="25"/>
  <c r="CG168" i="25"/>
  <c r="CS168" i="25"/>
  <c r="AS140" i="25"/>
  <c r="AS166" i="25"/>
  <c r="AS173" i="25"/>
  <c r="AS183" i="25"/>
  <c r="AS191" i="25"/>
  <c r="AS177" i="25"/>
  <c r="AS189" i="25"/>
  <c r="AS195" i="25"/>
  <c r="BC215" i="25"/>
  <c r="BO215" i="25"/>
  <c r="CA215" i="25"/>
  <c r="CM215" i="25"/>
  <c r="CY215" i="25"/>
  <c r="AZ215" i="25"/>
  <c r="BL215" i="25"/>
  <c r="BX215" i="25"/>
  <c r="CJ215" i="25"/>
  <c r="CV215" i="25"/>
  <c r="AW215" i="25"/>
  <c r="BI215" i="25"/>
  <c r="BU215" i="25"/>
  <c r="CG215" i="25"/>
  <c r="CS215" i="25"/>
  <c r="BF215" i="25"/>
  <c r="CD215" i="25"/>
  <c r="DB215" i="25"/>
  <c r="BR215" i="25"/>
  <c r="CP215" i="25"/>
  <c r="AW226" i="25"/>
  <c r="BI226" i="25"/>
  <c r="BU226" i="25"/>
  <c r="CG226" i="25"/>
  <c r="CS226" i="25"/>
  <c r="BF226" i="25"/>
  <c r="BR226" i="25"/>
  <c r="CD226" i="25"/>
  <c r="CP226" i="25"/>
  <c r="DB226" i="25"/>
  <c r="BC226" i="25"/>
  <c r="BO226" i="25"/>
  <c r="CA226" i="25"/>
  <c r="CM226" i="25"/>
  <c r="CY226" i="25"/>
  <c r="AZ226" i="25"/>
  <c r="BX226" i="25"/>
  <c r="CV226" i="25"/>
  <c r="BL226" i="25"/>
  <c r="CJ226" i="25"/>
  <c r="AW246" i="25"/>
  <c r="BI246" i="25"/>
  <c r="BU246" i="25"/>
  <c r="CG246" i="25"/>
  <c r="CS246" i="25"/>
  <c r="BF246" i="25"/>
  <c r="BR246" i="25"/>
  <c r="CD246" i="25"/>
  <c r="CP246" i="25"/>
  <c r="DB246" i="25"/>
  <c r="BC246" i="25"/>
  <c r="BO246" i="25"/>
  <c r="CA246" i="25"/>
  <c r="CM246" i="25"/>
  <c r="CY246" i="25"/>
  <c r="AZ246" i="25"/>
  <c r="BX246" i="25"/>
  <c r="CV246" i="25"/>
  <c r="BL246" i="25"/>
  <c r="CJ246" i="25"/>
  <c r="BC247" i="25"/>
  <c r="BO247" i="25"/>
  <c r="CA247" i="25"/>
  <c r="CM247" i="25"/>
  <c r="CY247" i="25"/>
  <c r="AZ247" i="25"/>
  <c r="BL247" i="25"/>
  <c r="BX247" i="25"/>
  <c r="CJ247" i="25"/>
  <c r="CV247" i="25"/>
  <c r="AW247" i="25"/>
  <c r="BI247" i="25"/>
  <c r="BU247" i="25"/>
  <c r="CG247" i="25"/>
  <c r="CS247" i="25"/>
  <c r="BR247" i="25"/>
  <c r="CP247" i="25"/>
  <c r="BF247" i="25"/>
  <c r="CD247" i="25"/>
  <c r="DB247" i="25"/>
  <c r="AS174" i="25"/>
  <c r="AS203" i="25"/>
  <c r="AW238" i="25"/>
  <c r="BI238" i="25"/>
  <c r="BU238" i="25"/>
  <c r="CG238" i="25"/>
  <c r="CS238" i="25"/>
  <c r="BF238" i="25"/>
  <c r="BR238" i="25"/>
  <c r="CD238" i="25"/>
  <c r="CP238" i="25"/>
  <c r="DB238" i="25"/>
  <c r="BC238" i="25"/>
  <c r="BO238" i="25"/>
  <c r="CA238" i="25"/>
  <c r="CM238" i="25"/>
  <c r="CY238" i="25"/>
  <c r="CV238" i="25"/>
  <c r="BL238" i="25"/>
  <c r="CJ238" i="25"/>
  <c r="AZ238" i="25"/>
  <c r="BX238" i="25"/>
  <c r="AW222" i="25"/>
  <c r="BI222" i="25"/>
  <c r="BU222" i="25"/>
  <c r="CG222" i="25"/>
  <c r="CS222" i="25"/>
  <c r="BF222" i="25"/>
  <c r="BR222" i="25"/>
  <c r="CD222" i="25"/>
  <c r="CP222" i="25"/>
  <c r="DB222" i="25"/>
  <c r="BC222" i="25"/>
  <c r="BO222" i="25"/>
  <c r="CA222" i="25"/>
  <c r="CM222" i="25"/>
  <c r="CY222" i="25"/>
  <c r="BL222" i="25"/>
  <c r="AZ222" i="25"/>
  <c r="BX222" i="25"/>
  <c r="CV222" i="25"/>
  <c r="CJ222" i="25"/>
  <c r="BC235" i="25"/>
  <c r="BO235" i="25"/>
  <c r="CA235" i="25"/>
  <c r="CM235" i="25"/>
  <c r="CY235" i="25"/>
  <c r="AZ235" i="25"/>
  <c r="BL235" i="25"/>
  <c r="BX235" i="25"/>
  <c r="CJ235" i="25"/>
  <c r="CV235" i="25"/>
  <c r="AW235" i="25"/>
  <c r="BI235" i="25"/>
  <c r="BU235" i="25"/>
  <c r="CG235" i="25"/>
  <c r="CS235" i="25"/>
  <c r="BR235" i="25"/>
  <c r="CP235" i="25"/>
  <c r="BF235" i="25"/>
  <c r="CD235" i="25"/>
  <c r="DB235" i="25"/>
  <c r="BC255" i="25"/>
  <c r="BO255" i="25"/>
  <c r="CA255" i="25"/>
  <c r="CM255" i="25"/>
  <c r="CY255" i="25"/>
  <c r="AZ255" i="25"/>
  <c r="BL255" i="25"/>
  <c r="BX255" i="25"/>
  <c r="CJ255" i="25"/>
  <c r="CV255" i="25"/>
  <c r="AW255" i="25"/>
  <c r="BI255" i="25"/>
  <c r="BU255" i="25"/>
  <c r="CG255" i="25"/>
  <c r="CS255" i="25"/>
  <c r="BR255" i="25"/>
  <c r="CP255" i="25"/>
  <c r="BF255" i="25"/>
  <c r="CD255" i="25"/>
  <c r="DB255" i="25"/>
  <c r="BC259" i="25"/>
  <c r="BO259" i="25"/>
  <c r="CA259" i="25"/>
  <c r="CM259" i="25"/>
  <c r="CY259" i="25"/>
  <c r="AZ259" i="25"/>
  <c r="BL259" i="25"/>
  <c r="BX259" i="25"/>
  <c r="CJ259" i="25"/>
  <c r="CV259" i="25"/>
  <c r="AW259" i="25"/>
  <c r="AS259" i="25" s="1"/>
  <c r="BI259" i="25"/>
  <c r="BU259" i="25"/>
  <c r="CG259" i="25"/>
  <c r="CS259" i="25"/>
  <c r="BR259" i="25"/>
  <c r="CP259" i="25"/>
  <c r="BF259" i="25"/>
  <c r="CD259" i="25"/>
  <c r="DB259" i="25"/>
  <c r="BC251" i="25"/>
  <c r="BO251" i="25"/>
  <c r="CA251" i="25"/>
  <c r="CM251" i="25"/>
  <c r="CY251" i="25"/>
  <c r="AZ251" i="25"/>
  <c r="BL251" i="25"/>
  <c r="BX251" i="25"/>
  <c r="CJ251" i="25"/>
  <c r="CV251" i="25"/>
  <c r="AW251" i="25"/>
  <c r="BI251" i="25"/>
  <c r="BU251" i="25"/>
  <c r="CG251" i="25"/>
  <c r="CS251" i="25"/>
  <c r="BR251" i="25"/>
  <c r="CP251" i="25"/>
  <c r="BF251" i="25"/>
  <c r="CD251" i="25"/>
  <c r="DB251" i="25"/>
  <c r="AS206" i="25"/>
  <c r="AS230" i="25"/>
  <c r="BC217" i="25"/>
  <c r="BO217" i="25"/>
  <c r="CA217" i="25"/>
  <c r="CM217" i="25"/>
  <c r="CY217" i="25"/>
  <c r="AZ217" i="25"/>
  <c r="BL217" i="25"/>
  <c r="BX217" i="25"/>
  <c r="CJ217" i="25"/>
  <c r="CV217" i="25"/>
  <c r="AW217" i="25"/>
  <c r="BI217" i="25"/>
  <c r="BU217" i="25"/>
  <c r="CG217" i="25"/>
  <c r="CS217" i="25"/>
  <c r="BR217" i="25"/>
  <c r="CP217" i="25"/>
  <c r="DB217" i="25"/>
  <c r="BF217" i="25"/>
  <c r="CD217" i="25"/>
  <c r="BC233" i="25"/>
  <c r="BO233" i="25"/>
  <c r="CA233" i="25"/>
  <c r="CM233" i="25"/>
  <c r="CY233" i="25"/>
  <c r="AZ233" i="25"/>
  <c r="BL233" i="25"/>
  <c r="BX233" i="25"/>
  <c r="CJ233" i="25"/>
  <c r="CV233" i="25"/>
  <c r="AW233" i="25"/>
  <c r="BI233" i="25"/>
  <c r="BU233" i="25"/>
  <c r="CG233" i="25"/>
  <c r="CS233" i="25"/>
  <c r="BF233" i="25"/>
  <c r="CD233" i="25"/>
  <c r="BR233" i="25"/>
  <c r="CP233" i="25"/>
  <c r="DB233" i="25"/>
  <c r="AW248" i="25"/>
  <c r="BI248" i="25"/>
  <c r="BU248" i="25"/>
  <c r="CG248" i="25"/>
  <c r="CS248" i="25"/>
  <c r="BF248" i="25"/>
  <c r="BR248" i="25"/>
  <c r="CD248" i="25"/>
  <c r="CP248" i="25"/>
  <c r="DB248" i="25"/>
  <c r="BC248" i="25"/>
  <c r="BO248" i="25"/>
  <c r="CA248" i="25"/>
  <c r="CM248" i="25"/>
  <c r="CY248" i="25"/>
  <c r="BL248" i="25"/>
  <c r="CJ248" i="25"/>
  <c r="BX248" i="25"/>
  <c r="CV248" i="25"/>
  <c r="AZ248" i="25"/>
  <c r="AS212" i="25"/>
  <c r="AS218" i="25"/>
  <c r="E4" i="21"/>
  <c r="AS235" i="25" l="1"/>
  <c r="AS222" i="25"/>
  <c r="U174" i="25"/>
  <c r="AS247" i="25"/>
  <c r="AS246" i="25"/>
  <c r="U191" i="25"/>
  <c r="U140" i="25"/>
  <c r="U160" i="25"/>
  <c r="U262" i="25"/>
  <c r="U243" i="25"/>
  <c r="AS254" i="25"/>
  <c r="U179" i="25"/>
  <c r="AS192" i="25"/>
  <c r="AS184" i="25"/>
  <c r="U141" i="25"/>
  <c r="U210" i="25"/>
  <c r="U158" i="25"/>
  <c r="U122" i="25"/>
  <c r="U256" i="25"/>
  <c r="AS240" i="25"/>
  <c r="AS213" i="25"/>
  <c r="AS197" i="25"/>
  <c r="AS260" i="25"/>
  <c r="AS199" i="25"/>
  <c r="AS198" i="25"/>
  <c r="U172" i="25"/>
  <c r="AS190" i="25"/>
  <c r="AS182" i="25"/>
  <c r="U150" i="25"/>
  <c r="AS159" i="25"/>
  <c r="AS151" i="25"/>
  <c r="U113" i="25"/>
  <c r="U84" i="25"/>
  <c r="U73" i="25"/>
  <c r="U60" i="25"/>
  <c r="U116" i="25"/>
  <c r="AS139" i="25"/>
  <c r="AS131" i="25"/>
  <c r="U98" i="25"/>
  <c r="AS99" i="25"/>
  <c r="U82" i="25"/>
  <c r="U67" i="25"/>
  <c r="AS36" i="25"/>
  <c r="U26" i="25"/>
  <c r="AS13" i="25"/>
  <c r="BL9" i="25"/>
  <c r="CY9" i="25"/>
  <c r="BC9" i="25"/>
  <c r="BR9" i="25"/>
  <c r="CS9" i="25"/>
  <c r="AS12" i="25"/>
  <c r="AW9" i="25"/>
  <c r="U130" i="25"/>
  <c r="U87" i="25"/>
  <c r="U65" i="25"/>
  <c r="U51" i="25"/>
  <c r="U134" i="25"/>
  <c r="U119" i="25"/>
  <c r="AS105" i="25"/>
  <c r="AS97" i="25"/>
  <c r="AS91" i="25"/>
  <c r="U72" i="25"/>
  <c r="U52" i="25"/>
  <c r="U40" i="25"/>
  <c r="AS38" i="25"/>
  <c r="AS233" i="25"/>
  <c r="U259" i="25"/>
  <c r="U218" i="25"/>
  <c r="U230" i="25"/>
  <c r="U195" i="25"/>
  <c r="U183" i="25"/>
  <c r="AS168" i="25"/>
  <c r="U152" i="25"/>
  <c r="U200" i="25"/>
  <c r="AS219" i="25"/>
  <c r="U178" i="25"/>
  <c r="AS239" i="25"/>
  <c r="AS232" i="25"/>
  <c r="AS229" i="25"/>
  <c r="AS214" i="25"/>
  <c r="U162" i="25"/>
  <c r="U146" i="25"/>
  <c r="AS161" i="25"/>
  <c r="AS153" i="25"/>
  <c r="U117" i="25"/>
  <c r="U207" i="25"/>
  <c r="AS252" i="25"/>
  <c r="AS211" i="25"/>
  <c r="AS228" i="25"/>
  <c r="U156" i="25"/>
  <c r="U118" i="25"/>
  <c r="U204" i="25"/>
  <c r="U231" i="25"/>
  <c r="AS227" i="25"/>
  <c r="U187" i="25"/>
  <c r="U154" i="25"/>
  <c r="U142" i="25"/>
  <c r="U138" i="25"/>
  <c r="U80" i="25"/>
  <c r="AS78" i="25"/>
  <c r="U54" i="25"/>
  <c r="AS33" i="25"/>
  <c r="AS27" i="25"/>
  <c r="AS31" i="25"/>
  <c r="AS30" i="25"/>
  <c r="U16" i="25"/>
  <c r="U123" i="25"/>
  <c r="AS77" i="25"/>
  <c r="U71" i="25"/>
  <c r="AS63" i="25"/>
  <c r="CV9" i="25"/>
  <c r="CM9" i="25"/>
  <c r="DB9" i="25"/>
  <c r="BF9" i="25"/>
  <c r="CG9" i="25"/>
  <c r="U128" i="25"/>
  <c r="U100" i="25"/>
  <c r="U88" i="25"/>
  <c r="U81" i="25"/>
  <c r="U64" i="25"/>
  <c r="U39" i="25"/>
  <c r="U124" i="25"/>
  <c r="U111" i="25"/>
  <c r="AS133" i="25"/>
  <c r="AS125" i="25"/>
  <c r="U86" i="25"/>
  <c r="U66" i="25"/>
  <c r="AS61" i="25"/>
  <c r="U53" i="25"/>
  <c r="U34" i="25"/>
  <c r="AS20" i="25"/>
  <c r="AS248" i="25"/>
  <c r="U212" i="25"/>
  <c r="AS217" i="25"/>
  <c r="U206" i="25"/>
  <c r="AS251" i="25"/>
  <c r="AS255" i="25"/>
  <c r="AS238" i="25"/>
  <c r="AS226" i="25"/>
  <c r="AS215" i="25"/>
  <c r="U189" i="25"/>
  <c r="U173" i="25"/>
  <c r="U144" i="25"/>
  <c r="U242" i="25"/>
  <c r="AS234" i="25"/>
  <c r="U193" i="25"/>
  <c r="AS196" i="25"/>
  <c r="AS188" i="25"/>
  <c r="AS180" i="25"/>
  <c r="U120" i="25"/>
  <c r="U258" i="25"/>
  <c r="U261" i="25"/>
  <c r="U171" i="25"/>
  <c r="U148" i="25"/>
  <c r="U121" i="25"/>
  <c r="U253" i="25"/>
  <c r="AS224" i="25"/>
  <c r="AS221" i="25"/>
  <c r="AS205" i="25"/>
  <c r="U257" i="25"/>
  <c r="AS241" i="25"/>
  <c r="U181" i="25"/>
  <c r="AS194" i="25"/>
  <c r="AS186" i="25"/>
  <c r="U145" i="25"/>
  <c r="U132" i="25"/>
  <c r="AS167" i="25"/>
  <c r="AS163" i="25"/>
  <c r="AS155" i="25"/>
  <c r="AS147" i="25"/>
  <c r="U94" i="25"/>
  <c r="AS92" i="25"/>
  <c r="AS76" i="25"/>
  <c r="U49" i="25"/>
  <c r="AS45" i="25"/>
  <c r="AS37" i="25"/>
  <c r="U115" i="25"/>
  <c r="AS135" i="25"/>
  <c r="AS127" i="25"/>
  <c r="AS103" i="25"/>
  <c r="AS95" i="25"/>
  <c r="AS23" i="25"/>
  <c r="AS22" i="25"/>
  <c r="AS21" i="25"/>
  <c r="BX9" i="25"/>
  <c r="CA9" i="25"/>
  <c r="CP9" i="25"/>
  <c r="BU9" i="25"/>
  <c r="U32" i="25"/>
  <c r="U109" i="25"/>
  <c r="U102" i="25"/>
  <c r="U85" i="25"/>
  <c r="U70" i="25"/>
  <c r="U55" i="25"/>
  <c r="U44" i="25"/>
  <c r="AS35" i="25"/>
  <c r="AS18" i="25"/>
  <c r="U112" i="25"/>
  <c r="U96" i="25"/>
  <c r="AS101" i="25"/>
  <c r="AS93" i="25"/>
  <c r="U83" i="25"/>
  <c r="U57" i="25"/>
  <c r="U58" i="25"/>
  <c r="AS48" i="25"/>
  <c r="U203" i="25"/>
  <c r="U177" i="25"/>
  <c r="U166" i="25"/>
  <c r="U143" i="25"/>
  <c r="U114" i="25"/>
  <c r="U176" i="25"/>
  <c r="AS237" i="25"/>
  <c r="AS208" i="25"/>
  <c r="AS201" i="25"/>
  <c r="U185" i="25"/>
  <c r="AS165" i="25"/>
  <c r="AS157" i="25"/>
  <c r="AS149" i="25"/>
  <c r="U216" i="25"/>
  <c r="AS250" i="25"/>
  <c r="AS245" i="25"/>
  <c r="AS244" i="25"/>
  <c r="AS225" i="25"/>
  <c r="U170" i="25"/>
  <c r="AS249" i="25"/>
  <c r="AS236" i="25"/>
  <c r="AS220" i="25"/>
  <c r="AS209" i="25"/>
  <c r="U169" i="25"/>
  <c r="U126" i="25"/>
  <c r="U202" i="25"/>
  <c r="AS223" i="25"/>
  <c r="U175" i="25"/>
  <c r="U164" i="25"/>
  <c r="U108" i="25"/>
  <c r="U106" i="25"/>
  <c r="U68" i="25"/>
  <c r="U50" i="25"/>
  <c r="AS46" i="25"/>
  <c r="U25" i="25"/>
  <c r="U28" i="25"/>
  <c r="AS24" i="25"/>
  <c r="U104" i="25"/>
  <c r="U79" i="25"/>
  <c r="U75" i="25"/>
  <c r="AS62" i="25"/>
  <c r="AS47" i="25"/>
  <c r="U41" i="25"/>
  <c r="AS29" i="25"/>
  <c r="AS19" i="25"/>
  <c r="CJ9" i="25"/>
  <c r="AZ9" i="25"/>
  <c r="BO9" i="25"/>
  <c r="CD9" i="25"/>
  <c r="BI9" i="25"/>
  <c r="U136" i="25"/>
  <c r="AS107" i="25"/>
  <c r="AS90" i="25"/>
  <c r="U89" i="25"/>
  <c r="U69" i="25"/>
  <c r="U59" i="25"/>
  <c r="U42" i="25"/>
  <c r="AS15" i="25"/>
  <c r="AS14" i="25"/>
  <c r="U110" i="25"/>
  <c r="AS137" i="25"/>
  <c r="AS129" i="25"/>
  <c r="U74" i="25"/>
  <c r="U56" i="25"/>
  <c r="U43" i="25"/>
  <c r="AS17" i="25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29" i="13"/>
  <c r="J30" i="13"/>
  <c r="J31" i="13"/>
  <c r="J32" i="13"/>
  <c r="J33" i="13"/>
  <c r="J34" i="13"/>
  <c r="J35" i="13"/>
  <c r="J36" i="13"/>
  <c r="J37" i="13"/>
  <c r="J38" i="13"/>
  <c r="J39" i="13"/>
  <c r="J40" i="13"/>
  <c r="J41" i="13"/>
  <c r="J42" i="13"/>
  <c r="J43" i="13"/>
  <c r="J44" i="13"/>
  <c r="J45" i="13"/>
  <c r="J46" i="13"/>
  <c r="J47" i="13"/>
  <c r="J48" i="13"/>
  <c r="J49" i="13"/>
  <c r="J50" i="13"/>
  <c r="J51" i="13"/>
  <c r="J52" i="13"/>
  <c r="J53" i="13"/>
  <c r="J54" i="13"/>
  <c r="J55" i="13"/>
  <c r="J56" i="13"/>
  <c r="J57" i="13"/>
  <c r="J58" i="13"/>
  <c r="J59" i="13"/>
  <c r="J60" i="13"/>
  <c r="J61" i="13"/>
  <c r="J62" i="13"/>
  <c r="J63" i="13"/>
  <c r="J64" i="13"/>
  <c r="J65" i="13"/>
  <c r="J66" i="13"/>
  <c r="J67" i="13"/>
  <c r="J68" i="13"/>
  <c r="J69" i="13"/>
  <c r="J70" i="13"/>
  <c r="J71" i="13"/>
  <c r="J72" i="13"/>
  <c r="J73" i="13"/>
  <c r="J74" i="13"/>
  <c r="J75" i="13"/>
  <c r="J76" i="13"/>
  <c r="J77" i="13"/>
  <c r="J78" i="13"/>
  <c r="J79" i="13"/>
  <c r="J80" i="13"/>
  <c r="J81" i="13"/>
  <c r="J82" i="13"/>
  <c r="J83" i="13"/>
  <c r="J84" i="13"/>
  <c r="J85" i="13"/>
  <c r="J86" i="13"/>
  <c r="J87" i="13"/>
  <c r="J88" i="13"/>
  <c r="J89" i="13"/>
  <c r="J90" i="13"/>
  <c r="J91" i="13"/>
  <c r="J92" i="13"/>
  <c r="J93" i="13"/>
  <c r="J94" i="13"/>
  <c r="J95" i="13"/>
  <c r="J96" i="13"/>
  <c r="J97" i="13"/>
  <c r="J98" i="13"/>
  <c r="J99" i="13"/>
  <c r="J100" i="13"/>
  <c r="J101" i="13"/>
  <c r="J102" i="13"/>
  <c r="J103" i="13"/>
  <c r="J104" i="13"/>
  <c r="J105" i="13"/>
  <c r="J106" i="13"/>
  <c r="J107" i="13"/>
  <c r="J108" i="13"/>
  <c r="J109" i="13"/>
  <c r="J110" i="13"/>
  <c r="J111" i="13"/>
  <c r="J112" i="13"/>
  <c r="J113" i="13"/>
  <c r="J114" i="13"/>
  <c r="J115" i="13"/>
  <c r="J116" i="13"/>
  <c r="J117" i="13"/>
  <c r="J118" i="13"/>
  <c r="J119" i="13"/>
  <c r="J120" i="13"/>
  <c r="J121" i="13"/>
  <c r="J122" i="13"/>
  <c r="J123" i="13"/>
  <c r="J124" i="13"/>
  <c r="J125" i="13"/>
  <c r="J126" i="13"/>
  <c r="J127" i="13"/>
  <c r="J128" i="13"/>
  <c r="J129" i="13"/>
  <c r="J130" i="13"/>
  <c r="J131" i="13"/>
  <c r="J132" i="13"/>
  <c r="J133" i="13"/>
  <c r="J134" i="13"/>
  <c r="J135" i="13"/>
  <c r="J136" i="13"/>
  <c r="J137" i="13"/>
  <c r="J138" i="13"/>
  <c r="J139" i="13"/>
  <c r="J140" i="13"/>
  <c r="J141" i="13"/>
  <c r="J142" i="13"/>
  <c r="J143" i="13"/>
  <c r="J144" i="13"/>
  <c r="J145" i="13"/>
  <c r="J146" i="13"/>
  <c r="J147" i="13"/>
  <c r="J148" i="13"/>
  <c r="J149" i="13"/>
  <c r="J150" i="13"/>
  <c r="J151" i="13"/>
  <c r="J152" i="13"/>
  <c r="J153" i="13"/>
  <c r="J154" i="13"/>
  <c r="J155" i="13"/>
  <c r="J156" i="13"/>
  <c r="J157" i="13"/>
  <c r="J158" i="13"/>
  <c r="J159" i="13"/>
  <c r="J160" i="13"/>
  <c r="J161" i="13"/>
  <c r="J162" i="13"/>
  <c r="J163" i="13"/>
  <c r="J164" i="13"/>
  <c r="J165" i="13"/>
  <c r="J166" i="13"/>
  <c r="J167" i="13"/>
  <c r="J168" i="13"/>
  <c r="J169" i="13"/>
  <c r="J170" i="13"/>
  <c r="J171" i="13"/>
  <c r="J172" i="13"/>
  <c r="J173" i="13"/>
  <c r="J174" i="13"/>
  <c r="J175" i="13"/>
  <c r="J176" i="13"/>
  <c r="J177" i="13"/>
  <c r="J178" i="13"/>
  <c r="J179" i="13"/>
  <c r="J180" i="13"/>
  <c r="J181" i="13"/>
  <c r="J182" i="13"/>
  <c r="J183" i="13"/>
  <c r="J184" i="13"/>
  <c r="J185" i="13"/>
  <c r="J186" i="13"/>
  <c r="J187" i="13"/>
  <c r="J188" i="13"/>
  <c r="J189" i="13"/>
  <c r="J190" i="13"/>
  <c r="J191" i="13"/>
  <c r="J192" i="13"/>
  <c r="J193" i="13"/>
  <c r="J194" i="13"/>
  <c r="J195" i="13"/>
  <c r="J196" i="13"/>
  <c r="J197" i="13"/>
  <c r="J198" i="13"/>
  <c r="J199" i="13"/>
  <c r="J200" i="13"/>
  <c r="J201" i="13"/>
  <c r="J202" i="13"/>
  <c r="J203" i="13"/>
  <c r="J204" i="13"/>
  <c r="J205" i="13"/>
  <c r="J206" i="13"/>
  <c r="J207" i="13"/>
  <c r="J208" i="13"/>
  <c r="J209" i="13"/>
  <c r="J210" i="13"/>
  <c r="J211" i="13"/>
  <c r="J212" i="13"/>
  <c r="J213" i="13"/>
  <c r="J214" i="13"/>
  <c r="J215" i="13"/>
  <c r="J216" i="13"/>
  <c r="J217" i="13"/>
  <c r="J218" i="13"/>
  <c r="J219" i="13"/>
  <c r="J220" i="13"/>
  <c r="J221" i="13"/>
  <c r="J222" i="13"/>
  <c r="J223" i="13"/>
  <c r="J224" i="13"/>
  <c r="J225" i="13"/>
  <c r="J226" i="13"/>
  <c r="J227" i="13"/>
  <c r="J228" i="13"/>
  <c r="J229" i="13"/>
  <c r="J230" i="13"/>
  <c r="J231" i="13"/>
  <c r="J232" i="13"/>
  <c r="J233" i="13"/>
  <c r="J234" i="13"/>
  <c r="J235" i="13"/>
  <c r="J236" i="13"/>
  <c r="J237" i="13"/>
  <c r="J238" i="13"/>
  <c r="J239" i="13"/>
  <c r="J240" i="13"/>
  <c r="J241" i="13"/>
  <c r="J242" i="13"/>
  <c r="J243" i="13"/>
  <c r="J244" i="13"/>
  <c r="J245" i="13"/>
  <c r="J246" i="13"/>
  <c r="J247" i="13"/>
  <c r="J248" i="13"/>
  <c r="J249" i="13"/>
  <c r="J250" i="13"/>
  <c r="J251" i="13"/>
  <c r="J252" i="13"/>
  <c r="J253" i="13"/>
  <c r="J254" i="13"/>
  <c r="J255" i="13"/>
  <c r="J256" i="13"/>
  <c r="J257" i="13"/>
  <c r="J258" i="13"/>
  <c r="J259" i="13"/>
  <c r="J260" i="13"/>
  <c r="J261" i="13"/>
  <c r="J12" i="13"/>
  <c r="U90" i="25" l="1"/>
  <c r="BA162" i="25"/>
  <c r="B162" i="25" s="1"/>
  <c r="U62" i="25"/>
  <c r="U209" i="25"/>
  <c r="U244" i="25"/>
  <c r="U165" i="25"/>
  <c r="U201" i="25"/>
  <c r="U101" i="25"/>
  <c r="U35" i="25"/>
  <c r="U23" i="25"/>
  <c r="U135" i="25"/>
  <c r="U37" i="25"/>
  <c r="U163" i="25"/>
  <c r="U186" i="25"/>
  <c r="U215" i="25"/>
  <c r="U251" i="25"/>
  <c r="U217" i="25"/>
  <c r="U248" i="25"/>
  <c r="U61" i="25"/>
  <c r="U133" i="25"/>
  <c r="U31" i="25"/>
  <c r="U211" i="25"/>
  <c r="U153" i="25"/>
  <c r="U214" i="25"/>
  <c r="U233" i="25"/>
  <c r="U97" i="25"/>
  <c r="BD47" i="25"/>
  <c r="C47" i="25" s="1"/>
  <c r="BD167" i="25"/>
  <c r="C167" i="25" s="1"/>
  <c r="U159" i="25"/>
  <c r="U182" i="25"/>
  <c r="U197" i="25"/>
  <c r="U247" i="25"/>
  <c r="U222" i="25"/>
  <c r="U129" i="25"/>
  <c r="U107" i="25"/>
  <c r="U220" i="25"/>
  <c r="U245" i="25"/>
  <c r="U208" i="25"/>
  <c r="U48" i="25"/>
  <c r="U95" i="25"/>
  <c r="U45" i="25"/>
  <c r="U76" i="25"/>
  <c r="U167" i="25"/>
  <c r="U194" i="25"/>
  <c r="U241" i="25"/>
  <c r="U205" i="25"/>
  <c r="U180" i="25"/>
  <c r="U226" i="25"/>
  <c r="U20" i="25"/>
  <c r="U27" i="25"/>
  <c r="U252" i="25"/>
  <c r="U161" i="25"/>
  <c r="U229" i="25"/>
  <c r="U38" i="25"/>
  <c r="U105" i="25"/>
  <c r="AS9" i="25"/>
  <c r="U12" i="25"/>
  <c r="U190" i="25"/>
  <c r="U198" i="25"/>
  <c r="U213" i="25"/>
  <c r="U235" i="25"/>
  <c r="U137" i="25"/>
  <c r="U14" i="25"/>
  <c r="U19" i="25"/>
  <c r="U24" i="25"/>
  <c r="U223" i="25"/>
  <c r="U236" i="25"/>
  <c r="U250" i="25"/>
  <c r="U149" i="25"/>
  <c r="U237" i="25"/>
  <c r="U21" i="25"/>
  <c r="U103" i="25"/>
  <c r="U92" i="25"/>
  <c r="U147" i="25"/>
  <c r="U221" i="25"/>
  <c r="U188" i="25"/>
  <c r="U238" i="25"/>
  <c r="BG47" i="25"/>
  <c r="D47" i="25" s="1"/>
  <c r="BG167" i="25"/>
  <c r="D167" i="25" s="1"/>
  <c r="U63" i="25"/>
  <c r="U77" i="25"/>
  <c r="U33" i="25"/>
  <c r="U78" i="25"/>
  <c r="U227" i="25"/>
  <c r="U232" i="25"/>
  <c r="U168" i="25"/>
  <c r="U99" i="25"/>
  <c r="U131" i="25"/>
  <c r="U199" i="25"/>
  <c r="U240" i="25"/>
  <c r="U184" i="25"/>
  <c r="U17" i="25"/>
  <c r="U15" i="25"/>
  <c r="U29" i="25"/>
  <c r="U47" i="25"/>
  <c r="U46" i="25"/>
  <c r="U249" i="25"/>
  <c r="U225" i="25"/>
  <c r="U157" i="25"/>
  <c r="U93" i="25"/>
  <c r="U18" i="25"/>
  <c r="U22" i="25"/>
  <c r="U127" i="25"/>
  <c r="U155" i="25"/>
  <c r="U224" i="25"/>
  <c r="U196" i="25"/>
  <c r="U234" i="25"/>
  <c r="U255" i="25"/>
  <c r="U125" i="25"/>
  <c r="U30" i="25"/>
  <c r="U228" i="25"/>
  <c r="U239" i="25"/>
  <c r="U219" i="25"/>
  <c r="U91" i="25"/>
  <c r="U13" i="25"/>
  <c r="U36" i="25"/>
  <c r="U139" i="25"/>
  <c r="U151" i="25"/>
  <c r="U260" i="25"/>
  <c r="U192" i="25"/>
  <c r="U254" i="25"/>
  <c r="U246" i="25"/>
  <c r="G3" i="5"/>
  <c r="C6" i="20" l="1"/>
  <c r="G22" i="5"/>
  <c r="G21" i="5"/>
  <c r="G20" i="5"/>
  <c r="G19" i="5"/>
  <c r="G18" i="5"/>
  <c r="C22" i="5"/>
  <c r="C21" i="5"/>
  <c r="C20" i="5"/>
  <c r="C19" i="5"/>
  <c r="C18" i="5"/>
  <c r="C4" i="20"/>
  <c r="G4" i="5"/>
  <c r="O7" i="13"/>
  <c r="X4" i="14" l="1"/>
  <c r="W4" i="14"/>
  <c r="V4" i="14"/>
  <c r="U4" i="14"/>
  <c r="T4" i="14"/>
  <c r="BA10" i="13"/>
  <c r="AY10" i="13"/>
  <c r="AW10" i="13"/>
  <c r="B253" i="20" l="1"/>
  <c r="B200" i="17" l="1"/>
  <c r="C200" i="17"/>
  <c r="D200" i="17"/>
  <c r="E200" i="17"/>
  <c r="F200" i="17"/>
  <c r="G200" i="17"/>
  <c r="H200" i="17"/>
  <c r="B201" i="17"/>
  <c r="C201" i="17"/>
  <c r="D201" i="17"/>
  <c r="E201" i="17"/>
  <c r="F201" i="17"/>
  <c r="G201" i="17"/>
  <c r="H201" i="17"/>
  <c r="B202" i="17"/>
  <c r="C202" i="17"/>
  <c r="D202" i="17"/>
  <c r="E202" i="17"/>
  <c r="F202" i="17"/>
  <c r="G202" i="17"/>
  <c r="H202" i="17"/>
  <c r="B203" i="17"/>
  <c r="C203" i="17"/>
  <c r="D203" i="17"/>
  <c r="E203" i="17"/>
  <c r="F203" i="17"/>
  <c r="G203" i="17"/>
  <c r="H203" i="17"/>
  <c r="B204" i="17"/>
  <c r="C204" i="17"/>
  <c r="D204" i="17"/>
  <c r="E204" i="17"/>
  <c r="F204" i="17"/>
  <c r="G204" i="17"/>
  <c r="H204" i="17"/>
  <c r="B205" i="17"/>
  <c r="C205" i="17"/>
  <c r="D205" i="17"/>
  <c r="E205" i="17"/>
  <c r="F205" i="17"/>
  <c r="G205" i="17"/>
  <c r="H205" i="17"/>
  <c r="B206" i="17"/>
  <c r="C206" i="17"/>
  <c r="D206" i="17"/>
  <c r="E206" i="17"/>
  <c r="F206" i="17"/>
  <c r="G206" i="17"/>
  <c r="H206" i="17"/>
  <c r="B207" i="17"/>
  <c r="C207" i="17"/>
  <c r="D207" i="17"/>
  <c r="E207" i="17"/>
  <c r="F207" i="17"/>
  <c r="G207" i="17"/>
  <c r="H207" i="17"/>
  <c r="B208" i="17"/>
  <c r="C208" i="17"/>
  <c r="D208" i="17"/>
  <c r="E208" i="17"/>
  <c r="F208" i="17"/>
  <c r="G208" i="17"/>
  <c r="H208" i="17"/>
  <c r="B209" i="17"/>
  <c r="C209" i="17"/>
  <c r="D209" i="17"/>
  <c r="E209" i="17"/>
  <c r="F209" i="17"/>
  <c r="G209" i="17"/>
  <c r="H209" i="17"/>
  <c r="B210" i="17"/>
  <c r="C210" i="17"/>
  <c r="D210" i="17"/>
  <c r="E210" i="17"/>
  <c r="F210" i="17"/>
  <c r="G210" i="17"/>
  <c r="H210" i="17"/>
  <c r="B211" i="17"/>
  <c r="C211" i="17"/>
  <c r="D211" i="17"/>
  <c r="E211" i="17"/>
  <c r="F211" i="17"/>
  <c r="G211" i="17"/>
  <c r="H211" i="17"/>
  <c r="B212" i="17"/>
  <c r="C212" i="17"/>
  <c r="D212" i="17"/>
  <c r="E212" i="17"/>
  <c r="F212" i="17"/>
  <c r="G212" i="17"/>
  <c r="H212" i="17"/>
  <c r="B213" i="17"/>
  <c r="C213" i="17"/>
  <c r="D213" i="17"/>
  <c r="E213" i="17"/>
  <c r="F213" i="17"/>
  <c r="G213" i="17"/>
  <c r="H213" i="17"/>
  <c r="B214" i="17"/>
  <c r="C214" i="17"/>
  <c r="D214" i="17"/>
  <c r="E214" i="17"/>
  <c r="F214" i="17"/>
  <c r="G214" i="17"/>
  <c r="H214" i="17"/>
  <c r="B215" i="17"/>
  <c r="C215" i="17"/>
  <c r="D215" i="17"/>
  <c r="E215" i="17"/>
  <c r="F215" i="17"/>
  <c r="G215" i="17"/>
  <c r="H215" i="17"/>
  <c r="B216" i="17"/>
  <c r="C216" i="17"/>
  <c r="D216" i="17"/>
  <c r="E216" i="17"/>
  <c r="F216" i="17"/>
  <c r="G216" i="17"/>
  <c r="H216" i="17"/>
  <c r="B217" i="17"/>
  <c r="C217" i="17"/>
  <c r="D217" i="17"/>
  <c r="E217" i="17"/>
  <c r="F217" i="17"/>
  <c r="G217" i="17"/>
  <c r="H217" i="17"/>
  <c r="B218" i="17"/>
  <c r="C218" i="17"/>
  <c r="D218" i="17"/>
  <c r="E218" i="17"/>
  <c r="F218" i="17"/>
  <c r="G218" i="17"/>
  <c r="H218" i="17"/>
  <c r="B219" i="17"/>
  <c r="C219" i="17"/>
  <c r="D219" i="17"/>
  <c r="E219" i="17"/>
  <c r="F219" i="17"/>
  <c r="G219" i="17"/>
  <c r="H219" i="17"/>
  <c r="B220" i="17"/>
  <c r="C220" i="17"/>
  <c r="D220" i="17"/>
  <c r="E220" i="17"/>
  <c r="F220" i="17"/>
  <c r="G220" i="17"/>
  <c r="H220" i="17"/>
  <c r="B221" i="17"/>
  <c r="C221" i="17"/>
  <c r="D221" i="17"/>
  <c r="E221" i="17"/>
  <c r="F221" i="17"/>
  <c r="G221" i="17"/>
  <c r="H221" i="17"/>
  <c r="B222" i="17"/>
  <c r="C222" i="17"/>
  <c r="D222" i="17"/>
  <c r="E222" i="17"/>
  <c r="F222" i="17"/>
  <c r="G222" i="17"/>
  <c r="H222" i="17"/>
  <c r="B223" i="17"/>
  <c r="C223" i="17"/>
  <c r="D223" i="17"/>
  <c r="E223" i="17"/>
  <c r="F223" i="17"/>
  <c r="G223" i="17"/>
  <c r="H223" i="17"/>
  <c r="B224" i="17"/>
  <c r="C224" i="17"/>
  <c r="D224" i="17"/>
  <c r="E224" i="17"/>
  <c r="F224" i="17"/>
  <c r="G224" i="17"/>
  <c r="H224" i="17"/>
  <c r="B225" i="17"/>
  <c r="C225" i="17"/>
  <c r="D225" i="17"/>
  <c r="E225" i="17"/>
  <c r="F225" i="17"/>
  <c r="G225" i="17"/>
  <c r="H225" i="17"/>
  <c r="B226" i="17"/>
  <c r="C226" i="17"/>
  <c r="D226" i="17"/>
  <c r="E226" i="17"/>
  <c r="F226" i="17"/>
  <c r="G226" i="17"/>
  <c r="H226" i="17"/>
  <c r="B227" i="17"/>
  <c r="C227" i="17"/>
  <c r="D227" i="17"/>
  <c r="E227" i="17"/>
  <c r="F227" i="17"/>
  <c r="G227" i="17"/>
  <c r="H227" i="17"/>
  <c r="B228" i="17"/>
  <c r="C228" i="17"/>
  <c r="D228" i="17"/>
  <c r="E228" i="17"/>
  <c r="F228" i="17"/>
  <c r="G228" i="17"/>
  <c r="H228" i="17"/>
  <c r="B229" i="17"/>
  <c r="C229" i="17"/>
  <c r="D229" i="17"/>
  <c r="E229" i="17"/>
  <c r="F229" i="17"/>
  <c r="G229" i="17"/>
  <c r="H229" i="17"/>
  <c r="B230" i="17"/>
  <c r="C230" i="17"/>
  <c r="D230" i="17"/>
  <c r="E230" i="17"/>
  <c r="F230" i="17"/>
  <c r="G230" i="17"/>
  <c r="H230" i="17"/>
  <c r="B231" i="17"/>
  <c r="C231" i="17"/>
  <c r="D231" i="17"/>
  <c r="E231" i="17"/>
  <c r="F231" i="17"/>
  <c r="G231" i="17"/>
  <c r="H231" i="17"/>
  <c r="B232" i="17"/>
  <c r="C232" i="17"/>
  <c r="D232" i="17"/>
  <c r="E232" i="17"/>
  <c r="F232" i="17"/>
  <c r="G232" i="17"/>
  <c r="H232" i="17"/>
  <c r="B233" i="17"/>
  <c r="C233" i="17"/>
  <c r="D233" i="17"/>
  <c r="E233" i="17"/>
  <c r="F233" i="17"/>
  <c r="G233" i="17"/>
  <c r="H233" i="17"/>
  <c r="B234" i="17"/>
  <c r="C234" i="17"/>
  <c r="D234" i="17"/>
  <c r="E234" i="17"/>
  <c r="F234" i="17"/>
  <c r="G234" i="17"/>
  <c r="H234" i="17"/>
  <c r="B235" i="17"/>
  <c r="C235" i="17"/>
  <c r="D235" i="17"/>
  <c r="E235" i="17"/>
  <c r="F235" i="17"/>
  <c r="G235" i="17"/>
  <c r="H235" i="17"/>
  <c r="B236" i="17"/>
  <c r="C236" i="17"/>
  <c r="D236" i="17"/>
  <c r="E236" i="17"/>
  <c r="F236" i="17"/>
  <c r="G236" i="17"/>
  <c r="H236" i="17"/>
  <c r="B237" i="17"/>
  <c r="C237" i="17"/>
  <c r="D237" i="17"/>
  <c r="E237" i="17"/>
  <c r="F237" i="17"/>
  <c r="G237" i="17"/>
  <c r="H237" i="17"/>
  <c r="B238" i="17"/>
  <c r="C238" i="17"/>
  <c r="D238" i="17"/>
  <c r="E238" i="17"/>
  <c r="F238" i="17"/>
  <c r="G238" i="17"/>
  <c r="H238" i="17"/>
  <c r="B239" i="17"/>
  <c r="C239" i="17"/>
  <c r="D239" i="17"/>
  <c r="E239" i="17"/>
  <c r="F239" i="17"/>
  <c r="G239" i="17"/>
  <c r="H239" i="17"/>
  <c r="B240" i="17"/>
  <c r="C240" i="17"/>
  <c r="D240" i="17"/>
  <c r="E240" i="17"/>
  <c r="F240" i="17"/>
  <c r="G240" i="17"/>
  <c r="H240" i="17"/>
  <c r="B241" i="17"/>
  <c r="C241" i="17"/>
  <c r="D241" i="17"/>
  <c r="E241" i="17"/>
  <c r="F241" i="17"/>
  <c r="G241" i="17"/>
  <c r="H241" i="17"/>
  <c r="B242" i="17"/>
  <c r="C242" i="17"/>
  <c r="D242" i="17"/>
  <c r="E242" i="17"/>
  <c r="F242" i="17"/>
  <c r="G242" i="17"/>
  <c r="H242" i="17"/>
  <c r="B243" i="17"/>
  <c r="C243" i="17"/>
  <c r="D243" i="17"/>
  <c r="E243" i="17"/>
  <c r="F243" i="17"/>
  <c r="G243" i="17"/>
  <c r="H243" i="17"/>
  <c r="B244" i="17"/>
  <c r="C244" i="17"/>
  <c r="D244" i="17"/>
  <c r="E244" i="17"/>
  <c r="F244" i="17"/>
  <c r="G244" i="17"/>
  <c r="H244" i="17"/>
  <c r="B245" i="17"/>
  <c r="C245" i="17"/>
  <c r="D245" i="17"/>
  <c r="E245" i="17"/>
  <c r="F245" i="17"/>
  <c r="G245" i="17"/>
  <c r="H245" i="17"/>
  <c r="B246" i="17"/>
  <c r="C246" i="17"/>
  <c r="D246" i="17"/>
  <c r="E246" i="17"/>
  <c r="F246" i="17"/>
  <c r="G246" i="17"/>
  <c r="H246" i="17"/>
  <c r="B247" i="17"/>
  <c r="C247" i="17"/>
  <c r="D247" i="17"/>
  <c r="E247" i="17"/>
  <c r="F247" i="17"/>
  <c r="G247" i="17"/>
  <c r="H247" i="17"/>
  <c r="B248" i="17"/>
  <c r="C248" i="17"/>
  <c r="D248" i="17"/>
  <c r="E248" i="17"/>
  <c r="F248" i="17"/>
  <c r="G248" i="17"/>
  <c r="H248" i="17"/>
  <c r="B249" i="17"/>
  <c r="C249" i="17"/>
  <c r="D249" i="17"/>
  <c r="E249" i="17"/>
  <c r="F249" i="17"/>
  <c r="G249" i="17"/>
  <c r="H249" i="17"/>
  <c r="B250" i="17"/>
  <c r="C250" i="17"/>
  <c r="D250" i="17"/>
  <c r="E250" i="17"/>
  <c r="F250" i="17"/>
  <c r="G250" i="17"/>
  <c r="H250" i="17"/>
  <c r="B251" i="17"/>
  <c r="C251" i="17"/>
  <c r="D251" i="17"/>
  <c r="E251" i="17"/>
  <c r="F251" i="17"/>
  <c r="G251" i="17"/>
  <c r="H251" i="17"/>
  <c r="B252" i="17"/>
  <c r="C252" i="17"/>
  <c r="D252" i="17"/>
  <c r="E252" i="17"/>
  <c r="F252" i="17"/>
  <c r="G252" i="17"/>
  <c r="H252" i="17"/>
  <c r="B253" i="17"/>
  <c r="C253" i="17"/>
  <c r="D253" i="17"/>
  <c r="E253" i="17"/>
  <c r="F253" i="17"/>
  <c r="G253" i="17"/>
  <c r="H253" i="17"/>
  <c r="B6" i="17"/>
  <c r="C6" i="17"/>
  <c r="D6" i="17"/>
  <c r="E6" i="17"/>
  <c r="F6" i="17"/>
  <c r="G6" i="17"/>
  <c r="H6" i="17"/>
  <c r="B7" i="17"/>
  <c r="C7" i="17"/>
  <c r="D7" i="17"/>
  <c r="E7" i="17"/>
  <c r="F7" i="17"/>
  <c r="G7" i="17"/>
  <c r="H7" i="17"/>
  <c r="B8" i="17"/>
  <c r="C8" i="17"/>
  <c r="D8" i="17"/>
  <c r="E8" i="17"/>
  <c r="F8" i="17"/>
  <c r="G8" i="17"/>
  <c r="H8" i="17"/>
  <c r="B9" i="17"/>
  <c r="C9" i="17"/>
  <c r="D9" i="17"/>
  <c r="E9" i="17"/>
  <c r="F9" i="17"/>
  <c r="G9" i="17"/>
  <c r="H9" i="17"/>
  <c r="B10" i="17"/>
  <c r="C10" i="17"/>
  <c r="D10" i="17"/>
  <c r="E10" i="17"/>
  <c r="F10" i="17"/>
  <c r="G10" i="17"/>
  <c r="H10" i="17"/>
  <c r="B11" i="17"/>
  <c r="C11" i="17"/>
  <c r="D11" i="17"/>
  <c r="E11" i="17"/>
  <c r="F11" i="17"/>
  <c r="G11" i="17"/>
  <c r="H11" i="17"/>
  <c r="B12" i="17"/>
  <c r="C12" i="17"/>
  <c r="D12" i="17"/>
  <c r="E12" i="17"/>
  <c r="F12" i="17"/>
  <c r="G12" i="17"/>
  <c r="H12" i="17"/>
  <c r="B13" i="17"/>
  <c r="C13" i="17"/>
  <c r="D13" i="17"/>
  <c r="E13" i="17"/>
  <c r="F13" i="17"/>
  <c r="G13" i="17"/>
  <c r="H13" i="17"/>
  <c r="B14" i="17"/>
  <c r="C14" i="17"/>
  <c r="D14" i="17"/>
  <c r="E14" i="17"/>
  <c r="F14" i="17"/>
  <c r="G14" i="17"/>
  <c r="H14" i="17"/>
  <c r="B15" i="17"/>
  <c r="C15" i="17"/>
  <c r="D15" i="17"/>
  <c r="E15" i="17"/>
  <c r="F15" i="17"/>
  <c r="G15" i="17"/>
  <c r="H15" i="17"/>
  <c r="B16" i="17"/>
  <c r="C16" i="17"/>
  <c r="D16" i="17"/>
  <c r="E16" i="17"/>
  <c r="F16" i="17"/>
  <c r="G16" i="17"/>
  <c r="H16" i="17"/>
  <c r="B17" i="17"/>
  <c r="C17" i="17"/>
  <c r="D17" i="17"/>
  <c r="E17" i="17"/>
  <c r="F17" i="17"/>
  <c r="G17" i="17"/>
  <c r="H17" i="17"/>
  <c r="B18" i="17"/>
  <c r="C18" i="17"/>
  <c r="D18" i="17"/>
  <c r="E18" i="17"/>
  <c r="F18" i="17"/>
  <c r="G18" i="17"/>
  <c r="H18" i="17"/>
  <c r="B19" i="17"/>
  <c r="C19" i="17"/>
  <c r="D19" i="17"/>
  <c r="E19" i="17"/>
  <c r="F19" i="17"/>
  <c r="G19" i="17"/>
  <c r="H19" i="17"/>
  <c r="B20" i="17"/>
  <c r="C20" i="17"/>
  <c r="D20" i="17"/>
  <c r="E20" i="17"/>
  <c r="F20" i="17"/>
  <c r="G20" i="17"/>
  <c r="H20" i="17"/>
  <c r="B21" i="17"/>
  <c r="C21" i="17"/>
  <c r="D21" i="17"/>
  <c r="E21" i="17"/>
  <c r="F21" i="17"/>
  <c r="G21" i="17"/>
  <c r="H21" i="17"/>
  <c r="B22" i="17"/>
  <c r="C22" i="17"/>
  <c r="D22" i="17"/>
  <c r="E22" i="17"/>
  <c r="F22" i="17"/>
  <c r="G22" i="17"/>
  <c r="H22" i="17"/>
  <c r="B23" i="17"/>
  <c r="C23" i="17"/>
  <c r="D23" i="17"/>
  <c r="E23" i="17"/>
  <c r="F23" i="17"/>
  <c r="G23" i="17"/>
  <c r="H23" i="17"/>
  <c r="B24" i="17"/>
  <c r="C24" i="17"/>
  <c r="D24" i="17"/>
  <c r="E24" i="17"/>
  <c r="F24" i="17"/>
  <c r="G24" i="17"/>
  <c r="H24" i="17"/>
  <c r="B25" i="17"/>
  <c r="C25" i="17"/>
  <c r="D25" i="17"/>
  <c r="E25" i="17"/>
  <c r="F25" i="17"/>
  <c r="G25" i="17"/>
  <c r="H25" i="17"/>
  <c r="B26" i="17"/>
  <c r="C26" i="17"/>
  <c r="D26" i="17"/>
  <c r="E26" i="17"/>
  <c r="F26" i="17"/>
  <c r="G26" i="17"/>
  <c r="H26" i="17"/>
  <c r="B27" i="17"/>
  <c r="C27" i="17"/>
  <c r="D27" i="17"/>
  <c r="E27" i="17"/>
  <c r="F27" i="17"/>
  <c r="G27" i="17"/>
  <c r="H27" i="17"/>
  <c r="B28" i="17"/>
  <c r="C28" i="17"/>
  <c r="D28" i="17"/>
  <c r="E28" i="17"/>
  <c r="F28" i="17"/>
  <c r="G28" i="17"/>
  <c r="H28" i="17"/>
  <c r="B29" i="17"/>
  <c r="C29" i="17"/>
  <c r="D29" i="17"/>
  <c r="E29" i="17"/>
  <c r="F29" i="17"/>
  <c r="G29" i="17"/>
  <c r="H29" i="17"/>
  <c r="B30" i="17"/>
  <c r="C30" i="17"/>
  <c r="D30" i="17"/>
  <c r="E30" i="17"/>
  <c r="F30" i="17"/>
  <c r="G30" i="17"/>
  <c r="H30" i="17"/>
  <c r="B31" i="17"/>
  <c r="C31" i="17"/>
  <c r="D31" i="17"/>
  <c r="E31" i="17"/>
  <c r="F31" i="17"/>
  <c r="G31" i="17"/>
  <c r="H31" i="17"/>
  <c r="B32" i="17"/>
  <c r="C32" i="17"/>
  <c r="D32" i="17"/>
  <c r="E32" i="17"/>
  <c r="F32" i="17"/>
  <c r="G32" i="17"/>
  <c r="H32" i="17"/>
  <c r="B33" i="17"/>
  <c r="C33" i="17"/>
  <c r="D33" i="17"/>
  <c r="E33" i="17"/>
  <c r="F33" i="17"/>
  <c r="G33" i="17"/>
  <c r="H33" i="17"/>
  <c r="B34" i="17"/>
  <c r="C34" i="17"/>
  <c r="D34" i="17"/>
  <c r="E34" i="17"/>
  <c r="F34" i="17"/>
  <c r="G34" i="17"/>
  <c r="H34" i="17"/>
  <c r="B35" i="17"/>
  <c r="C35" i="17"/>
  <c r="D35" i="17"/>
  <c r="E35" i="17"/>
  <c r="F35" i="17"/>
  <c r="G35" i="17"/>
  <c r="H35" i="17"/>
  <c r="B36" i="17"/>
  <c r="C36" i="17"/>
  <c r="D36" i="17"/>
  <c r="E36" i="17"/>
  <c r="F36" i="17"/>
  <c r="G36" i="17"/>
  <c r="H36" i="17"/>
  <c r="B37" i="17"/>
  <c r="C37" i="17"/>
  <c r="D37" i="17"/>
  <c r="E37" i="17"/>
  <c r="F37" i="17"/>
  <c r="G37" i="17"/>
  <c r="H37" i="17"/>
  <c r="B38" i="17"/>
  <c r="C38" i="17"/>
  <c r="D38" i="17"/>
  <c r="E38" i="17"/>
  <c r="F38" i="17"/>
  <c r="G38" i="17"/>
  <c r="H38" i="17"/>
  <c r="B39" i="17"/>
  <c r="C39" i="17"/>
  <c r="D39" i="17"/>
  <c r="E39" i="17"/>
  <c r="F39" i="17"/>
  <c r="G39" i="17"/>
  <c r="H39" i="17"/>
  <c r="B40" i="17"/>
  <c r="C40" i="17"/>
  <c r="D40" i="17"/>
  <c r="E40" i="17"/>
  <c r="F40" i="17"/>
  <c r="G40" i="17"/>
  <c r="H40" i="17"/>
  <c r="B41" i="17"/>
  <c r="C41" i="17"/>
  <c r="D41" i="17"/>
  <c r="E41" i="17"/>
  <c r="F41" i="17"/>
  <c r="G41" i="17"/>
  <c r="H41" i="17"/>
  <c r="B42" i="17"/>
  <c r="C42" i="17"/>
  <c r="D42" i="17"/>
  <c r="E42" i="17"/>
  <c r="F42" i="17"/>
  <c r="G42" i="17"/>
  <c r="H42" i="17"/>
  <c r="B43" i="17"/>
  <c r="C43" i="17"/>
  <c r="D43" i="17"/>
  <c r="E43" i="17"/>
  <c r="F43" i="17"/>
  <c r="G43" i="17"/>
  <c r="H43" i="17"/>
  <c r="B44" i="17"/>
  <c r="C44" i="17"/>
  <c r="D44" i="17"/>
  <c r="E44" i="17"/>
  <c r="F44" i="17"/>
  <c r="G44" i="17"/>
  <c r="H44" i="17"/>
  <c r="B45" i="17"/>
  <c r="C45" i="17"/>
  <c r="D45" i="17"/>
  <c r="E45" i="17"/>
  <c r="F45" i="17"/>
  <c r="G45" i="17"/>
  <c r="H45" i="17"/>
  <c r="B46" i="17"/>
  <c r="C46" i="17"/>
  <c r="D46" i="17"/>
  <c r="E46" i="17"/>
  <c r="F46" i="17"/>
  <c r="G46" i="17"/>
  <c r="H46" i="17"/>
  <c r="B47" i="17"/>
  <c r="C47" i="17"/>
  <c r="D47" i="17"/>
  <c r="E47" i="17"/>
  <c r="F47" i="17"/>
  <c r="G47" i="17"/>
  <c r="H47" i="17"/>
  <c r="B48" i="17"/>
  <c r="C48" i="17"/>
  <c r="D48" i="17"/>
  <c r="E48" i="17"/>
  <c r="F48" i="17"/>
  <c r="G48" i="17"/>
  <c r="H48" i="17"/>
  <c r="B49" i="17"/>
  <c r="C49" i="17"/>
  <c r="D49" i="17"/>
  <c r="E49" i="17"/>
  <c r="F49" i="17"/>
  <c r="G49" i="17"/>
  <c r="H49" i="17"/>
  <c r="B50" i="17"/>
  <c r="C50" i="17"/>
  <c r="D50" i="17"/>
  <c r="E50" i="17"/>
  <c r="F50" i="17"/>
  <c r="G50" i="17"/>
  <c r="H50" i="17"/>
  <c r="B51" i="17"/>
  <c r="C51" i="17"/>
  <c r="D51" i="17"/>
  <c r="E51" i="17"/>
  <c r="F51" i="17"/>
  <c r="G51" i="17"/>
  <c r="H51" i="17"/>
  <c r="B52" i="17"/>
  <c r="C52" i="17"/>
  <c r="D52" i="17"/>
  <c r="E52" i="17"/>
  <c r="F52" i="17"/>
  <c r="G52" i="17"/>
  <c r="H52" i="17"/>
  <c r="B53" i="17"/>
  <c r="C53" i="17"/>
  <c r="D53" i="17"/>
  <c r="E53" i="17"/>
  <c r="F53" i="17"/>
  <c r="G53" i="17"/>
  <c r="H53" i="17"/>
  <c r="B54" i="17"/>
  <c r="C54" i="17"/>
  <c r="D54" i="17"/>
  <c r="E54" i="17"/>
  <c r="F54" i="17"/>
  <c r="G54" i="17"/>
  <c r="H54" i="17"/>
  <c r="B55" i="17"/>
  <c r="C55" i="17"/>
  <c r="D55" i="17"/>
  <c r="E55" i="17"/>
  <c r="F55" i="17"/>
  <c r="G55" i="17"/>
  <c r="H55" i="17"/>
  <c r="B56" i="17"/>
  <c r="C56" i="17"/>
  <c r="D56" i="17"/>
  <c r="E56" i="17"/>
  <c r="F56" i="17"/>
  <c r="G56" i="17"/>
  <c r="H56" i="17"/>
  <c r="B57" i="17"/>
  <c r="C57" i="17"/>
  <c r="D57" i="17"/>
  <c r="E57" i="17"/>
  <c r="F57" i="17"/>
  <c r="G57" i="17"/>
  <c r="H57" i="17"/>
  <c r="B58" i="17"/>
  <c r="C58" i="17"/>
  <c r="D58" i="17"/>
  <c r="E58" i="17"/>
  <c r="F58" i="17"/>
  <c r="G58" i="17"/>
  <c r="H58" i="17"/>
  <c r="B59" i="17"/>
  <c r="C59" i="17"/>
  <c r="D59" i="17"/>
  <c r="E59" i="17"/>
  <c r="F59" i="17"/>
  <c r="G59" i="17"/>
  <c r="H59" i="17"/>
  <c r="B60" i="17"/>
  <c r="C60" i="17"/>
  <c r="D60" i="17"/>
  <c r="E60" i="17"/>
  <c r="F60" i="17"/>
  <c r="G60" i="17"/>
  <c r="H60" i="17"/>
  <c r="B61" i="17"/>
  <c r="C61" i="17"/>
  <c r="D61" i="17"/>
  <c r="E61" i="17"/>
  <c r="F61" i="17"/>
  <c r="G61" i="17"/>
  <c r="H61" i="17"/>
  <c r="B62" i="17"/>
  <c r="C62" i="17"/>
  <c r="D62" i="17"/>
  <c r="E62" i="17"/>
  <c r="F62" i="17"/>
  <c r="G62" i="17"/>
  <c r="H62" i="17"/>
  <c r="B63" i="17"/>
  <c r="C63" i="17"/>
  <c r="D63" i="17"/>
  <c r="E63" i="17"/>
  <c r="F63" i="17"/>
  <c r="G63" i="17"/>
  <c r="H63" i="17"/>
  <c r="B64" i="17"/>
  <c r="C64" i="17"/>
  <c r="D64" i="17"/>
  <c r="E64" i="17"/>
  <c r="F64" i="17"/>
  <c r="G64" i="17"/>
  <c r="H64" i="17"/>
  <c r="B65" i="17"/>
  <c r="C65" i="17"/>
  <c r="D65" i="17"/>
  <c r="E65" i="17"/>
  <c r="F65" i="17"/>
  <c r="G65" i="17"/>
  <c r="H65" i="17"/>
  <c r="B66" i="17"/>
  <c r="C66" i="17"/>
  <c r="D66" i="17"/>
  <c r="E66" i="17"/>
  <c r="F66" i="17"/>
  <c r="G66" i="17"/>
  <c r="H66" i="17"/>
  <c r="B67" i="17"/>
  <c r="C67" i="17"/>
  <c r="D67" i="17"/>
  <c r="E67" i="17"/>
  <c r="F67" i="17"/>
  <c r="G67" i="17"/>
  <c r="H67" i="17"/>
  <c r="B68" i="17"/>
  <c r="C68" i="17"/>
  <c r="D68" i="17"/>
  <c r="E68" i="17"/>
  <c r="F68" i="17"/>
  <c r="G68" i="17"/>
  <c r="H68" i="17"/>
  <c r="B69" i="17"/>
  <c r="C69" i="17"/>
  <c r="D69" i="17"/>
  <c r="E69" i="17"/>
  <c r="F69" i="17"/>
  <c r="G69" i="17"/>
  <c r="H69" i="17"/>
  <c r="B70" i="17"/>
  <c r="C70" i="17"/>
  <c r="D70" i="17"/>
  <c r="E70" i="17"/>
  <c r="F70" i="17"/>
  <c r="G70" i="17"/>
  <c r="H70" i="17"/>
  <c r="B71" i="17"/>
  <c r="C71" i="17"/>
  <c r="D71" i="17"/>
  <c r="E71" i="17"/>
  <c r="F71" i="17"/>
  <c r="G71" i="17"/>
  <c r="H71" i="17"/>
  <c r="B72" i="17"/>
  <c r="C72" i="17"/>
  <c r="D72" i="17"/>
  <c r="E72" i="17"/>
  <c r="F72" i="17"/>
  <c r="G72" i="17"/>
  <c r="H72" i="17"/>
  <c r="B73" i="17"/>
  <c r="C73" i="17"/>
  <c r="D73" i="17"/>
  <c r="E73" i="17"/>
  <c r="F73" i="17"/>
  <c r="G73" i="17"/>
  <c r="H73" i="17"/>
  <c r="B74" i="17"/>
  <c r="C74" i="17"/>
  <c r="D74" i="17"/>
  <c r="E74" i="17"/>
  <c r="F74" i="17"/>
  <c r="G74" i="17"/>
  <c r="H74" i="17"/>
  <c r="B75" i="17"/>
  <c r="C75" i="17"/>
  <c r="D75" i="17"/>
  <c r="E75" i="17"/>
  <c r="F75" i="17"/>
  <c r="G75" i="17"/>
  <c r="H75" i="17"/>
  <c r="B76" i="17"/>
  <c r="C76" i="17"/>
  <c r="D76" i="17"/>
  <c r="E76" i="17"/>
  <c r="F76" i="17"/>
  <c r="G76" i="17"/>
  <c r="H76" i="17"/>
  <c r="B77" i="17"/>
  <c r="C77" i="17"/>
  <c r="D77" i="17"/>
  <c r="E77" i="17"/>
  <c r="F77" i="17"/>
  <c r="G77" i="17"/>
  <c r="H77" i="17"/>
  <c r="B78" i="17"/>
  <c r="C78" i="17"/>
  <c r="D78" i="17"/>
  <c r="E78" i="17"/>
  <c r="F78" i="17"/>
  <c r="G78" i="17"/>
  <c r="H78" i="17"/>
  <c r="B79" i="17"/>
  <c r="C79" i="17"/>
  <c r="D79" i="17"/>
  <c r="E79" i="17"/>
  <c r="F79" i="17"/>
  <c r="G79" i="17"/>
  <c r="H79" i="17"/>
  <c r="B80" i="17"/>
  <c r="C80" i="17"/>
  <c r="D80" i="17"/>
  <c r="E80" i="17"/>
  <c r="F80" i="17"/>
  <c r="G80" i="17"/>
  <c r="H80" i="17"/>
  <c r="B81" i="17"/>
  <c r="C81" i="17"/>
  <c r="D81" i="17"/>
  <c r="E81" i="17"/>
  <c r="F81" i="17"/>
  <c r="G81" i="17"/>
  <c r="H81" i="17"/>
  <c r="B82" i="17"/>
  <c r="C82" i="17"/>
  <c r="D82" i="17"/>
  <c r="E82" i="17"/>
  <c r="F82" i="17"/>
  <c r="G82" i="17"/>
  <c r="H82" i="17"/>
  <c r="B83" i="17"/>
  <c r="C83" i="17"/>
  <c r="D83" i="17"/>
  <c r="E83" i="17"/>
  <c r="F83" i="17"/>
  <c r="G83" i="17"/>
  <c r="H83" i="17"/>
  <c r="B84" i="17"/>
  <c r="C84" i="17"/>
  <c r="D84" i="17"/>
  <c r="E84" i="17"/>
  <c r="F84" i="17"/>
  <c r="G84" i="17"/>
  <c r="H84" i="17"/>
  <c r="B85" i="17"/>
  <c r="C85" i="17"/>
  <c r="D85" i="17"/>
  <c r="E85" i="17"/>
  <c r="F85" i="17"/>
  <c r="G85" i="17"/>
  <c r="H85" i="17"/>
  <c r="B86" i="17"/>
  <c r="C86" i="17"/>
  <c r="D86" i="17"/>
  <c r="E86" i="17"/>
  <c r="F86" i="17"/>
  <c r="G86" i="17"/>
  <c r="H86" i="17"/>
  <c r="B87" i="17"/>
  <c r="C87" i="17"/>
  <c r="D87" i="17"/>
  <c r="E87" i="17"/>
  <c r="F87" i="17"/>
  <c r="G87" i="17"/>
  <c r="H87" i="17"/>
  <c r="B88" i="17"/>
  <c r="C88" i="17"/>
  <c r="D88" i="17"/>
  <c r="E88" i="17"/>
  <c r="F88" i="17"/>
  <c r="G88" i="17"/>
  <c r="H88" i="17"/>
  <c r="B89" i="17"/>
  <c r="C89" i="17"/>
  <c r="D89" i="17"/>
  <c r="E89" i="17"/>
  <c r="F89" i="17"/>
  <c r="G89" i="17"/>
  <c r="H89" i="17"/>
  <c r="B90" i="17"/>
  <c r="C90" i="17"/>
  <c r="D90" i="17"/>
  <c r="E90" i="17"/>
  <c r="F90" i="17"/>
  <c r="G90" i="17"/>
  <c r="H90" i="17"/>
  <c r="B91" i="17"/>
  <c r="C91" i="17"/>
  <c r="D91" i="17"/>
  <c r="E91" i="17"/>
  <c r="F91" i="17"/>
  <c r="G91" i="17"/>
  <c r="H91" i="17"/>
  <c r="B92" i="17"/>
  <c r="C92" i="17"/>
  <c r="D92" i="17"/>
  <c r="E92" i="17"/>
  <c r="F92" i="17"/>
  <c r="G92" i="17"/>
  <c r="H92" i="17"/>
  <c r="B93" i="17"/>
  <c r="C93" i="17"/>
  <c r="D93" i="17"/>
  <c r="E93" i="17"/>
  <c r="F93" i="17"/>
  <c r="G93" i="17"/>
  <c r="H93" i="17"/>
  <c r="B94" i="17"/>
  <c r="C94" i="17"/>
  <c r="D94" i="17"/>
  <c r="E94" i="17"/>
  <c r="F94" i="17"/>
  <c r="G94" i="17"/>
  <c r="H94" i="17"/>
  <c r="B95" i="17"/>
  <c r="C95" i="17"/>
  <c r="D95" i="17"/>
  <c r="E95" i="17"/>
  <c r="F95" i="17"/>
  <c r="G95" i="17"/>
  <c r="H95" i="17"/>
  <c r="B96" i="17"/>
  <c r="C96" i="17"/>
  <c r="D96" i="17"/>
  <c r="E96" i="17"/>
  <c r="F96" i="17"/>
  <c r="G96" i="17"/>
  <c r="H96" i="17"/>
  <c r="B97" i="17"/>
  <c r="C97" i="17"/>
  <c r="D97" i="17"/>
  <c r="E97" i="17"/>
  <c r="F97" i="17"/>
  <c r="G97" i="17"/>
  <c r="H97" i="17"/>
  <c r="B98" i="17"/>
  <c r="C98" i="17"/>
  <c r="D98" i="17"/>
  <c r="E98" i="17"/>
  <c r="F98" i="17"/>
  <c r="G98" i="17"/>
  <c r="H98" i="17"/>
  <c r="B99" i="17"/>
  <c r="C99" i="17"/>
  <c r="D99" i="17"/>
  <c r="E99" i="17"/>
  <c r="F99" i="17"/>
  <c r="G99" i="17"/>
  <c r="H99" i="17"/>
  <c r="B100" i="17"/>
  <c r="C100" i="17"/>
  <c r="D100" i="17"/>
  <c r="E100" i="17"/>
  <c r="F100" i="17"/>
  <c r="G100" i="17"/>
  <c r="H100" i="17"/>
  <c r="B101" i="17"/>
  <c r="C101" i="17"/>
  <c r="D101" i="17"/>
  <c r="E101" i="17"/>
  <c r="F101" i="17"/>
  <c r="G101" i="17"/>
  <c r="H101" i="17"/>
  <c r="B102" i="17"/>
  <c r="C102" i="17"/>
  <c r="D102" i="17"/>
  <c r="E102" i="17"/>
  <c r="F102" i="17"/>
  <c r="G102" i="17"/>
  <c r="H102" i="17"/>
  <c r="B103" i="17"/>
  <c r="C103" i="17"/>
  <c r="D103" i="17"/>
  <c r="E103" i="17"/>
  <c r="F103" i="17"/>
  <c r="G103" i="17"/>
  <c r="H103" i="17"/>
  <c r="B104" i="17"/>
  <c r="C104" i="17"/>
  <c r="D104" i="17"/>
  <c r="E104" i="17"/>
  <c r="F104" i="17"/>
  <c r="G104" i="17"/>
  <c r="H104" i="17"/>
  <c r="B105" i="17"/>
  <c r="C105" i="17"/>
  <c r="D105" i="17"/>
  <c r="E105" i="17"/>
  <c r="F105" i="17"/>
  <c r="G105" i="17"/>
  <c r="H105" i="17"/>
  <c r="B106" i="17"/>
  <c r="C106" i="17"/>
  <c r="D106" i="17"/>
  <c r="E106" i="17"/>
  <c r="F106" i="17"/>
  <c r="G106" i="17"/>
  <c r="H106" i="17"/>
  <c r="B107" i="17"/>
  <c r="C107" i="17"/>
  <c r="D107" i="17"/>
  <c r="E107" i="17"/>
  <c r="F107" i="17"/>
  <c r="G107" i="17"/>
  <c r="H107" i="17"/>
  <c r="B108" i="17"/>
  <c r="C108" i="17"/>
  <c r="D108" i="17"/>
  <c r="E108" i="17"/>
  <c r="F108" i="17"/>
  <c r="G108" i="17"/>
  <c r="H108" i="17"/>
  <c r="B109" i="17"/>
  <c r="C109" i="17"/>
  <c r="D109" i="17"/>
  <c r="E109" i="17"/>
  <c r="F109" i="17"/>
  <c r="G109" i="17"/>
  <c r="H109" i="17"/>
  <c r="B110" i="17"/>
  <c r="C110" i="17"/>
  <c r="D110" i="17"/>
  <c r="E110" i="17"/>
  <c r="F110" i="17"/>
  <c r="G110" i="17"/>
  <c r="H110" i="17"/>
  <c r="B111" i="17"/>
  <c r="C111" i="17"/>
  <c r="D111" i="17"/>
  <c r="E111" i="17"/>
  <c r="F111" i="17"/>
  <c r="G111" i="17"/>
  <c r="H111" i="17"/>
  <c r="B112" i="17"/>
  <c r="C112" i="17"/>
  <c r="D112" i="17"/>
  <c r="E112" i="17"/>
  <c r="F112" i="17"/>
  <c r="G112" i="17"/>
  <c r="H112" i="17"/>
  <c r="B113" i="17"/>
  <c r="C113" i="17"/>
  <c r="D113" i="17"/>
  <c r="E113" i="17"/>
  <c r="F113" i="17"/>
  <c r="G113" i="17"/>
  <c r="H113" i="17"/>
  <c r="B114" i="17"/>
  <c r="C114" i="17"/>
  <c r="D114" i="17"/>
  <c r="E114" i="17"/>
  <c r="F114" i="17"/>
  <c r="G114" i="17"/>
  <c r="H114" i="17"/>
  <c r="B115" i="17"/>
  <c r="C115" i="17"/>
  <c r="D115" i="17"/>
  <c r="E115" i="17"/>
  <c r="F115" i="17"/>
  <c r="G115" i="17"/>
  <c r="H115" i="17"/>
  <c r="B116" i="17"/>
  <c r="C116" i="17"/>
  <c r="D116" i="17"/>
  <c r="E116" i="17"/>
  <c r="F116" i="17"/>
  <c r="G116" i="17"/>
  <c r="H116" i="17"/>
  <c r="B117" i="17"/>
  <c r="C117" i="17"/>
  <c r="D117" i="17"/>
  <c r="E117" i="17"/>
  <c r="F117" i="17"/>
  <c r="G117" i="17"/>
  <c r="H117" i="17"/>
  <c r="B118" i="17"/>
  <c r="C118" i="17"/>
  <c r="D118" i="17"/>
  <c r="E118" i="17"/>
  <c r="F118" i="17"/>
  <c r="G118" i="17"/>
  <c r="H118" i="17"/>
  <c r="B119" i="17"/>
  <c r="C119" i="17"/>
  <c r="D119" i="17"/>
  <c r="E119" i="17"/>
  <c r="F119" i="17"/>
  <c r="G119" i="17"/>
  <c r="H119" i="17"/>
  <c r="B120" i="17"/>
  <c r="C120" i="17"/>
  <c r="D120" i="17"/>
  <c r="E120" i="17"/>
  <c r="F120" i="17"/>
  <c r="G120" i="17"/>
  <c r="H120" i="17"/>
  <c r="B121" i="17"/>
  <c r="C121" i="17"/>
  <c r="D121" i="17"/>
  <c r="E121" i="17"/>
  <c r="F121" i="17"/>
  <c r="G121" i="17"/>
  <c r="H121" i="17"/>
  <c r="B122" i="17"/>
  <c r="C122" i="17"/>
  <c r="D122" i="17"/>
  <c r="E122" i="17"/>
  <c r="F122" i="17"/>
  <c r="G122" i="17"/>
  <c r="H122" i="17"/>
  <c r="B123" i="17"/>
  <c r="C123" i="17"/>
  <c r="D123" i="17"/>
  <c r="E123" i="17"/>
  <c r="F123" i="17"/>
  <c r="G123" i="17"/>
  <c r="H123" i="17"/>
  <c r="B124" i="17"/>
  <c r="C124" i="17"/>
  <c r="D124" i="17"/>
  <c r="E124" i="17"/>
  <c r="F124" i="17"/>
  <c r="G124" i="17"/>
  <c r="H124" i="17"/>
  <c r="B125" i="17"/>
  <c r="C125" i="17"/>
  <c r="D125" i="17"/>
  <c r="E125" i="17"/>
  <c r="F125" i="17"/>
  <c r="G125" i="17"/>
  <c r="H125" i="17"/>
  <c r="B126" i="17"/>
  <c r="C126" i="17"/>
  <c r="D126" i="17"/>
  <c r="E126" i="17"/>
  <c r="F126" i="17"/>
  <c r="G126" i="17"/>
  <c r="H126" i="17"/>
  <c r="B127" i="17"/>
  <c r="C127" i="17"/>
  <c r="D127" i="17"/>
  <c r="E127" i="17"/>
  <c r="F127" i="17"/>
  <c r="G127" i="17"/>
  <c r="H127" i="17"/>
  <c r="B128" i="17"/>
  <c r="C128" i="17"/>
  <c r="D128" i="17"/>
  <c r="E128" i="17"/>
  <c r="F128" i="17"/>
  <c r="G128" i="17"/>
  <c r="H128" i="17"/>
  <c r="B129" i="17"/>
  <c r="C129" i="17"/>
  <c r="D129" i="17"/>
  <c r="E129" i="17"/>
  <c r="F129" i="17"/>
  <c r="G129" i="17"/>
  <c r="H129" i="17"/>
  <c r="B130" i="17"/>
  <c r="C130" i="17"/>
  <c r="D130" i="17"/>
  <c r="E130" i="17"/>
  <c r="F130" i="17"/>
  <c r="G130" i="17"/>
  <c r="H130" i="17"/>
  <c r="B131" i="17"/>
  <c r="C131" i="17"/>
  <c r="D131" i="17"/>
  <c r="E131" i="17"/>
  <c r="F131" i="17"/>
  <c r="G131" i="17"/>
  <c r="H131" i="17"/>
  <c r="B132" i="17"/>
  <c r="C132" i="17"/>
  <c r="D132" i="17"/>
  <c r="E132" i="17"/>
  <c r="F132" i="17"/>
  <c r="G132" i="17"/>
  <c r="H132" i="17"/>
  <c r="B133" i="17"/>
  <c r="C133" i="17"/>
  <c r="D133" i="17"/>
  <c r="E133" i="17"/>
  <c r="F133" i="17"/>
  <c r="G133" i="17"/>
  <c r="H133" i="17"/>
  <c r="B134" i="17"/>
  <c r="C134" i="17"/>
  <c r="D134" i="17"/>
  <c r="E134" i="17"/>
  <c r="F134" i="17"/>
  <c r="G134" i="17"/>
  <c r="H134" i="17"/>
  <c r="B135" i="17"/>
  <c r="C135" i="17"/>
  <c r="D135" i="17"/>
  <c r="E135" i="17"/>
  <c r="F135" i="17"/>
  <c r="G135" i="17"/>
  <c r="H135" i="17"/>
  <c r="B136" i="17"/>
  <c r="C136" i="17"/>
  <c r="D136" i="17"/>
  <c r="E136" i="17"/>
  <c r="F136" i="17"/>
  <c r="G136" i="17"/>
  <c r="H136" i="17"/>
  <c r="B137" i="17"/>
  <c r="C137" i="17"/>
  <c r="D137" i="17"/>
  <c r="E137" i="17"/>
  <c r="F137" i="17"/>
  <c r="G137" i="17"/>
  <c r="H137" i="17"/>
  <c r="B138" i="17"/>
  <c r="C138" i="17"/>
  <c r="D138" i="17"/>
  <c r="E138" i="17"/>
  <c r="F138" i="17"/>
  <c r="G138" i="17"/>
  <c r="H138" i="17"/>
  <c r="B139" i="17"/>
  <c r="C139" i="17"/>
  <c r="D139" i="17"/>
  <c r="E139" i="17"/>
  <c r="F139" i="17"/>
  <c r="G139" i="17"/>
  <c r="H139" i="17"/>
  <c r="B140" i="17"/>
  <c r="C140" i="17"/>
  <c r="D140" i="17"/>
  <c r="E140" i="17"/>
  <c r="F140" i="17"/>
  <c r="G140" i="17"/>
  <c r="H140" i="17"/>
  <c r="B141" i="17"/>
  <c r="C141" i="17"/>
  <c r="D141" i="17"/>
  <c r="E141" i="17"/>
  <c r="F141" i="17"/>
  <c r="G141" i="17"/>
  <c r="H141" i="17"/>
  <c r="B142" i="17"/>
  <c r="C142" i="17"/>
  <c r="D142" i="17"/>
  <c r="E142" i="17"/>
  <c r="F142" i="17"/>
  <c r="G142" i="17"/>
  <c r="H142" i="17"/>
  <c r="B143" i="17"/>
  <c r="C143" i="17"/>
  <c r="D143" i="17"/>
  <c r="E143" i="17"/>
  <c r="F143" i="17"/>
  <c r="G143" i="17"/>
  <c r="H143" i="17"/>
  <c r="B144" i="17"/>
  <c r="C144" i="17"/>
  <c r="D144" i="17"/>
  <c r="E144" i="17"/>
  <c r="F144" i="17"/>
  <c r="G144" i="17"/>
  <c r="H144" i="17"/>
  <c r="B145" i="17"/>
  <c r="C145" i="17"/>
  <c r="D145" i="17"/>
  <c r="E145" i="17"/>
  <c r="F145" i="17"/>
  <c r="G145" i="17"/>
  <c r="H145" i="17"/>
  <c r="B146" i="17"/>
  <c r="C146" i="17"/>
  <c r="D146" i="17"/>
  <c r="E146" i="17"/>
  <c r="F146" i="17"/>
  <c r="G146" i="17"/>
  <c r="H146" i="17"/>
  <c r="B147" i="17"/>
  <c r="C147" i="17"/>
  <c r="D147" i="17"/>
  <c r="E147" i="17"/>
  <c r="F147" i="17"/>
  <c r="G147" i="17"/>
  <c r="H147" i="17"/>
  <c r="B148" i="17"/>
  <c r="C148" i="17"/>
  <c r="D148" i="17"/>
  <c r="E148" i="17"/>
  <c r="F148" i="17"/>
  <c r="G148" i="17"/>
  <c r="H148" i="17"/>
  <c r="B149" i="17"/>
  <c r="C149" i="17"/>
  <c r="D149" i="17"/>
  <c r="E149" i="17"/>
  <c r="F149" i="17"/>
  <c r="G149" i="17"/>
  <c r="H149" i="17"/>
  <c r="B150" i="17"/>
  <c r="C150" i="17"/>
  <c r="D150" i="17"/>
  <c r="E150" i="17"/>
  <c r="F150" i="17"/>
  <c r="G150" i="17"/>
  <c r="H150" i="17"/>
  <c r="B151" i="17"/>
  <c r="C151" i="17"/>
  <c r="D151" i="17"/>
  <c r="E151" i="17"/>
  <c r="F151" i="17"/>
  <c r="G151" i="17"/>
  <c r="H151" i="17"/>
  <c r="B152" i="17"/>
  <c r="C152" i="17"/>
  <c r="D152" i="17"/>
  <c r="E152" i="17"/>
  <c r="F152" i="17"/>
  <c r="G152" i="17"/>
  <c r="H152" i="17"/>
  <c r="B153" i="17"/>
  <c r="C153" i="17"/>
  <c r="D153" i="17"/>
  <c r="E153" i="17"/>
  <c r="F153" i="17"/>
  <c r="G153" i="17"/>
  <c r="H153" i="17"/>
  <c r="B154" i="17"/>
  <c r="C154" i="17"/>
  <c r="D154" i="17"/>
  <c r="E154" i="17"/>
  <c r="F154" i="17"/>
  <c r="G154" i="17"/>
  <c r="H154" i="17"/>
  <c r="B155" i="17"/>
  <c r="C155" i="17"/>
  <c r="D155" i="17"/>
  <c r="E155" i="17"/>
  <c r="F155" i="17"/>
  <c r="G155" i="17"/>
  <c r="H155" i="17"/>
  <c r="B156" i="17"/>
  <c r="C156" i="17"/>
  <c r="D156" i="17"/>
  <c r="E156" i="17"/>
  <c r="F156" i="17"/>
  <c r="G156" i="17"/>
  <c r="H156" i="17"/>
  <c r="B157" i="17"/>
  <c r="C157" i="17"/>
  <c r="D157" i="17"/>
  <c r="E157" i="17"/>
  <c r="F157" i="17"/>
  <c r="G157" i="17"/>
  <c r="H157" i="17"/>
  <c r="B158" i="17"/>
  <c r="C158" i="17"/>
  <c r="D158" i="17"/>
  <c r="E158" i="17"/>
  <c r="F158" i="17"/>
  <c r="G158" i="17"/>
  <c r="H158" i="17"/>
  <c r="B159" i="17"/>
  <c r="C159" i="17"/>
  <c r="D159" i="17"/>
  <c r="E159" i="17"/>
  <c r="F159" i="17"/>
  <c r="G159" i="17"/>
  <c r="H159" i="17"/>
  <c r="B160" i="17"/>
  <c r="C160" i="17"/>
  <c r="D160" i="17"/>
  <c r="E160" i="17"/>
  <c r="F160" i="17"/>
  <c r="G160" i="17"/>
  <c r="H160" i="17"/>
  <c r="B161" i="17"/>
  <c r="C161" i="17"/>
  <c r="D161" i="17"/>
  <c r="E161" i="17"/>
  <c r="F161" i="17"/>
  <c r="G161" i="17"/>
  <c r="H161" i="17"/>
  <c r="B162" i="17"/>
  <c r="C162" i="17"/>
  <c r="D162" i="17"/>
  <c r="E162" i="17"/>
  <c r="F162" i="17"/>
  <c r="G162" i="17"/>
  <c r="H162" i="17"/>
  <c r="B163" i="17"/>
  <c r="C163" i="17"/>
  <c r="D163" i="17"/>
  <c r="E163" i="17"/>
  <c r="F163" i="17"/>
  <c r="G163" i="17"/>
  <c r="H163" i="17"/>
  <c r="B164" i="17"/>
  <c r="C164" i="17"/>
  <c r="D164" i="17"/>
  <c r="E164" i="17"/>
  <c r="F164" i="17"/>
  <c r="G164" i="17"/>
  <c r="H164" i="17"/>
  <c r="B165" i="17"/>
  <c r="C165" i="17"/>
  <c r="D165" i="17"/>
  <c r="E165" i="17"/>
  <c r="F165" i="17"/>
  <c r="G165" i="17"/>
  <c r="H165" i="17"/>
  <c r="B166" i="17"/>
  <c r="C166" i="17"/>
  <c r="D166" i="17"/>
  <c r="E166" i="17"/>
  <c r="F166" i="17"/>
  <c r="G166" i="17"/>
  <c r="H166" i="17"/>
  <c r="B167" i="17"/>
  <c r="C167" i="17"/>
  <c r="D167" i="17"/>
  <c r="E167" i="17"/>
  <c r="F167" i="17"/>
  <c r="G167" i="17"/>
  <c r="H167" i="17"/>
  <c r="B168" i="17"/>
  <c r="C168" i="17"/>
  <c r="D168" i="17"/>
  <c r="E168" i="17"/>
  <c r="F168" i="17"/>
  <c r="G168" i="17"/>
  <c r="H168" i="17"/>
  <c r="B169" i="17"/>
  <c r="C169" i="17"/>
  <c r="D169" i="17"/>
  <c r="E169" i="17"/>
  <c r="F169" i="17"/>
  <c r="G169" i="17"/>
  <c r="H169" i="17"/>
  <c r="B170" i="17"/>
  <c r="C170" i="17"/>
  <c r="D170" i="17"/>
  <c r="E170" i="17"/>
  <c r="F170" i="17"/>
  <c r="G170" i="17"/>
  <c r="H170" i="17"/>
  <c r="B171" i="17"/>
  <c r="C171" i="17"/>
  <c r="D171" i="17"/>
  <c r="E171" i="17"/>
  <c r="F171" i="17"/>
  <c r="G171" i="17"/>
  <c r="H171" i="17"/>
  <c r="B172" i="17"/>
  <c r="C172" i="17"/>
  <c r="D172" i="17"/>
  <c r="E172" i="17"/>
  <c r="F172" i="17"/>
  <c r="G172" i="17"/>
  <c r="H172" i="17"/>
  <c r="B173" i="17"/>
  <c r="C173" i="17"/>
  <c r="D173" i="17"/>
  <c r="E173" i="17"/>
  <c r="F173" i="17"/>
  <c r="G173" i="17"/>
  <c r="H173" i="17"/>
  <c r="B174" i="17"/>
  <c r="C174" i="17"/>
  <c r="D174" i="17"/>
  <c r="E174" i="17"/>
  <c r="F174" i="17"/>
  <c r="G174" i="17"/>
  <c r="H174" i="17"/>
  <c r="B175" i="17"/>
  <c r="C175" i="17"/>
  <c r="D175" i="17"/>
  <c r="E175" i="17"/>
  <c r="F175" i="17"/>
  <c r="G175" i="17"/>
  <c r="H175" i="17"/>
  <c r="B176" i="17"/>
  <c r="C176" i="17"/>
  <c r="D176" i="17"/>
  <c r="E176" i="17"/>
  <c r="F176" i="17"/>
  <c r="G176" i="17"/>
  <c r="H176" i="17"/>
  <c r="B177" i="17"/>
  <c r="C177" i="17"/>
  <c r="D177" i="17"/>
  <c r="E177" i="17"/>
  <c r="F177" i="17"/>
  <c r="G177" i="17"/>
  <c r="H177" i="17"/>
  <c r="B178" i="17"/>
  <c r="C178" i="17"/>
  <c r="D178" i="17"/>
  <c r="E178" i="17"/>
  <c r="F178" i="17"/>
  <c r="G178" i="17"/>
  <c r="H178" i="17"/>
  <c r="B179" i="17"/>
  <c r="C179" i="17"/>
  <c r="D179" i="17"/>
  <c r="E179" i="17"/>
  <c r="F179" i="17"/>
  <c r="G179" i="17"/>
  <c r="H179" i="17"/>
  <c r="B180" i="17"/>
  <c r="C180" i="17"/>
  <c r="D180" i="17"/>
  <c r="E180" i="17"/>
  <c r="F180" i="17"/>
  <c r="G180" i="17"/>
  <c r="H180" i="17"/>
  <c r="B181" i="17"/>
  <c r="C181" i="17"/>
  <c r="D181" i="17"/>
  <c r="E181" i="17"/>
  <c r="F181" i="17"/>
  <c r="G181" i="17"/>
  <c r="H181" i="17"/>
  <c r="B182" i="17"/>
  <c r="C182" i="17"/>
  <c r="D182" i="17"/>
  <c r="E182" i="17"/>
  <c r="F182" i="17"/>
  <c r="G182" i="17"/>
  <c r="H182" i="17"/>
  <c r="B183" i="17"/>
  <c r="C183" i="17"/>
  <c r="D183" i="17"/>
  <c r="E183" i="17"/>
  <c r="F183" i="17"/>
  <c r="G183" i="17"/>
  <c r="H183" i="17"/>
  <c r="B184" i="17"/>
  <c r="C184" i="17"/>
  <c r="D184" i="17"/>
  <c r="E184" i="17"/>
  <c r="F184" i="17"/>
  <c r="G184" i="17"/>
  <c r="H184" i="17"/>
  <c r="B185" i="17"/>
  <c r="C185" i="17"/>
  <c r="D185" i="17"/>
  <c r="E185" i="17"/>
  <c r="F185" i="17"/>
  <c r="G185" i="17"/>
  <c r="H185" i="17"/>
  <c r="B186" i="17"/>
  <c r="C186" i="17"/>
  <c r="D186" i="17"/>
  <c r="E186" i="17"/>
  <c r="F186" i="17"/>
  <c r="G186" i="17"/>
  <c r="H186" i="17"/>
  <c r="B187" i="17"/>
  <c r="C187" i="17"/>
  <c r="D187" i="17"/>
  <c r="E187" i="17"/>
  <c r="F187" i="17"/>
  <c r="G187" i="17"/>
  <c r="H187" i="17"/>
  <c r="B188" i="17"/>
  <c r="C188" i="17"/>
  <c r="D188" i="17"/>
  <c r="E188" i="17"/>
  <c r="F188" i="17"/>
  <c r="G188" i="17"/>
  <c r="H188" i="17"/>
  <c r="B189" i="17"/>
  <c r="C189" i="17"/>
  <c r="D189" i="17"/>
  <c r="E189" i="17"/>
  <c r="F189" i="17"/>
  <c r="G189" i="17"/>
  <c r="H189" i="17"/>
  <c r="B190" i="17"/>
  <c r="C190" i="17"/>
  <c r="D190" i="17"/>
  <c r="E190" i="17"/>
  <c r="F190" i="17"/>
  <c r="G190" i="17"/>
  <c r="H190" i="17"/>
  <c r="B191" i="17"/>
  <c r="C191" i="17"/>
  <c r="D191" i="17"/>
  <c r="E191" i="17"/>
  <c r="F191" i="17"/>
  <c r="G191" i="17"/>
  <c r="H191" i="17"/>
  <c r="B192" i="17"/>
  <c r="C192" i="17"/>
  <c r="D192" i="17"/>
  <c r="E192" i="17"/>
  <c r="F192" i="17"/>
  <c r="G192" i="17"/>
  <c r="H192" i="17"/>
  <c r="B193" i="17"/>
  <c r="C193" i="17"/>
  <c r="D193" i="17"/>
  <c r="E193" i="17"/>
  <c r="F193" i="17"/>
  <c r="G193" i="17"/>
  <c r="H193" i="17"/>
  <c r="B194" i="17"/>
  <c r="C194" i="17"/>
  <c r="D194" i="17"/>
  <c r="E194" i="17"/>
  <c r="F194" i="17"/>
  <c r="G194" i="17"/>
  <c r="H194" i="17"/>
  <c r="B195" i="17"/>
  <c r="C195" i="17"/>
  <c r="D195" i="17"/>
  <c r="E195" i="17"/>
  <c r="F195" i="17"/>
  <c r="G195" i="17"/>
  <c r="H195" i="17"/>
  <c r="B196" i="17"/>
  <c r="C196" i="17"/>
  <c r="D196" i="17"/>
  <c r="E196" i="17"/>
  <c r="F196" i="17"/>
  <c r="G196" i="17"/>
  <c r="H196" i="17"/>
  <c r="B197" i="17"/>
  <c r="C197" i="17"/>
  <c r="D197" i="17"/>
  <c r="E197" i="17"/>
  <c r="F197" i="17"/>
  <c r="G197" i="17"/>
  <c r="H197" i="17"/>
  <c r="B198" i="17"/>
  <c r="C198" i="17"/>
  <c r="D198" i="17"/>
  <c r="E198" i="17"/>
  <c r="F198" i="17"/>
  <c r="G198" i="17"/>
  <c r="H198" i="17"/>
  <c r="B199" i="17"/>
  <c r="C199" i="17"/>
  <c r="D199" i="17"/>
  <c r="E199" i="17"/>
  <c r="F199" i="17"/>
  <c r="G199" i="17"/>
  <c r="H199" i="17"/>
  <c r="A13" i="13" l="1"/>
  <c r="C13" i="13"/>
  <c r="H13" i="13"/>
  <c r="I13" i="13"/>
  <c r="A14" i="13"/>
  <c r="C14" i="13"/>
  <c r="G14" i="13"/>
  <c r="H14" i="13"/>
  <c r="I14" i="13"/>
  <c r="A15" i="13"/>
  <c r="C15" i="13"/>
  <c r="G15" i="13"/>
  <c r="H15" i="13"/>
  <c r="I15" i="13"/>
  <c r="A16" i="13"/>
  <c r="C16" i="13"/>
  <c r="G16" i="13"/>
  <c r="H16" i="13"/>
  <c r="I16" i="13"/>
  <c r="A17" i="13"/>
  <c r="C17" i="13"/>
  <c r="G17" i="13"/>
  <c r="H17" i="13"/>
  <c r="I17" i="13"/>
  <c r="A18" i="13"/>
  <c r="C18" i="13"/>
  <c r="G18" i="13"/>
  <c r="H18" i="13"/>
  <c r="I18" i="13"/>
  <c r="A19" i="13"/>
  <c r="C19" i="13"/>
  <c r="G19" i="13"/>
  <c r="H19" i="13"/>
  <c r="I19" i="13"/>
  <c r="A20" i="13"/>
  <c r="C20" i="13"/>
  <c r="G20" i="13"/>
  <c r="H20" i="13"/>
  <c r="I20" i="13"/>
  <c r="A21" i="13"/>
  <c r="C21" i="13"/>
  <c r="G21" i="13"/>
  <c r="H21" i="13"/>
  <c r="I21" i="13"/>
  <c r="A22" i="13"/>
  <c r="C22" i="13"/>
  <c r="A23" i="13"/>
  <c r="C23" i="13"/>
  <c r="G23" i="13"/>
  <c r="H23" i="13"/>
  <c r="I23" i="13"/>
  <c r="A24" i="13"/>
  <c r="C24" i="13"/>
  <c r="A25" i="13"/>
  <c r="C25" i="13"/>
  <c r="H25" i="13"/>
  <c r="I25" i="13"/>
  <c r="A26" i="13"/>
  <c r="C26" i="13"/>
  <c r="H26" i="13"/>
  <c r="I26" i="13"/>
  <c r="A27" i="13"/>
  <c r="C27" i="13"/>
  <c r="I27" i="13"/>
  <c r="A28" i="13"/>
  <c r="C28" i="13"/>
  <c r="G28" i="13"/>
  <c r="H28" i="13"/>
  <c r="I28" i="13"/>
  <c r="A29" i="13"/>
  <c r="C29" i="13"/>
  <c r="I29" i="13"/>
  <c r="A30" i="13"/>
  <c r="C30" i="13"/>
  <c r="I30" i="13"/>
  <c r="A31" i="13"/>
  <c r="C31" i="13"/>
  <c r="I31" i="13"/>
  <c r="A32" i="13"/>
  <c r="C32" i="13"/>
  <c r="I32" i="13"/>
  <c r="A33" i="13"/>
  <c r="C33" i="13"/>
  <c r="I33" i="13"/>
  <c r="A34" i="13"/>
  <c r="C34" i="13"/>
  <c r="I34" i="13"/>
  <c r="A35" i="13"/>
  <c r="C35" i="13"/>
  <c r="A36" i="13"/>
  <c r="C36" i="13"/>
  <c r="I36" i="13"/>
  <c r="A37" i="13"/>
  <c r="C37" i="13"/>
  <c r="I37" i="13"/>
  <c r="A38" i="13"/>
  <c r="C38" i="13"/>
  <c r="A39" i="13"/>
  <c r="C39" i="13"/>
  <c r="I39" i="13"/>
  <c r="A40" i="13"/>
  <c r="C40" i="13"/>
  <c r="A41" i="13"/>
  <c r="C41" i="13"/>
  <c r="H41" i="13"/>
  <c r="I41" i="13"/>
  <c r="A42" i="13"/>
  <c r="C42" i="13"/>
  <c r="H42" i="13"/>
  <c r="I42" i="13"/>
  <c r="A43" i="13"/>
  <c r="C43" i="13"/>
  <c r="G43" i="13"/>
  <c r="H43" i="13"/>
  <c r="I43" i="13"/>
  <c r="A44" i="13"/>
  <c r="C44" i="13"/>
  <c r="H44" i="13"/>
  <c r="I44" i="13"/>
  <c r="A45" i="13"/>
  <c r="C45" i="13"/>
  <c r="G45" i="13"/>
  <c r="H45" i="13"/>
  <c r="I45" i="13"/>
  <c r="A46" i="13"/>
  <c r="C46" i="13"/>
  <c r="H46" i="13"/>
  <c r="I46" i="13"/>
  <c r="A47" i="13"/>
  <c r="C47" i="13"/>
  <c r="H47" i="13"/>
  <c r="I47" i="13"/>
  <c r="A48" i="13"/>
  <c r="C48" i="13"/>
  <c r="I48" i="13"/>
  <c r="A49" i="13"/>
  <c r="C49" i="13"/>
  <c r="H49" i="13"/>
  <c r="I49" i="13"/>
  <c r="A50" i="13"/>
  <c r="C50" i="13"/>
  <c r="H50" i="13"/>
  <c r="I50" i="13"/>
  <c r="A51" i="13"/>
  <c r="C51" i="13"/>
  <c r="A52" i="13"/>
  <c r="C52" i="13"/>
  <c r="A53" i="13"/>
  <c r="C53" i="13"/>
  <c r="A54" i="13"/>
  <c r="C54" i="13"/>
  <c r="I54" i="13"/>
  <c r="A55" i="13"/>
  <c r="C55" i="13"/>
  <c r="H55" i="13"/>
  <c r="I55" i="13"/>
  <c r="A56" i="13"/>
  <c r="C56" i="13"/>
  <c r="H56" i="13"/>
  <c r="I56" i="13"/>
  <c r="A57" i="13"/>
  <c r="C57" i="13"/>
  <c r="I57" i="13"/>
  <c r="A58" i="13"/>
  <c r="C58" i="13"/>
  <c r="A59" i="13"/>
  <c r="C59" i="13"/>
  <c r="A60" i="13"/>
  <c r="C60" i="13"/>
  <c r="A61" i="13"/>
  <c r="C61" i="13"/>
  <c r="A62" i="13"/>
  <c r="C62" i="13"/>
  <c r="H62" i="13"/>
  <c r="I62" i="13"/>
  <c r="A63" i="13"/>
  <c r="C63" i="13"/>
  <c r="H63" i="13"/>
  <c r="I63" i="13"/>
  <c r="A64" i="13"/>
  <c r="C64" i="13"/>
  <c r="H64" i="13"/>
  <c r="I64" i="13"/>
  <c r="A65" i="13"/>
  <c r="C65" i="13"/>
  <c r="G65" i="13"/>
  <c r="H65" i="13"/>
  <c r="I65" i="13"/>
  <c r="A66" i="13"/>
  <c r="C66" i="13"/>
  <c r="A67" i="13"/>
  <c r="C67" i="13"/>
  <c r="A68" i="13"/>
  <c r="C68" i="13"/>
  <c r="A69" i="13"/>
  <c r="C69" i="13"/>
  <c r="A70" i="13"/>
  <c r="C70" i="13"/>
  <c r="A71" i="13"/>
  <c r="C71" i="13"/>
  <c r="A72" i="13"/>
  <c r="C72" i="13"/>
  <c r="I72" i="13"/>
  <c r="A73" i="13"/>
  <c r="C73" i="13"/>
  <c r="I73" i="13"/>
  <c r="A74" i="13"/>
  <c r="C74" i="13"/>
  <c r="I74" i="13"/>
  <c r="A75" i="13"/>
  <c r="C75" i="13"/>
  <c r="I75" i="13"/>
  <c r="A76" i="13"/>
  <c r="C76" i="13"/>
  <c r="I76" i="13"/>
  <c r="A77" i="13"/>
  <c r="C77" i="13"/>
  <c r="I77" i="13"/>
  <c r="A78" i="13"/>
  <c r="C78" i="13"/>
  <c r="A79" i="13"/>
  <c r="C79" i="13"/>
  <c r="A80" i="13"/>
  <c r="C80" i="13"/>
  <c r="I80" i="13"/>
  <c r="A81" i="13"/>
  <c r="C81" i="13"/>
  <c r="I81" i="13"/>
  <c r="A82" i="13"/>
  <c r="C82" i="13"/>
  <c r="A83" i="13"/>
  <c r="C83" i="13"/>
  <c r="H83" i="13"/>
  <c r="I83" i="13"/>
  <c r="A84" i="13"/>
  <c r="C84" i="13"/>
  <c r="A85" i="13"/>
  <c r="C85" i="13"/>
  <c r="H85" i="13"/>
  <c r="I85" i="13"/>
  <c r="A86" i="13"/>
  <c r="C86" i="13"/>
  <c r="G86" i="13"/>
  <c r="H86" i="13"/>
  <c r="I86" i="13"/>
  <c r="A87" i="13"/>
  <c r="C87" i="13"/>
  <c r="G87" i="13"/>
  <c r="H87" i="13"/>
  <c r="I87" i="13"/>
  <c r="A88" i="13"/>
  <c r="C88" i="13"/>
  <c r="G88" i="13"/>
  <c r="H88" i="13"/>
  <c r="I88" i="13"/>
  <c r="A89" i="13"/>
  <c r="C89" i="13"/>
  <c r="G89" i="13"/>
  <c r="H89" i="13"/>
  <c r="I89" i="13"/>
  <c r="A90" i="13"/>
  <c r="C90" i="13"/>
  <c r="H90" i="13"/>
  <c r="I90" i="13"/>
  <c r="A91" i="13"/>
  <c r="C91" i="13"/>
  <c r="I91" i="13"/>
  <c r="A92" i="13"/>
  <c r="C92" i="13"/>
  <c r="H92" i="13"/>
  <c r="I92" i="13"/>
  <c r="A93" i="13"/>
  <c r="C93" i="13"/>
  <c r="H93" i="13"/>
  <c r="I93" i="13"/>
  <c r="A94" i="13"/>
  <c r="C94" i="13"/>
  <c r="I94" i="13"/>
  <c r="A95" i="13"/>
  <c r="C95" i="13"/>
  <c r="A96" i="13"/>
  <c r="C96" i="13"/>
  <c r="I96" i="13"/>
  <c r="A97" i="13"/>
  <c r="C97" i="13"/>
  <c r="I97" i="13"/>
  <c r="A98" i="13"/>
  <c r="C98" i="13"/>
  <c r="I98" i="13"/>
  <c r="A99" i="13"/>
  <c r="C99" i="13"/>
  <c r="A100" i="13"/>
  <c r="C100" i="13"/>
  <c r="A101" i="13"/>
  <c r="C101" i="13"/>
  <c r="A102" i="13"/>
  <c r="C102" i="13"/>
  <c r="I102" i="13"/>
  <c r="A103" i="13"/>
  <c r="C103" i="13"/>
  <c r="A104" i="13"/>
  <c r="C104" i="13"/>
  <c r="A105" i="13"/>
  <c r="C105" i="13"/>
  <c r="A106" i="13"/>
  <c r="C106" i="13"/>
  <c r="A107" i="13"/>
  <c r="C107" i="13"/>
  <c r="H107" i="13"/>
  <c r="I107" i="13"/>
  <c r="A108" i="13"/>
  <c r="C108" i="13"/>
  <c r="I108" i="13"/>
  <c r="A109" i="13"/>
  <c r="C109" i="13"/>
  <c r="I109" i="13"/>
  <c r="A110" i="13"/>
  <c r="C110" i="13"/>
  <c r="A111" i="13"/>
  <c r="C111" i="13"/>
  <c r="I111" i="13"/>
  <c r="A112" i="13"/>
  <c r="C112" i="13"/>
  <c r="I112" i="13"/>
  <c r="A113" i="13"/>
  <c r="C113" i="13"/>
  <c r="I113" i="13"/>
  <c r="A114" i="13"/>
  <c r="C114" i="13"/>
  <c r="H114" i="13"/>
  <c r="I114" i="13"/>
  <c r="A115" i="13"/>
  <c r="C115" i="13"/>
  <c r="H115" i="13"/>
  <c r="I115" i="13"/>
  <c r="A116" i="13"/>
  <c r="C116" i="13"/>
  <c r="A117" i="13"/>
  <c r="C117" i="13"/>
  <c r="G117" i="13"/>
  <c r="H117" i="13"/>
  <c r="I117" i="13"/>
  <c r="A118" i="13"/>
  <c r="C118" i="13"/>
  <c r="H118" i="13"/>
  <c r="I118" i="13"/>
  <c r="A119" i="13"/>
  <c r="C119" i="13"/>
  <c r="G119" i="13"/>
  <c r="H119" i="13"/>
  <c r="I119" i="13"/>
  <c r="A120" i="13"/>
  <c r="C120" i="13"/>
  <c r="H120" i="13"/>
  <c r="I120" i="13"/>
  <c r="A121" i="13"/>
  <c r="C121" i="13"/>
  <c r="I121" i="13"/>
  <c r="A122" i="13"/>
  <c r="C122" i="13"/>
  <c r="A123" i="13"/>
  <c r="C123" i="13"/>
  <c r="A124" i="13"/>
  <c r="C124" i="13"/>
  <c r="A125" i="13"/>
  <c r="C125" i="13"/>
  <c r="A126" i="13"/>
  <c r="C126" i="13"/>
  <c r="A127" i="13"/>
  <c r="C127" i="13"/>
  <c r="A128" i="13"/>
  <c r="C128" i="13"/>
  <c r="A129" i="13"/>
  <c r="C129" i="13"/>
  <c r="A130" i="13"/>
  <c r="C130" i="13"/>
  <c r="A131" i="13"/>
  <c r="C131" i="13"/>
  <c r="A132" i="13"/>
  <c r="C132" i="13"/>
  <c r="A133" i="13"/>
  <c r="C133" i="13"/>
  <c r="A134" i="13"/>
  <c r="C134" i="13"/>
  <c r="A135" i="13"/>
  <c r="C135" i="13"/>
  <c r="A136" i="13"/>
  <c r="C136" i="13"/>
  <c r="A137" i="13"/>
  <c r="C137" i="13"/>
  <c r="A138" i="13"/>
  <c r="C138" i="13"/>
  <c r="A139" i="13"/>
  <c r="C139" i="13"/>
  <c r="A140" i="13"/>
  <c r="C140" i="13"/>
  <c r="A141" i="13"/>
  <c r="C141" i="13"/>
  <c r="A142" i="13"/>
  <c r="C142" i="13"/>
  <c r="A143" i="13"/>
  <c r="C143" i="13"/>
  <c r="A144" i="13"/>
  <c r="C144" i="13"/>
  <c r="A145" i="13"/>
  <c r="C145" i="13"/>
  <c r="I145" i="13"/>
  <c r="A146" i="13"/>
  <c r="C146" i="13"/>
  <c r="H146" i="13"/>
  <c r="I146" i="13"/>
  <c r="A147" i="13"/>
  <c r="C147" i="13"/>
  <c r="I147" i="13"/>
  <c r="A148" i="13"/>
  <c r="C148" i="13"/>
  <c r="A149" i="13"/>
  <c r="C149" i="13"/>
  <c r="A150" i="13"/>
  <c r="C150" i="13"/>
  <c r="A151" i="13"/>
  <c r="C151" i="13"/>
  <c r="I151" i="13"/>
  <c r="A152" i="13"/>
  <c r="C152" i="13"/>
  <c r="H152" i="13"/>
  <c r="I152" i="13"/>
  <c r="A153" i="13"/>
  <c r="C153" i="13"/>
  <c r="I153" i="13"/>
  <c r="A154" i="13"/>
  <c r="C154" i="13"/>
  <c r="I154" i="13"/>
  <c r="A155" i="13"/>
  <c r="C155" i="13"/>
  <c r="H155" i="13"/>
  <c r="I155" i="13"/>
  <c r="A156" i="13"/>
  <c r="C156" i="13"/>
  <c r="I156" i="13"/>
  <c r="A157" i="13"/>
  <c r="C157" i="13"/>
  <c r="I157" i="13"/>
  <c r="A158" i="13"/>
  <c r="C158" i="13"/>
  <c r="H158" i="13"/>
  <c r="I158" i="13"/>
  <c r="A159" i="13"/>
  <c r="C159" i="13"/>
  <c r="I159" i="13"/>
  <c r="A160" i="13"/>
  <c r="C160" i="13"/>
  <c r="I160" i="13"/>
  <c r="A161" i="13"/>
  <c r="C161" i="13"/>
  <c r="I161" i="13"/>
  <c r="A162" i="13"/>
  <c r="C162" i="13"/>
  <c r="A163" i="13"/>
  <c r="C163" i="13"/>
  <c r="H163" i="13"/>
  <c r="I163" i="13"/>
  <c r="A164" i="13"/>
  <c r="C164" i="13"/>
  <c r="A165" i="13"/>
  <c r="C165" i="13"/>
  <c r="A166" i="13"/>
  <c r="C166" i="13"/>
  <c r="A167" i="13"/>
  <c r="C167" i="13"/>
  <c r="H167" i="13"/>
  <c r="I167" i="13"/>
  <c r="A168" i="13"/>
  <c r="C168" i="13"/>
  <c r="G168" i="13"/>
  <c r="H168" i="13"/>
  <c r="I168" i="13"/>
  <c r="A169" i="13"/>
  <c r="C169" i="13"/>
  <c r="G169" i="13"/>
  <c r="H169" i="13"/>
  <c r="I169" i="13"/>
  <c r="A170" i="13"/>
  <c r="C170" i="13"/>
  <c r="I170" i="13"/>
  <c r="A171" i="13"/>
  <c r="C171" i="13"/>
  <c r="I171" i="13"/>
  <c r="A172" i="13"/>
  <c r="C172" i="13"/>
  <c r="I172" i="13"/>
  <c r="A173" i="13"/>
  <c r="C173" i="13"/>
  <c r="I173" i="13"/>
  <c r="A174" i="13"/>
  <c r="C174" i="13"/>
  <c r="A175" i="13"/>
  <c r="C175" i="13"/>
  <c r="A176" i="13"/>
  <c r="C176" i="13"/>
  <c r="A177" i="13"/>
  <c r="C177" i="13"/>
  <c r="G177" i="13"/>
  <c r="H177" i="13"/>
  <c r="I177" i="13"/>
  <c r="A178" i="13"/>
  <c r="C178" i="13"/>
  <c r="I178" i="13"/>
  <c r="A179" i="13"/>
  <c r="C179" i="13"/>
  <c r="I179" i="13"/>
  <c r="A180" i="13"/>
  <c r="C180" i="13"/>
  <c r="A181" i="13"/>
  <c r="C181" i="13"/>
  <c r="A182" i="13"/>
  <c r="C182" i="13"/>
  <c r="I182" i="13"/>
  <c r="A183" i="13"/>
  <c r="C183" i="13"/>
  <c r="A184" i="13"/>
  <c r="C184" i="13"/>
  <c r="I184" i="13"/>
  <c r="A185" i="13"/>
  <c r="C185" i="13"/>
  <c r="I185" i="13"/>
  <c r="A186" i="13"/>
  <c r="C186" i="13"/>
  <c r="I186" i="13"/>
  <c r="A187" i="13"/>
  <c r="C187" i="13"/>
  <c r="I187" i="13"/>
  <c r="A188" i="13"/>
  <c r="C188" i="13"/>
  <c r="H188" i="13"/>
  <c r="I188" i="13"/>
  <c r="A189" i="13"/>
  <c r="C189" i="13"/>
  <c r="I189" i="13"/>
  <c r="A190" i="13"/>
  <c r="C190" i="13"/>
  <c r="I190" i="13"/>
  <c r="A191" i="13"/>
  <c r="C191" i="13"/>
  <c r="I191" i="13"/>
  <c r="A192" i="13"/>
  <c r="C192" i="13"/>
  <c r="I192" i="13"/>
  <c r="A193" i="13"/>
  <c r="C193" i="13"/>
  <c r="G193" i="13"/>
  <c r="H193" i="13"/>
  <c r="I193" i="13"/>
  <c r="A194" i="13"/>
  <c r="C194" i="13"/>
  <c r="H194" i="13"/>
  <c r="I194" i="13"/>
  <c r="A195" i="13"/>
  <c r="C195" i="13"/>
  <c r="H195" i="13"/>
  <c r="I195" i="13"/>
  <c r="A196" i="13"/>
  <c r="C196" i="13"/>
  <c r="I196" i="13"/>
  <c r="A197" i="13"/>
  <c r="C197" i="13"/>
  <c r="I197" i="13"/>
  <c r="A198" i="13"/>
  <c r="C198" i="13"/>
  <c r="I198" i="13"/>
  <c r="A199" i="13"/>
  <c r="C199" i="13"/>
  <c r="F199" i="13"/>
  <c r="I199" i="13"/>
  <c r="A200" i="13"/>
  <c r="C200" i="13"/>
  <c r="F200" i="13"/>
  <c r="I200" i="13"/>
  <c r="A201" i="13"/>
  <c r="C201" i="13"/>
  <c r="F201" i="13"/>
  <c r="G201" i="13"/>
  <c r="H201" i="13"/>
  <c r="I201" i="13"/>
  <c r="A202" i="13"/>
  <c r="C202" i="13"/>
  <c r="F202" i="13"/>
  <c r="H202" i="13"/>
  <c r="I202" i="13"/>
  <c r="A203" i="13"/>
  <c r="C203" i="13"/>
  <c r="F203" i="13"/>
  <c r="H203" i="13"/>
  <c r="I203" i="13"/>
  <c r="A204" i="13"/>
  <c r="C204" i="13"/>
  <c r="F204" i="13"/>
  <c r="I204" i="13"/>
  <c r="A205" i="13"/>
  <c r="C205" i="13"/>
  <c r="F205" i="13"/>
  <c r="G205" i="13"/>
  <c r="H205" i="13"/>
  <c r="I205" i="13"/>
  <c r="A206" i="13"/>
  <c r="C206" i="13"/>
  <c r="F206" i="13"/>
  <c r="G206" i="13"/>
  <c r="H206" i="13"/>
  <c r="I206" i="13"/>
  <c r="A207" i="13"/>
  <c r="C207" i="13"/>
  <c r="F207" i="13"/>
  <c r="H207" i="13"/>
  <c r="I207" i="13"/>
  <c r="A208" i="13"/>
  <c r="C208" i="13"/>
  <c r="F208" i="13"/>
  <c r="G208" i="13"/>
  <c r="H208" i="13"/>
  <c r="I208" i="13"/>
  <c r="A209" i="13"/>
  <c r="C209" i="13"/>
  <c r="F209" i="13"/>
  <c r="G209" i="13"/>
  <c r="H209" i="13"/>
  <c r="I209" i="13"/>
  <c r="A210" i="13"/>
  <c r="C210" i="13"/>
  <c r="A203" i="17"/>
  <c r="F210" i="13"/>
  <c r="G210" i="13"/>
  <c r="H210" i="13"/>
  <c r="I210" i="13"/>
  <c r="A211" i="13"/>
  <c r="C211" i="13"/>
  <c r="A204" i="17"/>
  <c r="F211" i="13"/>
  <c r="G211" i="13"/>
  <c r="H211" i="13"/>
  <c r="I211" i="13"/>
  <c r="A212" i="13"/>
  <c r="C212" i="13"/>
  <c r="A205" i="17"/>
  <c r="F212" i="13"/>
  <c r="G212" i="13"/>
  <c r="H212" i="13"/>
  <c r="I212" i="13"/>
  <c r="A213" i="13"/>
  <c r="C213" i="13"/>
  <c r="A206" i="17"/>
  <c r="F213" i="13"/>
  <c r="G213" i="13"/>
  <c r="H213" i="13"/>
  <c r="I213" i="13"/>
  <c r="A214" i="13"/>
  <c r="C214" i="13"/>
  <c r="A207" i="17"/>
  <c r="F214" i="13"/>
  <c r="G214" i="13"/>
  <c r="H214" i="13"/>
  <c r="I214" i="13"/>
  <c r="A215" i="13"/>
  <c r="C215" i="13"/>
  <c r="A208" i="17"/>
  <c r="F215" i="13"/>
  <c r="G215" i="13"/>
  <c r="H215" i="13"/>
  <c r="I215" i="13"/>
  <c r="A216" i="13"/>
  <c r="C216" i="13"/>
  <c r="A209" i="17"/>
  <c r="F216" i="13"/>
  <c r="G216" i="13"/>
  <c r="H216" i="13"/>
  <c r="I216" i="13"/>
  <c r="A217" i="13"/>
  <c r="C217" i="13"/>
  <c r="A210" i="17"/>
  <c r="F217" i="13"/>
  <c r="G217" i="13"/>
  <c r="H217" i="13"/>
  <c r="I217" i="13"/>
  <c r="A218" i="13"/>
  <c r="C218" i="13"/>
  <c r="A211" i="17"/>
  <c r="F218" i="13"/>
  <c r="G218" i="13"/>
  <c r="H218" i="13"/>
  <c r="I218" i="13"/>
  <c r="A219" i="13"/>
  <c r="C219" i="13"/>
  <c r="A212" i="17"/>
  <c r="F219" i="13"/>
  <c r="G219" i="13"/>
  <c r="H219" i="13"/>
  <c r="I219" i="13"/>
  <c r="A220" i="13"/>
  <c r="C220" i="13"/>
  <c r="A213" i="17"/>
  <c r="F220" i="13"/>
  <c r="G220" i="13"/>
  <c r="H220" i="13"/>
  <c r="I220" i="13"/>
  <c r="A221" i="13"/>
  <c r="C221" i="13"/>
  <c r="A214" i="17"/>
  <c r="F221" i="13"/>
  <c r="G221" i="13"/>
  <c r="H221" i="13"/>
  <c r="I221" i="13"/>
  <c r="A222" i="13"/>
  <c r="C222" i="13"/>
  <c r="A215" i="17"/>
  <c r="F222" i="13"/>
  <c r="G222" i="13"/>
  <c r="H222" i="13"/>
  <c r="I222" i="13"/>
  <c r="A223" i="13"/>
  <c r="C223" i="13"/>
  <c r="A216" i="17"/>
  <c r="F223" i="13"/>
  <c r="G223" i="13"/>
  <c r="H223" i="13"/>
  <c r="I223" i="13"/>
  <c r="A224" i="13"/>
  <c r="C224" i="13"/>
  <c r="A217" i="17"/>
  <c r="F224" i="13"/>
  <c r="G224" i="13"/>
  <c r="H224" i="13"/>
  <c r="I224" i="13"/>
  <c r="A225" i="13"/>
  <c r="C225" i="13"/>
  <c r="A218" i="17"/>
  <c r="F225" i="13"/>
  <c r="G225" i="13"/>
  <c r="H225" i="13"/>
  <c r="I225" i="13"/>
  <c r="A226" i="13"/>
  <c r="C226" i="13"/>
  <c r="A219" i="17"/>
  <c r="F226" i="13"/>
  <c r="G226" i="13"/>
  <c r="H226" i="13"/>
  <c r="I226" i="13"/>
  <c r="A227" i="13"/>
  <c r="C227" i="13"/>
  <c r="A220" i="17"/>
  <c r="F227" i="13"/>
  <c r="G227" i="13"/>
  <c r="H227" i="13"/>
  <c r="I227" i="13"/>
  <c r="A228" i="13"/>
  <c r="C228" i="13"/>
  <c r="A221" i="17"/>
  <c r="F228" i="13"/>
  <c r="G228" i="13"/>
  <c r="H228" i="13"/>
  <c r="I228" i="13"/>
  <c r="A229" i="13"/>
  <c r="C229" i="13"/>
  <c r="A222" i="17"/>
  <c r="F229" i="13"/>
  <c r="G229" i="13"/>
  <c r="H229" i="13"/>
  <c r="I229" i="13"/>
  <c r="A230" i="13"/>
  <c r="C230" i="13"/>
  <c r="A223" i="17"/>
  <c r="F230" i="13"/>
  <c r="G230" i="13"/>
  <c r="H230" i="13"/>
  <c r="I230" i="13"/>
  <c r="A231" i="13"/>
  <c r="C231" i="13"/>
  <c r="A224" i="17"/>
  <c r="F231" i="13"/>
  <c r="G231" i="13"/>
  <c r="H231" i="13"/>
  <c r="I231" i="13"/>
  <c r="A232" i="13"/>
  <c r="C232" i="13"/>
  <c r="A225" i="17"/>
  <c r="F232" i="13"/>
  <c r="G232" i="13"/>
  <c r="H232" i="13"/>
  <c r="I232" i="13"/>
  <c r="A233" i="13"/>
  <c r="C233" i="13"/>
  <c r="A226" i="17"/>
  <c r="F233" i="13"/>
  <c r="G233" i="13"/>
  <c r="H233" i="13"/>
  <c r="I233" i="13"/>
  <c r="A234" i="13"/>
  <c r="C234" i="13"/>
  <c r="A227" i="17"/>
  <c r="F234" i="13"/>
  <c r="G234" i="13"/>
  <c r="H234" i="13"/>
  <c r="I234" i="13"/>
  <c r="A235" i="13"/>
  <c r="C235" i="13"/>
  <c r="A228" i="17"/>
  <c r="F235" i="13"/>
  <c r="G235" i="13"/>
  <c r="H235" i="13"/>
  <c r="I235" i="13"/>
  <c r="A236" i="13"/>
  <c r="C236" i="13"/>
  <c r="A229" i="17"/>
  <c r="F236" i="13"/>
  <c r="G236" i="13"/>
  <c r="H236" i="13"/>
  <c r="I236" i="13"/>
  <c r="A237" i="13"/>
  <c r="C237" i="13"/>
  <c r="A230" i="17"/>
  <c r="F237" i="13"/>
  <c r="G237" i="13"/>
  <c r="H237" i="13"/>
  <c r="I237" i="13"/>
  <c r="A238" i="13"/>
  <c r="C238" i="13"/>
  <c r="A231" i="17"/>
  <c r="F238" i="13"/>
  <c r="G238" i="13"/>
  <c r="H238" i="13"/>
  <c r="I238" i="13"/>
  <c r="A239" i="13"/>
  <c r="C239" i="13"/>
  <c r="A232" i="17"/>
  <c r="F239" i="13"/>
  <c r="G239" i="13"/>
  <c r="H239" i="13"/>
  <c r="I239" i="13"/>
  <c r="A240" i="13"/>
  <c r="C240" i="13"/>
  <c r="A233" i="17"/>
  <c r="F240" i="13"/>
  <c r="G240" i="13"/>
  <c r="H240" i="13"/>
  <c r="I240" i="13"/>
  <c r="A241" i="13"/>
  <c r="C241" i="13"/>
  <c r="A234" i="17"/>
  <c r="F241" i="13"/>
  <c r="G241" i="13"/>
  <c r="H241" i="13"/>
  <c r="I241" i="13"/>
  <c r="A242" i="13"/>
  <c r="C242" i="13"/>
  <c r="A235" i="17"/>
  <c r="F242" i="13"/>
  <c r="G242" i="13"/>
  <c r="H242" i="13"/>
  <c r="I242" i="13"/>
  <c r="A243" i="13"/>
  <c r="C243" i="13"/>
  <c r="A236" i="17"/>
  <c r="F243" i="13"/>
  <c r="G243" i="13"/>
  <c r="H243" i="13"/>
  <c r="I243" i="13"/>
  <c r="A244" i="13"/>
  <c r="C244" i="13"/>
  <c r="A237" i="17"/>
  <c r="F244" i="13"/>
  <c r="G244" i="13"/>
  <c r="H244" i="13"/>
  <c r="I244" i="13"/>
  <c r="A245" i="13"/>
  <c r="C245" i="13"/>
  <c r="A238" i="17"/>
  <c r="F245" i="13"/>
  <c r="G245" i="13"/>
  <c r="H245" i="13"/>
  <c r="I245" i="13"/>
  <c r="A246" i="13"/>
  <c r="C246" i="13"/>
  <c r="A239" i="17"/>
  <c r="F246" i="13"/>
  <c r="G246" i="13"/>
  <c r="H246" i="13"/>
  <c r="I246" i="13"/>
  <c r="A247" i="13"/>
  <c r="C247" i="13"/>
  <c r="A240" i="17"/>
  <c r="F247" i="13"/>
  <c r="G247" i="13"/>
  <c r="H247" i="13"/>
  <c r="I247" i="13"/>
  <c r="A248" i="13"/>
  <c r="C248" i="13"/>
  <c r="A241" i="17"/>
  <c r="F248" i="13"/>
  <c r="G248" i="13"/>
  <c r="H248" i="13"/>
  <c r="I248" i="13"/>
  <c r="A249" i="13"/>
  <c r="C249" i="13"/>
  <c r="A242" i="17"/>
  <c r="F249" i="13"/>
  <c r="G249" i="13"/>
  <c r="H249" i="13"/>
  <c r="I249" i="13"/>
  <c r="A250" i="13"/>
  <c r="C250" i="13"/>
  <c r="A243" i="17"/>
  <c r="F250" i="13"/>
  <c r="G250" i="13"/>
  <c r="H250" i="13"/>
  <c r="I250" i="13"/>
  <c r="A251" i="13"/>
  <c r="C251" i="13"/>
  <c r="A244" i="17"/>
  <c r="F251" i="13"/>
  <c r="G251" i="13"/>
  <c r="H251" i="13"/>
  <c r="I251" i="13"/>
  <c r="A252" i="13"/>
  <c r="C252" i="13"/>
  <c r="A245" i="17"/>
  <c r="F252" i="13"/>
  <c r="G252" i="13"/>
  <c r="H252" i="13"/>
  <c r="I252" i="13"/>
  <c r="A253" i="13"/>
  <c r="C253" i="13"/>
  <c r="A246" i="17"/>
  <c r="F253" i="13"/>
  <c r="G253" i="13"/>
  <c r="H253" i="13"/>
  <c r="I253" i="13"/>
  <c r="A254" i="13"/>
  <c r="C254" i="13"/>
  <c r="A247" i="17"/>
  <c r="F254" i="13"/>
  <c r="G254" i="13"/>
  <c r="H254" i="13"/>
  <c r="I254" i="13"/>
  <c r="A255" i="13"/>
  <c r="C255" i="13"/>
  <c r="A248" i="17"/>
  <c r="F255" i="13"/>
  <c r="G255" i="13"/>
  <c r="H255" i="13"/>
  <c r="I255" i="13"/>
  <c r="A256" i="13"/>
  <c r="C256" i="13"/>
  <c r="A249" i="17"/>
  <c r="F256" i="13"/>
  <c r="G256" i="13"/>
  <c r="H256" i="13"/>
  <c r="I256" i="13"/>
  <c r="A257" i="13"/>
  <c r="C257" i="13"/>
  <c r="A250" i="17"/>
  <c r="G257" i="13"/>
  <c r="H257" i="13"/>
  <c r="I257" i="13"/>
  <c r="A258" i="13"/>
  <c r="C258" i="13"/>
  <c r="A251" i="17"/>
  <c r="G258" i="13"/>
  <c r="H258" i="13"/>
  <c r="I258" i="13"/>
  <c r="A259" i="13"/>
  <c r="C259" i="13"/>
  <c r="A252" i="17"/>
  <c r="G259" i="13"/>
  <c r="H259" i="13"/>
  <c r="I259" i="13"/>
  <c r="A260" i="13"/>
  <c r="C260" i="13"/>
  <c r="A253" i="17"/>
  <c r="G260" i="13"/>
  <c r="H260" i="13"/>
  <c r="I260" i="13"/>
  <c r="A261" i="13"/>
  <c r="C261" i="13"/>
  <c r="A254" i="17"/>
  <c r="G261" i="13"/>
  <c r="H261" i="13"/>
  <c r="I261" i="13"/>
  <c r="F260" i="13" l="1"/>
  <c r="F197" i="13"/>
  <c r="F193" i="13"/>
  <c r="F191" i="13"/>
  <c r="F189" i="13"/>
  <c r="F188" i="13"/>
  <c r="F186" i="13"/>
  <c r="F184" i="13"/>
  <c r="F183" i="13"/>
  <c r="F179" i="13"/>
  <c r="F177" i="13"/>
  <c r="F176" i="13"/>
  <c r="F175" i="13"/>
  <c r="F174" i="13"/>
  <c r="F172" i="13"/>
  <c r="F170" i="13"/>
  <c r="F168" i="13"/>
  <c r="F167" i="13"/>
  <c r="F166" i="13"/>
  <c r="F165" i="13"/>
  <c r="F164" i="13"/>
  <c r="F163" i="13"/>
  <c r="F162" i="13"/>
  <c r="F160" i="13"/>
  <c r="F157" i="13"/>
  <c r="F154" i="13"/>
  <c r="F151" i="13"/>
  <c r="F150" i="13"/>
  <c r="F149" i="13"/>
  <c r="F148" i="13"/>
  <c r="F145" i="13"/>
  <c r="F144" i="13"/>
  <c r="F143" i="13"/>
  <c r="F142" i="13"/>
  <c r="F141" i="13"/>
  <c r="F140" i="13"/>
  <c r="F139" i="13"/>
  <c r="F138" i="13"/>
  <c r="F137" i="13"/>
  <c r="F136" i="13"/>
  <c r="F135" i="13"/>
  <c r="F134" i="13"/>
  <c r="F133" i="13"/>
  <c r="F132" i="13"/>
  <c r="F131" i="13"/>
  <c r="F130" i="13"/>
  <c r="F129" i="13"/>
  <c r="F128" i="13"/>
  <c r="F127" i="13"/>
  <c r="F126" i="13"/>
  <c r="F125" i="13"/>
  <c r="F124" i="13"/>
  <c r="F123" i="13"/>
  <c r="F122" i="13"/>
  <c r="F119" i="13"/>
  <c r="F118" i="13"/>
  <c r="F113" i="13"/>
  <c r="F111" i="13"/>
  <c r="F110" i="13"/>
  <c r="F108" i="13"/>
  <c r="F107" i="13"/>
  <c r="F106" i="13"/>
  <c r="F105" i="13"/>
  <c r="F104" i="13"/>
  <c r="F103" i="13"/>
  <c r="F98" i="13"/>
  <c r="F96" i="13"/>
  <c r="F95" i="13"/>
  <c r="F91" i="13"/>
  <c r="F90" i="13"/>
  <c r="F88" i="13"/>
  <c r="F86" i="13"/>
  <c r="F85" i="13"/>
  <c r="F84" i="13"/>
  <c r="F83" i="13"/>
  <c r="F82" i="13"/>
  <c r="F80" i="13"/>
  <c r="F79" i="13"/>
  <c r="F78" i="13"/>
  <c r="F76" i="13"/>
  <c r="F74" i="13"/>
  <c r="F72" i="13"/>
  <c r="F71" i="13"/>
  <c r="F70" i="13"/>
  <c r="F69" i="13"/>
  <c r="F68" i="13"/>
  <c r="F67" i="13"/>
  <c r="F66" i="13"/>
  <c r="F57" i="13"/>
  <c r="F56" i="13"/>
  <c r="F55" i="13"/>
  <c r="F48" i="13"/>
  <c r="F47" i="13"/>
  <c r="F46" i="13"/>
  <c r="F43" i="13"/>
  <c r="F42" i="13"/>
  <c r="F41" i="13"/>
  <c r="F40" i="13"/>
  <c r="F37" i="13"/>
  <c r="F34" i="13"/>
  <c r="F32" i="13"/>
  <c r="F30" i="13"/>
  <c r="F28" i="13"/>
  <c r="F23" i="13"/>
  <c r="F22" i="13"/>
  <c r="F20" i="13"/>
  <c r="F18" i="13"/>
  <c r="F16" i="13"/>
  <c r="F14" i="13"/>
  <c r="F13" i="13"/>
  <c r="F261" i="13"/>
  <c r="F259" i="13"/>
  <c r="F257" i="13"/>
  <c r="F198" i="13"/>
  <c r="F196" i="13"/>
  <c r="F195" i="13"/>
  <c r="F194" i="13"/>
  <c r="F192" i="13"/>
  <c r="F190" i="13"/>
  <c r="F187" i="13"/>
  <c r="F185" i="13"/>
  <c r="F182" i="13"/>
  <c r="F181" i="13"/>
  <c r="F180" i="13"/>
  <c r="F178" i="13"/>
  <c r="F173" i="13"/>
  <c r="F171" i="13"/>
  <c r="F169" i="13"/>
  <c r="F161" i="13"/>
  <c r="F159" i="13"/>
  <c r="F158" i="13"/>
  <c r="F156" i="13"/>
  <c r="F155" i="13"/>
  <c r="F153" i="13"/>
  <c r="F152" i="13"/>
  <c r="F147" i="13"/>
  <c r="F146" i="13"/>
  <c r="F121" i="13"/>
  <c r="F120" i="13"/>
  <c r="F117" i="13"/>
  <c r="F116" i="13"/>
  <c r="F115" i="13"/>
  <c r="F114" i="13"/>
  <c r="F112" i="13"/>
  <c r="F109" i="13"/>
  <c r="F102" i="13"/>
  <c r="F101" i="13"/>
  <c r="F100" i="13"/>
  <c r="F99" i="13"/>
  <c r="F97" i="13"/>
  <c r="F94" i="13"/>
  <c r="F93" i="13"/>
  <c r="F92" i="13"/>
  <c r="F89" i="13"/>
  <c r="F87" i="13"/>
  <c r="F81" i="13"/>
  <c r="F77" i="13"/>
  <c r="F75" i="13"/>
  <c r="F73" i="13"/>
  <c r="F65" i="13"/>
  <c r="F64" i="13"/>
  <c r="F63" i="13"/>
  <c r="F62" i="13"/>
  <c r="F61" i="13"/>
  <c r="F60" i="13"/>
  <c r="F59" i="13"/>
  <c r="F58" i="13"/>
  <c r="F54" i="13"/>
  <c r="F53" i="13"/>
  <c r="F52" i="13"/>
  <c r="F51" i="13"/>
  <c r="F50" i="13"/>
  <c r="F49" i="13"/>
  <c r="F45" i="13"/>
  <c r="F44" i="13"/>
  <c r="F39" i="13"/>
  <c r="F38" i="13"/>
  <c r="F36" i="13"/>
  <c r="F35" i="13"/>
  <c r="F33" i="13"/>
  <c r="F31" i="13"/>
  <c r="F29" i="13"/>
  <c r="F27" i="13"/>
  <c r="F26" i="13"/>
  <c r="F25" i="13"/>
  <c r="F24" i="13"/>
  <c r="F21" i="13"/>
  <c r="F19" i="13"/>
  <c r="F17" i="13"/>
  <c r="F15" i="13"/>
  <c r="F258" i="13"/>
  <c r="B204" i="13"/>
  <c r="A197" i="17"/>
  <c r="B200" i="13"/>
  <c r="A193" i="17"/>
  <c r="B196" i="13"/>
  <c r="A189" i="17"/>
  <c r="B194" i="13"/>
  <c r="A187" i="17"/>
  <c r="B190" i="13"/>
  <c r="A183" i="17"/>
  <c r="B184" i="13"/>
  <c r="A177" i="17"/>
  <c r="B182" i="13"/>
  <c r="A175" i="17"/>
  <c r="B180" i="13"/>
  <c r="A173" i="17"/>
  <c r="B174" i="13"/>
  <c r="A167" i="17"/>
  <c r="B168" i="13"/>
  <c r="A161" i="17"/>
  <c r="B166" i="13"/>
  <c r="A159" i="17"/>
  <c r="B160" i="13"/>
  <c r="A153" i="17"/>
  <c r="B156" i="13"/>
  <c r="A149" i="17"/>
  <c r="B152" i="13"/>
  <c r="A145" i="17"/>
  <c r="B150" i="13"/>
  <c r="A143" i="17"/>
  <c r="B146" i="13"/>
  <c r="A139" i="17"/>
  <c r="B144" i="13"/>
  <c r="A137" i="17"/>
  <c r="B140" i="13"/>
  <c r="A133" i="17"/>
  <c r="B138" i="13"/>
  <c r="A131" i="17"/>
  <c r="B132" i="13"/>
  <c r="A125" i="17"/>
  <c r="B128" i="13"/>
  <c r="A121" i="17"/>
  <c r="B124" i="13"/>
  <c r="A117" i="17"/>
  <c r="B112" i="13"/>
  <c r="A105" i="17"/>
  <c r="B108" i="13"/>
  <c r="A101" i="17"/>
  <c r="B104" i="13"/>
  <c r="A97" i="17"/>
  <c r="B100" i="13"/>
  <c r="A93" i="17"/>
  <c r="B88" i="13"/>
  <c r="A81" i="17"/>
  <c r="B84" i="13"/>
  <c r="A77" i="17"/>
  <c r="B78" i="13"/>
  <c r="A71" i="17"/>
  <c r="B76" i="13"/>
  <c r="A69" i="17"/>
  <c r="B74" i="13"/>
  <c r="A67" i="17"/>
  <c r="B70" i="13"/>
  <c r="A63" i="17"/>
  <c r="B64" i="13"/>
  <c r="A57" i="17"/>
  <c r="B62" i="13"/>
  <c r="A55" i="17"/>
  <c r="B60" i="13"/>
  <c r="A53" i="17"/>
  <c r="B54" i="13"/>
  <c r="A47" i="17"/>
  <c r="B52" i="13"/>
  <c r="A45" i="17"/>
  <c r="B50" i="13"/>
  <c r="A43" i="17"/>
  <c r="B48" i="13"/>
  <c r="A41" i="17"/>
  <c r="B46" i="13"/>
  <c r="A39" i="17"/>
  <c r="B40" i="13"/>
  <c r="A33" i="17"/>
  <c r="B38" i="13"/>
  <c r="A31" i="17"/>
  <c r="B30" i="13"/>
  <c r="A23" i="17"/>
  <c r="B24" i="13"/>
  <c r="A17" i="17"/>
  <c r="B22" i="13"/>
  <c r="A15" i="17"/>
  <c r="B18" i="13"/>
  <c r="A11" i="17"/>
  <c r="B261" i="13"/>
  <c r="B259" i="13"/>
  <c r="B257" i="13"/>
  <c r="B255" i="13"/>
  <c r="B253" i="13"/>
  <c r="B251" i="13"/>
  <c r="B249" i="13"/>
  <c r="B247" i="13"/>
  <c r="B245" i="13"/>
  <c r="B243" i="13"/>
  <c r="B241" i="13"/>
  <c r="B239" i="13"/>
  <c r="B237" i="13"/>
  <c r="B235" i="13"/>
  <c r="B233" i="13"/>
  <c r="B231" i="13"/>
  <c r="B229" i="13"/>
  <c r="B227" i="13"/>
  <c r="B225" i="13"/>
  <c r="B223" i="13"/>
  <c r="B221" i="13"/>
  <c r="B219" i="13"/>
  <c r="B217" i="13"/>
  <c r="B215" i="13"/>
  <c r="B213" i="13"/>
  <c r="B211" i="13"/>
  <c r="B205" i="13"/>
  <c r="A198" i="17"/>
  <c r="B203" i="13"/>
  <c r="A196" i="17"/>
  <c r="B201" i="13"/>
  <c r="A194" i="17"/>
  <c r="B197" i="13"/>
  <c r="A190" i="17"/>
  <c r="B195" i="13"/>
  <c r="A188" i="17"/>
  <c r="B191" i="13"/>
  <c r="A184" i="17"/>
  <c r="B187" i="13"/>
  <c r="A180" i="17"/>
  <c r="B185" i="13"/>
  <c r="A178" i="17"/>
  <c r="B183" i="13"/>
  <c r="A176" i="17"/>
  <c r="B177" i="13"/>
  <c r="A170" i="17"/>
  <c r="B171" i="13"/>
  <c r="A164" i="17"/>
  <c r="B169" i="13"/>
  <c r="A162" i="17"/>
  <c r="B167" i="13"/>
  <c r="A160" i="17"/>
  <c r="B161" i="13"/>
  <c r="A154" i="17"/>
  <c r="B159" i="13"/>
  <c r="A152" i="17"/>
  <c r="B155" i="13"/>
  <c r="A148" i="17"/>
  <c r="B149" i="13"/>
  <c r="A142" i="17"/>
  <c r="B147" i="13"/>
  <c r="A140" i="17"/>
  <c r="B143" i="13"/>
  <c r="A136" i="17"/>
  <c r="B139" i="13"/>
  <c r="A132" i="17"/>
  <c r="B137" i="13"/>
  <c r="A130" i="17"/>
  <c r="B131" i="13"/>
  <c r="A124" i="17"/>
  <c r="B129" i="13"/>
  <c r="A122" i="17"/>
  <c r="B125" i="13"/>
  <c r="A118" i="17"/>
  <c r="B121" i="13"/>
  <c r="A114" i="17"/>
  <c r="B117" i="13"/>
  <c r="A110" i="17"/>
  <c r="B113" i="13"/>
  <c r="A106" i="17"/>
  <c r="B109" i="13"/>
  <c r="A102" i="17"/>
  <c r="B103" i="13"/>
  <c r="A96" i="17"/>
  <c r="B97" i="13"/>
  <c r="A90" i="17"/>
  <c r="B95" i="13"/>
  <c r="A88" i="17"/>
  <c r="B91" i="13"/>
  <c r="A84" i="17"/>
  <c r="B89" i="13"/>
  <c r="A82" i="17"/>
  <c r="B85" i="13"/>
  <c r="A78" i="17"/>
  <c r="B83" i="13"/>
  <c r="A76" i="17"/>
  <c r="B79" i="13"/>
  <c r="A72" i="17"/>
  <c r="B77" i="13"/>
  <c r="A70" i="17"/>
  <c r="B75" i="13"/>
  <c r="A68" i="17"/>
  <c r="B71" i="13"/>
  <c r="A64" i="17"/>
  <c r="B69" i="13"/>
  <c r="A62" i="17"/>
  <c r="B65" i="13"/>
  <c r="A58" i="17"/>
  <c r="B59" i="13"/>
  <c r="A52" i="17"/>
  <c r="B57" i="13"/>
  <c r="A50" i="17"/>
  <c r="B49" i="13"/>
  <c r="A42" i="17"/>
  <c r="B43" i="13"/>
  <c r="A36" i="17"/>
  <c r="B41" i="13"/>
  <c r="A34" i="17"/>
  <c r="B31" i="13"/>
  <c r="A24" i="17"/>
  <c r="B27" i="13"/>
  <c r="A20" i="17"/>
  <c r="B19" i="13"/>
  <c r="A12" i="17"/>
  <c r="B15" i="13"/>
  <c r="A8" i="17"/>
  <c r="B208" i="13"/>
  <c r="A201" i="17"/>
  <c r="B206" i="13"/>
  <c r="A199" i="17"/>
  <c r="B202" i="13"/>
  <c r="A195" i="17"/>
  <c r="B198" i="13"/>
  <c r="A191" i="17"/>
  <c r="B192" i="13"/>
  <c r="A185" i="17"/>
  <c r="B188" i="13"/>
  <c r="A181" i="17"/>
  <c r="B186" i="13"/>
  <c r="A179" i="17"/>
  <c r="B178" i="13"/>
  <c r="A171" i="17"/>
  <c r="B176" i="13"/>
  <c r="A169" i="17"/>
  <c r="B172" i="13"/>
  <c r="A165" i="17"/>
  <c r="B170" i="13"/>
  <c r="A163" i="17"/>
  <c r="B164" i="13"/>
  <c r="A157" i="17"/>
  <c r="B162" i="13"/>
  <c r="A155" i="17"/>
  <c r="B158" i="13"/>
  <c r="A151" i="17"/>
  <c r="B154" i="13"/>
  <c r="A147" i="17"/>
  <c r="B148" i="13"/>
  <c r="A141" i="17"/>
  <c r="B142" i="13"/>
  <c r="A135" i="17"/>
  <c r="B136" i="13"/>
  <c r="A129" i="17"/>
  <c r="B134" i="13"/>
  <c r="A127" i="17"/>
  <c r="B130" i="13"/>
  <c r="A123" i="17"/>
  <c r="B126" i="13"/>
  <c r="A119" i="17"/>
  <c r="B122" i="13"/>
  <c r="A115" i="17"/>
  <c r="B120" i="13"/>
  <c r="A113" i="17"/>
  <c r="B114" i="13"/>
  <c r="A107" i="17"/>
  <c r="B110" i="13"/>
  <c r="A103" i="17"/>
  <c r="B106" i="13"/>
  <c r="A99" i="17"/>
  <c r="B98" i="13"/>
  <c r="A91" i="17"/>
  <c r="B96" i="13"/>
  <c r="A89" i="17"/>
  <c r="B94" i="13"/>
  <c r="A87" i="17"/>
  <c r="B92" i="13"/>
  <c r="A85" i="17"/>
  <c r="B90" i="13"/>
  <c r="A83" i="17"/>
  <c r="B86" i="13"/>
  <c r="A79" i="17"/>
  <c r="B82" i="13"/>
  <c r="A75" i="17"/>
  <c r="B80" i="13"/>
  <c r="A73" i="17"/>
  <c r="B72" i="13"/>
  <c r="A65" i="17"/>
  <c r="B68" i="13"/>
  <c r="A61" i="17"/>
  <c r="B66" i="13"/>
  <c r="A59" i="17"/>
  <c r="B58" i="13"/>
  <c r="A51" i="17"/>
  <c r="B56" i="13"/>
  <c r="A49" i="17"/>
  <c r="B44" i="13"/>
  <c r="A37" i="17"/>
  <c r="B42" i="13"/>
  <c r="A35" i="17"/>
  <c r="B36" i="13"/>
  <c r="A29" i="17"/>
  <c r="B32" i="13"/>
  <c r="A25" i="17"/>
  <c r="B28" i="13"/>
  <c r="A21" i="17"/>
  <c r="B26" i="13"/>
  <c r="A19" i="17"/>
  <c r="B20" i="13"/>
  <c r="A13" i="17"/>
  <c r="B16" i="13"/>
  <c r="A9" i="17"/>
  <c r="B260" i="13"/>
  <c r="B258" i="13"/>
  <c r="B256" i="13"/>
  <c r="B254" i="13"/>
  <c r="B252" i="13"/>
  <c r="B250" i="13"/>
  <c r="B248" i="13"/>
  <c r="B246" i="13"/>
  <c r="B244" i="13"/>
  <c r="B242" i="13"/>
  <c r="B240" i="13"/>
  <c r="B238" i="13"/>
  <c r="B236" i="13"/>
  <c r="B234" i="13"/>
  <c r="B232" i="13"/>
  <c r="B230" i="13"/>
  <c r="B228" i="13"/>
  <c r="B226" i="13"/>
  <c r="B224" i="13"/>
  <c r="B222" i="13"/>
  <c r="B220" i="13"/>
  <c r="B218" i="13"/>
  <c r="B216" i="13"/>
  <c r="B214" i="13"/>
  <c r="B212" i="13"/>
  <c r="B210" i="13"/>
  <c r="B209" i="13"/>
  <c r="A202" i="17"/>
  <c r="B207" i="13"/>
  <c r="A200" i="17"/>
  <c r="B199" i="13"/>
  <c r="A192" i="17"/>
  <c r="B193" i="13"/>
  <c r="A186" i="17"/>
  <c r="B189" i="13"/>
  <c r="A182" i="17"/>
  <c r="B181" i="13"/>
  <c r="A174" i="17"/>
  <c r="B179" i="13"/>
  <c r="A172" i="17"/>
  <c r="B175" i="13"/>
  <c r="A168" i="17"/>
  <c r="B173" i="13"/>
  <c r="A166" i="17"/>
  <c r="B165" i="13"/>
  <c r="A158" i="17"/>
  <c r="B163" i="13"/>
  <c r="A156" i="17"/>
  <c r="B157" i="13"/>
  <c r="A150" i="17"/>
  <c r="B153" i="13"/>
  <c r="A146" i="17"/>
  <c r="B151" i="13"/>
  <c r="A144" i="17"/>
  <c r="B145" i="13"/>
  <c r="A138" i="17"/>
  <c r="B141" i="13"/>
  <c r="A134" i="17"/>
  <c r="B135" i="13"/>
  <c r="A128" i="17"/>
  <c r="B133" i="13"/>
  <c r="A126" i="17"/>
  <c r="B123" i="13"/>
  <c r="A116" i="17"/>
  <c r="B111" i="13"/>
  <c r="A104" i="17"/>
  <c r="B107" i="13"/>
  <c r="A100" i="17"/>
  <c r="B105" i="13"/>
  <c r="A98" i="17"/>
  <c r="B101" i="13"/>
  <c r="A94" i="17"/>
  <c r="B99" i="13"/>
  <c r="A92" i="17"/>
  <c r="B93" i="13"/>
  <c r="A86" i="17"/>
  <c r="B87" i="13"/>
  <c r="A80" i="17"/>
  <c r="B81" i="13"/>
  <c r="A74" i="17"/>
  <c r="B73" i="13"/>
  <c r="A66" i="17"/>
  <c r="B67" i="13"/>
  <c r="A60" i="17"/>
  <c r="B63" i="13"/>
  <c r="A56" i="17"/>
  <c r="B61" i="13"/>
  <c r="A54" i="17"/>
  <c r="B53" i="13"/>
  <c r="A46" i="17"/>
  <c r="B51" i="13"/>
  <c r="A44" i="17"/>
  <c r="B47" i="13"/>
  <c r="A40" i="17"/>
  <c r="B45" i="13"/>
  <c r="A38" i="17"/>
  <c r="B37" i="13"/>
  <c r="A30" i="17"/>
  <c r="B29" i="13"/>
  <c r="A22" i="17"/>
  <c r="B25" i="13"/>
  <c r="A18" i="17"/>
  <c r="B23" i="13"/>
  <c r="A16" i="17"/>
  <c r="B21" i="13"/>
  <c r="A14" i="17"/>
  <c r="B17" i="13"/>
  <c r="A10" i="17"/>
  <c r="B55" i="13"/>
  <c r="A48" i="17"/>
  <c r="B39" i="13"/>
  <c r="A32" i="17"/>
  <c r="B35" i="13"/>
  <c r="A28" i="17"/>
  <c r="B34" i="13"/>
  <c r="A27" i="17"/>
  <c r="B33" i="13"/>
  <c r="A26" i="17"/>
  <c r="B14" i="13"/>
  <c r="A7" i="17"/>
  <c r="B13" i="13"/>
  <c r="A6" i="17"/>
  <c r="B102" i="13"/>
  <c r="A95" i="17"/>
  <c r="B115" i="13"/>
  <c r="A108" i="17"/>
  <c r="B116" i="13"/>
  <c r="A109" i="17"/>
  <c r="B118" i="13"/>
  <c r="A111" i="17"/>
  <c r="B119" i="13"/>
  <c r="A112" i="17"/>
  <c r="B127" i="13"/>
  <c r="A120" i="17"/>
  <c r="C5" i="17"/>
  <c r="H5" i="17"/>
  <c r="C5" i="9" l="1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71" i="9"/>
  <c r="C72" i="9"/>
  <c r="C73" i="9"/>
  <c r="C74" i="9"/>
  <c r="C75" i="9"/>
  <c r="C76" i="9"/>
  <c r="C77" i="9"/>
  <c r="C78" i="9"/>
  <c r="C79" i="9"/>
  <c r="C80" i="9"/>
  <c r="C81" i="9"/>
  <c r="C82" i="9"/>
  <c r="C83" i="9"/>
  <c r="C84" i="9"/>
  <c r="C85" i="9"/>
  <c r="C86" i="9"/>
  <c r="C87" i="9"/>
  <c r="C88" i="9"/>
  <c r="C89" i="9"/>
  <c r="C90" i="9"/>
  <c r="C91" i="9"/>
  <c r="C92" i="9"/>
  <c r="C93" i="9"/>
  <c r="C94" i="9"/>
  <c r="C95" i="9"/>
  <c r="C96" i="9"/>
  <c r="C97" i="9"/>
  <c r="C98" i="9"/>
  <c r="C99" i="9"/>
  <c r="C100" i="9"/>
  <c r="C101" i="9"/>
  <c r="C102" i="9"/>
  <c r="C103" i="9"/>
  <c r="C104" i="9"/>
  <c r="C105" i="9"/>
  <c r="C106" i="9"/>
  <c r="C107" i="9"/>
  <c r="C108" i="9"/>
  <c r="C109" i="9"/>
  <c r="C110" i="9"/>
  <c r="C111" i="9"/>
  <c r="C112" i="9"/>
  <c r="C113" i="9"/>
  <c r="C114" i="9"/>
  <c r="C115" i="9"/>
  <c r="C116" i="9"/>
  <c r="C117" i="9"/>
  <c r="C118" i="9"/>
  <c r="C119" i="9"/>
  <c r="C120" i="9"/>
  <c r="C121" i="9"/>
  <c r="C122" i="9"/>
  <c r="C123" i="9"/>
  <c r="C124" i="9"/>
  <c r="C125" i="9"/>
  <c r="C126" i="9"/>
  <c r="C127" i="9"/>
  <c r="C128" i="9"/>
  <c r="C129" i="9"/>
  <c r="C130" i="9"/>
  <c r="C131" i="9"/>
  <c r="C132" i="9"/>
  <c r="C133" i="9"/>
  <c r="C134" i="9"/>
  <c r="C135" i="9"/>
  <c r="C136" i="9"/>
  <c r="C137" i="9"/>
  <c r="C138" i="9"/>
  <c r="C139" i="9"/>
  <c r="C140" i="9"/>
  <c r="C141" i="9"/>
  <c r="C142" i="9"/>
  <c r="C143" i="9"/>
  <c r="C144" i="9"/>
  <c r="C145" i="9"/>
  <c r="C146" i="9"/>
  <c r="C147" i="9"/>
  <c r="C148" i="9"/>
  <c r="C149" i="9"/>
  <c r="C150" i="9"/>
  <c r="C151" i="9"/>
  <c r="C152" i="9"/>
  <c r="C153" i="9"/>
  <c r="C154" i="9"/>
  <c r="C155" i="9"/>
  <c r="C156" i="9"/>
  <c r="C157" i="9"/>
  <c r="C158" i="9"/>
  <c r="C159" i="9"/>
  <c r="C160" i="9"/>
  <c r="C161" i="9"/>
  <c r="C162" i="9"/>
  <c r="C163" i="9"/>
  <c r="C164" i="9"/>
  <c r="C165" i="9"/>
  <c r="C166" i="9"/>
  <c r="C167" i="9"/>
  <c r="C168" i="9"/>
  <c r="C169" i="9"/>
  <c r="C170" i="9"/>
  <c r="C171" i="9"/>
  <c r="C172" i="9"/>
  <c r="C173" i="9"/>
  <c r="C174" i="9"/>
  <c r="C175" i="9"/>
  <c r="C176" i="9"/>
  <c r="C177" i="9"/>
  <c r="C178" i="9"/>
  <c r="C179" i="9"/>
  <c r="C180" i="9"/>
  <c r="C181" i="9"/>
  <c r="C182" i="9"/>
  <c r="C183" i="9"/>
  <c r="C184" i="9"/>
  <c r="C185" i="9"/>
  <c r="C186" i="9"/>
  <c r="C187" i="9"/>
  <c r="C188" i="9"/>
  <c r="C189" i="9"/>
  <c r="C190" i="9"/>
  <c r="C191" i="9"/>
  <c r="C192" i="9"/>
  <c r="C193" i="9"/>
  <c r="C194" i="9"/>
  <c r="C195" i="9"/>
  <c r="C196" i="9"/>
  <c r="C197" i="9"/>
  <c r="C198" i="9"/>
  <c r="C199" i="9"/>
  <c r="C200" i="9"/>
  <c r="C201" i="9"/>
  <c r="C202" i="9"/>
  <c r="C203" i="9"/>
  <c r="C204" i="9"/>
  <c r="C205" i="9"/>
  <c r="C206" i="9"/>
  <c r="C207" i="9"/>
  <c r="C208" i="9"/>
  <c r="C209" i="9"/>
  <c r="C210" i="9"/>
  <c r="C211" i="9"/>
  <c r="C212" i="9"/>
  <c r="C213" i="9"/>
  <c r="C214" i="9"/>
  <c r="C215" i="9"/>
  <c r="C216" i="9"/>
  <c r="C217" i="9"/>
  <c r="C218" i="9"/>
  <c r="C219" i="9"/>
  <c r="C220" i="9"/>
  <c r="C221" i="9"/>
  <c r="C222" i="9"/>
  <c r="C223" i="9"/>
  <c r="C224" i="9"/>
  <c r="C225" i="9"/>
  <c r="C226" i="9"/>
  <c r="C227" i="9"/>
  <c r="C228" i="9"/>
  <c r="C229" i="9"/>
  <c r="C230" i="9"/>
  <c r="C231" i="9"/>
  <c r="C232" i="9"/>
  <c r="C233" i="9"/>
  <c r="C234" i="9"/>
  <c r="C235" i="9"/>
  <c r="C236" i="9"/>
  <c r="C237" i="9"/>
  <c r="C238" i="9"/>
  <c r="C239" i="9"/>
  <c r="C240" i="9"/>
  <c r="C241" i="9"/>
  <c r="C242" i="9"/>
  <c r="C243" i="9"/>
  <c r="C244" i="9"/>
  <c r="C245" i="9"/>
  <c r="C246" i="9"/>
  <c r="C247" i="9"/>
  <c r="C248" i="9"/>
  <c r="C249" i="9"/>
  <c r="C250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B87" i="9"/>
  <c r="B88" i="9"/>
  <c r="B89" i="9"/>
  <c r="B90" i="9"/>
  <c r="B91" i="9"/>
  <c r="B92" i="9"/>
  <c r="B93" i="9"/>
  <c r="B94" i="9"/>
  <c r="B95" i="9"/>
  <c r="B96" i="9"/>
  <c r="B97" i="9"/>
  <c r="B98" i="9"/>
  <c r="B99" i="9"/>
  <c r="B100" i="9"/>
  <c r="B101" i="9"/>
  <c r="B102" i="9"/>
  <c r="B103" i="9"/>
  <c r="B104" i="9"/>
  <c r="B105" i="9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B121" i="9"/>
  <c r="B122" i="9"/>
  <c r="B123" i="9"/>
  <c r="B124" i="9"/>
  <c r="B125" i="9"/>
  <c r="B126" i="9"/>
  <c r="B127" i="9"/>
  <c r="B128" i="9"/>
  <c r="B129" i="9"/>
  <c r="B130" i="9"/>
  <c r="B131" i="9"/>
  <c r="B132" i="9"/>
  <c r="B133" i="9"/>
  <c r="B134" i="9"/>
  <c r="B135" i="9"/>
  <c r="B136" i="9"/>
  <c r="B137" i="9"/>
  <c r="B138" i="9"/>
  <c r="B139" i="9"/>
  <c r="B140" i="9"/>
  <c r="B141" i="9"/>
  <c r="B142" i="9"/>
  <c r="B143" i="9"/>
  <c r="B144" i="9"/>
  <c r="B145" i="9"/>
  <c r="B146" i="9"/>
  <c r="B147" i="9"/>
  <c r="B148" i="9"/>
  <c r="B149" i="9"/>
  <c r="B150" i="9"/>
  <c r="B151" i="9"/>
  <c r="B152" i="9"/>
  <c r="B153" i="9"/>
  <c r="B154" i="9"/>
  <c r="B155" i="9"/>
  <c r="B156" i="9"/>
  <c r="B157" i="9"/>
  <c r="B158" i="9"/>
  <c r="B159" i="9"/>
  <c r="B160" i="9"/>
  <c r="B161" i="9"/>
  <c r="B162" i="9"/>
  <c r="B163" i="9"/>
  <c r="B164" i="9"/>
  <c r="B165" i="9"/>
  <c r="B166" i="9"/>
  <c r="B167" i="9"/>
  <c r="B168" i="9"/>
  <c r="B169" i="9"/>
  <c r="B170" i="9"/>
  <c r="B171" i="9"/>
  <c r="B172" i="9"/>
  <c r="B173" i="9"/>
  <c r="B174" i="9"/>
  <c r="B175" i="9"/>
  <c r="B176" i="9"/>
  <c r="B177" i="9"/>
  <c r="B178" i="9"/>
  <c r="B179" i="9"/>
  <c r="B180" i="9"/>
  <c r="B181" i="9"/>
  <c r="B182" i="9"/>
  <c r="B183" i="9"/>
  <c r="B184" i="9"/>
  <c r="B185" i="9"/>
  <c r="B186" i="9"/>
  <c r="B187" i="9"/>
  <c r="B188" i="9"/>
  <c r="B189" i="9"/>
  <c r="B190" i="9"/>
  <c r="B191" i="9"/>
  <c r="B192" i="9"/>
  <c r="B193" i="9"/>
  <c r="B194" i="9"/>
  <c r="B195" i="9"/>
  <c r="B196" i="9"/>
  <c r="B197" i="9"/>
  <c r="B198" i="9"/>
  <c r="B199" i="9"/>
  <c r="B200" i="9"/>
  <c r="B201" i="9"/>
  <c r="B202" i="9"/>
  <c r="B203" i="9"/>
  <c r="B204" i="9"/>
  <c r="B205" i="9"/>
  <c r="B206" i="9"/>
  <c r="B207" i="9"/>
  <c r="B208" i="9"/>
  <c r="B209" i="9"/>
  <c r="B210" i="9"/>
  <c r="B211" i="9"/>
  <c r="B212" i="9"/>
  <c r="B213" i="9"/>
  <c r="B214" i="9"/>
  <c r="B215" i="9"/>
  <c r="B216" i="9"/>
  <c r="B217" i="9"/>
  <c r="B218" i="9"/>
  <c r="B219" i="9"/>
  <c r="B220" i="9"/>
  <c r="B221" i="9"/>
  <c r="B222" i="9"/>
  <c r="B223" i="9"/>
  <c r="B224" i="9"/>
  <c r="B225" i="9"/>
  <c r="B226" i="9"/>
  <c r="B227" i="9"/>
  <c r="B228" i="9"/>
  <c r="B229" i="9"/>
  <c r="B230" i="9"/>
  <c r="B231" i="9"/>
  <c r="B232" i="9"/>
  <c r="B233" i="9"/>
  <c r="B234" i="9"/>
  <c r="B235" i="9"/>
  <c r="B236" i="9"/>
  <c r="B237" i="9"/>
  <c r="B238" i="9"/>
  <c r="B239" i="9"/>
  <c r="B240" i="9"/>
  <c r="B241" i="9"/>
  <c r="B242" i="9"/>
  <c r="B243" i="9"/>
  <c r="B244" i="9"/>
  <c r="B245" i="9"/>
  <c r="B246" i="9"/>
  <c r="B247" i="9"/>
  <c r="B248" i="9"/>
  <c r="B249" i="9"/>
  <c r="B250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A72" i="9"/>
  <c r="A73" i="9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8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12" i="9"/>
  <c r="A113" i="9"/>
  <c r="A114" i="9"/>
  <c r="A115" i="9"/>
  <c r="A116" i="9"/>
  <c r="A117" i="9"/>
  <c r="A118" i="9"/>
  <c r="A119" i="9"/>
  <c r="A120" i="9"/>
  <c r="A121" i="9"/>
  <c r="A122" i="9"/>
  <c r="A123" i="9"/>
  <c r="A124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A172" i="9"/>
  <c r="A173" i="9"/>
  <c r="A174" i="9"/>
  <c r="A175" i="9"/>
  <c r="A176" i="9"/>
  <c r="A177" i="9"/>
  <c r="A178" i="9"/>
  <c r="A179" i="9"/>
  <c r="A180" i="9"/>
  <c r="A181" i="9"/>
  <c r="A182" i="9"/>
  <c r="A183" i="9"/>
  <c r="A184" i="9"/>
  <c r="A185" i="9"/>
  <c r="A186" i="9"/>
  <c r="A187" i="9"/>
  <c r="A188" i="9"/>
  <c r="A189" i="9"/>
  <c r="A190" i="9"/>
  <c r="A191" i="9"/>
  <c r="A192" i="9"/>
  <c r="A193" i="9"/>
  <c r="A194" i="9"/>
  <c r="A195" i="9"/>
  <c r="A196" i="9"/>
  <c r="A197" i="9"/>
  <c r="A198" i="9"/>
  <c r="A199" i="9"/>
  <c r="A200" i="9"/>
  <c r="A201" i="9"/>
  <c r="A202" i="9"/>
  <c r="A203" i="9"/>
  <c r="A204" i="9"/>
  <c r="A205" i="9"/>
  <c r="A206" i="9"/>
  <c r="A207" i="9"/>
  <c r="A208" i="9"/>
  <c r="A209" i="9"/>
  <c r="A210" i="9"/>
  <c r="A211" i="9"/>
  <c r="A212" i="9"/>
  <c r="A213" i="9"/>
  <c r="A214" i="9"/>
  <c r="A215" i="9"/>
  <c r="A216" i="9"/>
  <c r="A217" i="9"/>
  <c r="A218" i="9"/>
  <c r="A219" i="9"/>
  <c r="A220" i="9"/>
  <c r="A221" i="9"/>
  <c r="A222" i="9"/>
  <c r="A223" i="9"/>
  <c r="A224" i="9"/>
  <c r="A225" i="9"/>
  <c r="A226" i="9"/>
  <c r="A227" i="9"/>
  <c r="A228" i="9"/>
  <c r="A229" i="9"/>
  <c r="A230" i="9"/>
  <c r="A231" i="9"/>
  <c r="A232" i="9"/>
  <c r="A233" i="9"/>
  <c r="A234" i="9"/>
  <c r="A235" i="9"/>
  <c r="A236" i="9"/>
  <c r="A237" i="9"/>
  <c r="A238" i="9"/>
  <c r="A239" i="9"/>
  <c r="A240" i="9"/>
  <c r="A241" i="9"/>
  <c r="A242" i="9"/>
  <c r="A243" i="9"/>
  <c r="A244" i="9"/>
  <c r="A245" i="9"/>
  <c r="A246" i="9"/>
  <c r="A247" i="9"/>
  <c r="A248" i="9"/>
  <c r="A249" i="9"/>
  <c r="A250" i="9"/>
  <c r="B7" i="14" l="1"/>
  <c r="C7" i="14"/>
  <c r="B8" i="14"/>
  <c r="C8" i="14"/>
  <c r="B9" i="14"/>
  <c r="C9" i="14"/>
  <c r="B10" i="14"/>
  <c r="C10" i="14"/>
  <c r="B11" i="14"/>
  <c r="C11" i="14"/>
  <c r="B12" i="14"/>
  <c r="C12" i="14"/>
  <c r="B13" i="14"/>
  <c r="C13" i="14"/>
  <c r="B14" i="14"/>
  <c r="C14" i="14"/>
  <c r="B15" i="14"/>
  <c r="C15" i="14"/>
  <c r="B16" i="14"/>
  <c r="C16" i="14"/>
  <c r="B17" i="14"/>
  <c r="C17" i="14"/>
  <c r="B18" i="14"/>
  <c r="C18" i="14"/>
  <c r="B19" i="14"/>
  <c r="C19" i="14"/>
  <c r="B20" i="14"/>
  <c r="C20" i="14"/>
  <c r="B21" i="14"/>
  <c r="C21" i="14"/>
  <c r="B22" i="14"/>
  <c r="C22" i="14"/>
  <c r="B23" i="14"/>
  <c r="C23" i="14"/>
  <c r="B24" i="14"/>
  <c r="C24" i="14"/>
  <c r="B25" i="14"/>
  <c r="C25" i="14"/>
  <c r="B26" i="14"/>
  <c r="C26" i="14"/>
  <c r="B27" i="14"/>
  <c r="C27" i="14"/>
  <c r="B28" i="14"/>
  <c r="C28" i="14"/>
  <c r="B29" i="14"/>
  <c r="C29" i="14"/>
  <c r="B30" i="14"/>
  <c r="C30" i="14"/>
  <c r="B31" i="14"/>
  <c r="C31" i="14"/>
  <c r="B32" i="14"/>
  <c r="C32" i="14"/>
  <c r="B33" i="14"/>
  <c r="C33" i="14"/>
  <c r="B34" i="14"/>
  <c r="C34" i="14"/>
  <c r="B35" i="14"/>
  <c r="C35" i="14"/>
  <c r="B36" i="14"/>
  <c r="C36" i="14"/>
  <c r="B37" i="14"/>
  <c r="C37" i="14"/>
  <c r="B38" i="14"/>
  <c r="C38" i="14"/>
  <c r="B39" i="14"/>
  <c r="C39" i="14"/>
  <c r="B40" i="14"/>
  <c r="C40" i="14"/>
  <c r="B41" i="14"/>
  <c r="C41" i="14"/>
  <c r="B42" i="14"/>
  <c r="C42" i="14"/>
  <c r="B43" i="14"/>
  <c r="C43" i="14"/>
  <c r="B44" i="14"/>
  <c r="C44" i="14"/>
  <c r="B45" i="14"/>
  <c r="C45" i="14"/>
  <c r="B46" i="14"/>
  <c r="C46" i="14"/>
  <c r="B47" i="14"/>
  <c r="C47" i="14"/>
  <c r="B48" i="14"/>
  <c r="C48" i="14"/>
  <c r="B49" i="14"/>
  <c r="C49" i="14"/>
  <c r="B50" i="14"/>
  <c r="C50" i="14"/>
  <c r="B51" i="14"/>
  <c r="C51" i="14"/>
  <c r="B52" i="14"/>
  <c r="C52" i="14"/>
  <c r="B53" i="14"/>
  <c r="C53" i="14"/>
  <c r="B54" i="14"/>
  <c r="C54" i="14"/>
  <c r="B55" i="14"/>
  <c r="C55" i="14"/>
  <c r="B56" i="14"/>
  <c r="C56" i="14"/>
  <c r="B57" i="14"/>
  <c r="C57" i="14"/>
  <c r="B58" i="14"/>
  <c r="C58" i="14"/>
  <c r="B59" i="14"/>
  <c r="C59" i="14"/>
  <c r="B60" i="14"/>
  <c r="C60" i="14"/>
  <c r="B61" i="14"/>
  <c r="C61" i="14"/>
  <c r="B62" i="14"/>
  <c r="C62" i="14"/>
  <c r="B63" i="14"/>
  <c r="C63" i="14"/>
  <c r="B64" i="14"/>
  <c r="C64" i="14"/>
  <c r="B65" i="14"/>
  <c r="C65" i="14"/>
  <c r="B66" i="14"/>
  <c r="C66" i="14"/>
  <c r="B67" i="14"/>
  <c r="C67" i="14"/>
  <c r="B68" i="14"/>
  <c r="C68" i="14"/>
  <c r="B69" i="14"/>
  <c r="C69" i="14"/>
  <c r="B70" i="14"/>
  <c r="C70" i="14"/>
  <c r="B71" i="14"/>
  <c r="C71" i="14"/>
  <c r="B72" i="14"/>
  <c r="C72" i="14"/>
  <c r="B73" i="14"/>
  <c r="C73" i="14"/>
  <c r="B74" i="14"/>
  <c r="C74" i="14"/>
  <c r="B75" i="14"/>
  <c r="C75" i="14"/>
  <c r="B76" i="14"/>
  <c r="C76" i="14"/>
  <c r="B77" i="14"/>
  <c r="C77" i="14"/>
  <c r="B78" i="14"/>
  <c r="C78" i="14"/>
  <c r="B79" i="14"/>
  <c r="C79" i="14"/>
  <c r="B80" i="14"/>
  <c r="C80" i="14"/>
  <c r="B81" i="14"/>
  <c r="C81" i="14"/>
  <c r="B82" i="14"/>
  <c r="C82" i="14"/>
  <c r="B83" i="14"/>
  <c r="C83" i="14"/>
  <c r="B84" i="14"/>
  <c r="C84" i="14"/>
  <c r="B85" i="14"/>
  <c r="C85" i="14"/>
  <c r="B86" i="14"/>
  <c r="C86" i="14"/>
  <c r="B87" i="14"/>
  <c r="C87" i="14"/>
  <c r="B88" i="14"/>
  <c r="C88" i="14"/>
  <c r="B89" i="14"/>
  <c r="C89" i="14"/>
  <c r="B90" i="14"/>
  <c r="C90" i="14"/>
  <c r="B91" i="14"/>
  <c r="C91" i="14"/>
  <c r="B92" i="14"/>
  <c r="C92" i="14"/>
  <c r="B93" i="14"/>
  <c r="C93" i="14"/>
  <c r="B94" i="14"/>
  <c r="C94" i="14"/>
  <c r="B95" i="14"/>
  <c r="C95" i="14"/>
  <c r="B96" i="14"/>
  <c r="C96" i="14"/>
  <c r="B97" i="14"/>
  <c r="C97" i="14"/>
  <c r="B98" i="14"/>
  <c r="C98" i="14"/>
  <c r="B99" i="14"/>
  <c r="C99" i="14"/>
  <c r="B100" i="14"/>
  <c r="C100" i="14"/>
  <c r="B101" i="14"/>
  <c r="C101" i="14"/>
  <c r="B102" i="14"/>
  <c r="C102" i="14"/>
  <c r="B103" i="14"/>
  <c r="C103" i="14"/>
  <c r="B104" i="14"/>
  <c r="C104" i="14"/>
  <c r="B105" i="14"/>
  <c r="C105" i="14"/>
  <c r="B106" i="14"/>
  <c r="C106" i="14"/>
  <c r="B107" i="14"/>
  <c r="C107" i="14"/>
  <c r="B108" i="14"/>
  <c r="C108" i="14"/>
  <c r="B109" i="14"/>
  <c r="C109" i="14"/>
  <c r="B110" i="14"/>
  <c r="C110" i="14"/>
  <c r="B111" i="14"/>
  <c r="C111" i="14"/>
  <c r="B112" i="14"/>
  <c r="C112" i="14"/>
  <c r="B113" i="14"/>
  <c r="C113" i="14"/>
  <c r="B114" i="14"/>
  <c r="C114" i="14"/>
  <c r="B115" i="14"/>
  <c r="C115" i="14"/>
  <c r="B116" i="14"/>
  <c r="C116" i="14"/>
  <c r="B117" i="14"/>
  <c r="C117" i="14"/>
  <c r="B118" i="14"/>
  <c r="C118" i="14"/>
  <c r="B119" i="14"/>
  <c r="C119" i="14"/>
  <c r="B120" i="14"/>
  <c r="C120" i="14"/>
  <c r="B121" i="14"/>
  <c r="C121" i="14"/>
  <c r="B122" i="14"/>
  <c r="C122" i="14"/>
  <c r="B123" i="14"/>
  <c r="C123" i="14"/>
  <c r="B124" i="14"/>
  <c r="C124" i="14"/>
  <c r="B125" i="14"/>
  <c r="C125" i="14"/>
  <c r="B126" i="14"/>
  <c r="C126" i="14"/>
  <c r="B127" i="14"/>
  <c r="C127" i="14"/>
  <c r="B128" i="14"/>
  <c r="C128" i="14"/>
  <c r="B129" i="14"/>
  <c r="C129" i="14"/>
  <c r="B130" i="14"/>
  <c r="C130" i="14"/>
  <c r="B131" i="14"/>
  <c r="C131" i="14"/>
  <c r="B132" i="14"/>
  <c r="C132" i="14"/>
  <c r="B133" i="14"/>
  <c r="C133" i="14"/>
  <c r="B134" i="14"/>
  <c r="C134" i="14"/>
  <c r="B135" i="14"/>
  <c r="C135" i="14"/>
  <c r="B136" i="14"/>
  <c r="C136" i="14"/>
  <c r="B137" i="14"/>
  <c r="C137" i="14"/>
  <c r="B138" i="14"/>
  <c r="C138" i="14"/>
  <c r="B139" i="14"/>
  <c r="C139" i="14"/>
  <c r="B140" i="14"/>
  <c r="C140" i="14"/>
  <c r="B141" i="14"/>
  <c r="C141" i="14"/>
  <c r="B142" i="14"/>
  <c r="C142" i="14"/>
  <c r="B143" i="14"/>
  <c r="C143" i="14"/>
  <c r="B144" i="14"/>
  <c r="C144" i="14"/>
  <c r="B145" i="14"/>
  <c r="C145" i="14"/>
  <c r="B146" i="14"/>
  <c r="C146" i="14"/>
  <c r="B147" i="14"/>
  <c r="C147" i="14"/>
  <c r="B148" i="14"/>
  <c r="C148" i="14"/>
  <c r="B149" i="14"/>
  <c r="C149" i="14"/>
  <c r="B150" i="14"/>
  <c r="C150" i="14"/>
  <c r="B151" i="14"/>
  <c r="C151" i="14"/>
  <c r="B152" i="14"/>
  <c r="C152" i="14"/>
  <c r="B153" i="14"/>
  <c r="C153" i="14"/>
  <c r="B154" i="14"/>
  <c r="C154" i="14"/>
  <c r="B155" i="14"/>
  <c r="C155" i="14"/>
  <c r="B156" i="14"/>
  <c r="C156" i="14"/>
  <c r="B157" i="14"/>
  <c r="C157" i="14"/>
  <c r="B158" i="14"/>
  <c r="C158" i="14"/>
  <c r="B159" i="14"/>
  <c r="C159" i="14"/>
  <c r="B160" i="14"/>
  <c r="C160" i="14"/>
  <c r="B161" i="14"/>
  <c r="C161" i="14"/>
  <c r="B162" i="14"/>
  <c r="C162" i="14"/>
  <c r="B163" i="14"/>
  <c r="C163" i="14"/>
  <c r="B164" i="14"/>
  <c r="C164" i="14"/>
  <c r="B165" i="14"/>
  <c r="C165" i="14"/>
  <c r="B166" i="14"/>
  <c r="C166" i="14"/>
  <c r="B167" i="14"/>
  <c r="C167" i="14"/>
  <c r="B168" i="14"/>
  <c r="C168" i="14"/>
  <c r="B169" i="14"/>
  <c r="C169" i="14"/>
  <c r="B170" i="14"/>
  <c r="C170" i="14"/>
  <c r="B171" i="14"/>
  <c r="C171" i="14"/>
  <c r="B172" i="14"/>
  <c r="C172" i="14"/>
  <c r="B173" i="14"/>
  <c r="C173" i="14"/>
  <c r="B174" i="14"/>
  <c r="C174" i="14"/>
  <c r="B175" i="14"/>
  <c r="C175" i="14"/>
  <c r="B176" i="14"/>
  <c r="C176" i="14"/>
  <c r="B177" i="14"/>
  <c r="C177" i="14"/>
  <c r="B178" i="14"/>
  <c r="C178" i="14"/>
  <c r="B179" i="14"/>
  <c r="C179" i="14"/>
  <c r="B180" i="14"/>
  <c r="C180" i="14"/>
  <c r="B181" i="14"/>
  <c r="C181" i="14"/>
  <c r="B182" i="14"/>
  <c r="C182" i="14"/>
  <c r="B183" i="14"/>
  <c r="C183" i="14"/>
  <c r="B184" i="14"/>
  <c r="C184" i="14"/>
  <c r="B185" i="14"/>
  <c r="C185" i="14"/>
  <c r="B186" i="14"/>
  <c r="C186" i="14"/>
  <c r="B187" i="14"/>
  <c r="C187" i="14"/>
  <c r="B188" i="14"/>
  <c r="C188" i="14"/>
  <c r="B189" i="14"/>
  <c r="C189" i="14"/>
  <c r="B190" i="14"/>
  <c r="C190" i="14"/>
  <c r="B191" i="14"/>
  <c r="C191" i="14"/>
  <c r="B192" i="14"/>
  <c r="C192" i="14"/>
  <c r="B193" i="14"/>
  <c r="C193" i="14"/>
  <c r="B194" i="14"/>
  <c r="C194" i="14"/>
  <c r="B195" i="14"/>
  <c r="C195" i="14"/>
  <c r="B196" i="14"/>
  <c r="C196" i="14"/>
  <c r="B197" i="14"/>
  <c r="C197" i="14"/>
  <c r="B198" i="14"/>
  <c r="C198" i="14"/>
  <c r="B199" i="14"/>
  <c r="C199" i="14"/>
  <c r="B200" i="14"/>
  <c r="C200" i="14"/>
  <c r="B201" i="14"/>
  <c r="C201" i="14"/>
  <c r="B202" i="14"/>
  <c r="C202" i="14"/>
  <c r="B203" i="14"/>
  <c r="C203" i="14"/>
  <c r="B204" i="14"/>
  <c r="C204" i="14"/>
  <c r="B205" i="14"/>
  <c r="C205" i="14"/>
  <c r="B206" i="14"/>
  <c r="C206" i="14"/>
  <c r="B207" i="14"/>
  <c r="C207" i="14"/>
  <c r="B208" i="14"/>
  <c r="C208" i="14"/>
  <c r="B209" i="14"/>
  <c r="C209" i="14"/>
  <c r="B210" i="14"/>
  <c r="C210" i="14"/>
  <c r="B211" i="14"/>
  <c r="C211" i="14"/>
  <c r="B212" i="14"/>
  <c r="C212" i="14"/>
  <c r="B213" i="14"/>
  <c r="C213" i="14"/>
  <c r="B214" i="14"/>
  <c r="C214" i="14"/>
  <c r="B215" i="14"/>
  <c r="C215" i="14"/>
  <c r="B216" i="14"/>
  <c r="C216" i="14"/>
  <c r="B217" i="14"/>
  <c r="C217" i="14"/>
  <c r="B218" i="14"/>
  <c r="C218" i="14"/>
  <c r="B219" i="14"/>
  <c r="C219" i="14"/>
  <c r="B220" i="14"/>
  <c r="C220" i="14"/>
  <c r="B221" i="14"/>
  <c r="C221" i="14"/>
  <c r="B222" i="14"/>
  <c r="C222" i="14"/>
  <c r="B223" i="14"/>
  <c r="C223" i="14"/>
  <c r="B224" i="14"/>
  <c r="C224" i="14"/>
  <c r="B225" i="14"/>
  <c r="C225" i="14"/>
  <c r="B226" i="14"/>
  <c r="C226" i="14"/>
  <c r="B227" i="14"/>
  <c r="C227" i="14"/>
  <c r="B228" i="14"/>
  <c r="C228" i="14"/>
  <c r="B229" i="14"/>
  <c r="C229" i="14"/>
  <c r="B230" i="14"/>
  <c r="C230" i="14"/>
  <c r="B231" i="14"/>
  <c r="C231" i="14"/>
  <c r="B232" i="14"/>
  <c r="C232" i="14"/>
  <c r="B233" i="14"/>
  <c r="C233" i="14"/>
  <c r="B234" i="14"/>
  <c r="C234" i="14"/>
  <c r="B235" i="14"/>
  <c r="C235" i="14"/>
  <c r="B236" i="14"/>
  <c r="C236" i="14"/>
  <c r="B237" i="14"/>
  <c r="C237" i="14"/>
  <c r="B238" i="14"/>
  <c r="C238" i="14"/>
  <c r="B239" i="14"/>
  <c r="C239" i="14"/>
  <c r="B240" i="14"/>
  <c r="C240" i="14"/>
  <c r="C244" i="20"/>
  <c r="C245" i="20"/>
  <c r="C246" i="20"/>
  <c r="C248" i="20"/>
  <c r="C250" i="20"/>
  <c r="C252" i="20"/>
  <c r="C10" i="20"/>
  <c r="C12" i="20"/>
  <c r="C13" i="20"/>
  <c r="C15" i="20"/>
  <c r="C16" i="20"/>
  <c r="C17" i="20"/>
  <c r="C20" i="20"/>
  <c r="C21" i="20"/>
  <c r="C5" i="20" s="1"/>
  <c r="C22" i="20"/>
  <c r="C25" i="20"/>
  <c r="C26" i="20"/>
  <c r="C27" i="20"/>
  <c r="C29" i="20"/>
  <c r="C30" i="20"/>
  <c r="C33" i="20"/>
  <c r="C35" i="20"/>
  <c r="C37" i="20"/>
  <c r="C39" i="20"/>
  <c r="C41" i="20"/>
  <c r="C44" i="20"/>
  <c r="C45" i="20"/>
  <c r="C47" i="20"/>
  <c r="C49" i="20"/>
  <c r="C51" i="20"/>
  <c r="C53" i="20"/>
  <c r="C54" i="20"/>
  <c r="C55" i="20"/>
  <c r="C57" i="20"/>
  <c r="C59" i="20"/>
  <c r="C61" i="20"/>
  <c r="C62" i="20"/>
  <c r="C63" i="20"/>
  <c r="C65" i="20"/>
  <c r="C67" i="20"/>
  <c r="C68" i="20"/>
  <c r="C69" i="20"/>
  <c r="C70" i="20"/>
  <c r="C71" i="20"/>
  <c r="C72" i="20"/>
  <c r="C73" i="20"/>
  <c r="C74" i="20"/>
  <c r="C75" i="20"/>
  <c r="C77" i="20"/>
  <c r="C78" i="20"/>
  <c r="C79" i="20"/>
  <c r="C81" i="20"/>
  <c r="C82" i="20"/>
  <c r="C83" i="20"/>
  <c r="C84" i="20"/>
  <c r="C85" i="20"/>
  <c r="C86" i="20"/>
  <c r="C87" i="20"/>
  <c r="C89" i="20"/>
  <c r="C90" i="20"/>
  <c r="C91" i="20"/>
  <c r="C93" i="20"/>
  <c r="C94" i="20"/>
  <c r="C96" i="20"/>
  <c r="C97" i="20"/>
  <c r="C98" i="20"/>
  <c r="C99" i="20"/>
  <c r="C100" i="20"/>
  <c r="C101" i="20"/>
  <c r="C103" i="20"/>
  <c r="C107" i="20"/>
  <c r="C109" i="20"/>
  <c r="C111" i="20"/>
  <c r="C113" i="20"/>
  <c r="C115" i="20"/>
  <c r="C116" i="20"/>
  <c r="C117" i="20"/>
  <c r="C119" i="20"/>
  <c r="C120" i="20"/>
  <c r="C121" i="20"/>
  <c r="C122" i="20"/>
  <c r="C123" i="20"/>
  <c r="C124" i="20"/>
  <c r="C125" i="20"/>
  <c r="C126" i="20"/>
  <c r="C127" i="20"/>
  <c r="C128" i="20"/>
  <c r="C129" i="20"/>
  <c r="C130" i="20"/>
  <c r="C131" i="20"/>
  <c r="C132" i="20"/>
  <c r="C133" i="20"/>
  <c r="C135" i="20"/>
  <c r="C137" i="20"/>
  <c r="C139" i="20"/>
  <c r="C141" i="20"/>
  <c r="C143" i="20"/>
  <c r="C144" i="20"/>
  <c r="C145" i="20"/>
  <c r="C146" i="20"/>
  <c r="C147" i="20"/>
  <c r="C149" i="20"/>
  <c r="C151" i="20"/>
  <c r="C153" i="20"/>
  <c r="C155" i="20"/>
  <c r="C156" i="20"/>
  <c r="C157" i="20"/>
  <c r="C159" i="20"/>
  <c r="C161" i="20"/>
  <c r="C162" i="20"/>
  <c r="C163" i="20"/>
  <c r="C164" i="20"/>
  <c r="C165" i="20"/>
  <c r="C169" i="20"/>
  <c r="C170" i="20"/>
  <c r="C171" i="20"/>
  <c r="C173" i="20"/>
  <c r="C174" i="20"/>
  <c r="C175" i="20"/>
  <c r="C176" i="20"/>
  <c r="C177" i="20"/>
  <c r="C179" i="20"/>
  <c r="C180" i="20"/>
  <c r="C181" i="20"/>
  <c r="C183" i="20"/>
  <c r="C184" i="20"/>
  <c r="C187" i="20"/>
  <c r="C189" i="20"/>
  <c r="C190" i="20"/>
  <c r="C191" i="20"/>
  <c r="C193" i="20"/>
  <c r="C194" i="20"/>
  <c r="C195" i="20"/>
  <c r="C199" i="20"/>
  <c r="C200" i="20"/>
  <c r="C201" i="20"/>
  <c r="C203" i="20"/>
  <c r="C204" i="20"/>
  <c r="C205" i="20"/>
  <c r="C207" i="20"/>
  <c r="C208" i="20"/>
  <c r="C211" i="20"/>
  <c r="C213" i="20"/>
  <c r="C214" i="20"/>
  <c r="C218" i="20"/>
  <c r="C222" i="20"/>
  <c r="C231" i="20"/>
  <c r="C233" i="20"/>
  <c r="C235" i="20"/>
  <c r="C239" i="20"/>
  <c r="C241" i="20"/>
  <c r="C243" i="20"/>
  <c r="C247" i="20"/>
  <c r="C249" i="20"/>
  <c r="C251" i="20"/>
  <c r="C219" i="20" l="1"/>
  <c r="C227" i="20"/>
  <c r="C223" i="20"/>
  <c r="C215" i="20"/>
  <c r="C209" i="20"/>
  <c r="C197" i="20"/>
  <c r="C185" i="20"/>
  <c r="C167" i="20"/>
  <c r="C152" i="20"/>
  <c r="C150" i="20"/>
  <c r="C136" i="20"/>
  <c r="C105" i="20"/>
  <c r="C95" i="20"/>
  <c r="C43" i="20"/>
  <c r="C36" i="20"/>
  <c r="C23" i="20"/>
  <c r="C34" i="20"/>
  <c r="C31" i="20"/>
  <c r="C19" i="20"/>
  <c r="C11" i="20"/>
  <c r="C225" i="20"/>
  <c r="C216" i="20"/>
  <c r="C212" i="20"/>
  <c r="C196" i="20"/>
  <c r="C192" i="20"/>
  <c r="C188" i="20"/>
  <c r="C160" i="20"/>
  <c r="C220" i="20"/>
  <c r="C172" i="20"/>
  <c r="C168" i="20"/>
  <c r="C140" i="20"/>
  <c r="C148" i="20"/>
  <c r="C114" i="20"/>
  <c r="C106" i="20"/>
  <c r="C58" i="20"/>
  <c r="C50" i="20"/>
  <c r="C42" i="20"/>
  <c r="C14" i="20"/>
  <c r="C237" i="20"/>
  <c r="C210" i="20"/>
  <c r="C198" i="20"/>
  <c r="C182" i="20"/>
  <c r="C166" i="20"/>
  <c r="C138" i="20"/>
  <c r="C110" i="20"/>
  <c r="C102" i="20"/>
  <c r="C66" i="20"/>
  <c r="C46" i="20"/>
  <c r="C38" i="20"/>
  <c r="C18" i="20"/>
  <c r="C229" i="20"/>
  <c r="C206" i="20"/>
  <c r="C202" i="20"/>
  <c r="C186" i="20"/>
  <c r="C178" i="20"/>
  <c r="C158" i="20"/>
  <c r="C154" i="20"/>
  <c r="C142" i="20"/>
  <c r="C134" i="20"/>
  <c r="C221" i="20"/>
  <c r="C217" i="20"/>
  <c r="C112" i="20"/>
  <c r="C108" i="20"/>
  <c r="C104" i="20"/>
  <c r="C92" i="20"/>
  <c r="C88" i="20"/>
  <c r="C80" i="20"/>
  <c r="C76" i="20"/>
  <c r="C64" i="20"/>
  <c r="C60" i="20"/>
  <c r="C56" i="20"/>
  <c r="C52" i="20"/>
  <c r="C48" i="20"/>
  <c r="C40" i="20"/>
  <c r="C32" i="20"/>
  <c r="C28" i="20"/>
  <c r="C24" i="20"/>
  <c r="C118" i="20"/>
  <c r="C240" i="20"/>
  <c r="C236" i="20"/>
  <c r="C232" i="20"/>
  <c r="C228" i="20"/>
  <c r="C224" i="20"/>
  <c r="C242" i="20"/>
  <c r="C238" i="20"/>
  <c r="C234" i="20"/>
  <c r="C230" i="20"/>
  <c r="C226" i="20"/>
  <c r="G17" i="5"/>
  <c r="G16" i="5"/>
  <c r="G15" i="5"/>
  <c r="G14" i="5"/>
  <c r="G13" i="5"/>
  <c r="G12" i="5"/>
  <c r="G11" i="5"/>
  <c r="G10" i="5"/>
  <c r="G9" i="5"/>
  <c r="G8" i="5"/>
  <c r="G7" i="5"/>
  <c r="G6" i="5"/>
  <c r="G5" i="5"/>
  <c r="K254" i="13" l="1"/>
  <c r="K238" i="13"/>
  <c r="L228" i="14"/>
  <c r="M212" i="14"/>
  <c r="K206" i="13"/>
  <c r="L196" i="14"/>
  <c r="R180" i="14"/>
  <c r="K174" i="13"/>
  <c r="K166" i="13"/>
  <c r="K150" i="13"/>
  <c r="K142" i="13"/>
  <c r="P132" i="14"/>
  <c r="K94" i="13"/>
  <c r="O84" i="14"/>
  <c r="K78" i="13"/>
  <c r="Q68" i="14"/>
  <c r="K62" i="13"/>
  <c r="J52" i="14"/>
  <c r="K14" i="13"/>
  <c r="K255" i="13"/>
  <c r="K243" i="13"/>
  <c r="K239" i="13"/>
  <c r="K223" i="13"/>
  <c r="K211" i="13"/>
  <c r="K207" i="13"/>
  <c r="K195" i="13"/>
  <c r="K191" i="13"/>
  <c r="K179" i="13"/>
  <c r="S169" i="14"/>
  <c r="K163" i="13"/>
  <c r="K159" i="13"/>
  <c r="K143" i="13"/>
  <c r="K127" i="13"/>
  <c r="K111" i="13"/>
  <c r="K99" i="13"/>
  <c r="K95" i="13"/>
  <c r="K91" i="13"/>
  <c r="K79" i="13"/>
  <c r="K67" i="13"/>
  <c r="K63" i="13"/>
  <c r="K51" i="13"/>
  <c r="K47" i="13"/>
  <c r="K31" i="13"/>
  <c r="K27" i="13"/>
  <c r="K19" i="13"/>
  <c r="K15" i="13"/>
  <c r="K244" i="13"/>
  <c r="M234" i="14"/>
  <c r="S218" i="14"/>
  <c r="K212" i="13"/>
  <c r="H202" i="14"/>
  <c r="K204" i="13"/>
  <c r="K186" i="14"/>
  <c r="K180" i="13"/>
  <c r="Q170" i="14"/>
  <c r="K172" i="13"/>
  <c r="K164" i="13"/>
  <c r="O154" i="14"/>
  <c r="K156" i="13"/>
  <c r="K148" i="13"/>
  <c r="G138" i="14"/>
  <c r="K122" i="14"/>
  <c r="N106" i="14"/>
  <c r="K100" i="13"/>
  <c r="I90" i="14"/>
  <c r="K84" i="13"/>
  <c r="Q74" i="14"/>
  <c r="K68" i="13"/>
  <c r="O58" i="14"/>
  <c r="O42" i="14"/>
  <c r="O26" i="14"/>
  <c r="K28" i="13"/>
  <c r="K20" i="13"/>
  <c r="Q10" i="14"/>
  <c r="K260" i="13"/>
  <c r="K252" i="13"/>
  <c r="K248" i="13"/>
  <c r="K253" i="13"/>
  <c r="K237" i="13"/>
  <c r="N227" i="14"/>
  <c r="K221" i="13"/>
  <c r="I211" i="14"/>
  <c r="K205" i="13"/>
  <c r="N195" i="14"/>
  <c r="K197" i="13"/>
  <c r="G179" i="14"/>
  <c r="O175" i="14"/>
  <c r="R163" i="14"/>
  <c r="Q159" i="14"/>
  <c r="P147" i="14"/>
  <c r="K141" i="13"/>
  <c r="S131" i="14"/>
  <c r="M127" i="14"/>
  <c r="K125" i="13"/>
  <c r="Q115" i="14"/>
  <c r="O111" i="14"/>
  <c r="K109" i="13"/>
  <c r="P99" i="14"/>
  <c r="Q95" i="14"/>
  <c r="G83" i="14"/>
  <c r="R79" i="14"/>
  <c r="K77" i="13"/>
  <c r="K67" i="14"/>
  <c r="S63" i="14"/>
  <c r="K61" i="13"/>
  <c r="H51" i="14"/>
  <c r="K47" i="14"/>
  <c r="P35" i="14"/>
  <c r="K31" i="14"/>
  <c r="K33" i="13"/>
  <c r="K29" i="13"/>
  <c r="J19" i="14"/>
  <c r="S15" i="14"/>
  <c r="K17" i="13"/>
  <c r="K13" i="13"/>
  <c r="K101" i="13"/>
  <c r="K149" i="13"/>
  <c r="K76" i="13"/>
  <c r="K140" i="13"/>
  <c r="K131" i="13"/>
  <c r="K227" i="13"/>
  <c r="K259" i="13"/>
  <c r="K170" i="13"/>
  <c r="K256" i="13"/>
  <c r="K23" i="13"/>
  <c r="K39" i="13"/>
  <c r="K55" i="13"/>
  <c r="K71" i="13"/>
  <c r="K87" i="13"/>
  <c r="K103" i="13"/>
  <c r="K119" i="13"/>
  <c r="K135" i="13"/>
  <c r="K151" i="13"/>
  <c r="K167" i="13"/>
  <c r="K183" i="13"/>
  <c r="K199" i="13"/>
  <c r="K215" i="13"/>
  <c r="K231" i="13"/>
  <c r="K247" i="13"/>
  <c r="K30" i="13"/>
  <c r="K46" i="13"/>
  <c r="K110" i="13"/>
  <c r="K126" i="13"/>
  <c r="K158" i="13"/>
  <c r="K190" i="13"/>
  <c r="K222" i="13"/>
  <c r="K229" i="13"/>
  <c r="K44" i="13"/>
  <c r="K108" i="13"/>
  <c r="K220" i="13"/>
  <c r="K35" i="13"/>
  <c r="K83" i="13"/>
  <c r="K93" i="13"/>
  <c r="K189" i="13"/>
  <c r="K36" i="13"/>
  <c r="K52" i="13"/>
  <c r="K116" i="13"/>
  <c r="K132" i="13"/>
  <c r="K196" i="13"/>
  <c r="K228" i="13"/>
  <c r="K43" i="13"/>
  <c r="K59" i="13"/>
  <c r="K75" i="13"/>
  <c r="K107" i="13"/>
  <c r="K123" i="13"/>
  <c r="K139" i="13"/>
  <c r="K155" i="13"/>
  <c r="K171" i="13"/>
  <c r="K187" i="13"/>
  <c r="K203" i="13"/>
  <c r="K219" i="13"/>
  <c r="K235" i="13"/>
  <c r="K251" i="13"/>
  <c r="K18" i="13"/>
  <c r="K34" i="13"/>
  <c r="K50" i="13"/>
  <c r="K66" i="13"/>
  <c r="K82" i="13"/>
  <c r="K98" i="13"/>
  <c r="K114" i="13"/>
  <c r="K130" i="13"/>
  <c r="K146" i="13"/>
  <c r="K162" i="13"/>
  <c r="K178" i="13"/>
  <c r="K194" i="13"/>
  <c r="K210" i="13"/>
  <c r="K226" i="13"/>
  <c r="K242" i="13"/>
  <c r="K258" i="13"/>
  <c r="K165" i="13"/>
  <c r="K245" i="13"/>
  <c r="K60" i="13"/>
  <c r="K92" i="13"/>
  <c r="K124" i="13"/>
  <c r="K188" i="13"/>
  <c r="K236" i="13"/>
  <c r="K115" i="13"/>
  <c r="K147" i="13"/>
  <c r="K154" i="13"/>
  <c r="K45" i="13"/>
  <c r="K157" i="13"/>
  <c r="K173" i="13"/>
  <c r="K49" i="13"/>
  <c r="K65" i="13"/>
  <c r="K81" i="13"/>
  <c r="K97" i="13"/>
  <c r="K113" i="13"/>
  <c r="K129" i="13"/>
  <c r="K145" i="13"/>
  <c r="K161" i="13"/>
  <c r="K177" i="13"/>
  <c r="K193" i="13"/>
  <c r="K209" i="13"/>
  <c r="K225" i="13"/>
  <c r="K241" i="13"/>
  <c r="K257" i="13"/>
  <c r="K24" i="13"/>
  <c r="K40" i="13"/>
  <c r="K56" i="13"/>
  <c r="K72" i="13"/>
  <c r="K88" i="13"/>
  <c r="K104" i="13"/>
  <c r="K120" i="13"/>
  <c r="K136" i="13"/>
  <c r="K152" i="13"/>
  <c r="K168" i="13"/>
  <c r="K184" i="13"/>
  <c r="K200" i="13"/>
  <c r="K216" i="13"/>
  <c r="K232" i="13"/>
  <c r="K22" i="13"/>
  <c r="K38" i="13"/>
  <c r="K54" i="13"/>
  <c r="K70" i="13"/>
  <c r="K86" i="13"/>
  <c r="K102" i="13"/>
  <c r="K118" i="13"/>
  <c r="K134" i="13"/>
  <c r="K182" i="13"/>
  <c r="K198" i="13"/>
  <c r="K214" i="13"/>
  <c r="K230" i="13"/>
  <c r="K246" i="13"/>
  <c r="R31" i="14"/>
  <c r="O31" i="14"/>
  <c r="R47" i="14"/>
  <c r="Q47" i="14"/>
  <c r="J47" i="14"/>
  <c r="Q63" i="14"/>
  <c r="J63" i="14"/>
  <c r="F63" i="14"/>
  <c r="H79" i="14"/>
  <c r="F79" i="14"/>
  <c r="E98" i="20"/>
  <c r="H95" i="14"/>
  <c r="K111" i="14"/>
  <c r="S111" i="14"/>
  <c r="I111" i="14"/>
  <c r="H111" i="14"/>
  <c r="Q127" i="14"/>
  <c r="O127" i="14"/>
  <c r="S127" i="14"/>
  <c r="P127" i="14"/>
  <c r="L127" i="14"/>
  <c r="G127" i="14"/>
  <c r="E130" i="20"/>
  <c r="H127" i="14"/>
  <c r="M143" i="14"/>
  <c r="E146" i="20"/>
  <c r="R159" i="14"/>
  <c r="M159" i="14"/>
  <c r="K159" i="14"/>
  <c r="S159" i="14"/>
  <c r="J159" i="14"/>
  <c r="I159" i="14"/>
  <c r="N159" i="14"/>
  <c r="F159" i="14"/>
  <c r="R175" i="14"/>
  <c r="Q175" i="14"/>
  <c r="K175" i="14"/>
  <c r="S175" i="14"/>
  <c r="P175" i="14"/>
  <c r="I175" i="14"/>
  <c r="G175" i="14"/>
  <c r="N175" i="14"/>
  <c r="E178" i="20"/>
  <c r="Q191" i="14"/>
  <c r="O191" i="14"/>
  <c r="M191" i="14"/>
  <c r="S191" i="14"/>
  <c r="P191" i="14"/>
  <c r="L191" i="14"/>
  <c r="I191" i="14"/>
  <c r="G191" i="14"/>
  <c r="N191" i="14"/>
  <c r="F191" i="14"/>
  <c r="E194" i="20"/>
  <c r="R207" i="14"/>
  <c r="O207" i="14"/>
  <c r="M207" i="14"/>
  <c r="K207" i="14"/>
  <c r="P207" i="14"/>
  <c r="L207" i="14"/>
  <c r="J207" i="14"/>
  <c r="G207" i="14"/>
  <c r="H207" i="14"/>
  <c r="N207" i="14"/>
  <c r="E210" i="20"/>
  <c r="R223" i="14"/>
  <c r="Q223" i="14"/>
  <c r="M223" i="14"/>
  <c r="K223" i="14"/>
  <c r="S223" i="14"/>
  <c r="L223" i="14"/>
  <c r="J223" i="14"/>
  <c r="I223" i="14"/>
  <c r="N223" i="14"/>
  <c r="H223" i="14"/>
  <c r="F223" i="14"/>
  <c r="R239" i="14"/>
  <c r="Q239" i="14"/>
  <c r="O239" i="14"/>
  <c r="K239" i="14"/>
  <c r="S239" i="14"/>
  <c r="P239" i="14"/>
  <c r="J239" i="14"/>
  <c r="I239" i="14"/>
  <c r="G239" i="14"/>
  <c r="N239" i="14"/>
  <c r="F239" i="14"/>
  <c r="E242" i="20"/>
  <c r="R22" i="14"/>
  <c r="O22" i="14"/>
  <c r="M22" i="14"/>
  <c r="K22" i="14"/>
  <c r="P22" i="14"/>
  <c r="L22" i="14"/>
  <c r="G22" i="14"/>
  <c r="N22" i="14"/>
  <c r="J22" i="14"/>
  <c r="F22" i="14"/>
  <c r="H22" i="14"/>
  <c r="R38" i="14"/>
  <c r="Q38" i="14"/>
  <c r="O38" i="14"/>
  <c r="M38" i="14"/>
  <c r="K38" i="14"/>
  <c r="I38" i="14"/>
  <c r="P38" i="14"/>
  <c r="L38" i="14"/>
  <c r="G38" i="14"/>
  <c r="S38" i="14"/>
  <c r="N38" i="14"/>
  <c r="J38" i="14"/>
  <c r="F38" i="14"/>
  <c r="E41" i="20"/>
  <c r="H38" i="14"/>
  <c r="R54" i="14"/>
  <c r="Q54" i="14"/>
  <c r="O54" i="14"/>
  <c r="M54" i="14"/>
  <c r="K54" i="14"/>
  <c r="I54" i="14"/>
  <c r="P54" i="14"/>
  <c r="L54" i="14"/>
  <c r="G54" i="14"/>
  <c r="S54" i="14"/>
  <c r="N54" i="14"/>
  <c r="J54" i="14"/>
  <c r="F54" i="14"/>
  <c r="E57" i="20"/>
  <c r="H54" i="14"/>
  <c r="R70" i="14"/>
  <c r="Q70" i="14"/>
  <c r="O70" i="14"/>
  <c r="M70" i="14"/>
  <c r="K70" i="14"/>
  <c r="P70" i="14"/>
  <c r="L70" i="14"/>
  <c r="I70" i="14"/>
  <c r="G70" i="14"/>
  <c r="S70" i="14"/>
  <c r="N70" i="14"/>
  <c r="J70" i="14"/>
  <c r="F70" i="14"/>
  <c r="E73" i="20"/>
  <c r="H70" i="14"/>
  <c r="R86" i="14"/>
  <c r="Q86" i="14"/>
  <c r="O86" i="14"/>
  <c r="M86" i="14"/>
  <c r="K86" i="14"/>
  <c r="P86" i="14"/>
  <c r="L86" i="14"/>
  <c r="I86" i="14"/>
  <c r="G86" i="14"/>
  <c r="S86" i="14"/>
  <c r="N86" i="14"/>
  <c r="J86" i="14"/>
  <c r="F86" i="14"/>
  <c r="E89" i="20"/>
  <c r="H86" i="14"/>
  <c r="R102" i="14"/>
  <c r="Q102" i="14"/>
  <c r="O102" i="14"/>
  <c r="M102" i="14"/>
  <c r="K102" i="14"/>
  <c r="P102" i="14"/>
  <c r="L102" i="14"/>
  <c r="I102" i="14"/>
  <c r="G102" i="14"/>
  <c r="S102" i="14"/>
  <c r="N102" i="14"/>
  <c r="J102" i="14"/>
  <c r="F102" i="14"/>
  <c r="E105" i="20"/>
  <c r="H102" i="14"/>
  <c r="R118" i="14"/>
  <c r="Q118" i="14"/>
  <c r="O118" i="14"/>
  <c r="M118" i="14"/>
  <c r="K118" i="14"/>
  <c r="P118" i="14"/>
  <c r="L118" i="14"/>
  <c r="I118" i="14"/>
  <c r="G118" i="14"/>
  <c r="S118" i="14"/>
  <c r="N118" i="14"/>
  <c r="J118" i="14"/>
  <c r="F118" i="14"/>
  <c r="E121" i="20"/>
  <c r="H118" i="14"/>
  <c r="R134" i="14"/>
  <c r="Q134" i="14"/>
  <c r="O134" i="14"/>
  <c r="M134" i="14"/>
  <c r="K134" i="14"/>
  <c r="P134" i="14"/>
  <c r="L134" i="14"/>
  <c r="I134" i="14"/>
  <c r="G134" i="14"/>
  <c r="S134" i="14"/>
  <c r="N134" i="14"/>
  <c r="J134" i="14"/>
  <c r="F134" i="14"/>
  <c r="E137" i="20"/>
  <c r="H134" i="14"/>
  <c r="R150" i="14"/>
  <c r="Q150" i="14"/>
  <c r="O150" i="14"/>
  <c r="M150" i="14"/>
  <c r="K150" i="14"/>
  <c r="P150" i="14"/>
  <c r="L150" i="14"/>
  <c r="I150" i="14"/>
  <c r="G150" i="14"/>
  <c r="S150" i="14"/>
  <c r="N150" i="14"/>
  <c r="J150" i="14"/>
  <c r="F150" i="14"/>
  <c r="E153" i="20"/>
  <c r="H150" i="14"/>
  <c r="R166" i="14"/>
  <c r="Q166" i="14"/>
  <c r="O166" i="14"/>
  <c r="M166" i="14"/>
  <c r="K166" i="14"/>
  <c r="P166" i="14"/>
  <c r="L166" i="14"/>
  <c r="I166" i="14"/>
  <c r="G166" i="14"/>
  <c r="S166" i="14"/>
  <c r="N166" i="14"/>
  <c r="J166" i="14"/>
  <c r="F166" i="14"/>
  <c r="E169" i="20"/>
  <c r="H166" i="14"/>
  <c r="R182" i="14"/>
  <c r="Q182" i="14"/>
  <c r="O182" i="14"/>
  <c r="M182" i="14"/>
  <c r="K182" i="14"/>
  <c r="P182" i="14"/>
  <c r="L182" i="14"/>
  <c r="I182" i="14"/>
  <c r="S182" i="14"/>
  <c r="N182" i="14"/>
  <c r="J182" i="14"/>
  <c r="F182" i="14"/>
  <c r="G182" i="14"/>
  <c r="E185" i="20"/>
  <c r="H182" i="14"/>
  <c r="R198" i="14"/>
  <c r="Q198" i="14"/>
  <c r="O198" i="14"/>
  <c r="M198" i="14"/>
  <c r="K198" i="14"/>
  <c r="P198" i="14"/>
  <c r="L198" i="14"/>
  <c r="I198" i="14"/>
  <c r="S198" i="14"/>
  <c r="N198" i="14"/>
  <c r="J198" i="14"/>
  <c r="F198" i="14"/>
  <c r="G198" i="14"/>
  <c r="E201" i="20"/>
  <c r="H198" i="14"/>
  <c r="R214" i="14"/>
  <c r="Q214" i="14"/>
  <c r="O214" i="14"/>
  <c r="M214" i="14"/>
  <c r="K214" i="14"/>
  <c r="P214" i="14"/>
  <c r="L214" i="14"/>
  <c r="I214" i="14"/>
  <c r="S214" i="14"/>
  <c r="N214" i="14"/>
  <c r="J214" i="14"/>
  <c r="F214" i="14"/>
  <c r="G214" i="14"/>
  <c r="E217" i="20"/>
  <c r="H214" i="14"/>
  <c r="R230" i="14"/>
  <c r="Q230" i="14"/>
  <c r="O230" i="14"/>
  <c r="M230" i="14"/>
  <c r="K230" i="14"/>
  <c r="P230" i="14"/>
  <c r="L230" i="14"/>
  <c r="I230" i="14"/>
  <c r="S230" i="14"/>
  <c r="N230" i="14"/>
  <c r="J230" i="14"/>
  <c r="F230" i="14"/>
  <c r="G230" i="14"/>
  <c r="E233" i="20"/>
  <c r="H230" i="14"/>
  <c r="E249" i="20"/>
  <c r="S13" i="14"/>
  <c r="Q13" i="14"/>
  <c r="P13" i="14"/>
  <c r="N13" i="14"/>
  <c r="L13" i="14"/>
  <c r="J13" i="14"/>
  <c r="O13" i="14"/>
  <c r="K13" i="14"/>
  <c r="H13" i="14"/>
  <c r="F13" i="14"/>
  <c r="I13" i="14"/>
  <c r="G13" i="14"/>
  <c r="R13" i="14"/>
  <c r="M13" i="14"/>
  <c r="E16" i="20"/>
  <c r="S29" i="14"/>
  <c r="Q29" i="14"/>
  <c r="P29" i="14"/>
  <c r="N29" i="14"/>
  <c r="L29" i="14"/>
  <c r="J29" i="14"/>
  <c r="O29" i="14"/>
  <c r="K29" i="14"/>
  <c r="H29" i="14"/>
  <c r="F29" i="14"/>
  <c r="G29" i="14"/>
  <c r="E32" i="20"/>
  <c r="R29" i="14"/>
  <c r="I29" i="14"/>
  <c r="M29" i="14"/>
  <c r="S45" i="14"/>
  <c r="P45" i="14"/>
  <c r="N45" i="14"/>
  <c r="L45" i="14"/>
  <c r="J45" i="14"/>
  <c r="O45" i="14"/>
  <c r="K45" i="14"/>
  <c r="H45" i="14"/>
  <c r="F45" i="14"/>
  <c r="Q45" i="14"/>
  <c r="I45" i="14"/>
  <c r="G45" i="14"/>
  <c r="M45" i="14"/>
  <c r="E48" i="20"/>
  <c r="R45" i="14"/>
  <c r="S61" i="14"/>
  <c r="P61" i="14"/>
  <c r="N61" i="14"/>
  <c r="L61" i="14"/>
  <c r="J61" i="14"/>
  <c r="O61" i="14"/>
  <c r="K61" i="14"/>
  <c r="H61" i="14"/>
  <c r="F61" i="14"/>
  <c r="R61" i="14"/>
  <c r="G61" i="14"/>
  <c r="E64" i="20"/>
  <c r="Q61" i="14"/>
  <c r="I61" i="14"/>
  <c r="M61" i="14"/>
  <c r="S77" i="14"/>
  <c r="P77" i="14"/>
  <c r="N77" i="14"/>
  <c r="L77" i="14"/>
  <c r="O77" i="14"/>
  <c r="K77" i="14"/>
  <c r="H77" i="14"/>
  <c r="F77" i="14"/>
  <c r="Q77" i="14"/>
  <c r="G77" i="14"/>
  <c r="R77" i="14"/>
  <c r="M77" i="14"/>
  <c r="E80" i="20"/>
  <c r="I77" i="14"/>
  <c r="J77" i="14"/>
  <c r="S93" i="14"/>
  <c r="P93" i="14"/>
  <c r="N93" i="14"/>
  <c r="L93" i="14"/>
  <c r="O93" i="14"/>
  <c r="K93" i="14"/>
  <c r="H93" i="14"/>
  <c r="F93" i="14"/>
  <c r="G93" i="14"/>
  <c r="E96" i="20"/>
  <c r="R93" i="14"/>
  <c r="Q93" i="14"/>
  <c r="J93" i="14"/>
  <c r="I93" i="14"/>
  <c r="M93" i="14"/>
  <c r="S109" i="14"/>
  <c r="P109" i="14"/>
  <c r="N109" i="14"/>
  <c r="L109" i="14"/>
  <c r="O109" i="14"/>
  <c r="K109" i="14"/>
  <c r="H109" i="14"/>
  <c r="F109" i="14"/>
  <c r="Q109" i="14"/>
  <c r="G109" i="14"/>
  <c r="M109" i="14"/>
  <c r="J109" i="14"/>
  <c r="E112" i="20"/>
  <c r="I109" i="14"/>
  <c r="R109" i="14"/>
  <c r="S125" i="14"/>
  <c r="P125" i="14"/>
  <c r="N125" i="14"/>
  <c r="L125" i="14"/>
  <c r="O125" i="14"/>
  <c r="K125" i="14"/>
  <c r="H125" i="14"/>
  <c r="F125" i="14"/>
  <c r="R125" i="14"/>
  <c r="J125" i="14"/>
  <c r="G125" i="14"/>
  <c r="E128" i="20"/>
  <c r="Q125" i="14"/>
  <c r="I125" i="14"/>
  <c r="M125" i="14"/>
  <c r="S141" i="14"/>
  <c r="P141" i="14"/>
  <c r="N141" i="14"/>
  <c r="L141" i="14"/>
  <c r="O141" i="14"/>
  <c r="K141" i="14"/>
  <c r="H141" i="14"/>
  <c r="F141" i="14"/>
  <c r="Q141" i="14"/>
  <c r="G141" i="14"/>
  <c r="R141" i="14"/>
  <c r="M141" i="14"/>
  <c r="E144" i="20"/>
  <c r="I141" i="14"/>
  <c r="J141" i="14"/>
  <c r="S157" i="14"/>
  <c r="P157" i="14"/>
  <c r="N157" i="14"/>
  <c r="L157" i="14"/>
  <c r="O157" i="14"/>
  <c r="K157" i="14"/>
  <c r="H157" i="14"/>
  <c r="F157" i="14"/>
  <c r="G157" i="14"/>
  <c r="E160" i="20"/>
  <c r="R157" i="14"/>
  <c r="Q157" i="14"/>
  <c r="J157" i="14"/>
  <c r="I157" i="14"/>
  <c r="M157" i="14"/>
  <c r="S173" i="14"/>
  <c r="P173" i="14"/>
  <c r="N173" i="14"/>
  <c r="L173" i="14"/>
  <c r="O173" i="14"/>
  <c r="K173" i="14"/>
  <c r="H173" i="14"/>
  <c r="F173" i="14"/>
  <c r="Q173" i="14"/>
  <c r="G173" i="14"/>
  <c r="E176" i="20"/>
  <c r="M173" i="14"/>
  <c r="J173" i="14"/>
  <c r="I173" i="14"/>
  <c r="R173" i="14"/>
  <c r="S189" i="14"/>
  <c r="P189" i="14"/>
  <c r="N189" i="14"/>
  <c r="L189" i="14"/>
  <c r="O189" i="14"/>
  <c r="K189" i="14"/>
  <c r="H189" i="14"/>
  <c r="F189" i="14"/>
  <c r="R189" i="14"/>
  <c r="J189" i="14"/>
  <c r="E192" i="20"/>
  <c r="Q189" i="14"/>
  <c r="I189" i="14"/>
  <c r="G189" i="14"/>
  <c r="M189" i="14"/>
  <c r="S205" i="14"/>
  <c r="P205" i="14"/>
  <c r="N205" i="14"/>
  <c r="L205" i="14"/>
  <c r="O205" i="14"/>
  <c r="K205" i="14"/>
  <c r="H205" i="14"/>
  <c r="F205" i="14"/>
  <c r="Q205" i="14"/>
  <c r="E208" i="20"/>
  <c r="R205" i="14"/>
  <c r="M205" i="14"/>
  <c r="I205" i="14"/>
  <c r="G205" i="14"/>
  <c r="J205" i="14"/>
  <c r="S221" i="14"/>
  <c r="P221" i="14"/>
  <c r="N221" i="14"/>
  <c r="L221" i="14"/>
  <c r="O221" i="14"/>
  <c r="K221" i="14"/>
  <c r="H221" i="14"/>
  <c r="F221" i="14"/>
  <c r="E224" i="20"/>
  <c r="R221" i="14"/>
  <c r="Q221" i="14"/>
  <c r="J221" i="14"/>
  <c r="I221" i="14"/>
  <c r="G221" i="14"/>
  <c r="M221" i="14"/>
  <c r="S237" i="14"/>
  <c r="P237" i="14"/>
  <c r="N237" i="14"/>
  <c r="L237" i="14"/>
  <c r="O237" i="14"/>
  <c r="K237" i="14"/>
  <c r="H237" i="14"/>
  <c r="F237" i="14"/>
  <c r="Q237" i="14"/>
  <c r="E240" i="20"/>
  <c r="M237" i="14"/>
  <c r="J237" i="14"/>
  <c r="I237" i="14"/>
  <c r="G237" i="14"/>
  <c r="R237" i="14"/>
  <c r="S148" i="14"/>
  <c r="P148" i="14"/>
  <c r="N148" i="14"/>
  <c r="L148" i="14"/>
  <c r="J148" i="14"/>
  <c r="R148" i="14"/>
  <c r="O148" i="14"/>
  <c r="K148" i="14"/>
  <c r="H148" i="14"/>
  <c r="Q148" i="14"/>
  <c r="M148" i="14"/>
  <c r="I148" i="14"/>
  <c r="G148" i="14"/>
  <c r="F148" i="14"/>
  <c r="E151" i="20"/>
  <c r="S164" i="14"/>
  <c r="P164" i="14"/>
  <c r="N164" i="14"/>
  <c r="L164" i="14"/>
  <c r="J164" i="14"/>
  <c r="R164" i="14"/>
  <c r="O164" i="14"/>
  <c r="K164" i="14"/>
  <c r="H164" i="14"/>
  <c r="Q164" i="14"/>
  <c r="M164" i="14"/>
  <c r="I164" i="14"/>
  <c r="F164" i="14"/>
  <c r="G164" i="14"/>
  <c r="E167" i="20"/>
  <c r="S17" i="14"/>
  <c r="Q17" i="14"/>
  <c r="R17" i="14"/>
  <c r="P17" i="14"/>
  <c r="N17" i="14"/>
  <c r="L17" i="14"/>
  <c r="J17" i="14"/>
  <c r="M17" i="14"/>
  <c r="H17" i="14"/>
  <c r="F17" i="14"/>
  <c r="K17" i="14"/>
  <c r="E20" i="20"/>
  <c r="I17" i="14"/>
  <c r="G17" i="14"/>
  <c r="O17" i="14"/>
  <c r="S33" i="14"/>
  <c r="Q33" i="14"/>
  <c r="R33" i="14"/>
  <c r="P33" i="14"/>
  <c r="N33" i="14"/>
  <c r="L33" i="14"/>
  <c r="J33" i="14"/>
  <c r="M33" i="14"/>
  <c r="H33" i="14"/>
  <c r="F33" i="14"/>
  <c r="E36" i="20"/>
  <c r="O33" i="14"/>
  <c r="K33" i="14"/>
  <c r="G33" i="14"/>
  <c r="I33" i="14"/>
  <c r="S49" i="14"/>
  <c r="R49" i="14"/>
  <c r="P49" i="14"/>
  <c r="N49" i="14"/>
  <c r="L49" i="14"/>
  <c r="J49" i="14"/>
  <c r="Q49" i="14"/>
  <c r="M49" i="14"/>
  <c r="H49" i="14"/>
  <c r="F49" i="14"/>
  <c r="K49" i="14"/>
  <c r="E52" i="20"/>
  <c r="I49" i="14"/>
  <c r="G49" i="14"/>
  <c r="O49" i="14"/>
  <c r="S65" i="14"/>
  <c r="R65" i="14"/>
  <c r="P65" i="14"/>
  <c r="N65" i="14"/>
  <c r="L65" i="14"/>
  <c r="J65" i="14"/>
  <c r="Q65" i="14"/>
  <c r="M65" i="14"/>
  <c r="H65" i="14"/>
  <c r="F65" i="14"/>
  <c r="I65" i="14"/>
  <c r="E68" i="20"/>
  <c r="O65" i="14"/>
  <c r="K65" i="14"/>
  <c r="G65" i="14"/>
  <c r="S81" i="14"/>
  <c r="R81" i="14"/>
  <c r="P81" i="14"/>
  <c r="N81" i="14"/>
  <c r="L81" i="14"/>
  <c r="Q81" i="14"/>
  <c r="M81" i="14"/>
  <c r="H81" i="14"/>
  <c r="F81" i="14"/>
  <c r="J81" i="14"/>
  <c r="K81" i="14"/>
  <c r="I81" i="14"/>
  <c r="E84" i="20"/>
  <c r="G81" i="14"/>
  <c r="O81" i="14"/>
  <c r="S97" i="14"/>
  <c r="R97" i="14"/>
  <c r="P97" i="14"/>
  <c r="N97" i="14"/>
  <c r="L97" i="14"/>
  <c r="Q97" i="14"/>
  <c r="M97" i="14"/>
  <c r="H97" i="14"/>
  <c r="F97" i="14"/>
  <c r="J97" i="14"/>
  <c r="I97" i="14"/>
  <c r="E100" i="20"/>
  <c r="O97" i="14"/>
  <c r="K97" i="14"/>
  <c r="G97" i="14"/>
  <c r="S113" i="14"/>
  <c r="R113" i="14"/>
  <c r="P113" i="14"/>
  <c r="N113" i="14"/>
  <c r="L113" i="14"/>
  <c r="Q113" i="14"/>
  <c r="M113" i="14"/>
  <c r="H113" i="14"/>
  <c r="F113" i="14"/>
  <c r="J113" i="14"/>
  <c r="K113" i="14"/>
  <c r="I113" i="14"/>
  <c r="E116" i="20"/>
  <c r="G113" i="14"/>
  <c r="O113" i="14"/>
  <c r="S129" i="14"/>
  <c r="R129" i="14"/>
  <c r="P129" i="14"/>
  <c r="N129" i="14"/>
  <c r="L129" i="14"/>
  <c r="Q129" i="14"/>
  <c r="M129" i="14"/>
  <c r="H129" i="14"/>
  <c r="F129" i="14"/>
  <c r="J129" i="14"/>
  <c r="I129" i="14"/>
  <c r="E132" i="20"/>
  <c r="O129" i="14"/>
  <c r="K129" i="14"/>
  <c r="G129" i="14"/>
  <c r="S145" i="14"/>
  <c r="R145" i="14"/>
  <c r="P145" i="14"/>
  <c r="N145" i="14"/>
  <c r="L145" i="14"/>
  <c r="Q145" i="14"/>
  <c r="M145" i="14"/>
  <c r="H145" i="14"/>
  <c r="F145" i="14"/>
  <c r="J145" i="14"/>
  <c r="K145" i="14"/>
  <c r="I145" i="14"/>
  <c r="E148" i="20"/>
  <c r="G145" i="14"/>
  <c r="O145" i="14"/>
  <c r="S161" i="14"/>
  <c r="R161" i="14"/>
  <c r="P161" i="14"/>
  <c r="N161" i="14"/>
  <c r="L161" i="14"/>
  <c r="Q161" i="14"/>
  <c r="M161" i="14"/>
  <c r="H161" i="14"/>
  <c r="F161" i="14"/>
  <c r="J161" i="14"/>
  <c r="I161" i="14"/>
  <c r="E164" i="20"/>
  <c r="O161" i="14"/>
  <c r="K161" i="14"/>
  <c r="G161" i="14"/>
  <c r="S177" i="14"/>
  <c r="R177" i="14"/>
  <c r="P177" i="14"/>
  <c r="N177" i="14"/>
  <c r="L177" i="14"/>
  <c r="Q177" i="14"/>
  <c r="M177" i="14"/>
  <c r="H177" i="14"/>
  <c r="F177" i="14"/>
  <c r="J177" i="14"/>
  <c r="K177" i="14"/>
  <c r="I177" i="14"/>
  <c r="E180" i="20"/>
  <c r="G177" i="14"/>
  <c r="O177" i="14"/>
  <c r="S193" i="14"/>
  <c r="R193" i="14"/>
  <c r="P193" i="14"/>
  <c r="N193" i="14"/>
  <c r="L193" i="14"/>
  <c r="Q193" i="14"/>
  <c r="M193" i="14"/>
  <c r="H193" i="14"/>
  <c r="F193" i="14"/>
  <c r="J193" i="14"/>
  <c r="I193" i="14"/>
  <c r="E196" i="20"/>
  <c r="O193" i="14"/>
  <c r="G193" i="14"/>
  <c r="K193" i="14"/>
  <c r="S209" i="14"/>
  <c r="R209" i="14"/>
  <c r="P209" i="14"/>
  <c r="N209" i="14"/>
  <c r="L209" i="14"/>
  <c r="Q209" i="14"/>
  <c r="M209" i="14"/>
  <c r="H209" i="14"/>
  <c r="F209" i="14"/>
  <c r="J209" i="14"/>
  <c r="K209" i="14"/>
  <c r="I209" i="14"/>
  <c r="E212" i="20"/>
  <c r="G209" i="14"/>
  <c r="O209" i="14"/>
  <c r="S225" i="14"/>
  <c r="R225" i="14"/>
  <c r="P225" i="14"/>
  <c r="N225" i="14"/>
  <c r="L225" i="14"/>
  <c r="Q225" i="14"/>
  <c r="M225" i="14"/>
  <c r="H225" i="14"/>
  <c r="F225" i="14"/>
  <c r="J225" i="14"/>
  <c r="I225" i="14"/>
  <c r="E228" i="20"/>
  <c r="O225" i="14"/>
  <c r="G225" i="14"/>
  <c r="K225" i="14"/>
  <c r="E244" i="20"/>
  <c r="S8" i="14"/>
  <c r="R8" i="14"/>
  <c r="P8" i="14"/>
  <c r="N8" i="14"/>
  <c r="L8" i="14"/>
  <c r="J8" i="14"/>
  <c r="Q8" i="14"/>
  <c r="M8" i="14"/>
  <c r="H8" i="14"/>
  <c r="O8" i="14"/>
  <c r="K8" i="14"/>
  <c r="G8" i="14"/>
  <c r="E11" i="20"/>
  <c r="I8" i="14"/>
  <c r="F8" i="14"/>
  <c r="S24" i="14"/>
  <c r="R24" i="14"/>
  <c r="P24" i="14"/>
  <c r="N24" i="14"/>
  <c r="L24" i="14"/>
  <c r="J24" i="14"/>
  <c r="M24" i="14"/>
  <c r="H24" i="14"/>
  <c r="Q24" i="14"/>
  <c r="O24" i="14"/>
  <c r="K24" i="14"/>
  <c r="I24" i="14"/>
  <c r="G24" i="14"/>
  <c r="E27" i="20"/>
  <c r="F24" i="14"/>
  <c r="S40" i="14"/>
  <c r="R40" i="14"/>
  <c r="P40" i="14"/>
  <c r="N40" i="14"/>
  <c r="L40" i="14"/>
  <c r="J40" i="14"/>
  <c r="Q40" i="14"/>
  <c r="M40" i="14"/>
  <c r="H40" i="14"/>
  <c r="O40" i="14"/>
  <c r="K40" i="14"/>
  <c r="G40" i="14"/>
  <c r="E43" i="20"/>
  <c r="I40" i="14"/>
  <c r="F40" i="14"/>
  <c r="S56" i="14"/>
  <c r="R56" i="14"/>
  <c r="P56" i="14"/>
  <c r="N56" i="14"/>
  <c r="L56" i="14"/>
  <c r="J56" i="14"/>
  <c r="Q56" i="14"/>
  <c r="M56" i="14"/>
  <c r="H56" i="14"/>
  <c r="O56" i="14"/>
  <c r="K56" i="14"/>
  <c r="I56" i="14"/>
  <c r="G56" i="14"/>
  <c r="E59" i="20"/>
  <c r="F56" i="14"/>
  <c r="S72" i="14"/>
  <c r="R72" i="14"/>
  <c r="P72" i="14"/>
  <c r="N72" i="14"/>
  <c r="L72" i="14"/>
  <c r="J72" i="14"/>
  <c r="Q72" i="14"/>
  <c r="M72" i="14"/>
  <c r="H72" i="14"/>
  <c r="O72" i="14"/>
  <c r="K72" i="14"/>
  <c r="G72" i="14"/>
  <c r="E75" i="20"/>
  <c r="F72" i="14"/>
  <c r="I72" i="14"/>
  <c r="S88" i="14"/>
  <c r="R88" i="14"/>
  <c r="P88" i="14"/>
  <c r="N88" i="14"/>
  <c r="L88" i="14"/>
  <c r="J88" i="14"/>
  <c r="Q88" i="14"/>
  <c r="M88" i="14"/>
  <c r="H88" i="14"/>
  <c r="O88" i="14"/>
  <c r="K88" i="14"/>
  <c r="G88" i="14"/>
  <c r="E91" i="20"/>
  <c r="F88" i="14"/>
  <c r="I88" i="14"/>
  <c r="S104" i="14"/>
  <c r="R104" i="14"/>
  <c r="P104" i="14"/>
  <c r="N104" i="14"/>
  <c r="L104" i="14"/>
  <c r="J104" i="14"/>
  <c r="Q104" i="14"/>
  <c r="M104" i="14"/>
  <c r="H104" i="14"/>
  <c r="O104" i="14"/>
  <c r="K104" i="14"/>
  <c r="G104" i="14"/>
  <c r="E107" i="20"/>
  <c r="F104" i="14"/>
  <c r="I104" i="14"/>
  <c r="S120" i="14"/>
  <c r="R120" i="14"/>
  <c r="P120" i="14"/>
  <c r="N120" i="14"/>
  <c r="L120" i="14"/>
  <c r="J120" i="14"/>
  <c r="Q120" i="14"/>
  <c r="M120" i="14"/>
  <c r="H120" i="14"/>
  <c r="O120" i="14"/>
  <c r="K120" i="14"/>
  <c r="G120" i="14"/>
  <c r="E123" i="20"/>
  <c r="F120" i="14"/>
  <c r="I120" i="14"/>
  <c r="S136" i="14"/>
  <c r="R136" i="14"/>
  <c r="P136" i="14"/>
  <c r="N136" i="14"/>
  <c r="L136" i="14"/>
  <c r="J136" i="14"/>
  <c r="Q136" i="14"/>
  <c r="M136" i="14"/>
  <c r="H136" i="14"/>
  <c r="O136" i="14"/>
  <c r="K136" i="14"/>
  <c r="G136" i="14"/>
  <c r="E139" i="20"/>
  <c r="F136" i="14"/>
  <c r="I136" i="14"/>
  <c r="S152" i="14"/>
  <c r="R152" i="14"/>
  <c r="P152" i="14"/>
  <c r="N152" i="14"/>
  <c r="L152" i="14"/>
  <c r="J152" i="14"/>
  <c r="Q152" i="14"/>
  <c r="M152" i="14"/>
  <c r="H152" i="14"/>
  <c r="O152" i="14"/>
  <c r="K152" i="14"/>
  <c r="G152" i="14"/>
  <c r="F152" i="14"/>
  <c r="E155" i="20"/>
  <c r="I152" i="14"/>
  <c r="S168" i="14"/>
  <c r="R168" i="14"/>
  <c r="P168" i="14"/>
  <c r="N168" i="14"/>
  <c r="L168" i="14"/>
  <c r="J168" i="14"/>
  <c r="Q168" i="14"/>
  <c r="M168" i="14"/>
  <c r="H168" i="14"/>
  <c r="O168" i="14"/>
  <c r="K168" i="14"/>
  <c r="G168" i="14"/>
  <c r="F168" i="14"/>
  <c r="I168" i="14"/>
  <c r="E171" i="20"/>
  <c r="S184" i="14"/>
  <c r="R184" i="14"/>
  <c r="P184" i="14"/>
  <c r="N184" i="14"/>
  <c r="L184" i="14"/>
  <c r="J184" i="14"/>
  <c r="Q184" i="14"/>
  <c r="M184" i="14"/>
  <c r="H184" i="14"/>
  <c r="O184" i="14"/>
  <c r="K184" i="14"/>
  <c r="G184" i="14"/>
  <c r="F184" i="14"/>
  <c r="E187" i="20"/>
  <c r="I184" i="14"/>
  <c r="S200" i="14"/>
  <c r="R200" i="14"/>
  <c r="P200" i="14"/>
  <c r="N200" i="14"/>
  <c r="L200" i="14"/>
  <c r="J200" i="14"/>
  <c r="Q200" i="14"/>
  <c r="M200" i="14"/>
  <c r="H200" i="14"/>
  <c r="O200" i="14"/>
  <c r="K200" i="14"/>
  <c r="G200" i="14"/>
  <c r="F200" i="14"/>
  <c r="I200" i="14"/>
  <c r="E203" i="20"/>
  <c r="S216" i="14"/>
  <c r="R216" i="14"/>
  <c r="P216" i="14"/>
  <c r="N216" i="14"/>
  <c r="L216" i="14"/>
  <c r="J216" i="14"/>
  <c r="Q216" i="14"/>
  <c r="M216" i="14"/>
  <c r="H216" i="14"/>
  <c r="O216" i="14"/>
  <c r="K216" i="14"/>
  <c r="G216" i="14"/>
  <c r="F216" i="14"/>
  <c r="E219" i="20"/>
  <c r="I216" i="14"/>
  <c r="S232" i="14"/>
  <c r="R232" i="14"/>
  <c r="P232" i="14"/>
  <c r="N232" i="14"/>
  <c r="L232" i="14"/>
  <c r="J232" i="14"/>
  <c r="Q232" i="14"/>
  <c r="M232" i="14"/>
  <c r="H232" i="14"/>
  <c r="O232" i="14"/>
  <c r="K232" i="14"/>
  <c r="G232" i="14"/>
  <c r="F232" i="14"/>
  <c r="I232" i="14"/>
  <c r="E235" i="20"/>
  <c r="E251" i="20"/>
  <c r="R7" i="14"/>
  <c r="Q7" i="14"/>
  <c r="O7" i="14"/>
  <c r="M7" i="14"/>
  <c r="K7" i="14"/>
  <c r="P7" i="14"/>
  <c r="L7" i="14"/>
  <c r="G7" i="14"/>
  <c r="E10" i="20"/>
  <c r="H7" i="14"/>
  <c r="S7" i="14"/>
  <c r="N7" i="14"/>
  <c r="I7" i="14"/>
  <c r="F7" i="14"/>
  <c r="J7" i="14"/>
  <c r="R23" i="14"/>
  <c r="Q23" i="14"/>
  <c r="O23" i="14"/>
  <c r="M23" i="14"/>
  <c r="K23" i="14"/>
  <c r="P23" i="14"/>
  <c r="L23" i="14"/>
  <c r="G23" i="14"/>
  <c r="E26" i="20"/>
  <c r="J23" i="14"/>
  <c r="H23" i="14"/>
  <c r="F23" i="14"/>
  <c r="S23" i="14"/>
  <c r="N23" i="14"/>
  <c r="I23" i="14"/>
  <c r="R39" i="14"/>
  <c r="Q39" i="14"/>
  <c r="O39" i="14"/>
  <c r="M39" i="14"/>
  <c r="K39" i="14"/>
  <c r="P39" i="14"/>
  <c r="L39" i="14"/>
  <c r="G39" i="14"/>
  <c r="E42" i="20"/>
  <c r="H39" i="14"/>
  <c r="N39" i="14"/>
  <c r="I39" i="14"/>
  <c r="F39" i="14"/>
  <c r="J39" i="14"/>
  <c r="S39" i="14"/>
  <c r="R55" i="14"/>
  <c r="Q55" i="14"/>
  <c r="O55" i="14"/>
  <c r="M55" i="14"/>
  <c r="K55" i="14"/>
  <c r="P55" i="14"/>
  <c r="L55" i="14"/>
  <c r="G55" i="14"/>
  <c r="E58" i="20"/>
  <c r="S55" i="14"/>
  <c r="J55" i="14"/>
  <c r="H55" i="14"/>
  <c r="F55" i="14"/>
  <c r="N55" i="14"/>
  <c r="I55" i="14"/>
  <c r="R71" i="14"/>
  <c r="Q71" i="14"/>
  <c r="O71" i="14"/>
  <c r="M71" i="14"/>
  <c r="K71" i="14"/>
  <c r="P71" i="14"/>
  <c r="L71" i="14"/>
  <c r="I71" i="14"/>
  <c r="G71" i="14"/>
  <c r="E74" i="20"/>
  <c r="H71" i="14"/>
  <c r="S71" i="14"/>
  <c r="N71" i="14"/>
  <c r="F71" i="14"/>
  <c r="J71" i="14"/>
  <c r="R87" i="14"/>
  <c r="Q87" i="14"/>
  <c r="O87" i="14"/>
  <c r="M87" i="14"/>
  <c r="K87" i="14"/>
  <c r="P87" i="14"/>
  <c r="L87" i="14"/>
  <c r="I87" i="14"/>
  <c r="G87" i="14"/>
  <c r="E90" i="20"/>
  <c r="H87" i="14"/>
  <c r="J87" i="14"/>
  <c r="F87" i="14"/>
  <c r="S87" i="14"/>
  <c r="N87" i="14"/>
  <c r="R103" i="14"/>
  <c r="Q103" i="14"/>
  <c r="O103" i="14"/>
  <c r="M103" i="14"/>
  <c r="K103" i="14"/>
  <c r="P103" i="14"/>
  <c r="L103" i="14"/>
  <c r="I103" i="14"/>
  <c r="G103" i="14"/>
  <c r="E106" i="20"/>
  <c r="J103" i="14"/>
  <c r="H103" i="14"/>
  <c r="N103" i="14"/>
  <c r="F103" i="14"/>
  <c r="S103" i="14"/>
  <c r="R119" i="14"/>
  <c r="Q119" i="14"/>
  <c r="O119" i="14"/>
  <c r="M119" i="14"/>
  <c r="K119" i="14"/>
  <c r="P119" i="14"/>
  <c r="L119" i="14"/>
  <c r="I119" i="14"/>
  <c r="G119" i="14"/>
  <c r="E122" i="20"/>
  <c r="S119" i="14"/>
  <c r="H119" i="14"/>
  <c r="F119" i="14"/>
  <c r="N119" i="14"/>
  <c r="J119" i="14"/>
  <c r="R135" i="14"/>
  <c r="Q135" i="14"/>
  <c r="O135" i="14"/>
  <c r="M135" i="14"/>
  <c r="K135" i="14"/>
  <c r="P135" i="14"/>
  <c r="L135" i="14"/>
  <c r="I135" i="14"/>
  <c r="G135" i="14"/>
  <c r="E138" i="20"/>
  <c r="H135" i="14"/>
  <c r="S135" i="14"/>
  <c r="N135" i="14"/>
  <c r="F135" i="14"/>
  <c r="J135" i="14"/>
  <c r="R151" i="14"/>
  <c r="Q151" i="14"/>
  <c r="O151" i="14"/>
  <c r="M151" i="14"/>
  <c r="K151" i="14"/>
  <c r="P151" i="14"/>
  <c r="L151" i="14"/>
  <c r="I151" i="14"/>
  <c r="G151" i="14"/>
  <c r="H151" i="14"/>
  <c r="J151" i="14"/>
  <c r="F151" i="14"/>
  <c r="S151" i="14"/>
  <c r="N151" i="14"/>
  <c r="E154" i="20"/>
  <c r="R167" i="14"/>
  <c r="Q167" i="14"/>
  <c r="O167" i="14"/>
  <c r="M167" i="14"/>
  <c r="K167" i="14"/>
  <c r="P167" i="14"/>
  <c r="L167" i="14"/>
  <c r="I167" i="14"/>
  <c r="G167" i="14"/>
  <c r="J167" i="14"/>
  <c r="H167" i="14"/>
  <c r="N167" i="14"/>
  <c r="F167" i="14"/>
  <c r="S167" i="14"/>
  <c r="E170" i="20"/>
  <c r="R183" i="14"/>
  <c r="Q183" i="14"/>
  <c r="O183" i="14"/>
  <c r="M183" i="14"/>
  <c r="K183" i="14"/>
  <c r="P183" i="14"/>
  <c r="L183" i="14"/>
  <c r="I183" i="14"/>
  <c r="G183" i="14"/>
  <c r="S183" i="14"/>
  <c r="H183" i="14"/>
  <c r="F183" i="14"/>
  <c r="N183" i="14"/>
  <c r="J183" i="14"/>
  <c r="E186" i="20"/>
  <c r="R199" i="14"/>
  <c r="Q199" i="14"/>
  <c r="O199" i="14"/>
  <c r="M199" i="14"/>
  <c r="K199" i="14"/>
  <c r="P199" i="14"/>
  <c r="L199" i="14"/>
  <c r="I199" i="14"/>
  <c r="G199" i="14"/>
  <c r="H199" i="14"/>
  <c r="S199" i="14"/>
  <c r="N199" i="14"/>
  <c r="F199" i="14"/>
  <c r="J199" i="14"/>
  <c r="E202" i="20"/>
  <c r="R215" i="14"/>
  <c r="Q215" i="14"/>
  <c r="O215" i="14"/>
  <c r="M215" i="14"/>
  <c r="K215" i="14"/>
  <c r="P215" i="14"/>
  <c r="L215" i="14"/>
  <c r="I215" i="14"/>
  <c r="G215" i="14"/>
  <c r="H215" i="14"/>
  <c r="J215" i="14"/>
  <c r="F215" i="14"/>
  <c r="S215" i="14"/>
  <c r="N215" i="14"/>
  <c r="E218" i="20"/>
  <c r="R231" i="14"/>
  <c r="Q231" i="14"/>
  <c r="O231" i="14"/>
  <c r="M231" i="14"/>
  <c r="K231" i="14"/>
  <c r="P231" i="14"/>
  <c r="L231" i="14"/>
  <c r="I231" i="14"/>
  <c r="G231" i="14"/>
  <c r="J231" i="14"/>
  <c r="H231" i="14"/>
  <c r="N231" i="14"/>
  <c r="F231" i="14"/>
  <c r="S231" i="14"/>
  <c r="E234" i="20"/>
  <c r="E250" i="20"/>
  <c r="R14" i="14"/>
  <c r="O14" i="14"/>
  <c r="M14" i="14"/>
  <c r="K14" i="14"/>
  <c r="I14" i="14"/>
  <c r="S14" i="14"/>
  <c r="P14" i="14"/>
  <c r="L14" i="14"/>
  <c r="G14" i="14"/>
  <c r="Q14" i="14"/>
  <c r="N14" i="14"/>
  <c r="J14" i="14"/>
  <c r="F14" i="14"/>
  <c r="E17" i="20"/>
  <c r="H14" i="14"/>
  <c r="R30" i="14"/>
  <c r="O30" i="14"/>
  <c r="M30" i="14"/>
  <c r="K30" i="14"/>
  <c r="I30" i="14"/>
  <c r="S30" i="14"/>
  <c r="Q30" i="14"/>
  <c r="P30" i="14"/>
  <c r="L30" i="14"/>
  <c r="G30" i="14"/>
  <c r="N30" i="14"/>
  <c r="J30" i="14"/>
  <c r="F30" i="14"/>
  <c r="E33" i="20"/>
  <c r="H30" i="14"/>
  <c r="R46" i="14"/>
  <c r="Q46" i="14"/>
  <c r="O46" i="14"/>
  <c r="M46" i="14"/>
  <c r="K46" i="14"/>
  <c r="I46" i="14"/>
  <c r="S46" i="14"/>
  <c r="P46" i="14"/>
  <c r="L46" i="14"/>
  <c r="G46" i="14"/>
  <c r="N46" i="14"/>
  <c r="J46" i="14"/>
  <c r="F46" i="14"/>
  <c r="H46" i="14"/>
  <c r="E49" i="20"/>
  <c r="R62" i="14"/>
  <c r="Q62" i="14"/>
  <c r="O62" i="14"/>
  <c r="M62" i="14"/>
  <c r="K62" i="14"/>
  <c r="S62" i="14"/>
  <c r="P62" i="14"/>
  <c r="L62" i="14"/>
  <c r="I62" i="14"/>
  <c r="G62" i="14"/>
  <c r="N62" i="14"/>
  <c r="J62" i="14"/>
  <c r="F62" i="14"/>
  <c r="E65" i="20"/>
  <c r="H62" i="14"/>
  <c r="R78" i="14"/>
  <c r="Q78" i="14"/>
  <c r="O78" i="14"/>
  <c r="M78" i="14"/>
  <c r="K78" i="14"/>
  <c r="S78" i="14"/>
  <c r="P78" i="14"/>
  <c r="L78" i="14"/>
  <c r="J78" i="14"/>
  <c r="I78" i="14"/>
  <c r="G78" i="14"/>
  <c r="N78" i="14"/>
  <c r="F78" i="14"/>
  <c r="H78" i="14"/>
  <c r="E81" i="20"/>
  <c r="R94" i="14"/>
  <c r="Q94" i="14"/>
  <c r="O94" i="14"/>
  <c r="M94" i="14"/>
  <c r="K94" i="14"/>
  <c r="S94" i="14"/>
  <c r="P94" i="14"/>
  <c r="L94" i="14"/>
  <c r="J94" i="14"/>
  <c r="I94" i="14"/>
  <c r="G94" i="14"/>
  <c r="N94" i="14"/>
  <c r="F94" i="14"/>
  <c r="E97" i="20"/>
  <c r="H94" i="14"/>
  <c r="R110" i="14"/>
  <c r="Q110" i="14"/>
  <c r="O110" i="14"/>
  <c r="M110" i="14"/>
  <c r="K110" i="14"/>
  <c r="S110" i="14"/>
  <c r="P110" i="14"/>
  <c r="L110" i="14"/>
  <c r="J110" i="14"/>
  <c r="I110" i="14"/>
  <c r="G110" i="14"/>
  <c r="N110" i="14"/>
  <c r="F110" i="14"/>
  <c r="H110" i="14"/>
  <c r="E113" i="20"/>
  <c r="R126" i="14"/>
  <c r="Q126" i="14"/>
  <c r="O126" i="14"/>
  <c r="M126" i="14"/>
  <c r="K126" i="14"/>
  <c r="S126" i="14"/>
  <c r="P126" i="14"/>
  <c r="L126" i="14"/>
  <c r="J126" i="14"/>
  <c r="I126" i="14"/>
  <c r="G126" i="14"/>
  <c r="N126" i="14"/>
  <c r="F126" i="14"/>
  <c r="E129" i="20"/>
  <c r="H126" i="14"/>
  <c r="R142" i="14"/>
  <c r="Q142" i="14"/>
  <c r="O142" i="14"/>
  <c r="M142" i="14"/>
  <c r="K142" i="14"/>
  <c r="S142" i="14"/>
  <c r="P142" i="14"/>
  <c r="L142" i="14"/>
  <c r="J142" i="14"/>
  <c r="I142" i="14"/>
  <c r="G142" i="14"/>
  <c r="N142" i="14"/>
  <c r="F142" i="14"/>
  <c r="H142" i="14"/>
  <c r="E145" i="20"/>
  <c r="R158" i="14"/>
  <c r="Q158" i="14"/>
  <c r="O158" i="14"/>
  <c r="M158" i="14"/>
  <c r="K158" i="14"/>
  <c r="S158" i="14"/>
  <c r="P158" i="14"/>
  <c r="L158" i="14"/>
  <c r="J158" i="14"/>
  <c r="I158" i="14"/>
  <c r="G158" i="14"/>
  <c r="N158" i="14"/>
  <c r="E161" i="20"/>
  <c r="F158" i="14"/>
  <c r="H158" i="14"/>
  <c r="R174" i="14"/>
  <c r="Q174" i="14"/>
  <c r="O174" i="14"/>
  <c r="M174" i="14"/>
  <c r="K174" i="14"/>
  <c r="S174" i="14"/>
  <c r="P174" i="14"/>
  <c r="L174" i="14"/>
  <c r="J174" i="14"/>
  <c r="I174" i="14"/>
  <c r="G174" i="14"/>
  <c r="N174" i="14"/>
  <c r="E177" i="20"/>
  <c r="F174" i="14"/>
  <c r="H174" i="14"/>
  <c r="R190" i="14"/>
  <c r="Q190" i="14"/>
  <c r="O190" i="14"/>
  <c r="M190" i="14"/>
  <c r="K190" i="14"/>
  <c r="S190" i="14"/>
  <c r="P190" i="14"/>
  <c r="L190" i="14"/>
  <c r="J190" i="14"/>
  <c r="I190" i="14"/>
  <c r="N190" i="14"/>
  <c r="E193" i="20"/>
  <c r="F190" i="14"/>
  <c r="H190" i="14"/>
  <c r="G190" i="14"/>
  <c r="R206" i="14"/>
  <c r="Q206" i="14"/>
  <c r="O206" i="14"/>
  <c r="M206" i="14"/>
  <c r="K206" i="14"/>
  <c r="S206" i="14"/>
  <c r="P206" i="14"/>
  <c r="L206" i="14"/>
  <c r="J206" i="14"/>
  <c r="I206" i="14"/>
  <c r="N206" i="14"/>
  <c r="E209" i="20"/>
  <c r="F206" i="14"/>
  <c r="H206" i="14"/>
  <c r="G206" i="14"/>
  <c r="R222" i="14"/>
  <c r="Q222" i="14"/>
  <c r="O222" i="14"/>
  <c r="M222" i="14"/>
  <c r="K222" i="14"/>
  <c r="S222" i="14"/>
  <c r="P222" i="14"/>
  <c r="L222" i="14"/>
  <c r="J222" i="14"/>
  <c r="I222" i="14"/>
  <c r="N222" i="14"/>
  <c r="E225" i="20"/>
  <c r="F222" i="14"/>
  <c r="G222" i="14"/>
  <c r="H222" i="14"/>
  <c r="R238" i="14"/>
  <c r="Q238" i="14"/>
  <c r="O238" i="14"/>
  <c r="M238" i="14"/>
  <c r="K238" i="14"/>
  <c r="S238" i="14"/>
  <c r="P238" i="14"/>
  <c r="L238" i="14"/>
  <c r="J238" i="14"/>
  <c r="I238" i="14"/>
  <c r="N238" i="14"/>
  <c r="E241" i="20"/>
  <c r="F238" i="14"/>
  <c r="H238" i="14"/>
  <c r="G238" i="14"/>
  <c r="S21" i="14"/>
  <c r="Q21" i="14"/>
  <c r="P21" i="14"/>
  <c r="N21" i="14"/>
  <c r="L21" i="14"/>
  <c r="J21" i="14"/>
  <c r="R21" i="14"/>
  <c r="O21" i="14"/>
  <c r="K21" i="14"/>
  <c r="I21" i="14"/>
  <c r="H21" i="14"/>
  <c r="F21" i="14"/>
  <c r="G21" i="14"/>
  <c r="M21" i="14"/>
  <c r="E24" i="20"/>
  <c r="S37" i="14"/>
  <c r="Q37" i="14"/>
  <c r="P37" i="14"/>
  <c r="N37" i="14"/>
  <c r="L37" i="14"/>
  <c r="J37" i="14"/>
  <c r="R37" i="14"/>
  <c r="O37" i="14"/>
  <c r="K37" i="14"/>
  <c r="I37" i="14"/>
  <c r="H37" i="14"/>
  <c r="F37" i="14"/>
  <c r="M37" i="14"/>
  <c r="G37" i="14"/>
  <c r="E40" i="20"/>
  <c r="S53" i="14"/>
  <c r="P53" i="14"/>
  <c r="N53" i="14"/>
  <c r="L53" i="14"/>
  <c r="J53" i="14"/>
  <c r="R53" i="14"/>
  <c r="O53" i="14"/>
  <c r="K53" i="14"/>
  <c r="I53" i="14"/>
  <c r="H53" i="14"/>
  <c r="F53" i="14"/>
  <c r="G53" i="14"/>
  <c r="Q53" i="14"/>
  <c r="M53" i="14"/>
  <c r="E56" i="20"/>
  <c r="S69" i="14"/>
  <c r="P69" i="14"/>
  <c r="N69" i="14"/>
  <c r="L69" i="14"/>
  <c r="J69" i="14"/>
  <c r="R69" i="14"/>
  <c r="O69" i="14"/>
  <c r="K69" i="14"/>
  <c r="H69" i="14"/>
  <c r="F69" i="14"/>
  <c r="M69" i="14"/>
  <c r="G69" i="14"/>
  <c r="I69" i="14"/>
  <c r="Q69" i="14"/>
  <c r="E72" i="20"/>
  <c r="S85" i="14"/>
  <c r="P85" i="14"/>
  <c r="N85" i="14"/>
  <c r="L85" i="14"/>
  <c r="R85" i="14"/>
  <c r="O85" i="14"/>
  <c r="K85" i="14"/>
  <c r="J85" i="14"/>
  <c r="H85" i="14"/>
  <c r="F85" i="14"/>
  <c r="G85" i="14"/>
  <c r="Q85" i="14"/>
  <c r="M85" i="14"/>
  <c r="I85" i="14"/>
  <c r="E88" i="20"/>
  <c r="S101" i="14"/>
  <c r="P101" i="14"/>
  <c r="N101" i="14"/>
  <c r="L101" i="14"/>
  <c r="R101" i="14"/>
  <c r="O101" i="14"/>
  <c r="K101" i="14"/>
  <c r="J101" i="14"/>
  <c r="H101" i="14"/>
  <c r="F101" i="14"/>
  <c r="M101" i="14"/>
  <c r="G101" i="14"/>
  <c r="I101" i="14"/>
  <c r="Q101" i="14"/>
  <c r="E104" i="20"/>
  <c r="S117" i="14"/>
  <c r="P117" i="14"/>
  <c r="N117" i="14"/>
  <c r="L117" i="14"/>
  <c r="R117" i="14"/>
  <c r="O117" i="14"/>
  <c r="K117" i="14"/>
  <c r="J117" i="14"/>
  <c r="H117" i="14"/>
  <c r="F117" i="14"/>
  <c r="G117" i="14"/>
  <c r="Q117" i="14"/>
  <c r="M117" i="14"/>
  <c r="I117" i="14"/>
  <c r="E120" i="20"/>
  <c r="S133" i="14"/>
  <c r="P133" i="14"/>
  <c r="N133" i="14"/>
  <c r="L133" i="14"/>
  <c r="R133" i="14"/>
  <c r="O133" i="14"/>
  <c r="K133" i="14"/>
  <c r="J133" i="14"/>
  <c r="H133" i="14"/>
  <c r="F133" i="14"/>
  <c r="M133" i="14"/>
  <c r="G133" i="14"/>
  <c r="I133" i="14"/>
  <c r="Q133" i="14"/>
  <c r="E136" i="20"/>
  <c r="S149" i="14"/>
  <c r="P149" i="14"/>
  <c r="N149" i="14"/>
  <c r="L149" i="14"/>
  <c r="R149" i="14"/>
  <c r="O149" i="14"/>
  <c r="K149" i="14"/>
  <c r="J149" i="14"/>
  <c r="H149" i="14"/>
  <c r="F149" i="14"/>
  <c r="G149" i="14"/>
  <c r="E152" i="20"/>
  <c r="Q149" i="14"/>
  <c r="M149" i="14"/>
  <c r="I149" i="14"/>
  <c r="S165" i="14"/>
  <c r="P165" i="14"/>
  <c r="N165" i="14"/>
  <c r="L165" i="14"/>
  <c r="R165" i="14"/>
  <c r="O165" i="14"/>
  <c r="K165" i="14"/>
  <c r="J165" i="14"/>
  <c r="H165" i="14"/>
  <c r="F165" i="14"/>
  <c r="M165" i="14"/>
  <c r="G165" i="14"/>
  <c r="E168" i="20"/>
  <c r="I165" i="14"/>
  <c r="Q165" i="14"/>
  <c r="S181" i="14"/>
  <c r="P181" i="14"/>
  <c r="N181" i="14"/>
  <c r="L181" i="14"/>
  <c r="R181" i="14"/>
  <c r="O181" i="14"/>
  <c r="K181" i="14"/>
  <c r="J181" i="14"/>
  <c r="H181" i="14"/>
  <c r="F181" i="14"/>
  <c r="G181" i="14"/>
  <c r="E184" i="20"/>
  <c r="Q181" i="14"/>
  <c r="M181" i="14"/>
  <c r="I181" i="14"/>
  <c r="S197" i="14"/>
  <c r="P197" i="14"/>
  <c r="N197" i="14"/>
  <c r="L197" i="14"/>
  <c r="R197" i="14"/>
  <c r="O197" i="14"/>
  <c r="K197" i="14"/>
  <c r="J197" i="14"/>
  <c r="H197" i="14"/>
  <c r="F197" i="14"/>
  <c r="M197" i="14"/>
  <c r="G197" i="14"/>
  <c r="E200" i="20"/>
  <c r="I197" i="14"/>
  <c r="Q197" i="14"/>
  <c r="S213" i="14"/>
  <c r="P213" i="14"/>
  <c r="N213" i="14"/>
  <c r="L213" i="14"/>
  <c r="R213" i="14"/>
  <c r="O213" i="14"/>
  <c r="K213" i="14"/>
  <c r="J213" i="14"/>
  <c r="H213" i="14"/>
  <c r="F213" i="14"/>
  <c r="G213" i="14"/>
  <c r="E216" i="20"/>
  <c r="Q213" i="14"/>
  <c r="M213" i="14"/>
  <c r="I213" i="14"/>
  <c r="S229" i="14"/>
  <c r="P229" i="14"/>
  <c r="N229" i="14"/>
  <c r="L229" i="14"/>
  <c r="R229" i="14"/>
  <c r="O229" i="14"/>
  <c r="K229" i="14"/>
  <c r="J229" i="14"/>
  <c r="H229" i="14"/>
  <c r="F229" i="14"/>
  <c r="M229" i="14"/>
  <c r="G229" i="14"/>
  <c r="E232" i="20"/>
  <c r="I229" i="14"/>
  <c r="Q229" i="14"/>
  <c r="E248" i="20"/>
  <c r="S12" i="14"/>
  <c r="P12" i="14"/>
  <c r="N12" i="14"/>
  <c r="L12" i="14"/>
  <c r="J12" i="14"/>
  <c r="Q12" i="14"/>
  <c r="O12" i="14"/>
  <c r="K12" i="14"/>
  <c r="H12" i="14"/>
  <c r="R12" i="14"/>
  <c r="M12" i="14"/>
  <c r="E15" i="20"/>
  <c r="F12" i="14"/>
  <c r="I12" i="14"/>
  <c r="G12" i="14"/>
  <c r="S28" i="14"/>
  <c r="P28" i="14"/>
  <c r="N28" i="14"/>
  <c r="L28" i="14"/>
  <c r="J28" i="14"/>
  <c r="Q28" i="14"/>
  <c r="O28" i="14"/>
  <c r="K28" i="14"/>
  <c r="H28" i="14"/>
  <c r="R28" i="14"/>
  <c r="M28" i="14"/>
  <c r="E31" i="20"/>
  <c r="I28" i="14"/>
  <c r="F28" i="14"/>
  <c r="G28" i="14"/>
  <c r="S44" i="14"/>
  <c r="P44" i="14"/>
  <c r="N44" i="14"/>
  <c r="L44" i="14"/>
  <c r="J44" i="14"/>
  <c r="O44" i="14"/>
  <c r="K44" i="14"/>
  <c r="H44" i="14"/>
  <c r="R44" i="14"/>
  <c r="Q44" i="14"/>
  <c r="M44" i="14"/>
  <c r="E47" i="20"/>
  <c r="F44" i="14"/>
  <c r="I44" i="14"/>
  <c r="G44" i="14"/>
  <c r="S60" i="14"/>
  <c r="P60" i="14"/>
  <c r="N60" i="14"/>
  <c r="L60" i="14"/>
  <c r="J60" i="14"/>
  <c r="O60" i="14"/>
  <c r="K60" i="14"/>
  <c r="H60" i="14"/>
  <c r="R60" i="14"/>
  <c r="Q60" i="14"/>
  <c r="M60" i="14"/>
  <c r="E63" i="20"/>
  <c r="I60" i="14"/>
  <c r="F60" i="14"/>
  <c r="G60" i="14"/>
  <c r="S76" i="14"/>
  <c r="P76" i="14"/>
  <c r="N76" i="14"/>
  <c r="L76" i="14"/>
  <c r="J76" i="14"/>
  <c r="O76" i="14"/>
  <c r="K76" i="14"/>
  <c r="H76" i="14"/>
  <c r="R76" i="14"/>
  <c r="Q76" i="14"/>
  <c r="M76" i="14"/>
  <c r="E79" i="20"/>
  <c r="I76" i="14"/>
  <c r="F76" i="14"/>
  <c r="G76" i="14"/>
  <c r="S92" i="14"/>
  <c r="P92" i="14"/>
  <c r="N92" i="14"/>
  <c r="L92" i="14"/>
  <c r="J92" i="14"/>
  <c r="O92" i="14"/>
  <c r="K92" i="14"/>
  <c r="H92" i="14"/>
  <c r="R92" i="14"/>
  <c r="Q92" i="14"/>
  <c r="M92" i="14"/>
  <c r="E95" i="20"/>
  <c r="I92" i="14"/>
  <c r="F92" i="14"/>
  <c r="G92" i="14"/>
  <c r="S108" i="14"/>
  <c r="P108" i="14"/>
  <c r="N108" i="14"/>
  <c r="L108" i="14"/>
  <c r="J108" i="14"/>
  <c r="O108" i="14"/>
  <c r="K108" i="14"/>
  <c r="H108" i="14"/>
  <c r="R108" i="14"/>
  <c r="Q108" i="14"/>
  <c r="M108" i="14"/>
  <c r="E111" i="20"/>
  <c r="I108" i="14"/>
  <c r="F108" i="14"/>
  <c r="G108" i="14"/>
  <c r="S124" i="14"/>
  <c r="P124" i="14"/>
  <c r="N124" i="14"/>
  <c r="L124" i="14"/>
  <c r="J124" i="14"/>
  <c r="O124" i="14"/>
  <c r="K124" i="14"/>
  <c r="H124" i="14"/>
  <c r="R124" i="14"/>
  <c r="Q124" i="14"/>
  <c r="M124" i="14"/>
  <c r="E127" i="20"/>
  <c r="I124" i="14"/>
  <c r="F124" i="14"/>
  <c r="G124" i="14"/>
  <c r="S140" i="14"/>
  <c r="P140" i="14"/>
  <c r="N140" i="14"/>
  <c r="L140" i="14"/>
  <c r="J140" i="14"/>
  <c r="O140" i="14"/>
  <c r="K140" i="14"/>
  <c r="H140" i="14"/>
  <c r="R140" i="14"/>
  <c r="Q140" i="14"/>
  <c r="M140" i="14"/>
  <c r="E143" i="20"/>
  <c r="I140" i="14"/>
  <c r="F140" i="14"/>
  <c r="G140" i="14"/>
  <c r="S156" i="14"/>
  <c r="P156" i="14"/>
  <c r="N156" i="14"/>
  <c r="L156" i="14"/>
  <c r="J156" i="14"/>
  <c r="O156" i="14"/>
  <c r="K156" i="14"/>
  <c r="H156" i="14"/>
  <c r="R156" i="14"/>
  <c r="Q156" i="14"/>
  <c r="M156" i="14"/>
  <c r="I156" i="14"/>
  <c r="F156" i="14"/>
  <c r="G156" i="14"/>
  <c r="E159" i="20"/>
  <c r="S172" i="14"/>
  <c r="P172" i="14"/>
  <c r="N172" i="14"/>
  <c r="L172" i="14"/>
  <c r="J172" i="14"/>
  <c r="O172" i="14"/>
  <c r="K172" i="14"/>
  <c r="H172" i="14"/>
  <c r="R172" i="14"/>
  <c r="Q172" i="14"/>
  <c r="M172" i="14"/>
  <c r="I172" i="14"/>
  <c r="F172" i="14"/>
  <c r="E175" i="20"/>
  <c r="G172" i="14"/>
  <c r="S188" i="14"/>
  <c r="P188" i="14"/>
  <c r="N188" i="14"/>
  <c r="L188" i="14"/>
  <c r="J188" i="14"/>
  <c r="O188" i="14"/>
  <c r="K188" i="14"/>
  <c r="H188" i="14"/>
  <c r="R188" i="14"/>
  <c r="Q188" i="14"/>
  <c r="M188" i="14"/>
  <c r="I188" i="14"/>
  <c r="G188" i="14"/>
  <c r="F188" i="14"/>
  <c r="E191" i="20"/>
  <c r="S204" i="14"/>
  <c r="P204" i="14"/>
  <c r="N204" i="14"/>
  <c r="L204" i="14"/>
  <c r="J204" i="14"/>
  <c r="O204" i="14"/>
  <c r="K204" i="14"/>
  <c r="H204" i="14"/>
  <c r="R204" i="14"/>
  <c r="Q204" i="14"/>
  <c r="M204" i="14"/>
  <c r="I204" i="14"/>
  <c r="G204" i="14"/>
  <c r="F204" i="14"/>
  <c r="E207" i="20"/>
  <c r="S220" i="14"/>
  <c r="P220" i="14"/>
  <c r="N220" i="14"/>
  <c r="L220" i="14"/>
  <c r="J220" i="14"/>
  <c r="O220" i="14"/>
  <c r="K220" i="14"/>
  <c r="H220" i="14"/>
  <c r="R220" i="14"/>
  <c r="Q220" i="14"/>
  <c r="M220" i="14"/>
  <c r="I220" i="14"/>
  <c r="G220" i="14"/>
  <c r="F220" i="14"/>
  <c r="E223" i="20"/>
  <c r="S236" i="14"/>
  <c r="P236" i="14"/>
  <c r="N236" i="14"/>
  <c r="L236" i="14"/>
  <c r="J236" i="14"/>
  <c r="O236" i="14"/>
  <c r="K236" i="14"/>
  <c r="H236" i="14"/>
  <c r="R236" i="14"/>
  <c r="Q236" i="14"/>
  <c r="M236" i="14"/>
  <c r="I236" i="14"/>
  <c r="G236" i="14"/>
  <c r="F236" i="14"/>
  <c r="E239" i="20"/>
  <c r="R11" i="14"/>
  <c r="Q11" i="14"/>
  <c r="S11" i="14"/>
  <c r="O11" i="14"/>
  <c r="M11" i="14"/>
  <c r="K11" i="14"/>
  <c r="N11" i="14"/>
  <c r="J11" i="14"/>
  <c r="I11" i="14"/>
  <c r="G11" i="14"/>
  <c r="E14" i="20"/>
  <c r="L11" i="14"/>
  <c r="F11" i="14"/>
  <c r="H11" i="14"/>
  <c r="P11" i="14"/>
  <c r="R27" i="14"/>
  <c r="Q27" i="14"/>
  <c r="S27" i="14"/>
  <c r="O27" i="14"/>
  <c r="M27" i="14"/>
  <c r="K27" i="14"/>
  <c r="N27" i="14"/>
  <c r="J27" i="14"/>
  <c r="I27" i="14"/>
  <c r="G27" i="14"/>
  <c r="E30" i="20"/>
  <c r="F27" i="14"/>
  <c r="P27" i="14"/>
  <c r="L27" i="14"/>
  <c r="H27" i="14"/>
  <c r="R43" i="14"/>
  <c r="S43" i="14"/>
  <c r="Q43" i="14"/>
  <c r="O43" i="14"/>
  <c r="M43" i="14"/>
  <c r="K43" i="14"/>
  <c r="N43" i="14"/>
  <c r="J43" i="14"/>
  <c r="I43" i="14"/>
  <c r="G43" i="14"/>
  <c r="E46" i="20"/>
  <c r="L43" i="14"/>
  <c r="F43" i="14"/>
  <c r="H43" i="14"/>
  <c r="P43" i="14"/>
  <c r="R59" i="14"/>
  <c r="S59" i="14"/>
  <c r="Q59" i="14"/>
  <c r="O59" i="14"/>
  <c r="M59" i="14"/>
  <c r="K59" i="14"/>
  <c r="N59" i="14"/>
  <c r="J59" i="14"/>
  <c r="I59" i="14"/>
  <c r="G59" i="14"/>
  <c r="E62" i="20"/>
  <c r="F59" i="14"/>
  <c r="P59" i="14"/>
  <c r="L59" i="14"/>
  <c r="H59" i="14"/>
  <c r="R75" i="14"/>
  <c r="S75" i="14"/>
  <c r="Q75" i="14"/>
  <c r="O75" i="14"/>
  <c r="M75" i="14"/>
  <c r="K75" i="14"/>
  <c r="N75" i="14"/>
  <c r="I75" i="14"/>
  <c r="G75" i="14"/>
  <c r="E78" i="20"/>
  <c r="J75" i="14"/>
  <c r="L75" i="14"/>
  <c r="F75" i="14"/>
  <c r="H75" i="14"/>
  <c r="P75" i="14"/>
  <c r="R91" i="14"/>
  <c r="S91" i="14"/>
  <c r="Q91" i="14"/>
  <c r="O91" i="14"/>
  <c r="M91" i="14"/>
  <c r="K91" i="14"/>
  <c r="N91" i="14"/>
  <c r="I91" i="14"/>
  <c r="G91" i="14"/>
  <c r="E94" i="20"/>
  <c r="J91" i="14"/>
  <c r="F91" i="14"/>
  <c r="P91" i="14"/>
  <c r="L91" i="14"/>
  <c r="H91" i="14"/>
  <c r="R107" i="14"/>
  <c r="S107" i="14"/>
  <c r="Q107" i="14"/>
  <c r="O107" i="14"/>
  <c r="M107" i="14"/>
  <c r="K107" i="14"/>
  <c r="N107" i="14"/>
  <c r="I107" i="14"/>
  <c r="G107" i="14"/>
  <c r="E110" i="20"/>
  <c r="J107" i="14"/>
  <c r="L107" i="14"/>
  <c r="F107" i="14"/>
  <c r="H107" i="14"/>
  <c r="P107" i="14"/>
  <c r="R123" i="14"/>
  <c r="S123" i="14"/>
  <c r="Q123" i="14"/>
  <c r="O123" i="14"/>
  <c r="M123" i="14"/>
  <c r="K123" i="14"/>
  <c r="N123" i="14"/>
  <c r="I123" i="14"/>
  <c r="G123" i="14"/>
  <c r="E126" i="20"/>
  <c r="J123" i="14"/>
  <c r="F123" i="14"/>
  <c r="P123" i="14"/>
  <c r="L123" i="14"/>
  <c r="H123" i="14"/>
  <c r="R139" i="14"/>
  <c r="S139" i="14"/>
  <c r="Q139" i="14"/>
  <c r="O139" i="14"/>
  <c r="M139" i="14"/>
  <c r="K139" i="14"/>
  <c r="N139" i="14"/>
  <c r="I139" i="14"/>
  <c r="G139" i="14"/>
  <c r="E142" i="20"/>
  <c r="J139" i="14"/>
  <c r="L139" i="14"/>
  <c r="F139" i="14"/>
  <c r="H139" i="14"/>
  <c r="P139" i="14"/>
  <c r="R155" i="14"/>
  <c r="S155" i="14"/>
  <c r="Q155" i="14"/>
  <c r="O155" i="14"/>
  <c r="M155" i="14"/>
  <c r="K155" i="14"/>
  <c r="N155" i="14"/>
  <c r="I155" i="14"/>
  <c r="G155" i="14"/>
  <c r="J155" i="14"/>
  <c r="F155" i="14"/>
  <c r="P155" i="14"/>
  <c r="L155" i="14"/>
  <c r="H155" i="14"/>
  <c r="E158" i="20"/>
  <c r="R171" i="14"/>
  <c r="S171" i="14"/>
  <c r="Q171" i="14"/>
  <c r="O171" i="14"/>
  <c r="M171" i="14"/>
  <c r="K171" i="14"/>
  <c r="N171" i="14"/>
  <c r="I171" i="14"/>
  <c r="G171" i="14"/>
  <c r="J171" i="14"/>
  <c r="L171" i="14"/>
  <c r="F171" i="14"/>
  <c r="H171" i="14"/>
  <c r="P171" i="14"/>
  <c r="E174" i="20"/>
  <c r="R187" i="14"/>
  <c r="S187" i="14"/>
  <c r="Q187" i="14"/>
  <c r="O187" i="14"/>
  <c r="M187" i="14"/>
  <c r="K187" i="14"/>
  <c r="N187" i="14"/>
  <c r="I187" i="14"/>
  <c r="G187" i="14"/>
  <c r="J187" i="14"/>
  <c r="F187" i="14"/>
  <c r="P187" i="14"/>
  <c r="L187" i="14"/>
  <c r="H187" i="14"/>
  <c r="E190" i="20"/>
  <c r="R203" i="14"/>
  <c r="S203" i="14"/>
  <c r="Q203" i="14"/>
  <c r="O203" i="14"/>
  <c r="M203" i="14"/>
  <c r="K203" i="14"/>
  <c r="N203" i="14"/>
  <c r="I203" i="14"/>
  <c r="G203" i="14"/>
  <c r="J203" i="14"/>
  <c r="L203" i="14"/>
  <c r="F203" i="14"/>
  <c r="H203" i="14"/>
  <c r="P203" i="14"/>
  <c r="E206" i="20"/>
  <c r="R219" i="14"/>
  <c r="S219" i="14"/>
  <c r="Q219" i="14"/>
  <c r="O219" i="14"/>
  <c r="M219" i="14"/>
  <c r="K219" i="14"/>
  <c r="N219" i="14"/>
  <c r="I219" i="14"/>
  <c r="G219" i="14"/>
  <c r="J219" i="14"/>
  <c r="F219" i="14"/>
  <c r="P219" i="14"/>
  <c r="L219" i="14"/>
  <c r="H219" i="14"/>
  <c r="E222" i="20"/>
  <c r="R235" i="14"/>
  <c r="S235" i="14"/>
  <c r="Q235" i="14"/>
  <c r="O235" i="14"/>
  <c r="M235" i="14"/>
  <c r="K235" i="14"/>
  <c r="N235" i="14"/>
  <c r="I235" i="14"/>
  <c r="G235" i="14"/>
  <c r="L235" i="14"/>
  <c r="F235" i="14"/>
  <c r="J235" i="14"/>
  <c r="H235" i="14"/>
  <c r="P235" i="14"/>
  <c r="E238" i="20"/>
  <c r="R18" i="14"/>
  <c r="S18" i="14"/>
  <c r="O18" i="14"/>
  <c r="M18" i="14"/>
  <c r="K18" i="14"/>
  <c r="I18" i="14"/>
  <c r="Q18" i="14"/>
  <c r="N18" i="14"/>
  <c r="J18" i="14"/>
  <c r="G18" i="14"/>
  <c r="P18" i="14"/>
  <c r="L18" i="14"/>
  <c r="H18" i="14"/>
  <c r="F18" i="14"/>
  <c r="E21" i="20"/>
  <c r="R34" i="14"/>
  <c r="S34" i="14"/>
  <c r="O34" i="14"/>
  <c r="M34" i="14"/>
  <c r="K34" i="14"/>
  <c r="I34" i="14"/>
  <c r="Q34" i="14"/>
  <c r="N34" i="14"/>
  <c r="J34" i="14"/>
  <c r="G34" i="14"/>
  <c r="P34" i="14"/>
  <c r="L34" i="14"/>
  <c r="H34" i="14"/>
  <c r="F34" i="14"/>
  <c r="E37" i="20"/>
  <c r="R50" i="14"/>
  <c r="S50" i="14"/>
  <c r="Q50" i="14"/>
  <c r="O50" i="14"/>
  <c r="M50" i="14"/>
  <c r="K50" i="14"/>
  <c r="I50" i="14"/>
  <c r="N50" i="14"/>
  <c r="J50" i="14"/>
  <c r="G50" i="14"/>
  <c r="P50" i="14"/>
  <c r="L50" i="14"/>
  <c r="H50" i="14"/>
  <c r="F50" i="14"/>
  <c r="E53" i="20"/>
  <c r="R66" i="14"/>
  <c r="S66" i="14"/>
  <c r="Q66" i="14"/>
  <c r="O66" i="14"/>
  <c r="M66" i="14"/>
  <c r="K66" i="14"/>
  <c r="N66" i="14"/>
  <c r="J66" i="14"/>
  <c r="I66" i="14"/>
  <c r="G66" i="14"/>
  <c r="P66" i="14"/>
  <c r="L66" i="14"/>
  <c r="H66" i="14"/>
  <c r="F66" i="14"/>
  <c r="E69" i="20"/>
  <c r="R82" i="14"/>
  <c r="S82" i="14"/>
  <c r="Q82" i="14"/>
  <c r="O82" i="14"/>
  <c r="M82" i="14"/>
  <c r="K82" i="14"/>
  <c r="N82" i="14"/>
  <c r="I82" i="14"/>
  <c r="G82" i="14"/>
  <c r="P82" i="14"/>
  <c r="L82" i="14"/>
  <c r="J82" i="14"/>
  <c r="H82" i="14"/>
  <c r="F82" i="14"/>
  <c r="E85" i="20"/>
  <c r="R98" i="14"/>
  <c r="S98" i="14"/>
  <c r="Q98" i="14"/>
  <c r="O98" i="14"/>
  <c r="M98" i="14"/>
  <c r="K98" i="14"/>
  <c r="N98" i="14"/>
  <c r="I98" i="14"/>
  <c r="G98" i="14"/>
  <c r="P98" i="14"/>
  <c r="L98" i="14"/>
  <c r="H98" i="14"/>
  <c r="F98" i="14"/>
  <c r="E101" i="20"/>
  <c r="J98" i="14"/>
  <c r="R114" i="14"/>
  <c r="S114" i="14"/>
  <c r="Q114" i="14"/>
  <c r="O114" i="14"/>
  <c r="M114" i="14"/>
  <c r="K114" i="14"/>
  <c r="N114" i="14"/>
  <c r="I114" i="14"/>
  <c r="G114" i="14"/>
  <c r="P114" i="14"/>
  <c r="L114" i="14"/>
  <c r="H114" i="14"/>
  <c r="F114" i="14"/>
  <c r="E117" i="20"/>
  <c r="J114" i="14"/>
  <c r="R130" i="14"/>
  <c r="S130" i="14"/>
  <c r="Q130" i="14"/>
  <c r="O130" i="14"/>
  <c r="M130" i="14"/>
  <c r="K130" i="14"/>
  <c r="N130" i="14"/>
  <c r="I130" i="14"/>
  <c r="G130" i="14"/>
  <c r="P130" i="14"/>
  <c r="L130" i="14"/>
  <c r="J130" i="14"/>
  <c r="H130" i="14"/>
  <c r="F130" i="14"/>
  <c r="E133" i="20"/>
  <c r="R146" i="14"/>
  <c r="S146" i="14"/>
  <c r="Q146" i="14"/>
  <c r="O146" i="14"/>
  <c r="M146" i="14"/>
  <c r="K146" i="14"/>
  <c r="N146" i="14"/>
  <c r="I146" i="14"/>
  <c r="G146" i="14"/>
  <c r="P146" i="14"/>
  <c r="L146" i="14"/>
  <c r="J146" i="14"/>
  <c r="H146" i="14"/>
  <c r="F146" i="14"/>
  <c r="E149" i="20"/>
  <c r="R162" i="14"/>
  <c r="S162" i="14"/>
  <c r="Q162" i="14"/>
  <c r="O162" i="14"/>
  <c r="M162" i="14"/>
  <c r="K162" i="14"/>
  <c r="N162" i="14"/>
  <c r="I162" i="14"/>
  <c r="G162" i="14"/>
  <c r="P162" i="14"/>
  <c r="L162" i="14"/>
  <c r="H162" i="14"/>
  <c r="F162" i="14"/>
  <c r="E165" i="20"/>
  <c r="J162" i="14"/>
  <c r="R178" i="14"/>
  <c r="S178" i="14"/>
  <c r="Q178" i="14"/>
  <c r="O178" i="14"/>
  <c r="M178" i="14"/>
  <c r="K178" i="14"/>
  <c r="N178" i="14"/>
  <c r="I178" i="14"/>
  <c r="G178" i="14"/>
  <c r="P178" i="14"/>
  <c r="L178" i="14"/>
  <c r="H178" i="14"/>
  <c r="F178" i="14"/>
  <c r="E181" i="20"/>
  <c r="J178" i="14"/>
  <c r="R194" i="14"/>
  <c r="S194" i="14"/>
  <c r="Q194" i="14"/>
  <c r="O194" i="14"/>
  <c r="M194" i="14"/>
  <c r="K194" i="14"/>
  <c r="N194" i="14"/>
  <c r="I194" i="14"/>
  <c r="P194" i="14"/>
  <c r="L194" i="14"/>
  <c r="J194" i="14"/>
  <c r="H194" i="14"/>
  <c r="F194" i="14"/>
  <c r="E197" i="20"/>
  <c r="G194" i="14"/>
  <c r="R210" i="14"/>
  <c r="S210" i="14"/>
  <c r="Q210" i="14"/>
  <c r="O210" i="14"/>
  <c r="M210" i="14"/>
  <c r="K210" i="14"/>
  <c r="N210" i="14"/>
  <c r="I210" i="14"/>
  <c r="P210" i="14"/>
  <c r="L210" i="14"/>
  <c r="J210" i="14"/>
  <c r="H210" i="14"/>
  <c r="F210" i="14"/>
  <c r="E213" i="20"/>
  <c r="G210" i="14"/>
  <c r="R226" i="14"/>
  <c r="S226" i="14"/>
  <c r="Q226" i="14"/>
  <c r="O226" i="14"/>
  <c r="M226" i="14"/>
  <c r="K226" i="14"/>
  <c r="N226" i="14"/>
  <c r="I226" i="14"/>
  <c r="P226" i="14"/>
  <c r="L226" i="14"/>
  <c r="H226" i="14"/>
  <c r="F226" i="14"/>
  <c r="E229" i="20"/>
  <c r="G226" i="14"/>
  <c r="J226" i="14"/>
  <c r="S16" i="14"/>
  <c r="R16" i="14"/>
  <c r="Q16" i="14"/>
  <c r="P16" i="14"/>
  <c r="N16" i="14"/>
  <c r="L16" i="14"/>
  <c r="J16" i="14"/>
  <c r="M16" i="14"/>
  <c r="H16" i="14"/>
  <c r="I16" i="14"/>
  <c r="O16" i="14"/>
  <c r="K16" i="14"/>
  <c r="F16" i="14"/>
  <c r="G16" i="14"/>
  <c r="E19" i="20"/>
  <c r="S32" i="14"/>
  <c r="R32" i="14"/>
  <c r="Q32" i="14"/>
  <c r="P32" i="14"/>
  <c r="N32" i="14"/>
  <c r="L32" i="14"/>
  <c r="J32" i="14"/>
  <c r="M32" i="14"/>
  <c r="H32" i="14"/>
  <c r="I32" i="14"/>
  <c r="O32" i="14"/>
  <c r="K32" i="14"/>
  <c r="F32" i="14"/>
  <c r="G32" i="14"/>
  <c r="E35" i="20"/>
  <c r="S48" i="14"/>
  <c r="R48" i="14"/>
  <c r="P48" i="14"/>
  <c r="N48" i="14"/>
  <c r="L48" i="14"/>
  <c r="J48" i="14"/>
  <c r="Q48" i="14"/>
  <c r="M48" i="14"/>
  <c r="H48" i="14"/>
  <c r="I48" i="14"/>
  <c r="O48" i="14"/>
  <c r="K48" i="14"/>
  <c r="F48" i="14"/>
  <c r="G48" i="14"/>
  <c r="E51" i="20"/>
  <c r="S64" i="14"/>
  <c r="R64" i="14"/>
  <c r="P64" i="14"/>
  <c r="N64" i="14"/>
  <c r="L64" i="14"/>
  <c r="J64" i="14"/>
  <c r="Q64" i="14"/>
  <c r="M64" i="14"/>
  <c r="H64" i="14"/>
  <c r="O64" i="14"/>
  <c r="K64" i="14"/>
  <c r="F64" i="14"/>
  <c r="G64" i="14"/>
  <c r="E67" i="20"/>
  <c r="I64" i="14"/>
  <c r="S80" i="14"/>
  <c r="R80" i="14"/>
  <c r="P80" i="14"/>
  <c r="N80" i="14"/>
  <c r="L80" i="14"/>
  <c r="J80" i="14"/>
  <c r="Q80" i="14"/>
  <c r="M80" i="14"/>
  <c r="H80" i="14"/>
  <c r="O80" i="14"/>
  <c r="K80" i="14"/>
  <c r="F80" i="14"/>
  <c r="G80" i="14"/>
  <c r="E83" i="20"/>
  <c r="I80" i="14"/>
  <c r="S96" i="14"/>
  <c r="R96" i="14"/>
  <c r="P96" i="14"/>
  <c r="N96" i="14"/>
  <c r="L96" i="14"/>
  <c r="J96" i="14"/>
  <c r="Q96" i="14"/>
  <c r="M96" i="14"/>
  <c r="H96" i="14"/>
  <c r="O96" i="14"/>
  <c r="K96" i="14"/>
  <c r="F96" i="14"/>
  <c r="G96" i="14"/>
  <c r="E99" i="20"/>
  <c r="I96" i="14"/>
  <c r="S112" i="14"/>
  <c r="R112" i="14"/>
  <c r="P112" i="14"/>
  <c r="N112" i="14"/>
  <c r="L112" i="14"/>
  <c r="J112" i="14"/>
  <c r="Q112" i="14"/>
  <c r="M112" i="14"/>
  <c r="H112" i="14"/>
  <c r="O112" i="14"/>
  <c r="K112" i="14"/>
  <c r="F112" i="14"/>
  <c r="G112" i="14"/>
  <c r="E115" i="20"/>
  <c r="I112" i="14"/>
  <c r="S128" i="14"/>
  <c r="R128" i="14"/>
  <c r="P128" i="14"/>
  <c r="N128" i="14"/>
  <c r="L128" i="14"/>
  <c r="J128" i="14"/>
  <c r="Q128" i="14"/>
  <c r="M128" i="14"/>
  <c r="H128" i="14"/>
  <c r="O128" i="14"/>
  <c r="K128" i="14"/>
  <c r="F128" i="14"/>
  <c r="G128" i="14"/>
  <c r="E131" i="20"/>
  <c r="I128" i="14"/>
  <c r="S176" i="14"/>
  <c r="R176" i="14"/>
  <c r="P176" i="14"/>
  <c r="N176" i="14"/>
  <c r="L176" i="14"/>
  <c r="J176" i="14"/>
  <c r="Q176" i="14"/>
  <c r="M176" i="14"/>
  <c r="H176" i="14"/>
  <c r="O176" i="14"/>
  <c r="K176" i="14"/>
  <c r="F176" i="14"/>
  <c r="G176" i="14"/>
  <c r="E179" i="20"/>
  <c r="I176" i="14"/>
  <c r="S192" i="14"/>
  <c r="R192" i="14"/>
  <c r="P192" i="14"/>
  <c r="N192" i="14"/>
  <c r="L192" i="14"/>
  <c r="J192" i="14"/>
  <c r="Q192" i="14"/>
  <c r="M192" i="14"/>
  <c r="H192" i="14"/>
  <c r="O192" i="14"/>
  <c r="K192" i="14"/>
  <c r="G192" i="14"/>
  <c r="F192" i="14"/>
  <c r="E195" i="20"/>
  <c r="I192" i="14"/>
  <c r="S208" i="14"/>
  <c r="R208" i="14"/>
  <c r="P208" i="14"/>
  <c r="N208" i="14"/>
  <c r="L208" i="14"/>
  <c r="J208" i="14"/>
  <c r="Q208" i="14"/>
  <c r="M208" i="14"/>
  <c r="H208" i="14"/>
  <c r="O208" i="14"/>
  <c r="K208" i="14"/>
  <c r="G208" i="14"/>
  <c r="F208" i="14"/>
  <c r="E211" i="20"/>
  <c r="I208" i="14"/>
  <c r="S224" i="14"/>
  <c r="R224" i="14"/>
  <c r="P224" i="14"/>
  <c r="N224" i="14"/>
  <c r="L224" i="14"/>
  <c r="J224" i="14"/>
  <c r="Q224" i="14"/>
  <c r="M224" i="14"/>
  <c r="H224" i="14"/>
  <c r="O224" i="14"/>
  <c r="K224" i="14"/>
  <c r="G224" i="14"/>
  <c r="F224" i="14"/>
  <c r="E227" i="20"/>
  <c r="I224" i="14"/>
  <c r="S240" i="14"/>
  <c r="R240" i="14"/>
  <c r="P240" i="14"/>
  <c r="N240" i="14"/>
  <c r="L240" i="14"/>
  <c r="J240" i="14"/>
  <c r="Q240" i="14"/>
  <c r="M240" i="14"/>
  <c r="H240" i="14"/>
  <c r="O240" i="14"/>
  <c r="K240" i="14"/>
  <c r="G240" i="14"/>
  <c r="F240" i="14"/>
  <c r="E243" i="20"/>
  <c r="I240" i="14"/>
  <c r="E254" i="17"/>
  <c r="S95" i="14" l="1"/>
  <c r="L79" i="14"/>
  <c r="L63" i="14"/>
  <c r="L47" i="14"/>
  <c r="G31" i="14"/>
  <c r="E18" i="20"/>
  <c r="G111" i="14"/>
  <c r="Q111" i="14"/>
  <c r="K95" i="14"/>
  <c r="K79" i="14"/>
  <c r="P63" i="14"/>
  <c r="S47" i="14"/>
  <c r="P31" i="14"/>
  <c r="P15" i="14"/>
  <c r="I95" i="14"/>
  <c r="M95" i="14"/>
  <c r="G79" i="14"/>
  <c r="M79" i="14"/>
  <c r="N63" i="14"/>
  <c r="M63" i="14"/>
  <c r="N47" i="14"/>
  <c r="I47" i="14"/>
  <c r="H31" i="14"/>
  <c r="S31" i="14"/>
  <c r="F15" i="14"/>
  <c r="M15" i="14"/>
  <c r="F111" i="14"/>
  <c r="P111" i="14"/>
  <c r="R111" i="14"/>
  <c r="J95" i="14"/>
  <c r="R95" i="14"/>
  <c r="J79" i="14"/>
  <c r="O79" i="14"/>
  <c r="G63" i="14"/>
  <c r="O63" i="14"/>
  <c r="E50" i="20"/>
  <c r="O47" i="14"/>
  <c r="N31" i="14"/>
  <c r="I31" i="14"/>
  <c r="H15" i="14"/>
  <c r="K69" i="13"/>
  <c r="F137" i="14"/>
  <c r="E214" i="20"/>
  <c r="J73" i="14"/>
  <c r="O144" i="14"/>
  <c r="E221" i="20"/>
  <c r="F175" i="14"/>
  <c r="J175" i="14"/>
  <c r="H159" i="14"/>
  <c r="L159" i="14"/>
  <c r="F127" i="14"/>
  <c r="I127" i="14"/>
  <c r="N111" i="14"/>
  <c r="J111" i="14"/>
  <c r="N95" i="14"/>
  <c r="L95" i="14"/>
  <c r="E82" i="20"/>
  <c r="P79" i="14"/>
  <c r="E66" i="20"/>
  <c r="F47" i="14"/>
  <c r="G47" i="14"/>
  <c r="J31" i="14"/>
  <c r="L31" i="14"/>
  <c r="N15" i="14"/>
  <c r="K201" i="14"/>
  <c r="Q138" i="14"/>
  <c r="F132" i="14"/>
  <c r="K21" i="13"/>
  <c r="O15" i="14"/>
  <c r="G15" i="14"/>
  <c r="J15" i="14"/>
  <c r="K37" i="13"/>
  <c r="M31" i="14"/>
  <c r="Q31" i="14"/>
  <c r="E34" i="20"/>
  <c r="F31" i="14"/>
  <c r="M47" i="14"/>
  <c r="P47" i="14"/>
  <c r="H47" i="14"/>
  <c r="R63" i="14"/>
  <c r="K63" i="14"/>
  <c r="I63" i="14"/>
  <c r="H63" i="14"/>
  <c r="K85" i="13"/>
  <c r="Q79" i="14"/>
  <c r="S79" i="14"/>
  <c r="I79" i="14"/>
  <c r="N79" i="14"/>
  <c r="O95" i="14"/>
  <c r="P95" i="14"/>
  <c r="G95" i="14"/>
  <c r="F95" i="14"/>
  <c r="K117" i="13"/>
  <c r="M111" i="14"/>
  <c r="L111" i="14"/>
  <c r="E114" i="20"/>
  <c r="K133" i="13"/>
  <c r="R127" i="14"/>
  <c r="K127" i="14"/>
  <c r="J127" i="14"/>
  <c r="N127" i="14"/>
  <c r="R143" i="14"/>
  <c r="L143" i="14"/>
  <c r="O159" i="14"/>
  <c r="P159" i="14"/>
  <c r="G159" i="14"/>
  <c r="E162" i="20"/>
  <c r="K181" i="13"/>
  <c r="M175" i="14"/>
  <c r="L175" i="14"/>
  <c r="H175" i="14"/>
  <c r="R191" i="14"/>
  <c r="K191" i="14"/>
  <c r="J191" i="14"/>
  <c r="H191" i="14"/>
  <c r="K213" i="13"/>
  <c r="Q207" i="14"/>
  <c r="S207" i="14"/>
  <c r="I207" i="14"/>
  <c r="F207" i="14"/>
  <c r="O223" i="14"/>
  <c r="P223" i="14"/>
  <c r="G223" i="14"/>
  <c r="E226" i="20"/>
  <c r="M239" i="14"/>
  <c r="L239" i="14"/>
  <c r="H239" i="14"/>
  <c r="K261" i="13"/>
  <c r="Q22" i="14"/>
  <c r="I22" i="14"/>
  <c r="S22" i="14"/>
  <c r="E25" i="20"/>
  <c r="S19" i="14"/>
  <c r="R144" i="14"/>
  <c r="E188" i="20"/>
  <c r="H121" i="14"/>
  <c r="L57" i="14"/>
  <c r="I202" i="14"/>
  <c r="R106" i="14"/>
  <c r="S179" i="14"/>
  <c r="I15" i="14"/>
  <c r="R15" i="14"/>
  <c r="K160" i="14"/>
  <c r="E172" i="20"/>
  <c r="M105" i="14"/>
  <c r="N41" i="14"/>
  <c r="S186" i="14"/>
  <c r="F58" i="14"/>
  <c r="O131" i="14"/>
  <c r="Q15" i="14"/>
  <c r="L15" i="14"/>
  <c r="K15" i="14"/>
  <c r="P160" i="14"/>
  <c r="G217" i="14"/>
  <c r="O153" i="14"/>
  <c r="Q89" i="14"/>
  <c r="R25" i="14"/>
  <c r="J154" i="14"/>
  <c r="J26" i="14"/>
  <c r="F67" i="14"/>
  <c r="I160" i="14"/>
  <c r="E147" i="20"/>
  <c r="E252" i="20"/>
  <c r="E236" i="20"/>
  <c r="O217" i="14"/>
  <c r="F201" i="14"/>
  <c r="H185" i="14"/>
  <c r="M169" i="14"/>
  <c r="Q153" i="14"/>
  <c r="J137" i="14"/>
  <c r="L121" i="14"/>
  <c r="N105" i="14"/>
  <c r="P89" i="14"/>
  <c r="R73" i="14"/>
  <c r="S57" i="14"/>
  <c r="E28" i="20"/>
  <c r="Q9" i="14"/>
  <c r="F234" i="14"/>
  <c r="J218" i="14"/>
  <c r="Q202" i="14"/>
  <c r="P170" i="14"/>
  <c r="M154" i="14"/>
  <c r="J122" i="14"/>
  <c r="K58" i="14"/>
  <c r="L10" i="14"/>
  <c r="O211" i="14"/>
  <c r="K163" i="14"/>
  <c r="I115" i="14"/>
  <c r="E87" i="20"/>
  <c r="M233" i="14"/>
  <c r="Q217" i="14"/>
  <c r="J201" i="14"/>
  <c r="L185" i="14"/>
  <c r="N169" i="14"/>
  <c r="P153" i="14"/>
  <c r="R137" i="14"/>
  <c r="S121" i="14"/>
  <c r="E92" i="20"/>
  <c r="K73" i="14"/>
  <c r="K57" i="14"/>
  <c r="O41" i="14"/>
  <c r="F25" i="14"/>
  <c r="P234" i="14"/>
  <c r="O218" i="14"/>
  <c r="G186" i="14"/>
  <c r="K170" i="14"/>
  <c r="F138" i="14"/>
  <c r="S122" i="14"/>
  <c r="F74" i="14"/>
  <c r="H42" i="14"/>
  <c r="L35" i="14"/>
  <c r="Q160" i="14"/>
  <c r="J144" i="14"/>
  <c r="N233" i="14"/>
  <c r="P217" i="14"/>
  <c r="R201" i="14"/>
  <c r="S185" i="14"/>
  <c r="G153" i="14"/>
  <c r="K137" i="14"/>
  <c r="K121" i="14"/>
  <c r="O105" i="14"/>
  <c r="O89" i="14"/>
  <c r="F73" i="14"/>
  <c r="M57" i="14"/>
  <c r="Q41" i="14"/>
  <c r="J25" i="14"/>
  <c r="N186" i="14"/>
  <c r="R170" i="14"/>
  <c r="G106" i="14"/>
  <c r="N74" i="14"/>
  <c r="G227" i="14"/>
  <c r="H179" i="14"/>
  <c r="L131" i="14"/>
  <c r="P83" i="14"/>
  <c r="R35" i="14"/>
  <c r="L212" i="14"/>
  <c r="S10" i="14"/>
  <c r="E12" i="20"/>
  <c r="H9" i="14"/>
  <c r="L9" i="14"/>
  <c r="K57" i="13"/>
  <c r="Q51" i="14"/>
  <c r="N51" i="14"/>
  <c r="P51" i="14"/>
  <c r="F51" i="14"/>
  <c r="R51" i="14"/>
  <c r="K51" i="14"/>
  <c r="L51" i="14"/>
  <c r="S51" i="14"/>
  <c r="G51" i="14"/>
  <c r="M51" i="14"/>
  <c r="I51" i="14"/>
  <c r="K105" i="13"/>
  <c r="S99" i="14"/>
  <c r="K99" i="14"/>
  <c r="G99" i="14"/>
  <c r="F99" i="14"/>
  <c r="O99" i="14"/>
  <c r="I99" i="14"/>
  <c r="L99" i="14"/>
  <c r="J99" i="14"/>
  <c r="H99" i="14"/>
  <c r="Q99" i="14"/>
  <c r="E102" i="20"/>
  <c r="K153" i="13"/>
  <c r="S147" i="14"/>
  <c r="K147" i="14"/>
  <c r="G147" i="14"/>
  <c r="F147" i="14"/>
  <c r="R147" i="14"/>
  <c r="J147" i="14"/>
  <c r="L147" i="14"/>
  <c r="O147" i="14"/>
  <c r="I147" i="14"/>
  <c r="E150" i="20"/>
  <c r="K201" i="13"/>
  <c r="R195" i="14"/>
  <c r="M195" i="14"/>
  <c r="I195" i="14"/>
  <c r="F195" i="14"/>
  <c r="O195" i="14"/>
  <c r="G195" i="14"/>
  <c r="E198" i="20"/>
  <c r="S195" i="14"/>
  <c r="J195" i="14"/>
  <c r="H195" i="14"/>
  <c r="K48" i="13"/>
  <c r="Q42" i="14"/>
  <c r="I42" i="14"/>
  <c r="M42" i="14"/>
  <c r="G42" i="14"/>
  <c r="F42" i="14"/>
  <c r="S42" i="14"/>
  <c r="N42" i="14"/>
  <c r="L42" i="14"/>
  <c r="K96" i="13"/>
  <c r="R90" i="14"/>
  <c r="M90" i="14"/>
  <c r="G90" i="14"/>
  <c r="H90" i="14"/>
  <c r="Q90" i="14"/>
  <c r="N90" i="14"/>
  <c r="P90" i="14"/>
  <c r="F90" i="14"/>
  <c r="K144" i="13"/>
  <c r="O138" i="14"/>
  <c r="S138" i="14"/>
  <c r="K138" i="14"/>
  <c r="J138" i="14"/>
  <c r="E141" i="20"/>
  <c r="K208" i="13"/>
  <c r="S202" i="14"/>
  <c r="K202" i="14"/>
  <c r="P202" i="14"/>
  <c r="E205" i="20"/>
  <c r="K240" i="13"/>
  <c r="O234" i="14"/>
  <c r="I234" i="14"/>
  <c r="G234" i="14"/>
  <c r="S36" i="14"/>
  <c r="J36" i="14"/>
  <c r="I36" i="14"/>
  <c r="F36" i="14"/>
  <c r="P36" i="14"/>
  <c r="R36" i="14"/>
  <c r="H36" i="14"/>
  <c r="G36" i="14"/>
  <c r="K42" i="13"/>
  <c r="N36" i="14"/>
  <c r="O36" i="14"/>
  <c r="M36" i="14"/>
  <c r="E39" i="20"/>
  <c r="Q36" i="14"/>
  <c r="L36" i="14"/>
  <c r="L180" i="14"/>
  <c r="K180" i="14"/>
  <c r="I180" i="14"/>
  <c r="J180" i="14"/>
  <c r="Q180" i="14"/>
  <c r="F180" i="14"/>
  <c r="S180" i="14"/>
  <c r="O180" i="14"/>
  <c r="E183" i="20"/>
  <c r="N180" i="14"/>
  <c r="M180" i="14"/>
  <c r="K202" i="13"/>
  <c r="S196" i="14"/>
  <c r="J196" i="14"/>
  <c r="H196" i="14"/>
  <c r="F196" i="14"/>
  <c r="R196" i="14"/>
  <c r="M196" i="14"/>
  <c r="O196" i="14"/>
  <c r="E199" i="20"/>
  <c r="N196" i="14"/>
  <c r="Q196" i="14"/>
  <c r="K234" i="13"/>
  <c r="N228" i="14"/>
  <c r="O228" i="14"/>
  <c r="M228" i="14"/>
  <c r="E231" i="20"/>
  <c r="P228" i="14"/>
  <c r="K228" i="14"/>
  <c r="F228" i="14"/>
  <c r="J228" i="14"/>
  <c r="I228" i="14"/>
  <c r="S228" i="14"/>
  <c r="H228" i="14"/>
  <c r="G233" i="14"/>
  <c r="K217" i="14"/>
  <c r="H201" i="14"/>
  <c r="M185" i="14"/>
  <c r="I169" i="14"/>
  <c r="F153" i="14"/>
  <c r="R153" i="14"/>
  <c r="L137" i="14"/>
  <c r="I121" i="14"/>
  <c r="N121" i="14"/>
  <c r="I105" i="14"/>
  <c r="P105" i="14"/>
  <c r="G89" i="14"/>
  <c r="J89" i="14"/>
  <c r="G73" i="14"/>
  <c r="H73" i="14"/>
  <c r="L73" i="14"/>
  <c r="S73" i="14"/>
  <c r="O57" i="14"/>
  <c r="Q57" i="14"/>
  <c r="N57" i="14"/>
  <c r="E44" i="20"/>
  <c r="I41" i="14"/>
  <c r="P41" i="14"/>
  <c r="G25" i="14"/>
  <c r="H25" i="14"/>
  <c r="L25" i="14"/>
  <c r="Q25" i="14"/>
  <c r="G9" i="14"/>
  <c r="M9" i="14"/>
  <c r="N9" i="14"/>
  <c r="S9" i="14"/>
  <c r="E237" i="20"/>
  <c r="J234" i="14"/>
  <c r="Q234" i="14"/>
  <c r="H218" i="14"/>
  <c r="I218" i="14"/>
  <c r="G202" i="14"/>
  <c r="N202" i="14"/>
  <c r="R202" i="14"/>
  <c r="L186" i="14"/>
  <c r="F170" i="14"/>
  <c r="J170" i="14"/>
  <c r="M170" i="14"/>
  <c r="E157" i="20"/>
  <c r="G154" i="14"/>
  <c r="H138" i="14"/>
  <c r="I138" i="14"/>
  <c r="R138" i="14"/>
  <c r="I122" i="14"/>
  <c r="E109" i="20"/>
  <c r="E93" i="20"/>
  <c r="K90" i="14"/>
  <c r="H74" i="14"/>
  <c r="M74" i="14"/>
  <c r="L58" i="14"/>
  <c r="P42" i="14"/>
  <c r="R42" i="14"/>
  <c r="K26" i="14"/>
  <c r="L211" i="14"/>
  <c r="R211" i="14"/>
  <c r="K195" i="14"/>
  <c r="L163" i="14"/>
  <c r="O163" i="14"/>
  <c r="N147" i="14"/>
  <c r="P131" i="14"/>
  <c r="K115" i="14"/>
  <c r="N99" i="14"/>
  <c r="G67" i="14"/>
  <c r="E54" i="20"/>
  <c r="L19" i="14"/>
  <c r="G228" i="14"/>
  <c r="E215" i="20"/>
  <c r="G196" i="14"/>
  <c r="P196" i="14"/>
  <c r="P180" i="14"/>
  <c r="K36" i="14"/>
  <c r="K41" i="13"/>
  <c r="S35" i="14"/>
  <c r="N35" i="14"/>
  <c r="Q35" i="14"/>
  <c r="F35" i="14"/>
  <c r="K35" i="14"/>
  <c r="I35" i="14"/>
  <c r="O35" i="14"/>
  <c r="E38" i="20"/>
  <c r="J35" i="14"/>
  <c r="H35" i="14"/>
  <c r="K89" i="13"/>
  <c r="R83" i="14"/>
  <c r="M83" i="14"/>
  <c r="I83" i="14"/>
  <c r="L83" i="14"/>
  <c r="Q83" i="14"/>
  <c r="N83" i="14"/>
  <c r="H83" i="14"/>
  <c r="J83" i="14"/>
  <c r="F83" i="14"/>
  <c r="O83" i="14"/>
  <c r="E86" i="20"/>
  <c r="K137" i="13"/>
  <c r="R131" i="14"/>
  <c r="M131" i="14"/>
  <c r="I131" i="14"/>
  <c r="H131" i="14"/>
  <c r="K131" i="14"/>
  <c r="E134" i="20"/>
  <c r="Q131" i="14"/>
  <c r="N131" i="14"/>
  <c r="F131" i="14"/>
  <c r="O179" i="14"/>
  <c r="N179" i="14"/>
  <c r="L179" i="14"/>
  <c r="Q179" i="14"/>
  <c r="I179" i="14"/>
  <c r="F179" i="14"/>
  <c r="K185" i="13"/>
  <c r="R179" i="14"/>
  <c r="K179" i="14"/>
  <c r="P179" i="14"/>
  <c r="K233" i="13"/>
  <c r="Q227" i="14"/>
  <c r="J227" i="14"/>
  <c r="P227" i="14"/>
  <c r="E230" i="20"/>
  <c r="R227" i="14"/>
  <c r="K227" i="14"/>
  <c r="H227" i="14"/>
  <c r="O227" i="14"/>
  <c r="I227" i="14"/>
  <c r="L227" i="14"/>
  <c r="K16" i="13"/>
  <c r="R10" i="14"/>
  <c r="K10" i="14"/>
  <c r="G10" i="14"/>
  <c r="H10" i="14"/>
  <c r="O10" i="14"/>
  <c r="J10" i="14"/>
  <c r="E13" i="20"/>
  <c r="I10" i="14"/>
  <c r="P10" i="14"/>
  <c r="K64" i="13"/>
  <c r="Q58" i="14"/>
  <c r="I58" i="14"/>
  <c r="P58" i="14"/>
  <c r="E61" i="20"/>
  <c r="R58" i="14"/>
  <c r="M58" i="14"/>
  <c r="J58" i="14"/>
  <c r="H58" i="14"/>
  <c r="K112" i="13"/>
  <c r="S106" i="14"/>
  <c r="K106" i="14"/>
  <c r="J106" i="14"/>
  <c r="F106" i="14"/>
  <c r="O106" i="14"/>
  <c r="I106" i="14"/>
  <c r="L106" i="14"/>
  <c r="K160" i="13"/>
  <c r="Q154" i="14"/>
  <c r="N154" i="14"/>
  <c r="P154" i="14"/>
  <c r="F154" i="14"/>
  <c r="K192" i="13"/>
  <c r="R186" i="14"/>
  <c r="M186" i="14"/>
  <c r="J186" i="14"/>
  <c r="H186" i="14"/>
  <c r="Q218" i="14"/>
  <c r="N218" i="14"/>
  <c r="L218" i="14"/>
  <c r="F218" i="14"/>
  <c r="L20" i="14"/>
  <c r="K20" i="14"/>
  <c r="M20" i="14"/>
  <c r="K26" i="13"/>
  <c r="S20" i="14"/>
  <c r="J20" i="14"/>
  <c r="I20" i="14"/>
  <c r="E23" i="20"/>
  <c r="P20" i="14"/>
  <c r="R20" i="14"/>
  <c r="H20" i="14"/>
  <c r="G20" i="14"/>
  <c r="F20" i="14"/>
  <c r="O20" i="14"/>
  <c r="K58" i="13"/>
  <c r="P52" i="14"/>
  <c r="R52" i="14"/>
  <c r="H52" i="14"/>
  <c r="E55" i="20"/>
  <c r="N52" i="14"/>
  <c r="O52" i="14"/>
  <c r="Q52" i="14"/>
  <c r="F52" i="14"/>
  <c r="L52" i="14"/>
  <c r="K52" i="14"/>
  <c r="M52" i="14"/>
  <c r="S52" i="14"/>
  <c r="I52" i="14"/>
  <c r="L84" i="14"/>
  <c r="K84" i="14"/>
  <c r="I84" i="14"/>
  <c r="K90" i="13"/>
  <c r="S84" i="14"/>
  <c r="J84" i="14"/>
  <c r="H84" i="14"/>
  <c r="G84" i="14"/>
  <c r="P84" i="14"/>
  <c r="R84" i="14"/>
  <c r="Q84" i="14"/>
  <c r="F84" i="14"/>
  <c r="N84" i="14"/>
  <c r="M84" i="14"/>
  <c r="P116" i="14"/>
  <c r="R116" i="14"/>
  <c r="Q116" i="14"/>
  <c r="E119" i="20"/>
  <c r="K122" i="13"/>
  <c r="N116" i="14"/>
  <c r="O116" i="14"/>
  <c r="M116" i="14"/>
  <c r="F116" i="14"/>
  <c r="L116" i="14"/>
  <c r="K116" i="14"/>
  <c r="I116" i="14"/>
  <c r="J116" i="14"/>
  <c r="S116" i="14"/>
  <c r="G116" i="14"/>
  <c r="K250" i="13"/>
  <c r="E247" i="20"/>
  <c r="Q233" i="14"/>
  <c r="F217" i="14"/>
  <c r="O201" i="14"/>
  <c r="I185" i="14"/>
  <c r="Q169" i="14"/>
  <c r="G137" i="14"/>
  <c r="F89" i="14"/>
  <c r="G160" i="14"/>
  <c r="H160" i="14"/>
  <c r="L160" i="14"/>
  <c r="S160" i="14"/>
  <c r="F144" i="14"/>
  <c r="M144" i="14"/>
  <c r="N144" i="14"/>
  <c r="K233" i="14"/>
  <c r="F233" i="14"/>
  <c r="J233" i="14"/>
  <c r="R233" i="14"/>
  <c r="E220" i="20"/>
  <c r="H217" i="14"/>
  <c r="L217" i="14"/>
  <c r="S217" i="14"/>
  <c r="E204" i="20"/>
  <c r="M201" i="14"/>
  <c r="N201" i="14"/>
  <c r="G185" i="14"/>
  <c r="O185" i="14"/>
  <c r="Q185" i="14"/>
  <c r="P185" i="14"/>
  <c r="G169" i="14"/>
  <c r="F169" i="14"/>
  <c r="J169" i="14"/>
  <c r="R169" i="14"/>
  <c r="E156" i="20"/>
  <c r="H153" i="14"/>
  <c r="L153" i="14"/>
  <c r="S153" i="14"/>
  <c r="O137" i="14"/>
  <c r="M137" i="14"/>
  <c r="N137" i="14"/>
  <c r="E124" i="20"/>
  <c r="O121" i="14"/>
  <c r="Q121" i="14"/>
  <c r="P121" i="14"/>
  <c r="K105" i="14"/>
  <c r="F105" i="14"/>
  <c r="J105" i="14"/>
  <c r="R105" i="14"/>
  <c r="K89" i="14"/>
  <c r="H89" i="14"/>
  <c r="L89" i="14"/>
  <c r="S89" i="14"/>
  <c r="O73" i="14"/>
  <c r="M73" i="14"/>
  <c r="N73" i="14"/>
  <c r="E60" i="20"/>
  <c r="F57" i="14"/>
  <c r="I57" i="14"/>
  <c r="P57" i="14"/>
  <c r="K41" i="14"/>
  <c r="H41" i="14"/>
  <c r="J41" i="14"/>
  <c r="R41" i="14"/>
  <c r="K25" i="14"/>
  <c r="M25" i="14"/>
  <c r="N25" i="14"/>
  <c r="S25" i="14"/>
  <c r="O9" i="14"/>
  <c r="I9" i="14"/>
  <c r="P9" i="14"/>
  <c r="H234" i="14"/>
  <c r="N234" i="14"/>
  <c r="S234" i="14"/>
  <c r="G218" i="14"/>
  <c r="K218" i="14"/>
  <c r="R218" i="14"/>
  <c r="L202" i="14"/>
  <c r="M202" i="14"/>
  <c r="F186" i="14"/>
  <c r="P186" i="14"/>
  <c r="O186" i="14"/>
  <c r="E173" i="20"/>
  <c r="G170" i="14"/>
  <c r="H154" i="14"/>
  <c r="I154" i="14"/>
  <c r="S154" i="14"/>
  <c r="L138" i="14"/>
  <c r="N138" i="14"/>
  <c r="F122" i="14"/>
  <c r="H106" i="14"/>
  <c r="M106" i="14"/>
  <c r="L90" i="14"/>
  <c r="O90" i="14"/>
  <c r="P74" i="14"/>
  <c r="G58" i="14"/>
  <c r="S58" i="14"/>
  <c r="J42" i="14"/>
  <c r="Q26" i="14"/>
  <c r="N10" i="14"/>
  <c r="M227" i="14"/>
  <c r="L195" i="14"/>
  <c r="Q195" i="14"/>
  <c r="J179" i="14"/>
  <c r="H163" i="14"/>
  <c r="M147" i="14"/>
  <c r="G131" i="14"/>
  <c r="H115" i="14"/>
  <c r="M99" i="14"/>
  <c r="K83" i="14"/>
  <c r="J51" i="14"/>
  <c r="G35" i="14"/>
  <c r="Q228" i="14"/>
  <c r="I196" i="14"/>
  <c r="G180" i="14"/>
  <c r="H116" i="14"/>
  <c r="Q20" i="14"/>
  <c r="K175" i="13"/>
  <c r="K186" i="13"/>
  <c r="K224" i="13"/>
  <c r="K25" i="13"/>
  <c r="R19" i="14"/>
  <c r="K19" i="14"/>
  <c r="G19" i="14"/>
  <c r="I19" i="14"/>
  <c r="M19" i="14"/>
  <c r="E22" i="20"/>
  <c r="F19" i="14"/>
  <c r="O19" i="14"/>
  <c r="P19" i="14"/>
  <c r="N19" i="14"/>
  <c r="H19" i="14"/>
  <c r="O67" i="14"/>
  <c r="J67" i="14"/>
  <c r="P67" i="14"/>
  <c r="K73" i="13"/>
  <c r="S67" i="14"/>
  <c r="N67" i="14"/>
  <c r="H67" i="14"/>
  <c r="R67" i="14"/>
  <c r="I67" i="14"/>
  <c r="L67" i="14"/>
  <c r="M67" i="14"/>
  <c r="E70" i="20"/>
  <c r="K121" i="13"/>
  <c r="O115" i="14"/>
  <c r="N115" i="14"/>
  <c r="P115" i="14"/>
  <c r="M115" i="14"/>
  <c r="G115" i="14"/>
  <c r="F115" i="14"/>
  <c r="S115" i="14"/>
  <c r="J115" i="14"/>
  <c r="L115" i="14"/>
  <c r="K169" i="13"/>
  <c r="Q163" i="14"/>
  <c r="J163" i="14"/>
  <c r="P163" i="14"/>
  <c r="E166" i="20"/>
  <c r="S163" i="14"/>
  <c r="N163" i="14"/>
  <c r="F163" i="14"/>
  <c r="M163" i="14"/>
  <c r="G163" i="14"/>
  <c r="K217" i="13"/>
  <c r="S211" i="14"/>
  <c r="K211" i="14"/>
  <c r="G211" i="14"/>
  <c r="F211" i="14"/>
  <c r="M211" i="14"/>
  <c r="P211" i="14"/>
  <c r="Q211" i="14"/>
  <c r="N211" i="14"/>
  <c r="H211" i="14"/>
  <c r="K249" i="13"/>
  <c r="E246" i="20"/>
  <c r="K32" i="13"/>
  <c r="S26" i="14"/>
  <c r="I26" i="14"/>
  <c r="P26" i="14"/>
  <c r="E29" i="20"/>
  <c r="M26" i="14"/>
  <c r="G26" i="14"/>
  <c r="F26" i="14"/>
  <c r="R26" i="14"/>
  <c r="N26" i="14"/>
  <c r="H26" i="14"/>
  <c r="K80" i="13"/>
  <c r="O74" i="14"/>
  <c r="I74" i="14"/>
  <c r="L74" i="14"/>
  <c r="S74" i="14"/>
  <c r="K74" i="14"/>
  <c r="J74" i="14"/>
  <c r="E77" i="20"/>
  <c r="K128" i="13"/>
  <c r="Q122" i="14"/>
  <c r="N122" i="14"/>
  <c r="P122" i="14"/>
  <c r="E125" i="20"/>
  <c r="R122" i="14"/>
  <c r="M122" i="14"/>
  <c r="G122" i="14"/>
  <c r="H122" i="14"/>
  <c r="K176" i="13"/>
  <c r="O170" i="14"/>
  <c r="I170" i="14"/>
  <c r="L170" i="14"/>
  <c r="N68" i="14"/>
  <c r="O68" i="14"/>
  <c r="M68" i="14"/>
  <c r="E71" i="20"/>
  <c r="L68" i="14"/>
  <c r="K68" i="14"/>
  <c r="I68" i="14"/>
  <c r="S68" i="14"/>
  <c r="J68" i="14"/>
  <c r="H68" i="14"/>
  <c r="G68" i="14"/>
  <c r="K74" i="13"/>
  <c r="P68" i="14"/>
  <c r="R68" i="14"/>
  <c r="F68" i="14"/>
  <c r="K106" i="13"/>
  <c r="S100" i="14"/>
  <c r="J100" i="14"/>
  <c r="H100" i="14"/>
  <c r="F100" i="14"/>
  <c r="P100" i="14"/>
  <c r="R100" i="14"/>
  <c r="Q100" i="14"/>
  <c r="G100" i="14"/>
  <c r="N100" i="14"/>
  <c r="O100" i="14"/>
  <c r="M100" i="14"/>
  <c r="E103" i="20"/>
  <c r="L100" i="14"/>
  <c r="K100" i="14"/>
  <c r="N132" i="14"/>
  <c r="O132" i="14"/>
  <c r="M132" i="14"/>
  <c r="E135" i="20"/>
  <c r="L132" i="14"/>
  <c r="K132" i="14"/>
  <c r="I132" i="14"/>
  <c r="K138" i="13"/>
  <c r="S132" i="14"/>
  <c r="J132" i="14"/>
  <c r="H132" i="14"/>
  <c r="G132" i="14"/>
  <c r="R132" i="14"/>
  <c r="Q132" i="14"/>
  <c r="K218" i="13"/>
  <c r="P212" i="14"/>
  <c r="R212" i="14"/>
  <c r="Q212" i="14"/>
  <c r="G212" i="14"/>
  <c r="S212" i="14"/>
  <c r="O212" i="14"/>
  <c r="I212" i="14"/>
  <c r="J212" i="14"/>
  <c r="F212" i="14"/>
  <c r="N212" i="14"/>
  <c r="H212" i="14"/>
  <c r="E163" i="20"/>
  <c r="O160" i="14"/>
  <c r="J160" i="14"/>
  <c r="R160" i="14"/>
  <c r="G144" i="14"/>
  <c r="H144" i="14"/>
  <c r="L144" i="14"/>
  <c r="S144" i="14"/>
  <c r="I233" i="14"/>
  <c r="P233" i="14"/>
  <c r="J217" i="14"/>
  <c r="R217" i="14"/>
  <c r="L201" i="14"/>
  <c r="S201" i="14"/>
  <c r="N185" i="14"/>
  <c r="K169" i="14"/>
  <c r="P169" i="14"/>
  <c r="K153" i="14"/>
  <c r="J153" i="14"/>
  <c r="H137" i="14"/>
  <c r="S137" i="14"/>
  <c r="M121" i="14"/>
  <c r="E108" i="20"/>
  <c r="Q105" i="14"/>
  <c r="R89" i="14"/>
  <c r="F41" i="14"/>
  <c r="F160" i="14"/>
  <c r="M160" i="14"/>
  <c r="N160" i="14"/>
  <c r="I144" i="14"/>
  <c r="K144" i="14"/>
  <c r="Q144" i="14"/>
  <c r="P144" i="14"/>
  <c r="O233" i="14"/>
  <c r="H233" i="14"/>
  <c r="L233" i="14"/>
  <c r="S233" i="14"/>
  <c r="I217" i="14"/>
  <c r="M217" i="14"/>
  <c r="N217" i="14"/>
  <c r="G201" i="14"/>
  <c r="I201" i="14"/>
  <c r="Q201" i="14"/>
  <c r="P201" i="14"/>
  <c r="K185" i="14"/>
  <c r="F185" i="14"/>
  <c r="J185" i="14"/>
  <c r="R185" i="14"/>
  <c r="O169" i="14"/>
  <c r="H169" i="14"/>
  <c r="L169" i="14"/>
  <c r="I153" i="14"/>
  <c r="M153" i="14"/>
  <c r="N153" i="14"/>
  <c r="E140" i="20"/>
  <c r="I137" i="14"/>
  <c r="Q137" i="14"/>
  <c r="P137" i="14"/>
  <c r="G121" i="14"/>
  <c r="F121" i="14"/>
  <c r="J121" i="14"/>
  <c r="R121" i="14"/>
  <c r="G105" i="14"/>
  <c r="H105" i="14"/>
  <c r="L105" i="14"/>
  <c r="S105" i="14"/>
  <c r="I89" i="14"/>
  <c r="M89" i="14"/>
  <c r="N89" i="14"/>
  <c r="E76" i="20"/>
  <c r="I73" i="14"/>
  <c r="Q73" i="14"/>
  <c r="P73" i="14"/>
  <c r="G57" i="14"/>
  <c r="H57" i="14"/>
  <c r="J57" i="14"/>
  <c r="R57" i="14"/>
  <c r="G41" i="14"/>
  <c r="M41" i="14"/>
  <c r="L41" i="14"/>
  <c r="S41" i="14"/>
  <c r="O25" i="14"/>
  <c r="I25" i="14"/>
  <c r="P25" i="14"/>
  <c r="K9" i="14"/>
  <c r="F9" i="14"/>
  <c r="J9" i="14"/>
  <c r="R9" i="14"/>
  <c r="E245" i="20"/>
  <c r="L234" i="14"/>
  <c r="K234" i="14"/>
  <c r="R234" i="14"/>
  <c r="P218" i="14"/>
  <c r="M218" i="14"/>
  <c r="F202" i="14"/>
  <c r="J202" i="14"/>
  <c r="O202" i="14"/>
  <c r="E189" i="20"/>
  <c r="I186" i="14"/>
  <c r="Q186" i="14"/>
  <c r="H170" i="14"/>
  <c r="N170" i="14"/>
  <c r="S170" i="14"/>
  <c r="L154" i="14"/>
  <c r="K154" i="14"/>
  <c r="R154" i="14"/>
  <c r="P138" i="14"/>
  <c r="M138" i="14"/>
  <c r="L122" i="14"/>
  <c r="O122" i="14"/>
  <c r="P106" i="14"/>
  <c r="Q106" i="14"/>
  <c r="J90" i="14"/>
  <c r="S90" i="14"/>
  <c r="G74" i="14"/>
  <c r="R74" i="14"/>
  <c r="N58" i="14"/>
  <c r="E45" i="20"/>
  <c r="K42" i="14"/>
  <c r="L26" i="14"/>
  <c r="F10" i="14"/>
  <c r="M10" i="14"/>
  <c r="F227" i="14"/>
  <c r="S227" i="14"/>
  <c r="J211" i="14"/>
  <c r="P195" i="14"/>
  <c r="E182" i="20"/>
  <c r="M179" i="14"/>
  <c r="I163" i="14"/>
  <c r="H147" i="14"/>
  <c r="Q147" i="14"/>
  <c r="J131" i="14"/>
  <c r="E118" i="20"/>
  <c r="R115" i="14"/>
  <c r="R99" i="14"/>
  <c r="S83" i="14"/>
  <c r="Q67" i="14"/>
  <c r="O51" i="14"/>
  <c r="M35" i="14"/>
  <c r="Q19" i="14"/>
  <c r="R228" i="14"/>
  <c r="K212" i="14"/>
  <c r="K196" i="14"/>
  <c r="H180" i="14"/>
  <c r="I100" i="14"/>
  <c r="G52" i="14"/>
  <c r="N20" i="14"/>
  <c r="F143" i="14"/>
  <c r="G143" i="14"/>
  <c r="P143" i="14"/>
  <c r="O143" i="14"/>
  <c r="N143" i="14"/>
  <c r="I143" i="14"/>
  <c r="S143" i="14"/>
  <c r="Q143" i="14"/>
  <c r="H143" i="14"/>
  <c r="J143" i="14"/>
  <c r="K143" i="14"/>
  <c r="X11" i="14"/>
  <c r="W11" i="14"/>
  <c r="U11" i="14"/>
  <c r="V11" i="14"/>
  <c r="X27" i="14"/>
  <c r="W27" i="14"/>
  <c r="U27" i="14"/>
  <c r="V27" i="14"/>
  <c r="X43" i="14"/>
  <c r="W43" i="14"/>
  <c r="U43" i="14"/>
  <c r="V43" i="14"/>
  <c r="X59" i="14"/>
  <c r="W59" i="14"/>
  <c r="U59" i="14"/>
  <c r="X75" i="14"/>
  <c r="W75" i="14"/>
  <c r="U75" i="14"/>
  <c r="V75" i="14"/>
  <c r="X91" i="14"/>
  <c r="W91" i="14"/>
  <c r="V91" i="14"/>
  <c r="U91" i="14"/>
  <c r="X107" i="14"/>
  <c r="W107" i="14"/>
  <c r="V107" i="14"/>
  <c r="U107" i="14"/>
  <c r="X123" i="14"/>
  <c r="W123" i="14"/>
  <c r="V123" i="14"/>
  <c r="U123" i="14"/>
  <c r="X139" i="14"/>
  <c r="W139" i="14"/>
  <c r="V139" i="14"/>
  <c r="U139" i="14"/>
  <c r="X155" i="14"/>
  <c r="W155" i="14"/>
  <c r="V155" i="14"/>
  <c r="U155" i="14"/>
  <c r="W171" i="14"/>
  <c r="X171" i="14"/>
  <c r="V171" i="14"/>
  <c r="U171" i="14"/>
  <c r="W187" i="14"/>
  <c r="X187" i="14"/>
  <c r="V187" i="14"/>
  <c r="U187" i="14"/>
  <c r="W203" i="14"/>
  <c r="X203" i="14"/>
  <c r="V203" i="14"/>
  <c r="U203" i="14"/>
  <c r="W219" i="14"/>
  <c r="X219" i="14"/>
  <c r="V219" i="14"/>
  <c r="U219" i="14"/>
  <c r="W235" i="14"/>
  <c r="X235" i="14"/>
  <c r="V235" i="14"/>
  <c r="U235" i="14"/>
  <c r="X18" i="14"/>
  <c r="V18" i="14"/>
  <c r="W18" i="14"/>
  <c r="U18" i="14"/>
  <c r="X34" i="14"/>
  <c r="U34" i="14"/>
  <c r="X50" i="14"/>
  <c r="V50" i="14"/>
  <c r="U50" i="14"/>
  <c r="X66" i="14"/>
  <c r="V66" i="14"/>
  <c r="W66" i="14"/>
  <c r="U66" i="14"/>
  <c r="X82" i="14"/>
  <c r="V82" i="14"/>
  <c r="W82" i="14"/>
  <c r="U82" i="14"/>
  <c r="X98" i="14"/>
  <c r="V98" i="14"/>
  <c r="W98" i="14"/>
  <c r="U98" i="14"/>
  <c r="X114" i="14"/>
  <c r="V114" i="14"/>
  <c r="W114" i="14"/>
  <c r="U114" i="14"/>
  <c r="X130" i="14"/>
  <c r="V130" i="14"/>
  <c r="W130" i="14"/>
  <c r="U130" i="14"/>
  <c r="V146" i="14"/>
  <c r="X146" i="14"/>
  <c r="W146" i="14"/>
  <c r="U146" i="14"/>
  <c r="X162" i="14"/>
  <c r="W162" i="14"/>
  <c r="V162" i="14"/>
  <c r="U162" i="14"/>
  <c r="X178" i="14"/>
  <c r="W178" i="14"/>
  <c r="V178" i="14"/>
  <c r="U178" i="14"/>
  <c r="X194" i="14"/>
  <c r="W194" i="14"/>
  <c r="V194" i="14"/>
  <c r="U194" i="14"/>
  <c r="X210" i="14"/>
  <c r="W210" i="14"/>
  <c r="V210" i="14"/>
  <c r="U210" i="14"/>
  <c r="X226" i="14"/>
  <c r="W226" i="14"/>
  <c r="V226" i="14"/>
  <c r="U226" i="14"/>
  <c r="X17" i="14"/>
  <c r="V17" i="14"/>
  <c r="W17" i="14"/>
  <c r="U17" i="14"/>
  <c r="X33" i="14"/>
  <c r="V33" i="14"/>
  <c r="W33" i="14"/>
  <c r="U33" i="14"/>
  <c r="X49" i="14"/>
  <c r="V49" i="14"/>
  <c r="W49" i="14"/>
  <c r="U49" i="14"/>
  <c r="X65" i="14"/>
  <c r="V65" i="14"/>
  <c r="W65" i="14"/>
  <c r="U65" i="14"/>
  <c r="X81" i="14"/>
  <c r="V81" i="14"/>
  <c r="W81" i="14"/>
  <c r="U81" i="14"/>
  <c r="X97" i="14"/>
  <c r="V97" i="14"/>
  <c r="W97" i="14"/>
  <c r="U97" i="14"/>
  <c r="X113" i="14"/>
  <c r="V113" i="14"/>
  <c r="W113" i="14"/>
  <c r="U113" i="14"/>
  <c r="X129" i="14"/>
  <c r="V129" i="14"/>
  <c r="W129" i="14"/>
  <c r="U129" i="14"/>
  <c r="V145" i="14"/>
  <c r="X145" i="14"/>
  <c r="W145" i="14"/>
  <c r="U145" i="14"/>
  <c r="X161" i="14"/>
  <c r="V161" i="14"/>
  <c r="W161" i="14"/>
  <c r="U161" i="14"/>
  <c r="X177" i="14"/>
  <c r="V177" i="14"/>
  <c r="W177" i="14"/>
  <c r="U177" i="14"/>
  <c r="X193" i="14"/>
  <c r="V193" i="14"/>
  <c r="W193" i="14"/>
  <c r="U193" i="14"/>
  <c r="X209" i="14"/>
  <c r="V209" i="14"/>
  <c r="W209" i="14"/>
  <c r="U209" i="14"/>
  <c r="X225" i="14"/>
  <c r="V225" i="14"/>
  <c r="W225" i="14"/>
  <c r="U225" i="14"/>
  <c r="X12" i="14"/>
  <c r="W12" i="14"/>
  <c r="V12" i="14"/>
  <c r="U12" i="14"/>
  <c r="X28" i="14"/>
  <c r="W28" i="14"/>
  <c r="V28" i="14"/>
  <c r="U28" i="14"/>
  <c r="X44" i="14"/>
  <c r="W44" i="14"/>
  <c r="V44" i="14"/>
  <c r="U44" i="14"/>
  <c r="X60" i="14"/>
  <c r="W60" i="14"/>
  <c r="V60" i="14"/>
  <c r="U60" i="14"/>
  <c r="X76" i="14"/>
  <c r="W76" i="14"/>
  <c r="V76" i="14"/>
  <c r="U76" i="14"/>
  <c r="X92" i="14"/>
  <c r="W92" i="14"/>
  <c r="U92" i="14"/>
  <c r="V92" i="14"/>
  <c r="X108" i="14"/>
  <c r="W108" i="14"/>
  <c r="U108" i="14"/>
  <c r="V108" i="14"/>
  <c r="X124" i="14"/>
  <c r="W124" i="14"/>
  <c r="U124" i="14"/>
  <c r="V124" i="14"/>
  <c r="X140" i="14"/>
  <c r="W140" i="14"/>
  <c r="U140" i="14"/>
  <c r="V140" i="14"/>
  <c r="X152" i="14"/>
  <c r="W152" i="14"/>
  <c r="V152" i="14"/>
  <c r="U152" i="14"/>
  <c r="W172" i="14"/>
  <c r="X172" i="14"/>
  <c r="V172" i="14"/>
  <c r="U172" i="14"/>
  <c r="W188" i="14"/>
  <c r="X188" i="14"/>
  <c r="V188" i="14"/>
  <c r="U188" i="14"/>
  <c r="W204" i="14"/>
  <c r="X204" i="14"/>
  <c r="V204" i="14"/>
  <c r="U204" i="14"/>
  <c r="W220" i="14"/>
  <c r="X220" i="14"/>
  <c r="V220" i="14"/>
  <c r="U220" i="14"/>
  <c r="W236" i="14"/>
  <c r="X236" i="14"/>
  <c r="V236" i="14"/>
  <c r="U236" i="14"/>
  <c r="X15" i="14"/>
  <c r="W15" i="14"/>
  <c r="U15" i="14"/>
  <c r="X31" i="14"/>
  <c r="W31" i="14"/>
  <c r="U31" i="14"/>
  <c r="V31" i="14"/>
  <c r="X47" i="14"/>
  <c r="W47" i="14"/>
  <c r="U47" i="14"/>
  <c r="V47" i="14"/>
  <c r="X63" i="14"/>
  <c r="W63" i="14"/>
  <c r="U63" i="14"/>
  <c r="V63" i="14"/>
  <c r="X79" i="14"/>
  <c r="W79" i="14"/>
  <c r="V79" i="14"/>
  <c r="U79" i="14"/>
  <c r="X95" i="14"/>
  <c r="W95" i="14"/>
  <c r="V95" i="14"/>
  <c r="U95" i="14"/>
  <c r="X111" i="14"/>
  <c r="W111" i="14"/>
  <c r="V111" i="14"/>
  <c r="U111" i="14"/>
  <c r="X127" i="14"/>
  <c r="W127" i="14"/>
  <c r="V127" i="14"/>
  <c r="U127" i="14"/>
  <c r="X143" i="14"/>
  <c r="W143" i="14"/>
  <c r="V143" i="14"/>
  <c r="U143" i="14"/>
  <c r="W159" i="14"/>
  <c r="X159" i="14"/>
  <c r="V159" i="14"/>
  <c r="U159" i="14"/>
  <c r="W175" i="14"/>
  <c r="X175" i="14"/>
  <c r="V175" i="14"/>
  <c r="U175" i="14"/>
  <c r="W191" i="14"/>
  <c r="X191" i="14"/>
  <c r="V191" i="14"/>
  <c r="U191" i="14"/>
  <c r="X207" i="14"/>
  <c r="V207" i="14"/>
  <c r="U207" i="14"/>
  <c r="W223" i="14"/>
  <c r="X223" i="14"/>
  <c r="V223" i="14"/>
  <c r="U223" i="14"/>
  <c r="W239" i="14"/>
  <c r="X239" i="14"/>
  <c r="V239" i="14"/>
  <c r="U239" i="14"/>
  <c r="X22" i="14"/>
  <c r="V22" i="14"/>
  <c r="W22" i="14"/>
  <c r="U22" i="14"/>
  <c r="X38" i="14"/>
  <c r="V38" i="14"/>
  <c r="W38" i="14"/>
  <c r="U38" i="14"/>
  <c r="X54" i="14"/>
  <c r="V54" i="14"/>
  <c r="W54" i="14"/>
  <c r="U54" i="14"/>
  <c r="X70" i="14"/>
  <c r="V70" i="14"/>
  <c r="W70" i="14"/>
  <c r="U70" i="14"/>
  <c r="X86" i="14"/>
  <c r="V86" i="14"/>
  <c r="W86" i="14"/>
  <c r="U86" i="14"/>
  <c r="X102" i="14"/>
  <c r="V102" i="14"/>
  <c r="W102" i="14"/>
  <c r="U102" i="14"/>
  <c r="V118" i="14"/>
  <c r="W118" i="14"/>
  <c r="U118" i="14"/>
  <c r="X134" i="14"/>
  <c r="V134" i="14"/>
  <c r="W134" i="14"/>
  <c r="U134" i="14"/>
  <c r="X150" i="14"/>
  <c r="V150" i="14"/>
  <c r="W150" i="14"/>
  <c r="U150" i="14"/>
  <c r="X166" i="14"/>
  <c r="W166" i="14"/>
  <c r="V166" i="14"/>
  <c r="U166" i="14"/>
  <c r="X182" i="14"/>
  <c r="W182" i="14"/>
  <c r="V182" i="14"/>
  <c r="U182" i="14"/>
  <c r="X198" i="14"/>
  <c r="W198" i="14"/>
  <c r="V198" i="14"/>
  <c r="U198" i="14"/>
  <c r="X214" i="14"/>
  <c r="W214" i="14"/>
  <c r="V214" i="14"/>
  <c r="U214" i="14"/>
  <c r="X230" i="14"/>
  <c r="W230" i="14"/>
  <c r="V230" i="14"/>
  <c r="U230" i="14"/>
  <c r="W164" i="14"/>
  <c r="X164" i="14"/>
  <c r="V164" i="14"/>
  <c r="U164" i="14"/>
  <c r="X21" i="14"/>
  <c r="V21" i="14"/>
  <c r="W21" i="14"/>
  <c r="U21" i="14"/>
  <c r="X37" i="14"/>
  <c r="V37" i="14"/>
  <c r="W37" i="14"/>
  <c r="U37" i="14"/>
  <c r="X53" i="14"/>
  <c r="V53" i="14"/>
  <c r="W53" i="14"/>
  <c r="U53" i="14"/>
  <c r="X69" i="14"/>
  <c r="V69" i="14"/>
  <c r="W69" i="14"/>
  <c r="U69" i="14"/>
  <c r="X85" i="14"/>
  <c r="V85" i="14"/>
  <c r="W85" i="14"/>
  <c r="U85" i="14"/>
  <c r="X101" i="14"/>
  <c r="V101" i="14"/>
  <c r="W101" i="14"/>
  <c r="U101" i="14"/>
  <c r="X117" i="14"/>
  <c r="V117" i="14"/>
  <c r="W117" i="14"/>
  <c r="U117" i="14"/>
  <c r="X133" i="14"/>
  <c r="W133" i="14"/>
  <c r="U133" i="14"/>
  <c r="X149" i="14"/>
  <c r="V149" i="14"/>
  <c r="W149" i="14"/>
  <c r="U149" i="14"/>
  <c r="X165" i="14"/>
  <c r="V165" i="14"/>
  <c r="W165" i="14"/>
  <c r="U165" i="14"/>
  <c r="X181" i="14"/>
  <c r="V181" i="14"/>
  <c r="W181" i="14"/>
  <c r="U181" i="14"/>
  <c r="X197" i="14"/>
  <c r="V197" i="14"/>
  <c r="W197" i="14"/>
  <c r="U197" i="14"/>
  <c r="X213" i="14"/>
  <c r="V213" i="14"/>
  <c r="W213" i="14"/>
  <c r="U213" i="14"/>
  <c r="X229" i="14"/>
  <c r="V229" i="14"/>
  <c r="W229" i="14"/>
  <c r="U229" i="14"/>
  <c r="X16" i="14"/>
  <c r="W16" i="14"/>
  <c r="V16" i="14"/>
  <c r="U16" i="14"/>
  <c r="X32" i="14"/>
  <c r="W32" i="14"/>
  <c r="V32" i="14"/>
  <c r="U32" i="14"/>
  <c r="X48" i="14"/>
  <c r="W48" i="14"/>
  <c r="U48" i="14"/>
  <c r="V48" i="14"/>
  <c r="X64" i="14"/>
  <c r="W64" i="14"/>
  <c r="U64" i="14"/>
  <c r="V64" i="14"/>
  <c r="X80" i="14"/>
  <c r="W80" i="14"/>
  <c r="U80" i="14"/>
  <c r="V80" i="14"/>
  <c r="X96" i="14"/>
  <c r="W96" i="14"/>
  <c r="U96" i="14"/>
  <c r="V96" i="14"/>
  <c r="X112" i="14"/>
  <c r="W112" i="14"/>
  <c r="U112" i="14"/>
  <c r="V112" i="14"/>
  <c r="X128" i="14"/>
  <c r="W128" i="14"/>
  <c r="U128" i="14"/>
  <c r="V128" i="14"/>
  <c r="X156" i="14"/>
  <c r="W156" i="14"/>
  <c r="U156" i="14"/>
  <c r="V156" i="14"/>
  <c r="W176" i="14"/>
  <c r="X176" i="14"/>
  <c r="U176" i="14"/>
  <c r="V176" i="14"/>
  <c r="W192" i="14"/>
  <c r="X192" i="14"/>
  <c r="U192" i="14"/>
  <c r="V192" i="14"/>
  <c r="W208" i="14"/>
  <c r="X208" i="14"/>
  <c r="U208" i="14"/>
  <c r="V208" i="14"/>
  <c r="W224" i="14"/>
  <c r="X224" i="14"/>
  <c r="U224" i="14"/>
  <c r="V224" i="14"/>
  <c r="W240" i="14"/>
  <c r="X240" i="14"/>
  <c r="U240" i="14"/>
  <c r="V240" i="14"/>
  <c r="K53" i="13"/>
  <c r="X19" i="14"/>
  <c r="W19" i="14"/>
  <c r="U19" i="14"/>
  <c r="V19" i="14"/>
  <c r="X35" i="14"/>
  <c r="W35" i="14"/>
  <c r="U35" i="14"/>
  <c r="V35" i="14"/>
  <c r="X51" i="14"/>
  <c r="W51" i="14"/>
  <c r="U51" i="14"/>
  <c r="V51" i="14"/>
  <c r="X67" i="14"/>
  <c r="W67" i="14"/>
  <c r="U67" i="14"/>
  <c r="V67" i="14"/>
  <c r="X83" i="14"/>
  <c r="W83" i="14"/>
  <c r="V83" i="14"/>
  <c r="U83" i="14"/>
  <c r="X99" i="14"/>
  <c r="W99" i="14"/>
  <c r="V99" i="14"/>
  <c r="U99" i="14"/>
  <c r="X115" i="14"/>
  <c r="W115" i="14"/>
  <c r="V115" i="14"/>
  <c r="U115" i="14"/>
  <c r="X131" i="14"/>
  <c r="W131" i="14"/>
  <c r="V131" i="14"/>
  <c r="U131" i="14"/>
  <c r="X147" i="14"/>
  <c r="W147" i="14"/>
  <c r="V147" i="14"/>
  <c r="U147" i="14"/>
  <c r="W163" i="14"/>
  <c r="X163" i="14"/>
  <c r="V163" i="14"/>
  <c r="U163" i="14"/>
  <c r="W179" i="14"/>
  <c r="X179" i="14"/>
  <c r="V179" i="14"/>
  <c r="U179" i="14"/>
  <c r="W195" i="14"/>
  <c r="X195" i="14"/>
  <c r="V195" i="14"/>
  <c r="U195" i="14"/>
  <c r="W211" i="14"/>
  <c r="X211" i="14"/>
  <c r="V211" i="14"/>
  <c r="U211" i="14"/>
  <c r="W227" i="14"/>
  <c r="X227" i="14"/>
  <c r="V227" i="14"/>
  <c r="U227" i="14"/>
  <c r="X10" i="14"/>
  <c r="V10" i="14"/>
  <c r="W10" i="14"/>
  <c r="U10" i="14"/>
  <c r="X26" i="14"/>
  <c r="V26" i="14"/>
  <c r="W26" i="14"/>
  <c r="U26" i="14"/>
  <c r="X42" i="14"/>
  <c r="V42" i="14"/>
  <c r="W42" i="14"/>
  <c r="U42" i="14"/>
  <c r="X58" i="14"/>
  <c r="V58" i="14"/>
  <c r="W58" i="14"/>
  <c r="U58" i="14"/>
  <c r="X74" i="14"/>
  <c r="V74" i="14"/>
  <c r="W74" i="14"/>
  <c r="U74" i="14"/>
  <c r="X90" i="14"/>
  <c r="V90" i="14"/>
  <c r="W90" i="14"/>
  <c r="U90" i="14"/>
  <c r="X106" i="14"/>
  <c r="V106" i="14"/>
  <c r="W106" i="14"/>
  <c r="U106" i="14"/>
  <c r="X122" i="14"/>
  <c r="V122" i="14"/>
  <c r="W122" i="14"/>
  <c r="U122" i="14"/>
  <c r="X138" i="14"/>
  <c r="V138" i="14"/>
  <c r="W138" i="14"/>
  <c r="U138" i="14"/>
  <c r="V154" i="14"/>
  <c r="X154" i="14"/>
  <c r="W154" i="14"/>
  <c r="U154" i="14"/>
  <c r="X170" i="14"/>
  <c r="W170" i="14"/>
  <c r="V170" i="14"/>
  <c r="U170" i="14"/>
  <c r="X186" i="14"/>
  <c r="W186" i="14"/>
  <c r="V186" i="14"/>
  <c r="U186" i="14"/>
  <c r="X202" i="14"/>
  <c r="W202" i="14"/>
  <c r="V202" i="14"/>
  <c r="U202" i="14"/>
  <c r="X218" i="14"/>
  <c r="W218" i="14"/>
  <c r="V218" i="14"/>
  <c r="U218" i="14"/>
  <c r="X234" i="14"/>
  <c r="W234" i="14"/>
  <c r="V234" i="14"/>
  <c r="U234" i="14"/>
  <c r="X9" i="14"/>
  <c r="V9" i="14"/>
  <c r="W9" i="14"/>
  <c r="U9" i="14"/>
  <c r="X25" i="14"/>
  <c r="V25" i="14"/>
  <c r="W25" i="14"/>
  <c r="U25" i="14"/>
  <c r="X41" i="14"/>
  <c r="V41" i="14"/>
  <c r="W41" i="14"/>
  <c r="U41" i="14"/>
  <c r="X57" i="14"/>
  <c r="V57" i="14"/>
  <c r="W57" i="14"/>
  <c r="U57" i="14"/>
  <c r="X73" i="14"/>
  <c r="V73" i="14"/>
  <c r="W73" i="14"/>
  <c r="U73" i="14"/>
  <c r="X89" i="14"/>
  <c r="V89" i="14"/>
  <c r="W89" i="14"/>
  <c r="U89" i="14"/>
  <c r="X105" i="14"/>
  <c r="V105" i="14"/>
  <c r="W105" i="14"/>
  <c r="U105" i="14"/>
  <c r="X121" i="14"/>
  <c r="V121" i="14"/>
  <c r="W121" i="14"/>
  <c r="U121" i="14"/>
  <c r="X137" i="14"/>
  <c r="V137" i="14"/>
  <c r="W137" i="14"/>
  <c r="U137" i="14"/>
  <c r="V153" i="14"/>
  <c r="X153" i="14"/>
  <c r="W153" i="14"/>
  <c r="U153" i="14"/>
  <c r="X169" i="14"/>
  <c r="V169" i="14"/>
  <c r="W169" i="14"/>
  <c r="U169" i="14"/>
  <c r="X185" i="14"/>
  <c r="V185" i="14"/>
  <c r="W185" i="14"/>
  <c r="U185" i="14"/>
  <c r="X201" i="14"/>
  <c r="V201" i="14"/>
  <c r="W201" i="14"/>
  <c r="U201" i="14"/>
  <c r="X217" i="14"/>
  <c r="V217" i="14"/>
  <c r="W217" i="14"/>
  <c r="U217" i="14"/>
  <c r="X233" i="14"/>
  <c r="V233" i="14"/>
  <c r="W233" i="14"/>
  <c r="U233" i="14"/>
  <c r="X20" i="14"/>
  <c r="W20" i="14"/>
  <c r="V20" i="14"/>
  <c r="U20" i="14"/>
  <c r="X36" i="14"/>
  <c r="W36" i="14"/>
  <c r="V36" i="14"/>
  <c r="U36" i="14"/>
  <c r="X52" i="14"/>
  <c r="W52" i="14"/>
  <c r="V52" i="14"/>
  <c r="U52" i="14"/>
  <c r="X68" i="14"/>
  <c r="W68" i="14"/>
  <c r="V68" i="14"/>
  <c r="U68" i="14"/>
  <c r="X84" i="14"/>
  <c r="W84" i="14"/>
  <c r="V84" i="14"/>
  <c r="U84" i="14"/>
  <c r="X100" i="14"/>
  <c r="W100" i="14"/>
  <c r="V100" i="14"/>
  <c r="U100" i="14"/>
  <c r="X116" i="14"/>
  <c r="W116" i="14"/>
  <c r="V116" i="14"/>
  <c r="U116" i="14"/>
  <c r="X132" i="14"/>
  <c r="W132" i="14"/>
  <c r="V132" i="14"/>
  <c r="U132" i="14"/>
  <c r="X144" i="14"/>
  <c r="W144" i="14"/>
  <c r="U144" i="14"/>
  <c r="V144" i="14"/>
  <c r="W160" i="14"/>
  <c r="X160" i="14"/>
  <c r="U160" i="14"/>
  <c r="V160" i="14"/>
  <c r="W180" i="14"/>
  <c r="X180" i="14"/>
  <c r="V180" i="14"/>
  <c r="U180" i="14"/>
  <c r="W196" i="14"/>
  <c r="X196" i="14"/>
  <c r="V196" i="14"/>
  <c r="U196" i="14"/>
  <c r="W212" i="14"/>
  <c r="X212" i="14"/>
  <c r="V212" i="14"/>
  <c r="U212" i="14"/>
  <c r="W228" i="14"/>
  <c r="X228" i="14"/>
  <c r="V228" i="14"/>
  <c r="U228" i="14"/>
  <c r="X7" i="14"/>
  <c r="W7" i="14"/>
  <c r="U7" i="14"/>
  <c r="V7" i="14"/>
  <c r="X23" i="14"/>
  <c r="W23" i="14"/>
  <c r="U23" i="14"/>
  <c r="V23" i="14"/>
  <c r="X39" i="14"/>
  <c r="W39" i="14"/>
  <c r="U39" i="14"/>
  <c r="V39" i="14"/>
  <c r="X55" i="14"/>
  <c r="W55" i="14"/>
  <c r="U55" i="14"/>
  <c r="V55" i="14"/>
  <c r="X71" i="14"/>
  <c r="W71" i="14"/>
  <c r="U71" i="14"/>
  <c r="V71" i="14"/>
  <c r="X87" i="14"/>
  <c r="W87" i="14"/>
  <c r="V87" i="14"/>
  <c r="U87" i="14"/>
  <c r="X103" i="14"/>
  <c r="W103" i="14"/>
  <c r="V103" i="14"/>
  <c r="U103" i="14"/>
  <c r="X119" i="14"/>
  <c r="W119" i="14"/>
  <c r="V119" i="14"/>
  <c r="U119" i="14"/>
  <c r="X135" i="14"/>
  <c r="W135" i="14"/>
  <c r="V135" i="14"/>
  <c r="U135" i="14"/>
  <c r="X151" i="14"/>
  <c r="W151" i="14"/>
  <c r="V151" i="14"/>
  <c r="U151" i="14"/>
  <c r="W167" i="14"/>
  <c r="X167" i="14"/>
  <c r="V167" i="14"/>
  <c r="U167" i="14"/>
  <c r="W183" i="14"/>
  <c r="X183" i="14"/>
  <c r="V183" i="14"/>
  <c r="U183" i="14"/>
  <c r="W199" i="14"/>
  <c r="X199" i="14"/>
  <c r="V199" i="14"/>
  <c r="U199" i="14"/>
  <c r="W215" i="14"/>
  <c r="X215" i="14"/>
  <c r="V215" i="14"/>
  <c r="U215" i="14"/>
  <c r="W231" i="14"/>
  <c r="X231" i="14"/>
  <c r="V231" i="14"/>
  <c r="U231" i="14"/>
  <c r="X14" i="14"/>
  <c r="V14" i="14"/>
  <c r="W14" i="14"/>
  <c r="U14" i="14"/>
  <c r="X30" i="14"/>
  <c r="V30" i="14"/>
  <c r="W30" i="14"/>
  <c r="U30" i="14"/>
  <c r="X46" i="14"/>
  <c r="V46" i="14"/>
  <c r="W46" i="14"/>
  <c r="U46" i="14"/>
  <c r="X62" i="14"/>
  <c r="V62" i="14"/>
  <c r="W62" i="14"/>
  <c r="U62" i="14"/>
  <c r="X78" i="14"/>
  <c r="V78" i="14"/>
  <c r="W78" i="14"/>
  <c r="U78" i="14"/>
  <c r="X94" i="14"/>
  <c r="V94" i="14"/>
  <c r="W94" i="14"/>
  <c r="U94" i="14"/>
  <c r="X110" i="14"/>
  <c r="V110" i="14"/>
  <c r="W110" i="14"/>
  <c r="U110" i="14"/>
  <c r="X126" i="14"/>
  <c r="V126" i="14"/>
  <c r="W126" i="14"/>
  <c r="U126" i="14"/>
  <c r="X142" i="14"/>
  <c r="V142" i="14"/>
  <c r="W142" i="14"/>
  <c r="U142" i="14"/>
  <c r="X158" i="14"/>
  <c r="V158" i="14"/>
  <c r="W158" i="14"/>
  <c r="U158" i="14"/>
  <c r="X174" i="14"/>
  <c r="W174" i="14"/>
  <c r="V174" i="14"/>
  <c r="U174" i="14"/>
  <c r="X190" i="14"/>
  <c r="W190" i="14"/>
  <c r="V190" i="14"/>
  <c r="U190" i="14"/>
  <c r="X206" i="14"/>
  <c r="W206" i="14"/>
  <c r="V206" i="14"/>
  <c r="U206" i="14"/>
  <c r="X222" i="14"/>
  <c r="W222" i="14"/>
  <c r="V222" i="14"/>
  <c r="U222" i="14"/>
  <c r="X238" i="14"/>
  <c r="W238" i="14"/>
  <c r="V238" i="14"/>
  <c r="U238" i="14"/>
  <c r="X13" i="14"/>
  <c r="V13" i="14"/>
  <c r="W13" i="14"/>
  <c r="U13" i="14"/>
  <c r="X29" i="14"/>
  <c r="V29" i="14"/>
  <c r="W29" i="14"/>
  <c r="U29" i="14"/>
  <c r="X45" i="14"/>
  <c r="V45" i="14"/>
  <c r="W45" i="14"/>
  <c r="U45" i="14"/>
  <c r="X61" i="14"/>
  <c r="V61" i="14"/>
  <c r="W61" i="14"/>
  <c r="U61" i="14"/>
  <c r="X77" i="14"/>
  <c r="V77" i="14"/>
  <c r="W77" i="14"/>
  <c r="U77" i="14"/>
  <c r="X93" i="14"/>
  <c r="V93" i="14"/>
  <c r="W93" i="14"/>
  <c r="U93" i="14"/>
  <c r="X109" i="14"/>
  <c r="V109" i="14"/>
  <c r="W109" i="14"/>
  <c r="U109" i="14"/>
  <c r="X125" i="14"/>
  <c r="V125" i="14"/>
  <c r="W125" i="14"/>
  <c r="U125" i="14"/>
  <c r="X141" i="14"/>
  <c r="V141" i="14"/>
  <c r="W141" i="14"/>
  <c r="U141" i="14"/>
  <c r="X157" i="14"/>
  <c r="V157" i="14"/>
  <c r="W157" i="14"/>
  <c r="U157" i="14"/>
  <c r="X173" i="14"/>
  <c r="V173" i="14"/>
  <c r="W173" i="14"/>
  <c r="U173" i="14"/>
  <c r="X189" i="14"/>
  <c r="V189" i="14"/>
  <c r="W189" i="14"/>
  <c r="U189" i="14"/>
  <c r="X205" i="14"/>
  <c r="V205" i="14"/>
  <c r="W205" i="14"/>
  <c r="U205" i="14"/>
  <c r="X221" i="14"/>
  <c r="V221" i="14"/>
  <c r="W221" i="14"/>
  <c r="U221" i="14"/>
  <c r="X237" i="14"/>
  <c r="V237" i="14"/>
  <c r="W237" i="14"/>
  <c r="U237" i="14"/>
  <c r="X8" i="14"/>
  <c r="W8" i="14"/>
  <c r="V8" i="14"/>
  <c r="U8" i="14"/>
  <c r="X24" i="14"/>
  <c r="W24" i="14"/>
  <c r="V24" i="14"/>
  <c r="U24" i="14"/>
  <c r="X40" i="14"/>
  <c r="W40" i="14"/>
  <c r="V40" i="14"/>
  <c r="U40" i="14"/>
  <c r="X56" i="14"/>
  <c r="W56" i="14"/>
  <c r="U56" i="14"/>
  <c r="V56" i="14"/>
  <c r="X72" i="14"/>
  <c r="W72" i="14"/>
  <c r="U72" i="14"/>
  <c r="V72" i="14"/>
  <c r="X88" i="14"/>
  <c r="W88" i="14"/>
  <c r="V88" i="14"/>
  <c r="U88" i="14"/>
  <c r="X104" i="14"/>
  <c r="W104" i="14"/>
  <c r="V104" i="14"/>
  <c r="U104" i="14"/>
  <c r="X120" i="14"/>
  <c r="W120" i="14"/>
  <c r="V120" i="14"/>
  <c r="U120" i="14"/>
  <c r="X136" i="14"/>
  <c r="W136" i="14"/>
  <c r="V136" i="14"/>
  <c r="U136" i="14"/>
  <c r="X148" i="14"/>
  <c r="W148" i="14"/>
  <c r="V148" i="14"/>
  <c r="U148" i="14"/>
  <c r="W168" i="14"/>
  <c r="X168" i="14"/>
  <c r="U168" i="14"/>
  <c r="V168" i="14"/>
  <c r="W184" i="14"/>
  <c r="X184" i="14"/>
  <c r="U184" i="14"/>
  <c r="V184" i="14"/>
  <c r="W200" i="14"/>
  <c r="X200" i="14"/>
  <c r="U200" i="14"/>
  <c r="V200" i="14"/>
  <c r="W216" i="14"/>
  <c r="X216" i="14"/>
  <c r="U216" i="14"/>
  <c r="V216" i="14"/>
  <c r="W232" i="14"/>
  <c r="X232" i="14"/>
  <c r="U232" i="14"/>
  <c r="V232" i="14"/>
  <c r="V15" i="14"/>
  <c r="W207" i="14"/>
  <c r="V34" i="14"/>
  <c r="W34" i="14"/>
  <c r="W50" i="14"/>
  <c r="V133" i="14"/>
  <c r="X118" i="14"/>
  <c r="V59" i="14"/>
  <c r="E208" i="14"/>
  <c r="E80" i="14"/>
  <c r="E32" i="14"/>
  <c r="E169" i="14"/>
  <c r="E89" i="14"/>
  <c r="E25" i="14"/>
  <c r="E194" i="14"/>
  <c r="E146" i="14"/>
  <c r="E82" i="14"/>
  <c r="E18" i="14"/>
  <c r="E203" i="14"/>
  <c r="E123" i="14"/>
  <c r="E11" i="14"/>
  <c r="E204" i="14"/>
  <c r="E92" i="14"/>
  <c r="E28" i="14"/>
  <c r="E229" i="14"/>
  <c r="E213" i="14"/>
  <c r="E165" i="14"/>
  <c r="E149" i="14"/>
  <c r="E133" i="14"/>
  <c r="E69" i="14"/>
  <c r="E206" i="14"/>
  <c r="E158" i="14"/>
  <c r="E183" i="14"/>
  <c r="E103" i="14"/>
  <c r="E23" i="14"/>
  <c r="E88" i="14"/>
  <c r="E209" i="14"/>
  <c r="E193" i="14"/>
  <c r="E145" i="14"/>
  <c r="E129" i="14"/>
  <c r="E81" i="14"/>
  <c r="E65" i="14"/>
  <c r="E218" i="14"/>
  <c r="E106" i="14"/>
  <c r="E227" i="14"/>
  <c r="E212" i="14"/>
  <c r="E196" i="14"/>
  <c r="E148" i="14"/>
  <c r="E109" i="14"/>
  <c r="E29" i="14"/>
  <c r="E13" i="14"/>
  <c r="E182" i="14"/>
  <c r="E118" i="14"/>
  <c r="E54" i="14"/>
  <c r="E191" i="14"/>
  <c r="E143" i="14"/>
  <c r="E79" i="14"/>
  <c r="E224" i="14"/>
  <c r="E96" i="14"/>
  <c r="E48" i="14"/>
  <c r="E41" i="14"/>
  <c r="E210" i="14"/>
  <c r="E34" i="14"/>
  <c r="E219" i="14"/>
  <c r="E155" i="14"/>
  <c r="E139" i="14"/>
  <c r="E75" i="14"/>
  <c r="E27" i="14"/>
  <c r="E220" i="14"/>
  <c r="E156" i="14"/>
  <c r="E108" i="14"/>
  <c r="E44" i="14"/>
  <c r="E85" i="14"/>
  <c r="E21" i="14"/>
  <c r="E222" i="14"/>
  <c r="E174" i="14"/>
  <c r="E142" i="14"/>
  <c r="E126" i="14"/>
  <c r="E78" i="14"/>
  <c r="E62" i="14"/>
  <c r="E199" i="14"/>
  <c r="E119" i="14"/>
  <c r="E39" i="14"/>
  <c r="E200" i="14"/>
  <c r="E184" i="14"/>
  <c r="E104" i="14"/>
  <c r="E56" i="14"/>
  <c r="E40" i="14"/>
  <c r="E17" i="14"/>
  <c r="E164" i="14"/>
  <c r="E205" i="14"/>
  <c r="E198" i="14"/>
  <c r="E134" i="14"/>
  <c r="E70" i="14"/>
  <c r="E207" i="14"/>
  <c r="E95" i="14"/>
  <c r="E240" i="14"/>
  <c r="E176" i="14"/>
  <c r="E112" i="14"/>
  <c r="E153" i="14"/>
  <c r="E162" i="14"/>
  <c r="E98" i="14"/>
  <c r="E50" i="14"/>
  <c r="E235" i="14"/>
  <c r="E171" i="14"/>
  <c r="E91" i="14"/>
  <c r="E43" i="14"/>
  <c r="E236" i="14"/>
  <c r="E124" i="14"/>
  <c r="E60" i="14"/>
  <c r="E197" i="14"/>
  <c r="E181" i="14"/>
  <c r="E101" i="14"/>
  <c r="E37" i="14"/>
  <c r="E238" i="14"/>
  <c r="E14" i="14"/>
  <c r="E215" i="14"/>
  <c r="E151" i="14"/>
  <c r="E135" i="14"/>
  <c r="E71" i="14"/>
  <c r="E55" i="14"/>
  <c r="E120" i="14"/>
  <c r="E225" i="14"/>
  <c r="E177" i="14"/>
  <c r="E161" i="14"/>
  <c r="E113" i="14"/>
  <c r="E97" i="14"/>
  <c r="E173" i="14"/>
  <c r="E157" i="14"/>
  <c r="E141" i="14"/>
  <c r="E125" i="14"/>
  <c r="E93" i="14"/>
  <c r="E77" i="14"/>
  <c r="E61" i="14"/>
  <c r="E214" i="14"/>
  <c r="E150" i="14"/>
  <c r="E86" i="14"/>
  <c r="E22" i="14"/>
  <c r="E223" i="14"/>
  <c r="E111" i="14"/>
  <c r="E15" i="14"/>
  <c r="E192" i="14"/>
  <c r="E128" i="14"/>
  <c r="E64" i="14"/>
  <c r="E16" i="14"/>
  <c r="E226" i="14"/>
  <c r="E178" i="14"/>
  <c r="E130" i="14"/>
  <c r="E114" i="14"/>
  <c r="E66" i="14"/>
  <c r="E187" i="14"/>
  <c r="E107" i="14"/>
  <c r="E59" i="14"/>
  <c r="E188" i="14"/>
  <c r="E172" i="14"/>
  <c r="E140" i="14"/>
  <c r="E76" i="14"/>
  <c r="E12" i="14"/>
  <c r="E117" i="14"/>
  <c r="E53" i="14"/>
  <c r="E190" i="14"/>
  <c r="E110" i="14"/>
  <c r="E94" i="14"/>
  <c r="E46" i="14"/>
  <c r="E30" i="14"/>
  <c r="E231" i="14"/>
  <c r="E167" i="14"/>
  <c r="E87" i="14"/>
  <c r="E7" i="14"/>
  <c r="E232" i="14"/>
  <c r="E216" i="14"/>
  <c r="E168" i="14"/>
  <c r="E152" i="14"/>
  <c r="E136" i="14"/>
  <c r="E72" i="14"/>
  <c r="E24" i="14"/>
  <c r="E8" i="14"/>
  <c r="E49" i="14"/>
  <c r="E33" i="14"/>
  <c r="E138" i="14"/>
  <c r="E211" i="14"/>
  <c r="E237" i="14"/>
  <c r="E221" i="14"/>
  <c r="E189" i="14"/>
  <c r="E45" i="14"/>
  <c r="E230" i="14"/>
  <c r="E166" i="14"/>
  <c r="E102" i="14"/>
  <c r="E38" i="14"/>
  <c r="E239" i="14"/>
  <c r="E175" i="14"/>
  <c r="E127" i="14"/>
  <c r="E51" i="14" l="1"/>
  <c r="E90" i="14"/>
  <c r="E144" i="14"/>
  <c r="E195" i="14"/>
  <c r="E202" i="14"/>
  <c r="E217" i="14"/>
  <c r="E63" i="14"/>
  <c r="E58" i="14"/>
  <c r="E180" i="14"/>
  <c r="E31" i="14"/>
  <c r="E147" i="14"/>
  <c r="E47" i="14"/>
  <c r="E116" i="14"/>
  <c r="E159" i="14"/>
  <c r="E186" i="14"/>
  <c r="E185" i="14"/>
  <c r="E132" i="14"/>
  <c r="E35" i="14"/>
  <c r="E201" i="14"/>
  <c r="E115" i="14"/>
  <c r="E42" i="14"/>
  <c r="E20" i="14"/>
  <c r="E170" i="14"/>
  <c r="E160" i="14"/>
  <c r="E26" i="14"/>
  <c r="E74" i="14"/>
  <c r="E36" i="14"/>
  <c r="E84" i="14"/>
  <c r="E99" i="14"/>
  <c r="E233" i="14"/>
  <c r="E52" i="14"/>
  <c r="E73" i="14"/>
  <c r="E131" i="14"/>
  <c r="E234" i="14"/>
  <c r="E19" i="14"/>
  <c r="E154" i="14"/>
  <c r="E10" i="14"/>
  <c r="E57" i="14"/>
  <c r="E163" i="14"/>
  <c r="E9" i="14"/>
  <c r="E68" i="14"/>
  <c r="E83" i="14"/>
  <c r="E100" i="14"/>
  <c r="E179" i="14"/>
  <c r="E137" i="14"/>
  <c r="E67" i="14"/>
  <c r="E121" i="14"/>
  <c r="E228" i="14"/>
  <c r="E122" i="14"/>
  <c r="E105" i="14"/>
  <c r="A2" i="17"/>
  <c r="F4" i="14" l="1"/>
  <c r="E4" i="14"/>
  <c r="D252" i="20"/>
  <c r="B252" i="20"/>
  <c r="D251" i="20"/>
  <c r="B251" i="20"/>
  <c r="D250" i="20"/>
  <c r="B250" i="20"/>
  <c r="D249" i="20"/>
  <c r="B249" i="20"/>
  <c r="D248" i="20"/>
  <c r="B248" i="20"/>
  <c r="D247" i="20"/>
  <c r="B247" i="20"/>
  <c r="D246" i="20"/>
  <c r="B246" i="20"/>
  <c r="D245" i="20"/>
  <c r="B245" i="20"/>
  <c r="D244" i="20"/>
  <c r="B244" i="20"/>
  <c r="D243" i="20"/>
  <c r="B243" i="20"/>
  <c r="D242" i="20"/>
  <c r="B242" i="20"/>
  <c r="D241" i="20"/>
  <c r="B241" i="20"/>
  <c r="D240" i="20"/>
  <c r="B240" i="20"/>
  <c r="D239" i="20"/>
  <c r="B239" i="20"/>
  <c r="D238" i="20"/>
  <c r="B238" i="20"/>
  <c r="D237" i="20"/>
  <c r="B237" i="20"/>
  <c r="D236" i="20"/>
  <c r="B236" i="20"/>
  <c r="D235" i="20"/>
  <c r="B235" i="20"/>
  <c r="D234" i="20"/>
  <c r="B234" i="20"/>
  <c r="D233" i="20"/>
  <c r="B233" i="20"/>
  <c r="D232" i="20"/>
  <c r="B232" i="20"/>
  <c r="D231" i="20"/>
  <c r="B231" i="20"/>
  <c r="D230" i="20"/>
  <c r="B230" i="20"/>
  <c r="D229" i="20"/>
  <c r="B229" i="20"/>
  <c r="D228" i="20"/>
  <c r="B228" i="20"/>
  <c r="D227" i="20"/>
  <c r="B227" i="20"/>
  <c r="D226" i="20"/>
  <c r="B226" i="20"/>
  <c r="D225" i="20"/>
  <c r="B225" i="20"/>
  <c r="D224" i="20"/>
  <c r="B224" i="20"/>
  <c r="D223" i="20"/>
  <c r="B223" i="20"/>
  <c r="D222" i="20"/>
  <c r="B222" i="20"/>
  <c r="D221" i="20"/>
  <c r="B221" i="20"/>
  <c r="D220" i="20"/>
  <c r="B220" i="20"/>
  <c r="D219" i="20"/>
  <c r="B219" i="20"/>
  <c r="D218" i="20"/>
  <c r="B218" i="20"/>
  <c r="D217" i="20"/>
  <c r="B217" i="20"/>
  <c r="D216" i="20"/>
  <c r="B216" i="20"/>
  <c r="D215" i="20"/>
  <c r="B215" i="20"/>
  <c r="D214" i="20"/>
  <c r="B214" i="20"/>
  <c r="D213" i="20"/>
  <c r="B213" i="20"/>
  <c r="D212" i="20"/>
  <c r="B212" i="20"/>
  <c r="D211" i="20"/>
  <c r="B211" i="20"/>
  <c r="D210" i="20"/>
  <c r="B210" i="20"/>
  <c r="D209" i="20"/>
  <c r="B209" i="20"/>
  <c r="D208" i="20"/>
  <c r="B208" i="20"/>
  <c r="D207" i="20"/>
  <c r="B207" i="20"/>
  <c r="D206" i="20"/>
  <c r="B206" i="20"/>
  <c r="D205" i="20"/>
  <c r="B205" i="20"/>
  <c r="D204" i="20"/>
  <c r="B204" i="20"/>
  <c r="D203" i="20"/>
  <c r="B203" i="20"/>
  <c r="D202" i="20"/>
  <c r="B202" i="20"/>
  <c r="D201" i="20"/>
  <c r="B201" i="20"/>
  <c r="G5" i="17"/>
  <c r="F5" i="17"/>
  <c r="E5" i="17"/>
  <c r="C4" i="9"/>
  <c r="B4" i="9"/>
  <c r="A4" i="9"/>
  <c r="H12" i="13"/>
  <c r="I12" i="13"/>
  <c r="B12" i="13" l="1"/>
  <c r="A5" i="17"/>
  <c r="D243" i="9"/>
  <c r="D235" i="9"/>
  <c r="D231" i="9"/>
  <c r="D227" i="9"/>
  <c r="D207" i="9"/>
  <c r="D203" i="9"/>
  <c r="D179" i="9"/>
  <c r="D163" i="9"/>
  <c r="D159" i="9"/>
  <c r="D151" i="9"/>
  <c r="D139" i="9"/>
  <c r="D135" i="9"/>
  <c r="D127" i="9"/>
  <c r="D123" i="9"/>
  <c r="D103" i="9"/>
  <c r="D99" i="9"/>
  <c r="D87" i="9"/>
  <c r="D75" i="9"/>
  <c r="D71" i="9"/>
  <c r="D67" i="9"/>
  <c r="D55" i="9"/>
  <c r="D39" i="9"/>
  <c r="D35" i="9"/>
  <c r="D27" i="9"/>
  <c r="D23" i="9"/>
  <c r="D11" i="9"/>
  <c r="D7" i="9"/>
  <c r="D167" i="9"/>
  <c r="D43" i="9"/>
  <c r="D91" i="9"/>
  <c r="D195" i="9"/>
  <c r="D119" i="9"/>
  <c r="D83" i="9"/>
  <c r="D51" i="9"/>
  <c r="D19" i="9"/>
  <c r="D175" i="9"/>
  <c r="D143" i="9"/>
  <c r="D111" i="9"/>
  <c r="D95" i="9"/>
  <c r="D79" i="9"/>
  <c r="D63" i="9"/>
  <c r="D47" i="9"/>
  <c r="D31" i="9"/>
  <c r="D15" i="9"/>
  <c r="H4" i="14"/>
  <c r="J4" i="14"/>
  <c r="L4" i="14"/>
  <c r="N4" i="14"/>
  <c r="P4" i="14"/>
  <c r="R4" i="14"/>
  <c r="G4" i="14"/>
  <c r="I4" i="14"/>
  <c r="K4" i="14"/>
  <c r="M4" i="14"/>
  <c r="O4" i="14"/>
  <c r="Q4" i="14"/>
  <c r="S4" i="14"/>
  <c r="D211" i="9"/>
  <c r="D171" i="9"/>
  <c r="D147" i="9"/>
  <c r="D131" i="9"/>
  <c r="D115" i="9"/>
  <c r="B10" i="20"/>
  <c r="B11" i="20"/>
  <c r="B12" i="20"/>
  <c r="B13" i="20"/>
  <c r="B14" i="20"/>
  <c r="B15" i="20"/>
  <c r="B16" i="20"/>
  <c r="B17" i="20"/>
  <c r="B18" i="20"/>
  <c r="B19" i="20"/>
  <c r="B20" i="20"/>
  <c r="B21" i="20"/>
  <c r="B22" i="20"/>
  <c r="B23" i="20"/>
  <c r="B24" i="20"/>
  <c r="B25" i="20"/>
  <c r="B26" i="20"/>
  <c r="B27" i="20"/>
  <c r="B28" i="20"/>
  <c r="B29" i="20"/>
  <c r="B30" i="20"/>
  <c r="B31" i="20"/>
  <c r="B32" i="20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47" i="20"/>
  <c r="B48" i="20"/>
  <c r="B49" i="20"/>
  <c r="B50" i="20"/>
  <c r="B51" i="20"/>
  <c r="B52" i="20"/>
  <c r="B53" i="20"/>
  <c r="B54" i="20"/>
  <c r="B55" i="20"/>
  <c r="B56" i="20"/>
  <c r="B57" i="20"/>
  <c r="B58" i="20"/>
  <c r="B59" i="20"/>
  <c r="B60" i="20"/>
  <c r="B61" i="20"/>
  <c r="B62" i="20"/>
  <c r="B63" i="20"/>
  <c r="B64" i="20"/>
  <c r="B65" i="20"/>
  <c r="B66" i="20"/>
  <c r="B67" i="20"/>
  <c r="B68" i="20"/>
  <c r="B69" i="20"/>
  <c r="B70" i="20"/>
  <c r="B71" i="20"/>
  <c r="B72" i="20"/>
  <c r="B73" i="20"/>
  <c r="B74" i="20"/>
  <c r="B75" i="20"/>
  <c r="B76" i="20"/>
  <c r="B77" i="20"/>
  <c r="B78" i="20"/>
  <c r="B79" i="20"/>
  <c r="B80" i="20"/>
  <c r="B81" i="20"/>
  <c r="B82" i="20"/>
  <c r="B83" i="20"/>
  <c r="B84" i="20"/>
  <c r="B85" i="20"/>
  <c r="B86" i="20"/>
  <c r="B87" i="20"/>
  <c r="B88" i="20"/>
  <c r="B89" i="20"/>
  <c r="B90" i="20"/>
  <c r="B91" i="20"/>
  <c r="B92" i="20"/>
  <c r="B93" i="20"/>
  <c r="B94" i="20"/>
  <c r="B95" i="20"/>
  <c r="B96" i="20"/>
  <c r="B97" i="20"/>
  <c r="B98" i="20"/>
  <c r="B99" i="20"/>
  <c r="B100" i="20"/>
  <c r="B101" i="20"/>
  <c r="B102" i="20"/>
  <c r="B103" i="20"/>
  <c r="B104" i="20"/>
  <c r="B105" i="20"/>
  <c r="B106" i="20"/>
  <c r="B107" i="20"/>
  <c r="B108" i="20"/>
  <c r="B109" i="20"/>
  <c r="B110" i="20"/>
  <c r="B111" i="20"/>
  <c r="B112" i="20"/>
  <c r="B113" i="20"/>
  <c r="B114" i="20"/>
  <c r="B115" i="20"/>
  <c r="B116" i="20"/>
  <c r="B117" i="20"/>
  <c r="B118" i="20"/>
  <c r="B119" i="20"/>
  <c r="B120" i="20"/>
  <c r="B121" i="20"/>
  <c r="B122" i="20"/>
  <c r="B123" i="20"/>
  <c r="B124" i="20"/>
  <c r="B125" i="20"/>
  <c r="B126" i="20"/>
  <c r="B127" i="20"/>
  <c r="B128" i="20"/>
  <c r="B129" i="20"/>
  <c r="B130" i="20"/>
  <c r="B131" i="20"/>
  <c r="B132" i="20"/>
  <c r="B133" i="20"/>
  <c r="B134" i="20"/>
  <c r="B135" i="20"/>
  <c r="B136" i="20"/>
  <c r="B137" i="20"/>
  <c r="B138" i="20"/>
  <c r="B139" i="20"/>
  <c r="B140" i="20"/>
  <c r="B141" i="20"/>
  <c r="B142" i="20"/>
  <c r="B143" i="20"/>
  <c r="B144" i="20"/>
  <c r="B145" i="20"/>
  <c r="B146" i="20"/>
  <c r="B147" i="20"/>
  <c r="B148" i="20"/>
  <c r="B149" i="20"/>
  <c r="B150" i="20"/>
  <c r="B151" i="20"/>
  <c r="B152" i="20"/>
  <c r="B153" i="20"/>
  <c r="B154" i="20"/>
  <c r="B155" i="20"/>
  <c r="B156" i="20"/>
  <c r="B157" i="20"/>
  <c r="B158" i="20"/>
  <c r="B159" i="20"/>
  <c r="B160" i="20"/>
  <c r="B161" i="20"/>
  <c r="B162" i="20"/>
  <c r="B163" i="20"/>
  <c r="B164" i="20"/>
  <c r="B165" i="20"/>
  <c r="B166" i="20"/>
  <c r="B167" i="20"/>
  <c r="B168" i="20"/>
  <c r="B169" i="20"/>
  <c r="B170" i="20"/>
  <c r="B171" i="20"/>
  <c r="B172" i="20"/>
  <c r="B173" i="20"/>
  <c r="B174" i="20"/>
  <c r="B175" i="20"/>
  <c r="B176" i="20"/>
  <c r="B177" i="20"/>
  <c r="B178" i="20"/>
  <c r="B179" i="20"/>
  <c r="B180" i="20"/>
  <c r="B181" i="20"/>
  <c r="B182" i="20"/>
  <c r="B183" i="20"/>
  <c r="B184" i="20"/>
  <c r="B185" i="20"/>
  <c r="B186" i="20"/>
  <c r="B187" i="20"/>
  <c r="B188" i="20"/>
  <c r="B189" i="20"/>
  <c r="B190" i="20"/>
  <c r="B191" i="20"/>
  <c r="B192" i="20"/>
  <c r="B193" i="20"/>
  <c r="B194" i="20"/>
  <c r="B195" i="20"/>
  <c r="B196" i="20"/>
  <c r="B197" i="20"/>
  <c r="B198" i="20"/>
  <c r="B199" i="20"/>
  <c r="B200" i="20"/>
  <c r="D165" i="9"/>
  <c r="D161" i="9"/>
  <c r="D157" i="9"/>
  <c r="D153" i="9"/>
  <c r="D149" i="9"/>
  <c r="D145" i="9"/>
  <c r="D141" i="9"/>
  <c r="D137" i="9"/>
  <c r="D133" i="9"/>
  <c r="D129" i="9"/>
  <c r="D125" i="9"/>
  <c r="D121" i="9"/>
  <c r="D117" i="9"/>
  <c r="D113" i="9"/>
  <c r="D109" i="9"/>
  <c r="D105" i="9"/>
  <c r="D101" i="9"/>
  <c r="D97" i="9"/>
  <c r="D93" i="9"/>
  <c r="D89" i="9"/>
  <c r="D85" i="9"/>
  <c r="D81" i="9"/>
  <c r="D77" i="9"/>
  <c r="D73" i="9"/>
  <c r="D69" i="9"/>
  <c r="D65" i="9"/>
  <c r="D61" i="9"/>
  <c r="D57" i="9"/>
  <c r="D53" i="9"/>
  <c r="D49" i="9"/>
  <c r="D45" i="9"/>
  <c r="D37" i="9"/>
  <c r="D21" i="9"/>
  <c r="D9" i="9"/>
  <c r="D5" i="9"/>
  <c r="D219" i="9"/>
  <c r="D187" i="9"/>
  <c r="D177" i="9"/>
  <c r="D173" i="9"/>
  <c r="D41" i="9"/>
  <c r="D33" i="9"/>
  <c r="D29" i="9"/>
  <c r="D25" i="9"/>
  <c r="D17" i="9"/>
  <c r="D13" i="9"/>
  <c r="D239" i="9"/>
  <c r="D223" i="9"/>
  <c r="D191" i="9"/>
  <c r="D157" i="20"/>
  <c r="D155" i="20"/>
  <c r="D153" i="20"/>
  <c r="D151" i="20"/>
  <c r="D149" i="20"/>
  <c r="D147" i="20"/>
  <c r="D145" i="20"/>
  <c r="D143" i="20"/>
  <c r="D141" i="20"/>
  <c r="D139" i="20"/>
  <c r="D137" i="20"/>
  <c r="D135" i="20"/>
  <c r="D133" i="20"/>
  <c r="D131" i="20"/>
  <c r="D129" i="20"/>
  <c r="D125" i="20"/>
  <c r="D123" i="20"/>
  <c r="D121" i="20"/>
  <c r="D119" i="20"/>
  <c r="D117" i="20"/>
  <c r="D115" i="20"/>
  <c r="D113" i="20"/>
  <c r="D111" i="20"/>
  <c r="D109" i="20"/>
  <c r="D107" i="20"/>
  <c r="D105" i="20"/>
  <c r="D103" i="20"/>
  <c r="D101" i="20"/>
  <c r="D99" i="20"/>
  <c r="D97" i="20"/>
  <c r="D95" i="20"/>
  <c r="D93" i="20"/>
  <c r="D91" i="20"/>
  <c r="D89" i="20"/>
  <c r="D87" i="20"/>
  <c r="D85" i="20"/>
  <c r="D83" i="20"/>
  <c r="D81" i="20"/>
  <c r="D79" i="20"/>
  <c r="D77" i="20"/>
  <c r="D75" i="20"/>
  <c r="D73" i="20"/>
  <c r="D71" i="20"/>
  <c r="D69" i="20"/>
  <c r="D67" i="20"/>
  <c r="D65" i="20"/>
  <c r="D63" i="20"/>
  <c r="D61" i="20"/>
  <c r="D59" i="20"/>
  <c r="D57" i="20"/>
  <c r="D55" i="20"/>
  <c r="D53" i="20"/>
  <c r="D51" i="20"/>
  <c r="D49" i="20"/>
  <c r="D47" i="20"/>
  <c r="D45" i="20"/>
  <c r="D43" i="20"/>
  <c r="D41" i="20"/>
  <c r="D39" i="20"/>
  <c r="D37" i="20"/>
  <c r="D35" i="20"/>
  <c r="D33" i="20"/>
  <c r="D31" i="20"/>
  <c r="D29" i="20"/>
  <c r="D27" i="20"/>
  <c r="D25" i="20"/>
  <c r="D23" i="20"/>
  <c r="D21" i="20"/>
  <c r="D19" i="20"/>
  <c r="D17" i="20"/>
  <c r="D15" i="20"/>
  <c r="D13" i="20"/>
  <c r="D11" i="20"/>
  <c r="D127" i="20"/>
  <c r="D158" i="20"/>
  <c r="D156" i="20"/>
  <c r="D154" i="20"/>
  <c r="D152" i="20"/>
  <c r="D150" i="20"/>
  <c r="D148" i="20"/>
  <c r="D146" i="20"/>
  <c r="D144" i="20"/>
  <c r="D142" i="20"/>
  <c r="D140" i="20"/>
  <c r="D138" i="20"/>
  <c r="D136" i="20"/>
  <c r="D134" i="20"/>
  <c r="D132" i="20"/>
  <c r="D130" i="20"/>
  <c r="D128" i="20"/>
  <c r="D126" i="20"/>
  <c r="D124" i="20"/>
  <c r="D122" i="20"/>
  <c r="D120" i="20"/>
  <c r="D118" i="20"/>
  <c r="D116" i="20"/>
  <c r="D114" i="20"/>
  <c r="D112" i="20"/>
  <c r="D110" i="20"/>
  <c r="D108" i="20"/>
  <c r="D106" i="20"/>
  <c r="D104" i="20"/>
  <c r="D102" i="20"/>
  <c r="D100" i="20"/>
  <c r="D98" i="20"/>
  <c r="D96" i="20"/>
  <c r="D94" i="20"/>
  <c r="D92" i="20"/>
  <c r="D90" i="20"/>
  <c r="D88" i="20"/>
  <c r="D86" i="20"/>
  <c r="D84" i="20"/>
  <c r="D82" i="20"/>
  <c r="D80" i="20"/>
  <c r="D78" i="20"/>
  <c r="D76" i="20"/>
  <c r="D74" i="20"/>
  <c r="D72" i="20"/>
  <c r="D70" i="20"/>
  <c r="D68" i="20"/>
  <c r="D66" i="20"/>
  <c r="D64" i="20"/>
  <c r="D62" i="20"/>
  <c r="D60" i="20"/>
  <c r="D58" i="20"/>
  <c r="D56" i="20"/>
  <c r="D54" i="20"/>
  <c r="D52" i="20"/>
  <c r="D50" i="20"/>
  <c r="D48" i="20"/>
  <c r="D46" i="20"/>
  <c r="D44" i="20"/>
  <c r="D42" i="20"/>
  <c r="D40" i="20"/>
  <c r="D38" i="20"/>
  <c r="D36" i="20"/>
  <c r="D34" i="20"/>
  <c r="D32" i="20"/>
  <c r="D30" i="20"/>
  <c r="D28" i="20"/>
  <c r="D26" i="20"/>
  <c r="D24" i="20"/>
  <c r="D22" i="20"/>
  <c r="D20" i="20"/>
  <c r="D18" i="20"/>
  <c r="D16" i="20"/>
  <c r="D14" i="20"/>
  <c r="D12" i="20"/>
  <c r="D10" i="20"/>
  <c r="D199" i="20"/>
  <c r="D197" i="20"/>
  <c r="D195" i="20"/>
  <c r="D193" i="20"/>
  <c r="D191" i="20"/>
  <c r="D189" i="20"/>
  <c r="D187" i="20"/>
  <c r="D185" i="20"/>
  <c r="D183" i="20"/>
  <c r="D181" i="20"/>
  <c r="D179" i="20"/>
  <c r="D177" i="20"/>
  <c r="D175" i="20"/>
  <c r="D173" i="20"/>
  <c r="D171" i="20"/>
  <c r="D169" i="20"/>
  <c r="D167" i="20"/>
  <c r="D165" i="20"/>
  <c r="D163" i="20"/>
  <c r="D161" i="20"/>
  <c r="D159" i="20"/>
  <c r="D200" i="20"/>
  <c r="D198" i="20"/>
  <c r="D196" i="20"/>
  <c r="D194" i="20"/>
  <c r="D192" i="20"/>
  <c r="D190" i="20"/>
  <c r="D188" i="20"/>
  <c r="D186" i="20"/>
  <c r="D184" i="20"/>
  <c r="D182" i="20"/>
  <c r="D180" i="20"/>
  <c r="D178" i="20"/>
  <c r="D176" i="20"/>
  <c r="D174" i="20"/>
  <c r="D172" i="20"/>
  <c r="D170" i="20"/>
  <c r="D168" i="20"/>
  <c r="D166" i="20"/>
  <c r="D164" i="20"/>
  <c r="D162" i="20"/>
  <c r="D160" i="20"/>
  <c r="D249" i="9"/>
  <c r="D245" i="9"/>
  <c r="D241" i="9"/>
  <c r="D237" i="9"/>
  <c r="D233" i="9"/>
  <c r="D229" i="9"/>
  <c r="D225" i="9"/>
  <c r="D221" i="9"/>
  <c r="D217" i="9"/>
  <c r="D213" i="9"/>
  <c r="D209" i="9"/>
  <c r="D205" i="9"/>
  <c r="D201" i="9"/>
  <c r="D197" i="9"/>
  <c r="D193" i="9"/>
  <c r="D189" i="9"/>
  <c r="D185" i="9"/>
  <c r="D181" i="9"/>
  <c r="D250" i="9"/>
  <c r="D248" i="9"/>
  <c r="D246" i="9"/>
  <c r="D244" i="9"/>
  <c r="D242" i="9"/>
  <c r="D240" i="9"/>
  <c r="D238" i="9"/>
  <c r="D236" i="9"/>
  <c r="D234" i="9"/>
  <c r="D232" i="9"/>
  <c r="D230" i="9"/>
  <c r="D228" i="9"/>
  <c r="D226" i="9"/>
  <c r="D224" i="9"/>
  <c r="D222" i="9"/>
  <c r="D220" i="9"/>
  <c r="D218" i="9"/>
  <c r="D216" i="9"/>
  <c r="D214" i="9"/>
  <c r="D212" i="9"/>
  <c r="D210" i="9"/>
  <c r="D208" i="9"/>
  <c r="D206" i="9"/>
  <c r="D204" i="9"/>
  <c r="D202" i="9"/>
  <c r="D200" i="9"/>
  <c r="D198" i="9"/>
  <c r="D196" i="9"/>
  <c r="D194" i="9"/>
  <c r="D192" i="9"/>
  <c r="D190" i="9"/>
  <c r="D188" i="9"/>
  <c r="D186" i="9"/>
  <c r="D184" i="9"/>
  <c r="D182" i="9"/>
  <c r="D180" i="9"/>
  <c r="D178" i="9"/>
  <c r="D176" i="9"/>
  <c r="D174" i="9"/>
  <c r="D172" i="9"/>
  <c r="D170" i="9"/>
  <c r="D168" i="9"/>
  <c r="D166" i="9"/>
  <c r="D164" i="9"/>
  <c r="D162" i="9"/>
  <c r="D160" i="9"/>
  <c r="D158" i="9"/>
  <c r="D156" i="9"/>
  <c r="D154" i="9"/>
  <c r="D152" i="9"/>
  <c r="D150" i="9"/>
  <c r="D148" i="9"/>
  <c r="D146" i="9"/>
  <c r="D144" i="9"/>
  <c r="D142" i="9"/>
  <c r="D140" i="9"/>
  <c r="D138" i="9"/>
  <c r="D136" i="9"/>
  <c r="D134" i="9"/>
  <c r="D132" i="9"/>
  <c r="D130" i="9"/>
  <c r="D128" i="9"/>
  <c r="D126" i="9"/>
  <c r="D124" i="9"/>
  <c r="D122" i="9"/>
  <c r="D120" i="9"/>
  <c r="D118" i="9"/>
  <c r="D116" i="9"/>
  <c r="D114" i="9"/>
  <c r="D112" i="9"/>
  <c r="D110" i="9"/>
  <c r="D108" i="9"/>
  <c r="D106" i="9"/>
  <c r="D104" i="9"/>
  <c r="D102" i="9"/>
  <c r="D100" i="9"/>
  <c r="D98" i="9"/>
  <c r="D96" i="9"/>
  <c r="D94" i="9"/>
  <c r="D92" i="9"/>
  <c r="D90" i="9"/>
  <c r="D88" i="9"/>
  <c r="D86" i="9"/>
  <c r="D84" i="9"/>
  <c r="D82" i="9"/>
  <c r="D80" i="9"/>
  <c r="D78" i="9"/>
  <c r="D76" i="9"/>
  <c r="D74" i="9"/>
  <c r="D72" i="9"/>
  <c r="D70" i="9"/>
  <c r="D68" i="9"/>
  <c r="D66" i="9"/>
  <c r="D64" i="9"/>
  <c r="D62" i="9"/>
  <c r="D60" i="9"/>
  <c r="D58" i="9"/>
  <c r="D56" i="9"/>
  <c r="D54" i="9"/>
  <c r="D52" i="9"/>
  <c r="D50" i="9"/>
  <c r="D48" i="9"/>
  <c r="D46" i="9"/>
  <c r="D44" i="9"/>
  <c r="D42" i="9"/>
  <c r="D40" i="9"/>
  <c r="D38" i="9"/>
  <c r="D36" i="9"/>
  <c r="D34" i="9"/>
  <c r="D32" i="9"/>
  <c r="D30" i="9"/>
  <c r="D28" i="9"/>
  <c r="D26" i="9"/>
  <c r="D24" i="9"/>
  <c r="D22" i="9"/>
  <c r="D20" i="9"/>
  <c r="D18" i="9"/>
  <c r="D16" i="9"/>
  <c r="D14" i="9"/>
  <c r="D12" i="9"/>
  <c r="D10" i="9"/>
  <c r="D8" i="9"/>
  <c r="D6" i="9"/>
  <c r="F12" i="13" l="1"/>
  <c r="D183" i="9"/>
  <c r="D199" i="9"/>
  <c r="D215" i="9"/>
  <c r="D247" i="9"/>
  <c r="D169" i="9"/>
  <c r="D155" i="9"/>
  <c r="D59" i="9"/>
  <c r="D107" i="9"/>
  <c r="D9" i="20"/>
  <c r="A12" i="13"/>
  <c r="C12" i="13" l="1"/>
  <c r="C9" i="20"/>
  <c r="B9" i="20"/>
  <c r="C2" i="14" l="1"/>
  <c r="D5" i="17" l="1"/>
  <c r="B5" i="17" l="1"/>
  <c r="C6" i="14" l="1"/>
  <c r="B6" i="14"/>
  <c r="D3" i="14"/>
  <c r="D2" i="14"/>
  <c r="E9" i="20" l="1"/>
  <c r="V6" i="14" l="1"/>
  <c r="U6" i="14"/>
  <c r="X6" i="14"/>
  <c r="W6" i="14"/>
  <c r="F7" i="6"/>
  <c r="F6" i="6"/>
  <c r="F5" i="6"/>
  <c r="H5" i="6" l="1"/>
  <c r="G5" i="6"/>
  <c r="H7" i="6"/>
  <c r="G7" i="6"/>
  <c r="K12" i="13"/>
  <c r="D4" i="9" s="1"/>
  <c r="C12" i="10" l="1"/>
  <c r="C11" i="10"/>
  <c r="K10" i="13" l="1"/>
  <c r="E6" i="14" l="1"/>
  <c r="H6" i="14" l="1"/>
  <c r="L6" i="14"/>
  <c r="P6" i="14"/>
  <c r="G6" i="14"/>
  <c r="K6" i="14"/>
  <c r="O6" i="14"/>
  <c r="S6" i="14"/>
  <c r="J6" i="14"/>
  <c r="N6" i="14"/>
  <c r="R6" i="14"/>
  <c r="I6" i="14"/>
  <c r="M6" i="14"/>
  <c r="Q6" i="14"/>
  <c r="F6" i="14"/>
  <c r="C15" i="10" l="1"/>
  <c r="A2" i="9"/>
  <c r="C3" i="5" l="1"/>
  <c r="B14" i="10" l="1"/>
  <c r="B13" i="10"/>
  <c r="D2" i="9" l="1"/>
  <c r="B12" i="10" l="1"/>
  <c r="B11" i="10"/>
  <c r="C17" i="5" l="1"/>
  <c r="C16" i="5"/>
  <c r="C15" i="5"/>
  <c r="C14" i="5"/>
  <c r="C13" i="5"/>
  <c r="C12" i="5"/>
  <c r="C11" i="5"/>
  <c r="C10" i="5"/>
  <c r="C9" i="5"/>
  <c r="C8" i="5"/>
  <c r="C7" i="5"/>
  <c r="C6" i="5"/>
  <c r="C5" i="5"/>
  <c r="C4" i="5"/>
  <c r="AM10" i="13" l="1"/>
  <c r="W10" i="13"/>
  <c r="F4" i="6"/>
  <c r="G6" i="6" s="1"/>
  <c r="AO10" i="13"/>
  <c r="AC10" i="13"/>
  <c r="O10" i="13"/>
  <c r="U10" i="13"/>
  <c r="S10" i="13"/>
  <c r="AG10" i="13"/>
  <c r="AE10" i="13"/>
  <c r="AI10" i="13"/>
  <c r="Y10" i="13"/>
  <c r="AA10" i="13"/>
  <c r="AK10" i="13"/>
  <c r="AQ10" i="13" l="1"/>
  <c r="Q10" i="13"/>
  <c r="E11" i="10"/>
  <c r="F8" i="6"/>
  <c r="F10" i="6"/>
  <c r="H6" i="6" s="1"/>
  <c r="AS10" i="13"/>
  <c r="AU10" i="13"/>
  <c r="F9" i="6" l="1"/>
  <c r="G63" i="13" s="1"/>
  <c r="M8" i="13"/>
  <c r="H66" i="13"/>
  <c r="H77" i="13"/>
  <c r="I79" i="13"/>
  <c r="G121" i="13"/>
  <c r="H122" i="13"/>
  <c r="I123" i="13"/>
  <c r="I125" i="13"/>
  <c r="H159" i="13"/>
  <c r="G34" i="13"/>
  <c r="I66" i="13"/>
  <c r="H95" i="13"/>
  <c r="H97" i="13"/>
  <c r="H121" i="13"/>
  <c r="I122" i="13"/>
  <c r="G124" i="13"/>
  <c r="H161" i="13"/>
  <c r="I162" i="13"/>
  <c r="G194" i="13"/>
  <c r="H34" i="13"/>
  <c r="G47" i="13"/>
  <c r="I51" i="13"/>
  <c r="I95" i="13"/>
  <c r="I99" i="13"/>
  <c r="I101" i="13"/>
  <c r="G107" i="13"/>
  <c r="G123" i="13"/>
  <c r="H124" i="13"/>
  <c r="H153" i="13"/>
  <c r="G66" i="13"/>
  <c r="G92" i="13"/>
  <c r="H94" i="13"/>
  <c r="G122" i="13"/>
  <c r="H123" i="13"/>
  <c r="I124" i="13"/>
  <c r="H154" i="13"/>
  <c r="H170" i="13"/>
  <c r="H186" i="13"/>
  <c r="G188" i="13"/>
  <c r="E21" i="13"/>
  <c r="E33" i="13"/>
  <c r="G38" i="13"/>
  <c r="E41" i="13"/>
  <c r="G42" i="13"/>
  <c r="G46" i="13"/>
  <c r="G50" i="13"/>
  <c r="I52" i="13"/>
  <c r="H53" i="13"/>
  <c r="H57" i="13"/>
  <c r="G58" i="13"/>
  <c r="E65" i="13"/>
  <c r="I68" i="13"/>
  <c r="H73" i="13"/>
  <c r="E14" i="13"/>
  <c r="E26" i="13"/>
  <c r="H38" i="13"/>
  <c r="G39" i="13"/>
  <c r="E50" i="13"/>
  <c r="G55" i="13"/>
  <c r="E58" i="13"/>
  <c r="H58" i="13"/>
  <c r="E66" i="13"/>
  <c r="G67" i="13"/>
  <c r="H70" i="13"/>
  <c r="E15" i="13"/>
  <c r="G24" i="13"/>
  <c r="H31" i="13"/>
  <c r="I38" i="13"/>
  <c r="H39" i="13"/>
  <c r="E47" i="13"/>
  <c r="G48" i="13"/>
  <c r="G52" i="13"/>
  <c r="I58" i="13"/>
  <c r="E59" i="13"/>
  <c r="E67" i="13"/>
  <c r="H67" i="13"/>
  <c r="G68" i="13"/>
  <c r="E16" i="13"/>
  <c r="G25" i="13"/>
  <c r="H32" i="13"/>
  <c r="E44" i="13"/>
  <c r="H48" i="13"/>
  <c r="E52" i="13"/>
  <c r="H52" i="13"/>
  <c r="G57" i="13"/>
  <c r="I59" i="13"/>
  <c r="E64" i="13"/>
  <c r="I67" i="13"/>
  <c r="H68" i="13"/>
  <c r="G69" i="13"/>
  <c r="G73" i="13"/>
  <c r="E78" i="13"/>
  <c r="G79" i="13"/>
  <c r="H82" i="13"/>
  <c r="G91" i="13"/>
  <c r="H98" i="13"/>
  <c r="G99" i="13"/>
  <c r="G103" i="13"/>
  <c r="E106" i="13"/>
  <c r="E114" i="13"/>
  <c r="G115" i="13"/>
  <c r="E126" i="13"/>
  <c r="G131" i="13"/>
  <c r="G135" i="13"/>
  <c r="I137" i="13"/>
  <c r="G139" i="13"/>
  <c r="I141" i="13"/>
  <c r="H142" i="13"/>
  <c r="G143" i="13"/>
  <c r="I149" i="13"/>
  <c r="E150" i="13"/>
  <c r="H150" i="13"/>
  <c r="G155" i="13"/>
  <c r="H79" i="13"/>
  <c r="G80" i="13"/>
  <c r="I82" i="13"/>
  <c r="E91" i="13"/>
  <c r="H91" i="13"/>
  <c r="E99" i="13"/>
  <c r="H103" i="13"/>
  <c r="G108" i="13"/>
  <c r="E111" i="13"/>
  <c r="G116" i="13"/>
  <c r="G120" i="13"/>
  <c r="E127" i="13"/>
  <c r="E76" i="13"/>
  <c r="H80" i="13"/>
  <c r="G81" i="13"/>
  <c r="G93" i="13"/>
  <c r="I103" i="13"/>
  <c r="E108" i="13"/>
  <c r="H108" i="13"/>
  <c r="H112" i="13"/>
  <c r="G113" i="13"/>
  <c r="E124" i="13"/>
  <c r="G129" i="13"/>
  <c r="H101" i="13"/>
  <c r="H113" i="13"/>
  <c r="H129" i="13"/>
  <c r="I132" i="13"/>
  <c r="E133" i="13"/>
  <c r="H136" i="13"/>
  <c r="I142" i="13"/>
  <c r="G148" i="13"/>
  <c r="I150" i="13"/>
  <c r="G160" i="13"/>
  <c r="H171" i="13"/>
  <c r="I174" i="13"/>
  <c r="G82" i="13"/>
  <c r="E101" i="13"/>
  <c r="E125" i="13"/>
  <c r="G134" i="13"/>
  <c r="I135" i="13"/>
  <c r="I136" i="13"/>
  <c r="E137" i="13"/>
  <c r="H139" i="13"/>
  <c r="H140" i="13"/>
  <c r="H147" i="13"/>
  <c r="E148" i="13"/>
  <c r="H148" i="13"/>
  <c r="G152" i="13"/>
  <c r="G154" i="13"/>
  <c r="G90" i="13"/>
  <c r="G98" i="13"/>
  <c r="G132" i="13"/>
  <c r="I139" i="13"/>
  <c r="I140" i="13"/>
  <c r="H143" i="13"/>
  <c r="E144" i="13"/>
  <c r="H144" i="13"/>
  <c r="I148" i="13"/>
  <c r="H149" i="13"/>
  <c r="E152" i="13"/>
  <c r="G153" i="13"/>
  <c r="G158" i="13"/>
  <c r="G166" i="13"/>
  <c r="H173" i="13"/>
  <c r="I176" i="13"/>
  <c r="E181" i="13"/>
  <c r="H185" i="13"/>
  <c r="H189" i="13"/>
  <c r="G190" i="13"/>
  <c r="H197" i="13"/>
  <c r="G198" i="13"/>
  <c r="H132" i="13"/>
  <c r="G133" i="13"/>
  <c r="E162" i="13"/>
  <c r="I175" i="13"/>
  <c r="H176" i="13"/>
  <c r="G184" i="13"/>
  <c r="H190" i="13"/>
  <c r="G192" i="13"/>
  <c r="E194" i="13"/>
  <c r="G196" i="13"/>
  <c r="G202" i="13"/>
  <c r="G94" i="13"/>
  <c r="G163" i="13"/>
  <c r="H174" i="13"/>
  <c r="E184" i="13"/>
  <c r="H184" i="13"/>
  <c r="E192" i="13"/>
  <c r="H192" i="13"/>
  <c r="H196" i="13"/>
  <c r="G199" i="13"/>
  <c r="G203" i="13"/>
  <c r="G207" i="13"/>
  <c r="G110" i="13"/>
  <c r="I144" i="13"/>
  <c r="G159" i="13"/>
  <c r="H160" i="13"/>
  <c r="G171" i="13"/>
  <c r="G175" i="13"/>
  <c r="G180" i="13"/>
  <c r="H198" i="13"/>
  <c r="H199" i="13"/>
  <c r="G200" i="13"/>
  <c r="E203" i="13"/>
  <c r="G204" i="13"/>
  <c r="E207" i="13"/>
  <c r="G78" i="13"/>
  <c r="E105" i="13"/>
  <c r="H131" i="13"/>
  <c r="I143" i="13"/>
  <c r="H145" i="13"/>
  <c r="E153" i="13"/>
  <c r="E160" i="13"/>
  <c r="G165" i="13"/>
  <c r="E166" i="13"/>
  <c r="G167" i="13"/>
  <c r="E175" i="13"/>
  <c r="H175" i="13"/>
  <c r="G176" i="13"/>
  <c r="E180" i="13"/>
  <c r="G183" i="13"/>
  <c r="G185" i="13"/>
  <c r="E186" i="13"/>
  <c r="E188" i="13"/>
  <c r="G191" i="13"/>
  <c r="G195" i="13"/>
  <c r="G197" i="13"/>
  <c r="E198" i="13"/>
  <c r="E200" i="13"/>
  <c r="H200" i="13"/>
  <c r="E204" i="13"/>
  <c r="H204" i="13"/>
  <c r="E217" i="13"/>
  <c r="E221" i="13"/>
  <c r="E225" i="13"/>
  <c r="E229" i="13"/>
  <c r="E233" i="13"/>
  <c r="E237" i="13"/>
  <c r="E241" i="13"/>
  <c r="E245" i="13"/>
  <c r="E249" i="13"/>
  <c r="E253" i="13"/>
  <c r="E257" i="13"/>
  <c r="E261" i="13"/>
  <c r="E254" i="13"/>
  <c r="E258" i="13"/>
  <c r="E211" i="13"/>
  <c r="E212" i="13"/>
  <c r="E218" i="13"/>
  <c r="E222" i="13"/>
  <c r="E226" i="13"/>
  <c r="E230" i="13"/>
  <c r="E234" i="13"/>
  <c r="E238" i="13"/>
  <c r="E242" i="13"/>
  <c r="E246" i="13"/>
  <c r="E250" i="13"/>
  <c r="E208" i="13"/>
  <c r="E215" i="13"/>
  <c r="E219" i="13"/>
  <c r="E223" i="13"/>
  <c r="E227" i="13"/>
  <c r="E231" i="13"/>
  <c r="E235" i="13"/>
  <c r="E239" i="13"/>
  <c r="E243" i="13"/>
  <c r="E247" i="13"/>
  <c r="E251" i="13"/>
  <c r="E255" i="13"/>
  <c r="E259" i="13"/>
  <c r="E216" i="13"/>
  <c r="E220" i="13"/>
  <c r="E224" i="13"/>
  <c r="E228" i="13"/>
  <c r="E232" i="13"/>
  <c r="E236" i="13"/>
  <c r="E240" i="13"/>
  <c r="E244" i="13"/>
  <c r="E248" i="13"/>
  <c r="E252" i="13"/>
  <c r="E256" i="13"/>
  <c r="E260" i="13"/>
  <c r="E12" i="13"/>
  <c r="G12" i="13"/>
  <c r="F11" i="6"/>
  <c r="G31" i="13" l="1"/>
  <c r="G70" i="13"/>
  <c r="E49" i="13"/>
  <c r="E199" i="13"/>
  <c r="H179" i="13"/>
  <c r="E174" i="13"/>
  <c r="E170" i="13"/>
  <c r="G142" i="13"/>
  <c r="E93" i="13"/>
  <c r="E206" i="13"/>
  <c r="E190" i="13"/>
  <c r="E182" i="13"/>
  <c r="H172" i="13"/>
  <c r="E213" i="13"/>
  <c r="E201" i="13"/>
  <c r="E176" i="13"/>
  <c r="G150" i="13"/>
  <c r="E185" i="13"/>
  <c r="E177" i="13"/>
  <c r="E173" i="13"/>
  <c r="H165" i="13"/>
  <c r="E157" i="13"/>
  <c r="H151" i="13"/>
  <c r="E147" i="13"/>
  <c r="E117" i="13"/>
  <c r="E140" i="13"/>
  <c r="G130" i="13"/>
  <c r="E121" i="13"/>
  <c r="E97" i="13"/>
  <c r="E81" i="13"/>
  <c r="E171" i="13"/>
  <c r="E159" i="13"/>
  <c r="E136" i="13"/>
  <c r="H125" i="13"/>
  <c r="H128" i="13"/>
  <c r="E120" i="13"/>
  <c r="E112" i="13"/>
  <c r="G105" i="13"/>
  <c r="G101" i="13"/>
  <c r="E92" i="13"/>
  <c r="H71" i="13"/>
  <c r="E123" i="13"/>
  <c r="E115" i="13"/>
  <c r="E103" i="13"/>
  <c r="G96" i="13"/>
  <c r="E87" i="13"/>
  <c r="E154" i="13"/>
  <c r="H138" i="13"/>
  <c r="H134" i="13"/>
  <c r="H130" i="13"/>
  <c r="E122" i="13"/>
  <c r="G111" i="13"/>
  <c r="I105" i="13"/>
  <c r="E90" i="13"/>
  <c r="E82" i="13"/>
  <c r="G75" i="13"/>
  <c r="H60" i="13"/>
  <c r="E56" i="13"/>
  <c r="G49" i="13"/>
  <c r="E40" i="13"/>
  <c r="E32" i="13"/>
  <c r="H24" i="13"/>
  <c r="G13" i="13"/>
  <c r="E63" i="13"/>
  <c r="H51" i="13"/>
  <c r="E43" i="13"/>
  <c r="H35" i="13"/>
  <c r="E31" i="13"/>
  <c r="E23" i="13"/>
  <c r="H74" i="13"/>
  <c r="E70" i="13"/>
  <c r="E62" i="13"/>
  <c r="E46" i="13"/>
  <c r="E38" i="13"/>
  <c r="H30" i="13"/>
  <c r="H22" i="13"/>
  <c r="G74" i="13"/>
  <c r="H69" i="13"/>
  <c r="G62" i="13"/>
  <c r="E53" i="13"/>
  <c r="G30" i="13"/>
  <c r="E179" i="13"/>
  <c r="G173" i="13"/>
  <c r="H166" i="13"/>
  <c r="E158" i="13"/>
  <c r="G136" i="13"/>
  <c r="E214" i="13"/>
  <c r="E196" i="13"/>
  <c r="G189" i="13"/>
  <c r="G181" i="13"/>
  <c r="E209" i="13"/>
  <c r="H191" i="13"/>
  <c r="E183" i="13"/>
  <c r="E145" i="13"/>
  <c r="E109" i="13"/>
  <c r="E197" i="13"/>
  <c r="E189" i="13"/>
  <c r="G182" i="13"/>
  <c r="G170" i="13"/>
  <c r="E165" i="13"/>
  <c r="E155" i="13"/>
  <c r="G145" i="13"/>
  <c r="H141" i="13"/>
  <c r="E139" i="13"/>
  <c r="H109" i="13"/>
  <c r="G157" i="13"/>
  <c r="G149" i="13"/>
  <c r="G144" i="13"/>
  <c r="E129" i="13"/>
  <c r="E113" i="13"/>
  <c r="E89" i="13"/>
  <c r="E167" i="13"/>
  <c r="G156" i="13"/>
  <c r="G140" i="13"/>
  <c r="H135" i="13"/>
  <c r="I131" i="13"/>
  <c r="E128" i="13"/>
  <c r="E116" i="13"/>
  <c r="G109" i="13"/>
  <c r="H104" i="13"/>
  <c r="E100" i="13"/>
  <c r="E88" i="13"/>
  <c r="E80" i="13"/>
  <c r="I130" i="13"/>
  <c r="G112" i="13"/>
  <c r="E107" i="13"/>
  <c r="G100" i="13"/>
  <c r="E95" i="13"/>
  <c r="E83" i="13"/>
  <c r="E79" i="13"/>
  <c r="G151" i="13"/>
  <c r="G147" i="13"/>
  <c r="E142" i="13"/>
  <c r="E138" i="13"/>
  <c r="E134" i="13"/>
  <c r="E130" i="13"/>
  <c r="E118" i="13"/>
  <c r="H110" i="13"/>
  <c r="E98" i="13"/>
  <c r="E86" i="13"/>
  <c r="E68" i="13"/>
  <c r="E60" i="13"/>
  <c r="G53" i="13"/>
  <c r="E36" i="13"/>
  <c r="G29" i="13"/>
  <c r="E24" i="13"/>
  <c r="G60" i="13"/>
  <c r="G56" i="13"/>
  <c r="E51" i="13"/>
  <c r="E35" i="13"/>
  <c r="H27" i="13"/>
  <c r="I22" i="13"/>
  <c r="E74" i="13"/>
  <c r="I69" i="13"/>
  <c r="G59" i="13"/>
  <c r="E54" i="13"/>
  <c r="E42" i="13"/>
  <c r="G35" i="13"/>
  <c r="E30" i="13"/>
  <c r="E22" i="13"/>
  <c r="E69" i="13"/>
  <c r="E61" i="13"/>
  <c r="E57" i="13"/>
  <c r="E45" i="13"/>
  <c r="E37" i="13"/>
  <c r="H29" i="13"/>
  <c r="E71" i="13"/>
  <c r="E187" i="13"/>
  <c r="E178" i="13"/>
  <c r="E172" i="13"/>
  <c r="E164" i="13"/>
  <c r="E151" i="13"/>
  <c r="G118" i="13"/>
  <c r="E210" i="13"/>
  <c r="E202" i="13"/>
  <c r="G179" i="13"/>
  <c r="E132" i="13"/>
  <c r="E205" i="13"/>
  <c r="E195" i="13"/>
  <c r="E191" i="13"/>
  <c r="H182" i="13"/>
  <c r="E168" i="13"/>
  <c r="E143" i="13"/>
  <c r="E77" i="13"/>
  <c r="E193" i="13"/>
  <c r="G186" i="13"/>
  <c r="H181" i="13"/>
  <c r="G174" i="13"/>
  <c r="E169" i="13"/>
  <c r="E161" i="13"/>
  <c r="E149" i="13"/>
  <c r="E141" i="13"/>
  <c r="G138" i="13"/>
  <c r="H105" i="13"/>
  <c r="E156" i="13"/>
  <c r="G141" i="13"/>
  <c r="H137" i="13"/>
  <c r="E135" i="13"/>
  <c r="G126" i="13"/>
  <c r="I104" i="13"/>
  <c r="E85" i="13"/>
  <c r="G172" i="13"/>
  <c r="E163" i="13"/>
  <c r="G137" i="13"/>
  <c r="H133" i="13"/>
  <c r="E131" i="13"/>
  <c r="G125" i="13"/>
  <c r="E104" i="13"/>
  <c r="E96" i="13"/>
  <c r="E84" i="13"/>
  <c r="G77" i="13"/>
  <c r="G128" i="13"/>
  <c r="E119" i="13"/>
  <c r="H111" i="13"/>
  <c r="G104" i="13"/>
  <c r="H99" i="13"/>
  <c r="E75" i="13"/>
  <c r="E146" i="13"/>
  <c r="I133" i="13"/>
  <c r="H126" i="13"/>
  <c r="E110" i="13"/>
  <c r="E102" i="13"/>
  <c r="E94" i="13"/>
  <c r="G83" i="13"/>
  <c r="H78" i="13"/>
  <c r="E72" i="13"/>
  <c r="E48" i="13"/>
  <c r="G33" i="13"/>
  <c r="E28" i="13"/>
  <c r="E20" i="13"/>
  <c r="H59" i="13"/>
  <c r="E55" i="13"/>
  <c r="E39" i="13"/>
  <c r="G32" i="13"/>
  <c r="E27" i="13"/>
  <c r="E19" i="13"/>
  <c r="G71" i="13"/>
  <c r="G51" i="13"/>
  <c r="E34" i="13"/>
  <c r="G27" i="13"/>
  <c r="E18" i="13"/>
  <c r="E73" i="13"/>
  <c r="I60" i="13"/>
  <c r="G54" i="13"/>
  <c r="H33" i="13"/>
  <c r="G26" i="13"/>
  <c r="E25" i="13"/>
  <c r="E17" i="13"/>
  <c r="H127" i="13"/>
  <c r="I24" i="13"/>
  <c r="E13" i="13"/>
  <c r="G164" i="13"/>
  <c r="I126" i="13"/>
  <c r="G106" i="13"/>
  <c r="I165" i="13"/>
  <c r="E29" i="13"/>
  <c r="G22" i="13"/>
  <c r="G162" i="13"/>
  <c r="H180" i="13"/>
  <c r="G72" i="13"/>
  <c r="G146" i="13"/>
  <c r="H162" i="13"/>
  <c r="I166" i="13"/>
  <c r="H76" i="13"/>
  <c r="I164" i="13"/>
  <c r="I128" i="13"/>
  <c r="H100" i="13"/>
  <c r="H106" i="13"/>
  <c r="G64" i="13"/>
  <c r="I180" i="13"/>
  <c r="G61" i="13"/>
  <c r="H183" i="13"/>
  <c r="I138" i="13"/>
  <c r="H164" i="13"/>
  <c r="I127" i="13"/>
  <c r="G161" i="13"/>
  <c r="G114" i="13"/>
  <c r="G36" i="13"/>
  <c r="H187" i="13"/>
  <c r="I61" i="13"/>
  <c r="H178" i="13"/>
  <c r="H156" i="13"/>
  <c r="G102" i="13"/>
  <c r="I40" i="13"/>
  <c r="H81" i="13"/>
  <c r="G97" i="13"/>
  <c r="H72" i="13"/>
  <c r="H116" i="13"/>
  <c r="I78" i="13"/>
  <c r="H37" i="13"/>
  <c r="H157" i="13"/>
  <c r="I129" i="13"/>
  <c r="G84" i="13"/>
  <c r="I84" i="13"/>
  <c r="G44" i="13"/>
  <c r="I183" i="13"/>
  <c r="I53" i="13"/>
  <c r="G187" i="13"/>
  <c r="H84" i="13"/>
  <c r="G37" i="13"/>
  <c r="I106" i="13"/>
  <c r="H61" i="13"/>
  <c r="G178" i="13"/>
  <c r="H75" i="13"/>
  <c r="I181" i="13"/>
  <c r="H54" i="13"/>
  <c r="I116" i="13"/>
  <c r="G41" i="13"/>
  <c r="H96" i="13"/>
  <c r="G40" i="13"/>
  <c r="H36" i="13"/>
  <c r="I71" i="13"/>
  <c r="I35" i="13"/>
  <c r="M228" i="13"/>
  <c r="M211" i="13"/>
  <c r="M88" i="13"/>
  <c r="AP15" i="13"/>
  <c r="M256" i="13"/>
  <c r="R145" i="13"/>
  <c r="AJ15" i="13"/>
  <c r="AB15" i="13"/>
  <c r="AR255" i="13"/>
  <c r="R255" i="13"/>
  <c r="T15" i="13"/>
  <c r="L12" i="13"/>
  <c r="F13" i="6"/>
  <c r="F40" i="20" l="1"/>
  <c r="F147" i="20"/>
  <c r="AR15" i="13"/>
  <c r="AH32" i="13"/>
  <c r="F29" i="20"/>
  <c r="AB120" i="13"/>
  <c r="F218" i="20"/>
  <c r="X82" i="13"/>
  <c r="F87" i="20"/>
  <c r="F43" i="20"/>
  <c r="AF45" i="13"/>
  <c r="F190" i="20"/>
  <c r="T45" i="13"/>
  <c r="AF47" i="13"/>
  <c r="V255" i="13"/>
  <c r="R216" i="13"/>
  <c r="R233" i="13"/>
  <c r="AD255" i="13"/>
  <c r="AJ233" i="13"/>
  <c r="T240" i="13"/>
  <c r="Z94" i="13"/>
  <c r="V47" i="13"/>
  <c r="F44" i="20"/>
  <c r="R240" i="13"/>
  <c r="V225" i="13"/>
  <c r="F84" i="20"/>
  <c r="F213" i="20"/>
  <c r="AB255" i="13"/>
  <c r="AF255" i="13"/>
  <c r="AN255" i="13"/>
  <c r="AD240" i="13"/>
  <c r="AN233" i="13"/>
  <c r="V240" i="13"/>
  <c r="AH114" i="13"/>
  <c r="F217" i="20"/>
  <c r="AL20" i="13"/>
  <c r="AN47" i="13"/>
  <c r="R215" i="13"/>
  <c r="AD121" i="13"/>
  <c r="T41" i="13"/>
  <c r="X255" i="13"/>
  <c r="AH255" i="13"/>
  <c r="AP233" i="13"/>
  <c r="V23" i="13"/>
  <c r="AD163" i="13"/>
  <c r="AF126" i="13"/>
  <c r="AH122" i="13"/>
  <c r="AR201" i="13"/>
  <c r="F72" i="20"/>
  <c r="AD154" i="13"/>
  <c r="AH15" i="13"/>
  <c r="AL15" i="13"/>
  <c r="X15" i="13"/>
  <c r="AD15" i="13"/>
  <c r="AN15" i="13"/>
  <c r="V15" i="13"/>
  <c r="Z15" i="13"/>
  <c r="AF15" i="13"/>
  <c r="AJ31" i="13"/>
  <c r="R253" i="13"/>
  <c r="V253" i="13"/>
  <c r="AJ253" i="13"/>
  <c r="AB253" i="13"/>
  <c r="AH253" i="13"/>
  <c r="Z253" i="13"/>
  <c r="T253" i="13"/>
  <c r="AF253" i="13"/>
  <c r="AJ242" i="13"/>
  <c r="AF242" i="13"/>
  <c r="F239" i="20"/>
  <c r="AL242" i="13"/>
  <c r="T214" i="13"/>
  <c r="AD253" i="13"/>
  <c r="AB80" i="13"/>
  <c r="X159" i="13"/>
  <c r="AD94" i="13"/>
  <c r="AL183" i="13"/>
  <c r="Z183" i="13"/>
  <c r="R183" i="13"/>
  <c r="AH67" i="13"/>
  <c r="F64" i="20"/>
  <c r="AJ67" i="13"/>
  <c r="Z67" i="13"/>
  <c r="F181" i="20"/>
  <c r="Z151" i="13"/>
  <c r="M224" i="13"/>
  <c r="T117" i="13"/>
  <c r="AR206" i="13"/>
  <c r="F203" i="20"/>
  <c r="AL206" i="13"/>
  <c r="AF261" i="13"/>
  <c r="AR219" i="13"/>
  <c r="AJ219" i="13"/>
  <c r="Z219" i="13"/>
  <c r="Z232" i="13"/>
  <c r="AF254" i="13"/>
  <c r="F233" i="20"/>
  <c r="AJ236" i="13"/>
  <c r="AN236" i="13"/>
  <c r="AD16" i="13"/>
  <c r="R16" i="13"/>
  <c r="T124" i="13"/>
  <c r="R124" i="13"/>
  <c r="F121" i="20"/>
  <c r="AL218" i="13"/>
  <c r="F215" i="20"/>
  <c r="AR218" i="13"/>
  <c r="AH218" i="13"/>
  <c r="AF260" i="13"/>
  <c r="P260" i="13"/>
  <c r="T260" i="13"/>
  <c r="AP28" i="13"/>
  <c r="AF28" i="13"/>
  <c r="F166" i="20"/>
  <c r="X169" i="13"/>
  <c r="T169" i="13"/>
  <c r="R169" i="13"/>
  <c r="V210" i="13"/>
  <c r="F207" i="20"/>
  <c r="Z210" i="13"/>
  <c r="F223" i="20"/>
  <c r="F211" i="20"/>
  <c r="AN206" i="13"/>
  <c r="Z224" i="13"/>
  <c r="AL224" i="13"/>
  <c r="X244" i="13"/>
  <c r="V244" i="13"/>
  <c r="AR261" i="13"/>
  <c r="AN187" i="13"/>
  <c r="AR170" i="13"/>
  <c r="AF170" i="13"/>
  <c r="Z170" i="13"/>
  <c r="X170" i="13"/>
  <c r="AJ23" i="13"/>
  <c r="Z23" i="13"/>
  <c r="AN226" i="13"/>
  <c r="AH226" i="13"/>
  <c r="AD170" i="13"/>
  <c r="AR193" i="13"/>
  <c r="Z193" i="13"/>
  <c r="AR258" i="13"/>
  <c r="AH258" i="13"/>
  <c r="AB258" i="13"/>
  <c r="AJ227" i="13"/>
  <c r="AH227" i="13"/>
  <c r="AP240" i="13"/>
  <c r="AF240" i="13"/>
  <c r="AB240" i="13"/>
  <c r="AR240" i="13"/>
  <c r="AJ240" i="13"/>
  <c r="Z240" i="13"/>
  <c r="AL240" i="13"/>
  <c r="AH240" i="13"/>
  <c r="AB231" i="13"/>
  <c r="AJ231" i="13"/>
  <c r="AL231" i="13"/>
  <c r="AH107" i="13"/>
  <c r="AD107" i="13"/>
  <c r="AP107" i="13"/>
  <c r="X107" i="13"/>
  <c r="AF214" i="13"/>
  <c r="AR214" i="13"/>
  <c r="AN244" i="13"/>
  <c r="AP244" i="13"/>
  <c r="AF244" i="13"/>
  <c r="AJ244" i="13"/>
  <c r="H102" i="13"/>
  <c r="AX102" i="13"/>
  <c r="I70" i="13"/>
  <c r="G85" i="13"/>
  <c r="AV85" i="13"/>
  <c r="H40" i="13"/>
  <c r="I134" i="13"/>
  <c r="I110" i="13"/>
  <c r="G95" i="13"/>
  <c r="G76" i="13"/>
  <c r="I100" i="13"/>
  <c r="G127" i="13"/>
  <c r="AN170" i="13"/>
  <c r="AD23" i="13"/>
  <c r="X74" i="13"/>
  <c r="AL74" i="13"/>
  <c r="AB196" i="13"/>
  <c r="AL196" i="13"/>
  <c r="AR122" i="13"/>
  <c r="AD188" i="13"/>
  <c r="AF188" i="13"/>
  <c r="AR212" i="13"/>
  <c r="AH212" i="13"/>
  <c r="AN212" i="13"/>
  <c r="AD212" i="13"/>
  <c r="Z235" i="13"/>
  <c r="AR235" i="13"/>
  <c r="AL235" i="13"/>
  <c r="AH235" i="13"/>
  <c r="AB234" i="13"/>
  <c r="AP234" i="13"/>
  <c r="AJ234" i="13"/>
  <c r="AF234" i="13"/>
  <c r="AP252" i="13"/>
  <c r="AL252" i="13"/>
  <c r="AF252" i="13"/>
  <c r="AB14" i="13"/>
  <c r="AL14" i="13"/>
  <c r="AD14" i="13"/>
  <c r="AP44" i="13"/>
  <c r="X44" i="13"/>
  <c r="AN44" i="13"/>
  <c r="AD44" i="13"/>
  <c r="AH44" i="13"/>
  <c r="AB162" i="13"/>
  <c r="AJ162" i="13"/>
  <c r="AH162" i="13"/>
  <c r="X250" i="13"/>
  <c r="AP250" i="13"/>
  <c r="AD250" i="13"/>
  <c r="AL18" i="13"/>
  <c r="AF18" i="13"/>
  <c r="AJ18" i="13"/>
  <c r="Z18" i="13"/>
  <c r="AP18" i="13"/>
  <c r="L36" i="13"/>
  <c r="BB61" i="13"/>
  <c r="M7" i="13"/>
  <c r="BB37" i="13"/>
  <c r="F156" i="20"/>
  <c r="F143" i="20"/>
  <c r="F234" i="20"/>
  <c r="F11" i="20"/>
  <c r="F193" i="20"/>
  <c r="F228" i="20"/>
  <c r="F13" i="20"/>
  <c r="F41" i="20"/>
  <c r="F104" i="20"/>
  <c r="F241" i="20"/>
  <c r="F20" i="20"/>
  <c r="F108" i="20"/>
  <c r="F164" i="20"/>
  <c r="F210" i="20"/>
  <c r="F242" i="20"/>
  <c r="F225" i="20"/>
  <c r="F188" i="20"/>
  <c r="F236" i="20"/>
  <c r="F243" i="20"/>
  <c r="F120" i="20"/>
  <c r="F219" i="20"/>
  <c r="F25" i="20"/>
  <c r="F116" i="20"/>
  <c r="F250" i="20"/>
  <c r="F235" i="20"/>
  <c r="F38" i="20"/>
  <c r="F158" i="20"/>
  <c r="F212" i="20"/>
  <c r="F244" i="20"/>
  <c r="F201" i="20"/>
  <c r="F18" i="20"/>
  <c r="F214" i="20"/>
  <c r="F221" i="20"/>
  <c r="F251" i="20"/>
  <c r="F36" i="20"/>
  <c r="F71" i="20"/>
  <c r="F148" i="20"/>
  <c r="F111" i="20"/>
  <c r="F226" i="20"/>
  <c r="F231" i="20"/>
  <c r="F220" i="20"/>
  <c r="F245" i="20"/>
  <c r="F159" i="20"/>
  <c r="F246" i="20"/>
  <c r="F209" i="20"/>
  <c r="F247" i="20"/>
  <c r="P240" i="13"/>
  <c r="F237" i="20"/>
  <c r="P255" i="13"/>
  <c r="F252" i="20"/>
  <c r="BB23" i="13"/>
  <c r="AZ23" i="13"/>
  <c r="AX23" i="13"/>
  <c r="BB122" i="13"/>
  <c r="AZ122" i="13"/>
  <c r="AZ97" i="13"/>
  <c r="AZ177" i="13"/>
  <c r="AX177" i="13"/>
  <c r="AV177" i="13"/>
  <c r="BB213" i="13"/>
  <c r="AZ213" i="13"/>
  <c r="AX213" i="13"/>
  <c r="AV213" i="13"/>
  <c r="BB188" i="13"/>
  <c r="AZ245" i="13"/>
  <c r="AV245" i="13"/>
  <c r="BB212" i="13"/>
  <c r="BB246" i="13"/>
  <c r="AX246" i="13"/>
  <c r="AV246" i="13"/>
  <c r="BB235" i="13"/>
  <c r="AZ235" i="13"/>
  <c r="AV235" i="13"/>
  <c r="AZ216" i="13"/>
  <c r="AX216" i="13"/>
  <c r="AZ248" i="13"/>
  <c r="AV248" i="13"/>
  <c r="AZ249" i="13"/>
  <c r="AX249" i="13"/>
  <c r="AX234" i="13"/>
  <c r="AV234" i="13"/>
  <c r="BB255" i="13"/>
  <c r="AZ255" i="13"/>
  <c r="AV255" i="13"/>
  <c r="BB252" i="13"/>
  <c r="AZ252" i="13"/>
  <c r="AV252" i="13"/>
  <c r="AZ41" i="13"/>
  <c r="AV41" i="13"/>
  <c r="AZ14" i="13"/>
  <c r="AX14" i="13"/>
  <c r="AV14" i="13"/>
  <c r="BB47" i="13"/>
  <c r="AZ47" i="13"/>
  <c r="AZ44" i="13"/>
  <c r="AV44" i="13"/>
  <c r="BB114" i="13"/>
  <c r="AZ114" i="13"/>
  <c r="AV114" i="13"/>
  <c r="BB162" i="13"/>
  <c r="AZ162" i="13"/>
  <c r="AX162" i="13"/>
  <c r="AV162" i="13"/>
  <c r="AX233" i="13"/>
  <c r="BB233" i="13"/>
  <c r="AV233" i="13"/>
  <c r="BB250" i="13"/>
  <c r="AX250" i="13"/>
  <c r="AZ220" i="13"/>
  <c r="BB220" i="13"/>
  <c r="AX220" i="13"/>
  <c r="AV220" i="13"/>
  <c r="BB18" i="13"/>
  <c r="BB20" i="13"/>
  <c r="AX20" i="13"/>
  <c r="AZ20" i="13"/>
  <c r="AV20" i="13"/>
  <c r="BB146" i="13"/>
  <c r="AZ146" i="13"/>
  <c r="AX146" i="13"/>
  <c r="BB161" i="13"/>
  <c r="AZ161" i="13"/>
  <c r="BB193" i="13"/>
  <c r="AX193" i="13"/>
  <c r="AV193" i="13"/>
  <c r="AV205" i="13"/>
  <c r="AZ221" i="13"/>
  <c r="AV221" i="13"/>
  <c r="AX221" i="13"/>
  <c r="AZ253" i="13"/>
  <c r="AX253" i="13"/>
  <c r="AX222" i="13"/>
  <c r="BB208" i="13"/>
  <c r="AV208" i="13"/>
  <c r="BB243" i="13"/>
  <c r="AZ243" i="13"/>
  <c r="AX243" i="13"/>
  <c r="BB224" i="13"/>
  <c r="AZ224" i="13"/>
  <c r="AV224" i="13"/>
  <c r="AZ256" i="13"/>
  <c r="AV256" i="13"/>
  <c r="AZ242" i="13"/>
  <c r="AX242" i="13"/>
  <c r="AV242" i="13"/>
  <c r="BB86" i="13"/>
  <c r="AZ86" i="13"/>
  <c r="AX86" i="13"/>
  <c r="AV86" i="13"/>
  <c r="AZ107" i="13"/>
  <c r="AX107" i="13"/>
  <c r="BB89" i="13"/>
  <c r="AZ89" i="13"/>
  <c r="AV89" i="13"/>
  <c r="BB214" i="13"/>
  <c r="AZ214" i="13"/>
  <c r="AV214" i="13"/>
  <c r="BB241" i="13"/>
  <c r="AZ241" i="13"/>
  <c r="AV241" i="13"/>
  <c r="BB226" i="13"/>
  <c r="BB247" i="13"/>
  <c r="AZ247" i="13"/>
  <c r="AV247" i="13"/>
  <c r="AX247" i="13"/>
  <c r="BB244" i="13"/>
  <c r="AX244" i="13"/>
  <c r="AZ244" i="13"/>
  <c r="BB17" i="13"/>
  <c r="AX17" i="13"/>
  <c r="AV17" i="13"/>
  <c r="AZ43" i="13"/>
  <c r="AX43" i="13"/>
  <c r="AZ87" i="13"/>
  <c r="BB117" i="13"/>
  <c r="AV117" i="13"/>
  <c r="BB201" i="13"/>
  <c r="AZ206" i="13"/>
  <c r="AX206" i="13"/>
  <c r="AV206" i="13"/>
  <c r="AZ229" i="13"/>
  <c r="AV229" i="13"/>
  <c r="AZ261" i="13"/>
  <c r="AX261" i="13"/>
  <c r="AV261" i="13"/>
  <c r="AZ219" i="13"/>
  <c r="AX219" i="13"/>
  <c r="AV251" i="13"/>
  <c r="AX251" i="13"/>
  <c r="AX232" i="13"/>
  <c r="BB232" i="13"/>
  <c r="AV232" i="13"/>
  <c r="AX254" i="13"/>
  <c r="BB254" i="13"/>
  <c r="AZ254" i="13"/>
  <c r="BB223" i="13"/>
  <c r="AZ223" i="13"/>
  <c r="AX223" i="13"/>
  <c r="AV223" i="13"/>
  <c r="AX236" i="13"/>
  <c r="AZ21" i="13"/>
  <c r="AV21" i="13"/>
  <c r="BB65" i="13"/>
  <c r="AZ65" i="13"/>
  <c r="BB15" i="13"/>
  <c r="AV15" i="13"/>
  <c r="BB16" i="13"/>
  <c r="AZ16" i="13"/>
  <c r="BB64" i="13"/>
  <c r="AX64" i="13"/>
  <c r="AZ64" i="13"/>
  <c r="AX124" i="13"/>
  <c r="AV124" i="13"/>
  <c r="BB194" i="13"/>
  <c r="AZ194" i="13"/>
  <c r="AX194" i="13"/>
  <c r="AV194" i="13"/>
  <c r="BB218" i="13"/>
  <c r="AX218" i="13"/>
  <c r="BB239" i="13"/>
  <c r="AZ239" i="13"/>
  <c r="BB260" i="13"/>
  <c r="AX260" i="13"/>
  <c r="AV260" i="13"/>
  <c r="AX19" i="13"/>
  <c r="AZ19" i="13"/>
  <c r="AZ28" i="13"/>
  <c r="BB28" i="13"/>
  <c r="AX28" i="13"/>
  <c r="AV102" i="13"/>
  <c r="BB119" i="13"/>
  <c r="AZ119" i="13"/>
  <c r="AV119" i="13"/>
  <c r="AX119" i="13"/>
  <c r="AZ85" i="13"/>
  <c r="AX85" i="13"/>
  <c r="AX169" i="13"/>
  <c r="AZ168" i="13"/>
  <c r="AX168" i="13"/>
  <c r="AV168" i="13"/>
  <c r="AZ210" i="13"/>
  <c r="AV210" i="13"/>
  <c r="AZ187" i="13"/>
  <c r="AV237" i="13"/>
  <c r="BB258" i="13"/>
  <c r="AZ258" i="13"/>
  <c r="AX258" i="13"/>
  <c r="AV258" i="13"/>
  <c r="BB238" i="13"/>
  <c r="AZ238" i="13"/>
  <c r="AX238" i="13"/>
  <c r="BB227" i="13"/>
  <c r="AZ227" i="13"/>
  <c r="AX227" i="13"/>
  <c r="AV227" i="13"/>
  <c r="BB259" i="13"/>
  <c r="AZ259" i="13"/>
  <c r="AX259" i="13"/>
  <c r="AV259" i="13"/>
  <c r="BB240" i="13"/>
  <c r="AV240" i="13"/>
  <c r="AX257" i="13"/>
  <c r="AZ231" i="13"/>
  <c r="AX231" i="13"/>
  <c r="AX45" i="13"/>
  <c r="BB95" i="13"/>
  <c r="AZ95" i="13"/>
  <c r="AX95" i="13"/>
  <c r="AV95" i="13"/>
  <c r="BB88" i="13"/>
  <c r="AV88" i="13"/>
  <c r="BB225" i="13"/>
  <c r="AZ225" i="13"/>
  <c r="AX211" i="13"/>
  <c r="BB211" i="13"/>
  <c r="AZ211" i="13"/>
  <c r="BB215" i="13"/>
  <c r="AZ215" i="13"/>
  <c r="AV215" i="13"/>
  <c r="AX228" i="13"/>
  <c r="BB228" i="13"/>
  <c r="AV228" i="13"/>
  <c r="L52" i="13"/>
  <c r="L48" i="13"/>
  <c r="L174" i="13"/>
  <c r="L176" i="13"/>
  <c r="L203" i="13"/>
  <c r="L62" i="13"/>
  <c r="L49" i="13"/>
  <c r="L134" i="13"/>
  <c r="L96" i="13"/>
  <c r="L136" i="13"/>
  <c r="L197" i="13"/>
  <c r="L53" i="13"/>
  <c r="L81" i="13"/>
  <c r="L171" i="13"/>
  <c r="L185" i="13"/>
  <c r="L160" i="13"/>
  <c r="L42" i="13"/>
  <c r="L68" i="13"/>
  <c r="L83" i="13"/>
  <c r="L137" i="13"/>
  <c r="L99" i="13"/>
  <c r="L181" i="13"/>
  <c r="L118" i="13"/>
  <c r="L71" i="13"/>
  <c r="L172" i="13"/>
  <c r="L148" i="13"/>
  <c r="L145" i="13"/>
  <c r="L74" i="13"/>
  <c r="L196" i="13"/>
  <c r="L38" i="13"/>
  <c r="L199" i="13"/>
  <c r="AN106" i="13"/>
  <c r="L123" i="13"/>
  <c r="L17" i="13"/>
  <c r="AJ43" i="13"/>
  <c r="M87" i="13"/>
  <c r="AB117" i="13"/>
  <c r="M201" i="13"/>
  <c r="AJ229" i="13"/>
  <c r="AP261" i="13"/>
  <c r="AL217" i="13"/>
  <c r="M65" i="13"/>
  <c r="M124" i="13"/>
  <c r="L19" i="13"/>
  <c r="L28" i="13"/>
  <c r="L102" i="13"/>
  <c r="L119" i="13"/>
  <c r="L85" i="13"/>
  <c r="L169" i="13"/>
  <c r="L168" i="13"/>
  <c r="L210" i="13"/>
  <c r="L187" i="13"/>
  <c r="L237" i="13"/>
  <c r="L258" i="13"/>
  <c r="L238" i="13"/>
  <c r="L227" i="13"/>
  <c r="L259" i="13"/>
  <c r="L240" i="13"/>
  <c r="L257" i="13"/>
  <c r="L231" i="13"/>
  <c r="L45" i="13"/>
  <c r="L95" i="13"/>
  <c r="L88" i="13"/>
  <c r="L225" i="13"/>
  <c r="L211" i="13"/>
  <c r="L215" i="13"/>
  <c r="L228" i="13"/>
  <c r="L73" i="13"/>
  <c r="L113" i="13"/>
  <c r="L157" i="13"/>
  <c r="L175" i="13"/>
  <c r="L166" i="13"/>
  <c r="L55" i="13"/>
  <c r="L75" i="13"/>
  <c r="L138" i="13"/>
  <c r="L80" i="13"/>
  <c r="L152" i="13"/>
  <c r="L159" i="13"/>
  <c r="L25" i="13"/>
  <c r="L93" i="13"/>
  <c r="L202" i="13"/>
  <c r="L180" i="13"/>
  <c r="L50" i="13"/>
  <c r="L59" i="13"/>
  <c r="L111" i="13"/>
  <c r="L150" i="13"/>
  <c r="L186" i="13"/>
  <c r="L39" i="13"/>
  <c r="L128" i="13"/>
  <c r="L179" i="13"/>
  <c r="L144" i="13"/>
  <c r="L147" i="13"/>
  <c r="L204" i="13"/>
  <c r="L129" i="13"/>
  <c r="V121" i="13"/>
  <c r="R92" i="13"/>
  <c r="L24" i="13"/>
  <c r="L69" i="13"/>
  <c r="L100" i="13"/>
  <c r="L131" i="13"/>
  <c r="L191" i="13"/>
  <c r="L46" i="13"/>
  <c r="AL35" i="13"/>
  <c r="L149" i="13"/>
  <c r="L132" i="13"/>
  <c r="L90" i="13"/>
  <c r="L167" i="13"/>
  <c r="AP155" i="13"/>
  <c r="L94" i="13"/>
  <c r="L183" i="13"/>
  <c r="L67" i="13"/>
  <c r="L82" i="13"/>
  <c r="L77" i="13"/>
  <c r="L104" i="13"/>
  <c r="AN184" i="13"/>
  <c r="L195" i="13"/>
  <c r="L51" i="13"/>
  <c r="L125" i="13"/>
  <c r="L135" i="13"/>
  <c r="L139" i="13"/>
  <c r="L140" i="13"/>
  <c r="L164" i="13"/>
  <c r="L23" i="13"/>
  <c r="AX248" i="13"/>
  <c r="M234" i="13"/>
  <c r="L253" i="13"/>
  <c r="L256" i="13"/>
  <c r="AP117" i="13"/>
  <c r="L29" i="13"/>
  <c r="T120" i="13"/>
  <c r="R156" i="13"/>
  <c r="L57" i="13"/>
  <c r="L13" i="13"/>
  <c r="L105" i="13"/>
  <c r="L79" i="13"/>
  <c r="L142" i="13"/>
  <c r="L165" i="13"/>
  <c r="L26" i="13"/>
  <c r="L112" i="13"/>
  <c r="L173" i="13"/>
  <c r="L207" i="13"/>
  <c r="L60" i="13"/>
  <c r="L78" i="13"/>
  <c r="L133" i="13"/>
  <c r="L91" i="13"/>
  <c r="L108" i="13"/>
  <c r="L153" i="13"/>
  <c r="L192" i="13"/>
  <c r="L22" i="13"/>
  <c r="L58" i="13"/>
  <c r="L189" i="13"/>
  <c r="L32" i="13"/>
  <c r="L198" i="13"/>
  <c r="L30" i="13"/>
  <c r="L151" i="13"/>
  <c r="L31" i="13"/>
  <c r="L190" i="13"/>
  <c r="L200" i="13"/>
  <c r="L66" i="13"/>
  <c r="X35" i="13"/>
  <c r="AR43" i="13"/>
  <c r="AD158" i="13"/>
  <c r="AJ158" i="13"/>
  <c r="R35" i="13"/>
  <c r="Z158" i="13"/>
  <c r="AR158" i="13"/>
  <c r="T191" i="13"/>
  <c r="AF158" i="13"/>
  <c r="AB158" i="13"/>
  <c r="AN158" i="13"/>
  <c r="AP158" i="13"/>
  <c r="AH158" i="13"/>
  <c r="X189" i="13"/>
  <c r="M253" i="13"/>
  <c r="AD43" i="13"/>
  <c r="R18" i="13"/>
  <c r="AD75" i="13"/>
  <c r="AN75" i="13"/>
  <c r="AR75" i="13"/>
  <c r="AR80" i="13"/>
  <c r="AB159" i="13"/>
  <c r="AL159" i="13"/>
  <c r="X196" i="13"/>
  <c r="AJ196" i="13"/>
  <c r="AR196" i="13"/>
  <c r="AP229" i="13"/>
  <c r="AJ261" i="13"/>
  <c r="V148" i="13"/>
  <c r="AB87" i="13"/>
  <c r="X240" i="13"/>
  <c r="M45" i="13"/>
  <c r="M231" i="13"/>
  <c r="R45" i="13"/>
  <c r="V75" i="13"/>
  <c r="AH75" i="13"/>
  <c r="AL75" i="13"/>
  <c r="AF80" i="13"/>
  <c r="V159" i="13"/>
  <c r="AF159" i="13"/>
  <c r="T150" i="13"/>
  <c r="R138" i="13"/>
  <c r="R196" i="13"/>
  <c r="AJ199" i="13"/>
  <c r="Z196" i="13"/>
  <c r="AD196" i="13"/>
  <c r="AP196" i="13"/>
  <c r="AB229" i="13"/>
  <c r="AB261" i="13"/>
  <c r="AF21" i="13"/>
  <c r="M95" i="13"/>
  <c r="T121" i="13"/>
  <c r="T55" i="13"/>
  <c r="AN213" i="13"/>
  <c r="AF213" i="13"/>
  <c r="Z213" i="13"/>
  <c r="V213" i="13"/>
  <c r="AL213" i="13"/>
  <c r="AD213" i="13"/>
  <c r="R245" i="13"/>
  <c r="AN245" i="13"/>
  <c r="AF245" i="13"/>
  <c r="Z245" i="13"/>
  <c r="AL245" i="13"/>
  <c r="AD245" i="13"/>
  <c r="AR246" i="13"/>
  <c r="AF246" i="13"/>
  <c r="AN246" i="13"/>
  <c r="AH246" i="13"/>
  <c r="Z246" i="13"/>
  <c r="AN216" i="13"/>
  <c r="AH216" i="13"/>
  <c r="T216" i="13"/>
  <c r="AP216" i="13"/>
  <c r="AJ216" i="13"/>
  <c r="AB216" i="13"/>
  <c r="AR248" i="13"/>
  <c r="AF248" i="13"/>
  <c r="Z248" i="13"/>
  <c r="AD248" i="13"/>
  <c r="X248" i="13"/>
  <c r="T249" i="13"/>
  <c r="AR249" i="13"/>
  <c r="AH249" i="13"/>
  <c r="Z249" i="13"/>
  <c r="AD249" i="13"/>
  <c r="AB249" i="13"/>
  <c r="P252" i="13"/>
  <c r="AN41" i="13"/>
  <c r="AF41" i="13"/>
  <c r="AB41" i="13"/>
  <c r="AP41" i="13"/>
  <c r="AJ41" i="13"/>
  <c r="X41" i="13"/>
  <c r="T44" i="13"/>
  <c r="R44" i="13"/>
  <c r="T162" i="13"/>
  <c r="T233" i="13"/>
  <c r="V250" i="13"/>
  <c r="L20" i="13"/>
  <c r="AR20" i="13"/>
  <c r="AF20" i="13"/>
  <c r="Z20" i="13"/>
  <c r="AN20" i="13"/>
  <c r="AD20" i="13"/>
  <c r="T20" i="13"/>
  <c r="L146" i="13"/>
  <c r="R146" i="13"/>
  <c r="V146" i="13"/>
  <c r="L161" i="13"/>
  <c r="T161" i="13"/>
  <c r="L193" i="13"/>
  <c r="AJ193" i="13"/>
  <c r="AF193" i="13"/>
  <c r="M193" i="13"/>
  <c r="AP193" i="13"/>
  <c r="AH193" i="13"/>
  <c r="X193" i="13"/>
  <c r="L205" i="13"/>
  <c r="M205" i="13"/>
  <c r="T205" i="13"/>
  <c r="L221" i="13"/>
  <c r="M221" i="13"/>
  <c r="X221" i="13"/>
  <c r="R221" i="13"/>
  <c r="L222" i="13"/>
  <c r="T222" i="13"/>
  <c r="M222" i="13"/>
  <c r="L208" i="13"/>
  <c r="L243" i="13"/>
  <c r="M243" i="13"/>
  <c r="P243" i="13"/>
  <c r="L224" i="13"/>
  <c r="L242" i="13"/>
  <c r="M242" i="13"/>
  <c r="L61" i="13"/>
  <c r="L86" i="13"/>
  <c r="V86" i="13"/>
  <c r="M86" i="13"/>
  <c r="L107" i="13"/>
  <c r="M107" i="13"/>
  <c r="L89" i="13"/>
  <c r="M89" i="13"/>
  <c r="L214" i="13"/>
  <c r="M214" i="13"/>
  <c r="AL214" i="13"/>
  <c r="AD214" i="13"/>
  <c r="X214" i="13"/>
  <c r="R214" i="13"/>
  <c r="AP214" i="13"/>
  <c r="AJ214" i="13"/>
  <c r="AB214" i="13"/>
  <c r="L241" i="13"/>
  <c r="P241" i="13"/>
  <c r="L226" i="13"/>
  <c r="AP226" i="13"/>
  <c r="AD226" i="13"/>
  <c r="Z226" i="13"/>
  <c r="AR226" i="13"/>
  <c r="AL226" i="13"/>
  <c r="L247" i="13"/>
  <c r="M247" i="13"/>
  <c r="AR247" i="13"/>
  <c r="AJ247" i="13"/>
  <c r="Z247" i="13"/>
  <c r="AN247" i="13"/>
  <c r="AH247" i="13"/>
  <c r="AB247" i="13"/>
  <c r="L244" i="13"/>
  <c r="M244" i="13"/>
  <c r="T151" i="13"/>
  <c r="T156" i="13"/>
  <c r="Z123" i="13"/>
  <c r="AJ123" i="13"/>
  <c r="AL123" i="13"/>
  <c r="X188" i="13"/>
  <c r="AH188" i="13"/>
  <c r="AR188" i="13"/>
  <c r="V151" i="13"/>
  <c r="AF151" i="13"/>
  <c r="AL151" i="13"/>
  <c r="AB245" i="13"/>
  <c r="AP245" i="13"/>
  <c r="AL249" i="13"/>
  <c r="AB246" i="13"/>
  <c r="AP246" i="13"/>
  <c r="T14" i="13"/>
  <c r="R14" i="13"/>
  <c r="V41" i="13"/>
  <c r="AR41" i="13"/>
  <c r="AR216" i="13"/>
  <c r="AB248" i="13"/>
  <c r="AP248" i="13"/>
  <c r="AB213" i="13"/>
  <c r="AP213" i="13"/>
  <c r="R23" i="13"/>
  <c r="V224" i="13"/>
  <c r="M226" i="13"/>
  <c r="V226" i="13"/>
  <c r="V123" i="13"/>
  <c r="AD123" i="13"/>
  <c r="AH123" i="13"/>
  <c r="X151" i="13"/>
  <c r="AH151" i="13"/>
  <c r="AR151" i="13"/>
  <c r="AH245" i="13"/>
  <c r="AP249" i="13"/>
  <c r="AD246" i="13"/>
  <c r="R213" i="13"/>
  <c r="AH41" i="13"/>
  <c r="AH213" i="13"/>
  <c r="L43" i="13"/>
  <c r="AB43" i="13"/>
  <c r="AN43" i="13"/>
  <c r="X43" i="13"/>
  <c r="AJ117" i="13"/>
  <c r="Z117" i="13"/>
  <c r="AF117" i="13"/>
  <c r="M229" i="13"/>
  <c r="AL229" i="13"/>
  <c r="AN229" i="13"/>
  <c r="V261" i="13"/>
  <c r="AL261" i="13"/>
  <c r="AD261" i="13"/>
  <c r="AN261" i="13"/>
  <c r="AH261" i="13"/>
  <c r="Z261" i="13"/>
  <c r="R230" i="13"/>
  <c r="M232" i="13"/>
  <c r="AD232" i="13"/>
  <c r="AN232" i="13"/>
  <c r="T232" i="13"/>
  <c r="AD217" i="13"/>
  <c r="AJ217" i="13"/>
  <c r="AB217" i="13"/>
  <c r="T217" i="13"/>
  <c r="X123" i="13"/>
  <c r="AF123" i="13"/>
  <c r="AN123" i="13"/>
  <c r="Z188" i="13"/>
  <c r="AJ188" i="13"/>
  <c r="AP188" i="13"/>
  <c r="AB151" i="13"/>
  <c r="AJ151" i="13"/>
  <c r="AP151" i="13"/>
  <c r="AJ245" i="13"/>
  <c r="X249" i="13"/>
  <c r="AN249" i="13"/>
  <c r="AJ246" i="13"/>
  <c r="X216" i="13"/>
  <c r="AD41" i="13"/>
  <c r="AF216" i="13"/>
  <c r="AJ248" i="13"/>
  <c r="X14" i="13"/>
  <c r="M241" i="13"/>
  <c r="M208" i="13"/>
  <c r="Z21" i="13"/>
  <c r="AB21" i="13"/>
  <c r="V124" i="13"/>
  <c r="R210" i="13"/>
  <c r="R254" i="13"/>
  <c r="AD21" i="13"/>
  <c r="AN21" i="13"/>
  <c r="M210" i="13"/>
  <c r="R170" i="13"/>
  <c r="M146" i="13"/>
  <c r="M161" i="13"/>
  <c r="Z184" i="13"/>
  <c r="AF52" i="13"/>
  <c r="AF92" i="13"/>
  <c r="AR105" i="13"/>
  <c r="Z144" i="13"/>
  <c r="V108" i="13"/>
  <c r="X26" i="13"/>
  <c r="R121" i="13"/>
  <c r="AB145" i="13"/>
  <c r="Z78" i="13"/>
  <c r="X121" i="13"/>
  <c r="AH121" i="13"/>
  <c r="T125" i="13"/>
  <c r="AP108" i="13"/>
  <c r="X173" i="13"/>
  <c r="T91" i="13"/>
  <c r="AF121" i="13"/>
  <c r="AH91" i="13"/>
  <c r="AN105" i="13"/>
  <c r="V48" i="13"/>
  <c r="R78" i="13"/>
  <c r="AH145" i="13"/>
  <c r="Z121" i="13"/>
  <c r="AB121" i="13"/>
  <c r="X182" i="13"/>
  <c r="AD173" i="13"/>
  <c r="AR165" i="13"/>
  <c r="AD138" i="13"/>
  <c r="AR139" i="13"/>
  <c r="P257" i="13"/>
  <c r="AH80" i="13"/>
  <c r="AN80" i="13"/>
  <c r="AJ159" i="13"/>
  <c r="AP159" i="13"/>
  <c r="T111" i="13"/>
  <c r="AB138" i="13"/>
  <c r="T129" i="13"/>
  <c r="P230" i="13"/>
  <c r="V43" i="13"/>
  <c r="AH43" i="13"/>
  <c r="AL117" i="13"/>
  <c r="AR117" i="13"/>
  <c r="AH232" i="13"/>
  <c r="AF217" i="13"/>
  <c r="AH217" i="13"/>
  <c r="R119" i="13"/>
  <c r="M225" i="13"/>
  <c r="M119" i="13"/>
  <c r="M169" i="13"/>
  <c r="M258" i="13"/>
  <c r="M227" i="13"/>
  <c r="M240" i="13"/>
  <c r="AD80" i="13"/>
  <c r="AL80" i="13"/>
  <c r="AN159" i="13"/>
  <c r="V138" i="13"/>
  <c r="AL138" i="13"/>
  <c r="R229" i="13"/>
  <c r="R261" i="13"/>
  <c r="Z43" i="13"/>
  <c r="AF43" i="13"/>
  <c r="AL43" i="13"/>
  <c r="V117" i="13"/>
  <c r="AH117" i="13"/>
  <c r="AN117" i="13"/>
  <c r="AB232" i="13"/>
  <c r="AJ232" i="13"/>
  <c r="AP232" i="13"/>
  <c r="X217" i="13"/>
  <c r="AN217" i="13"/>
  <c r="P201" i="13"/>
  <c r="P259" i="13"/>
  <c r="T237" i="13"/>
  <c r="M257" i="13"/>
  <c r="M215" i="13"/>
  <c r="M102" i="13"/>
  <c r="M85" i="13"/>
  <c r="M168" i="13"/>
  <c r="M237" i="13"/>
  <c r="M238" i="13"/>
  <c r="M259" i="13"/>
  <c r="R95" i="13"/>
  <c r="X138" i="13"/>
  <c r="AJ138" i="13"/>
  <c r="X111" i="13"/>
  <c r="Z58" i="13"/>
  <c r="AN79" i="13"/>
  <c r="AR111" i="13"/>
  <c r="AJ148" i="13"/>
  <c r="AB156" i="13"/>
  <c r="AF111" i="13"/>
  <c r="R80" i="13"/>
  <c r="AN115" i="13"/>
  <c r="AH111" i="13"/>
  <c r="R108" i="13"/>
  <c r="M41" i="13"/>
  <c r="M47" i="13"/>
  <c r="Z111" i="13"/>
  <c r="AL111" i="13"/>
  <c r="X207" i="13"/>
  <c r="AP35" i="13"/>
  <c r="M220" i="13"/>
  <c r="AN104" i="13"/>
  <c r="AN155" i="13"/>
  <c r="AP184" i="13"/>
  <c r="M19" i="13"/>
  <c r="AJ35" i="13"/>
  <c r="AF155" i="13"/>
  <c r="AP125" i="13"/>
  <c r="M249" i="13"/>
  <c r="M28" i="13"/>
  <c r="T82" i="13"/>
  <c r="AF125" i="13"/>
  <c r="AJ184" i="13"/>
  <c r="M260" i="13"/>
  <c r="M246" i="13"/>
  <c r="AN35" i="13"/>
  <c r="AL155" i="13"/>
  <c r="AL184" i="13"/>
  <c r="T252" i="13"/>
  <c r="M23" i="13"/>
  <c r="M213" i="13"/>
  <c r="M245" i="13"/>
  <c r="M114" i="13"/>
  <c r="M194" i="13"/>
  <c r="M250" i="13"/>
  <c r="M20" i="13"/>
  <c r="X184" i="13"/>
  <c r="T184" i="13"/>
  <c r="P54" i="13"/>
  <c r="Z35" i="13"/>
  <c r="AJ98" i="13"/>
  <c r="X155" i="13"/>
  <c r="AD184" i="13"/>
  <c r="M206" i="13"/>
  <c r="M216" i="13"/>
  <c r="M217" i="13"/>
  <c r="BB43" i="13"/>
  <c r="R75" i="13"/>
  <c r="AJ191" i="13"/>
  <c r="M122" i="13"/>
  <c r="M44" i="13"/>
  <c r="M162" i="13"/>
  <c r="Z138" i="13"/>
  <c r="AN138" i="13"/>
  <c r="R27" i="13"/>
  <c r="R159" i="13"/>
  <c r="AH115" i="13"/>
  <c r="AB111" i="13"/>
  <c r="AJ111" i="13"/>
  <c r="AP111" i="13"/>
  <c r="AP148" i="13"/>
  <c r="AD192" i="13"/>
  <c r="R151" i="13"/>
  <c r="M212" i="13"/>
  <c r="M248" i="13"/>
  <c r="M15" i="13"/>
  <c r="M16" i="13"/>
  <c r="M233" i="13"/>
  <c r="M239" i="13"/>
  <c r="M18" i="13"/>
  <c r="AN48" i="13"/>
  <c r="AH138" i="13"/>
  <c r="AR138" i="13"/>
  <c r="V80" i="13"/>
  <c r="R111" i="13"/>
  <c r="R150" i="13"/>
  <c r="Z27" i="13"/>
  <c r="X50" i="13"/>
  <c r="AP115" i="13"/>
  <c r="AD93" i="13"/>
  <c r="Z125" i="13"/>
  <c r="V111" i="13"/>
  <c r="AD111" i="13"/>
  <c r="AN111" i="13"/>
  <c r="AB148" i="13"/>
  <c r="AR148" i="13"/>
  <c r="M123" i="13"/>
  <c r="M177" i="13"/>
  <c r="M235" i="13"/>
  <c r="M14" i="13"/>
  <c r="M64" i="13"/>
  <c r="M218" i="13"/>
  <c r="M252" i="13"/>
  <c r="R206" i="13"/>
  <c r="R218" i="13"/>
  <c r="V156" i="13"/>
  <c r="V35" i="13"/>
  <c r="AB35" i="13"/>
  <c r="AB98" i="13"/>
  <c r="V155" i="13"/>
  <c r="AJ155" i="13"/>
  <c r="AR155" i="13"/>
  <c r="AB184" i="13"/>
  <c r="AF184" i="13"/>
  <c r="M97" i="13"/>
  <c r="M230" i="13"/>
  <c r="M251" i="13"/>
  <c r="M21" i="13"/>
  <c r="M254" i="13"/>
  <c r="M223" i="13"/>
  <c r="M236" i="13"/>
  <c r="M164" i="13"/>
  <c r="AX188" i="13"/>
  <c r="T255" i="13"/>
  <c r="V162" i="13"/>
  <c r="R250" i="13"/>
  <c r="T239" i="13"/>
  <c r="T35" i="13"/>
  <c r="R167" i="13"/>
  <c r="AF35" i="13"/>
  <c r="AB155" i="13"/>
  <c r="X179" i="13"/>
  <c r="AH184" i="13"/>
  <c r="M17" i="13"/>
  <c r="M43" i="13"/>
  <c r="M117" i="13"/>
  <c r="M188" i="13"/>
  <c r="M261" i="13"/>
  <c r="M219" i="13"/>
  <c r="M255" i="13"/>
  <c r="T230" i="13"/>
  <c r="V258" i="13"/>
  <c r="X120" i="13"/>
  <c r="L120" i="13"/>
  <c r="AN156" i="13"/>
  <c r="L156" i="13"/>
  <c r="V170" i="13"/>
  <c r="L170" i="13"/>
  <c r="AL163" i="13"/>
  <c r="AR35" i="13"/>
  <c r="L35" i="13"/>
  <c r="L98" i="13"/>
  <c r="AH155" i="13"/>
  <c r="L155" i="13"/>
  <c r="T158" i="13"/>
  <c r="L158" i="13"/>
  <c r="T54" i="13"/>
  <c r="L54" i="13"/>
  <c r="AR184" i="13"/>
  <c r="L184" i="13"/>
  <c r="M106" i="13"/>
  <c r="L106" i="13"/>
  <c r="M121" i="13"/>
  <c r="L121" i="13"/>
  <c r="L87" i="13"/>
  <c r="L117" i="13"/>
  <c r="L201" i="13"/>
  <c r="L206" i="13"/>
  <c r="L229" i="13"/>
  <c r="V229" i="13"/>
  <c r="L261" i="13"/>
  <c r="L230" i="13"/>
  <c r="BB230" i="13"/>
  <c r="L219" i="13"/>
  <c r="L251" i="13"/>
  <c r="L232" i="13"/>
  <c r="L217" i="13"/>
  <c r="L254" i="13"/>
  <c r="T254" i="13"/>
  <c r="L223" i="13"/>
  <c r="T223" i="13"/>
  <c r="L236" i="13"/>
  <c r="T236" i="13"/>
  <c r="L21" i="13"/>
  <c r="L65" i="13"/>
  <c r="L15" i="13"/>
  <c r="L16" i="13"/>
  <c r="L64" i="13"/>
  <c r="L124" i="13"/>
  <c r="L194" i="13"/>
  <c r="L218" i="13"/>
  <c r="L239" i="13"/>
  <c r="L260" i="13"/>
  <c r="L122" i="13"/>
  <c r="T122" i="13"/>
  <c r="L97" i="13"/>
  <c r="L177" i="13"/>
  <c r="L213" i="13"/>
  <c r="L188" i="13"/>
  <c r="V245" i="13"/>
  <c r="L245" i="13"/>
  <c r="L212" i="13"/>
  <c r="T212" i="13"/>
  <c r="L246" i="13"/>
  <c r="R246" i="13"/>
  <c r="L235" i="13"/>
  <c r="V235" i="13"/>
  <c r="L216" i="13"/>
  <c r="L248" i="13"/>
  <c r="L249" i="13"/>
  <c r="L234" i="13"/>
  <c r="R234" i="13"/>
  <c r="L255" i="13"/>
  <c r="L252" i="13"/>
  <c r="L41" i="13"/>
  <c r="L14" i="13"/>
  <c r="L47" i="13"/>
  <c r="AX47" i="13"/>
  <c r="L44" i="13"/>
  <c r="L114" i="13"/>
  <c r="R114" i="13"/>
  <c r="L162" i="13"/>
  <c r="L233" i="13"/>
  <c r="L250" i="13"/>
  <c r="L220" i="13"/>
  <c r="T220" i="13"/>
  <c r="L18" i="13"/>
  <c r="P227" i="13"/>
  <c r="T84" i="13"/>
  <c r="V242" i="13"/>
  <c r="AR156" i="13"/>
  <c r="AX114" i="13"/>
  <c r="AX205" i="13"/>
  <c r="AJ156" i="13"/>
  <c r="BB45" i="13"/>
  <c r="AX252" i="13"/>
  <c r="AP253" i="13"/>
  <c r="AP255" i="13"/>
  <c r="AL253" i="13"/>
  <c r="AL258" i="13"/>
  <c r="AR253" i="13"/>
  <c r="AJ255" i="13"/>
  <c r="AN145" i="13"/>
  <c r="M66" i="13"/>
  <c r="Z156" i="13"/>
  <c r="AP156" i="13"/>
  <c r="AD35" i="13"/>
  <c r="AH35" i="13"/>
  <c r="Z98" i="13"/>
  <c r="Z155" i="13"/>
  <c r="AD155" i="13"/>
  <c r="AF156" i="13"/>
  <c r="AH156" i="13"/>
  <c r="AL156" i="13"/>
  <c r="AD156" i="13"/>
  <c r="R105" i="13"/>
  <c r="R164" i="13"/>
  <c r="AP157" i="13"/>
  <c r="V62" i="13"/>
  <c r="AF134" i="13"/>
  <c r="AR96" i="13"/>
  <c r="AR81" i="13"/>
  <c r="AH171" i="13"/>
  <c r="AJ160" i="13"/>
  <c r="AR99" i="13"/>
  <c r="AR181" i="13"/>
  <c r="AR191" i="13"/>
  <c r="T159" i="13"/>
  <c r="V199" i="13"/>
  <c r="AP135" i="13"/>
  <c r="AN52" i="13"/>
  <c r="Z52" i="13"/>
  <c r="T52" i="13"/>
  <c r="R52" i="13"/>
  <c r="AP52" i="13"/>
  <c r="AD52" i="13"/>
  <c r="V52" i="13"/>
  <c r="AJ52" i="13"/>
  <c r="AH48" i="13"/>
  <c r="AR48" i="13"/>
  <c r="AL48" i="13"/>
  <c r="AB48" i="13"/>
  <c r="R48" i="13"/>
  <c r="AP48" i="13"/>
  <c r="AD48" i="13"/>
  <c r="Z48" i="13"/>
  <c r="AF176" i="13"/>
  <c r="V176" i="13"/>
  <c r="R176" i="13"/>
  <c r="AP79" i="13"/>
  <c r="AH79" i="13"/>
  <c r="V79" i="13"/>
  <c r="T79" i="13"/>
  <c r="AL79" i="13"/>
  <c r="AF79" i="13"/>
  <c r="X79" i="13"/>
  <c r="R79" i="13"/>
  <c r="AR79" i="13"/>
  <c r="AD79" i="13"/>
  <c r="Z79" i="13"/>
  <c r="P165" i="13"/>
  <c r="AF165" i="13"/>
  <c r="X165" i="13"/>
  <c r="T165" i="13"/>
  <c r="AD165" i="13"/>
  <c r="V165" i="13"/>
  <c r="AH165" i="13"/>
  <c r="Z165" i="13"/>
  <c r="T26" i="13"/>
  <c r="AD26" i="13"/>
  <c r="R26" i="13"/>
  <c r="AR26" i="13"/>
  <c r="Z26" i="13"/>
  <c r="AH26" i="13"/>
  <c r="AB26" i="13"/>
  <c r="AL173" i="13"/>
  <c r="AJ173" i="13"/>
  <c r="V173" i="13"/>
  <c r="AH173" i="13"/>
  <c r="Z173" i="13"/>
  <c r="AP173" i="13"/>
  <c r="AF173" i="13"/>
  <c r="AB173" i="13"/>
  <c r="V78" i="13"/>
  <c r="AJ78" i="13"/>
  <c r="AD78" i="13"/>
  <c r="AB78" i="13"/>
  <c r="T78" i="13"/>
  <c r="AN78" i="13"/>
  <c r="AF78" i="13"/>
  <c r="AL78" i="13"/>
  <c r="X78" i="13"/>
  <c r="AJ91" i="13"/>
  <c r="AL91" i="13"/>
  <c r="AB91" i="13"/>
  <c r="R91" i="13"/>
  <c r="V91" i="13"/>
  <c r="AN91" i="13"/>
  <c r="AF91" i="13"/>
  <c r="Z91" i="13"/>
  <c r="X91" i="13"/>
  <c r="AR91" i="13"/>
  <c r="AN108" i="13"/>
  <c r="AH108" i="13"/>
  <c r="X108" i="13"/>
  <c r="AR108" i="13"/>
  <c r="AF108" i="13"/>
  <c r="AB108" i="13"/>
  <c r="T108" i="13"/>
  <c r="AL108" i="13"/>
  <c r="AD108" i="13"/>
  <c r="AL58" i="13"/>
  <c r="AD58" i="13"/>
  <c r="X58" i="13"/>
  <c r="T58" i="13"/>
  <c r="AP58" i="13"/>
  <c r="AB58" i="13"/>
  <c r="AN58" i="13"/>
  <c r="AH58" i="13"/>
  <c r="V58" i="13"/>
  <c r="R58" i="13"/>
  <c r="R189" i="13"/>
  <c r="AL189" i="13"/>
  <c r="AD189" i="13"/>
  <c r="T189" i="13"/>
  <c r="AJ189" i="13"/>
  <c r="AB189" i="13"/>
  <c r="AH189" i="13"/>
  <c r="Z189" i="13"/>
  <c r="V144" i="13"/>
  <c r="R144" i="13"/>
  <c r="AH144" i="13"/>
  <c r="AF145" i="13"/>
  <c r="X145" i="13"/>
  <c r="V145" i="13"/>
  <c r="AD145" i="13"/>
  <c r="T145" i="13"/>
  <c r="Z145" i="13"/>
  <c r="AD30" i="13"/>
  <c r="AB30" i="13"/>
  <c r="AL30" i="13"/>
  <c r="AF30" i="13"/>
  <c r="AR30" i="13"/>
  <c r="X30" i="13"/>
  <c r="AR147" i="13"/>
  <c r="AH147" i="13"/>
  <c r="AF139" i="13"/>
  <c r="X139" i="13"/>
  <c r="AH139" i="13"/>
  <c r="AD139" i="13"/>
  <c r="V139" i="13"/>
  <c r="R139" i="13"/>
  <c r="AP139" i="13"/>
  <c r="Z139" i="13"/>
  <c r="T139" i="13"/>
  <c r="AJ204" i="13"/>
  <c r="AH204" i="13"/>
  <c r="AB204" i="13"/>
  <c r="X31" i="13"/>
  <c r="AF31" i="13"/>
  <c r="AN31" i="13"/>
  <c r="AR31" i="13"/>
  <c r="Z31" i="13"/>
  <c r="AH31" i="13"/>
  <c r="AJ182" i="13"/>
  <c r="AR182" i="13"/>
  <c r="AR106" i="13"/>
  <c r="AD106" i="13"/>
  <c r="X106" i="13"/>
  <c r="AB106" i="13"/>
  <c r="AP106" i="13"/>
  <c r="AH106" i="13"/>
  <c r="AF106" i="13"/>
  <c r="V106" i="13"/>
  <c r="R106" i="13"/>
  <c r="AH78" i="13"/>
  <c r="T173" i="13"/>
  <c r="Z108" i="13"/>
  <c r="AN173" i="13"/>
  <c r="AB165" i="13"/>
  <c r="AF26" i="13"/>
  <c r="X48" i="13"/>
  <c r="AF189" i="13"/>
  <c r="T176" i="13"/>
  <c r="AF58" i="13"/>
  <c r="AB79" i="13"/>
  <c r="AB139" i="13"/>
  <c r="T204" i="13"/>
  <c r="AL199" i="13"/>
  <c r="Z199" i="13"/>
  <c r="T199" i="13"/>
  <c r="AH199" i="13"/>
  <c r="X199" i="13"/>
  <c r="AN199" i="13"/>
  <c r="AF199" i="13"/>
  <c r="AB199" i="13"/>
  <c r="P199" i="13"/>
  <c r="R199" i="13"/>
  <c r="X105" i="13"/>
  <c r="AP105" i="13"/>
  <c r="T105" i="13"/>
  <c r="AJ105" i="13"/>
  <c r="Z105" i="13"/>
  <c r="AF105" i="13"/>
  <c r="V105" i="13"/>
  <c r="AL105" i="13"/>
  <c r="AH105" i="13"/>
  <c r="AB105" i="13"/>
  <c r="X52" i="13"/>
  <c r="AD91" i="13"/>
  <c r="AD105" i="13"/>
  <c r="T106" i="13"/>
  <c r="AJ108" i="13"/>
  <c r="AP26" i="13"/>
  <c r="AF48" i="13"/>
  <c r="AD199" i="13"/>
  <c r="AJ79" i="13"/>
  <c r="Z106" i="13"/>
  <c r="AL139" i="13"/>
  <c r="AP99" i="13"/>
  <c r="Z81" i="13"/>
  <c r="AD191" i="13"/>
  <c r="V96" i="13"/>
  <c r="AJ181" i="13"/>
  <c r="AD157" i="13"/>
  <c r="AB96" i="13"/>
  <c r="R160" i="13"/>
  <c r="AJ171" i="13"/>
  <c r="AN176" i="13"/>
  <c r="X42" i="13"/>
  <c r="AF118" i="13"/>
  <c r="X73" i="13"/>
  <c r="AJ96" i="13"/>
  <c r="R81" i="13"/>
  <c r="P42" i="13"/>
  <c r="AF81" i="13"/>
  <c r="AR157" i="13"/>
  <c r="Z160" i="13"/>
  <c r="AF62" i="13"/>
  <c r="T42" i="13"/>
  <c r="T166" i="13"/>
  <c r="AD42" i="13"/>
  <c r="AB73" i="13"/>
  <c r="V171" i="13"/>
  <c r="Z181" i="13"/>
  <c r="AF185" i="13"/>
  <c r="AD99" i="13"/>
  <c r="AF160" i="13"/>
  <c r="AH42" i="13"/>
  <c r="AF83" i="13"/>
  <c r="AN73" i="13"/>
  <c r="T160" i="13"/>
  <c r="AF171" i="13"/>
  <c r="AD181" i="13"/>
  <c r="X166" i="13"/>
  <c r="AP185" i="13"/>
  <c r="R118" i="13"/>
  <c r="AH99" i="13"/>
  <c r="Z157" i="13"/>
  <c r="AB62" i="13"/>
  <c r="AD62" i="13"/>
  <c r="Z62" i="13"/>
  <c r="R96" i="13"/>
  <c r="Z42" i="13"/>
  <c r="AF42" i="13"/>
  <c r="X118" i="13"/>
  <c r="AD118" i="13"/>
  <c r="AL118" i="13"/>
  <c r="AD110" i="13"/>
  <c r="V73" i="13"/>
  <c r="AL73" i="13"/>
  <c r="AP73" i="13"/>
  <c r="V185" i="13"/>
  <c r="V22" i="13"/>
  <c r="T181" i="13"/>
  <c r="AF96" i="13"/>
  <c r="AP96" i="13"/>
  <c r="T81" i="13"/>
  <c r="X171" i="13"/>
  <c r="AL171" i="13"/>
  <c r="AN171" i="13"/>
  <c r="V181" i="13"/>
  <c r="AF181" i="13"/>
  <c r="AN181" i="13"/>
  <c r="AF166" i="13"/>
  <c r="AB185" i="13"/>
  <c r="AD185" i="13"/>
  <c r="Z99" i="13"/>
  <c r="AF99" i="13"/>
  <c r="AL99" i="13"/>
  <c r="X81" i="13"/>
  <c r="AH81" i="13"/>
  <c r="V157" i="13"/>
  <c r="AF157" i="13"/>
  <c r="AJ157" i="13"/>
  <c r="X160" i="13"/>
  <c r="AL160" i="13"/>
  <c r="AN160" i="13"/>
  <c r="T96" i="13"/>
  <c r="AN62" i="13"/>
  <c r="T62" i="13"/>
  <c r="X62" i="13"/>
  <c r="T171" i="13"/>
  <c r="V42" i="13"/>
  <c r="Z118" i="13"/>
  <c r="AH118" i="13"/>
  <c r="AD73" i="13"/>
  <c r="AH73" i="13"/>
  <c r="AN172" i="13"/>
  <c r="T157" i="13"/>
  <c r="R171" i="13"/>
  <c r="R185" i="13"/>
  <c r="R166" i="13"/>
  <c r="X96" i="13"/>
  <c r="AH96" i="13"/>
  <c r="AF113" i="13"/>
  <c r="T99" i="13"/>
  <c r="T118" i="13"/>
  <c r="R157" i="13"/>
  <c r="AB171" i="13"/>
  <c r="AR171" i="13"/>
  <c r="X181" i="13"/>
  <c r="AH181" i="13"/>
  <c r="Z166" i="13"/>
  <c r="AD166" i="13"/>
  <c r="X185" i="13"/>
  <c r="AL185" i="13"/>
  <c r="AN185" i="13"/>
  <c r="V99" i="13"/>
  <c r="AB99" i="13"/>
  <c r="AN99" i="13"/>
  <c r="V81" i="13"/>
  <c r="AB81" i="13"/>
  <c r="X157" i="13"/>
  <c r="AH157" i="13"/>
  <c r="AN157" i="13"/>
  <c r="AD160" i="13"/>
  <c r="AP160" i="13"/>
  <c r="AH62" i="13"/>
  <c r="R62" i="13"/>
  <c r="R172" i="13"/>
  <c r="R22" i="13"/>
  <c r="AB42" i="13"/>
  <c r="AB118" i="13"/>
  <c r="AP118" i="13"/>
  <c r="Z73" i="13"/>
  <c r="AF73" i="13"/>
  <c r="AJ73" i="13"/>
  <c r="V160" i="13"/>
  <c r="Z96" i="13"/>
  <c r="AD96" i="13"/>
  <c r="R73" i="13"/>
  <c r="R181" i="13"/>
  <c r="Z171" i="13"/>
  <c r="AD171" i="13"/>
  <c r="AB181" i="13"/>
  <c r="AL181" i="13"/>
  <c r="AB166" i="13"/>
  <c r="AH166" i="13"/>
  <c r="Z185" i="13"/>
  <c r="AH185" i="13"/>
  <c r="AR185" i="13"/>
  <c r="R99" i="13"/>
  <c r="X99" i="13"/>
  <c r="AD81" i="13"/>
  <c r="AB157" i="13"/>
  <c r="AB160" i="13"/>
  <c r="AH160" i="13"/>
  <c r="AH191" i="13"/>
  <c r="X191" i="13"/>
  <c r="AP191" i="13"/>
  <c r="AB191" i="13"/>
  <c r="AF191" i="13"/>
  <c r="Z191" i="13"/>
  <c r="Z176" i="13"/>
  <c r="M157" i="13"/>
  <c r="AB175" i="13"/>
  <c r="M62" i="13"/>
  <c r="M49" i="13"/>
  <c r="V134" i="13"/>
  <c r="M96" i="13"/>
  <c r="M136" i="13"/>
  <c r="M197" i="13"/>
  <c r="M81" i="13"/>
  <c r="M171" i="13"/>
  <c r="M160" i="13"/>
  <c r="M68" i="13"/>
  <c r="M137" i="13"/>
  <c r="M99" i="13"/>
  <c r="M181" i="13"/>
  <c r="M69" i="13"/>
  <c r="M100" i="13"/>
  <c r="M191" i="13"/>
  <c r="M152" i="13"/>
  <c r="M159" i="13"/>
  <c r="M25" i="13"/>
  <c r="M202" i="13"/>
  <c r="AD50" i="13"/>
  <c r="R59" i="13"/>
  <c r="M115" i="13"/>
  <c r="M111" i="13"/>
  <c r="M186" i="13"/>
  <c r="M27" i="13"/>
  <c r="M128" i="13"/>
  <c r="M179" i="13"/>
  <c r="M32" i="13"/>
  <c r="M198" i="13"/>
  <c r="M74" i="13"/>
  <c r="M151" i="13"/>
  <c r="M196" i="13"/>
  <c r="M38" i="13"/>
  <c r="M129" i="13"/>
  <c r="M29" i="13"/>
  <c r="M120" i="13"/>
  <c r="M156" i="13"/>
  <c r="M170" i="13"/>
  <c r="M46" i="13"/>
  <c r="M35" i="13"/>
  <c r="M149" i="13"/>
  <c r="M132" i="13"/>
  <c r="M90" i="13"/>
  <c r="M155" i="13"/>
  <c r="M158" i="13"/>
  <c r="M94" i="13"/>
  <c r="M54" i="13"/>
  <c r="M77" i="13"/>
  <c r="M184" i="13"/>
  <c r="M195" i="13"/>
  <c r="M39" i="13"/>
  <c r="M51" i="13"/>
  <c r="M125" i="13"/>
  <c r="M148" i="13"/>
  <c r="M52" i="13"/>
  <c r="M176" i="13"/>
  <c r="M57" i="13"/>
  <c r="M105" i="13"/>
  <c r="M79" i="13"/>
  <c r="AH207" i="13"/>
  <c r="M133" i="13"/>
  <c r="M91" i="13"/>
  <c r="M108" i="13"/>
  <c r="M153" i="13"/>
  <c r="M58" i="13"/>
  <c r="M144" i="13"/>
  <c r="M135" i="13"/>
  <c r="M145" i="13"/>
  <c r="M30" i="13"/>
  <c r="V30" i="13"/>
  <c r="M147" i="13"/>
  <c r="M139" i="13"/>
  <c r="M204" i="13"/>
  <c r="M31" i="13"/>
  <c r="M140" i="13"/>
  <c r="M190" i="13"/>
  <c r="M199" i="13"/>
  <c r="M200" i="13"/>
  <c r="AP24" i="13"/>
  <c r="X24" i="13"/>
  <c r="T24" i="13"/>
  <c r="AN24" i="13"/>
  <c r="AH24" i="13"/>
  <c r="AB24" i="13"/>
  <c r="R24" i="13"/>
  <c r="AR24" i="13"/>
  <c r="AD24" i="13"/>
  <c r="Z24" i="13"/>
  <c r="AJ113" i="13"/>
  <c r="AD113" i="13"/>
  <c r="R113" i="13"/>
  <c r="AH113" i="13"/>
  <c r="Z113" i="13"/>
  <c r="T113" i="13"/>
  <c r="AL113" i="13"/>
  <c r="AB113" i="13"/>
  <c r="X113" i="13"/>
  <c r="M174" i="13"/>
  <c r="AP174" i="13"/>
  <c r="AD174" i="13"/>
  <c r="Z174" i="13"/>
  <c r="V174" i="13"/>
  <c r="AF174" i="13"/>
  <c r="AJ174" i="13"/>
  <c r="X174" i="13"/>
  <c r="M203" i="13"/>
  <c r="Z203" i="13"/>
  <c r="V203" i="13"/>
  <c r="M142" i="13"/>
  <c r="AN142" i="13"/>
  <c r="AH142" i="13"/>
  <c r="AB142" i="13"/>
  <c r="R142" i="13"/>
  <c r="T142" i="13"/>
  <c r="AD142" i="13"/>
  <c r="Z142" i="13"/>
  <c r="V142" i="13"/>
  <c r="AJ142" i="13"/>
  <c r="AF142" i="13"/>
  <c r="X116" i="13"/>
  <c r="AB116" i="13"/>
  <c r="T116" i="13"/>
  <c r="R112" i="13"/>
  <c r="AJ112" i="13"/>
  <c r="AB112" i="13"/>
  <c r="AD112" i="13"/>
  <c r="Z112" i="13"/>
  <c r="AR112" i="13"/>
  <c r="AH112" i="13"/>
  <c r="X112" i="13"/>
  <c r="M60" i="13"/>
  <c r="AD60" i="13"/>
  <c r="P60" i="13"/>
  <c r="R83" i="13"/>
  <c r="AD83" i="13"/>
  <c r="AP83" i="13"/>
  <c r="AB83" i="13"/>
  <c r="Z83" i="13"/>
  <c r="AH83" i="13"/>
  <c r="V83" i="13"/>
  <c r="M192" i="13"/>
  <c r="AP192" i="13"/>
  <c r="AB192" i="13"/>
  <c r="X192" i="13"/>
  <c r="AF192" i="13"/>
  <c r="Z192" i="13"/>
  <c r="V192" i="13"/>
  <c r="AN192" i="13"/>
  <c r="AH192" i="13"/>
  <c r="R192" i="13"/>
  <c r="M22" i="13"/>
  <c r="AH22" i="13"/>
  <c r="Z22" i="13"/>
  <c r="AD22" i="13"/>
  <c r="AB22" i="13"/>
  <c r="AF22" i="13"/>
  <c r="T22" i="13"/>
  <c r="M172" i="13"/>
  <c r="AD172" i="13"/>
  <c r="Z172" i="13"/>
  <c r="V172" i="13"/>
  <c r="AH172" i="13"/>
  <c r="AP172" i="13"/>
  <c r="X172" i="13"/>
  <c r="T174" i="13"/>
  <c r="AF24" i="13"/>
  <c r="Z116" i="13"/>
  <c r="V112" i="13"/>
  <c r="X142" i="13"/>
  <c r="AF203" i="13"/>
  <c r="AB174" i="13"/>
  <c r="AN109" i="13"/>
  <c r="M175" i="13"/>
  <c r="T175" i="13"/>
  <c r="AF175" i="13"/>
  <c r="X175" i="13"/>
  <c r="R175" i="13"/>
  <c r="AD175" i="13"/>
  <c r="V175" i="13"/>
  <c r="AH175" i="13"/>
  <c r="Z175" i="13"/>
  <c r="M134" i="13"/>
  <c r="X134" i="13"/>
  <c r="R134" i="13"/>
  <c r="T134" i="13"/>
  <c r="AH134" i="13"/>
  <c r="AB134" i="13"/>
  <c r="AD134" i="13"/>
  <c r="Z134" i="13"/>
  <c r="M93" i="13"/>
  <c r="AB93" i="13"/>
  <c r="AH93" i="13"/>
  <c r="X93" i="13"/>
  <c r="T93" i="13"/>
  <c r="AF93" i="13"/>
  <c r="V93" i="13"/>
  <c r="M207" i="13"/>
  <c r="AF207" i="13"/>
  <c r="AB207" i="13"/>
  <c r="V207" i="13"/>
  <c r="AD207" i="13"/>
  <c r="P207" i="13"/>
  <c r="Z207" i="13"/>
  <c r="M50" i="13"/>
  <c r="AB50" i="13"/>
  <c r="AH50" i="13"/>
  <c r="V50" i="13"/>
  <c r="AF50" i="13"/>
  <c r="Z50" i="13"/>
  <c r="R50" i="13"/>
  <c r="T50" i="13"/>
  <c r="M59" i="13"/>
  <c r="Z59" i="13"/>
  <c r="T59" i="13"/>
  <c r="V59" i="13"/>
  <c r="AF59" i="13"/>
  <c r="X59" i="13"/>
  <c r="AB59" i="13"/>
  <c r="M104" i="13"/>
  <c r="AF104" i="13"/>
  <c r="R104" i="13"/>
  <c r="V104" i="13"/>
  <c r="T104" i="13"/>
  <c r="AB104" i="13"/>
  <c r="AD104" i="13"/>
  <c r="Z104" i="13"/>
  <c r="AB143" i="13"/>
  <c r="X143" i="13"/>
  <c r="M71" i="13"/>
  <c r="R71" i="13"/>
  <c r="AF112" i="13"/>
  <c r="AB172" i="13"/>
  <c r="R174" i="13"/>
  <c r="T192" i="13"/>
  <c r="X104" i="13"/>
  <c r="AH174" i="13"/>
  <c r="AH59" i="13"/>
  <c r="X83" i="13"/>
  <c r="AL112" i="13"/>
  <c r="AF172" i="13"/>
  <c r="T207" i="13"/>
  <c r="T172" i="13"/>
  <c r="X22" i="13"/>
  <c r="Z93" i="13"/>
  <c r="AH104" i="13"/>
  <c r="AH143" i="13"/>
  <c r="AN174" i="13"/>
  <c r="M189" i="13"/>
  <c r="V189" i="13"/>
  <c r="M24" i="13"/>
  <c r="V24" i="13"/>
  <c r="M113" i="13"/>
  <c r="V113" i="13"/>
  <c r="M109" i="13"/>
  <c r="M116" i="13"/>
  <c r="M112" i="13"/>
  <c r="T112" i="13"/>
  <c r="M83" i="13"/>
  <c r="T83" i="13"/>
  <c r="M73" i="13"/>
  <c r="T73" i="13"/>
  <c r="M138" i="13"/>
  <c r="M80" i="13"/>
  <c r="T80" i="13"/>
  <c r="M26" i="13"/>
  <c r="V26" i="13"/>
  <c r="M180" i="13"/>
  <c r="M82" i="13"/>
  <c r="M55" i="13"/>
  <c r="R55" i="13"/>
  <c r="M75" i="13"/>
  <c r="T75" i="13"/>
  <c r="M165" i="13"/>
  <c r="R165" i="13"/>
  <c r="M173" i="13"/>
  <c r="R173" i="13"/>
  <c r="M42" i="13"/>
  <c r="R42" i="13"/>
  <c r="M67" i="13"/>
  <c r="V67" i="13"/>
  <c r="M150" i="13"/>
  <c r="V150" i="13"/>
  <c r="M118" i="13"/>
  <c r="V118" i="13"/>
  <c r="M48" i="13"/>
  <c r="T48" i="13"/>
  <c r="M166" i="13"/>
  <c r="V166" i="13"/>
  <c r="M167" i="13"/>
  <c r="T167" i="13"/>
  <c r="M185" i="13"/>
  <c r="T185" i="13"/>
  <c r="M183" i="13"/>
  <c r="M78" i="13"/>
  <c r="AH208" i="13"/>
  <c r="AL208" i="13"/>
  <c r="V208" i="13"/>
  <c r="AJ207" i="13"/>
  <c r="Z208" i="13"/>
  <c r="T208" i="13"/>
  <c r="R208" i="13"/>
  <c r="AB208" i="13"/>
  <c r="AF208" i="13"/>
  <c r="AD208" i="13"/>
  <c r="AN179" i="13"/>
  <c r="AB179" i="13"/>
  <c r="V179" i="13"/>
  <c r="AH179" i="13"/>
  <c r="X176" i="13"/>
  <c r="AD176" i="13"/>
  <c r="AR176" i="13"/>
  <c r="AB176" i="13"/>
  <c r="AH176" i="13"/>
  <c r="AD120" i="13"/>
  <c r="AR120" i="13"/>
  <c r="AF120" i="13"/>
  <c r="R120" i="13"/>
  <c r="V120" i="13"/>
  <c r="Z120" i="13"/>
  <c r="AH120" i="13"/>
  <c r="Z88" i="13"/>
  <c r="T201" i="13"/>
  <c r="AF179" i="13"/>
  <c r="Z179" i="13"/>
  <c r="AD179" i="13"/>
  <c r="X168" i="13"/>
  <c r="AH168" i="13"/>
  <c r="AP168" i="13"/>
  <c r="AB168" i="13"/>
  <c r="R168" i="13"/>
  <c r="AF168" i="13"/>
  <c r="AP60" i="13"/>
  <c r="X60" i="13"/>
  <c r="AH60" i="13"/>
  <c r="AB60" i="13"/>
  <c r="V88" i="13"/>
  <c r="AH89" i="13"/>
  <c r="T89" i="13"/>
  <c r="X89" i="13"/>
  <c r="V89" i="13"/>
  <c r="T147" i="13"/>
  <c r="AB144" i="13"/>
  <c r="Z205" i="13"/>
  <c r="AF205" i="13"/>
  <c r="T144" i="13"/>
  <c r="R147" i="13"/>
  <c r="Z147" i="13"/>
  <c r="AD147" i="13"/>
  <c r="R203" i="13"/>
  <c r="AB203" i="13"/>
  <c r="T148" i="13"/>
  <c r="R135" i="13"/>
  <c r="R205" i="13"/>
  <c r="Z135" i="13"/>
  <c r="AF148" i="13"/>
  <c r="V60" i="13"/>
  <c r="T60" i="13"/>
  <c r="Z60" i="13"/>
  <c r="AB88" i="13"/>
  <c r="AD88" i="13"/>
  <c r="AH88" i="13"/>
  <c r="AF89" i="13"/>
  <c r="R89" i="13"/>
  <c r="AL89" i="13"/>
  <c r="AF144" i="13"/>
  <c r="AB205" i="13"/>
  <c r="V147" i="13"/>
  <c r="AF147" i="13"/>
  <c r="AH203" i="13"/>
  <c r="AJ203" i="13"/>
  <c r="V205" i="13"/>
  <c r="AD135" i="13"/>
  <c r="Z148" i="13"/>
  <c r="AD148" i="13"/>
  <c r="R60" i="13"/>
  <c r="AF60" i="13"/>
  <c r="AF88" i="13"/>
  <c r="R88" i="13"/>
  <c r="X88" i="13"/>
  <c r="T88" i="13"/>
  <c r="AB89" i="13"/>
  <c r="T203" i="13"/>
  <c r="R148" i="13"/>
  <c r="X144" i="13"/>
  <c r="AD144" i="13"/>
  <c r="AH205" i="13"/>
  <c r="X147" i="13"/>
  <c r="X203" i="13"/>
  <c r="AD203" i="13"/>
  <c r="X205" i="13"/>
  <c r="X148" i="13"/>
  <c r="AH148" i="13"/>
  <c r="AF135" i="13"/>
  <c r="X135" i="13"/>
  <c r="AH135" i="13"/>
  <c r="T135" i="13"/>
  <c r="V135" i="13"/>
  <c r="AB135" i="13"/>
  <c r="AN135" i="13"/>
  <c r="V125" i="13"/>
  <c r="AB125" i="13"/>
  <c r="X125" i="13"/>
  <c r="AH125" i="13"/>
  <c r="R125" i="13"/>
  <c r="AD125" i="13"/>
  <c r="AH49" i="13"/>
  <c r="AF49" i="13"/>
  <c r="AD49" i="13"/>
  <c r="AB49" i="13"/>
  <c r="X49" i="13"/>
  <c r="Z49" i="13"/>
  <c r="T49" i="13"/>
  <c r="V49" i="13"/>
  <c r="R49" i="13"/>
  <c r="AL136" i="13"/>
  <c r="AD136" i="13"/>
  <c r="AH136" i="13"/>
  <c r="AF136" i="13"/>
  <c r="AB136" i="13"/>
  <c r="Z136" i="13"/>
  <c r="X136" i="13"/>
  <c r="V136" i="13"/>
  <c r="T136" i="13"/>
  <c r="R136" i="13"/>
  <c r="AH190" i="13"/>
  <c r="Z190" i="13"/>
  <c r="AR128" i="13"/>
  <c r="AJ128" i="13"/>
  <c r="AD128" i="13"/>
  <c r="AH128" i="13"/>
  <c r="AF128" i="13"/>
  <c r="AB128" i="13"/>
  <c r="Z128" i="13"/>
  <c r="X128" i="13"/>
  <c r="V128" i="13"/>
  <c r="R128" i="13"/>
  <c r="T128" i="13"/>
  <c r="AH198" i="13"/>
  <c r="AD198" i="13"/>
  <c r="AF198" i="13"/>
  <c r="AB198" i="13"/>
  <c r="Z198" i="13"/>
  <c r="X198" i="13"/>
  <c r="V198" i="13"/>
  <c r="T198" i="13"/>
  <c r="R198" i="13"/>
  <c r="AL64" i="13"/>
  <c r="AH64" i="13"/>
  <c r="AD64" i="13"/>
  <c r="AF64" i="13"/>
  <c r="AB64" i="13"/>
  <c r="Z64" i="13"/>
  <c r="X64" i="13"/>
  <c r="T64" i="13"/>
  <c r="V64" i="13"/>
  <c r="R64" i="13"/>
  <c r="R130" i="13"/>
  <c r="AR65" i="13"/>
  <c r="AH65" i="13"/>
  <c r="AB65" i="13"/>
  <c r="AF65" i="13"/>
  <c r="AD65" i="13"/>
  <c r="Z65" i="13"/>
  <c r="V65" i="13"/>
  <c r="X65" i="13"/>
  <c r="T65" i="13"/>
  <c r="R65" i="13"/>
  <c r="AD140" i="13"/>
  <c r="AH140" i="13"/>
  <c r="AF140" i="13"/>
  <c r="AB140" i="13"/>
  <c r="X140" i="13"/>
  <c r="Z140" i="13"/>
  <c r="V140" i="13"/>
  <c r="T140" i="13"/>
  <c r="R140" i="13"/>
  <c r="AP202" i="13"/>
  <c r="AH202" i="13"/>
  <c r="AD202" i="13"/>
  <c r="AF202" i="13"/>
  <c r="X202" i="13"/>
  <c r="AB202" i="13"/>
  <c r="Z202" i="13"/>
  <c r="T202" i="13"/>
  <c r="R202" i="13"/>
  <c r="AH152" i="13"/>
  <c r="AF152" i="13"/>
  <c r="AD152" i="13"/>
  <c r="Z152" i="13"/>
  <c r="AB152" i="13"/>
  <c r="R152" i="13"/>
  <c r="X152" i="13"/>
  <c r="V152" i="13"/>
  <c r="T152" i="13"/>
  <c r="AF195" i="13"/>
  <c r="AD195" i="13"/>
  <c r="AH195" i="13"/>
  <c r="AB195" i="13"/>
  <c r="Z195" i="13"/>
  <c r="X195" i="13"/>
  <c r="T195" i="13"/>
  <c r="V195" i="13"/>
  <c r="R195" i="13"/>
  <c r="AH53" i="13"/>
  <c r="V53" i="13"/>
  <c r="T53" i="13"/>
  <c r="AN149" i="13"/>
  <c r="AH149" i="13"/>
  <c r="AF149" i="13"/>
  <c r="AD149" i="13"/>
  <c r="AB149" i="13"/>
  <c r="X149" i="13"/>
  <c r="V149" i="13"/>
  <c r="Z149" i="13"/>
  <c r="T149" i="13"/>
  <c r="R149" i="13"/>
  <c r="AL137" i="13"/>
  <c r="AH137" i="13"/>
  <c r="AB137" i="13"/>
  <c r="AF137" i="13"/>
  <c r="AD137" i="13"/>
  <c r="Z137" i="13"/>
  <c r="X137" i="13"/>
  <c r="R137" i="13"/>
  <c r="V137" i="13"/>
  <c r="T137" i="13"/>
  <c r="AR25" i="13"/>
  <c r="AH25" i="13"/>
  <c r="AF25" i="13"/>
  <c r="AD25" i="13"/>
  <c r="AB25" i="13"/>
  <c r="V25" i="13"/>
  <c r="Z25" i="13"/>
  <c r="X25" i="13"/>
  <c r="T25" i="13"/>
  <c r="R25" i="13"/>
  <c r="AB178" i="13"/>
  <c r="T178" i="13"/>
  <c r="AP200" i="13"/>
  <c r="AN200" i="13"/>
  <c r="AF200" i="13"/>
  <c r="AH200" i="13"/>
  <c r="AB200" i="13"/>
  <c r="Z200" i="13"/>
  <c r="R200" i="13"/>
  <c r="X200" i="13"/>
  <c r="V200" i="13"/>
  <c r="T200" i="13"/>
  <c r="AL133" i="13"/>
  <c r="AF133" i="13"/>
  <c r="AD133" i="13"/>
  <c r="AH133" i="13"/>
  <c r="X133" i="13"/>
  <c r="V133" i="13"/>
  <c r="Z133" i="13"/>
  <c r="AB133" i="13"/>
  <c r="T133" i="13"/>
  <c r="R133" i="13"/>
  <c r="AR153" i="13"/>
  <c r="AJ153" i="13"/>
  <c r="AH153" i="13"/>
  <c r="AF153" i="13"/>
  <c r="AD153" i="13"/>
  <c r="Z153" i="13"/>
  <c r="AB153" i="13"/>
  <c r="X153" i="13"/>
  <c r="R153" i="13"/>
  <c r="V153" i="13"/>
  <c r="T153" i="13"/>
  <c r="AH197" i="13"/>
  <c r="AF197" i="13"/>
  <c r="AD197" i="13"/>
  <c r="AB197" i="13"/>
  <c r="Z197" i="13"/>
  <c r="T197" i="13"/>
  <c r="X197" i="13"/>
  <c r="V197" i="13"/>
  <c r="R197" i="13"/>
  <c r="AN29" i="13"/>
  <c r="AH29" i="13"/>
  <c r="AB29" i="13"/>
  <c r="AF29" i="13"/>
  <c r="AD29" i="13"/>
  <c r="V29" i="13"/>
  <c r="X29" i="13"/>
  <c r="Z29" i="13"/>
  <c r="R29" i="13"/>
  <c r="T29" i="13"/>
  <c r="AJ132" i="13"/>
  <c r="AH132" i="13"/>
  <c r="AF132" i="13"/>
  <c r="AD132" i="13"/>
  <c r="X132" i="13"/>
  <c r="Z132" i="13"/>
  <c r="AB132" i="13"/>
  <c r="T132" i="13"/>
  <c r="V132" i="13"/>
  <c r="R132" i="13"/>
  <c r="AH186" i="13"/>
  <c r="AD186" i="13"/>
  <c r="AF186" i="13"/>
  <c r="X186" i="13"/>
  <c r="AB186" i="13"/>
  <c r="Z186" i="13"/>
  <c r="T186" i="13"/>
  <c r="R186" i="13"/>
  <c r="V186" i="13"/>
  <c r="AD37" i="13"/>
  <c r="V37" i="13"/>
  <c r="T37" i="13"/>
  <c r="R37" i="13"/>
  <c r="AL194" i="13"/>
  <c r="AH194" i="13"/>
  <c r="AD194" i="13"/>
  <c r="AF194" i="13"/>
  <c r="AJ194" i="13"/>
  <c r="X194" i="13"/>
  <c r="AB194" i="13"/>
  <c r="Z194" i="13"/>
  <c r="T194" i="13"/>
  <c r="R194" i="13"/>
  <c r="V194" i="13"/>
  <c r="AN77" i="13"/>
  <c r="AJ77" i="13"/>
  <c r="AH77" i="13"/>
  <c r="AF77" i="13"/>
  <c r="AD77" i="13"/>
  <c r="AB77" i="13"/>
  <c r="X77" i="13"/>
  <c r="Z77" i="13"/>
  <c r="T77" i="13"/>
  <c r="R77" i="13"/>
  <c r="V77" i="13"/>
  <c r="AH177" i="13"/>
  <c r="AF177" i="13"/>
  <c r="AD177" i="13"/>
  <c r="Z177" i="13"/>
  <c r="AB177" i="13"/>
  <c r="X177" i="13"/>
  <c r="R177" i="13"/>
  <c r="V177" i="13"/>
  <c r="T177" i="13"/>
  <c r="AH102" i="13"/>
  <c r="AF102" i="13"/>
  <c r="AL102" i="13"/>
  <c r="AD102" i="13"/>
  <c r="AB102" i="13"/>
  <c r="AR102" i="13"/>
  <c r="R102" i="13"/>
  <c r="AJ102" i="13"/>
  <c r="Z102" i="13"/>
  <c r="X102" i="13"/>
  <c r="V102" i="13"/>
  <c r="T102" i="13"/>
  <c r="Z101" i="13"/>
  <c r="X97" i="13"/>
  <c r="AB97" i="13"/>
  <c r="AH69" i="13"/>
  <c r="V69" i="13"/>
  <c r="AD69" i="13"/>
  <c r="AB69" i="13"/>
  <c r="X69" i="13"/>
  <c r="Z69" i="13"/>
  <c r="AF69" i="13"/>
  <c r="T69" i="13"/>
  <c r="R69" i="13"/>
  <c r="AH68" i="13"/>
  <c r="AB68" i="13"/>
  <c r="Z68" i="13"/>
  <c r="R68" i="13"/>
  <c r="AD68" i="13"/>
  <c r="V68" i="13"/>
  <c r="AF68" i="13"/>
  <c r="X68" i="13"/>
  <c r="T68" i="13"/>
  <c r="AH66" i="13"/>
  <c r="AF66" i="13"/>
  <c r="X66" i="13"/>
  <c r="V66" i="13"/>
  <c r="T66" i="13"/>
  <c r="AL66" i="13"/>
  <c r="AD66" i="13"/>
  <c r="Z66" i="13"/>
  <c r="AB66" i="13"/>
  <c r="R66" i="13"/>
  <c r="Z63" i="13"/>
  <c r="AH63" i="13"/>
  <c r="AN57" i="13"/>
  <c r="AH57" i="13"/>
  <c r="V57" i="13"/>
  <c r="AP57" i="13"/>
  <c r="AD57" i="13"/>
  <c r="Z57" i="13"/>
  <c r="AB57" i="13"/>
  <c r="X57" i="13"/>
  <c r="T57" i="13"/>
  <c r="R57" i="13"/>
  <c r="AF57" i="13"/>
  <c r="AD56" i="13"/>
  <c r="T56" i="13"/>
  <c r="R56" i="13"/>
  <c r="V56" i="13"/>
  <c r="AF56" i="13"/>
  <c r="Z51" i="13"/>
  <c r="X51" i="13"/>
  <c r="R51" i="13"/>
  <c r="AB51" i="13"/>
  <c r="AR51" i="13"/>
  <c r="AH51" i="13"/>
  <c r="AF51" i="13"/>
  <c r="AD51" i="13"/>
  <c r="V51" i="13"/>
  <c r="T51" i="13"/>
  <c r="AL38" i="13"/>
  <c r="AH38" i="13"/>
  <c r="Z38" i="13"/>
  <c r="R38" i="13"/>
  <c r="AB38" i="13"/>
  <c r="AF38" i="13"/>
  <c r="AD38" i="13"/>
  <c r="X38" i="13"/>
  <c r="V38" i="13"/>
  <c r="T38" i="13"/>
  <c r="AB33" i="13"/>
  <c r="V33" i="13"/>
  <c r="AD33" i="13"/>
  <c r="X33" i="13"/>
  <c r="R33" i="13"/>
  <c r="AP33" i="13"/>
  <c r="Z33" i="13"/>
  <c r="M12" i="13"/>
  <c r="Z80" i="13"/>
  <c r="AP80" i="13"/>
  <c r="X80" i="13"/>
  <c r="AJ80" i="13"/>
  <c r="Z47" i="13"/>
  <c r="AB47" i="13"/>
  <c r="AR47" i="13"/>
  <c r="AJ47" i="13"/>
  <c r="AP47" i="13"/>
  <c r="X47" i="13"/>
  <c r="R47" i="13"/>
  <c r="AH47" i="13"/>
  <c r="Z14" i="13"/>
  <c r="AR14" i="13"/>
  <c r="AJ14" i="13"/>
  <c r="AH14" i="13"/>
  <c r="AN14" i="13"/>
  <c r="V14" i="13"/>
  <c r="AF74" i="13"/>
  <c r="Z74" i="13"/>
  <c r="AB74" i="13"/>
  <c r="AP74" i="13"/>
  <c r="AD74" i="13"/>
  <c r="AR74" i="13"/>
  <c r="T74" i="13"/>
  <c r="AH74" i="13"/>
  <c r="AN74" i="13"/>
  <c r="R74" i="13"/>
  <c r="V74" i="13"/>
  <c r="AD92" i="13"/>
  <c r="AJ92" i="13"/>
  <c r="Z214" i="13"/>
  <c r="AH214" i="13"/>
  <c r="V214" i="13"/>
  <c r="AN214" i="13"/>
  <c r="AF146" i="13"/>
  <c r="AJ146" i="13"/>
  <c r="AN146" i="13"/>
  <c r="AB146" i="13"/>
  <c r="AP146" i="13"/>
  <c r="X146" i="13"/>
  <c r="AD146" i="13"/>
  <c r="T146" i="13"/>
  <c r="AH146" i="13"/>
  <c r="AF150" i="13"/>
  <c r="AR150" i="13"/>
  <c r="AJ150" i="13"/>
  <c r="AN150" i="13"/>
  <c r="Z150" i="13"/>
  <c r="AB150" i="13"/>
  <c r="AP150" i="13"/>
  <c r="X150" i="13"/>
  <c r="T168" i="13"/>
  <c r="V168" i="13"/>
  <c r="AH196" i="13"/>
  <c r="AF196" i="13"/>
  <c r="AN196" i="13"/>
  <c r="Z204" i="13"/>
  <c r="AF138" i="13"/>
  <c r="AP138" i="13"/>
  <c r="T138" i="13"/>
  <c r="Z159" i="13"/>
  <c r="AR159" i="13"/>
  <c r="AH159" i="13"/>
  <c r="AD31" i="13"/>
  <c r="T31" i="13"/>
  <c r="V31" i="13"/>
  <c r="AL107" i="13"/>
  <c r="Z107" i="13"/>
  <c r="R107" i="13"/>
  <c r="V107" i="13"/>
  <c r="AR107" i="13"/>
  <c r="T107" i="13"/>
  <c r="AN107" i="13"/>
  <c r="AL169" i="13"/>
  <c r="Z169" i="13"/>
  <c r="AP169" i="13"/>
  <c r="AD169" i="13"/>
  <c r="AR169" i="13"/>
  <c r="AH169" i="13"/>
  <c r="AN169" i="13"/>
  <c r="V169" i="13"/>
  <c r="AF169" i="13"/>
  <c r="AB169" i="13"/>
  <c r="AJ169" i="13"/>
  <c r="AB201" i="13"/>
  <c r="AD205" i="13"/>
  <c r="AR205" i="13"/>
  <c r="AL23" i="13"/>
  <c r="AF23" i="13"/>
  <c r="AB23" i="13"/>
  <c r="AP23" i="13"/>
  <c r="X23" i="13"/>
  <c r="AR23" i="13"/>
  <c r="T23" i="13"/>
  <c r="AN23" i="13"/>
  <c r="P23" i="13"/>
  <c r="AH23" i="13"/>
  <c r="AB147" i="13"/>
  <c r="AD18" i="13"/>
  <c r="AH18" i="13"/>
  <c r="V18" i="13"/>
  <c r="AB18" i="13"/>
  <c r="X18" i="13"/>
  <c r="AR18" i="13"/>
  <c r="T18" i="13"/>
  <c r="AN18" i="13"/>
  <c r="AF114" i="13"/>
  <c r="AR114" i="13"/>
  <c r="AJ114" i="13"/>
  <c r="AN114" i="13"/>
  <c r="AL114" i="13"/>
  <c r="Z114" i="13"/>
  <c r="AB114" i="13"/>
  <c r="AP114" i="13"/>
  <c r="X114" i="13"/>
  <c r="AD114" i="13"/>
  <c r="T114" i="13"/>
  <c r="V114" i="13"/>
  <c r="R21" i="13"/>
  <c r="AH21" i="13"/>
  <c r="V21" i="13"/>
  <c r="AL21" i="13"/>
  <c r="AP21" i="13"/>
  <c r="X21" i="13"/>
  <c r="AR21" i="13"/>
  <c r="AJ21" i="13"/>
  <c r="T21" i="13"/>
  <c r="AF44" i="13"/>
  <c r="AB44" i="13"/>
  <c r="AL44" i="13"/>
  <c r="Z44" i="13"/>
  <c r="AR44" i="13"/>
  <c r="V44" i="13"/>
  <c r="AB52" i="13"/>
  <c r="AH52" i="13"/>
  <c r="AF32" i="13"/>
  <c r="Z32" i="13"/>
  <c r="AB32" i="13"/>
  <c r="X32" i="13"/>
  <c r="AD32" i="13"/>
  <c r="V32" i="13"/>
  <c r="AJ32" i="13"/>
  <c r="AN32" i="13"/>
  <c r="AB124" i="13"/>
  <c r="AP124" i="13"/>
  <c r="X124" i="13"/>
  <c r="AF124" i="13"/>
  <c r="AR124" i="13"/>
  <c r="AN124" i="13"/>
  <c r="AL41" i="13"/>
  <c r="R41" i="13"/>
  <c r="Z41" i="13"/>
  <c r="R54" i="13"/>
  <c r="AL90" i="13"/>
  <c r="AF90" i="13"/>
  <c r="AB90" i="13"/>
  <c r="AP90" i="13"/>
  <c r="X90" i="13"/>
  <c r="AR90" i="13"/>
  <c r="AJ90" i="13"/>
  <c r="T90" i="13"/>
  <c r="AH90" i="13"/>
  <c r="AN90" i="13"/>
  <c r="Z90" i="13"/>
  <c r="AD90" i="13"/>
  <c r="R90" i="13"/>
  <c r="V90" i="13"/>
  <c r="R93" i="13"/>
  <c r="AB154" i="13"/>
  <c r="V154" i="13"/>
  <c r="AL158" i="13"/>
  <c r="X158" i="13"/>
  <c r="R158" i="13"/>
  <c r="V158" i="13"/>
  <c r="AF162" i="13"/>
  <c r="AR162" i="13"/>
  <c r="AL162" i="13"/>
  <c r="Z162" i="13"/>
  <c r="AP162" i="13"/>
  <c r="X162" i="13"/>
  <c r="R162" i="13"/>
  <c r="AJ170" i="13"/>
  <c r="AL170" i="13"/>
  <c r="AB170" i="13"/>
  <c r="AH170" i="13"/>
  <c r="AL188" i="13"/>
  <c r="AB188" i="13"/>
  <c r="R188" i="13"/>
  <c r="T188" i="13"/>
  <c r="V188" i="13"/>
  <c r="AN188" i="13"/>
  <c r="X208" i="13"/>
  <c r="AN30" i="13"/>
  <c r="AH30" i="13"/>
  <c r="AL46" i="13"/>
  <c r="Z46" i="13"/>
  <c r="AP46" i="13"/>
  <c r="AD46" i="13"/>
  <c r="R46" i="13"/>
  <c r="AR46" i="13"/>
  <c r="AJ46" i="13"/>
  <c r="AH46" i="13"/>
  <c r="AN46" i="13"/>
  <c r="V46" i="13"/>
  <c r="AF46" i="13"/>
  <c r="AB46" i="13"/>
  <c r="X46" i="13"/>
  <c r="T46" i="13"/>
  <c r="AL120" i="13"/>
  <c r="AL87" i="13"/>
  <c r="AF87" i="13"/>
  <c r="Z87" i="13"/>
  <c r="AP87" i="13"/>
  <c r="AD87" i="13"/>
  <c r="R87" i="13"/>
  <c r="AR87" i="13"/>
  <c r="AJ87" i="13"/>
  <c r="AH87" i="13"/>
  <c r="V87" i="13"/>
  <c r="T87" i="13"/>
  <c r="AB123" i="13"/>
  <c r="T123" i="13"/>
  <c r="AP123" i="13"/>
  <c r="AR123" i="13"/>
  <c r="AF167" i="13"/>
  <c r="AB167" i="13"/>
  <c r="X167" i="13"/>
  <c r="AJ167" i="13"/>
  <c r="P167" i="13"/>
  <c r="AL167" i="13"/>
  <c r="Z167" i="13"/>
  <c r="AP167" i="13"/>
  <c r="AD167" i="13"/>
  <c r="AR167" i="13"/>
  <c r="AH167" i="13"/>
  <c r="AN167" i="13"/>
  <c r="V167" i="13"/>
  <c r="AL39" i="13"/>
  <c r="AF39" i="13"/>
  <c r="Z39" i="13"/>
  <c r="AB39" i="13"/>
  <c r="AP39" i="13"/>
  <c r="X39" i="13"/>
  <c r="AD39" i="13"/>
  <c r="R39" i="13"/>
  <c r="AR39" i="13"/>
  <c r="AJ39" i="13"/>
  <c r="T39" i="13"/>
  <c r="P39" i="13"/>
  <c r="AH39" i="13"/>
  <c r="AN39" i="13"/>
  <c r="V39" i="13"/>
  <c r="AF55" i="13"/>
  <c r="Z55" i="13"/>
  <c r="AB55" i="13"/>
  <c r="AD55" i="13"/>
  <c r="AR55" i="13"/>
  <c r="AJ55" i="13"/>
  <c r="AN55" i="13"/>
  <c r="AL55" i="13"/>
  <c r="AP55" i="13"/>
  <c r="X55" i="13"/>
  <c r="AH55" i="13"/>
  <c r="V55" i="13"/>
  <c r="AD59" i="13"/>
  <c r="AF75" i="13"/>
  <c r="Z75" i="13"/>
  <c r="AB75" i="13"/>
  <c r="AP75" i="13"/>
  <c r="AJ75" i="13"/>
  <c r="X75" i="13"/>
  <c r="AL129" i="13"/>
  <c r="Z129" i="13"/>
  <c r="AP129" i="13"/>
  <c r="AD129" i="13"/>
  <c r="R129" i="13"/>
  <c r="AH129" i="13"/>
  <c r="AN129" i="13"/>
  <c r="V129" i="13"/>
  <c r="AB129" i="13"/>
  <c r="X129" i="13"/>
  <c r="AJ129" i="13"/>
  <c r="AD193" i="13"/>
  <c r="R193" i="13"/>
  <c r="AN193" i="13"/>
  <c r="V193" i="13"/>
  <c r="AL193" i="13"/>
  <c r="AB193" i="13"/>
  <c r="T193" i="13"/>
  <c r="AD151" i="13"/>
  <c r="Z218" i="13"/>
  <c r="AP218" i="13"/>
  <c r="AD218" i="13"/>
  <c r="V218" i="13"/>
  <c r="AF218" i="13"/>
  <c r="AB218" i="13"/>
  <c r="X218" i="13"/>
  <c r="AJ218" i="13"/>
  <c r="T218" i="13"/>
  <c r="AN218" i="13"/>
  <c r="AL216" i="13"/>
  <c r="V216" i="13"/>
  <c r="AF16" i="13"/>
  <c r="AB16" i="13"/>
  <c r="X16" i="13"/>
  <c r="T16" i="13"/>
  <c r="AL16" i="13"/>
  <c r="Z16" i="13"/>
  <c r="AP16" i="13"/>
  <c r="AR16" i="13"/>
  <c r="AJ16" i="13"/>
  <c r="AH16" i="13"/>
  <c r="AN16" i="13"/>
  <c r="V16" i="13"/>
  <c r="AJ20" i="13"/>
  <c r="AB20" i="13"/>
  <c r="AP20" i="13"/>
  <c r="X20" i="13"/>
  <c r="R20" i="13"/>
  <c r="AH20" i="13"/>
  <c r="V20" i="13"/>
  <c r="AF17" i="13"/>
  <c r="X17" i="13"/>
  <c r="AD17" i="13"/>
  <c r="AR17" i="13"/>
  <c r="AH17" i="13"/>
  <c r="AL19" i="13"/>
  <c r="AF19" i="13"/>
  <c r="X19" i="13"/>
  <c r="AR19" i="13"/>
  <c r="AJ19" i="13"/>
  <c r="T19" i="13"/>
  <c r="Z19" i="13"/>
  <c r="AD19" i="13"/>
  <c r="AH19" i="13"/>
  <c r="AF82" i="13"/>
  <c r="AB82" i="13"/>
  <c r="AP82" i="13"/>
  <c r="AD82" i="13"/>
  <c r="AH82" i="13"/>
  <c r="AL250" i="13"/>
  <c r="AF107" i="13"/>
  <c r="X253" i="13"/>
  <c r="AL255" i="13"/>
  <c r="P253" i="13"/>
  <c r="P21" i="13"/>
  <c r="P111" i="13"/>
  <c r="V254" i="13"/>
  <c r="R155" i="13"/>
  <c r="AH254" i="13"/>
  <c r="Z168" i="13"/>
  <c r="AL254" i="13"/>
  <c r="AL150" i="13"/>
  <c r="AF258" i="13"/>
  <c r="Z258" i="13"/>
  <c r="AD150" i="13"/>
  <c r="T258" i="13"/>
  <c r="X258" i="13"/>
  <c r="AD258" i="13"/>
  <c r="AH150" i="13"/>
  <c r="P258" i="13"/>
  <c r="AJ258" i="13"/>
  <c r="AN258" i="13"/>
  <c r="R258" i="13"/>
  <c r="AP258" i="13"/>
  <c r="X156" i="13"/>
  <c r="AJ74" i="13"/>
  <c r="AH250" i="13"/>
  <c r="AR250" i="13"/>
  <c r="AF250" i="13"/>
  <c r="AJ44" i="13"/>
  <c r="AB107" i="13"/>
  <c r="T155" i="13"/>
  <c r="T250" i="13"/>
  <c r="X254" i="13"/>
  <c r="AN168" i="13"/>
  <c r="AD168" i="13"/>
  <c r="AJ107" i="13"/>
  <c r="AD47" i="13"/>
  <c r="T47" i="13"/>
  <c r="AF14" i="13"/>
  <c r="AP14" i="13"/>
  <c r="AL47" i="13"/>
  <c r="AF249" i="13"/>
  <c r="R249" i="13"/>
  <c r="V249" i="13"/>
  <c r="AJ249" i="13"/>
  <c r="R226" i="13"/>
  <c r="AJ226" i="13"/>
  <c r="AF226" i="13"/>
  <c r="AB226" i="13"/>
  <c r="T226" i="13"/>
  <c r="AL220" i="13"/>
  <c r="AF220" i="13"/>
  <c r="AB220" i="13"/>
  <c r="X220" i="13"/>
  <c r="AR220" i="13"/>
  <c r="AP220" i="13"/>
  <c r="AD220" i="13"/>
  <c r="P220" i="13"/>
  <c r="AH220" i="13"/>
  <c r="AJ220" i="13"/>
  <c r="AN220" i="13"/>
  <c r="V220" i="13"/>
  <c r="AL223" i="13"/>
  <c r="AD223" i="13"/>
  <c r="AF223" i="13"/>
  <c r="AB223" i="13"/>
  <c r="X223" i="13"/>
  <c r="AJ223" i="13"/>
  <c r="P223" i="13"/>
  <c r="AN223" i="13"/>
  <c r="AR223" i="13"/>
  <c r="AH223" i="13"/>
  <c r="V223" i="13"/>
  <c r="Z223" i="13"/>
  <c r="AL212" i="13"/>
  <c r="AF212" i="13"/>
  <c r="X212" i="13"/>
  <c r="AP212" i="13"/>
  <c r="R212" i="13"/>
  <c r="AJ212" i="13"/>
  <c r="V212" i="13"/>
  <c r="Z212" i="13"/>
  <c r="AL237" i="13"/>
  <c r="AF237" i="13"/>
  <c r="AB237" i="13"/>
  <c r="X237" i="13"/>
  <c r="AR237" i="13"/>
  <c r="AP237" i="13"/>
  <c r="AD237" i="13"/>
  <c r="AH237" i="13"/>
  <c r="V237" i="13"/>
  <c r="R237" i="13"/>
  <c r="AJ237" i="13"/>
  <c r="P237" i="13"/>
  <c r="Z237" i="13"/>
  <c r="AN237" i="13"/>
  <c r="AL234" i="13"/>
  <c r="AD234" i="13"/>
  <c r="X234" i="13"/>
  <c r="AN234" i="13"/>
  <c r="AR234" i="13"/>
  <c r="T234" i="13"/>
  <c r="AH234" i="13"/>
  <c r="V234" i="13"/>
  <c r="Z234" i="13"/>
  <c r="AL230" i="13"/>
  <c r="AF230" i="13"/>
  <c r="AP230" i="13"/>
  <c r="AD230" i="13"/>
  <c r="AJ230" i="13"/>
  <c r="AB230" i="13"/>
  <c r="AR230" i="13"/>
  <c r="AN230" i="13"/>
  <c r="AH230" i="13"/>
  <c r="Z230" i="13"/>
  <c r="AL241" i="13"/>
  <c r="AF241" i="13"/>
  <c r="AB241" i="13"/>
  <c r="X241" i="13"/>
  <c r="AR241" i="13"/>
  <c r="AP241" i="13"/>
  <c r="AH241" i="13"/>
  <c r="V241" i="13"/>
  <c r="AD241" i="13"/>
  <c r="AJ241" i="13"/>
  <c r="T241" i="13"/>
  <c r="AN241" i="13"/>
  <c r="Z241" i="13"/>
  <c r="R43" i="13"/>
  <c r="AP43" i="13"/>
  <c r="T43" i="13"/>
  <c r="AL121" i="13"/>
  <c r="AP121" i="13"/>
  <c r="AN121" i="13"/>
  <c r="AL28" i="13"/>
  <c r="AB28" i="13"/>
  <c r="X28" i="13"/>
  <c r="R28" i="13"/>
  <c r="AD28" i="13"/>
  <c r="AR28" i="13"/>
  <c r="AH28" i="13"/>
  <c r="AN28" i="13"/>
  <c r="V28" i="13"/>
  <c r="AJ28" i="13"/>
  <c r="T28" i="13"/>
  <c r="Z28" i="13"/>
  <c r="AD162" i="13"/>
  <c r="AN162" i="13"/>
  <c r="AP231" i="13"/>
  <c r="AD231" i="13"/>
  <c r="R231" i="13"/>
  <c r="AF231" i="13"/>
  <c r="T231" i="13"/>
  <c r="P231" i="13"/>
  <c r="AN231" i="13"/>
  <c r="AR231" i="13"/>
  <c r="AH231" i="13"/>
  <c r="V231" i="13"/>
  <c r="Z231" i="13"/>
  <c r="AL256" i="13"/>
  <c r="AF256" i="13"/>
  <c r="AB256" i="13"/>
  <c r="X256" i="13"/>
  <c r="AR256" i="13"/>
  <c r="AP256" i="13"/>
  <c r="R256" i="13"/>
  <c r="AJ256" i="13"/>
  <c r="T256" i="13"/>
  <c r="AH256" i="13"/>
  <c r="AD256" i="13"/>
  <c r="V256" i="13"/>
  <c r="Z256" i="13"/>
  <c r="AN256" i="13"/>
  <c r="AL257" i="13"/>
  <c r="AF257" i="13"/>
  <c r="AB257" i="13"/>
  <c r="X257" i="13"/>
  <c r="AR257" i="13"/>
  <c r="AP257" i="13"/>
  <c r="R257" i="13"/>
  <c r="AH257" i="13"/>
  <c r="V257" i="13"/>
  <c r="AD257" i="13"/>
  <c r="AJ257" i="13"/>
  <c r="T257" i="13"/>
  <c r="AN257" i="13"/>
  <c r="Z257" i="13"/>
  <c r="R123" i="13"/>
  <c r="X252" i="13"/>
  <c r="AR252" i="13"/>
  <c r="AD252" i="13"/>
  <c r="AH252" i="13"/>
  <c r="R252" i="13"/>
  <c r="AJ252" i="13"/>
  <c r="V252" i="13"/>
  <c r="Z252" i="13"/>
  <c r="AR217" i="13"/>
  <c r="R217" i="13"/>
  <c r="V217" i="13"/>
  <c r="P217" i="13"/>
  <c r="AF224" i="13"/>
  <c r="AB224" i="13"/>
  <c r="X224" i="13"/>
  <c r="AR224" i="13"/>
  <c r="AP224" i="13"/>
  <c r="R224" i="13"/>
  <c r="AJ224" i="13"/>
  <c r="T224" i="13"/>
  <c r="AH224" i="13"/>
  <c r="AD224" i="13"/>
  <c r="AN224" i="13"/>
  <c r="AL211" i="13"/>
  <c r="AF211" i="13"/>
  <c r="AP211" i="13"/>
  <c r="AD211" i="13"/>
  <c r="R211" i="13"/>
  <c r="AB211" i="13"/>
  <c r="AR211" i="13"/>
  <c r="AJ211" i="13"/>
  <c r="T211" i="13"/>
  <c r="AN211" i="13"/>
  <c r="X211" i="13"/>
  <c r="AH211" i="13"/>
  <c r="V211" i="13"/>
  <c r="Z211" i="13"/>
  <c r="AL238" i="13"/>
  <c r="AF238" i="13"/>
  <c r="AP238" i="13"/>
  <c r="AD238" i="13"/>
  <c r="R238" i="13"/>
  <c r="AJ238" i="13"/>
  <c r="AB238" i="13"/>
  <c r="AR238" i="13"/>
  <c r="AN238" i="13"/>
  <c r="X238" i="13"/>
  <c r="T238" i="13"/>
  <c r="P238" i="13"/>
  <c r="AH238" i="13"/>
  <c r="V238" i="13"/>
  <c r="X229" i="13"/>
  <c r="AR229" i="13"/>
  <c r="AD229" i="13"/>
  <c r="AH229" i="13"/>
  <c r="T229" i="13"/>
  <c r="P229" i="13"/>
  <c r="AL227" i="13"/>
  <c r="AF227" i="13"/>
  <c r="AP227" i="13"/>
  <c r="AD227" i="13"/>
  <c r="R227" i="13"/>
  <c r="AB227" i="13"/>
  <c r="AR227" i="13"/>
  <c r="T227" i="13"/>
  <c r="AN227" i="13"/>
  <c r="X227" i="13"/>
  <c r="V227" i="13"/>
  <c r="AL146" i="13"/>
  <c r="AR146" i="13"/>
  <c r="Z146" i="13"/>
  <c r="AL244" i="13"/>
  <c r="AB244" i="13"/>
  <c r="T244" i="13"/>
  <c r="P244" i="13"/>
  <c r="AH244" i="13"/>
  <c r="Z244" i="13"/>
  <c r="AL251" i="13"/>
  <c r="AP251" i="13"/>
  <c r="AD251" i="13"/>
  <c r="R251" i="13"/>
  <c r="AF251" i="13"/>
  <c r="AB251" i="13"/>
  <c r="AR251" i="13"/>
  <c r="T251" i="13"/>
  <c r="P251" i="13"/>
  <c r="AN251" i="13"/>
  <c r="X251" i="13"/>
  <c r="AH251" i="13"/>
  <c r="Z251" i="13"/>
  <c r="R248" i="13"/>
  <c r="T248" i="13"/>
  <c r="P248" i="13"/>
  <c r="V248" i="13"/>
  <c r="AN248" i="13"/>
  <c r="AL222" i="13"/>
  <c r="AF222" i="13"/>
  <c r="AP222" i="13"/>
  <c r="AD222" i="13"/>
  <c r="R222" i="13"/>
  <c r="AB222" i="13"/>
  <c r="X222" i="13"/>
  <c r="AR222" i="13"/>
  <c r="AN222" i="13"/>
  <c r="P222" i="13"/>
  <c r="AH222" i="13"/>
  <c r="Z222" i="13"/>
  <c r="AL215" i="13"/>
  <c r="AP215" i="13"/>
  <c r="AD215" i="13"/>
  <c r="AF215" i="13"/>
  <c r="AB215" i="13"/>
  <c r="X215" i="13"/>
  <c r="AJ215" i="13"/>
  <c r="T215" i="13"/>
  <c r="AN215" i="13"/>
  <c r="AR215" i="13"/>
  <c r="AH215" i="13"/>
  <c r="V215" i="13"/>
  <c r="Z215" i="13"/>
  <c r="AL219" i="13"/>
  <c r="AF219" i="13"/>
  <c r="AP219" i="13"/>
  <c r="AD219" i="13"/>
  <c r="R219" i="13"/>
  <c r="AB219" i="13"/>
  <c r="T219" i="13"/>
  <c r="AN219" i="13"/>
  <c r="X219" i="13"/>
  <c r="AH219" i="13"/>
  <c r="AF210" i="13"/>
  <c r="AL210" i="13"/>
  <c r="AP210" i="13"/>
  <c r="AD210" i="13"/>
  <c r="AJ210" i="13"/>
  <c r="AB210" i="13"/>
  <c r="AN210" i="13"/>
  <c r="T210" i="13"/>
  <c r="AH210" i="13"/>
  <c r="AP239" i="13"/>
  <c r="AD239" i="13"/>
  <c r="R239" i="13"/>
  <c r="AF239" i="13"/>
  <c r="AB239" i="13"/>
  <c r="X239" i="13"/>
  <c r="AJ239" i="13"/>
  <c r="P239" i="13"/>
  <c r="AR239" i="13"/>
  <c r="AH239" i="13"/>
  <c r="V239" i="13"/>
  <c r="Z239" i="13"/>
  <c r="AF235" i="13"/>
  <c r="AP235" i="13"/>
  <c r="AD235" i="13"/>
  <c r="R235" i="13"/>
  <c r="AB235" i="13"/>
  <c r="AJ235" i="13"/>
  <c r="T235" i="13"/>
  <c r="AN235" i="13"/>
  <c r="X235" i="13"/>
  <c r="AL233" i="13"/>
  <c r="AF233" i="13"/>
  <c r="AB233" i="13"/>
  <c r="X233" i="13"/>
  <c r="AR233" i="13"/>
  <c r="AH233" i="13"/>
  <c r="V233" i="13"/>
  <c r="AD233" i="13"/>
  <c r="Z233" i="13"/>
  <c r="AL243" i="13"/>
  <c r="AF243" i="13"/>
  <c r="AP243" i="13"/>
  <c r="R243" i="13"/>
  <c r="AJ243" i="13"/>
  <c r="T243" i="13"/>
  <c r="AN243" i="13"/>
  <c r="X243" i="13"/>
  <c r="AH243" i="13"/>
  <c r="V243" i="13"/>
  <c r="Z243" i="13"/>
  <c r="AL260" i="13"/>
  <c r="AB260" i="13"/>
  <c r="X260" i="13"/>
  <c r="AR260" i="13"/>
  <c r="AP260" i="13"/>
  <c r="AD260" i="13"/>
  <c r="AJ260" i="13"/>
  <c r="AH260" i="13"/>
  <c r="R260" i="13"/>
  <c r="AN260" i="13"/>
  <c r="V260" i="13"/>
  <c r="Z260" i="13"/>
  <c r="AL67" i="13"/>
  <c r="AF67" i="13"/>
  <c r="AB67" i="13"/>
  <c r="X67" i="13"/>
  <c r="R67" i="13"/>
  <c r="AR67" i="13"/>
  <c r="AP67" i="13"/>
  <c r="AD67" i="13"/>
  <c r="T67" i="13"/>
  <c r="AN67" i="13"/>
  <c r="X87" i="13"/>
  <c r="AN87" i="13"/>
  <c r="AD117" i="13"/>
  <c r="R117" i="13"/>
  <c r="X117" i="13"/>
  <c r="AN151" i="13"/>
  <c r="AL259" i="13"/>
  <c r="AP259" i="13"/>
  <c r="AD259" i="13"/>
  <c r="R259" i="13"/>
  <c r="AF259" i="13"/>
  <c r="AB259" i="13"/>
  <c r="AR259" i="13"/>
  <c r="AJ259" i="13"/>
  <c r="T259" i="13"/>
  <c r="X259" i="13"/>
  <c r="AH259" i="13"/>
  <c r="V259" i="13"/>
  <c r="Z259" i="13"/>
  <c r="AL32" i="13"/>
  <c r="AP32" i="13"/>
  <c r="R32" i="13"/>
  <c r="AR32" i="13"/>
  <c r="T32" i="13"/>
  <c r="AP170" i="13"/>
  <c r="T170" i="13"/>
  <c r="AF183" i="13"/>
  <c r="AB183" i="13"/>
  <c r="X183" i="13"/>
  <c r="AR183" i="13"/>
  <c r="AP183" i="13"/>
  <c r="AJ183" i="13"/>
  <c r="AH183" i="13"/>
  <c r="AD183" i="13"/>
  <c r="T183" i="13"/>
  <c r="V183" i="13"/>
  <c r="AN183" i="13"/>
  <c r="AJ122" i="13"/>
  <c r="R184" i="13"/>
  <c r="V184" i="13"/>
  <c r="AL236" i="13"/>
  <c r="AF236" i="13"/>
  <c r="AB236" i="13"/>
  <c r="X236" i="13"/>
  <c r="AR236" i="13"/>
  <c r="AP236" i="13"/>
  <c r="AD236" i="13"/>
  <c r="R236" i="13"/>
  <c r="V236" i="13"/>
  <c r="Z236" i="13"/>
  <c r="AP242" i="13"/>
  <c r="AD242" i="13"/>
  <c r="R242" i="13"/>
  <c r="AB242" i="13"/>
  <c r="X242" i="13"/>
  <c r="AN242" i="13"/>
  <c r="AR242" i="13"/>
  <c r="T242" i="13"/>
  <c r="AH242" i="13"/>
  <c r="Z242" i="13"/>
  <c r="X261" i="13"/>
  <c r="T261" i="13"/>
  <c r="P261" i="13"/>
  <c r="AD159" i="13"/>
  <c r="AL225" i="13"/>
  <c r="AF225" i="13"/>
  <c r="AB225" i="13"/>
  <c r="X225" i="13"/>
  <c r="AR225" i="13"/>
  <c r="AP225" i="13"/>
  <c r="R225" i="13"/>
  <c r="AH225" i="13"/>
  <c r="AD225" i="13"/>
  <c r="AJ225" i="13"/>
  <c r="T225" i="13"/>
  <c r="AN225" i="13"/>
  <c r="Z225" i="13"/>
  <c r="X213" i="13"/>
  <c r="AR213" i="13"/>
  <c r="T213" i="13"/>
  <c r="P213" i="13"/>
  <c r="AL221" i="13"/>
  <c r="AF221" i="13"/>
  <c r="AB221" i="13"/>
  <c r="AP221" i="13"/>
  <c r="AD221" i="13"/>
  <c r="AH221" i="13"/>
  <c r="V221" i="13"/>
  <c r="AJ221" i="13"/>
  <c r="T221" i="13"/>
  <c r="P221" i="13"/>
  <c r="Z221" i="13"/>
  <c r="AN221" i="13"/>
  <c r="AF206" i="13"/>
  <c r="AP206" i="13"/>
  <c r="AJ206" i="13"/>
  <c r="AB206" i="13"/>
  <c r="X206" i="13"/>
  <c r="T206" i="13"/>
  <c r="P206" i="13"/>
  <c r="Z206" i="13"/>
  <c r="AL232" i="13"/>
  <c r="AF232" i="13"/>
  <c r="X232" i="13"/>
  <c r="AR232" i="13"/>
  <c r="R232" i="13"/>
  <c r="V232" i="13"/>
  <c r="AL228" i="13"/>
  <c r="AF228" i="13"/>
  <c r="AB228" i="13"/>
  <c r="AR228" i="13"/>
  <c r="AP228" i="13"/>
  <c r="AD228" i="13"/>
  <c r="T228" i="13"/>
  <c r="P228" i="13"/>
  <c r="AH228" i="13"/>
  <c r="R228" i="13"/>
  <c r="AJ228" i="13"/>
  <c r="AN228" i="13"/>
  <c r="V228" i="13"/>
  <c r="Z228" i="13"/>
  <c r="AL247" i="13"/>
  <c r="AP247" i="13"/>
  <c r="AD247" i="13"/>
  <c r="R247" i="13"/>
  <c r="AF247" i="13"/>
  <c r="X247" i="13"/>
  <c r="T247" i="13"/>
  <c r="V247" i="13"/>
  <c r="AF129" i="13"/>
  <c r="AR129" i="13"/>
  <c r="AL246" i="13"/>
  <c r="X246" i="13"/>
  <c r="T246" i="13"/>
  <c r="V246" i="13"/>
  <c r="AL119" i="13"/>
  <c r="AF119" i="13"/>
  <c r="AB119" i="13"/>
  <c r="X119" i="13"/>
  <c r="AR119" i="13"/>
  <c r="AP119" i="13"/>
  <c r="AJ119" i="13"/>
  <c r="AH119" i="13"/>
  <c r="AD119" i="13"/>
  <c r="T119" i="13"/>
  <c r="V119" i="13"/>
  <c r="Z119" i="13"/>
  <c r="AN119" i="13"/>
  <c r="X245" i="13"/>
  <c r="AR245" i="13"/>
  <c r="T245" i="13"/>
  <c r="AL124" i="13"/>
  <c r="AD124" i="13"/>
  <c r="AJ124" i="13"/>
  <c r="AH124" i="13"/>
  <c r="Z124" i="13"/>
  <c r="M72" i="13" l="1"/>
  <c r="V72" i="13"/>
  <c r="AL127" i="13"/>
  <c r="AR127" i="13"/>
  <c r="M76" i="13"/>
  <c r="X76" i="13"/>
  <c r="AL110" i="13"/>
  <c r="V110" i="13"/>
  <c r="M110" i="13"/>
  <c r="AB110" i="13"/>
  <c r="T70" i="13"/>
  <c r="AD70" i="13"/>
  <c r="V182" i="13"/>
  <c r="AF182" i="13"/>
  <c r="AB182" i="13"/>
  <c r="AH182" i="13"/>
  <c r="L182" i="13"/>
  <c r="R182" i="13"/>
  <c r="T182" i="13"/>
  <c r="Z182" i="13"/>
  <c r="AL182" i="13"/>
  <c r="M182" i="13"/>
  <c r="AP182" i="13"/>
  <c r="AD182" i="13"/>
  <c r="M33" i="13"/>
  <c r="L63" i="13"/>
  <c r="T63" i="13"/>
  <c r="X63" i="13"/>
  <c r="AR63" i="13"/>
  <c r="R63" i="13"/>
  <c r="AF63" i="13"/>
  <c r="AB63" i="13"/>
  <c r="AD63" i="13"/>
  <c r="AF103" i="13"/>
  <c r="AN103" i="13"/>
  <c r="V103" i="13"/>
  <c r="M103" i="13"/>
  <c r="AR103" i="13"/>
  <c r="AH103" i="13"/>
  <c r="R103" i="13"/>
  <c r="X103" i="13"/>
  <c r="T103" i="13"/>
  <c r="AJ103" i="13"/>
  <c r="Z103" i="13"/>
  <c r="L103" i="13"/>
  <c r="X56" i="13"/>
  <c r="Z56" i="13"/>
  <c r="L56" i="13"/>
  <c r="M56" i="13"/>
  <c r="AN131" i="13"/>
  <c r="AL131" i="13"/>
  <c r="R131" i="13"/>
  <c r="AJ131" i="13"/>
  <c r="AF131" i="13"/>
  <c r="V131" i="13"/>
  <c r="AB131" i="13"/>
  <c r="Z131" i="13"/>
  <c r="AP131" i="13"/>
  <c r="X131" i="13"/>
  <c r="M131" i="13"/>
  <c r="AL92" i="13"/>
  <c r="AR92" i="13"/>
  <c r="V92" i="13"/>
  <c r="Z92" i="13"/>
  <c r="AN92" i="13"/>
  <c r="AP92" i="13"/>
  <c r="M92" i="13"/>
  <c r="P92" i="13"/>
  <c r="X92" i="13"/>
  <c r="T92" i="13"/>
  <c r="L92" i="13"/>
  <c r="AF33" i="13"/>
  <c r="AH33" i="13"/>
  <c r="AH56" i="13"/>
  <c r="AB56" i="13"/>
  <c r="V63" i="13"/>
  <c r="L72" i="13"/>
  <c r="AD131" i="13"/>
  <c r="AR71" i="13"/>
  <c r="AD71" i="13"/>
  <c r="AJ71" i="13"/>
  <c r="T71" i="13"/>
  <c r="AF71" i="13"/>
  <c r="X71" i="13"/>
  <c r="AH71" i="13"/>
  <c r="AB71" i="13"/>
  <c r="V71" i="13"/>
  <c r="Z71" i="13"/>
  <c r="AL143" i="13"/>
  <c r="M143" i="13"/>
  <c r="R143" i="13"/>
  <c r="Z143" i="13"/>
  <c r="AD143" i="13"/>
  <c r="L143" i="13"/>
  <c r="AJ143" i="13"/>
  <c r="AF143" i="13"/>
  <c r="V143" i="13"/>
  <c r="T143" i="13"/>
  <c r="AD190" i="13"/>
  <c r="X190" i="13"/>
  <c r="R190" i="13"/>
  <c r="AJ190" i="13"/>
  <c r="AF190" i="13"/>
  <c r="V190" i="13"/>
  <c r="AB190" i="13"/>
  <c r="T190" i="13"/>
  <c r="T131" i="13"/>
  <c r="AP154" i="13"/>
  <c r="L154" i="13"/>
  <c r="T154" i="13"/>
  <c r="M154" i="13"/>
  <c r="AN182" i="13"/>
  <c r="M63" i="13"/>
  <c r="AP127" i="13"/>
  <c r="AB92" i="13"/>
  <c r="AV63" i="13"/>
  <c r="AD103" i="13"/>
  <c r="M53" i="13"/>
  <c r="AF53" i="13"/>
  <c r="X53" i="13"/>
  <c r="AD53" i="13"/>
  <c r="Z53" i="13"/>
  <c r="AB53" i="13"/>
  <c r="R53" i="13"/>
  <c r="AH92" i="13"/>
  <c r="L33" i="13"/>
  <c r="AP103" i="13"/>
  <c r="R97" i="13"/>
  <c r="V97" i="13"/>
  <c r="AF97" i="13"/>
  <c r="AH97" i="13"/>
  <c r="AL97" i="13"/>
  <c r="T97" i="13"/>
  <c r="Z97" i="13"/>
  <c r="AD97" i="13"/>
  <c r="AH131" i="13"/>
  <c r="AX209" i="13"/>
  <c r="L209" i="13"/>
  <c r="M209" i="13"/>
  <c r="AZ209" i="13"/>
  <c r="AD115" i="13"/>
  <c r="AR115" i="13"/>
  <c r="AJ115" i="13"/>
  <c r="AL115" i="13"/>
  <c r="V115" i="13"/>
  <c r="Z115" i="13"/>
  <c r="X115" i="13"/>
  <c r="AB115" i="13"/>
  <c r="AF115" i="13"/>
  <c r="AR109" i="13"/>
  <c r="L109" i="13"/>
  <c r="AB109" i="13"/>
  <c r="AF109" i="13"/>
  <c r="T109" i="13"/>
  <c r="AH109" i="13"/>
  <c r="X109" i="13"/>
  <c r="V109" i="13"/>
  <c r="Z109" i="13"/>
  <c r="AD109" i="13"/>
  <c r="R109" i="13"/>
  <c r="AB27" i="13"/>
  <c r="AP27" i="13"/>
  <c r="AR27" i="13"/>
  <c r="AH27" i="13"/>
  <c r="AH98" i="13"/>
  <c r="AP98" i="13"/>
  <c r="AD98" i="13"/>
  <c r="V98" i="13"/>
  <c r="AL98" i="13"/>
  <c r="X98" i="13"/>
  <c r="AF98" i="13"/>
  <c r="M98" i="13"/>
  <c r="AN98" i="13"/>
  <c r="AR98" i="13"/>
  <c r="AR131" i="13"/>
  <c r="AD201" i="13"/>
  <c r="AR121" i="13"/>
  <c r="AJ121" i="13"/>
  <c r="AB31" i="13"/>
  <c r="AL31" i="13"/>
  <c r="R31" i="13"/>
  <c r="AX97" i="13"/>
  <c r="BB72" i="13"/>
  <c r="AJ27" i="13"/>
  <c r="X27" i="13"/>
  <c r="AN17" i="13"/>
  <c r="F14" i="20"/>
  <c r="AP17" i="13"/>
  <c r="V45" i="13"/>
  <c r="AH45" i="13"/>
  <c r="AL45" i="13"/>
  <c r="X45" i="13"/>
  <c r="AR45" i="13"/>
  <c r="T196" i="13"/>
  <c r="AL103" i="13"/>
  <c r="AB103" i="13"/>
  <c r="V54" i="13"/>
  <c r="L115" i="13"/>
  <c r="BB209" i="13"/>
  <c r="BB85" i="13"/>
  <c r="AV161" i="13"/>
  <c r="AV72" i="13"/>
  <c r="AV97" i="13"/>
  <c r="AV122" i="13"/>
  <c r="Z122" i="13"/>
  <c r="AB122" i="13"/>
  <c r="AR82" i="13"/>
  <c r="AL82" i="13"/>
  <c r="Z30" i="13"/>
  <c r="AJ82" i="13"/>
  <c r="AN82" i="13"/>
  <c r="AJ94" i="13"/>
  <c r="AN27" i="13"/>
  <c r="Z17" i="13"/>
  <c r="AB17" i="13"/>
  <c r="T30" i="13"/>
  <c r="AJ17" i="13"/>
  <c r="AB45" i="13"/>
  <c r="AN45" i="13"/>
  <c r="AP45" i="13"/>
  <c r="AN19" i="13"/>
  <c r="AB19" i="13"/>
  <c r="AP19" i="13"/>
  <c r="V19" i="13"/>
  <c r="R19" i="13"/>
  <c r="F16" i="20"/>
  <c r="M187" i="13"/>
  <c r="L27" i="13"/>
  <c r="AX187" i="13"/>
  <c r="AX122" i="13"/>
  <c r="AL122" i="13"/>
  <c r="AF122" i="13"/>
  <c r="AP120" i="13"/>
  <c r="R30" i="13"/>
  <c r="R82" i="13"/>
  <c r="AL17" i="13"/>
  <c r="T17" i="13"/>
  <c r="AJ45" i="13"/>
  <c r="V196" i="13"/>
  <c r="V17" i="13"/>
  <c r="AD45" i="13"/>
  <c r="Z45" i="13"/>
  <c r="R179" i="13"/>
  <c r="F176" i="20"/>
  <c r="T179" i="13"/>
  <c r="AN86" i="13"/>
  <c r="AD86" i="13"/>
  <c r="AB86" i="13"/>
  <c r="Z86" i="13"/>
  <c r="T86" i="13"/>
  <c r="AL86" i="13"/>
  <c r="AF86" i="13"/>
  <c r="X86" i="13"/>
  <c r="AP86" i="13"/>
  <c r="AH86" i="13"/>
  <c r="AR86" i="13"/>
  <c r="AJ86" i="13"/>
  <c r="R86" i="13"/>
  <c r="V191" i="13"/>
  <c r="R191" i="13"/>
  <c r="AR154" i="13"/>
  <c r="AL154" i="13"/>
  <c r="Z154" i="13"/>
  <c r="AH154" i="13"/>
  <c r="R154" i="13"/>
  <c r="AN154" i="13"/>
  <c r="Z82" i="13"/>
  <c r="V82" i="13"/>
  <c r="X154" i="13"/>
  <c r="AF154" i="13"/>
  <c r="AJ154" i="13"/>
  <c r="AH54" i="13"/>
  <c r="AH201" i="13"/>
  <c r="AN54" i="13"/>
  <c r="F119" i="20"/>
  <c r="V122" i="13"/>
  <c r="AB54" i="13"/>
  <c r="AD122" i="13"/>
  <c r="AN122" i="13"/>
  <c r="AP201" i="13"/>
  <c r="Z201" i="13"/>
  <c r="AD34" i="13"/>
  <c r="AF34" i="13"/>
  <c r="AL34" i="13"/>
  <c r="Z34" i="13"/>
  <c r="V34" i="13"/>
  <c r="AP34" i="13"/>
  <c r="AB34" i="13"/>
  <c r="AR34" i="13"/>
  <c r="AN34" i="13"/>
  <c r="T34" i="13"/>
  <c r="R34" i="13"/>
  <c r="AH34" i="13"/>
  <c r="X34" i="13"/>
  <c r="AJ34" i="13"/>
  <c r="F31" i="20"/>
  <c r="M34" i="13"/>
  <c r="L34" i="13"/>
  <c r="AX34" i="13"/>
  <c r="AZ126" i="13"/>
  <c r="AB126" i="13"/>
  <c r="Z126" i="13"/>
  <c r="AJ126" i="13"/>
  <c r="AL126" i="13"/>
  <c r="M126" i="13"/>
  <c r="V126" i="13"/>
  <c r="T126" i="13"/>
  <c r="AH126" i="13"/>
  <c r="L126" i="13"/>
  <c r="X126" i="13"/>
  <c r="T163" i="13"/>
  <c r="R163" i="13"/>
  <c r="L163" i="13"/>
  <c r="AR163" i="13"/>
  <c r="M163" i="13"/>
  <c r="AP163" i="13"/>
  <c r="AF163" i="13"/>
  <c r="X163" i="13"/>
  <c r="F160" i="20"/>
  <c r="V163" i="13"/>
  <c r="AN163" i="13"/>
  <c r="AB163" i="13"/>
  <c r="Z163" i="13"/>
  <c r="AX141" i="13"/>
  <c r="AP141" i="13"/>
  <c r="AJ141" i="13"/>
  <c r="AB141" i="13"/>
  <c r="T141" i="13"/>
  <c r="M141" i="13"/>
  <c r="AF141" i="13"/>
  <c r="X141" i="13"/>
  <c r="R141" i="13"/>
  <c r="BB141" i="13"/>
  <c r="AR141" i="13"/>
  <c r="AD141" i="13"/>
  <c r="V141" i="13"/>
  <c r="P141" i="13"/>
  <c r="AL13" i="13"/>
  <c r="V13" i="13"/>
  <c r="AH13" i="13"/>
  <c r="AR13" i="13"/>
  <c r="AD13" i="13"/>
  <c r="AP13" i="13"/>
  <c r="AF13" i="13"/>
  <c r="X13" i="13"/>
  <c r="AR101" i="13"/>
  <c r="R101" i="13"/>
  <c r="AD101" i="13"/>
  <c r="T101" i="13"/>
  <c r="AZ101" i="13"/>
  <c r="F98" i="20"/>
  <c r="V101" i="13"/>
  <c r="AN101" i="13"/>
  <c r="L101" i="13"/>
  <c r="AH101" i="13"/>
  <c r="AL101" i="13"/>
  <c r="X101" i="13"/>
  <c r="M130" i="13"/>
  <c r="Z130" i="13"/>
  <c r="P130" i="13"/>
  <c r="AD130" i="13"/>
  <c r="X130" i="13"/>
  <c r="T130" i="13"/>
  <c r="L130" i="13"/>
  <c r="AH130" i="13"/>
  <c r="AF130" i="13"/>
  <c r="AB130" i="13"/>
  <c r="V130" i="13"/>
  <c r="AN126" i="13"/>
  <c r="AD126" i="13"/>
  <c r="Z13" i="13"/>
  <c r="AB13" i="13"/>
  <c r="AJ163" i="13"/>
  <c r="R36" i="13"/>
  <c r="AV13" i="13"/>
  <c r="AB101" i="13"/>
  <c r="Z141" i="13"/>
  <c r="AP130" i="13"/>
  <c r="M13" i="13"/>
  <c r="AH163" i="13"/>
  <c r="L141" i="13"/>
  <c r="AX130" i="13"/>
  <c r="AV178" i="13"/>
  <c r="M178" i="13"/>
  <c r="AN178" i="13"/>
  <c r="AF178" i="13"/>
  <c r="Z178" i="13"/>
  <c r="V178" i="13"/>
  <c r="AX178" i="13"/>
  <c r="AH178" i="13"/>
  <c r="X178" i="13"/>
  <c r="R178" i="13"/>
  <c r="BB178" i="13"/>
  <c r="AL178" i="13"/>
  <c r="AD178" i="13"/>
  <c r="F175" i="20"/>
  <c r="BB36" i="13"/>
  <c r="AX36" i="13"/>
  <c r="AJ116" i="13"/>
  <c r="R116" i="13"/>
  <c r="AX116" i="13"/>
  <c r="L116" i="13"/>
  <c r="AF116" i="13"/>
  <c r="AD116" i="13"/>
  <c r="AH116" i="13"/>
  <c r="V116" i="13"/>
  <c r="AL116" i="13"/>
  <c r="AV84" i="13"/>
  <c r="BB84" i="13"/>
  <c r="L84" i="13"/>
  <c r="M84" i="13"/>
  <c r="L127" i="13"/>
  <c r="T127" i="13"/>
  <c r="R127" i="13"/>
  <c r="V127" i="13"/>
  <c r="AV127" i="13"/>
  <c r="AB127" i="13"/>
  <c r="AF127" i="13"/>
  <c r="AD127" i="13"/>
  <c r="AH127" i="13"/>
  <c r="Z127" i="13"/>
  <c r="X127" i="13"/>
  <c r="AJ127" i="13"/>
  <c r="AN127" i="13"/>
  <c r="M127" i="13"/>
  <c r="L76" i="13"/>
  <c r="AV76" i="13"/>
  <c r="AX110" i="13"/>
  <c r="L110" i="13"/>
  <c r="AF110" i="13"/>
  <c r="AH110" i="13"/>
  <c r="X110" i="13"/>
  <c r="T110" i="13"/>
  <c r="AN110" i="13"/>
  <c r="R110" i="13"/>
  <c r="AJ110" i="13"/>
  <c r="Z110" i="13"/>
  <c r="AR110" i="13"/>
  <c r="L40" i="13"/>
  <c r="X40" i="13"/>
  <c r="AX40" i="13"/>
  <c r="V40" i="13"/>
  <c r="R40" i="13"/>
  <c r="M40" i="13"/>
  <c r="AP70" i="13"/>
  <c r="AZ70" i="13"/>
  <c r="L70" i="13"/>
  <c r="Z70" i="13"/>
  <c r="AR70" i="13"/>
  <c r="X70" i="13"/>
  <c r="AV70" i="13"/>
  <c r="V70" i="13"/>
  <c r="R70" i="13"/>
  <c r="AJ70" i="13"/>
  <c r="AF70" i="13"/>
  <c r="AH70" i="13"/>
  <c r="AX70" i="13"/>
  <c r="AB70" i="13"/>
  <c r="M70" i="13"/>
  <c r="T180" i="13"/>
  <c r="V180" i="13"/>
  <c r="R180" i="13"/>
  <c r="F177" i="20"/>
  <c r="P216" i="13"/>
  <c r="AF101" i="13"/>
  <c r="AH141" i="13"/>
  <c r="R126" i="13"/>
  <c r="M101" i="13"/>
  <c r="T13" i="13"/>
  <c r="L178" i="13"/>
  <c r="AV36" i="13"/>
  <c r="AF201" i="13"/>
  <c r="AR209" i="13"/>
  <c r="AH209" i="13"/>
  <c r="Z209" i="13"/>
  <c r="F206" i="20"/>
  <c r="R209" i="13"/>
  <c r="AJ209" i="13"/>
  <c r="AP209" i="13"/>
  <c r="AL209" i="13"/>
  <c r="X209" i="13"/>
  <c r="AF209" i="13"/>
  <c r="AN209" i="13"/>
  <c r="AD209" i="13"/>
  <c r="AB209" i="13"/>
  <c r="V209" i="13"/>
  <c r="T209" i="13"/>
  <c r="R115" i="13"/>
  <c r="T115" i="13"/>
  <c r="AN89" i="13"/>
  <c r="Z89" i="13"/>
  <c r="AD89" i="13"/>
  <c r="AP89" i="13"/>
  <c r="F91" i="20"/>
  <c r="AF94" i="13"/>
  <c r="AB94" i="13"/>
  <c r="AR94" i="13"/>
  <c r="AH94" i="13"/>
  <c r="R94" i="13"/>
  <c r="AL94" i="13"/>
  <c r="V94" i="13"/>
  <c r="T94" i="13"/>
  <c r="X94" i="13"/>
  <c r="AP94" i="13"/>
  <c r="AN94" i="13"/>
  <c r="AJ201" i="13"/>
  <c r="AL201" i="13"/>
  <c r="X201" i="13"/>
  <c r="R201" i="13"/>
  <c r="AN201" i="13"/>
  <c r="V201" i="13"/>
  <c r="AL27" i="13"/>
  <c r="AF27" i="13"/>
  <c r="F24" i="20"/>
  <c r="T27" i="13"/>
  <c r="AD27" i="13"/>
  <c r="R98" i="13"/>
  <c r="T98" i="13"/>
  <c r="AP122" i="13"/>
  <c r="X122" i="13"/>
  <c r="R122" i="13"/>
  <c r="AF164" i="13"/>
  <c r="AP164" i="13"/>
  <c r="AH164" i="13"/>
  <c r="Z164" i="13"/>
  <c r="AB164" i="13"/>
  <c r="AL164" i="13"/>
  <c r="AD164" i="13"/>
  <c r="F161" i="20"/>
  <c r="T164" i="13"/>
  <c r="V164" i="13"/>
  <c r="AN164" i="13"/>
  <c r="AJ164" i="13"/>
  <c r="X164" i="13"/>
  <c r="AR164" i="13"/>
  <c r="AR54" i="13"/>
  <c r="X54" i="13"/>
  <c r="AJ54" i="13"/>
  <c r="R161" i="13"/>
  <c r="V161" i="13"/>
  <c r="AD187" i="13"/>
  <c r="AL187" i="13"/>
  <c r="AR187" i="13"/>
  <c r="AJ180" i="13"/>
  <c r="AD180" i="13"/>
  <c r="AF180" i="13"/>
  <c r="AN180" i="13"/>
  <c r="AL180" i="13"/>
  <c r="AB180" i="13"/>
  <c r="AP180" i="13"/>
  <c r="AR180" i="13"/>
  <c r="AH180" i="13"/>
  <c r="Z180" i="13"/>
  <c r="X180" i="13"/>
  <c r="AR161" i="13"/>
  <c r="AL161" i="13"/>
  <c r="Z161" i="13"/>
  <c r="AD161" i="13"/>
  <c r="AN161" i="13"/>
  <c r="AH161" i="13"/>
  <c r="AB161" i="13"/>
  <c r="AJ161" i="13"/>
  <c r="AP161" i="13"/>
  <c r="AF161" i="13"/>
  <c r="X161" i="13"/>
  <c r="AP54" i="13"/>
  <c r="Z54" i="13"/>
  <c r="AL54" i="13"/>
  <c r="AF54" i="13"/>
  <c r="AD54" i="13"/>
  <c r="Z187" i="13"/>
  <c r="AX18" i="13"/>
  <c r="AX239" i="13"/>
  <c r="AV87" i="13"/>
  <c r="AV209" i="13"/>
  <c r="AX15" i="13"/>
  <c r="AZ36" i="13"/>
  <c r="P236" i="13"/>
  <c r="AX89" i="13"/>
  <c r="BB41" i="13"/>
  <c r="AV231" i="13"/>
  <c r="AX229" i="13"/>
  <c r="AX215" i="13"/>
  <c r="AX212" i="13"/>
  <c r="BB222" i="13"/>
  <c r="BB107" i="13"/>
  <c r="AZ88" i="13"/>
  <c r="BB256" i="13"/>
  <c r="BB236" i="13"/>
  <c r="BB187" i="13"/>
  <c r="AZ260" i="13"/>
  <c r="X187" i="13"/>
  <c r="AH187" i="13"/>
  <c r="BB245" i="13"/>
  <c r="AX214" i="13"/>
  <c r="AF187" i="13"/>
  <c r="AV187" i="13"/>
  <c r="AZ228" i="13"/>
  <c r="AJ187" i="13"/>
  <c r="AB187" i="13"/>
  <c r="F184" i="20"/>
  <c r="V187" i="13"/>
  <c r="AP187" i="13"/>
  <c r="R187" i="13"/>
  <c r="T187" i="13"/>
  <c r="F81" i="20"/>
  <c r="R84" i="13"/>
  <c r="V84" i="13"/>
  <c r="F73" i="20"/>
  <c r="T76" i="13"/>
  <c r="R76" i="13"/>
  <c r="V76" i="13"/>
  <c r="T40" i="13"/>
  <c r="F69" i="20"/>
  <c r="R72" i="13"/>
  <c r="T72" i="13"/>
  <c r="F97" i="20"/>
  <c r="V100" i="13"/>
  <c r="R100" i="13"/>
  <c r="T100" i="13"/>
  <c r="T95" i="13"/>
  <c r="V95" i="13"/>
  <c r="R85" i="13"/>
  <c r="T85" i="13"/>
  <c r="V85" i="13"/>
  <c r="Z37" i="13"/>
  <c r="AF37" i="13"/>
  <c r="AP37" i="13"/>
  <c r="M37" i="13"/>
  <c r="AN84" i="13"/>
  <c r="AF84" i="13"/>
  <c r="AB84" i="13"/>
  <c r="AL84" i="13"/>
  <c r="AD84" i="13"/>
  <c r="AR84" i="13"/>
  <c r="AJ84" i="13"/>
  <c r="Z84" i="13"/>
  <c r="AP84" i="13"/>
  <c r="AH84" i="13"/>
  <c r="X84" i="13"/>
  <c r="AL76" i="13"/>
  <c r="AH76" i="13"/>
  <c r="AR76" i="13"/>
  <c r="AJ76" i="13"/>
  <c r="AB76" i="13"/>
  <c r="AP76" i="13"/>
  <c r="AF76" i="13"/>
  <c r="Z76" i="13"/>
  <c r="AD76" i="13"/>
  <c r="AN76" i="13"/>
  <c r="AL40" i="13"/>
  <c r="AH40" i="13"/>
  <c r="AR40" i="13"/>
  <c r="AD40" i="13"/>
  <c r="AP40" i="13"/>
  <c r="AJ40" i="13"/>
  <c r="AB40" i="13"/>
  <c r="Z40" i="13"/>
  <c r="AF40" i="13"/>
  <c r="AN40" i="13"/>
  <c r="X37" i="13"/>
  <c r="AJ37" i="13"/>
  <c r="AR37" i="13"/>
  <c r="AZ61" i="13"/>
  <c r="AZ37" i="13"/>
  <c r="AP72" i="13"/>
  <c r="AL72" i="13"/>
  <c r="AB72" i="13"/>
  <c r="AN72" i="13"/>
  <c r="AD72" i="13"/>
  <c r="Z72" i="13"/>
  <c r="AR72" i="13"/>
  <c r="AH72" i="13"/>
  <c r="X72" i="13"/>
  <c r="AJ72" i="13"/>
  <c r="AF72" i="13"/>
  <c r="AB37" i="13"/>
  <c r="AH37" i="13"/>
  <c r="M61" i="13"/>
  <c r="L37" i="13"/>
  <c r="AP100" i="13"/>
  <c r="AL100" i="13"/>
  <c r="AJ100" i="13"/>
  <c r="X100" i="13"/>
  <c r="AN100" i="13"/>
  <c r="AD100" i="13"/>
  <c r="Z100" i="13"/>
  <c r="AR100" i="13"/>
  <c r="AH100" i="13"/>
  <c r="AB100" i="13"/>
  <c r="AF100" i="13"/>
  <c r="AN95" i="13"/>
  <c r="AF95" i="13"/>
  <c r="AJ95" i="13"/>
  <c r="AD95" i="13"/>
  <c r="Z95" i="13"/>
  <c r="AR95" i="13"/>
  <c r="AL95" i="13"/>
  <c r="AH95" i="13"/>
  <c r="X95" i="13"/>
  <c r="AP95" i="13"/>
  <c r="AB95" i="13"/>
  <c r="AH85" i="13"/>
  <c r="Z85" i="13"/>
  <c r="AR85" i="13"/>
  <c r="AB85" i="13"/>
  <c r="AN85" i="13"/>
  <c r="AJ85" i="13"/>
  <c r="AL85" i="13"/>
  <c r="X85" i="13"/>
  <c r="AP85" i="13"/>
  <c r="AD85" i="13"/>
  <c r="AF85" i="13"/>
  <c r="AZ251" i="13"/>
  <c r="AZ230" i="13"/>
  <c r="AZ234" i="13"/>
  <c r="AZ17" i="13"/>
  <c r="BB168" i="13"/>
  <c r="BB205" i="13"/>
  <c r="BB206" i="13"/>
  <c r="Z216" i="13"/>
  <c r="BB102" i="13"/>
  <c r="BB217" i="13"/>
  <c r="BB261" i="13"/>
  <c r="AF204" i="13"/>
  <c r="AX237" i="13"/>
  <c r="AV107" i="13"/>
  <c r="AV225" i="13"/>
  <c r="AV37" i="13"/>
  <c r="AX87" i="13"/>
  <c r="AV243" i="13"/>
  <c r="AV219" i="13"/>
  <c r="AV47" i="13"/>
  <c r="AV61" i="13"/>
  <c r="AV222" i="13"/>
  <c r="AV236" i="13"/>
  <c r="AV43" i="13"/>
  <c r="AV226" i="13"/>
  <c r="AV253" i="13"/>
  <c r="AX230" i="13"/>
  <c r="AV65" i="13"/>
  <c r="AV188" i="13"/>
  <c r="M36" i="13"/>
  <c r="AL36" i="13"/>
  <c r="AH36" i="13"/>
  <c r="Z36" i="13"/>
  <c r="F33" i="20"/>
  <c r="AP36" i="13"/>
  <c r="AF36" i="13"/>
  <c r="AR36" i="13"/>
  <c r="AJ36" i="13"/>
  <c r="X36" i="13"/>
  <c r="T36" i="13"/>
  <c r="V36" i="13"/>
  <c r="AN36" i="13"/>
  <c r="AD36" i="13"/>
  <c r="AB36" i="13"/>
  <c r="R61" i="13"/>
  <c r="AH61" i="13"/>
  <c r="AB61" i="13"/>
  <c r="AP61" i="13"/>
  <c r="T61" i="13"/>
  <c r="AD61" i="13"/>
  <c r="AN61" i="13"/>
  <c r="V61" i="13"/>
  <c r="X61" i="13"/>
  <c r="AJ61" i="13"/>
  <c r="AR61" i="13"/>
  <c r="AF61" i="13"/>
  <c r="Z61" i="13"/>
  <c r="AL61" i="13"/>
  <c r="AZ117" i="13"/>
  <c r="AZ63" i="13"/>
  <c r="AX16" i="13"/>
  <c r="BB124" i="13"/>
  <c r="AZ236" i="13"/>
  <c r="AZ201" i="13"/>
  <c r="AZ257" i="13"/>
  <c r="A215" i="20"/>
  <c r="A251" i="20"/>
  <c r="F99" i="20"/>
  <c r="F174" i="20"/>
  <c r="F34" i="20"/>
  <c r="F26" i="20"/>
  <c r="F130" i="20"/>
  <c r="F149" i="20"/>
  <c r="F46" i="20"/>
  <c r="F145" i="20"/>
  <c r="F85" i="20"/>
  <c r="F131" i="20"/>
  <c r="F106" i="20"/>
  <c r="F171" i="20"/>
  <c r="F93" i="20"/>
  <c r="F115" i="20"/>
  <c r="F173" i="20"/>
  <c r="F102" i="20"/>
  <c r="F103" i="20"/>
  <c r="F49" i="20"/>
  <c r="F95" i="20"/>
  <c r="F77" i="20"/>
  <c r="F216" i="20"/>
  <c r="F114" i="20"/>
  <c r="F238" i="20"/>
  <c r="F122" i="20"/>
  <c r="F222" i="20"/>
  <c r="F152" i="20"/>
  <c r="F167" i="20"/>
  <c r="A237" i="20"/>
  <c r="F30" i="20"/>
  <c r="F60" i="20"/>
  <c r="F138" i="20"/>
  <c r="F134" i="20"/>
  <c r="F192" i="20"/>
  <c r="F187" i="20"/>
  <c r="F180" i="20"/>
  <c r="F151" i="20"/>
  <c r="F56" i="20"/>
  <c r="F101" i="20"/>
  <c r="F204" i="20"/>
  <c r="F109" i="20"/>
  <c r="F113" i="20"/>
  <c r="F110" i="20"/>
  <c r="F142" i="20"/>
  <c r="F140" i="20"/>
  <c r="F178" i="20"/>
  <c r="F154" i="20"/>
  <c r="F96" i="20"/>
  <c r="F39" i="20"/>
  <c r="F28" i="20"/>
  <c r="F55" i="20"/>
  <c r="F118" i="20"/>
  <c r="F224" i="20"/>
  <c r="F126" i="20"/>
  <c r="F51" i="20"/>
  <c r="F208" i="20"/>
  <c r="F112" i="20"/>
  <c r="F89" i="20"/>
  <c r="F124" i="20"/>
  <c r="A252" i="20"/>
  <c r="F53" i="20"/>
  <c r="F54" i="20"/>
  <c r="F94" i="20"/>
  <c r="F74" i="20"/>
  <c r="F129" i="20"/>
  <c r="F194" i="20"/>
  <c r="F50" i="20"/>
  <c r="F137" i="20"/>
  <c r="F195" i="20"/>
  <c r="F125" i="20"/>
  <c r="F86" i="20"/>
  <c r="F165" i="20"/>
  <c r="F205" i="20"/>
  <c r="F21" i="20"/>
  <c r="F172" i="20"/>
  <c r="F169" i="20"/>
  <c r="F19" i="20"/>
  <c r="F80" i="20"/>
  <c r="F182" i="20"/>
  <c r="F157" i="20"/>
  <c r="F70" i="20"/>
  <c r="F168" i="20"/>
  <c r="F76" i="20"/>
  <c r="F105" i="20"/>
  <c r="F179" i="20"/>
  <c r="F136" i="20"/>
  <c r="F186" i="20"/>
  <c r="F23" i="20"/>
  <c r="F45" i="20"/>
  <c r="F230" i="20"/>
  <c r="F128" i="20"/>
  <c r="F227" i="20"/>
  <c r="F185" i="20"/>
  <c r="F240" i="20"/>
  <c r="F249" i="20"/>
  <c r="E4" i="20"/>
  <c r="A250" i="20"/>
  <c r="F35" i="20"/>
  <c r="F48" i="20"/>
  <c r="F63" i="20"/>
  <c r="F65" i="20"/>
  <c r="F66" i="20"/>
  <c r="F183" i="20"/>
  <c r="F150" i="20"/>
  <c r="F62" i="20"/>
  <c r="F61" i="20"/>
  <c r="F133" i="20"/>
  <c r="F132" i="20"/>
  <c r="F117" i="20"/>
  <c r="F75" i="20"/>
  <c r="F79" i="20"/>
  <c r="F135" i="20"/>
  <c r="F139" i="20"/>
  <c r="F68" i="20"/>
  <c r="F123" i="20"/>
  <c r="F47" i="20"/>
  <c r="F90" i="20"/>
  <c r="F57" i="20"/>
  <c r="F59" i="20"/>
  <c r="F107" i="20"/>
  <c r="F196" i="20"/>
  <c r="F67" i="20"/>
  <c r="F27" i="20"/>
  <c r="F162" i="20"/>
  <c r="F32" i="20"/>
  <c r="F144" i="20"/>
  <c r="F153" i="20"/>
  <c r="F198" i="20"/>
  <c r="F229" i="20"/>
  <c r="F52" i="20"/>
  <c r="F248" i="20"/>
  <c r="F232" i="20"/>
  <c r="F155" i="20"/>
  <c r="P194" i="13"/>
  <c r="F191" i="20"/>
  <c r="P144" i="13"/>
  <c r="F141" i="20"/>
  <c r="P202" i="13"/>
  <c r="F199" i="20"/>
  <c r="P205" i="13"/>
  <c r="F202" i="20"/>
  <c r="P203" i="13"/>
  <c r="F200" i="20"/>
  <c r="P81" i="13"/>
  <c r="F78" i="20"/>
  <c r="P166" i="13"/>
  <c r="F163" i="20"/>
  <c r="P200" i="13"/>
  <c r="F197" i="20"/>
  <c r="P192" i="13"/>
  <c r="F189" i="20"/>
  <c r="P173" i="13"/>
  <c r="F170" i="20"/>
  <c r="P91" i="13"/>
  <c r="F88" i="20"/>
  <c r="BB63" i="13"/>
  <c r="AZ45" i="13"/>
  <c r="AZ240" i="13"/>
  <c r="AX208" i="13"/>
  <c r="AV216" i="13"/>
  <c r="AX224" i="13"/>
  <c r="T83" i="14"/>
  <c r="T39" i="14"/>
  <c r="T216" i="14"/>
  <c r="T12" i="14"/>
  <c r="T55" i="14"/>
  <c r="T58" i="14"/>
  <c r="T206" i="14"/>
  <c r="T171" i="14"/>
  <c r="T218" i="14"/>
  <c r="T10" i="14"/>
  <c r="T225" i="14"/>
  <c r="T215" i="14"/>
  <c r="T140" i="14"/>
  <c r="T14" i="14"/>
  <c r="T210" i="14"/>
  <c r="T91" i="14"/>
  <c r="T200" i="14"/>
  <c r="T156" i="14"/>
  <c r="T227" i="14"/>
  <c r="T162" i="14"/>
  <c r="T223" i="14"/>
  <c r="T163" i="14"/>
  <c r="T101" i="14"/>
  <c r="T222" i="14"/>
  <c r="T205" i="14"/>
  <c r="T221" i="14"/>
  <c r="T214" i="14"/>
  <c r="T8" i="14"/>
  <c r="T80" i="14"/>
  <c r="T181" i="14"/>
  <c r="T81" i="14"/>
  <c r="T199" i="14"/>
  <c r="T11" i="14"/>
  <c r="T208" i="14"/>
  <c r="T217" i="14"/>
  <c r="T13" i="14"/>
  <c r="T203" i="14"/>
  <c r="T22" i="14"/>
  <c r="T231" i="14"/>
  <c r="T79" i="14"/>
  <c r="T188" i="14"/>
  <c r="T30" i="14"/>
  <c r="T187" i="14"/>
  <c r="T96" i="14"/>
  <c r="T212" i="14"/>
  <c r="T108" i="14"/>
  <c r="T172" i="14"/>
  <c r="T41" i="14"/>
  <c r="T207" i="14"/>
  <c r="T116" i="14"/>
  <c r="T213" i="14"/>
  <c r="T182" i="14"/>
  <c r="T17" i="14"/>
  <c r="T240" i="14"/>
  <c r="T89" i="14"/>
  <c r="T34" i="14"/>
  <c r="T31" i="14"/>
  <c r="T238" i="14"/>
  <c r="T9" i="14"/>
  <c r="R15" i="13"/>
  <c r="T230" i="14"/>
  <c r="T209" i="14"/>
  <c r="T233" i="14"/>
  <c r="T226" i="14"/>
  <c r="T236" i="14"/>
  <c r="T118" i="14"/>
  <c r="T237" i="14"/>
  <c r="T232" i="14"/>
  <c r="T113" i="14"/>
  <c r="T228" i="14"/>
  <c r="T37" i="14"/>
  <c r="T224" i="14"/>
  <c r="T202" i="14"/>
  <c r="AZ222" i="13"/>
  <c r="P52" i="13"/>
  <c r="AZ72" i="13"/>
  <c r="AV23" i="13"/>
  <c r="BB221" i="13"/>
  <c r="BB248" i="13"/>
  <c r="BB177" i="13"/>
  <c r="AV239" i="13"/>
  <c r="AZ217" i="13"/>
  <c r="AX225" i="13"/>
  <c r="BB87" i="13"/>
  <c r="BB231" i="13"/>
  <c r="BB40" i="13"/>
  <c r="AZ237" i="13"/>
  <c r="BB216" i="13"/>
  <c r="AX217" i="13"/>
  <c r="AV230" i="13"/>
  <c r="AX63" i="13"/>
  <c r="BB237" i="13"/>
  <c r="AV16" i="13"/>
  <c r="AV238" i="13"/>
  <c r="AZ18" i="13"/>
  <c r="AV211" i="13"/>
  <c r="AV244" i="13"/>
  <c r="AZ233" i="13"/>
  <c r="AX41" i="13"/>
  <c r="AX256" i="13"/>
  <c r="BB169" i="13"/>
  <c r="AV28" i="13"/>
  <c r="AX44" i="13"/>
  <c r="AX255" i="13"/>
  <c r="AV254" i="13"/>
  <c r="AV201" i="13"/>
  <c r="AZ124" i="13"/>
  <c r="AX65" i="13"/>
  <c r="BB251" i="13"/>
  <c r="BB219" i="13"/>
  <c r="BB229" i="13"/>
  <c r="AV19" i="13"/>
  <c r="AZ232" i="13"/>
  <c r="AV249" i="13"/>
  <c r="BB21" i="13"/>
  <c r="AZ218" i="13"/>
  <c r="AX240" i="13"/>
  <c r="AV217" i="13"/>
  <c r="AX226" i="13"/>
  <c r="AX241" i="13"/>
  <c r="BB44" i="13"/>
  <c r="AV257" i="13"/>
  <c r="AV169" i="13"/>
  <c r="AZ212" i="13"/>
  <c r="AV146" i="13"/>
  <c r="BB210" i="13"/>
  <c r="BB97" i="13"/>
  <c r="AX201" i="13"/>
  <c r="AZ226" i="13"/>
  <c r="AX210" i="13"/>
  <c r="AZ205" i="13"/>
  <c r="AX245" i="13"/>
  <c r="AX84" i="13"/>
  <c r="AZ169" i="13"/>
  <c r="AZ40" i="13"/>
  <c r="BB14" i="13"/>
  <c r="AX117" i="13"/>
  <c r="AX161" i="13"/>
  <c r="AZ178" i="13"/>
  <c r="AX21" i="13"/>
  <c r="AV212" i="13"/>
  <c r="BB19" i="13"/>
  <c r="AV218" i="13"/>
  <c r="AV40" i="13"/>
  <c r="AV45" i="13"/>
  <c r="AV64" i="13"/>
  <c r="AX235" i="13"/>
  <c r="AV250" i="13"/>
  <c r="BB242" i="13"/>
  <c r="AZ102" i="13"/>
  <c r="AZ250" i="13"/>
  <c r="BB249" i="13"/>
  <c r="BB234" i="13"/>
  <c r="AZ15" i="13"/>
  <c r="AX88" i="13"/>
  <c r="AZ208" i="13"/>
  <c r="AZ193" i="13"/>
  <c r="AV18" i="13"/>
  <c r="AZ246" i="13"/>
  <c r="BB257" i="13"/>
  <c r="BB253" i="13"/>
  <c r="AX72" i="13"/>
  <c r="AZ188" i="13"/>
  <c r="P68" i="13"/>
  <c r="AZ92" i="13"/>
  <c r="AZ127" i="13"/>
  <c r="AZ121" i="13"/>
  <c r="AV31" i="13"/>
  <c r="AX204" i="13"/>
  <c r="AX139" i="13"/>
  <c r="AV147" i="13"/>
  <c r="AV30" i="13"/>
  <c r="AV145" i="13"/>
  <c r="AV135" i="13"/>
  <c r="AV144" i="13"/>
  <c r="AV189" i="13"/>
  <c r="AV58" i="13"/>
  <c r="AV39" i="13"/>
  <c r="AV195" i="13"/>
  <c r="AX184" i="13"/>
  <c r="AV104" i="13"/>
  <c r="BB77" i="13"/>
  <c r="AZ82" i="13"/>
  <c r="BB126" i="13"/>
  <c r="BB67" i="13"/>
  <c r="AX54" i="13"/>
  <c r="AX183" i="13"/>
  <c r="AX94" i="13"/>
  <c r="AX158" i="13"/>
  <c r="AV103" i="13"/>
  <c r="BB155" i="13"/>
  <c r="BB167" i="13"/>
  <c r="AZ90" i="13"/>
  <c r="AZ132" i="13"/>
  <c r="AZ149" i="13"/>
  <c r="BB98" i="13"/>
  <c r="AZ35" i="13"/>
  <c r="AZ46" i="13"/>
  <c r="BB163" i="13"/>
  <c r="AZ170" i="13"/>
  <c r="BB156" i="13"/>
  <c r="BB120" i="13"/>
  <c r="AZ56" i="13"/>
  <c r="AZ29" i="13"/>
  <c r="AZ123" i="13"/>
  <c r="AZ106" i="13"/>
  <c r="AZ200" i="13"/>
  <c r="BB182" i="13"/>
  <c r="AV199" i="13"/>
  <c r="AV190" i="13"/>
  <c r="AX140" i="13"/>
  <c r="AX148" i="13"/>
  <c r="AX125" i="13"/>
  <c r="AV51" i="13"/>
  <c r="AX27" i="13"/>
  <c r="AV143" i="13"/>
  <c r="AV186" i="13"/>
  <c r="AX150" i="13"/>
  <c r="BB111" i="13"/>
  <c r="AZ141" i="13"/>
  <c r="AZ115" i="13"/>
  <c r="BB59" i="13"/>
  <c r="BB50" i="13"/>
  <c r="BB180" i="13"/>
  <c r="AZ202" i="13"/>
  <c r="AZ154" i="13"/>
  <c r="AX93" i="13"/>
  <c r="AV25" i="13"/>
  <c r="AX159" i="13"/>
  <c r="AX152" i="13"/>
  <c r="AV80" i="13"/>
  <c r="BB138" i="13"/>
  <c r="AZ75" i="13"/>
  <c r="AX55" i="13"/>
  <c r="AV191" i="13"/>
  <c r="BB109" i="13"/>
  <c r="BB131" i="13"/>
  <c r="AV100" i="13"/>
  <c r="AX69" i="13"/>
  <c r="AV24" i="13"/>
  <c r="AV66" i="13"/>
  <c r="AV38" i="13"/>
  <c r="AV196" i="13"/>
  <c r="AX151" i="13"/>
  <c r="AX74" i="13"/>
  <c r="AX198" i="13"/>
  <c r="AX32" i="13"/>
  <c r="AV179" i="13"/>
  <c r="AV128" i="13"/>
  <c r="AV22" i="13"/>
  <c r="AZ118" i="13"/>
  <c r="AZ181" i="13"/>
  <c r="AX101" i="13"/>
  <c r="AX99" i="13"/>
  <c r="AX137" i="13"/>
  <c r="AV83" i="13"/>
  <c r="AZ68" i="13"/>
  <c r="BB42" i="13"/>
  <c r="AZ160" i="13"/>
  <c r="AV185" i="13"/>
  <c r="AV171" i="13"/>
  <c r="BB81" i="13"/>
  <c r="BB53" i="13"/>
  <c r="BB197" i="13"/>
  <c r="BB136" i="13"/>
  <c r="BB96" i="13"/>
  <c r="AV134" i="13"/>
  <c r="AX49" i="13"/>
  <c r="AX62" i="13"/>
  <c r="AZ166" i="13"/>
  <c r="BB175" i="13"/>
  <c r="BB157" i="13"/>
  <c r="AV113" i="13"/>
  <c r="AZ73" i="13"/>
  <c r="AZ76" i="13"/>
  <c r="AZ164" i="13"/>
  <c r="AV129" i="13"/>
  <c r="AX172" i="13"/>
  <c r="AV71" i="13"/>
  <c r="BB192" i="13"/>
  <c r="AZ153" i="13"/>
  <c r="AZ108" i="13"/>
  <c r="AZ91" i="13"/>
  <c r="AZ133" i="13"/>
  <c r="BB78" i="13"/>
  <c r="AZ60" i="13"/>
  <c r="AV33" i="13"/>
  <c r="AX207" i="13"/>
  <c r="AX173" i="13"/>
  <c r="AX112" i="13"/>
  <c r="BB26" i="13"/>
  <c r="BB165" i="13"/>
  <c r="AZ142" i="13"/>
  <c r="BB79" i="13"/>
  <c r="BB105" i="13"/>
  <c r="AV57" i="13"/>
  <c r="AX203" i="13"/>
  <c r="AV176" i="13"/>
  <c r="AV174" i="13"/>
  <c r="AZ130" i="13"/>
  <c r="AZ48" i="13"/>
  <c r="BB52" i="13"/>
  <c r="BB92" i="13"/>
  <c r="BB127" i="13"/>
  <c r="BB121" i="13"/>
  <c r="AZ31" i="13"/>
  <c r="AZ204" i="13"/>
  <c r="AZ139" i="13"/>
  <c r="BB147" i="13"/>
  <c r="AZ30" i="13"/>
  <c r="BB145" i="13"/>
  <c r="BB135" i="13"/>
  <c r="AX144" i="13"/>
  <c r="AX189" i="13"/>
  <c r="AX58" i="13"/>
  <c r="AX39" i="13"/>
  <c r="AX195" i="13"/>
  <c r="AV184" i="13"/>
  <c r="AX104" i="13"/>
  <c r="AV77" i="13"/>
  <c r="AV82" i="13"/>
  <c r="AZ67" i="13"/>
  <c r="BB54" i="13"/>
  <c r="AZ183" i="13"/>
  <c r="AV94" i="13"/>
  <c r="AV158" i="13"/>
  <c r="AX103" i="13"/>
  <c r="AV155" i="13"/>
  <c r="AV167" i="13"/>
  <c r="BB90" i="13"/>
  <c r="BB132" i="13"/>
  <c r="BB149" i="13"/>
  <c r="AZ98" i="13"/>
  <c r="BB35" i="13"/>
  <c r="BB46" i="13"/>
  <c r="AZ163" i="13"/>
  <c r="BB170" i="13"/>
  <c r="AZ156" i="13"/>
  <c r="AZ120" i="13"/>
  <c r="BB56" i="13"/>
  <c r="BB29" i="13"/>
  <c r="BB123" i="13"/>
  <c r="BB106" i="13"/>
  <c r="BB200" i="13"/>
  <c r="AZ182" i="13"/>
  <c r="BB199" i="13"/>
  <c r="AX190" i="13"/>
  <c r="AV140" i="13"/>
  <c r="AV148" i="13"/>
  <c r="AV125" i="13"/>
  <c r="AX51" i="13"/>
  <c r="AV27" i="13"/>
  <c r="AX143" i="13"/>
  <c r="AX186" i="13"/>
  <c r="AV150" i="13"/>
  <c r="AX111" i="13"/>
  <c r="AX115" i="13"/>
  <c r="AV59" i="13"/>
  <c r="AX50" i="13"/>
  <c r="AX180" i="13"/>
  <c r="BB202" i="13"/>
  <c r="BB154" i="13"/>
  <c r="AZ93" i="13"/>
  <c r="AZ25" i="13"/>
  <c r="AZ159" i="13"/>
  <c r="AV152" i="13"/>
  <c r="AX80" i="13"/>
  <c r="AV138" i="13"/>
  <c r="BB75" i="13"/>
  <c r="BB55" i="13"/>
  <c r="AX191" i="13"/>
  <c r="AV109" i="13"/>
  <c r="AZ131" i="13"/>
  <c r="BB100" i="13"/>
  <c r="AZ69" i="13"/>
  <c r="AZ24" i="13"/>
  <c r="AV34" i="13"/>
  <c r="AX66" i="13"/>
  <c r="AX38" i="13"/>
  <c r="AX196" i="13"/>
  <c r="AV151" i="13"/>
  <c r="AV74" i="13"/>
  <c r="AV198" i="13"/>
  <c r="AV32" i="13"/>
  <c r="AX179" i="13"/>
  <c r="AX128" i="13"/>
  <c r="AX22" i="13"/>
  <c r="AX118" i="13"/>
  <c r="BB181" i="13"/>
  <c r="BB99" i="13"/>
  <c r="AV137" i="13"/>
  <c r="AX83" i="13"/>
  <c r="AX68" i="13"/>
  <c r="AV42" i="13"/>
  <c r="BB160" i="13"/>
  <c r="AZ185" i="13"/>
  <c r="AX171" i="13"/>
  <c r="AV81" i="13"/>
  <c r="AZ53" i="13"/>
  <c r="AZ197" i="13"/>
  <c r="AZ136" i="13"/>
  <c r="AZ96" i="13"/>
  <c r="BB134" i="13"/>
  <c r="AV49" i="13"/>
  <c r="AV62" i="13"/>
  <c r="AV166" i="13"/>
  <c r="AZ175" i="13"/>
  <c r="AZ157" i="13"/>
  <c r="BB113" i="13"/>
  <c r="AV110" i="13"/>
  <c r="AX73" i="13"/>
  <c r="BB76" i="13"/>
  <c r="BB164" i="13"/>
  <c r="BB129" i="13"/>
  <c r="AZ172" i="13"/>
  <c r="AX71" i="13"/>
  <c r="AV192" i="13"/>
  <c r="BB153" i="13"/>
  <c r="BB108" i="13"/>
  <c r="BB91" i="13"/>
  <c r="BB133" i="13"/>
  <c r="AZ78" i="13"/>
  <c r="BB60" i="13"/>
  <c r="AZ33" i="13"/>
  <c r="BB207" i="13"/>
  <c r="BB173" i="13"/>
  <c r="AZ112" i="13"/>
  <c r="AV116" i="13"/>
  <c r="AV26" i="13"/>
  <c r="AX165" i="13"/>
  <c r="AX142" i="13"/>
  <c r="AZ79" i="13"/>
  <c r="AZ105" i="13"/>
  <c r="AZ13" i="13"/>
  <c r="AZ57" i="13"/>
  <c r="BB203" i="13"/>
  <c r="AX176" i="13"/>
  <c r="AX174" i="13"/>
  <c r="AX48" i="13"/>
  <c r="AV52" i="13"/>
  <c r="P142" i="13"/>
  <c r="AV92" i="13"/>
  <c r="AX121" i="13"/>
  <c r="BB31" i="13"/>
  <c r="BB70" i="13"/>
  <c r="BB204" i="13"/>
  <c r="BB139" i="13"/>
  <c r="AZ147" i="13"/>
  <c r="BB30" i="13"/>
  <c r="AZ145" i="13"/>
  <c r="AZ135" i="13"/>
  <c r="AZ144" i="13"/>
  <c r="BB189" i="13"/>
  <c r="AZ58" i="13"/>
  <c r="BB39" i="13"/>
  <c r="AZ195" i="13"/>
  <c r="AZ184" i="13"/>
  <c r="BB104" i="13"/>
  <c r="AX77" i="13"/>
  <c r="AX82" i="13"/>
  <c r="AX126" i="13"/>
  <c r="AV67" i="13"/>
  <c r="AZ54" i="13"/>
  <c r="BB183" i="13"/>
  <c r="BB94" i="13"/>
  <c r="BB158" i="13"/>
  <c r="AZ103" i="13"/>
  <c r="AX155" i="13"/>
  <c r="AX167" i="13"/>
  <c r="AX90" i="13"/>
  <c r="AX132" i="13"/>
  <c r="AV149" i="13"/>
  <c r="AV98" i="13"/>
  <c r="AV35" i="13"/>
  <c r="AX46" i="13"/>
  <c r="AX163" i="13"/>
  <c r="AV170" i="13"/>
  <c r="AX156" i="13"/>
  <c r="AX120" i="13"/>
  <c r="AX56" i="13"/>
  <c r="AX29" i="13"/>
  <c r="AV123" i="13"/>
  <c r="AX106" i="13"/>
  <c r="AV200" i="13"/>
  <c r="AV182" i="13"/>
  <c r="AZ199" i="13"/>
  <c r="AZ190" i="13"/>
  <c r="BB140" i="13"/>
  <c r="AZ148" i="13"/>
  <c r="BB125" i="13"/>
  <c r="BB51" i="13"/>
  <c r="AZ27" i="13"/>
  <c r="AZ143" i="13"/>
  <c r="AZ186" i="13"/>
  <c r="BB150" i="13"/>
  <c r="AV111" i="13"/>
  <c r="AV141" i="13"/>
  <c r="AV115" i="13"/>
  <c r="AX59" i="13"/>
  <c r="AV50" i="13"/>
  <c r="AV180" i="13"/>
  <c r="AX202" i="13"/>
  <c r="AV154" i="13"/>
  <c r="BB93" i="13"/>
  <c r="BB25" i="13"/>
  <c r="BB159" i="13"/>
  <c r="BB152" i="13"/>
  <c r="BB80" i="13"/>
  <c r="AX138" i="13"/>
  <c r="AV75" i="13"/>
  <c r="AZ55" i="13"/>
  <c r="BB191" i="13"/>
  <c r="AX109" i="13"/>
  <c r="AX131" i="13"/>
  <c r="AZ100" i="13"/>
  <c r="BB69" i="13"/>
  <c r="BB24" i="13"/>
  <c r="AZ34" i="13"/>
  <c r="BB66" i="13"/>
  <c r="BB38" i="13"/>
  <c r="AZ196" i="13"/>
  <c r="BB151" i="13"/>
  <c r="AZ74" i="13"/>
  <c r="AZ198" i="13"/>
  <c r="AZ32" i="13"/>
  <c r="BB179" i="13"/>
  <c r="AZ128" i="13"/>
  <c r="BB22" i="13"/>
  <c r="AV118" i="13"/>
  <c r="AX181" i="13"/>
  <c r="BB101" i="13"/>
  <c r="AZ99" i="13"/>
  <c r="AZ137" i="13"/>
  <c r="BB83" i="13"/>
  <c r="AV68" i="13"/>
  <c r="AX42" i="13"/>
  <c r="AV160" i="13"/>
  <c r="BB185" i="13"/>
  <c r="BB171" i="13"/>
  <c r="AX81" i="13"/>
  <c r="AV53" i="13"/>
  <c r="AX197" i="13"/>
  <c r="AX136" i="13"/>
  <c r="AV96" i="13"/>
  <c r="AZ134" i="13"/>
  <c r="BB49" i="13"/>
  <c r="BB62" i="13"/>
  <c r="AX166" i="13"/>
  <c r="AV175" i="13"/>
  <c r="AX157" i="13"/>
  <c r="AZ113" i="13"/>
  <c r="BB110" i="13"/>
  <c r="AV73" i="13"/>
  <c r="AX164" i="13"/>
  <c r="AZ129" i="13"/>
  <c r="BB172" i="13"/>
  <c r="AZ71" i="13"/>
  <c r="AX192" i="13"/>
  <c r="AX153" i="13"/>
  <c r="AV108" i="13"/>
  <c r="AV91" i="13"/>
  <c r="AV133" i="13"/>
  <c r="AX78" i="13"/>
  <c r="AV60" i="13"/>
  <c r="BB33" i="13"/>
  <c r="AZ207" i="13"/>
  <c r="AZ173" i="13"/>
  <c r="BB112" i="13"/>
  <c r="AZ116" i="13"/>
  <c r="AX26" i="13"/>
  <c r="AV165" i="13"/>
  <c r="AV142" i="13"/>
  <c r="AX79" i="13"/>
  <c r="AX105" i="13"/>
  <c r="BB13" i="13"/>
  <c r="BB57" i="13"/>
  <c r="AZ203" i="13"/>
  <c r="AZ176" i="13"/>
  <c r="BB174" i="13"/>
  <c r="AV130" i="13"/>
  <c r="AV48" i="13"/>
  <c r="AX52" i="13"/>
  <c r="AX92" i="13"/>
  <c r="AX127" i="13"/>
  <c r="AV121" i="13"/>
  <c r="AX31" i="13"/>
  <c r="AV204" i="13"/>
  <c r="AV139" i="13"/>
  <c r="AX147" i="13"/>
  <c r="AX30" i="13"/>
  <c r="AX145" i="13"/>
  <c r="AX135" i="13"/>
  <c r="BB144" i="13"/>
  <c r="AZ189" i="13"/>
  <c r="BB58" i="13"/>
  <c r="AZ39" i="13"/>
  <c r="BB195" i="13"/>
  <c r="BB184" i="13"/>
  <c r="AZ104" i="13"/>
  <c r="AZ77" i="13"/>
  <c r="BB82" i="13"/>
  <c r="AV126" i="13"/>
  <c r="AX67" i="13"/>
  <c r="AV54" i="13"/>
  <c r="AV183" i="13"/>
  <c r="AZ94" i="13"/>
  <c r="AZ158" i="13"/>
  <c r="BB103" i="13"/>
  <c r="AZ155" i="13"/>
  <c r="AZ167" i="13"/>
  <c r="AV90" i="13"/>
  <c r="AV132" i="13"/>
  <c r="AX149" i="13"/>
  <c r="AX98" i="13"/>
  <c r="AX35" i="13"/>
  <c r="AV46" i="13"/>
  <c r="AV163" i="13"/>
  <c r="AX170" i="13"/>
  <c r="AV156" i="13"/>
  <c r="AV120" i="13"/>
  <c r="AV56" i="13"/>
  <c r="AV29" i="13"/>
  <c r="AX123" i="13"/>
  <c r="AV106" i="13"/>
  <c r="AX200" i="13"/>
  <c r="AX182" i="13"/>
  <c r="AX199" i="13"/>
  <c r="BB190" i="13"/>
  <c r="AZ140" i="13"/>
  <c r="BB148" i="13"/>
  <c r="AZ125" i="13"/>
  <c r="AZ51" i="13"/>
  <c r="BB27" i="13"/>
  <c r="BB143" i="13"/>
  <c r="BB186" i="13"/>
  <c r="AZ150" i="13"/>
  <c r="AZ111" i="13"/>
  <c r="BB115" i="13"/>
  <c r="AZ59" i="13"/>
  <c r="AZ50" i="13"/>
  <c r="AZ180" i="13"/>
  <c r="AV202" i="13"/>
  <c r="AX154" i="13"/>
  <c r="AV93" i="13"/>
  <c r="AX25" i="13"/>
  <c r="AV159" i="13"/>
  <c r="AZ152" i="13"/>
  <c r="AZ80" i="13"/>
  <c r="AZ138" i="13"/>
  <c r="AX75" i="13"/>
  <c r="AV55" i="13"/>
  <c r="AZ191" i="13"/>
  <c r="AZ109" i="13"/>
  <c r="AV131" i="13"/>
  <c r="AX100" i="13"/>
  <c r="AV69" i="13"/>
  <c r="AX24" i="13"/>
  <c r="BB34" i="13"/>
  <c r="AZ66" i="13"/>
  <c r="AZ38" i="13"/>
  <c r="BB196" i="13"/>
  <c r="AZ151" i="13"/>
  <c r="BB74" i="13"/>
  <c r="BB198" i="13"/>
  <c r="BB32" i="13"/>
  <c r="AZ179" i="13"/>
  <c r="BB128" i="13"/>
  <c r="AZ22" i="13"/>
  <c r="BB118" i="13"/>
  <c r="AV181" i="13"/>
  <c r="AV101" i="13"/>
  <c r="AV99" i="13"/>
  <c r="BB137" i="13"/>
  <c r="AZ83" i="13"/>
  <c r="BB68" i="13"/>
  <c r="AZ42" i="13"/>
  <c r="AX160" i="13"/>
  <c r="AX185" i="13"/>
  <c r="AZ171" i="13"/>
  <c r="AZ81" i="13"/>
  <c r="AX53" i="13"/>
  <c r="AV197" i="13"/>
  <c r="AV136" i="13"/>
  <c r="AX96" i="13"/>
  <c r="AX134" i="13"/>
  <c r="AZ49" i="13"/>
  <c r="AZ62" i="13"/>
  <c r="BB166" i="13"/>
  <c r="AX175" i="13"/>
  <c r="AV157" i="13"/>
  <c r="AX113" i="13"/>
  <c r="AZ110" i="13"/>
  <c r="BB73" i="13"/>
  <c r="AX76" i="13"/>
  <c r="AV164" i="13"/>
  <c r="AX129" i="13"/>
  <c r="AV172" i="13"/>
  <c r="BB71" i="13"/>
  <c r="AZ192" i="13"/>
  <c r="AV153" i="13"/>
  <c r="AX108" i="13"/>
  <c r="AX91" i="13"/>
  <c r="AX133" i="13"/>
  <c r="AV78" i="13"/>
  <c r="AX60" i="13"/>
  <c r="AX33" i="13"/>
  <c r="AV207" i="13"/>
  <c r="AV173" i="13"/>
  <c r="AV112" i="13"/>
  <c r="BB116" i="13"/>
  <c r="AZ26" i="13"/>
  <c r="AZ165" i="13"/>
  <c r="BB142" i="13"/>
  <c r="AV79" i="13"/>
  <c r="AV105" i="13"/>
  <c r="AX13" i="13"/>
  <c r="AX57" i="13"/>
  <c r="AV203" i="13"/>
  <c r="BB176" i="13"/>
  <c r="AZ174" i="13"/>
  <c r="BB130" i="13"/>
  <c r="BB48" i="13"/>
  <c r="AZ52" i="13"/>
  <c r="AJ176" i="13"/>
  <c r="AJ81" i="13"/>
  <c r="AN166" i="13"/>
  <c r="AJ118" i="13"/>
  <c r="AP81" i="13"/>
  <c r="AN118" i="13"/>
  <c r="AP42" i="13"/>
  <c r="AJ22" i="13"/>
  <c r="AJ185" i="13"/>
  <c r="AJ42" i="13"/>
  <c r="AR160" i="13"/>
  <c r="AL62" i="13"/>
  <c r="AN96" i="13"/>
  <c r="AJ165" i="13"/>
  <c r="AJ106" i="13"/>
  <c r="AL106" i="13"/>
  <c r="AP31" i="13"/>
  <c r="AN70" i="13"/>
  <c r="AP30" i="13"/>
  <c r="AR145" i="13"/>
  <c r="AR207" i="13"/>
  <c r="AJ26" i="13"/>
  <c r="AL26" i="13"/>
  <c r="AN165" i="13"/>
  <c r="AP165" i="13"/>
  <c r="AR52" i="13"/>
  <c r="AP51" i="13"/>
  <c r="AL56" i="13"/>
  <c r="AJ69" i="13"/>
  <c r="AN132" i="13"/>
  <c r="AR197" i="13"/>
  <c r="AR178" i="13"/>
  <c r="AL25" i="13"/>
  <c r="AL149" i="13"/>
  <c r="AP190" i="13"/>
  <c r="AL203" i="13"/>
  <c r="AL148" i="13"/>
  <c r="AJ205" i="13"/>
  <c r="AL59" i="13"/>
  <c r="AN175" i="13"/>
  <c r="AN22" i="13"/>
  <c r="AL174" i="13"/>
  <c r="AL24" i="13"/>
  <c r="AN59" i="13"/>
  <c r="AP102" i="13"/>
  <c r="AL152" i="13"/>
  <c r="AN56" i="13"/>
  <c r="AP63" i="13"/>
  <c r="AP69" i="13"/>
  <c r="AN177" i="13"/>
  <c r="AN186" i="13"/>
  <c r="AN197" i="13"/>
  <c r="AR53" i="13"/>
  <c r="AJ195" i="13"/>
  <c r="AR195" i="13"/>
  <c r="AR140" i="13"/>
  <c r="AN198" i="13"/>
  <c r="AJ49" i="13"/>
  <c r="AR49" i="13"/>
  <c r="AJ135" i="13"/>
  <c r="AN120" i="13"/>
  <c r="AR208" i="13"/>
  <c r="AJ104" i="13"/>
  <c r="AR126" i="13"/>
  <c r="AP126" i="13"/>
  <c r="AN207" i="13"/>
  <c r="AP93" i="13"/>
  <c r="AN93" i="13"/>
  <c r="AR134" i="13"/>
  <c r="AL175" i="13"/>
  <c r="AL109" i="13"/>
  <c r="AP109" i="13"/>
  <c r="AJ60" i="13"/>
  <c r="AL165" i="13"/>
  <c r="AN63" i="13"/>
  <c r="AJ66" i="13"/>
  <c r="AR194" i="13"/>
  <c r="AL37" i="13"/>
  <c r="AN153" i="13"/>
  <c r="AR133" i="13"/>
  <c r="AR137" i="13"/>
  <c r="AN152" i="13"/>
  <c r="AP65" i="13"/>
  <c r="AP88" i="13"/>
  <c r="AP208" i="13"/>
  <c r="AP59" i="13"/>
  <c r="AL50" i="13"/>
  <c r="AR93" i="13"/>
  <c r="AP142" i="13"/>
  <c r="AL83" i="13"/>
  <c r="AJ63" i="13"/>
  <c r="AJ179" i="13"/>
  <c r="AP134" i="13"/>
  <c r="AL33" i="13"/>
  <c r="AJ33" i="13"/>
  <c r="AR33" i="13"/>
  <c r="AJ38" i="13"/>
  <c r="AJ51" i="13"/>
  <c r="AL57" i="13"/>
  <c r="AR57" i="13"/>
  <c r="AL63" i="13"/>
  <c r="AN66" i="13"/>
  <c r="AL68" i="13"/>
  <c r="AR69" i="13"/>
  <c r="AN69" i="13"/>
  <c r="AN97" i="13"/>
  <c r="AJ101" i="13"/>
  <c r="AJ177" i="13"/>
  <c r="AR177" i="13"/>
  <c r="AL77" i="13"/>
  <c r="AP194" i="13"/>
  <c r="AJ186" i="13"/>
  <c r="AR186" i="13"/>
  <c r="AL141" i="13"/>
  <c r="AL132" i="13"/>
  <c r="AL29" i="13"/>
  <c r="AP29" i="13"/>
  <c r="AJ197" i="13"/>
  <c r="AP197" i="13"/>
  <c r="AL153" i="13"/>
  <c r="AN133" i="13"/>
  <c r="AR200" i="13"/>
  <c r="AJ178" i="13"/>
  <c r="AP178" i="13"/>
  <c r="AJ25" i="13"/>
  <c r="AP137" i="13"/>
  <c r="AP149" i="13"/>
  <c r="AJ53" i="13"/>
  <c r="AN53" i="13"/>
  <c r="AL195" i="13"/>
  <c r="AR152" i="13"/>
  <c r="AN202" i="13"/>
  <c r="AJ140" i="13"/>
  <c r="AN140" i="13"/>
  <c r="AN65" i="13"/>
  <c r="AJ130" i="13"/>
  <c r="AN64" i="13"/>
  <c r="AP64" i="13"/>
  <c r="AR198" i="13"/>
  <c r="AP198" i="13"/>
  <c r="AL128" i="13"/>
  <c r="AL190" i="13"/>
  <c r="AP136" i="13"/>
  <c r="AN49" i="13"/>
  <c r="AL125" i="13"/>
  <c r="AJ125" i="13"/>
  <c r="AR135" i="13"/>
  <c r="AL205" i="13"/>
  <c r="AJ89" i="13"/>
  <c r="AL144" i="13"/>
  <c r="AP203" i="13"/>
  <c r="AJ147" i="13"/>
  <c r="AP144" i="13"/>
  <c r="AN88" i="13"/>
  <c r="AJ168" i="13"/>
  <c r="AR168" i="13"/>
  <c r="AL179" i="13"/>
  <c r="AN208" i="13"/>
  <c r="AJ208" i="13"/>
  <c r="AP175" i="13"/>
  <c r="AJ24" i="13"/>
  <c r="AR143" i="13"/>
  <c r="AP143" i="13"/>
  <c r="AP104" i="13"/>
  <c r="AR104" i="13"/>
  <c r="AR50" i="13"/>
  <c r="AL207" i="13"/>
  <c r="AL134" i="13"/>
  <c r="AR59" i="13"/>
  <c r="AJ83" i="13"/>
  <c r="AN112" i="13"/>
  <c r="AP112" i="13"/>
  <c r="AR116" i="13"/>
  <c r="AN116" i="13"/>
  <c r="AR174" i="13"/>
  <c r="AN113" i="13"/>
  <c r="AR113" i="13"/>
  <c r="AL93" i="13"/>
  <c r="AL176" i="13"/>
  <c r="AP176" i="13"/>
  <c r="AL157" i="13"/>
  <c r="AJ99" i="13"/>
  <c r="AR42" i="13"/>
  <c r="AN71" i="13"/>
  <c r="AP181" i="13"/>
  <c r="AP171" i="13"/>
  <c r="AL96" i="13"/>
  <c r="AR73" i="13"/>
  <c r="AN81" i="13"/>
  <c r="AP62" i="13"/>
  <c r="AP110" i="13"/>
  <c r="AR62" i="13"/>
  <c r="AL81" i="13"/>
  <c r="AR118" i="13"/>
  <c r="AJ62" i="13"/>
  <c r="AJ166" i="13"/>
  <c r="AR58" i="13"/>
  <c r="AP78" i="13"/>
  <c r="AL52" i="13"/>
  <c r="AP199" i="13"/>
  <c r="AR199" i="13"/>
  <c r="AL70" i="13"/>
  <c r="AJ139" i="13"/>
  <c r="AN139" i="13"/>
  <c r="AJ30" i="13"/>
  <c r="AR144" i="13"/>
  <c r="AP189" i="13"/>
  <c r="AJ58" i="13"/>
  <c r="AP91" i="13"/>
  <c r="AR78" i="13"/>
  <c r="AR173" i="13"/>
  <c r="AN26" i="13"/>
  <c r="AJ48" i="13"/>
  <c r="AP38" i="13"/>
  <c r="AR38" i="13"/>
  <c r="AL51" i="13"/>
  <c r="AJ57" i="13"/>
  <c r="AR66" i="13"/>
  <c r="AP68" i="13"/>
  <c r="AR97" i="13"/>
  <c r="AP177" i="13"/>
  <c r="AR77" i="13"/>
  <c r="AP186" i="13"/>
  <c r="AN141" i="13"/>
  <c r="AR132" i="13"/>
  <c r="AJ29" i="13"/>
  <c r="AJ133" i="13"/>
  <c r="AL200" i="13"/>
  <c r="AP25" i="13"/>
  <c r="AP195" i="13"/>
  <c r="AJ202" i="13"/>
  <c r="AP140" i="13"/>
  <c r="AR130" i="13"/>
  <c r="AL198" i="13"/>
  <c r="AP128" i="13"/>
  <c r="AN190" i="13"/>
  <c r="AN136" i="13"/>
  <c r="AP49" i="13"/>
  <c r="AL147" i="13"/>
  <c r="AN144" i="13"/>
  <c r="AN148" i="13"/>
  <c r="AR142" i="13"/>
  <c r="AP116" i="13"/>
  <c r="AJ50" i="13"/>
  <c r="AJ175" i="13"/>
  <c r="AN50" i="13"/>
  <c r="AJ134" i="13"/>
  <c r="AR175" i="13"/>
  <c r="AJ109" i="13"/>
  <c r="AP22" i="13"/>
  <c r="AR192" i="13"/>
  <c r="AL172" i="13"/>
  <c r="AL191" i="13"/>
  <c r="AP71" i="13"/>
  <c r="AL53" i="13"/>
  <c r="AN33" i="13"/>
  <c r="AN38" i="13"/>
  <c r="AN51" i="13"/>
  <c r="AR56" i="13"/>
  <c r="AJ56" i="13"/>
  <c r="AP56" i="13"/>
  <c r="AP66" i="13"/>
  <c r="AJ68" i="13"/>
  <c r="AR68" i="13"/>
  <c r="AN68" i="13"/>
  <c r="AL69" i="13"/>
  <c r="AJ97" i="13"/>
  <c r="AP97" i="13"/>
  <c r="AP101" i="13"/>
  <c r="AN102" i="13"/>
  <c r="AL177" i="13"/>
  <c r="AP77" i="13"/>
  <c r="AN194" i="13"/>
  <c r="AN37" i="13"/>
  <c r="AL186" i="13"/>
  <c r="AP132" i="13"/>
  <c r="AR29" i="13"/>
  <c r="AL197" i="13"/>
  <c r="AP153" i="13"/>
  <c r="AP133" i="13"/>
  <c r="AJ200" i="13"/>
  <c r="AN25" i="13"/>
  <c r="AJ137" i="13"/>
  <c r="AN137" i="13"/>
  <c r="AJ149" i="13"/>
  <c r="AR149" i="13"/>
  <c r="AP53" i="13"/>
  <c r="AN195" i="13"/>
  <c r="AJ152" i="13"/>
  <c r="AP152" i="13"/>
  <c r="AL202" i="13"/>
  <c r="AR202" i="13"/>
  <c r="AL140" i="13"/>
  <c r="AJ65" i="13"/>
  <c r="AL65" i="13"/>
  <c r="AL130" i="13"/>
  <c r="AN130" i="13"/>
  <c r="AJ64" i="13"/>
  <c r="AR64" i="13"/>
  <c r="AJ198" i="13"/>
  <c r="AN128" i="13"/>
  <c r="AR190" i="13"/>
  <c r="AJ136" i="13"/>
  <c r="AR136" i="13"/>
  <c r="AL49" i="13"/>
  <c r="AR125" i="13"/>
  <c r="AN125" i="13"/>
  <c r="AL135" i="13"/>
  <c r="AN147" i="13"/>
  <c r="AR89" i="13"/>
  <c r="AL60" i="13"/>
  <c r="AP147" i="13"/>
  <c r="AP205" i="13"/>
  <c r="AL88" i="13"/>
  <c r="AN60" i="13"/>
  <c r="AR203" i="13"/>
  <c r="AN205" i="13"/>
  <c r="AJ144" i="13"/>
  <c r="AJ88" i="13"/>
  <c r="AL168" i="13"/>
  <c r="AP179" i="13"/>
  <c r="AR88" i="13"/>
  <c r="AJ120" i="13"/>
  <c r="AR179" i="13"/>
  <c r="AJ59" i="13"/>
  <c r="AL142" i="13"/>
  <c r="AL71" i="13"/>
  <c r="AN143" i="13"/>
  <c r="AL104" i="13"/>
  <c r="AP50" i="13"/>
  <c r="AJ93" i="13"/>
  <c r="AN134" i="13"/>
  <c r="AJ192" i="13"/>
  <c r="AP113" i="13"/>
  <c r="AN83" i="13"/>
  <c r="AJ172" i="13"/>
  <c r="AR172" i="13"/>
  <c r="AL22" i="13"/>
  <c r="AR22" i="13"/>
  <c r="AL192" i="13"/>
  <c r="AR83" i="13"/>
  <c r="AR60" i="13"/>
  <c r="AN203" i="13"/>
  <c r="AN191" i="13"/>
  <c r="AL42" i="13"/>
  <c r="AP166" i="13"/>
  <c r="AN42" i="13"/>
  <c r="AL166" i="13"/>
  <c r="AR166" i="13"/>
  <c r="AN13" i="13"/>
  <c r="AJ13" i="13"/>
  <c r="AJ145" i="13"/>
  <c r="AL145" i="13"/>
  <c r="AP145" i="13"/>
  <c r="AZ12" i="13"/>
  <c r="AV12" i="13"/>
  <c r="P22" i="13"/>
  <c r="BB12" i="13"/>
  <c r="AX12" i="13"/>
  <c r="P145" i="13"/>
  <c r="P196" i="13"/>
  <c r="P153" i="13"/>
  <c r="P80" i="13"/>
  <c r="P29" i="13"/>
  <c r="P110" i="13"/>
  <c r="P90" i="13"/>
  <c r="P94" i="13"/>
  <c r="P182" i="13"/>
  <c r="P106" i="13"/>
  <c r="P102" i="13"/>
  <c r="P59" i="13"/>
  <c r="AD204" i="13"/>
  <c r="P19" i="13"/>
  <c r="P99" i="13"/>
  <c r="P127" i="13"/>
  <c r="AN204" i="13"/>
  <c r="AR204" i="13"/>
  <c r="P82" i="13"/>
  <c r="P83" i="13"/>
  <c r="P218" i="13"/>
  <c r="P193" i="13"/>
  <c r="P17" i="13"/>
  <c r="P16" i="13"/>
  <c r="AD216" i="13"/>
  <c r="P55" i="13"/>
  <c r="P51" i="13"/>
  <c r="P157" i="13"/>
  <c r="P58" i="13"/>
  <c r="P88" i="13"/>
  <c r="P112" i="13"/>
  <c r="P114" i="13"/>
  <c r="P169" i="13"/>
  <c r="P50" i="13"/>
  <c r="V204" i="13"/>
  <c r="R204" i="13"/>
  <c r="AP204" i="13"/>
  <c r="AL204" i="13"/>
  <c r="P204" i="13"/>
  <c r="X204" i="13"/>
  <c r="P62" i="13"/>
  <c r="AN240" i="13"/>
  <c r="AN253" i="13"/>
  <c r="Z255" i="13"/>
  <c r="P124" i="13"/>
  <c r="P70" i="13"/>
  <c r="P49" i="13"/>
  <c r="P129" i="13"/>
  <c r="P247" i="13"/>
  <c r="P232" i="13"/>
  <c r="AH206" i="13"/>
  <c r="P208" i="13"/>
  <c r="AJ213" i="13"/>
  <c r="P197" i="13"/>
  <c r="P175" i="13"/>
  <c r="P115" i="13"/>
  <c r="P184" i="13"/>
  <c r="P30" i="13"/>
  <c r="P131" i="13"/>
  <c r="P89" i="13"/>
  <c r="P108" i="13"/>
  <c r="P132" i="13"/>
  <c r="P171" i="13"/>
  <c r="P117" i="13"/>
  <c r="P87" i="13"/>
  <c r="P67" i="13"/>
  <c r="P53" i="13"/>
  <c r="P37" i="13"/>
  <c r="AR243" i="13"/>
  <c r="P215" i="13"/>
  <c r="P57" i="13"/>
  <c r="P105" i="13"/>
  <c r="P31" i="13"/>
  <c r="P211" i="13"/>
  <c r="P224" i="13"/>
  <c r="Z217" i="13"/>
  <c r="P77" i="13"/>
  <c r="P35" i="13"/>
  <c r="P172" i="13"/>
  <c r="P24" i="13"/>
  <c r="P97" i="13"/>
  <c r="P160" i="13"/>
  <c r="P104" i="13"/>
  <c r="P191" i="13"/>
  <c r="P161" i="13"/>
  <c r="P133" i="13"/>
  <c r="P121" i="13"/>
  <c r="P75" i="13"/>
  <c r="P63" i="13"/>
  <c r="P234" i="13"/>
  <c r="P98" i="13"/>
  <c r="P126" i="13"/>
  <c r="P71" i="13"/>
  <c r="P14" i="13"/>
  <c r="P109" i="13"/>
  <c r="P155" i="13"/>
  <c r="AD254" i="13"/>
  <c r="AR254" i="13"/>
  <c r="P254" i="13"/>
  <c r="AJ250" i="13"/>
  <c r="AN250" i="13"/>
  <c r="Z254" i="13"/>
  <c r="P140" i="13"/>
  <c r="P168" i="13"/>
  <c r="AB254" i="13"/>
  <c r="P56" i="13"/>
  <c r="P147" i="13"/>
  <c r="P174" i="13"/>
  <c r="P134" i="13"/>
  <c r="AR189" i="13"/>
  <c r="P135" i="13"/>
  <c r="P195" i="13"/>
  <c r="P156" i="13"/>
  <c r="P26" i="13"/>
  <c r="AN189" i="13"/>
  <c r="P138" i="13"/>
  <c r="P150" i="13"/>
  <c r="P245" i="13"/>
  <c r="P176" i="13"/>
  <c r="P119" i="13"/>
  <c r="P246" i="13"/>
  <c r="P65" i="13"/>
  <c r="X228" i="13"/>
  <c r="V206" i="13"/>
  <c r="AD206" i="13"/>
  <c r="V202" i="13"/>
  <c r="AR221" i="13"/>
  <c r="P180" i="13"/>
  <c r="P225" i="13"/>
  <c r="P159" i="13"/>
  <c r="P69" i="13"/>
  <c r="P242" i="13"/>
  <c r="AH236" i="13"/>
  <c r="P137" i="13"/>
  <c r="P186" i="13"/>
  <c r="P152" i="13"/>
  <c r="P96" i="13"/>
  <c r="P183" i="13"/>
  <c r="P170" i="13"/>
  <c r="P32" i="13"/>
  <c r="AN259" i="13"/>
  <c r="P185" i="13"/>
  <c r="P151" i="13"/>
  <c r="P125" i="13"/>
  <c r="AB243" i="13"/>
  <c r="AD243" i="13"/>
  <c r="P233" i="13"/>
  <c r="P235" i="13"/>
  <c r="AN239" i="13"/>
  <c r="AL239" i="13"/>
  <c r="P210" i="13"/>
  <c r="AR210" i="13"/>
  <c r="X210" i="13"/>
  <c r="V219" i="13"/>
  <c r="P219" i="13"/>
  <c r="V222" i="13"/>
  <c r="AJ222" i="13"/>
  <c r="AH248" i="13"/>
  <c r="AL248" i="13"/>
  <c r="V251" i="13"/>
  <c r="AJ251" i="13"/>
  <c r="P158" i="13"/>
  <c r="P116" i="13"/>
  <c r="R244" i="13"/>
  <c r="AD244" i="13"/>
  <c r="AR244" i="13"/>
  <c r="P198" i="13"/>
  <c r="P146" i="13"/>
  <c r="P143" i="13"/>
  <c r="P41" i="13"/>
  <c r="Z227" i="13"/>
  <c r="Z229" i="13"/>
  <c r="AF229" i="13"/>
  <c r="Z238" i="13"/>
  <c r="R207" i="13"/>
  <c r="AP207" i="13"/>
  <c r="P214" i="13"/>
  <c r="P164" i="13"/>
  <c r="AP217" i="13"/>
  <c r="AN252" i="13"/>
  <c r="AB252" i="13"/>
  <c r="P181" i="13"/>
  <c r="P123" i="13"/>
  <c r="P256" i="13"/>
  <c r="X231" i="13"/>
  <c r="P188" i="13"/>
  <c r="P73" i="13"/>
  <c r="P162" i="13"/>
  <c r="P128" i="13"/>
  <c r="P38" i="13"/>
  <c r="P139" i="13"/>
  <c r="P190" i="13"/>
  <c r="P120" i="13"/>
  <c r="P66" i="13"/>
  <c r="P136" i="13"/>
  <c r="P28" i="13"/>
  <c r="P179" i="13"/>
  <c r="P113" i="13"/>
  <c r="P43" i="13"/>
  <c r="P33" i="13"/>
  <c r="R241" i="13"/>
  <c r="V230" i="13"/>
  <c r="X230" i="13"/>
  <c r="AD200" i="13"/>
  <c r="P212" i="13"/>
  <c r="AB212" i="13"/>
  <c r="R223" i="13"/>
  <c r="AP223" i="13"/>
  <c r="Z220" i="13"/>
  <c r="R220" i="13"/>
  <c r="P226" i="13"/>
  <c r="X226" i="13"/>
  <c r="P249" i="13"/>
  <c r="P64" i="13"/>
  <c r="P154" i="13"/>
  <c r="P93" i="13"/>
  <c r="P78" i="13"/>
  <c r="P46" i="13"/>
  <c r="P47" i="13"/>
  <c r="P34" i="13"/>
  <c r="P107" i="13"/>
  <c r="AJ254" i="13"/>
  <c r="AB250" i="13"/>
  <c r="P177" i="13"/>
  <c r="AP254" i="13"/>
  <c r="Z250" i="13"/>
  <c r="P118" i="13"/>
  <c r="P101" i="13"/>
  <c r="P79" i="13"/>
  <c r="P74" i="13"/>
  <c r="P189" i="13"/>
  <c r="P48" i="13"/>
  <c r="P148" i="13"/>
  <c r="P44" i="13"/>
  <c r="AN254" i="13"/>
  <c r="P250" i="13"/>
  <c r="F100" i="20" l="1"/>
  <c r="P103" i="13"/>
  <c r="F83" i="20"/>
  <c r="P86" i="13"/>
  <c r="P45" i="13"/>
  <c r="F42" i="20"/>
  <c r="F127" i="20"/>
  <c r="P122" i="13"/>
  <c r="P27" i="13"/>
  <c r="AZ84" i="13"/>
  <c r="P163" i="13"/>
  <c r="P187" i="13"/>
  <c r="P178" i="13"/>
  <c r="P76" i="13"/>
  <c r="P209" i="13"/>
  <c r="P72" i="13"/>
  <c r="E20" i="5"/>
  <c r="P100" i="13"/>
  <c r="P84" i="13"/>
  <c r="E21" i="5"/>
  <c r="F37" i="20"/>
  <c r="P40" i="13"/>
  <c r="P95" i="13"/>
  <c r="F92" i="20"/>
  <c r="P85" i="13"/>
  <c r="F82" i="20"/>
  <c r="AX37" i="13"/>
  <c r="AX61" i="13"/>
  <c r="P36" i="13"/>
  <c r="R17" i="13"/>
  <c r="F58" i="20"/>
  <c r="P61" i="13"/>
  <c r="A230" i="20"/>
  <c r="A207" i="20"/>
  <c r="A226" i="20"/>
  <c r="A225" i="20"/>
  <c r="A227" i="20"/>
  <c r="A245" i="20"/>
  <c r="A210" i="20"/>
  <c r="A197" i="20"/>
  <c r="A219" i="20"/>
  <c r="A199" i="20"/>
  <c r="A247" i="20"/>
  <c r="A16" i="20"/>
  <c r="A188" i="20"/>
  <c r="A186" i="20"/>
  <c r="A14" i="20"/>
  <c r="A246" i="20"/>
  <c r="A189" i="20"/>
  <c r="A187" i="20"/>
  <c r="A222" i="20"/>
  <c r="A211" i="20"/>
  <c r="A208" i="20"/>
  <c r="A231" i="20"/>
  <c r="A221" i="20"/>
  <c r="A249" i="20"/>
  <c r="A234" i="20"/>
  <c r="A236" i="20"/>
  <c r="A200" i="20"/>
  <c r="A238" i="20"/>
  <c r="A198" i="20"/>
  <c r="A203" i="20"/>
  <c r="A239" i="20"/>
  <c r="A13" i="20"/>
  <c r="A242" i="20"/>
  <c r="A243" i="20"/>
  <c r="A212" i="20"/>
  <c r="A205" i="20"/>
  <c r="A228" i="20"/>
  <c r="A241" i="20"/>
  <c r="A214" i="20"/>
  <c r="A233" i="20"/>
  <c r="A217" i="20"/>
  <c r="A202" i="20"/>
  <c r="A240" i="20"/>
  <c r="A201" i="20"/>
  <c r="A244" i="20"/>
  <c r="A229" i="20"/>
  <c r="A232" i="20"/>
  <c r="A206" i="20"/>
  <c r="A216" i="20"/>
  <c r="A224" i="20"/>
  <c r="A248" i="20"/>
  <c r="A235" i="20"/>
  <c r="A196" i="20"/>
  <c r="A220" i="20"/>
  <c r="A204" i="20"/>
  <c r="A218" i="20"/>
  <c r="A223" i="20"/>
  <c r="A209" i="20"/>
  <c r="A213" i="20"/>
  <c r="T51" i="14"/>
  <c r="T54" i="14"/>
  <c r="T127" i="14"/>
  <c r="T102" i="14"/>
  <c r="T107" i="14"/>
  <c r="T169" i="14"/>
  <c r="T128" i="14"/>
  <c r="T47" i="14"/>
  <c r="T154" i="14"/>
  <c r="T18" i="14"/>
  <c r="T94" i="14"/>
  <c r="T19" i="14"/>
  <c r="T148" i="14"/>
  <c r="T176" i="14"/>
  <c r="T164" i="14"/>
  <c r="T92" i="14"/>
  <c r="T129" i="14"/>
  <c r="T24" i="14"/>
  <c r="T86" i="14"/>
  <c r="T73" i="14"/>
  <c r="T72" i="14"/>
  <c r="T147" i="14"/>
  <c r="T151" i="14"/>
  <c r="T160" i="14"/>
  <c r="T191" i="14"/>
  <c r="T75" i="14"/>
  <c r="T36" i="14"/>
  <c r="T175" i="14"/>
  <c r="T125" i="14"/>
  <c r="T196" i="14"/>
  <c r="T50" i="14"/>
  <c r="T150" i="14"/>
  <c r="T157" i="14"/>
  <c r="T84" i="14"/>
  <c r="T149" i="14"/>
  <c r="T76" i="14"/>
  <c r="T111" i="14"/>
  <c r="T239" i="14"/>
  <c r="T220" i="14"/>
  <c r="T234" i="14"/>
  <c r="T38" i="14"/>
  <c r="T35" i="14"/>
  <c r="T219" i="14"/>
  <c r="D208" i="14"/>
  <c r="A208" i="14"/>
  <c r="D199" i="14"/>
  <c r="A199" i="14"/>
  <c r="D181" i="14"/>
  <c r="A181" i="14"/>
  <c r="D8" i="14"/>
  <c r="A8" i="14"/>
  <c r="D221" i="14"/>
  <c r="A221" i="14"/>
  <c r="D222" i="14"/>
  <c r="A222" i="14"/>
  <c r="D163" i="14"/>
  <c r="A163" i="14"/>
  <c r="D162" i="14"/>
  <c r="A162" i="14"/>
  <c r="A156" i="14"/>
  <c r="D156" i="14"/>
  <c r="A91" i="14"/>
  <c r="D91" i="14"/>
  <c r="D14" i="14"/>
  <c r="A14" i="14"/>
  <c r="D215" i="14"/>
  <c r="A215" i="14"/>
  <c r="D10" i="14"/>
  <c r="A10" i="14"/>
  <c r="D171" i="14"/>
  <c r="A171" i="14"/>
  <c r="D58" i="14"/>
  <c r="A58" i="14"/>
  <c r="D12" i="14"/>
  <c r="A12" i="14"/>
  <c r="D39" i="14"/>
  <c r="A39" i="14"/>
  <c r="T124" i="14"/>
  <c r="T170" i="14"/>
  <c r="T136" i="14"/>
  <c r="T67" i="14"/>
  <c r="T165" i="14"/>
  <c r="T62" i="14"/>
  <c r="T112" i="14"/>
  <c r="T122" i="14"/>
  <c r="T190" i="14"/>
  <c r="T60" i="14"/>
  <c r="T174" i="14"/>
  <c r="T135" i="14"/>
  <c r="T137" i="14"/>
  <c r="T45" i="14"/>
  <c r="T184" i="14"/>
  <c r="T97" i="14"/>
  <c r="T33" i="14"/>
  <c r="T183" i="14"/>
  <c r="T197" i="14"/>
  <c r="T110" i="14"/>
  <c r="T167" i="14"/>
  <c r="T104" i="14"/>
  <c r="T43" i="14"/>
  <c r="T93" i="14"/>
  <c r="T192" i="14"/>
  <c r="T145" i="14"/>
  <c r="T28" i="14"/>
  <c r="T63" i="14"/>
  <c r="T153" i="14"/>
  <c r="T87" i="14"/>
  <c r="T21" i="14"/>
  <c r="T119" i="14"/>
  <c r="T134" i="14"/>
  <c r="T152" i="14"/>
  <c r="T177" i="14"/>
  <c r="T198" i="14"/>
  <c r="T15" i="14"/>
  <c r="T195" i="14"/>
  <c r="A224" i="14"/>
  <c r="D224" i="14"/>
  <c r="D228" i="14"/>
  <c r="A228" i="14"/>
  <c r="D232" i="14"/>
  <c r="A232" i="14"/>
  <c r="A118" i="14"/>
  <c r="D118" i="14"/>
  <c r="D226" i="14"/>
  <c r="A226" i="14"/>
  <c r="D209" i="14"/>
  <c r="A209" i="14"/>
  <c r="D9" i="14"/>
  <c r="A9" i="14"/>
  <c r="D31" i="14"/>
  <c r="A31" i="14"/>
  <c r="D89" i="14"/>
  <c r="A89" i="14"/>
  <c r="D17" i="14"/>
  <c r="A17" i="14"/>
  <c r="D213" i="14"/>
  <c r="A213" i="14"/>
  <c r="D207" i="14"/>
  <c r="A207" i="14"/>
  <c r="D172" i="14"/>
  <c r="A172" i="14"/>
  <c r="D212" i="14"/>
  <c r="A212" i="14"/>
  <c r="D187" i="14"/>
  <c r="A187" i="14"/>
  <c r="D188" i="14"/>
  <c r="A188" i="14"/>
  <c r="D231" i="14"/>
  <c r="A231" i="14"/>
  <c r="A203" i="14"/>
  <c r="D203" i="14"/>
  <c r="D217" i="14"/>
  <c r="A217" i="14"/>
  <c r="T7" i="14"/>
  <c r="T27" i="14"/>
  <c r="T85" i="14"/>
  <c r="T123" i="14"/>
  <c r="T70" i="14"/>
  <c r="T90" i="14"/>
  <c r="T179" i="14"/>
  <c r="T69" i="14"/>
  <c r="T193" i="14"/>
  <c r="T194" i="14"/>
  <c r="T117" i="14"/>
  <c r="T29" i="14"/>
  <c r="T143" i="14"/>
  <c r="T61" i="14"/>
  <c r="T139" i="14"/>
  <c r="T141" i="14"/>
  <c r="T25" i="14"/>
  <c r="T121" i="14"/>
  <c r="T46" i="14"/>
  <c r="T99" i="14"/>
  <c r="T20" i="14"/>
  <c r="T186" i="14"/>
  <c r="T158" i="14"/>
  <c r="T130" i="14"/>
  <c r="T103" i="14"/>
  <c r="T132" i="14"/>
  <c r="T53" i="14"/>
  <c r="T100" i="14"/>
  <c r="T23" i="14"/>
  <c r="T114" i="14"/>
  <c r="T40" i="14"/>
  <c r="T126" i="14"/>
  <c r="T161" i="14"/>
  <c r="T120" i="14"/>
  <c r="T71" i="14"/>
  <c r="T115" i="14"/>
  <c r="T82" i="14"/>
  <c r="T229" i="14"/>
  <c r="T235" i="14"/>
  <c r="T59" i="14"/>
  <c r="A11" i="14"/>
  <c r="D11" i="14"/>
  <c r="D81" i="14"/>
  <c r="A81" i="14"/>
  <c r="A80" i="14"/>
  <c r="D80" i="14"/>
  <c r="D214" i="14"/>
  <c r="A214" i="14"/>
  <c r="D205" i="14"/>
  <c r="A205" i="14"/>
  <c r="D101" i="14"/>
  <c r="A101" i="14"/>
  <c r="D223" i="14"/>
  <c r="A223" i="14"/>
  <c r="D227" i="14"/>
  <c r="A227" i="14"/>
  <c r="D200" i="14"/>
  <c r="A200" i="14"/>
  <c r="A210" i="14"/>
  <c r="D210" i="14"/>
  <c r="D140" i="14"/>
  <c r="A140" i="14"/>
  <c r="D225" i="14"/>
  <c r="A225" i="14"/>
  <c r="A218" i="14"/>
  <c r="D218" i="14"/>
  <c r="A206" i="14"/>
  <c r="D206" i="14"/>
  <c r="D55" i="14"/>
  <c r="A55" i="14"/>
  <c r="D216" i="14"/>
  <c r="A216" i="14"/>
  <c r="D83" i="14"/>
  <c r="A83" i="14"/>
  <c r="T42" i="14"/>
  <c r="T168" i="14"/>
  <c r="T159" i="14"/>
  <c r="T65" i="14"/>
  <c r="T77" i="14"/>
  <c r="T16" i="14"/>
  <c r="T173" i="14"/>
  <c r="T32" i="14"/>
  <c r="T185" i="14"/>
  <c r="T74" i="14"/>
  <c r="T44" i="14"/>
  <c r="T109" i="14"/>
  <c r="T105" i="14"/>
  <c r="T180" i="14"/>
  <c r="T98" i="14"/>
  <c r="T189" i="14"/>
  <c r="T52" i="14"/>
  <c r="T138" i="14"/>
  <c r="T106" i="14"/>
  <c r="T201" i="14"/>
  <c r="T166" i="14"/>
  <c r="T56" i="14"/>
  <c r="T131" i="14"/>
  <c r="T95" i="14"/>
  <c r="T26" i="14"/>
  <c r="T68" i="14"/>
  <c r="T49" i="14"/>
  <c r="T146" i="14"/>
  <c r="T144" i="14"/>
  <c r="T142" i="14"/>
  <c r="T88" i="14"/>
  <c r="T48" i="14"/>
  <c r="T178" i="14"/>
  <c r="T133" i="14"/>
  <c r="T64" i="14"/>
  <c r="T66" i="14"/>
  <c r="T155" i="14"/>
  <c r="T78" i="14"/>
  <c r="T204" i="14"/>
  <c r="T57" i="14"/>
  <c r="T211" i="14"/>
  <c r="D202" i="14"/>
  <c r="A202" i="14"/>
  <c r="D37" i="14"/>
  <c r="A37" i="14"/>
  <c r="D113" i="14"/>
  <c r="A113" i="14"/>
  <c r="D237" i="14"/>
  <c r="A237" i="14"/>
  <c r="D236" i="14"/>
  <c r="A236" i="14"/>
  <c r="A233" i="14"/>
  <c r="D233" i="14"/>
  <c r="D230" i="14"/>
  <c r="A230" i="14"/>
  <c r="D238" i="14"/>
  <c r="A238" i="14"/>
  <c r="D34" i="14"/>
  <c r="A34" i="14"/>
  <c r="D240" i="14"/>
  <c r="A240" i="14"/>
  <c r="D182" i="14"/>
  <c r="A182" i="14"/>
  <c r="D116" i="14"/>
  <c r="A116" i="14"/>
  <c r="D41" i="14"/>
  <c r="A41" i="14"/>
  <c r="D108" i="14"/>
  <c r="A108" i="14"/>
  <c r="A96" i="14"/>
  <c r="D96" i="14"/>
  <c r="D30" i="14"/>
  <c r="A30" i="14"/>
  <c r="A79" i="14"/>
  <c r="D79" i="14"/>
  <c r="D22" i="14"/>
  <c r="A22" i="14"/>
  <c r="D13" i="14"/>
  <c r="A13" i="14"/>
  <c r="E19" i="5"/>
  <c r="AV10" i="13"/>
  <c r="E22" i="5"/>
  <c r="BB10" i="13"/>
  <c r="F14" i="6"/>
  <c r="AZ10" i="13" l="1"/>
  <c r="AX10" i="13"/>
  <c r="F17" i="20"/>
  <c r="P20" i="13"/>
  <c r="A17" i="20"/>
  <c r="F15" i="20"/>
  <c r="P18" i="13"/>
  <c r="P15" i="13"/>
  <c r="F12" i="20"/>
  <c r="A77" i="20"/>
  <c r="A118" i="20"/>
  <c r="A21" i="20"/>
  <c r="A169" i="20"/>
  <c r="A80" i="20"/>
  <c r="A32" i="20"/>
  <c r="A37" i="20"/>
  <c r="A191" i="20"/>
  <c r="A41" i="20"/>
  <c r="A190" i="20"/>
  <c r="A6" i="14"/>
  <c r="D6" i="14"/>
  <c r="D66" i="14"/>
  <c r="A66" i="14"/>
  <c r="D142" i="14"/>
  <c r="A142" i="14"/>
  <c r="D95" i="14"/>
  <c r="A95" i="14"/>
  <c r="D138" i="14"/>
  <c r="A138" i="14"/>
  <c r="A109" i="14"/>
  <c r="D109" i="14"/>
  <c r="D16" i="14"/>
  <c r="A16" i="14"/>
  <c r="D71" i="14"/>
  <c r="A71" i="14"/>
  <c r="A23" i="14"/>
  <c r="D23" i="14"/>
  <c r="D158" i="14"/>
  <c r="A158" i="14"/>
  <c r="D25" i="14"/>
  <c r="A25" i="14"/>
  <c r="D117" i="14"/>
  <c r="A117" i="14"/>
  <c r="A70" i="14"/>
  <c r="D70" i="14"/>
  <c r="D195" i="14"/>
  <c r="A195" i="14"/>
  <c r="D119" i="14"/>
  <c r="A119" i="14"/>
  <c r="A145" i="14"/>
  <c r="D145" i="14"/>
  <c r="D110" i="14"/>
  <c r="A110" i="14"/>
  <c r="D45" i="14"/>
  <c r="A45" i="14"/>
  <c r="D122" i="14"/>
  <c r="A122" i="14"/>
  <c r="D170" i="14"/>
  <c r="A170" i="14"/>
  <c r="D35" i="14"/>
  <c r="A35" i="14"/>
  <c r="D234" i="14"/>
  <c r="A234" i="14"/>
  <c r="D239" i="14"/>
  <c r="A239" i="14"/>
  <c r="D76" i="14"/>
  <c r="A76" i="14"/>
  <c r="D84" i="14"/>
  <c r="A84" i="14"/>
  <c r="D150" i="14"/>
  <c r="A150" i="14"/>
  <c r="D196" i="14"/>
  <c r="A196" i="14"/>
  <c r="D175" i="14"/>
  <c r="A175" i="14"/>
  <c r="D75" i="14"/>
  <c r="A75" i="14"/>
  <c r="D160" i="14"/>
  <c r="A160" i="14"/>
  <c r="D147" i="14"/>
  <c r="A147" i="14"/>
  <c r="D73" i="14"/>
  <c r="A73" i="14"/>
  <c r="D24" i="14"/>
  <c r="A24" i="14"/>
  <c r="A92" i="14"/>
  <c r="D92" i="14"/>
  <c r="A176" i="14"/>
  <c r="D176" i="14"/>
  <c r="D19" i="14"/>
  <c r="A19" i="14"/>
  <c r="D18" i="14"/>
  <c r="A18" i="14"/>
  <c r="D47" i="14"/>
  <c r="A47" i="14"/>
  <c r="A169" i="14"/>
  <c r="D169" i="14"/>
  <c r="D102" i="14"/>
  <c r="A102" i="14"/>
  <c r="D54" i="14"/>
  <c r="A54" i="14"/>
  <c r="D57" i="14"/>
  <c r="A57" i="14"/>
  <c r="D133" i="14"/>
  <c r="A133" i="14"/>
  <c r="D146" i="14"/>
  <c r="A146" i="14"/>
  <c r="D56" i="14"/>
  <c r="A56" i="14"/>
  <c r="D189" i="14"/>
  <c r="A189" i="14"/>
  <c r="D74" i="14"/>
  <c r="A74" i="14"/>
  <c r="D65" i="14"/>
  <c r="A65" i="14"/>
  <c r="D235" i="14"/>
  <c r="A235" i="14"/>
  <c r="D161" i="14"/>
  <c r="A161" i="14"/>
  <c r="D53" i="14"/>
  <c r="A53" i="14"/>
  <c r="D20" i="14"/>
  <c r="A20" i="14"/>
  <c r="A139" i="14"/>
  <c r="D139" i="14"/>
  <c r="D179" i="14"/>
  <c r="A179" i="14"/>
  <c r="D85" i="14"/>
  <c r="A85" i="14"/>
  <c r="D198" i="14"/>
  <c r="A198" i="14"/>
  <c r="D63" i="14"/>
  <c r="A63" i="14"/>
  <c r="D93" i="14"/>
  <c r="A93" i="14"/>
  <c r="D97" i="14"/>
  <c r="A97" i="14"/>
  <c r="D135" i="14"/>
  <c r="A135" i="14"/>
  <c r="A67" i="14"/>
  <c r="D67" i="14"/>
  <c r="D204" i="14"/>
  <c r="A204" i="14"/>
  <c r="D155" i="14"/>
  <c r="A155" i="14"/>
  <c r="D64" i="14"/>
  <c r="A64" i="14"/>
  <c r="D178" i="14"/>
  <c r="A178" i="14"/>
  <c r="D88" i="14"/>
  <c r="A88" i="14"/>
  <c r="D144" i="14"/>
  <c r="A144" i="14"/>
  <c r="D49" i="14"/>
  <c r="A49" i="14"/>
  <c r="D26" i="14"/>
  <c r="A26" i="14"/>
  <c r="D131" i="14"/>
  <c r="A131" i="14"/>
  <c r="D166" i="14"/>
  <c r="A166" i="14"/>
  <c r="A106" i="14"/>
  <c r="D106" i="14"/>
  <c r="D52" i="14"/>
  <c r="A52" i="14"/>
  <c r="A98" i="14"/>
  <c r="D98" i="14"/>
  <c r="D105" i="14"/>
  <c r="A105" i="14"/>
  <c r="D44" i="14"/>
  <c r="A44" i="14"/>
  <c r="D185" i="14"/>
  <c r="A185" i="14"/>
  <c r="A173" i="14"/>
  <c r="D173" i="14"/>
  <c r="D77" i="14"/>
  <c r="A77" i="14"/>
  <c r="D159" i="14"/>
  <c r="A159" i="14"/>
  <c r="A42" i="14"/>
  <c r="D42" i="14"/>
  <c r="D59" i="14"/>
  <c r="A59" i="14"/>
  <c r="D229" i="14"/>
  <c r="A229" i="14"/>
  <c r="A115" i="14"/>
  <c r="D115" i="14"/>
  <c r="D120" i="14"/>
  <c r="A120" i="14"/>
  <c r="D126" i="14"/>
  <c r="A126" i="14"/>
  <c r="D114" i="14"/>
  <c r="A114" i="14"/>
  <c r="D100" i="14"/>
  <c r="A100" i="14"/>
  <c r="D132" i="14"/>
  <c r="A132" i="14"/>
  <c r="D130" i="14"/>
  <c r="A130" i="14"/>
  <c r="D186" i="14"/>
  <c r="A186" i="14"/>
  <c r="A99" i="14"/>
  <c r="D99" i="14"/>
  <c r="D121" i="14"/>
  <c r="A121" i="14"/>
  <c r="D141" i="14"/>
  <c r="A141" i="14"/>
  <c r="D61" i="14"/>
  <c r="A61" i="14"/>
  <c r="D29" i="14"/>
  <c r="A29" i="14"/>
  <c r="A194" i="14"/>
  <c r="D194" i="14"/>
  <c r="D69" i="14"/>
  <c r="A69" i="14"/>
  <c r="D90" i="14"/>
  <c r="A90" i="14"/>
  <c r="D123" i="14"/>
  <c r="A123" i="14"/>
  <c r="A27" i="14"/>
  <c r="D27" i="14"/>
  <c r="D15" i="14"/>
  <c r="A15" i="14"/>
  <c r="D177" i="14"/>
  <c r="A177" i="14"/>
  <c r="D134" i="14"/>
  <c r="A134" i="14"/>
  <c r="D21" i="14"/>
  <c r="A21" i="14"/>
  <c r="A153" i="14"/>
  <c r="D153" i="14"/>
  <c r="D28" i="14"/>
  <c r="A28" i="14"/>
  <c r="D192" i="14"/>
  <c r="A192" i="14"/>
  <c r="D43" i="14"/>
  <c r="A43" i="14"/>
  <c r="D167" i="14"/>
  <c r="A167" i="14"/>
  <c r="D197" i="14"/>
  <c r="A197" i="14"/>
  <c r="D33" i="14"/>
  <c r="A33" i="14"/>
  <c r="D184" i="14"/>
  <c r="A184" i="14"/>
  <c r="D137" i="14"/>
  <c r="A137" i="14"/>
  <c r="A174" i="14"/>
  <c r="D174" i="14"/>
  <c r="D190" i="14"/>
  <c r="A190" i="14"/>
  <c r="D112" i="14"/>
  <c r="A112" i="14"/>
  <c r="A165" i="14"/>
  <c r="D165" i="14"/>
  <c r="D136" i="14"/>
  <c r="A136" i="14"/>
  <c r="D124" i="14"/>
  <c r="A124" i="14"/>
  <c r="D219" i="14"/>
  <c r="A219" i="14"/>
  <c r="D38" i="14"/>
  <c r="A38" i="14"/>
  <c r="D220" i="14"/>
  <c r="A220" i="14"/>
  <c r="D111" i="14"/>
  <c r="A111" i="14"/>
  <c r="D149" i="14"/>
  <c r="A149" i="14"/>
  <c r="D157" i="14"/>
  <c r="A157" i="14"/>
  <c r="D50" i="14"/>
  <c r="A50" i="14"/>
  <c r="D125" i="14"/>
  <c r="A125" i="14"/>
  <c r="A36" i="14"/>
  <c r="D36" i="14"/>
  <c r="D191" i="14"/>
  <c r="A191" i="14"/>
  <c r="D151" i="14"/>
  <c r="A151" i="14"/>
  <c r="D72" i="14"/>
  <c r="A72" i="14"/>
  <c r="D86" i="14"/>
  <c r="A86" i="14"/>
  <c r="D129" i="14"/>
  <c r="A129" i="14"/>
  <c r="D164" i="14"/>
  <c r="A164" i="14"/>
  <c r="A148" i="14"/>
  <c r="D148" i="14"/>
  <c r="D94" i="14"/>
  <c r="A94" i="14"/>
  <c r="D154" i="14"/>
  <c r="A154" i="14"/>
  <c r="D128" i="14"/>
  <c r="A128" i="14"/>
  <c r="D107" i="14"/>
  <c r="A107" i="14"/>
  <c r="D127" i="14"/>
  <c r="A127" i="14"/>
  <c r="D51" i="14"/>
  <c r="A51" i="14"/>
  <c r="D78" i="14"/>
  <c r="A78" i="14"/>
  <c r="D48" i="14"/>
  <c r="A48" i="14"/>
  <c r="D68" i="14"/>
  <c r="A68" i="14"/>
  <c r="D201" i="14"/>
  <c r="A201" i="14"/>
  <c r="D180" i="14"/>
  <c r="A180" i="14"/>
  <c r="D32" i="14"/>
  <c r="A32" i="14"/>
  <c r="D168" i="14"/>
  <c r="A168" i="14"/>
  <c r="D82" i="14"/>
  <c r="A82" i="14"/>
  <c r="D40" i="14"/>
  <c r="A40" i="14"/>
  <c r="D103" i="14"/>
  <c r="A103" i="14"/>
  <c r="D46" i="14"/>
  <c r="A46" i="14"/>
  <c r="D143" i="14"/>
  <c r="A143" i="14"/>
  <c r="D193" i="14"/>
  <c r="A193" i="14"/>
  <c r="D7" i="14"/>
  <c r="A7" i="14"/>
  <c r="D152" i="14"/>
  <c r="A152" i="14"/>
  <c r="D87" i="14"/>
  <c r="A87" i="14"/>
  <c r="D104" i="14"/>
  <c r="A104" i="14"/>
  <c r="A183" i="14"/>
  <c r="D183" i="14"/>
  <c r="A60" i="14"/>
  <c r="D60" i="14"/>
  <c r="A62" i="14"/>
  <c r="D62" i="14"/>
  <c r="D211" i="14"/>
  <c r="A211" i="14"/>
  <c r="T6" i="14"/>
  <c r="R12" i="13"/>
  <c r="AP12" i="13"/>
  <c r="AN12" i="13"/>
  <c r="AF12" i="13"/>
  <c r="AJ12" i="13"/>
  <c r="AR12" i="13"/>
  <c r="X12" i="13"/>
  <c r="V12" i="13"/>
  <c r="AH12" i="13"/>
  <c r="AD12" i="13"/>
  <c r="Z12" i="13"/>
  <c r="AL12" i="13"/>
  <c r="AB12" i="13"/>
  <c r="T12" i="13"/>
  <c r="M10" i="13"/>
  <c r="AN10" i="13"/>
  <c r="AR10" i="13"/>
  <c r="AL10" i="13"/>
  <c r="AP10" i="13"/>
  <c r="F10" i="20" l="1"/>
  <c r="P13" i="13"/>
  <c r="A100" i="20"/>
  <c r="A35" i="20"/>
  <c r="A185" i="20"/>
  <c r="A184" i="20"/>
  <c r="A180" i="20"/>
  <c r="A24" i="20"/>
  <c r="A159" i="20"/>
  <c r="A81" i="20"/>
  <c r="A181" i="20"/>
  <c r="A178" i="20"/>
  <c r="A68" i="20"/>
  <c r="A179" i="20"/>
  <c r="A98" i="20"/>
  <c r="A11" i="20"/>
  <c r="A95" i="20"/>
  <c r="A152" i="20"/>
  <c r="A170" i="20"/>
  <c r="A72" i="20"/>
  <c r="A109" i="20"/>
  <c r="A156" i="20"/>
  <c r="A85" i="20"/>
  <c r="A192" i="20"/>
  <c r="A122" i="20"/>
  <c r="A57" i="20"/>
  <c r="A175" i="20"/>
  <c r="A127" i="20"/>
  <c r="A126" i="20"/>
  <c r="A140" i="20"/>
  <c r="A171" i="20"/>
  <c r="A76" i="20"/>
  <c r="A138" i="20"/>
  <c r="A120" i="20"/>
  <c r="A128" i="20"/>
  <c r="A55" i="20"/>
  <c r="A116" i="20"/>
  <c r="A151" i="20"/>
  <c r="A15" i="20"/>
  <c r="A10" i="20"/>
  <c r="A183" i="20"/>
  <c r="A113" i="20"/>
  <c r="A12" i="20"/>
  <c r="A92" i="20"/>
  <c r="A38" i="20"/>
  <c r="A60" i="20"/>
  <c r="A102" i="20"/>
  <c r="A103" i="20"/>
  <c r="A71" i="20"/>
  <c r="A193" i="20"/>
  <c r="A79" i="20"/>
  <c r="A27" i="20"/>
  <c r="A45" i="20"/>
  <c r="A48" i="20"/>
  <c r="A40" i="20"/>
  <c r="A141" i="20"/>
  <c r="A93" i="20"/>
  <c r="A112" i="20"/>
  <c r="A101" i="20"/>
  <c r="A94" i="20"/>
  <c r="A84" i="20"/>
  <c r="A90" i="20"/>
  <c r="A75" i="20"/>
  <c r="A107" i="20"/>
  <c r="A149" i="20"/>
  <c r="A165" i="20"/>
  <c r="A62" i="20"/>
  <c r="A52" i="20"/>
  <c r="A54" i="20"/>
  <c r="A70" i="20"/>
  <c r="A162" i="20"/>
  <c r="A135" i="20"/>
  <c r="A53" i="20"/>
  <c r="A150" i="20"/>
  <c r="A58" i="20"/>
  <c r="A82" i="20"/>
  <c r="A25" i="20"/>
  <c r="A78" i="20"/>
  <c r="A19" i="20"/>
  <c r="A31" i="20"/>
  <c r="A64" i="20"/>
  <c r="A108" i="20"/>
  <c r="A34" i="20"/>
  <c r="A20" i="20"/>
  <c r="A99" i="20"/>
  <c r="A36" i="20"/>
  <c r="A110" i="20"/>
  <c r="A166" i="20"/>
  <c r="A182" i="20"/>
  <c r="A33" i="20"/>
  <c r="A142" i="20"/>
  <c r="A46" i="20"/>
  <c r="A105" i="20"/>
  <c r="A121" i="20"/>
  <c r="A91" i="20"/>
  <c r="A124" i="20"/>
  <c r="A104" i="20"/>
  <c r="A195" i="20"/>
  <c r="A69" i="20"/>
  <c r="A63" i="20"/>
  <c r="A119" i="20"/>
  <c r="A133" i="20"/>
  <c r="A67" i="20"/>
  <c r="A173" i="20"/>
  <c r="A132" i="20"/>
  <c r="A65" i="20"/>
  <c r="A174" i="20"/>
  <c r="A194" i="20"/>
  <c r="A125" i="20"/>
  <c r="A160" i="20"/>
  <c r="A117" i="20"/>
  <c r="A114" i="20"/>
  <c r="A148" i="20"/>
  <c r="A167" i="20"/>
  <c r="A164" i="20"/>
  <c r="A143" i="20"/>
  <c r="A50" i="20"/>
  <c r="A139" i="20"/>
  <c r="A168" i="20"/>
  <c r="A47" i="20"/>
  <c r="A28" i="20"/>
  <c r="A18" i="20"/>
  <c r="A30" i="20"/>
  <c r="A176" i="20"/>
  <c r="A177" i="20"/>
  <c r="A61" i="20"/>
  <c r="A26" i="20"/>
  <c r="A51" i="20"/>
  <c r="A97" i="20"/>
  <c r="A39" i="20"/>
  <c r="A134" i="20"/>
  <c r="A87" i="20"/>
  <c r="A145" i="20"/>
  <c r="A23" i="20"/>
  <c r="A115" i="20"/>
  <c r="A56" i="20"/>
  <c r="A153" i="20"/>
  <c r="A29" i="20"/>
  <c r="A43" i="20"/>
  <c r="A42" i="20"/>
  <c r="A44" i="20"/>
  <c r="A158" i="20"/>
  <c r="A136" i="20"/>
  <c r="A66" i="20"/>
  <c r="A144" i="20"/>
  <c r="A106" i="20"/>
  <c r="A161" i="20"/>
  <c r="A83" i="20"/>
  <c r="A154" i="20"/>
  <c r="A123" i="20"/>
  <c r="A155" i="20"/>
  <c r="A49" i="20"/>
  <c r="A89" i="20"/>
  <c r="A130" i="20"/>
  <c r="A111" i="20"/>
  <c r="A157" i="20"/>
  <c r="A59" i="20"/>
  <c r="A88" i="20"/>
  <c r="A137" i="20"/>
  <c r="A131" i="20"/>
  <c r="A86" i="20"/>
  <c r="A172" i="20"/>
  <c r="A129" i="20"/>
  <c r="A74" i="20"/>
  <c r="A73" i="20"/>
  <c r="A163" i="20"/>
  <c r="A147" i="20"/>
  <c r="A96" i="20"/>
  <c r="AT31" i="13"/>
  <c r="AT35" i="13"/>
  <c r="AT67" i="13"/>
  <c r="AT71" i="13"/>
  <c r="AT79" i="13"/>
  <c r="AT83" i="13"/>
  <c r="AT91" i="13"/>
  <c r="AT99" i="13"/>
  <c r="AT103" i="13"/>
  <c r="AT111" i="13"/>
  <c r="AT123" i="13"/>
  <c r="AT127" i="13"/>
  <c r="AT135" i="13"/>
  <c r="AT139" i="13"/>
  <c r="AT143" i="13"/>
  <c r="AT147" i="13"/>
  <c r="AT155" i="13"/>
  <c r="AT159" i="13"/>
  <c r="AT163" i="13"/>
  <c r="AT167" i="13"/>
  <c r="AT171" i="13"/>
  <c r="AT175" i="13"/>
  <c r="AT195" i="13"/>
  <c r="AT199" i="13"/>
  <c r="AT203" i="13"/>
  <c r="AT211" i="13"/>
  <c r="AT20" i="13"/>
  <c r="AT24" i="13"/>
  <c r="AT32" i="13"/>
  <c r="AT48" i="13"/>
  <c r="AT64" i="13"/>
  <c r="AT76" i="13"/>
  <c r="AT88" i="13"/>
  <c r="AT92" i="13"/>
  <c r="AT96" i="13"/>
  <c r="AT100" i="13"/>
  <c r="AT104" i="13"/>
  <c r="AT112" i="13"/>
  <c r="AT116" i="13"/>
  <c r="AT120" i="13"/>
  <c r="AT128" i="13"/>
  <c r="AT132" i="13"/>
  <c r="AT144" i="13"/>
  <c r="AT148" i="13"/>
  <c r="AT152" i="13"/>
  <c r="AT160" i="13"/>
  <c r="AT176" i="13"/>
  <c r="AT192" i="13"/>
  <c r="AT196" i="13"/>
  <c r="AT204" i="13"/>
  <c r="AT212" i="13"/>
  <c r="AT220" i="13"/>
  <c r="AT252" i="13"/>
  <c r="AT260" i="13"/>
  <c r="AT13" i="13"/>
  <c r="AT25" i="13"/>
  <c r="AT29" i="13"/>
  <c r="AT33" i="13"/>
  <c r="AT53" i="13"/>
  <c r="AT57" i="13"/>
  <c r="AT69" i="13"/>
  <c r="AT81" i="13"/>
  <c r="AT93" i="13"/>
  <c r="AT101" i="13"/>
  <c r="AT105" i="13"/>
  <c r="AT109" i="13"/>
  <c r="AT113" i="13"/>
  <c r="AT121" i="13"/>
  <c r="AT137" i="13"/>
  <c r="AT153" i="13"/>
  <c r="AT157" i="13"/>
  <c r="AT161" i="13"/>
  <c r="AT173" i="13"/>
  <c r="AT185" i="13"/>
  <c r="AT189" i="13"/>
  <c r="AT197" i="13"/>
  <c r="AT233" i="13"/>
  <c r="AT253" i="13"/>
  <c r="AT14" i="13"/>
  <c r="AT26" i="13"/>
  <c r="AT30" i="13"/>
  <c r="AT34" i="13"/>
  <c r="AT46" i="13"/>
  <c r="AT50" i="13"/>
  <c r="AT54" i="13"/>
  <c r="AT58" i="13"/>
  <c r="AT66" i="13"/>
  <c r="AT74" i="13"/>
  <c r="AT78" i="13"/>
  <c r="AT94" i="13"/>
  <c r="AT98" i="13"/>
  <c r="AT118" i="13"/>
  <c r="AT126" i="13"/>
  <c r="AT142" i="13"/>
  <c r="AT150" i="13"/>
  <c r="AT154" i="13"/>
  <c r="AT158" i="13"/>
  <c r="AT166" i="13"/>
  <c r="AT170" i="13"/>
  <c r="AT178" i="13"/>
  <c r="AT190" i="13"/>
  <c r="AT202" i="13"/>
  <c r="AT214" i="13"/>
  <c r="AT222" i="13"/>
  <c r="AT80" i="13"/>
  <c r="E12" i="5"/>
  <c r="AH10" i="13"/>
  <c r="E13" i="5"/>
  <c r="AJ10" i="13"/>
  <c r="E11" i="5"/>
  <c r="AF10" i="13"/>
  <c r="E10" i="5"/>
  <c r="AD10" i="13"/>
  <c r="E17" i="5"/>
  <c r="E9" i="5"/>
  <c r="AB10" i="13"/>
  <c r="E7" i="5"/>
  <c r="X10" i="13"/>
  <c r="E16" i="5"/>
  <c r="E14" i="5"/>
  <c r="E8" i="5"/>
  <c r="Z10" i="13"/>
  <c r="E15" i="5"/>
  <c r="P25" i="13" l="1"/>
  <c r="F22" i="20"/>
  <c r="A22" i="20"/>
  <c r="P149" i="13"/>
  <c r="F146" i="20"/>
  <c r="A146" i="20"/>
  <c r="T33" i="13"/>
  <c r="V27" i="13"/>
  <c r="C2" i="5"/>
  <c r="R13" i="13"/>
  <c r="AT191" i="13"/>
  <c r="AT149" i="13"/>
  <c r="AT215" i="13"/>
  <c r="AT133" i="13"/>
  <c r="AT39" i="13"/>
  <c r="AT186" i="13"/>
  <c r="AT42" i="13"/>
  <c r="AT181" i="13"/>
  <c r="AT179" i="13"/>
  <c r="AT51" i="13"/>
  <c r="A9" i="20"/>
  <c r="P12" i="13"/>
  <c r="F9" i="20"/>
  <c r="AT44" i="13"/>
  <c r="AT172" i="13"/>
  <c r="AT129" i="13"/>
  <c r="AT156" i="13"/>
  <c r="AT145" i="13"/>
  <c r="AT140" i="13"/>
  <c r="AT182" i="13"/>
  <c r="AT246" i="13"/>
  <c r="AT70" i="13"/>
  <c r="AT38" i="13"/>
  <c r="AT22" i="13"/>
  <c r="AT90" i="13"/>
  <c r="AT134" i="13"/>
  <c r="AT136" i="13"/>
  <c r="AT141" i="13"/>
  <c r="AT184" i="13"/>
  <c r="AT248" i="13"/>
  <c r="AT40" i="13"/>
  <c r="AT62" i="13"/>
  <c r="AT110" i="13"/>
  <c r="AT238" i="13"/>
  <c r="AT12" i="13"/>
  <c r="AT177" i="13"/>
  <c r="AT55" i="13"/>
  <c r="AT165" i="13"/>
  <c r="AT82" i="13"/>
  <c r="AT106" i="13"/>
  <c r="AT183" i="13"/>
  <c r="AT200" i="13"/>
  <c r="AT56" i="13"/>
  <c r="AT77" i="13"/>
  <c r="AT87" i="13"/>
  <c r="AT61" i="13"/>
  <c r="AT43" i="13"/>
  <c r="AT217" i="13"/>
  <c r="AT193" i="13"/>
  <c r="AT117" i="13"/>
  <c r="AT85" i="13"/>
  <c r="AT245" i="13"/>
  <c r="AT68" i="13"/>
  <c r="AT244" i="13"/>
  <c r="AT240" i="13"/>
  <c r="AT210" i="13"/>
  <c r="AT17" i="13"/>
  <c r="AT41" i="13"/>
  <c r="AT227" i="13"/>
  <c r="AT236" i="13"/>
  <c r="AT60" i="13"/>
  <c r="AT59" i="13"/>
  <c r="AT119" i="13"/>
  <c r="AT45" i="13"/>
  <c r="AT235" i="13"/>
  <c r="AT114" i="13"/>
  <c r="AT241" i="13"/>
  <c r="AT15" i="13"/>
  <c r="AT174" i="13"/>
  <c r="AT138" i="13"/>
  <c r="AT254" i="13"/>
  <c r="AT205" i="13"/>
  <c r="AT257" i="13"/>
  <c r="AT16" i="13"/>
  <c r="AT218" i="13"/>
  <c r="AT239" i="13"/>
  <c r="AT52" i="13"/>
  <c r="AT131" i="13"/>
  <c r="AT225" i="13"/>
  <c r="AT206" i="13"/>
  <c r="AT223" i="13"/>
  <c r="AT86" i="13"/>
  <c r="AT213" i="13"/>
  <c r="AT187" i="13"/>
  <c r="AT251" i="13"/>
  <c r="AT73" i="13"/>
  <c r="AT231" i="13"/>
  <c r="AT234" i="13"/>
  <c r="AT84" i="13"/>
  <c r="AT226" i="13"/>
  <c r="AT216" i="13"/>
  <c r="AT208" i="13"/>
  <c r="AT255" i="13"/>
  <c r="AT108" i="13"/>
  <c r="AT115" i="13"/>
  <c r="AT102" i="13"/>
  <c r="AT18" i="13"/>
  <c r="AT258" i="13"/>
  <c r="AT261" i="13"/>
  <c r="AT65" i="13"/>
  <c r="AT37" i="13"/>
  <c r="AT259" i="13"/>
  <c r="AT207" i="13"/>
  <c r="AT180" i="13"/>
  <c r="AT224" i="13"/>
  <c r="AT256" i="13"/>
  <c r="AT194" i="13"/>
  <c r="AT72" i="13"/>
  <c r="AT63" i="13"/>
  <c r="AT146" i="13"/>
  <c r="AT188" i="13"/>
  <c r="AT198" i="13"/>
  <c r="AT209" i="13"/>
  <c r="AT97" i="13"/>
  <c r="AT249" i="13"/>
  <c r="AT36" i="13"/>
  <c r="AT201" i="13"/>
  <c r="AT169" i="13"/>
  <c r="AT219" i="13"/>
  <c r="AT49" i="13"/>
  <c r="AT125" i="13"/>
  <c r="AT89" i="13"/>
  <c r="AT21" i="13"/>
  <c r="AT28" i="13"/>
  <c r="AT107" i="13"/>
  <c r="AT229" i="13"/>
  <c r="AT237" i="13"/>
  <c r="AT232" i="13"/>
  <c r="AT164" i="13"/>
  <c r="AT27" i="13"/>
  <c r="AT168" i="13"/>
  <c r="AT95" i="13"/>
  <c r="AT47" i="13"/>
  <c r="AT124" i="13"/>
  <c r="AT247" i="13"/>
  <c r="AT250" i="13"/>
  <c r="AT130" i="13"/>
  <c r="AT75" i="13"/>
  <c r="AT221" i="13"/>
  <c r="AT228" i="13"/>
  <c r="AT162" i="13"/>
  <c r="AT243" i="13"/>
  <c r="AT23" i="13"/>
  <c r="AT19" i="13"/>
  <c r="AT122" i="13"/>
  <c r="AT151" i="13"/>
  <c r="AT242" i="13"/>
  <c r="AT230" i="13"/>
  <c r="D253" i="20" l="1"/>
  <c r="E5" i="5"/>
  <c r="T10" i="13"/>
  <c r="E6" i="5"/>
  <c r="V10" i="13"/>
  <c r="R10" i="13"/>
  <c r="E4" i="5"/>
  <c r="P10" i="13"/>
  <c r="E18" i="5"/>
  <c r="AT10" i="13"/>
  <c r="E3" i="5" l="1"/>
  <c r="P8" i="13"/>
  <c r="AJ9" i="25" l="1"/>
  <c r="AN9" i="25" l="1"/>
  <c r="Y12" i="25" l="1"/>
  <c r="Y14" i="25"/>
  <c r="AJ14" i="25" s="1"/>
  <c r="AB13" i="25"/>
  <c r="AJ13" i="25" s="1"/>
  <c r="Y13" i="25"/>
  <c r="Y15" i="25"/>
  <c r="AJ15" i="25" s="1"/>
  <c r="Y17" i="25"/>
  <c r="AJ17" i="25" s="1"/>
  <c r="Y19" i="25"/>
  <c r="AJ19" i="25" s="1"/>
  <c r="Y16" i="25"/>
  <c r="AJ16" i="25" s="1"/>
  <c r="Y18" i="25"/>
  <c r="AJ18" i="25" s="1"/>
  <c r="Y20" i="25"/>
  <c r="AJ20" i="25" s="1"/>
  <c r="AB23" i="25"/>
  <c r="Y21" i="25"/>
  <c r="AJ21" i="25" s="1"/>
  <c r="Y23" i="25"/>
  <c r="AC23" i="25"/>
  <c r="Y25" i="25"/>
  <c r="Y27" i="25"/>
  <c r="AD23" i="25"/>
  <c r="AB24" i="25"/>
  <c r="AB26" i="25"/>
  <c r="Y26" i="25"/>
  <c r="AB29" i="25"/>
  <c r="Y22" i="25"/>
  <c r="Y29" i="25"/>
  <c r="Y31" i="25"/>
  <c r="Y24" i="25"/>
  <c r="AB28" i="25"/>
  <c r="AB30" i="25"/>
  <c r="AC26" i="25"/>
  <c r="AB25" i="25"/>
  <c r="AJ25" i="25" s="1"/>
  <c r="AK7" i="25"/>
  <c r="AC28" i="25"/>
  <c r="Y28" i="25"/>
  <c r="AB33" i="25"/>
  <c r="AD34" i="25"/>
  <c r="AB35" i="25"/>
  <c r="Y30" i="25"/>
  <c r="Y32" i="25"/>
  <c r="Y33" i="25"/>
  <c r="AC33" i="25"/>
  <c r="Y35" i="25"/>
  <c r="Y37" i="25"/>
  <c r="AC37" i="25"/>
  <c r="AD33" i="25"/>
  <c r="AJ33" i="25" s="1"/>
  <c r="AB34" i="25"/>
  <c r="AB36" i="25"/>
  <c r="AB38" i="25"/>
  <c r="AB32" i="25"/>
  <c r="Y34" i="25"/>
  <c r="AC34" i="25"/>
  <c r="Y36" i="25"/>
  <c r="AC36" i="25"/>
  <c r="AJ36" i="25" s="1"/>
  <c r="Y38" i="25"/>
  <c r="AC38" i="25"/>
  <c r="AD38" i="25"/>
  <c r="Y40" i="25"/>
  <c r="AC40" i="25"/>
  <c r="Y42" i="25"/>
  <c r="Y44" i="25"/>
  <c r="AB37" i="25"/>
  <c r="AB39" i="25"/>
  <c r="AB43" i="25"/>
  <c r="Y39" i="25"/>
  <c r="AC39" i="25"/>
  <c r="Y41" i="25"/>
  <c r="Y43" i="25"/>
  <c r="AC43" i="25"/>
  <c r="AJ43" i="25" s="1"/>
  <c r="Y45" i="25"/>
  <c r="AJ45" i="25" s="1"/>
  <c r="Y47" i="25"/>
  <c r="AB48" i="25"/>
  <c r="AD39" i="25"/>
  <c r="AJ39" i="25" s="1"/>
  <c r="AB40" i="25"/>
  <c r="AB44" i="25"/>
  <c r="AJ44" i="25" s="1"/>
  <c r="Y48" i="25"/>
  <c r="AB47" i="25"/>
  <c r="AJ47" i="25" s="1"/>
  <c r="Y50" i="25"/>
  <c r="Y52" i="25"/>
  <c r="Y54" i="25"/>
  <c r="Y56" i="25"/>
  <c r="Y58" i="25"/>
  <c r="AC58" i="25"/>
  <c r="Y60" i="25"/>
  <c r="Y62" i="25"/>
  <c r="AC62" i="25"/>
  <c r="AJ62" i="25" s="1"/>
  <c r="Y46" i="25"/>
  <c r="AB53" i="25"/>
  <c r="AD58" i="25"/>
  <c r="AB59" i="25"/>
  <c r="Y49" i="25"/>
  <c r="Y51" i="25"/>
  <c r="Y53" i="25"/>
  <c r="Y55" i="25"/>
  <c r="Y57" i="25"/>
  <c r="Y59" i="25"/>
  <c r="Y61" i="25"/>
  <c r="AC61" i="25"/>
  <c r="Y63" i="25"/>
  <c r="AB56" i="25"/>
  <c r="AJ56" i="25" s="1"/>
  <c r="AB58" i="25"/>
  <c r="AD61" i="25"/>
  <c r="AJ61" i="25" s="1"/>
  <c r="AB62" i="25"/>
  <c r="AB61" i="25"/>
  <c r="Y65" i="25"/>
  <c r="Y67" i="25"/>
  <c r="Y69" i="25"/>
  <c r="AC69" i="25"/>
  <c r="Y71" i="25"/>
  <c r="Y73" i="25"/>
  <c r="AC73" i="25"/>
  <c r="Y75" i="25"/>
  <c r="AB64" i="25"/>
  <c r="AJ64" i="25" s="1"/>
  <c r="AB68" i="25"/>
  <c r="AD69" i="25"/>
  <c r="AB70" i="25"/>
  <c r="AB72" i="25"/>
  <c r="AB74" i="25"/>
  <c r="Y64" i="25"/>
  <c r="Y66" i="25"/>
  <c r="Y68" i="25"/>
  <c r="AC68" i="25"/>
  <c r="Y70" i="25"/>
  <c r="AC70" i="25"/>
  <c r="Y72" i="25"/>
  <c r="AC72" i="25"/>
  <c r="AJ72" i="25" s="1"/>
  <c r="Y74" i="25"/>
  <c r="Y76" i="25"/>
  <c r="Y78" i="25"/>
  <c r="AB65" i="25"/>
  <c r="AJ65" i="25" s="1"/>
  <c r="AB67" i="25"/>
  <c r="AB69" i="25"/>
  <c r="AD70" i="25"/>
  <c r="AJ70" i="25" s="1"/>
  <c r="AB71" i="25"/>
  <c r="AB73" i="25"/>
  <c r="Y79" i="25"/>
  <c r="Y81" i="25"/>
  <c r="AC81" i="25"/>
  <c r="Y83" i="25"/>
  <c r="AC83" i="25"/>
  <c r="Y85" i="25"/>
  <c r="AC85" i="25"/>
  <c r="Y87" i="25"/>
  <c r="AC87" i="25"/>
  <c r="Y89" i="25"/>
  <c r="Y91" i="25"/>
  <c r="Y77" i="25"/>
  <c r="AB80" i="25"/>
  <c r="AD81" i="25"/>
  <c r="AB82" i="25"/>
  <c r="AB86" i="25"/>
  <c r="AB88" i="25"/>
  <c r="Y80" i="25"/>
  <c r="AC80" i="25"/>
  <c r="Y82" i="25"/>
  <c r="AC82" i="25"/>
  <c r="Y84" i="25"/>
  <c r="Y86" i="25"/>
  <c r="AC86" i="25"/>
  <c r="AJ86" i="25" s="1"/>
  <c r="Y88" i="25"/>
  <c r="AC88" i="25"/>
  <c r="AJ88" i="25" s="1"/>
  <c r="Y90" i="25"/>
  <c r="Y92" i="25"/>
  <c r="AC92" i="25"/>
  <c r="AD80" i="25"/>
  <c r="AJ80" i="25" s="1"/>
  <c r="AB81" i="25"/>
  <c r="AD82" i="25"/>
  <c r="AB83" i="25"/>
  <c r="AB85" i="25"/>
  <c r="AB87" i="25"/>
  <c r="AB89" i="25"/>
  <c r="AJ89" i="25" s="1"/>
  <c r="AB91" i="25"/>
  <c r="AB97" i="25"/>
  <c r="AB99" i="25"/>
  <c r="AB101" i="25"/>
  <c r="Y93" i="25"/>
  <c r="Y95" i="25"/>
  <c r="Y97" i="25"/>
  <c r="Y99" i="25"/>
  <c r="Y101" i="25"/>
  <c r="AC101" i="25"/>
  <c r="Y103" i="25"/>
  <c r="Y105" i="25"/>
  <c r="AB98" i="25"/>
  <c r="AB100" i="25"/>
  <c r="AD101" i="25"/>
  <c r="AB102" i="25"/>
  <c r="AB90" i="25"/>
  <c r="AJ90" i="25" s="1"/>
  <c r="AB92" i="25"/>
  <c r="Y94" i="25"/>
  <c r="Y96" i="25"/>
  <c r="Y98" i="25"/>
  <c r="Y100" i="25"/>
  <c r="AC100" i="25"/>
  <c r="Y102" i="25"/>
  <c r="Y104" i="25"/>
  <c r="Y106" i="25"/>
  <c r="AB109" i="25"/>
  <c r="AD110" i="25"/>
  <c r="AB113" i="25"/>
  <c r="AB115" i="25"/>
  <c r="AJ115" i="25" s="1"/>
  <c r="AB117" i="25"/>
  <c r="AJ117" i="25" s="1"/>
  <c r="AB119" i="25"/>
  <c r="AJ119" i="25" s="1"/>
  <c r="AB121" i="25"/>
  <c r="AD122" i="25"/>
  <c r="AB123" i="25"/>
  <c r="AB125" i="25"/>
  <c r="AB127" i="25"/>
  <c r="AD128" i="25"/>
  <c r="AB129" i="25"/>
  <c r="AB131" i="25"/>
  <c r="AB135" i="25"/>
  <c r="AB137" i="25"/>
  <c r="AB139" i="25"/>
  <c r="Y107" i="25"/>
  <c r="Y109" i="25"/>
  <c r="Y111" i="25"/>
  <c r="Y113" i="25"/>
  <c r="Y115" i="25"/>
  <c r="Y117" i="25"/>
  <c r="Y119" i="25"/>
  <c r="Y121" i="25"/>
  <c r="AC121" i="25"/>
  <c r="AJ121" i="25" s="1"/>
  <c r="Y123" i="25"/>
  <c r="AC123" i="25"/>
  <c r="Y125" i="25"/>
  <c r="AC125" i="25"/>
  <c r="Y127" i="25"/>
  <c r="AC127" i="25"/>
  <c r="Y129" i="25"/>
  <c r="AC129" i="25"/>
  <c r="Y131" i="25"/>
  <c r="AC131" i="25"/>
  <c r="Y133" i="25"/>
  <c r="Y135" i="25"/>
  <c r="AC135" i="25"/>
  <c r="Y137" i="25"/>
  <c r="AC137" i="25"/>
  <c r="Y139" i="25"/>
  <c r="AC139" i="25"/>
  <c r="AB110" i="25"/>
  <c r="AB112" i="25"/>
  <c r="AB114" i="25"/>
  <c r="AJ114" i="25" s="1"/>
  <c r="AB116" i="25"/>
  <c r="AB118" i="25"/>
  <c r="AJ118" i="25" s="1"/>
  <c r="AB122" i="25"/>
  <c r="AD123" i="25"/>
  <c r="AB124" i="25"/>
  <c r="AD127" i="25"/>
  <c r="AJ127" i="25" s="1"/>
  <c r="AB128" i="25"/>
  <c r="AD129" i="25"/>
  <c r="AJ129" i="25" s="1"/>
  <c r="AB130" i="25"/>
  <c r="AD135" i="25"/>
  <c r="AJ135" i="25" s="1"/>
  <c r="AB136" i="25"/>
  <c r="AD137" i="25"/>
  <c r="AB138" i="25"/>
  <c r="Y108" i="25"/>
  <c r="Y110" i="25"/>
  <c r="AC110" i="25"/>
  <c r="Y112" i="25"/>
  <c r="Y114" i="25"/>
  <c r="Y116" i="25"/>
  <c r="Y118" i="25"/>
  <c r="Y120" i="25"/>
  <c r="Y122" i="25"/>
  <c r="AC122" i="25"/>
  <c r="Y124" i="25"/>
  <c r="Y126" i="25"/>
  <c r="Y128" i="25"/>
  <c r="AC128" i="25"/>
  <c r="Y130" i="25"/>
  <c r="AC130" i="25"/>
  <c r="Y132" i="25"/>
  <c r="Y134" i="25"/>
  <c r="Y136" i="25"/>
  <c r="AC136" i="25"/>
  <c r="Y138" i="25"/>
  <c r="AC138" i="25"/>
  <c r="Y141" i="25"/>
  <c r="Y143" i="25"/>
  <c r="Y145" i="25"/>
  <c r="Y147" i="25"/>
  <c r="Y149" i="25"/>
  <c r="Y151" i="25"/>
  <c r="Y153" i="25"/>
  <c r="Y155" i="25"/>
  <c r="Y157" i="25"/>
  <c r="Y159" i="25"/>
  <c r="Y161" i="25"/>
  <c r="AC161" i="25"/>
  <c r="Y163" i="25"/>
  <c r="AC163" i="25"/>
  <c r="Y165" i="25"/>
  <c r="AC165" i="25"/>
  <c r="Y167" i="25"/>
  <c r="AC167" i="25"/>
  <c r="AB140" i="25"/>
  <c r="AB148" i="25"/>
  <c r="AB152" i="25"/>
  <c r="AJ152" i="25" s="1"/>
  <c r="AB156" i="25"/>
  <c r="AB158" i="25"/>
  <c r="AD161" i="25"/>
  <c r="AB162" i="25"/>
  <c r="AD163" i="25"/>
  <c r="AB164" i="25"/>
  <c r="AD165" i="25"/>
  <c r="AB166" i="25"/>
  <c r="AD167" i="25"/>
  <c r="Y140" i="25"/>
  <c r="AC140" i="25"/>
  <c r="Y142" i="25"/>
  <c r="Y144" i="25"/>
  <c r="Y146" i="25"/>
  <c r="Y148" i="25"/>
  <c r="AC148" i="25"/>
  <c r="Y150" i="25"/>
  <c r="Y152" i="25"/>
  <c r="Y154" i="25"/>
  <c r="Y156" i="25"/>
  <c r="AC156" i="25"/>
  <c r="AJ156" i="25" s="1"/>
  <c r="Y158" i="25"/>
  <c r="AC158" i="25"/>
  <c r="Y160" i="25"/>
  <c r="Y162" i="25"/>
  <c r="AC162" i="25"/>
  <c r="Y164" i="25"/>
  <c r="AC164" i="25"/>
  <c r="Y166" i="25"/>
  <c r="AC166" i="25"/>
  <c r="AB143" i="25"/>
  <c r="AB145" i="25"/>
  <c r="AD148" i="25"/>
  <c r="AB149" i="25"/>
  <c r="AB157" i="25"/>
  <c r="AD158" i="25"/>
  <c r="AB161" i="25"/>
  <c r="AD162" i="25"/>
  <c r="AJ162" i="25" s="1"/>
  <c r="AB163" i="25"/>
  <c r="AD164" i="25"/>
  <c r="AJ164" i="25" s="1"/>
  <c r="AB165" i="25"/>
  <c r="AD166" i="25"/>
  <c r="AJ166" i="25" s="1"/>
  <c r="AB167" i="25"/>
  <c r="Y168" i="25"/>
  <c r="AC168" i="25"/>
  <c r="Y170" i="25"/>
  <c r="AC170" i="25"/>
  <c r="Y172" i="25"/>
  <c r="AC172" i="25"/>
  <c r="Y174" i="25"/>
  <c r="Y176" i="25"/>
  <c r="AC176" i="25"/>
  <c r="Y178" i="25"/>
  <c r="Y180" i="25"/>
  <c r="Y182" i="25"/>
  <c r="Y184" i="25"/>
  <c r="Y186" i="25"/>
  <c r="Y188" i="25"/>
  <c r="Y190" i="25"/>
  <c r="Y192" i="25"/>
  <c r="Y194" i="25"/>
  <c r="AC194" i="25"/>
  <c r="Y196" i="25"/>
  <c r="AD168" i="25"/>
  <c r="AB169" i="25"/>
  <c r="AB173" i="25"/>
  <c r="AD176" i="25"/>
  <c r="AB177" i="25"/>
  <c r="AB179" i="25"/>
  <c r="AB181" i="25"/>
  <c r="AB183" i="25"/>
  <c r="AB189" i="25"/>
  <c r="AB195" i="25"/>
  <c r="Y169" i="25"/>
  <c r="AC169" i="25"/>
  <c r="AJ169" i="25" s="1"/>
  <c r="Y171" i="25"/>
  <c r="Y173" i="25"/>
  <c r="AC173" i="25"/>
  <c r="AJ173" i="25" s="1"/>
  <c r="Y175" i="25"/>
  <c r="Y177" i="25"/>
  <c r="AC177" i="25"/>
  <c r="AJ177" i="25" s="1"/>
  <c r="Y179" i="25"/>
  <c r="Y181" i="25"/>
  <c r="Y183" i="25"/>
  <c r="Y185" i="25"/>
  <c r="Y187" i="25"/>
  <c r="Y189" i="25"/>
  <c r="AC189" i="25"/>
  <c r="AJ189" i="25" s="1"/>
  <c r="Y191" i="25"/>
  <c r="Y193" i="25"/>
  <c r="AJ193" i="25" s="1"/>
  <c r="Y195" i="25"/>
  <c r="AC195" i="25"/>
  <c r="AJ195" i="25" s="1"/>
  <c r="AB168" i="25"/>
  <c r="AB170" i="25"/>
  <c r="AB172" i="25"/>
  <c r="AB176" i="25"/>
  <c r="AB178" i="25"/>
  <c r="AJ178" i="25" s="1"/>
  <c r="AB180" i="25"/>
  <c r="AB182" i="25"/>
  <c r="AB184" i="25"/>
  <c r="AB188" i="25"/>
  <c r="AJ188" i="25" s="1"/>
  <c r="AB192" i="25"/>
  <c r="AB194" i="25"/>
  <c r="AB196" i="25"/>
  <c r="AB204" i="25"/>
  <c r="AD205" i="25"/>
  <c r="AB206" i="25"/>
  <c r="AD207" i="25"/>
  <c r="AB208" i="25"/>
  <c r="AD209" i="25"/>
  <c r="AB210" i="25"/>
  <c r="AJ210" i="25" s="1"/>
  <c r="AB212" i="25"/>
  <c r="AJ212" i="25" s="1"/>
  <c r="AB218" i="25"/>
  <c r="AB222" i="25"/>
  <c r="AB224" i="25"/>
  <c r="AJ224" i="25" s="1"/>
  <c r="AB228" i="25"/>
  <c r="AB230" i="25"/>
  <c r="AD231" i="25"/>
  <c r="AB232" i="25"/>
  <c r="AB234" i="25"/>
  <c r="AB236" i="25"/>
  <c r="AB238" i="25"/>
  <c r="AJ238" i="25" s="1"/>
  <c r="AB242" i="25"/>
  <c r="AJ242" i="25" s="1"/>
  <c r="AB244" i="25"/>
  <c r="AB252" i="25"/>
  <c r="Y198" i="25"/>
  <c r="Y200" i="25"/>
  <c r="Y202" i="25"/>
  <c r="Y204" i="25"/>
  <c r="AC204" i="25"/>
  <c r="AJ204" i="25" s="1"/>
  <c r="Y206" i="25"/>
  <c r="AC206" i="25"/>
  <c r="Y208" i="25"/>
  <c r="AC208" i="25"/>
  <c r="Y210" i="25"/>
  <c r="Y212" i="25"/>
  <c r="Y214" i="25"/>
  <c r="AJ214" i="25" s="1"/>
  <c r="Y216" i="25"/>
  <c r="AJ216" i="25" s="1"/>
  <c r="Y218" i="25"/>
  <c r="AC218" i="25"/>
  <c r="AJ218" i="25" s="1"/>
  <c r="Y220" i="25"/>
  <c r="AJ220" i="25" s="1"/>
  <c r="Y222" i="25"/>
  <c r="AC222" i="25"/>
  <c r="AJ222" i="25" s="1"/>
  <c r="Y224" i="25"/>
  <c r="Y226" i="25"/>
  <c r="AJ226" i="25" s="1"/>
  <c r="Y228" i="25"/>
  <c r="AC228" i="25"/>
  <c r="AJ228" i="25" s="1"/>
  <c r="Y230" i="25"/>
  <c r="AC230" i="25"/>
  <c r="AJ230" i="25" s="1"/>
  <c r="Y232" i="25"/>
  <c r="AC232" i="25"/>
  <c r="Y234" i="25"/>
  <c r="AC234" i="25"/>
  <c r="Y236" i="25"/>
  <c r="AC236" i="25"/>
  <c r="AJ236" i="25" s="1"/>
  <c r="Y238" i="25"/>
  <c r="Y240" i="25"/>
  <c r="AJ240" i="25" s="1"/>
  <c r="Y242" i="25"/>
  <c r="Y244" i="25"/>
  <c r="AC244" i="25"/>
  <c r="AJ244" i="25" s="1"/>
  <c r="Y246" i="25"/>
  <c r="AJ246" i="25" s="1"/>
  <c r="Y248" i="25"/>
  <c r="AJ248" i="25" s="1"/>
  <c r="Y250" i="25"/>
  <c r="AJ250" i="25" s="1"/>
  <c r="Y252" i="25"/>
  <c r="AC252" i="25"/>
  <c r="AJ252" i="25" s="1"/>
  <c r="Y254" i="25"/>
  <c r="AJ254" i="25" s="1"/>
  <c r="Y256" i="25"/>
  <c r="AJ256" i="25" s="1"/>
  <c r="Y258" i="25"/>
  <c r="AJ258" i="25" s="1"/>
  <c r="Y260" i="25"/>
  <c r="AJ260" i="25" s="1"/>
  <c r="Y262" i="25"/>
  <c r="AJ262" i="25" s="1"/>
  <c r="AB201" i="25"/>
  <c r="AJ201" i="25" s="1"/>
  <c r="AB203" i="25"/>
  <c r="AB205" i="25"/>
  <c r="AD206" i="25"/>
  <c r="AJ206" i="25" s="1"/>
  <c r="AB207" i="25"/>
  <c r="AD208" i="25"/>
  <c r="AJ208" i="25" s="1"/>
  <c r="AB209" i="25"/>
  <c r="AB219" i="25"/>
  <c r="AB221" i="25"/>
  <c r="AJ221" i="25" s="1"/>
  <c r="AB227" i="25"/>
  <c r="AB231" i="25"/>
  <c r="AD232" i="25"/>
  <c r="AJ232" i="25" s="1"/>
  <c r="AB233" i="25"/>
  <c r="AJ233" i="25" s="1"/>
  <c r="AD234" i="25"/>
  <c r="AJ234" i="25" s="1"/>
  <c r="AB235" i="25"/>
  <c r="AJ235" i="25" s="1"/>
  <c r="AB237" i="25"/>
  <c r="AJ237" i="25" s="1"/>
  <c r="AB239" i="25"/>
  <c r="AB241" i="25"/>
  <c r="AJ241" i="25" s="1"/>
  <c r="AB243" i="25"/>
  <c r="AJ243" i="25" s="1"/>
  <c r="AB249" i="25"/>
  <c r="AJ249" i="25" s="1"/>
  <c r="AB253" i="25"/>
  <c r="AJ253" i="25" s="1"/>
  <c r="Y207" i="25"/>
  <c r="AC219" i="25"/>
  <c r="Y231" i="25"/>
  <c r="Y235" i="25"/>
  <c r="Y239" i="25"/>
  <c r="Y257" i="25"/>
  <c r="AJ257" i="25" s="1"/>
  <c r="Y261" i="25"/>
  <c r="AJ261" i="25" s="1"/>
  <c r="Y259" i="25"/>
  <c r="AJ259" i="25" s="1"/>
  <c r="AC209" i="25"/>
  <c r="Y217" i="25"/>
  <c r="AJ217" i="25" s="1"/>
  <c r="Y249" i="25"/>
  <c r="Y251" i="25"/>
  <c r="AJ251" i="25" s="1"/>
  <c r="Y199" i="25"/>
  <c r="AC203" i="25"/>
  <c r="AJ203" i="25" s="1"/>
  <c r="AC205" i="25"/>
  <c r="Y209" i="25"/>
  <c r="Y215" i="25"/>
  <c r="AJ215" i="25" s="1"/>
  <c r="Y221" i="25"/>
  <c r="Y227" i="25"/>
  <c r="Y229" i="25"/>
  <c r="AJ229" i="25" s="1"/>
  <c r="Y233" i="25"/>
  <c r="Y237" i="25"/>
  <c r="Y247" i="25"/>
  <c r="AJ247" i="25" s="1"/>
  <c r="Y253" i="25"/>
  <c r="Y255" i="25"/>
  <c r="AJ255" i="25" s="1"/>
  <c r="Y203" i="25"/>
  <c r="Y205" i="25"/>
  <c r="Y213" i="25"/>
  <c r="AJ213" i="25" s="1"/>
  <c r="Y241" i="25"/>
  <c r="AC207" i="25"/>
  <c r="Y211" i="25"/>
  <c r="AJ211" i="25" s="1"/>
  <c r="Y219" i="25"/>
  <c r="Y223" i="25"/>
  <c r="AJ223" i="25" s="1"/>
  <c r="AC231" i="25"/>
  <c r="AC239" i="25"/>
  <c r="AJ239" i="25" s="1"/>
  <c r="Y243" i="25"/>
  <c r="Y197" i="25"/>
  <c r="Y201" i="25"/>
  <c r="Y225" i="25"/>
  <c r="AJ225" i="25" s="1"/>
  <c r="AC227" i="25"/>
  <c r="AJ227" i="25" s="1"/>
  <c r="Y245" i="25"/>
  <c r="AJ245" i="25" s="1"/>
  <c r="AJ137" i="25" l="1"/>
  <c r="AJ123" i="25"/>
  <c r="AJ101" i="25"/>
  <c r="AJ28" i="25"/>
  <c r="AJ219" i="25"/>
  <c r="AJ148" i="25"/>
  <c r="AJ23" i="25"/>
  <c r="AK245" i="25"/>
  <c r="CB245" i="25"/>
  <c r="K245" i="25" s="1"/>
  <c r="CN245" i="25"/>
  <c r="O245" i="25" s="1"/>
  <c r="BV245" i="25"/>
  <c r="I245" i="25" s="1"/>
  <c r="CT245" i="25"/>
  <c r="Q245" i="25" s="1"/>
  <c r="DC245" i="25"/>
  <c r="T245" i="25" s="1"/>
  <c r="BJ245" i="25"/>
  <c r="E245" i="25" s="1"/>
  <c r="CQ245" i="25"/>
  <c r="P245" i="25" s="1"/>
  <c r="BY245" i="25"/>
  <c r="J245" i="25" s="1"/>
  <c r="CH245" i="25"/>
  <c r="M245" i="25" s="1"/>
  <c r="CW245" i="25"/>
  <c r="R245" i="25" s="1"/>
  <c r="CZ245" i="25"/>
  <c r="S245" i="25" s="1"/>
  <c r="BS245" i="25"/>
  <c r="H245" i="25" s="1"/>
  <c r="CK245" i="25"/>
  <c r="N245" i="25" s="1"/>
  <c r="CE245" i="25"/>
  <c r="L245" i="25" s="1"/>
  <c r="BM245" i="25"/>
  <c r="F245" i="25" s="1"/>
  <c r="BP245" i="25"/>
  <c r="G245" i="25" s="1"/>
  <c r="AJ197" i="25"/>
  <c r="AK223" i="25"/>
  <c r="CK223" i="25"/>
  <c r="N223" i="25" s="1"/>
  <c r="CH223" i="25"/>
  <c r="M223" i="25" s="1"/>
  <c r="CE223" i="25"/>
  <c r="L223" i="25" s="1"/>
  <c r="BM223" i="25"/>
  <c r="F223" i="25" s="1"/>
  <c r="BP223" i="25"/>
  <c r="G223" i="25" s="1"/>
  <c r="CB223" i="25"/>
  <c r="K223" i="25" s="1"/>
  <c r="CN223" i="25"/>
  <c r="O223" i="25" s="1"/>
  <c r="BJ223" i="25"/>
  <c r="E223" i="25" s="1"/>
  <c r="DC223" i="25"/>
  <c r="T223" i="25" s="1"/>
  <c r="CQ223" i="25"/>
  <c r="P223" i="25" s="1"/>
  <c r="BS223" i="25"/>
  <c r="H223" i="25" s="1"/>
  <c r="BY223" i="25"/>
  <c r="J223" i="25" s="1"/>
  <c r="CW223" i="25"/>
  <c r="R223" i="25" s="1"/>
  <c r="CZ223" i="25"/>
  <c r="S223" i="25" s="1"/>
  <c r="BV223" i="25"/>
  <c r="I223" i="25" s="1"/>
  <c r="CT223" i="25"/>
  <c r="Q223" i="25" s="1"/>
  <c r="AK255" i="25"/>
  <c r="BJ255" i="25"/>
  <c r="E255" i="25" s="1"/>
  <c r="CK255" i="25"/>
  <c r="N255" i="25" s="1"/>
  <c r="CE255" i="25"/>
  <c r="L255" i="25" s="1"/>
  <c r="BM255" i="25"/>
  <c r="F255" i="25" s="1"/>
  <c r="BP255" i="25"/>
  <c r="G255" i="25" s="1"/>
  <c r="CB255" i="25"/>
  <c r="K255" i="25" s="1"/>
  <c r="CN255" i="25"/>
  <c r="DC255" i="25"/>
  <c r="T255" i="25" s="1"/>
  <c r="CT255" i="25"/>
  <c r="Q255" i="25" s="1"/>
  <c r="CQ255" i="25"/>
  <c r="P255" i="25" s="1"/>
  <c r="BY255" i="25"/>
  <c r="J255" i="25" s="1"/>
  <c r="CH255" i="25"/>
  <c r="M255" i="25" s="1"/>
  <c r="CW255" i="25"/>
  <c r="R255" i="25" s="1"/>
  <c r="CZ255" i="25"/>
  <c r="S255" i="25" s="1"/>
  <c r="BV255" i="25"/>
  <c r="I255" i="25" s="1"/>
  <c r="BS255" i="25"/>
  <c r="H255" i="25" s="1"/>
  <c r="AK215" i="25"/>
  <c r="CK215" i="25"/>
  <c r="N215" i="25" s="1"/>
  <c r="CE215" i="25"/>
  <c r="L215" i="25" s="1"/>
  <c r="BM215" i="25"/>
  <c r="F215" i="25" s="1"/>
  <c r="BP215" i="25"/>
  <c r="G215" i="25" s="1"/>
  <c r="CB215" i="25"/>
  <c r="K215" i="25" s="1"/>
  <c r="CN215" i="25"/>
  <c r="O215" i="25" s="1"/>
  <c r="BV215" i="25"/>
  <c r="I215" i="25" s="1"/>
  <c r="CT215" i="25"/>
  <c r="Q215" i="25" s="1"/>
  <c r="DC215" i="25"/>
  <c r="T215" i="25" s="1"/>
  <c r="BJ215" i="25"/>
  <c r="E215" i="25" s="1"/>
  <c r="CQ215" i="25"/>
  <c r="P215" i="25" s="1"/>
  <c r="BY215" i="25"/>
  <c r="J215" i="25" s="1"/>
  <c r="CH215" i="25"/>
  <c r="M215" i="25" s="1"/>
  <c r="CW215" i="25"/>
  <c r="R215" i="25" s="1"/>
  <c r="CZ215" i="25"/>
  <c r="S215" i="25" s="1"/>
  <c r="BS215" i="25"/>
  <c r="H215" i="25" s="1"/>
  <c r="AJ199" i="25"/>
  <c r="AK241" i="25"/>
  <c r="BY241" i="25"/>
  <c r="J241" i="25" s="1"/>
  <c r="CW241" i="25"/>
  <c r="R241" i="25" s="1"/>
  <c r="CZ241" i="25"/>
  <c r="S241" i="25" s="1"/>
  <c r="BV241" i="25"/>
  <c r="I241" i="25" s="1"/>
  <c r="CT241" i="25"/>
  <c r="Q241" i="25" s="1"/>
  <c r="BS241" i="25"/>
  <c r="H241" i="25" s="1"/>
  <c r="CK241" i="25"/>
  <c r="N241" i="25" s="1"/>
  <c r="CE241" i="25"/>
  <c r="L241" i="25" s="1"/>
  <c r="BM241" i="25"/>
  <c r="F241" i="25" s="1"/>
  <c r="BP241" i="25"/>
  <c r="G241" i="25" s="1"/>
  <c r="CB241" i="25"/>
  <c r="K241" i="25" s="1"/>
  <c r="CN241" i="25"/>
  <c r="O241" i="25" s="1"/>
  <c r="DC241" i="25"/>
  <c r="T241" i="25" s="1"/>
  <c r="BJ241" i="25"/>
  <c r="E241" i="25" s="1"/>
  <c r="CH241" i="25"/>
  <c r="M241" i="25" s="1"/>
  <c r="CQ241" i="25"/>
  <c r="P241" i="25" s="1"/>
  <c r="AK234" i="25"/>
  <c r="BY234" i="25"/>
  <c r="J234" i="25" s="1"/>
  <c r="CW234" i="25"/>
  <c r="R234" i="25" s="1"/>
  <c r="CQ234" i="25"/>
  <c r="P234" i="25" s="1"/>
  <c r="DC234" i="25"/>
  <c r="T234" i="25" s="1"/>
  <c r="CN234" i="25"/>
  <c r="O234" i="25" s="1"/>
  <c r="CK234" i="25"/>
  <c r="N234" i="25" s="1"/>
  <c r="CH234" i="25"/>
  <c r="M234" i="25" s="1"/>
  <c r="BM234" i="25"/>
  <c r="F234" i="25" s="1"/>
  <c r="BJ234" i="25"/>
  <c r="E234" i="25" s="1"/>
  <c r="CZ234" i="25"/>
  <c r="S234" i="25" s="1"/>
  <c r="CE234" i="25"/>
  <c r="L234" i="25" s="1"/>
  <c r="BV234" i="25"/>
  <c r="I234" i="25" s="1"/>
  <c r="CT234" i="25"/>
  <c r="Q234" i="25" s="1"/>
  <c r="BP234" i="25"/>
  <c r="G234" i="25" s="1"/>
  <c r="BS234" i="25"/>
  <c r="H234" i="25" s="1"/>
  <c r="CB234" i="25"/>
  <c r="K234" i="25" s="1"/>
  <c r="AK208" i="25"/>
  <c r="CK208" i="25"/>
  <c r="N208" i="25" s="1"/>
  <c r="CH208" i="25"/>
  <c r="M208" i="25" s="1"/>
  <c r="BM208" i="25"/>
  <c r="F208" i="25" s="1"/>
  <c r="CB208" i="25"/>
  <c r="K208" i="25" s="1"/>
  <c r="BJ208" i="25"/>
  <c r="E208" i="25" s="1"/>
  <c r="CZ208" i="25"/>
  <c r="S208" i="25" s="1"/>
  <c r="CE208" i="25"/>
  <c r="L208" i="25" s="1"/>
  <c r="BV208" i="25"/>
  <c r="I208" i="25" s="1"/>
  <c r="CT208" i="25"/>
  <c r="Q208" i="25" s="1"/>
  <c r="BP208" i="25"/>
  <c r="G208" i="25" s="1"/>
  <c r="CN208" i="25"/>
  <c r="O208" i="25" s="1"/>
  <c r="BY208" i="25"/>
  <c r="J208" i="25" s="1"/>
  <c r="CW208" i="25"/>
  <c r="R208" i="25" s="1"/>
  <c r="CQ208" i="25"/>
  <c r="P208" i="25" s="1"/>
  <c r="DC208" i="25"/>
  <c r="T208" i="25" s="1"/>
  <c r="BS208" i="25"/>
  <c r="H208" i="25" s="1"/>
  <c r="AK258" i="25"/>
  <c r="BY258" i="25"/>
  <c r="J258" i="25" s="1"/>
  <c r="CW258" i="25"/>
  <c r="R258" i="25" s="1"/>
  <c r="CQ258" i="25"/>
  <c r="P258" i="25" s="1"/>
  <c r="DC258" i="25"/>
  <c r="T258" i="25" s="1"/>
  <c r="CK258" i="25"/>
  <c r="N258" i="25" s="1"/>
  <c r="CH258" i="25"/>
  <c r="M258" i="25" s="1"/>
  <c r="BM258" i="25"/>
  <c r="F258" i="25" s="1"/>
  <c r="BJ258" i="25"/>
  <c r="E258" i="25" s="1"/>
  <c r="CE258" i="25"/>
  <c r="L258" i="25" s="1"/>
  <c r="BV258" i="25"/>
  <c r="I258" i="25" s="1"/>
  <c r="CT258" i="25"/>
  <c r="Q258" i="25" s="1"/>
  <c r="BP258" i="25"/>
  <c r="G258" i="25" s="1"/>
  <c r="BS258" i="25"/>
  <c r="H258" i="25" s="1"/>
  <c r="CB258" i="25"/>
  <c r="K258" i="25" s="1"/>
  <c r="CN258" i="25"/>
  <c r="O258" i="25" s="1"/>
  <c r="CZ258" i="25"/>
  <c r="S258" i="25" s="1"/>
  <c r="AK244" i="25"/>
  <c r="CB244" i="25"/>
  <c r="K244" i="25" s="1"/>
  <c r="BY244" i="25"/>
  <c r="J244" i="25" s="1"/>
  <c r="CW244" i="25"/>
  <c r="R244" i="25" s="1"/>
  <c r="CQ244" i="25"/>
  <c r="P244" i="25" s="1"/>
  <c r="DC244" i="25"/>
  <c r="T244" i="25" s="1"/>
  <c r="CK244" i="25"/>
  <c r="N244" i="25" s="1"/>
  <c r="CH244" i="25"/>
  <c r="M244" i="25" s="1"/>
  <c r="BM244" i="25"/>
  <c r="F244" i="25" s="1"/>
  <c r="BS244" i="25"/>
  <c r="H244" i="25" s="1"/>
  <c r="CN244" i="25"/>
  <c r="O244" i="25" s="1"/>
  <c r="BJ244" i="25"/>
  <c r="E244" i="25" s="1"/>
  <c r="CZ244" i="25"/>
  <c r="S244" i="25" s="1"/>
  <c r="CE244" i="25"/>
  <c r="L244" i="25" s="1"/>
  <c r="BV244" i="25"/>
  <c r="I244" i="25" s="1"/>
  <c r="CT244" i="25"/>
  <c r="Q244" i="25" s="1"/>
  <c r="BP244" i="25"/>
  <c r="G244" i="25" s="1"/>
  <c r="AK218" i="25"/>
  <c r="CB218" i="25"/>
  <c r="K218" i="25" s="1"/>
  <c r="BY218" i="25"/>
  <c r="J218" i="25" s="1"/>
  <c r="CW218" i="25"/>
  <c r="R218" i="25" s="1"/>
  <c r="CQ218" i="25"/>
  <c r="P218" i="25" s="1"/>
  <c r="DC218" i="25"/>
  <c r="T218" i="25" s="1"/>
  <c r="CK218" i="25"/>
  <c r="N218" i="25" s="1"/>
  <c r="CH218" i="25"/>
  <c r="M218" i="25" s="1"/>
  <c r="BM218" i="25"/>
  <c r="F218" i="25" s="1"/>
  <c r="BP218" i="25"/>
  <c r="G218" i="25" s="1"/>
  <c r="CN218" i="25"/>
  <c r="O218" i="25" s="1"/>
  <c r="BJ218" i="25"/>
  <c r="E218" i="25" s="1"/>
  <c r="CE218" i="25"/>
  <c r="L218" i="25" s="1"/>
  <c r="BV218" i="25"/>
  <c r="I218" i="25" s="1"/>
  <c r="CT218" i="25"/>
  <c r="Q218" i="25" s="1"/>
  <c r="BS218" i="25"/>
  <c r="H218" i="25" s="1"/>
  <c r="CZ218" i="25"/>
  <c r="S218" i="25" s="1"/>
  <c r="AJ202" i="25"/>
  <c r="AK212" i="25"/>
  <c r="CB212" i="25"/>
  <c r="K212" i="25" s="1"/>
  <c r="BY212" i="25"/>
  <c r="J212" i="25" s="1"/>
  <c r="CW212" i="25"/>
  <c r="R212" i="25" s="1"/>
  <c r="CQ212" i="25"/>
  <c r="P212" i="25" s="1"/>
  <c r="DC212" i="25"/>
  <c r="T212" i="25" s="1"/>
  <c r="CK212" i="25"/>
  <c r="N212" i="25" s="1"/>
  <c r="CH212" i="25"/>
  <c r="M212" i="25" s="1"/>
  <c r="BM212" i="25"/>
  <c r="F212" i="25" s="1"/>
  <c r="CN212" i="25"/>
  <c r="O212" i="25" s="1"/>
  <c r="BJ212" i="25"/>
  <c r="E212" i="25" s="1"/>
  <c r="CZ212" i="25"/>
  <c r="S212" i="25" s="1"/>
  <c r="CE212" i="25"/>
  <c r="L212" i="25" s="1"/>
  <c r="BV212" i="25"/>
  <c r="I212" i="25" s="1"/>
  <c r="CT212" i="25"/>
  <c r="Q212" i="25" s="1"/>
  <c r="BP212" i="25"/>
  <c r="G212" i="25" s="1"/>
  <c r="BS212" i="25"/>
  <c r="H212" i="25" s="1"/>
  <c r="AJ207" i="25"/>
  <c r="AJ196" i="25"/>
  <c r="AJ184" i="25"/>
  <c r="AK195" i="25"/>
  <c r="CQ195" i="25"/>
  <c r="P195" i="25" s="1"/>
  <c r="BS195" i="25"/>
  <c r="H195" i="25" s="1"/>
  <c r="CK195" i="25"/>
  <c r="N195" i="25" s="1"/>
  <c r="BY195" i="25"/>
  <c r="J195" i="25" s="1"/>
  <c r="CH195" i="25"/>
  <c r="M195" i="25" s="1"/>
  <c r="CW195" i="25"/>
  <c r="R195" i="25" s="1"/>
  <c r="CE195" i="25"/>
  <c r="L195" i="25" s="1"/>
  <c r="BP195" i="25"/>
  <c r="G195" i="25" s="1"/>
  <c r="CB195" i="25"/>
  <c r="K195" i="25" s="1"/>
  <c r="CN195" i="25"/>
  <c r="O195" i="25" s="1"/>
  <c r="BJ195" i="25"/>
  <c r="E195" i="25" s="1"/>
  <c r="CZ195" i="25"/>
  <c r="S195" i="25" s="1"/>
  <c r="BV195" i="25"/>
  <c r="I195" i="25" s="1"/>
  <c r="CT195" i="25"/>
  <c r="Q195" i="25" s="1"/>
  <c r="BM195" i="25"/>
  <c r="F195" i="25" s="1"/>
  <c r="DC195" i="25"/>
  <c r="T195" i="25" s="1"/>
  <c r="AK189" i="25"/>
  <c r="CB189" i="25"/>
  <c r="K189" i="25" s="1"/>
  <c r="CN189" i="25"/>
  <c r="O189" i="25" s="1"/>
  <c r="BJ189" i="25"/>
  <c r="E189" i="25" s="1"/>
  <c r="CZ189" i="25"/>
  <c r="S189" i="25" s="1"/>
  <c r="BV189" i="25"/>
  <c r="I189" i="25" s="1"/>
  <c r="CT189" i="25"/>
  <c r="Q189" i="25" s="1"/>
  <c r="BM189" i="25"/>
  <c r="F189" i="25" s="1"/>
  <c r="DC189" i="25"/>
  <c r="T189" i="25" s="1"/>
  <c r="CQ189" i="25"/>
  <c r="P189" i="25" s="1"/>
  <c r="BS189" i="25"/>
  <c r="H189" i="25" s="1"/>
  <c r="CK189" i="25"/>
  <c r="N189" i="25" s="1"/>
  <c r="BY189" i="25"/>
  <c r="J189" i="25" s="1"/>
  <c r="CH189" i="25"/>
  <c r="M189" i="25" s="1"/>
  <c r="CW189" i="25"/>
  <c r="R189" i="25" s="1"/>
  <c r="CE189" i="25"/>
  <c r="L189" i="25" s="1"/>
  <c r="BP189" i="25"/>
  <c r="G189" i="25" s="1"/>
  <c r="AJ171" i="25"/>
  <c r="AJ168" i="25"/>
  <c r="AK164" i="25"/>
  <c r="BY164" i="25"/>
  <c r="J164" i="25" s="1"/>
  <c r="CH164" i="25"/>
  <c r="M164" i="25" s="1"/>
  <c r="CW164" i="25"/>
  <c r="R164" i="25" s="1"/>
  <c r="CT164" i="25"/>
  <c r="Q164" i="25" s="1"/>
  <c r="BS164" i="25"/>
  <c r="H164" i="25" s="1"/>
  <c r="BJ164" i="25"/>
  <c r="E164" i="25" s="1"/>
  <c r="CK164" i="25"/>
  <c r="N164" i="25" s="1"/>
  <c r="CZ164" i="25"/>
  <c r="S164" i="25" s="1"/>
  <c r="CE164" i="25"/>
  <c r="L164" i="25" s="1"/>
  <c r="BV164" i="25"/>
  <c r="I164" i="25" s="1"/>
  <c r="BM164" i="25"/>
  <c r="F164" i="25" s="1"/>
  <c r="BP164" i="25"/>
  <c r="G164" i="25" s="1"/>
  <c r="DC164" i="25"/>
  <c r="T164" i="25" s="1"/>
  <c r="CB164" i="25"/>
  <c r="K164" i="25" s="1"/>
  <c r="CN164" i="25"/>
  <c r="O164" i="25" s="1"/>
  <c r="CQ164" i="25"/>
  <c r="P164" i="25" s="1"/>
  <c r="AJ158" i="25"/>
  <c r="AJ145" i="25"/>
  <c r="AJ160" i="25"/>
  <c r="AJ142" i="25"/>
  <c r="AK152" i="25"/>
  <c r="CB152" i="25"/>
  <c r="K152" i="25" s="1"/>
  <c r="CN152" i="25"/>
  <c r="O152" i="25" s="1"/>
  <c r="CQ152" i="25"/>
  <c r="P152" i="25" s="1"/>
  <c r="BY152" i="25"/>
  <c r="J152" i="25" s="1"/>
  <c r="CH152" i="25"/>
  <c r="M152" i="25" s="1"/>
  <c r="CW152" i="25"/>
  <c r="R152" i="25" s="1"/>
  <c r="CT152" i="25"/>
  <c r="Q152" i="25" s="1"/>
  <c r="BS152" i="25"/>
  <c r="H152" i="25" s="1"/>
  <c r="BJ152" i="25"/>
  <c r="E152" i="25" s="1"/>
  <c r="CK152" i="25"/>
  <c r="N152" i="25" s="1"/>
  <c r="CZ152" i="25"/>
  <c r="S152" i="25" s="1"/>
  <c r="CE152" i="25"/>
  <c r="L152" i="25" s="1"/>
  <c r="BV152" i="25"/>
  <c r="I152" i="25" s="1"/>
  <c r="BM152" i="25"/>
  <c r="F152" i="25" s="1"/>
  <c r="BP152" i="25"/>
  <c r="G152" i="25" s="1"/>
  <c r="DC152" i="25"/>
  <c r="T152" i="25" s="1"/>
  <c r="AJ141" i="25"/>
  <c r="AK137" i="25"/>
  <c r="CK137" i="25"/>
  <c r="N137" i="25" s="1"/>
  <c r="CH137" i="25"/>
  <c r="M137" i="25" s="1"/>
  <c r="CZ137" i="25"/>
  <c r="S137" i="25" s="1"/>
  <c r="BM137" i="25"/>
  <c r="F137" i="25" s="1"/>
  <c r="BP137" i="25"/>
  <c r="G137" i="25" s="1"/>
  <c r="BS137" i="25"/>
  <c r="H137" i="25" s="1"/>
  <c r="CB137" i="25"/>
  <c r="K137" i="25" s="1"/>
  <c r="CN137" i="25"/>
  <c r="O137" i="25" s="1"/>
  <c r="BJ137" i="25"/>
  <c r="E137" i="25" s="1"/>
  <c r="CE137" i="25"/>
  <c r="L137" i="25" s="1"/>
  <c r="BV137" i="25"/>
  <c r="I137" i="25" s="1"/>
  <c r="CT137" i="25"/>
  <c r="Q137" i="25" s="1"/>
  <c r="DC137" i="25"/>
  <c r="T137" i="25" s="1"/>
  <c r="BY137" i="25"/>
  <c r="J137" i="25" s="1"/>
  <c r="CW137" i="25"/>
  <c r="R137" i="25" s="1"/>
  <c r="CQ137" i="25"/>
  <c r="P137" i="25" s="1"/>
  <c r="AK129" i="25"/>
  <c r="CK129" i="25"/>
  <c r="N129" i="25" s="1"/>
  <c r="CH129" i="25"/>
  <c r="M129" i="25" s="1"/>
  <c r="CZ129" i="25"/>
  <c r="S129" i="25" s="1"/>
  <c r="BM129" i="25"/>
  <c r="F129" i="25" s="1"/>
  <c r="BP129" i="25"/>
  <c r="G129" i="25" s="1"/>
  <c r="BS129" i="25"/>
  <c r="H129" i="25" s="1"/>
  <c r="CB129" i="25"/>
  <c r="K129" i="25" s="1"/>
  <c r="CN129" i="25"/>
  <c r="O129" i="25" s="1"/>
  <c r="BJ129" i="25"/>
  <c r="E129" i="25" s="1"/>
  <c r="CE129" i="25"/>
  <c r="L129" i="25" s="1"/>
  <c r="BV129" i="25"/>
  <c r="I129" i="25" s="1"/>
  <c r="CT129" i="25"/>
  <c r="Q129" i="25" s="1"/>
  <c r="DC129" i="25"/>
  <c r="T129" i="25" s="1"/>
  <c r="BY129" i="25"/>
  <c r="J129" i="25" s="1"/>
  <c r="CW129" i="25"/>
  <c r="R129" i="25" s="1"/>
  <c r="CQ129" i="25"/>
  <c r="P129" i="25" s="1"/>
  <c r="AK123" i="25"/>
  <c r="BY123" i="25"/>
  <c r="J123" i="25" s="1"/>
  <c r="CW123" i="25"/>
  <c r="R123" i="25" s="1"/>
  <c r="CQ123" i="25"/>
  <c r="P123" i="25" s="1"/>
  <c r="CK123" i="25"/>
  <c r="N123" i="25" s="1"/>
  <c r="CH123" i="25"/>
  <c r="M123" i="25" s="1"/>
  <c r="CZ123" i="25"/>
  <c r="S123" i="25" s="1"/>
  <c r="BM123" i="25"/>
  <c r="F123" i="25" s="1"/>
  <c r="BP123" i="25"/>
  <c r="G123" i="25" s="1"/>
  <c r="BS123" i="25"/>
  <c r="H123" i="25" s="1"/>
  <c r="CB123" i="25"/>
  <c r="K123" i="25" s="1"/>
  <c r="CN123" i="25"/>
  <c r="O123" i="25" s="1"/>
  <c r="BJ123" i="25"/>
  <c r="E123" i="25" s="1"/>
  <c r="CE123" i="25"/>
  <c r="L123" i="25" s="1"/>
  <c r="BV123" i="25"/>
  <c r="I123" i="25" s="1"/>
  <c r="CT123" i="25"/>
  <c r="Q123" i="25" s="1"/>
  <c r="DC123" i="25"/>
  <c r="T123" i="25" s="1"/>
  <c r="AK114" i="25"/>
  <c r="CK114" i="25"/>
  <c r="N114" i="25" s="1"/>
  <c r="CH114" i="25"/>
  <c r="M114" i="25" s="1"/>
  <c r="CZ114" i="25"/>
  <c r="S114" i="25" s="1"/>
  <c r="BM114" i="25"/>
  <c r="F114" i="25" s="1"/>
  <c r="BP114" i="25"/>
  <c r="G114" i="25" s="1"/>
  <c r="BS114" i="25"/>
  <c r="H114" i="25" s="1"/>
  <c r="CB114" i="25"/>
  <c r="K114" i="25" s="1"/>
  <c r="CN114" i="25"/>
  <c r="O114" i="25" s="1"/>
  <c r="BJ114" i="25"/>
  <c r="E114" i="25" s="1"/>
  <c r="CE114" i="25"/>
  <c r="L114" i="25" s="1"/>
  <c r="BV114" i="25"/>
  <c r="I114" i="25" s="1"/>
  <c r="CT114" i="25"/>
  <c r="Q114" i="25" s="1"/>
  <c r="CQ114" i="25"/>
  <c r="P114" i="25" s="1"/>
  <c r="DC114" i="25"/>
  <c r="T114" i="25" s="1"/>
  <c r="BY114" i="25"/>
  <c r="J114" i="25" s="1"/>
  <c r="CW114" i="25"/>
  <c r="R114" i="25" s="1"/>
  <c r="AJ125" i="25"/>
  <c r="AK121" i="25"/>
  <c r="CK121" i="25"/>
  <c r="N121" i="25" s="1"/>
  <c r="CH121" i="25"/>
  <c r="M121" i="25" s="1"/>
  <c r="CZ121" i="25"/>
  <c r="S121" i="25" s="1"/>
  <c r="BM121" i="25"/>
  <c r="F121" i="25" s="1"/>
  <c r="BP121" i="25"/>
  <c r="G121" i="25" s="1"/>
  <c r="BS121" i="25"/>
  <c r="H121" i="25" s="1"/>
  <c r="CB121" i="25"/>
  <c r="K121" i="25" s="1"/>
  <c r="CN121" i="25"/>
  <c r="O121" i="25" s="1"/>
  <c r="BJ121" i="25"/>
  <c r="E121" i="25" s="1"/>
  <c r="CE121" i="25"/>
  <c r="L121" i="25" s="1"/>
  <c r="BV121" i="25"/>
  <c r="I121" i="25" s="1"/>
  <c r="CT121" i="25"/>
  <c r="Q121" i="25" s="1"/>
  <c r="DC121" i="25"/>
  <c r="T121" i="25" s="1"/>
  <c r="BY121" i="25"/>
  <c r="J121" i="25" s="1"/>
  <c r="CW121" i="25"/>
  <c r="R121" i="25" s="1"/>
  <c r="CQ121" i="25"/>
  <c r="P121" i="25" s="1"/>
  <c r="AJ107" i="25"/>
  <c r="AK119" i="25"/>
  <c r="CB119" i="25"/>
  <c r="K119" i="25" s="1"/>
  <c r="CN119" i="25"/>
  <c r="O119" i="25" s="1"/>
  <c r="BJ119" i="25"/>
  <c r="E119" i="25" s="1"/>
  <c r="CE119" i="25"/>
  <c r="L119" i="25" s="1"/>
  <c r="BV119" i="25"/>
  <c r="I119" i="25" s="1"/>
  <c r="CT119" i="25"/>
  <c r="Q119" i="25" s="1"/>
  <c r="DC119" i="25"/>
  <c r="T119" i="25" s="1"/>
  <c r="BY119" i="25"/>
  <c r="J119" i="25" s="1"/>
  <c r="CW119" i="25"/>
  <c r="R119" i="25" s="1"/>
  <c r="CQ119" i="25"/>
  <c r="P119" i="25" s="1"/>
  <c r="BS119" i="25"/>
  <c r="H119" i="25" s="1"/>
  <c r="CK119" i="25"/>
  <c r="N119" i="25" s="1"/>
  <c r="CH119" i="25"/>
  <c r="M119" i="25" s="1"/>
  <c r="CZ119" i="25"/>
  <c r="S119" i="25" s="1"/>
  <c r="BM119" i="25"/>
  <c r="F119" i="25" s="1"/>
  <c r="BP119" i="25"/>
  <c r="G119" i="25" s="1"/>
  <c r="AJ110" i="25"/>
  <c r="AJ96" i="25"/>
  <c r="AJ102" i="25"/>
  <c r="AJ105" i="25"/>
  <c r="AK89" i="25"/>
  <c r="CB89" i="25"/>
  <c r="K89" i="25" s="1"/>
  <c r="CZ89" i="25"/>
  <c r="S89" i="25" s="1"/>
  <c r="BP89" i="25"/>
  <c r="G89" i="25" s="1"/>
  <c r="CQ89" i="25"/>
  <c r="P89" i="25" s="1"/>
  <c r="CN89" i="25"/>
  <c r="O89" i="25" s="1"/>
  <c r="BS89" i="25"/>
  <c r="H89" i="25" s="1"/>
  <c r="BY89" i="25"/>
  <c r="J89" i="25" s="1"/>
  <c r="CH89" i="25"/>
  <c r="M89" i="25" s="1"/>
  <c r="CW89" i="25"/>
  <c r="R89" i="25" s="1"/>
  <c r="CE89" i="25"/>
  <c r="L89" i="25" s="1"/>
  <c r="BJ89" i="25"/>
  <c r="E89" i="25" s="1"/>
  <c r="CK89" i="25"/>
  <c r="N89" i="25" s="1"/>
  <c r="BV89" i="25"/>
  <c r="I89" i="25" s="1"/>
  <c r="CT89" i="25"/>
  <c r="Q89" i="25" s="1"/>
  <c r="BM89" i="25"/>
  <c r="F89" i="25" s="1"/>
  <c r="DC89" i="25"/>
  <c r="T89" i="25" s="1"/>
  <c r="AJ82" i="25"/>
  <c r="AK86" i="25"/>
  <c r="BJ86" i="25"/>
  <c r="E86" i="25" s="1"/>
  <c r="CK86" i="25"/>
  <c r="N86" i="25" s="1"/>
  <c r="BV86" i="25"/>
  <c r="I86" i="25" s="1"/>
  <c r="CT86" i="25"/>
  <c r="Q86" i="25" s="1"/>
  <c r="BM86" i="25"/>
  <c r="F86" i="25" s="1"/>
  <c r="DC86" i="25"/>
  <c r="T86" i="25" s="1"/>
  <c r="CQ86" i="25"/>
  <c r="P86" i="25" s="1"/>
  <c r="CW86" i="25"/>
  <c r="R86" i="25" s="1"/>
  <c r="CZ86" i="25"/>
  <c r="S86" i="25" s="1"/>
  <c r="BP86" i="25"/>
  <c r="G86" i="25" s="1"/>
  <c r="BS86" i="25"/>
  <c r="H86" i="25" s="1"/>
  <c r="CB86" i="25"/>
  <c r="K86" i="25" s="1"/>
  <c r="CN86" i="25"/>
  <c r="O86" i="25" s="1"/>
  <c r="BY86" i="25"/>
  <c r="J86" i="25" s="1"/>
  <c r="CH86" i="25"/>
  <c r="M86" i="25" s="1"/>
  <c r="CE86" i="25"/>
  <c r="L86" i="25" s="1"/>
  <c r="AJ77" i="25"/>
  <c r="AJ67" i="25"/>
  <c r="AJ69" i="25"/>
  <c r="AJ73" i="25"/>
  <c r="AJ63" i="25"/>
  <c r="AJ57" i="25"/>
  <c r="AJ49" i="25"/>
  <c r="AJ46" i="25"/>
  <c r="AJ52" i="25"/>
  <c r="AK44" i="25"/>
  <c r="BJ44" i="25"/>
  <c r="E44" i="25" s="1"/>
  <c r="BV44" i="25"/>
  <c r="I44" i="25" s="1"/>
  <c r="CT44" i="25"/>
  <c r="Q44" i="25" s="1"/>
  <c r="DC44" i="25"/>
  <c r="T44" i="25" s="1"/>
  <c r="CZ44" i="25"/>
  <c r="S44" i="25" s="1"/>
  <c r="CQ44" i="25"/>
  <c r="P44" i="25" s="1"/>
  <c r="BY44" i="25"/>
  <c r="J44" i="25" s="1"/>
  <c r="CW44" i="25"/>
  <c r="R44" i="25" s="1"/>
  <c r="CE44" i="25"/>
  <c r="L44" i="25" s="1"/>
  <c r="BP44" i="25"/>
  <c r="G44" i="25" s="1"/>
  <c r="BS44" i="25"/>
  <c r="H44" i="25" s="1"/>
  <c r="CB44" i="25"/>
  <c r="K44" i="25" s="1"/>
  <c r="CN44" i="25"/>
  <c r="O44" i="25" s="1"/>
  <c r="CK44" i="25"/>
  <c r="N44" i="25" s="1"/>
  <c r="CH44" i="25"/>
  <c r="M44" i="25" s="1"/>
  <c r="BM44" i="25"/>
  <c r="F44" i="25" s="1"/>
  <c r="AJ41" i="25"/>
  <c r="AJ40" i="25"/>
  <c r="AJ26" i="25"/>
  <c r="AJ31" i="25"/>
  <c r="AJ27" i="25"/>
  <c r="AK21" i="25"/>
  <c r="BY21" i="25"/>
  <c r="J21" i="25" s="1"/>
  <c r="CW21" i="25"/>
  <c r="R21" i="25" s="1"/>
  <c r="CE21" i="25"/>
  <c r="L21" i="25" s="1"/>
  <c r="CK21" i="25"/>
  <c r="N21" i="25" s="1"/>
  <c r="CH21" i="25"/>
  <c r="M21" i="25" s="1"/>
  <c r="CZ21" i="25"/>
  <c r="S21" i="25" s="1"/>
  <c r="BM21" i="25"/>
  <c r="F21" i="25" s="1"/>
  <c r="DC21" i="25"/>
  <c r="T21" i="25" s="1"/>
  <c r="CB21" i="25"/>
  <c r="K21" i="25" s="1"/>
  <c r="CT21" i="25"/>
  <c r="Q21" i="25" s="1"/>
  <c r="BP21" i="25"/>
  <c r="G21" i="25" s="1"/>
  <c r="CN21" i="25"/>
  <c r="O21" i="25" s="1"/>
  <c r="BJ21" i="25"/>
  <c r="E21" i="25" s="1"/>
  <c r="BV21" i="25"/>
  <c r="I21" i="25" s="1"/>
  <c r="CQ21" i="25"/>
  <c r="P21" i="25" s="1"/>
  <c r="BS21" i="25"/>
  <c r="H21" i="25" s="1"/>
  <c r="AK16" i="25"/>
  <c r="CB16" i="25"/>
  <c r="K16" i="25" s="1"/>
  <c r="CK16" i="25"/>
  <c r="N16" i="25" s="1"/>
  <c r="BV16" i="25"/>
  <c r="I16" i="25" s="1"/>
  <c r="BM16" i="25"/>
  <c r="F16" i="25" s="1"/>
  <c r="CQ16" i="25"/>
  <c r="P16" i="25" s="1"/>
  <c r="BS16" i="25"/>
  <c r="H16" i="25" s="1"/>
  <c r="CN16" i="25"/>
  <c r="O16" i="25" s="1"/>
  <c r="CE16" i="25"/>
  <c r="L16" i="25" s="1"/>
  <c r="CT16" i="25"/>
  <c r="Q16" i="25" s="1"/>
  <c r="BP16" i="25"/>
  <c r="G16" i="25" s="1"/>
  <c r="BJ16" i="25"/>
  <c r="E16" i="25" s="1"/>
  <c r="BY16" i="25"/>
  <c r="J16" i="25" s="1"/>
  <c r="CH16" i="25"/>
  <c r="M16" i="25" s="1"/>
  <c r="CW16" i="25"/>
  <c r="R16" i="25" s="1"/>
  <c r="CZ16" i="25"/>
  <c r="S16" i="25" s="1"/>
  <c r="DC16" i="25"/>
  <c r="T16" i="25" s="1"/>
  <c r="AK227" i="25"/>
  <c r="BV227" i="25"/>
  <c r="I227" i="25" s="1"/>
  <c r="CT227" i="25"/>
  <c r="Q227" i="25" s="1"/>
  <c r="CQ227" i="25"/>
  <c r="P227" i="25" s="1"/>
  <c r="BY227" i="25"/>
  <c r="J227" i="25" s="1"/>
  <c r="CH227" i="25"/>
  <c r="M227" i="25" s="1"/>
  <c r="CW227" i="25"/>
  <c r="R227" i="25" s="1"/>
  <c r="CZ227" i="25"/>
  <c r="S227" i="25" s="1"/>
  <c r="BJ227" i="25"/>
  <c r="E227" i="25" s="1"/>
  <c r="CK227" i="25"/>
  <c r="N227" i="25" s="1"/>
  <c r="CE227" i="25"/>
  <c r="L227" i="25" s="1"/>
  <c r="BM227" i="25"/>
  <c r="F227" i="25" s="1"/>
  <c r="BP227" i="25"/>
  <c r="G227" i="25" s="1"/>
  <c r="BS227" i="25"/>
  <c r="H227" i="25" s="1"/>
  <c r="CB227" i="25"/>
  <c r="K227" i="25" s="1"/>
  <c r="CN227" i="25"/>
  <c r="O227" i="25" s="1"/>
  <c r="DC227" i="25"/>
  <c r="T227" i="25" s="1"/>
  <c r="AK213" i="25"/>
  <c r="CB213" i="25"/>
  <c r="K213" i="25" s="1"/>
  <c r="CN213" i="25"/>
  <c r="O213" i="25" s="1"/>
  <c r="BV213" i="25"/>
  <c r="I213" i="25" s="1"/>
  <c r="CT213" i="25"/>
  <c r="Q213" i="25" s="1"/>
  <c r="DC213" i="25"/>
  <c r="T213" i="25" s="1"/>
  <c r="CQ213" i="25"/>
  <c r="P213" i="25" s="1"/>
  <c r="BJ213" i="25"/>
  <c r="E213" i="25" s="1"/>
  <c r="BY213" i="25"/>
  <c r="J213" i="25" s="1"/>
  <c r="CW213" i="25"/>
  <c r="R213" i="25" s="1"/>
  <c r="CZ213" i="25"/>
  <c r="S213" i="25" s="1"/>
  <c r="BS213" i="25"/>
  <c r="H213" i="25" s="1"/>
  <c r="CK213" i="25"/>
  <c r="N213" i="25" s="1"/>
  <c r="CH213" i="25"/>
  <c r="M213" i="25" s="1"/>
  <c r="CE213" i="25"/>
  <c r="L213" i="25" s="1"/>
  <c r="BM213" i="25"/>
  <c r="F213" i="25" s="1"/>
  <c r="BP213" i="25"/>
  <c r="G213" i="25" s="1"/>
  <c r="AK229" i="25"/>
  <c r="CB229" i="25"/>
  <c r="K229" i="25" s="1"/>
  <c r="CN229" i="25"/>
  <c r="O229" i="25" s="1"/>
  <c r="BJ229" i="25"/>
  <c r="E229" i="25" s="1"/>
  <c r="DC229" i="25"/>
  <c r="T229" i="25" s="1"/>
  <c r="CQ229" i="25"/>
  <c r="P229" i="25" s="1"/>
  <c r="BY229" i="25"/>
  <c r="J229" i="25" s="1"/>
  <c r="CH229" i="25"/>
  <c r="M229" i="25" s="1"/>
  <c r="CW229" i="25"/>
  <c r="R229" i="25" s="1"/>
  <c r="CZ229" i="25"/>
  <c r="S229" i="25" s="1"/>
  <c r="BV229" i="25"/>
  <c r="I229" i="25" s="1"/>
  <c r="CT229" i="25"/>
  <c r="Q229" i="25" s="1"/>
  <c r="BS229" i="25"/>
  <c r="H229" i="25" s="1"/>
  <c r="CK229" i="25"/>
  <c r="N229" i="25" s="1"/>
  <c r="CE229" i="25"/>
  <c r="L229" i="25" s="1"/>
  <c r="BM229" i="25"/>
  <c r="F229" i="25" s="1"/>
  <c r="BP229" i="25"/>
  <c r="G229" i="25" s="1"/>
  <c r="AK251" i="25"/>
  <c r="CQ251" i="25"/>
  <c r="P251" i="25" s="1"/>
  <c r="BY251" i="25"/>
  <c r="J251" i="25" s="1"/>
  <c r="CW251" i="25"/>
  <c r="R251" i="25" s="1"/>
  <c r="CZ251" i="25"/>
  <c r="S251" i="25" s="1"/>
  <c r="BV251" i="25"/>
  <c r="I251" i="25" s="1"/>
  <c r="CT251" i="25"/>
  <c r="Q251" i="25" s="1"/>
  <c r="BJ251" i="25"/>
  <c r="E251" i="25" s="1"/>
  <c r="CK251" i="25"/>
  <c r="N251" i="25" s="1"/>
  <c r="CE251" i="25"/>
  <c r="L251" i="25" s="1"/>
  <c r="BM251" i="25"/>
  <c r="F251" i="25" s="1"/>
  <c r="BP251" i="25"/>
  <c r="G251" i="25" s="1"/>
  <c r="BS251" i="25"/>
  <c r="H251" i="25" s="1"/>
  <c r="CB251" i="25"/>
  <c r="K251" i="25" s="1"/>
  <c r="CN251" i="25"/>
  <c r="O251" i="25" s="1"/>
  <c r="CH251" i="25"/>
  <c r="M251" i="25" s="1"/>
  <c r="DC251" i="25"/>
  <c r="T251" i="25" s="1"/>
  <c r="AK259" i="25"/>
  <c r="CH259" i="25"/>
  <c r="M259" i="25" s="1"/>
  <c r="CQ259" i="25"/>
  <c r="P259" i="25" s="1"/>
  <c r="BJ259" i="25"/>
  <c r="E259" i="25" s="1"/>
  <c r="BY259" i="25"/>
  <c r="J259" i="25" s="1"/>
  <c r="CW259" i="25"/>
  <c r="R259" i="25" s="1"/>
  <c r="CZ259" i="25"/>
  <c r="S259" i="25" s="1"/>
  <c r="BS259" i="25"/>
  <c r="H259" i="25" s="1"/>
  <c r="CK259" i="25"/>
  <c r="N259" i="25" s="1"/>
  <c r="CE259" i="25"/>
  <c r="L259" i="25" s="1"/>
  <c r="BM259" i="25"/>
  <c r="F259" i="25" s="1"/>
  <c r="BP259" i="25"/>
  <c r="G259" i="25" s="1"/>
  <c r="CB259" i="25"/>
  <c r="K259" i="25" s="1"/>
  <c r="CN259" i="25"/>
  <c r="O259" i="25" s="1"/>
  <c r="BV259" i="25"/>
  <c r="I259" i="25" s="1"/>
  <c r="CT259" i="25"/>
  <c r="Q259" i="25" s="1"/>
  <c r="DC259" i="25"/>
  <c r="T259" i="25" s="1"/>
  <c r="AK253" i="25"/>
  <c r="CB253" i="25"/>
  <c r="K253" i="25" s="1"/>
  <c r="CN253" i="25"/>
  <c r="O253" i="25" s="1"/>
  <c r="CH253" i="25"/>
  <c r="M253" i="25" s="1"/>
  <c r="BV253" i="25"/>
  <c r="I253" i="25" s="1"/>
  <c r="CT253" i="25"/>
  <c r="Q253" i="25" s="1"/>
  <c r="DC253" i="25"/>
  <c r="T253" i="25" s="1"/>
  <c r="CQ253" i="25"/>
  <c r="P253" i="25" s="1"/>
  <c r="BY253" i="25"/>
  <c r="J253" i="25" s="1"/>
  <c r="CW253" i="25"/>
  <c r="R253" i="25" s="1"/>
  <c r="CZ253" i="25"/>
  <c r="S253" i="25" s="1"/>
  <c r="BS253" i="25"/>
  <c r="H253" i="25" s="1"/>
  <c r="BJ253" i="25"/>
  <c r="E253" i="25" s="1"/>
  <c r="CK253" i="25"/>
  <c r="N253" i="25" s="1"/>
  <c r="CE253" i="25"/>
  <c r="L253" i="25" s="1"/>
  <c r="BM253" i="25"/>
  <c r="F253" i="25" s="1"/>
  <c r="BP253" i="25"/>
  <c r="G253" i="25" s="1"/>
  <c r="AK233" i="25"/>
  <c r="BY233" i="25"/>
  <c r="J233" i="25" s="1"/>
  <c r="CH233" i="25"/>
  <c r="M233" i="25" s="1"/>
  <c r="CW233" i="25"/>
  <c r="R233" i="25" s="1"/>
  <c r="CZ233" i="25"/>
  <c r="S233" i="25" s="1"/>
  <c r="CK233" i="25"/>
  <c r="N233" i="25" s="1"/>
  <c r="CE233" i="25"/>
  <c r="L233" i="25" s="1"/>
  <c r="BM233" i="25"/>
  <c r="F233" i="25" s="1"/>
  <c r="BP233" i="25"/>
  <c r="G233" i="25" s="1"/>
  <c r="CB233" i="25"/>
  <c r="K233" i="25" s="1"/>
  <c r="CN233" i="25"/>
  <c r="O233" i="25" s="1"/>
  <c r="DC233" i="25"/>
  <c r="T233" i="25" s="1"/>
  <c r="BS233" i="25"/>
  <c r="H233" i="25" s="1"/>
  <c r="BJ233" i="25"/>
  <c r="E233" i="25" s="1"/>
  <c r="BV233" i="25"/>
  <c r="I233" i="25" s="1"/>
  <c r="CT233" i="25"/>
  <c r="Q233" i="25" s="1"/>
  <c r="CQ233" i="25"/>
  <c r="P233" i="25" s="1"/>
  <c r="AK221" i="25"/>
  <c r="CB221" i="25"/>
  <c r="K221" i="25" s="1"/>
  <c r="CN221" i="25"/>
  <c r="O221" i="25" s="1"/>
  <c r="DC221" i="25"/>
  <c r="T221" i="25" s="1"/>
  <c r="BJ221" i="25"/>
  <c r="E221" i="25" s="1"/>
  <c r="CT221" i="25"/>
  <c r="Q221" i="25" s="1"/>
  <c r="CQ221" i="25"/>
  <c r="P221" i="25" s="1"/>
  <c r="BY221" i="25"/>
  <c r="J221" i="25" s="1"/>
  <c r="CH221" i="25"/>
  <c r="M221" i="25" s="1"/>
  <c r="CW221" i="25"/>
  <c r="R221" i="25" s="1"/>
  <c r="CZ221" i="25"/>
  <c r="S221" i="25" s="1"/>
  <c r="BV221" i="25"/>
  <c r="I221" i="25" s="1"/>
  <c r="BS221" i="25"/>
  <c r="H221" i="25" s="1"/>
  <c r="CK221" i="25"/>
  <c r="N221" i="25" s="1"/>
  <c r="CE221" i="25"/>
  <c r="L221" i="25" s="1"/>
  <c r="BM221" i="25"/>
  <c r="F221" i="25" s="1"/>
  <c r="BP221" i="25"/>
  <c r="G221" i="25" s="1"/>
  <c r="AK201" i="25"/>
  <c r="BY201" i="25"/>
  <c r="J201" i="25" s="1"/>
  <c r="CW201" i="25"/>
  <c r="R201" i="25" s="1"/>
  <c r="CZ201" i="25"/>
  <c r="S201" i="25" s="1"/>
  <c r="BS201" i="25"/>
  <c r="H201" i="25" s="1"/>
  <c r="CK201" i="25"/>
  <c r="N201" i="25" s="1"/>
  <c r="CE201" i="25"/>
  <c r="L201" i="25" s="1"/>
  <c r="BM201" i="25"/>
  <c r="F201" i="25" s="1"/>
  <c r="BP201" i="25"/>
  <c r="G201" i="25" s="1"/>
  <c r="CB201" i="25"/>
  <c r="K201" i="25" s="1"/>
  <c r="CN201" i="25"/>
  <c r="O201" i="25" s="1"/>
  <c r="BJ201" i="25"/>
  <c r="E201" i="25" s="1"/>
  <c r="CH201" i="25"/>
  <c r="M201" i="25" s="1"/>
  <c r="DC201" i="25"/>
  <c r="T201" i="25" s="1"/>
  <c r="BV201" i="25"/>
  <c r="I201" i="25" s="1"/>
  <c r="CT201" i="25"/>
  <c r="Q201" i="25" s="1"/>
  <c r="CQ201" i="25"/>
  <c r="P201" i="25" s="1"/>
  <c r="AK256" i="25"/>
  <c r="CK256" i="25"/>
  <c r="N256" i="25" s="1"/>
  <c r="CH256" i="25"/>
  <c r="M256" i="25" s="1"/>
  <c r="CZ256" i="25"/>
  <c r="S256" i="25" s="1"/>
  <c r="BM256" i="25"/>
  <c r="F256" i="25" s="1"/>
  <c r="BS256" i="25"/>
  <c r="H256" i="25" s="1"/>
  <c r="CB256" i="25"/>
  <c r="K256" i="25" s="1"/>
  <c r="CN256" i="25"/>
  <c r="O256" i="25" s="1"/>
  <c r="BJ256" i="25"/>
  <c r="E256" i="25" s="1"/>
  <c r="CE256" i="25"/>
  <c r="L256" i="25" s="1"/>
  <c r="BV256" i="25"/>
  <c r="I256" i="25" s="1"/>
  <c r="CT256" i="25"/>
  <c r="Q256" i="25" s="1"/>
  <c r="BY256" i="25"/>
  <c r="J256" i="25" s="1"/>
  <c r="CW256" i="25"/>
  <c r="R256" i="25" s="1"/>
  <c r="BP256" i="25"/>
  <c r="G256" i="25" s="1"/>
  <c r="CQ256" i="25"/>
  <c r="P256" i="25" s="1"/>
  <c r="DC256" i="25"/>
  <c r="T256" i="25" s="1"/>
  <c r="AK250" i="25"/>
  <c r="CN250" i="25"/>
  <c r="O250" i="25" s="1"/>
  <c r="BY250" i="25"/>
  <c r="J250" i="25" s="1"/>
  <c r="CW250" i="25"/>
  <c r="R250" i="25" s="1"/>
  <c r="CQ250" i="25"/>
  <c r="P250" i="25" s="1"/>
  <c r="DC250" i="25"/>
  <c r="T250" i="25" s="1"/>
  <c r="CK250" i="25"/>
  <c r="N250" i="25" s="1"/>
  <c r="CH250" i="25"/>
  <c r="M250" i="25" s="1"/>
  <c r="CZ250" i="25"/>
  <c r="S250" i="25" s="1"/>
  <c r="BM250" i="25"/>
  <c r="F250" i="25" s="1"/>
  <c r="BP250" i="25"/>
  <c r="G250" i="25" s="1"/>
  <c r="CB250" i="25"/>
  <c r="K250" i="25" s="1"/>
  <c r="BJ250" i="25"/>
  <c r="E250" i="25" s="1"/>
  <c r="CE250" i="25"/>
  <c r="L250" i="25" s="1"/>
  <c r="BV250" i="25"/>
  <c r="I250" i="25" s="1"/>
  <c r="CT250" i="25"/>
  <c r="Q250" i="25" s="1"/>
  <c r="BS250" i="25"/>
  <c r="H250" i="25" s="1"/>
  <c r="AK236" i="25"/>
  <c r="CN236" i="25"/>
  <c r="O236" i="25" s="1"/>
  <c r="BY236" i="25"/>
  <c r="J236" i="25" s="1"/>
  <c r="CW236" i="25"/>
  <c r="R236" i="25" s="1"/>
  <c r="CQ236" i="25"/>
  <c r="P236" i="25" s="1"/>
  <c r="DC236" i="25"/>
  <c r="T236" i="25" s="1"/>
  <c r="CK236" i="25"/>
  <c r="N236" i="25" s="1"/>
  <c r="CH236" i="25"/>
  <c r="M236" i="25" s="1"/>
  <c r="BM236" i="25"/>
  <c r="F236" i="25" s="1"/>
  <c r="CB236" i="25"/>
  <c r="K236" i="25" s="1"/>
  <c r="BJ236" i="25"/>
  <c r="E236" i="25" s="1"/>
  <c r="CZ236" i="25"/>
  <c r="S236" i="25" s="1"/>
  <c r="CE236" i="25"/>
  <c r="L236" i="25" s="1"/>
  <c r="BV236" i="25"/>
  <c r="I236" i="25" s="1"/>
  <c r="CT236" i="25"/>
  <c r="Q236" i="25" s="1"/>
  <c r="BP236" i="25"/>
  <c r="G236" i="25" s="1"/>
  <c r="BS236" i="25"/>
  <c r="H236" i="25" s="1"/>
  <c r="AK228" i="25"/>
  <c r="CB228" i="25"/>
  <c r="K228" i="25" s="1"/>
  <c r="BY228" i="25"/>
  <c r="J228" i="25" s="1"/>
  <c r="CW228" i="25"/>
  <c r="R228" i="25" s="1"/>
  <c r="CZ228" i="25"/>
  <c r="S228" i="25" s="1"/>
  <c r="BP228" i="25"/>
  <c r="G228" i="25" s="1"/>
  <c r="CQ228" i="25"/>
  <c r="P228" i="25" s="1"/>
  <c r="DC228" i="25"/>
  <c r="T228" i="25" s="1"/>
  <c r="CN228" i="25"/>
  <c r="O228" i="25" s="1"/>
  <c r="CK228" i="25"/>
  <c r="N228" i="25" s="1"/>
  <c r="CH228" i="25"/>
  <c r="M228" i="25" s="1"/>
  <c r="BM228" i="25"/>
  <c r="F228" i="25" s="1"/>
  <c r="BS228" i="25"/>
  <c r="H228" i="25" s="1"/>
  <c r="BJ228" i="25"/>
  <c r="E228" i="25" s="1"/>
  <c r="CE228" i="25"/>
  <c r="L228" i="25" s="1"/>
  <c r="BV228" i="25"/>
  <c r="I228" i="25" s="1"/>
  <c r="CT228" i="25"/>
  <c r="Q228" i="25" s="1"/>
  <c r="AK222" i="25"/>
  <c r="BJ222" i="25"/>
  <c r="E222" i="25" s="1"/>
  <c r="CZ222" i="25"/>
  <c r="S222" i="25" s="1"/>
  <c r="CE222" i="25"/>
  <c r="L222" i="25" s="1"/>
  <c r="BV222" i="25"/>
  <c r="I222" i="25" s="1"/>
  <c r="CT222" i="25"/>
  <c r="Q222" i="25" s="1"/>
  <c r="BY222" i="25"/>
  <c r="J222" i="25" s="1"/>
  <c r="CW222" i="25"/>
  <c r="R222" i="25" s="1"/>
  <c r="BP222" i="25"/>
  <c r="G222" i="25" s="1"/>
  <c r="CQ222" i="25"/>
  <c r="P222" i="25" s="1"/>
  <c r="DC222" i="25"/>
  <c r="T222" i="25" s="1"/>
  <c r="CB222" i="25"/>
  <c r="K222" i="25" s="1"/>
  <c r="CN222" i="25"/>
  <c r="O222" i="25" s="1"/>
  <c r="CK222" i="25"/>
  <c r="N222" i="25" s="1"/>
  <c r="CH222" i="25"/>
  <c r="M222" i="25" s="1"/>
  <c r="BM222" i="25"/>
  <c r="F222" i="25" s="1"/>
  <c r="BS222" i="25"/>
  <c r="H222" i="25" s="1"/>
  <c r="AJ200" i="25"/>
  <c r="AK242" i="25"/>
  <c r="CB242" i="25"/>
  <c r="K242" i="25" s="1"/>
  <c r="CN242" i="25"/>
  <c r="O242" i="25" s="1"/>
  <c r="BY242" i="25"/>
  <c r="J242" i="25" s="1"/>
  <c r="CW242" i="25"/>
  <c r="R242" i="25" s="1"/>
  <c r="CQ242" i="25"/>
  <c r="P242" i="25" s="1"/>
  <c r="DC242" i="25"/>
  <c r="T242" i="25" s="1"/>
  <c r="CK242" i="25"/>
  <c r="N242" i="25" s="1"/>
  <c r="CH242" i="25"/>
  <c r="M242" i="25" s="1"/>
  <c r="CZ242" i="25"/>
  <c r="S242" i="25" s="1"/>
  <c r="BM242" i="25"/>
  <c r="F242" i="25" s="1"/>
  <c r="BJ242" i="25"/>
  <c r="E242" i="25" s="1"/>
  <c r="CE242" i="25"/>
  <c r="L242" i="25" s="1"/>
  <c r="BV242" i="25"/>
  <c r="I242" i="25" s="1"/>
  <c r="CT242" i="25"/>
  <c r="Q242" i="25" s="1"/>
  <c r="BS242" i="25"/>
  <c r="H242" i="25" s="1"/>
  <c r="BP242" i="25"/>
  <c r="G242" i="25" s="1"/>
  <c r="AK224" i="25"/>
  <c r="CK224" i="25"/>
  <c r="N224" i="25" s="1"/>
  <c r="CH224" i="25"/>
  <c r="M224" i="25" s="1"/>
  <c r="BM224" i="25"/>
  <c r="F224" i="25" s="1"/>
  <c r="BS224" i="25"/>
  <c r="H224" i="25" s="1"/>
  <c r="CN224" i="25"/>
  <c r="O224" i="25" s="1"/>
  <c r="BJ224" i="25"/>
  <c r="E224" i="25" s="1"/>
  <c r="CZ224" i="25"/>
  <c r="S224" i="25" s="1"/>
  <c r="CE224" i="25"/>
  <c r="L224" i="25" s="1"/>
  <c r="BV224" i="25"/>
  <c r="I224" i="25" s="1"/>
  <c r="CT224" i="25"/>
  <c r="Q224" i="25" s="1"/>
  <c r="BP224" i="25"/>
  <c r="G224" i="25" s="1"/>
  <c r="CB224" i="25"/>
  <c r="K224" i="25" s="1"/>
  <c r="BY224" i="25"/>
  <c r="J224" i="25" s="1"/>
  <c r="CW224" i="25"/>
  <c r="R224" i="25" s="1"/>
  <c r="CQ224" i="25"/>
  <c r="P224" i="25" s="1"/>
  <c r="DC224" i="25"/>
  <c r="T224" i="25" s="1"/>
  <c r="AK210" i="25"/>
  <c r="BY210" i="25"/>
  <c r="J210" i="25" s="1"/>
  <c r="CW210" i="25"/>
  <c r="R210" i="25" s="1"/>
  <c r="BP210" i="25"/>
  <c r="G210" i="25" s="1"/>
  <c r="CQ210" i="25"/>
  <c r="P210" i="25" s="1"/>
  <c r="DC210" i="25"/>
  <c r="T210" i="25" s="1"/>
  <c r="CB210" i="25"/>
  <c r="K210" i="25" s="1"/>
  <c r="CN210" i="25"/>
  <c r="O210" i="25" s="1"/>
  <c r="CK210" i="25"/>
  <c r="N210" i="25" s="1"/>
  <c r="CH210" i="25"/>
  <c r="M210" i="25" s="1"/>
  <c r="BM210" i="25"/>
  <c r="F210" i="25" s="1"/>
  <c r="BJ210" i="25"/>
  <c r="E210" i="25" s="1"/>
  <c r="CZ210" i="25"/>
  <c r="S210" i="25" s="1"/>
  <c r="CE210" i="25"/>
  <c r="L210" i="25" s="1"/>
  <c r="BV210" i="25"/>
  <c r="I210" i="25" s="1"/>
  <c r="CT210" i="25"/>
  <c r="Q210" i="25" s="1"/>
  <c r="BS210" i="25"/>
  <c r="H210" i="25" s="1"/>
  <c r="AJ182" i="25"/>
  <c r="AJ175" i="25"/>
  <c r="AK169" i="25"/>
  <c r="BS169" i="25"/>
  <c r="H169" i="25" s="1"/>
  <c r="CK169" i="25"/>
  <c r="N169" i="25" s="1"/>
  <c r="BY169" i="25"/>
  <c r="J169" i="25" s="1"/>
  <c r="CH169" i="25"/>
  <c r="M169" i="25" s="1"/>
  <c r="CW169" i="25"/>
  <c r="R169" i="25" s="1"/>
  <c r="CE169" i="25"/>
  <c r="L169" i="25" s="1"/>
  <c r="BP169" i="25"/>
  <c r="G169" i="25" s="1"/>
  <c r="CB169" i="25"/>
  <c r="K169" i="25" s="1"/>
  <c r="CN169" i="25"/>
  <c r="O169" i="25" s="1"/>
  <c r="BJ169" i="25"/>
  <c r="E169" i="25" s="1"/>
  <c r="CZ169" i="25"/>
  <c r="S169" i="25" s="1"/>
  <c r="BV169" i="25"/>
  <c r="I169" i="25" s="1"/>
  <c r="CT169" i="25"/>
  <c r="Q169" i="25" s="1"/>
  <c r="BM169" i="25"/>
  <c r="F169" i="25" s="1"/>
  <c r="DC169" i="25"/>
  <c r="T169" i="25" s="1"/>
  <c r="CQ169" i="25"/>
  <c r="P169" i="25" s="1"/>
  <c r="AJ183" i="25"/>
  <c r="AJ176" i="25"/>
  <c r="AJ190" i="25"/>
  <c r="AJ170" i="25"/>
  <c r="AJ157" i="25"/>
  <c r="AJ143" i="25"/>
  <c r="AJ154" i="25"/>
  <c r="AJ140" i="25"/>
  <c r="AJ165" i="25"/>
  <c r="AJ161" i="25"/>
  <c r="AJ155" i="25"/>
  <c r="AJ147" i="25"/>
  <c r="AJ138" i="25"/>
  <c r="AJ134" i="25"/>
  <c r="AJ112" i="25"/>
  <c r="AJ133" i="25"/>
  <c r="AK117" i="25"/>
  <c r="DC117" i="25"/>
  <c r="T117" i="25" s="1"/>
  <c r="BY117" i="25"/>
  <c r="J117" i="25" s="1"/>
  <c r="CW117" i="25"/>
  <c r="R117" i="25" s="1"/>
  <c r="CQ117" i="25"/>
  <c r="P117" i="25" s="1"/>
  <c r="CK117" i="25"/>
  <c r="N117" i="25" s="1"/>
  <c r="CH117" i="25"/>
  <c r="M117" i="25" s="1"/>
  <c r="CZ117" i="25"/>
  <c r="S117" i="25" s="1"/>
  <c r="BM117" i="25"/>
  <c r="F117" i="25" s="1"/>
  <c r="BP117" i="25"/>
  <c r="G117" i="25" s="1"/>
  <c r="BS117" i="25"/>
  <c r="H117" i="25" s="1"/>
  <c r="CB117" i="25"/>
  <c r="K117" i="25" s="1"/>
  <c r="CN117" i="25"/>
  <c r="O117" i="25" s="1"/>
  <c r="BJ117" i="25"/>
  <c r="E117" i="25" s="1"/>
  <c r="CE117" i="25"/>
  <c r="L117" i="25" s="1"/>
  <c r="BV117" i="25"/>
  <c r="I117" i="25" s="1"/>
  <c r="CT117" i="25"/>
  <c r="Q117" i="25" s="1"/>
  <c r="AJ109" i="25"/>
  <c r="AJ100" i="25"/>
  <c r="AJ94" i="25"/>
  <c r="AK101" i="25"/>
  <c r="BJ101" i="25"/>
  <c r="E101" i="25" s="1"/>
  <c r="BY101" i="25"/>
  <c r="J101" i="25" s="1"/>
  <c r="CW101" i="25"/>
  <c r="R101" i="25" s="1"/>
  <c r="BV101" i="25"/>
  <c r="I101" i="25" s="1"/>
  <c r="CT101" i="25"/>
  <c r="Q101" i="25" s="1"/>
  <c r="CQ101" i="25"/>
  <c r="P101" i="25" s="1"/>
  <c r="CK101" i="25"/>
  <c r="N101" i="25" s="1"/>
  <c r="CZ101" i="25"/>
  <c r="S101" i="25" s="1"/>
  <c r="CE101" i="25"/>
  <c r="L101" i="25" s="1"/>
  <c r="BM101" i="25"/>
  <c r="F101" i="25" s="1"/>
  <c r="BP101" i="25"/>
  <c r="G101" i="25" s="1"/>
  <c r="DC101" i="25"/>
  <c r="T101" i="25" s="1"/>
  <c r="BS101" i="25"/>
  <c r="H101" i="25" s="1"/>
  <c r="CB101" i="25"/>
  <c r="K101" i="25" s="1"/>
  <c r="CN101" i="25"/>
  <c r="O101" i="25" s="1"/>
  <c r="CH101" i="25"/>
  <c r="M101" i="25" s="1"/>
  <c r="AJ103" i="25"/>
  <c r="AJ99" i="25"/>
  <c r="AJ85" i="25"/>
  <c r="AJ71" i="25"/>
  <c r="AK65" i="25"/>
  <c r="BY65" i="25"/>
  <c r="J65" i="25" s="1"/>
  <c r="CZ65" i="25"/>
  <c r="S65" i="25" s="1"/>
  <c r="BP65" i="25"/>
  <c r="G65" i="25" s="1"/>
  <c r="CQ65" i="25"/>
  <c r="P65" i="25" s="1"/>
  <c r="CB65" i="25"/>
  <c r="K65" i="25" s="1"/>
  <c r="CN65" i="25"/>
  <c r="O65" i="25" s="1"/>
  <c r="CK65" i="25"/>
  <c r="N65" i="25" s="1"/>
  <c r="BM65" i="25"/>
  <c r="F65" i="25" s="1"/>
  <c r="CH65" i="25"/>
  <c r="M65" i="25" s="1"/>
  <c r="CE65" i="25"/>
  <c r="L65" i="25" s="1"/>
  <c r="DC65" i="25"/>
  <c r="T65" i="25" s="1"/>
  <c r="BS65" i="25"/>
  <c r="H65" i="25" s="1"/>
  <c r="BJ65" i="25"/>
  <c r="E65" i="25" s="1"/>
  <c r="CW65" i="25"/>
  <c r="R65" i="25" s="1"/>
  <c r="BV65" i="25"/>
  <c r="I65" i="25" s="1"/>
  <c r="CT65" i="25"/>
  <c r="Q65" i="25" s="1"/>
  <c r="AK72" i="25"/>
  <c r="CH72" i="25"/>
  <c r="M72" i="25" s="1"/>
  <c r="CW72" i="25"/>
  <c r="R72" i="25" s="1"/>
  <c r="BS72" i="25"/>
  <c r="H72" i="25" s="1"/>
  <c r="BJ72" i="25"/>
  <c r="E72" i="25" s="1"/>
  <c r="CK72" i="25"/>
  <c r="N72" i="25" s="1"/>
  <c r="BY72" i="25"/>
  <c r="J72" i="25" s="1"/>
  <c r="CZ72" i="25"/>
  <c r="S72" i="25" s="1"/>
  <c r="CE72" i="25"/>
  <c r="L72" i="25" s="1"/>
  <c r="BV72" i="25"/>
  <c r="I72" i="25" s="1"/>
  <c r="CT72" i="25"/>
  <c r="Q72" i="25" s="1"/>
  <c r="BM72" i="25"/>
  <c r="F72" i="25" s="1"/>
  <c r="BP72" i="25"/>
  <c r="G72" i="25" s="1"/>
  <c r="CB72" i="25"/>
  <c r="K72" i="25" s="1"/>
  <c r="DC72" i="25"/>
  <c r="T72" i="25" s="1"/>
  <c r="CN72" i="25"/>
  <c r="O72" i="25" s="1"/>
  <c r="CQ72" i="25"/>
  <c r="P72" i="25" s="1"/>
  <c r="AJ68" i="25"/>
  <c r="AJ74" i="25"/>
  <c r="AK61" i="25"/>
  <c r="BJ61" i="25"/>
  <c r="E61" i="25" s="1"/>
  <c r="CK61" i="25"/>
  <c r="N61" i="25" s="1"/>
  <c r="CZ61" i="25"/>
  <c r="S61" i="25" s="1"/>
  <c r="CE61" i="25"/>
  <c r="L61" i="25" s="1"/>
  <c r="BV61" i="25"/>
  <c r="I61" i="25" s="1"/>
  <c r="CT61" i="25"/>
  <c r="Q61" i="25" s="1"/>
  <c r="BM61" i="25"/>
  <c r="F61" i="25" s="1"/>
  <c r="BP61" i="25"/>
  <c r="G61" i="25" s="1"/>
  <c r="DC61" i="25"/>
  <c r="T61" i="25" s="1"/>
  <c r="CB61" i="25"/>
  <c r="K61" i="25" s="1"/>
  <c r="CN61" i="25"/>
  <c r="O61" i="25" s="1"/>
  <c r="CQ61" i="25"/>
  <c r="P61" i="25" s="1"/>
  <c r="BY61" i="25"/>
  <c r="J61" i="25" s="1"/>
  <c r="CH61" i="25"/>
  <c r="M61" i="25" s="1"/>
  <c r="CW61" i="25"/>
  <c r="R61" i="25" s="1"/>
  <c r="BS61" i="25"/>
  <c r="H61" i="25" s="1"/>
  <c r="AJ55" i="25"/>
  <c r="AJ59" i="25"/>
  <c r="AK62" i="25"/>
  <c r="CH62" i="25"/>
  <c r="M62" i="25" s="1"/>
  <c r="CZ62" i="25"/>
  <c r="S62" i="25" s="1"/>
  <c r="CE62" i="25"/>
  <c r="L62" i="25" s="1"/>
  <c r="BP62" i="25"/>
  <c r="G62" i="25" s="1"/>
  <c r="CB62" i="25"/>
  <c r="K62" i="25" s="1"/>
  <c r="CN62" i="25"/>
  <c r="O62" i="25" s="1"/>
  <c r="BJ62" i="25"/>
  <c r="E62" i="25" s="1"/>
  <c r="BV62" i="25"/>
  <c r="I62" i="25" s="1"/>
  <c r="CT62" i="25"/>
  <c r="Q62" i="25" s="1"/>
  <c r="DC62" i="25"/>
  <c r="T62" i="25" s="1"/>
  <c r="BS62" i="25"/>
  <c r="H62" i="25" s="1"/>
  <c r="BY62" i="25"/>
  <c r="J62" i="25" s="1"/>
  <c r="CW62" i="25"/>
  <c r="R62" i="25" s="1"/>
  <c r="CK62" i="25"/>
  <c r="N62" i="25" s="1"/>
  <c r="BM62" i="25"/>
  <c r="F62" i="25" s="1"/>
  <c r="CQ62" i="25"/>
  <c r="P62" i="25" s="1"/>
  <c r="AJ50" i="25"/>
  <c r="AK45" i="25"/>
  <c r="BJ45" i="25"/>
  <c r="E45" i="25" s="1"/>
  <c r="BV45" i="25"/>
  <c r="I45" i="25" s="1"/>
  <c r="CT45" i="25"/>
  <c r="Q45" i="25" s="1"/>
  <c r="BS45" i="25"/>
  <c r="H45" i="25" s="1"/>
  <c r="BY45" i="25"/>
  <c r="J45" i="25" s="1"/>
  <c r="CZ45" i="25"/>
  <c r="S45" i="25" s="1"/>
  <c r="CE45" i="25"/>
  <c r="L45" i="25" s="1"/>
  <c r="BP45" i="25"/>
  <c r="G45" i="25" s="1"/>
  <c r="CB45" i="25"/>
  <c r="K45" i="25" s="1"/>
  <c r="CN45" i="25"/>
  <c r="O45" i="25" s="1"/>
  <c r="CK45" i="25"/>
  <c r="N45" i="25" s="1"/>
  <c r="CW45" i="25"/>
  <c r="R45" i="25" s="1"/>
  <c r="BM45" i="25"/>
  <c r="F45" i="25" s="1"/>
  <c r="DC45" i="25"/>
  <c r="T45" i="25" s="1"/>
  <c r="CH45" i="25"/>
  <c r="M45" i="25" s="1"/>
  <c r="CQ45" i="25"/>
  <c r="P45" i="25" s="1"/>
  <c r="AK36" i="25"/>
  <c r="BJ36" i="25"/>
  <c r="E36" i="25" s="1"/>
  <c r="CK36" i="25"/>
  <c r="N36" i="25" s="1"/>
  <c r="CW36" i="25"/>
  <c r="R36" i="25" s="1"/>
  <c r="CE36" i="25"/>
  <c r="L36" i="25" s="1"/>
  <c r="BV36" i="25"/>
  <c r="I36" i="25" s="1"/>
  <c r="CT36" i="25"/>
  <c r="Q36" i="25" s="1"/>
  <c r="BM36" i="25"/>
  <c r="F36" i="25" s="1"/>
  <c r="CN36" i="25"/>
  <c r="O36" i="25" s="1"/>
  <c r="CB36" i="25"/>
  <c r="K36" i="25" s="1"/>
  <c r="CZ36" i="25"/>
  <c r="S36" i="25" s="1"/>
  <c r="BP36" i="25"/>
  <c r="G36" i="25" s="1"/>
  <c r="CQ36" i="25"/>
  <c r="P36" i="25" s="1"/>
  <c r="DC36" i="25"/>
  <c r="T36" i="25" s="1"/>
  <c r="BY36" i="25"/>
  <c r="J36" i="25" s="1"/>
  <c r="CH36" i="25"/>
  <c r="M36" i="25" s="1"/>
  <c r="BS36" i="25"/>
  <c r="H36" i="25" s="1"/>
  <c r="AJ32" i="25"/>
  <c r="AK33" i="25"/>
  <c r="BJ33" i="25"/>
  <c r="E33" i="25" s="1"/>
  <c r="BY33" i="25"/>
  <c r="J33" i="25" s="1"/>
  <c r="CW33" i="25"/>
  <c r="R33" i="25" s="1"/>
  <c r="CE33" i="25"/>
  <c r="L33" i="25" s="1"/>
  <c r="BS33" i="25"/>
  <c r="H33" i="25" s="1"/>
  <c r="CK33" i="25"/>
  <c r="N33" i="25" s="1"/>
  <c r="CZ33" i="25"/>
  <c r="S33" i="25" s="1"/>
  <c r="BV33" i="25"/>
  <c r="I33" i="25" s="1"/>
  <c r="CT33" i="25"/>
  <c r="Q33" i="25" s="1"/>
  <c r="BM33" i="25"/>
  <c r="F33" i="25" s="1"/>
  <c r="BP33" i="25"/>
  <c r="G33" i="25" s="1"/>
  <c r="DC33" i="25"/>
  <c r="T33" i="25" s="1"/>
  <c r="CB33" i="25"/>
  <c r="K33" i="25" s="1"/>
  <c r="CN33" i="25"/>
  <c r="O33" i="25" s="1"/>
  <c r="CH33" i="25"/>
  <c r="M33" i="25" s="1"/>
  <c r="CQ33" i="25"/>
  <c r="P33" i="25" s="1"/>
  <c r="AJ35" i="25"/>
  <c r="AK28" i="25"/>
  <c r="CB28" i="25"/>
  <c r="K28" i="25" s="1"/>
  <c r="CE28" i="25"/>
  <c r="L28" i="25" s="1"/>
  <c r="BY28" i="25"/>
  <c r="J28" i="25" s="1"/>
  <c r="CW28" i="25"/>
  <c r="R28" i="25" s="1"/>
  <c r="CT28" i="25"/>
  <c r="Q28" i="25" s="1"/>
  <c r="BP28" i="25"/>
  <c r="G28" i="25" s="1"/>
  <c r="DC28" i="25"/>
  <c r="T28" i="25" s="1"/>
  <c r="CN28" i="25"/>
  <c r="O28" i="25" s="1"/>
  <c r="CK28" i="25"/>
  <c r="N28" i="25" s="1"/>
  <c r="CH28" i="25"/>
  <c r="M28" i="25" s="1"/>
  <c r="BV28" i="25"/>
  <c r="I28" i="25" s="1"/>
  <c r="BM28" i="25"/>
  <c r="F28" i="25" s="1"/>
  <c r="BJ28" i="25"/>
  <c r="E28" i="25" s="1"/>
  <c r="CZ28" i="25"/>
  <c r="S28" i="25" s="1"/>
  <c r="CQ28" i="25"/>
  <c r="P28" i="25" s="1"/>
  <c r="BS28" i="25"/>
  <c r="H28" i="25" s="1"/>
  <c r="AJ30" i="25"/>
  <c r="AK19" i="25"/>
  <c r="BJ19" i="25"/>
  <c r="E19" i="25" s="1"/>
  <c r="CT19" i="25"/>
  <c r="Q19" i="25" s="1"/>
  <c r="BM19" i="25"/>
  <c r="F19" i="25" s="1"/>
  <c r="DC19" i="25"/>
  <c r="T19" i="25" s="1"/>
  <c r="CH19" i="25"/>
  <c r="M19" i="25" s="1"/>
  <c r="BV19" i="25"/>
  <c r="I19" i="25" s="1"/>
  <c r="BP19" i="25"/>
  <c r="G19" i="25" s="1"/>
  <c r="CB19" i="25"/>
  <c r="K19" i="25" s="1"/>
  <c r="CN19" i="25"/>
  <c r="O19" i="25" s="1"/>
  <c r="BY19" i="25"/>
  <c r="J19" i="25" s="1"/>
  <c r="CW19" i="25"/>
  <c r="R19" i="25" s="1"/>
  <c r="CQ19" i="25"/>
  <c r="P19" i="25" s="1"/>
  <c r="BS19" i="25"/>
  <c r="H19" i="25" s="1"/>
  <c r="CK19" i="25"/>
  <c r="N19" i="25" s="1"/>
  <c r="CZ19" i="25"/>
  <c r="S19" i="25" s="1"/>
  <c r="CE19" i="25"/>
  <c r="L19" i="25" s="1"/>
  <c r="AK13" i="25"/>
  <c r="CK13" i="25"/>
  <c r="N13" i="25" s="1"/>
  <c r="CH13" i="25"/>
  <c r="M13" i="25" s="1"/>
  <c r="BM13" i="25"/>
  <c r="F13" i="25" s="1"/>
  <c r="DC13" i="25"/>
  <c r="T13" i="25" s="1"/>
  <c r="BJ13" i="25"/>
  <c r="E13" i="25" s="1"/>
  <c r="CQ13" i="25"/>
  <c r="P13" i="25" s="1"/>
  <c r="CZ13" i="25"/>
  <c r="S13" i="25" s="1"/>
  <c r="BP13" i="25"/>
  <c r="G13" i="25" s="1"/>
  <c r="BS13" i="25"/>
  <c r="H13" i="25" s="1"/>
  <c r="CB13" i="25"/>
  <c r="K13" i="25" s="1"/>
  <c r="CN13" i="25"/>
  <c r="O13" i="25" s="1"/>
  <c r="BY13" i="25"/>
  <c r="J13" i="25" s="1"/>
  <c r="CW13" i="25"/>
  <c r="R13" i="25" s="1"/>
  <c r="CE13" i="25"/>
  <c r="L13" i="25" s="1"/>
  <c r="BV13" i="25"/>
  <c r="I13" i="25" s="1"/>
  <c r="CT13" i="25"/>
  <c r="Q13" i="25" s="1"/>
  <c r="AK225" i="25"/>
  <c r="BY225" i="25"/>
  <c r="J225" i="25" s="1"/>
  <c r="CW225" i="25"/>
  <c r="R225" i="25" s="1"/>
  <c r="CZ225" i="25"/>
  <c r="S225" i="25" s="1"/>
  <c r="BS225" i="25"/>
  <c r="H225" i="25" s="1"/>
  <c r="CK225" i="25"/>
  <c r="N225" i="25" s="1"/>
  <c r="CE225" i="25"/>
  <c r="L225" i="25" s="1"/>
  <c r="BV225" i="25"/>
  <c r="I225" i="25" s="1"/>
  <c r="BM225" i="25"/>
  <c r="F225" i="25" s="1"/>
  <c r="BP225" i="25"/>
  <c r="G225" i="25" s="1"/>
  <c r="CB225" i="25"/>
  <c r="K225" i="25" s="1"/>
  <c r="CN225" i="25"/>
  <c r="O225" i="25" s="1"/>
  <c r="BJ225" i="25"/>
  <c r="E225" i="25" s="1"/>
  <c r="CT225" i="25"/>
  <c r="Q225" i="25" s="1"/>
  <c r="DC225" i="25"/>
  <c r="T225" i="25" s="1"/>
  <c r="CH225" i="25"/>
  <c r="M225" i="25" s="1"/>
  <c r="CQ225" i="25"/>
  <c r="P225" i="25" s="1"/>
  <c r="AK239" i="25"/>
  <c r="CK239" i="25"/>
  <c r="N239" i="25" s="1"/>
  <c r="CH239" i="25"/>
  <c r="M239" i="25" s="1"/>
  <c r="CE239" i="25"/>
  <c r="L239" i="25" s="1"/>
  <c r="BM239" i="25"/>
  <c r="F239" i="25" s="1"/>
  <c r="BP239" i="25"/>
  <c r="G239" i="25" s="1"/>
  <c r="CB239" i="25"/>
  <c r="K239" i="25" s="1"/>
  <c r="CN239" i="25"/>
  <c r="O239" i="25" s="1"/>
  <c r="DC239" i="25"/>
  <c r="T239" i="25" s="1"/>
  <c r="BJ239" i="25"/>
  <c r="E239" i="25" s="1"/>
  <c r="CQ239" i="25"/>
  <c r="P239" i="25" s="1"/>
  <c r="BY239" i="25"/>
  <c r="J239" i="25" s="1"/>
  <c r="CW239" i="25"/>
  <c r="R239" i="25" s="1"/>
  <c r="CZ239" i="25"/>
  <c r="S239" i="25" s="1"/>
  <c r="BV239" i="25"/>
  <c r="I239" i="25" s="1"/>
  <c r="CT239" i="25"/>
  <c r="Q239" i="25" s="1"/>
  <c r="BS239" i="25"/>
  <c r="H239" i="25" s="1"/>
  <c r="AK211" i="25"/>
  <c r="BJ211" i="25"/>
  <c r="E211" i="25" s="1"/>
  <c r="CQ211" i="25"/>
  <c r="P211" i="25" s="1"/>
  <c r="BY211" i="25"/>
  <c r="J211" i="25" s="1"/>
  <c r="CW211" i="25"/>
  <c r="R211" i="25" s="1"/>
  <c r="CZ211" i="25"/>
  <c r="S211" i="25" s="1"/>
  <c r="BS211" i="25"/>
  <c r="H211" i="25" s="1"/>
  <c r="CK211" i="25"/>
  <c r="N211" i="25" s="1"/>
  <c r="CE211" i="25"/>
  <c r="L211" i="25" s="1"/>
  <c r="BV211" i="25"/>
  <c r="I211" i="25" s="1"/>
  <c r="CT211" i="25"/>
  <c r="Q211" i="25" s="1"/>
  <c r="BM211" i="25"/>
  <c r="F211" i="25" s="1"/>
  <c r="BP211" i="25"/>
  <c r="G211" i="25" s="1"/>
  <c r="CB211" i="25"/>
  <c r="K211" i="25" s="1"/>
  <c r="CN211" i="25"/>
  <c r="O211" i="25" s="1"/>
  <c r="CH211" i="25"/>
  <c r="M211" i="25" s="1"/>
  <c r="DC211" i="25"/>
  <c r="T211" i="25" s="1"/>
  <c r="AK247" i="25"/>
  <c r="CK247" i="25"/>
  <c r="N247" i="25" s="1"/>
  <c r="CH247" i="25"/>
  <c r="M247" i="25" s="1"/>
  <c r="CE247" i="25"/>
  <c r="L247" i="25" s="1"/>
  <c r="BM247" i="25"/>
  <c r="F247" i="25" s="1"/>
  <c r="BP247" i="25"/>
  <c r="G247" i="25" s="1"/>
  <c r="CB247" i="25"/>
  <c r="K247" i="25" s="1"/>
  <c r="CN247" i="25"/>
  <c r="O247" i="25" s="1"/>
  <c r="BJ247" i="25"/>
  <c r="E247" i="25" s="1"/>
  <c r="BV247" i="25"/>
  <c r="I247" i="25" s="1"/>
  <c r="CT247" i="25"/>
  <c r="Q247" i="25" s="1"/>
  <c r="DC247" i="25"/>
  <c r="T247" i="25" s="1"/>
  <c r="CQ247" i="25"/>
  <c r="P247" i="25" s="1"/>
  <c r="BS247" i="25"/>
  <c r="H247" i="25" s="1"/>
  <c r="BY247" i="25"/>
  <c r="J247" i="25" s="1"/>
  <c r="CW247" i="25"/>
  <c r="R247" i="25" s="1"/>
  <c r="CZ247" i="25"/>
  <c r="S247" i="25" s="1"/>
  <c r="AK261" i="25"/>
  <c r="CB261" i="25"/>
  <c r="K261" i="25" s="1"/>
  <c r="CN261" i="25"/>
  <c r="O261" i="25" s="1"/>
  <c r="BJ261" i="25"/>
  <c r="E261" i="25" s="1"/>
  <c r="DC261" i="25"/>
  <c r="T261" i="25" s="1"/>
  <c r="CH261" i="25"/>
  <c r="M261" i="25" s="1"/>
  <c r="CQ261" i="25"/>
  <c r="P261" i="25" s="1"/>
  <c r="BY261" i="25"/>
  <c r="J261" i="25" s="1"/>
  <c r="CW261" i="25"/>
  <c r="R261" i="25" s="1"/>
  <c r="CZ261" i="25"/>
  <c r="S261" i="25" s="1"/>
  <c r="BV261" i="25"/>
  <c r="I261" i="25" s="1"/>
  <c r="CT261" i="25"/>
  <c r="Q261" i="25" s="1"/>
  <c r="BS261" i="25"/>
  <c r="H261" i="25" s="1"/>
  <c r="CK261" i="25"/>
  <c r="N261" i="25" s="1"/>
  <c r="CE261" i="25"/>
  <c r="L261" i="25" s="1"/>
  <c r="BM261" i="25"/>
  <c r="F261" i="25" s="1"/>
  <c r="BP261" i="25"/>
  <c r="G261" i="25" s="1"/>
  <c r="AK249" i="25"/>
  <c r="BY249" i="25"/>
  <c r="J249" i="25" s="1"/>
  <c r="CH249" i="25"/>
  <c r="M249" i="25" s="1"/>
  <c r="CW249" i="25"/>
  <c r="R249" i="25" s="1"/>
  <c r="CZ249" i="25"/>
  <c r="S249" i="25" s="1"/>
  <c r="CK249" i="25"/>
  <c r="N249" i="25" s="1"/>
  <c r="CE249" i="25"/>
  <c r="L249" i="25" s="1"/>
  <c r="BM249" i="25"/>
  <c r="F249" i="25" s="1"/>
  <c r="BP249" i="25"/>
  <c r="G249" i="25" s="1"/>
  <c r="CB249" i="25"/>
  <c r="K249" i="25" s="1"/>
  <c r="CN249" i="25"/>
  <c r="O249" i="25" s="1"/>
  <c r="BV249" i="25"/>
  <c r="I249" i="25" s="1"/>
  <c r="CT249" i="25"/>
  <c r="Q249" i="25" s="1"/>
  <c r="DC249" i="25"/>
  <c r="T249" i="25" s="1"/>
  <c r="BJ249" i="25"/>
  <c r="E249" i="25" s="1"/>
  <c r="CQ249" i="25"/>
  <c r="P249" i="25" s="1"/>
  <c r="BS249" i="25"/>
  <c r="H249" i="25" s="1"/>
  <c r="AK237" i="25"/>
  <c r="CB237" i="25"/>
  <c r="K237" i="25" s="1"/>
  <c r="CN237" i="25"/>
  <c r="O237" i="25" s="1"/>
  <c r="BJ237" i="25"/>
  <c r="E237" i="25" s="1"/>
  <c r="DC237" i="25"/>
  <c r="T237" i="25" s="1"/>
  <c r="CH237" i="25"/>
  <c r="M237" i="25" s="1"/>
  <c r="BV237" i="25"/>
  <c r="I237" i="25" s="1"/>
  <c r="CT237" i="25"/>
  <c r="Q237" i="25" s="1"/>
  <c r="CQ237" i="25"/>
  <c r="P237" i="25" s="1"/>
  <c r="BY237" i="25"/>
  <c r="J237" i="25" s="1"/>
  <c r="CW237" i="25"/>
  <c r="R237" i="25" s="1"/>
  <c r="CZ237" i="25"/>
  <c r="S237" i="25" s="1"/>
  <c r="BS237" i="25"/>
  <c r="H237" i="25" s="1"/>
  <c r="CK237" i="25"/>
  <c r="N237" i="25" s="1"/>
  <c r="CE237" i="25"/>
  <c r="L237" i="25" s="1"/>
  <c r="BM237" i="25"/>
  <c r="F237" i="25" s="1"/>
  <c r="BP237" i="25"/>
  <c r="G237" i="25" s="1"/>
  <c r="AK232" i="25"/>
  <c r="CK232" i="25"/>
  <c r="N232" i="25" s="1"/>
  <c r="CH232" i="25"/>
  <c r="M232" i="25" s="1"/>
  <c r="BM232" i="25"/>
  <c r="F232" i="25" s="1"/>
  <c r="BJ232" i="25"/>
  <c r="E232" i="25" s="1"/>
  <c r="CE232" i="25"/>
  <c r="L232" i="25" s="1"/>
  <c r="BV232" i="25"/>
  <c r="I232" i="25" s="1"/>
  <c r="CT232" i="25"/>
  <c r="Q232" i="25" s="1"/>
  <c r="BS232" i="25"/>
  <c r="H232" i="25" s="1"/>
  <c r="CB232" i="25"/>
  <c r="K232" i="25" s="1"/>
  <c r="CZ232" i="25"/>
  <c r="S232" i="25" s="1"/>
  <c r="BP232" i="25"/>
  <c r="G232" i="25" s="1"/>
  <c r="CN232" i="25"/>
  <c r="O232" i="25" s="1"/>
  <c r="BY232" i="25"/>
  <c r="J232" i="25" s="1"/>
  <c r="CW232" i="25"/>
  <c r="R232" i="25" s="1"/>
  <c r="CQ232" i="25"/>
  <c r="P232" i="25" s="1"/>
  <c r="DC232" i="25"/>
  <c r="T232" i="25" s="1"/>
  <c r="AK206" i="25"/>
  <c r="BJ206" i="25"/>
  <c r="E206" i="25" s="1"/>
  <c r="CZ206" i="25"/>
  <c r="S206" i="25" s="1"/>
  <c r="CE206" i="25"/>
  <c r="L206" i="25" s="1"/>
  <c r="BV206" i="25"/>
  <c r="I206" i="25" s="1"/>
  <c r="CT206" i="25"/>
  <c r="Q206" i="25" s="1"/>
  <c r="CB206" i="25"/>
  <c r="K206" i="25" s="1"/>
  <c r="BY206" i="25"/>
  <c r="J206" i="25" s="1"/>
  <c r="CW206" i="25"/>
  <c r="R206" i="25" s="1"/>
  <c r="BP206" i="25"/>
  <c r="G206" i="25" s="1"/>
  <c r="CQ206" i="25"/>
  <c r="P206" i="25" s="1"/>
  <c r="DC206" i="25"/>
  <c r="T206" i="25" s="1"/>
  <c r="BS206" i="25"/>
  <c r="H206" i="25" s="1"/>
  <c r="CN206" i="25"/>
  <c r="O206" i="25" s="1"/>
  <c r="CK206" i="25"/>
  <c r="N206" i="25" s="1"/>
  <c r="CH206" i="25"/>
  <c r="M206" i="25" s="1"/>
  <c r="BM206" i="25"/>
  <c r="F206" i="25" s="1"/>
  <c r="AK262" i="25"/>
  <c r="CK262" i="25"/>
  <c r="N262" i="25" s="1"/>
  <c r="CE262" i="25"/>
  <c r="L262" i="25" s="1"/>
  <c r="BV262" i="25"/>
  <c r="I262" i="25" s="1"/>
  <c r="BM262" i="25"/>
  <c r="F262" i="25" s="1"/>
  <c r="BJ262" i="25"/>
  <c r="E262" i="25" s="1"/>
  <c r="CH262" i="25"/>
  <c r="M262" i="25" s="1"/>
  <c r="BP262" i="25"/>
  <c r="G262" i="25" s="1"/>
  <c r="CN262" i="25"/>
  <c r="O262" i="25" s="1"/>
  <c r="CZ262" i="25"/>
  <c r="S262" i="25" s="1"/>
  <c r="CQ262" i="25"/>
  <c r="P262" i="25" s="1"/>
  <c r="DC262" i="25"/>
  <c r="T262" i="25" s="1"/>
  <c r="CB262" i="25"/>
  <c r="K262" i="25" s="1"/>
  <c r="BY262" i="25"/>
  <c r="J262" i="25" s="1"/>
  <c r="CW262" i="25"/>
  <c r="R262" i="25" s="1"/>
  <c r="CT262" i="25"/>
  <c r="Q262" i="25" s="1"/>
  <c r="BS262" i="25"/>
  <c r="H262" i="25" s="1"/>
  <c r="AK254" i="25"/>
  <c r="BJ254" i="25"/>
  <c r="E254" i="25" s="1"/>
  <c r="CE254" i="25"/>
  <c r="L254" i="25" s="1"/>
  <c r="BV254" i="25"/>
  <c r="I254" i="25" s="1"/>
  <c r="CT254" i="25"/>
  <c r="Q254" i="25" s="1"/>
  <c r="BS254" i="25"/>
  <c r="H254" i="25" s="1"/>
  <c r="BP254" i="25"/>
  <c r="G254" i="25" s="1"/>
  <c r="CB254" i="25"/>
  <c r="K254" i="25" s="1"/>
  <c r="CN254" i="25"/>
  <c r="O254" i="25" s="1"/>
  <c r="BY254" i="25"/>
  <c r="J254" i="25" s="1"/>
  <c r="CW254" i="25"/>
  <c r="R254" i="25" s="1"/>
  <c r="CQ254" i="25"/>
  <c r="P254" i="25" s="1"/>
  <c r="DC254" i="25"/>
  <c r="T254" i="25" s="1"/>
  <c r="CK254" i="25"/>
  <c r="N254" i="25" s="1"/>
  <c r="CH254" i="25"/>
  <c r="M254" i="25" s="1"/>
  <c r="CZ254" i="25"/>
  <c r="S254" i="25" s="1"/>
  <c r="BM254" i="25"/>
  <c r="F254" i="25" s="1"/>
  <c r="AK248" i="25"/>
  <c r="CN248" i="25"/>
  <c r="O248" i="25" s="1"/>
  <c r="CK248" i="25"/>
  <c r="N248" i="25" s="1"/>
  <c r="CH248" i="25"/>
  <c r="M248" i="25" s="1"/>
  <c r="CZ248" i="25"/>
  <c r="S248" i="25" s="1"/>
  <c r="BM248" i="25"/>
  <c r="F248" i="25" s="1"/>
  <c r="BP248" i="25"/>
  <c r="G248" i="25" s="1"/>
  <c r="CB248" i="25"/>
  <c r="K248" i="25" s="1"/>
  <c r="BJ248" i="25"/>
  <c r="E248" i="25" s="1"/>
  <c r="CE248" i="25"/>
  <c r="L248" i="25" s="1"/>
  <c r="BV248" i="25"/>
  <c r="I248" i="25" s="1"/>
  <c r="CT248" i="25"/>
  <c r="Q248" i="25" s="1"/>
  <c r="BS248" i="25"/>
  <c r="H248" i="25" s="1"/>
  <c r="BY248" i="25"/>
  <c r="J248" i="25" s="1"/>
  <c r="CW248" i="25"/>
  <c r="R248" i="25" s="1"/>
  <c r="CQ248" i="25"/>
  <c r="P248" i="25" s="1"/>
  <c r="DC248" i="25"/>
  <c r="T248" i="25" s="1"/>
  <c r="AK216" i="25"/>
  <c r="CN216" i="25"/>
  <c r="O216" i="25" s="1"/>
  <c r="CK216" i="25"/>
  <c r="N216" i="25" s="1"/>
  <c r="CH216" i="25"/>
  <c r="M216" i="25" s="1"/>
  <c r="CZ216" i="25"/>
  <c r="S216" i="25" s="1"/>
  <c r="BM216" i="25"/>
  <c r="F216" i="25" s="1"/>
  <c r="BP216" i="25"/>
  <c r="G216" i="25" s="1"/>
  <c r="CB216" i="25"/>
  <c r="K216" i="25" s="1"/>
  <c r="BJ216" i="25"/>
  <c r="E216" i="25" s="1"/>
  <c r="CE216" i="25"/>
  <c r="L216" i="25" s="1"/>
  <c r="BV216" i="25"/>
  <c r="I216" i="25" s="1"/>
  <c r="CT216" i="25"/>
  <c r="Q216" i="25" s="1"/>
  <c r="BS216" i="25"/>
  <c r="H216" i="25" s="1"/>
  <c r="BY216" i="25"/>
  <c r="J216" i="25" s="1"/>
  <c r="CW216" i="25"/>
  <c r="R216" i="25" s="1"/>
  <c r="CQ216" i="25"/>
  <c r="P216" i="25" s="1"/>
  <c r="DC216" i="25"/>
  <c r="T216" i="25" s="1"/>
  <c r="AK204" i="25"/>
  <c r="BY204" i="25"/>
  <c r="J204" i="25" s="1"/>
  <c r="CW204" i="25"/>
  <c r="R204" i="25" s="1"/>
  <c r="CQ204" i="25"/>
  <c r="P204" i="25" s="1"/>
  <c r="DC204" i="25"/>
  <c r="T204" i="25" s="1"/>
  <c r="CN204" i="25"/>
  <c r="O204" i="25" s="1"/>
  <c r="CK204" i="25"/>
  <c r="N204" i="25" s="1"/>
  <c r="CH204" i="25"/>
  <c r="M204" i="25" s="1"/>
  <c r="CZ204" i="25"/>
  <c r="S204" i="25" s="1"/>
  <c r="BM204" i="25"/>
  <c r="F204" i="25" s="1"/>
  <c r="BP204" i="25"/>
  <c r="G204" i="25" s="1"/>
  <c r="BS204" i="25"/>
  <c r="H204" i="25" s="1"/>
  <c r="CB204" i="25"/>
  <c r="K204" i="25" s="1"/>
  <c r="BJ204" i="25"/>
  <c r="E204" i="25" s="1"/>
  <c r="CE204" i="25"/>
  <c r="L204" i="25" s="1"/>
  <c r="BV204" i="25"/>
  <c r="I204" i="25" s="1"/>
  <c r="CT204" i="25"/>
  <c r="Q204" i="25" s="1"/>
  <c r="AJ198" i="25"/>
  <c r="AK238" i="25"/>
  <c r="CB238" i="25"/>
  <c r="K238" i="25" s="1"/>
  <c r="BJ238" i="25"/>
  <c r="E238" i="25" s="1"/>
  <c r="CE238" i="25"/>
  <c r="L238" i="25" s="1"/>
  <c r="BV238" i="25"/>
  <c r="I238" i="25" s="1"/>
  <c r="CT238" i="25"/>
  <c r="Q238" i="25" s="1"/>
  <c r="CN238" i="25"/>
  <c r="O238" i="25" s="1"/>
  <c r="BY238" i="25"/>
  <c r="J238" i="25" s="1"/>
  <c r="CW238" i="25"/>
  <c r="R238" i="25" s="1"/>
  <c r="CQ238" i="25"/>
  <c r="P238" i="25" s="1"/>
  <c r="DC238" i="25"/>
  <c r="T238" i="25" s="1"/>
  <c r="CK238" i="25"/>
  <c r="N238" i="25" s="1"/>
  <c r="CH238" i="25"/>
  <c r="M238" i="25" s="1"/>
  <c r="CZ238" i="25"/>
  <c r="S238" i="25" s="1"/>
  <c r="BM238" i="25"/>
  <c r="F238" i="25" s="1"/>
  <c r="BP238" i="25"/>
  <c r="G238" i="25" s="1"/>
  <c r="BS238" i="25"/>
  <c r="H238" i="25" s="1"/>
  <c r="AJ231" i="25"/>
  <c r="AJ209" i="25"/>
  <c r="AJ205" i="25"/>
  <c r="AJ192" i="25"/>
  <c r="AJ180" i="25"/>
  <c r="AK193" i="25"/>
  <c r="BS193" i="25"/>
  <c r="H193" i="25" s="1"/>
  <c r="CK193" i="25"/>
  <c r="N193" i="25" s="1"/>
  <c r="BY193" i="25"/>
  <c r="J193" i="25" s="1"/>
  <c r="CH193" i="25"/>
  <c r="M193" i="25" s="1"/>
  <c r="CW193" i="25"/>
  <c r="R193" i="25" s="1"/>
  <c r="CE193" i="25"/>
  <c r="L193" i="25" s="1"/>
  <c r="BP193" i="25"/>
  <c r="G193" i="25" s="1"/>
  <c r="CB193" i="25"/>
  <c r="K193" i="25" s="1"/>
  <c r="CN193" i="25"/>
  <c r="O193" i="25" s="1"/>
  <c r="BJ193" i="25"/>
  <c r="E193" i="25" s="1"/>
  <c r="CZ193" i="25"/>
  <c r="S193" i="25" s="1"/>
  <c r="BV193" i="25"/>
  <c r="I193" i="25" s="1"/>
  <c r="CT193" i="25"/>
  <c r="Q193" i="25" s="1"/>
  <c r="BM193" i="25"/>
  <c r="F193" i="25" s="1"/>
  <c r="DC193" i="25"/>
  <c r="T193" i="25" s="1"/>
  <c r="CQ193" i="25"/>
  <c r="P193" i="25" s="1"/>
  <c r="AJ187" i="25"/>
  <c r="AK173" i="25"/>
  <c r="CB173" i="25"/>
  <c r="K173" i="25" s="1"/>
  <c r="CN173" i="25"/>
  <c r="O173" i="25" s="1"/>
  <c r="BJ173" i="25"/>
  <c r="E173" i="25" s="1"/>
  <c r="CZ173" i="25"/>
  <c r="S173" i="25" s="1"/>
  <c r="BV173" i="25"/>
  <c r="I173" i="25" s="1"/>
  <c r="CT173" i="25"/>
  <c r="Q173" i="25" s="1"/>
  <c r="BM173" i="25"/>
  <c r="F173" i="25" s="1"/>
  <c r="DC173" i="25"/>
  <c r="T173" i="25" s="1"/>
  <c r="CQ173" i="25"/>
  <c r="P173" i="25" s="1"/>
  <c r="BS173" i="25"/>
  <c r="H173" i="25" s="1"/>
  <c r="CK173" i="25"/>
  <c r="N173" i="25" s="1"/>
  <c r="BY173" i="25"/>
  <c r="J173" i="25" s="1"/>
  <c r="CH173" i="25"/>
  <c r="M173" i="25" s="1"/>
  <c r="CW173" i="25"/>
  <c r="R173" i="25" s="1"/>
  <c r="CE173" i="25"/>
  <c r="L173" i="25" s="1"/>
  <c r="BP173" i="25"/>
  <c r="G173" i="25" s="1"/>
  <c r="AJ181" i="25"/>
  <c r="AJ194" i="25"/>
  <c r="AJ174" i="25"/>
  <c r="AK166" i="25"/>
  <c r="CQ166" i="25"/>
  <c r="P166" i="25" s="1"/>
  <c r="BY166" i="25"/>
  <c r="J166" i="25" s="1"/>
  <c r="CH166" i="25"/>
  <c r="M166" i="25" s="1"/>
  <c r="CW166" i="25"/>
  <c r="R166" i="25" s="1"/>
  <c r="CT166" i="25"/>
  <c r="Q166" i="25" s="1"/>
  <c r="BS166" i="25"/>
  <c r="H166" i="25" s="1"/>
  <c r="BJ166" i="25"/>
  <c r="E166" i="25" s="1"/>
  <c r="CK166" i="25"/>
  <c r="N166" i="25" s="1"/>
  <c r="CZ166" i="25"/>
  <c r="S166" i="25" s="1"/>
  <c r="CE166" i="25"/>
  <c r="L166" i="25" s="1"/>
  <c r="BV166" i="25"/>
  <c r="I166" i="25" s="1"/>
  <c r="BM166" i="25"/>
  <c r="F166" i="25" s="1"/>
  <c r="BP166" i="25"/>
  <c r="G166" i="25" s="1"/>
  <c r="DC166" i="25"/>
  <c r="T166" i="25" s="1"/>
  <c r="CB166" i="25"/>
  <c r="K166" i="25" s="1"/>
  <c r="CN166" i="25"/>
  <c r="O166" i="25" s="1"/>
  <c r="AK162" i="25"/>
  <c r="BJ162" i="25"/>
  <c r="E162" i="25" s="1"/>
  <c r="CK162" i="25"/>
  <c r="N162" i="25" s="1"/>
  <c r="CZ162" i="25"/>
  <c r="S162" i="25" s="1"/>
  <c r="CE162" i="25"/>
  <c r="L162" i="25" s="1"/>
  <c r="BV162" i="25"/>
  <c r="I162" i="25" s="1"/>
  <c r="BM162" i="25"/>
  <c r="F162" i="25" s="1"/>
  <c r="BP162" i="25"/>
  <c r="G162" i="25" s="1"/>
  <c r="DC162" i="25"/>
  <c r="T162" i="25" s="1"/>
  <c r="CB162" i="25"/>
  <c r="K162" i="25" s="1"/>
  <c r="CN162" i="25"/>
  <c r="O162" i="25" s="1"/>
  <c r="CQ162" i="25"/>
  <c r="P162" i="25" s="1"/>
  <c r="BY162" i="25"/>
  <c r="J162" i="25" s="1"/>
  <c r="CH162" i="25"/>
  <c r="M162" i="25" s="1"/>
  <c r="CW162" i="25"/>
  <c r="R162" i="25" s="1"/>
  <c r="CT162" i="25"/>
  <c r="Q162" i="25" s="1"/>
  <c r="BS162" i="25"/>
  <c r="H162" i="25" s="1"/>
  <c r="AJ149" i="25"/>
  <c r="AJ146" i="25"/>
  <c r="AJ153" i="25"/>
  <c r="AJ132" i="25"/>
  <c r="AJ108" i="25"/>
  <c r="AK135" i="25"/>
  <c r="CB135" i="25"/>
  <c r="K135" i="25" s="1"/>
  <c r="CN135" i="25"/>
  <c r="O135" i="25" s="1"/>
  <c r="BJ135" i="25"/>
  <c r="E135" i="25" s="1"/>
  <c r="CE135" i="25"/>
  <c r="L135" i="25" s="1"/>
  <c r="BV135" i="25"/>
  <c r="I135" i="25" s="1"/>
  <c r="CT135" i="25"/>
  <c r="Q135" i="25" s="1"/>
  <c r="DC135" i="25"/>
  <c r="T135" i="25" s="1"/>
  <c r="BY135" i="25"/>
  <c r="J135" i="25" s="1"/>
  <c r="CW135" i="25"/>
  <c r="R135" i="25" s="1"/>
  <c r="CQ135" i="25"/>
  <c r="P135" i="25" s="1"/>
  <c r="BS135" i="25"/>
  <c r="H135" i="25" s="1"/>
  <c r="CK135" i="25"/>
  <c r="N135" i="25" s="1"/>
  <c r="CH135" i="25"/>
  <c r="M135" i="25" s="1"/>
  <c r="CZ135" i="25"/>
  <c r="S135" i="25" s="1"/>
  <c r="BM135" i="25"/>
  <c r="F135" i="25" s="1"/>
  <c r="BP135" i="25"/>
  <c r="G135" i="25" s="1"/>
  <c r="AK127" i="25"/>
  <c r="CB127" i="25"/>
  <c r="K127" i="25" s="1"/>
  <c r="CN127" i="25"/>
  <c r="O127" i="25" s="1"/>
  <c r="BJ127" i="25"/>
  <c r="E127" i="25" s="1"/>
  <c r="CE127" i="25"/>
  <c r="L127" i="25" s="1"/>
  <c r="BV127" i="25"/>
  <c r="I127" i="25" s="1"/>
  <c r="CT127" i="25"/>
  <c r="Q127" i="25" s="1"/>
  <c r="DC127" i="25"/>
  <c r="T127" i="25" s="1"/>
  <c r="BY127" i="25"/>
  <c r="J127" i="25" s="1"/>
  <c r="CW127" i="25"/>
  <c r="R127" i="25" s="1"/>
  <c r="CQ127" i="25"/>
  <c r="P127" i="25" s="1"/>
  <c r="CK127" i="25"/>
  <c r="N127" i="25" s="1"/>
  <c r="CH127" i="25"/>
  <c r="M127" i="25" s="1"/>
  <c r="CZ127" i="25"/>
  <c r="S127" i="25" s="1"/>
  <c r="BM127" i="25"/>
  <c r="F127" i="25" s="1"/>
  <c r="BP127" i="25"/>
  <c r="G127" i="25" s="1"/>
  <c r="BS127" i="25"/>
  <c r="H127" i="25" s="1"/>
  <c r="AK118" i="25"/>
  <c r="CQ118" i="25"/>
  <c r="P118" i="25" s="1"/>
  <c r="DC118" i="25"/>
  <c r="T118" i="25" s="1"/>
  <c r="BY118" i="25"/>
  <c r="J118" i="25" s="1"/>
  <c r="CW118" i="25"/>
  <c r="R118" i="25" s="1"/>
  <c r="CK118" i="25"/>
  <c r="N118" i="25" s="1"/>
  <c r="CH118" i="25"/>
  <c r="M118" i="25" s="1"/>
  <c r="CZ118" i="25"/>
  <c r="S118" i="25" s="1"/>
  <c r="BM118" i="25"/>
  <c r="F118" i="25" s="1"/>
  <c r="BP118" i="25"/>
  <c r="G118" i="25" s="1"/>
  <c r="BS118" i="25"/>
  <c r="H118" i="25" s="1"/>
  <c r="CB118" i="25"/>
  <c r="K118" i="25" s="1"/>
  <c r="CN118" i="25"/>
  <c r="O118" i="25" s="1"/>
  <c r="BJ118" i="25"/>
  <c r="E118" i="25" s="1"/>
  <c r="CE118" i="25"/>
  <c r="L118" i="25" s="1"/>
  <c r="BV118" i="25"/>
  <c r="I118" i="25" s="1"/>
  <c r="CT118" i="25"/>
  <c r="Q118" i="25" s="1"/>
  <c r="AJ131" i="25"/>
  <c r="AJ111" i="25"/>
  <c r="AJ128" i="25"/>
  <c r="AJ122" i="25"/>
  <c r="AK115" i="25"/>
  <c r="BY115" i="25"/>
  <c r="J115" i="25" s="1"/>
  <c r="CW115" i="25"/>
  <c r="R115" i="25" s="1"/>
  <c r="CQ115" i="25"/>
  <c r="P115" i="25" s="1"/>
  <c r="CK115" i="25"/>
  <c r="N115" i="25" s="1"/>
  <c r="CH115" i="25"/>
  <c r="M115" i="25" s="1"/>
  <c r="CZ115" i="25"/>
  <c r="S115" i="25" s="1"/>
  <c r="BM115" i="25"/>
  <c r="F115" i="25" s="1"/>
  <c r="BP115" i="25"/>
  <c r="G115" i="25" s="1"/>
  <c r="BS115" i="25"/>
  <c r="H115" i="25" s="1"/>
  <c r="CB115" i="25"/>
  <c r="K115" i="25" s="1"/>
  <c r="CN115" i="25"/>
  <c r="O115" i="25" s="1"/>
  <c r="BJ115" i="25"/>
  <c r="E115" i="25" s="1"/>
  <c r="CE115" i="25"/>
  <c r="L115" i="25" s="1"/>
  <c r="BV115" i="25"/>
  <c r="I115" i="25" s="1"/>
  <c r="CT115" i="25"/>
  <c r="Q115" i="25" s="1"/>
  <c r="DC115" i="25"/>
  <c r="T115" i="25" s="1"/>
  <c r="AJ106" i="25"/>
  <c r="AJ95" i="25"/>
  <c r="AJ97" i="25"/>
  <c r="AK80" i="25"/>
  <c r="CB80" i="25"/>
  <c r="K80" i="25" s="1"/>
  <c r="CN80" i="25"/>
  <c r="O80" i="25" s="1"/>
  <c r="BY80" i="25"/>
  <c r="J80" i="25" s="1"/>
  <c r="CH80" i="25"/>
  <c r="M80" i="25" s="1"/>
  <c r="CE80" i="25"/>
  <c r="L80" i="25" s="1"/>
  <c r="BJ80" i="25"/>
  <c r="E80" i="25" s="1"/>
  <c r="CK80" i="25"/>
  <c r="N80" i="25" s="1"/>
  <c r="BV80" i="25"/>
  <c r="I80" i="25" s="1"/>
  <c r="CT80" i="25"/>
  <c r="Q80" i="25" s="1"/>
  <c r="BM80" i="25"/>
  <c r="F80" i="25" s="1"/>
  <c r="DC80" i="25"/>
  <c r="T80" i="25" s="1"/>
  <c r="CQ80" i="25"/>
  <c r="P80" i="25" s="1"/>
  <c r="CW80" i="25"/>
  <c r="R80" i="25" s="1"/>
  <c r="CZ80" i="25"/>
  <c r="S80" i="25" s="1"/>
  <c r="BP80" i="25"/>
  <c r="G80" i="25" s="1"/>
  <c r="BS80" i="25"/>
  <c r="H80" i="25" s="1"/>
  <c r="AK88" i="25"/>
  <c r="CB88" i="25"/>
  <c r="K88" i="25" s="1"/>
  <c r="CN88" i="25"/>
  <c r="O88" i="25" s="1"/>
  <c r="BY88" i="25"/>
  <c r="J88" i="25" s="1"/>
  <c r="CH88" i="25"/>
  <c r="M88" i="25" s="1"/>
  <c r="CE88" i="25"/>
  <c r="L88" i="25" s="1"/>
  <c r="BJ88" i="25"/>
  <c r="E88" i="25" s="1"/>
  <c r="CK88" i="25"/>
  <c r="N88" i="25" s="1"/>
  <c r="BV88" i="25"/>
  <c r="I88" i="25" s="1"/>
  <c r="CT88" i="25"/>
  <c r="Q88" i="25" s="1"/>
  <c r="BM88" i="25"/>
  <c r="F88" i="25" s="1"/>
  <c r="DC88" i="25"/>
  <c r="T88" i="25" s="1"/>
  <c r="CQ88" i="25"/>
  <c r="P88" i="25" s="1"/>
  <c r="BS88" i="25"/>
  <c r="H88" i="25" s="1"/>
  <c r="CW88" i="25"/>
  <c r="R88" i="25" s="1"/>
  <c r="CZ88" i="25"/>
  <c r="S88" i="25" s="1"/>
  <c r="BP88" i="25"/>
  <c r="G88" i="25" s="1"/>
  <c r="AJ84" i="25"/>
  <c r="AJ81" i="25"/>
  <c r="AK70" i="25"/>
  <c r="BJ70" i="25"/>
  <c r="E70" i="25" s="1"/>
  <c r="CK70" i="25"/>
  <c r="N70" i="25" s="1"/>
  <c r="BY70" i="25"/>
  <c r="J70" i="25" s="1"/>
  <c r="CZ70" i="25"/>
  <c r="S70" i="25" s="1"/>
  <c r="CE70" i="25"/>
  <c r="L70" i="25" s="1"/>
  <c r="BV70" i="25"/>
  <c r="I70" i="25" s="1"/>
  <c r="CT70" i="25"/>
  <c r="Q70" i="25" s="1"/>
  <c r="BM70" i="25"/>
  <c r="F70" i="25" s="1"/>
  <c r="BP70" i="25"/>
  <c r="G70" i="25" s="1"/>
  <c r="CB70" i="25"/>
  <c r="K70" i="25" s="1"/>
  <c r="DC70" i="25"/>
  <c r="T70" i="25" s="1"/>
  <c r="CN70" i="25"/>
  <c r="O70" i="25" s="1"/>
  <c r="CQ70" i="25"/>
  <c r="P70" i="25" s="1"/>
  <c r="BS70" i="25"/>
  <c r="H70" i="25" s="1"/>
  <c r="CH70" i="25"/>
  <c r="M70" i="25" s="1"/>
  <c r="CW70" i="25"/>
  <c r="R70" i="25" s="1"/>
  <c r="AJ78" i="25"/>
  <c r="AK64" i="25"/>
  <c r="CH64" i="25"/>
  <c r="M64" i="25" s="1"/>
  <c r="CW64" i="25"/>
  <c r="R64" i="25" s="1"/>
  <c r="BS64" i="25"/>
  <c r="H64" i="25" s="1"/>
  <c r="BJ64" i="25"/>
  <c r="E64" i="25" s="1"/>
  <c r="CK64" i="25"/>
  <c r="N64" i="25" s="1"/>
  <c r="BY64" i="25"/>
  <c r="J64" i="25" s="1"/>
  <c r="CZ64" i="25"/>
  <c r="S64" i="25" s="1"/>
  <c r="CE64" i="25"/>
  <c r="L64" i="25" s="1"/>
  <c r="BV64" i="25"/>
  <c r="I64" i="25" s="1"/>
  <c r="CT64" i="25"/>
  <c r="Q64" i="25" s="1"/>
  <c r="BM64" i="25"/>
  <c r="F64" i="25" s="1"/>
  <c r="BP64" i="25"/>
  <c r="G64" i="25" s="1"/>
  <c r="CB64" i="25"/>
  <c r="K64" i="25" s="1"/>
  <c r="DC64" i="25"/>
  <c r="T64" i="25" s="1"/>
  <c r="CN64" i="25"/>
  <c r="O64" i="25" s="1"/>
  <c r="CQ64" i="25"/>
  <c r="P64" i="25" s="1"/>
  <c r="AJ58" i="25"/>
  <c r="AK47" i="25"/>
  <c r="CZ47" i="25"/>
  <c r="S47" i="25" s="1"/>
  <c r="BP47" i="25"/>
  <c r="G47" i="25" s="1"/>
  <c r="CB47" i="25"/>
  <c r="K47" i="25" s="1"/>
  <c r="CN47" i="25"/>
  <c r="O47" i="25" s="1"/>
  <c r="CH47" i="25"/>
  <c r="M47" i="25" s="1"/>
  <c r="DC47" i="25"/>
  <c r="T47" i="25" s="1"/>
  <c r="BJ47" i="25"/>
  <c r="E47" i="25" s="1"/>
  <c r="BV47" i="25"/>
  <c r="I47" i="25" s="1"/>
  <c r="CT47" i="25"/>
  <c r="Q47" i="25" s="1"/>
  <c r="CQ47" i="25"/>
  <c r="P47" i="25" s="1"/>
  <c r="CK47" i="25"/>
  <c r="N47" i="25" s="1"/>
  <c r="BY47" i="25"/>
  <c r="J47" i="25" s="1"/>
  <c r="CW47" i="25"/>
  <c r="R47" i="25" s="1"/>
  <c r="CE47" i="25"/>
  <c r="L47" i="25" s="1"/>
  <c r="BM47" i="25"/>
  <c r="F47" i="25" s="1"/>
  <c r="BS47" i="25"/>
  <c r="H47" i="25" s="1"/>
  <c r="AK39" i="25"/>
  <c r="CH39" i="25"/>
  <c r="M39" i="25" s="1"/>
  <c r="CZ39" i="25"/>
  <c r="S39" i="25" s="1"/>
  <c r="CQ39" i="25"/>
  <c r="P39" i="25" s="1"/>
  <c r="BJ39" i="25"/>
  <c r="E39" i="25" s="1"/>
  <c r="BV39" i="25"/>
  <c r="I39" i="25" s="1"/>
  <c r="CT39" i="25"/>
  <c r="Q39" i="25" s="1"/>
  <c r="BP39" i="25"/>
  <c r="G39" i="25" s="1"/>
  <c r="BS39" i="25"/>
  <c r="H39" i="25" s="1"/>
  <c r="CB39" i="25"/>
  <c r="K39" i="25" s="1"/>
  <c r="CN39" i="25"/>
  <c r="O39" i="25" s="1"/>
  <c r="BY39" i="25"/>
  <c r="J39" i="25" s="1"/>
  <c r="CE39" i="25"/>
  <c r="L39" i="25" s="1"/>
  <c r="CK39" i="25"/>
  <c r="N39" i="25" s="1"/>
  <c r="CW39" i="25"/>
  <c r="R39" i="25" s="1"/>
  <c r="BM39" i="25"/>
  <c r="F39" i="25" s="1"/>
  <c r="DC39" i="25"/>
  <c r="T39" i="25" s="1"/>
  <c r="AK43" i="25"/>
  <c r="CB43" i="25"/>
  <c r="K43" i="25" s="1"/>
  <c r="CN43" i="25"/>
  <c r="O43" i="25" s="1"/>
  <c r="BY43" i="25"/>
  <c r="J43" i="25" s="1"/>
  <c r="CE43" i="25"/>
  <c r="L43" i="25" s="1"/>
  <c r="CK43" i="25"/>
  <c r="N43" i="25" s="1"/>
  <c r="CW43" i="25"/>
  <c r="R43" i="25" s="1"/>
  <c r="BM43" i="25"/>
  <c r="F43" i="25" s="1"/>
  <c r="DC43" i="25"/>
  <c r="T43" i="25" s="1"/>
  <c r="CH43" i="25"/>
  <c r="M43" i="25" s="1"/>
  <c r="CZ43" i="25"/>
  <c r="S43" i="25" s="1"/>
  <c r="CQ43" i="25"/>
  <c r="P43" i="25" s="1"/>
  <c r="BS43" i="25"/>
  <c r="H43" i="25" s="1"/>
  <c r="BJ43" i="25"/>
  <c r="E43" i="25" s="1"/>
  <c r="BV43" i="25"/>
  <c r="I43" i="25" s="1"/>
  <c r="CT43" i="25"/>
  <c r="Q43" i="25" s="1"/>
  <c r="BP43" i="25"/>
  <c r="G43" i="25" s="1"/>
  <c r="AJ38" i="25"/>
  <c r="AJ37" i="25"/>
  <c r="AJ34" i="25"/>
  <c r="AJ22" i="25"/>
  <c r="AJ24" i="25"/>
  <c r="AK20" i="25"/>
  <c r="CK20" i="25"/>
  <c r="N20" i="25" s="1"/>
  <c r="BV20" i="25"/>
  <c r="I20" i="25" s="1"/>
  <c r="CQ20" i="25"/>
  <c r="P20" i="25" s="1"/>
  <c r="BS20" i="25"/>
  <c r="H20" i="25" s="1"/>
  <c r="CH20" i="25"/>
  <c r="M20" i="25" s="1"/>
  <c r="CZ20" i="25"/>
  <c r="S20" i="25" s="1"/>
  <c r="CE20" i="25"/>
  <c r="L20" i="25" s="1"/>
  <c r="BP20" i="25"/>
  <c r="G20" i="25" s="1"/>
  <c r="CB20" i="25"/>
  <c r="K20" i="25" s="1"/>
  <c r="CN20" i="25"/>
  <c r="O20" i="25" s="1"/>
  <c r="BJ20" i="25"/>
  <c r="E20" i="25" s="1"/>
  <c r="BY20" i="25"/>
  <c r="J20" i="25" s="1"/>
  <c r="CW20" i="25"/>
  <c r="R20" i="25" s="1"/>
  <c r="CT20" i="25"/>
  <c r="Q20" i="25" s="1"/>
  <c r="BM20" i="25"/>
  <c r="F20" i="25" s="1"/>
  <c r="DC20" i="25"/>
  <c r="T20" i="25" s="1"/>
  <c r="AK17" i="25"/>
  <c r="CB17" i="25"/>
  <c r="K17" i="25" s="1"/>
  <c r="CT17" i="25"/>
  <c r="Q17" i="25" s="1"/>
  <c r="BP17" i="25"/>
  <c r="G17" i="25" s="1"/>
  <c r="BS17" i="25"/>
  <c r="H17" i="25" s="1"/>
  <c r="CN17" i="25"/>
  <c r="O17" i="25" s="1"/>
  <c r="BY17" i="25"/>
  <c r="J17" i="25" s="1"/>
  <c r="CW17" i="25"/>
  <c r="R17" i="25" s="1"/>
  <c r="CZ17" i="25"/>
  <c r="S17" i="25" s="1"/>
  <c r="CE17" i="25"/>
  <c r="L17" i="25" s="1"/>
  <c r="BM17" i="25"/>
  <c r="F17" i="25" s="1"/>
  <c r="CQ17" i="25"/>
  <c r="P17" i="25" s="1"/>
  <c r="BJ17" i="25"/>
  <c r="E17" i="25" s="1"/>
  <c r="CK17" i="25"/>
  <c r="N17" i="25" s="1"/>
  <c r="CH17" i="25"/>
  <c r="M17" i="25" s="1"/>
  <c r="BV17" i="25"/>
  <c r="I17" i="25" s="1"/>
  <c r="DC17" i="25"/>
  <c r="T17" i="25" s="1"/>
  <c r="AK14" i="25"/>
  <c r="BJ14" i="25"/>
  <c r="E14" i="25" s="1"/>
  <c r="CZ14" i="25"/>
  <c r="S14" i="25" s="1"/>
  <c r="BV14" i="25"/>
  <c r="I14" i="25" s="1"/>
  <c r="CT14" i="25"/>
  <c r="Q14" i="25" s="1"/>
  <c r="BS14" i="25"/>
  <c r="H14" i="25" s="1"/>
  <c r="CN14" i="25"/>
  <c r="O14" i="25" s="1"/>
  <c r="CE14" i="25"/>
  <c r="L14" i="25" s="1"/>
  <c r="BP14" i="25"/>
  <c r="G14" i="25" s="1"/>
  <c r="BY14" i="25"/>
  <c r="J14" i="25" s="1"/>
  <c r="CW14" i="25"/>
  <c r="R14" i="25" s="1"/>
  <c r="DC14" i="25"/>
  <c r="T14" i="25" s="1"/>
  <c r="CB14" i="25"/>
  <c r="K14" i="25" s="1"/>
  <c r="CK14" i="25"/>
  <c r="N14" i="25" s="1"/>
  <c r="CH14" i="25"/>
  <c r="M14" i="25" s="1"/>
  <c r="BM14" i="25"/>
  <c r="F14" i="25" s="1"/>
  <c r="CQ14" i="25"/>
  <c r="P14" i="25" s="1"/>
  <c r="AO7" i="25"/>
  <c r="Z13" i="25"/>
  <c r="AE13" i="25"/>
  <c r="Z12" i="25"/>
  <c r="Z14" i="25"/>
  <c r="Z16" i="25"/>
  <c r="Z19" i="25"/>
  <c r="Z15" i="25"/>
  <c r="Z17" i="25"/>
  <c r="Z22" i="25"/>
  <c r="AF23" i="25"/>
  <c r="Z24" i="25"/>
  <c r="Z20" i="25"/>
  <c r="AG23" i="25"/>
  <c r="AE24" i="25"/>
  <c r="AE26" i="25"/>
  <c r="Z21" i="25"/>
  <c r="Z23" i="25"/>
  <c r="Z25" i="25"/>
  <c r="AF26" i="25"/>
  <c r="Z27" i="25"/>
  <c r="Z18" i="25"/>
  <c r="Z28" i="25"/>
  <c r="Z26" i="25"/>
  <c r="AE28" i="25"/>
  <c r="AE30" i="25"/>
  <c r="AE25" i="25"/>
  <c r="AF28" i="25"/>
  <c r="Z29" i="25"/>
  <c r="Z31" i="25"/>
  <c r="AE23" i="25"/>
  <c r="Z30" i="25"/>
  <c r="Z32" i="25"/>
  <c r="AF33" i="25"/>
  <c r="Z34" i="25"/>
  <c r="AE29" i="25"/>
  <c r="AG33" i="25"/>
  <c r="AE34" i="25"/>
  <c r="AE36" i="25"/>
  <c r="AE38" i="25"/>
  <c r="AE32" i="25"/>
  <c r="Z33" i="25"/>
  <c r="AF34" i="25"/>
  <c r="Z35" i="25"/>
  <c r="AF36" i="25"/>
  <c r="Z37" i="25"/>
  <c r="AF38" i="25"/>
  <c r="AE33" i="25"/>
  <c r="AG34" i="25"/>
  <c r="AE35" i="25"/>
  <c r="AE37" i="25"/>
  <c r="AG38" i="25"/>
  <c r="AE39" i="25"/>
  <c r="AE43" i="25"/>
  <c r="AF39" i="25"/>
  <c r="Z40" i="25"/>
  <c r="Z42" i="25"/>
  <c r="AF43" i="25"/>
  <c r="Z44" i="25"/>
  <c r="Z46" i="25"/>
  <c r="Z38" i="25"/>
  <c r="AG39" i="25"/>
  <c r="AE40" i="25"/>
  <c r="AE44" i="25"/>
  <c r="Z36" i="25"/>
  <c r="AF37" i="25"/>
  <c r="Z39" i="25"/>
  <c r="AF40" i="25"/>
  <c r="Z41" i="25"/>
  <c r="Z43" i="25"/>
  <c r="Z45" i="25"/>
  <c r="Z47" i="25"/>
  <c r="AE53" i="25"/>
  <c r="AG58" i="25"/>
  <c r="AE59" i="25"/>
  <c r="AE61" i="25"/>
  <c r="Z50" i="25"/>
  <c r="Z52" i="25"/>
  <c r="Z54" i="25"/>
  <c r="Z56" i="25"/>
  <c r="Z58" i="25"/>
  <c r="Z60" i="25"/>
  <c r="AE56" i="25"/>
  <c r="AE58" i="25"/>
  <c r="AG61" i="25"/>
  <c r="AE62" i="25"/>
  <c r="AE47" i="25"/>
  <c r="Z48" i="25"/>
  <c r="AE48" i="25"/>
  <c r="Z49" i="25"/>
  <c r="Z51" i="25"/>
  <c r="Z53" i="25"/>
  <c r="Z55" i="25"/>
  <c r="Z57" i="25"/>
  <c r="AF58" i="25"/>
  <c r="Z59" i="25"/>
  <c r="Z61" i="25"/>
  <c r="AF62" i="25"/>
  <c r="Z63" i="25"/>
  <c r="AE64" i="25"/>
  <c r="AE68" i="25"/>
  <c r="AG69" i="25"/>
  <c r="AE70" i="25"/>
  <c r="AE72" i="25"/>
  <c r="AE74" i="25"/>
  <c r="AF61" i="25"/>
  <c r="Z65" i="25"/>
  <c r="Z67" i="25"/>
  <c r="AF68" i="25"/>
  <c r="Z69" i="25"/>
  <c r="AF70" i="25"/>
  <c r="Z71" i="25"/>
  <c r="AF72" i="25"/>
  <c r="Z73" i="25"/>
  <c r="Z75" i="25"/>
  <c r="AE65" i="25"/>
  <c r="AE67" i="25"/>
  <c r="AE69" i="25"/>
  <c r="AG70" i="25"/>
  <c r="AE71" i="25"/>
  <c r="AE73" i="25"/>
  <c r="Z62" i="25"/>
  <c r="Z64" i="25"/>
  <c r="Z66" i="25"/>
  <c r="Z68" i="25"/>
  <c r="AF69" i="25"/>
  <c r="Z70" i="25"/>
  <c r="Z72" i="25"/>
  <c r="AF73" i="25"/>
  <c r="Z74" i="25"/>
  <c r="Z76" i="25"/>
  <c r="Z78" i="25"/>
  <c r="AE80" i="25"/>
  <c r="AG81" i="25"/>
  <c r="AE82" i="25"/>
  <c r="AE86" i="25"/>
  <c r="AE88" i="25"/>
  <c r="AE90" i="25"/>
  <c r="Z79" i="25"/>
  <c r="AF80" i="25"/>
  <c r="Z81" i="25"/>
  <c r="AF82" i="25"/>
  <c r="Z83" i="25"/>
  <c r="Z85" i="25"/>
  <c r="AF86" i="25"/>
  <c r="Z87" i="25"/>
  <c r="AF88" i="25"/>
  <c r="Z89" i="25"/>
  <c r="Z77" i="25"/>
  <c r="AG80" i="25"/>
  <c r="AE81" i="25"/>
  <c r="AG82" i="25"/>
  <c r="AE83" i="25"/>
  <c r="AE85" i="25"/>
  <c r="AE87" i="25"/>
  <c r="AE89" i="25"/>
  <c r="AE91" i="25"/>
  <c r="Z80" i="25"/>
  <c r="AF81" i="25"/>
  <c r="Z82" i="25"/>
  <c r="AF83" i="25"/>
  <c r="Z84" i="25"/>
  <c r="AF85" i="25"/>
  <c r="Z86" i="25"/>
  <c r="AF87" i="25"/>
  <c r="Z88" i="25"/>
  <c r="Z90" i="25"/>
  <c r="Z92" i="25"/>
  <c r="Z94" i="25"/>
  <c r="Z96" i="25"/>
  <c r="Z98" i="25"/>
  <c r="Z100" i="25"/>
  <c r="AF101" i="25"/>
  <c r="Z102" i="25"/>
  <c r="Z104" i="25"/>
  <c r="Z106" i="25"/>
  <c r="Z91" i="25"/>
  <c r="AE92" i="25"/>
  <c r="AE98" i="25"/>
  <c r="AE100" i="25"/>
  <c r="AG101" i="25"/>
  <c r="AE102" i="25"/>
  <c r="AF92" i="25"/>
  <c r="Z93" i="25"/>
  <c r="Z95" i="25"/>
  <c r="Z97" i="25"/>
  <c r="Z99" i="25"/>
  <c r="AF100" i="25"/>
  <c r="Z101" i="25"/>
  <c r="Z103" i="25"/>
  <c r="Z105" i="25"/>
  <c r="AE97" i="25"/>
  <c r="AE99" i="25"/>
  <c r="AE101" i="25"/>
  <c r="Z108" i="25"/>
  <c r="Z110" i="25"/>
  <c r="Z112" i="25"/>
  <c r="Z114" i="25"/>
  <c r="Z116" i="25"/>
  <c r="Z118" i="25"/>
  <c r="Z120" i="25"/>
  <c r="AF121" i="25"/>
  <c r="Z122" i="25"/>
  <c r="AF123" i="25"/>
  <c r="Z124" i="25"/>
  <c r="AF125" i="25"/>
  <c r="Z126" i="25"/>
  <c r="AF127" i="25"/>
  <c r="Z128" i="25"/>
  <c r="AF129" i="25"/>
  <c r="Z130" i="25"/>
  <c r="AF131" i="25"/>
  <c r="Z132" i="25"/>
  <c r="Z134" i="25"/>
  <c r="AF135" i="25"/>
  <c r="Z136" i="25"/>
  <c r="AF137" i="25"/>
  <c r="Z138" i="25"/>
  <c r="AF139" i="25"/>
  <c r="AE110" i="25"/>
  <c r="AE112" i="25"/>
  <c r="AE114" i="25"/>
  <c r="AE116" i="25"/>
  <c r="AE118" i="25"/>
  <c r="AE122" i="25"/>
  <c r="AG123" i="25"/>
  <c r="AE124" i="25"/>
  <c r="AG127" i="25"/>
  <c r="AE128" i="25"/>
  <c r="AG129" i="25"/>
  <c r="AE130" i="25"/>
  <c r="AG135" i="25"/>
  <c r="AE136" i="25"/>
  <c r="AG137" i="25"/>
  <c r="AE138" i="25"/>
  <c r="Z107" i="25"/>
  <c r="Z109" i="25"/>
  <c r="AF110" i="25"/>
  <c r="Z111" i="25"/>
  <c r="Z113" i="25"/>
  <c r="Z115" i="25"/>
  <c r="Z117" i="25"/>
  <c r="Z119" i="25"/>
  <c r="Z121" i="25"/>
  <c r="AF122" i="25"/>
  <c r="Z123" i="25"/>
  <c r="Z125" i="25"/>
  <c r="Z127" i="25"/>
  <c r="AF128" i="25"/>
  <c r="Z129" i="25"/>
  <c r="AF130" i="25"/>
  <c r="Z131" i="25"/>
  <c r="Z133" i="25"/>
  <c r="Z135" i="25"/>
  <c r="AF136" i="25"/>
  <c r="Z137" i="25"/>
  <c r="AF138" i="25"/>
  <c r="Z139" i="25"/>
  <c r="AE109" i="25"/>
  <c r="AG110" i="25"/>
  <c r="AE113" i="25"/>
  <c r="AE115" i="25"/>
  <c r="AE117" i="25"/>
  <c r="AE119" i="25"/>
  <c r="AE121" i="25"/>
  <c r="AG122" i="25"/>
  <c r="AE123" i="25"/>
  <c r="AE125" i="25"/>
  <c r="AE127" i="25"/>
  <c r="AG128" i="25"/>
  <c r="AE129" i="25"/>
  <c r="AE131" i="25"/>
  <c r="AE135" i="25"/>
  <c r="AE137" i="25"/>
  <c r="AE139" i="25"/>
  <c r="AE140" i="25"/>
  <c r="AE148" i="25"/>
  <c r="AE152" i="25"/>
  <c r="AE156" i="25"/>
  <c r="AE158" i="25"/>
  <c r="AG161" i="25"/>
  <c r="AE162" i="25"/>
  <c r="AG163" i="25"/>
  <c r="AE164" i="25"/>
  <c r="AG165" i="25"/>
  <c r="AE166" i="25"/>
  <c r="AG167" i="25"/>
  <c r="AF140" i="25"/>
  <c r="Z141" i="25"/>
  <c r="Z143" i="25"/>
  <c r="Z145" i="25"/>
  <c r="Z147" i="25"/>
  <c r="AF148" i="25"/>
  <c r="Z149" i="25"/>
  <c r="Z151" i="25"/>
  <c r="Z153" i="25"/>
  <c r="Z155" i="25"/>
  <c r="AF156" i="25"/>
  <c r="Z157" i="25"/>
  <c r="AF158" i="25"/>
  <c r="Z159" i="25"/>
  <c r="Z161" i="25"/>
  <c r="AF162" i="25"/>
  <c r="Z163" i="25"/>
  <c r="AF164" i="25"/>
  <c r="Z165" i="25"/>
  <c r="AF166" i="25"/>
  <c r="Z167" i="25"/>
  <c r="AE143" i="25"/>
  <c r="AE145" i="25"/>
  <c r="AG148" i="25"/>
  <c r="AE149" i="25"/>
  <c r="AE157" i="25"/>
  <c r="AG158" i="25"/>
  <c r="AE161" i="25"/>
  <c r="AG162" i="25"/>
  <c r="AE163" i="25"/>
  <c r="AG164" i="25"/>
  <c r="AE165" i="25"/>
  <c r="AG166" i="25"/>
  <c r="AE167" i="25"/>
  <c r="Z140" i="25"/>
  <c r="Z142" i="25"/>
  <c r="Z144" i="25"/>
  <c r="Z146" i="25"/>
  <c r="Z148" i="25"/>
  <c r="Z150" i="25"/>
  <c r="Z152" i="25"/>
  <c r="Z154" i="25"/>
  <c r="Z156" i="25"/>
  <c r="Z158" i="25"/>
  <c r="Z160" i="25"/>
  <c r="AF161" i="25"/>
  <c r="Z162" i="25"/>
  <c r="AF163" i="25"/>
  <c r="Z164" i="25"/>
  <c r="AF165" i="25"/>
  <c r="Z166" i="25"/>
  <c r="AF167" i="25"/>
  <c r="AG168" i="25"/>
  <c r="AE169" i="25"/>
  <c r="AE173" i="25"/>
  <c r="AG176" i="25"/>
  <c r="AE177" i="25"/>
  <c r="AE179" i="25"/>
  <c r="AE181" i="25"/>
  <c r="AE183" i="25"/>
  <c r="AE189" i="25"/>
  <c r="AE195" i="25"/>
  <c r="Z168" i="25"/>
  <c r="AF169" i="25"/>
  <c r="Z170" i="25"/>
  <c r="Z172" i="25"/>
  <c r="AF173" i="25"/>
  <c r="Z174" i="25"/>
  <c r="Z176" i="25"/>
  <c r="AF177" i="25"/>
  <c r="Z178" i="25"/>
  <c r="Z180" i="25"/>
  <c r="Z182" i="25"/>
  <c r="Z184" i="25"/>
  <c r="Z186" i="25"/>
  <c r="Z188" i="25"/>
  <c r="AF189" i="25"/>
  <c r="Z190" i="25"/>
  <c r="Z192" i="25"/>
  <c r="Z194" i="25"/>
  <c r="AF195" i="25"/>
  <c r="AE168" i="25"/>
  <c r="AE170" i="25"/>
  <c r="AE172" i="25"/>
  <c r="AE176" i="25"/>
  <c r="AE178" i="25"/>
  <c r="AE180" i="25"/>
  <c r="AE182" i="25"/>
  <c r="AE184" i="25"/>
  <c r="AE188" i="25"/>
  <c r="AE192" i="25"/>
  <c r="AE194" i="25"/>
  <c r="AE196" i="25"/>
  <c r="AF168" i="25"/>
  <c r="Z169" i="25"/>
  <c r="AF170" i="25"/>
  <c r="Z171" i="25"/>
  <c r="AF172" i="25"/>
  <c r="Z173" i="25"/>
  <c r="Z175" i="25"/>
  <c r="AF176" i="25"/>
  <c r="Z177" i="25"/>
  <c r="Z179" i="25"/>
  <c r="Z181" i="25"/>
  <c r="Z183" i="25"/>
  <c r="Z185" i="25"/>
  <c r="Z187" i="25"/>
  <c r="Z189" i="25"/>
  <c r="Z191" i="25"/>
  <c r="Z193" i="25"/>
  <c r="AF194" i="25"/>
  <c r="Z195" i="25"/>
  <c r="Z197" i="25"/>
  <c r="Z199" i="25"/>
  <c r="Z201" i="25"/>
  <c r="Z203" i="25"/>
  <c r="AF204" i="25"/>
  <c r="Z205" i="25"/>
  <c r="AF206" i="25"/>
  <c r="Z207" i="25"/>
  <c r="AF208" i="25"/>
  <c r="Z209" i="25"/>
  <c r="Z211" i="25"/>
  <c r="Z213" i="25"/>
  <c r="Z215" i="25"/>
  <c r="Z217" i="25"/>
  <c r="AF218" i="25"/>
  <c r="Z219" i="25"/>
  <c r="Z221" i="25"/>
  <c r="AF222" i="25"/>
  <c r="Z223" i="25"/>
  <c r="Z225" i="25"/>
  <c r="Z227" i="25"/>
  <c r="AF228" i="25"/>
  <c r="Z229" i="25"/>
  <c r="AF230" i="25"/>
  <c r="Z231" i="25"/>
  <c r="AF232" i="25"/>
  <c r="Z233" i="25"/>
  <c r="AF234" i="25"/>
  <c r="Z235" i="25"/>
  <c r="AF236" i="25"/>
  <c r="Z237" i="25"/>
  <c r="Z239" i="25"/>
  <c r="Z241" i="25"/>
  <c r="Z243" i="25"/>
  <c r="AF244" i="25"/>
  <c r="Z245" i="25"/>
  <c r="Z247" i="25"/>
  <c r="Z249" i="25"/>
  <c r="Z251" i="25"/>
  <c r="AF252" i="25"/>
  <c r="Z253" i="25"/>
  <c r="Z255" i="25"/>
  <c r="Z257" i="25"/>
  <c r="Z259" i="25"/>
  <c r="Z261" i="25"/>
  <c r="Z196" i="25"/>
  <c r="AE201" i="25"/>
  <c r="AE203" i="25"/>
  <c r="AE205" i="25"/>
  <c r="AG206" i="25"/>
  <c r="AE207" i="25"/>
  <c r="AG208" i="25"/>
  <c r="AE209" i="25"/>
  <c r="AE219" i="25"/>
  <c r="AE221" i="25"/>
  <c r="AE227" i="25"/>
  <c r="AE231" i="25"/>
  <c r="AG232" i="25"/>
  <c r="AE233" i="25"/>
  <c r="AG234" i="25"/>
  <c r="AE235" i="25"/>
  <c r="AE237" i="25"/>
  <c r="AE239" i="25"/>
  <c r="AE241" i="25"/>
  <c r="AE243" i="25"/>
  <c r="AE249" i="25"/>
  <c r="AE253" i="25"/>
  <c r="Z198" i="25"/>
  <c r="Z200" i="25"/>
  <c r="Z202" i="25"/>
  <c r="AF203" i="25"/>
  <c r="Z204" i="25"/>
  <c r="AF205" i="25"/>
  <c r="Z206" i="25"/>
  <c r="AF207" i="25"/>
  <c r="Z208" i="25"/>
  <c r="AF209" i="25"/>
  <c r="Z210" i="25"/>
  <c r="Z212" i="25"/>
  <c r="Z214" i="25"/>
  <c r="Z216" i="25"/>
  <c r="Z218" i="25"/>
  <c r="AF219" i="25"/>
  <c r="Z220" i="25"/>
  <c r="Z222" i="25"/>
  <c r="Z224" i="25"/>
  <c r="Z226" i="25"/>
  <c r="AF227" i="25"/>
  <c r="Z228" i="25"/>
  <c r="Z230" i="25"/>
  <c r="AF231" i="25"/>
  <c r="Z232" i="25"/>
  <c r="Z234" i="25"/>
  <c r="Z236" i="25"/>
  <c r="Z238" i="25"/>
  <c r="AF239" i="25"/>
  <c r="Z240" i="25"/>
  <c r="Z242" i="25"/>
  <c r="Z244" i="25"/>
  <c r="Z246" i="25"/>
  <c r="Z248" i="25"/>
  <c r="Z250" i="25"/>
  <c r="Z252" i="25"/>
  <c r="Z254" i="25"/>
  <c r="Z256" i="25"/>
  <c r="Z258" i="25"/>
  <c r="Z260" i="25"/>
  <c r="Z262" i="25"/>
  <c r="AG209" i="25"/>
  <c r="AE230" i="25"/>
  <c r="AG207" i="25"/>
  <c r="AG231" i="25"/>
  <c r="AE244" i="25"/>
  <c r="AE206" i="25"/>
  <c r="AE210" i="25"/>
  <c r="AE228" i="25"/>
  <c r="AE234" i="25"/>
  <c r="AE236" i="25"/>
  <c r="AE242" i="25"/>
  <c r="AE252" i="25"/>
  <c r="AE238" i="25"/>
  <c r="AG205" i="25"/>
  <c r="AE208" i="25"/>
  <c r="AE212" i="25"/>
  <c r="AE218" i="25"/>
  <c r="AE222" i="25"/>
  <c r="AE224" i="25"/>
  <c r="AE232" i="25"/>
  <c r="AE204" i="25"/>
  <c r="AK203" i="25"/>
  <c r="BJ203" i="25"/>
  <c r="E203" i="25" s="1"/>
  <c r="BV203" i="25"/>
  <c r="I203" i="25" s="1"/>
  <c r="CT203" i="25"/>
  <c r="Q203" i="25" s="1"/>
  <c r="CQ203" i="25"/>
  <c r="P203" i="25" s="1"/>
  <c r="BY203" i="25"/>
  <c r="J203" i="25" s="1"/>
  <c r="CH203" i="25"/>
  <c r="M203" i="25" s="1"/>
  <c r="CW203" i="25"/>
  <c r="R203" i="25" s="1"/>
  <c r="CZ203" i="25"/>
  <c r="S203" i="25" s="1"/>
  <c r="BS203" i="25"/>
  <c r="H203" i="25" s="1"/>
  <c r="CK203" i="25"/>
  <c r="N203" i="25" s="1"/>
  <c r="CE203" i="25"/>
  <c r="L203" i="25" s="1"/>
  <c r="BM203" i="25"/>
  <c r="F203" i="25" s="1"/>
  <c r="BP203" i="25"/>
  <c r="G203" i="25" s="1"/>
  <c r="CB203" i="25"/>
  <c r="K203" i="25" s="1"/>
  <c r="CN203" i="25"/>
  <c r="O203" i="25" s="1"/>
  <c r="DC203" i="25"/>
  <c r="T203" i="25" s="1"/>
  <c r="AK217" i="25"/>
  <c r="BY217" i="25"/>
  <c r="J217" i="25" s="1"/>
  <c r="CH217" i="25"/>
  <c r="M217" i="25" s="1"/>
  <c r="CW217" i="25"/>
  <c r="R217" i="25" s="1"/>
  <c r="CZ217" i="25"/>
  <c r="S217" i="25" s="1"/>
  <c r="BV217" i="25"/>
  <c r="I217" i="25" s="1"/>
  <c r="CK217" i="25"/>
  <c r="N217" i="25" s="1"/>
  <c r="CE217" i="25"/>
  <c r="L217" i="25" s="1"/>
  <c r="CT217" i="25"/>
  <c r="Q217" i="25" s="1"/>
  <c r="BM217" i="25"/>
  <c r="F217" i="25" s="1"/>
  <c r="BP217" i="25"/>
  <c r="G217" i="25" s="1"/>
  <c r="CB217" i="25"/>
  <c r="K217" i="25" s="1"/>
  <c r="CN217" i="25"/>
  <c r="O217" i="25" s="1"/>
  <c r="DC217" i="25"/>
  <c r="T217" i="25" s="1"/>
  <c r="BJ217" i="25"/>
  <c r="E217" i="25" s="1"/>
  <c r="CQ217" i="25"/>
  <c r="P217" i="25" s="1"/>
  <c r="BS217" i="25"/>
  <c r="H217" i="25" s="1"/>
  <c r="AK257" i="25"/>
  <c r="BJ257" i="25"/>
  <c r="E257" i="25" s="1"/>
  <c r="BY257" i="25"/>
  <c r="J257" i="25" s="1"/>
  <c r="CW257" i="25"/>
  <c r="R257" i="25" s="1"/>
  <c r="CZ257" i="25"/>
  <c r="S257" i="25" s="1"/>
  <c r="BS257" i="25"/>
  <c r="H257" i="25" s="1"/>
  <c r="CK257" i="25"/>
  <c r="N257" i="25" s="1"/>
  <c r="CH257" i="25"/>
  <c r="M257" i="25" s="1"/>
  <c r="CE257" i="25"/>
  <c r="L257" i="25" s="1"/>
  <c r="BV257" i="25"/>
  <c r="I257" i="25" s="1"/>
  <c r="CT257" i="25"/>
  <c r="Q257" i="25" s="1"/>
  <c r="BM257" i="25"/>
  <c r="F257" i="25" s="1"/>
  <c r="BP257" i="25"/>
  <c r="G257" i="25" s="1"/>
  <c r="CB257" i="25"/>
  <c r="K257" i="25" s="1"/>
  <c r="CN257" i="25"/>
  <c r="O257" i="25" s="1"/>
  <c r="DC257" i="25"/>
  <c r="T257" i="25" s="1"/>
  <c r="CQ257" i="25"/>
  <c r="P257" i="25" s="1"/>
  <c r="AK219" i="25"/>
  <c r="BJ219" i="25"/>
  <c r="E219" i="25" s="1"/>
  <c r="CT219" i="25"/>
  <c r="Q219" i="25" s="1"/>
  <c r="CQ219" i="25"/>
  <c r="P219" i="25" s="1"/>
  <c r="BY219" i="25"/>
  <c r="J219" i="25" s="1"/>
  <c r="CH219" i="25"/>
  <c r="M219" i="25" s="1"/>
  <c r="CW219" i="25"/>
  <c r="R219" i="25" s="1"/>
  <c r="CZ219" i="25"/>
  <c r="S219" i="25" s="1"/>
  <c r="BV219" i="25"/>
  <c r="I219" i="25" s="1"/>
  <c r="CK219" i="25"/>
  <c r="N219" i="25" s="1"/>
  <c r="CE219" i="25"/>
  <c r="L219" i="25" s="1"/>
  <c r="BM219" i="25"/>
  <c r="F219" i="25" s="1"/>
  <c r="BP219" i="25"/>
  <c r="G219" i="25" s="1"/>
  <c r="CB219" i="25"/>
  <c r="K219" i="25" s="1"/>
  <c r="CN219" i="25"/>
  <c r="O219" i="25" s="1"/>
  <c r="DC219" i="25"/>
  <c r="T219" i="25" s="1"/>
  <c r="BS219" i="25"/>
  <c r="H219" i="25" s="1"/>
  <c r="AK243" i="25"/>
  <c r="CH243" i="25"/>
  <c r="M243" i="25" s="1"/>
  <c r="CQ243" i="25"/>
  <c r="P243" i="25" s="1"/>
  <c r="BS243" i="25"/>
  <c r="H243" i="25" s="1"/>
  <c r="BY243" i="25"/>
  <c r="J243" i="25" s="1"/>
  <c r="CW243" i="25"/>
  <c r="R243" i="25" s="1"/>
  <c r="CZ243" i="25"/>
  <c r="S243" i="25" s="1"/>
  <c r="CK243" i="25"/>
  <c r="N243" i="25" s="1"/>
  <c r="CE243" i="25"/>
  <c r="L243" i="25" s="1"/>
  <c r="BM243" i="25"/>
  <c r="F243" i="25" s="1"/>
  <c r="BP243" i="25"/>
  <c r="G243" i="25" s="1"/>
  <c r="CB243" i="25"/>
  <c r="K243" i="25" s="1"/>
  <c r="CN243" i="25"/>
  <c r="O243" i="25" s="1"/>
  <c r="BJ243" i="25"/>
  <c r="E243" i="25" s="1"/>
  <c r="BV243" i="25"/>
  <c r="I243" i="25" s="1"/>
  <c r="CT243" i="25"/>
  <c r="Q243" i="25" s="1"/>
  <c r="DC243" i="25"/>
  <c r="T243" i="25" s="1"/>
  <c r="AK235" i="25"/>
  <c r="CQ235" i="25"/>
  <c r="P235" i="25" s="1"/>
  <c r="BY235" i="25"/>
  <c r="J235" i="25" s="1"/>
  <c r="CW235" i="25"/>
  <c r="R235" i="25" s="1"/>
  <c r="CZ235" i="25"/>
  <c r="S235" i="25" s="1"/>
  <c r="BV235" i="25"/>
  <c r="I235" i="25" s="1"/>
  <c r="CT235" i="25"/>
  <c r="Q235" i="25" s="1"/>
  <c r="BS235" i="25"/>
  <c r="H235" i="25" s="1"/>
  <c r="CK235" i="25"/>
  <c r="N235" i="25" s="1"/>
  <c r="CH235" i="25"/>
  <c r="M235" i="25" s="1"/>
  <c r="CE235" i="25"/>
  <c r="L235" i="25" s="1"/>
  <c r="BM235" i="25"/>
  <c r="F235" i="25" s="1"/>
  <c r="BP235" i="25"/>
  <c r="G235" i="25" s="1"/>
  <c r="CB235" i="25"/>
  <c r="K235" i="25" s="1"/>
  <c r="CN235" i="25"/>
  <c r="O235" i="25" s="1"/>
  <c r="BJ235" i="25"/>
  <c r="E235" i="25" s="1"/>
  <c r="DC235" i="25"/>
  <c r="T235" i="25" s="1"/>
  <c r="AK260" i="25"/>
  <c r="BP260" i="25"/>
  <c r="G260" i="25" s="1"/>
  <c r="BY260" i="25"/>
  <c r="J260" i="25" s="1"/>
  <c r="CW260" i="25"/>
  <c r="R260" i="25" s="1"/>
  <c r="CZ260" i="25"/>
  <c r="S260" i="25" s="1"/>
  <c r="CQ260" i="25"/>
  <c r="P260" i="25" s="1"/>
  <c r="DC260" i="25"/>
  <c r="T260" i="25" s="1"/>
  <c r="CB260" i="25"/>
  <c r="K260" i="25" s="1"/>
  <c r="CK260" i="25"/>
  <c r="N260" i="25" s="1"/>
  <c r="CH260" i="25"/>
  <c r="M260" i="25" s="1"/>
  <c r="BM260" i="25"/>
  <c r="F260" i="25" s="1"/>
  <c r="BS260" i="25"/>
  <c r="H260" i="25" s="1"/>
  <c r="CN260" i="25"/>
  <c r="O260" i="25" s="1"/>
  <c r="BJ260" i="25"/>
  <c r="E260" i="25" s="1"/>
  <c r="CE260" i="25"/>
  <c r="L260" i="25" s="1"/>
  <c r="BV260" i="25"/>
  <c r="I260" i="25" s="1"/>
  <c r="CT260" i="25"/>
  <c r="Q260" i="25" s="1"/>
  <c r="AK252" i="25"/>
  <c r="BP252" i="25"/>
  <c r="G252" i="25" s="1"/>
  <c r="CB252" i="25"/>
  <c r="K252" i="25" s="1"/>
  <c r="CN252" i="25"/>
  <c r="O252" i="25" s="1"/>
  <c r="BY252" i="25"/>
  <c r="J252" i="25" s="1"/>
  <c r="CW252" i="25"/>
  <c r="R252" i="25" s="1"/>
  <c r="CQ252" i="25"/>
  <c r="P252" i="25" s="1"/>
  <c r="DC252" i="25"/>
  <c r="T252" i="25" s="1"/>
  <c r="CK252" i="25"/>
  <c r="N252" i="25" s="1"/>
  <c r="CH252" i="25"/>
  <c r="M252" i="25" s="1"/>
  <c r="CZ252" i="25"/>
  <c r="S252" i="25" s="1"/>
  <c r="BM252" i="25"/>
  <c r="F252" i="25" s="1"/>
  <c r="BJ252" i="25"/>
  <c r="E252" i="25" s="1"/>
  <c r="CE252" i="25"/>
  <c r="L252" i="25" s="1"/>
  <c r="BV252" i="25"/>
  <c r="I252" i="25" s="1"/>
  <c r="CT252" i="25"/>
  <c r="Q252" i="25" s="1"/>
  <c r="BS252" i="25"/>
  <c r="H252" i="25" s="1"/>
  <c r="AK246" i="25"/>
  <c r="CB246" i="25"/>
  <c r="K246" i="25" s="1"/>
  <c r="BJ246" i="25"/>
  <c r="E246" i="25" s="1"/>
  <c r="CZ246" i="25"/>
  <c r="S246" i="25" s="1"/>
  <c r="CE246" i="25"/>
  <c r="L246" i="25" s="1"/>
  <c r="BV246" i="25"/>
  <c r="I246" i="25" s="1"/>
  <c r="CT246" i="25"/>
  <c r="Q246" i="25" s="1"/>
  <c r="BP246" i="25"/>
  <c r="G246" i="25" s="1"/>
  <c r="CN246" i="25"/>
  <c r="O246" i="25" s="1"/>
  <c r="BY246" i="25"/>
  <c r="J246" i="25" s="1"/>
  <c r="CW246" i="25"/>
  <c r="R246" i="25" s="1"/>
  <c r="CQ246" i="25"/>
  <c r="P246" i="25" s="1"/>
  <c r="DC246" i="25"/>
  <c r="T246" i="25" s="1"/>
  <c r="BS246" i="25"/>
  <c r="H246" i="25" s="1"/>
  <c r="CK246" i="25"/>
  <c r="N246" i="25" s="1"/>
  <c r="CH246" i="25"/>
  <c r="M246" i="25" s="1"/>
  <c r="BM246" i="25"/>
  <c r="F246" i="25" s="1"/>
  <c r="AK240" i="25"/>
  <c r="CK240" i="25"/>
  <c r="CH240" i="25"/>
  <c r="M240" i="25" s="1"/>
  <c r="BM240" i="25"/>
  <c r="BJ240" i="25"/>
  <c r="E240" i="25" s="1"/>
  <c r="CE240" i="25"/>
  <c r="BV240" i="25"/>
  <c r="CT240" i="25"/>
  <c r="Q240" i="25" s="1"/>
  <c r="CN240" i="25"/>
  <c r="CZ240" i="25"/>
  <c r="S240" i="25" s="1"/>
  <c r="BP240" i="25"/>
  <c r="CB240" i="25"/>
  <c r="BY240" i="25"/>
  <c r="CW240" i="25"/>
  <c r="R240" i="25" s="1"/>
  <c r="CQ240" i="25"/>
  <c r="P240" i="25" s="1"/>
  <c r="DC240" i="25"/>
  <c r="T240" i="25" s="1"/>
  <c r="BS240" i="25"/>
  <c r="AK230" i="25"/>
  <c r="CN230" i="25"/>
  <c r="O230" i="25" s="1"/>
  <c r="BJ230" i="25"/>
  <c r="E230" i="25" s="1"/>
  <c r="CE230" i="25"/>
  <c r="L230" i="25" s="1"/>
  <c r="BV230" i="25"/>
  <c r="I230" i="25" s="1"/>
  <c r="CT230" i="25"/>
  <c r="Q230" i="25" s="1"/>
  <c r="CZ230" i="25"/>
  <c r="S230" i="25" s="1"/>
  <c r="CB230" i="25"/>
  <c r="K230" i="25" s="1"/>
  <c r="BY230" i="25"/>
  <c r="J230" i="25" s="1"/>
  <c r="CW230" i="25"/>
  <c r="R230" i="25" s="1"/>
  <c r="CQ230" i="25"/>
  <c r="P230" i="25" s="1"/>
  <c r="DC230" i="25"/>
  <c r="T230" i="25" s="1"/>
  <c r="BS230" i="25"/>
  <c r="H230" i="25" s="1"/>
  <c r="CK230" i="25"/>
  <c r="N230" i="25" s="1"/>
  <c r="CH230" i="25"/>
  <c r="M230" i="25" s="1"/>
  <c r="BM230" i="25"/>
  <c r="F230" i="25" s="1"/>
  <c r="BP230" i="25"/>
  <c r="G230" i="25" s="1"/>
  <c r="AK226" i="25"/>
  <c r="CB226" i="25"/>
  <c r="K226" i="25" s="1"/>
  <c r="BY226" i="25"/>
  <c r="J226" i="25" s="1"/>
  <c r="CW226" i="25"/>
  <c r="R226" i="25" s="1"/>
  <c r="CZ226" i="25"/>
  <c r="S226" i="25" s="1"/>
  <c r="BP226" i="25"/>
  <c r="G226" i="25" s="1"/>
  <c r="CQ226" i="25"/>
  <c r="P226" i="25" s="1"/>
  <c r="DC226" i="25"/>
  <c r="T226" i="25" s="1"/>
  <c r="CN226" i="25"/>
  <c r="O226" i="25" s="1"/>
  <c r="CK226" i="25"/>
  <c r="N226" i="25" s="1"/>
  <c r="CH226" i="25"/>
  <c r="M226" i="25" s="1"/>
  <c r="BM226" i="25"/>
  <c r="F226" i="25" s="1"/>
  <c r="BJ226" i="25"/>
  <c r="E226" i="25" s="1"/>
  <c r="CE226" i="25"/>
  <c r="L226" i="25" s="1"/>
  <c r="BV226" i="25"/>
  <c r="I226" i="25" s="1"/>
  <c r="CT226" i="25"/>
  <c r="Q226" i="25" s="1"/>
  <c r="BS226" i="25"/>
  <c r="H226" i="25" s="1"/>
  <c r="AK220" i="25"/>
  <c r="CN220" i="25"/>
  <c r="O220" i="25" s="1"/>
  <c r="BY220" i="25"/>
  <c r="J220" i="25" s="1"/>
  <c r="CW220" i="25"/>
  <c r="R220" i="25" s="1"/>
  <c r="CQ220" i="25"/>
  <c r="P220" i="25" s="1"/>
  <c r="DC220" i="25"/>
  <c r="T220" i="25" s="1"/>
  <c r="CK220" i="25"/>
  <c r="N220" i="25" s="1"/>
  <c r="CH220" i="25"/>
  <c r="M220" i="25" s="1"/>
  <c r="BM220" i="25"/>
  <c r="F220" i="25" s="1"/>
  <c r="BS220" i="25"/>
  <c r="H220" i="25" s="1"/>
  <c r="CB220" i="25"/>
  <c r="K220" i="25" s="1"/>
  <c r="BJ220" i="25"/>
  <c r="E220" i="25" s="1"/>
  <c r="CZ220" i="25"/>
  <c r="S220" i="25" s="1"/>
  <c r="CE220" i="25"/>
  <c r="L220" i="25" s="1"/>
  <c r="BV220" i="25"/>
  <c r="I220" i="25" s="1"/>
  <c r="CT220" i="25"/>
  <c r="Q220" i="25" s="1"/>
  <c r="BP220" i="25"/>
  <c r="G220" i="25" s="1"/>
  <c r="AK214" i="25"/>
  <c r="BJ214" i="25"/>
  <c r="E214" i="25" s="1"/>
  <c r="CE214" i="25"/>
  <c r="L214" i="25" s="1"/>
  <c r="BV214" i="25"/>
  <c r="I214" i="25" s="1"/>
  <c r="CT214" i="25"/>
  <c r="Q214" i="25" s="1"/>
  <c r="BS214" i="25"/>
  <c r="H214" i="25" s="1"/>
  <c r="CB214" i="25"/>
  <c r="K214" i="25" s="1"/>
  <c r="BY214" i="25"/>
  <c r="J214" i="25" s="1"/>
  <c r="CW214" i="25"/>
  <c r="R214" i="25" s="1"/>
  <c r="CZ214" i="25"/>
  <c r="S214" i="25" s="1"/>
  <c r="BP214" i="25"/>
  <c r="G214" i="25" s="1"/>
  <c r="CQ214" i="25"/>
  <c r="P214" i="25" s="1"/>
  <c r="DC214" i="25"/>
  <c r="T214" i="25" s="1"/>
  <c r="CN214" i="25"/>
  <c r="O214" i="25" s="1"/>
  <c r="CK214" i="25"/>
  <c r="N214" i="25" s="1"/>
  <c r="CH214" i="25"/>
  <c r="M214" i="25" s="1"/>
  <c r="BM214" i="25"/>
  <c r="F214" i="25" s="1"/>
  <c r="AK188" i="25"/>
  <c r="CH188" i="25"/>
  <c r="M188" i="25" s="1"/>
  <c r="CT188" i="25"/>
  <c r="Q188" i="25" s="1"/>
  <c r="BS188" i="25"/>
  <c r="H188" i="25" s="1"/>
  <c r="BJ188" i="25"/>
  <c r="E188" i="25" s="1"/>
  <c r="BY188" i="25"/>
  <c r="J188" i="25" s="1"/>
  <c r="CW188" i="25"/>
  <c r="R188" i="25" s="1"/>
  <c r="CE188" i="25"/>
  <c r="L188" i="25" s="1"/>
  <c r="BV188" i="25"/>
  <c r="I188" i="25" s="1"/>
  <c r="BP188" i="25"/>
  <c r="G188" i="25" s="1"/>
  <c r="DC188" i="25"/>
  <c r="T188" i="25" s="1"/>
  <c r="CK188" i="25"/>
  <c r="N188" i="25" s="1"/>
  <c r="CZ188" i="25"/>
  <c r="S188" i="25" s="1"/>
  <c r="BM188" i="25"/>
  <c r="F188" i="25" s="1"/>
  <c r="CB188" i="25"/>
  <c r="K188" i="25" s="1"/>
  <c r="CN188" i="25"/>
  <c r="O188" i="25" s="1"/>
  <c r="CQ188" i="25"/>
  <c r="P188" i="25" s="1"/>
  <c r="AK178" i="25"/>
  <c r="BJ178" i="25"/>
  <c r="E178" i="25" s="1"/>
  <c r="BY178" i="25"/>
  <c r="J178" i="25" s="1"/>
  <c r="CW178" i="25"/>
  <c r="R178" i="25" s="1"/>
  <c r="CE178" i="25"/>
  <c r="L178" i="25" s="1"/>
  <c r="BV178" i="25"/>
  <c r="I178" i="25" s="1"/>
  <c r="BP178" i="25"/>
  <c r="G178" i="25" s="1"/>
  <c r="DC178" i="25"/>
  <c r="T178" i="25" s="1"/>
  <c r="CK178" i="25"/>
  <c r="N178" i="25" s="1"/>
  <c r="CZ178" i="25"/>
  <c r="S178" i="25" s="1"/>
  <c r="BM178" i="25"/>
  <c r="F178" i="25" s="1"/>
  <c r="CB178" i="25"/>
  <c r="K178" i="25" s="1"/>
  <c r="CN178" i="25"/>
  <c r="O178" i="25" s="1"/>
  <c r="CQ178" i="25"/>
  <c r="P178" i="25" s="1"/>
  <c r="BS178" i="25"/>
  <c r="H178" i="25" s="1"/>
  <c r="CH178" i="25"/>
  <c r="M178" i="25" s="1"/>
  <c r="CT178" i="25"/>
  <c r="Q178" i="25" s="1"/>
  <c r="AJ191" i="25"/>
  <c r="AJ185" i="25"/>
  <c r="AK177" i="25"/>
  <c r="BS177" i="25"/>
  <c r="H177" i="25" s="1"/>
  <c r="CK177" i="25"/>
  <c r="N177" i="25" s="1"/>
  <c r="BY177" i="25"/>
  <c r="J177" i="25" s="1"/>
  <c r="CH177" i="25"/>
  <c r="M177" i="25" s="1"/>
  <c r="CW177" i="25"/>
  <c r="R177" i="25" s="1"/>
  <c r="CE177" i="25"/>
  <c r="L177" i="25" s="1"/>
  <c r="BP177" i="25"/>
  <c r="G177" i="25" s="1"/>
  <c r="CB177" i="25"/>
  <c r="K177" i="25" s="1"/>
  <c r="CN177" i="25"/>
  <c r="O177" i="25" s="1"/>
  <c r="BJ177" i="25"/>
  <c r="E177" i="25" s="1"/>
  <c r="CZ177" i="25"/>
  <c r="S177" i="25" s="1"/>
  <c r="BV177" i="25"/>
  <c r="I177" i="25" s="1"/>
  <c r="CT177" i="25"/>
  <c r="Q177" i="25" s="1"/>
  <c r="BM177" i="25"/>
  <c r="F177" i="25" s="1"/>
  <c r="DC177" i="25"/>
  <c r="T177" i="25" s="1"/>
  <c r="CQ177" i="25"/>
  <c r="P177" i="25" s="1"/>
  <c r="AJ179" i="25"/>
  <c r="AJ186" i="25"/>
  <c r="AJ172" i="25"/>
  <c r="AK148" i="25"/>
  <c r="BY148" i="25"/>
  <c r="J148" i="25" s="1"/>
  <c r="CH148" i="25"/>
  <c r="M148" i="25" s="1"/>
  <c r="CW148" i="25"/>
  <c r="R148" i="25" s="1"/>
  <c r="CT148" i="25"/>
  <c r="Q148" i="25" s="1"/>
  <c r="BS148" i="25"/>
  <c r="H148" i="25" s="1"/>
  <c r="BJ148" i="25"/>
  <c r="E148" i="25" s="1"/>
  <c r="CK148" i="25"/>
  <c r="N148" i="25" s="1"/>
  <c r="CZ148" i="25"/>
  <c r="S148" i="25" s="1"/>
  <c r="CE148" i="25"/>
  <c r="L148" i="25" s="1"/>
  <c r="BV148" i="25"/>
  <c r="I148" i="25" s="1"/>
  <c r="BM148" i="25"/>
  <c r="F148" i="25" s="1"/>
  <c r="BP148" i="25"/>
  <c r="G148" i="25" s="1"/>
  <c r="DC148" i="25"/>
  <c r="T148" i="25" s="1"/>
  <c r="CB148" i="25"/>
  <c r="K148" i="25" s="1"/>
  <c r="CN148" i="25"/>
  <c r="O148" i="25" s="1"/>
  <c r="CQ148" i="25"/>
  <c r="P148" i="25" s="1"/>
  <c r="AK156" i="25"/>
  <c r="BY156" i="25"/>
  <c r="J156" i="25" s="1"/>
  <c r="CH156" i="25"/>
  <c r="M156" i="25" s="1"/>
  <c r="CW156" i="25"/>
  <c r="R156" i="25" s="1"/>
  <c r="CT156" i="25"/>
  <c r="Q156" i="25" s="1"/>
  <c r="BS156" i="25"/>
  <c r="H156" i="25" s="1"/>
  <c r="BJ156" i="25"/>
  <c r="E156" i="25" s="1"/>
  <c r="CK156" i="25"/>
  <c r="N156" i="25" s="1"/>
  <c r="CZ156" i="25"/>
  <c r="S156" i="25" s="1"/>
  <c r="CE156" i="25"/>
  <c r="L156" i="25" s="1"/>
  <c r="BV156" i="25"/>
  <c r="I156" i="25" s="1"/>
  <c r="BM156" i="25"/>
  <c r="F156" i="25" s="1"/>
  <c r="BP156" i="25"/>
  <c r="G156" i="25" s="1"/>
  <c r="DC156" i="25"/>
  <c r="T156" i="25" s="1"/>
  <c r="CB156" i="25"/>
  <c r="K156" i="25" s="1"/>
  <c r="CN156" i="25"/>
  <c r="O156" i="25" s="1"/>
  <c r="CQ156" i="25"/>
  <c r="P156" i="25" s="1"/>
  <c r="AJ150" i="25"/>
  <c r="AJ144" i="25"/>
  <c r="AJ167" i="25"/>
  <c r="AJ163" i="25"/>
  <c r="AJ159" i="25"/>
  <c r="AJ151" i="25"/>
  <c r="AJ136" i="25"/>
  <c r="AJ130" i="25"/>
  <c r="AJ126" i="25"/>
  <c r="AJ120" i="25"/>
  <c r="AJ124" i="25"/>
  <c r="AJ116" i="25"/>
  <c r="AJ139" i="25"/>
  <c r="AJ113" i="25"/>
  <c r="AJ104" i="25"/>
  <c r="AK90" i="25"/>
  <c r="BY90" i="25"/>
  <c r="J90" i="25" s="1"/>
  <c r="CW90" i="25"/>
  <c r="R90" i="25" s="1"/>
  <c r="CZ90" i="25"/>
  <c r="S90" i="25" s="1"/>
  <c r="BP90" i="25"/>
  <c r="G90" i="25" s="1"/>
  <c r="BS90" i="25"/>
  <c r="H90" i="25" s="1"/>
  <c r="CB90" i="25"/>
  <c r="K90" i="25" s="1"/>
  <c r="CN90" i="25"/>
  <c r="O90" i="25" s="1"/>
  <c r="CK90" i="25"/>
  <c r="N90" i="25" s="1"/>
  <c r="CH90" i="25"/>
  <c r="M90" i="25" s="1"/>
  <c r="CE90" i="25"/>
  <c r="L90" i="25" s="1"/>
  <c r="BM90" i="25"/>
  <c r="F90" i="25" s="1"/>
  <c r="BJ90" i="25"/>
  <c r="E90" i="25" s="1"/>
  <c r="BV90" i="25"/>
  <c r="I90" i="25" s="1"/>
  <c r="CT90" i="25"/>
  <c r="Q90" i="25" s="1"/>
  <c r="DC90" i="25"/>
  <c r="T90" i="25" s="1"/>
  <c r="CQ90" i="25"/>
  <c r="P90" i="25" s="1"/>
  <c r="AJ98" i="25"/>
  <c r="AJ93" i="25"/>
  <c r="AJ91" i="25"/>
  <c r="AJ92" i="25"/>
  <c r="AJ87" i="25"/>
  <c r="AJ83" i="25"/>
  <c r="AJ79" i="25"/>
  <c r="AJ76" i="25"/>
  <c r="AJ66" i="25"/>
  <c r="AJ75" i="25"/>
  <c r="AK56" i="25"/>
  <c r="CK56" i="25"/>
  <c r="N56" i="25" s="1"/>
  <c r="BM56" i="25"/>
  <c r="F56" i="25" s="1"/>
  <c r="CH56" i="25"/>
  <c r="M56" i="25" s="1"/>
  <c r="CZ56" i="25"/>
  <c r="S56" i="25" s="1"/>
  <c r="BP56" i="25"/>
  <c r="G56" i="25" s="1"/>
  <c r="CQ56" i="25"/>
  <c r="P56" i="25" s="1"/>
  <c r="CB56" i="25"/>
  <c r="K56" i="25" s="1"/>
  <c r="CN56" i="25"/>
  <c r="O56" i="25" s="1"/>
  <c r="BJ56" i="25"/>
  <c r="E56" i="25" s="1"/>
  <c r="CE56" i="25"/>
  <c r="L56" i="25" s="1"/>
  <c r="BV56" i="25"/>
  <c r="I56" i="25" s="1"/>
  <c r="CT56" i="25"/>
  <c r="Q56" i="25" s="1"/>
  <c r="BS56" i="25"/>
  <c r="H56" i="25" s="1"/>
  <c r="BY56" i="25"/>
  <c r="J56" i="25" s="1"/>
  <c r="CW56" i="25"/>
  <c r="R56" i="25" s="1"/>
  <c r="DC56" i="25"/>
  <c r="T56" i="25" s="1"/>
  <c r="AJ51" i="25"/>
  <c r="AJ53" i="25"/>
  <c r="AJ60" i="25"/>
  <c r="AJ54" i="25"/>
  <c r="AJ48" i="25"/>
  <c r="AJ42" i="25"/>
  <c r="AK25" i="25"/>
  <c r="CN25" i="25"/>
  <c r="O25" i="25" s="1"/>
  <c r="BY25" i="25"/>
  <c r="J25" i="25" s="1"/>
  <c r="CW25" i="25"/>
  <c r="R25" i="25" s="1"/>
  <c r="CT25" i="25"/>
  <c r="Q25" i="25" s="1"/>
  <c r="BJ25" i="25"/>
  <c r="E25" i="25" s="1"/>
  <c r="CK25" i="25"/>
  <c r="N25" i="25" s="1"/>
  <c r="BV25" i="25"/>
  <c r="I25" i="25" s="1"/>
  <c r="BM25" i="25"/>
  <c r="F25" i="25" s="1"/>
  <c r="CQ25" i="25"/>
  <c r="P25" i="25" s="1"/>
  <c r="BS25" i="25"/>
  <c r="H25" i="25" s="1"/>
  <c r="CZ25" i="25"/>
  <c r="S25" i="25" s="1"/>
  <c r="CE25" i="25"/>
  <c r="L25" i="25" s="1"/>
  <c r="CB25" i="25"/>
  <c r="K25" i="25" s="1"/>
  <c r="CH25" i="25"/>
  <c r="M25" i="25" s="1"/>
  <c r="BP25" i="25"/>
  <c r="G25" i="25" s="1"/>
  <c r="DC25" i="25"/>
  <c r="T25" i="25" s="1"/>
  <c r="AJ29" i="25"/>
  <c r="AK23" i="25"/>
  <c r="BJ23" i="25"/>
  <c r="E23" i="25" s="1"/>
  <c r="BV23" i="25"/>
  <c r="I23" i="25" s="1"/>
  <c r="BP23" i="25"/>
  <c r="G23" i="25" s="1"/>
  <c r="CQ23" i="25"/>
  <c r="P23" i="25" s="1"/>
  <c r="BS23" i="25"/>
  <c r="H23" i="25" s="1"/>
  <c r="CN23" i="25"/>
  <c r="O23" i="25" s="1"/>
  <c r="BY23" i="25"/>
  <c r="J23" i="25" s="1"/>
  <c r="CW23" i="25"/>
  <c r="R23" i="25" s="1"/>
  <c r="CE23" i="25"/>
  <c r="L23" i="25" s="1"/>
  <c r="CK23" i="25"/>
  <c r="N23" i="25" s="1"/>
  <c r="CH23" i="25"/>
  <c r="M23" i="25" s="1"/>
  <c r="CZ23" i="25"/>
  <c r="S23" i="25" s="1"/>
  <c r="BM23" i="25"/>
  <c r="F23" i="25" s="1"/>
  <c r="DC23" i="25"/>
  <c r="T23" i="25" s="1"/>
  <c r="CB23" i="25"/>
  <c r="K23" i="25" s="1"/>
  <c r="CT23" i="25"/>
  <c r="Q23" i="25" s="1"/>
  <c r="AK18" i="25"/>
  <c r="CN18" i="25"/>
  <c r="O18" i="25" s="1"/>
  <c r="CH18" i="25"/>
  <c r="M18" i="25" s="1"/>
  <c r="CE18" i="25"/>
  <c r="L18" i="25" s="1"/>
  <c r="CT18" i="25"/>
  <c r="Q18" i="25" s="1"/>
  <c r="CB18" i="25"/>
  <c r="K18" i="25" s="1"/>
  <c r="BJ18" i="25"/>
  <c r="E18" i="25" s="1"/>
  <c r="BY18" i="25"/>
  <c r="J18" i="25" s="1"/>
  <c r="CW18" i="25"/>
  <c r="R18" i="25" s="1"/>
  <c r="CZ18" i="25"/>
  <c r="S18" i="25" s="1"/>
  <c r="BV18" i="25"/>
  <c r="I18" i="25" s="1"/>
  <c r="CQ18" i="25"/>
  <c r="P18" i="25" s="1"/>
  <c r="DC18" i="25"/>
  <c r="T18" i="25" s="1"/>
  <c r="BS18" i="25"/>
  <c r="H18" i="25" s="1"/>
  <c r="CK18" i="25"/>
  <c r="N18" i="25" s="1"/>
  <c r="BM18" i="25"/>
  <c r="F18" i="25" s="1"/>
  <c r="BP18" i="25"/>
  <c r="G18" i="25" s="1"/>
  <c r="AK15" i="25"/>
  <c r="BY15" i="25"/>
  <c r="J15" i="25" s="1"/>
  <c r="CW15" i="25"/>
  <c r="R15" i="25" s="1"/>
  <c r="CE15" i="25"/>
  <c r="L15" i="25" s="1"/>
  <c r="CB15" i="25"/>
  <c r="K15" i="25" s="1"/>
  <c r="BJ15" i="25"/>
  <c r="E15" i="25" s="1"/>
  <c r="CK15" i="25"/>
  <c r="N15" i="25" s="1"/>
  <c r="CH15" i="25"/>
  <c r="M15" i="25" s="1"/>
  <c r="CZ15" i="25"/>
  <c r="S15" i="25" s="1"/>
  <c r="BV15" i="25"/>
  <c r="I15" i="25" s="1"/>
  <c r="CT15" i="25"/>
  <c r="Q15" i="25" s="1"/>
  <c r="DC15" i="25"/>
  <c r="T15" i="25" s="1"/>
  <c r="BM15" i="25"/>
  <c r="F15" i="25" s="1"/>
  <c r="CN15" i="25"/>
  <c r="O15" i="25" s="1"/>
  <c r="BP15" i="25"/>
  <c r="G15" i="25" s="1"/>
  <c r="CQ15" i="25"/>
  <c r="P15" i="25" s="1"/>
  <c r="BS15" i="25"/>
  <c r="H15" i="25" s="1"/>
  <c r="AJ12" i="25"/>
  <c r="AK12" i="25" l="1"/>
  <c r="CN12" i="25"/>
  <c r="CZ12" i="25"/>
  <c r="CE12" i="25"/>
  <c r="BP12" i="25"/>
  <c r="CB12" i="25"/>
  <c r="BY12" i="25"/>
  <c r="CW12" i="25"/>
  <c r="DC12" i="25"/>
  <c r="CK12" i="25"/>
  <c r="CH12" i="25"/>
  <c r="BM12" i="25"/>
  <c r="CQ12" i="25"/>
  <c r="BJ12" i="25"/>
  <c r="BV12" i="25"/>
  <c r="CT12" i="25"/>
  <c r="BS12" i="25"/>
  <c r="AK42" i="25"/>
  <c r="CZ42" i="25"/>
  <c r="S42" i="25" s="1"/>
  <c r="CQ42" i="25"/>
  <c r="P42" i="25" s="1"/>
  <c r="BY42" i="25"/>
  <c r="CW42" i="25"/>
  <c r="R42" i="25" s="1"/>
  <c r="CE42" i="25"/>
  <c r="L42" i="25" s="1"/>
  <c r="BP42" i="25"/>
  <c r="BS42" i="25"/>
  <c r="CB42" i="25"/>
  <c r="K42" i="25" s="1"/>
  <c r="CN42" i="25"/>
  <c r="O42" i="25" s="1"/>
  <c r="CK42" i="25"/>
  <c r="N42" i="25" s="1"/>
  <c r="CH42" i="25"/>
  <c r="M42" i="25" s="1"/>
  <c r="BM42" i="25"/>
  <c r="BJ42" i="25"/>
  <c r="BV42" i="25"/>
  <c r="CT42" i="25"/>
  <c r="Q42" i="25" s="1"/>
  <c r="DC42" i="25"/>
  <c r="T42" i="25" s="1"/>
  <c r="AK54" i="25"/>
  <c r="CH54" i="25"/>
  <c r="M54" i="25" s="1"/>
  <c r="CZ54" i="25"/>
  <c r="S54" i="25" s="1"/>
  <c r="BP54" i="25"/>
  <c r="G54" i="25" s="1"/>
  <c r="CQ54" i="25"/>
  <c r="P54" i="25" s="1"/>
  <c r="CB54" i="25"/>
  <c r="K54" i="25" s="1"/>
  <c r="CN54" i="25"/>
  <c r="BJ54" i="25"/>
  <c r="E54" i="25" s="1"/>
  <c r="CE54" i="25"/>
  <c r="BV54" i="25"/>
  <c r="I54" i="25" s="1"/>
  <c r="CT54" i="25"/>
  <c r="Q54" i="25" s="1"/>
  <c r="BS54" i="25"/>
  <c r="H54" i="25" s="1"/>
  <c r="BY54" i="25"/>
  <c r="J54" i="25" s="1"/>
  <c r="CW54" i="25"/>
  <c r="R54" i="25" s="1"/>
  <c r="DC54" i="25"/>
  <c r="T54" i="25" s="1"/>
  <c r="CK54" i="25"/>
  <c r="N54" i="25" s="1"/>
  <c r="BM54" i="25"/>
  <c r="F54" i="25" s="1"/>
  <c r="AK53" i="25"/>
  <c r="BJ53" i="25"/>
  <c r="CZ53" i="25"/>
  <c r="S53" i="25" s="1"/>
  <c r="CE53" i="25"/>
  <c r="L53" i="25" s="1"/>
  <c r="BV53" i="25"/>
  <c r="CT53" i="25"/>
  <c r="Q53" i="25" s="1"/>
  <c r="BP53" i="25"/>
  <c r="DC53" i="25"/>
  <c r="T53" i="25" s="1"/>
  <c r="CB53" i="25"/>
  <c r="K53" i="25" s="1"/>
  <c r="CN53" i="25"/>
  <c r="O53" i="25" s="1"/>
  <c r="CQ53" i="25"/>
  <c r="P53" i="25" s="1"/>
  <c r="CK53" i="25"/>
  <c r="N53" i="25" s="1"/>
  <c r="BY53" i="25"/>
  <c r="CH53" i="25"/>
  <c r="M53" i="25" s="1"/>
  <c r="CW53" i="25"/>
  <c r="R53" i="25" s="1"/>
  <c r="BM53" i="25"/>
  <c r="BS53" i="25"/>
  <c r="AK83" i="25"/>
  <c r="BJ83" i="25"/>
  <c r="CK83" i="25"/>
  <c r="BV83" i="25"/>
  <c r="CT83" i="25"/>
  <c r="Q83" i="25" s="1"/>
  <c r="BM83" i="25"/>
  <c r="DC83" i="25"/>
  <c r="T83" i="25" s="1"/>
  <c r="CB83" i="25"/>
  <c r="K83" i="25" s="1"/>
  <c r="CZ83" i="25"/>
  <c r="S83" i="25" s="1"/>
  <c r="BP83" i="25"/>
  <c r="CQ83" i="25"/>
  <c r="P83" i="25" s="1"/>
  <c r="CN83" i="25"/>
  <c r="O83" i="25" s="1"/>
  <c r="BS83" i="25"/>
  <c r="BY83" i="25"/>
  <c r="CH83" i="25"/>
  <c r="M83" i="25" s="1"/>
  <c r="CW83" i="25"/>
  <c r="R83" i="25" s="1"/>
  <c r="CE83" i="25"/>
  <c r="L83" i="25" s="1"/>
  <c r="AK91" i="25"/>
  <c r="BJ91" i="25"/>
  <c r="CK91" i="25"/>
  <c r="N91" i="25" s="1"/>
  <c r="BV91" i="25"/>
  <c r="CT91" i="25"/>
  <c r="Q91" i="25" s="1"/>
  <c r="BM91" i="25"/>
  <c r="CB91" i="25"/>
  <c r="CZ91" i="25"/>
  <c r="S91" i="25" s="1"/>
  <c r="CE91" i="25"/>
  <c r="BP91" i="25"/>
  <c r="DC91" i="25"/>
  <c r="T91" i="25" s="1"/>
  <c r="BS91" i="25"/>
  <c r="CN91" i="25"/>
  <c r="BY91" i="25"/>
  <c r="CH91" i="25"/>
  <c r="CW91" i="25"/>
  <c r="R91" i="25" s="1"/>
  <c r="CQ91" i="25"/>
  <c r="P91" i="25" s="1"/>
  <c r="AK98" i="25"/>
  <c r="CK98" i="25"/>
  <c r="CH98" i="25"/>
  <c r="CZ98" i="25"/>
  <c r="S98" i="25" s="1"/>
  <c r="BM98" i="25"/>
  <c r="BP98" i="25"/>
  <c r="BS98" i="25"/>
  <c r="CB98" i="25"/>
  <c r="CN98" i="25"/>
  <c r="BJ98" i="25"/>
  <c r="CE98" i="25"/>
  <c r="BV98" i="25"/>
  <c r="CT98" i="25"/>
  <c r="Q98" i="25" s="1"/>
  <c r="DC98" i="25"/>
  <c r="T98" i="25" s="1"/>
  <c r="BY98" i="25"/>
  <c r="CW98" i="25"/>
  <c r="R98" i="25" s="1"/>
  <c r="CQ98" i="25"/>
  <c r="P98" i="25" s="1"/>
  <c r="AK163" i="25"/>
  <c r="CB163" i="25"/>
  <c r="CN163" i="25"/>
  <c r="CQ163" i="25"/>
  <c r="P163" i="25" s="1"/>
  <c r="CH163" i="25"/>
  <c r="BS163" i="25"/>
  <c r="BJ163" i="25"/>
  <c r="BY163" i="25"/>
  <c r="CW163" i="25"/>
  <c r="R163" i="25" s="1"/>
  <c r="CE163" i="25"/>
  <c r="BV163" i="25"/>
  <c r="CT163" i="25"/>
  <c r="Q163" i="25" s="1"/>
  <c r="CK163" i="25"/>
  <c r="CZ163" i="25"/>
  <c r="S163" i="25" s="1"/>
  <c r="BM163" i="25"/>
  <c r="BP163" i="25"/>
  <c r="DC163" i="25"/>
  <c r="T163" i="25" s="1"/>
  <c r="AK172" i="25"/>
  <c r="CH172" i="25"/>
  <c r="CT172" i="25"/>
  <c r="Q172" i="25" s="1"/>
  <c r="BS172" i="25"/>
  <c r="BJ172" i="25"/>
  <c r="BY172" i="25"/>
  <c r="CW172" i="25"/>
  <c r="R172" i="25" s="1"/>
  <c r="CE172" i="25"/>
  <c r="L172" i="25" s="1"/>
  <c r="BV172" i="25"/>
  <c r="BP172" i="25"/>
  <c r="DC172" i="25"/>
  <c r="T172" i="25" s="1"/>
  <c r="CK172" i="25"/>
  <c r="CZ172" i="25"/>
  <c r="S172" i="25" s="1"/>
  <c r="BM172" i="25"/>
  <c r="CB172" i="25"/>
  <c r="K172" i="25" s="1"/>
  <c r="CN172" i="25"/>
  <c r="O172" i="25" s="1"/>
  <c r="CQ172" i="25"/>
  <c r="P172" i="25" s="1"/>
  <c r="AK179" i="25"/>
  <c r="CQ179" i="25"/>
  <c r="P179" i="25" s="1"/>
  <c r="BS179" i="25"/>
  <c r="CK179" i="25"/>
  <c r="N179" i="25" s="1"/>
  <c r="BY179" i="25"/>
  <c r="CH179" i="25"/>
  <c r="CW179" i="25"/>
  <c r="R179" i="25" s="1"/>
  <c r="CE179" i="25"/>
  <c r="L179" i="25" s="1"/>
  <c r="BP179" i="25"/>
  <c r="CB179" i="25"/>
  <c r="K179" i="25" s="1"/>
  <c r="CN179" i="25"/>
  <c r="O179" i="25" s="1"/>
  <c r="BJ179" i="25"/>
  <c r="CZ179" i="25"/>
  <c r="S179" i="25" s="1"/>
  <c r="BV179" i="25"/>
  <c r="CT179" i="25"/>
  <c r="Q179" i="25" s="1"/>
  <c r="BM179" i="25"/>
  <c r="DC179" i="25"/>
  <c r="T179" i="25" s="1"/>
  <c r="H240" i="25"/>
  <c r="J240" i="25"/>
  <c r="O240" i="25"/>
  <c r="AN224" i="25"/>
  <c r="AO224" i="25" s="1"/>
  <c r="AT224" i="25"/>
  <c r="AN242" i="25"/>
  <c r="AO242" i="25" s="1"/>
  <c r="AT242" i="25"/>
  <c r="AN210" i="25"/>
  <c r="AO210" i="25" s="1"/>
  <c r="AT210" i="25"/>
  <c r="AN207" i="25"/>
  <c r="AO207" i="25" s="1"/>
  <c r="AT207" i="25"/>
  <c r="AN260" i="25"/>
  <c r="AO260" i="25" s="1"/>
  <c r="AT260" i="25"/>
  <c r="AN226" i="25"/>
  <c r="AO226" i="25" s="1"/>
  <c r="AT226" i="25"/>
  <c r="AN219" i="25"/>
  <c r="AO219" i="25" s="1"/>
  <c r="AT219" i="25"/>
  <c r="AN203" i="25"/>
  <c r="AO203" i="25" s="1"/>
  <c r="AT203" i="25"/>
  <c r="AN253" i="25"/>
  <c r="AO253" i="25" s="1"/>
  <c r="AT253" i="25"/>
  <c r="AN233" i="25"/>
  <c r="AO233" i="25" s="1"/>
  <c r="AT233" i="25"/>
  <c r="AN221" i="25"/>
  <c r="AO221" i="25" s="1"/>
  <c r="AT221" i="25"/>
  <c r="AN201" i="25"/>
  <c r="AO201" i="25" s="1"/>
  <c r="AT201" i="25"/>
  <c r="AN257" i="25"/>
  <c r="AO257" i="25" s="1"/>
  <c r="AT257" i="25"/>
  <c r="AN251" i="25"/>
  <c r="AO251" i="25" s="1"/>
  <c r="AT251" i="25"/>
  <c r="AN244" i="25"/>
  <c r="AO244" i="25" s="1"/>
  <c r="AT244" i="25"/>
  <c r="AN229" i="25"/>
  <c r="AO229" i="25" s="1"/>
  <c r="AT229" i="25"/>
  <c r="AN223" i="25"/>
  <c r="AO223" i="25" s="1"/>
  <c r="AT223" i="25"/>
  <c r="AN218" i="25"/>
  <c r="AO218" i="25" s="1"/>
  <c r="AT218" i="25"/>
  <c r="AN211" i="25"/>
  <c r="AO211" i="25" s="1"/>
  <c r="AT211" i="25"/>
  <c r="AN194" i="25"/>
  <c r="AO194" i="25" s="1"/>
  <c r="AT194" i="25"/>
  <c r="AN187" i="25"/>
  <c r="AO187" i="25" s="1"/>
  <c r="AT187" i="25"/>
  <c r="AN192" i="25"/>
  <c r="AO192" i="25" s="1"/>
  <c r="AT192" i="25"/>
  <c r="AN180" i="25"/>
  <c r="AO180" i="25" s="1"/>
  <c r="AT180" i="25"/>
  <c r="AN186" i="25"/>
  <c r="AO186" i="25" s="1"/>
  <c r="AT186" i="25"/>
  <c r="AN173" i="25"/>
  <c r="AO173" i="25" s="1"/>
  <c r="AT173" i="25"/>
  <c r="AN181" i="25"/>
  <c r="AO181" i="25" s="1"/>
  <c r="AT181" i="25"/>
  <c r="AN164" i="25"/>
  <c r="AO164" i="25" s="1"/>
  <c r="AT164" i="25"/>
  <c r="AN158" i="25"/>
  <c r="AO158" i="25" s="1"/>
  <c r="AT158" i="25"/>
  <c r="AN145" i="25"/>
  <c r="AO145" i="25" s="1"/>
  <c r="AT145" i="25"/>
  <c r="AN156" i="25"/>
  <c r="AO156" i="25" s="1"/>
  <c r="AT156" i="25"/>
  <c r="AN152" i="25"/>
  <c r="AO152" i="25" s="1"/>
  <c r="AT152" i="25"/>
  <c r="AN128" i="25"/>
  <c r="AO128" i="25" s="1"/>
  <c r="AT128" i="25"/>
  <c r="AN122" i="25"/>
  <c r="AO122" i="25" s="1"/>
  <c r="AT122" i="25"/>
  <c r="AN115" i="25"/>
  <c r="AO115" i="25" s="1"/>
  <c r="AT115" i="25"/>
  <c r="AN137" i="25"/>
  <c r="AO137" i="25" s="1"/>
  <c r="AT137" i="25"/>
  <c r="AN129" i="25"/>
  <c r="AO129" i="25" s="1"/>
  <c r="AT129" i="25"/>
  <c r="AN123" i="25"/>
  <c r="AO123" i="25" s="1"/>
  <c r="AT123" i="25"/>
  <c r="AN114" i="25"/>
  <c r="AO114" i="25" s="1"/>
  <c r="AT114" i="25"/>
  <c r="AN134" i="25"/>
  <c r="AO134" i="25" s="1"/>
  <c r="AT134" i="25"/>
  <c r="AN125" i="25"/>
  <c r="AO125" i="25" s="1"/>
  <c r="AT125" i="25"/>
  <c r="AN121" i="25"/>
  <c r="AO121" i="25" s="1"/>
  <c r="AT121" i="25"/>
  <c r="AN103" i="25"/>
  <c r="AO103" i="25" s="1"/>
  <c r="AT103" i="25"/>
  <c r="AN102" i="25"/>
  <c r="AO102" i="25" s="1"/>
  <c r="AT102" i="25"/>
  <c r="AN96" i="25"/>
  <c r="AO96" i="25" s="1"/>
  <c r="AT96" i="25"/>
  <c r="AN84" i="25"/>
  <c r="AO84" i="25" s="1"/>
  <c r="AT84" i="25"/>
  <c r="AN80" i="25"/>
  <c r="AO80" i="25" s="1"/>
  <c r="AT80" i="25"/>
  <c r="AN90" i="25"/>
  <c r="AO90" i="25" s="1"/>
  <c r="AT90" i="25"/>
  <c r="AN81" i="25"/>
  <c r="AO81" i="25" s="1"/>
  <c r="AT81" i="25"/>
  <c r="AN69" i="25"/>
  <c r="AO69" i="25" s="1"/>
  <c r="AT69" i="25"/>
  <c r="AN62" i="25"/>
  <c r="AO62" i="25" s="1"/>
  <c r="AT62" i="25"/>
  <c r="AN57" i="25"/>
  <c r="AO57" i="25" s="1"/>
  <c r="AT57" i="25"/>
  <c r="AN49" i="25"/>
  <c r="AO49" i="25" s="1"/>
  <c r="AT49" i="25"/>
  <c r="AN60" i="25"/>
  <c r="AO60" i="25" s="1"/>
  <c r="AT60" i="25"/>
  <c r="AN52" i="25"/>
  <c r="AO52" i="25" s="1"/>
  <c r="AT52" i="25"/>
  <c r="AN58" i="25"/>
  <c r="AO58" i="25" s="1"/>
  <c r="AT58" i="25"/>
  <c r="AN37" i="25"/>
  <c r="AO37" i="25" s="1"/>
  <c r="AT37" i="25"/>
  <c r="AN39" i="25"/>
  <c r="AO39" i="25" s="1"/>
  <c r="AT39" i="25"/>
  <c r="AN43" i="25"/>
  <c r="AO43" i="25" s="1"/>
  <c r="AT43" i="25"/>
  <c r="AN35" i="25"/>
  <c r="AO35" i="25" s="1"/>
  <c r="AT35" i="25"/>
  <c r="AN31" i="25"/>
  <c r="AO31" i="25" s="1"/>
  <c r="AT31" i="25"/>
  <c r="AN30" i="25"/>
  <c r="AO30" i="25" s="1"/>
  <c r="AT30" i="25"/>
  <c r="AN18" i="25"/>
  <c r="AO18" i="25" s="1"/>
  <c r="AT18" i="25"/>
  <c r="AN23" i="25"/>
  <c r="AO23" i="25" s="1"/>
  <c r="AT23" i="25"/>
  <c r="AN22" i="25"/>
  <c r="AO22" i="25" s="1"/>
  <c r="AT22" i="25"/>
  <c r="AN16" i="25"/>
  <c r="AO16" i="25" s="1"/>
  <c r="AT16" i="25"/>
  <c r="AK22" i="25"/>
  <c r="CB22" i="25"/>
  <c r="K22" i="25" s="1"/>
  <c r="CN22" i="25"/>
  <c r="O22" i="25" s="1"/>
  <c r="BJ22" i="25"/>
  <c r="BY22" i="25"/>
  <c r="CW22" i="25"/>
  <c r="R22" i="25" s="1"/>
  <c r="BM22" i="25"/>
  <c r="DC22" i="25"/>
  <c r="T22" i="25" s="1"/>
  <c r="CK22" i="25"/>
  <c r="N22" i="25" s="1"/>
  <c r="CQ22" i="25"/>
  <c r="P22" i="25" s="1"/>
  <c r="BS22" i="25"/>
  <c r="CT22" i="25"/>
  <c r="Q22" i="25" s="1"/>
  <c r="CH22" i="25"/>
  <c r="M22" i="25" s="1"/>
  <c r="CZ22" i="25"/>
  <c r="S22" i="25" s="1"/>
  <c r="CE22" i="25"/>
  <c r="L22" i="25" s="1"/>
  <c r="BV22" i="25"/>
  <c r="BP22" i="25"/>
  <c r="AK81" i="25"/>
  <c r="CB81" i="25"/>
  <c r="K81" i="25" s="1"/>
  <c r="CZ81" i="25"/>
  <c r="S81" i="25" s="1"/>
  <c r="BP81" i="25"/>
  <c r="CQ81" i="25"/>
  <c r="P81" i="25" s="1"/>
  <c r="CN81" i="25"/>
  <c r="BS81" i="25"/>
  <c r="BY81" i="25"/>
  <c r="CH81" i="25"/>
  <c r="M81" i="25" s="1"/>
  <c r="CW81" i="25"/>
  <c r="R81" i="25" s="1"/>
  <c r="CE81" i="25"/>
  <c r="L81" i="25" s="1"/>
  <c r="BJ81" i="25"/>
  <c r="CK81" i="25"/>
  <c r="N81" i="25" s="1"/>
  <c r="BV81" i="25"/>
  <c r="CT81" i="25"/>
  <c r="Q81" i="25" s="1"/>
  <c r="BM81" i="25"/>
  <c r="DC81" i="25"/>
  <c r="T81" i="25" s="1"/>
  <c r="AK95" i="25"/>
  <c r="CB95" i="25"/>
  <c r="CN95" i="25"/>
  <c r="CH95" i="25"/>
  <c r="BJ95" i="25"/>
  <c r="BY95" i="25"/>
  <c r="CW95" i="25"/>
  <c r="BV95" i="25"/>
  <c r="CT95" i="25"/>
  <c r="CQ95" i="25"/>
  <c r="P95" i="25" s="1"/>
  <c r="BS95" i="25"/>
  <c r="CK95" i="25"/>
  <c r="CZ95" i="25"/>
  <c r="S95" i="25" s="1"/>
  <c r="CE95" i="25"/>
  <c r="BM95" i="25"/>
  <c r="BP95" i="25"/>
  <c r="DC95" i="25"/>
  <c r="AK122" i="25"/>
  <c r="CK122" i="25"/>
  <c r="CH122" i="25"/>
  <c r="CZ122" i="25"/>
  <c r="S122" i="25" s="1"/>
  <c r="BM122" i="25"/>
  <c r="BP122" i="25"/>
  <c r="BS122" i="25"/>
  <c r="CB122" i="25"/>
  <c r="CN122" i="25"/>
  <c r="BJ122" i="25"/>
  <c r="CE122" i="25"/>
  <c r="BV122" i="25"/>
  <c r="CT122" i="25"/>
  <c r="CQ122" i="25"/>
  <c r="P122" i="25" s="1"/>
  <c r="DC122" i="25"/>
  <c r="BY122" i="25"/>
  <c r="CW122" i="25"/>
  <c r="AK132" i="25"/>
  <c r="BY132" i="25"/>
  <c r="CW132" i="25"/>
  <c r="R132" i="25" s="1"/>
  <c r="CK132" i="25"/>
  <c r="N132" i="25" s="1"/>
  <c r="CH132" i="25"/>
  <c r="M132" i="25" s="1"/>
  <c r="CZ132" i="25"/>
  <c r="S132" i="25" s="1"/>
  <c r="BM132" i="25"/>
  <c r="BP132" i="25"/>
  <c r="BS132" i="25"/>
  <c r="CB132" i="25"/>
  <c r="CN132" i="25"/>
  <c r="O132" i="25" s="1"/>
  <c r="BJ132" i="25"/>
  <c r="CE132" i="25"/>
  <c r="L132" i="25" s="1"/>
  <c r="BV132" i="25"/>
  <c r="CT132" i="25"/>
  <c r="Q132" i="25" s="1"/>
  <c r="CQ132" i="25"/>
  <c r="P132" i="25" s="1"/>
  <c r="DC132" i="25"/>
  <c r="T132" i="25" s="1"/>
  <c r="AK146" i="25"/>
  <c r="BJ146" i="25"/>
  <c r="CK146" i="25"/>
  <c r="CZ146" i="25"/>
  <c r="CE146" i="25"/>
  <c r="BV146" i="25"/>
  <c r="BM146" i="25"/>
  <c r="BP146" i="25"/>
  <c r="DC146" i="25"/>
  <c r="CB146" i="25"/>
  <c r="CN146" i="25"/>
  <c r="CQ146" i="25"/>
  <c r="P146" i="25" s="1"/>
  <c r="BS146" i="25"/>
  <c r="BY146" i="25"/>
  <c r="CH146" i="25"/>
  <c r="CW146" i="25"/>
  <c r="CT146" i="25"/>
  <c r="Q146" i="25" s="1"/>
  <c r="AK187" i="25"/>
  <c r="CQ187" i="25"/>
  <c r="P187" i="25" s="1"/>
  <c r="BS187" i="25"/>
  <c r="CK187" i="25"/>
  <c r="BY187" i="25"/>
  <c r="CH187" i="25"/>
  <c r="CW187" i="25"/>
  <c r="R187" i="25" s="1"/>
  <c r="CE187" i="25"/>
  <c r="BP187" i="25"/>
  <c r="CB187" i="25"/>
  <c r="CN187" i="25"/>
  <c r="BJ187" i="25"/>
  <c r="CZ187" i="25"/>
  <c r="BV187" i="25"/>
  <c r="CT187" i="25"/>
  <c r="Q187" i="25" s="1"/>
  <c r="BM187" i="25"/>
  <c r="DC187" i="25"/>
  <c r="AK231" i="25"/>
  <c r="CK231" i="25"/>
  <c r="N231" i="25" s="1"/>
  <c r="CE231" i="25"/>
  <c r="L231" i="25" s="1"/>
  <c r="BM231" i="25"/>
  <c r="F231" i="25" s="1"/>
  <c r="BP231" i="25"/>
  <c r="G231" i="25" s="1"/>
  <c r="CB231" i="25"/>
  <c r="K231" i="25" s="1"/>
  <c r="CN231" i="25"/>
  <c r="O231" i="25" s="1"/>
  <c r="DC231" i="25"/>
  <c r="T231" i="25" s="1"/>
  <c r="BJ231" i="25"/>
  <c r="E231" i="25" s="1"/>
  <c r="BV231" i="25"/>
  <c r="I231" i="25" s="1"/>
  <c r="CT231" i="25"/>
  <c r="Q231" i="25" s="1"/>
  <c r="CQ231" i="25"/>
  <c r="P231" i="25" s="1"/>
  <c r="BS231" i="25"/>
  <c r="H231" i="25" s="1"/>
  <c r="BY231" i="25"/>
  <c r="J231" i="25" s="1"/>
  <c r="CH231" i="25"/>
  <c r="M231" i="25" s="1"/>
  <c r="CW231" i="25"/>
  <c r="R231" i="25" s="1"/>
  <c r="CZ231" i="25"/>
  <c r="S231" i="25" s="1"/>
  <c r="AK35" i="25"/>
  <c r="CB35" i="25"/>
  <c r="K35" i="25" s="1"/>
  <c r="CN35" i="25"/>
  <c r="CH35" i="25"/>
  <c r="M35" i="25" s="1"/>
  <c r="CQ35" i="25"/>
  <c r="P35" i="25" s="1"/>
  <c r="BJ35" i="25"/>
  <c r="E35" i="25" s="1"/>
  <c r="BY35" i="25"/>
  <c r="J35" i="25" s="1"/>
  <c r="CW35" i="25"/>
  <c r="R35" i="25" s="1"/>
  <c r="CE35" i="25"/>
  <c r="L35" i="25" s="1"/>
  <c r="BS35" i="25"/>
  <c r="H35" i="25" s="1"/>
  <c r="CZ35" i="25"/>
  <c r="S35" i="25" s="1"/>
  <c r="CK35" i="25"/>
  <c r="N35" i="25" s="1"/>
  <c r="BV35" i="25"/>
  <c r="I35" i="25" s="1"/>
  <c r="CT35" i="25"/>
  <c r="Q35" i="25" s="1"/>
  <c r="BM35" i="25"/>
  <c r="F35" i="25" s="1"/>
  <c r="BP35" i="25"/>
  <c r="G35" i="25" s="1"/>
  <c r="DC35" i="25"/>
  <c r="T35" i="25" s="1"/>
  <c r="AK55" i="25"/>
  <c r="CK55" i="25"/>
  <c r="BY55" i="25"/>
  <c r="CH55" i="25"/>
  <c r="CW55" i="25"/>
  <c r="R55" i="25" s="1"/>
  <c r="BM55" i="25"/>
  <c r="BS55" i="25"/>
  <c r="BJ55" i="25"/>
  <c r="CZ55" i="25"/>
  <c r="S55" i="25" s="1"/>
  <c r="CE55" i="25"/>
  <c r="BV55" i="25"/>
  <c r="CT55" i="25"/>
  <c r="Q55" i="25" s="1"/>
  <c r="BP55" i="25"/>
  <c r="DC55" i="25"/>
  <c r="T55" i="25" s="1"/>
  <c r="CB55" i="25"/>
  <c r="CN55" i="25"/>
  <c r="CQ55" i="25"/>
  <c r="P55" i="25" s="1"/>
  <c r="AK99" i="25"/>
  <c r="CK99" i="25"/>
  <c r="CZ99" i="25"/>
  <c r="S99" i="25" s="1"/>
  <c r="CE99" i="25"/>
  <c r="BM99" i="25"/>
  <c r="BP99" i="25"/>
  <c r="DC99" i="25"/>
  <c r="T99" i="25" s="1"/>
  <c r="BS99" i="25"/>
  <c r="CB99" i="25"/>
  <c r="K99" i="25" s="1"/>
  <c r="CN99" i="25"/>
  <c r="CH99" i="25"/>
  <c r="BJ99" i="25"/>
  <c r="BY99" i="25"/>
  <c r="CW99" i="25"/>
  <c r="R99" i="25" s="1"/>
  <c r="BV99" i="25"/>
  <c r="CT99" i="25"/>
  <c r="Q99" i="25" s="1"/>
  <c r="CQ99" i="25"/>
  <c r="P99" i="25" s="1"/>
  <c r="AK133" i="25"/>
  <c r="DC133" i="25"/>
  <c r="T133" i="25" s="1"/>
  <c r="BY133" i="25"/>
  <c r="CW133" i="25"/>
  <c r="R133" i="25" s="1"/>
  <c r="CQ133" i="25"/>
  <c r="P133" i="25" s="1"/>
  <c r="CK133" i="25"/>
  <c r="N133" i="25" s="1"/>
  <c r="CH133" i="25"/>
  <c r="M133" i="25" s="1"/>
  <c r="CZ133" i="25"/>
  <c r="S133" i="25" s="1"/>
  <c r="BM133" i="25"/>
  <c r="BP133" i="25"/>
  <c r="BS133" i="25"/>
  <c r="CB133" i="25"/>
  <c r="K133" i="25" s="1"/>
  <c r="CN133" i="25"/>
  <c r="O133" i="25" s="1"/>
  <c r="BJ133" i="25"/>
  <c r="CE133" i="25"/>
  <c r="BV133" i="25"/>
  <c r="CT133" i="25"/>
  <c r="Q133" i="25" s="1"/>
  <c r="AK134" i="25"/>
  <c r="CQ134" i="25"/>
  <c r="P134" i="25" s="1"/>
  <c r="DC134" i="25"/>
  <c r="T134" i="25" s="1"/>
  <c r="BY134" i="25"/>
  <c r="CW134" i="25"/>
  <c r="R134" i="25" s="1"/>
  <c r="CK134" i="25"/>
  <c r="N134" i="25" s="1"/>
  <c r="CH134" i="25"/>
  <c r="M134" i="25" s="1"/>
  <c r="CZ134" i="25"/>
  <c r="S134" i="25" s="1"/>
  <c r="BM134" i="25"/>
  <c r="BP134" i="25"/>
  <c r="BS134" i="25"/>
  <c r="CB134" i="25"/>
  <c r="K134" i="25" s="1"/>
  <c r="CN134" i="25"/>
  <c r="O134" i="25" s="1"/>
  <c r="BJ134" i="25"/>
  <c r="CE134" i="25"/>
  <c r="L134" i="25" s="1"/>
  <c r="BV134" i="25"/>
  <c r="CT134" i="25"/>
  <c r="Q134" i="25" s="1"/>
  <c r="AK147" i="25"/>
  <c r="CB147" i="25"/>
  <c r="K147" i="25" s="1"/>
  <c r="CN147" i="25"/>
  <c r="CQ147" i="25"/>
  <c r="P147" i="25" s="1"/>
  <c r="CH147" i="25"/>
  <c r="M147" i="25" s="1"/>
  <c r="BS147" i="25"/>
  <c r="BJ147" i="25"/>
  <c r="BY147" i="25"/>
  <c r="CW147" i="25"/>
  <c r="R147" i="25" s="1"/>
  <c r="CE147" i="25"/>
  <c r="L147" i="25" s="1"/>
  <c r="BV147" i="25"/>
  <c r="CT147" i="25"/>
  <c r="Q147" i="25" s="1"/>
  <c r="CK147" i="25"/>
  <c r="N147" i="25" s="1"/>
  <c r="CZ147" i="25"/>
  <c r="S147" i="25" s="1"/>
  <c r="BM147" i="25"/>
  <c r="BP147" i="25"/>
  <c r="DC147" i="25"/>
  <c r="T147" i="25" s="1"/>
  <c r="AK165" i="25"/>
  <c r="CK165" i="25"/>
  <c r="N165" i="25" s="1"/>
  <c r="CZ165" i="25"/>
  <c r="S165" i="25" s="1"/>
  <c r="BM165" i="25"/>
  <c r="BP165" i="25"/>
  <c r="DC165" i="25"/>
  <c r="T165" i="25" s="1"/>
  <c r="CB165" i="25"/>
  <c r="K165" i="25" s="1"/>
  <c r="CN165" i="25"/>
  <c r="CQ165" i="25"/>
  <c r="P165" i="25" s="1"/>
  <c r="CH165" i="25"/>
  <c r="M165" i="25" s="1"/>
  <c r="BS165" i="25"/>
  <c r="BJ165" i="25"/>
  <c r="BY165" i="25"/>
  <c r="CW165" i="25"/>
  <c r="R165" i="25" s="1"/>
  <c r="CE165" i="25"/>
  <c r="L165" i="25" s="1"/>
  <c r="BV165" i="25"/>
  <c r="CT165" i="25"/>
  <c r="Q165" i="25" s="1"/>
  <c r="AK154" i="25"/>
  <c r="BJ154" i="25"/>
  <c r="CK154" i="25"/>
  <c r="CZ154" i="25"/>
  <c r="S154" i="25" s="1"/>
  <c r="CE154" i="25"/>
  <c r="BV154" i="25"/>
  <c r="BM154" i="25"/>
  <c r="BP154" i="25"/>
  <c r="DC154" i="25"/>
  <c r="T154" i="25" s="1"/>
  <c r="CB154" i="25"/>
  <c r="CN154" i="25"/>
  <c r="CQ154" i="25"/>
  <c r="P154" i="25" s="1"/>
  <c r="BS154" i="25"/>
  <c r="BY154" i="25"/>
  <c r="CH154" i="25"/>
  <c r="CW154" i="25"/>
  <c r="R154" i="25" s="1"/>
  <c r="CT154" i="25"/>
  <c r="Q154" i="25" s="1"/>
  <c r="AK157" i="25"/>
  <c r="CK157" i="25"/>
  <c r="CZ157" i="25"/>
  <c r="S157" i="25" s="1"/>
  <c r="BM157" i="25"/>
  <c r="BP157" i="25"/>
  <c r="DC157" i="25"/>
  <c r="T157" i="25" s="1"/>
  <c r="CB157" i="25"/>
  <c r="CN157" i="25"/>
  <c r="CQ157" i="25"/>
  <c r="P157" i="25" s="1"/>
  <c r="CH157" i="25"/>
  <c r="BS157" i="25"/>
  <c r="BJ157" i="25"/>
  <c r="BY157" i="25"/>
  <c r="CW157" i="25"/>
  <c r="R157" i="25" s="1"/>
  <c r="CE157" i="25"/>
  <c r="L157" i="25" s="1"/>
  <c r="BV157" i="25"/>
  <c r="CT157" i="25"/>
  <c r="Q157" i="25" s="1"/>
  <c r="AK176" i="25"/>
  <c r="CK176" i="25"/>
  <c r="N176" i="25" s="1"/>
  <c r="CZ176" i="25"/>
  <c r="S176" i="25" s="1"/>
  <c r="BM176" i="25"/>
  <c r="CB176" i="25"/>
  <c r="K176" i="25" s="1"/>
  <c r="CN176" i="25"/>
  <c r="CQ176" i="25"/>
  <c r="P176" i="25" s="1"/>
  <c r="CH176" i="25"/>
  <c r="CT176" i="25"/>
  <c r="Q176" i="25" s="1"/>
  <c r="BS176" i="25"/>
  <c r="BJ176" i="25"/>
  <c r="BY176" i="25"/>
  <c r="CW176" i="25"/>
  <c r="R176" i="25" s="1"/>
  <c r="CE176" i="25"/>
  <c r="L176" i="25" s="1"/>
  <c r="BV176" i="25"/>
  <c r="BP176" i="25"/>
  <c r="DC176" i="25"/>
  <c r="T176" i="25" s="1"/>
  <c r="AK200" i="25"/>
  <c r="CN200" i="25"/>
  <c r="O200" i="25" s="1"/>
  <c r="CK200" i="25"/>
  <c r="CH200" i="25"/>
  <c r="CZ200" i="25"/>
  <c r="S200" i="25" s="1"/>
  <c r="BM200" i="25"/>
  <c r="BP200" i="25"/>
  <c r="CB200" i="25"/>
  <c r="K200" i="25" s="1"/>
  <c r="BJ200" i="25"/>
  <c r="CE200" i="25"/>
  <c r="L200" i="25" s="1"/>
  <c r="BV200" i="25"/>
  <c r="CT200" i="25"/>
  <c r="Q200" i="25" s="1"/>
  <c r="BY200" i="25"/>
  <c r="CW200" i="25"/>
  <c r="R200" i="25" s="1"/>
  <c r="CQ200" i="25"/>
  <c r="P200" i="25" s="1"/>
  <c r="DC200" i="25"/>
  <c r="T200" i="25" s="1"/>
  <c r="BS200" i="25"/>
  <c r="H200" i="25" s="1"/>
  <c r="AK31" i="25"/>
  <c r="CK31" i="25"/>
  <c r="N31" i="25" s="1"/>
  <c r="CH31" i="25"/>
  <c r="CE31" i="25"/>
  <c r="BM31" i="25"/>
  <c r="BS31" i="25"/>
  <c r="CB31" i="25"/>
  <c r="CT31" i="25"/>
  <c r="Q31" i="25" s="1"/>
  <c r="BP31" i="25"/>
  <c r="CN31" i="25"/>
  <c r="BJ31" i="25"/>
  <c r="BV31" i="25"/>
  <c r="DC31" i="25"/>
  <c r="T31" i="25" s="1"/>
  <c r="BY31" i="25"/>
  <c r="CW31" i="25"/>
  <c r="R31" i="25" s="1"/>
  <c r="CZ31" i="25"/>
  <c r="S31" i="25" s="1"/>
  <c r="CQ31" i="25"/>
  <c r="P31" i="25" s="1"/>
  <c r="AK41" i="25"/>
  <c r="CK41" i="25"/>
  <c r="N41" i="25" s="1"/>
  <c r="CW41" i="25"/>
  <c r="R41" i="25" s="1"/>
  <c r="BM41" i="25"/>
  <c r="F41" i="25" s="1"/>
  <c r="DC41" i="25"/>
  <c r="T41" i="25" s="1"/>
  <c r="CH41" i="25"/>
  <c r="M41" i="25" s="1"/>
  <c r="CZ41" i="25"/>
  <c r="S41" i="25" s="1"/>
  <c r="CQ41" i="25"/>
  <c r="P41" i="25" s="1"/>
  <c r="BJ41" i="25"/>
  <c r="E41" i="25" s="1"/>
  <c r="BV41" i="25"/>
  <c r="I41" i="25" s="1"/>
  <c r="CT41" i="25"/>
  <c r="Q41" i="25" s="1"/>
  <c r="BP41" i="25"/>
  <c r="G41" i="25" s="1"/>
  <c r="BS41" i="25"/>
  <c r="H41" i="25" s="1"/>
  <c r="CB41" i="25"/>
  <c r="K41" i="25" s="1"/>
  <c r="CN41" i="25"/>
  <c r="O41" i="25" s="1"/>
  <c r="BY41" i="25"/>
  <c r="J41" i="25" s="1"/>
  <c r="CE41" i="25"/>
  <c r="L41" i="25" s="1"/>
  <c r="AK73" i="25"/>
  <c r="BY73" i="25"/>
  <c r="CZ73" i="25"/>
  <c r="S73" i="25" s="1"/>
  <c r="BP73" i="25"/>
  <c r="CQ73" i="25"/>
  <c r="P73" i="25" s="1"/>
  <c r="CB73" i="25"/>
  <c r="CN73" i="25"/>
  <c r="O73" i="25" s="1"/>
  <c r="CK73" i="25"/>
  <c r="BM73" i="25"/>
  <c r="CH73" i="25"/>
  <c r="CE73" i="25"/>
  <c r="DC73" i="25"/>
  <c r="T73" i="25" s="1"/>
  <c r="BS73" i="25"/>
  <c r="BJ73" i="25"/>
  <c r="CW73" i="25"/>
  <c r="R73" i="25" s="1"/>
  <c r="BV73" i="25"/>
  <c r="CT73" i="25"/>
  <c r="Q73" i="25" s="1"/>
  <c r="AK102" i="25"/>
  <c r="DC102" i="25"/>
  <c r="T102" i="25" s="1"/>
  <c r="BY102" i="25"/>
  <c r="J102" i="25" s="1"/>
  <c r="CW102" i="25"/>
  <c r="R102" i="25" s="1"/>
  <c r="CQ102" i="25"/>
  <c r="P102" i="25" s="1"/>
  <c r="CK102" i="25"/>
  <c r="N102" i="25" s="1"/>
  <c r="CH102" i="25"/>
  <c r="M102" i="25" s="1"/>
  <c r="CZ102" i="25"/>
  <c r="S102" i="25" s="1"/>
  <c r="BM102" i="25"/>
  <c r="F102" i="25" s="1"/>
  <c r="BP102" i="25"/>
  <c r="G102" i="25" s="1"/>
  <c r="BS102" i="25"/>
  <c r="H102" i="25" s="1"/>
  <c r="CB102" i="25"/>
  <c r="CN102" i="25"/>
  <c r="BJ102" i="25"/>
  <c r="E102" i="25" s="1"/>
  <c r="CE102" i="25"/>
  <c r="BV102" i="25"/>
  <c r="I102" i="25" s="1"/>
  <c r="CT102" i="25"/>
  <c r="AK160" i="25"/>
  <c r="CB160" i="25"/>
  <c r="CN160" i="25"/>
  <c r="O160" i="25" s="1"/>
  <c r="CQ160" i="25"/>
  <c r="P160" i="25" s="1"/>
  <c r="BY160" i="25"/>
  <c r="CH160" i="25"/>
  <c r="CW160" i="25"/>
  <c r="R160" i="25" s="1"/>
  <c r="CT160" i="25"/>
  <c r="Q160" i="25" s="1"/>
  <c r="BS160" i="25"/>
  <c r="BJ160" i="25"/>
  <c r="CK160" i="25"/>
  <c r="CZ160" i="25"/>
  <c r="S160" i="25" s="1"/>
  <c r="CE160" i="25"/>
  <c r="BV160" i="25"/>
  <c r="BM160" i="25"/>
  <c r="BP160" i="25"/>
  <c r="DC160" i="25"/>
  <c r="T160" i="25" s="1"/>
  <c r="O255" i="25"/>
  <c r="AK29" i="25"/>
  <c r="CB29" i="25"/>
  <c r="K29" i="25" s="1"/>
  <c r="BY29" i="25"/>
  <c r="CZ29" i="25"/>
  <c r="S29" i="25" s="1"/>
  <c r="CT29" i="25"/>
  <c r="Q29" i="25" s="1"/>
  <c r="BP29" i="25"/>
  <c r="CN29" i="25"/>
  <c r="O29" i="25" s="1"/>
  <c r="BJ29" i="25"/>
  <c r="CW29" i="25"/>
  <c r="R29" i="25" s="1"/>
  <c r="BV29" i="25"/>
  <c r="BM29" i="25"/>
  <c r="DC29" i="25"/>
  <c r="T29" i="25" s="1"/>
  <c r="CK29" i="25"/>
  <c r="N29" i="25" s="1"/>
  <c r="CQ29" i="25"/>
  <c r="P29" i="25" s="1"/>
  <c r="CH29" i="25"/>
  <c r="CE29" i="25"/>
  <c r="L29" i="25" s="1"/>
  <c r="BS29" i="25"/>
  <c r="AK75" i="25"/>
  <c r="BJ75" i="25"/>
  <c r="E75" i="25" s="1"/>
  <c r="CW75" i="25"/>
  <c r="R75" i="25" s="1"/>
  <c r="BV75" i="25"/>
  <c r="I75" i="25" s="1"/>
  <c r="CT75" i="25"/>
  <c r="Q75" i="25" s="1"/>
  <c r="BY75" i="25"/>
  <c r="CZ75" i="25"/>
  <c r="S75" i="25" s="1"/>
  <c r="BP75" i="25"/>
  <c r="G75" i="25" s="1"/>
  <c r="CQ75" i="25"/>
  <c r="P75" i="25" s="1"/>
  <c r="CB75" i="25"/>
  <c r="K75" i="25" s="1"/>
  <c r="CN75" i="25"/>
  <c r="O75" i="25" s="1"/>
  <c r="CK75" i="25"/>
  <c r="N75" i="25" s="1"/>
  <c r="BM75" i="25"/>
  <c r="F75" i="25" s="1"/>
  <c r="CH75" i="25"/>
  <c r="M75" i="25" s="1"/>
  <c r="CE75" i="25"/>
  <c r="L75" i="25" s="1"/>
  <c r="DC75" i="25"/>
  <c r="T75" i="25" s="1"/>
  <c r="BS75" i="25"/>
  <c r="H75" i="25" s="1"/>
  <c r="AK76" i="25"/>
  <c r="CW76" i="25"/>
  <c r="R76" i="25" s="1"/>
  <c r="DC76" i="25"/>
  <c r="T76" i="25" s="1"/>
  <c r="CZ76" i="25"/>
  <c r="S76" i="25" s="1"/>
  <c r="BP76" i="25"/>
  <c r="CQ76" i="25"/>
  <c r="P76" i="25" s="1"/>
  <c r="CB76" i="25"/>
  <c r="CN76" i="25"/>
  <c r="CH76" i="25"/>
  <c r="BS76" i="25"/>
  <c r="BJ76" i="25"/>
  <c r="CK76" i="25"/>
  <c r="BY76" i="25"/>
  <c r="CE76" i="25"/>
  <c r="BV76" i="25"/>
  <c r="CT76" i="25"/>
  <c r="Q76" i="25" s="1"/>
  <c r="BM76" i="25"/>
  <c r="AK87" i="25"/>
  <c r="CN87" i="25"/>
  <c r="O87" i="25" s="1"/>
  <c r="BS87" i="25"/>
  <c r="H87" i="25" s="1"/>
  <c r="BY87" i="25"/>
  <c r="J87" i="25" s="1"/>
  <c r="CH87" i="25"/>
  <c r="M87" i="25" s="1"/>
  <c r="CW87" i="25"/>
  <c r="R87" i="25" s="1"/>
  <c r="CE87" i="25"/>
  <c r="L87" i="25" s="1"/>
  <c r="BJ87" i="25"/>
  <c r="E87" i="25" s="1"/>
  <c r="CK87" i="25"/>
  <c r="N87" i="25" s="1"/>
  <c r="BV87" i="25"/>
  <c r="I87" i="25" s="1"/>
  <c r="CT87" i="25"/>
  <c r="Q87" i="25" s="1"/>
  <c r="BM87" i="25"/>
  <c r="F87" i="25" s="1"/>
  <c r="DC87" i="25"/>
  <c r="T87" i="25" s="1"/>
  <c r="CB87" i="25"/>
  <c r="K87" i="25" s="1"/>
  <c r="CZ87" i="25"/>
  <c r="S87" i="25" s="1"/>
  <c r="BP87" i="25"/>
  <c r="CQ87" i="25"/>
  <c r="P87" i="25" s="1"/>
  <c r="AK113" i="25"/>
  <c r="CK113" i="25"/>
  <c r="N113" i="25" s="1"/>
  <c r="CH113" i="25"/>
  <c r="M113" i="25" s="1"/>
  <c r="CZ113" i="25"/>
  <c r="S113" i="25" s="1"/>
  <c r="BM113" i="25"/>
  <c r="BP113" i="25"/>
  <c r="BS113" i="25"/>
  <c r="CB113" i="25"/>
  <c r="CN113" i="25"/>
  <c r="O113" i="25" s="1"/>
  <c r="BJ113" i="25"/>
  <c r="CE113" i="25"/>
  <c r="BV113" i="25"/>
  <c r="CT113" i="25"/>
  <c r="Q113" i="25" s="1"/>
  <c r="DC113" i="25"/>
  <c r="T113" i="25" s="1"/>
  <c r="BY113" i="25"/>
  <c r="CW113" i="25"/>
  <c r="R113" i="25" s="1"/>
  <c r="CQ113" i="25"/>
  <c r="P113" i="25" s="1"/>
  <c r="AK116" i="25"/>
  <c r="BY116" i="25"/>
  <c r="J116" i="25" s="1"/>
  <c r="CW116" i="25"/>
  <c r="R116" i="25" s="1"/>
  <c r="CK116" i="25"/>
  <c r="N116" i="25" s="1"/>
  <c r="CH116" i="25"/>
  <c r="M116" i="25" s="1"/>
  <c r="CZ116" i="25"/>
  <c r="S116" i="25" s="1"/>
  <c r="BM116" i="25"/>
  <c r="F116" i="25" s="1"/>
  <c r="BP116" i="25"/>
  <c r="G116" i="25" s="1"/>
  <c r="BS116" i="25"/>
  <c r="H116" i="25" s="1"/>
  <c r="CB116" i="25"/>
  <c r="K116" i="25" s="1"/>
  <c r="CN116" i="25"/>
  <c r="O116" i="25" s="1"/>
  <c r="BJ116" i="25"/>
  <c r="E116" i="25" s="1"/>
  <c r="CE116" i="25"/>
  <c r="L116" i="25" s="1"/>
  <c r="BV116" i="25"/>
  <c r="I116" i="25" s="1"/>
  <c r="CT116" i="25"/>
  <c r="Q116" i="25" s="1"/>
  <c r="CQ116" i="25"/>
  <c r="P116" i="25" s="1"/>
  <c r="DC116" i="25"/>
  <c r="T116" i="25" s="1"/>
  <c r="AK120" i="25"/>
  <c r="CB120" i="25"/>
  <c r="K120" i="25" s="1"/>
  <c r="CN120" i="25"/>
  <c r="BJ120" i="25"/>
  <c r="CE120" i="25"/>
  <c r="BV120" i="25"/>
  <c r="CT120" i="25"/>
  <c r="Q120" i="25" s="1"/>
  <c r="CQ120" i="25"/>
  <c r="P120" i="25" s="1"/>
  <c r="DC120" i="25"/>
  <c r="T120" i="25" s="1"/>
  <c r="BY120" i="25"/>
  <c r="CW120" i="25"/>
  <c r="R120" i="25" s="1"/>
  <c r="CK120" i="25"/>
  <c r="CH120" i="25"/>
  <c r="M120" i="25" s="1"/>
  <c r="CZ120" i="25"/>
  <c r="S120" i="25" s="1"/>
  <c r="BM120" i="25"/>
  <c r="BP120" i="25"/>
  <c r="BS120" i="25"/>
  <c r="AK130" i="25"/>
  <c r="CK130" i="25"/>
  <c r="N130" i="25" s="1"/>
  <c r="CH130" i="25"/>
  <c r="M130" i="25" s="1"/>
  <c r="CZ130" i="25"/>
  <c r="S130" i="25" s="1"/>
  <c r="BM130" i="25"/>
  <c r="BP130" i="25"/>
  <c r="BS130" i="25"/>
  <c r="CB130" i="25"/>
  <c r="K130" i="25" s="1"/>
  <c r="CN130" i="25"/>
  <c r="O130" i="25" s="1"/>
  <c r="BJ130" i="25"/>
  <c r="CE130" i="25"/>
  <c r="L130" i="25" s="1"/>
  <c r="BV130" i="25"/>
  <c r="CT130" i="25"/>
  <c r="Q130" i="25" s="1"/>
  <c r="CQ130" i="25"/>
  <c r="P130" i="25" s="1"/>
  <c r="DC130" i="25"/>
  <c r="T130" i="25" s="1"/>
  <c r="BY130" i="25"/>
  <c r="CW130" i="25"/>
  <c r="R130" i="25" s="1"/>
  <c r="AK151" i="25"/>
  <c r="BJ151" i="25"/>
  <c r="BY151" i="25"/>
  <c r="CW151" i="25"/>
  <c r="R151" i="25" s="1"/>
  <c r="CE151" i="25"/>
  <c r="BV151" i="25"/>
  <c r="CT151" i="25"/>
  <c r="Q151" i="25" s="1"/>
  <c r="CK151" i="25"/>
  <c r="CZ151" i="25"/>
  <c r="S151" i="25" s="1"/>
  <c r="BM151" i="25"/>
  <c r="BP151" i="25"/>
  <c r="DC151" i="25"/>
  <c r="T151" i="25" s="1"/>
  <c r="CB151" i="25"/>
  <c r="CN151" i="25"/>
  <c r="CQ151" i="25"/>
  <c r="P151" i="25" s="1"/>
  <c r="CH151" i="25"/>
  <c r="BS151" i="25"/>
  <c r="AK167" i="25"/>
  <c r="CB167" i="25"/>
  <c r="K167" i="25" s="1"/>
  <c r="CN167" i="25"/>
  <c r="O167" i="25" s="1"/>
  <c r="BJ167" i="25"/>
  <c r="E167" i="25" s="1"/>
  <c r="BY167" i="25"/>
  <c r="J167" i="25" s="1"/>
  <c r="CW167" i="25"/>
  <c r="R167" i="25" s="1"/>
  <c r="CE167" i="25"/>
  <c r="L167" i="25" s="1"/>
  <c r="BV167" i="25"/>
  <c r="CZ167" i="25"/>
  <c r="S167" i="25" s="1"/>
  <c r="CT167" i="25"/>
  <c r="Q167" i="25" s="1"/>
  <c r="BM167" i="25"/>
  <c r="F167" i="25" s="1"/>
  <c r="DC167" i="25"/>
  <c r="T167" i="25" s="1"/>
  <c r="BP167" i="25"/>
  <c r="G167" i="25" s="1"/>
  <c r="CQ167" i="25"/>
  <c r="P167" i="25" s="1"/>
  <c r="CK167" i="25"/>
  <c r="N167" i="25" s="1"/>
  <c r="CH167" i="25"/>
  <c r="M167" i="25" s="1"/>
  <c r="BS167" i="25"/>
  <c r="H167" i="25" s="1"/>
  <c r="AK150" i="25"/>
  <c r="CQ150" i="25"/>
  <c r="P150" i="25" s="1"/>
  <c r="BY150" i="25"/>
  <c r="CH150" i="25"/>
  <c r="CW150" i="25"/>
  <c r="R150" i="25" s="1"/>
  <c r="CT150" i="25"/>
  <c r="Q150" i="25" s="1"/>
  <c r="BS150" i="25"/>
  <c r="BJ150" i="25"/>
  <c r="CK150" i="25"/>
  <c r="CZ150" i="25"/>
  <c r="S150" i="25" s="1"/>
  <c r="CE150" i="25"/>
  <c r="BV150" i="25"/>
  <c r="BM150" i="25"/>
  <c r="BP150" i="25"/>
  <c r="DC150" i="25"/>
  <c r="T150" i="25" s="1"/>
  <c r="CB150" i="25"/>
  <c r="CN150" i="25"/>
  <c r="AK191" i="25"/>
  <c r="CK191" i="25"/>
  <c r="BY191" i="25"/>
  <c r="CH191" i="25"/>
  <c r="M191" i="25" s="1"/>
  <c r="CW191" i="25"/>
  <c r="R191" i="25" s="1"/>
  <c r="CE191" i="25"/>
  <c r="L191" i="25" s="1"/>
  <c r="BP191" i="25"/>
  <c r="CB191" i="25"/>
  <c r="CN191" i="25"/>
  <c r="BJ191" i="25"/>
  <c r="CZ191" i="25"/>
  <c r="S191" i="25" s="1"/>
  <c r="BV191" i="25"/>
  <c r="CT191" i="25"/>
  <c r="Q191" i="25" s="1"/>
  <c r="BM191" i="25"/>
  <c r="DC191" i="25"/>
  <c r="T191" i="25" s="1"/>
  <c r="CQ191" i="25"/>
  <c r="P191" i="25" s="1"/>
  <c r="BS191" i="25"/>
  <c r="K240" i="25"/>
  <c r="F240" i="25"/>
  <c r="AN205" i="25"/>
  <c r="AO205" i="25" s="1"/>
  <c r="AT205" i="25"/>
  <c r="AN258" i="25"/>
  <c r="AO258" i="25" s="1"/>
  <c r="AT258" i="25"/>
  <c r="AN250" i="25"/>
  <c r="AO250" i="25" s="1"/>
  <c r="AT250" i="25"/>
  <c r="AN202" i="25"/>
  <c r="AO202" i="25" s="1"/>
  <c r="AT202" i="25"/>
  <c r="AN249" i="25"/>
  <c r="AO249" i="25" s="1"/>
  <c r="AT249" i="25"/>
  <c r="AN237" i="25"/>
  <c r="AO237" i="25" s="1"/>
  <c r="AT237" i="25"/>
  <c r="AN232" i="25"/>
  <c r="AO232" i="25" s="1"/>
  <c r="AT232" i="25"/>
  <c r="AN206" i="25"/>
  <c r="AO206" i="25" s="1"/>
  <c r="AT206" i="25"/>
  <c r="AN255" i="25"/>
  <c r="AO255" i="25" s="1"/>
  <c r="AT255" i="25"/>
  <c r="AN236" i="25"/>
  <c r="AO236" i="25" s="1"/>
  <c r="AT236" i="25"/>
  <c r="AN228" i="25"/>
  <c r="AO228" i="25" s="1"/>
  <c r="AT228" i="25"/>
  <c r="AN222" i="25"/>
  <c r="AO222" i="25" s="1"/>
  <c r="AT222" i="25"/>
  <c r="AN217" i="25"/>
  <c r="AO217" i="25" s="1"/>
  <c r="AT217" i="25"/>
  <c r="AN199" i="25"/>
  <c r="AO199" i="25" s="1"/>
  <c r="AT199" i="25"/>
  <c r="AN193" i="25"/>
  <c r="AO193" i="25" s="1"/>
  <c r="AT193" i="25"/>
  <c r="AN185" i="25"/>
  <c r="AO185" i="25" s="1"/>
  <c r="AT185" i="25"/>
  <c r="AN172" i="25"/>
  <c r="AO172" i="25" s="1"/>
  <c r="AT172" i="25"/>
  <c r="AN188" i="25"/>
  <c r="AO188" i="25" s="1"/>
  <c r="AT188" i="25"/>
  <c r="AN178" i="25"/>
  <c r="AO178" i="25" s="1"/>
  <c r="AT178" i="25"/>
  <c r="AN190" i="25"/>
  <c r="AO190" i="25" s="1"/>
  <c r="AT190" i="25"/>
  <c r="AN177" i="25"/>
  <c r="AO177" i="25" s="1"/>
  <c r="AT177" i="25"/>
  <c r="AN179" i="25"/>
  <c r="AO179" i="25" s="1"/>
  <c r="AT179" i="25"/>
  <c r="AN154" i="25"/>
  <c r="AO154" i="25" s="1"/>
  <c r="AT154" i="25"/>
  <c r="AN146" i="25"/>
  <c r="AO146" i="25" s="1"/>
  <c r="AT146" i="25"/>
  <c r="AN157" i="25"/>
  <c r="AO157" i="25" s="1"/>
  <c r="AT157" i="25"/>
  <c r="AN143" i="25"/>
  <c r="AO143" i="25" s="1"/>
  <c r="AT143" i="25"/>
  <c r="AN159" i="25"/>
  <c r="AO159" i="25" s="1"/>
  <c r="AT159" i="25"/>
  <c r="AN155" i="25"/>
  <c r="AO155" i="25" s="1"/>
  <c r="AT155" i="25"/>
  <c r="AN141" i="25"/>
  <c r="AO141" i="25" s="1"/>
  <c r="AT141" i="25"/>
  <c r="AN165" i="25"/>
  <c r="AO165" i="25" s="1"/>
  <c r="AT165" i="25"/>
  <c r="AN161" i="25"/>
  <c r="AO161" i="25" s="1"/>
  <c r="AT161" i="25"/>
  <c r="AN113" i="25"/>
  <c r="AO113" i="25" s="1"/>
  <c r="AT113" i="25"/>
  <c r="AN138" i="25"/>
  <c r="AO138" i="25" s="1"/>
  <c r="AT138" i="25"/>
  <c r="AN133" i="25"/>
  <c r="AO133" i="25" s="1"/>
  <c r="AT133" i="25"/>
  <c r="AN112" i="25"/>
  <c r="AO112" i="25" s="1"/>
  <c r="AT112" i="25"/>
  <c r="AN132" i="25"/>
  <c r="AO132" i="25" s="1"/>
  <c r="AT132" i="25"/>
  <c r="AN120" i="25"/>
  <c r="AO120" i="25" s="1"/>
  <c r="AT120" i="25"/>
  <c r="AN99" i="25"/>
  <c r="AO99" i="25" s="1"/>
  <c r="AT99" i="25"/>
  <c r="AN95" i="25"/>
  <c r="AO95" i="25" s="1"/>
  <c r="AT95" i="25"/>
  <c r="AN101" i="25"/>
  <c r="AO101" i="25" s="1"/>
  <c r="AT101" i="25"/>
  <c r="AN94" i="25"/>
  <c r="AO94" i="25" s="1"/>
  <c r="AT94" i="25"/>
  <c r="AN87" i="25"/>
  <c r="AO87" i="25" s="1"/>
  <c r="AT87" i="25"/>
  <c r="AN83" i="25"/>
  <c r="AO83" i="25" s="1"/>
  <c r="AT83" i="25"/>
  <c r="AN91" i="25"/>
  <c r="AO91" i="25" s="1"/>
  <c r="AT91" i="25"/>
  <c r="AN77" i="25"/>
  <c r="AO77" i="25" s="1"/>
  <c r="AT77" i="25"/>
  <c r="AN86" i="25"/>
  <c r="AO86" i="25" s="1"/>
  <c r="AT86" i="25"/>
  <c r="AN73" i="25"/>
  <c r="AO73" i="25" s="1"/>
  <c r="AT73" i="25"/>
  <c r="AN67" i="25"/>
  <c r="AO67" i="25" s="1"/>
  <c r="AT67" i="25"/>
  <c r="AN72" i="25"/>
  <c r="AO72" i="25" s="1"/>
  <c r="AT72" i="25"/>
  <c r="AN68" i="25"/>
  <c r="AO68" i="25" s="1"/>
  <c r="AT68" i="25"/>
  <c r="AN74" i="25"/>
  <c r="AO74" i="25" s="1"/>
  <c r="AT74" i="25"/>
  <c r="AN55" i="25"/>
  <c r="AO55" i="25" s="1"/>
  <c r="AT55" i="25"/>
  <c r="AN48" i="25"/>
  <c r="AO48" i="25" s="1"/>
  <c r="AT48" i="25"/>
  <c r="AN61" i="25"/>
  <c r="AO61" i="25" s="1"/>
  <c r="AT61" i="25"/>
  <c r="AN50" i="25"/>
  <c r="AO50" i="25" s="1"/>
  <c r="AT50" i="25"/>
  <c r="AN53" i="25"/>
  <c r="AO53" i="25" s="1"/>
  <c r="AT53" i="25"/>
  <c r="AN41" i="25"/>
  <c r="AO41" i="25" s="1"/>
  <c r="AT41" i="25"/>
  <c r="AN42" i="25"/>
  <c r="AO42" i="25" s="1"/>
  <c r="AT42" i="25"/>
  <c r="AN34" i="25"/>
  <c r="AO34" i="25" s="1"/>
  <c r="AT34" i="25"/>
  <c r="AN36" i="25"/>
  <c r="AO36" i="25" s="1"/>
  <c r="AT36" i="25"/>
  <c r="AN32" i="25"/>
  <c r="AO32" i="25" s="1"/>
  <c r="AT32" i="25"/>
  <c r="AN33" i="25"/>
  <c r="AO33" i="25" s="1"/>
  <c r="AT33" i="25"/>
  <c r="AN27" i="25"/>
  <c r="AO27" i="25" s="1"/>
  <c r="AT27" i="25"/>
  <c r="AN21" i="25"/>
  <c r="AO21" i="25" s="1"/>
  <c r="AT21" i="25"/>
  <c r="AN20" i="25"/>
  <c r="AO20" i="25" s="1"/>
  <c r="AT20" i="25"/>
  <c r="AN17" i="25"/>
  <c r="AO17" i="25" s="1"/>
  <c r="AT17" i="25"/>
  <c r="AN14" i="25"/>
  <c r="AO14" i="25" s="1"/>
  <c r="AT14" i="25"/>
  <c r="AK34" i="25"/>
  <c r="CN34" i="25"/>
  <c r="O34" i="25" s="1"/>
  <c r="DC34" i="25"/>
  <c r="T34" i="25" s="1"/>
  <c r="CB34" i="25"/>
  <c r="K34" i="25" s="1"/>
  <c r="CZ34" i="25"/>
  <c r="S34" i="25" s="1"/>
  <c r="BP34" i="25"/>
  <c r="G34" i="25" s="1"/>
  <c r="CQ34" i="25"/>
  <c r="P34" i="25" s="1"/>
  <c r="BY34" i="25"/>
  <c r="J34" i="25" s="1"/>
  <c r="CH34" i="25"/>
  <c r="M34" i="25" s="1"/>
  <c r="BJ34" i="25"/>
  <c r="E34" i="25" s="1"/>
  <c r="CK34" i="25"/>
  <c r="N34" i="25" s="1"/>
  <c r="CW34" i="25"/>
  <c r="R34" i="25" s="1"/>
  <c r="CE34" i="25"/>
  <c r="L34" i="25" s="1"/>
  <c r="BV34" i="25"/>
  <c r="I34" i="25" s="1"/>
  <c r="CT34" i="25"/>
  <c r="Q34" i="25" s="1"/>
  <c r="BM34" i="25"/>
  <c r="F34" i="25" s="1"/>
  <c r="BS34" i="25"/>
  <c r="H34" i="25" s="1"/>
  <c r="AK128" i="25"/>
  <c r="CB128" i="25"/>
  <c r="CN128" i="25"/>
  <c r="BJ128" i="25"/>
  <c r="CE128" i="25"/>
  <c r="L128" i="25" s="1"/>
  <c r="BV128" i="25"/>
  <c r="CT128" i="25"/>
  <c r="Q128" i="25" s="1"/>
  <c r="CQ128" i="25"/>
  <c r="P128" i="25" s="1"/>
  <c r="DC128" i="25"/>
  <c r="T128" i="25" s="1"/>
  <c r="BY128" i="25"/>
  <c r="CW128" i="25"/>
  <c r="R128" i="25" s="1"/>
  <c r="BS128" i="25"/>
  <c r="CK128" i="25"/>
  <c r="N128" i="25" s="1"/>
  <c r="CH128" i="25"/>
  <c r="M128" i="25" s="1"/>
  <c r="CZ128" i="25"/>
  <c r="S128" i="25" s="1"/>
  <c r="BM128" i="25"/>
  <c r="BP128" i="25"/>
  <c r="AK131" i="25"/>
  <c r="BY131" i="25"/>
  <c r="CW131" i="25"/>
  <c r="R131" i="25" s="1"/>
  <c r="CQ131" i="25"/>
  <c r="P131" i="25" s="1"/>
  <c r="CK131" i="25"/>
  <c r="CH131" i="25"/>
  <c r="CZ131" i="25"/>
  <c r="S131" i="25" s="1"/>
  <c r="BM131" i="25"/>
  <c r="BP131" i="25"/>
  <c r="BS131" i="25"/>
  <c r="CB131" i="25"/>
  <c r="CN131" i="25"/>
  <c r="BJ131" i="25"/>
  <c r="CE131" i="25"/>
  <c r="BV131" i="25"/>
  <c r="CT131" i="25"/>
  <c r="Q131" i="25" s="1"/>
  <c r="DC131" i="25"/>
  <c r="T131" i="25" s="1"/>
  <c r="AK181" i="25"/>
  <c r="CB181" i="25"/>
  <c r="CN181" i="25"/>
  <c r="BJ181" i="25"/>
  <c r="CZ181" i="25"/>
  <c r="S181" i="25" s="1"/>
  <c r="BV181" i="25"/>
  <c r="CT181" i="25"/>
  <c r="Q181" i="25" s="1"/>
  <c r="BM181" i="25"/>
  <c r="DC181" i="25"/>
  <c r="T181" i="25" s="1"/>
  <c r="CQ181" i="25"/>
  <c r="P181" i="25" s="1"/>
  <c r="BS181" i="25"/>
  <c r="CK181" i="25"/>
  <c r="N181" i="25" s="1"/>
  <c r="BY181" i="25"/>
  <c r="CH181" i="25"/>
  <c r="CW181" i="25"/>
  <c r="R181" i="25" s="1"/>
  <c r="CE181" i="25"/>
  <c r="BP181" i="25"/>
  <c r="AK192" i="25"/>
  <c r="CK192" i="25"/>
  <c r="CZ192" i="25"/>
  <c r="S192" i="25" s="1"/>
  <c r="BM192" i="25"/>
  <c r="CB192" i="25"/>
  <c r="K192" i="25" s="1"/>
  <c r="CN192" i="25"/>
  <c r="O192" i="25" s="1"/>
  <c r="CQ192" i="25"/>
  <c r="P192" i="25" s="1"/>
  <c r="CH192" i="25"/>
  <c r="CT192" i="25"/>
  <c r="Q192" i="25" s="1"/>
  <c r="BS192" i="25"/>
  <c r="BJ192" i="25"/>
  <c r="BY192" i="25"/>
  <c r="CW192" i="25"/>
  <c r="R192" i="25" s="1"/>
  <c r="CE192" i="25"/>
  <c r="L192" i="25" s="1"/>
  <c r="BV192" i="25"/>
  <c r="BP192" i="25"/>
  <c r="DC192" i="25"/>
  <c r="T192" i="25" s="1"/>
  <c r="AK30" i="25"/>
  <c r="CH30" i="25"/>
  <c r="CZ30" i="25"/>
  <c r="S30" i="25" s="1"/>
  <c r="CB30" i="25"/>
  <c r="K30" i="25" s="1"/>
  <c r="BJ30" i="25"/>
  <c r="BV30" i="25"/>
  <c r="CT30" i="25"/>
  <c r="Q30" i="25" s="1"/>
  <c r="DC30" i="25"/>
  <c r="T30" i="25" s="1"/>
  <c r="BY30" i="25"/>
  <c r="CW30" i="25"/>
  <c r="R30" i="25" s="1"/>
  <c r="BP30" i="25"/>
  <c r="CQ30" i="25"/>
  <c r="P30" i="25" s="1"/>
  <c r="BS30" i="25"/>
  <c r="CN30" i="25"/>
  <c r="CK30" i="25"/>
  <c r="N30" i="25" s="1"/>
  <c r="CE30" i="25"/>
  <c r="BM30" i="25"/>
  <c r="AK68" i="25"/>
  <c r="CB68" i="25"/>
  <c r="K68" i="25" s="1"/>
  <c r="DC68" i="25"/>
  <c r="T68" i="25" s="1"/>
  <c r="CN68" i="25"/>
  <c r="O68" i="25" s="1"/>
  <c r="CQ68" i="25"/>
  <c r="P68" i="25" s="1"/>
  <c r="CH68" i="25"/>
  <c r="M68" i="25" s="1"/>
  <c r="CW68" i="25"/>
  <c r="R68" i="25" s="1"/>
  <c r="BS68" i="25"/>
  <c r="BJ68" i="25"/>
  <c r="CK68" i="25"/>
  <c r="N68" i="25" s="1"/>
  <c r="BY68" i="25"/>
  <c r="CZ68" i="25"/>
  <c r="S68" i="25" s="1"/>
  <c r="CE68" i="25"/>
  <c r="L68" i="25" s="1"/>
  <c r="BV68" i="25"/>
  <c r="CT68" i="25"/>
  <c r="Q68" i="25" s="1"/>
  <c r="BM68" i="25"/>
  <c r="BP68" i="25"/>
  <c r="AK71" i="25"/>
  <c r="CB71" i="25"/>
  <c r="CN71" i="25"/>
  <c r="CK71" i="25"/>
  <c r="N71" i="25" s="1"/>
  <c r="BM71" i="25"/>
  <c r="CH71" i="25"/>
  <c r="M71" i="25" s="1"/>
  <c r="CE71" i="25"/>
  <c r="L71" i="25" s="1"/>
  <c r="DC71" i="25"/>
  <c r="T71" i="25" s="1"/>
  <c r="BS71" i="25"/>
  <c r="BJ71" i="25"/>
  <c r="CW71" i="25"/>
  <c r="R71" i="25" s="1"/>
  <c r="BV71" i="25"/>
  <c r="CT71" i="25"/>
  <c r="Q71" i="25" s="1"/>
  <c r="BY71" i="25"/>
  <c r="CZ71" i="25"/>
  <c r="S71" i="25" s="1"/>
  <c r="BP71" i="25"/>
  <c r="CQ71" i="25"/>
  <c r="P71" i="25" s="1"/>
  <c r="AK94" i="25"/>
  <c r="DC94" i="25"/>
  <c r="T94" i="25" s="1"/>
  <c r="BY94" i="25"/>
  <c r="CW94" i="25"/>
  <c r="R94" i="25" s="1"/>
  <c r="CQ94" i="25"/>
  <c r="P94" i="25" s="1"/>
  <c r="CK94" i="25"/>
  <c r="CH94" i="25"/>
  <c r="CZ94" i="25"/>
  <c r="S94" i="25" s="1"/>
  <c r="BM94" i="25"/>
  <c r="BP94" i="25"/>
  <c r="BS94" i="25"/>
  <c r="CB94" i="25"/>
  <c r="CN94" i="25"/>
  <c r="BJ94" i="25"/>
  <c r="CE94" i="25"/>
  <c r="BV94" i="25"/>
  <c r="CT94" i="25"/>
  <c r="Q94" i="25" s="1"/>
  <c r="AK109" i="25"/>
  <c r="DC109" i="25"/>
  <c r="T109" i="25" s="1"/>
  <c r="BY109" i="25"/>
  <c r="CW109" i="25"/>
  <c r="R109" i="25" s="1"/>
  <c r="CQ109" i="25"/>
  <c r="P109" i="25" s="1"/>
  <c r="CK109" i="25"/>
  <c r="N109" i="25" s="1"/>
  <c r="CH109" i="25"/>
  <c r="CZ109" i="25"/>
  <c r="S109" i="25" s="1"/>
  <c r="BM109" i="25"/>
  <c r="BP109" i="25"/>
  <c r="BS109" i="25"/>
  <c r="CB109" i="25"/>
  <c r="K109" i="25" s="1"/>
  <c r="CN109" i="25"/>
  <c r="BJ109" i="25"/>
  <c r="CE109" i="25"/>
  <c r="L109" i="25" s="1"/>
  <c r="BV109" i="25"/>
  <c r="CT109" i="25"/>
  <c r="Q109" i="25" s="1"/>
  <c r="AK170" i="25"/>
  <c r="BJ170" i="25"/>
  <c r="BY170" i="25"/>
  <c r="CW170" i="25"/>
  <c r="R170" i="25" s="1"/>
  <c r="CE170" i="25"/>
  <c r="BV170" i="25"/>
  <c r="BP170" i="25"/>
  <c r="DC170" i="25"/>
  <c r="T170" i="25" s="1"/>
  <c r="CK170" i="25"/>
  <c r="CZ170" i="25"/>
  <c r="S170" i="25" s="1"/>
  <c r="BM170" i="25"/>
  <c r="CB170" i="25"/>
  <c r="CN170" i="25"/>
  <c r="CQ170" i="25"/>
  <c r="P170" i="25" s="1"/>
  <c r="BS170" i="25"/>
  <c r="CH170" i="25"/>
  <c r="CT170" i="25"/>
  <c r="Q170" i="25" s="1"/>
  <c r="AK175" i="25"/>
  <c r="CK175" i="25"/>
  <c r="N175" i="25" s="1"/>
  <c r="BY175" i="25"/>
  <c r="CH175" i="25"/>
  <c r="M175" i="25" s="1"/>
  <c r="CW175" i="25"/>
  <c r="R175" i="25" s="1"/>
  <c r="CE175" i="25"/>
  <c r="L175" i="25" s="1"/>
  <c r="BP175" i="25"/>
  <c r="CB175" i="25"/>
  <c r="K175" i="25" s="1"/>
  <c r="CN175" i="25"/>
  <c r="O175" i="25" s="1"/>
  <c r="BJ175" i="25"/>
  <c r="CZ175" i="25"/>
  <c r="S175" i="25" s="1"/>
  <c r="BV175" i="25"/>
  <c r="CT175" i="25"/>
  <c r="Q175" i="25" s="1"/>
  <c r="BM175" i="25"/>
  <c r="DC175" i="25"/>
  <c r="T175" i="25" s="1"/>
  <c r="CQ175" i="25"/>
  <c r="P175" i="25" s="1"/>
  <c r="BS175" i="25"/>
  <c r="AK26" i="25"/>
  <c r="CH26" i="25"/>
  <c r="M26" i="25" s="1"/>
  <c r="CQ26" i="25"/>
  <c r="P26" i="25" s="1"/>
  <c r="CZ26" i="25"/>
  <c r="S26" i="25" s="1"/>
  <c r="CE26" i="25"/>
  <c r="L26" i="25" s="1"/>
  <c r="CT26" i="25"/>
  <c r="Q26" i="25" s="1"/>
  <c r="BP26" i="25"/>
  <c r="BS26" i="25"/>
  <c r="CB26" i="25"/>
  <c r="K26" i="25" s="1"/>
  <c r="CN26" i="25"/>
  <c r="BJ26" i="25"/>
  <c r="E26" i="25" s="1"/>
  <c r="BY26" i="25"/>
  <c r="CW26" i="25"/>
  <c r="R26" i="25" s="1"/>
  <c r="BV26" i="25"/>
  <c r="BM26" i="25"/>
  <c r="CK26" i="25"/>
  <c r="DC26" i="25"/>
  <c r="T26" i="25" s="1"/>
  <c r="AK46" i="25"/>
  <c r="CB46" i="25"/>
  <c r="CN46" i="25"/>
  <c r="CK46" i="25"/>
  <c r="BM46" i="25"/>
  <c r="CH46" i="25"/>
  <c r="CQ46" i="25"/>
  <c r="P46" i="25" s="1"/>
  <c r="BJ46" i="25"/>
  <c r="CZ46" i="25"/>
  <c r="S46" i="25" s="1"/>
  <c r="CE46" i="25"/>
  <c r="BV46" i="25"/>
  <c r="CT46" i="25"/>
  <c r="Q46" i="25" s="1"/>
  <c r="BS46" i="25"/>
  <c r="BY46" i="25"/>
  <c r="CW46" i="25"/>
  <c r="R46" i="25" s="1"/>
  <c r="BP46" i="25"/>
  <c r="DC46" i="25"/>
  <c r="T46" i="25" s="1"/>
  <c r="AK57" i="25"/>
  <c r="CK57" i="25"/>
  <c r="BY57" i="25"/>
  <c r="CH57" i="25"/>
  <c r="CW57" i="25"/>
  <c r="R57" i="25" s="1"/>
  <c r="BM57" i="25"/>
  <c r="BS57" i="25"/>
  <c r="BJ57" i="25"/>
  <c r="CZ57" i="25"/>
  <c r="S57" i="25" s="1"/>
  <c r="CE57" i="25"/>
  <c r="L57" i="25" s="1"/>
  <c r="BV57" i="25"/>
  <c r="CT57" i="25"/>
  <c r="Q57" i="25" s="1"/>
  <c r="BP57" i="25"/>
  <c r="DC57" i="25"/>
  <c r="T57" i="25" s="1"/>
  <c r="CB57" i="25"/>
  <c r="K57" i="25" s="1"/>
  <c r="CN57" i="25"/>
  <c r="O57" i="25" s="1"/>
  <c r="CQ57" i="25"/>
  <c r="P57" i="25" s="1"/>
  <c r="AK69" i="25"/>
  <c r="CH69" i="25"/>
  <c r="M69" i="25" s="1"/>
  <c r="CE69" i="25"/>
  <c r="L69" i="25" s="1"/>
  <c r="DC69" i="25"/>
  <c r="T69" i="25" s="1"/>
  <c r="BS69" i="25"/>
  <c r="BJ69" i="25"/>
  <c r="CW69" i="25"/>
  <c r="R69" i="25" s="1"/>
  <c r="BV69" i="25"/>
  <c r="CT69" i="25"/>
  <c r="Q69" i="25" s="1"/>
  <c r="BY69" i="25"/>
  <c r="CZ69" i="25"/>
  <c r="S69" i="25" s="1"/>
  <c r="BP69" i="25"/>
  <c r="CQ69" i="25"/>
  <c r="P69" i="25" s="1"/>
  <c r="CB69" i="25"/>
  <c r="K69" i="25" s="1"/>
  <c r="CN69" i="25"/>
  <c r="O69" i="25" s="1"/>
  <c r="CK69" i="25"/>
  <c r="N69" i="25" s="1"/>
  <c r="BM69" i="25"/>
  <c r="AK77" i="25"/>
  <c r="CH77" i="25"/>
  <c r="DC77" i="25"/>
  <c r="T77" i="25" s="1"/>
  <c r="BJ77" i="25"/>
  <c r="CW77" i="25"/>
  <c r="R77" i="25" s="1"/>
  <c r="BV77" i="25"/>
  <c r="CT77" i="25"/>
  <c r="Q77" i="25" s="1"/>
  <c r="CQ77" i="25"/>
  <c r="P77" i="25" s="1"/>
  <c r="BY77" i="25"/>
  <c r="CZ77" i="25"/>
  <c r="S77" i="25" s="1"/>
  <c r="BP77" i="25"/>
  <c r="BS77" i="25"/>
  <c r="CB77" i="25"/>
  <c r="CN77" i="25"/>
  <c r="O77" i="25" s="1"/>
  <c r="CK77" i="25"/>
  <c r="N77" i="25" s="1"/>
  <c r="CE77" i="25"/>
  <c r="L77" i="25" s="1"/>
  <c r="BM77" i="25"/>
  <c r="AK125" i="25"/>
  <c r="DC125" i="25"/>
  <c r="T125" i="25" s="1"/>
  <c r="BY125" i="25"/>
  <c r="CW125" i="25"/>
  <c r="R125" i="25" s="1"/>
  <c r="CQ125" i="25"/>
  <c r="P125" i="25" s="1"/>
  <c r="CK125" i="25"/>
  <c r="CH125" i="25"/>
  <c r="M125" i="25" s="1"/>
  <c r="CZ125" i="25"/>
  <c r="S125" i="25" s="1"/>
  <c r="BM125" i="25"/>
  <c r="BP125" i="25"/>
  <c r="BS125" i="25"/>
  <c r="CB125" i="25"/>
  <c r="K125" i="25" s="1"/>
  <c r="CN125" i="25"/>
  <c r="O125" i="25" s="1"/>
  <c r="BJ125" i="25"/>
  <c r="CE125" i="25"/>
  <c r="L125" i="25" s="1"/>
  <c r="BV125" i="25"/>
  <c r="CT125" i="25"/>
  <c r="Q125" i="25" s="1"/>
  <c r="AK168" i="25"/>
  <c r="CK168" i="25"/>
  <c r="CZ168" i="25"/>
  <c r="S168" i="25" s="1"/>
  <c r="BM168" i="25"/>
  <c r="F168" i="25" s="1"/>
  <c r="CB168" i="25"/>
  <c r="K168" i="25" s="1"/>
  <c r="CN168" i="25"/>
  <c r="O168" i="25" s="1"/>
  <c r="CQ168" i="25"/>
  <c r="P168" i="25" s="1"/>
  <c r="CH168" i="25"/>
  <c r="M168" i="25" s="1"/>
  <c r="CT168" i="25"/>
  <c r="Q168" i="25" s="1"/>
  <c r="BS168" i="25"/>
  <c r="H168" i="25" s="1"/>
  <c r="BJ168" i="25"/>
  <c r="BY168" i="25"/>
  <c r="CW168" i="25"/>
  <c r="R168" i="25" s="1"/>
  <c r="CE168" i="25"/>
  <c r="L168" i="25" s="1"/>
  <c r="BV168" i="25"/>
  <c r="BP168" i="25"/>
  <c r="DC168" i="25"/>
  <c r="T168" i="25" s="1"/>
  <c r="AK196" i="25"/>
  <c r="CH196" i="25"/>
  <c r="CT196" i="25"/>
  <c r="Q196" i="25" s="1"/>
  <c r="BJ196" i="25"/>
  <c r="BY196" i="25"/>
  <c r="CW196" i="25"/>
  <c r="R196" i="25" s="1"/>
  <c r="CE196" i="25"/>
  <c r="BV196" i="25"/>
  <c r="BP196" i="25"/>
  <c r="DC196" i="25"/>
  <c r="T196" i="25" s="1"/>
  <c r="CK196" i="25"/>
  <c r="BM196" i="25"/>
  <c r="BS196" i="25"/>
  <c r="CB196" i="25"/>
  <c r="CN196" i="25"/>
  <c r="CZ196" i="25"/>
  <c r="S196" i="25" s="1"/>
  <c r="CQ196" i="25"/>
  <c r="P196" i="25" s="1"/>
  <c r="AK202" i="25"/>
  <c r="BY202" i="25"/>
  <c r="CW202" i="25"/>
  <c r="R202" i="25" s="1"/>
  <c r="CQ202" i="25"/>
  <c r="P202" i="25" s="1"/>
  <c r="DC202" i="25"/>
  <c r="T202" i="25" s="1"/>
  <c r="CN202" i="25"/>
  <c r="O202" i="25" s="1"/>
  <c r="CK202" i="25"/>
  <c r="CH202" i="25"/>
  <c r="M202" i="25" s="1"/>
  <c r="CZ202" i="25"/>
  <c r="S202" i="25" s="1"/>
  <c r="BM202" i="25"/>
  <c r="BP202" i="25"/>
  <c r="CB202" i="25"/>
  <c r="K202" i="25" s="1"/>
  <c r="BJ202" i="25"/>
  <c r="CE202" i="25"/>
  <c r="L202" i="25" s="1"/>
  <c r="BV202" i="25"/>
  <c r="CT202" i="25"/>
  <c r="Q202" i="25" s="1"/>
  <c r="BS202" i="25"/>
  <c r="AK199" i="25"/>
  <c r="CK199" i="25"/>
  <c r="N199" i="25" s="1"/>
  <c r="CE199" i="25"/>
  <c r="BM199" i="25"/>
  <c r="BP199" i="25"/>
  <c r="CB199" i="25"/>
  <c r="CN199" i="25"/>
  <c r="O199" i="25" s="1"/>
  <c r="BJ199" i="25"/>
  <c r="DC199" i="25"/>
  <c r="T199" i="25" s="1"/>
  <c r="CH199" i="25"/>
  <c r="BV199" i="25"/>
  <c r="CT199" i="25"/>
  <c r="Q199" i="25" s="1"/>
  <c r="CQ199" i="25"/>
  <c r="P199" i="25" s="1"/>
  <c r="BY199" i="25"/>
  <c r="CW199" i="25"/>
  <c r="R199" i="25" s="1"/>
  <c r="CZ199" i="25"/>
  <c r="S199" i="25" s="1"/>
  <c r="BS199" i="25"/>
  <c r="AK48" i="25"/>
  <c r="CK48" i="25"/>
  <c r="BY48" i="25"/>
  <c r="CH48" i="25"/>
  <c r="CW48" i="25"/>
  <c r="R48" i="25" s="1"/>
  <c r="BM48" i="25"/>
  <c r="CQ48" i="25"/>
  <c r="P48" i="25" s="1"/>
  <c r="BJ48" i="25"/>
  <c r="CZ48" i="25"/>
  <c r="S48" i="25" s="1"/>
  <c r="CE48" i="25"/>
  <c r="BV48" i="25"/>
  <c r="CT48" i="25"/>
  <c r="Q48" i="25" s="1"/>
  <c r="BP48" i="25"/>
  <c r="DC48" i="25"/>
  <c r="T48" i="25" s="1"/>
  <c r="BS48" i="25"/>
  <c r="CB48" i="25"/>
  <c r="K48" i="25" s="1"/>
  <c r="CN48" i="25"/>
  <c r="AK60" i="25"/>
  <c r="CB60" i="25"/>
  <c r="K60" i="25" s="1"/>
  <c r="CN60" i="25"/>
  <c r="O60" i="25" s="1"/>
  <c r="BJ60" i="25"/>
  <c r="CE60" i="25"/>
  <c r="L60" i="25" s="1"/>
  <c r="BV60" i="25"/>
  <c r="CT60" i="25"/>
  <c r="Q60" i="25" s="1"/>
  <c r="DC60" i="25"/>
  <c r="T60" i="25" s="1"/>
  <c r="BS60" i="25"/>
  <c r="BY60" i="25"/>
  <c r="CW60" i="25"/>
  <c r="R60" i="25" s="1"/>
  <c r="CK60" i="25"/>
  <c r="BM60" i="25"/>
  <c r="CQ60" i="25"/>
  <c r="P60" i="25" s="1"/>
  <c r="CH60" i="25"/>
  <c r="M60" i="25" s="1"/>
  <c r="CZ60" i="25"/>
  <c r="S60" i="25" s="1"/>
  <c r="BP60" i="25"/>
  <c r="AK51" i="25"/>
  <c r="CB51" i="25"/>
  <c r="K51" i="25" s="1"/>
  <c r="CN51" i="25"/>
  <c r="CQ51" i="25"/>
  <c r="P51" i="25" s="1"/>
  <c r="CK51" i="25"/>
  <c r="N51" i="25" s="1"/>
  <c r="BY51" i="25"/>
  <c r="CH51" i="25"/>
  <c r="M51" i="25" s="1"/>
  <c r="CW51" i="25"/>
  <c r="R51" i="25" s="1"/>
  <c r="BM51" i="25"/>
  <c r="BS51" i="25"/>
  <c r="BJ51" i="25"/>
  <c r="CZ51" i="25"/>
  <c r="S51" i="25" s="1"/>
  <c r="CE51" i="25"/>
  <c r="L51" i="25" s="1"/>
  <c r="BV51" i="25"/>
  <c r="CT51" i="25"/>
  <c r="Q51" i="25" s="1"/>
  <c r="BP51" i="25"/>
  <c r="DC51" i="25"/>
  <c r="T51" i="25" s="1"/>
  <c r="AK92" i="25"/>
  <c r="CQ92" i="25"/>
  <c r="P92" i="25" s="1"/>
  <c r="CK92" i="25"/>
  <c r="CZ92" i="25"/>
  <c r="S92" i="25" s="1"/>
  <c r="BM92" i="25"/>
  <c r="BP92" i="25"/>
  <c r="G92" i="25" s="1"/>
  <c r="BS92" i="25"/>
  <c r="H92" i="25" s="1"/>
  <c r="CB92" i="25"/>
  <c r="K92" i="25" s="1"/>
  <c r="CN92" i="25"/>
  <c r="O92" i="25" s="1"/>
  <c r="CH92" i="25"/>
  <c r="M92" i="25" s="1"/>
  <c r="CE92" i="25"/>
  <c r="L92" i="25" s="1"/>
  <c r="BJ92" i="25"/>
  <c r="E92" i="25" s="1"/>
  <c r="BY92" i="25"/>
  <c r="J92" i="25" s="1"/>
  <c r="CW92" i="25"/>
  <c r="R92" i="25" s="1"/>
  <c r="BV92" i="25"/>
  <c r="I92" i="25" s="1"/>
  <c r="CT92" i="25"/>
  <c r="Q92" i="25" s="1"/>
  <c r="DC92" i="25"/>
  <c r="T92" i="25" s="1"/>
  <c r="AK93" i="25"/>
  <c r="BJ93" i="25"/>
  <c r="BY93" i="25"/>
  <c r="CW93" i="25"/>
  <c r="R93" i="25" s="1"/>
  <c r="BV93" i="25"/>
  <c r="CT93" i="25"/>
  <c r="Q93" i="25" s="1"/>
  <c r="CQ93" i="25"/>
  <c r="P93" i="25" s="1"/>
  <c r="CK93" i="25"/>
  <c r="N93" i="25" s="1"/>
  <c r="CZ93" i="25"/>
  <c r="S93" i="25" s="1"/>
  <c r="CE93" i="25"/>
  <c r="L93" i="25" s="1"/>
  <c r="BM93" i="25"/>
  <c r="BP93" i="25"/>
  <c r="DC93" i="25"/>
  <c r="T93" i="25" s="1"/>
  <c r="BS93" i="25"/>
  <c r="CB93" i="25"/>
  <c r="K93" i="25" s="1"/>
  <c r="CN93" i="25"/>
  <c r="O93" i="25" s="1"/>
  <c r="CH93" i="25"/>
  <c r="M93" i="25" s="1"/>
  <c r="AK186" i="25"/>
  <c r="BJ186" i="25"/>
  <c r="BY186" i="25"/>
  <c r="CW186" i="25"/>
  <c r="R186" i="25" s="1"/>
  <c r="CE186" i="25"/>
  <c r="L186" i="25" s="1"/>
  <c r="BV186" i="25"/>
  <c r="BP186" i="25"/>
  <c r="DC186" i="25"/>
  <c r="T186" i="25" s="1"/>
  <c r="CK186" i="25"/>
  <c r="N186" i="25" s="1"/>
  <c r="CZ186" i="25"/>
  <c r="S186" i="25" s="1"/>
  <c r="BM186" i="25"/>
  <c r="CB186" i="25"/>
  <c r="K186" i="25" s="1"/>
  <c r="CN186" i="25"/>
  <c r="O186" i="25" s="1"/>
  <c r="CQ186" i="25"/>
  <c r="P186" i="25" s="1"/>
  <c r="CH186" i="25"/>
  <c r="M186" i="25" s="1"/>
  <c r="CT186" i="25"/>
  <c r="Q186" i="25" s="1"/>
  <c r="BS186" i="25"/>
  <c r="G240" i="25"/>
  <c r="I240" i="25"/>
  <c r="AN238" i="25"/>
  <c r="AO238" i="25" s="1"/>
  <c r="AT238" i="25"/>
  <c r="AN209" i="25"/>
  <c r="AO209" i="25" s="1"/>
  <c r="AT209" i="25"/>
  <c r="AN256" i="25"/>
  <c r="AO256" i="25" s="1"/>
  <c r="AT256" i="25"/>
  <c r="AN248" i="25"/>
  <c r="AO248" i="25" s="1"/>
  <c r="AT248" i="25"/>
  <c r="AN240" i="25"/>
  <c r="AO240" i="25" s="1"/>
  <c r="AT240" i="25"/>
  <c r="AN216" i="25"/>
  <c r="AO216" i="25" s="1"/>
  <c r="AT216" i="25"/>
  <c r="AN200" i="25"/>
  <c r="AO200" i="25" s="1"/>
  <c r="AT200" i="25"/>
  <c r="AN243" i="25"/>
  <c r="AO243" i="25" s="1"/>
  <c r="AT243" i="25"/>
  <c r="AN235" i="25"/>
  <c r="AO235" i="25" s="1"/>
  <c r="AT235" i="25"/>
  <c r="AN261" i="25"/>
  <c r="AO261" i="25" s="1"/>
  <c r="AT261" i="25"/>
  <c r="AN247" i="25"/>
  <c r="AO247" i="25" s="1"/>
  <c r="AT247" i="25"/>
  <c r="AN215" i="25"/>
  <c r="AO215" i="25" s="1"/>
  <c r="AT215" i="25"/>
  <c r="AN204" i="25"/>
  <c r="AO204" i="25" s="1"/>
  <c r="AT204" i="25"/>
  <c r="AN197" i="25"/>
  <c r="AO197" i="25" s="1"/>
  <c r="AT197" i="25"/>
  <c r="AN191" i="25"/>
  <c r="AO191" i="25" s="1"/>
  <c r="AT191" i="25"/>
  <c r="AN171" i="25"/>
  <c r="AO171" i="25" s="1"/>
  <c r="AT171" i="25"/>
  <c r="AN196" i="25"/>
  <c r="AO196" i="25" s="1"/>
  <c r="AT196" i="25"/>
  <c r="AN184" i="25"/>
  <c r="AO184" i="25" s="1"/>
  <c r="AT184" i="25"/>
  <c r="AN195" i="25"/>
  <c r="AO195" i="25" s="1"/>
  <c r="AT195" i="25"/>
  <c r="AN189" i="25"/>
  <c r="AO189" i="25" s="1"/>
  <c r="AT189" i="25"/>
  <c r="AN168" i="25"/>
  <c r="AO168" i="25" s="1"/>
  <c r="AT168" i="25"/>
  <c r="AN160" i="25"/>
  <c r="AO160" i="25" s="1"/>
  <c r="AT160" i="25"/>
  <c r="AN144" i="25"/>
  <c r="AO144" i="25" s="1"/>
  <c r="AT144" i="25"/>
  <c r="AN166" i="25"/>
  <c r="AO166" i="25" s="1"/>
  <c r="AT166" i="25"/>
  <c r="AN162" i="25"/>
  <c r="AO162" i="25" s="1"/>
  <c r="AT162" i="25"/>
  <c r="AN149" i="25"/>
  <c r="AO149" i="25" s="1"/>
  <c r="AT149" i="25"/>
  <c r="AN153" i="25"/>
  <c r="AO153" i="25" s="1"/>
  <c r="AT153" i="25"/>
  <c r="AN147" i="25"/>
  <c r="AO147" i="25" s="1"/>
  <c r="AT147" i="25"/>
  <c r="AN140" i="25"/>
  <c r="AO140" i="25" s="1"/>
  <c r="AT140" i="25"/>
  <c r="AN119" i="25"/>
  <c r="AO119" i="25" s="1"/>
  <c r="AT119" i="25"/>
  <c r="AN110" i="25"/>
  <c r="AO110" i="25" s="1"/>
  <c r="AT110" i="25"/>
  <c r="AN107" i="25"/>
  <c r="AO107" i="25" s="1"/>
  <c r="AT107" i="25"/>
  <c r="AN135" i="25"/>
  <c r="AO135" i="25" s="1"/>
  <c r="AT135" i="25"/>
  <c r="AN127" i="25"/>
  <c r="AO127" i="25" s="1"/>
  <c r="AT127" i="25"/>
  <c r="AN118" i="25"/>
  <c r="AO118" i="25" s="1"/>
  <c r="AT118" i="25"/>
  <c r="AN131" i="25"/>
  <c r="AO131" i="25" s="1"/>
  <c r="AT131" i="25"/>
  <c r="AN97" i="25"/>
  <c r="AO97" i="25" s="1"/>
  <c r="AT97" i="25"/>
  <c r="AN100" i="25"/>
  <c r="AO100" i="25" s="1"/>
  <c r="AT100" i="25"/>
  <c r="AN93" i="25"/>
  <c r="AO93" i="25" s="1"/>
  <c r="AT93" i="25"/>
  <c r="AN106" i="25"/>
  <c r="AO106" i="25" s="1"/>
  <c r="AT106" i="25"/>
  <c r="AN89" i="25"/>
  <c r="AO89" i="25" s="1"/>
  <c r="AT89" i="25"/>
  <c r="AN82" i="25"/>
  <c r="AO82" i="25" s="1"/>
  <c r="AT82" i="25"/>
  <c r="AN78" i="25"/>
  <c r="AO78" i="25" s="1"/>
  <c r="AT78" i="25"/>
  <c r="AN66" i="25"/>
  <c r="AO66" i="25" s="1"/>
  <c r="AT66" i="25"/>
  <c r="AN71" i="25"/>
  <c r="AO71" i="25" s="1"/>
  <c r="AT71" i="25"/>
  <c r="AN65" i="25"/>
  <c r="AO65" i="25" s="1"/>
  <c r="AT65" i="25"/>
  <c r="AN64" i="25"/>
  <c r="AO64" i="25" s="1"/>
  <c r="AT64" i="25"/>
  <c r="AN40" i="25"/>
  <c r="AO40" i="25" s="1"/>
  <c r="AT40" i="25"/>
  <c r="AN44" i="25"/>
  <c r="AO44" i="25" s="1"/>
  <c r="AT44" i="25"/>
  <c r="AN46" i="25"/>
  <c r="AO46" i="25" s="1"/>
  <c r="AT46" i="25"/>
  <c r="AN38" i="25"/>
  <c r="AO38" i="25" s="1"/>
  <c r="AT38" i="25"/>
  <c r="AN29" i="25"/>
  <c r="AO29" i="25" s="1"/>
  <c r="AT29" i="25"/>
  <c r="AN28" i="25"/>
  <c r="AO28" i="25" s="1"/>
  <c r="AT28" i="25"/>
  <c r="AN26" i="25"/>
  <c r="AO26" i="25" s="1"/>
  <c r="AT26" i="25"/>
  <c r="AN15" i="25"/>
  <c r="AO15" i="25" s="1"/>
  <c r="AT15" i="25"/>
  <c r="AN12" i="25"/>
  <c r="AO12" i="25" s="1"/>
  <c r="AT12" i="25"/>
  <c r="AK24" i="25"/>
  <c r="CZ24" i="25"/>
  <c r="S24" i="25" s="1"/>
  <c r="BP24" i="25"/>
  <c r="DC24" i="25"/>
  <c r="T24" i="25" s="1"/>
  <c r="CB24" i="25"/>
  <c r="K24" i="25" s="1"/>
  <c r="CN24" i="25"/>
  <c r="BY24" i="25"/>
  <c r="CW24" i="25"/>
  <c r="R24" i="25" s="1"/>
  <c r="BM24" i="25"/>
  <c r="CK24" i="25"/>
  <c r="CH24" i="25"/>
  <c r="CT24" i="25"/>
  <c r="Q24" i="25" s="1"/>
  <c r="CQ24" i="25"/>
  <c r="P24" i="25" s="1"/>
  <c r="BS24" i="25"/>
  <c r="BJ24" i="25"/>
  <c r="CE24" i="25"/>
  <c r="L24" i="25" s="1"/>
  <c r="BV24" i="25"/>
  <c r="AK37" i="25"/>
  <c r="BV37" i="25"/>
  <c r="CT37" i="25"/>
  <c r="BP37" i="25"/>
  <c r="DC37" i="25"/>
  <c r="CB37" i="25"/>
  <c r="K37" i="25" s="1"/>
  <c r="CN37" i="25"/>
  <c r="O37" i="25" s="1"/>
  <c r="CH37" i="25"/>
  <c r="M37" i="25" s="1"/>
  <c r="CQ37" i="25"/>
  <c r="P37" i="25" s="1"/>
  <c r="BJ37" i="25"/>
  <c r="CK37" i="25"/>
  <c r="BY37" i="25"/>
  <c r="CE37" i="25"/>
  <c r="L37" i="25" s="1"/>
  <c r="BM37" i="25"/>
  <c r="BS37" i="25"/>
  <c r="CW37" i="25"/>
  <c r="CZ37" i="25"/>
  <c r="S37" i="25" s="1"/>
  <c r="AK78" i="25"/>
  <c r="BJ78" i="25"/>
  <c r="CK78" i="25"/>
  <c r="N78" i="25" s="1"/>
  <c r="CE78" i="25"/>
  <c r="BV78" i="25"/>
  <c r="CT78" i="25"/>
  <c r="Q78" i="25" s="1"/>
  <c r="BM78" i="25"/>
  <c r="DC78" i="25"/>
  <c r="T78" i="25" s="1"/>
  <c r="CB78" i="25"/>
  <c r="CW78" i="25"/>
  <c r="R78" i="25" s="1"/>
  <c r="CZ78" i="25"/>
  <c r="S78" i="25" s="1"/>
  <c r="BP78" i="25"/>
  <c r="CQ78" i="25"/>
  <c r="P78" i="25" s="1"/>
  <c r="CN78" i="25"/>
  <c r="O78" i="25" s="1"/>
  <c r="BY78" i="25"/>
  <c r="CH78" i="25"/>
  <c r="BS78" i="25"/>
  <c r="AK84" i="25"/>
  <c r="CQ84" i="25"/>
  <c r="P84" i="25" s="1"/>
  <c r="CW84" i="25"/>
  <c r="R84" i="25" s="1"/>
  <c r="CZ84" i="25"/>
  <c r="S84" i="25" s="1"/>
  <c r="BP84" i="25"/>
  <c r="G84" i="25" s="1"/>
  <c r="BS84" i="25"/>
  <c r="CB84" i="25"/>
  <c r="K84" i="25" s="1"/>
  <c r="CN84" i="25"/>
  <c r="O84" i="25" s="1"/>
  <c r="BY84" i="25"/>
  <c r="J84" i="25" s="1"/>
  <c r="CH84" i="25"/>
  <c r="M84" i="25" s="1"/>
  <c r="CE84" i="25"/>
  <c r="L84" i="25" s="1"/>
  <c r="BJ84" i="25"/>
  <c r="E84" i="25" s="1"/>
  <c r="CK84" i="25"/>
  <c r="N84" i="25" s="1"/>
  <c r="BV84" i="25"/>
  <c r="I84" i="25" s="1"/>
  <c r="CT84" i="25"/>
  <c r="Q84" i="25" s="1"/>
  <c r="BM84" i="25"/>
  <c r="F84" i="25" s="1"/>
  <c r="DC84" i="25"/>
  <c r="AK97" i="25"/>
  <c r="CK97" i="25"/>
  <c r="N97" i="25" s="1"/>
  <c r="CZ97" i="25"/>
  <c r="CE97" i="25"/>
  <c r="BM97" i="25"/>
  <c r="BP97" i="25"/>
  <c r="DC97" i="25"/>
  <c r="T97" i="25" s="1"/>
  <c r="BS97" i="25"/>
  <c r="CB97" i="25"/>
  <c r="K97" i="25" s="1"/>
  <c r="CN97" i="25"/>
  <c r="O97" i="25" s="1"/>
  <c r="CH97" i="25"/>
  <c r="M97" i="25" s="1"/>
  <c r="BJ97" i="25"/>
  <c r="BY97" i="25"/>
  <c r="CW97" i="25"/>
  <c r="BV97" i="25"/>
  <c r="CT97" i="25"/>
  <c r="Q97" i="25" s="1"/>
  <c r="CQ97" i="25"/>
  <c r="P97" i="25" s="1"/>
  <c r="AK106" i="25"/>
  <c r="CK106" i="25"/>
  <c r="CH106" i="25"/>
  <c r="CZ106" i="25"/>
  <c r="S106" i="25" s="1"/>
  <c r="BM106" i="25"/>
  <c r="BP106" i="25"/>
  <c r="BS106" i="25"/>
  <c r="CB106" i="25"/>
  <c r="K106" i="25" s="1"/>
  <c r="CN106" i="25"/>
  <c r="BJ106" i="25"/>
  <c r="CE106" i="25"/>
  <c r="L106" i="25" s="1"/>
  <c r="BV106" i="25"/>
  <c r="CT106" i="25"/>
  <c r="Q106" i="25" s="1"/>
  <c r="DC106" i="25"/>
  <c r="T106" i="25" s="1"/>
  <c r="BY106" i="25"/>
  <c r="CW106" i="25"/>
  <c r="R106" i="25" s="1"/>
  <c r="CQ106" i="25"/>
  <c r="P106" i="25" s="1"/>
  <c r="AK108" i="25"/>
  <c r="BY108" i="25"/>
  <c r="CW108" i="25"/>
  <c r="R108" i="25" s="1"/>
  <c r="CK108" i="25"/>
  <c r="CH108" i="25"/>
  <c r="CZ108" i="25"/>
  <c r="S108" i="25" s="1"/>
  <c r="BM108" i="25"/>
  <c r="BP108" i="25"/>
  <c r="BS108" i="25"/>
  <c r="CB108" i="25"/>
  <c r="CN108" i="25"/>
  <c r="BJ108" i="25"/>
  <c r="CE108" i="25"/>
  <c r="BV108" i="25"/>
  <c r="CT108" i="25"/>
  <c r="Q108" i="25" s="1"/>
  <c r="CQ108" i="25"/>
  <c r="P108" i="25" s="1"/>
  <c r="DC108" i="25"/>
  <c r="T108" i="25" s="1"/>
  <c r="AK153" i="25"/>
  <c r="CH153" i="25"/>
  <c r="M153" i="25" s="1"/>
  <c r="BS153" i="25"/>
  <c r="BJ153" i="25"/>
  <c r="BY153" i="25"/>
  <c r="CW153" i="25"/>
  <c r="R153" i="25" s="1"/>
  <c r="CE153" i="25"/>
  <c r="L153" i="25" s="1"/>
  <c r="BV153" i="25"/>
  <c r="CT153" i="25"/>
  <c r="Q153" i="25" s="1"/>
  <c r="CK153" i="25"/>
  <c r="N153" i="25" s="1"/>
  <c r="CZ153" i="25"/>
  <c r="S153" i="25" s="1"/>
  <c r="BM153" i="25"/>
  <c r="BP153" i="25"/>
  <c r="DC153" i="25"/>
  <c r="T153" i="25" s="1"/>
  <c r="CB153" i="25"/>
  <c r="CN153" i="25"/>
  <c r="CQ153" i="25"/>
  <c r="P153" i="25" s="1"/>
  <c r="AK149" i="25"/>
  <c r="CK149" i="25"/>
  <c r="N149" i="25" s="1"/>
  <c r="CZ149" i="25"/>
  <c r="S149" i="25" s="1"/>
  <c r="BM149" i="25"/>
  <c r="BP149" i="25"/>
  <c r="DC149" i="25"/>
  <c r="T149" i="25" s="1"/>
  <c r="CB149" i="25"/>
  <c r="K149" i="25" s="1"/>
  <c r="CN149" i="25"/>
  <c r="O149" i="25" s="1"/>
  <c r="CQ149" i="25"/>
  <c r="P149" i="25" s="1"/>
  <c r="CH149" i="25"/>
  <c r="BS149" i="25"/>
  <c r="BJ149" i="25"/>
  <c r="BY149" i="25"/>
  <c r="CW149" i="25"/>
  <c r="R149" i="25" s="1"/>
  <c r="CE149" i="25"/>
  <c r="L149" i="25" s="1"/>
  <c r="BV149" i="25"/>
  <c r="CT149" i="25"/>
  <c r="Q149" i="25" s="1"/>
  <c r="AK174" i="25"/>
  <c r="CB174" i="25"/>
  <c r="CN174" i="25"/>
  <c r="O174" i="25" s="1"/>
  <c r="CQ174" i="25"/>
  <c r="P174" i="25" s="1"/>
  <c r="CH174" i="25"/>
  <c r="CT174" i="25"/>
  <c r="Q174" i="25" s="1"/>
  <c r="BS174" i="25"/>
  <c r="BJ174" i="25"/>
  <c r="BY174" i="25"/>
  <c r="CW174" i="25"/>
  <c r="R174" i="25" s="1"/>
  <c r="CE174" i="25"/>
  <c r="L174" i="25" s="1"/>
  <c r="BV174" i="25"/>
  <c r="BP174" i="25"/>
  <c r="DC174" i="25"/>
  <c r="T174" i="25" s="1"/>
  <c r="CK174" i="25"/>
  <c r="CZ174" i="25"/>
  <c r="S174" i="25" s="1"/>
  <c r="BM174" i="25"/>
  <c r="AK205" i="25"/>
  <c r="CB205" i="25"/>
  <c r="K205" i="25" s="1"/>
  <c r="CN205" i="25"/>
  <c r="O205" i="25" s="1"/>
  <c r="CT205" i="25"/>
  <c r="Q205" i="25" s="1"/>
  <c r="DC205" i="25"/>
  <c r="T205" i="25" s="1"/>
  <c r="BJ205" i="25"/>
  <c r="CQ205" i="25"/>
  <c r="P205" i="25" s="1"/>
  <c r="BY205" i="25"/>
  <c r="CH205" i="25"/>
  <c r="M205" i="25" s="1"/>
  <c r="CW205" i="25"/>
  <c r="R205" i="25" s="1"/>
  <c r="CZ205" i="25"/>
  <c r="S205" i="25" s="1"/>
  <c r="BS205" i="25"/>
  <c r="H205" i="25" s="1"/>
  <c r="CK205" i="25"/>
  <c r="N205" i="25" s="1"/>
  <c r="CE205" i="25"/>
  <c r="L205" i="25" s="1"/>
  <c r="BV205" i="25"/>
  <c r="BM205" i="25"/>
  <c r="BP205" i="25"/>
  <c r="AK59" i="25"/>
  <c r="CB59" i="25"/>
  <c r="K59" i="25" s="1"/>
  <c r="CN59" i="25"/>
  <c r="O59" i="25" s="1"/>
  <c r="CQ59" i="25"/>
  <c r="P59" i="25" s="1"/>
  <c r="CK59" i="25"/>
  <c r="N59" i="25" s="1"/>
  <c r="BY59" i="25"/>
  <c r="CH59" i="25"/>
  <c r="M59" i="25" s="1"/>
  <c r="CW59" i="25"/>
  <c r="R59" i="25" s="1"/>
  <c r="BM59" i="25"/>
  <c r="BS59" i="25"/>
  <c r="BJ59" i="25"/>
  <c r="CZ59" i="25"/>
  <c r="S59" i="25" s="1"/>
  <c r="CE59" i="25"/>
  <c r="L59" i="25" s="1"/>
  <c r="BV59" i="25"/>
  <c r="CT59" i="25"/>
  <c r="Q59" i="25" s="1"/>
  <c r="BP59" i="25"/>
  <c r="DC59" i="25"/>
  <c r="T59" i="25" s="1"/>
  <c r="AK85" i="25"/>
  <c r="BY85" i="25"/>
  <c r="J85" i="25" s="1"/>
  <c r="CH85" i="25"/>
  <c r="M85" i="25" s="1"/>
  <c r="CW85" i="25"/>
  <c r="R85" i="25" s="1"/>
  <c r="CE85" i="25"/>
  <c r="L85" i="25" s="1"/>
  <c r="BJ85" i="25"/>
  <c r="E85" i="25" s="1"/>
  <c r="CK85" i="25"/>
  <c r="N85" i="25" s="1"/>
  <c r="BV85" i="25"/>
  <c r="I85" i="25" s="1"/>
  <c r="CT85" i="25"/>
  <c r="BM85" i="25"/>
  <c r="F85" i="25" s="1"/>
  <c r="DC85" i="25"/>
  <c r="T85" i="25" s="1"/>
  <c r="CB85" i="25"/>
  <c r="K85" i="25" s="1"/>
  <c r="CZ85" i="25"/>
  <c r="S85" i="25" s="1"/>
  <c r="BP85" i="25"/>
  <c r="G85" i="25" s="1"/>
  <c r="CQ85" i="25"/>
  <c r="P85" i="25" s="1"/>
  <c r="BS85" i="25"/>
  <c r="H85" i="25" s="1"/>
  <c r="CN85" i="25"/>
  <c r="O85" i="25" s="1"/>
  <c r="AK103" i="25"/>
  <c r="CB103" i="25"/>
  <c r="CN103" i="25"/>
  <c r="CH103" i="25"/>
  <c r="BJ103" i="25"/>
  <c r="BY103" i="25"/>
  <c r="CW103" i="25"/>
  <c r="R103" i="25" s="1"/>
  <c r="BV103" i="25"/>
  <c r="CT103" i="25"/>
  <c r="Q103" i="25" s="1"/>
  <c r="CQ103" i="25"/>
  <c r="P103" i="25" s="1"/>
  <c r="CK103" i="25"/>
  <c r="CZ103" i="25"/>
  <c r="S103" i="25" s="1"/>
  <c r="CE103" i="25"/>
  <c r="BM103" i="25"/>
  <c r="BP103" i="25"/>
  <c r="DC103" i="25"/>
  <c r="T103" i="25" s="1"/>
  <c r="BS103" i="25"/>
  <c r="AK112" i="25"/>
  <c r="CB112" i="25"/>
  <c r="CN112" i="25"/>
  <c r="BJ112" i="25"/>
  <c r="CE112" i="25"/>
  <c r="BV112" i="25"/>
  <c r="CT112" i="25"/>
  <c r="Q112" i="25" s="1"/>
  <c r="CQ112" i="25"/>
  <c r="P112" i="25" s="1"/>
  <c r="DC112" i="25"/>
  <c r="T112" i="25" s="1"/>
  <c r="BY112" i="25"/>
  <c r="CW112" i="25"/>
  <c r="R112" i="25" s="1"/>
  <c r="BS112" i="25"/>
  <c r="CK112" i="25"/>
  <c r="N112" i="25" s="1"/>
  <c r="CH112" i="25"/>
  <c r="M112" i="25" s="1"/>
  <c r="CZ112" i="25"/>
  <c r="S112" i="25" s="1"/>
  <c r="BM112" i="25"/>
  <c r="BP112" i="25"/>
  <c r="AK138" i="25"/>
  <c r="CK138" i="25"/>
  <c r="CH138" i="25"/>
  <c r="CZ138" i="25"/>
  <c r="S138" i="25" s="1"/>
  <c r="BM138" i="25"/>
  <c r="BP138" i="25"/>
  <c r="BS138" i="25"/>
  <c r="CB138" i="25"/>
  <c r="CN138" i="25"/>
  <c r="BJ138" i="25"/>
  <c r="CE138" i="25"/>
  <c r="BV138" i="25"/>
  <c r="CT138" i="25"/>
  <c r="Q138" i="25" s="1"/>
  <c r="CQ138" i="25"/>
  <c r="P138" i="25" s="1"/>
  <c r="DC138" i="25"/>
  <c r="T138" i="25" s="1"/>
  <c r="BY138" i="25"/>
  <c r="CW138" i="25"/>
  <c r="R138" i="25" s="1"/>
  <c r="AK155" i="25"/>
  <c r="CB155" i="25"/>
  <c r="CN155" i="25"/>
  <c r="CQ155" i="25"/>
  <c r="P155" i="25" s="1"/>
  <c r="CH155" i="25"/>
  <c r="BS155" i="25"/>
  <c r="BJ155" i="25"/>
  <c r="BY155" i="25"/>
  <c r="CW155" i="25"/>
  <c r="R155" i="25" s="1"/>
  <c r="CE155" i="25"/>
  <c r="BV155" i="25"/>
  <c r="CT155" i="25"/>
  <c r="Q155" i="25" s="1"/>
  <c r="CK155" i="25"/>
  <c r="CZ155" i="25"/>
  <c r="S155" i="25" s="1"/>
  <c r="BM155" i="25"/>
  <c r="BP155" i="25"/>
  <c r="DC155" i="25"/>
  <c r="T155" i="25" s="1"/>
  <c r="AK140" i="25"/>
  <c r="BY140" i="25"/>
  <c r="CH140" i="25"/>
  <c r="M140" i="25" s="1"/>
  <c r="CW140" i="25"/>
  <c r="R140" i="25" s="1"/>
  <c r="CT140" i="25"/>
  <c r="Q140" i="25" s="1"/>
  <c r="BS140" i="25"/>
  <c r="BJ140" i="25"/>
  <c r="CK140" i="25"/>
  <c r="N140" i="25" s="1"/>
  <c r="CZ140" i="25"/>
  <c r="S140" i="25" s="1"/>
  <c r="CE140" i="25"/>
  <c r="L140" i="25" s="1"/>
  <c r="BV140" i="25"/>
  <c r="BM140" i="25"/>
  <c r="BP140" i="25"/>
  <c r="DC140" i="25"/>
  <c r="T140" i="25" s="1"/>
  <c r="CB140" i="25"/>
  <c r="K140" i="25" s="1"/>
  <c r="CN140" i="25"/>
  <c r="O140" i="25" s="1"/>
  <c r="CQ140" i="25"/>
  <c r="P140" i="25" s="1"/>
  <c r="AK143" i="25"/>
  <c r="BJ143" i="25"/>
  <c r="BY143" i="25"/>
  <c r="CW143" i="25"/>
  <c r="R143" i="25" s="1"/>
  <c r="CE143" i="25"/>
  <c r="BV143" i="25"/>
  <c r="CT143" i="25"/>
  <c r="Q143" i="25" s="1"/>
  <c r="CK143" i="25"/>
  <c r="N143" i="25" s="1"/>
  <c r="CZ143" i="25"/>
  <c r="S143" i="25" s="1"/>
  <c r="BM143" i="25"/>
  <c r="BP143" i="25"/>
  <c r="DC143" i="25"/>
  <c r="T143" i="25" s="1"/>
  <c r="CB143" i="25"/>
  <c r="CN143" i="25"/>
  <c r="O143" i="25" s="1"/>
  <c r="CQ143" i="25"/>
  <c r="P143" i="25" s="1"/>
  <c r="BS143" i="25"/>
  <c r="CH143" i="25"/>
  <c r="M143" i="25" s="1"/>
  <c r="AK183" i="25"/>
  <c r="CK183" i="25"/>
  <c r="BY183" i="25"/>
  <c r="CH183" i="25"/>
  <c r="CW183" i="25"/>
  <c r="R183" i="25" s="1"/>
  <c r="CE183" i="25"/>
  <c r="BP183" i="25"/>
  <c r="CB183" i="25"/>
  <c r="CN183" i="25"/>
  <c r="BJ183" i="25"/>
  <c r="CZ183" i="25"/>
  <c r="S183" i="25" s="1"/>
  <c r="BV183" i="25"/>
  <c r="CT183" i="25"/>
  <c r="Q183" i="25" s="1"/>
  <c r="BM183" i="25"/>
  <c r="DC183" i="25"/>
  <c r="T183" i="25" s="1"/>
  <c r="CQ183" i="25"/>
  <c r="P183" i="25" s="1"/>
  <c r="BS183" i="25"/>
  <c r="AK27" i="25"/>
  <c r="CB27" i="25"/>
  <c r="CN27" i="25"/>
  <c r="BJ27" i="25"/>
  <c r="CK27" i="25"/>
  <c r="BV27" i="25"/>
  <c r="DC27" i="25"/>
  <c r="T27" i="25" s="1"/>
  <c r="CQ27" i="25"/>
  <c r="P27" i="25" s="1"/>
  <c r="CH27" i="25"/>
  <c r="CE27" i="25"/>
  <c r="BS27" i="25"/>
  <c r="BY27" i="25"/>
  <c r="CW27" i="25"/>
  <c r="R27" i="25" s="1"/>
  <c r="CZ27" i="25"/>
  <c r="S27" i="25" s="1"/>
  <c r="CT27" i="25"/>
  <c r="Q27" i="25" s="1"/>
  <c r="BM27" i="25"/>
  <c r="BP27" i="25"/>
  <c r="AK40" i="25"/>
  <c r="BY40" i="25"/>
  <c r="J40" i="25" s="1"/>
  <c r="CW40" i="25"/>
  <c r="R40" i="25" s="1"/>
  <c r="CE40" i="25"/>
  <c r="L40" i="25" s="1"/>
  <c r="BP40" i="25"/>
  <c r="G40" i="25" s="1"/>
  <c r="BS40" i="25"/>
  <c r="H40" i="25" s="1"/>
  <c r="CB40" i="25"/>
  <c r="CN40" i="25"/>
  <c r="O40" i="25" s="1"/>
  <c r="CK40" i="25"/>
  <c r="N40" i="25" s="1"/>
  <c r="CH40" i="25"/>
  <c r="M40" i="25" s="1"/>
  <c r="BM40" i="25"/>
  <c r="F40" i="25" s="1"/>
  <c r="BJ40" i="25"/>
  <c r="E40" i="25" s="1"/>
  <c r="BV40" i="25"/>
  <c r="I40" i="25" s="1"/>
  <c r="CT40" i="25"/>
  <c r="Q40" i="25" s="1"/>
  <c r="DC40" i="25"/>
  <c r="T40" i="25" s="1"/>
  <c r="CZ40" i="25"/>
  <c r="S40" i="25" s="1"/>
  <c r="CQ40" i="25"/>
  <c r="P40" i="25" s="1"/>
  <c r="AK105" i="25"/>
  <c r="CK105" i="25"/>
  <c r="CZ105" i="25"/>
  <c r="S105" i="25" s="1"/>
  <c r="CE105" i="25"/>
  <c r="BM105" i="25"/>
  <c r="BP105" i="25"/>
  <c r="DC105" i="25"/>
  <c r="T105" i="25" s="1"/>
  <c r="BS105" i="25"/>
  <c r="CB105" i="25"/>
  <c r="CN105" i="25"/>
  <c r="CH105" i="25"/>
  <c r="BJ105" i="25"/>
  <c r="BY105" i="25"/>
  <c r="CW105" i="25"/>
  <c r="R105" i="25" s="1"/>
  <c r="BV105" i="25"/>
  <c r="CT105" i="25"/>
  <c r="Q105" i="25" s="1"/>
  <c r="CQ105" i="25"/>
  <c r="P105" i="25" s="1"/>
  <c r="AK96" i="25"/>
  <c r="CB96" i="25"/>
  <c r="CN96" i="25"/>
  <c r="BJ96" i="25"/>
  <c r="CE96" i="25"/>
  <c r="L96" i="25" s="1"/>
  <c r="BV96" i="25"/>
  <c r="CT96" i="25"/>
  <c r="Q96" i="25" s="1"/>
  <c r="DC96" i="25"/>
  <c r="T96" i="25" s="1"/>
  <c r="BY96" i="25"/>
  <c r="CW96" i="25"/>
  <c r="R96" i="25" s="1"/>
  <c r="CQ96" i="25"/>
  <c r="P96" i="25" s="1"/>
  <c r="CK96" i="25"/>
  <c r="CH96" i="25"/>
  <c r="M96" i="25" s="1"/>
  <c r="CZ96" i="25"/>
  <c r="S96" i="25" s="1"/>
  <c r="BM96" i="25"/>
  <c r="BP96" i="25"/>
  <c r="BS96" i="25"/>
  <c r="AK107" i="25"/>
  <c r="BY107" i="25"/>
  <c r="CW107" i="25"/>
  <c r="R107" i="25" s="1"/>
  <c r="CQ107" i="25"/>
  <c r="P107" i="25" s="1"/>
  <c r="CK107" i="25"/>
  <c r="CH107" i="25"/>
  <c r="CZ107" i="25"/>
  <c r="BM107" i="25"/>
  <c r="BP107" i="25"/>
  <c r="BS107" i="25"/>
  <c r="CB107" i="25"/>
  <c r="CN107" i="25"/>
  <c r="BJ107" i="25"/>
  <c r="CE107" i="25"/>
  <c r="BV107" i="25"/>
  <c r="CT107" i="25"/>
  <c r="DC107" i="25"/>
  <c r="T107" i="25" s="1"/>
  <c r="AK142" i="25"/>
  <c r="CQ142" i="25"/>
  <c r="P142" i="25" s="1"/>
  <c r="BY142" i="25"/>
  <c r="CH142" i="25"/>
  <c r="CW142" i="25"/>
  <c r="R142" i="25" s="1"/>
  <c r="CT142" i="25"/>
  <c r="Q142" i="25" s="1"/>
  <c r="BS142" i="25"/>
  <c r="BJ142" i="25"/>
  <c r="CK142" i="25"/>
  <c r="N142" i="25" s="1"/>
  <c r="CZ142" i="25"/>
  <c r="S142" i="25" s="1"/>
  <c r="CE142" i="25"/>
  <c r="L142" i="25" s="1"/>
  <c r="BV142" i="25"/>
  <c r="BM142" i="25"/>
  <c r="BP142" i="25"/>
  <c r="DC142" i="25"/>
  <c r="T142" i="25" s="1"/>
  <c r="CB142" i="25"/>
  <c r="CN142" i="25"/>
  <c r="O142" i="25" s="1"/>
  <c r="AK145" i="25"/>
  <c r="CH145" i="25"/>
  <c r="BS145" i="25"/>
  <c r="BJ145" i="25"/>
  <c r="BY145" i="25"/>
  <c r="CW145" i="25"/>
  <c r="R145" i="25" s="1"/>
  <c r="CE145" i="25"/>
  <c r="L145" i="25" s="1"/>
  <c r="BV145" i="25"/>
  <c r="CT145" i="25"/>
  <c r="Q145" i="25" s="1"/>
  <c r="CK145" i="25"/>
  <c r="N145" i="25" s="1"/>
  <c r="CZ145" i="25"/>
  <c r="S145" i="25" s="1"/>
  <c r="BM145" i="25"/>
  <c r="BP145" i="25"/>
  <c r="DC145" i="25"/>
  <c r="T145" i="25" s="1"/>
  <c r="CB145" i="25"/>
  <c r="K145" i="25" s="1"/>
  <c r="CN145" i="25"/>
  <c r="O145" i="25" s="1"/>
  <c r="CQ145" i="25"/>
  <c r="P145" i="25" s="1"/>
  <c r="AK207" i="25"/>
  <c r="CK207" i="25"/>
  <c r="N207" i="25" s="1"/>
  <c r="CE207" i="25"/>
  <c r="L207" i="25" s="1"/>
  <c r="BM207" i="25"/>
  <c r="BP207" i="25"/>
  <c r="CB207" i="25"/>
  <c r="CN207" i="25"/>
  <c r="O207" i="25" s="1"/>
  <c r="BJ207" i="25"/>
  <c r="BV207" i="25"/>
  <c r="CT207" i="25"/>
  <c r="Q207" i="25" s="1"/>
  <c r="DC207" i="25"/>
  <c r="T207" i="25" s="1"/>
  <c r="CH207" i="25"/>
  <c r="M207" i="25" s="1"/>
  <c r="CQ207" i="25"/>
  <c r="P207" i="25" s="1"/>
  <c r="BS207" i="25"/>
  <c r="BY207" i="25"/>
  <c r="CW207" i="25"/>
  <c r="R207" i="25" s="1"/>
  <c r="CZ207" i="25"/>
  <c r="S207" i="25" s="1"/>
  <c r="AK197" i="25"/>
  <c r="CB197" i="25"/>
  <c r="K197" i="25" s="1"/>
  <c r="CN197" i="25"/>
  <c r="O197" i="25" s="1"/>
  <c r="BJ197" i="25"/>
  <c r="DC197" i="25"/>
  <c r="T197" i="25" s="1"/>
  <c r="CH197" i="25"/>
  <c r="M197" i="25" s="1"/>
  <c r="CQ197" i="25"/>
  <c r="P197" i="25" s="1"/>
  <c r="BY197" i="25"/>
  <c r="CW197" i="25"/>
  <c r="R197" i="25" s="1"/>
  <c r="CZ197" i="25"/>
  <c r="S197" i="25" s="1"/>
  <c r="BV197" i="25"/>
  <c r="BS197" i="25"/>
  <c r="CK197" i="25"/>
  <c r="N197" i="25" s="1"/>
  <c r="CE197" i="25"/>
  <c r="L197" i="25" s="1"/>
  <c r="CT197" i="25"/>
  <c r="Q197" i="25" s="1"/>
  <c r="BM197" i="25"/>
  <c r="BP197" i="25"/>
  <c r="AK66" i="25"/>
  <c r="CN66" i="25"/>
  <c r="O66" i="25" s="1"/>
  <c r="CQ66" i="25"/>
  <c r="P66" i="25" s="1"/>
  <c r="CH66" i="25"/>
  <c r="M66" i="25" s="1"/>
  <c r="CW66" i="25"/>
  <c r="R66" i="25" s="1"/>
  <c r="BS66" i="25"/>
  <c r="BJ66" i="25"/>
  <c r="CK66" i="25"/>
  <c r="N66" i="25" s="1"/>
  <c r="BY66" i="25"/>
  <c r="CZ66" i="25"/>
  <c r="S66" i="25" s="1"/>
  <c r="CE66" i="25"/>
  <c r="BV66" i="25"/>
  <c r="CT66" i="25"/>
  <c r="Q66" i="25" s="1"/>
  <c r="BM66" i="25"/>
  <c r="BP66" i="25"/>
  <c r="CB66" i="25"/>
  <c r="K66" i="25" s="1"/>
  <c r="DC66" i="25"/>
  <c r="T66" i="25" s="1"/>
  <c r="AK79" i="25"/>
  <c r="CN79" i="25"/>
  <c r="BS79" i="25"/>
  <c r="BY79" i="25"/>
  <c r="CH79" i="25"/>
  <c r="CW79" i="25"/>
  <c r="R79" i="25" s="1"/>
  <c r="CE79" i="25"/>
  <c r="BJ79" i="25"/>
  <c r="CK79" i="25"/>
  <c r="BV79" i="25"/>
  <c r="CT79" i="25"/>
  <c r="Q79" i="25" s="1"/>
  <c r="BM79" i="25"/>
  <c r="DC79" i="25"/>
  <c r="T79" i="25" s="1"/>
  <c r="CB79" i="25"/>
  <c r="CZ79" i="25"/>
  <c r="S79" i="25" s="1"/>
  <c r="BP79" i="25"/>
  <c r="CQ79" i="25"/>
  <c r="P79" i="25" s="1"/>
  <c r="AK104" i="25"/>
  <c r="CB104" i="25"/>
  <c r="K104" i="25" s="1"/>
  <c r="CN104" i="25"/>
  <c r="O104" i="25" s="1"/>
  <c r="BJ104" i="25"/>
  <c r="CE104" i="25"/>
  <c r="L104" i="25" s="1"/>
  <c r="BV104" i="25"/>
  <c r="CT104" i="25"/>
  <c r="Q104" i="25" s="1"/>
  <c r="DC104" i="25"/>
  <c r="T104" i="25" s="1"/>
  <c r="BY104" i="25"/>
  <c r="CW104" i="25"/>
  <c r="R104" i="25" s="1"/>
  <c r="CQ104" i="25"/>
  <c r="P104" i="25" s="1"/>
  <c r="BS104" i="25"/>
  <c r="CK104" i="25"/>
  <c r="N104" i="25" s="1"/>
  <c r="CH104" i="25"/>
  <c r="CZ104" i="25"/>
  <c r="S104" i="25" s="1"/>
  <c r="BM104" i="25"/>
  <c r="BP104" i="25"/>
  <c r="AK139" i="25"/>
  <c r="CB139" i="25"/>
  <c r="K139" i="25" s="1"/>
  <c r="CN139" i="25"/>
  <c r="CQ139" i="25"/>
  <c r="P139" i="25" s="1"/>
  <c r="CH139" i="25"/>
  <c r="M139" i="25" s="1"/>
  <c r="BS139" i="25"/>
  <c r="BJ139" i="25"/>
  <c r="BY139" i="25"/>
  <c r="CW139" i="25"/>
  <c r="R139" i="25" s="1"/>
  <c r="CE139" i="25"/>
  <c r="BV139" i="25"/>
  <c r="CT139" i="25"/>
  <c r="Q139" i="25" s="1"/>
  <c r="CK139" i="25"/>
  <c r="CZ139" i="25"/>
  <c r="S139" i="25" s="1"/>
  <c r="BM139" i="25"/>
  <c r="BP139" i="25"/>
  <c r="DC139" i="25"/>
  <c r="T139" i="25" s="1"/>
  <c r="AK124" i="25"/>
  <c r="BY124" i="25"/>
  <c r="CW124" i="25"/>
  <c r="R124" i="25" s="1"/>
  <c r="CK124" i="25"/>
  <c r="CH124" i="25"/>
  <c r="CZ124" i="25"/>
  <c r="S124" i="25" s="1"/>
  <c r="BM124" i="25"/>
  <c r="BP124" i="25"/>
  <c r="BS124" i="25"/>
  <c r="CB124" i="25"/>
  <c r="CN124" i="25"/>
  <c r="BJ124" i="25"/>
  <c r="CE124" i="25"/>
  <c r="BV124" i="25"/>
  <c r="CT124" i="25"/>
  <c r="CQ124" i="25"/>
  <c r="P124" i="25" s="1"/>
  <c r="DC124" i="25"/>
  <c r="T124" i="25" s="1"/>
  <c r="AK126" i="25"/>
  <c r="CQ126" i="25"/>
  <c r="P126" i="25" s="1"/>
  <c r="DC126" i="25"/>
  <c r="T126" i="25" s="1"/>
  <c r="BY126" i="25"/>
  <c r="CW126" i="25"/>
  <c r="R126" i="25" s="1"/>
  <c r="CK126" i="25"/>
  <c r="N126" i="25" s="1"/>
  <c r="CH126" i="25"/>
  <c r="CZ126" i="25"/>
  <c r="S126" i="25" s="1"/>
  <c r="BM126" i="25"/>
  <c r="BP126" i="25"/>
  <c r="BS126" i="25"/>
  <c r="CB126" i="25"/>
  <c r="K126" i="25" s="1"/>
  <c r="CN126" i="25"/>
  <c r="O126" i="25" s="1"/>
  <c r="BJ126" i="25"/>
  <c r="CE126" i="25"/>
  <c r="L126" i="25" s="1"/>
  <c r="BV126" i="25"/>
  <c r="CT126" i="25"/>
  <c r="Q126" i="25" s="1"/>
  <c r="AK136" i="25"/>
  <c r="CB136" i="25"/>
  <c r="K136" i="25" s="1"/>
  <c r="CN136" i="25"/>
  <c r="O136" i="25" s="1"/>
  <c r="BJ136" i="25"/>
  <c r="CE136" i="25"/>
  <c r="BV136" i="25"/>
  <c r="CT136" i="25"/>
  <c r="Q136" i="25" s="1"/>
  <c r="CQ136" i="25"/>
  <c r="P136" i="25" s="1"/>
  <c r="DC136" i="25"/>
  <c r="T136" i="25" s="1"/>
  <c r="BY136" i="25"/>
  <c r="CW136" i="25"/>
  <c r="R136" i="25" s="1"/>
  <c r="BS136" i="25"/>
  <c r="CK136" i="25"/>
  <c r="N136" i="25" s="1"/>
  <c r="CH136" i="25"/>
  <c r="M136" i="25" s="1"/>
  <c r="CZ136" i="25"/>
  <c r="S136" i="25" s="1"/>
  <c r="BM136" i="25"/>
  <c r="BP136" i="25"/>
  <c r="AK159" i="25"/>
  <c r="BJ159" i="25"/>
  <c r="BY159" i="25"/>
  <c r="CW159" i="25"/>
  <c r="R159" i="25" s="1"/>
  <c r="CE159" i="25"/>
  <c r="BV159" i="25"/>
  <c r="CT159" i="25"/>
  <c r="Q159" i="25" s="1"/>
  <c r="CK159" i="25"/>
  <c r="CZ159" i="25"/>
  <c r="S159" i="25" s="1"/>
  <c r="BM159" i="25"/>
  <c r="BP159" i="25"/>
  <c r="DC159" i="25"/>
  <c r="T159" i="25" s="1"/>
  <c r="CB159" i="25"/>
  <c r="CN159" i="25"/>
  <c r="CQ159" i="25"/>
  <c r="P159" i="25" s="1"/>
  <c r="BS159" i="25"/>
  <c r="CH159" i="25"/>
  <c r="AK144" i="25"/>
  <c r="CB144" i="25"/>
  <c r="K144" i="25" s="1"/>
  <c r="CN144" i="25"/>
  <c r="O144" i="25" s="1"/>
  <c r="CQ144" i="25"/>
  <c r="P144" i="25" s="1"/>
  <c r="BY144" i="25"/>
  <c r="CH144" i="25"/>
  <c r="M144" i="25" s="1"/>
  <c r="CW144" i="25"/>
  <c r="R144" i="25" s="1"/>
  <c r="CT144" i="25"/>
  <c r="Q144" i="25" s="1"/>
  <c r="BS144" i="25"/>
  <c r="BJ144" i="25"/>
  <c r="CK144" i="25"/>
  <c r="N144" i="25" s="1"/>
  <c r="CZ144" i="25"/>
  <c r="S144" i="25" s="1"/>
  <c r="CE144" i="25"/>
  <c r="L144" i="25" s="1"/>
  <c r="BV144" i="25"/>
  <c r="BM144" i="25"/>
  <c r="BP144" i="25"/>
  <c r="DC144" i="25"/>
  <c r="T144" i="25" s="1"/>
  <c r="AK185" i="25"/>
  <c r="BS185" i="25"/>
  <c r="CK185" i="25"/>
  <c r="BY185" i="25"/>
  <c r="CH185" i="25"/>
  <c r="CW185" i="25"/>
  <c r="R185" i="25" s="1"/>
  <c r="CE185" i="25"/>
  <c r="BP185" i="25"/>
  <c r="CB185" i="25"/>
  <c r="K185" i="25" s="1"/>
  <c r="CN185" i="25"/>
  <c r="BJ185" i="25"/>
  <c r="CZ185" i="25"/>
  <c r="S185" i="25" s="1"/>
  <c r="BV185" i="25"/>
  <c r="CT185" i="25"/>
  <c r="Q185" i="25" s="1"/>
  <c r="BM185" i="25"/>
  <c r="DC185" i="25"/>
  <c r="T185" i="25" s="1"/>
  <c r="CQ185" i="25"/>
  <c r="P185" i="25" s="1"/>
  <c r="L240" i="25"/>
  <c r="N240" i="25"/>
  <c r="AN212" i="25"/>
  <c r="AO212" i="25" s="1"/>
  <c r="AT212" i="25"/>
  <c r="AN231" i="25"/>
  <c r="AO231" i="25" s="1"/>
  <c r="AT231" i="25"/>
  <c r="AN262" i="25"/>
  <c r="AO262" i="25" s="1"/>
  <c r="AT262" i="25"/>
  <c r="AN254" i="25"/>
  <c r="AO254" i="25" s="1"/>
  <c r="AT254" i="25"/>
  <c r="AN246" i="25"/>
  <c r="AO246" i="25" s="1"/>
  <c r="AT246" i="25"/>
  <c r="AN239" i="25"/>
  <c r="AO239" i="25" s="1"/>
  <c r="AT239" i="25"/>
  <c r="AN227" i="25"/>
  <c r="AO227" i="25" s="1"/>
  <c r="AT227" i="25"/>
  <c r="AN220" i="25"/>
  <c r="AO220" i="25" s="1"/>
  <c r="AT220" i="25"/>
  <c r="AN214" i="25"/>
  <c r="AO214" i="25" s="1"/>
  <c r="AT214" i="25"/>
  <c r="AN198" i="25"/>
  <c r="AO198" i="25" s="1"/>
  <c r="AT198" i="25"/>
  <c r="AN241" i="25"/>
  <c r="AO241" i="25" s="1"/>
  <c r="AT241" i="25"/>
  <c r="AN234" i="25"/>
  <c r="AO234" i="25" s="1"/>
  <c r="AT234" i="25"/>
  <c r="AN208" i="25"/>
  <c r="AO208" i="25" s="1"/>
  <c r="AT208" i="25"/>
  <c r="AN259" i="25"/>
  <c r="AO259" i="25" s="1"/>
  <c r="AT259" i="25"/>
  <c r="AN252" i="25"/>
  <c r="AO252" i="25" s="1"/>
  <c r="AT252" i="25"/>
  <c r="AN245" i="25"/>
  <c r="AO245" i="25" s="1"/>
  <c r="AT245" i="25"/>
  <c r="AN230" i="25"/>
  <c r="AO230" i="25" s="1"/>
  <c r="AT230" i="25"/>
  <c r="AN225" i="25"/>
  <c r="AO225" i="25" s="1"/>
  <c r="AT225" i="25"/>
  <c r="AN213" i="25"/>
  <c r="AO213" i="25" s="1"/>
  <c r="AT213" i="25"/>
  <c r="AN175" i="25"/>
  <c r="AO175" i="25" s="1"/>
  <c r="AT175" i="25"/>
  <c r="AN170" i="25"/>
  <c r="AO170" i="25" s="1"/>
  <c r="AT170" i="25"/>
  <c r="AN182" i="25"/>
  <c r="AO182" i="25" s="1"/>
  <c r="AT182" i="25"/>
  <c r="AN174" i="25"/>
  <c r="AO174" i="25" s="1"/>
  <c r="AT174" i="25"/>
  <c r="AN169" i="25"/>
  <c r="AO169" i="25" s="1"/>
  <c r="AT169" i="25"/>
  <c r="AN183" i="25"/>
  <c r="AO183" i="25" s="1"/>
  <c r="AT183" i="25"/>
  <c r="AN176" i="25"/>
  <c r="AO176" i="25" s="1"/>
  <c r="AT176" i="25"/>
  <c r="AN150" i="25"/>
  <c r="AO150" i="25" s="1"/>
  <c r="AT150" i="25"/>
  <c r="AN142" i="25"/>
  <c r="AO142" i="25" s="1"/>
  <c r="AT142" i="25"/>
  <c r="AN148" i="25"/>
  <c r="AO148" i="25" s="1"/>
  <c r="AT148" i="25"/>
  <c r="AN151" i="25"/>
  <c r="AO151" i="25" s="1"/>
  <c r="AT151" i="25"/>
  <c r="AN167" i="25"/>
  <c r="AO167" i="25" s="1"/>
  <c r="AT167" i="25"/>
  <c r="AN163" i="25"/>
  <c r="AO163" i="25" s="1"/>
  <c r="AT163" i="25"/>
  <c r="AN117" i="25"/>
  <c r="AO117" i="25" s="1"/>
  <c r="AT117" i="25"/>
  <c r="AN109" i="25"/>
  <c r="AO109" i="25" s="1"/>
  <c r="AT109" i="25"/>
  <c r="AN136" i="25"/>
  <c r="AO136" i="25" s="1"/>
  <c r="AT136" i="25"/>
  <c r="AN130" i="25"/>
  <c r="AO130" i="25" s="1"/>
  <c r="AT130" i="25"/>
  <c r="AN111" i="25"/>
  <c r="AO111" i="25" s="1"/>
  <c r="AT111" i="25"/>
  <c r="AN124" i="25"/>
  <c r="AO124" i="25" s="1"/>
  <c r="AT124" i="25"/>
  <c r="AN116" i="25"/>
  <c r="AO116" i="25" s="1"/>
  <c r="AT116" i="25"/>
  <c r="AN139" i="25"/>
  <c r="AO139" i="25" s="1"/>
  <c r="AT139" i="25"/>
  <c r="AN126" i="25"/>
  <c r="AO126" i="25" s="1"/>
  <c r="AT126" i="25"/>
  <c r="AN108" i="25"/>
  <c r="AO108" i="25" s="1"/>
  <c r="AT108" i="25"/>
  <c r="AN105" i="25"/>
  <c r="AO105" i="25" s="1"/>
  <c r="AT105" i="25"/>
  <c r="AN92" i="25"/>
  <c r="AO92" i="25" s="1"/>
  <c r="AT92" i="25"/>
  <c r="AN98" i="25"/>
  <c r="AO98" i="25" s="1"/>
  <c r="AT98" i="25"/>
  <c r="AN104" i="25"/>
  <c r="AO104" i="25" s="1"/>
  <c r="AT104" i="25"/>
  <c r="AN85" i="25"/>
  <c r="AO85" i="25" s="1"/>
  <c r="AT85" i="25"/>
  <c r="AN88" i="25"/>
  <c r="AO88" i="25" s="1"/>
  <c r="AT88" i="25"/>
  <c r="AN79" i="25"/>
  <c r="AO79" i="25" s="1"/>
  <c r="AT79" i="25"/>
  <c r="AN76" i="25"/>
  <c r="AO76" i="25" s="1"/>
  <c r="AT76" i="25"/>
  <c r="AN70" i="25"/>
  <c r="AO70" i="25" s="1"/>
  <c r="AT70" i="25"/>
  <c r="AN75" i="25"/>
  <c r="AO75" i="25" s="1"/>
  <c r="AT75" i="25"/>
  <c r="AN63" i="25"/>
  <c r="AO63" i="25" s="1"/>
  <c r="AT63" i="25"/>
  <c r="AN51" i="25"/>
  <c r="AO51" i="25" s="1"/>
  <c r="AT51" i="25"/>
  <c r="AN47" i="25"/>
  <c r="AO47" i="25" s="1"/>
  <c r="AT47" i="25"/>
  <c r="AN56" i="25"/>
  <c r="AO56" i="25" s="1"/>
  <c r="AT56" i="25"/>
  <c r="AN54" i="25"/>
  <c r="AO54" i="25" s="1"/>
  <c r="AT54" i="25"/>
  <c r="AN59" i="25"/>
  <c r="AO59" i="25" s="1"/>
  <c r="AT59" i="25"/>
  <c r="AN45" i="25"/>
  <c r="AO45" i="25" s="1"/>
  <c r="AT45" i="25"/>
  <c r="AN25" i="25"/>
  <c r="AO25" i="25" s="1"/>
  <c r="AT25" i="25"/>
  <c r="AN24" i="25"/>
  <c r="AO24" i="25" s="1"/>
  <c r="AT24" i="25"/>
  <c r="AN19" i="25"/>
  <c r="AO19" i="25" s="1"/>
  <c r="AT19" i="25"/>
  <c r="AN13" i="25"/>
  <c r="AO13" i="25" s="1"/>
  <c r="AT13" i="25"/>
  <c r="AK38" i="25"/>
  <c r="CK38" i="25"/>
  <c r="N38" i="25" s="1"/>
  <c r="CH38" i="25"/>
  <c r="M38" i="25" s="1"/>
  <c r="BM38" i="25"/>
  <c r="BS38" i="25"/>
  <c r="BJ38" i="25"/>
  <c r="CE38" i="25"/>
  <c r="BV38" i="25"/>
  <c r="CT38" i="25"/>
  <c r="Q38" i="25" s="1"/>
  <c r="DC38" i="25"/>
  <c r="T38" i="25" s="1"/>
  <c r="CN38" i="25"/>
  <c r="O38" i="25" s="1"/>
  <c r="CW38" i="25"/>
  <c r="R38" i="25" s="1"/>
  <c r="CB38" i="25"/>
  <c r="K38" i="25" s="1"/>
  <c r="BY38" i="25"/>
  <c r="CZ38" i="25"/>
  <c r="S38" i="25" s="1"/>
  <c r="BP38" i="25"/>
  <c r="CQ38" i="25"/>
  <c r="P38" i="25" s="1"/>
  <c r="AK58" i="25"/>
  <c r="BY58" i="25"/>
  <c r="CW58" i="25"/>
  <c r="R58" i="25" s="1"/>
  <c r="DC58" i="25"/>
  <c r="T58" i="25" s="1"/>
  <c r="CK58" i="25"/>
  <c r="BM58" i="25"/>
  <c r="CH58" i="25"/>
  <c r="CZ58" i="25"/>
  <c r="S58" i="25" s="1"/>
  <c r="BP58" i="25"/>
  <c r="CQ58" i="25"/>
  <c r="P58" i="25" s="1"/>
  <c r="CB58" i="25"/>
  <c r="K58" i="25" s="1"/>
  <c r="CN58" i="25"/>
  <c r="O58" i="25" s="1"/>
  <c r="BJ58" i="25"/>
  <c r="CE58" i="25"/>
  <c r="BV58" i="25"/>
  <c r="CT58" i="25"/>
  <c r="Q58" i="25" s="1"/>
  <c r="BS58" i="25"/>
  <c r="AK111" i="25"/>
  <c r="CB111" i="25"/>
  <c r="CN111" i="25"/>
  <c r="BJ111" i="25"/>
  <c r="CE111" i="25"/>
  <c r="BV111" i="25"/>
  <c r="CT111" i="25"/>
  <c r="Q111" i="25" s="1"/>
  <c r="DC111" i="25"/>
  <c r="T111" i="25" s="1"/>
  <c r="BY111" i="25"/>
  <c r="CW111" i="25"/>
  <c r="R111" i="25" s="1"/>
  <c r="CQ111" i="25"/>
  <c r="P111" i="25" s="1"/>
  <c r="CK111" i="25"/>
  <c r="CH111" i="25"/>
  <c r="CZ111" i="25"/>
  <c r="S111" i="25" s="1"/>
  <c r="BM111" i="25"/>
  <c r="BP111" i="25"/>
  <c r="BS111" i="25"/>
  <c r="AK194" i="25"/>
  <c r="BJ194" i="25"/>
  <c r="BY194" i="25"/>
  <c r="CW194" i="25"/>
  <c r="CE194" i="25"/>
  <c r="BV194" i="25"/>
  <c r="BP194" i="25"/>
  <c r="DC194" i="25"/>
  <c r="T194" i="25" s="1"/>
  <c r="CK194" i="25"/>
  <c r="N194" i="25" s="1"/>
  <c r="CZ194" i="25"/>
  <c r="S194" i="25" s="1"/>
  <c r="BM194" i="25"/>
  <c r="CB194" i="25"/>
  <c r="CN194" i="25"/>
  <c r="O194" i="25" s="1"/>
  <c r="CQ194" i="25"/>
  <c r="P194" i="25" s="1"/>
  <c r="BS194" i="25"/>
  <c r="CH194" i="25"/>
  <c r="M194" i="25" s="1"/>
  <c r="CT194" i="25"/>
  <c r="Q194" i="25" s="1"/>
  <c r="AK180" i="25"/>
  <c r="CH180" i="25"/>
  <c r="CT180" i="25"/>
  <c r="Q180" i="25" s="1"/>
  <c r="BS180" i="25"/>
  <c r="BJ180" i="25"/>
  <c r="BY180" i="25"/>
  <c r="CW180" i="25"/>
  <c r="R180" i="25" s="1"/>
  <c r="CE180" i="25"/>
  <c r="BV180" i="25"/>
  <c r="BP180" i="25"/>
  <c r="DC180" i="25"/>
  <c r="T180" i="25" s="1"/>
  <c r="CK180" i="25"/>
  <c r="CZ180" i="25"/>
  <c r="S180" i="25" s="1"/>
  <c r="BM180" i="25"/>
  <c r="CB180" i="25"/>
  <c r="CN180" i="25"/>
  <c r="CQ180" i="25"/>
  <c r="P180" i="25" s="1"/>
  <c r="AK209" i="25"/>
  <c r="BY209" i="25"/>
  <c r="J209" i="25" s="1"/>
  <c r="CW209" i="25"/>
  <c r="R209" i="25" s="1"/>
  <c r="CZ209" i="25"/>
  <c r="S209" i="25" s="1"/>
  <c r="BV209" i="25"/>
  <c r="I209" i="25" s="1"/>
  <c r="CT209" i="25"/>
  <c r="Q209" i="25" s="1"/>
  <c r="BS209" i="25"/>
  <c r="H209" i="25" s="1"/>
  <c r="CK209" i="25"/>
  <c r="N209" i="25" s="1"/>
  <c r="CE209" i="25"/>
  <c r="L209" i="25" s="1"/>
  <c r="BM209" i="25"/>
  <c r="F209" i="25" s="1"/>
  <c r="BP209" i="25"/>
  <c r="G209" i="25" s="1"/>
  <c r="CB209" i="25"/>
  <c r="K209" i="25" s="1"/>
  <c r="CN209" i="25"/>
  <c r="O209" i="25" s="1"/>
  <c r="DC209" i="25"/>
  <c r="BJ209" i="25"/>
  <c r="E209" i="25" s="1"/>
  <c r="CH209" i="25"/>
  <c r="M209" i="25" s="1"/>
  <c r="CQ209" i="25"/>
  <c r="P209" i="25" s="1"/>
  <c r="AK198" i="25"/>
  <c r="CB198" i="25"/>
  <c r="K198" i="25" s="1"/>
  <c r="BJ198" i="25"/>
  <c r="CZ198" i="25"/>
  <c r="S198" i="25" s="1"/>
  <c r="CE198" i="25"/>
  <c r="L198" i="25" s="1"/>
  <c r="BV198" i="25"/>
  <c r="CT198" i="25"/>
  <c r="Q198" i="25" s="1"/>
  <c r="BP198" i="25"/>
  <c r="CN198" i="25"/>
  <c r="O198" i="25" s="1"/>
  <c r="BY198" i="25"/>
  <c r="CW198" i="25"/>
  <c r="R198" i="25" s="1"/>
  <c r="CQ198" i="25"/>
  <c r="P198" i="25" s="1"/>
  <c r="DC198" i="25"/>
  <c r="T198" i="25" s="1"/>
  <c r="CK198" i="25"/>
  <c r="N198" i="25" s="1"/>
  <c r="CH198" i="25"/>
  <c r="M198" i="25" s="1"/>
  <c r="BM198" i="25"/>
  <c r="BS198" i="25"/>
  <c r="AK32" i="25"/>
  <c r="CZ32" i="25"/>
  <c r="S32" i="25" s="1"/>
  <c r="BP32" i="25"/>
  <c r="CQ32" i="25"/>
  <c r="P32" i="25" s="1"/>
  <c r="CK32" i="25"/>
  <c r="BY32" i="25"/>
  <c r="CH32" i="25"/>
  <c r="BV32" i="25"/>
  <c r="BM32" i="25"/>
  <c r="BS32" i="25"/>
  <c r="CB32" i="25"/>
  <c r="BJ32" i="25"/>
  <c r="CW32" i="25"/>
  <c r="R32" i="25" s="1"/>
  <c r="CE32" i="25"/>
  <c r="CT32" i="25"/>
  <c r="Q32" i="25" s="1"/>
  <c r="CN32" i="25"/>
  <c r="DC32" i="25"/>
  <c r="T32" i="25" s="1"/>
  <c r="AK50" i="25"/>
  <c r="BY50" i="25"/>
  <c r="CW50" i="25"/>
  <c r="R50" i="25" s="1"/>
  <c r="DC50" i="25"/>
  <c r="T50" i="25" s="1"/>
  <c r="CK50" i="25"/>
  <c r="N50" i="25" s="1"/>
  <c r="BM50" i="25"/>
  <c r="CH50" i="25"/>
  <c r="M50" i="25" s="1"/>
  <c r="CZ50" i="25"/>
  <c r="S50" i="25" s="1"/>
  <c r="BP50" i="25"/>
  <c r="CQ50" i="25"/>
  <c r="P50" i="25" s="1"/>
  <c r="CB50" i="25"/>
  <c r="K50" i="25" s="1"/>
  <c r="CN50" i="25"/>
  <c r="O50" i="25" s="1"/>
  <c r="BJ50" i="25"/>
  <c r="CE50" i="25"/>
  <c r="L50" i="25" s="1"/>
  <c r="BV50" i="25"/>
  <c r="CT50" i="25"/>
  <c r="Q50" i="25" s="1"/>
  <c r="BS50" i="25"/>
  <c r="AK74" i="25"/>
  <c r="CN74" i="25"/>
  <c r="CQ74" i="25"/>
  <c r="P74" i="25" s="1"/>
  <c r="CH74" i="25"/>
  <c r="CW74" i="25"/>
  <c r="R74" i="25" s="1"/>
  <c r="BS74" i="25"/>
  <c r="BJ74" i="25"/>
  <c r="CK74" i="25"/>
  <c r="BY74" i="25"/>
  <c r="CZ74" i="25"/>
  <c r="S74" i="25" s="1"/>
  <c r="CE74" i="25"/>
  <c r="BV74" i="25"/>
  <c r="CT74" i="25"/>
  <c r="Q74" i="25" s="1"/>
  <c r="BM74" i="25"/>
  <c r="BP74" i="25"/>
  <c r="CB74" i="25"/>
  <c r="DC74" i="25"/>
  <c r="T74" i="25" s="1"/>
  <c r="AK100" i="25"/>
  <c r="BY100" i="25"/>
  <c r="CW100" i="25"/>
  <c r="R100" i="25" s="1"/>
  <c r="CQ100" i="25"/>
  <c r="P100" i="25" s="1"/>
  <c r="CK100" i="25"/>
  <c r="CH100" i="25"/>
  <c r="CZ100" i="25"/>
  <c r="S100" i="25" s="1"/>
  <c r="BM100" i="25"/>
  <c r="BP100" i="25"/>
  <c r="BS100" i="25"/>
  <c r="CB100" i="25"/>
  <c r="CN100" i="25"/>
  <c r="BJ100" i="25"/>
  <c r="CE100" i="25"/>
  <c r="BV100" i="25"/>
  <c r="CT100" i="25"/>
  <c r="Q100" i="25" s="1"/>
  <c r="DC100" i="25"/>
  <c r="T100" i="25" s="1"/>
  <c r="AK161" i="25"/>
  <c r="CH161" i="25"/>
  <c r="M161" i="25" s="1"/>
  <c r="BS161" i="25"/>
  <c r="H161" i="25" s="1"/>
  <c r="BJ161" i="25"/>
  <c r="E161" i="25" s="1"/>
  <c r="BY161" i="25"/>
  <c r="J161" i="25" s="1"/>
  <c r="CW161" i="25"/>
  <c r="R161" i="25" s="1"/>
  <c r="CE161" i="25"/>
  <c r="L161" i="25" s="1"/>
  <c r="BV161" i="25"/>
  <c r="I161" i="25" s="1"/>
  <c r="CT161" i="25"/>
  <c r="Q161" i="25" s="1"/>
  <c r="CK161" i="25"/>
  <c r="N161" i="25" s="1"/>
  <c r="CZ161" i="25"/>
  <c r="S161" i="25" s="1"/>
  <c r="BM161" i="25"/>
  <c r="F161" i="25" s="1"/>
  <c r="BP161" i="25"/>
  <c r="DC161" i="25"/>
  <c r="CB161" i="25"/>
  <c r="K161" i="25" s="1"/>
  <c r="CN161" i="25"/>
  <c r="O161" i="25" s="1"/>
  <c r="CQ161" i="25"/>
  <c r="P161" i="25" s="1"/>
  <c r="AK190" i="25"/>
  <c r="CB190" i="25"/>
  <c r="CN190" i="25"/>
  <c r="O190" i="25" s="1"/>
  <c r="CQ190" i="25"/>
  <c r="P190" i="25" s="1"/>
  <c r="CH190" i="25"/>
  <c r="M190" i="25" s="1"/>
  <c r="CT190" i="25"/>
  <c r="Q190" i="25" s="1"/>
  <c r="BS190" i="25"/>
  <c r="BJ190" i="25"/>
  <c r="BY190" i="25"/>
  <c r="CW190" i="25"/>
  <c r="R190" i="25" s="1"/>
  <c r="CE190" i="25"/>
  <c r="L190" i="25" s="1"/>
  <c r="BV190" i="25"/>
  <c r="BP190" i="25"/>
  <c r="DC190" i="25"/>
  <c r="T190" i="25" s="1"/>
  <c r="CK190" i="25"/>
  <c r="N190" i="25" s="1"/>
  <c r="CZ190" i="25"/>
  <c r="S190" i="25" s="1"/>
  <c r="BM190" i="25"/>
  <c r="AK182" i="25"/>
  <c r="CB182" i="25"/>
  <c r="CN182" i="25"/>
  <c r="CQ182" i="25"/>
  <c r="P182" i="25" s="1"/>
  <c r="CH182" i="25"/>
  <c r="CT182" i="25"/>
  <c r="Q182" i="25" s="1"/>
  <c r="BS182" i="25"/>
  <c r="BJ182" i="25"/>
  <c r="BY182" i="25"/>
  <c r="CW182" i="25"/>
  <c r="R182" i="25" s="1"/>
  <c r="CE182" i="25"/>
  <c r="BV182" i="25"/>
  <c r="BP182" i="25"/>
  <c r="DC182" i="25"/>
  <c r="T182" i="25" s="1"/>
  <c r="CK182" i="25"/>
  <c r="CZ182" i="25"/>
  <c r="S182" i="25" s="1"/>
  <c r="BM182" i="25"/>
  <c r="AK52" i="25"/>
  <c r="CB52" i="25"/>
  <c r="CN52" i="25"/>
  <c r="O52" i="25" s="1"/>
  <c r="BJ52" i="25"/>
  <c r="CE52" i="25"/>
  <c r="L52" i="25" s="1"/>
  <c r="BV52" i="25"/>
  <c r="CT52" i="25"/>
  <c r="Q52" i="25" s="1"/>
  <c r="BS52" i="25"/>
  <c r="BY52" i="25"/>
  <c r="CW52" i="25"/>
  <c r="R52" i="25" s="1"/>
  <c r="DC52" i="25"/>
  <c r="T52" i="25" s="1"/>
  <c r="CK52" i="25"/>
  <c r="BM52" i="25"/>
  <c r="CH52" i="25"/>
  <c r="CZ52" i="25"/>
  <c r="S52" i="25" s="1"/>
  <c r="BP52" i="25"/>
  <c r="CQ52" i="25"/>
  <c r="P52" i="25" s="1"/>
  <c r="AK49" i="25"/>
  <c r="CK49" i="25"/>
  <c r="N49" i="25" s="1"/>
  <c r="BY49" i="25"/>
  <c r="CH49" i="25"/>
  <c r="M49" i="25" s="1"/>
  <c r="CW49" i="25"/>
  <c r="R49" i="25" s="1"/>
  <c r="BM49" i="25"/>
  <c r="BS49" i="25"/>
  <c r="BJ49" i="25"/>
  <c r="CZ49" i="25"/>
  <c r="S49" i="25" s="1"/>
  <c r="CE49" i="25"/>
  <c r="L49" i="25" s="1"/>
  <c r="BV49" i="25"/>
  <c r="CT49" i="25"/>
  <c r="Q49" i="25" s="1"/>
  <c r="BP49" i="25"/>
  <c r="DC49" i="25"/>
  <c r="T49" i="25" s="1"/>
  <c r="CB49" i="25"/>
  <c r="K49" i="25" s="1"/>
  <c r="CN49" i="25"/>
  <c r="O49" i="25" s="1"/>
  <c r="CQ49" i="25"/>
  <c r="P49" i="25" s="1"/>
  <c r="AK63" i="25"/>
  <c r="CB63" i="25"/>
  <c r="K63" i="25" s="1"/>
  <c r="CK63" i="25"/>
  <c r="N63" i="25" s="1"/>
  <c r="BY63" i="25"/>
  <c r="CH63" i="25"/>
  <c r="M63" i="25" s="1"/>
  <c r="BM63" i="25"/>
  <c r="BS63" i="25"/>
  <c r="BJ63" i="25"/>
  <c r="CE63" i="25"/>
  <c r="L63" i="25" s="1"/>
  <c r="BV63" i="25"/>
  <c r="CT63" i="25"/>
  <c r="Q63" i="25" s="1"/>
  <c r="DC63" i="25"/>
  <c r="T63" i="25" s="1"/>
  <c r="CN63" i="25"/>
  <c r="CW63" i="25"/>
  <c r="R63" i="25" s="1"/>
  <c r="CQ63" i="25"/>
  <c r="P63" i="25" s="1"/>
  <c r="CZ63" i="25"/>
  <c r="S63" i="25" s="1"/>
  <c r="BP63" i="25"/>
  <c r="AK67" i="25"/>
  <c r="BJ67" i="25"/>
  <c r="CW67" i="25"/>
  <c r="R67" i="25" s="1"/>
  <c r="BV67" i="25"/>
  <c r="CT67" i="25"/>
  <c r="Q67" i="25" s="1"/>
  <c r="BY67" i="25"/>
  <c r="CZ67" i="25"/>
  <c r="S67" i="25" s="1"/>
  <c r="BP67" i="25"/>
  <c r="CQ67" i="25"/>
  <c r="P67" i="25" s="1"/>
  <c r="CB67" i="25"/>
  <c r="CN67" i="25"/>
  <c r="CK67" i="25"/>
  <c r="BM67" i="25"/>
  <c r="BS67" i="25"/>
  <c r="CH67" i="25"/>
  <c r="CE67" i="25"/>
  <c r="DC67" i="25"/>
  <c r="T67" i="25" s="1"/>
  <c r="AK82" i="25"/>
  <c r="CW82" i="25"/>
  <c r="R82" i="25" s="1"/>
  <c r="CZ82" i="25"/>
  <c r="S82" i="25" s="1"/>
  <c r="BP82" i="25"/>
  <c r="BS82" i="25"/>
  <c r="CB82" i="25"/>
  <c r="CN82" i="25"/>
  <c r="BY82" i="25"/>
  <c r="CH82" i="25"/>
  <c r="CE82" i="25"/>
  <c r="BJ82" i="25"/>
  <c r="CK82" i="25"/>
  <c r="BV82" i="25"/>
  <c r="CT82" i="25"/>
  <c r="Q82" i="25" s="1"/>
  <c r="BM82" i="25"/>
  <c r="DC82" i="25"/>
  <c r="T82" i="25" s="1"/>
  <c r="CQ82" i="25"/>
  <c r="P82" i="25" s="1"/>
  <c r="AK110" i="25"/>
  <c r="CQ110" i="25"/>
  <c r="P110" i="25" s="1"/>
  <c r="DC110" i="25"/>
  <c r="T110" i="25" s="1"/>
  <c r="BY110" i="25"/>
  <c r="CW110" i="25"/>
  <c r="R110" i="25" s="1"/>
  <c r="CK110" i="25"/>
  <c r="N110" i="25" s="1"/>
  <c r="CH110" i="25"/>
  <c r="CZ110" i="25"/>
  <c r="S110" i="25" s="1"/>
  <c r="BM110" i="25"/>
  <c r="BP110" i="25"/>
  <c r="BS110" i="25"/>
  <c r="CB110" i="25"/>
  <c r="CN110" i="25"/>
  <c r="O110" i="25" s="1"/>
  <c r="BJ110" i="25"/>
  <c r="CE110" i="25"/>
  <c r="BV110" i="25"/>
  <c r="CT110" i="25"/>
  <c r="Q110" i="25" s="1"/>
  <c r="AK141" i="25"/>
  <c r="CK141" i="25"/>
  <c r="CZ141" i="25"/>
  <c r="S141" i="25" s="1"/>
  <c r="BM141" i="25"/>
  <c r="BP141" i="25"/>
  <c r="DC141" i="25"/>
  <c r="T141" i="25" s="1"/>
  <c r="CB141" i="25"/>
  <c r="CN141" i="25"/>
  <c r="O141" i="25" s="1"/>
  <c r="CQ141" i="25"/>
  <c r="P141" i="25" s="1"/>
  <c r="CH141" i="25"/>
  <c r="M141" i="25" s="1"/>
  <c r="BS141" i="25"/>
  <c r="BJ141" i="25"/>
  <c r="BY141" i="25"/>
  <c r="CW141" i="25"/>
  <c r="R141" i="25" s="1"/>
  <c r="CE141" i="25"/>
  <c r="L141" i="25" s="1"/>
  <c r="BV141" i="25"/>
  <c r="CT141" i="25"/>
  <c r="Q141" i="25" s="1"/>
  <c r="AK158" i="25"/>
  <c r="CQ158" i="25"/>
  <c r="P158" i="25" s="1"/>
  <c r="BY158" i="25"/>
  <c r="CH158" i="25"/>
  <c r="M158" i="25" s="1"/>
  <c r="CW158" i="25"/>
  <c r="R158" i="25" s="1"/>
  <c r="CT158" i="25"/>
  <c r="Q158" i="25" s="1"/>
  <c r="BS158" i="25"/>
  <c r="BJ158" i="25"/>
  <c r="E158" i="25" s="1"/>
  <c r="CK158" i="25"/>
  <c r="CZ158" i="25"/>
  <c r="S158" i="25" s="1"/>
  <c r="CE158" i="25"/>
  <c r="L158" i="25" s="1"/>
  <c r="BV158" i="25"/>
  <c r="BM158" i="25"/>
  <c r="F158" i="25" s="1"/>
  <c r="BP158" i="25"/>
  <c r="G158" i="25" s="1"/>
  <c r="DC158" i="25"/>
  <c r="T158" i="25" s="1"/>
  <c r="CB158" i="25"/>
  <c r="K158" i="25" s="1"/>
  <c r="CN158" i="25"/>
  <c r="AK171" i="25"/>
  <c r="CQ171" i="25"/>
  <c r="P171" i="25" s="1"/>
  <c r="BS171" i="25"/>
  <c r="CK171" i="25"/>
  <c r="N171" i="25" s="1"/>
  <c r="BY171" i="25"/>
  <c r="CH171" i="25"/>
  <c r="CW171" i="25"/>
  <c r="R171" i="25" s="1"/>
  <c r="CE171" i="25"/>
  <c r="BP171" i="25"/>
  <c r="CB171" i="25"/>
  <c r="CN171" i="25"/>
  <c r="BJ171" i="25"/>
  <c r="CZ171" i="25"/>
  <c r="S171" i="25" s="1"/>
  <c r="BV171" i="25"/>
  <c r="CT171" i="25"/>
  <c r="Q171" i="25" s="1"/>
  <c r="BM171" i="25"/>
  <c r="DC171" i="25"/>
  <c r="T171" i="25" s="1"/>
  <c r="AK184" i="25"/>
  <c r="CK184" i="25"/>
  <c r="CZ184" i="25"/>
  <c r="S184" i="25" s="1"/>
  <c r="BM184" i="25"/>
  <c r="CB184" i="25"/>
  <c r="CN184" i="25"/>
  <c r="CQ184" i="25"/>
  <c r="P184" i="25" s="1"/>
  <c r="CH184" i="25"/>
  <c r="CT184" i="25"/>
  <c r="Q184" i="25" s="1"/>
  <c r="BS184" i="25"/>
  <c r="BJ184" i="25"/>
  <c r="BY184" i="25"/>
  <c r="CW184" i="25"/>
  <c r="R184" i="25" s="1"/>
  <c r="CE184" i="25"/>
  <c r="BV184" i="25"/>
  <c r="BP184" i="25"/>
  <c r="DC184" i="25"/>
  <c r="T184" i="25" s="1"/>
  <c r="K184" i="25" l="1"/>
  <c r="I171" i="25"/>
  <c r="K171" i="25"/>
  <c r="M171" i="25"/>
  <c r="H158" i="25"/>
  <c r="J158" i="25"/>
  <c r="I141" i="25"/>
  <c r="E141" i="25"/>
  <c r="F141" i="25"/>
  <c r="F110" i="25"/>
  <c r="L82" i="25"/>
  <c r="K82" i="25"/>
  <c r="M67" i="25"/>
  <c r="O67" i="25"/>
  <c r="E63" i="25"/>
  <c r="J63" i="25"/>
  <c r="G49" i="25"/>
  <c r="M52" i="25"/>
  <c r="I52" i="25"/>
  <c r="K52" i="25"/>
  <c r="N182" i="25"/>
  <c r="L182" i="25"/>
  <c r="H182" i="25"/>
  <c r="O182" i="25"/>
  <c r="I190" i="25"/>
  <c r="E190" i="25"/>
  <c r="G161" i="25"/>
  <c r="L100" i="25"/>
  <c r="H100" i="25"/>
  <c r="M100" i="25"/>
  <c r="J100" i="25"/>
  <c r="G74" i="25"/>
  <c r="L74" i="25"/>
  <c r="E74" i="25"/>
  <c r="F32" i="25"/>
  <c r="N32" i="25"/>
  <c r="J198" i="25"/>
  <c r="I198" i="25"/>
  <c r="O180" i="25"/>
  <c r="N180" i="25"/>
  <c r="L180" i="25"/>
  <c r="H180" i="25"/>
  <c r="L194" i="25"/>
  <c r="I111" i="25"/>
  <c r="K111" i="25"/>
  <c r="I58" i="25"/>
  <c r="M58" i="25"/>
  <c r="G38" i="25"/>
  <c r="I38" i="25"/>
  <c r="F38" i="25"/>
  <c r="BA13" i="25"/>
  <c r="B13" i="25" s="1"/>
  <c r="AX13" i="25"/>
  <c r="A13" i="25" s="1"/>
  <c r="BD13" i="25"/>
  <c r="C13" i="25" s="1"/>
  <c r="BG13" i="25"/>
  <c r="D13" i="25" s="1"/>
  <c r="AU13" i="25"/>
  <c r="AX24" i="25"/>
  <c r="A24" i="25" s="1"/>
  <c r="AU24" i="25"/>
  <c r="BG24" i="25"/>
  <c r="D24" i="25" s="1"/>
  <c r="BA24" i="25"/>
  <c r="B24" i="25" s="1"/>
  <c r="BD24" i="25"/>
  <c r="C24" i="25" s="1"/>
  <c r="AU45" i="25"/>
  <c r="AX45" i="25"/>
  <c r="A45" i="25" s="1"/>
  <c r="BD45" i="25"/>
  <c r="C45" i="25" s="1"/>
  <c r="BG45" i="25"/>
  <c r="D45" i="25" s="1"/>
  <c r="BA45" i="25"/>
  <c r="B45" i="25" s="1"/>
  <c r="AU54" i="25"/>
  <c r="BA54" i="25"/>
  <c r="B54" i="25" s="1"/>
  <c r="BD54" i="25"/>
  <c r="C54" i="25" s="1"/>
  <c r="BG54" i="25"/>
  <c r="D54" i="25" s="1"/>
  <c r="AX54" i="25"/>
  <c r="A54" i="25" s="1"/>
  <c r="BA47" i="25"/>
  <c r="B47" i="25" s="1"/>
  <c r="AU47" i="25"/>
  <c r="AX47" i="25"/>
  <c r="A47" i="25" s="1"/>
  <c r="BD63" i="25"/>
  <c r="C63" i="25" s="1"/>
  <c r="BG63" i="25"/>
  <c r="D63" i="25" s="1"/>
  <c r="BA63" i="25"/>
  <c r="B63" i="25" s="1"/>
  <c r="AX63" i="25"/>
  <c r="A63" i="25" s="1"/>
  <c r="AU63" i="25"/>
  <c r="AU70" i="25"/>
  <c r="BG70" i="25"/>
  <c r="D70" i="25" s="1"/>
  <c r="AX70" i="25"/>
  <c r="A70" i="25" s="1"/>
  <c r="BD70" i="25"/>
  <c r="C70" i="25" s="1"/>
  <c r="BA70" i="25"/>
  <c r="B70" i="25" s="1"/>
  <c r="AU79" i="25"/>
  <c r="BG79" i="25"/>
  <c r="D79" i="25" s="1"/>
  <c r="BA79" i="25"/>
  <c r="B79" i="25" s="1"/>
  <c r="AX79" i="25"/>
  <c r="A79" i="25" s="1"/>
  <c r="BD79" i="25"/>
  <c r="C79" i="25" s="1"/>
  <c r="AU85" i="25"/>
  <c r="BG85" i="25"/>
  <c r="D85" i="25" s="1"/>
  <c r="BA85" i="25"/>
  <c r="B85" i="25" s="1"/>
  <c r="AX85" i="25"/>
  <c r="A85" i="25" s="1"/>
  <c r="BD85" i="25"/>
  <c r="C85" i="25" s="1"/>
  <c r="AU98" i="25"/>
  <c r="BA98" i="25"/>
  <c r="B98" i="25" s="1"/>
  <c r="BD98" i="25"/>
  <c r="C98" i="25" s="1"/>
  <c r="BG98" i="25"/>
  <c r="D98" i="25" s="1"/>
  <c r="AX98" i="25"/>
  <c r="A98" i="25" s="1"/>
  <c r="BA105" i="25"/>
  <c r="B105" i="25" s="1"/>
  <c r="AU105" i="25"/>
  <c r="BG105" i="25"/>
  <c r="D105" i="25" s="1"/>
  <c r="BD105" i="25"/>
  <c r="C105" i="25" s="1"/>
  <c r="AX105" i="25"/>
  <c r="A105" i="25" s="1"/>
  <c r="AU126" i="25"/>
  <c r="AX126" i="25"/>
  <c r="A126" i="25" s="1"/>
  <c r="BA126" i="25"/>
  <c r="B126" i="25" s="1"/>
  <c r="BD126" i="25"/>
  <c r="C126" i="25" s="1"/>
  <c r="BG126" i="25"/>
  <c r="D126" i="25" s="1"/>
  <c r="AU116" i="25"/>
  <c r="BA116" i="25"/>
  <c r="B116" i="25" s="1"/>
  <c r="BD116" i="25"/>
  <c r="C116" i="25" s="1"/>
  <c r="BG116" i="25"/>
  <c r="D116" i="25" s="1"/>
  <c r="AX116" i="25"/>
  <c r="A116" i="25" s="1"/>
  <c r="AU111" i="25"/>
  <c r="BA111" i="25"/>
  <c r="B111" i="25" s="1"/>
  <c r="BD111" i="25"/>
  <c r="C111" i="25" s="1"/>
  <c r="BG111" i="25"/>
  <c r="D111" i="25" s="1"/>
  <c r="AX111" i="25"/>
  <c r="A111" i="25" s="1"/>
  <c r="AU136" i="25"/>
  <c r="BA136" i="25"/>
  <c r="B136" i="25" s="1"/>
  <c r="BD136" i="25"/>
  <c r="C136" i="25" s="1"/>
  <c r="BG136" i="25"/>
  <c r="D136" i="25" s="1"/>
  <c r="AX136" i="25"/>
  <c r="A136" i="25" s="1"/>
  <c r="AU117" i="25"/>
  <c r="AX117" i="25"/>
  <c r="A117" i="25" s="1"/>
  <c r="BA117" i="25"/>
  <c r="B117" i="25" s="1"/>
  <c r="BD117" i="25"/>
  <c r="C117" i="25" s="1"/>
  <c r="BG117" i="25"/>
  <c r="D117" i="25" s="1"/>
  <c r="AX167" i="25"/>
  <c r="A167" i="25" s="1"/>
  <c r="BA167" i="25"/>
  <c r="B167" i="25" s="1"/>
  <c r="AU167" i="25"/>
  <c r="AU148" i="25"/>
  <c r="BG148" i="25"/>
  <c r="D148" i="25" s="1"/>
  <c r="AX148" i="25"/>
  <c r="A148" i="25" s="1"/>
  <c r="BA148" i="25"/>
  <c r="B148" i="25" s="1"/>
  <c r="BD148" i="25"/>
  <c r="C148" i="25" s="1"/>
  <c r="AU150" i="25"/>
  <c r="BA150" i="25"/>
  <c r="B150" i="25" s="1"/>
  <c r="BD150" i="25"/>
  <c r="C150" i="25" s="1"/>
  <c r="BG150" i="25"/>
  <c r="D150" i="25" s="1"/>
  <c r="AX150" i="25"/>
  <c r="A150" i="25" s="1"/>
  <c r="AU183" i="25"/>
  <c r="BG183" i="25"/>
  <c r="D183" i="25" s="1"/>
  <c r="BA183" i="25"/>
  <c r="B183" i="25" s="1"/>
  <c r="AX183" i="25"/>
  <c r="A183" i="25" s="1"/>
  <c r="BD183" i="25"/>
  <c r="C183" i="25" s="1"/>
  <c r="AU174" i="25"/>
  <c r="BA174" i="25"/>
  <c r="B174" i="25" s="1"/>
  <c r="BD174" i="25"/>
  <c r="C174" i="25" s="1"/>
  <c r="BG174" i="25"/>
  <c r="D174" i="25" s="1"/>
  <c r="AX174" i="25"/>
  <c r="A174" i="25" s="1"/>
  <c r="AU170" i="25"/>
  <c r="BG170" i="25"/>
  <c r="D170" i="25" s="1"/>
  <c r="AX170" i="25"/>
  <c r="A170" i="25" s="1"/>
  <c r="BA170" i="25"/>
  <c r="B170" i="25" s="1"/>
  <c r="BD170" i="25"/>
  <c r="C170" i="25" s="1"/>
  <c r="BA213" i="25"/>
  <c r="B213" i="25" s="1"/>
  <c r="BD213" i="25"/>
  <c r="C213" i="25" s="1"/>
  <c r="AX213" i="25"/>
  <c r="A213" i="25" s="1"/>
  <c r="AU213" i="25"/>
  <c r="BG213" i="25"/>
  <c r="D213" i="25" s="1"/>
  <c r="AU230" i="25"/>
  <c r="BA230" i="25"/>
  <c r="B230" i="25" s="1"/>
  <c r="BG230" i="25"/>
  <c r="D230" i="25" s="1"/>
  <c r="AX230" i="25"/>
  <c r="A230" i="25" s="1"/>
  <c r="BD230" i="25"/>
  <c r="C230" i="25" s="1"/>
  <c r="AX252" i="25"/>
  <c r="A252" i="25" s="1"/>
  <c r="AU252" i="25"/>
  <c r="BA252" i="25"/>
  <c r="B252" i="25" s="1"/>
  <c r="BD252" i="25"/>
  <c r="C252" i="25" s="1"/>
  <c r="BG252" i="25"/>
  <c r="AU208" i="25"/>
  <c r="BA208" i="25"/>
  <c r="B208" i="25" s="1"/>
  <c r="BG208" i="25"/>
  <c r="D208" i="25" s="1"/>
  <c r="AX208" i="25"/>
  <c r="A208" i="25" s="1"/>
  <c r="BD208" i="25"/>
  <c r="C208" i="25" s="1"/>
  <c r="BG241" i="25"/>
  <c r="D241" i="25" s="1"/>
  <c r="BA241" i="25"/>
  <c r="B241" i="25" s="1"/>
  <c r="BD241" i="25"/>
  <c r="C241" i="25" s="1"/>
  <c r="AX241" i="25"/>
  <c r="A241" i="25" s="1"/>
  <c r="AU241" i="25"/>
  <c r="BA214" i="25"/>
  <c r="B214" i="25" s="1"/>
  <c r="AU214" i="25"/>
  <c r="BG214" i="25"/>
  <c r="D214" i="25" s="1"/>
  <c r="AX214" i="25"/>
  <c r="A214" i="25" s="1"/>
  <c r="BD214" i="25"/>
  <c r="C214" i="25" s="1"/>
  <c r="AX227" i="25"/>
  <c r="A227" i="25" s="1"/>
  <c r="BG227" i="25"/>
  <c r="D227" i="25" s="1"/>
  <c r="AU227" i="25"/>
  <c r="BA227" i="25"/>
  <c r="B227" i="25" s="1"/>
  <c r="BD227" i="25"/>
  <c r="C227" i="25" s="1"/>
  <c r="BA246" i="25"/>
  <c r="BG246" i="25"/>
  <c r="D246" i="25" s="1"/>
  <c r="AX246" i="25"/>
  <c r="A246" i="25" s="1"/>
  <c r="BD246" i="25"/>
  <c r="C246" i="25" s="1"/>
  <c r="AU246" i="25"/>
  <c r="AU262" i="25"/>
  <c r="BG262" i="25"/>
  <c r="D262" i="25" s="1"/>
  <c r="BA262" i="25"/>
  <c r="B262" i="25" s="1"/>
  <c r="AX262" i="25"/>
  <c r="A262" i="25" s="1"/>
  <c r="BD262" i="25"/>
  <c r="C262" i="25" s="1"/>
  <c r="AU212" i="25"/>
  <c r="AX212" i="25"/>
  <c r="A212" i="25" s="1"/>
  <c r="BD212" i="25"/>
  <c r="C212" i="25" s="1"/>
  <c r="BA212" i="25"/>
  <c r="B212" i="25" s="1"/>
  <c r="BG212" i="25"/>
  <c r="D212" i="25" s="1"/>
  <c r="F185" i="25"/>
  <c r="E185" i="25"/>
  <c r="L185" i="25"/>
  <c r="N185" i="25"/>
  <c r="G144" i="25"/>
  <c r="M159" i="25"/>
  <c r="K159" i="25"/>
  <c r="L159" i="25"/>
  <c r="J136" i="25"/>
  <c r="I136" i="25"/>
  <c r="H126" i="25"/>
  <c r="M126" i="25"/>
  <c r="E124" i="25"/>
  <c r="G124" i="25"/>
  <c r="N124" i="25"/>
  <c r="N139" i="25"/>
  <c r="M104" i="25"/>
  <c r="I104" i="25"/>
  <c r="L79" i="25"/>
  <c r="H79" i="25"/>
  <c r="I66" i="25"/>
  <c r="G197" i="25"/>
  <c r="H207" i="25"/>
  <c r="K207" i="25"/>
  <c r="H145" i="25"/>
  <c r="K142" i="25"/>
  <c r="I142" i="25"/>
  <c r="E142" i="25"/>
  <c r="M142" i="25"/>
  <c r="E107" i="25"/>
  <c r="G107" i="25"/>
  <c r="N107" i="25"/>
  <c r="I96" i="25"/>
  <c r="K96" i="25"/>
  <c r="I105" i="25"/>
  <c r="M105" i="25"/>
  <c r="G27" i="25"/>
  <c r="M27" i="25"/>
  <c r="N27" i="25"/>
  <c r="F183" i="25"/>
  <c r="E183" i="25"/>
  <c r="L183" i="25"/>
  <c r="N183" i="25"/>
  <c r="G143" i="25"/>
  <c r="J143" i="25"/>
  <c r="F140" i="25"/>
  <c r="N155" i="25"/>
  <c r="M155" i="25"/>
  <c r="E138" i="25"/>
  <c r="G138" i="25"/>
  <c r="N138" i="25"/>
  <c r="O112" i="25"/>
  <c r="I103" i="25"/>
  <c r="M103" i="25"/>
  <c r="Q85" i="25"/>
  <c r="I59" i="25"/>
  <c r="H59" i="25"/>
  <c r="J59" i="25"/>
  <c r="I205" i="25"/>
  <c r="I174" i="25"/>
  <c r="E174" i="25"/>
  <c r="J149" i="25"/>
  <c r="G149" i="25"/>
  <c r="O108" i="25"/>
  <c r="F108" i="25"/>
  <c r="I106" i="25"/>
  <c r="J97" i="25"/>
  <c r="F97" i="25"/>
  <c r="H84" i="25"/>
  <c r="J78" i="25"/>
  <c r="F78" i="25"/>
  <c r="R37" i="25"/>
  <c r="J37" i="25"/>
  <c r="G37" i="25"/>
  <c r="I24" i="25"/>
  <c r="F24" i="25"/>
  <c r="I186" i="25"/>
  <c r="E186" i="25"/>
  <c r="F93" i="25"/>
  <c r="J93" i="25"/>
  <c r="F51" i="25"/>
  <c r="J60" i="25"/>
  <c r="I60" i="25"/>
  <c r="H48" i="25"/>
  <c r="I48" i="25"/>
  <c r="J48" i="25"/>
  <c r="E199" i="25"/>
  <c r="F199" i="25"/>
  <c r="H202" i="25"/>
  <c r="E202" i="25"/>
  <c r="K196" i="25"/>
  <c r="M196" i="25"/>
  <c r="I168" i="25"/>
  <c r="E168" i="25"/>
  <c r="I125" i="25"/>
  <c r="F77" i="25"/>
  <c r="K77" i="25"/>
  <c r="J77" i="25"/>
  <c r="J69" i="25"/>
  <c r="E69" i="25"/>
  <c r="I57" i="25"/>
  <c r="H57" i="25"/>
  <c r="J57" i="25"/>
  <c r="G46" i="25"/>
  <c r="E46" i="25"/>
  <c r="N46" i="25"/>
  <c r="F175" i="25"/>
  <c r="E175" i="25"/>
  <c r="H170" i="25"/>
  <c r="F170" i="25"/>
  <c r="G170" i="25"/>
  <c r="J170" i="25"/>
  <c r="I109" i="25"/>
  <c r="O94" i="25"/>
  <c r="F94" i="25"/>
  <c r="J71" i="25"/>
  <c r="E71" i="25"/>
  <c r="K71" i="25"/>
  <c r="J68" i="25"/>
  <c r="L30" i="25"/>
  <c r="M181" i="25"/>
  <c r="I181" i="25"/>
  <c r="K181" i="25"/>
  <c r="I131" i="25"/>
  <c r="K131" i="25"/>
  <c r="F128" i="25"/>
  <c r="H128" i="25"/>
  <c r="E128" i="25"/>
  <c r="I191" i="25"/>
  <c r="K191" i="25"/>
  <c r="O150" i="25"/>
  <c r="F150" i="25"/>
  <c r="N150" i="25"/>
  <c r="G151" i="25"/>
  <c r="J151" i="25"/>
  <c r="J130" i="25"/>
  <c r="I130" i="25"/>
  <c r="H120" i="25"/>
  <c r="L120" i="25"/>
  <c r="J113" i="25"/>
  <c r="L113" i="25"/>
  <c r="H113" i="25"/>
  <c r="G87" i="25"/>
  <c r="F76" i="25"/>
  <c r="J76" i="25"/>
  <c r="M76" i="25"/>
  <c r="G76" i="25"/>
  <c r="J75" i="25"/>
  <c r="M29" i="25"/>
  <c r="F29" i="25"/>
  <c r="J29" i="25"/>
  <c r="I160" i="25"/>
  <c r="E160" i="25"/>
  <c r="M160" i="25"/>
  <c r="K160" i="25"/>
  <c r="L102" i="25"/>
  <c r="I73" i="25"/>
  <c r="N73" i="25"/>
  <c r="G73" i="25"/>
  <c r="J31" i="25"/>
  <c r="O31" i="25"/>
  <c r="H31" i="25"/>
  <c r="I200" i="25"/>
  <c r="G200" i="25"/>
  <c r="N200" i="25"/>
  <c r="G176" i="25"/>
  <c r="J176" i="25"/>
  <c r="M176" i="25"/>
  <c r="F176" i="25"/>
  <c r="J157" i="25"/>
  <c r="G157" i="25"/>
  <c r="J154" i="25"/>
  <c r="K154" i="25"/>
  <c r="I154" i="25"/>
  <c r="E154" i="25"/>
  <c r="H165" i="25"/>
  <c r="G147" i="25"/>
  <c r="J147" i="25"/>
  <c r="F134" i="25"/>
  <c r="E133" i="25"/>
  <c r="G133" i="25"/>
  <c r="I99" i="25"/>
  <c r="M99" i="25"/>
  <c r="O55" i="25"/>
  <c r="E55" i="25"/>
  <c r="M55" i="25"/>
  <c r="O187" i="25"/>
  <c r="H187" i="25"/>
  <c r="R146" i="25"/>
  <c r="G146" i="25"/>
  <c r="S146" i="25"/>
  <c r="H132" i="25"/>
  <c r="E122" i="25"/>
  <c r="G122" i="25"/>
  <c r="N122" i="25"/>
  <c r="F95" i="25"/>
  <c r="H95" i="25"/>
  <c r="R95" i="25"/>
  <c r="O95" i="25"/>
  <c r="F81" i="25"/>
  <c r="E81" i="25"/>
  <c r="J81" i="25"/>
  <c r="G81" i="25"/>
  <c r="G22" i="25"/>
  <c r="J22" i="25"/>
  <c r="I179" i="25"/>
  <c r="M179" i="25"/>
  <c r="G163" i="25"/>
  <c r="J163" i="25"/>
  <c r="O98" i="25"/>
  <c r="F98" i="25"/>
  <c r="J91" i="25"/>
  <c r="G91" i="25"/>
  <c r="F91" i="25"/>
  <c r="E91" i="25"/>
  <c r="N83" i="25"/>
  <c r="F53" i="25"/>
  <c r="L54" i="25"/>
  <c r="E42" i="25"/>
  <c r="CT9" i="25"/>
  <c r="Q12" i="25"/>
  <c r="BM9" i="25"/>
  <c r="F12" i="25"/>
  <c r="CW9" i="25"/>
  <c r="R12" i="25"/>
  <c r="CE9" i="25"/>
  <c r="L12" i="25"/>
  <c r="G184" i="25"/>
  <c r="J184" i="25"/>
  <c r="M184" i="25"/>
  <c r="F184" i="25"/>
  <c r="G171" i="25"/>
  <c r="J171" i="25"/>
  <c r="H141" i="25"/>
  <c r="K141" i="25"/>
  <c r="I110" i="25"/>
  <c r="K110" i="25"/>
  <c r="J110" i="25"/>
  <c r="I82" i="25"/>
  <c r="M82" i="25"/>
  <c r="H82" i="25"/>
  <c r="H67" i="25"/>
  <c r="K67" i="25"/>
  <c r="J67" i="25"/>
  <c r="E67" i="25"/>
  <c r="H63" i="25"/>
  <c r="E49" i="25"/>
  <c r="F52" i="25"/>
  <c r="J52" i="25"/>
  <c r="K182" i="25"/>
  <c r="H190" i="25"/>
  <c r="E100" i="25"/>
  <c r="G100" i="25"/>
  <c r="N100" i="25"/>
  <c r="F74" i="25"/>
  <c r="H74" i="25"/>
  <c r="O74" i="25"/>
  <c r="I50" i="25"/>
  <c r="O32" i="25"/>
  <c r="E32" i="25"/>
  <c r="I32" i="25"/>
  <c r="H198" i="25"/>
  <c r="T209" i="25"/>
  <c r="K180" i="25"/>
  <c r="K194" i="25"/>
  <c r="R194" i="25"/>
  <c r="H111" i="25"/>
  <c r="M111" i="25"/>
  <c r="J111" i="25"/>
  <c r="L111" i="25"/>
  <c r="L58" i="25"/>
  <c r="F58" i="25"/>
  <c r="J58" i="25"/>
  <c r="L38" i="25"/>
  <c r="O185" i="25"/>
  <c r="H185" i="25"/>
  <c r="F144" i="25"/>
  <c r="H159" i="25"/>
  <c r="N159" i="25"/>
  <c r="G136" i="25"/>
  <c r="L136" i="25"/>
  <c r="E126" i="25"/>
  <c r="G126" i="25"/>
  <c r="Q124" i="25"/>
  <c r="O124" i="25"/>
  <c r="F124" i="25"/>
  <c r="G139" i="25"/>
  <c r="J139" i="25"/>
  <c r="G104" i="25"/>
  <c r="J104" i="25"/>
  <c r="K79" i="25"/>
  <c r="I79" i="25"/>
  <c r="O79" i="25"/>
  <c r="G66" i="25"/>
  <c r="L66" i="25"/>
  <c r="E66" i="25"/>
  <c r="F197" i="25"/>
  <c r="H197" i="25"/>
  <c r="J197" i="25"/>
  <c r="E197" i="25"/>
  <c r="I207" i="25"/>
  <c r="G207" i="25"/>
  <c r="M145" i="25"/>
  <c r="H142" i="25"/>
  <c r="J142" i="25"/>
  <c r="Q107" i="25"/>
  <c r="O107" i="25"/>
  <c r="F107" i="25"/>
  <c r="H96" i="25"/>
  <c r="J96" i="25"/>
  <c r="O105" i="25"/>
  <c r="G105" i="25"/>
  <c r="N105" i="25"/>
  <c r="K40" i="25"/>
  <c r="F27" i="25"/>
  <c r="J27" i="25"/>
  <c r="E27" i="25"/>
  <c r="H183" i="25"/>
  <c r="O183" i="25"/>
  <c r="F143" i="25"/>
  <c r="I143" i="25"/>
  <c r="E143" i="25"/>
  <c r="I140" i="25"/>
  <c r="E140" i="25"/>
  <c r="G155" i="25"/>
  <c r="J155" i="25"/>
  <c r="O138" i="25"/>
  <c r="F138" i="25"/>
  <c r="J112" i="25"/>
  <c r="I112" i="25"/>
  <c r="K112" i="25"/>
  <c r="G103" i="25"/>
  <c r="N103" i="25"/>
  <c r="O103" i="25"/>
  <c r="F59" i="25"/>
  <c r="E205" i="25"/>
  <c r="N174" i="25"/>
  <c r="H174" i="25"/>
  <c r="I149" i="25"/>
  <c r="E149" i="25"/>
  <c r="F149" i="25"/>
  <c r="G153" i="25"/>
  <c r="J153" i="25"/>
  <c r="I108" i="25"/>
  <c r="K108" i="25"/>
  <c r="J108" i="25"/>
  <c r="J106" i="25"/>
  <c r="H106" i="25"/>
  <c r="M106" i="25"/>
  <c r="E97" i="25"/>
  <c r="H97" i="25"/>
  <c r="L97" i="25"/>
  <c r="T84" i="25"/>
  <c r="E78" i="25"/>
  <c r="H37" i="25"/>
  <c r="N37" i="25"/>
  <c r="Q37" i="25"/>
  <c r="AX12" i="25"/>
  <c r="AU12" i="25"/>
  <c r="BG12" i="25"/>
  <c r="BD12" i="25"/>
  <c r="BA12" i="25"/>
  <c r="AU26" i="25"/>
  <c r="BA26" i="25"/>
  <c r="B26" i="25" s="1"/>
  <c r="BD26" i="25"/>
  <c r="C26" i="25" s="1"/>
  <c r="AX26" i="25"/>
  <c r="A26" i="25" s="1"/>
  <c r="BG26" i="25"/>
  <c r="D26" i="25" s="1"/>
  <c r="AX29" i="25"/>
  <c r="A29" i="25" s="1"/>
  <c r="BG29" i="25"/>
  <c r="D29" i="25" s="1"/>
  <c r="BD29" i="25"/>
  <c r="C29" i="25" s="1"/>
  <c r="AU29" i="25"/>
  <c r="BA29" i="25"/>
  <c r="B29" i="25" s="1"/>
  <c r="BD46" i="25"/>
  <c r="C46" i="25" s="1"/>
  <c r="BA46" i="25"/>
  <c r="B46" i="25" s="1"/>
  <c r="AX46" i="25"/>
  <c r="A46" i="25" s="1"/>
  <c r="BG46" i="25"/>
  <c r="D46" i="25" s="1"/>
  <c r="AU46" i="25"/>
  <c r="AU40" i="25"/>
  <c r="BG40" i="25"/>
  <c r="D40" i="25" s="1"/>
  <c r="BD40" i="25"/>
  <c r="C40" i="25" s="1"/>
  <c r="BA40" i="25"/>
  <c r="B40" i="25" s="1"/>
  <c r="AX40" i="25"/>
  <c r="A40" i="25" s="1"/>
  <c r="AU65" i="25"/>
  <c r="AX65" i="25"/>
  <c r="A65" i="25" s="1"/>
  <c r="BD65" i="25"/>
  <c r="C65" i="25" s="1"/>
  <c r="BA65" i="25"/>
  <c r="B65" i="25" s="1"/>
  <c r="BG65" i="25"/>
  <c r="D65" i="25" s="1"/>
  <c r="AU66" i="25"/>
  <c r="BA66" i="25"/>
  <c r="B66" i="25" s="1"/>
  <c r="BG66" i="25"/>
  <c r="D66" i="25" s="1"/>
  <c r="AX66" i="25"/>
  <c r="A66" i="25" s="1"/>
  <c r="BD66" i="25"/>
  <c r="C66" i="25" s="1"/>
  <c r="AU82" i="25"/>
  <c r="BD82" i="25"/>
  <c r="C82" i="25" s="1"/>
  <c r="BG82" i="25"/>
  <c r="D82" i="25" s="1"/>
  <c r="BA82" i="25"/>
  <c r="B82" i="25" s="1"/>
  <c r="AX82" i="25"/>
  <c r="A82" i="25" s="1"/>
  <c r="AU106" i="25"/>
  <c r="BA106" i="25"/>
  <c r="B106" i="25" s="1"/>
  <c r="BD106" i="25"/>
  <c r="C106" i="25" s="1"/>
  <c r="BG106" i="25"/>
  <c r="D106" i="25" s="1"/>
  <c r="AX106" i="25"/>
  <c r="A106" i="25" s="1"/>
  <c r="AU100" i="25"/>
  <c r="BA100" i="25"/>
  <c r="B100" i="25" s="1"/>
  <c r="BD100" i="25"/>
  <c r="C100" i="25" s="1"/>
  <c r="BG100" i="25"/>
  <c r="D100" i="25" s="1"/>
  <c r="AX100" i="25"/>
  <c r="A100" i="25" s="1"/>
  <c r="AU131" i="25"/>
  <c r="BA131" i="25"/>
  <c r="B131" i="25" s="1"/>
  <c r="BD131" i="25"/>
  <c r="C131" i="25" s="1"/>
  <c r="BG131" i="25"/>
  <c r="D131" i="25" s="1"/>
  <c r="AX131" i="25"/>
  <c r="A131" i="25" s="1"/>
  <c r="BA127" i="25"/>
  <c r="B127" i="25" s="1"/>
  <c r="BD127" i="25"/>
  <c r="C127" i="25" s="1"/>
  <c r="BG127" i="25"/>
  <c r="D127" i="25" s="1"/>
  <c r="AU127" i="25"/>
  <c r="AX127" i="25"/>
  <c r="A127" i="25" s="1"/>
  <c r="AU107" i="25"/>
  <c r="BA107" i="25"/>
  <c r="B107" i="25" s="1"/>
  <c r="BD107" i="25"/>
  <c r="C107" i="25" s="1"/>
  <c r="BG107" i="25"/>
  <c r="D107" i="25" s="1"/>
  <c r="AX107" i="25"/>
  <c r="A107" i="25" s="1"/>
  <c r="AU119" i="25"/>
  <c r="BA119" i="25"/>
  <c r="B119" i="25" s="1"/>
  <c r="BD119" i="25"/>
  <c r="C119" i="25" s="1"/>
  <c r="BG119" i="25"/>
  <c r="D119" i="25" s="1"/>
  <c r="AX119" i="25"/>
  <c r="A119" i="25" s="1"/>
  <c r="BA147" i="25"/>
  <c r="B147" i="25" s="1"/>
  <c r="BD147" i="25"/>
  <c r="C147" i="25" s="1"/>
  <c r="AU147" i="25"/>
  <c r="AX147" i="25"/>
  <c r="A147" i="25" s="1"/>
  <c r="BG147" i="25"/>
  <c r="D147" i="25" s="1"/>
  <c r="BA149" i="25"/>
  <c r="B149" i="25" s="1"/>
  <c r="BD149" i="25"/>
  <c r="C149" i="25" s="1"/>
  <c r="AU149" i="25"/>
  <c r="AX149" i="25"/>
  <c r="A149" i="25" s="1"/>
  <c r="BG149" i="25"/>
  <c r="D149" i="25" s="1"/>
  <c r="AU166" i="25"/>
  <c r="BA166" i="25"/>
  <c r="B166" i="25" s="1"/>
  <c r="BD166" i="25"/>
  <c r="C166" i="25" s="1"/>
  <c r="BG166" i="25"/>
  <c r="D166" i="25" s="1"/>
  <c r="AX166" i="25"/>
  <c r="A166" i="25" s="1"/>
  <c r="AU160" i="25"/>
  <c r="AX160" i="25"/>
  <c r="A160" i="25" s="1"/>
  <c r="BA160" i="25"/>
  <c r="B160" i="25" s="1"/>
  <c r="BD160" i="25"/>
  <c r="C160" i="25" s="1"/>
  <c r="BG160" i="25"/>
  <c r="D160" i="25" s="1"/>
  <c r="AU189" i="25"/>
  <c r="BA189" i="25"/>
  <c r="B189" i="25" s="1"/>
  <c r="AX189" i="25"/>
  <c r="A189" i="25" s="1"/>
  <c r="BD189" i="25"/>
  <c r="C189" i="25" s="1"/>
  <c r="BG189" i="25"/>
  <c r="D189" i="25" s="1"/>
  <c r="AX184" i="25"/>
  <c r="A184" i="25" s="1"/>
  <c r="BA184" i="25"/>
  <c r="B184" i="25" s="1"/>
  <c r="BD184" i="25"/>
  <c r="C184" i="25" s="1"/>
  <c r="AU184" i="25"/>
  <c r="BG184" i="25"/>
  <c r="D184" i="25" s="1"/>
  <c r="AU171" i="25"/>
  <c r="BA171" i="25"/>
  <c r="B171" i="25" s="1"/>
  <c r="AX171" i="25"/>
  <c r="A171" i="25" s="1"/>
  <c r="BD171" i="25"/>
  <c r="C171" i="25" s="1"/>
  <c r="BG171" i="25"/>
  <c r="D171" i="25" s="1"/>
  <c r="BA197" i="25"/>
  <c r="B197" i="25" s="1"/>
  <c r="BD197" i="25"/>
  <c r="C197" i="25" s="1"/>
  <c r="AU197" i="25"/>
  <c r="AX197" i="25"/>
  <c r="A197" i="25" s="1"/>
  <c r="BG197" i="25"/>
  <c r="D197" i="25" s="1"/>
  <c r="AX215" i="25"/>
  <c r="A215" i="25" s="1"/>
  <c r="BG215" i="25"/>
  <c r="D215" i="25" s="1"/>
  <c r="BA215" i="25"/>
  <c r="B215" i="25" s="1"/>
  <c r="AU215" i="25"/>
  <c r="BD215" i="25"/>
  <c r="C215" i="25" s="1"/>
  <c r="AU261" i="25"/>
  <c r="BA261" i="25"/>
  <c r="AX261" i="25"/>
  <c r="A261" i="25" s="1"/>
  <c r="BD261" i="25"/>
  <c r="C261" i="25" s="1"/>
  <c r="BG261" i="25"/>
  <c r="D261" i="25" s="1"/>
  <c r="AU243" i="25"/>
  <c r="AX243" i="25"/>
  <c r="A243" i="25" s="1"/>
  <c r="BG243" i="25"/>
  <c r="D243" i="25" s="1"/>
  <c r="BA243" i="25"/>
  <c r="BD243" i="25"/>
  <c r="C243" i="25" s="1"/>
  <c r="AU216" i="25"/>
  <c r="BA216" i="25"/>
  <c r="B216" i="25" s="1"/>
  <c r="BD216" i="25"/>
  <c r="C216" i="25" s="1"/>
  <c r="BG216" i="25"/>
  <c r="D216" i="25" s="1"/>
  <c r="AX216" i="25"/>
  <c r="A216" i="25" s="1"/>
  <c r="BA248" i="25"/>
  <c r="BD248" i="25"/>
  <c r="C248" i="25" s="1"/>
  <c r="BG248" i="25"/>
  <c r="D248" i="25" s="1"/>
  <c r="AX248" i="25"/>
  <c r="A248" i="25" s="1"/>
  <c r="AU248" i="25"/>
  <c r="AU209" i="25"/>
  <c r="BG209" i="25"/>
  <c r="D209" i="25" s="1"/>
  <c r="BA209" i="25"/>
  <c r="B209" i="25" s="1"/>
  <c r="BD209" i="25"/>
  <c r="C209" i="25" s="1"/>
  <c r="AX209" i="25"/>
  <c r="A209" i="25" s="1"/>
  <c r="H186" i="25"/>
  <c r="H93" i="25"/>
  <c r="E93" i="25"/>
  <c r="N92" i="25"/>
  <c r="G51" i="25"/>
  <c r="G60" i="25"/>
  <c r="F60" i="25"/>
  <c r="H60" i="25"/>
  <c r="L48" i="25"/>
  <c r="F48" i="25"/>
  <c r="N48" i="25"/>
  <c r="I199" i="25"/>
  <c r="L199" i="25"/>
  <c r="H196" i="25"/>
  <c r="G196" i="25"/>
  <c r="J196" i="25"/>
  <c r="N168" i="25"/>
  <c r="H125" i="25"/>
  <c r="J125" i="25"/>
  <c r="H77" i="25"/>
  <c r="E77" i="25"/>
  <c r="F69" i="25"/>
  <c r="H69" i="25"/>
  <c r="F57" i="25"/>
  <c r="N57" i="25"/>
  <c r="I46" i="25"/>
  <c r="O46" i="25"/>
  <c r="N26" i="25"/>
  <c r="J26" i="25"/>
  <c r="H26" i="25"/>
  <c r="H175" i="25"/>
  <c r="I170" i="25"/>
  <c r="E170" i="25"/>
  <c r="H109" i="25"/>
  <c r="M109" i="25"/>
  <c r="J109" i="25"/>
  <c r="I94" i="25"/>
  <c r="K94" i="25"/>
  <c r="H71" i="25"/>
  <c r="F71" i="25"/>
  <c r="I68" i="25"/>
  <c r="G30" i="25"/>
  <c r="G192" i="25"/>
  <c r="J192" i="25"/>
  <c r="M192" i="25"/>
  <c r="F192" i="25"/>
  <c r="G181" i="25"/>
  <c r="J181" i="25"/>
  <c r="L131" i="25"/>
  <c r="H131" i="25"/>
  <c r="M131" i="25"/>
  <c r="J131" i="25"/>
  <c r="O128" i="25"/>
  <c r="BA14" i="25"/>
  <c r="B14" i="25" s="1"/>
  <c r="AX14" i="25"/>
  <c r="A14" i="25" s="1"/>
  <c r="BD14" i="25"/>
  <c r="C14" i="25" s="1"/>
  <c r="AU14" i="25"/>
  <c r="BG14" i="25"/>
  <c r="D14" i="25" s="1"/>
  <c r="BA20" i="25"/>
  <c r="B20" i="25" s="1"/>
  <c r="AX20" i="25"/>
  <c r="A20" i="25" s="1"/>
  <c r="AU20" i="25"/>
  <c r="BD20" i="25"/>
  <c r="C20" i="25" s="1"/>
  <c r="BG20" i="25"/>
  <c r="D20" i="25" s="1"/>
  <c r="BD27" i="25"/>
  <c r="C27" i="25" s="1"/>
  <c r="BA27" i="25"/>
  <c r="B27" i="25" s="1"/>
  <c r="AU27" i="25"/>
  <c r="AX27" i="25"/>
  <c r="A27" i="25" s="1"/>
  <c r="BG27" i="25"/>
  <c r="D27" i="25" s="1"/>
  <c r="AU32" i="25"/>
  <c r="BA32" i="25"/>
  <c r="B32" i="25" s="1"/>
  <c r="AX32" i="25"/>
  <c r="A32" i="25" s="1"/>
  <c r="BD32" i="25"/>
  <c r="C32" i="25" s="1"/>
  <c r="BG32" i="25"/>
  <c r="D32" i="25" s="1"/>
  <c r="AU34" i="25"/>
  <c r="AX34" i="25"/>
  <c r="A34" i="25" s="1"/>
  <c r="BA34" i="25"/>
  <c r="B34" i="25" s="1"/>
  <c r="BD34" i="25"/>
  <c r="C34" i="25" s="1"/>
  <c r="BG34" i="25"/>
  <c r="D34" i="25" s="1"/>
  <c r="AU41" i="25"/>
  <c r="BG41" i="25"/>
  <c r="D41" i="25" s="1"/>
  <c r="BA41" i="25"/>
  <c r="B41" i="25" s="1"/>
  <c r="AX41" i="25"/>
  <c r="A41" i="25" s="1"/>
  <c r="BD41" i="25"/>
  <c r="C41" i="25" s="1"/>
  <c r="AU50" i="25"/>
  <c r="AX50" i="25"/>
  <c r="A50" i="25" s="1"/>
  <c r="BA50" i="25"/>
  <c r="B50" i="25" s="1"/>
  <c r="BD50" i="25"/>
  <c r="C50" i="25" s="1"/>
  <c r="BG50" i="25"/>
  <c r="D50" i="25" s="1"/>
  <c r="BA48" i="25"/>
  <c r="B48" i="25" s="1"/>
  <c r="BG48" i="25"/>
  <c r="D48" i="25" s="1"/>
  <c r="BD48" i="25"/>
  <c r="C48" i="25" s="1"/>
  <c r="AX48" i="25"/>
  <c r="A48" i="25" s="1"/>
  <c r="AU48" i="25"/>
  <c r="AU74" i="25"/>
  <c r="BA74" i="25"/>
  <c r="B74" i="25" s="1"/>
  <c r="BG74" i="25"/>
  <c r="D74" i="25" s="1"/>
  <c r="AX74" i="25"/>
  <c r="A74" i="25" s="1"/>
  <c r="BD74" i="25"/>
  <c r="C74" i="25" s="1"/>
  <c r="AU72" i="25"/>
  <c r="BG72" i="25"/>
  <c r="D72" i="25" s="1"/>
  <c r="AX72" i="25"/>
  <c r="A72" i="25" s="1"/>
  <c r="BD72" i="25"/>
  <c r="C72" i="25" s="1"/>
  <c r="BA72" i="25"/>
  <c r="B72" i="25" s="1"/>
  <c r="AU73" i="25"/>
  <c r="AX73" i="25"/>
  <c r="A73" i="25" s="1"/>
  <c r="BD73" i="25"/>
  <c r="C73" i="25" s="1"/>
  <c r="BA73" i="25"/>
  <c r="B73" i="25" s="1"/>
  <c r="BG73" i="25"/>
  <c r="D73" i="25" s="1"/>
  <c r="BA77" i="25"/>
  <c r="B77" i="25" s="1"/>
  <c r="AX77" i="25"/>
  <c r="A77" i="25" s="1"/>
  <c r="AU77" i="25"/>
  <c r="BD77" i="25"/>
  <c r="C77" i="25" s="1"/>
  <c r="BG77" i="25"/>
  <c r="D77" i="25" s="1"/>
  <c r="AU83" i="25"/>
  <c r="BA83" i="25"/>
  <c r="B83" i="25" s="1"/>
  <c r="AX83" i="25"/>
  <c r="A83" i="25" s="1"/>
  <c r="BD83" i="25"/>
  <c r="C83" i="25" s="1"/>
  <c r="BG83" i="25"/>
  <c r="D83" i="25" s="1"/>
  <c r="AU94" i="25"/>
  <c r="AX94" i="25"/>
  <c r="A94" i="25" s="1"/>
  <c r="BA94" i="25"/>
  <c r="B94" i="25" s="1"/>
  <c r="BD94" i="25"/>
  <c r="C94" i="25" s="1"/>
  <c r="BG94" i="25"/>
  <c r="D94" i="25" s="1"/>
  <c r="BD95" i="25"/>
  <c r="C95" i="25" s="1"/>
  <c r="AU95" i="25"/>
  <c r="AX95" i="25"/>
  <c r="A95" i="25" s="1"/>
  <c r="BA95" i="25"/>
  <c r="B95" i="25" s="1"/>
  <c r="BG95" i="25"/>
  <c r="D95" i="25" s="1"/>
  <c r="AU120" i="25"/>
  <c r="BA120" i="25"/>
  <c r="B120" i="25" s="1"/>
  <c r="BD120" i="25"/>
  <c r="C120" i="25" s="1"/>
  <c r="BG120" i="25"/>
  <c r="D120" i="25" s="1"/>
  <c r="AX120" i="25"/>
  <c r="A120" i="25" s="1"/>
  <c r="AU112" i="25"/>
  <c r="BA112" i="25"/>
  <c r="B112" i="25" s="1"/>
  <c r="BD112" i="25"/>
  <c r="C112" i="25" s="1"/>
  <c r="BG112" i="25"/>
  <c r="D112" i="25" s="1"/>
  <c r="AX112" i="25"/>
  <c r="A112" i="25" s="1"/>
  <c r="AU138" i="25"/>
  <c r="BA138" i="25"/>
  <c r="B138" i="25" s="1"/>
  <c r="BD138" i="25"/>
  <c r="C138" i="25" s="1"/>
  <c r="BG138" i="25"/>
  <c r="D138" i="25" s="1"/>
  <c r="AX138" i="25"/>
  <c r="A138" i="25" s="1"/>
  <c r="AX161" i="25"/>
  <c r="A161" i="25" s="1"/>
  <c r="BG161" i="25"/>
  <c r="D161" i="25" s="1"/>
  <c r="BA161" i="25"/>
  <c r="B161" i="25" s="1"/>
  <c r="BD161" i="25"/>
  <c r="C161" i="25" s="1"/>
  <c r="AU161" i="25"/>
  <c r="AU141" i="25"/>
  <c r="BA141" i="25"/>
  <c r="B141" i="25" s="1"/>
  <c r="BD141" i="25"/>
  <c r="C141" i="25" s="1"/>
  <c r="AX141" i="25"/>
  <c r="A141" i="25" s="1"/>
  <c r="BG141" i="25"/>
  <c r="D141" i="25" s="1"/>
  <c r="AX159" i="25"/>
  <c r="A159" i="25" s="1"/>
  <c r="BG159" i="25"/>
  <c r="D159" i="25" s="1"/>
  <c r="BA159" i="25"/>
  <c r="B159" i="25" s="1"/>
  <c r="BD159" i="25"/>
  <c r="C159" i="25" s="1"/>
  <c r="AU159" i="25"/>
  <c r="BA157" i="25"/>
  <c r="B157" i="25" s="1"/>
  <c r="BD157" i="25"/>
  <c r="C157" i="25" s="1"/>
  <c r="AU157" i="25"/>
  <c r="AX157" i="25"/>
  <c r="A157" i="25" s="1"/>
  <c r="BG157" i="25"/>
  <c r="D157" i="25" s="1"/>
  <c r="AU154" i="25"/>
  <c r="BG154" i="25"/>
  <c r="D154" i="25" s="1"/>
  <c r="AX154" i="25"/>
  <c r="A154" i="25" s="1"/>
  <c r="BA154" i="25"/>
  <c r="B154" i="25" s="1"/>
  <c r="BD154" i="25"/>
  <c r="C154" i="25" s="1"/>
  <c r="AU177" i="25"/>
  <c r="BG177" i="25"/>
  <c r="D177" i="25" s="1"/>
  <c r="BA177" i="25"/>
  <c r="AX177" i="25"/>
  <c r="A177" i="25" s="1"/>
  <c r="BD177" i="25"/>
  <c r="C177" i="25" s="1"/>
  <c r="AU178" i="25"/>
  <c r="BG178" i="25"/>
  <c r="D178" i="25" s="1"/>
  <c r="AX178" i="25"/>
  <c r="A178" i="25" s="1"/>
  <c r="BA178" i="25"/>
  <c r="B178" i="25" s="1"/>
  <c r="BD178" i="25"/>
  <c r="C178" i="25" s="1"/>
  <c r="AU172" i="25"/>
  <c r="BG172" i="25"/>
  <c r="D172" i="25" s="1"/>
  <c r="AX172" i="25"/>
  <c r="A172" i="25" s="1"/>
  <c r="BA172" i="25"/>
  <c r="B172" i="25" s="1"/>
  <c r="BD172" i="25"/>
  <c r="C172" i="25" s="1"/>
  <c r="AU193" i="25"/>
  <c r="BG193" i="25"/>
  <c r="D193" i="25" s="1"/>
  <c r="BA193" i="25"/>
  <c r="B193" i="25" s="1"/>
  <c r="AX193" i="25"/>
  <c r="A193" i="25" s="1"/>
  <c r="BD193" i="25"/>
  <c r="C193" i="25" s="1"/>
  <c r="BG217" i="25"/>
  <c r="D217" i="25" s="1"/>
  <c r="BA217" i="25"/>
  <c r="B217" i="25" s="1"/>
  <c r="BD217" i="25"/>
  <c r="C217" i="25" s="1"/>
  <c r="AU217" i="25"/>
  <c r="AX217" i="25"/>
  <c r="A217" i="25" s="1"/>
  <c r="AX228" i="25"/>
  <c r="A228" i="25" s="1"/>
  <c r="BD228" i="25"/>
  <c r="C228" i="25" s="1"/>
  <c r="BA228" i="25"/>
  <c r="B228" i="25" s="1"/>
  <c r="BG228" i="25"/>
  <c r="D228" i="25" s="1"/>
  <c r="AU228" i="25"/>
  <c r="BG255" i="25"/>
  <c r="D255" i="25" s="1"/>
  <c r="BA255" i="25"/>
  <c r="B255" i="25" s="1"/>
  <c r="BD255" i="25"/>
  <c r="C255" i="25" s="1"/>
  <c r="AX255" i="25"/>
  <c r="A255" i="25" s="1"/>
  <c r="AU255" i="25"/>
  <c r="BA232" i="25"/>
  <c r="B232" i="25" s="1"/>
  <c r="BG232" i="25"/>
  <c r="D232" i="25" s="1"/>
  <c r="AX232" i="25"/>
  <c r="A232" i="25" s="1"/>
  <c r="AU232" i="25"/>
  <c r="BD232" i="25"/>
  <c r="C232" i="25" s="1"/>
  <c r="AX249" i="25"/>
  <c r="A249" i="25" s="1"/>
  <c r="BG249" i="25"/>
  <c r="D249" i="25" s="1"/>
  <c r="BA249" i="25"/>
  <c r="BD249" i="25"/>
  <c r="C249" i="25" s="1"/>
  <c r="AU249" i="25"/>
  <c r="BA250" i="25"/>
  <c r="BD250" i="25"/>
  <c r="C250" i="25" s="1"/>
  <c r="BG250" i="25"/>
  <c r="D250" i="25" s="1"/>
  <c r="AX250" i="25"/>
  <c r="A250" i="25" s="1"/>
  <c r="AU250" i="25"/>
  <c r="BA205" i="25"/>
  <c r="B205" i="25" s="1"/>
  <c r="BD205" i="25"/>
  <c r="C205" i="25" s="1"/>
  <c r="AX205" i="25"/>
  <c r="A205" i="25" s="1"/>
  <c r="AU205" i="25"/>
  <c r="BG205" i="25"/>
  <c r="D205" i="25" s="1"/>
  <c r="G191" i="25"/>
  <c r="J191" i="25"/>
  <c r="K150" i="25"/>
  <c r="I150" i="25"/>
  <c r="E150" i="25"/>
  <c r="M150" i="25"/>
  <c r="O151" i="25"/>
  <c r="F151" i="25"/>
  <c r="I151" i="25"/>
  <c r="E151" i="25"/>
  <c r="H130" i="25"/>
  <c r="G120" i="25"/>
  <c r="N120" i="25"/>
  <c r="E120" i="25"/>
  <c r="E113" i="25"/>
  <c r="G113" i="25"/>
  <c r="N76" i="25"/>
  <c r="O76" i="25"/>
  <c r="I29" i="25"/>
  <c r="G29" i="25"/>
  <c r="L160" i="25"/>
  <c r="H160" i="25"/>
  <c r="J160" i="25"/>
  <c r="L73" i="25"/>
  <c r="G31" i="25"/>
  <c r="F31" i="25"/>
  <c r="F200" i="25"/>
  <c r="I176" i="25"/>
  <c r="E176" i="25"/>
  <c r="I157" i="25"/>
  <c r="E157" i="25"/>
  <c r="O157" i="25"/>
  <c r="F157" i="25"/>
  <c r="H154" i="25"/>
  <c r="L154" i="25"/>
  <c r="F147" i="25"/>
  <c r="I147" i="25"/>
  <c r="E147" i="25"/>
  <c r="O147" i="25"/>
  <c r="I134" i="25"/>
  <c r="J134" i="25"/>
  <c r="F133" i="25"/>
  <c r="O99" i="25"/>
  <c r="G99" i="25"/>
  <c r="N99" i="25"/>
  <c r="K55" i="25"/>
  <c r="I55" i="25"/>
  <c r="H55" i="25"/>
  <c r="J55" i="25"/>
  <c r="I187" i="25"/>
  <c r="K187" i="25"/>
  <c r="M187" i="25"/>
  <c r="M146" i="25"/>
  <c r="O146" i="25"/>
  <c r="F146" i="25"/>
  <c r="N146" i="25"/>
  <c r="E132" i="25"/>
  <c r="G132" i="25"/>
  <c r="R122" i="25"/>
  <c r="Q122" i="25"/>
  <c r="O122" i="25"/>
  <c r="F122" i="25"/>
  <c r="L95" i="25"/>
  <c r="J95" i="25"/>
  <c r="K95" i="25"/>
  <c r="H81" i="25"/>
  <c r="I22" i="25"/>
  <c r="E22" i="25"/>
  <c r="AU16" i="25"/>
  <c r="AX16" i="25"/>
  <c r="A16" i="25" s="1"/>
  <c r="BA16" i="25"/>
  <c r="B16" i="25" s="1"/>
  <c r="BD16" i="25"/>
  <c r="C16" i="25" s="1"/>
  <c r="BG16" i="25"/>
  <c r="D16" i="25" s="1"/>
  <c r="BA23" i="25"/>
  <c r="B23" i="25" s="1"/>
  <c r="AX23" i="25"/>
  <c r="A23" i="25" s="1"/>
  <c r="BG23" i="25"/>
  <c r="D23" i="25" s="1"/>
  <c r="AU23" i="25"/>
  <c r="BD23" i="25"/>
  <c r="C23" i="25" s="1"/>
  <c r="BA30" i="25"/>
  <c r="B30" i="25" s="1"/>
  <c r="BG30" i="25"/>
  <c r="D30" i="25" s="1"/>
  <c r="AU30" i="25"/>
  <c r="BD30" i="25"/>
  <c r="C30" i="25" s="1"/>
  <c r="AX30" i="25"/>
  <c r="A30" i="25" s="1"/>
  <c r="AX35" i="25"/>
  <c r="A35" i="25" s="1"/>
  <c r="BD35" i="25"/>
  <c r="C35" i="25" s="1"/>
  <c r="AU35" i="25"/>
  <c r="BG35" i="25"/>
  <c r="D35" i="25" s="1"/>
  <c r="BA35" i="25"/>
  <c r="B35" i="25" s="1"/>
  <c r="AU39" i="25"/>
  <c r="BA39" i="25"/>
  <c r="B39" i="25" s="1"/>
  <c r="AX39" i="25"/>
  <c r="A39" i="25" s="1"/>
  <c r="BD39" i="25"/>
  <c r="C39" i="25" s="1"/>
  <c r="BG39" i="25"/>
  <c r="D39" i="25" s="1"/>
  <c r="AU58" i="25"/>
  <c r="AX58" i="25"/>
  <c r="A58" i="25" s="1"/>
  <c r="BA58" i="25"/>
  <c r="B58" i="25" s="1"/>
  <c r="BD58" i="25"/>
  <c r="C58" i="25" s="1"/>
  <c r="BG58" i="25"/>
  <c r="D58" i="25" s="1"/>
  <c r="AU60" i="25"/>
  <c r="BD60" i="25"/>
  <c r="C60" i="25" s="1"/>
  <c r="BG60" i="25"/>
  <c r="D60" i="25" s="1"/>
  <c r="AX60" i="25"/>
  <c r="A60" i="25" s="1"/>
  <c r="BA60" i="25"/>
  <c r="B60" i="25" s="1"/>
  <c r="AU57" i="25"/>
  <c r="AX57" i="25"/>
  <c r="A57" i="25" s="1"/>
  <c r="BG57" i="25"/>
  <c r="D57" i="25" s="1"/>
  <c r="BA57" i="25"/>
  <c r="B57" i="25" s="1"/>
  <c r="BD57" i="25"/>
  <c r="C57" i="25" s="1"/>
  <c r="AU69" i="25"/>
  <c r="BA69" i="25"/>
  <c r="B69" i="25" s="1"/>
  <c r="BG69" i="25"/>
  <c r="D69" i="25" s="1"/>
  <c r="AX69" i="25"/>
  <c r="A69" i="25" s="1"/>
  <c r="BD69" i="25"/>
  <c r="C69" i="25" s="1"/>
  <c r="AU90" i="25"/>
  <c r="BD90" i="25"/>
  <c r="C90" i="25" s="1"/>
  <c r="BG90" i="25"/>
  <c r="D90" i="25" s="1"/>
  <c r="BA90" i="25"/>
  <c r="B90" i="25" s="1"/>
  <c r="AX90" i="25"/>
  <c r="A90" i="25" s="1"/>
  <c r="AU84" i="25"/>
  <c r="BA84" i="25"/>
  <c r="B84" i="25" s="1"/>
  <c r="AX84" i="25"/>
  <c r="A84" i="25" s="1"/>
  <c r="BD84" i="25"/>
  <c r="C84" i="25" s="1"/>
  <c r="BG84" i="25"/>
  <c r="D84" i="25" s="1"/>
  <c r="AU102" i="25"/>
  <c r="AX102" i="25"/>
  <c r="A102" i="25" s="1"/>
  <c r="BA102" i="25"/>
  <c r="B102" i="25" s="1"/>
  <c r="BD102" i="25"/>
  <c r="C102" i="25" s="1"/>
  <c r="BG102" i="25"/>
  <c r="D102" i="25" s="1"/>
  <c r="AU121" i="25"/>
  <c r="BA121" i="25"/>
  <c r="B121" i="25" s="1"/>
  <c r="BD121" i="25"/>
  <c r="C121" i="25" s="1"/>
  <c r="BG121" i="25"/>
  <c r="D121" i="25" s="1"/>
  <c r="AX121" i="25"/>
  <c r="A121" i="25" s="1"/>
  <c r="AU134" i="25"/>
  <c r="AX134" i="25"/>
  <c r="A134" i="25" s="1"/>
  <c r="BA134" i="25"/>
  <c r="B134" i="25" s="1"/>
  <c r="BD134" i="25"/>
  <c r="C134" i="25" s="1"/>
  <c r="BG134" i="25"/>
  <c r="D134" i="25" s="1"/>
  <c r="AU123" i="25"/>
  <c r="BA123" i="25"/>
  <c r="B123" i="25" s="1"/>
  <c r="BD123" i="25"/>
  <c r="C123" i="25" s="1"/>
  <c r="BG123" i="25"/>
  <c r="D123" i="25" s="1"/>
  <c r="AX123" i="25"/>
  <c r="A123" i="25" s="1"/>
  <c r="BA137" i="25"/>
  <c r="B137" i="25" s="1"/>
  <c r="BD137" i="25"/>
  <c r="C137" i="25" s="1"/>
  <c r="BG137" i="25"/>
  <c r="D137" i="25" s="1"/>
  <c r="AX137" i="25"/>
  <c r="A137" i="25" s="1"/>
  <c r="AU137" i="25"/>
  <c r="AU122" i="25"/>
  <c r="BA122" i="25"/>
  <c r="BD122" i="25"/>
  <c r="C122" i="25" s="1"/>
  <c r="BG122" i="25"/>
  <c r="D122" i="25" s="1"/>
  <c r="AX122" i="25"/>
  <c r="A122" i="25" s="1"/>
  <c r="AU152" i="25"/>
  <c r="AX152" i="25"/>
  <c r="A152" i="25" s="1"/>
  <c r="BA152" i="25"/>
  <c r="B152" i="25" s="1"/>
  <c r="BD152" i="25"/>
  <c r="C152" i="25" s="1"/>
  <c r="BG152" i="25"/>
  <c r="D152" i="25" s="1"/>
  <c r="AU145" i="25"/>
  <c r="AX145" i="25"/>
  <c r="A145" i="25" s="1"/>
  <c r="BG145" i="25"/>
  <c r="D145" i="25" s="1"/>
  <c r="BA145" i="25"/>
  <c r="B145" i="25" s="1"/>
  <c r="BD145" i="25"/>
  <c r="C145" i="25" s="1"/>
  <c r="AU164" i="25"/>
  <c r="BG164" i="25"/>
  <c r="D164" i="25" s="1"/>
  <c r="AX164" i="25"/>
  <c r="A164" i="25" s="1"/>
  <c r="BA164" i="25"/>
  <c r="B164" i="25" s="1"/>
  <c r="BD164" i="25"/>
  <c r="C164" i="25" s="1"/>
  <c r="AU173" i="25"/>
  <c r="BA173" i="25"/>
  <c r="B173" i="25" s="1"/>
  <c r="AX173" i="25"/>
  <c r="A173" i="25" s="1"/>
  <c r="BD173" i="25"/>
  <c r="C173" i="25" s="1"/>
  <c r="BG173" i="25"/>
  <c r="D173" i="25" s="1"/>
  <c r="BG180" i="25"/>
  <c r="D180" i="25" s="1"/>
  <c r="AX180" i="25"/>
  <c r="A180" i="25" s="1"/>
  <c r="AU180" i="25"/>
  <c r="BA180" i="25"/>
  <c r="B180" i="25" s="1"/>
  <c r="BD180" i="25"/>
  <c r="C180" i="25" s="1"/>
  <c r="AU187" i="25"/>
  <c r="BA187" i="25"/>
  <c r="B187" i="25" s="1"/>
  <c r="AX187" i="25"/>
  <c r="A187" i="25" s="1"/>
  <c r="BD187" i="25"/>
  <c r="C187" i="25" s="1"/>
  <c r="BG187" i="25"/>
  <c r="D187" i="25" s="1"/>
  <c r="AU211" i="25"/>
  <c r="AX211" i="25"/>
  <c r="A211" i="25" s="1"/>
  <c r="BG211" i="25"/>
  <c r="D211" i="25" s="1"/>
  <c r="BA211" i="25"/>
  <c r="B211" i="25" s="1"/>
  <c r="BD211" i="25"/>
  <c r="C211" i="25" s="1"/>
  <c r="AU223" i="25"/>
  <c r="BG223" i="25"/>
  <c r="D223" i="25" s="1"/>
  <c r="BA223" i="25"/>
  <c r="B223" i="25" s="1"/>
  <c r="BD223" i="25"/>
  <c r="C223" i="25" s="1"/>
  <c r="AX223" i="25"/>
  <c r="A223" i="25" s="1"/>
  <c r="AX244" i="25"/>
  <c r="A244" i="25" s="1"/>
  <c r="BD244" i="25"/>
  <c r="C244" i="25" s="1"/>
  <c r="AU244" i="25"/>
  <c r="BA244" i="25"/>
  <c r="BG244" i="25"/>
  <c r="D244" i="25" s="1"/>
  <c r="AU257" i="25"/>
  <c r="BG257" i="25"/>
  <c r="D257" i="25" s="1"/>
  <c r="BA257" i="25"/>
  <c r="BD257" i="25"/>
  <c r="C257" i="25" s="1"/>
  <c r="AX257" i="25"/>
  <c r="A257" i="25" s="1"/>
  <c r="BA221" i="25"/>
  <c r="B221" i="25" s="1"/>
  <c r="AX221" i="25"/>
  <c r="A221" i="25" s="1"/>
  <c r="BD221" i="25"/>
  <c r="C221" i="25" s="1"/>
  <c r="AU221" i="25"/>
  <c r="BG221" i="25"/>
  <c r="D221" i="25" s="1"/>
  <c r="AU253" i="25"/>
  <c r="BA253" i="25"/>
  <c r="B253" i="25" s="1"/>
  <c r="BD253" i="25"/>
  <c r="C253" i="25" s="1"/>
  <c r="AX253" i="25"/>
  <c r="A253" i="25" s="1"/>
  <c r="BG253" i="25"/>
  <c r="D253" i="25" s="1"/>
  <c r="AU219" i="25"/>
  <c r="BG219" i="25"/>
  <c r="D219" i="25" s="1"/>
  <c r="BA219" i="25"/>
  <c r="B219" i="25" s="1"/>
  <c r="AX219" i="25"/>
  <c r="A219" i="25" s="1"/>
  <c r="BD219" i="25"/>
  <c r="C219" i="25" s="1"/>
  <c r="AX260" i="25"/>
  <c r="A260" i="25" s="1"/>
  <c r="BD260" i="25"/>
  <c r="C260" i="25" s="1"/>
  <c r="AU260" i="25"/>
  <c r="BA260" i="25"/>
  <c r="B260" i="25" s="1"/>
  <c r="BG260" i="25"/>
  <c r="D260" i="25" s="1"/>
  <c r="AU210" i="25"/>
  <c r="BA210" i="25"/>
  <c r="B210" i="25" s="1"/>
  <c r="BD210" i="25"/>
  <c r="C210" i="25" s="1"/>
  <c r="BG210" i="25"/>
  <c r="D210" i="25" s="1"/>
  <c r="AX210" i="25"/>
  <c r="A210" i="25" s="1"/>
  <c r="BA224" i="25"/>
  <c r="B224" i="25" s="1"/>
  <c r="BG224" i="25"/>
  <c r="D224" i="25" s="1"/>
  <c r="AX224" i="25"/>
  <c r="A224" i="25" s="1"/>
  <c r="BD224" i="25"/>
  <c r="C224" i="25" s="1"/>
  <c r="AU224" i="25"/>
  <c r="G179" i="25"/>
  <c r="J179" i="25"/>
  <c r="F172" i="25"/>
  <c r="G172" i="25"/>
  <c r="J172" i="25"/>
  <c r="M172" i="25"/>
  <c r="F163" i="25"/>
  <c r="I163" i="25"/>
  <c r="E163" i="25"/>
  <c r="O163" i="25"/>
  <c r="I98" i="25"/>
  <c r="K98" i="25"/>
  <c r="O91" i="25"/>
  <c r="L91" i="25"/>
  <c r="J83" i="25"/>
  <c r="G83" i="25"/>
  <c r="F83" i="25"/>
  <c r="E83" i="25"/>
  <c r="G53" i="25"/>
  <c r="F42" i="25"/>
  <c r="BV9" i="25"/>
  <c r="I12" i="25"/>
  <c r="CH9" i="25"/>
  <c r="M12" i="25"/>
  <c r="BY9" i="25"/>
  <c r="J12" i="25"/>
  <c r="CZ9" i="25"/>
  <c r="S12" i="25"/>
  <c r="I184" i="25"/>
  <c r="E184" i="25"/>
  <c r="F171" i="25"/>
  <c r="E171" i="25"/>
  <c r="L171" i="25"/>
  <c r="O158" i="25"/>
  <c r="N158" i="25"/>
  <c r="N141" i="25"/>
  <c r="L110" i="25"/>
  <c r="H110" i="25"/>
  <c r="M110" i="25"/>
  <c r="N82" i="25"/>
  <c r="J82" i="25"/>
  <c r="G82" i="25"/>
  <c r="F67" i="25"/>
  <c r="I63" i="25"/>
  <c r="F63" i="25"/>
  <c r="I49" i="25"/>
  <c r="H49" i="25"/>
  <c r="J49" i="25"/>
  <c r="G52" i="25"/>
  <c r="N52" i="25"/>
  <c r="H52" i="25"/>
  <c r="E52" i="25"/>
  <c r="F182" i="25"/>
  <c r="G182" i="25"/>
  <c r="J182" i="25"/>
  <c r="M182" i="25"/>
  <c r="K190" i="25"/>
  <c r="O100" i="25"/>
  <c r="F100" i="25"/>
  <c r="J74" i="25"/>
  <c r="F50" i="25"/>
  <c r="J50" i="25"/>
  <c r="K32" i="25"/>
  <c r="M32" i="25"/>
  <c r="G32" i="25"/>
  <c r="F198" i="25"/>
  <c r="G198" i="25"/>
  <c r="F180" i="25"/>
  <c r="G180" i="25"/>
  <c r="J180" i="25"/>
  <c r="M180" i="25"/>
  <c r="H194" i="25"/>
  <c r="F194" i="25"/>
  <c r="G194" i="25"/>
  <c r="J194" i="25"/>
  <c r="G111" i="25"/>
  <c r="N111" i="25"/>
  <c r="E111" i="25"/>
  <c r="H58" i="25"/>
  <c r="E58" i="25"/>
  <c r="G58" i="25"/>
  <c r="N58" i="25"/>
  <c r="J38" i="25"/>
  <c r="E38" i="25"/>
  <c r="BG19" i="25"/>
  <c r="D19" i="25" s="1"/>
  <c r="BA19" i="25"/>
  <c r="B19" i="25" s="1"/>
  <c r="AX19" i="25"/>
  <c r="A19" i="25" s="1"/>
  <c r="BD19" i="25"/>
  <c r="C19" i="25" s="1"/>
  <c r="AU19" i="25"/>
  <c r="AU25" i="25"/>
  <c r="BA25" i="25"/>
  <c r="B25" i="25" s="1"/>
  <c r="AX25" i="25"/>
  <c r="A25" i="25" s="1"/>
  <c r="BD25" i="25"/>
  <c r="C25" i="25" s="1"/>
  <c r="BG25" i="25"/>
  <c r="D25" i="25" s="1"/>
  <c r="AU59" i="25"/>
  <c r="BA59" i="25"/>
  <c r="B59" i="25" s="1"/>
  <c r="BD59" i="25"/>
  <c r="C59" i="25" s="1"/>
  <c r="AX59" i="25"/>
  <c r="A59" i="25" s="1"/>
  <c r="BG59" i="25"/>
  <c r="D59" i="25" s="1"/>
  <c r="AU56" i="25"/>
  <c r="BA56" i="25"/>
  <c r="B56" i="25" s="1"/>
  <c r="BD56" i="25"/>
  <c r="C56" i="25" s="1"/>
  <c r="BG56" i="25"/>
  <c r="D56" i="25" s="1"/>
  <c r="AX56" i="25"/>
  <c r="A56" i="25" s="1"/>
  <c r="AU51" i="25"/>
  <c r="BA51" i="25"/>
  <c r="B51" i="25" s="1"/>
  <c r="BD51" i="25"/>
  <c r="C51" i="25" s="1"/>
  <c r="AX51" i="25"/>
  <c r="A51" i="25" s="1"/>
  <c r="BG51" i="25"/>
  <c r="D51" i="25" s="1"/>
  <c r="AU75" i="25"/>
  <c r="AX75" i="25"/>
  <c r="A75" i="25" s="1"/>
  <c r="BD75" i="25"/>
  <c r="C75" i="25" s="1"/>
  <c r="BA75" i="25"/>
  <c r="B75" i="25" s="1"/>
  <c r="BG75" i="25"/>
  <c r="D75" i="25" s="1"/>
  <c r="AX76" i="25"/>
  <c r="A76" i="25" s="1"/>
  <c r="BA76" i="25"/>
  <c r="B76" i="25" s="1"/>
  <c r="BD76" i="25"/>
  <c r="C76" i="25" s="1"/>
  <c r="AU76" i="25"/>
  <c r="BG76" i="25"/>
  <c r="D76" i="25" s="1"/>
  <c r="AU88" i="25"/>
  <c r="BD88" i="25"/>
  <c r="C88" i="25" s="1"/>
  <c r="BG88" i="25"/>
  <c r="D88" i="25" s="1"/>
  <c r="BA88" i="25"/>
  <c r="B88" i="25" s="1"/>
  <c r="AX88" i="25"/>
  <c r="A88" i="25" s="1"/>
  <c r="AU104" i="25"/>
  <c r="BA104" i="25"/>
  <c r="B104" i="25" s="1"/>
  <c r="BD104" i="25"/>
  <c r="C104" i="25" s="1"/>
  <c r="BG104" i="25"/>
  <c r="D104" i="25" s="1"/>
  <c r="AX104" i="25"/>
  <c r="A104" i="25" s="1"/>
  <c r="AX92" i="25"/>
  <c r="A92" i="25" s="1"/>
  <c r="BA92" i="25"/>
  <c r="B92" i="25" s="1"/>
  <c r="AU92" i="25"/>
  <c r="BD92" i="25"/>
  <c r="C92" i="25" s="1"/>
  <c r="BG92" i="25"/>
  <c r="D92" i="25" s="1"/>
  <c r="AU108" i="25"/>
  <c r="BA108" i="25"/>
  <c r="B108" i="25" s="1"/>
  <c r="BD108" i="25"/>
  <c r="C108" i="25" s="1"/>
  <c r="BG108" i="25"/>
  <c r="D108" i="25" s="1"/>
  <c r="AX108" i="25"/>
  <c r="A108" i="25" s="1"/>
  <c r="AX139" i="25"/>
  <c r="A139" i="25" s="1"/>
  <c r="BA139" i="25"/>
  <c r="B139" i="25" s="1"/>
  <c r="BD139" i="25"/>
  <c r="C139" i="25" s="1"/>
  <c r="BG139" i="25"/>
  <c r="D139" i="25" s="1"/>
  <c r="AU139" i="25"/>
  <c r="AU124" i="25"/>
  <c r="BA124" i="25"/>
  <c r="B124" i="25" s="1"/>
  <c r="BD124" i="25"/>
  <c r="C124" i="25" s="1"/>
  <c r="BG124" i="25"/>
  <c r="D124" i="25" s="1"/>
  <c r="AX124" i="25"/>
  <c r="A124" i="25" s="1"/>
  <c r="AU130" i="25"/>
  <c r="BA130" i="25"/>
  <c r="B130" i="25" s="1"/>
  <c r="BD130" i="25"/>
  <c r="C130" i="25" s="1"/>
  <c r="BG130" i="25"/>
  <c r="D130" i="25" s="1"/>
  <c r="AX130" i="25"/>
  <c r="A130" i="25" s="1"/>
  <c r="AU109" i="25"/>
  <c r="AX109" i="25"/>
  <c r="A109" i="25" s="1"/>
  <c r="BA109" i="25"/>
  <c r="B109" i="25" s="1"/>
  <c r="BD109" i="25"/>
  <c r="C109" i="25" s="1"/>
  <c r="BG109" i="25"/>
  <c r="D109" i="25" s="1"/>
  <c r="BA163" i="25"/>
  <c r="B163" i="25" s="1"/>
  <c r="AU163" i="25"/>
  <c r="BD163" i="25"/>
  <c r="C163" i="25" s="1"/>
  <c r="AX163" i="25"/>
  <c r="A163" i="25" s="1"/>
  <c r="BG163" i="25"/>
  <c r="D163" i="25" s="1"/>
  <c r="AX151" i="25"/>
  <c r="A151" i="25" s="1"/>
  <c r="BG151" i="25"/>
  <c r="D151" i="25" s="1"/>
  <c r="BA151" i="25"/>
  <c r="B151" i="25" s="1"/>
  <c r="BD151" i="25"/>
  <c r="C151" i="25" s="1"/>
  <c r="AU151" i="25"/>
  <c r="AU142" i="25"/>
  <c r="BA142" i="25"/>
  <c r="B142" i="25" s="1"/>
  <c r="BD142" i="25"/>
  <c r="C142" i="25" s="1"/>
  <c r="BG142" i="25"/>
  <c r="D142" i="25" s="1"/>
  <c r="AX142" i="25"/>
  <c r="A142" i="25" s="1"/>
  <c r="AU176" i="25"/>
  <c r="AX176" i="25"/>
  <c r="A176" i="25" s="1"/>
  <c r="BA176" i="25"/>
  <c r="B176" i="25" s="1"/>
  <c r="BD176" i="25"/>
  <c r="C176" i="25" s="1"/>
  <c r="BG176" i="25"/>
  <c r="D176" i="25" s="1"/>
  <c r="AU169" i="25"/>
  <c r="BG169" i="25"/>
  <c r="D169" i="25" s="1"/>
  <c r="BA169" i="25"/>
  <c r="B169" i="25" s="1"/>
  <c r="AX169" i="25"/>
  <c r="A169" i="25" s="1"/>
  <c r="BD169" i="25"/>
  <c r="C169" i="25" s="1"/>
  <c r="BA182" i="25"/>
  <c r="B182" i="25" s="1"/>
  <c r="BD182" i="25"/>
  <c r="C182" i="25" s="1"/>
  <c r="AU182" i="25"/>
  <c r="BG182" i="25"/>
  <c r="D182" i="25" s="1"/>
  <c r="AX182" i="25"/>
  <c r="A182" i="25" s="1"/>
  <c r="AU175" i="25"/>
  <c r="BG175" i="25"/>
  <c r="D175" i="25" s="1"/>
  <c r="BA175" i="25"/>
  <c r="B175" i="25" s="1"/>
  <c r="AX175" i="25"/>
  <c r="A175" i="25" s="1"/>
  <c r="BD175" i="25"/>
  <c r="C175" i="25" s="1"/>
  <c r="AX225" i="25"/>
  <c r="A225" i="25" s="1"/>
  <c r="BG225" i="25"/>
  <c r="D225" i="25" s="1"/>
  <c r="AU225" i="25"/>
  <c r="BA225" i="25"/>
  <c r="B225" i="25" s="1"/>
  <c r="BD225" i="25"/>
  <c r="C225" i="25" s="1"/>
  <c r="BA245" i="25"/>
  <c r="B245" i="25" s="1"/>
  <c r="BD245" i="25"/>
  <c r="C245" i="25" s="1"/>
  <c r="AU245" i="25"/>
  <c r="AX245" i="25"/>
  <c r="A245" i="25" s="1"/>
  <c r="BG245" i="25"/>
  <c r="D245" i="25" s="1"/>
  <c r="AU259" i="25"/>
  <c r="AX259" i="25"/>
  <c r="A259" i="25" s="1"/>
  <c r="BG259" i="25"/>
  <c r="D259" i="25" s="1"/>
  <c r="BA259" i="25"/>
  <c r="BD259" i="25"/>
  <c r="C259" i="25" s="1"/>
  <c r="AU234" i="25"/>
  <c r="BA234" i="25"/>
  <c r="B234" i="25" s="1"/>
  <c r="BD234" i="25"/>
  <c r="C234" i="25" s="1"/>
  <c r="BG234" i="25"/>
  <c r="D234" i="25" s="1"/>
  <c r="AX234" i="25"/>
  <c r="A234" i="25" s="1"/>
  <c r="BA198" i="25"/>
  <c r="B198" i="25" s="1"/>
  <c r="BG198" i="25"/>
  <c r="D198" i="25" s="1"/>
  <c r="AX198" i="25"/>
  <c r="A198" i="25" s="1"/>
  <c r="BD198" i="25"/>
  <c r="C198" i="25" s="1"/>
  <c r="AU198" i="25"/>
  <c r="AX220" i="25"/>
  <c r="A220" i="25" s="1"/>
  <c r="BD220" i="25"/>
  <c r="C220" i="25" s="1"/>
  <c r="AU220" i="25"/>
  <c r="BA220" i="25"/>
  <c r="B220" i="25" s="1"/>
  <c r="BG220" i="25"/>
  <c r="D220" i="25" s="1"/>
  <c r="BG239" i="25"/>
  <c r="D239" i="25" s="1"/>
  <c r="BA239" i="25"/>
  <c r="B239" i="25" s="1"/>
  <c r="BD239" i="25"/>
  <c r="C239" i="25" s="1"/>
  <c r="AU239" i="25"/>
  <c r="AX239" i="25"/>
  <c r="A239" i="25" s="1"/>
  <c r="BA254" i="25"/>
  <c r="B254" i="25" s="1"/>
  <c r="BG254" i="25"/>
  <c r="D254" i="25" s="1"/>
  <c r="AX254" i="25"/>
  <c r="A254" i="25" s="1"/>
  <c r="BD254" i="25"/>
  <c r="C254" i="25" s="1"/>
  <c r="AU254" i="25"/>
  <c r="AU231" i="25"/>
  <c r="AX231" i="25"/>
  <c r="A231" i="25" s="1"/>
  <c r="BG231" i="25"/>
  <c r="D231" i="25" s="1"/>
  <c r="BA231" i="25"/>
  <c r="B231" i="25" s="1"/>
  <c r="BD231" i="25"/>
  <c r="C231" i="25" s="1"/>
  <c r="I185" i="25"/>
  <c r="M185" i="25"/>
  <c r="I144" i="25"/>
  <c r="E144" i="25"/>
  <c r="G159" i="25"/>
  <c r="J159" i="25"/>
  <c r="F136" i="25"/>
  <c r="H136" i="25"/>
  <c r="E136" i="25"/>
  <c r="F126" i="25"/>
  <c r="I124" i="25"/>
  <c r="K124" i="25"/>
  <c r="J124" i="25"/>
  <c r="F139" i="25"/>
  <c r="I139" i="25"/>
  <c r="E139" i="25"/>
  <c r="O139" i="25"/>
  <c r="F104" i="25"/>
  <c r="H104" i="25"/>
  <c r="E104" i="25"/>
  <c r="N79" i="25"/>
  <c r="M79" i="25"/>
  <c r="F66" i="25"/>
  <c r="H66" i="25"/>
  <c r="I197" i="25"/>
  <c r="E207" i="25"/>
  <c r="F207" i="25"/>
  <c r="G145" i="25"/>
  <c r="J145" i="25"/>
  <c r="G142" i="25"/>
  <c r="I107" i="25"/>
  <c r="K107" i="25"/>
  <c r="S107" i="25"/>
  <c r="G96" i="25"/>
  <c r="N96" i="25"/>
  <c r="E96" i="25"/>
  <c r="J105" i="25"/>
  <c r="K105" i="25"/>
  <c r="F105" i="25"/>
  <c r="H27" i="25"/>
  <c r="O27" i="25"/>
  <c r="I183" i="25"/>
  <c r="K183" i="25"/>
  <c r="M183" i="25"/>
  <c r="K143" i="25"/>
  <c r="L143" i="25"/>
  <c r="H140" i="25"/>
  <c r="J140" i="25"/>
  <c r="F155" i="25"/>
  <c r="I155" i="25"/>
  <c r="E155" i="25"/>
  <c r="O155" i="25"/>
  <c r="J138" i="25"/>
  <c r="I138" i="25"/>
  <c r="K138" i="25"/>
  <c r="G112" i="25"/>
  <c r="L112" i="25"/>
  <c r="F103" i="25"/>
  <c r="J103" i="25"/>
  <c r="K103" i="25"/>
  <c r="G59" i="25"/>
  <c r="G205" i="25"/>
  <c r="K174" i="25"/>
  <c r="H149" i="25"/>
  <c r="O153" i="25"/>
  <c r="F153" i="25"/>
  <c r="I153" i="25"/>
  <c r="E153" i="25"/>
  <c r="L108" i="25"/>
  <c r="H108" i="25"/>
  <c r="M108" i="25"/>
  <c r="E106" i="25"/>
  <c r="G106" i="25"/>
  <c r="N106" i="25"/>
  <c r="I97" i="25"/>
  <c r="S97" i="25"/>
  <c r="H78" i="25"/>
  <c r="K78" i="25"/>
  <c r="I78" i="25"/>
  <c r="F37" i="25"/>
  <c r="E37" i="25"/>
  <c r="I37" i="25"/>
  <c r="E24" i="25"/>
  <c r="M24" i="25"/>
  <c r="J24" i="25"/>
  <c r="G24" i="25"/>
  <c r="AO9" i="25"/>
  <c r="I93" i="25"/>
  <c r="E51" i="25"/>
  <c r="O51" i="25"/>
  <c r="N60" i="25"/>
  <c r="E60" i="25"/>
  <c r="O48" i="25"/>
  <c r="G48" i="25"/>
  <c r="J199" i="25"/>
  <c r="M199" i="25"/>
  <c r="K199" i="25"/>
  <c r="I202" i="25"/>
  <c r="G202" i="25"/>
  <c r="N202" i="25"/>
  <c r="F196" i="25"/>
  <c r="I196" i="25"/>
  <c r="E196" i="25"/>
  <c r="E125" i="25"/>
  <c r="G125" i="25"/>
  <c r="N125" i="25"/>
  <c r="G77" i="25"/>
  <c r="G69" i="25"/>
  <c r="I69" i="25"/>
  <c r="G57" i="25"/>
  <c r="J46" i="25"/>
  <c r="L46" i="25"/>
  <c r="M46" i="25"/>
  <c r="K46" i="25"/>
  <c r="F26" i="25"/>
  <c r="G26" i="25"/>
  <c r="I175" i="25"/>
  <c r="O170" i="25"/>
  <c r="N170" i="25"/>
  <c r="L170" i="25"/>
  <c r="E109" i="25"/>
  <c r="G109" i="25"/>
  <c r="L94" i="25"/>
  <c r="H94" i="25"/>
  <c r="M94" i="25"/>
  <c r="J94" i="25"/>
  <c r="G71" i="25"/>
  <c r="I71" i="25"/>
  <c r="G68" i="25"/>
  <c r="E68" i="25"/>
  <c r="O30" i="25"/>
  <c r="I30" i="25"/>
  <c r="M30" i="25"/>
  <c r="I192" i="25"/>
  <c r="E192" i="25"/>
  <c r="L181" i="25"/>
  <c r="F181" i="25"/>
  <c r="E181" i="25"/>
  <c r="E131" i="25"/>
  <c r="G131" i="25"/>
  <c r="N131" i="25"/>
  <c r="J128" i="25"/>
  <c r="I128" i="25"/>
  <c r="K128" i="25"/>
  <c r="F191" i="25"/>
  <c r="E191" i="25"/>
  <c r="N191" i="25"/>
  <c r="L150" i="25"/>
  <c r="H150" i="25"/>
  <c r="J150" i="25"/>
  <c r="I167" i="25"/>
  <c r="H151" i="25"/>
  <c r="K151" i="25"/>
  <c r="L151" i="25"/>
  <c r="E130" i="25"/>
  <c r="G130" i="25"/>
  <c r="F120" i="25"/>
  <c r="O120" i="25"/>
  <c r="F113" i="25"/>
  <c r="I76" i="25"/>
  <c r="E76" i="25"/>
  <c r="K76" i="25"/>
  <c r="H29" i="25"/>
  <c r="G160" i="25"/>
  <c r="Q102" i="25"/>
  <c r="O102" i="25"/>
  <c r="E73" i="25"/>
  <c r="M73" i="25"/>
  <c r="K73" i="25"/>
  <c r="J73" i="25"/>
  <c r="I31" i="25"/>
  <c r="L31" i="25"/>
  <c r="J200" i="25"/>
  <c r="E200" i="25"/>
  <c r="H176" i="25"/>
  <c r="O176" i="25"/>
  <c r="H157" i="25"/>
  <c r="K157" i="25"/>
  <c r="G154" i="25"/>
  <c r="J165" i="25"/>
  <c r="G165" i="25"/>
  <c r="H147" i="25"/>
  <c r="H134" i="25"/>
  <c r="I133" i="25"/>
  <c r="J99" i="25"/>
  <c r="F99" i="25"/>
  <c r="L55" i="25"/>
  <c r="F55" i="25"/>
  <c r="N55" i="25"/>
  <c r="O35" i="25"/>
  <c r="T187" i="25"/>
  <c r="S187" i="25"/>
  <c r="G187" i="25"/>
  <c r="J187" i="25"/>
  <c r="J146" i="25"/>
  <c r="K146" i="25"/>
  <c r="I146" i="25"/>
  <c r="E146" i="25"/>
  <c r="F132" i="25"/>
  <c r="J122" i="25"/>
  <c r="I122" i="25"/>
  <c r="K122" i="25"/>
  <c r="T95" i="25"/>
  <c r="Q95" i="25"/>
  <c r="E95" i="25"/>
  <c r="I81" i="25"/>
  <c r="O81" i="25"/>
  <c r="H22" i="25"/>
  <c r="F22" i="25"/>
  <c r="F179" i="25"/>
  <c r="E179" i="25"/>
  <c r="I172" i="25"/>
  <c r="E172" i="25"/>
  <c r="L163" i="25"/>
  <c r="H163" i="25"/>
  <c r="K163" i="25"/>
  <c r="J98" i="25"/>
  <c r="L98" i="25"/>
  <c r="H98" i="25"/>
  <c r="M98" i="25"/>
  <c r="H91" i="25"/>
  <c r="I91" i="25"/>
  <c r="H83" i="25"/>
  <c r="E53" i="25"/>
  <c r="O54" i="25"/>
  <c r="H42" i="25"/>
  <c r="J42" i="25"/>
  <c r="BJ9" i="25"/>
  <c r="E12" i="25"/>
  <c r="CK9" i="25"/>
  <c r="N12" i="25"/>
  <c r="CB9" i="25"/>
  <c r="K12" i="25"/>
  <c r="CN9" i="25"/>
  <c r="O12" i="25"/>
  <c r="L184" i="25"/>
  <c r="H184" i="25"/>
  <c r="O184" i="25"/>
  <c r="N184" i="25"/>
  <c r="O171" i="25"/>
  <c r="H171" i="25"/>
  <c r="I158" i="25"/>
  <c r="J141" i="25"/>
  <c r="G141" i="25"/>
  <c r="E110" i="25"/>
  <c r="G110" i="25"/>
  <c r="F82" i="25"/>
  <c r="E82" i="25"/>
  <c r="O82" i="25"/>
  <c r="L67" i="25"/>
  <c r="N67" i="25"/>
  <c r="G67" i="25"/>
  <c r="I67" i="25"/>
  <c r="G63" i="25"/>
  <c r="O63" i="25"/>
  <c r="F49" i="25"/>
  <c r="I182" i="25"/>
  <c r="E182" i="25"/>
  <c r="F190" i="25"/>
  <c r="G190" i="25"/>
  <c r="J190" i="25"/>
  <c r="T161" i="25"/>
  <c r="I100" i="25"/>
  <c r="K100" i="25"/>
  <c r="K74" i="25"/>
  <c r="I74" i="25"/>
  <c r="N74" i="25"/>
  <c r="M74" i="25"/>
  <c r="H50" i="25"/>
  <c r="E50" i="25"/>
  <c r="G50" i="25"/>
  <c r="L32" i="25"/>
  <c r="H32" i="25"/>
  <c r="J32" i="25"/>
  <c r="E198" i="25"/>
  <c r="I180" i="25"/>
  <c r="E180" i="25"/>
  <c r="I194" i="25"/>
  <c r="E194" i="25"/>
  <c r="F111" i="25"/>
  <c r="O111" i="25"/>
  <c r="H38" i="25"/>
  <c r="G185" i="25"/>
  <c r="J185" i="25"/>
  <c r="H144" i="25"/>
  <c r="J144" i="25"/>
  <c r="O159" i="25"/>
  <c r="F159" i="25"/>
  <c r="I159" i="25"/>
  <c r="E159" i="25"/>
  <c r="I126" i="25"/>
  <c r="J126" i="25"/>
  <c r="L124" i="25"/>
  <c r="H124" i="25"/>
  <c r="M124" i="25"/>
  <c r="L139" i="25"/>
  <c r="H139" i="25"/>
  <c r="G79" i="25"/>
  <c r="F79" i="25"/>
  <c r="E79" i="25"/>
  <c r="J79" i="25"/>
  <c r="J66" i="25"/>
  <c r="J207" i="25"/>
  <c r="F145" i="25"/>
  <c r="I145" i="25"/>
  <c r="E145" i="25"/>
  <c r="F142" i="25"/>
  <c r="L107" i="25"/>
  <c r="H107" i="25"/>
  <c r="M107" i="25"/>
  <c r="J107" i="25"/>
  <c r="F96" i="25"/>
  <c r="O96" i="25"/>
  <c r="E105" i="25"/>
  <c r="H105" i="25"/>
  <c r="L105" i="25"/>
  <c r="L27" i="25"/>
  <c r="I27" i="25"/>
  <c r="K27" i="25"/>
  <c r="G183" i="25"/>
  <c r="J183" i="25"/>
  <c r="H143" i="25"/>
  <c r="G140" i="25"/>
  <c r="L155" i="25"/>
  <c r="H155" i="25"/>
  <c r="K155" i="25"/>
  <c r="L138" i="25"/>
  <c r="H138" i="25"/>
  <c r="M138" i="25"/>
  <c r="F112" i="25"/>
  <c r="H112" i="25"/>
  <c r="E112" i="25"/>
  <c r="H103" i="25"/>
  <c r="L103" i="25"/>
  <c r="E103" i="25"/>
  <c r="E59" i="25"/>
  <c r="F205" i="25"/>
  <c r="J205" i="25"/>
  <c r="F174" i="25"/>
  <c r="G174" i="25"/>
  <c r="J174" i="25"/>
  <c r="M174" i="25"/>
  <c r="M149" i="25"/>
  <c r="K153" i="25"/>
  <c r="H153" i="25"/>
  <c r="E108" i="25"/>
  <c r="G108" i="25"/>
  <c r="N108" i="25"/>
  <c r="O106" i="25"/>
  <c r="F106" i="25"/>
  <c r="R97" i="25"/>
  <c r="G97" i="25"/>
  <c r="M78" i="25"/>
  <c r="G78" i="25"/>
  <c r="L78" i="25"/>
  <c r="T37" i="25"/>
  <c r="H24" i="25"/>
  <c r="N24" i="25"/>
  <c r="O24" i="25"/>
  <c r="BD15" i="25"/>
  <c r="C15" i="25" s="1"/>
  <c r="AU15" i="25"/>
  <c r="BA15" i="25"/>
  <c r="B15" i="25" s="1"/>
  <c r="AX15" i="25"/>
  <c r="A15" i="25" s="1"/>
  <c r="BG15" i="25"/>
  <c r="D15" i="25" s="1"/>
  <c r="AU28" i="25"/>
  <c r="BD28" i="25"/>
  <c r="BG28" i="25"/>
  <c r="D28" i="25" s="1"/>
  <c r="BA28" i="25"/>
  <c r="B28" i="25" s="1"/>
  <c r="AX28" i="25"/>
  <c r="A28" i="25" s="1"/>
  <c r="AU38" i="25"/>
  <c r="BA38" i="25"/>
  <c r="B38" i="25" s="1"/>
  <c r="AX38" i="25"/>
  <c r="A38" i="25" s="1"/>
  <c r="BG38" i="25"/>
  <c r="D38" i="25" s="1"/>
  <c r="BD38" i="25"/>
  <c r="C38" i="25" s="1"/>
  <c r="AU44" i="25"/>
  <c r="BA44" i="25"/>
  <c r="B44" i="25" s="1"/>
  <c r="AX44" i="25"/>
  <c r="A44" i="25" s="1"/>
  <c r="BG44" i="25"/>
  <c r="D44" i="25" s="1"/>
  <c r="BD44" i="25"/>
  <c r="C44" i="25" s="1"/>
  <c r="AU64" i="25"/>
  <c r="BG64" i="25"/>
  <c r="D64" i="25" s="1"/>
  <c r="AX64" i="25"/>
  <c r="A64" i="25" s="1"/>
  <c r="BD64" i="25"/>
  <c r="C64" i="25" s="1"/>
  <c r="BA64" i="25"/>
  <c r="B64" i="25" s="1"/>
  <c r="AU71" i="25"/>
  <c r="BD71" i="25"/>
  <c r="C71" i="25" s="1"/>
  <c r="BA71" i="25"/>
  <c r="B71" i="25" s="1"/>
  <c r="BG71" i="25"/>
  <c r="D71" i="25" s="1"/>
  <c r="AX71" i="25"/>
  <c r="A71" i="25" s="1"/>
  <c r="BG78" i="25"/>
  <c r="D78" i="25" s="1"/>
  <c r="AU78" i="25"/>
  <c r="BA78" i="25"/>
  <c r="B78" i="25" s="1"/>
  <c r="AX78" i="25"/>
  <c r="A78" i="25" s="1"/>
  <c r="BD78" i="25"/>
  <c r="C78" i="25" s="1"/>
  <c r="AU89" i="25"/>
  <c r="BA89" i="25"/>
  <c r="B89" i="25" s="1"/>
  <c r="AX89" i="25"/>
  <c r="A89" i="25" s="1"/>
  <c r="BD89" i="25"/>
  <c r="C89" i="25" s="1"/>
  <c r="BG89" i="25"/>
  <c r="D89" i="25" s="1"/>
  <c r="AU93" i="25"/>
  <c r="AX93" i="25"/>
  <c r="A93" i="25" s="1"/>
  <c r="BA93" i="25"/>
  <c r="B93" i="25" s="1"/>
  <c r="BG93" i="25"/>
  <c r="D93" i="25" s="1"/>
  <c r="BD93" i="25"/>
  <c r="C93" i="25" s="1"/>
  <c r="BA97" i="25"/>
  <c r="B97" i="25" s="1"/>
  <c r="BG97" i="25"/>
  <c r="D97" i="25" s="1"/>
  <c r="BD97" i="25"/>
  <c r="C97" i="25" s="1"/>
  <c r="AU97" i="25"/>
  <c r="AX97" i="25"/>
  <c r="A97" i="25" s="1"/>
  <c r="AU118" i="25"/>
  <c r="AX118" i="25"/>
  <c r="A118" i="25" s="1"/>
  <c r="BA118" i="25"/>
  <c r="B118" i="25" s="1"/>
  <c r="BD118" i="25"/>
  <c r="C118" i="25" s="1"/>
  <c r="BG118" i="25"/>
  <c r="D118" i="25" s="1"/>
  <c r="BA135" i="25"/>
  <c r="B135" i="25" s="1"/>
  <c r="BD135" i="25"/>
  <c r="C135" i="25" s="1"/>
  <c r="BG135" i="25"/>
  <c r="D135" i="25" s="1"/>
  <c r="AX135" i="25"/>
  <c r="A135" i="25" s="1"/>
  <c r="AU135" i="25"/>
  <c r="AU110" i="25"/>
  <c r="AX110" i="25"/>
  <c r="A110" i="25" s="1"/>
  <c r="BA110" i="25"/>
  <c r="B110" i="25" s="1"/>
  <c r="BD110" i="25"/>
  <c r="C110" i="25" s="1"/>
  <c r="BG110" i="25"/>
  <c r="D110" i="25" s="1"/>
  <c r="AU140" i="25"/>
  <c r="BG140" i="25"/>
  <c r="D140" i="25" s="1"/>
  <c r="AX140" i="25"/>
  <c r="A140" i="25" s="1"/>
  <c r="BA140" i="25"/>
  <c r="B140" i="25" s="1"/>
  <c r="BD140" i="25"/>
  <c r="C140" i="25" s="1"/>
  <c r="AU153" i="25"/>
  <c r="AX153" i="25"/>
  <c r="A153" i="25" s="1"/>
  <c r="BG153" i="25"/>
  <c r="D153" i="25" s="1"/>
  <c r="BA153" i="25"/>
  <c r="B153" i="25" s="1"/>
  <c r="BD153" i="25"/>
  <c r="C153" i="25" s="1"/>
  <c r="AU162" i="25"/>
  <c r="BG162" i="25"/>
  <c r="D162" i="25" s="1"/>
  <c r="AX162" i="25"/>
  <c r="A162" i="25" s="1"/>
  <c r="BD162" i="25"/>
  <c r="C162" i="25" s="1"/>
  <c r="AU144" i="25"/>
  <c r="AX144" i="25"/>
  <c r="A144" i="25" s="1"/>
  <c r="BA144" i="25"/>
  <c r="B144" i="25" s="1"/>
  <c r="BD144" i="25"/>
  <c r="C144" i="25" s="1"/>
  <c r="BG144" i="25"/>
  <c r="D144" i="25" s="1"/>
  <c r="AX168" i="25"/>
  <c r="A168" i="25" s="1"/>
  <c r="BA168" i="25"/>
  <c r="B168" i="25" s="1"/>
  <c r="BD168" i="25"/>
  <c r="C168" i="25" s="1"/>
  <c r="AU168" i="25"/>
  <c r="BG168" i="25"/>
  <c r="D168" i="25" s="1"/>
  <c r="AU195" i="25"/>
  <c r="BA195" i="25"/>
  <c r="B195" i="25" s="1"/>
  <c r="AX195" i="25"/>
  <c r="A195" i="25" s="1"/>
  <c r="BD195" i="25"/>
  <c r="C195" i="25" s="1"/>
  <c r="BG195" i="25"/>
  <c r="D195" i="25" s="1"/>
  <c r="BG196" i="25"/>
  <c r="D196" i="25" s="1"/>
  <c r="AU196" i="25"/>
  <c r="AX196" i="25"/>
  <c r="A196" i="25" s="1"/>
  <c r="BA196" i="25"/>
  <c r="B196" i="25" s="1"/>
  <c r="BD196" i="25"/>
  <c r="C196" i="25" s="1"/>
  <c r="AU191" i="25"/>
  <c r="BG191" i="25"/>
  <c r="D191" i="25" s="1"/>
  <c r="BA191" i="25"/>
  <c r="B191" i="25" s="1"/>
  <c r="AX191" i="25"/>
  <c r="A191" i="25" s="1"/>
  <c r="BD191" i="25"/>
  <c r="C191" i="25" s="1"/>
  <c r="AU204" i="25"/>
  <c r="AX204" i="25"/>
  <c r="A204" i="25" s="1"/>
  <c r="BA204" i="25"/>
  <c r="B204" i="25" s="1"/>
  <c r="BD204" i="25"/>
  <c r="C204" i="25" s="1"/>
  <c r="BG204" i="25"/>
  <c r="D204" i="25" s="1"/>
  <c r="AX247" i="25"/>
  <c r="A247" i="25" s="1"/>
  <c r="BG247" i="25"/>
  <c r="D247" i="25" s="1"/>
  <c r="BA247" i="25"/>
  <c r="BD247" i="25"/>
  <c r="C247" i="25" s="1"/>
  <c r="AU247" i="25"/>
  <c r="AX235" i="25"/>
  <c r="A235" i="25" s="1"/>
  <c r="AU235" i="25"/>
  <c r="BG235" i="25"/>
  <c r="D235" i="25" s="1"/>
  <c r="BA235" i="25"/>
  <c r="B235" i="25" s="1"/>
  <c r="BD235" i="25"/>
  <c r="C235" i="25" s="1"/>
  <c r="AU200" i="25"/>
  <c r="BA200" i="25"/>
  <c r="B200" i="25" s="1"/>
  <c r="BD200" i="25"/>
  <c r="C200" i="25" s="1"/>
  <c r="BG200" i="25"/>
  <c r="D200" i="25" s="1"/>
  <c r="AX200" i="25"/>
  <c r="A200" i="25" s="1"/>
  <c r="BA240" i="25"/>
  <c r="B240" i="25" s="1"/>
  <c r="BG240" i="25"/>
  <c r="D240" i="25" s="1"/>
  <c r="AX240" i="25"/>
  <c r="A240" i="25" s="1"/>
  <c r="BD240" i="25"/>
  <c r="C240" i="25" s="1"/>
  <c r="AU240" i="25"/>
  <c r="AU256" i="25"/>
  <c r="BD256" i="25"/>
  <c r="C256" i="25" s="1"/>
  <c r="BA256" i="25"/>
  <c r="B256" i="25" s="1"/>
  <c r="BG256" i="25"/>
  <c r="D256" i="25" s="1"/>
  <c r="AX256" i="25"/>
  <c r="A256" i="25" s="1"/>
  <c r="BA238" i="25"/>
  <c r="BG238" i="25"/>
  <c r="D238" i="25" s="1"/>
  <c r="AX238" i="25"/>
  <c r="A238" i="25" s="1"/>
  <c r="AU238" i="25"/>
  <c r="BD238" i="25"/>
  <c r="C238" i="25" s="1"/>
  <c r="F186" i="25"/>
  <c r="G186" i="25"/>
  <c r="J186" i="25"/>
  <c r="G93" i="25"/>
  <c r="F92" i="25"/>
  <c r="I51" i="25"/>
  <c r="H51" i="25"/>
  <c r="J51" i="25"/>
  <c r="E48" i="25"/>
  <c r="M48" i="25"/>
  <c r="H199" i="25"/>
  <c r="G199" i="25"/>
  <c r="F202" i="25"/>
  <c r="J202" i="25"/>
  <c r="O196" i="25"/>
  <c r="N196" i="25"/>
  <c r="L196" i="25"/>
  <c r="G168" i="25"/>
  <c r="J168" i="25"/>
  <c r="F125" i="25"/>
  <c r="I77" i="25"/>
  <c r="M77" i="25"/>
  <c r="E57" i="25"/>
  <c r="M57" i="25"/>
  <c r="H46" i="25"/>
  <c r="F46" i="25"/>
  <c r="I26" i="25"/>
  <c r="O26" i="25"/>
  <c r="G175" i="25"/>
  <c r="J175" i="25"/>
  <c r="M170" i="25"/>
  <c r="K170" i="25"/>
  <c r="O109" i="25"/>
  <c r="F109" i="25"/>
  <c r="E94" i="25"/>
  <c r="G94" i="25"/>
  <c r="N94" i="25"/>
  <c r="O71" i="25"/>
  <c r="F68" i="25"/>
  <c r="H68" i="25"/>
  <c r="F30" i="25"/>
  <c r="H30" i="25"/>
  <c r="J30" i="25"/>
  <c r="E30" i="25"/>
  <c r="H192" i="25"/>
  <c r="N192" i="25"/>
  <c r="H181" i="25"/>
  <c r="O181" i="25"/>
  <c r="O131" i="25"/>
  <c r="F131" i="25"/>
  <c r="G128" i="25"/>
  <c r="BD17" i="25"/>
  <c r="C17" i="25" s="1"/>
  <c r="BG17" i="25"/>
  <c r="D17" i="25" s="1"/>
  <c r="AU17" i="25"/>
  <c r="BA17" i="25"/>
  <c r="B17" i="25" s="1"/>
  <c r="AX17" i="25"/>
  <c r="A17" i="25" s="1"/>
  <c r="AX21" i="25"/>
  <c r="A21" i="25" s="1"/>
  <c r="BG21" i="25"/>
  <c r="D21" i="25" s="1"/>
  <c r="BD21" i="25"/>
  <c r="C21" i="25" s="1"/>
  <c r="BA21" i="25"/>
  <c r="B21" i="25" s="1"/>
  <c r="AU21" i="25"/>
  <c r="BG33" i="25"/>
  <c r="D33" i="25" s="1"/>
  <c r="AU33" i="25"/>
  <c r="BA33" i="25"/>
  <c r="B33" i="25" s="1"/>
  <c r="AX33" i="25"/>
  <c r="A33" i="25" s="1"/>
  <c r="BD33" i="25"/>
  <c r="C33" i="25" s="1"/>
  <c r="AX36" i="25"/>
  <c r="A36" i="25" s="1"/>
  <c r="BG36" i="25"/>
  <c r="D36" i="25" s="1"/>
  <c r="BA36" i="25"/>
  <c r="B36" i="25" s="1"/>
  <c r="BD36" i="25"/>
  <c r="C36" i="25" s="1"/>
  <c r="AU36" i="25"/>
  <c r="AU42" i="25"/>
  <c r="BA42" i="25"/>
  <c r="B42" i="25" s="1"/>
  <c r="AX42" i="25"/>
  <c r="A42" i="25" s="1"/>
  <c r="BG42" i="25"/>
  <c r="D42" i="25" s="1"/>
  <c r="BD42" i="25"/>
  <c r="C42" i="25" s="1"/>
  <c r="AU53" i="25"/>
  <c r="BG53" i="25"/>
  <c r="D53" i="25" s="1"/>
  <c r="BA53" i="25"/>
  <c r="B53" i="25" s="1"/>
  <c r="BD53" i="25"/>
  <c r="C53" i="25" s="1"/>
  <c r="AX53" i="25"/>
  <c r="A53" i="25" s="1"/>
  <c r="BG61" i="25"/>
  <c r="D61" i="25" s="1"/>
  <c r="BA61" i="25"/>
  <c r="B61" i="25" s="1"/>
  <c r="BD61" i="25"/>
  <c r="C61" i="25" s="1"/>
  <c r="AU61" i="25"/>
  <c r="AX61" i="25"/>
  <c r="A61" i="25" s="1"/>
  <c r="AU55" i="25"/>
  <c r="BG55" i="25"/>
  <c r="D55" i="25" s="1"/>
  <c r="BA55" i="25"/>
  <c r="B55" i="25" s="1"/>
  <c r="BD55" i="25"/>
  <c r="C55" i="25" s="1"/>
  <c r="AX55" i="25"/>
  <c r="A55" i="25" s="1"/>
  <c r="AU68" i="25"/>
  <c r="AX68" i="25"/>
  <c r="A68" i="25" s="1"/>
  <c r="BD68" i="25"/>
  <c r="C68" i="25" s="1"/>
  <c r="BA68" i="25"/>
  <c r="B68" i="25" s="1"/>
  <c r="BG68" i="25"/>
  <c r="D68" i="25" s="1"/>
  <c r="AU67" i="25"/>
  <c r="AX67" i="25"/>
  <c r="A67" i="25" s="1"/>
  <c r="BD67" i="25"/>
  <c r="C67" i="25" s="1"/>
  <c r="BA67" i="25"/>
  <c r="B67" i="25" s="1"/>
  <c r="BG67" i="25"/>
  <c r="D67" i="25" s="1"/>
  <c r="AU86" i="25"/>
  <c r="BA86" i="25"/>
  <c r="B86" i="25" s="1"/>
  <c r="AX86" i="25"/>
  <c r="A86" i="25" s="1"/>
  <c r="BD86" i="25"/>
  <c r="C86" i="25" s="1"/>
  <c r="BG86" i="25"/>
  <c r="D86" i="25" s="1"/>
  <c r="AU91" i="25"/>
  <c r="BA91" i="25"/>
  <c r="B91" i="25" s="1"/>
  <c r="AX91" i="25"/>
  <c r="A91" i="25" s="1"/>
  <c r="BD91" i="25"/>
  <c r="C91" i="25" s="1"/>
  <c r="BG91" i="25"/>
  <c r="D91" i="25" s="1"/>
  <c r="AU87" i="25"/>
  <c r="BG87" i="25"/>
  <c r="D87" i="25" s="1"/>
  <c r="BA87" i="25"/>
  <c r="B87" i="25" s="1"/>
  <c r="AX87" i="25"/>
  <c r="A87" i="25" s="1"/>
  <c r="BD87" i="25"/>
  <c r="C87" i="25" s="1"/>
  <c r="AX101" i="25"/>
  <c r="A101" i="25" s="1"/>
  <c r="BA101" i="25"/>
  <c r="B101" i="25" s="1"/>
  <c r="AU101" i="25"/>
  <c r="BG101" i="25"/>
  <c r="D101" i="25" s="1"/>
  <c r="BD101" i="25"/>
  <c r="C101" i="25" s="1"/>
  <c r="AX99" i="25"/>
  <c r="A99" i="25" s="1"/>
  <c r="BA99" i="25"/>
  <c r="B99" i="25" s="1"/>
  <c r="BG99" i="25"/>
  <c r="D99" i="25" s="1"/>
  <c r="BD99" i="25"/>
  <c r="C99" i="25" s="1"/>
  <c r="AU99" i="25"/>
  <c r="AU132" i="25"/>
  <c r="BA132" i="25"/>
  <c r="B132" i="25" s="1"/>
  <c r="BD132" i="25"/>
  <c r="C132" i="25" s="1"/>
  <c r="BG132" i="25"/>
  <c r="D132" i="25" s="1"/>
  <c r="AX132" i="25"/>
  <c r="A132" i="25" s="1"/>
  <c r="AX133" i="25"/>
  <c r="A133" i="25" s="1"/>
  <c r="AU133" i="25"/>
  <c r="BA133" i="25"/>
  <c r="B133" i="25" s="1"/>
  <c r="BD133" i="25"/>
  <c r="C133" i="25" s="1"/>
  <c r="BG133" i="25"/>
  <c r="D133" i="25" s="1"/>
  <c r="AU113" i="25"/>
  <c r="BA113" i="25"/>
  <c r="B113" i="25" s="1"/>
  <c r="BD113" i="25"/>
  <c r="C113" i="25" s="1"/>
  <c r="BG113" i="25"/>
  <c r="D113" i="25" s="1"/>
  <c r="AX113" i="25"/>
  <c r="A113" i="25" s="1"/>
  <c r="AU165" i="25"/>
  <c r="BA165" i="25"/>
  <c r="B165" i="25" s="1"/>
  <c r="BD165" i="25"/>
  <c r="C165" i="25" s="1"/>
  <c r="AX165" i="25"/>
  <c r="A165" i="25" s="1"/>
  <c r="BG165" i="25"/>
  <c r="D165" i="25" s="1"/>
  <c r="BA155" i="25"/>
  <c r="B155" i="25" s="1"/>
  <c r="BD155" i="25"/>
  <c r="C155" i="25" s="1"/>
  <c r="AX155" i="25"/>
  <c r="A155" i="25" s="1"/>
  <c r="BG155" i="25"/>
  <c r="D155" i="25" s="1"/>
  <c r="AU155" i="25"/>
  <c r="AU143" i="25"/>
  <c r="AX143" i="25"/>
  <c r="A143" i="25" s="1"/>
  <c r="BG143" i="25"/>
  <c r="D143" i="25" s="1"/>
  <c r="BA143" i="25"/>
  <c r="B143" i="25" s="1"/>
  <c r="BD143" i="25"/>
  <c r="C143" i="25" s="1"/>
  <c r="AU146" i="25"/>
  <c r="BG146" i="25"/>
  <c r="D146" i="25" s="1"/>
  <c r="AX146" i="25"/>
  <c r="A146" i="25" s="1"/>
  <c r="BA146" i="25"/>
  <c r="B146" i="25" s="1"/>
  <c r="BD146" i="25"/>
  <c r="C146" i="25" s="1"/>
  <c r="AU179" i="25"/>
  <c r="BA179" i="25"/>
  <c r="B179" i="25" s="1"/>
  <c r="AX179" i="25"/>
  <c r="A179" i="25" s="1"/>
  <c r="BD179" i="25"/>
  <c r="C179" i="25" s="1"/>
  <c r="BG179" i="25"/>
  <c r="D179" i="25" s="1"/>
  <c r="BA190" i="25"/>
  <c r="B190" i="25" s="1"/>
  <c r="BD190" i="25"/>
  <c r="C190" i="25" s="1"/>
  <c r="AU190" i="25"/>
  <c r="BG190" i="25"/>
  <c r="D190" i="25" s="1"/>
  <c r="AX190" i="25"/>
  <c r="A190" i="25" s="1"/>
  <c r="BG188" i="25"/>
  <c r="D188" i="25" s="1"/>
  <c r="AX188" i="25"/>
  <c r="A188" i="25" s="1"/>
  <c r="AU188" i="25"/>
  <c r="BA188" i="25"/>
  <c r="BD188" i="25"/>
  <c r="C188" i="25" s="1"/>
  <c r="AU185" i="25"/>
  <c r="BG185" i="25"/>
  <c r="D185" i="25" s="1"/>
  <c r="BA185" i="25"/>
  <c r="B185" i="25" s="1"/>
  <c r="AX185" i="25"/>
  <c r="A185" i="25" s="1"/>
  <c r="BD185" i="25"/>
  <c r="C185" i="25" s="1"/>
  <c r="BG199" i="25"/>
  <c r="D199" i="25" s="1"/>
  <c r="BA199" i="25"/>
  <c r="B199" i="25" s="1"/>
  <c r="AX199" i="25"/>
  <c r="A199" i="25" s="1"/>
  <c r="BD199" i="25"/>
  <c r="C199" i="25" s="1"/>
  <c r="AU199" i="25"/>
  <c r="BA222" i="25"/>
  <c r="B222" i="25" s="1"/>
  <c r="BG222" i="25"/>
  <c r="D222" i="25" s="1"/>
  <c r="AX222" i="25"/>
  <c r="A222" i="25" s="1"/>
  <c r="BD222" i="25"/>
  <c r="C222" i="25" s="1"/>
  <c r="AU222" i="25"/>
  <c r="AX236" i="25"/>
  <c r="A236" i="25" s="1"/>
  <c r="BD236" i="25"/>
  <c r="C236" i="25" s="1"/>
  <c r="AU236" i="25"/>
  <c r="BA236" i="25"/>
  <c r="B236" i="25" s="1"/>
  <c r="BG236" i="25"/>
  <c r="D236" i="25" s="1"/>
  <c r="AU206" i="25"/>
  <c r="BA206" i="25"/>
  <c r="B206" i="25" s="1"/>
  <c r="BD206" i="25"/>
  <c r="C206" i="25" s="1"/>
  <c r="BG206" i="25"/>
  <c r="D206" i="25" s="1"/>
  <c r="AX206" i="25"/>
  <c r="A206" i="25" s="1"/>
  <c r="BA237" i="25"/>
  <c r="B237" i="25" s="1"/>
  <c r="BD237" i="25"/>
  <c r="C237" i="25" s="1"/>
  <c r="AU237" i="25"/>
  <c r="AX237" i="25"/>
  <c r="A237" i="25" s="1"/>
  <c r="BG237" i="25"/>
  <c r="D237" i="25" s="1"/>
  <c r="AU202" i="25"/>
  <c r="BA202" i="25"/>
  <c r="B202" i="25" s="1"/>
  <c r="BD202" i="25"/>
  <c r="C202" i="25" s="1"/>
  <c r="BG202" i="25"/>
  <c r="D202" i="25" s="1"/>
  <c r="AX202" i="25"/>
  <c r="A202" i="25" s="1"/>
  <c r="AU258" i="25"/>
  <c r="BD258" i="25"/>
  <c r="C258" i="25" s="1"/>
  <c r="BA258" i="25"/>
  <c r="BG258" i="25"/>
  <c r="D258" i="25" s="1"/>
  <c r="AX258" i="25"/>
  <c r="A258" i="25" s="1"/>
  <c r="H191" i="25"/>
  <c r="O191" i="25"/>
  <c r="G150" i="25"/>
  <c r="M151" i="25"/>
  <c r="N151" i="25"/>
  <c r="F130" i="25"/>
  <c r="J120" i="25"/>
  <c r="I120" i="25"/>
  <c r="I113" i="25"/>
  <c r="K113" i="25"/>
  <c r="L76" i="25"/>
  <c r="H76" i="25"/>
  <c r="E29" i="25"/>
  <c r="F160" i="25"/>
  <c r="N160" i="25"/>
  <c r="K102" i="25"/>
  <c r="H73" i="25"/>
  <c r="F73" i="25"/>
  <c r="E31" i="25"/>
  <c r="K31" i="25"/>
  <c r="M31" i="25"/>
  <c r="M200" i="25"/>
  <c r="M157" i="25"/>
  <c r="N157" i="25"/>
  <c r="M154" i="25"/>
  <c r="O154" i="25"/>
  <c r="F154" i="25"/>
  <c r="N154" i="25"/>
  <c r="I165" i="25"/>
  <c r="E165" i="25"/>
  <c r="O165" i="25"/>
  <c r="F165" i="25"/>
  <c r="E134" i="25"/>
  <c r="G134" i="25"/>
  <c r="L133" i="25"/>
  <c r="H133" i="25"/>
  <c r="J133" i="25"/>
  <c r="E99" i="25"/>
  <c r="H99" i="25"/>
  <c r="L99" i="25"/>
  <c r="G55" i="25"/>
  <c r="F187" i="25"/>
  <c r="E187" i="25"/>
  <c r="L187" i="25"/>
  <c r="N187" i="25"/>
  <c r="H146" i="25"/>
  <c r="T146" i="25"/>
  <c r="L146" i="25"/>
  <c r="I132" i="25"/>
  <c r="K132" i="25"/>
  <c r="J132" i="25"/>
  <c r="T122" i="25"/>
  <c r="L122" i="25"/>
  <c r="H122" i="25"/>
  <c r="M122" i="25"/>
  <c r="G95" i="25"/>
  <c r="N95" i="25"/>
  <c r="I95" i="25"/>
  <c r="M95" i="25"/>
  <c r="AU22" i="25"/>
  <c r="BG22" i="25"/>
  <c r="D22" i="25" s="1"/>
  <c r="BA22" i="25"/>
  <c r="B22" i="25" s="1"/>
  <c r="AX22" i="25"/>
  <c r="A22" i="25" s="1"/>
  <c r="BD22" i="25"/>
  <c r="C22" i="25" s="1"/>
  <c r="BG18" i="25"/>
  <c r="D18" i="25" s="1"/>
  <c r="BA18" i="25"/>
  <c r="B18" i="25" s="1"/>
  <c r="AX18" i="25"/>
  <c r="A18" i="25" s="1"/>
  <c r="BD18" i="25"/>
  <c r="C18" i="25" s="1"/>
  <c r="AU18" i="25"/>
  <c r="BD31" i="25"/>
  <c r="C31" i="25" s="1"/>
  <c r="BA31" i="25"/>
  <c r="B31" i="25" s="1"/>
  <c r="AX31" i="25"/>
  <c r="A31" i="25" s="1"/>
  <c r="BG31" i="25"/>
  <c r="D31" i="25" s="1"/>
  <c r="AU31" i="25"/>
  <c r="AU43" i="25"/>
  <c r="AX43" i="25"/>
  <c r="A43" i="25" s="1"/>
  <c r="BD43" i="25"/>
  <c r="C43" i="25" s="1"/>
  <c r="BG43" i="25"/>
  <c r="D43" i="25" s="1"/>
  <c r="BA43" i="25"/>
  <c r="BA37" i="25"/>
  <c r="AU37" i="25"/>
  <c r="AX37" i="25"/>
  <c r="A37" i="25" s="1"/>
  <c r="BD37" i="25"/>
  <c r="C37" i="25" s="1"/>
  <c r="BG37" i="25"/>
  <c r="D37" i="25" s="1"/>
  <c r="AU52" i="25"/>
  <c r="BD52" i="25"/>
  <c r="C52" i="25" s="1"/>
  <c r="BG52" i="25"/>
  <c r="D52" i="25" s="1"/>
  <c r="AX52" i="25"/>
  <c r="A52" i="25" s="1"/>
  <c r="BA52" i="25"/>
  <c r="B52" i="25" s="1"/>
  <c r="AU49" i="25"/>
  <c r="AX49" i="25"/>
  <c r="A49" i="25" s="1"/>
  <c r="BG49" i="25"/>
  <c r="D49" i="25" s="1"/>
  <c r="BA49" i="25"/>
  <c r="B49" i="25" s="1"/>
  <c r="BD49" i="25"/>
  <c r="C49" i="25" s="1"/>
  <c r="BA62" i="25"/>
  <c r="B62" i="25" s="1"/>
  <c r="BG62" i="25"/>
  <c r="D62" i="25" s="1"/>
  <c r="BD62" i="25"/>
  <c r="C62" i="25" s="1"/>
  <c r="AX62" i="25"/>
  <c r="A62" i="25" s="1"/>
  <c r="AU62" i="25"/>
  <c r="AU81" i="25"/>
  <c r="BA81" i="25"/>
  <c r="B81" i="25" s="1"/>
  <c r="AX81" i="25"/>
  <c r="A81" i="25" s="1"/>
  <c r="BD81" i="25"/>
  <c r="C81" i="25" s="1"/>
  <c r="BG81" i="25"/>
  <c r="D81" i="25" s="1"/>
  <c r="AU80" i="25"/>
  <c r="BD80" i="25"/>
  <c r="C80" i="25" s="1"/>
  <c r="BG80" i="25"/>
  <c r="D80" i="25" s="1"/>
  <c r="BA80" i="25"/>
  <c r="B80" i="25" s="1"/>
  <c r="AX80" i="25"/>
  <c r="A80" i="25" s="1"/>
  <c r="AU96" i="25"/>
  <c r="BA96" i="25"/>
  <c r="B96" i="25" s="1"/>
  <c r="BD96" i="25"/>
  <c r="C96" i="25" s="1"/>
  <c r="BG96" i="25"/>
  <c r="D96" i="25" s="1"/>
  <c r="AX96" i="25"/>
  <c r="A96" i="25" s="1"/>
  <c r="BD103" i="25"/>
  <c r="C103" i="25" s="1"/>
  <c r="AX103" i="25"/>
  <c r="A103" i="25" s="1"/>
  <c r="AU103" i="25"/>
  <c r="BA103" i="25"/>
  <c r="B103" i="25" s="1"/>
  <c r="BG103" i="25"/>
  <c r="D103" i="25" s="1"/>
  <c r="AX125" i="25"/>
  <c r="A125" i="25" s="1"/>
  <c r="AU125" i="25"/>
  <c r="BA125" i="25"/>
  <c r="B125" i="25" s="1"/>
  <c r="BD125" i="25"/>
  <c r="C125" i="25" s="1"/>
  <c r="BG125" i="25"/>
  <c r="D125" i="25" s="1"/>
  <c r="AU114" i="25"/>
  <c r="BA114" i="25"/>
  <c r="BD114" i="25"/>
  <c r="C114" i="25" s="1"/>
  <c r="BG114" i="25"/>
  <c r="D114" i="25" s="1"/>
  <c r="AX114" i="25"/>
  <c r="A114" i="25" s="1"/>
  <c r="BA129" i="25"/>
  <c r="B129" i="25" s="1"/>
  <c r="BD129" i="25"/>
  <c r="C129" i="25" s="1"/>
  <c r="BG129" i="25"/>
  <c r="D129" i="25" s="1"/>
  <c r="AX129" i="25"/>
  <c r="A129" i="25" s="1"/>
  <c r="AU129" i="25"/>
  <c r="AU115" i="25"/>
  <c r="BA115" i="25"/>
  <c r="B115" i="25" s="1"/>
  <c r="BD115" i="25"/>
  <c r="C115" i="25" s="1"/>
  <c r="BG115" i="25"/>
  <c r="D115" i="25" s="1"/>
  <c r="AX115" i="25"/>
  <c r="A115" i="25" s="1"/>
  <c r="AU128" i="25"/>
  <c r="BA128" i="25"/>
  <c r="B128" i="25" s="1"/>
  <c r="BD128" i="25"/>
  <c r="C128" i="25" s="1"/>
  <c r="BG128" i="25"/>
  <c r="D128" i="25" s="1"/>
  <c r="AX128" i="25"/>
  <c r="A128" i="25" s="1"/>
  <c r="AU156" i="25"/>
  <c r="BG156" i="25"/>
  <c r="D156" i="25" s="1"/>
  <c r="AX156" i="25"/>
  <c r="A156" i="25" s="1"/>
  <c r="BA156" i="25"/>
  <c r="B156" i="25" s="1"/>
  <c r="BD156" i="25"/>
  <c r="C156" i="25" s="1"/>
  <c r="AU158" i="25"/>
  <c r="BA158" i="25"/>
  <c r="B158" i="25" s="1"/>
  <c r="BD158" i="25"/>
  <c r="C158" i="25" s="1"/>
  <c r="BG158" i="25"/>
  <c r="D158" i="25" s="1"/>
  <c r="AX158" i="25"/>
  <c r="A158" i="25" s="1"/>
  <c r="AU181" i="25"/>
  <c r="BA181" i="25"/>
  <c r="B181" i="25" s="1"/>
  <c r="AX181" i="25"/>
  <c r="A181" i="25" s="1"/>
  <c r="BD181" i="25"/>
  <c r="C181" i="25" s="1"/>
  <c r="BG181" i="25"/>
  <c r="D181" i="25" s="1"/>
  <c r="BG186" i="25"/>
  <c r="D186" i="25" s="1"/>
  <c r="AX186" i="25"/>
  <c r="A186" i="25" s="1"/>
  <c r="BA186" i="25"/>
  <c r="B186" i="25" s="1"/>
  <c r="BD186" i="25"/>
  <c r="C186" i="25" s="1"/>
  <c r="AU186" i="25"/>
  <c r="AX192" i="25"/>
  <c r="A192" i="25" s="1"/>
  <c r="AU192" i="25"/>
  <c r="BA192" i="25"/>
  <c r="B192" i="25" s="1"/>
  <c r="BD192" i="25"/>
  <c r="C192" i="25" s="1"/>
  <c r="BG192" i="25"/>
  <c r="D192" i="25" s="1"/>
  <c r="BG194" i="25"/>
  <c r="D194" i="25" s="1"/>
  <c r="AX194" i="25"/>
  <c r="A194" i="25" s="1"/>
  <c r="AU194" i="25"/>
  <c r="BA194" i="25"/>
  <c r="B194" i="25" s="1"/>
  <c r="BD194" i="25"/>
  <c r="C194" i="25" s="1"/>
  <c r="AU218" i="25"/>
  <c r="BA218" i="25"/>
  <c r="B218" i="25" s="1"/>
  <c r="BG218" i="25"/>
  <c r="D218" i="25" s="1"/>
  <c r="AX218" i="25"/>
  <c r="A218" i="25" s="1"/>
  <c r="BD218" i="25"/>
  <c r="C218" i="25" s="1"/>
  <c r="BA229" i="25"/>
  <c r="B229" i="25" s="1"/>
  <c r="BD229" i="25"/>
  <c r="C229" i="25" s="1"/>
  <c r="AX229" i="25"/>
  <c r="A229" i="25" s="1"/>
  <c r="AU229" i="25"/>
  <c r="BG229" i="25"/>
  <c r="D229" i="25" s="1"/>
  <c r="AU251" i="25"/>
  <c r="AX251" i="25"/>
  <c r="A251" i="25" s="1"/>
  <c r="BG251" i="25"/>
  <c r="D251" i="25" s="1"/>
  <c r="BA251" i="25"/>
  <c r="BD251" i="25"/>
  <c r="C251" i="25" s="1"/>
  <c r="BG201" i="25"/>
  <c r="D201" i="25" s="1"/>
  <c r="BA201" i="25"/>
  <c r="B201" i="25" s="1"/>
  <c r="AU201" i="25"/>
  <c r="AX201" i="25"/>
  <c r="A201" i="25" s="1"/>
  <c r="BD201" i="25"/>
  <c r="C201" i="25" s="1"/>
  <c r="AX233" i="25"/>
  <c r="A233" i="25" s="1"/>
  <c r="BG233" i="25"/>
  <c r="D233" i="25" s="1"/>
  <c r="BA233" i="25"/>
  <c r="B233" i="25" s="1"/>
  <c r="AU233" i="25"/>
  <c r="BD233" i="25"/>
  <c r="C233" i="25" s="1"/>
  <c r="AU203" i="25"/>
  <c r="AX203" i="25"/>
  <c r="A203" i="25" s="1"/>
  <c r="BG203" i="25"/>
  <c r="D203" i="25" s="1"/>
  <c r="BA203" i="25"/>
  <c r="B203" i="25" s="1"/>
  <c r="BD203" i="25"/>
  <c r="C203" i="25" s="1"/>
  <c r="BD226" i="25"/>
  <c r="C226" i="25" s="1"/>
  <c r="AU226" i="25"/>
  <c r="BA226" i="25"/>
  <c r="B226" i="25" s="1"/>
  <c r="BG226" i="25"/>
  <c r="D226" i="25" s="1"/>
  <c r="AX226" i="25"/>
  <c r="A226" i="25" s="1"/>
  <c r="AU207" i="25"/>
  <c r="BG207" i="25"/>
  <c r="D207" i="25" s="1"/>
  <c r="BA207" i="25"/>
  <c r="B207" i="25" s="1"/>
  <c r="BD207" i="25"/>
  <c r="C207" i="25" s="1"/>
  <c r="AX207" i="25"/>
  <c r="A207" i="25" s="1"/>
  <c r="AU242" i="25"/>
  <c r="BD242" i="25"/>
  <c r="C242" i="25" s="1"/>
  <c r="BA242" i="25"/>
  <c r="B242" i="25" s="1"/>
  <c r="BG242" i="25"/>
  <c r="D242" i="25" s="1"/>
  <c r="AX242" i="25"/>
  <c r="A242" i="25" s="1"/>
  <c r="H179" i="25"/>
  <c r="N172" i="25"/>
  <c r="H172" i="25"/>
  <c r="N163" i="25"/>
  <c r="M163" i="25"/>
  <c r="E98" i="25"/>
  <c r="G98" i="25"/>
  <c r="N98" i="25"/>
  <c r="M91" i="25"/>
  <c r="K91" i="25"/>
  <c r="I83" i="25"/>
  <c r="H53" i="25"/>
  <c r="J53" i="25"/>
  <c r="I53" i="25"/>
  <c r="I42" i="25"/>
  <c r="G42" i="25"/>
  <c r="BS9" i="25"/>
  <c r="H12" i="25"/>
  <c r="CQ9" i="25"/>
  <c r="P12" i="25"/>
  <c r="DC9" i="25"/>
  <c r="T12" i="25"/>
  <c r="BP9" i="25"/>
  <c r="G12" i="25"/>
  <c r="AK9" i="25"/>
  <c r="B251" i="25" l="1"/>
  <c r="B37" i="25"/>
  <c r="B188" i="25"/>
  <c r="B122" i="25"/>
  <c r="AT9" i="25"/>
  <c r="B43" i="25"/>
  <c r="B258" i="25"/>
  <c r="B247" i="25"/>
  <c r="B259" i="25"/>
  <c r="B257" i="25"/>
  <c r="B244" i="25"/>
  <c r="B261" i="25"/>
  <c r="BA9" i="25"/>
  <c r="B12" i="25"/>
  <c r="AX9" i="25"/>
  <c r="AX7" i="25" s="1"/>
  <c r="A12" i="25"/>
  <c r="B114" i="25"/>
  <c r="B238" i="25"/>
  <c r="C28" i="25"/>
  <c r="B249" i="25"/>
  <c r="B177" i="25"/>
  <c r="B243" i="25"/>
  <c r="BD9" i="25"/>
  <c r="C12" i="25"/>
  <c r="B246" i="25"/>
  <c r="B250" i="25"/>
  <c r="B248" i="25"/>
  <c r="BG9" i="25"/>
  <c r="D12" i="25"/>
  <c r="D252" i="25"/>
</calcChain>
</file>

<file path=xl/sharedStrings.xml><?xml version="1.0" encoding="utf-8"?>
<sst xmlns="http://schemas.openxmlformats.org/spreadsheetml/2006/main" count="2070" uniqueCount="793">
  <si>
    <t>AIDE : info@fruitstock.eu</t>
  </si>
  <si>
    <t>ETAPES</t>
  </si>
  <si>
    <t>DESCRIPTION</t>
  </si>
  <si>
    <t>RIB</t>
  </si>
  <si>
    <t>FICHIER DE
COMMANDE</t>
  </si>
  <si>
    <r>
      <t xml:space="preserve">Parution tous les dimanches :
    - Envoi du lien ONEDRIVE par Email au </t>
    </r>
    <r>
      <rPr>
        <b/>
        <sz val="8"/>
        <color theme="9" tint="-0.249977111117893"/>
        <rFont val="Calibri (Corps)"/>
      </rPr>
      <t xml:space="preserve">RESPONSABLE </t>
    </r>
    <r>
      <rPr>
        <sz val="8"/>
        <rFont val="Calibri (Corps)"/>
      </rPr>
      <t>de groupe</t>
    </r>
  </si>
  <si>
    <t>13335</t>
  </si>
  <si>
    <t>00401</t>
  </si>
  <si>
    <t>04937390936</t>
  </si>
  <si>
    <t>32</t>
  </si>
  <si>
    <t>CE AQUITAINE POITOU CHARENTES</t>
  </si>
  <si>
    <t>COMMANDE
(70kg Min)</t>
  </si>
  <si>
    <r>
      <t xml:space="preserve">Le </t>
    </r>
    <r>
      <rPr>
        <b/>
        <sz val="8"/>
        <color theme="9" tint="-0.249977111117893"/>
        <rFont val="Calibri (Corps)"/>
      </rPr>
      <t>RESPONSABLE</t>
    </r>
    <r>
      <rPr>
        <sz val="8"/>
        <color theme="1"/>
        <rFont val="Calibri (Corps)"/>
      </rPr>
      <t xml:space="preserve"> partage le lien OneDrive aux </t>
    </r>
    <r>
      <rPr>
        <b/>
        <sz val="8"/>
        <color rgb="FF00B050"/>
        <rFont val="Calibri (Corps)"/>
      </rPr>
      <t>ADHÉRENTS</t>
    </r>
  </si>
  <si>
    <t>c/étab</t>
  </si>
  <si>
    <t>c/guichet</t>
  </si>
  <si>
    <t>c/compte</t>
  </si>
  <si>
    <t>c/rice</t>
  </si>
  <si>
    <t>domiciliation</t>
  </si>
  <si>
    <r>
      <t xml:space="preserve">Le </t>
    </r>
    <r>
      <rPr>
        <b/>
        <sz val="8"/>
        <color theme="9" tint="-0.249977111117893"/>
        <rFont val="Calibri (Corps)"/>
      </rPr>
      <t>RESPONSABLE</t>
    </r>
    <r>
      <rPr>
        <sz val="8"/>
        <color theme="1"/>
        <rFont val="Calibri (Corps)"/>
      </rPr>
      <t xml:space="preserve"> et ses </t>
    </r>
    <r>
      <rPr>
        <b/>
        <sz val="8"/>
        <color rgb="FF00B050"/>
        <rFont val="Calibri (Corps)"/>
      </rPr>
      <t>ADHÉRENTS</t>
    </r>
    <r>
      <rPr>
        <sz val="8"/>
        <color theme="1"/>
        <rFont val="Calibri (Corps)"/>
      </rPr>
      <t xml:space="preserve"> peuvent accéder directement au fichier de commande via le lien OneDrive puis :
    - Créer un compte Microsoft si besoin
    - Se conneter à leur compte Microsoft
    - Cliquer sur le bouton "</t>
    </r>
    <r>
      <rPr>
        <b/>
        <sz val="8"/>
        <color theme="1"/>
        <rFont val="Calibri (Corps)"/>
      </rPr>
      <t>Modifier le Classeur</t>
    </r>
    <r>
      <rPr>
        <sz val="8"/>
        <color theme="1"/>
        <rFont val="Calibri (Corps)"/>
      </rPr>
      <t>"</t>
    </r>
  </si>
  <si>
    <t>IBAN (Idenfiant international de compte</t>
  </si>
  <si>
    <r>
      <t xml:space="preserve">Le </t>
    </r>
    <r>
      <rPr>
        <b/>
        <sz val="8"/>
        <color theme="9" tint="-0.249977111117893"/>
        <rFont val="Calibri (Corps)"/>
      </rPr>
      <t>RESPONSABLE</t>
    </r>
    <r>
      <rPr>
        <sz val="8"/>
        <color theme="1"/>
        <rFont val="Calibri (Corps)"/>
      </rPr>
      <t xml:space="preserve"> :
    - Remplit les coordonnées de livraison
    - Remplit les coordonnées du </t>
    </r>
    <r>
      <rPr>
        <b/>
        <sz val="8"/>
        <color theme="9" tint="-0.249977111117893"/>
        <rFont val="Calibri (Corps)"/>
      </rPr>
      <t>RESPONSABLE</t>
    </r>
  </si>
  <si>
    <t>FR76</t>
  </si>
  <si>
    <t>1333</t>
  </si>
  <si>
    <t>5004</t>
  </si>
  <si>
    <t>0104</t>
  </si>
  <si>
    <t>9373</t>
  </si>
  <si>
    <t>9093</t>
  </si>
  <si>
    <t>632</t>
  </si>
  <si>
    <r>
      <rPr>
        <sz val="8"/>
        <rFont val="Calibri (Corps)"/>
      </rPr>
      <t>Chaque</t>
    </r>
    <r>
      <rPr>
        <sz val="8"/>
        <color rgb="FF00B050"/>
        <rFont val="Calibri (Corps)"/>
      </rPr>
      <t xml:space="preserve"> </t>
    </r>
    <r>
      <rPr>
        <b/>
        <sz val="8"/>
        <color rgb="FF00B050"/>
        <rFont val="Calibri (Corps)"/>
      </rPr>
      <t>ADHÉRENT</t>
    </r>
    <r>
      <rPr>
        <sz val="8"/>
        <color theme="1"/>
        <rFont val="Calibri (Corps)"/>
      </rPr>
      <t xml:space="preserve"> remplit sa colonne "</t>
    </r>
    <r>
      <rPr>
        <b/>
        <sz val="8"/>
        <rFont val="Calibri (Corps)"/>
      </rPr>
      <t>QTÉ</t>
    </r>
    <r>
      <rPr>
        <sz val="8"/>
        <color theme="1"/>
        <rFont val="Calibri (Corps)"/>
      </rPr>
      <t>"</t>
    </r>
  </si>
  <si>
    <t>BIC (Identifiant international de l'établissement</t>
  </si>
  <si>
    <r>
      <t xml:space="preserve">Le </t>
    </r>
    <r>
      <rPr>
        <b/>
        <sz val="8"/>
        <color theme="9" tint="-0.249977111117893"/>
        <rFont val="Calibri (Corps)"/>
      </rPr>
      <t>RESPONSABLE</t>
    </r>
    <r>
      <rPr>
        <sz val="8"/>
        <color theme="1"/>
        <rFont val="Calibri (Corps)"/>
      </rPr>
      <t xml:space="preserve"> envoie un mail à </t>
    </r>
    <r>
      <rPr>
        <b/>
        <i/>
        <sz val="8"/>
        <color rgb="FFC00000"/>
        <rFont val="Calibri (Corps)"/>
      </rPr>
      <t>cmd@fruitstock.eu</t>
    </r>
    <r>
      <rPr>
        <sz val="8"/>
        <rFont val="Calibri (Corps)"/>
      </rPr>
      <t xml:space="preserve"> avec :
    - Objet : cmd_(DEPT)_(VILLE)</t>
    </r>
    <r>
      <rPr>
        <sz val="8"/>
        <color theme="1"/>
        <rFont val="Calibri (Corps)"/>
      </rPr>
      <t xml:space="preserve">
    - Nom du groupe
    - Lien du fichier OneDrive
    - Nombre de pièces pour Ananas, Melon et Pastèque</t>
    </r>
  </si>
  <si>
    <t>C E P A F R P P 3 3 3</t>
  </si>
  <si>
    <t>FACTURE
-
REGULARISATION</t>
  </si>
  <si>
    <r>
      <t xml:space="preserve">Le </t>
    </r>
    <r>
      <rPr>
        <b/>
        <sz val="8"/>
        <color theme="9" tint="-0.249977111117893"/>
        <rFont val="Calibri (Corps)"/>
      </rPr>
      <t>RESPONSABLE</t>
    </r>
    <r>
      <rPr>
        <sz val="8"/>
        <color theme="1"/>
        <rFont val="Calibri (Corps)"/>
      </rPr>
      <t xml:space="preserve"> :
   - Reçoit le Bon de Livraison (BL)
   - Reçoit une facture pour chaque personne
   - Partage des factures à chaque </t>
    </r>
    <r>
      <rPr>
        <b/>
        <sz val="8"/>
        <color rgb="FF00B050"/>
        <rFont val="Calibri (Corps)"/>
      </rPr>
      <t>ADHÉRENT</t>
    </r>
  </si>
  <si>
    <t>Intitulé du compte</t>
  </si>
  <si>
    <t>Banque</t>
  </si>
  <si>
    <r>
      <t xml:space="preserve">Le </t>
    </r>
    <r>
      <rPr>
        <b/>
        <sz val="8"/>
        <color theme="9" tint="-0.249977111117893"/>
        <rFont val="Calibri (Corps)"/>
      </rPr>
      <t>RESPONSABLE</t>
    </r>
    <r>
      <rPr>
        <sz val="8"/>
        <color theme="1"/>
        <rFont val="Calibri (Corps)"/>
      </rPr>
      <t xml:space="preserve"> et les </t>
    </r>
    <r>
      <rPr>
        <b/>
        <sz val="8"/>
        <color rgb="FF00B050"/>
        <rFont val="Calibri (Corps)"/>
      </rPr>
      <t>ADHÉRENTS</t>
    </r>
    <r>
      <rPr>
        <sz val="8"/>
        <color theme="1"/>
        <rFont val="Calibri (Corps)"/>
      </rPr>
      <t xml:space="preserve"> :
    - Paient à réception de la facture (24H)
    - Motif virement :  Reprendre le libellé envoyé avec la facture</t>
    </r>
  </si>
  <si>
    <t>MR FRAIZE ALEXANDRE</t>
  </si>
  <si>
    <t>CAISSE D'EPARGNE</t>
  </si>
  <si>
    <t>LIVRAISON</t>
  </si>
  <si>
    <r>
      <t xml:space="preserve">Le </t>
    </r>
    <r>
      <rPr>
        <b/>
        <sz val="8"/>
        <color theme="9" tint="-0.249977111117893"/>
        <rFont val="Calibri (Corps)"/>
      </rPr>
      <t>RESPONSABLE</t>
    </r>
    <r>
      <rPr>
        <sz val="8"/>
        <color theme="1"/>
        <rFont val="Calibri (Corps)"/>
      </rPr>
      <t xml:space="preserve"> veillera à :
    - Regarder l'aspect de la palette et prendre des photos si elle te parait abimée ouvrir la palette et accéder aux cartons
    - Regarder l'aspect des fruits/légumes et prendre photos de tout ce qui te semble "abîmé" par le transport ou par le froid
    - Lister l'ensemble de ces dysfonctionnements sur le bordereau de transport
    - Le signer
    - Le photographier et le remettre au transporteur</t>
    </r>
  </si>
  <si>
    <t>SAV</t>
  </si>
  <si>
    <r>
      <t xml:space="preserve">Chaque </t>
    </r>
    <r>
      <rPr>
        <b/>
        <sz val="8"/>
        <color rgb="FF00B050"/>
        <rFont val="Calibri (Corps)"/>
      </rPr>
      <t>ADHÉRENT</t>
    </r>
    <r>
      <rPr>
        <sz val="8"/>
        <color theme="1"/>
        <rFont val="Calibri (Corps)"/>
      </rPr>
      <t xml:space="preserve"> du groupe peut remplir son propre fichier SAV :
    - Fichier envoyé systématiquement dans le mail de facture au </t>
    </r>
    <r>
      <rPr>
        <b/>
        <sz val="8"/>
        <color theme="9" tint="-0.249977111117893"/>
        <rFont val="Calibri (Corps)"/>
      </rPr>
      <t>RESPONSABLE</t>
    </r>
    <r>
      <rPr>
        <sz val="8"/>
        <color theme="1"/>
        <rFont val="Calibri (Corps)"/>
      </rPr>
      <t xml:space="preserve">
    - Renvoie à</t>
    </r>
    <r>
      <rPr>
        <b/>
        <i/>
        <sz val="8"/>
        <color rgb="FFC00000"/>
        <rFont val="Calibri (Corps)"/>
      </rPr>
      <t xml:space="preserve"> sav@fruitstock.eu</t>
    </r>
    <r>
      <rPr>
        <sz val="8"/>
        <rFont val="Calibri (Corps)"/>
      </rPr>
      <t xml:space="preserve"> avec RIB ou lien Paypal</t>
    </r>
    <r>
      <rPr>
        <sz val="8"/>
        <color theme="1"/>
        <rFont val="Calibri (Corps)"/>
      </rPr>
      <t>.Me</t>
    </r>
  </si>
  <si>
    <t>LEGENDE</t>
  </si>
  <si>
    <t>COULEUR</t>
  </si>
  <si>
    <t>Certifié BIO</t>
  </si>
  <si>
    <t>Non certifié BIO mais équivalent</t>
  </si>
  <si>
    <t>OFFRE</t>
  </si>
  <si>
    <t>Offre promotionnelle</t>
  </si>
  <si>
    <t>❤️</t>
  </si>
  <si>
    <t>Coup de Cœur - Excellente Qualité</t>
  </si>
  <si>
    <t>Commande du
Dimanche au
Mercredi 12h</t>
  </si>
  <si>
    <t>(*) : Obligatoire</t>
  </si>
  <si>
    <r>
      <t xml:space="preserve">Département </t>
    </r>
    <r>
      <rPr>
        <b/>
        <sz val="8"/>
        <rFont val="Arial"/>
        <family val="2"/>
      </rPr>
      <t>(*)</t>
    </r>
    <r>
      <rPr>
        <b/>
        <sz val="8"/>
        <color theme="0"/>
        <rFont val="Arial"/>
        <family val="2"/>
      </rPr>
      <t xml:space="preserve"> :</t>
    </r>
  </si>
  <si>
    <t>AIDE</t>
  </si>
  <si>
    <t>TOTAL
(-10%)</t>
  </si>
  <si>
    <t xml:space="preserve">LIVRAISON
</t>
  </si>
  <si>
    <r>
      <t xml:space="preserve">Prénom NOM </t>
    </r>
    <r>
      <rPr>
        <b/>
        <sz val="8"/>
        <rFont val="Arial"/>
        <family val="2"/>
      </rPr>
      <t>(*)</t>
    </r>
    <r>
      <rPr>
        <b/>
        <sz val="8"/>
        <color theme="0"/>
        <rFont val="Arial"/>
        <family val="2"/>
      </rPr>
      <t xml:space="preserve"> :</t>
    </r>
  </si>
  <si>
    <r>
      <t xml:space="preserve">Adresse </t>
    </r>
    <r>
      <rPr>
        <b/>
        <sz val="8"/>
        <rFont val="Arial"/>
        <family val="2"/>
      </rPr>
      <t>(*)</t>
    </r>
    <r>
      <rPr>
        <b/>
        <sz val="8"/>
        <color theme="0"/>
        <rFont val="Arial"/>
        <family val="2"/>
      </rPr>
      <t xml:space="preserve"> :</t>
    </r>
  </si>
  <si>
    <t>RESPONSABLE</t>
  </si>
  <si>
    <r>
      <t xml:space="preserve">Code Postal </t>
    </r>
    <r>
      <rPr>
        <b/>
        <sz val="8"/>
        <rFont val="Arial"/>
        <family val="2"/>
      </rPr>
      <t>(*)</t>
    </r>
    <r>
      <rPr>
        <b/>
        <sz val="8"/>
        <color theme="0"/>
        <rFont val="Arial"/>
        <family val="2"/>
      </rPr>
      <t xml:space="preserve"> :</t>
    </r>
  </si>
  <si>
    <r>
      <t xml:space="preserve">Ville </t>
    </r>
    <r>
      <rPr>
        <b/>
        <sz val="8"/>
        <rFont val="Arial"/>
        <family val="2"/>
      </rPr>
      <t>(*)</t>
    </r>
    <r>
      <rPr>
        <b/>
        <sz val="8"/>
        <color theme="0"/>
        <rFont val="Arial"/>
        <family val="2"/>
      </rPr>
      <t xml:space="preserve"> :</t>
    </r>
  </si>
  <si>
    <t>FDP ESTIMÉ</t>
  </si>
  <si>
    <r>
      <t xml:space="preserve">Téléphone 1 </t>
    </r>
    <r>
      <rPr>
        <b/>
        <sz val="8"/>
        <rFont val="Arial"/>
        <family val="2"/>
      </rPr>
      <t>(*)</t>
    </r>
    <r>
      <rPr>
        <b/>
        <sz val="8"/>
        <color theme="0"/>
        <rFont val="Arial"/>
        <family val="2"/>
      </rPr>
      <t xml:space="preserve"> :</t>
    </r>
  </si>
  <si>
    <r>
      <t xml:space="preserve">Téléphone 2 </t>
    </r>
    <r>
      <rPr>
        <b/>
        <sz val="8"/>
        <rFont val="Arial"/>
        <family val="2"/>
      </rPr>
      <t>(*)</t>
    </r>
    <r>
      <rPr>
        <b/>
        <sz val="8"/>
        <color theme="0"/>
        <rFont val="Arial"/>
        <family val="2"/>
      </rPr>
      <t xml:space="preserve"> :</t>
    </r>
  </si>
  <si>
    <t>TOTAL</t>
  </si>
  <si>
    <t>AU KG</t>
  </si>
  <si>
    <r>
      <t xml:space="preserve">Téléphone </t>
    </r>
    <r>
      <rPr>
        <b/>
        <sz val="8"/>
        <rFont val="Arial"/>
        <family val="2"/>
      </rPr>
      <t>(*)</t>
    </r>
    <r>
      <rPr>
        <b/>
        <sz val="8"/>
        <color rgb="FFC00000"/>
        <rFont val="Arial"/>
        <family val="2"/>
      </rPr>
      <t xml:space="preserve"> </t>
    </r>
    <r>
      <rPr>
        <b/>
        <sz val="8"/>
        <color theme="0"/>
        <rFont val="Arial"/>
        <family val="2"/>
      </rPr>
      <t>:</t>
    </r>
  </si>
  <si>
    <t>QTÉ TOTAL</t>
  </si>
  <si>
    <t>PRIX TOTAL</t>
  </si>
  <si>
    <r>
      <t xml:space="preserve">Email </t>
    </r>
    <r>
      <rPr>
        <b/>
        <sz val="8"/>
        <rFont val="Arial"/>
        <family val="2"/>
      </rPr>
      <t>(*)</t>
    </r>
    <r>
      <rPr>
        <b/>
        <sz val="8"/>
        <color theme="0"/>
        <rFont val="Arial"/>
        <family val="2"/>
      </rPr>
      <t xml:space="preserve"> :</t>
    </r>
  </si>
  <si>
    <t>CODE</t>
  </si>
  <si>
    <t>INFO</t>
  </si>
  <si>
    <t>DESIGNATION</t>
  </si>
  <si>
    <t>ORIGINE</t>
  </si>
  <si>
    <t>UNITE</t>
  </si>
  <si>
    <t xml:space="preserve">10kg
(-10%)
</t>
  </si>
  <si>
    <t xml:space="preserve">30kg
(- 20%)
</t>
  </si>
  <si>
    <t xml:space="preserve">60kg
(- 30%)
</t>
  </si>
  <si>
    <t>QTÉ</t>
  </si>
  <si>
    <t>PRIX</t>
  </si>
  <si>
    <t>FDP/kg</t>
  </si>
  <si>
    <t>FDP estimé</t>
  </si>
  <si>
    <t>Total</t>
  </si>
  <si>
    <t>TRIE</t>
  </si>
  <si>
    <t>PRIX
UNITAIRE</t>
  </si>
  <si>
    <t>RÉDUCTION</t>
  </si>
  <si>
    <t>CMD</t>
  </si>
  <si>
    <t>Indice Gazole</t>
  </si>
  <si>
    <t>Frais Admin</t>
  </si>
  <si>
    <t>Redevance Sanitaire</t>
  </si>
  <si>
    <t>Total FDP</t>
  </si>
  <si>
    <t>Poids arr</t>
  </si>
  <si>
    <t>FACT</t>
  </si>
  <si>
    <t>FDP : 1 à 100kg</t>
  </si>
  <si>
    <t>FDP : 101 à 200kg</t>
  </si>
  <si>
    <t>FDP : &gt; 200kg</t>
  </si>
  <si>
    <t>FDP estimé /kg</t>
  </si>
  <si>
    <t>FDP auto</t>
  </si>
  <si>
    <t>FDP manuel</t>
  </si>
  <si>
    <t>Total sans fdp</t>
  </si>
  <si>
    <r>
      <t>L</t>
    </r>
    <r>
      <rPr>
        <b/>
        <sz val="11"/>
        <color theme="0"/>
        <rFont val="Calibri"/>
        <family val="2"/>
      </rPr>
      <t>É</t>
    </r>
    <r>
      <rPr>
        <b/>
        <sz val="11"/>
        <color theme="0"/>
        <rFont val="Calibri"/>
        <family val="2"/>
        <scheme val="minor"/>
      </rPr>
      <t>GENDE</t>
    </r>
  </si>
  <si>
    <t>Modifiable manuellement</t>
  </si>
  <si>
    <t>Formule automatique</t>
  </si>
  <si>
    <t>BON DE LIVRAISON - FRUITSTOCK</t>
  </si>
  <si>
    <t xml:space="preserve">N° Commande </t>
  </si>
  <si>
    <t>Date</t>
  </si>
  <si>
    <t>**/**/2020</t>
  </si>
  <si>
    <t>N° Adhérent</t>
  </si>
  <si>
    <t xml:space="preserve">Adhérent </t>
  </si>
  <si>
    <t>Email</t>
  </si>
  <si>
    <t>N° de Facture</t>
  </si>
  <si>
    <t>Commentaire</t>
  </si>
  <si>
    <t>UNITÉ</t>
  </si>
  <si>
    <t>PRODUCTO</t>
  </si>
  <si>
    <t>ORIGEN</t>
  </si>
  <si>
    <t>PRIX
(sans FDP)</t>
  </si>
  <si>
    <t>10kg</t>
  </si>
  <si>
    <t>30kg</t>
  </si>
  <si>
    <t>60kg</t>
  </si>
  <si>
    <t>5kg
Min</t>
  </si>
  <si>
    <t>Brésil</t>
  </si>
  <si>
    <t>Acai Iofilizado en polvo BIO (env. 250 grs.) ¡¡¡Calidad superior!!! Conservacion refrigerada</t>
  </si>
  <si>
    <t>Brasil</t>
  </si>
  <si>
    <t>Pièce</t>
  </si>
  <si>
    <t>X</t>
  </si>
  <si>
    <t>Grenade</t>
  </si>
  <si>
    <t>Granada</t>
  </si>
  <si>
    <t>Ail blanc ou violet BIO</t>
  </si>
  <si>
    <t>Malaga</t>
  </si>
  <si>
    <t>Ajo blanco o morado BIO</t>
  </si>
  <si>
    <t>Málaga</t>
  </si>
  <si>
    <t>kg</t>
  </si>
  <si>
    <t>Inde</t>
  </si>
  <si>
    <t>Alga Chlorella polvo BIO (env. 1 kg.)</t>
  </si>
  <si>
    <t>India</t>
  </si>
  <si>
    <t>Alga Chlorella polvo BIO (env. 500 grs.)</t>
  </si>
  <si>
    <t>Irlande</t>
  </si>
  <si>
    <t>Alga Dulse deshidratada BIO (env. 1 kg.)</t>
  </si>
  <si>
    <t>Alga Dulse deshidratada BIO (env. 500 grs.)</t>
  </si>
  <si>
    <t>Galice</t>
  </si>
  <si>
    <t>Alga Kombu deshidratada BIO (env. 1 kg.)</t>
  </si>
  <si>
    <t>Galicia</t>
  </si>
  <si>
    <t>Alga Kombu deshidratada BIO (env. 500 grs.)</t>
  </si>
  <si>
    <t>Alga Nori entera deshidratada BIO (env. 500 grs.)</t>
  </si>
  <si>
    <t>Aloe Vera hoja fresca BIO (por pieza) ¡¡¡Plantas con más de 40 años!!!</t>
  </si>
  <si>
    <t>Amande Desmayo avec coque</t>
  </si>
  <si>
    <t>Amande Lauren avec coque (saveur sucrée)</t>
  </si>
  <si>
    <t>Almendra Comuna cruda sin cáscara BIO (env. 1 kg.)</t>
  </si>
  <si>
    <t>Costa Rica</t>
  </si>
  <si>
    <t>Piña madurada en planta (recibida por avión) ¡¡¡Súper buena, color intenso, muy aromática!!!</t>
  </si>
  <si>
    <t>Piña deshidratada BIO (env. 1 kg.)</t>
  </si>
  <si>
    <t>Arachides crues avec coque</t>
  </si>
  <si>
    <t>Chine</t>
  </si>
  <si>
    <t>Cacahuete crudo con cáscara</t>
  </si>
  <si>
    <t>China</t>
  </si>
  <si>
    <t>Arachides sans coque pelé CRU BIO</t>
  </si>
  <si>
    <t>Cacahuete crudo sin cáscara repelado BIO</t>
  </si>
  <si>
    <t>Avocat Bacon BIO</t>
  </si>
  <si>
    <t>Aguacate Bacon BIO</t>
  </si>
  <si>
    <t>Tibet</t>
  </si>
  <si>
    <t>Bayas de Goji BIO (env. 1 kg.)</t>
  </si>
  <si>
    <t>Tíbet</t>
  </si>
  <si>
    <t>Bayas de Goji BIO (env. 500 grs.)</t>
  </si>
  <si>
    <t>Plátano Cavendish local (madurado en la planta) ¡¡¡Excelente!!!</t>
  </si>
  <si>
    <t>Plátano deshidratado semi-seco artesanal, escogidos de nuestra propia producción ecológica (env. 200 grs.)</t>
  </si>
  <si>
    <t>1124-1275-1679</t>
  </si>
  <si>
    <t>Betterave BIO</t>
  </si>
  <si>
    <t>Remolacha BIO</t>
  </si>
  <si>
    <t>Hongrie</t>
  </si>
  <si>
    <t>Remolacha en polvo BIO (env. 1 kg.)</t>
  </si>
  <si>
    <t>Hungría</t>
  </si>
  <si>
    <t>Remolacha en polvo BIO (env. 500 grs.)</t>
  </si>
  <si>
    <t>Pérou</t>
  </si>
  <si>
    <t>Cacao BIO semilla grano crudo entero (env. 1 kg.)</t>
  </si>
  <si>
    <t>Perú</t>
  </si>
  <si>
    <t>Camu Camu en polvo BIO (env. 250 grs.) Conservacion refrigerada</t>
  </si>
  <si>
    <t>Carambole / fruit étoilé</t>
  </si>
  <si>
    <t>Carambola/Star Fruit local</t>
  </si>
  <si>
    <t>Carotte avec fane</t>
  </si>
  <si>
    <t>Zanahoria con rama local</t>
  </si>
  <si>
    <t>Zanahoria sin rama BIO</t>
  </si>
  <si>
    <t>Carotte sans fane</t>
  </si>
  <si>
    <t>Zanahoria sin rama local</t>
  </si>
  <si>
    <t>Apio verde local</t>
  </si>
  <si>
    <t>Céleri vert BIO</t>
  </si>
  <si>
    <t>Apio verde BIO</t>
  </si>
  <si>
    <t>Bolivie</t>
  </si>
  <si>
    <t>Chía semillas BIO (env. 1 kg.)</t>
  </si>
  <si>
    <t>Bolivia</t>
  </si>
  <si>
    <t>Sri Lanka</t>
  </si>
  <si>
    <t>Chips de coco crudo BIO (env. 1 kg.)</t>
  </si>
  <si>
    <t>Chou vert BIO</t>
  </si>
  <si>
    <t>Col verde lisa BIO</t>
  </si>
  <si>
    <t>Salobrena</t>
  </si>
  <si>
    <t>Caviar cítrico/citrus australasica local, piezas de 0,10/0,15 grs., cultivo natural .Precio por bandeja de 200 grs.</t>
  </si>
  <si>
    <t>Caviar cítrico/citrus australasica local, piezas de 0,10/0,15 grs., cultivo natural (precio por bandeja de 500 grs.)</t>
  </si>
  <si>
    <t>Citron jaune BIO (seconde catégorie)</t>
  </si>
  <si>
    <t>Limón BIO de 2ª categoría</t>
  </si>
  <si>
    <t>Limón Verna BIO calibre grande, madurado en  planta</t>
  </si>
  <si>
    <t>Citron vert</t>
  </si>
  <si>
    <t>Lima verde local</t>
  </si>
  <si>
    <t>Coco Pagode fraîche</t>
  </si>
  <si>
    <t>Taîlande</t>
  </si>
  <si>
    <t>Coco Pagode fresco (pieza) ¡¡¡Delicioso y especial!!!</t>
  </si>
  <si>
    <t>Tailandia</t>
  </si>
  <si>
    <t>Concombre mini gourmet</t>
  </si>
  <si>
    <t>Pepino mini gourmet local</t>
  </si>
  <si>
    <t>Courge Butternut BIO</t>
  </si>
  <si>
    <t>Calabaza Butternut BIO</t>
  </si>
  <si>
    <t>Espagne</t>
  </si>
  <si>
    <t>Crackers deshidratados BIO de tomate, pipa de girasol, trigo sarraceno, lino, cebolla y moringa de cultivo ecológico (env. 200 grs.) RAW</t>
  </si>
  <si>
    <t>Nacional</t>
  </si>
  <si>
    <t>Cúrcuma fresca BIO (pedido mínimo 500 grs.)</t>
  </si>
  <si>
    <t>Israël</t>
  </si>
  <si>
    <t>Israel</t>
  </si>
  <si>
    <t>Dátil Deglet Nour en rama de Israel BIO</t>
  </si>
  <si>
    <t>Dattes Deglet sans noyau BIO</t>
  </si>
  <si>
    <t>Tunisie</t>
  </si>
  <si>
    <t>Dátil Deglet sin hueso BIO</t>
  </si>
  <si>
    <t>Túnez</t>
  </si>
  <si>
    <t>Iran</t>
  </si>
  <si>
    <t>Datil Mazafati de Bam BIO nueva cosecha (env. 250 grs.)</t>
  </si>
  <si>
    <t>Irán</t>
  </si>
  <si>
    <t>1997</t>
  </si>
  <si>
    <t>Dátil Medjool Súper Jumbo semi-seco BIO</t>
  </si>
  <si>
    <t>Ibiza</t>
  </si>
  <si>
    <t>Agua de mar micro-filtrada hipertónica (bag in box 11 litros)</t>
  </si>
  <si>
    <t>Mar Mediterráneo (Ibiza)</t>
  </si>
  <si>
    <t>Agua de mar micro-filtrada hipertónica (bag in box 20 litros)</t>
  </si>
  <si>
    <t>Epi de maïs doux frais</t>
  </si>
  <si>
    <t>Extracteur de jus ANGEL 5500</t>
  </si>
  <si>
    <t>Union européenne</t>
  </si>
  <si>
    <t>Extractor de zumo ANGEL JUICER Cool Press 5500 Luxury</t>
  </si>
  <si>
    <t>Unión Europea</t>
  </si>
  <si>
    <t>Égypte</t>
  </si>
  <si>
    <t>Fenogreco en semillas BIO (env. 500 grs.)</t>
  </si>
  <si>
    <t>Egipto</t>
  </si>
  <si>
    <t>Figue de Barbarie</t>
  </si>
  <si>
    <t>Higo chumbo local ¡¡ máxima calidad!!</t>
  </si>
  <si>
    <t>Figues sèches BIO</t>
  </si>
  <si>
    <t>Turquie</t>
  </si>
  <si>
    <t>Higo seco turco BIO</t>
  </si>
  <si>
    <t>Turquía</t>
  </si>
  <si>
    <t>Fruits du Baobab en poudre BIO</t>
  </si>
  <si>
    <t>Import</t>
  </si>
  <si>
    <t>Fruto del Baobad BIO (sólo pulpa en polvo)</t>
  </si>
  <si>
    <t>Importación</t>
  </si>
  <si>
    <t>Gingembre BIO</t>
  </si>
  <si>
    <t>Jengibre BIO (pedido mínimo 500 grs.)</t>
  </si>
  <si>
    <t>Goyave</t>
  </si>
  <si>
    <t>Guayaba local</t>
  </si>
  <si>
    <t>Semillas de cáñamo pelado crudo BIO (env. 1 kg.)</t>
  </si>
  <si>
    <t>Grenade BIO</t>
  </si>
  <si>
    <t>Huile d'olive Aloreña 5L BIO</t>
  </si>
  <si>
    <t>Aceite de oliva BIO variedad Aloreña (lata 5 litros)</t>
  </si>
  <si>
    <t>5l</t>
  </si>
  <si>
    <t>Kaki diferentes varidades local (persimon, brillante...)</t>
  </si>
  <si>
    <t>Nouvelle
Zélande</t>
  </si>
  <si>
    <t>Nueva Zelanda</t>
  </si>
  <si>
    <t>Kiwi Sun Gold</t>
  </si>
  <si>
    <t xml:space="preserve">Kiwi Sun Gold </t>
  </si>
  <si>
    <t>Leche de coco en polvo 100% cruda BIO (env. 1 kg.)</t>
  </si>
  <si>
    <t>Leche de coco en polvo 100% cruda BIO (env. 500 grs.)</t>
  </si>
  <si>
    <t>Lúcuma cruda en polvo BIO (env. 1 kg.)</t>
  </si>
  <si>
    <t>Maca en polvo cruda BIO (env. 1 kg.)</t>
  </si>
  <si>
    <t>Maca en polvo cruda BIO (env. 500 grs.)</t>
  </si>
  <si>
    <t>Maca negra BIO (env. 1 kg.)</t>
  </si>
  <si>
    <t>Maca noire BIO (env. 500g)</t>
  </si>
  <si>
    <t>Maca negra BIO (env. 500 grs.)</t>
  </si>
  <si>
    <t>Maïs doux frais (plateau de 2 pièces)</t>
  </si>
  <si>
    <t>Mazorca maiz dulce fresca (bandeja de 2 piezas)</t>
  </si>
  <si>
    <t>Mango Irwin gourmet deshidratado a  baja temperatura. Crudo. En laminas</t>
  </si>
  <si>
    <t>Mangue Irwin (grande)</t>
  </si>
  <si>
    <t>Mango Irwin local (grande)</t>
  </si>
  <si>
    <t>Mango Kent BIO (ligeras quemaduras superficiales al lado del pedúnculo producidas por el sol, pulpa perfecta). Finca con certificado ecológico desde 1985 ¡¡¡Oferta!!!</t>
  </si>
  <si>
    <t>Mangue Lipens</t>
  </si>
  <si>
    <t>Mango Lipens local ¡¡¡Excelente!!!</t>
  </si>
  <si>
    <t>3190. 658</t>
  </si>
  <si>
    <t>Mango Osteen BIO. Primera calidad. Madurado en la planta</t>
  </si>
  <si>
    <t>Mango deshidratado semi-seco artesanal Palmer rojo de Brasil (env. 500 grs.)</t>
  </si>
  <si>
    <t>Melon peau de crapaud</t>
  </si>
  <si>
    <t>Cordova</t>
  </si>
  <si>
    <t>Melón piel de sapo</t>
  </si>
  <si>
    <t>Córdoba</t>
  </si>
  <si>
    <t>Melon peau de crapaud BIO</t>
  </si>
  <si>
    <t>Andalousie</t>
  </si>
  <si>
    <t>Melón piel de sapo BIO</t>
  </si>
  <si>
    <t>Andalucía</t>
  </si>
  <si>
    <t>Miel de aguacate (env. 1 kg.)</t>
  </si>
  <si>
    <t>Miel de azahar (env. 1 kg.)</t>
  </si>
  <si>
    <t>Huelva</t>
  </si>
  <si>
    <t>Miel Huelva multiflora BIO cruda sin filtrar (env. 1 kg.)</t>
  </si>
  <si>
    <t>Miel de montaña (env. 1 kg)</t>
  </si>
  <si>
    <t>Miel de romero (env. 1 kg.)</t>
  </si>
  <si>
    <t>Miel de eucalipto BIO (env. 1 kg.)</t>
  </si>
  <si>
    <t>Miel multiflora (env. 1 kg.)</t>
  </si>
  <si>
    <t>National</t>
  </si>
  <si>
    <t>Avellana cruda BIO sin cáscara (env. 1 kg.)</t>
  </si>
  <si>
    <t>Indes</t>
  </si>
  <si>
    <t>Anacardo crudo BIO (env. 1 kg.)</t>
  </si>
  <si>
    <t>1816</t>
  </si>
  <si>
    <t>Kenya</t>
  </si>
  <si>
    <t>Nuez de Macadamia sin cáscara BIO (env. 500 grs.)</t>
  </si>
  <si>
    <t>Kenia</t>
  </si>
  <si>
    <t>Nuez de Macadamia sin cáscara BIO  (env. 1 kg.)</t>
  </si>
  <si>
    <t>Mexique</t>
  </si>
  <si>
    <t>Nuez Pecana sin cáscara BIO (env. 500 grs.)</t>
  </si>
  <si>
    <t>Mexico</t>
  </si>
  <si>
    <t>Nuez Pecana sin cáscara BIO  (env. 1 kg.)</t>
  </si>
  <si>
    <t>Oignon blanc BIO</t>
  </si>
  <si>
    <t>Cebolla blanca seca BIO</t>
  </si>
  <si>
    <t>Oignon rouge BIO</t>
  </si>
  <si>
    <t>Cebolla roja BIO</t>
  </si>
  <si>
    <t>Aceituna Aloreña aliñada BIO (env.800 grs.)</t>
  </si>
  <si>
    <t>Valence</t>
  </si>
  <si>
    <t>Aceituna fermentada BIO (bote cristal 450 grs.) Varios tipos: frescas, semi-secas, secas, ...a elección (sin sal y sin ningún otro complemento)</t>
  </si>
  <si>
    <t>Valencia</t>
  </si>
  <si>
    <t>Aceituna negra s/hueso semi-seca BIO (env. 500 grs.)</t>
  </si>
  <si>
    <t>Olives vertes Gordal Manzanilla fraîches</t>
  </si>
  <si>
    <t>Aceituna Manzanilla verde Gordal fresca local</t>
  </si>
  <si>
    <t>Orange Valencialate</t>
  </si>
  <si>
    <t>Naranja Valencialate local</t>
  </si>
  <si>
    <t>Boniato BIO (grande)</t>
  </si>
  <si>
    <t>Boniato BIO (mediano)</t>
  </si>
  <si>
    <t xml:space="preserve">Poire Conférence  </t>
  </si>
  <si>
    <t>Pera Conferencia</t>
  </si>
  <si>
    <t>Poire Conférence BIO</t>
  </si>
  <si>
    <t>Pera Conferencia BIO</t>
  </si>
  <si>
    <t>Poireau BIO</t>
  </si>
  <si>
    <t>Puerro BIO</t>
  </si>
  <si>
    <t>Poivron mini en couleur</t>
  </si>
  <si>
    <t>Pimiento mini dulce de colores local</t>
  </si>
  <si>
    <t>Cordoue</t>
  </si>
  <si>
    <t>Polen fresco BIO (env. 500 grs.)</t>
  </si>
  <si>
    <t>1564</t>
  </si>
  <si>
    <t>Polen seco BIO (env. 500 grs.)</t>
  </si>
  <si>
    <t>Pomme de terre rouge BIO</t>
  </si>
  <si>
    <t>Patata roja BIO</t>
  </si>
  <si>
    <t>5124-3852</t>
  </si>
  <si>
    <t>Manzana Golden local de la Sierra (nueva cosecha)</t>
  </si>
  <si>
    <t>Manzana Reineta local Sierra Nevada</t>
  </si>
  <si>
    <t>Manzana Starky roja local Sierra Nevada</t>
  </si>
  <si>
    <t>Manzana roja Top Red local de Sierra Nevada</t>
  </si>
  <si>
    <t>Radis Daikon</t>
  </si>
  <si>
    <t>Rábano Daikon</t>
  </si>
  <si>
    <t>Uva pasa Sultana BIO (env. 1 kg.)</t>
  </si>
  <si>
    <t>Uva pasa Moscatel en grano (nueva cosecha)en env. de 500 grs</t>
  </si>
  <si>
    <t>500g</t>
  </si>
  <si>
    <t>Pakistan</t>
  </si>
  <si>
    <t>Sal del Himalaya molida (env. 1 kg.)</t>
  </si>
  <si>
    <t>Pakistán</t>
  </si>
  <si>
    <t>Sésamo crudo BIO (env. 1 kg.)</t>
  </si>
  <si>
    <t>Chufa BIO (env. 1 kg.)</t>
  </si>
  <si>
    <t>Alga Espagueti de mar deshidratada BIO (env. 500 grs.)</t>
  </si>
  <si>
    <t>Alga Espagueti de mar deshidratada BIO (env. 1 kg.)</t>
  </si>
  <si>
    <t>Indonésie</t>
  </si>
  <si>
    <t>Azúcar de coco BIO (env. 1 kg.)</t>
  </si>
  <si>
    <t>Indonesia</t>
  </si>
  <si>
    <t>Tomate seco BIO laminado (env. 200 grs.) ¡¡¡Deshidratado a baja temperatura 35º, calidad superior!!! RAW</t>
  </si>
  <si>
    <t>200g</t>
  </si>
  <si>
    <t>Tomate seco BIO laminado (env. 1 kg.) ¡¡¡Deshidratado a baja temperatura 35º, calidad superior!!! RAW</t>
  </si>
  <si>
    <t>CATALOGUE FRUITSTOCK</t>
  </si>
  <si>
    <t>Les fdp peuvent varier en fonction du secteur et du poids total (entre 0,5€ et 1,5€ du kg)</t>
  </si>
  <si>
    <t>PRIX
UNITAIRE
(sans fdp)</t>
  </si>
  <si>
    <t>+ 30 kg
(- 20%)</t>
  </si>
  <si>
    <t>+ 60 kg
(- 30%)</t>
  </si>
  <si>
    <t>N° Facture</t>
  </si>
  <si>
    <t>Responsable</t>
  </si>
  <si>
    <t xml:space="preserve">A destination de : </t>
  </si>
  <si>
    <t>Forfait H.T</t>
  </si>
  <si>
    <t>Prix/Tonne HT</t>
  </si>
  <si>
    <t>NOM</t>
  </si>
  <si>
    <t>DPT</t>
  </si>
  <si>
    <t>1 à 100 kg</t>
  </si>
  <si>
    <t>101 à 200 kg</t>
  </si>
  <si>
    <t>AIN 01</t>
  </si>
  <si>
    <t>AISNE 02</t>
  </si>
  <si>
    <t>ALLIER 03</t>
  </si>
  <si>
    <t>ALPES DE HAUTE PROVENCE 04</t>
  </si>
  <si>
    <t>HAUTES ALPES 05</t>
  </si>
  <si>
    <t>ALPES MARITIMES 06</t>
  </si>
  <si>
    <t>ARDECHE 07</t>
  </si>
  <si>
    <t>ARDENNES 08</t>
  </si>
  <si>
    <t>HTES MONTAGNES 09</t>
  </si>
  <si>
    <t>09-H</t>
  </si>
  <si>
    <t>ARIEGE 09</t>
  </si>
  <si>
    <t>AUBE 10</t>
  </si>
  <si>
    <t>AUDE 11</t>
  </si>
  <si>
    <t>AVEYRON 12</t>
  </si>
  <si>
    <t>BOUCHES DU RHONE 13</t>
  </si>
  <si>
    <t>CALVADOS 14</t>
  </si>
  <si>
    <t>HTES MONTAGNES 15</t>
  </si>
  <si>
    <t>15-H</t>
  </si>
  <si>
    <t>CANTAL 15</t>
  </si>
  <si>
    <t>CHARENTE 16</t>
  </si>
  <si>
    <t>CHARENTE MARITIME 17</t>
  </si>
  <si>
    <t>CHER 18</t>
  </si>
  <si>
    <t>CORREZE 19</t>
  </si>
  <si>
    <t>COTE D'OR 21</t>
  </si>
  <si>
    <t>COTES D'ARMOR 22</t>
  </si>
  <si>
    <t>CREUSE 23</t>
  </si>
  <si>
    <t>DORDOGNE 24</t>
  </si>
  <si>
    <t>DOUBS 25</t>
  </si>
  <si>
    <t>DROME 26</t>
  </si>
  <si>
    <t>EURE 27</t>
  </si>
  <si>
    <t>EURE ET LOIR 28</t>
  </si>
  <si>
    <t>FINISTERE 29</t>
  </si>
  <si>
    <t>GARD 30</t>
  </si>
  <si>
    <t>HTES MONTAGNES 31</t>
  </si>
  <si>
    <t>31-H</t>
  </si>
  <si>
    <t>HAUTE GARONNE 31</t>
  </si>
  <si>
    <t>GERS 32</t>
  </si>
  <si>
    <t>GIRONDE 33</t>
  </si>
  <si>
    <t>HERAULT 34</t>
  </si>
  <si>
    <t>ILLE ET VILAINE 35</t>
  </si>
  <si>
    <t>INDRE 36</t>
  </si>
  <si>
    <t>INDRE ET LOIRE 37</t>
  </si>
  <si>
    <t>HTES MONTAGNES 38</t>
  </si>
  <si>
    <t>38-H</t>
  </si>
  <si>
    <t>ISERE 38</t>
  </si>
  <si>
    <t>JURA 39</t>
  </si>
  <si>
    <t>LANDES 40</t>
  </si>
  <si>
    <t>LOIR ET CHER 41</t>
  </si>
  <si>
    <t>LOIRE 42</t>
  </si>
  <si>
    <t>HAUTE LOIRE 43</t>
  </si>
  <si>
    <t>LOIRE ATLANTIQUE 44</t>
  </si>
  <si>
    <t>LOIRET 45</t>
  </si>
  <si>
    <t>LOT 46</t>
  </si>
  <si>
    <t>LOT ET GARONNE 47</t>
  </si>
  <si>
    <t>LOZERE 48</t>
  </si>
  <si>
    <t>MAINE ET LOIRE 49</t>
  </si>
  <si>
    <t>MANCHE 50</t>
  </si>
  <si>
    <t>MARNE 51</t>
  </si>
  <si>
    <t>HAUTE MARNE 52</t>
  </si>
  <si>
    <t>MAYENNE 53</t>
  </si>
  <si>
    <t>MEURTHE ET MOSELLE 54</t>
  </si>
  <si>
    <t>MEUSE 55</t>
  </si>
  <si>
    <t>MORBIHAN 56</t>
  </si>
  <si>
    <t>MOSELLE 57</t>
  </si>
  <si>
    <t>NIEVRE 58</t>
  </si>
  <si>
    <t>NORD 59</t>
  </si>
  <si>
    <t>OISE 60</t>
  </si>
  <si>
    <t>ORNE 61</t>
  </si>
  <si>
    <t>PAS DE CALAIS 62</t>
  </si>
  <si>
    <t>HTES MONTAGNES 63</t>
  </si>
  <si>
    <t>63-H</t>
  </si>
  <si>
    <t>PUY DE DOME 63</t>
  </si>
  <si>
    <t>HTES MONTAGNES 64</t>
  </si>
  <si>
    <t>64-H</t>
  </si>
  <si>
    <t>PYRENEES ATLANTIQUES 64</t>
  </si>
  <si>
    <t>HTES MONTAGNES 65</t>
  </si>
  <si>
    <t>65-H</t>
  </si>
  <si>
    <t>HAUTES PYRENEES 65</t>
  </si>
  <si>
    <t>PYRENEES ORIENTALES 66</t>
  </si>
  <si>
    <t>BAS RHIN 67</t>
  </si>
  <si>
    <t>HAUT RHIN 68</t>
  </si>
  <si>
    <t>RHONE 69</t>
  </si>
  <si>
    <t>HAUTE SAONE 70</t>
  </si>
  <si>
    <t>SAONE ET LOIRE 71</t>
  </si>
  <si>
    <t>SARTHE 72</t>
  </si>
  <si>
    <t>HTES MONTAGNES 73</t>
  </si>
  <si>
    <t>73-H</t>
  </si>
  <si>
    <t>SAVOIE 73</t>
  </si>
  <si>
    <t>HTES MONTAGNES 74</t>
  </si>
  <si>
    <t>74-H</t>
  </si>
  <si>
    <t>HAUTE SAVOIE 74</t>
  </si>
  <si>
    <t>PARIS 75</t>
  </si>
  <si>
    <t>SEINE MARITIME 76</t>
  </si>
  <si>
    <t>SEINE ET MARNE 77</t>
  </si>
  <si>
    <t>YVELINES 78</t>
  </si>
  <si>
    <t>DEUX SEVRES 79</t>
  </si>
  <si>
    <t>SOMME 80</t>
  </si>
  <si>
    <t>TARN 81</t>
  </si>
  <si>
    <t>TARN ET GARONNE 82</t>
  </si>
  <si>
    <t>VAR 83</t>
  </si>
  <si>
    <t>VAUCLUSE 84</t>
  </si>
  <si>
    <t>VENDEE 85</t>
  </si>
  <si>
    <t>VIENNE 86</t>
  </si>
  <si>
    <t>HAUTE VIENNE 87</t>
  </si>
  <si>
    <t>VOSGES 88</t>
  </si>
  <si>
    <t>YONNE 89</t>
  </si>
  <si>
    <t>TERRITOIRE DE BELFORT 90</t>
  </si>
  <si>
    <t>ESSONNE 91</t>
  </si>
  <si>
    <t>HAUTS DE SEINE 92</t>
  </si>
  <si>
    <t>SEINE SAINT DENIS 93</t>
  </si>
  <si>
    <t>VAL DE MARNE 94</t>
  </si>
  <si>
    <t>VAL D'OISE 95</t>
  </si>
  <si>
    <t>MONACO 98</t>
  </si>
  <si>
    <t>BE</t>
  </si>
  <si>
    <t>"À REMPLIR EN PREMIER POUR AFFICHER LES PRIX"</t>
  </si>
  <si>
    <t>Prix à la Palette H.T. en €</t>
  </si>
  <si>
    <t>1 à 1 pal</t>
  </si>
  <si>
    <t>Número del Pedido</t>
  </si>
  <si>
    <t>SOLYFRUTA BIO &amp; LOCAL FRUIT</t>
  </si>
  <si>
    <t>Tarifa Ofertas Semana</t>
  </si>
  <si>
    <t>I.V.A. no Incluido</t>
  </si>
  <si>
    <t>Código</t>
  </si>
  <si>
    <t>Producto</t>
  </si>
  <si>
    <t>Origen</t>
  </si>
  <si>
    <t>Su Pedido</t>
  </si>
  <si>
    <t>151, rue des Anciens Combattants d’Algérie
64170 ARTIX
Téléphone : 05.59.84.80.70 – pau.exploitation@stg.fr</t>
  </si>
  <si>
    <t>BORDEREAU DE REMISE DU :</t>
  </si>
  <si>
    <t xml:space="preserve">   **/**/2020</t>
  </si>
  <si>
    <t>EXPEDITEUR</t>
  </si>
  <si>
    <t>DESTINATAIRE</t>
  </si>
  <si>
    <t>PORTABLE</t>
  </si>
  <si>
    <t>COLIS
/PAL</t>
  </si>
  <si>
    <t>POIDS (kg)</t>
  </si>
  <si>
    <t>LES FRUITS DU SOLEIL
004531178421 (Numéro Danois)</t>
  </si>
  <si>
    <t>1 PAL</t>
  </si>
  <si>
    <t>NUMERO DE COMMANDE :</t>
  </si>
  <si>
    <t>COMMENTAIRE IMPORTANT :</t>
  </si>
  <si>
    <t>Merci de contacter le client la veille de la livraison</t>
  </si>
  <si>
    <t>PRIX
UNITAIRE
(+ fdp)</t>
  </si>
  <si>
    <t>Eau de mer micro-filtrée hypertonique
    - (n°2 : box 11L)</t>
  </si>
  <si>
    <t>Eau de mer micro-filtrée hypertonique
    - (n°3 : box 20L)</t>
  </si>
  <si>
    <t>Baie de Goji BIO (env. 1kg)</t>
  </si>
  <si>
    <t>Baie de Goji BIO (envi. 500g)</t>
  </si>
  <si>
    <t>Curcuma frais BIO (paquet 500g)</t>
  </si>
  <si>
    <t>Maca noire BIO (env. 1kg)</t>
  </si>
  <si>
    <t>Adhérents</t>
  </si>
  <si>
    <t>3601-5043-3261</t>
  </si>
  <si>
    <t>Importacion</t>
  </si>
  <si>
    <t>Poivron rouge Ramiro BIO</t>
  </si>
  <si>
    <t>Pimiento Rojo Ramiro BIO</t>
  </si>
  <si>
    <t>Kaki Fuyu</t>
  </si>
  <si>
    <t>Mangue Keitt BIO</t>
  </si>
  <si>
    <t>Mango Keitt BIO</t>
  </si>
  <si>
    <t>Caviar cítrico/citrus australasica BIO, piezas de 0,10/0,15 grs. (precio por bandeja de 200 grs.)</t>
  </si>
  <si>
    <t>Caviar cítrico/citrus australasica BIO, piezas de 0,10/0,15 grs. (precio por bandeja de 500 grs.)</t>
  </si>
  <si>
    <t>Acelga Baby verde BIO producción propia (ideal para ensaladas o batidos)</t>
  </si>
  <si>
    <t>1100-1312</t>
  </si>
  <si>
    <t>Almendra Desmayo con cáscara local</t>
  </si>
  <si>
    <t>Almendra Lauren con cáscara semimollar. Sabor dulce, nueva cosecha, local (procedente de finca con cultivo orgánico sin certificar)</t>
  </si>
  <si>
    <t>Aguacate Bacon local (nueva temporada, calibre grande)</t>
  </si>
  <si>
    <t>Avocat Bacon (grand)</t>
  </si>
  <si>
    <t>Banane Cavendish (mûri sur plante)</t>
  </si>
  <si>
    <t>Blette BIO</t>
  </si>
  <si>
    <t>Salobreña</t>
  </si>
  <si>
    <t>Limón local amarillo madurado en el árbol</t>
  </si>
  <si>
    <t xml:space="preserve">Citron jaune Verna BIO (mûri sur arbre)
    - (grand/moyen) </t>
  </si>
  <si>
    <t>Lima-limón variedad india BIO (se recolecta con color)</t>
  </si>
  <si>
    <t>Citronela local (manojo de 5 piezas) producción propia. Cultivo orgánico en finca certificada, pero hemos olvidado darla de alta en la certificadora ecológica</t>
  </si>
  <si>
    <t xml:space="preserve">Citronnelle BIO
    - (bouquet de 5 tiges) </t>
  </si>
  <si>
    <t>Mazorca maiz dulce fresca (piezas grandes y jugosas, con toda la hoja alrededor de la mazorca)</t>
  </si>
  <si>
    <t>Mangue Kent Bio (légères brûlures superficielles à côté de la tige produites par le soleil)</t>
  </si>
  <si>
    <t>Mango Osteen finca EParadise (certificado Global Gap) ¡¡¡Máxima selección, madurado en el árbol y recolectado a diario!!!</t>
  </si>
  <si>
    <t>Mango Osteen cultivo natural local ¡¡¡Procedente de finca ecológica sin certificado!!!</t>
  </si>
  <si>
    <t>Mango Palmer rojo BIO. Recién recolectado, piezas grandes</t>
  </si>
  <si>
    <t>Mangue Palmer Rouge BIO (Grand)</t>
  </si>
  <si>
    <t>Miel de Fleur d'oranger (Bocal en verre 1kg)</t>
  </si>
  <si>
    <t>Miel d'avocat (Bocal en verre 1kg)</t>
  </si>
  <si>
    <t>Miel de Huelva multifleurs sans filtration CRU BIO  
    - (Bocal en verre 1kg)</t>
  </si>
  <si>
    <t>Miel de montagne (Bocal en verre 1kg)</t>
  </si>
  <si>
    <t>Miel de Romarin (Bocal en verre 1kg)</t>
  </si>
  <si>
    <t>Miel d'eucalyptus BIO (Bocal en verre 1kg)</t>
  </si>
  <si>
    <t>Miel Multi-fleurs (Bocal en verre 1kg)</t>
  </si>
  <si>
    <t>Patate douce BIO (Moyenne)</t>
  </si>
  <si>
    <t>Patate douce BIO (Grande)</t>
  </si>
  <si>
    <t>Boniato violeta BIO (mediano/grande, nueva cosecha)¡¡Excelente!!</t>
  </si>
  <si>
    <t>Paraguay
Egipto</t>
  </si>
  <si>
    <t>Paraguay
Egypte</t>
  </si>
  <si>
    <t xml:space="preserve">Grenade Purple Queen BIO </t>
  </si>
  <si>
    <t>Granada Purple Queen BIO</t>
  </si>
  <si>
    <t>Avocat Bacon Cocktail (petit calibre)</t>
  </si>
  <si>
    <t>Aguacate Bacon cocktail local</t>
  </si>
  <si>
    <t>Dátil Deglet Nour sin rama BIO</t>
  </si>
  <si>
    <t>Pitahaya roja BIO</t>
  </si>
  <si>
    <t>Amande Romera avec coque</t>
  </si>
  <si>
    <t>Almendra Romera con cáscara local</t>
  </si>
  <si>
    <t xml:space="preserve">Kiwi </t>
  </si>
  <si>
    <t>Kiwi local</t>
  </si>
  <si>
    <t>Hoja de Remolacha Baby BIO Producción Producción</t>
  </si>
  <si>
    <t>Col Kale Winterbor Crespa BIO baby. Producción Propia</t>
  </si>
  <si>
    <t>Mangue Keitt</t>
  </si>
  <si>
    <t>Mango Keitt Local</t>
  </si>
  <si>
    <t>1007-2364</t>
  </si>
  <si>
    <t>Iles Canaries</t>
  </si>
  <si>
    <t>Plátano Cavendish de las Islas BIO/RECO</t>
  </si>
  <si>
    <t>Canarias</t>
  </si>
  <si>
    <t>Bulgarie</t>
  </si>
  <si>
    <t>Girasol pipa sin cáscara BIO (env. 500 grs.)</t>
  </si>
  <si>
    <t>Bulgaria</t>
  </si>
  <si>
    <t>Girasol pipa sin cáscara BIO (env. 1kg)</t>
  </si>
  <si>
    <t>Chou Kale Winterbor Crespa BIO baby (Production de Rufino)</t>
  </si>
  <si>
    <t xml:space="preserve"> + 10 kg
(- 10%)</t>
  </si>
  <si>
    <t>Chirimoya BIO (produción propia, nueva temporada)</t>
  </si>
  <si>
    <t>Chirimoya (grand)</t>
  </si>
  <si>
    <t>Chirimoya BIO (production Rufino)</t>
  </si>
  <si>
    <t>2A</t>
  </si>
  <si>
    <t>BELGIQUE</t>
  </si>
  <si>
    <t>CORSE</t>
  </si>
  <si>
    <t>BELGIGUE</t>
  </si>
  <si>
    <t>CH12</t>
  </si>
  <si>
    <t>LAUSANNE</t>
  </si>
  <si>
    <t>GENEVE</t>
  </si>
  <si>
    <t>CH10</t>
  </si>
  <si>
    <t>Açaï en poudre iofilisée BIO (env. 250g)</t>
  </si>
  <si>
    <t>Algue Chlorella en poudre BIO (env. 1kg)</t>
  </si>
  <si>
    <t>Algue Chlorella en poudre BIO (env. 500g)</t>
  </si>
  <si>
    <t>Algue Dulse déshydratée BIO (env. 1kg)</t>
  </si>
  <si>
    <t>Algue Dulse déshydratée BIO (env. 500g)</t>
  </si>
  <si>
    <t>Algue Kombu déshydratées BIO (env. 1kg)</t>
  </si>
  <si>
    <t>Algue Kombu déshydratées BIO (env. 500g)</t>
  </si>
  <si>
    <t>Algue Nori entière déshydratées BIO (env. 1kg)</t>
  </si>
  <si>
    <t>Algue Nori entière déshydratées BIO (env. 500g)</t>
  </si>
  <si>
    <t>Amande sans coque CRU BIO (env. 1kg)</t>
  </si>
  <si>
    <t>Avocat Fuerte</t>
  </si>
  <si>
    <t>Aguacate Fuerte local</t>
  </si>
  <si>
    <t>Avocat Fuerte BIO</t>
  </si>
  <si>
    <t>Aguacate Fuerte BIO</t>
  </si>
  <si>
    <t>Bâtons de cannelle BIO (env. 100g)</t>
  </si>
  <si>
    <t>Canela en rama BIO (env. 100 grs.)</t>
  </si>
  <si>
    <t>Betterave en poudre BIO (env. 1kg)</t>
  </si>
  <si>
    <t>Betterave en poudre BIO (env. 500g)</t>
  </si>
  <si>
    <t>Beurre de cacao BIO (env. 1kg)</t>
  </si>
  <si>
    <t>Manteca de cacao BIO (env. 1 kg.)</t>
  </si>
  <si>
    <t>Cacao en polvo crudo BIO (env. 1 kg.)</t>
  </si>
  <si>
    <t>Camu Camu en poudre BIO (env. 250g)</t>
  </si>
  <si>
    <t>Algarroba BIO de la Alpujarra al natural en vaina (nueva cosecha) (env. 400 grs.)</t>
  </si>
  <si>
    <t>Chia BIO (env. 1kg)</t>
  </si>
  <si>
    <t>Chips de coco CRU BIO (env. 1kg)</t>
  </si>
  <si>
    <t>Crackers déshydratés CRU BIO (env. 200g)
    - (tomate, tournesol, sarrasin, lin, oignons, ...)</t>
  </si>
  <si>
    <t>Agua de mar micro-filtrada hipertónica (bag in box 3 litros) (pendientes de recibir en esta semana)</t>
  </si>
  <si>
    <t>Farine de coco (env. 1kg)</t>
  </si>
  <si>
    <t>Harina de coco BIO (env. 1 kg.)</t>
  </si>
  <si>
    <t>Fenugrec en graines BIO (env. 500g)</t>
  </si>
  <si>
    <t>Aceite de oliva BIO variedad Aloreña (env. 1 litro cristal)</t>
  </si>
  <si>
    <t>Mangue Keitt BIO (légères brûlures superficielles à côté du pédoncule causées par le soleil)</t>
  </si>
  <si>
    <t>Mango Keitt BIO (ligeras quemaduras superficiales al lado del pedúnculo producidas por el sol, pulpa perfecta). Finca con certificado ecológico desde 1985 ¡¡¡Oferta!!!</t>
  </si>
  <si>
    <t>Mangue Osteen BIO (Qualité supérieure, mûrie sur plante)</t>
  </si>
  <si>
    <t>3214-3248-3174-3194-3190-3175</t>
  </si>
  <si>
    <t>Mangue plusieurs variétés
    - (Haden, Irwin, Lipens, Osteen, Tommy Atkins)</t>
  </si>
  <si>
    <t>Mango variado local empezando a madurar (Haden, Supér Haden, Irwin, Lipens, Osteen, Tommy Atkins)</t>
  </si>
  <si>
    <t>Noisette sans coque CRU BIO (env. 1kg)</t>
  </si>
  <si>
    <t>Noix de cajou BIO (env. 1kg)</t>
  </si>
  <si>
    <t>Noix de Macadamia sans coque BIO
    - (env. 1kg)</t>
  </si>
  <si>
    <t>Noix de Macadamia sans coque BIO
    - (env. 500g)</t>
  </si>
  <si>
    <t>Noix de Pécan sans coque BIO (env. 1kg)</t>
  </si>
  <si>
    <t>Noix de Pécan sans coque BIO (env. 500g)</t>
  </si>
  <si>
    <t>Paprika épicé de la Vera BIO (env. 1kg)</t>
  </si>
  <si>
    <t>Espagne
Sierra de Gredos</t>
  </si>
  <si>
    <t>Pimentón Picante de la Vera BIO         (env. 1 kg.)</t>
  </si>
  <si>
    <t>Sierra de Gredos</t>
  </si>
  <si>
    <t>Patate Douce Violette BIO (Moyenne, grande) Nouvelle récolte</t>
  </si>
  <si>
    <t>Pistache avec coque CRU (env. 1kg)</t>
  </si>
  <si>
    <t>Pistacho en grano natural (env. 1 kg.)</t>
  </si>
  <si>
    <t>Pistache avec coque CRU (env. 500g)</t>
  </si>
  <si>
    <t>Pistacho en grano natural (env. 500 grs.)</t>
  </si>
  <si>
    <t>Manzana Granny Smith local de Sierra Nevada</t>
  </si>
  <si>
    <t>Raisin sec Sultana BIO
    - (env. 1kg)</t>
  </si>
  <si>
    <t>Raisins secs Muscat en grains
    - (env. 500g)</t>
  </si>
  <si>
    <t>Sésame CRU BIO (env. 1kg)</t>
  </si>
  <si>
    <t>Souchet BIO (env. 1kg)</t>
  </si>
  <si>
    <t>Spaguetti de mer déshydraté BIO (env. 1kg)</t>
  </si>
  <si>
    <t>Spaguetti de mer déshydraté BIO (env. 500g)</t>
  </si>
  <si>
    <t>Spiruline en poudre</t>
  </si>
  <si>
    <t>Spirulina en polvo BIO (env. 1 kg.)</t>
  </si>
  <si>
    <t>Sucre de coco BIO (env. 1kg)</t>
  </si>
  <si>
    <t>Xylitol (sucre de bouleau) (env. 1kg)</t>
  </si>
  <si>
    <t>Xilitol (azúcar de abedul) env. 1 kg.</t>
  </si>
  <si>
    <t xml:space="preserve"> </t>
  </si>
  <si>
    <t>Dattes Deglet Nour sans rame BIO</t>
  </si>
  <si>
    <t>Olives Aloreña BIO non pasteurisées (Bocal 800g)</t>
  </si>
  <si>
    <t>Aloe Vera (feuille fraîche) BIO</t>
  </si>
  <si>
    <t>Banane Cavendish BIO/RECO
    - (robuste et ferme)</t>
  </si>
  <si>
    <t>Banane deshydratée BIO semi-sèche
    - (Production Rufino, env. 200g)</t>
  </si>
  <si>
    <t>Fane de Betterave Baby BIO
    - (Production de Rufino)</t>
  </si>
  <si>
    <t>Fève de Cacao entière CRU BIO (env. 1kg)</t>
  </si>
  <si>
    <t>Carotte sans fane BIO</t>
  </si>
  <si>
    <t>Caroube de l'Alpujarra BIO (env 400g)</t>
  </si>
  <si>
    <t>Céleri vert</t>
  </si>
  <si>
    <t>Citron Caviar BIO
    - (plateau de 500g)</t>
  </si>
  <si>
    <t>Citron Caviar BIO
    - (plateau de 200g)</t>
  </si>
  <si>
    <t>Citron jaune (mûri sur plante)</t>
  </si>
  <si>
    <t>Lima-Limon BIO (entre citron vert et jaune)
    - (Variété indienne)</t>
  </si>
  <si>
    <t>Dattes Deglet Nour en rame BIO</t>
  </si>
  <si>
    <t>Dattes Medjool Jumbo semi-sèche BIO</t>
  </si>
  <si>
    <t>Graines de chanvre pelées CRU BIO
    - (env. 1 kg)</t>
  </si>
  <si>
    <t>Graines de tournesol sans coque CRU BIO
    - (env. 1kg)</t>
  </si>
  <si>
    <t>Graines de tournesol sans coque CRU BIO
    - (env. 500g)</t>
  </si>
  <si>
    <t>Huile d'olive Alorena 1L BIO</t>
  </si>
  <si>
    <t>Eau de mer micro-filtrée hypertonique
    - (n°1 : box 3L)</t>
  </si>
  <si>
    <t>Kaki différentes variétés
    - (persimon, rouge brillant, tomatero)</t>
  </si>
  <si>
    <t>Lucuma cru en poudre CRU BIO (env. 1 kg)</t>
  </si>
  <si>
    <t>Lait de coco en poudre CRU BIO (1kg)</t>
  </si>
  <si>
    <t>Lait de coco en poudre CRU BIO (500g)</t>
  </si>
  <si>
    <t>Maca brute en poudre CRU BIO (env. 500g)</t>
  </si>
  <si>
    <t>Maca brute en poudre CRU BIO (env. 1kg)</t>
  </si>
  <si>
    <t>Mangue Osteen (Ferme Eparadise, mûrie sur plante, récoltée quotidiennement)</t>
  </si>
  <si>
    <t>Mangue Osteen</t>
  </si>
  <si>
    <t>Sel rose de l'Himalaya moulu
    - (sous vide, env. 1kg)</t>
  </si>
  <si>
    <t>LIBELLÉ VIREMENT</t>
  </si>
  <si>
    <t>COMMANDE - FRUITSTOCK</t>
  </si>
  <si>
    <t>FACTURE - FRUITSTOCK</t>
  </si>
  <si>
    <t>LES FRUITS DU SOLEIL
Monsieur FRAIZE Alexandre
31 Avenue Larochefoucauld
64200 BIARRITZ
Tel : 004531178421 (danois)
Mail : fraize.alexandre@live.fr</t>
  </si>
  <si>
    <t>###_S44_DEPT_GRP_Prénom</t>
  </si>
  <si>
    <t>Ananas (mûri sur plante, env. 2kg)
Super bon, couleur intense, très aromatique</t>
  </si>
  <si>
    <t>Ananas deshydraté BIO (env. 1kg)</t>
  </si>
  <si>
    <t>Aubergine</t>
  </si>
  <si>
    <t>Berenjena BIO ¡¡¡Súper oferta!!!</t>
  </si>
  <si>
    <t>6119-1265</t>
  </si>
  <si>
    <t>Avocat Bacon médium BIO</t>
  </si>
  <si>
    <t>Aguacate Bacon BIO Mediano (piezas 100 a 150 grs.) Finca con certificado ecológico desde 1985 ¡¡¡Oferta!!!</t>
  </si>
  <si>
    <t xml:space="preserve">Cacao en poudre CRU BIO (env. 1 kg) </t>
  </si>
  <si>
    <t>Chirimoya local ( producción propia en proceso de reconversión a la agricultura ecológica). Piezas grandes</t>
  </si>
  <si>
    <t>Chou Kale BIO (production Rufino)</t>
  </si>
  <si>
    <t>Col Kale Lacitano/Cavolo Nero BIO baby (producción propia)</t>
  </si>
  <si>
    <t>Citron Caviar (culture naturelle, plateau 200g)</t>
  </si>
  <si>
    <t>Citron Caviar (culture naturelle, plateau 500g)</t>
  </si>
  <si>
    <t>Coing</t>
  </si>
  <si>
    <t>Membrillo local</t>
  </si>
  <si>
    <t>1002.133</t>
  </si>
  <si>
    <t>Courgette BIO (2nd catégorie)</t>
  </si>
  <si>
    <t>Calabacín verde BIO 2ª (calibres Variados)</t>
  </si>
  <si>
    <t>Dattes Mazafati de Bam BIO (env. 250g)</t>
  </si>
  <si>
    <t>Fane de betterave BIO (production Rufino)</t>
  </si>
  <si>
    <t>Hoja de Remolacha Baby BIO (producción propia)</t>
  </si>
  <si>
    <t>Granada local ¡¡¡Muy roja, excelente!!!</t>
  </si>
  <si>
    <t>Granada mollar BIO (piezas grandes y rosadas)</t>
  </si>
  <si>
    <t>Kaki Fuyu local  (procedente de finca con cultivo orgánico) ¡¡¡Calidad súper!!!</t>
  </si>
  <si>
    <t>Kiwi  BIO</t>
  </si>
  <si>
    <t>Portugal</t>
  </si>
  <si>
    <t>Mangue Keitt BIO (petit)</t>
  </si>
  <si>
    <t>Mango Keitt calibre pequeño (de 170 a 400 grs aproximadamente) BIO</t>
  </si>
  <si>
    <t>Mangue Kent (moyen) murie sur l'arbre</t>
  </si>
  <si>
    <t>Mango Kent calibre mediano local madurado en árbol</t>
  </si>
  <si>
    <t>Mangue Osteen mini gourmet</t>
  </si>
  <si>
    <t>Mango Osteen mini gourmet local</t>
  </si>
  <si>
    <t>Mangue Palmer rouge gourmet BIO</t>
  </si>
  <si>
    <t xml:space="preserve">Mango palmer rojo gourmet BIO </t>
  </si>
  <si>
    <t>Néfle d'hiver</t>
  </si>
  <si>
    <t>Níspero de invierno local</t>
  </si>
  <si>
    <t>Olives fermentées BIO non pasteurisées (env. 450g, Fraîches, semi-sèches, sèches, au choix, sans sel, sans eau et sans autres ajouts)</t>
  </si>
  <si>
    <t>Olives noires BIO (bocal 500g, sans noyau, semi-séchées, non pasteurisées)</t>
  </si>
  <si>
    <t>Pitaya (fruit du dragon, jaune à l'extérieur et pulpe blanche)</t>
  </si>
  <si>
    <t>Pitahaya/ Dragon Fruit amarilla por fuera pulpa blanca local</t>
  </si>
  <si>
    <t>Pitaya rouge BIO</t>
  </si>
  <si>
    <t>Polen Frais BIO (bocal 500g)</t>
  </si>
  <si>
    <t>Polen sec BIO (bocal 500g)</t>
  </si>
  <si>
    <t>Pomme de terre Lucinda blanche BIO</t>
  </si>
  <si>
    <t>Patata Lucinda blanca BIO</t>
  </si>
  <si>
    <t>Pomme Golden</t>
  </si>
  <si>
    <t>Pomme Granny Smith</t>
  </si>
  <si>
    <t>Pomme Reineta</t>
  </si>
  <si>
    <t>Pomme rouge Starky</t>
  </si>
  <si>
    <t>Pomme rouge Top Red</t>
  </si>
  <si>
    <t>Pomme verte Doncella</t>
  </si>
  <si>
    <t>Manzana Verde Doncella de Sierra Nevada</t>
  </si>
  <si>
    <t>Tomate déshydratée CRU BIO (env. 1kg, à basse température 35º, qualité supérieure)</t>
  </si>
  <si>
    <t>Tomate déshydratée CRU BIO (env. 200g, à basse température 35º, qualité supérieure)</t>
  </si>
  <si>
    <t>Mangue déshydratée Irwin gourmet (à basse température, tranches)</t>
  </si>
  <si>
    <t>Mangue déshydratée rouge Palmer (semi-sèche  de fabrication artisanale, env. 500g)</t>
  </si>
  <si>
    <t>S44</t>
  </si>
  <si>
    <t>QTE</t>
  </si>
  <si>
    <t>Prénom NOM</t>
  </si>
  <si>
    <t>À REMPLIR</t>
  </si>
  <si>
    <t>BON DE COMMANDE - FRUITSTOCK</t>
  </si>
  <si>
    <t>N° de Commande</t>
  </si>
  <si>
    <t>FRUITSTOCK ADMIN</t>
  </si>
  <si>
    <t>Département :</t>
  </si>
  <si>
    <t>Numéro de Commande</t>
  </si>
  <si>
    <t>Nom, Prénom :</t>
  </si>
  <si>
    <t>Adresse :</t>
  </si>
  <si>
    <t>268_S46_45</t>
  </si>
  <si>
    <t>Code Postal :</t>
  </si>
  <si>
    <t>Ville :</t>
  </si>
  <si>
    <t>Téléphone 1 :</t>
  </si>
  <si>
    <t>Téléphone 2 :</t>
  </si>
  <si>
    <t>FDP/kg estimé</t>
  </si>
  <si>
    <t>SUPPRIME</t>
  </si>
  <si>
    <t>REMPLACE</t>
  </si>
  <si>
    <t>Total (-10%)</t>
  </si>
  <si>
    <t>FDP</t>
  </si>
  <si>
    <t>Qté</t>
  </si>
  <si>
    <t>Qté env</t>
  </si>
  <si>
    <t>Téléphone :</t>
  </si>
  <si>
    <t>Email :</t>
  </si>
  <si>
    <t>COMMANDE</t>
  </si>
  <si>
    <t>FACTURE</t>
  </si>
  <si>
    <t>REGULARISATION</t>
  </si>
  <si>
    <t>NOM PRENOM</t>
  </si>
  <si>
    <t>DÉSIGNATION</t>
  </si>
  <si>
    <t>€/kg
(cmd)</t>
  </si>
  <si>
    <t>€/kg
(fact)</t>
  </si>
  <si>
    <t xml:space="preserve"> + 10 kg
(cmd)</t>
  </si>
  <si>
    <t>+ 30 kg
(cmd)</t>
  </si>
  <si>
    <t>+ 60 kg
(cmd)</t>
  </si>
  <si>
    <t xml:space="preserve"> + 10 kg
(fact)</t>
  </si>
  <si>
    <t>+ 30 kg
(fact)</t>
  </si>
  <si>
    <t>+ 60 kg
(fact)</t>
  </si>
  <si>
    <t>Adresse de livraison:
Lilian GITTON
24 rue du clos Rozé
45100
Orléans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</si>
</sst>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_ * #,##0.00_)\ &quot;€&quot;_ ;_ * \(#,##0.00\)\ &quot;€&quot;_ ;_ * &quot;-&quot;??_)\ &quot;€&quot;_ ;_ @_ "/>
    <numFmt numFmtId="165" formatCode="00"/>
    <numFmt numFmtId="166" formatCode="_-* #,##0.00\ [$€-40C]_-;\-* #,##0.00\ [$€-40C]_-;_-* &quot;-&quot;??\ [$€-40C]_-;_-@_-"/>
    <numFmt numFmtId="167" formatCode="#,##0.00\ &quot;€&quot;"/>
  </numFmts>
  <fonts count="105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color theme="1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4"/>
      <name val="Arial"/>
      <family val="2"/>
    </font>
    <font>
      <b/>
      <sz val="11"/>
      <color rgb="FFC00000"/>
      <name val="Arial"/>
      <family val="2"/>
    </font>
    <font>
      <b/>
      <sz val="8"/>
      <color rgb="FFC00000"/>
      <name val="Arial"/>
      <family val="2"/>
    </font>
    <font>
      <b/>
      <sz val="11"/>
      <color theme="0"/>
      <name val="Calibri"/>
      <family val="2"/>
      <scheme val="minor"/>
    </font>
    <font>
      <b/>
      <sz val="11"/>
      <color theme="5" tint="0.59999389629810485"/>
      <name val="Calibri"/>
      <family val="2"/>
      <scheme val="minor"/>
    </font>
    <font>
      <sz val="11"/>
      <color theme="1"/>
      <name val="Arial"/>
      <family val="2"/>
    </font>
    <font>
      <sz val="12"/>
      <color theme="1"/>
      <name val="Arial"/>
      <family val="2"/>
    </font>
    <font>
      <b/>
      <sz val="10"/>
      <color indexed="65"/>
      <name val="Arial"/>
      <family val="2"/>
    </font>
    <font>
      <b/>
      <sz val="11"/>
      <color indexed="65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sz val="14"/>
      <name val="Arial"/>
      <family val="2"/>
    </font>
    <font>
      <b/>
      <u/>
      <sz val="28"/>
      <color indexed="50"/>
      <name val="Arial Black"/>
      <family val="2"/>
    </font>
    <font>
      <sz val="15"/>
      <color theme="1"/>
      <name val="Arial"/>
      <family val="2"/>
    </font>
    <font>
      <b/>
      <sz val="15"/>
      <color theme="1"/>
      <name val="Arial"/>
      <family val="2"/>
    </font>
    <font>
      <b/>
      <sz val="18"/>
      <name val="Arial"/>
      <family val="2"/>
    </font>
    <font>
      <sz val="11"/>
      <color theme="1"/>
      <name val="Calibri"/>
      <family val="2"/>
      <scheme val="minor"/>
    </font>
    <font>
      <b/>
      <sz val="14"/>
      <color rgb="FFC00000"/>
      <name val="Arial"/>
      <family val="2"/>
    </font>
    <font>
      <b/>
      <sz val="12"/>
      <color theme="1"/>
      <name val="Arial"/>
      <family val="2"/>
    </font>
    <font>
      <b/>
      <sz val="10"/>
      <color theme="1"/>
      <name val="Arial"/>
      <family val="2"/>
    </font>
    <font>
      <b/>
      <sz val="14"/>
      <color theme="6" tint="-0.499984740745262"/>
      <name val="Arial"/>
      <family val="2"/>
    </font>
    <font>
      <b/>
      <sz val="11"/>
      <color theme="9" tint="-0.249977111117893"/>
      <name val="Calibri"/>
      <family val="2"/>
      <scheme val="minor"/>
    </font>
    <font>
      <b/>
      <sz val="11"/>
      <color theme="6" tint="0.59999389629810485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8"/>
      <color rgb="FFFF0000"/>
      <name val="Arial"/>
      <family val="2"/>
    </font>
    <font>
      <b/>
      <sz val="15"/>
      <color rgb="FFC00000"/>
      <name val="Arial"/>
      <family val="2"/>
    </font>
    <font>
      <b/>
      <sz val="11"/>
      <name val="Calibri"/>
      <family val="2"/>
      <scheme val="minor"/>
    </font>
    <font>
      <sz val="8"/>
      <color theme="1"/>
      <name val="Calibri (Corps)"/>
    </font>
    <font>
      <b/>
      <sz val="8"/>
      <color indexed="5"/>
      <name val="Calibri (Corps)"/>
    </font>
    <font>
      <b/>
      <sz val="8"/>
      <color theme="0"/>
      <name val="Calibri (Corps)"/>
    </font>
    <font>
      <b/>
      <sz val="8"/>
      <color theme="9" tint="-0.249977111117893"/>
      <name val="Calibri (Corps)"/>
    </font>
    <font>
      <sz val="8"/>
      <name val="Calibri (Corps)"/>
    </font>
    <font>
      <b/>
      <sz val="8"/>
      <color theme="1"/>
      <name val="Calibri (Corps)"/>
    </font>
    <font>
      <b/>
      <sz val="8"/>
      <color rgb="FFFF0000"/>
      <name val="Calibri (Corps)"/>
    </font>
    <font>
      <b/>
      <sz val="8"/>
      <color rgb="FF00B050"/>
      <name val="Calibri (Corps)"/>
    </font>
    <font>
      <b/>
      <sz val="8"/>
      <color indexed="2"/>
      <name val="Calibri (Corps)"/>
    </font>
    <font>
      <sz val="8"/>
      <color rgb="FF00B050"/>
      <name val="Calibri (Corps)"/>
    </font>
    <font>
      <b/>
      <i/>
      <sz val="8"/>
      <color rgb="FFC00000"/>
      <name val="Calibri (Corps)"/>
    </font>
    <font>
      <sz val="8"/>
      <color rgb="FFFF0000"/>
      <name val="Calibri (Corps)"/>
    </font>
    <font>
      <b/>
      <sz val="8"/>
      <name val="Calibri (Corps)"/>
    </font>
    <font>
      <b/>
      <sz val="10"/>
      <color indexed="5"/>
      <name val="Calibri"/>
      <family val="2"/>
      <scheme val="minor"/>
    </font>
    <font>
      <b/>
      <sz val="14"/>
      <color rgb="FFC0000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b/>
      <sz val="8"/>
      <color theme="0"/>
      <name val="Arial"/>
      <family val="2"/>
    </font>
    <font>
      <b/>
      <sz val="16"/>
      <color theme="0"/>
      <name val="Arial"/>
      <family val="2"/>
    </font>
    <font>
      <b/>
      <sz val="16"/>
      <color theme="6" tint="0.59999389629810485"/>
      <name val="Arial"/>
      <family val="2"/>
    </font>
    <font>
      <b/>
      <sz val="12"/>
      <color theme="4"/>
      <name val="Arial"/>
      <family val="2"/>
    </font>
    <font>
      <b/>
      <sz val="10"/>
      <color theme="0"/>
      <name val="Arial"/>
      <family val="2"/>
    </font>
    <font>
      <b/>
      <sz val="12"/>
      <color theme="0"/>
      <name val="Arial"/>
      <family val="2"/>
    </font>
    <font>
      <b/>
      <sz val="8"/>
      <color theme="3"/>
      <name val="Arial"/>
      <family val="2"/>
    </font>
    <font>
      <b/>
      <i/>
      <sz val="8"/>
      <color theme="3"/>
      <name val="Arial"/>
      <family val="2"/>
    </font>
    <font>
      <sz val="8"/>
      <color theme="1"/>
      <name val="Calibri"/>
      <family val="2"/>
      <scheme val="minor"/>
    </font>
    <font>
      <b/>
      <sz val="24"/>
      <color theme="0"/>
      <name val="Arial"/>
      <family val="2"/>
    </font>
    <font>
      <b/>
      <sz val="20"/>
      <color theme="0"/>
      <name val="Arial"/>
      <family val="2"/>
    </font>
    <font>
      <sz val="10"/>
      <color theme="1"/>
      <name val="Arial"/>
      <family val="2"/>
    </font>
    <font>
      <b/>
      <sz val="18"/>
      <color theme="0"/>
      <name val="Arial"/>
      <family val="2"/>
    </font>
    <font>
      <b/>
      <u/>
      <sz val="10"/>
      <color theme="0"/>
      <name val="Arial"/>
      <family val="2"/>
    </font>
    <font>
      <b/>
      <sz val="12"/>
      <color rgb="FFC00000"/>
      <name val="Arial"/>
      <family val="2"/>
    </font>
    <font>
      <b/>
      <sz val="10"/>
      <color rgb="FFC00000"/>
      <name val="Arial"/>
      <family val="2"/>
    </font>
    <font>
      <sz val="8"/>
      <color theme="3"/>
      <name val="Arial"/>
      <family val="2"/>
    </font>
    <font>
      <b/>
      <sz val="10"/>
      <color theme="1"/>
      <name val="Calibri"/>
      <family val="2"/>
      <scheme val="minor"/>
    </font>
    <font>
      <sz val="10"/>
      <color theme="3"/>
      <name val="Arial"/>
      <family val="2"/>
    </font>
    <font>
      <u/>
      <sz val="28"/>
      <color theme="10"/>
      <name val="Calibri"/>
      <family val="2"/>
      <scheme val="minor"/>
    </font>
    <font>
      <b/>
      <sz val="16"/>
      <color rgb="FFC00000"/>
      <name val="Arial"/>
      <family val="2"/>
    </font>
    <font>
      <sz val="11"/>
      <color theme="3"/>
      <name val="Arial"/>
      <family val="2"/>
    </font>
    <font>
      <sz val="11"/>
      <color rgb="FFC00000"/>
      <name val="Calibri"/>
      <family val="2"/>
      <scheme val="minor"/>
    </font>
    <font>
      <b/>
      <sz val="8"/>
      <color theme="6" tint="-0.249977111117893"/>
      <name val="Calibri (Corps)"/>
    </font>
    <font>
      <b/>
      <sz val="8"/>
      <color theme="3" tint="0.39997558519241921"/>
      <name val="Calibri (Corps)"/>
    </font>
    <font>
      <b/>
      <sz val="10"/>
      <color indexed="5"/>
      <name val="Calibri (Corps)"/>
    </font>
    <font>
      <b/>
      <sz val="16"/>
      <color theme="4"/>
      <name val="Arial"/>
      <family val="2"/>
    </font>
    <font>
      <sz val="8"/>
      <color rgb="FFC00000"/>
      <name val="Arial"/>
      <family val="2"/>
    </font>
    <font>
      <sz val="12"/>
      <color theme="4"/>
      <name val="Arial"/>
      <family val="2"/>
    </font>
    <font>
      <b/>
      <sz val="10"/>
      <color theme="3" tint="0.39997558519241921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b/>
      <sz val="9"/>
      <color theme="6" tint="-0.249977111117893"/>
      <name val="Calibri"/>
      <family val="2"/>
      <scheme val="minor"/>
    </font>
    <font>
      <b/>
      <sz val="16"/>
      <color theme="9" tint="-0.249977111117893"/>
      <name val="Calibri"/>
      <family val="2"/>
      <scheme val="minor"/>
    </font>
    <font>
      <b/>
      <sz val="9"/>
      <color theme="7"/>
      <name val="Calibri"/>
      <family val="2"/>
      <scheme val="minor"/>
    </font>
    <font>
      <sz val="11"/>
      <color theme="1"/>
      <name val="Arial"/>
      <family val="2"/>
    </font>
    <font>
      <sz val="8"/>
      <name val="Calibri"/>
      <scheme val="minor"/>
    </font>
    <font>
      <b/>
      <sz val="11"/>
      <color rgb="FFFF0000"/>
      <name val="Arial"/>
      <family val="2"/>
    </font>
    <font>
      <sz val="11"/>
      <color rgb="FF000000"/>
      <name val="Calibri"/>
      <family val="2"/>
    </font>
    <font>
      <b/>
      <sz val="8"/>
      <color rgb="FF0070C0"/>
      <name val="Arial"/>
      <family val="2"/>
    </font>
    <font>
      <b/>
      <sz val="18"/>
      <color rgb="FFC00000"/>
      <name val="Arial"/>
      <family val="2"/>
    </font>
    <font>
      <u/>
      <sz val="18"/>
      <color theme="10"/>
      <name val="Arial"/>
      <family val="2"/>
    </font>
    <font>
      <b/>
      <sz val="8"/>
      <color theme="1"/>
      <name val="Arial"/>
      <family val="2"/>
    </font>
    <font>
      <b/>
      <i/>
      <sz val="10"/>
      <color rgb="FFC00000"/>
      <name val="Arial"/>
      <family val="2"/>
    </font>
    <font>
      <b/>
      <sz val="20"/>
      <color indexed="2"/>
      <name val="Arial"/>
      <family val="2"/>
    </font>
    <font>
      <b/>
      <sz val="8"/>
      <color theme="6" tint="-0.249977111117893"/>
      <name val="Arial"/>
      <family val="2"/>
    </font>
    <font>
      <b/>
      <sz val="24"/>
      <color indexed="2"/>
      <name val="Arial"/>
      <family val="2"/>
    </font>
    <font>
      <b/>
      <sz val="11"/>
      <color theme="6" tint="-0.499984740745262"/>
      <name val="Arial"/>
      <family val="2"/>
    </font>
    <font>
      <b/>
      <sz val="11"/>
      <color theme="4"/>
      <name val="Arial"/>
      <family val="2"/>
    </font>
    <font>
      <b/>
      <i/>
      <sz val="10"/>
      <name val="Arial"/>
      <family val="2"/>
    </font>
    <font>
      <b/>
      <i/>
      <sz val="11"/>
      <name val="Arial"/>
      <family val="2"/>
    </font>
    <font>
      <b/>
      <i/>
      <sz val="11"/>
      <color theme="0"/>
      <name val="Arial"/>
      <family val="2"/>
    </font>
    <font>
      <b/>
      <i/>
      <sz val="9"/>
      <name val="Arial"/>
      <family val="2"/>
    </font>
    <font>
      <b/>
      <sz val="12"/>
      <color theme="6" tint="-0.249977111117893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7901E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00000"/>
        <bgColor indexed="64"/>
      </patternFill>
    </fill>
  </fills>
  <borders count="20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/>
      <bottom/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thick">
        <color auto="1"/>
      </left>
      <right style="thick">
        <color auto="1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theme="0"/>
      </left>
      <right/>
      <top style="thick">
        <color theme="0"/>
      </top>
      <bottom style="thick">
        <color theme="0"/>
      </bottom>
      <diagonal/>
    </border>
    <border>
      <left/>
      <right/>
      <top style="thick">
        <color theme="0"/>
      </top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 style="thick">
        <color theme="0"/>
      </bottom>
      <diagonal/>
    </border>
    <border>
      <left style="thick">
        <color auto="1"/>
      </left>
      <right style="thick">
        <color auto="1"/>
      </right>
      <top/>
      <bottom style="thick">
        <color auto="1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 style="thin">
        <color theme="0"/>
      </right>
      <top/>
      <bottom style="thin">
        <color theme="0"/>
      </bottom>
      <diagonal/>
    </border>
    <border>
      <left style="thick">
        <color theme="0"/>
      </left>
      <right style="thin">
        <color theme="0"/>
      </right>
      <top style="thick">
        <color theme="0"/>
      </top>
      <bottom/>
      <diagonal/>
    </border>
    <border>
      <left style="thin">
        <color theme="0"/>
      </left>
      <right/>
      <top style="thin">
        <color theme="0"/>
      </top>
      <bottom style="thick">
        <color theme="0"/>
      </bottom>
      <diagonal/>
    </border>
    <border>
      <left/>
      <right style="thin">
        <color theme="0"/>
      </right>
      <top style="thin">
        <color theme="0"/>
      </top>
      <bottom style="thick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ck">
        <color theme="0"/>
      </left>
      <right style="thick">
        <color theme="0"/>
      </right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/>
      <top/>
      <bottom style="thin">
        <color theme="0" tint="-0.249977111117893"/>
      </bottom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theme="0"/>
      </left>
      <right style="thick">
        <color theme="0"/>
      </right>
      <top style="thick">
        <color theme="0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 style="thin">
        <color theme="0"/>
      </right>
      <top style="thick">
        <color theme="0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/>
      </left>
      <right style="thin">
        <color theme="0" tint="-0.24994659260841701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 style="thin">
        <color theme="0"/>
      </right>
      <top style="thick">
        <color theme="0"/>
      </top>
      <bottom style="thin">
        <color theme="0" tint="-0.249977111117893"/>
      </bottom>
      <diagonal/>
    </border>
    <border>
      <left style="thin">
        <color theme="0"/>
      </left>
      <right style="thin">
        <color theme="0" tint="-0.24994659260841701"/>
      </right>
      <top style="thick">
        <color theme="0"/>
      </top>
      <bottom style="thin">
        <color theme="0" tint="-0.249977111117893"/>
      </bottom>
      <diagonal/>
    </border>
    <border>
      <left style="thick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ck">
        <color theme="0" tint="-0.249977111117893"/>
      </right>
      <top style="thin">
        <color theme="0" tint="-0.249977111117893"/>
      </top>
      <bottom style="thin">
        <color theme="0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/>
      </left>
      <right style="thin">
        <color theme="0"/>
      </right>
      <top style="thin">
        <color theme="0" tint="-0.249977111117893"/>
      </top>
      <bottom/>
      <diagonal/>
    </border>
    <border>
      <left style="thin">
        <color theme="0"/>
      </left>
      <right/>
      <top style="thin">
        <color theme="0" tint="-0.249977111117893"/>
      </top>
      <bottom/>
      <diagonal/>
    </border>
    <border>
      <left/>
      <right/>
      <top style="thin">
        <color theme="0"/>
      </top>
      <bottom/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 style="thin">
        <color theme="0"/>
      </top>
      <bottom/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n">
        <color theme="0"/>
      </left>
      <right style="thick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 tint="-0.24994659260841701"/>
      </right>
      <top/>
      <bottom style="thin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dashed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dashed">
        <color theme="0"/>
      </bottom>
      <diagonal/>
    </border>
    <border>
      <left/>
      <right style="thick">
        <color theme="0"/>
      </right>
      <top style="thick">
        <color theme="0"/>
      </top>
      <bottom style="dashed">
        <color theme="0"/>
      </bottom>
      <diagonal/>
    </border>
    <border>
      <left style="thin">
        <color theme="0"/>
      </left>
      <right style="thick">
        <color theme="0"/>
      </right>
      <top style="thick">
        <color theme="0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ck">
        <color theme="0"/>
      </top>
      <bottom style="thin">
        <color theme="0" tint="-0.24994659260841701"/>
      </bottom>
      <diagonal/>
    </border>
    <border>
      <left/>
      <right style="thin">
        <color theme="0"/>
      </right>
      <top style="thick">
        <color theme="0"/>
      </top>
      <bottom style="thin">
        <color theme="0" tint="-0.24994659260841701"/>
      </bottom>
      <diagonal/>
    </border>
    <border>
      <left style="thin">
        <color theme="0"/>
      </left>
      <right/>
      <top style="thick">
        <color theme="0"/>
      </top>
      <bottom style="thin">
        <color theme="0" tint="-0.24994659260841701"/>
      </bottom>
      <diagonal/>
    </border>
    <border>
      <left style="thick">
        <color theme="0"/>
      </left>
      <right style="thin">
        <color theme="0"/>
      </right>
      <top style="thick">
        <color theme="0"/>
      </top>
      <bottom style="thin">
        <color theme="0" tint="-0.24994659260841701"/>
      </bottom>
      <diagonal/>
    </border>
    <border>
      <left style="dashed">
        <color theme="0"/>
      </left>
      <right/>
      <top style="dashed">
        <color theme="0"/>
      </top>
      <bottom style="dashed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 style="thick">
        <color theme="0"/>
      </right>
      <top style="dashed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 style="thin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 style="thick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ck">
        <color theme="0"/>
      </bottom>
      <diagonal/>
    </border>
    <border>
      <left/>
      <right style="thick">
        <color theme="0"/>
      </right>
      <top style="dashed">
        <color theme="0"/>
      </top>
      <bottom style="thick">
        <color theme="0"/>
      </bottom>
      <diagonal/>
    </border>
    <border>
      <left style="thick">
        <color theme="0"/>
      </left>
      <right/>
      <top style="thin">
        <color theme="0"/>
      </top>
      <bottom style="thick">
        <color theme="0"/>
      </bottom>
      <diagonal/>
    </border>
    <border>
      <left/>
      <right style="thick">
        <color theme="0"/>
      </right>
      <top style="thin">
        <color theme="0"/>
      </top>
      <bottom style="thick">
        <color theme="0"/>
      </bottom>
      <diagonal/>
    </border>
    <border>
      <left style="thick">
        <color theme="0"/>
      </left>
      <right/>
      <top style="thick">
        <color theme="0"/>
      </top>
      <bottom style="thin">
        <color theme="0"/>
      </bottom>
      <diagonal/>
    </border>
    <border>
      <left/>
      <right/>
      <top style="dashed">
        <color theme="0"/>
      </top>
      <bottom style="dashed">
        <color theme="0"/>
      </bottom>
      <diagonal/>
    </border>
    <border>
      <left/>
      <right style="thick">
        <color theme="0"/>
      </right>
      <top style="dashed">
        <color theme="0"/>
      </top>
      <bottom style="dashed">
        <color theme="0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ck">
        <color theme="1"/>
      </left>
      <right style="thin">
        <color theme="0" tint="-0.249977111117893"/>
      </right>
      <top style="thick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ck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ck">
        <color theme="1"/>
      </right>
      <top style="thick">
        <color theme="1"/>
      </top>
      <bottom style="thin">
        <color theme="0" tint="-0.249977111117893"/>
      </bottom>
      <diagonal/>
    </border>
    <border>
      <left style="thick">
        <color theme="1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ck">
        <color theme="1"/>
      </right>
      <top style="thin">
        <color theme="0" tint="-0.249977111117893"/>
      </top>
      <bottom style="thin">
        <color theme="0" tint="-0.249977111117893"/>
      </bottom>
      <diagonal/>
    </border>
    <border>
      <left style="thick">
        <color theme="1"/>
      </left>
      <right style="thin">
        <color theme="0" tint="-0.249977111117893"/>
      </right>
      <top style="thin">
        <color theme="0" tint="-0.249977111117893"/>
      </top>
      <bottom style="thick">
        <color theme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ck">
        <color theme="1"/>
      </bottom>
      <diagonal/>
    </border>
    <border>
      <left style="thin">
        <color theme="0" tint="-0.249977111117893"/>
      </left>
      <right style="thick">
        <color theme="1"/>
      </right>
      <top style="thin">
        <color theme="0" tint="-0.249977111117893"/>
      </top>
      <bottom style="thick">
        <color theme="1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/>
      <diagonal/>
    </border>
    <border>
      <left/>
      <right style="thin">
        <color theme="0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/>
      </left>
      <right style="thin">
        <color theme="0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 style="thin">
        <color theme="0" tint="-0.14999847407452621"/>
      </bottom>
      <diagonal/>
    </border>
    <border>
      <left style="thin">
        <color theme="0" tint="-0.14999847407452621"/>
      </left>
      <right style="thin">
        <color theme="0" tint="-0.249977111117893"/>
      </right>
      <top/>
      <bottom/>
      <diagonal/>
    </border>
    <border>
      <left/>
      <right/>
      <top/>
      <bottom style="thick">
        <color theme="0"/>
      </bottom>
      <diagonal/>
    </border>
    <border>
      <left/>
      <right/>
      <top style="thin">
        <color theme="0"/>
      </top>
      <bottom style="thick">
        <color theme="0"/>
      </bottom>
      <diagonal/>
    </border>
    <border>
      <left/>
      <right/>
      <top style="thick">
        <color theme="0"/>
      </top>
      <bottom style="thin">
        <color theme="0"/>
      </bottom>
      <diagonal/>
    </border>
    <border>
      <left style="thick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 style="thick">
        <color theme="0"/>
      </top>
      <bottom style="thin">
        <color theme="0"/>
      </bottom>
      <diagonal/>
    </border>
    <border>
      <left style="thin">
        <color theme="0"/>
      </left>
      <right style="thick">
        <color theme="0"/>
      </right>
      <top style="thick">
        <color theme="0"/>
      </top>
      <bottom style="thick">
        <color theme="0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14999847407452621"/>
      </right>
      <top/>
      <bottom/>
      <diagonal/>
    </border>
    <border>
      <left style="medium">
        <color indexed="64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 style="medium">
        <color indexed="64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 style="medium">
        <color indexed="64"/>
      </right>
      <top/>
      <bottom style="thin">
        <color theme="0" tint="-0.249977111117893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249977111117893"/>
      </bottom>
      <diagonal/>
    </border>
    <border>
      <left/>
      <right/>
      <top style="medium">
        <color indexed="64"/>
      </top>
      <bottom style="thin">
        <color theme="0" tint="-0.249977111117893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249977111117893"/>
      </bottom>
      <diagonal/>
    </border>
    <border>
      <left style="thin">
        <color theme="0"/>
      </left>
      <right/>
      <top style="thick">
        <color theme="0"/>
      </top>
      <bottom style="thin">
        <color theme="0"/>
      </bottom>
      <diagonal/>
    </border>
    <border>
      <left/>
      <right style="thick">
        <color theme="0"/>
      </right>
      <top style="thick">
        <color theme="0"/>
      </top>
      <bottom style="thin">
        <color theme="0"/>
      </bottom>
      <diagonal/>
    </border>
    <border>
      <left/>
      <right style="thin">
        <color theme="0" tint="-0.249977111117893"/>
      </right>
      <top style="thin">
        <color theme="0"/>
      </top>
      <bottom/>
      <diagonal/>
    </border>
    <border>
      <left/>
      <right style="thick">
        <color theme="0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ck">
        <color theme="0"/>
      </right>
      <top/>
      <bottom style="thin">
        <color theme="0" tint="-0.24994659260841701"/>
      </bottom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 style="thin">
        <color theme="0" tint="-0.249977111117893"/>
      </top>
      <bottom style="thin">
        <color theme="0"/>
      </bottom>
      <diagonal/>
    </border>
    <border>
      <left style="thin">
        <color theme="0"/>
      </left>
      <right style="thin">
        <color theme="0" tint="-0.249977111117893"/>
      </right>
      <top style="thin">
        <color theme="0" tint="-0.249977111117893"/>
      </top>
      <bottom style="thin">
        <color theme="0"/>
      </bottom>
      <diagonal/>
    </border>
    <border>
      <left/>
      <right style="thin">
        <color theme="0"/>
      </right>
      <top style="thin">
        <color theme="0" tint="-0.249977111117893"/>
      </top>
      <bottom style="thin">
        <color theme="0"/>
      </bottom>
      <diagonal/>
    </border>
    <border>
      <left style="thin">
        <color theme="0"/>
      </left>
      <right style="thin">
        <color theme="0" tint="-0.24994659260841701"/>
      </right>
      <top style="thin">
        <color theme="0"/>
      </top>
      <bottom style="thin">
        <color theme="0"/>
      </bottom>
      <diagonal/>
    </border>
    <border>
      <left style="thin">
        <color theme="0" tint="-0.24994659260841701"/>
      </left>
      <right style="thin">
        <color theme="0" tint="-0.249977111117893"/>
      </right>
      <top style="thin">
        <color theme="0" tint="-0.2499465926084170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0" tint="-0.24994659260841701"/>
      </left>
      <right style="thin">
        <color theme="0"/>
      </right>
      <top/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 tint="-0.24994659260841701"/>
      </bottom>
      <diagonal/>
    </border>
    <border>
      <left style="thin">
        <color theme="0"/>
      </left>
      <right style="thin">
        <color theme="0" tint="-0.24994659260841701"/>
      </right>
      <top style="thin">
        <color theme="0"/>
      </top>
      <bottom style="thin">
        <color theme="0" tint="-0.24994659260841701"/>
      </bottom>
      <diagonal/>
    </border>
    <border>
      <left style="thin">
        <color theme="0"/>
      </left>
      <right style="thick">
        <color theme="0"/>
      </right>
      <top style="thin">
        <color theme="0" tint="-0.249977111117893"/>
      </top>
      <bottom style="thin">
        <color theme="0"/>
      </bottom>
      <diagonal/>
    </border>
    <border>
      <left style="thick">
        <color theme="0"/>
      </left>
      <right style="thick">
        <color theme="0"/>
      </right>
      <top style="thin">
        <color theme="0" tint="-0.249977111117893"/>
      </top>
      <bottom style="thin">
        <color theme="0"/>
      </bottom>
      <diagonal/>
    </border>
    <border>
      <left style="thick">
        <color theme="0"/>
      </left>
      <right style="thin">
        <color theme="0"/>
      </right>
      <top style="thin">
        <color theme="0" tint="-0.249977111117893"/>
      </top>
      <bottom style="thin">
        <color theme="0"/>
      </bottom>
      <diagonal/>
    </border>
    <border>
      <left style="thin">
        <color theme="0"/>
      </left>
      <right/>
      <top style="thin">
        <color theme="0" tint="-0.249977111117893"/>
      </top>
      <bottom style="thin">
        <color theme="0"/>
      </bottom>
      <diagonal/>
    </border>
    <border>
      <left/>
      <right/>
      <top style="thin">
        <color theme="0" tint="-0.249977111117893"/>
      </top>
      <bottom style="thin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 tint="-0.249977111117893"/>
      </bottom>
      <diagonal/>
    </border>
    <border>
      <left style="thick">
        <color theme="0"/>
      </left>
      <right style="thick">
        <color theme="0"/>
      </right>
      <top style="thin">
        <color theme="0"/>
      </top>
      <bottom style="thin">
        <color theme="0" tint="-0.249977111117893"/>
      </bottom>
      <diagonal/>
    </border>
    <border>
      <left style="thick">
        <color theme="0"/>
      </left>
      <right style="thin">
        <color theme="0"/>
      </right>
      <top style="thin">
        <color theme="0"/>
      </top>
      <bottom style="thin">
        <color theme="0" tint="-0.249977111117893"/>
      </bottom>
      <diagonal/>
    </border>
    <border>
      <left style="thin">
        <color theme="0" tint="-0.249977111117893"/>
      </left>
      <right style="thick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</borders>
  <cellStyleXfs count="13">
    <xf numFmtId="0" fontId="0" fillId="0" borderId="0"/>
    <xf numFmtId="44" fontId="4" fillId="0" borderId="0" applyFont="0" applyFill="0" applyBorder="0"/>
    <xf numFmtId="44" fontId="4" fillId="0" borderId="0" applyFont="0" applyFill="0" applyBorder="0"/>
    <xf numFmtId="44" fontId="24" fillId="0" borderId="0" applyFont="0" applyFill="0" applyBorder="0"/>
    <xf numFmtId="0" fontId="24" fillId="0" borderId="0"/>
    <xf numFmtId="0" fontId="51" fillId="0" borderId="0" applyNumberFormat="0" applyFill="0" applyBorder="0" applyAlignment="0" applyProtection="0"/>
    <xf numFmtId="0" fontId="3" fillId="0" borderId="0"/>
    <xf numFmtId="0" fontId="2" fillId="0" borderId="0"/>
    <xf numFmtId="0" fontId="2" fillId="0" borderId="0"/>
    <xf numFmtId="44" fontId="2" fillId="0" borderId="0" applyFont="0" applyFill="0" applyBorder="0"/>
    <xf numFmtId="0" fontId="1" fillId="0" borderId="0"/>
    <xf numFmtId="0" fontId="1" fillId="0" borderId="0"/>
    <xf numFmtId="44" fontId="1" fillId="0" borderId="0" applyFont="0" applyFill="0" applyBorder="0"/>
  </cellStyleXfs>
  <cellXfs count="727">
    <xf numFmtId="0" fontId="0" fillId="0" borderId="0" xfId="0"/>
    <xf numFmtId="0" fontId="5" fillId="0" borderId="0" xfId="0" applyFont="1" applyAlignment="1">
      <alignment vertical="center" wrapText="1"/>
    </xf>
    <xf numFmtId="0" fontId="5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/>
    <xf numFmtId="0" fontId="0" fillId="0" borderId="0" xfId="0" applyAlignment="1">
      <alignment horizontal="center" vertical="center"/>
    </xf>
    <xf numFmtId="0" fontId="11" fillId="2" borderId="24" xfId="0" applyFont="1" applyFill="1" applyBorder="1" applyAlignment="1">
      <alignment vertical="center"/>
    </xf>
    <xf numFmtId="0" fontId="0" fillId="0" borderId="25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11" fillId="2" borderId="26" xfId="0" applyFont="1" applyFill="1" applyBorder="1" applyAlignment="1">
      <alignment vertical="center"/>
    </xf>
    <xf numFmtId="0" fontId="11" fillId="2" borderId="17" xfId="0" applyFont="1" applyFill="1" applyBorder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2" borderId="42" xfId="0" applyFont="1" applyFill="1" applyBorder="1" applyAlignment="1">
      <alignment vertical="center"/>
    </xf>
    <xf numFmtId="0" fontId="12" fillId="2" borderId="29" xfId="0" applyFont="1" applyFill="1" applyBorder="1" applyAlignment="1">
      <alignment vertical="center"/>
    </xf>
    <xf numFmtId="0" fontId="13" fillId="0" borderId="0" xfId="0" applyFont="1" applyAlignment="1">
      <alignment vertical="center"/>
    </xf>
    <xf numFmtId="165" fontId="13" fillId="0" borderId="0" xfId="0" applyNumberFormat="1" applyFont="1" applyAlignment="1">
      <alignment horizontal="center" vertical="center"/>
    </xf>
    <xf numFmtId="0" fontId="14" fillId="0" borderId="0" xfId="0" applyFont="1"/>
    <xf numFmtId="0" fontId="15" fillId="5" borderId="0" xfId="0" applyFont="1" applyFill="1" applyAlignment="1">
      <alignment horizontal="center" vertical="center"/>
    </xf>
    <xf numFmtId="0" fontId="16" fillId="5" borderId="44" xfId="0" applyFont="1" applyFill="1" applyBorder="1" applyAlignment="1">
      <alignment horizontal="left" vertical="center"/>
    </xf>
    <xf numFmtId="165" fontId="16" fillId="5" borderId="44" xfId="0" applyNumberFormat="1" applyFont="1" applyFill="1" applyBorder="1" applyAlignment="1">
      <alignment horizontal="center" vertical="center"/>
    </xf>
    <xf numFmtId="4" fontId="16" fillId="5" borderId="44" xfId="0" applyNumberFormat="1" applyFont="1" applyFill="1" applyBorder="1" applyAlignment="1">
      <alignment horizontal="center" vertical="center"/>
    </xf>
    <xf numFmtId="4" fontId="16" fillId="5" borderId="45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horizontal="left" vertical="center"/>
    </xf>
    <xf numFmtId="4" fontId="13" fillId="0" borderId="0" xfId="0" applyNumberFormat="1" applyFont="1" applyAlignment="1">
      <alignment horizontal="center" vertical="center"/>
    </xf>
    <xf numFmtId="0" fontId="16" fillId="5" borderId="0" xfId="0" applyFont="1" applyFill="1" applyAlignment="1">
      <alignment horizontal="left" vertical="center"/>
    </xf>
    <xf numFmtId="165" fontId="16" fillId="5" borderId="0" xfId="0" applyNumberFormat="1" applyFont="1" applyFill="1" applyAlignment="1">
      <alignment horizontal="center" vertical="center"/>
    </xf>
    <xf numFmtId="4" fontId="16" fillId="5" borderId="0" xfId="0" applyNumberFormat="1" applyFont="1" applyFill="1" applyAlignment="1">
      <alignment horizontal="center" vertical="center"/>
    </xf>
    <xf numFmtId="0" fontId="13" fillId="0" borderId="0" xfId="0" applyFont="1" applyAlignment="1">
      <alignment vertical="center" wrapText="1"/>
    </xf>
    <xf numFmtId="0" fontId="17" fillId="0" borderId="0" xfId="0" applyFont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2" fontId="19" fillId="0" borderId="0" xfId="0" applyNumberFormat="1" applyFont="1" applyAlignment="1">
      <alignment horizontal="center" vertical="center" wrapText="1"/>
    </xf>
    <xf numFmtId="2" fontId="13" fillId="0" borderId="0" xfId="0" applyNumberFormat="1" applyFont="1" applyAlignment="1">
      <alignment vertical="center" wrapText="1"/>
    </xf>
    <xf numFmtId="0" fontId="0" fillId="0" borderId="0" xfId="0" applyAlignment="1">
      <alignment vertical="center" wrapText="1"/>
    </xf>
    <xf numFmtId="2" fontId="0" fillId="0" borderId="0" xfId="0" applyNumberFormat="1" applyAlignment="1">
      <alignment vertical="center" wrapText="1"/>
    </xf>
    <xf numFmtId="0" fontId="21" fillId="0" borderId="0" xfId="0" applyFont="1" applyAlignment="1">
      <alignment vertical="center" wrapText="1"/>
    </xf>
    <xf numFmtId="2" fontId="8" fillId="0" borderId="27" xfId="0" applyNumberFormat="1" applyFont="1" applyBorder="1" applyAlignment="1">
      <alignment horizontal="center" vertical="center" wrapText="1"/>
    </xf>
    <xf numFmtId="2" fontId="21" fillId="0" borderId="0" xfId="0" applyNumberFormat="1" applyFont="1" applyAlignment="1">
      <alignment vertical="center" wrapText="1"/>
    </xf>
    <xf numFmtId="0" fontId="17" fillId="0" borderId="0" xfId="0" applyFont="1" applyAlignment="1">
      <alignment vertical="center" wrapText="1"/>
    </xf>
    <xf numFmtId="0" fontId="23" fillId="6" borderId="27" xfId="0" applyFont="1" applyFill="1" applyBorder="1" applyAlignment="1">
      <alignment horizontal="center" vertical="center" wrapText="1"/>
    </xf>
    <xf numFmtId="2" fontId="23" fillId="6" borderId="27" xfId="0" applyNumberFormat="1" applyFont="1" applyFill="1" applyBorder="1" applyAlignment="1">
      <alignment horizontal="center" vertical="center" wrapText="1"/>
    </xf>
    <xf numFmtId="2" fontId="17" fillId="0" borderId="0" xfId="0" applyNumberFormat="1" applyFont="1" applyAlignment="1">
      <alignment vertical="center" wrapText="1"/>
    </xf>
    <xf numFmtId="0" fontId="8" fillId="0" borderId="27" xfId="0" applyFont="1" applyBorder="1" applyAlignment="1">
      <alignment horizontal="left" vertical="center" wrapText="1"/>
    </xf>
    <xf numFmtId="0" fontId="8" fillId="0" borderId="27" xfId="0" applyFont="1" applyBorder="1" applyAlignment="1">
      <alignment horizontal="center" vertical="center" wrapText="1"/>
    </xf>
    <xf numFmtId="2" fontId="19" fillId="0" borderId="27" xfId="0" applyNumberFormat="1" applyFont="1" applyBorder="1" applyAlignment="1">
      <alignment horizontal="center" vertical="center" wrapText="1"/>
    </xf>
    <xf numFmtId="0" fontId="22" fillId="0" borderId="0" xfId="0" applyFont="1" applyAlignment="1">
      <alignment vertical="center" wrapText="1"/>
    </xf>
    <xf numFmtId="2" fontId="22" fillId="0" borderId="0" xfId="0" applyNumberFormat="1" applyFont="1" applyAlignment="1">
      <alignment vertical="center" wrapText="1"/>
    </xf>
    <xf numFmtId="0" fontId="13" fillId="0" borderId="0" xfId="0" applyFont="1" applyAlignment="1">
      <alignment horizontal="center" vertical="center" wrapText="1"/>
    </xf>
    <xf numFmtId="0" fontId="27" fillId="0" borderId="0" xfId="0" applyFont="1" applyAlignment="1"/>
    <xf numFmtId="0" fontId="26" fillId="0" borderId="0" xfId="0" applyFont="1" applyAlignment="1">
      <alignment vertical="center" wrapText="1"/>
    </xf>
    <xf numFmtId="0" fontId="30" fillId="2" borderId="29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11" fillId="0" borderId="0" xfId="0" applyFont="1" applyFill="1" applyBorder="1" applyAlignment="1">
      <alignment horizontal="center" vertical="center"/>
    </xf>
    <xf numFmtId="0" fontId="11" fillId="2" borderId="53" xfId="0" applyFont="1" applyFill="1" applyBorder="1" applyAlignment="1">
      <alignment horizontal="center" vertical="center"/>
    </xf>
    <xf numFmtId="0" fontId="12" fillId="2" borderId="26" xfId="0" applyFont="1" applyFill="1" applyBorder="1" applyAlignment="1">
      <alignment vertical="center"/>
    </xf>
    <xf numFmtId="44" fontId="0" fillId="9" borderId="28" xfId="0" applyNumberFormat="1" applyFill="1" applyBorder="1" applyAlignment="1">
      <alignment horizontal="center" vertical="center"/>
    </xf>
    <xf numFmtId="1" fontId="0" fillId="9" borderId="28" xfId="0" applyNumberFormat="1" applyFill="1" applyBorder="1" applyAlignment="1">
      <alignment horizontal="center" vertical="center"/>
    </xf>
    <xf numFmtId="44" fontId="0" fillId="9" borderId="31" xfId="0" applyNumberFormat="1" applyFill="1" applyBorder="1" applyAlignment="1">
      <alignment vertical="center"/>
    </xf>
    <xf numFmtId="0" fontId="12" fillId="2" borderId="42" xfId="0" applyFont="1" applyFill="1" applyBorder="1" applyAlignment="1">
      <alignment vertical="center"/>
    </xf>
    <xf numFmtId="44" fontId="0" fillId="9" borderId="43" xfId="0" applyNumberFormat="1" applyFill="1" applyBorder="1" applyAlignment="1">
      <alignment horizontal="center" vertical="center"/>
    </xf>
    <xf numFmtId="44" fontId="0" fillId="9" borderId="35" xfId="0" applyNumberFormat="1" applyFill="1" applyBorder="1" applyAlignment="1">
      <alignment horizontal="center" vertical="center"/>
    </xf>
    <xf numFmtId="44" fontId="0" fillId="9" borderId="49" xfId="0" applyNumberFormat="1" applyFill="1" applyBorder="1" applyAlignment="1">
      <alignment horizontal="center" vertical="center"/>
    </xf>
    <xf numFmtId="44" fontId="0" fillId="9" borderId="49" xfId="0" applyNumberFormat="1" applyFill="1" applyBorder="1"/>
    <xf numFmtId="44" fontId="0" fillId="9" borderId="28" xfId="0" applyNumberFormat="1" applyFill="1" applyBorder="1" applyAlignment="1">
      <alignment vertical="center"/>
    </xf>
    <xf numFmtId="44" fontId="0" fillId="9" borderId="43" xfId="0" applyNumberFormat="1" applyFill="1" applyBorder="1" applyAlignment="1">
      <alignment vertical="center"/>
    </xf>
    <xf numFmtId="44" fontId="0" fillId="9" borderId="21" xfId="0" applyNumberFormat="1" applyFill="1" applyBorder="1" applyAlignment="1">
      <alignment vertical="center"/>
    </xf>
    <xf numFmtId="1" fontId="17" fillId="0" borderId="27" xfId="0" applyNumberFormat="1" applyFont="1" applyBorder="1" applyAlignment="1">
      <alignment horizontal="center" vertical="center" wrapText="1"/>
    </xf>
    <xf numFmtId="0" fontId="0" fillId="0" borderId="0" xfId="0" applyFill="1"/>
    <xf numFmtId="0" fontId="23" fillId="6" borderId="32" xfId="0" applyFont="1" applyFill="1" applyBorder="1" applyAlignment="1">
      <alignment horizontal="center" vertical="center" wrapText="1"/>
    </xf>
    <xf numFmtId="0" fontId="25" fillId="4" borderId="53" xfId="0" applyFont="1" applyFill="1" applyBorder="1" applyAlignment="1">
      <alignment horizontal="center" vertical="center" wrapText="1"/>
    </xf>
    <xf numFmtId="0" fontId="33" fillId="0" borderId="49" xfId="0" applyFont="1" applyBorder="1" applyAlignment="1">
      <alignment horizontal="center" vertical="center" wrapText="1"/>
    </xf>
    <xf numFmtId="0" fontId="11" fillId="0" borderId="0" xfId="0" applyFont="1" applyFill="1" applyAlignment="1">
      <alignment horizontal="center" vertical="center"/>
    </xf>
    <xf numFmtId="0" fontId="30" fillId="2" borderId="26" xfId="0" applyFont="1" applyFill="1" applyBorder="1" applyAlignment="1">
      <alignment vertical="center"/>
    </xf>
    <xf numFmtId="1" fontId="0" fillId="9" borderId="25" xfId="0" applyNumberFormat="1" applyFill="1" applyBorder="1" applyAlignment="1">
      <alignment horizontal="center" vertical="center"/>
    </xf>
    <xf numFmtId="2" fontId="0" fillId="0" borderId="28" xfId="0" applyNumberFormat="1" applyBorder="1" applyAlignment="1">
      <alignment horizontal="center" vertical="center"/>
    </xf>
    <xf numFmtId="2" fontId="0" fillId="0" borderId="31" xfId="0" applyNumberFormat="1" applyBorder="1" applyAlignment="1">
      <alignment horizontal="center" vertical="center"/>
    </xf>
    <xf numFmtId="49" fontId="35" fillId="0" borderId="0" xfId="0" applyNumberFormat="1" applyFont="1"/>
    <xf numFmtId="49" fontId="37" fillId="2" borderId="4" xfId="0" applyNumberFormat="1" applyFont="1" applyFill="1" applyBorder="1" applyAlignment="1">
      <alignment horizontal="center" vertical="center"/>
    </xf>
    <xf numFmtId="49" fontId="35" fillId="0" borderId="63" xfId="0" applyNumberFormat="1" applyFont="1" applyFill="1" applyBorder="1" applyAlignment="1">
      <alignment horizontal="left" vertical="center" wrapText="1"/>
    </xf>
    <xf numFmtId="49" fontId="43" fillId="0" borderId="0" xfId="0" applyNumberFormat="1" applyFont="1" applyFill="1" applyAlignment="1">
      <alignment horizontal="center" vertical="center"/>
    </xf>
    <xf numFmtId="49" fontId="35" fillId="0" borderId="9" xfId="0" applyNumberFormat="1" applyFont="1" applyBorder="1" applyAlignment="1">
      <alignment horizontal="left" vertical="center"/>
    </xf>
    <xf numFmtId="49" fontId="35" fillId="0" borderId="11" xfId="0" applyNumberFormat="1" applyFont="1" applyBorder="1" applyAlignment="1">
      <alignment horizontal="left" vertical="center" wrapText="1"/>
    </xf>
    <xf numFmtId="49" fontId="35" fillId="0" borderId="6" xfId="0" applyNumberFormat="1" applyFont="1" applyBorder="1" applyAlignment="1">
      <alignment horizontal="left" vertical="center" wrapText="1"/>
    </xf>
    <xf numFmtId="49" fontId="35" fillId="0" borderId="0" xfId="0" applyNumberFormat="1" applyFont="1" applyAlignment="1">
      <alignment horizontal="center" vertical="center"/>
    </xf>
    <xf numFmtId="49" fontId="35" fillId="0" borderId="0" xfId="0" applyNumberFormat="1" applyFont="1" applyAlignment="1">
      <alignment horizontal="left" vertical="center" wrapText="1"/>
    </xf>
    <xf numFmtId="49" fontId="37" fillId="2" borderId="5" xfId="0" applyNumberFormat="1" applyFont="1" applyFill="1" applyBorder="1" applyAlignment="1">
      <alignment horizontal="center"/>
    </xf>
    <xf numFmtId="49" fontId="35" fillId="3" borderId="12" xfId="0" applyNumberFormat="1" applyFont="1" applyFill="1" applyBorder="1"/>
    <xf numFmtId="49" fontId="35" fillId="0" borderId="7" xfId="0" applyNumberFormat="1" applyFont="1" applyBorder="1"/>
    <xf numFmtId="49" fontId="35" fillId="0" borderId="13" xfId="0" applyNumberFormat="1" applyFont="1" applyBorder="1"/>
    <xf numFmtId="49" fontId="35" fillId="0" borderId="14" xfId="0" applyNumberFormat="1" applyFont="1" applyBorder="1"/>
    <xf numFmtId="49" fontId="41" fillId="0" borderId="13" xfId="0" applyNumberFormat="1" applyFont="1" applyBorder="1" applyAlignment="1">
      <alignment horizontal="center"/>
    </xf>
    <xf numFmtId="49" fontId="46" fillId="0" borderId="15" xfId="0" applyNumberFormat="1" applyFont="1" applyBorder="1" applyAlignment="1">
      <alignment horizontal="center" vertical="center"/>
    </xf>
    <xf numFmtId="49" fontId="35" fillId="0" borderId="11" xfId="0" applyNumberFormat="1" applyFont="1" applyBorder="1"/>
    <xf numFmtId="49" fontId="48" fillId="2" borderId="5" xfId="0" applyNumberFormat="1" applyFont="1" applyFill="1" applyBorder="1" applyAlignment="1">
      <alignment horizontal="center" vertical="center"/>
    </xf>
    <xf numFmtId="49" fontId="48" fillId="2" borderId="5" xfId="0" applyNumberFormat="1" applyFont="1" applyFill="1" applyBorder="1" applyAlignment="1">
      <alignment horizontal="center" vertical="center" wrapText="1"/>
    </xf>
    <xf numFmtId="0" fontId="33" fillId="0" borderId="36" xfId="0" applyFont="1" applyBorder="1" applyAlignment="1">
      <alignment horizontal="center" vertical="center" wrapText="1"/>
    </xf>
    <xf numFmtId="0" fontId="33" fillId="0" borderId="27" xfId="0" applyFont="1" applyBorder="1" applyAlignment="1">
      <alignment horizontal="center" vertical="center" wrapText="1"/>
    </xf>
    <xf numFmtId="49" fontId="35" fillId="0" borderId="0" xfId="0" applyNumberFormat="1" applyFont="1" applyAlignment="1">
      <alignment horizontal="center"/>
    </xf>
    <xf numFmtId="49" fontId="11" fillId="2" borderId="3" xfId="0" applyNumberFormat="1" applyFont="1" applyFill="1" applyBorder="1" applyAlignment="1">
      <alignment horizontal="center" vertical="center"/>
    </xf>
    <xf numFmtId="49" fontId="11" fillId="2" borderId="4" xfId="0" applyNumberFormat="1" applyFont="1" applyFill="1" applyBorder="1" applyAlignment="1">
      <alignment horizontal="center" vertical="center"/>
    </xf>
    <xf numFmtId="49" fontId="35" fillId="0" borderId="6" xfId="0" applyNumberFormat="1" applyFont="1" applyFill="1" applyBorder="1" applyAlignment="1">
      <alignment horizontal="left" vertical="center" wrapText="1"/>
    </xf>
    <xf numFmtId="49" fontId="41" fillId="0" borderId="0" xfId="0" applyNumberFormat="1" applyFont="1" applyFill="1" applyAlignment="1">
      <alignment horizontal="center" vertical="center"/>
    </xf>
    <xf numFmtId="49" fontId="35" fillId="0" borderId="7" xfId="0" applyNumberFormat="1" applyFont="1" applyFill="1" applyBorder="1" applyAlignment="1">
      <alignment horizontal="left" vertical="center" wrapText="1"/>
    </xf>
    <xf numFmtId="0" fontId="0" fillId="0" borderId="16" xfId="0" applyBorder="1"/>
    <xf numFmtId="0" fontId="0" fillId="9" borderId="15" xfId="0" applyFill="1" applyBorder="1"/>
    <xf numFmtId="9" fontId="11" fillId="2" borderId="26" xfId="0" applyNumberFormat="1" applyFont="1" applyFill="1" applyBorder="1" applyAlignment="1">
      <alignment horizontal="center" vertical="center"/>
    </xf>
    <xf numFmtId="9" fontId="11" fillId="2" borderId="29" xfId="0" applyNumberFormat="1" applyFont="1" applyFill="1" applyBorder="1" applyAlignment="1">
      <alignment horizontal="center" vertical="center"/>
    </xf>
    <xf numFmtId="0" fontId="60" fillId="0" borderId="0" xfId="0" applyFont="1" applyAlignment="1">
      <alignment horizontal="center" vertical="center"/>
    </xf>
    <xf numFmtId="0" fontId="60" fillId="0" borderId="0" xfId="0" applyFont="1"/>
    <xf numFmtId="0" fontId="60" fillId="0" borderId="0" xfId="0" applyFont="1" applyAlignment="1">
      <alignment vertical="center"/>
    </xf>
    <xf numFmtId="0" fontId="5" fillId="0" borderId="69" xfId="6" applyFont="1" applyBorder="1" applyAlignment="1" applyProtection="1">
      <alignment horizontal="center" vertical="center"/>
    </xf>
    <xf numFmtId="0" fontId="5" fillId="0" borderId="69" xfId="6" applyFont="1" applyBorder="1" applyAlignment="1" applyProtection="1">
      <alignment vertical="center"/>
    </xf>
    <xf numFmtId="0" fontId="1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44" fontId="7" fillId="11" borderId="73" xfId="6" applyNumberFormat="1" applyFont="1" applyFill="1" applyBorder="1" applyAlignment="1" applyProtection="1">
      <alignment horizontal="center" vertical="center" wrapText="1"/>
    </xf>
    <xf numFmtId="0" fontId="13" fillId="0" borderId="0" xfId="0" applyFont="1" applyAlignment="1">
      <alignment horizontal="left" vertical="center" wrapText="1"/>
    </xf>
    <xf numFmtId="0" fontId="61" fillId="0" borderId="0" xfId="0" applyFont="1" applyFill="1" applyAlignment="1"/>
    <xf numFmtId="0" fontId="68" fillId="10" borderId="78" xfId="0" applyFont="1" applyFill="1" applyBorder="1" applyAlignment="1">
      <alignment horizontal="center" vertical="center"/>
    </xf>
    <xf numFmtId="0" fontId="68" fillId="10" borderId="78" xfId="0" applyFont="1" applyFill="1" applyBorder="1" applyAlignment="1">
      <alignment horizontal="center" vertical="center" wrapText="1"/>
    </xf>
    <xf numFmtId="2" fontId="68" fillId="10" borderId="78" xfId="0" applyNumberFormat="1" applyFont="1" applyFill="1" applyBorder="1" applyAlignment="1">
      <alignment horizontal="center" vertical="center"/>
    </xf>
    <xf numFmtId="44" fontId="68" fillId="10" borderId="78" xfId="0" applyNumberFormat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 wrapText="1"/>
    </xf>
    <xf numFmtId="9" fontId="27" fillId="0" borderId="0" xfId="0" applyNumberFormat="1" applyFont="1" applyAlignment="1">
      <alignment horizontal="center" vertical="center" wrapText="1"/>
    </xf>
    <xf numFmtId="0" fontId="32" fillId="0" borderId="0" xfId="0" applyFont="1" applyAlignment="1">
      <alignment horizontal="center" vertical="center" wrapText="1"/>
    </xf>
    <xf numFmtId="0" fontId="5" fillId="0" borderId="103" xfId="6" applyFont="1" applyFill="1" applyBorder="1" applyAlignment="1" applyProtection="1">
      <alignment horizontal="center" vertical="center"/>
    </xf>
    <xf numFmtId="0" fontId="5" fillId="0" borderId="103" xfId="6" applyFont="1" applyFill="1" applyBorder="1" applyAlignment="1" applyProtection="1">
      <alignment vertical="center"/>
    </xf>
    <xf numFmtId="0" fontId="55" fillId="0" borderId="103" xfId="6" applyFont="1" applyFill="1" applyBorder="1" applyAlignment="1" applyProtection="1">
      <alignment horizontal="center" vertical="center"/>
    </xf>
    <xf numFmtId="0" fontId="5" fillId="0" borderId="104" xfId="6" applyFont="1" applyFill="1" applyBorder="1" applyAlignment="1" applyProtection="1">
      <alignment horizontal="center" vertical="center"/>
    </xf>
    <xf numFmtId="0" fontId="54" fillId="0" borderId="66" xfId="6" applyFont="1" applyBorder="1" applyAlignment="1" applyProtection="1">
      <alignment horizontal="center" vertical="center" wrapText="1"/>
    </xf>
    <xf numFmtId="0" fontId="5" fillId="0" borderId="66" xfId="6" applyFont="1" applyBorder="1" applyAlignment="1" applyProtection="1">
      <alignment horizontal="center" vertical="center"/>
    </xf>
    <xf numFmtId="0" fontId="52" fillId="0" borderId="66" xfId="6" applyFont="1" applyBorder="1" applyAlignment="1" applyProtection="1">
      <alignment horizontal="center" vertical="center" wrapText="1"/>
    </xf>
    <xf numFmtId="0" fontId="5" fillId="0" borderId="66" xfId="6" applyFont="1" applyBorder="1" applyAlignment="1" applyProtection="1">
      <alignment vertical="center"/>
    </xf>
    <xf numFmtId="49" fontId="7" fillId="0" borderId="66" xfId="6" applyNumberFormat="1" applyFont="1" applyBorder="1" applyAlignment="1" applyProtection="1">
      <alignment horizontal="center" vertical="center" wrapText="1"/>
    </xf>
    <xf numFmtId="49" fontId="7" fillId="0" borderId="67" xfId="6" applyNumberFormat="1" applyFont="1" applyBorder="1" applyAlignment="1" applyProtection="1">
      <alignment horizontal="center" vertical="center" wrapText="1"/>
    </xf>
    <xf numFmtId="0" fontId="5" fillId="0" borderId="67" xfId="6" applyFont="1" applyBorder="1" applyAlignment="1" applyProtection="1">
      <alignment horizontal="center" vertical="center"/>
    </xf>
    <xf numFmtId="0" fontId="5" fillId="0" borderId="65" xfId="6" applyFont="1" applyBorder="1" applyAlignment="1" applyProtection="1">
      <alignment horizontal="center" vertical="center"/>
    </xf>
    <xf numFmtId="1" fontId="7" fillId="11" borderId="77" xfId="6" applyNumberFormat="1" applyFont="1" applyFill="1" applyBorder="1" applyAlignment="1" applyProtection="1">
      <alignment horizontal="center" vertical="center" wrapText="1"/>
    </xf>
    <xf numFmtId="1" fontId="7" fillId="11" borderId="72" xfId="6" applyNumberFormat="1" applyFont="1" applyFill="1" applyBorder="1" applyAlignment="1" applyProtection="1">
      <alignment horizontal="center" vertical="center" wrapText="1"/>
    </xf>
    <xf numFmtId="44" fontId="7" fillId="11" borderId="76" xfId="6" applyNumberFormat="1" applyFont="1" applyFill="1" applyBorder="1" applyAlignment="1" applyProtection="1">
      <alignment horizontal="center" vertical="center" wrapText="1"/>
    </xf>
    <xf numFmtId="44" fontId="7" fillId="11" borderId="96" xfId="6" applyNumberFormat="1" applyFont="1" applyFill="1" applyBorder="1" applyAlignment="1" applyProtection="1">
      <alignment horizontal="center" vertical="center" wrapText="1"/>
    </xf>
    <xf numFmtId="1" fontId="56" fillId="3" borderId="88" xfId="6" applyNumberFormat="1" applyFont="1" applyFill="1" applyBorder="1" applyAlignment="1" applyProtection="1">
      <alignment horizontal="center" vertical="center" wrapText="1"/>
    </xf>
    <xf numFmtId="1" fontId="56" fillId="3" borderId="75" xfId="6" applyNumberFormat="1" applyFont="1" applyFill="1" applyBorder="1" applyAlignment="1" applyProtection="1">
      <alignment horizontal="center" vertical="center" wrapText="1"/>
    </xf>
    <xf numFmtId="1" fontId="56" fillId="3" borderId="89" xfId="6" applyNumberFormat="1" applyFont="1" applyFill="1" applyBorder="1" applyAlignment="1" applyProtection="1">
      <alignment horizontal="center" vertical="center" wrapText="1"/>
    </xf>
    <xf numFmtId="1" fontId="56" fillId="3" borderId="93" xfId="6" applyNumberFormat="1" applyFont="1" applyFill="1" applyBorder="1" applyAlignment="1" applyProtection="1">
      <alignment horizontal="center" vertical="center" wrapText="1"/>
    </xf>
    <xf numFmtId="1" fontId="56" fillId="3" borderId="97" xfId="6" applyNumberFormat="1" applyFont="1" applyFill="1" applyBorder="1" applyAlignment="1" applyProtection="1">
      <alignment horizontal="center" vertical="center" wrapText="1"/>
    </xf>
    <xf numFmtId="1" fontId="56" fillId="3" borderId="98" xfId="6" applyNumberFormat="1" applyFont="1" applyFill="1" applyBorder="1" applyAlignment="1" applyProtection="1">
      <alignment horizontal="center" vertical="center" wrapText="1"/>
    </xf>
    <xf numFmtId="0" fontId="58" fillId="10" borderId="90" xfId="6" applyFont="1" applyFill="1" applyBorder="1" applyAlignment="1" applyProtection="1">
      <alignment horizontal="center" vertical="center"/>
    </xf>
    <xf numFmtId="2" fontId="6" fillId="0" borderId="90" xfId="6" applyNumberFormat="1" applyFont="1" applyFill="1" applyBorder="1" applyAlignment="1" applyProtection="1">
      <alignment horizontal="center" vertical="center"/>
    </xf>
    <xf numFmtId="44" fontId="6" fillId="0" borderId="90" xfId="6" applyNumberFormat="1" applyFont="1" applyFill="1" applyBorder="1" applyAlignment="1" applyProtection="1">
      <alignment horizontal="center" vertical="center"/>
    </xf>
    <xf numFmtId="44" fontId="6" fillId="11" borderId="100" xfId="6" applyNumberFormat="1" applyFont="1" applyFill="1" applyBorder="1" applyAlignment="1" applyProtection="1">
      <alignment vertical="center"/>
    </xf>
    <xf numFmtId="44" fontId="6" fillId="11" borderId="101" xfId="6" applyNumberFormat="1" applyFont="1" applyFill="1" applyBorder="1" applyAlignment="1" applyProtection="1">
      <alignment horizontal="center" vertical="center"/>
    </xf>
    <xf numFmtId="44" fontId="6" fillId="11" borderId="100" xfId="6" applyNumberFormat="1" applyFont="1" applyFill="1" applyBorder="1" applyAlignment="1" applyProtection="1">
      <alignment horizontal="center" vertical="center"/>
    </xf>
    <xf numFmtId="44" fontId="6" fillId="11" borderId="94" xfId="6" applyNumberFormat="1" applyFont="1" applyFill="1" applyBorder="1" applyAlignment="1" applyProtection="1">
      <alignment horizontal="center" vertical="center"/>
    </xf>
    <xf numFmtId="0" fontId="5" fillId="0" borderId="81" xfId="6" applyFont="1" applyBorder="1" applyAlignment="1" applyProtection="1">
      <alignment vertical="center"/>
    </xf>
    <xf numFmtId="0" fontId="5" fillId="0" borderId="64" xfId="6" applyFont="1" applyBorder="1" applyAlignment="1" applyProtection="1">
      <alignment vertical="center"/>
    </xf>
    <xf numFmtId="0" fontId="5" fillId="0" borderId="74" xfId="6" applyFont="1" applyBorder="1" applyAlignment="1" applyProtection="1">
      <alignment horizontal="center" vertical="center"/>
    </xf>
    <xf numFmtId="0" fontId="5" fillId="0" borderId="71" xfId="6" applyFont="1" applyBorder="1" applyAlignment="1" applyProtection="1">
      <alignment horizontal="center" vertical="center"/>
    </xf>
    <xf numFmtId="0" fontId="5" fillId="0" borderId="0" xfId="6" applyFont="1" applyBorder="1" applyAlignment="1" applyProtection="1">
      <alignment vertical="center"/>
    </xf>
    <xf numFmtId="0" fontId="32" fillId="0" borderId="0" xfId="6" applyFont="1" applyBorder="1" applyAlignment="1" applyProtection="1">
      <alignment horizontal="center" vertical="center"/>
    </xf>
    <xf numFmtId="1" fontId="52" fillId="3" borderId="81" xfId="6" applyNumberFormat="1" applyFont="1" applyFill="1" applyBorder="1" applyAlignment="1" applyProtection="1">
      <alignment horizontal="center" vertical="center" wrapText="1"/>
    </xf>
    <xf numFmtId="1" fontId="52" fillId="3" borderId="110" xfId="6" applyNumberFormat="1" applyFont="1" applyFill="1" applyBorder="1" applyAlignment="1" applyProtection="1">
      <alignment horizontal="center" vertical="center" wrapText="1"/>
    </xf>
    <xf numFmtId="1" fontId="52" fillId="3" borderId="74" xfId="6" applyNumberFormat="1" applyFont="1" applyFill="1" applyBorder="1" applyAlignment="1" applyProtection="1">
      <alignment horizontal="center" vertical="center" wrapText="1"/>
    </xf>
    <xf numFmtId="1" fontId="52" fillId="3" borderId="70" xfId="6" applyNumberFormat="1" applyFont="1" applyFill="1" applyBorder="1" applyAlignment="1" applyProtection="1">
      <alignment horizontal="center" vertical="center" wrapText="1"/>
    </xf>
    <xf numFmtId="1" fontId="52" fillId="3" borderId="111" xfId="6" applyNumberFormat="1" applyFont="1" applyFill="1" applyBorder="1" applyAlignment="1" applyProtection="1">
      <alignment horizontal="center" vertical="center" wrapText="1"/>
    </xf>
    <xf numFmtId="0" fontId="10" fillId="0" borderId="107" xfId="6" applyFont="1" applyFill="1" applyBorder="1" applyAlignment="1" applyProtection="1">
      <alignment vertical="center" wrapText="1"/>
    </xf>
    <xf numFmtId="0" fontId="10" fillId="0" borderId="105" xfId="6" applyFont="1" applyFill="1" applyBorder="1" applyAlignment="1" applyProtection="1">
      <alignment vertical="center" wrapText="1"/>
    </xf>
    <xf numFmtId="1" fontId="56" fillId="3" borderId="118" xfId="6" applyNumberFormat="1" applyFont="1" applyFill="1" applyBorder="1" applyAlignment="1" applyProtection="1">
      <alignment horizontal="center" vertical="center"/>
    </xf>
    <xf numFmtId="49" fontId="56" fillId="3" borderId="118" xfId="6" applyNumberFormat="1" applyFont="1" applyFill="1" applyBorder="1" applyAlignment="1" applyProtection="1">
      <alignment horizontal="center" vertical="center" wrapText="1"/>
    </xf>
    <xf numFmtId="1" fontId="56" fillId="3" borderId="120" xfId="6" applyNumberFormat="1" applyFont="1" applyFill="1" applyBorder="1" applyAlignment="1" applyProtection="1">
      <alignment horizontal="center" vertical="center" wrapText="1"/>
    </xf>
    <xf numFmtId="1" fontId="56" fillId="3" borderId="121" xfId="6" applyNumberFormat="1" applyFont="1" applyFill="1" applyBorder="1" applyAlignment="1" applyProtection="1">
      <alignment horizontal="center" vertical="center" wrapText="1"/>
    </xf>
    <xf numFmtId="1" fontId="56" fillId="3" borderId="117" xfId="6" applyNumberFormat="1" applyFont="1" applyFill="1" applyBorder="1" applyAlignment="1" applyProtection="1">
      <alignment horizontal="center" vertical="center" wrapText="1"/>
    </xf>
    <xf numFmtId="0" fontId="52" fillId="3" borderId="123" xfId="6" applyFont="1" applyFill="1" applyBorder="1" applyAlignment="1" applyProtection="1">
      <alignment horizontal="left" vertical="center" wrapText="1"/>
    </xf>
    <xf numFmtId="0" fontId="52" fillId="3" borderId="91" xfId="6" applyFont="1" applyFill="1" applyBorder="1" applyAlignment="1" applyProtection="1">
      <alignment horizontal="left" vertical="center" wrapText="1"/>
    </xf>
    <xf numFmtId="0" fontId="52" fillId="3" borderId="105" xfId="6" applyFont="1" applyFill="1" applyBorder="1" applyAlignment="1" applyProtection="1">
      <alignment horizontal="left" vertical="center" wrapText="1"/>
    </xf>
    <xf numFmtId="0" fontId="7" fillId="3" borderId="109" xfId="6" applyFont="1" applyFill="1" applyBorder="1" applyAlignment="1" applyProtection="1">
      <alignment vertical="center" wrapText="1"/>
    </xf>
    <xf numFmtId="0" fontId="52" fillId="3" borderId="127" xfId="6" applyFont="1" applyFill="1" applyBorder="1" applyAlignment="1" applyProtection="1">
      <alignment horizontal="left" vertical="center" wrapText="1"/>
    </xf>
    <xf numFmtId="0" fontId="52" fillId="3" borderId="71" xfId="6" applyFont="1" applyFill="1" applyBorder="1" applyAlignment="1" applyProtection="1">
      <alignment horizontal="left" vertical="center" wrapText="1"/>
    </xf>
    <xf numFmtId="0" fontId="52" fillId="3" borderId="72" xfId="6" applyFont="1" applyFill="1" applyBorder="1" applyAlignment="1" applyProtection="1">
      <alignment horizontal="left" vertical="center" wrapText="1"/>
    </xf>
    <xf numFmtId="0" fontId="11" fillId="3" borderId="0" xfId="0" applyFont="1" applyFill="1" applyAlignment="1">
      <alignment horizontal="center" vertical="center"/>
    </xf>
    <xf numFmtId="0" fontId="0" fillId="0" borderId="0" xfId="0" applyAlignment="1" applyProtection="1">
      <alignment horizontal="center"/>
      <protection locked="0"/>
    </xf>
    <xf numFmtId="0" fontId="25" fillId="11" borderId="78" xfId="0" applyFont="1" applyFill="1" applyBorder="1" applyAlignment="1" applyProtection="1">
      <alignment horizontal="center" vertical="center" wrapText="1"/>
      <protection locked="0"/>
    </xf>
    <xf numFmtId="0" fontId="70" fillId="0" borderId="78" xfId="0" applyFont="1" applyBorder="1" applyAlignment="1" applyProtection="1">
      <alignment horizontal="left" vertical="center" wrapText="1"/>
      <protection locked="0"/>
    </xf>
    <xf numFmtId="49" fontId="41" fillId="0" borderId="0" xfId="0" applyNumberFormat="1" applyFont="1" applyFill="1" applyBorder="1" applyAlignment="1">
      <alignment horizontal="center" vertical="center"/>
    </xf>
    <xf numFmtId="49" fontId="35" fillId="0" borderId="0" xfId="0" applyNumberFormat="1" applyFont="1" applyFill="1" applyBorder="1"/>
    <xf numFmtId="49" fontId="36" fillId="0" borderId="0" xfId="0" applyNumberFormat="1" applyFont="1" applyFill="1" applyBorder="1" applyAlignment="1"/>
    <xf numFmtId="0" fontId="0" fillId="0" borderId="0" xfId="0" applyFill="1" applyBorder="1"/>
    <xf numFmtId="49" fontId="35" fillId="0" borderId="0" xfId="0" applyNumberFormat="1" applyFont="1" applyFill="1" applyBorder="1" applyAlignment="1">
      <alignment horizontal="center"/>
    </xf>
    <xf numFmtId="49" fontId="38" fillId="0" borderId="0" xfId="0" applyNumberFormat="1" applyFont="1" applyFill="1" applyBorder="1" applyAlignment="1">
      <alignment horizontal="left" vertical="center"/>
    </xf>
    <xf numFmtId="49" fontId="75" fillId="0" borderId="0" xfId="0" applyNumberFormat="1" applyFont="1" applyFill="1" applyBorder="1" applyAlignment="1">
      <alignment horizontal="center" vertical="center"/>
    </xf>
    <xf numFmtId="49" fontId="76" fillId="0" borderId="0" xfId="0" applyNumberFormat="1" applyFont="1" applyFill="1" applyBorder="1" applyAlignment="1">
      <alignment horizontal="center" vertical="center"/>
    </xf>
    <xf numFmtId="1" fontId="56" fillId="3" borderId="118" xfId="6" applyNumberFormat="1" applyFont="1" applyFill="1" applyBorder="1" applyAlignment="1" applyProtection="1">
      <alignment horizontal="center" vertical="center" wrapText="1"/>
    </xf>
    <xf numFmtId="0" fontId="14" fillId="0" borderId="0" xfId="0" applyFont="1" applyAlignment="1">
      <alignment horizontal="center" vertical="center"/>
    </xf>
    <xf numFmtId="0" fontId="11" fillId="8" borderId="37" xfId="0" applyFont="1" applyFill="1" applyBorder="1" applyAlignment="1">
      <alignment horizontal="center" vertical="center"/>
    </xf>
    <xf numFmtId="0" fontId="11" fillId="8" borderId="38" xfId="0" applyFont="1" applyFill="1" applyBorder="1" applyAlignment="1">
      <alignment horizontal="center" vertical="center"/>
    </xf>
    <xf numFmtId="0" fontId="11" fillId="8" borderId="38" xfId="0" applyFont="1" applyFill="1" applyBorder="1" applyAlignment="1">
      <alignment horizontal="center" vertical="center" wrapText="1"/>
    </xf>
    <xf numFmtId="0" fontId="11" fillId="8" borderId="39" xfId="0" applyFont="1" applyFill="1" applyBorder="1" applyAlignment="1">
      <alignment horizontal="center" vertical="center"/>
    </xf>
    <xf numFmtId="49" fontId="3" fillId="0" borderId="33" xfId="0" applyNumberFormat="1" applyFont="1" applyBorder="1" applyAlignment="1">
      <alignment vertical="center" wrapText="1"/>
    </xf>
    <xf numFmtId="49" fontId="3" fillId="0" borderId="33" xfId="0" applyNumberFormat="1" applyFont="1" applyBorder="1" applyAlignment="1">
      <alignment horizontal="center" vertical="center" wrapText="1"/>
    </xf>
    <xf numFmtId="49" fontId="3" fillId="0" borderId="27" xfId="0" applyNumberFormat="1" applyFont="1" applyBorder="1" applyAlignment="1">
      <alignment vertical="center" wrapText="1"/>
    </xf>
    <xf numFmtId="49" fontId="3" fillId="0" borderId="30" xfId="0" applyNumberFormat="1" applyFont="1" applyBorder="1" applyAlignment="1">
      <alignment vertical="center" wrapText="1"/>
    </xf>
    <xf numFmtId="0" fontId="78" fillId="0" borderId="99" xfId="6" applyFont="1" applyBorder="1" applyAlignment="1" applyProtection="1">
      <alignment horizontal="center" vertical="center"/>
      <protection locked="0"/>
    </xf>
    <xf numFmtId="0" fontId="68" fillId="0" borderId="90" xfId="6" applyFont="1" applyBorder="1" applyAlignment="1" applyProtection="1">
      <alignment horizontal="center" vertical="center" wrapText="1"/>
    </xf>
    <xf numFmtId="0" fontId="32" fillId="0" borderId="90" xfId="6" applyFont="1" applyBorder="1" applyAlignment="1" applyProtection="1">
      <alignment horizontal="center" vertical="center" wrapText="1"/>
    </xf>
    <xf numFmtId="164" fontId="58" fillId="10" borderId="90" xfId="6" applyNumberFormat="1" applyFont="1" applyFill="1" applyBorder="1" applyAlignment="1" applyProtection="1">
      <alignment horizontal="center" vertical="center"/>
    </xf>
    <xf numFmtId="0" fontId="74" fillId="11" borderId="78" xfId="0" applyFont="1" applyFill="1" applyBorder="1" applyAlignment="1">
      <alignment horizontal="center" vertical="center"/>
    </xf>
    <xf numFmtId="0" fontId="0" fillId="11" borderId="78" xfId="0" applyFill="1" applyBorder="1" applyAlignment="1">
      <alignment horizontal="left"/>
    </xf>
    <xf numFmtId="0" fontId="0" fillId="11" borderId="78" xfId="0" applyFill="1" applyBorder="1"/>
    <xf numFmtId="44" fontId="0" fillId="11" borderId="78" xfId="0" applyNumberFormat="1" applyFill="1" applyBorder="1" applyAlignment="1">
      <alignment horizontal="center"/>
    </xf>
    <xf numFmtId="0" fontId="0" fillId="11" borderId="78" xfId="0" applyFill="1" applyBorder="1" applyAlignment="1" applyProtection="1">
      <alignment horizontal="center"/>
      <protection locked="0"/>
    </xf>
    <xf numFmtId="0" fontId="74" fillId="0" borderId="78" xfId="0" applyFont="1" applyFill="1" applyBorder="1" applyAlignment="1">
      <alignment horizontal="center" vertical="center"/>
    </xf>
    <xf numFmtId="0" fontId="0" fillId="0" borderId="78" xfId="0" applyFill="1" applyBorder="1" applyAlignment="1">
      <alignment horizontal="left"/>
    </xf>
    <xf numFmtId="0" fontId="0" fillId="0" borderId="78" xfId="0" applyFill="1" applyBorder="1"/>
    <xf numFmtId="44" fontId="0" fillId="0" borderId="78" xfId="0" applyNumberFormat="1" applyFill="1" applyBorder="1" applyAlignment="1">
      <alignment horizontal="center"/>
    </xf>
    <xf numFmtId="0" fontId="0" fillId="0" borderId="78" xfId="0" applyFill="1" applyBorder="1" applyAlignment="1" applyProtection="1">
      <alignment horizontal="center"/>
      <protection locked="0"/>
    </xf>
    <xf numFmtId="0" fontId="0" fillId="0" borderId="84" xfId="0" applyBorder="1" applyAlignment="1">
      <alignment horizontal="center"/>
    </xf>
    <xf numFmtId="0" fontId="5" fillId="0" borderId="0" xfId="0" applyFont="1" applyFill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vertical="center" wrapText="1"/>
      <protection locked="0"/>
    </xf>
    <xf numFmtId="0" fontId="5" fillId="0" borderId="0" xfId="0" applyFont="1" applyAlignment="1" applyProtection="1">
      <alignment horizontal="center" vertical="center" wrapText="1"/>
      <protection locked="0"/>
    </xf>
    <xf numFmtId="0" fontId="32" fillId="0" borderId="0" xfId="0" applyFont="1" applyAlignment="1" applyProtection="1">
      <alignment horizontal="center" vertical="center" wrapText="1"/>
      <protection locked="0"/>
    </xf>
    <xf numFmtId="0" fontId="6" fillId="0" borderId="0" xfId="1" applyNumberFormat="1" applyFont="1" applyFill="1" applyBorder="1" applyAlignment="1" applyProtection="1">
      <alignment horizontal="center" vertical="center"/>
      <protection locked="0"/>
    </xf>
    <xf numFmtId="0" fontId="27" fillId="0" borderId="0" xfId="0" applyNumberFormat="1" applyFont="1" applyAlignment="1" applyProtection="1">
      <alignment horizontal="center" vertical="center" wrapText="1"/>
      <protection locked="0"/>
    </xf>
    <xf numFmtId="0" fontId="6" fillId="0" borderId="0" xfId="1" applyNumberFormat="1" applyFont="1" applyFill="1" applyAlignment="1" applyProtection="1">
      <alignment horizontal="center" vertical="center"/>
      <protection locked="0"/>
    </xf>
    <xf numFmtId="0" fontId="6" fillId="0" borderId="0" xfId="0" applyFont="1" applyAlignment="1" applyProtection="1">
      <alignment vertical="center" wrapText="1"/>
      <protection locked="0"/>
    </xf>
    <xf numFmtId="44" fontId="0" fillId="0" borderId="28" xfId="0" applyNumberFormat="1" applyBorder="1" applyAlignment="1" applyProtection="1">
      <alignment horizontal="center" vertical="center"/>
      <protection locked="0"/>
    </xf>
    <xf numFmtId="0" fontId="27" fillId="0" borderId="0" xfId="0" applyFont="1" applyFill="1" applyAlignment="1">
      <alignment horizontal="center" vertical="center" wrapText="1"/>
    </xf>
    <xf numFmtId="0" fontId="79" fillId="0" borderId="0" xfId="0" applyFont="1" applyFill="1" applyAlignment="1" applyProtection="1">
      <alignment horizontal="center" vertical="center" wrapText="1"/>
      <protection locked="0"/>
    </xf>
    <xf numFmtId="0" fontId="67" fillId="0" borderId="0" xfId="0" applyNumberFormat="1" applyFont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 wrapText="1"/>
      <protection locked="0"/>
    </xf>
    <xf numFmtId="0" fontId="7" fillId="0" borderId="0" xfId="0" applyFont="1" applyAlignment="1" applyProtection="1">
      <alignment horizontal="center" vertical="center" wrapText="1"/>
      <protection locked="0"/>
    </xf>
    <xf numFmtId="164" fontId="5" fillId="0" borderId="0" xfId="0" applyNumberFormat="1" applyFont="1" applyAlignment="1" applyProtection="1">
      <alignment vertical="center" wrapText="1"/>
      <protection locked="0"/>
    </xf>
    <xf numFmtId="164" fontId="6" fillId="0" borderId="0" xfId="0" applyNumberFormat="1" applyFont="1" applyAlignment="1" applyProtection="1">
      <alignment vertical="center" wrapText="1"/>
      <protection locked="0"/>
    </xf>
    <xf numFmtId="0" fontId="6" fillId="0" borderId="0" xfId="0" applyFont="1" applyFill="1" applyAlignment="1" applyProtection="1">
      <alignment horizontal="center" vertical="center" wrapText="1"/>
      <protection locked="0"/>
    </xf>
    <xf numFmtId="0" fontId="13" fillId="0" borderId="78" xfId="0" applyFont="1" applyBorder="1" applyAlignment="1">
      <alignment horizontal="center" vertical="center"/>
    </xf>
    <xf numFmtId="0" fontId="56" fillId="3" borderId="78" xfId="0" applyFont="1" applyFill="1" applyBorder="1" applyAlignment="1">
      <alignment vertical="center" wrapText="1"/>
    </xf>
    <xf numFmtId="0" fontId="57" fillId="3" borderId="78" xfId="0" applyFont="1" applyFill="1" applyBorder="1" applyAlignment="1">
      <alignment horizontal="center" vertical="center"/>
    </xf>
    <xf numFmtId="0" fontId="57" fillId="3" borderId="78" xfId="0" applyFont="1" applyFill="1" applyBorder="1" applyAlignment="1">
      <alignment horizontal="center" vertical="center" wrapText="1"/>
    </xf>
    <xf numFmtId="0" fontId="68" fillId="10" borderId="78" xfId="0" applyFont="1" applyFill="1" applyBorder="1" applyAlignment="1">
      <alignment vertical="center" wrapText="1"/>
    </xf>
    <xf numFmtId="0" fontId="13" fillId="0" borderId="78" xfId="0" applyFont="1" applyBorder="1" applyAlignment="1">
      <alignment horizontal="center" vertical="center" wrapText="1"/>
    </xf>
    <xf numFmtId="0" fontId="67" fillId="0" borderId="78" xfId="0" applyNumberFormat="1" applyFont="1" applyFill="1" applyBorder="1" applyAlignment="1">
      <alignment vertical="center"/>
    </xf>
    <xf numFmtId="0" fontId="5" fillId="0" borderId="139" xfId="0" applyFont="1" applyBorder="1"/>
    <xf numFmtId="0" fontId="56" fillId="3" borderId="139" xfId="0" applyFont="1" applyFill="1" applyBorder="1" applyAlignment="1">
      <alignment horizontal="center" vertical="center" wrapText="1"/>
    </xf>
    <xf numFmtId="49" fontId="56" fillId="3" borderId="139" xfId="0" applyNumberFormat="1" applyFont="1" applyFill="1" applyBorder="1" applyAlignment="1">
      <alignment horizontal="center" vertical="center" wrapText="1"/>
    </xf>
    <xf numFmtId="0" fontId="5" fillId="0" borderId="139" xfId="0" applyFont="1" applyFill="1" applyBorder="1"/>
    <xf numFmtId="0" fontId="58" fillId="0" borderId="139" xfId="0" applyFont="1" applyFill="1" applyBorder="1" applyAlignment="1">
      <alignment vertical="center" wrapText="1"/>
    </xf>
    <xf numFmtId="164" fontId="58" fillId="0" borderId="139" xfId="0" applyNumberFormat="1" applyFont="1" applyFill="1" applyBorder="1" applyAlignment="1">
      <alignment horizontal="center" vertical="center"/>
    </xf>
    <xf numFmtId="0" fontId="58" fillId="0" borderId="139" xfId="0" applyFont="1" applyFill="1" applyBorder="1" applyAlignment="1">
      <alignment horizontal="center" vertical="center"/>
    </xf>
    <xf numFmtId="0" fontId="58" fillId="0" borderId="139" xfId="0" applyNumberFormat="1" applyFont="1" applyFill="1" applyBorder="1" applyAlignment="1">
      <alignment horizontal="center" vertical="center"/>
    </xf>
    <xf numFmtId="0" fontId="5" fillId="0" borderId="139" xfId="0" applyFont="1" applyBorder="1" applyAlignment="1">
      <alignment horizontal="center" vertical="center"/>
    </xf>
    <xf numFmtId="49" fontId="75" fillId="12" borderId="78" xfId="0" applyNumberFormat="1" applyFont="1" applyFill="1" applyBorder="1" applyAlignment="1">
      <alignment horizontal="center" vertical="center"/>
    </xf>
    <xf numFmtId="49" fontId="35" fillId="0" borderId="78" xfId="0" applyNumberFormat="1" applyFont="1" applyBorder="1" applyAlignment="1">
      <alignment horizontal="center"/>
    </xf>
    <xf numFmtId="49" fontId="35" fillId="0" borderId="145" xfId="0" applyNumberFormat="1" applyFont="1" applyBorder="1" applyAlignment="1">
      <alignment horizontal="center"/>
    </xf>
    <xf numFmtId="49" fontId="35" fillId="0" borderId="147" xfId="0" applyNumberFormat="1" applyFont="1" applyBorder="1" applyAlignment="1">
      <alignment horizontal="center"/>
    </xf>
    <xf numFmtId="49" fontId="35" fillId="0" borderId="148" xfId="0" applyNumberFormat="1" applyFont="1" applyBorder="1" applyAlignment="1">
      <alignment horizontal="center"/>
    </xf>
    <xf numFmtId="49" fontId="81" fillId="0" borderId="144" xfId="0" applyNumberFormat="1" applyFont="1" applyFill="1" applyBorder="1" applyAlignment="1">
      <alignment horizontal="center" vertical="center"/>
    </xf>
    <xf numFmtId="49" fontId="81" fillId="0" borderId="78" xfId="0" applyNumberFormat="1" applyFont="1" applyFill="1" applyBorder="1" applyAlignment="1">
      <alignment horizontal="center" vertical="center"/>
    </xf>
    <xf numFmtId="49" fontId="81" fillId="0" borderId="145" xfId="0" applyNumberFormat="1" applyFont="1" applyFill="1" applyBorder="1" applyAlignment="1">
      <alignment horizontal="center" vertical="center"/>
    </xf>
    <xf numFmtId="49" fontId="83" fillId="0" borderId="141" xfId="0" applyNumberFormat="1" applyFont="1" applyFill="1" applyBorder="1" applyAlignment="1">
      <alignment horizontal="center" vertical="center"/>
    </xf>
    <xf numFmtId="49" fontId="83" fillId="0" borderId="142" xfId="0" applyNumberFormat="1" applyFont="1" applyFill="1" applyBorder="1" applyAlignment="1">
      <alignment horizontal="center" vertical="center"/>
    </xf>
    <xf numFmtId="49" fontId="75" fillId="12" borderId="144" xfId="0" applyNumberFormat="1" applyFont="1" applyFill="1" applyBorder="1" applyAlignment="1">
      <alignment horizontal="center" vertical="center"/>
    </xf>
    <xf numFmtId="2" fontId="67" fillId="0" borderId="78" xfId="0" applyNumberFormat="1" applyFont="1" applyFill="1" applyBorder="1" applyAlignment="1">
      <alignment vertical="center" wrapText="1"/>
    </xf>
    <xf numFmtId="2" fontId="67" fillId="0" borderId="78" xfId="0" applyNumberFormat="1" applyFont="1" applyFill="1" applyBorder="1" applyAlignment="1">
      <alignment vertical="center"/>
    </xf>
    <xf numFmtId="44" fontId="67" fillId="0" borderId="78" xfId="0" applyNumberFormat="1" applyFont="1" applyFill="1" applyBorder="1" applyAlignment="1">
      <alignment horizontal="center" vertical="center"/>
    </xf>
    <xf numFmtId="0" fontId="13" fillId="0" borderId="0" xfId="0" applyFont="1" applyFill="1" applyAlignment="1">
      <alignment horizontal="center" vertical="center"/>
    </xf>
    <xf numFmtId="165" fontId="86" fillId="0" borderId="0" xfId="0" applyNumberFormat="1" applyFont="1" applyAlignment="1">
      <alignment horizontal="center" vertical="center"/>
    </xf>
    <xf numFmtId="0" fontId="86" fillId="0" borderId="0" xfId="0" applyFont="1" applyAlignment="1">
      <alignment horizontal="left" vertical="center"/>
    </xf>
    <xf numFmtId="4" fontId="86" fillId="0" borderId="0" xfId="0" applyNumberFormat="1" applyFont="1" applyAlignment="1">
      <alignment horizontal="center" vertical="center"/>
    </xf>
    <xf numFmtId="0" fontId="32" fillId="0" borderId="139" xfId="0" applyFont="1" applyBorder="1" applyAlignment="1">
      <alignment horizontal="center" vertical="center"/>
    </xf>
    <xf numFmtId="0" fontId="69" fillId="0" borderId="139" xfId="0" applyFont="1" applyFill="1" applyBorder="1" applyAlignment="1">
      <alignment horizontal="left" vertical="center" wrapText="1"/>
    </xf>
    <xf numFmtId="0" fontId="60" fillId="0" borderId="139" xfId="0" applyFont="1" applyBorder="1" applyAlignment="1">
      <alignment horizontal="center" vertical="center"/>
    </xf>
    <xf numFmtId="0" fontId="69" fillId="0" borderId="139" xfId="0" applyFont="1" applyFill="1" applyBorder="1" applyAlignment="1">
      <alignment horizontal="left" vertical="center"/>
    </xf>
    <xf numFmtId="0" fontId="60" fillId="0" borderId="139" xfId="0" applyFont="1" applyBorder="1" applyAlignment="1" applyProtection="1">
      <alignment horizontal="center" vertical="center"/>
      <protection locked="0"/>
    </xf>
    <xf numFmtId="1" fontId="57" fillId="3" borderId="139" xfId="0" applyNumberFormat="1" applyFont="1" applyFill="1" applyBorder="1" applyAlignment="1">
      <alignment horizontal="center" vertical="center"/>
    </xf>
    <xf numFmtId="0" fontId="58" fillId="10" borderId="139" xfId="0" applyFont="1" applyFill="1" applyBorder="1" applyAlignment="1">
      <alignment horizontal="center" vertical="center"/>
    </xf>
    <xf numFmtId="0" fontId="58" fillId="10" borderId="139" xfId="0" applyFont="1" applyFill="1" applyBorder="1" applyAlignment="1">
      <alignment horizontal="center" vertical="center" wrapText="1"/>
    </xf>
    <xf numFmtId="0" fontId="58" fillId="10" borderId="139" xfId="0" applyFont="1" applyFill="1" applyBorder="1" applyAlignment="1">
      <alignment horizontal="left" vertical="center" wrapText="1"/>
    </xf>
    <xf numFmtId="2" fontId="58" fillId="10" borderId="139" xfId="0" applyNumberFormat="1" applyFont="1" applyFill="1" applyBorder="1" applyAlignment="1">
      <alignment horizontal="center" vertical="center"/>
    </xf>
    <xf numFmtId="1" fontId="57" fillId="3" borderId="150" xfId="0" applyNumberFormat="1" applyFont="1" applyFill="1" applyBorder="1" applyAlignment="1">
      <alignment horizontal="center" vertical="center"/>
    </xf>
    <xf numFmtId="0" fontId="57" fillId="3" borderId="151" xfId="0" applyFont="1" applyFill="1" applyBorder="1" applyAlignment="1">
      <alignment horizontal="center" vertical="center"/>
    </xf>
    <xf numFmtId="0" fontId="57" fillId="3" borderId="152" xfId="0" applyFont="1" applyFill="1" applyBorder="1" applyAlignment="1">
      <alignment horizontal="center" vertical="center"/>
    </xf>
    <xf numFmtId="2" fontId="58" fillId="10" borderId="153" xfId="0" applyNumberFormat="1" applyFont="1" applyFill="1" applyBorder="1" applyAlignment="1">
      <alignment horizontal="center" vertical="center"/>
    </xf>
    <xf numFmtId="0" fontId="63" fillId="0" borderId="92" xfId="0" applyFont="1" applyBorder="1" applyAlignment="1">
      <alignment horizontal="center" vertical="center"/>
    </xf>
    <xf numFmtId="0" fontId="69" fillId="0" borderId="154" xfId="0" applyFont="1" applyFill="1" applyBorder="1" applyAlignment="1">
      <alignment horizontal="left" vertical="center"/>
    </xf>
    <xf numFmtId="0" fontId="25" fillId="10" borderId="139" xfId="0" applyFont="1" applyFill="1" applyBorder="1" applyAlignment="1">
      <alignment horizontal="center" vertical="center"/>
    </xf>
    <xf numFmtId="0" fontId="58" fillId="10" borderId="139" xfId="0" applyFont="1" applyFill="1" applyBorder="1" applyAlignment="1">
      <alignment horizontal="center" textRotation="90" wrapText="1"/>
    </xf>
    <xf numFmtId="0" fontId="56" fillId="3" borderId="78" xfId="0" applyFont="1" applyFill="1" applyBorder="1" applyAlignment="1">
      <alignment horizontal="center" vertical="center" wrapText="1"/>
    </xf>
    <xf numFmtId="1" fontId="52" fillId="3" borderId="157" xfId="6" applyNumberFormat="1" applyFont="1" applyFill="1" applyBorder="1" applyAlignment="1" applyProtection="1">
      <alignment horizontal="center" vertical="center" wrapText="1"/>
    </xf>
    <xf numFmtId="164" fontId="7" fillId="11" borderId="128" xfId="6" applyNumberFormat="1" applyFont="1" applyFill="1" applyBorder="1" applyAlignment="1" applyProtection="1">
      <alignment vertical="center" wrapText="1"/>
    </xf>
    <xf numFmtId="1" fontId="52" fillId="3" borderId="156" xfId="6" applyNumberFormat="1" applyFont="1" applyFill="1" applyBorder="1" applyAlignment="1" applyProtection="1">
      <alignment horizontal="center" vertical="center" wrapText="1"/>
    </xf>
    <xf numFmtId="164" fontId="7" fillId="11" borderId="73" xfId="6" applyNumberFormat="1" applyFont="1" applyFill="1" applyBorder="1" applyAlignment="1" applyProtection="1">
      <alignment vertical="center" wrapText="1"/>
    </xf>
    <xf numFmtId="164" fontId="58" fillId="10" borderId="90" xfId="6" applyNumberFormat="1" applyFont="1" applyFill="1" applyBorder="1" applyAlignment="1" applyProtection="1">
      <alignment horizontal="center" vertical="center" wrapText="1"/>
    </xf>
    <xf numFmtId="1" fontId="52" fillId="3" borderId="59" xfId="6" applyNumberFormat="1" applyFont="1" applyFill="1" applyBorder="1" applyAlignment="1" applyProtection="1">
      <alignment horizontal="center" vertical="center" wrapText="1"/>
    </xf>
    <xf numFmtId="164" fontId="7" fillId="11" borderId="160" xfId="6" applyNumberFormat="1" applyFont="1" applyFill="1" applyBorder="1" applyAlignment="1" applyProtection="1">
      <alignment vertical="center" wrapText="1"/>
    </xf>
    <xf numFmtId="0" fontId="0" fillId="0" borderId="78" xfId="0" applyNumberFormat="1" applyFill="1" applyBorder="1" applyAlignment="1" applyProtection="1">
      <alignment horizontal="left" vertical="center"/>
      <protection locked="0"/>
    </xf>
    <xf numFmtId="0" fontId="0" fillId="11" borderId="78" xfId="0" applyNumberFormat="1" applyFill="1" applyBorder="1" applyAlignment="1" applyProtection="1">
      <alignment horizontal="left" vertical="center"/>
      <protection locked="0"/>
    </xf>
    <xf numFmtId="49" fontId="7" fillId="0" borderId="68" xfId="6" applyNumberFormat="1" applyFont="1" applyBorder="1" applyAlignment="1" applyProtection="1">
      <alignment horizontal="center" vertical="center" wrapText="1"/>
    </xf>
    <xf numFmtId="49" fontId="0" fillId="11" borderId="78" xfId="0" applyNumberFormat="1" applyFill="1" applyBorder="1" applyAlignment="1" applyProtection="1">
      <alignment horizontal="left" vertical="center"/>
      <protection locked="0"/>
    </xf>
    <xf numFmtId="0" fontId="58" fillId="10" borderId="90" xfId="6" applyNumberFormat="1" applyFont="1" applyFill="1" applyBorder="1" applyAlignment="1" applyProtection="1">
      <alignment horizontal="center" vertical="center" wrapText="1"/>
    </xf>
    <xf numFmtId="0" fontId="68" fillId="10" borderId="165" xfId="0" applyFont="1" applyFill="1" applyBorder="1" applyAlignment="1">
      <alignment vertical="center" wrapText="1"/>
    </xf>
    <xf numFmtId="0" fontId="68" fillId="10" borderId="165" xfId="0" applyFont="1" applyFill="1" applyBorder="1" applyAlignment="1">
      <alignment horizontal="center" vertical="center" wrapText="1"/>
    </xf>
    <xf numFmtId="2" fontId="68" fillId="10" borderId="165" xfId="0" applyNumberFormat="1" applyFont="1" applyFill="1" applyBorder="1" applyAlignment="1">
      <alignment horizontal="center" vertical="center"/>
    </xf>
    <xf numFmtId="44" fontId="68" fillId="10" borderId="165" xfId="0" applyNumberFormat="1" applyFont="1" applyFill="1" applyBorder="1" applyAlignment="1">
      <alignment horizontal="center" vertical="center"/>
    </xf>
    <xf numFmtId="2" fontId="67" fillId="0" borderId="95" xfId="0" applyNumberFormat="1" applyFont="1" applyFill="1" applyBorder="1" applyAlignment="1">
      <alignment vertical="center" wrapText="1"/>
    </xf>
    <xf numFmtId="0" fontId="67" fillId="0" borderId="95" xfId="0" applyNumberFormat="1" applyFont="1" applyFill="1" applyBorder="1" applyAlignment="1">
      <alignment vertical="center"/>
    </xf>
    <xf numFmtId="2" fontId="67" fillId="0" borderId="95" xfId="0" applyNumberFormat="1" applyFont="1" applyFill="1" applyBorder="1" applyAlignment="1">
      <alignment vertical="center"/>
    </xf>
    <xf numFmtId="44" fontId="67" fillId="0" borderId="95" xfId="0" applyNumberFormat="1" applyFont="1" applyFill="1" applyBorder="1" applyAlignment="1">
      <alignment horizontal="center" vertical="center"/>
    </xf>
    <xf numFmtId="0" fontId="61" fillId="0" borderId="0" xfId="0" applyFont="1" applyFill="1" applyBorder="1" applyAlignment="1">
      <alignment horizontal="center" vertical="center"/>
    </xf>
    <xf numFmtId="0" fontId="70" fillId="0" borderId="0" xfId="0" applyFont="1" applyFill="1" applyBorder="1" applyAlignment="1" applyProtection="1">
      <alignment horizontal="center" vertical="center" wrapText="1"/>
      <protection locked="0"/>
    </xf>
    <xf numFmtId="0" fontId="56" fillId="0" borderId="0" xfId="0" applyFont="1" applyFill="1" applyBorder="1" applyAlignment="1">
      <alignment horizontal="center" vertical="center" wrapText="1"/>
    </xf>
    <xf numFmtId="0" fontId="56" fillId="3" borderId="169" xfId="0" applyFont="1" applyFill="1" applyBorder="1" applyAlignment="1">
      <alignment vertical="center" wrapText="1"/>
    </xf>
    <xf numFmtId="0" fontId="56" fillId="3" borderId="174" xfId="0" applyFont="1" applyFill="1" applyBorder="1" applyAlignment="1">
      <alignment vertical="center" wrapText="1"/>
    </xf>
    <xf numFmtId="0" fontId="13" fillId="0" borderId="172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left" vertical="center" wrapText="1"/>
    </xf>
    <xf numFmtId="0" fontId="13" fillId="0" borderId="0" xfId="0" applyFont="1" applyBorder="1" applyAlignment="1">
      <alignment horizontal="center" vertical="center"/>
    </xf>
    <xf numFmtId="0" fontId="13" fillId="0" borderId="176" xfId="0" applyFont="1" applyBorder="1" applyAlignment="1">
      <alignment horizontal="center" vertical="center"/>
    </xf>
    <xf numFmtId="0" fontId="73" fillId="0" borderId="172" xfId="0" applyFont="1" applyBorder="1" applyAlignment="1">
      <alignment horizontal="center" vertical="center" wrapText="1"/>
    </xf>
    <xf numFmtId="0" fontId="73" fillId="0" borderId="0" xfId="0" applyFont="1" applyBorder="1" applyAlignment="1">
      <alignment horizontal="left" vertical="center" wrapText="1"/>
    </xf>
    <xf numFmtId="0" fontId="73" fillId="0" borderId="0" xfId="0" applyFont="1" applyBorder="1" applyAlignment="1">
      <alignment horizontal="center" vertical="center"/>
    </xf>
    <xf numFmtId="7" fontId="73" fillId="0" borderId="176" xfId="0" applyNumberFormat="1" applyFont="1" applyBorder="1" applyAlignment="1">
      <alignment horizontal="center" vertical="center"/>
    </xf>
    <xf numFmtId="0" fontId="13" fillId="3" borderId="173" xfId="0" applyFont="1" applyFill="1" applyBorder="1" applyAlignment="1">
      <alignment horizontal="center" vertical="center" wrapText="1"/>
    </xf>
    <xf numFmtId="0" fontId="73" fillId="3" borderId="172" xfId="0" applyFont="1" applyFill="1" applyBorder="1" applyAlignment="1">
      <alignment horizontal="center" vertical="center" wrapText="1"/>
    </xf>
    <xf numFmtId="0" fontId="73" fillId="3" borderId="0" xfId="0" applyFont="1" applyFill="1" applyBorder="1" applyAlignment="1">
      <alignment horizontal="left" vertical="center" wrapText="1"/>
    </xf>
    <xf numFmtId="0" fontId="73" fillId="3" borderId="0" xfId="0" applyFont="1" applyFill="1" applyBorder="1" applyAlignment="1">
      <alignment horizontal="center" vertical="center"/>
    </xf>
    <xf numFmtId="7" fontId="73" fillId="3" borderId="176" xfId="0" applyNumberFormat="1" applyFont="1" applyFill="1" applyBorder="1" applyAlignment="1">
      <alignment horizontal="center" vertical="center"/>
    </xf>
    <xf numFmtId="0" fontId="88" fillId="3" borderId="177" xfId="0" applyFont="1" applyFill="1" applyBorder="1" applyAlignment="1">
      <alignment horizontal="center" vertical="center" wrapText="1"/>
    </xf>
    <xf numFmtId="0" fontId="88" fillId="0" borderId="177" xfId="0" applyFont="1" applyFill="1" applyBorder="1" applyAlignment="1">
      <alignment vertical="center"/>
    </xf>
    <xf numFmtId="7" fontId="88" fillId="0" borderId="178" xfId="0" applyNumberFormat="1" applyFont="1" applyFill="1" applyBorder="1" applyAlignment="1">
      <alignment horizontal="center" vertical="center"/>
    </xf>
    <xf numFmtId="49" fontId="85" fillId="15" borderId="78" xfId="0" applyNumberFormat="1" applyFont="1" applyFill="1" applyBorder="1" applyAlignment="1">
      <alignment horizontal="center" vertical="center"/>
    </xf>
    <xf numFmtId="49" fontId="85" fillId="0" borderId="147" xfId="0" applyNumberFormat="1" applyFont="1" applyBorder="1" applyAlignment="1">
      <alignment horizontal="center" vertical="center"/>
    </xf>
    <xf numFmtId="49" fontId="36" fillId="2" borderId="5" xfId="0" applyNumberFormat="1" applyFont="1" applyFill="1" applyBorder="1" applyAlignment="1">
      <alignment horizontal="center"/>
    </xf>
    <xf numFmtId="49" fontId="36" fillId="2" borderId="6" xfId="0" applyNumberFormat="1" applyFont="1" applyFill="1" applyBorder="1" applyAlignment="1">
      <alignment horizontal="center"/>
    </xf>
    <xf numFmtId="49" fontId="49" fillId="0" borderId="1" xfId="0" applyNumberFormat="1" applyFont="1" applyFill="1" applyBorder="1" applyAlignment="1">
      <alignment horizontal="center" vertical="center"/>
    </xf>
    <xf numFmtId="49" fontId="49" fillId="0" borderId="2" xfId="0" applyNumberFormat="1" applyFont="1" applyFill="1" applyBorder="1" applyAlignment="1">
      <alignment horizontal="center" vertical="center"/>
    </xf>
    <xf numFmtId="49" fontId="48" fillId="2" borderId="3" xfId="0" applyNumberFormat="1" applyFont="1" applyFill="1" applyBorder="1" applyAlignment="1">
      <alignment horizontal="center" vertical="center" wrapText="1"/>
    </xf>
    <xf numFmtId="49" fontId="48" fillId="2" borderId="8" xfId="0" applyNumberFormat="1" applyFont="1" applyFill="1" applyBorder="1" applyAlignment="1">
      <alignment horizontal="center" vertical="center" wrapText="1"/>
    </xf>
    <xf numFmtId="49" fontId="48" fillId="2" borderId="10" xfId="0" applyNumberFormat="1" applyFont="1" applyFill="1" applyBorder="1" applyAlignment="1">
      <alignment horizontal="center" vertical="center" wrapText="1"/>
    </xf>
    <xf numFmtId="49" fontId="83" fillId="0" borderId="142" xfId="0" applyNumberFormat="1" applyFont="1" applyFill="1" applyBorder="1" applyAlignment="1">
      <alignment horizontal="center" vertical="center"/>
    </xf>
    <xf numFmtId="49" fontId="83" fillId="0" borderId="143" xfId="0" applyNumberFormat="1" applyFont="1" applyFill="1" applyBorder="1" applyAlignment="1">
      <alignment horizontal="center" vertical="center"/>
    </xf>
    <xf numFmtId="49" fontId="75" fillId="12" borderId="78" xfId="0" applyNumberFormat="1" applyFont="1" applyFill="1" applyBorder="1" applyAlignment="1">
      <alignment horizontal="center" vertical="center"/>
    </xf>
    <xf numFmtId="49" fontId="75" fillId="12" borderId="145" xfId="0" applyNumberFormat="1" applyFont="1" applyFill="1" applyBorder="1" applyAlignment="1">
      <alignment horizontal="center" vertical="center"/>
    </xf>
    <xf numFmtId="49" fontId="29" fillId="14" borderId="144" xfId="0" applyNumberFormat="1" applyFont="1" applyFill="1" applyBorder="1" applyAlignment="1">
      <alignment horizontal="center" vertical="center"/>
    </xf>
    <xf numFmtId="49" fontId="29" fillId="14" borderId="78" xfId="0" applyNumberFormat="1" applyFont="1" applyFill="1" applyBorder="1" applyAlignment="1">
      <alignment horizontal="center" vertical="center"/>
    </xf>
    <xf numFmtId="49" fontId="29" fillId="14" borderId="145" xfId="0" applyNumberFormat="1" applyFont="1" applyFill="1" applyBorder="1" applyAlignment="1">
      <alignment horizontal="center" vertical="center"/>
    </xf>
    <xf numFmtId="49" fontId="82" fillId="13" borderId="144" xfId="0" applyNumberFormat="1" applyFont="1" applyFill="1" applyBorder="1" applyAlignment="1">
      <alignment horizontal="center" vertical="center"/>
    </xf>
    <xf numFmtId="49" fontId="82" fillId="13" borderId="78" xfId="0" applyNumberFormat="1" applyFont="1" applyFill="1" applyBorder="1" applyAlignment="1">
      <alignment horizontal="center" vertical="center"/>
    </xf>
    <xf numFmtId="49" fontId="82" fillId="13" borderId="145" xfId="0" applyNumberFormat="1" applyFont="1" applyFill="1" applyBorder="1" applyAlignment="1">
      <alignment horizontal="center" vertical="center"/>
    </xf>
    <xf numFmtId="49" fontId="84" fillId="0" borderId="144" xfId="0" applyNumberFormat="1" applyFont="1" applyBorder="1" applyAlignment="1">
      <alignment horizontal="center" vertical="center"/>
    </xf>
    <xf numFmtId="49" fontId="84" fillId="0" borderId="78" xfId="0" applyNumberFormat="1" applyFont="1" applyBorder="1" applyAlignment="1">
      <alignment horizontal="center" vertical="center"/>
    </xf>
    <xf numFmtId="49" fontId="84" fillId="0" borderId="145" xfId="0" applyNumberFormat="1" applyFont="1" applyBorder="1" applyAlignment="1">
      <alignment horizontal="center" vertical="center"/>
    </xf>
    <xf numFmtId="49" fontId="77" fillId="2" borderId="140" xfId="0" applyNumberFormat="1" applyFont="1" applyFill="1" applyBorder="1" applyAlignment="1">
      <alignment horizontal="center" vertical="center"/>
    </xf>
    <xf numFmtId="49" fontId="77" fillId="2" borderId="136" xfId="0" applyNumberFormat="1" applyFont="1" applyFill="1" applyBorder="1" applyAlignment="1">
      <alignment horizontal="center" vertical="center"/>
    </xf>
    <xf numFmtId="49" fontId="77" fillId="2" borderId="137" xfId="0" applyNumberFormat="1" applyFont="1" applyFill="1" applyBorder="1" applyAlignment="1">
      <alignment horizontal="center" vertical="center"/>
    </xf>
    <xf numFmtId="49" fontId="85" fillId="15" borderId="144" xfId="0" applyNumberFormat="1" applyFont="1" applyFill="1" applyBorder="1" applyAlignment="1">
      <alignment horizontal="center" vertical="center"/>
    </xf>
    <xf numFmtId="49" fontId="85" fillId="0" borderId="146" xfId="0" applyNumberFormat="1" applyFont="1" applyBorder="1" applyAlignment="1">
      <alignment horizontal="center" vertical="center"/>
    </xf>
    <xf numFmtId="0" fontId="67" fillId="0" borderId="115" xfId="6" applyFont="1" applyFill="1" applyBorder="1" applyAlignment="1" applyProtection="1">
      <alignment horizontal="center" vertical="center" wrapText="1"/>
    </xf>
    <xf numFmtId="0" fontId="67" fillId="0" borderId="116" xfId="6" applyFont="1" applyFill="1" applyBorder="1" applyAlignment="1" applyProtection="1">
      <alignment horizontal="center" vertical="center" wrapText="1"/>
    </xf>
    <xf numFmtId="0" fontId="59" fillId="11" borderId="131" xfId="6" applyFont="1" applyFill="1" applyBorder="1" applyAlignment="1" applyProtection="1">
      <alignment horizontal="center" vertical="center" wrapText="1"/>
      <protection locked="0"/>
    </xf>
    <xf numFmtId="0" fontId="59" fillId="11" borderId="130" xfId="6" applyFont="1" applyFill="1" applyBorder="1" applyAlignment="1" applyProtection="1">
      <alignment horizontal="center" vertical="center" wrapText="1"/>
      <protection locked="0"/>
    </xf>
    <xf numFmtId="0" fontId="59" fillId="11" borderId="109" xfId="6" applyFont="1" applyFill="1" applyBorder="1" applyAlignment="1" applyProtection="1">
      <alignment horizontal="center" vertical="center" wrapText="1"/>
      <protection locked="0"/>
    </xf>
    <xf numFmtId="0" fontId="59" fillId="11" borderId="80" xfId="6" applyFont="1" applyFill="1" applyBorder="1" applyAlignment="1" applyProtection="1">
      <alignment horizontal="center" vertical="center" wrapText="1"/>
      <protection locked="0"/>
    </xf>
    <xf numFmtId="0" fontId="53" fillId="3" borderId="82" xfId="6" applyFont="1" applyFill="1" applyBorder="1" applyAlignment="1" applyProtection="1">
      <alignment horizontal="center" vertical="center" wrapText="1"/>
    </xf>
    <xf numFmtId="0" fontId="53" fillId="3" borderId="79" xfId="6" applyFont="1" applyFill="1" applyBorder="1" applyAlignment="1" applyProtection="1">
      <alignment horizontal="center" vertical="center" wrapText="1"/>
    </xf>
    <xf numFmtId="0" fontId="53" fillId="3" borderId="108" xfId="6" applyFont="1" applyFill="1" applyBorder="1" applyAlignment="1" applyProtection="1">
      <alignment horizontal="center" vertical="center" wrapText="1"/>
    </xf>
    <xf numFmtId="0" fontId="53" fillId="3" borderId="0" xfId="6" applyFont="1" applyFill="1" applyBorder="1" applyAlignment="1" applyProtection="1">
      <alignment horizontal="center" vertical="center" wrapText="1"/>
    </xf>
    <xf numFmtId="0" fontId="25" fillId="11" borderId="112" xfId="6" applyFont="1" applyFill="1" applyBorder="1" applyAlignment="1" applyProtection="1">
      <alignment horizontal="center" vertical="center" wrapText="1"/>
    </xf>
    <xf numFmtId="0" fontId="25" fillId="11" borderId="125" xfId="6" applyFont="1" applyFill="1" applyBorder="1" applyAlignment="1" applyProtection="1">
      <alignment horizontal="center" vertical="center" wrapText="1"/>
    </xf>
    <xf numFmtId="0" fontId="59" fillId="11" borderId="132" xfId="6" applyFont="1" applyFill="1" applyBorder="1" applyAlignment="1" applyProtection="1">
      <alignment horizontal="center" vertical="center" wrapText="1"/>
      <protection locked="0"/>
    </xf>
    <xf numFmtId="0" fontId="59" fillId="11" borderId="116" xfId="6" applyFont="1" applyFill="1" applyBorder="1" applyAlignment="1" applyProtection="1">
      <alignment horizontal="center" vertical="center" wrapText="1"/>
      <protection locked="0"/>
    </xf>
    <xf numFmtId="0" fontId="58" fillId="10" borderId="90" xfId="6" applyFont="1" applyFill="1" applyBorder="1" applyAlignment="1" applyProtection="1">
      <alignment horizontal="left" vertical="center" wrapText="1"/>
    </xf>
    <xf numFmtId="165" fontId="58" fillId="11" borderId="182" xfId="6" applyNumberFormat="1" applyFont="1" applyFill="1" applyBorder="1" applyAlignment="1" applyProtection="1">
      <alignment horizontal="left" vertical="center" wrapText="1"/>
      <protection locked="0"/>
    </xf>
    <xf numFmtId="165" fontId="58" fillId="11" borderId="157" xfId="6" applyNumberFormat="1" applyFont="1" applyFill="1" applyBorder="1" applyAlignment="1" applyProtection="1">
      <alignment horizontal="left" vertical="center" wrapText="1"/>
      <protection locked="0"/>
    </xf>
    <xf numFmtId="165" fontId="58" fillId="11" borderId="183" xfId="6" applyNumberFormat="1" applyFont="1" applyFill="1" applyBorder="1" applyAlignment="1" applyProtection="1">
      <alignment horizontal="left" vertical="center" wrapText="1"/>
      <protection locked="0"/>
    </xf>
    <xf numFmtId="49" fontId="58" fillId="11" borderId="122" xfId="6" applyNumberFormat="1" applyFont="1" applyFill="1" applyBorder="1" applyAlignment="1" applyProtection="1">
      <alignment horizontal="left" vertical="center" wrapText="1"/>
      <protection locked="0"/>
    </xf>
    <xf numFmtId="49" fontId="58" fillId="11" borderId="134" xfId="6" applyNumberFormat="1" applyFont="1" applyFill="1" applyBorder="1" applyAlignment="1" applyProtection="1">
      <alignment horizontal="left" vertical="center" wrapText="1"/>
      <protection locked="0"/>
    </xf>
    <xf numFmtId="49" fontId="58" fillId="11" borderId="135" xfId="6" applyNumberFormat="1" applyFont="1" applyFill="1" applyBorder="1" applyAlignment="1" applyProtection="1">
      <alignment horizontal="left" vertical="center" wrapText="1"/>
      <protection locked="0"/>
    </xf>
    <xf numFmtId="0" fontId="64" fillId="3" borderId="59" xfId="6" applyFont="1" applyFill="1" applyBorder="1" applyAlignment="1" applyProtection="1">
      <alignment horizontal="center" vertical="center" wrapText="1"/>
    </xf>
    <xf numFmtId="0" fontId="64" fillId="3" borderId="60" xfId="6" applyFont="1" applyFill="1" applyBorder="1" applyAlignment="1" applyProtection="1">
      <alignment horizontal="center" vertical="center" wrapText="1"/>
    </xf>
    <xf numFmtId="0" fontId="64" fillId="3" borderId="61" xfId="6" applyFont="1" applyFill="1" applyBorder="1" applyAlignment="1" applyProtection="1">
      <alignment horizontal="center" vertical="center" wrapText="1"/>
    </xf>
    <xf numFmtId="49" fontId="58" fillId="11" borderId="129" xfId="6" applyNumberFormat="1" applyFont="1" applyFill="1" applyBorder="1" applyAlignment="1" applyProtection="1">
      <alignment horizontal="left" vertical="center" wrapText="1"/>
      <protection locked="0"/>
    </xf>
    <xf numFmtId="49" fontId="58" fillId="11" borderId="73" xfId="6" applyNumberFormat="1" applyFont="1" applyFill="1" applyBorder="1" applyAlignment="1" applyProtection="1">
      <alignment horizontal="left" vertical="center" wrapText="1"/>
      <protection locked="0"/>
    </xf>
    <xf numFmtId="0" fontId="64" fillId="3" borderId="126" xfId="6" applyFont="1" applyFill="1" applyBorder="1" applyAlignment="1" applyProtection="1">
      <alignment horizontal="center" vertical="center" wrapText="1"/>
    </xf>
    <xf numFmtId="1" fontId="52" fillId="3" borderId="75" xfId="6" applyNumberFormat="1" applyFont="1" applyFill="1" applyBorder="1" applyAlignment="1" applyProtection="1">
      <alignment horizontal="center" vertical="center" wrapText="1"/>
    </xf>
    <xf numFmtId="1" fontId="52" fillId="3" borderId="158" xfId="6" applyNumberFormat="1" applyFont="1" applyFill="1" applyBorder="1" applyAlignment="1" applyProtection="1">
      <alignment horizontal="center" vertical="center" wrapText="1"/>
    </xf>
    <xf numFmtId="0" fontId="71" fillId="11" borderId="109" xfId="5" applyFont="1" applyFill="1" applyBorder="1" applyAlignment="1" applyProtection="1">
      <alignment horizontal="center" vertical="center" wrapText="1"/>
    </xf>
    <xf numFmtId="0" fontId="71" fillId="11" borderId="126" xfId="5" applyFont="1" applyFill="1" applyBorder="1" applyAlignment="1" applyProtection="1">
      <alignment horizontal="center" vertical="center" wrapText="1"/>
    </xf>
    <xf numFmtId="0" fontId="71" fillId="11" borderId="80" xfId="5" applyFont="1" applyFill="1" applyBorder="1" applyAlignment="1" applyProtection="1">
      <alignment horizontal="center" vertical="center" wrapText="1"/>
    </xf>
    <xf numFmtId="0" fontId="71" fillId="11" borderId="108" xfId="5" applyFont="1" applyFill="1" applyBorder="1" applyAlignment="1" applyProtection="1">
      <alignment horizontal="center" vertical="center" wrapText="1"/>
    </xf>
    <xf numFmtId="0" fontId="71" fillId="11" borderId="0" xfId="5" applyFont="1" applyFill="1" applyBorder="1" applyAlignment="1" applyProtection="1">
      <alignment horizontal="center" vertical="center" wrapText="1"/>
    </xf>
    <xf numFmtId="0" fontId="71" fillId="11" borderId="106" xfId="5" applyFont="1" applyFill="1" applyBorder="1" applyAlignment="1" applyProtection="1">
      <alignment horizontal="center" vertical="center" wrapText="1"/>
    </xf>
    <xf numFmtId="0" fontId="71" fillId="11" borderId="113" xfId="5" applyFont="1" applyFill="1" applyBorder="1" applyAlignment="1" applyProtection="1">
      <alignment horizontal="center" vertical="center" wrapText="1"/>
    </xf>
    <xf numFmtId="0" fontId="71" fillId="11" borderId="155" xfId="5" applyFont="1" applyFill="1" applyBorder="1" applyAlignment="1" applyProtection="1">
      <alignment horizontal="center" vertical="center" wrapText="1"/>
    </xf>
    <xf numFmtId="0" fontId="71" fillId="11" borderId="114" xfId="5" applyFont="1" applyFill="1" applyBorder="1" applyAlignment="1" applyProtection="1">
      <alignment horizontal="center" vertical="center" wrapText="1"/>
    </xf>
    <xf numFmtId="1" fontId="52" fillId="3" borderId="133" xfId="6" applyNumberFormat="1" applyFont="1" applyFill="1" applyBorder="1" applyAlignment="1" applyProtection="1">
      <alignment horizontal="center" vertical="center" wrapText="1"/>
    </xf>
    <xf numFmtId="1" fontId="52" fillId="3" borderId="159" xfId="6" applyNumberFormat="1" applyFont="1" applyFill="1" applyBorder="1" applyAlignment="1" applyProtection="1">
      <alignment horizontal="center" vertical="center" wrapText="1"/>
    </xf>
    <xf numFmtId="2" fontId="7" fillId="11" borderId="131" xfId="6" applyNumberFormat="1" applyFont="1" applyFill="1" applyBorder="1" applyAlignment="1" applyProtection="1">
      <alignment horizontal="center" vertical="center" wrapText="1"/>
    </xf>
    <xf numFmtId="2" fontId="7" fillId="11" borderId="77" xfId="6" applyNumberFormat="1" applyFont="1" applyFill="1" applyBorder="1" applyAlignment="1" applyProtection="1">
      <alignment horizontal="center" vertical="center" wrapText="1"/>
    </xf>
    <xf numFmtId="0" fontId="52" fillId="3" borderId="129" xfId="6" applyFont="1" applyFill="1" applyBorder="1" applyAlignment="1" applyProtection="1">
      <alignment horizontal="center" vertical="center" wrapText="1"/>
    </xf>
    <xf numFmtId="0" fontId="9" fillId="11" borderId="109" xfId="6" applyFont="1" applyFill="1" applyBorder="1" applyAlignment="1" applyProtection="1">
      <alignment horizontal="center" vertical="center" wrapText="1"/>
    </xf>
    <xf numFmtId="0" fontId="9" fillId="11" borderId="80" xfId="6" applyFont="1" applyFill="1" applyBorder="1" applyAlignment="1" applyProtection="1">
      <alignment horizontal="center" vertical="center" wrapText="1"/>
    </xf>
    <xf numFmtId="0" fontId="9" fillId="11" borderId="108" xfId="6" applyFont="1" applyFill="1" applyBorder="1" applyAlignment="1" applyProtection="1">
      <alignment horizontal="center" vertical="center" wrapText="1"/>
    </xf>
    <xf numFmtId="0" fontId="9" fillId="11" borderId="106" xfId="6" applyFont="1" applyFill="1" applyBorder="1" applyAlignment="1" applyProtection="1">
      <alignment horizontal="center" vertical="center" wrapText="1"/>
    </xf>
    <xf numFmtId="0" fontId="9" fillId="11" borderId="113" xfId="6" applyFont="1" applyFill="1" applyBorder="1" applyAlignment="1" applyProtection="1">
      <alignment horizontal="center" vertical="center" wrapText="1"/>
    </xf>
    <xf numFmtId="0" fontId="9" fillId="11" borderId="114" xfId="6" applyFont="1" applyFill="1" applyBorder="1" applyAlignment="1" applyProtection="1">
      <alignment horizontal="center" vertical="center" wrapText="1"/>
    </xf>
    <xf numFmtId="0" fontId="65" fillId="3" borderId="108" xfId="6" applyFont="1" applyFill="1" applyBorder="1" applyAlignment="1" applyProtection="1">
      <alignment horizontal="center" vertical="center" wrapText="1"/>
    </xf>
    <xf numFmtId="0" fontId="65" fillId="3" borderId="113" xfId="6" applyFont="1" applyFill="1" applyBorder="1" applyAlignment="1" applyProtection="1">
      <alignment horizontal="center" vertical="center" wrapText="1"/>
    </xf>
    <xf numFmtId="0" fontId="65" fillId="3" borderId="82" xfId="6" applyFont="1" applyFill="1" applyBorder="1" applyAlignment="1" applyProtection="1">
      <alignment horizontal="center" vertical="center" wrapText="1"/>
    </xf>
    <xf numFmtId="0" fontId="65" fillId="3" borderId="79" xfId="6" applyFont="1" applyFill="1" applyBorder="1" applyAlignment="1" applyProtection="1">
      <alignment horizontal="center" vertical="center" wrapText="1"/>
    </xf>
    <xf numFmtId="0" fontId="65" fillId="3" borderId="124" xfId="6" applyFont="1" applyFill="1" applyBorder="1" applyAlignment="1" applyProtection="1">
      <alignment horizontal="center" vertical="center" wrapText="1"/>
    </xf>
    <xf numFmtId="1" fontId="56" fillId="3" borderId="119" xfId="6" applyNumberFormat="1" applyFont="1" applyFill="1" applyBorder="1" applyAlignment="1" applyProtection="1">
      <alignment horizontal="center" vertical="center" wrapText="1"/>
    </xf>
    <xf numFmtId="1" fontId="56" fillId="3" borderId="118" xfId="6" applyNumberFormat="1" applyFont="1" applyFill="1" applyBorder="1" applyAlignment="1" applyProtection="1">
      <alignment horizontal="center" vertical="center" wrapText="1"/>
    </xf>
    <xf numFmtId="0" fontId="67" fillId="11" borderId="109" xfId="6" applyFont="1" applyFill="1" applyBorder="1" applyAlignment="1" applyProtection="1">
      <alignment horizontal="center" vertical="center" wrapText="1"/>
    </xf>
    <xf numFmtId="0" fontId="67" fillId="11" borderId="80" xfId="6" applyFont="1" applyFill="1" applyBorder="1" applyAlignment="1" applyProtection="1">
      <alignment horizontal="center" vertical="center" wrapText="1"/>
    </xf>
    <xf numFmtId="0" fontId="67" fillId="11" borderId="113" xfId="6" applyFont="1" applyFill="1" applyBorder="1" applyAlignment="1" applyProtection="1">
      <alignment horizontal="center" vertical="center" wrapText="1"/>
    </xf>
    <xf numFmtId="0" fontId="67" fillId="11" borderId="114" xfId="6" applyFont="1" applyFill="1" applyBorder="1" applyAlignment="1" applyProtection="1">
      <alignment horizontal="center" vertical="center" wrapText="1"/>
    </xf>
    <xf numFmtId="0" fontId="59" fillId="11" borderId="109" xfId="6" applyFont="1" applyFill="1" applyBorder="1" applyAlignment="1" applyProtection="1">
      <alignment horizontal="center" vertical="center" wrapText="1"/>
    </xf>
    <xf numFmtId="0" fontId="59" fillId="11" borderId="80" xfId="6" applyFont="1" applyFill="1" applyBorder="1" applyAlignment="1" applyProtection="1">
      <alignment horizontal="center" vertical="center" wrapText="1"/>
    </xf>
    <xf numFmtId="0" fontId="25" fillId="11" borderId="108" xfId="6" applyFont="1" applyFill="1" applyBorder="1" applyAlignment="1" applyProtection="1">
      <alignment horizontal="center" vertical="center" wrapText="1"/>
    </xf>
    <xf numFmtId="0" fontId="25" fillId="11" borderId="106" xfId="6" applyFont="1" applyFill="1" applyBorder="1" applyAlignment="1" applyProtection="1">
      <alignment horizontal="center" vertical="center" wrapText="1"/>
    </xf>
    <xf numFmtId="0" fontId="25" fillId="11" borderId="113" xfId="6" applyFont="1" applyFill="1" applyBorder="1" applyAlignment="1" applyProtection="1">
      <alignment horizontal="center" vertical="center" wrapText="1"/>
    </xf>
    <xf numFmtId="0" fontId="25" fillId="11" borderId="114" xfId="6" applyFont="1" applyFill="1" applyBorder="1" applyAlignment="1" applyProtection="1">
      <alignment horizontal="center" vertical="center" wrapText="1"/>
    </xf>
    <xf numFmtId="0" fontId="3" fillId="0" borderId="27" xfId="0" applyFont="1" applyBorder="1" applyAlignment="1">
      <alignment horizontal="left"/>
    </xf>
    <xf numFmtId="0" fontId="3" fillId="0" borderId="9" xfId="0" applyFont="1" applyBorder="1" applyAlignment="1">
      <alignment horizontal="left"/>
    </xf>
    <xf numFmtId="0" fontId="3" fillId="0" borderId="41" xfId="0" applyFont="1" applyBorder="1" applyAlignment="1">
      <alignment horizontal="left"/>
    </xf>
    <xf numFmtId="0" fontId="3" fillId="0" borderId="11" xfId="0" applyFont="1" applyBorder="1" applyAlignment="1">
      <alignment horizontal="left"/>
    </xf>
    <xf numFmtId="0" fontId="11" fillId="2" borderId="24" xfId="0" applyFont="1" applyFill="1" applyBorder="1" applyAlignment="1">
      <alignment horizontal="center" vertical="center"/>
    </xf>
    <xf numFmtId="0" fontId="11" fillId="2" borderId="25" xfId="0" applyFont="1" applyFill="1" applyBorder="1" applyAlignment="1">
      <alignment horizontal="center" vertical="center"/>
    </xf>
    <xf numFmtId="0" fontId="11" fillId="2" borderId="22" xfId="0" applyFont="1" applyFill="1" applyBorder="1" applyAlignment="1">
      <alignment horizontal="center" vertical="center"/>
    </xf>
    <xf numFmtId="0" fontId="11" fillId="2" borderId="23" xfId="0" applyFont="1" applyFill="1" applyBorder="1" applyAlignment="1">
      <alignment horizontal="center" vertical="center"/>
    </xf>
    <xf numFmtId="0" fontId="12" fillId="2" borderId="54" xfId="0" applyFont="1" applyFill="1" applyBorder="1" applyAlignment="1">
      <alignment horizontal="center" vertical="center"/>
    </xf>
    <xf numFmtId="0" fontId="12" fillId="2" borderId="55" xfId="0" applyFont="1" applyFill="1" applyBorder="1" applyAlignment="1">
      <alignment horizontal="center" vertical="center"/>
    </xf>
    <xf numFmtId="0" fontId="12" fillId="2" borderId="62" xfId="0" applyFont="1" applyFill="1" applyBorder="1" applyAlignment="1">
      <alignment horizontal="center" vertical="center"/>
    </xf>
    <xf numFmtId="0" fontId="30" fillId="2" borderId="54" xfId="0" applyFont="1" applyFill="1" applyBorder="1" applyAlignment="1">
      <alignment horizontal="center" vertical="center"/>
    </xf>
    <xf numFmtId="0" fontId="30" fillId="2" borderId="55" xfId="0" applyFont="1" applyFill="1" applyBorder="1" applyAlignment="1">
      <alignment horizontal="center" vertical="center"/>
    </xf>
    <xf numFmtId="0" fontId="30" fillId="2" borderId="62" xfId="0" applyFont="1" applyFill="1" applyBorder="1" applyAlignment="1">
      <alignment horizontal="center" vertical="center"/>
    </xf>
    <xf numFmtId="0" fontId="11" fillId="2" borderId="12" xfId="0" applyFont="1" applyFill="1" applyBorder="1" applyAlignment="1">
      <alignment horizontal="center" vertical="center"/>
    </xf>
    <xf numFmtId="0" fontId="11" fillId="2" borderId="40" xfId="0" applyFont="1" applyFill="1" applyBorder="1" applyAlignment="1">
      <alignment horizontal="center" vertical="center"/>
    </xf>
    <xf numFmtId="0" fontId="11" fillId="2" borderId="7" xfId="0" applyFont="1" applyFill="1" applyBorder="1" applyAlignment="1">
      <alignment horizontal="center" vertical="center"/>
    </xf>
    <xf numFmtId="0" fontId="61" fillId="3" borderId="139" xfId="0" applyFont="1" applyFill="1" applyBorder="1" applyAlignment="1">
      <alignment horizontal="center" vertical="center"/>
    </xf>
    <xf numFmtId="49" fontId="60" fillId="0" borderId="139" xfId="0" applyNumberFormat="1" applyFont="1" applyBorder="1" applyAlignment="1">
      <alignment horizontal="left" vertical="center"/>
    </xf>
    <xf numFmtId="0" fontId="60" fillId="0" borderId="139" xfId="0" applyNumberFormat="1" applyFont="1" applyBorder="1" applyAlignment="1">
      <alignment horizontal="left" vertical="center"/>
    </xf>
    <xf numFmtId="0" fontId="60" fillId="0" borderId="149" xfId="0" applyNumberFormat="1" applyFont="1" applyBorder="1" applyAlignment="1">
      <alignment horizontal="left" vertical="center"/>
    </xf>
    <xf numFmtId="0" fontId="80" fillId="0" borderId="138" xfId="0" applyFont="1" applyFill="1" applyBorder="1" applyAlignment="1" applyProtection="1">
      <alignment horizontal="left" vertical="top"/>
      <protection locked="0"/>
    </xf>
    <xf numFmtId="0" fontId="80" fillId="0" borderId="0" xfId="0" applyFont="1" applyFill="1" applyBorder="1" applyAlignment="1" applyProtection="1">
      <alignment horizontal="left" vertical="top"/>
      <protection locked="0"/>
    </xf>
    <xf numFmtId="0" fontId="70" fillId="0" borderId="165" xfId="0" applyFont="1" applyBorder="1" applyAlignment="1" applyProtection="1">
      <alignment horizontal="center" vertical="center" wrapText="1"/>
      <protection locked="0"/>
    </xf>
    <xf numFmtId="0" fontId="70" fillId="0" borderId="175" xfId="0" applyFont="1" applyBorder="1" applyAlignment="1" applyProtection="1">
      <alignment horizontal="center" vertical="center" wrapText="1"/>
      <protection locked="0"/>
    </xf>
    <xf numFmtId="0" fontId="56" fillId="0" borderId="163" xfId="0" applyFont="1" applyFill="1" applyBorder="1" applyAlignment="1">
      <alignment horizontal="center" vertical="center" wrapText="1"/>
    </xf>
    <xf numFmtId="0" fontId="56" fillId="0" borderId="85" xfId="0" applyFont="1" applyFill="1" applyBorder="1" applyAlignment="1">
      <alignment horizontal="center" vertical="center" wrapText="1"/>
    </xf>
    <xf numFmtId="0" fontId="56" fillId="0" borderId="170" xfId="0" applyFont="1" applyFill="1" applyBorder="1" applyAlignment="1">
      <alignment horizontal="center" vertical="center" wrapText="1"/>
    </xf>
    <xf numFmtId="0" fontId="56" fillId="0" borderId="86" xfId="0" applyFont="1" applyFill="1" applyBorder="1" applyAlignment="1">
      <alignment horizontal="center" vertical="center" wrapText="1"/>
    </xf>
    <xf numFmtId="0" fontId="56" fillId="0" borderId="87" xfId="0" applyFont="1" applyFill="1" applyBorder="1" applyAlignment="1">
      <alignment horizontal="center" vertical="center" wrapText="1"/>
    </xf>
    <xf numFmtId="0" fontId="56" fillId="0" borderId="171" xfId="0" applyFont="1" applyFill="1" applyBorder="1" applyAlignment="1">
      <alignment horizontal="center" vertical="center" wrapText="1"/>
    </xf>
    <xf numFmtId="0" fontId="61" fillId="3" borderId="179" xfId="0" applyFont="1" applyFill="1" applyBorder="1" applyAlignment="1">
      <alignment horizontal="center" vertical="center"/>
    </xf>
    <xf numFmtId="0" fontId="61" fillId="3" borderId="180" xfId="0" applyFont="1" applyFill="1" applyBorder="1" applyAlignment="1">
      <alignment horizontal="center" vertical="center"/>
    </xf>
    <xf numFmtId="0" fontId="61" fillId="3" borderId="181" xfId="0" applyFont="1" applyFill="1" applyBorder="1" applyAlignment="1">
      <alignment horizontal="center" vertical="center"/>
    </xf>
    <xf numFmtId="0" fontId="58" fillId="0" borderId="167" xfId="0" applyFont="1" applyFill="1" applyBorder="1" applyAlignment="1">
      <alignment horizontal="left" vertical="center" wrapText="1"/>
    </xf>
    <xf numFmtId="0" fontId="58" fillId="0" borderId="84" xfId="0" applyFont="1" applyFill="1" applyBorder="1" applyAlignment="1">
      <alignment horizontal="left" vertical="center"/>
    </xf>
    <xf numFmtId="0" fontId="58" fillId="0" borderId="83" xfId="0" applyFont="1" applyFill="1" applyBorder="1" applyAlignment="1">
      <alignment horizontal="left" vertical="top" wrapText="1"/>
    </xf>
    <xf numFmtId="0" fontId="58" fillId="0" borderId="102" xfId="0" applyFont="1" applyFill="1" applyBorder="1" applyAlignment="1">
      <alignment horizontal="left" vertical="top"/>
    </xf>
    <xf numFmtId="0" fontId="58" fillId="0" borderId="168" xfId="0" applyFont="1" applyFill="1" applyBorder="1" applyAlignment="1">
      <alignment horizontal="left" vertical="top"/>
    </xf>
    <xf numFmtId="14" fontId="70" fillId="0" borderId="83" xfId="0" applyNumberFormat="1" applyFont="1" applyFill="1" applyBorder="1" applyAlignment="1" applyProtection="1">
      <alignment horizontal="center" vertical="center" wrapText="1"/>
      <protection locked="0"/>
    </xf>
    <xf numFmtId="0" fontId="70" fillId="0" borderId="168" xfId="0" applyFont="1" applyFill="1" applyBorder="1" applyAlignment="1" applyProtection="1">
      <alignment horizontal="center" vertical="center" wrapText="1"/>
      <protection locked="0"/>
    </xf>
    <xf numFmtId="44" fontId="70" fillId="0" borderId="83" xfId="3" applyFont="1" applyFill="1" applyBorder="1"/>
    <xf numFmtId="44" fontId="70" fillId="0" borderId="168" xfId="3" applyFont="1" applyFill="1" applyBorder="1"/>
    <xf numFmtId="0" fontId="13" fillId="0" borderId="83" xfId="0" applyFont="1" applyBorder="1" applyAlignment="1">
      <alignment horizontal="center" vertical="center"/>
    </xf>
    <xf numFmtId="0" fontId="13" fillId="0" borderId="102" xfId="0" applyFont="1" applyBorder="1" applyAlignment="1">
      <alignment horizontal="center" vertical="center"/>
    </xf>
    <xf numFmtId="0" fontId="13" fillId="0" borderId="84" xfId="0" applyFont="1" applyBorder="1" applyAlignment="1">
      <alignment horizontal="center" vertical="center"/>
    </xf>
    <xf numFmtId="0" fontId="61" fillId="3" borderId="78" xfId="0" applyFont="1" applyFill="1" applyBorder="1" applyAlignment="1">
      <alignment horizontal="center" vertical="center"/>
    </xf>
    <xf numFmtId="0" fontId="70" fillId="0" borderId="78" xfId="0" applyFont="1" applyBorder="1" applyAlignment="1" applyProtection="1">
      <alignment horizontal="center" vertical="center" wrapText="1"/>
      <protection locked="0"/>
    </xf>
    <xf numFmtId="0" fontId="70" fillId="0" borderId="83" xfId="0" applyFont="1" applyFill="1" applyBorder="1" applyAlignment="1" applyProtection="1">
      <alignment horizontal="center" vertical="center" wrapText="1"/>
      <protection locked="0"/>
    </xf>
    <xf numFmtId="0" fontId="70" fillId="0" borderId="84" xfId="0" applyFont="1" applyFill="1" applyBorder="1" applyAlignment="1" applyProtection="1">
      <alignment horizontal="center" vertical="center" wrapText="1"/>
      <protection locked="0"/>
    </xf>
    <xf numFmtId="0" fontId="56" fillId="0" borderId="161" xfId="0" applyFont="1" applyFill="1" applyBorder="1" applyAlignment="1">
      <alignment horizontal="center" vertical="center" wrapText="1"/>
    </xf>
    <xf numFmtId="0" fontId="56" fillId="0" borderId="164" xfId="0" applyFont="1" applyFill="1" applyBorder="1" applyAlignment="1">
      <alignment horizontal="center" vertical="center" wrapText="1"/>
    </xf>
    <xf numFmtId="0" fontId="58" fillId="0" borderId="83" xfId="0" applyFont="1" applyFill="1" applyBorder="1" applyAlignment="1">
      <alignment horizontal="left" vertical="center" wrapText="1"/>
    </xf>
    <xf numFmtId="0" fontId="61" fillId="0" borderId="83" xfId="0" applyFont="1" applyFill="1" applyBorder="1" applyAlignment="1">
      <alignment horizontal="center" vertical="center"/>
    </xf>
    <xf numFmtId="0" fontId="61" fillId="0" borderId="102" xfId="0" applyFont="1" applyFill="1" applyBorder="1" applyAlignment="1">
      <alignment horizontal="center" vertical="center"/>
    </xf>
    <xf numFmtId="0" fontId="61" fillId="0" borderId="84" xfId="0" applyFont="1" applyFill="1" applyBorder="1" applyAlignment="1">
      <alignment horizontal="center" vertical="center"/>
    </xf>
    <xf numFmtId="44" fontId="66" fillId="10" borderId="139" xfId="0" applyNumberFormat="1" applyFont="1" applyFill="1" applyBorder="1" applyAlignment="1">
      <alignment horizontal="center" vertical="center"/>
    </xf>
    <xf numFmtId="0" fontId="66" fillId="0" borderId="139" xfId="0" applyNumberFormat="1" applyFont="1" applyFill="1" applyBorder="1" applyAlignment="1">
      <alignment horizontal="center" vertical="center" wrapText="1"/>
    </xf>
    <xf numFmtId="0" fontId="66" fillId="3" borderId="138" xfId="0" applyNumberFormat="1" applyFont="1" applyFill="1" applyBorder="1" applyAlignment="1">
      <alignment horizontal="center" vertical="center"/>
    </xf>
    <xf numFmtId="0" fontId="66" fillId="3" borderId="166" xfId="0" applyNumberFormat="1" applyFont="1" applyFill="1" applyBorder="1" applyAlignment="1">
      <alignment horizontal="center" vertical="center"/>
    </xf>
    <xf numFmtId="0" fontId="66" fillId="3" borderId="138" xfId="0" applyNumberFormat="1" applyFont="1" applyFill="1" applyBorder="1" applyAlignment="1">
      <alignment horizontal="center" vertical="center" wrapText="1"/>
    </xf>
    <xf numFmtId="0" fontId="66" fillId="3" borderId="166" xfId="0" applyNumberFormat="1" applyFont="1" applyFill="1" applyBorder="1" applyAlignment="1">
      <alignment horizontal="center" vertical="center" wrapText="1"/>
    </xf>
    <xf numFmtId="0" fontId="62" fillId="3" borderId="139" xfId="0" applyFont="1" applyFill="1" applyBorder="1" applyAlignment="1">
      <alignment horizontal="center" vertical="center" wrapText="1"/>
    </xf>
    <xf numFmtId="0" fontId="72" fillId="0" borderId="139" xfId="0" applyFont="1" applyFill="1" applyBorder="1" applyAlignment="1">
      <alignment horizontal="center" vertical="center" wrapText="1"/>
    </xf>
    <xf numFmtId="0" fontId="73" fillId="0" borderId="139" xfId="0" applyFont="1" applyFill="1" applyBorder="1" applyAlignment="1">
      <alignment horizontal="center" vertical="center"/>
    </xf>
    <xf numFmtId="0" fontId="11" fillId="3" borderId="78" xfId="0" applyFont="1" applyFill="1" applyBorder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11" fillId="3" borderId="87" xfId="0" applyFont="1" applyFill="1" applyBorder="1" applyAlignment="1">
      <alignment horizontal="center" vertical="center"/>
    </xf>
    <xf numFmtId="0" fontId="11" fillId="3" borderId="138" xfId="0" applyFont="1" applyFill="1" applyBorder="1" applyAlignment="1">
      <alignment horizontal="center" vertical="center"/>
    </xf>
    <xf numFmtId="0" fontId="11" fillId="3" borderId="86" xfId="0" applyFont="1" applyFill="1" applyBorder="1" applyAlignment="1">
      <alignment horizontal="center" vertical="center"/>
    </xf>
    <xf numFmtId="0" fontId="74" fillId="11" borderId="161" xfId="0" applyFont="1" applyFill="1" applyBorder="1" applyAlignment="1">
      <alignment horizontal="center" vertical="center"/>
    </xf>
    <xf numFmtId="0" fontId="74" fillId="11" borderId="162" xfId="0" applyFont="1" applyFill="1" applyBorder="1" applyAlignment="1">
      <alignment horizontal="center" vertical="center"/>
    </xf>
    <xf numFmtId="0" fontId="20" fillId="0" borderId="36" xfId="0" applyFont="1" applyBorder="1" applyAlignment="1">
      <alignment horizontal="center" vertical="center" wrapText="1"/>
    </xf>
    <xf numFmtId="0" fontId="20" fillId="0" borderId="27" xfId="0" applyFont="1" applyBorder="1" applyAlignment="1">
      <alignment horizontal="center" vertical="center" wrapText="1"/>
    </xf>
    <xf numFmtId="0" fontId="31" fillId="7" borderId="18" xfId="0" applyFont="1" applyFill="1" applyBorder="1" applyAlignment="1">
      <alignment horizontal="center" vertical="center"/>
    </xf>
    <xf numFmtId="0" fontId="31" fillId="7" borderId="19" xfId="0" applyFont="1" applyFill="1" applyBorder="1" applyAlignment="1">
      <alignment horizontal="center" vertical="center"/>
    </xf>
    <xf numFmtId="0" fontId="31" fillId="7" borderId="20" xfId="0" applyFont="1" applyFill="1" applyBorder="1" applyAlignment="1">
      <alignment horizontal="center" vertical="center"/>
    </xf>
    <xf numFmtId="0" fontId="11" fillId="8" borderId="18" xfId="0" applyFont="1" applyFill="1" applyBorder="1" applyAlignment="1">
      <alignment horizontal="center" vertical="center"/>
    </xf>
    <xf numFmtId="0" fontId="11" fillId="8" borderId="19" xfId="0" applyFont="1" applyFill="1" applyBorder="1" applyAlignment="1">
      <alignment horizontal="center" vertical="center"/>
    </xf>
    <xf numFmtId="0" fontId="29" fillId="0" borderId="18" xfId="0" applyFont="1" applyBorder="1" applyAlignment="1" applyProtection="1">
      <alignment horizontal="left" vertical="top" wrapText="1"/>
      <protection locked="0"/>
    </xf>
    <xf numFmtId="0" fontId="29" fillId="0" borderId="19" xfId="0" applyFont="1" applyBorder="1" applyAlignment="1" applyProtection="1">
      <alignment horizontal="left" vertical="top" wrapText="1"/>
      <protection locked="0"/>
    </xf>
    <xf numFmtId="0" fontId="29" fillId="0" borderId="20" xfId="0" applyFont="1" applyBorder="1" applyAlignment="1" applyProtection="1">
      <alignment horizontal="left" vertical="top" wrapText="1"/>
      <protection locked="0"/>
    </xf>
    <xf numFmtId="0" fontId="28" fillId="0" borderId="18" xfId="0" applyFont="1" applyBorder="1" applyAlignment="1">
      <alignment horizontal="center" vertical="center"/>
    </xf>
    <xf numFmtId="0" fontId="28" fillId="0" borderId="19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 wrapText="1"/>
    </xf>
    <xf numFmtId="0" fontId="28" fillId="0" borderId="48" xfId="0" applyFont="1" applyBorder="1" applyAlignment="1" applyProtection="1">
      <alignment horizontal="center" vertical="center"/>
      <protection locked="0"/>
    </xf>
    <xf numFmtId="0" fontId="28" fillId="0" borderId="19" xfId="0" applyFont="1" applyBorder="1" applyAlignment="1" applyProtection="1">
      <alignment horizontal="center" vertical="center"/>
      <protection locked="0"/>
    </xf>
    <xf numFmtId="0" fontId="28" fillId="0" borderId="20" xfId="0" applyFont="1" applyBorder="1" applyAlignment="1" applyProtection="1">
      <alignment horizontal="center" vertical="center"/>
      <protection locked="0"/>
    </xf>
    <xf numFmtId="49" fontId="3" fillId="0" borderId="42" xfId="0" applyNumberFormat="1" applyFont="1" applyBorder="1" applyAlignment="1">
      <alignment horizontal="center" vertical="top" wrapText="1"/>
    </xf>
    <xf numFmtId="49" fontId="3" fillId="0" borderId="34" xfId="0" applyNumberFormat="1" applyFont="1" applyBorder="1" applyAlignment="1">
      <alignment horizontal="center" vertical="top" wrapText="1"/>
    </xf>
    <xf numFmtId="49" fontId="3" fillId="0" borderId="52" xfId="0" applyNumberFormat="1" applyFont="1" applyBorder="1" applyAlignment="1">
      <alignment horizontal="center" vertical="top" wrapText="1"/>
    </xf>
    <xf numFmtId="49" fontId="3" fillId="0" borderId="57" xfId="0" applyNumberFormat="1" applyFont="1" applyBorder="1" applyAlignment="1">
      <alignment horizontal="center" vertical="top" wrapText="1"/>
    </xf>
    <xf numFmtId="0" fontId="3" fillId="0" borderId="57" xfId="0" applyNumberFormat="1" applyFont="1" applyBorder="1" applyAlignment="1">
      <alignment horizontal="center" vertical="top" wrapText="1"/>
    </xf>
    <xf numFmtId="0" fontId="3" fillId="0" borderId="46" xfId="0" applyNumberFormat="1" applyFont="1" applyBorder="1" applyAlignment="1">
      <alignment horizontal="center" vertical="top" wrapText="1"/>
    </xf>
    <xf numFmtId="0" fontId="3" fillId="0" borderId="58" xfId="0" applyFont="1" applyBorder="1" applyAlignment="1">
      <alignment horizontal="center" vertical="top" wrapText="1"/>
    </xf>
    <xf numFmtId="0" fontId="3" fillId="0" borderId="56" xfId="0" applyFont="1" applyBorder="1" applyAlignment="1">
      <alignment horizontal="center" vertical="top" wrapText="1"/>
    </xf>
    <xf numFmtId="0" fontId="3" fillId="0" borderId="51" xfId="0" applyFont="1" applyBorder="1" applyAlignment="1">
      <alignment horizontal="center" vertical="top" wrapText="1"/>
    </xf>
    <xf numFmtId="0" fontId="3" fillId="0" borderId="43" xfId="0" applyFont="1" applyBorder="1" applyAlignment="1">
      <alignment horizontal="center" vertical="top" wrapText="1"/>
    </xf>
    <xf numFmtId="0" fontId="3" fillId="0" borderId="50" xfId="0" applyFont="1" applyBorder="1" applyAlignment="1">
      <alignment horizontal="center" vertical="top" wrapText="1"/>
    </xf>
    <xf numFmtId="0" fontId="3" fillId="0" borderId="47" xfId="0" applyFont="1" applyBorder="1" applyAlignment="1">
      <alignment horizontal="center" vertical="top" wrapText="1"/>
    </xf>
    <xf numFmtId="0" fontId="34" fillId="0" borderId="18" xfId="0" applyFont="1" applyBorder="1" applyAlignment="1" applyProtection="1">
      <alignment horizontal="center" vertical="top" wrapText="1"/>
      <protection locked="0"/>
    </xf>
    <xf numFmtId="0" fontId="34" fillId="0" borderId="19" xfId="0" applyFont="1" applyBorder="1" applyAlignment="1" applyProtection="1">
      <alignment horizontal="center" vertical="top" wrapText="1"/>
      <protection locked="0"/>
    </xf>
    <xf numFmtId="0" fontId="34" fillId="0" borderId="20" xfId="0" applyFont="1" applyBorder="1" applyAlignment="1" applyProtection="1">
      <alignment horizontal="center" vertical="top" wrapText="1"/>
      <protection locked="0"/>
    </xf>
    <xf numFmtId="0" fontId="92" fillId="0" borderId="66" xfId="5" applyFont="1" applyBorder="1" applyAlignment="1" applyProtection="1">
      <alignment horizontal="left" vertical="center"/>
    </xf>
    <xf numFmtId="0" fontId="92" fillId="0" borderId="66" xfId="5" applyFont="1" applyBorder="1" applyAlignment="1" applyProtection="1">
      <alignment horizontal="left" vertical="center"/>
    </xf>
    <xf numFmtId="0" fontId="25" fillId="0" borderId="107" xfId="11" applyFont="1" applyBorder="1" applyAlignment="1">
      <alignment vertical="center" wrapText="1"/>
    </xf>
    <xf numFmtId="0" fontId="25" fillId="0" borderId="105" xfId="11" applyFont="1" applyBorder="1" applyAlignment="1">
      <alignment vertical="center" wrapText="1"/>
    </xf>
    <xf numFmtId="0" fontId="25" fillId="0" borderId="185" xfId="11" applyFont="1" applyBorder="1" applyAlignment="1">
      <alignment vertical="center" wrapText="1"/>
    </xf>
    <xf numFmtId="0" fontId="25" fillId="11" borderId="92" xfId="11" applyFont="1" applyFill="1" applyBorder="1" applyAlignment="1">
      <alignment horizontal="center" vertical="center" wrapText="1"/>
    </xf>
    <xf numFmtId="0" fontId="25" fillId="11" borderId="105" xfId="11" applyFont="1" applyFill="1" applyBorder="1" applyAlignment="1">
      <alignment horizontal="center" vertical="center" wrapText="1"/>
    </xf>
    <xf numFmtId="0" fontId="25" fillId="11" borderId="185" xfId="11" applyFont="1" applyFill="1" applyBorder="1" applyAlignment="1">
      <alignment horizontal="center" vertical="center" wrapText="1"/>
    </xf>
    <xf numFmtId="0" fontId="25" fillId="11" borderId="108" xfId="11" applyFont="1" applyFill="1" applyBorder="1" applyAlignment="1">
      <alignment horizontal="center" vertical="center" wrapText="1"/>
    </xf>
    <xf numFmtId="0" fontId="25" fillId="11" borderId="0" xfId="11" applyFont="1" applyFill="1" applyAlignment="1">
      <alignment horizontal="center" vertical="center" wrapText="1"/>
    </xf>
    <xf numFmtId="0" fontId="25" fillId="11" borderId="106" xfId="11" applyFont="1" applyFill="1" applyBorder="1" applyAlignment="1">
      <alignment horizontal="center" vertical="center" wrapText="1"/>
    </xf>
    <xf numFmtId="0" fontId="25" fillId="11" borderId="107" xfId="11" applyFont="1" applyFill="1" applyBorder="1" applyAlignment="1">
      <alignment horizontal="center" vertical="center" wrapText="1"/>
    </xf>
    <xf numFmtId="0" fontId="25" fillId="11" borderId="68" xfId="11" applyFont="1" applyFill="1" applyBorder="1" applyAlignment="1">
      <alignment horizontal="center" vertical="center" wrapText="1"/>
    </xf>
    <xf numFmtId="0" fontId="25" fillId="11" borderId="68" xfId="11" applyFont="1" applyFill="1" applyBorder="1" applyAlignment="1">
      <alignment horizontal="center" vertical="center" wrapText="1"/>
    </xf>
    <xf numFmtId="0" fontId="25" fillId="11" borderId="186" xfId="11" applyFont="1" applyFill="1" applyBorder="1" applyAlignment="1">
      <alignment horizontal="center" vertical="center" wrapText="1"/>
    </xf>
    <xf numFmtId="0" fontId="25" fillId="11" borderId="187" xfId="11" applyFont="1" applyFill="1" applyBorder="1" applyAlignment="1">
      <alignment horizontal="center" vertical="center" wrapText="1"/>
    </xf>
    <xf numFmtId="0" fontId="25" fillId="11" borderId="188" xfId="11" applyFont="1" applyFill="1" applyBorder="1" applyAlignment="1">
      <alignment horizontal="center" vertical="center" wrapText="1"/>
    </xf>
    <xf numFmtId="0" fontId="25" fillId="11" borderId="188" xfId="11" applyFont="1" applyFill="1" applyBorder="1" applyAlignment="1">
      <alignment horizontal="center" vertical="center" wrapText="1"/>
    </xf>
    <xf numFmtId="167" fontId="7" fillId="0" borderId="78" xfId="1" applyNumberFormat="1" applyFont="1" applyBorder="1" applyAlignment="1">
      <alignment horizontal="center" vertical="center"/>
    </xf>
    <xf numFmtId="0" fontId="7" fillId="0" borderId="78" xfId="1" applyNumberFormat="1" applyFont="1" applyBorder="1" applyAlignment="1">
      <alignment horizontal="center" vertical="center"/>
    </xf>
    <xf numFmtId="166" fontId="7" fillId="0" borderId="78" xfId="12" applyNumberFormat="1" applyFont="1" applyBorder="1" applyAlignment="1">
      <alignment horizontal="center" vertical="center"/>
    </xf>
    <xf numFmtId="44" fontId="5" fillId="11" borderId="78" xfId="1" applyFont="1" applyFill="1" applyBorder="1" applyAlignment="1">
      <alignment horizontal="center" vertical="center" wrapText="1"/>
    </xf>
    <xf numFmtId="167" fontId="7" fillId="0" borderId="85" xfId="1" applyNumberFormat="1" applyFont="1" applyBorder="1" applyAlignment="1">
      <alignment horizontal="center" vertical="center"/>
    </xf>
    <xf numFmtId="0" fontId="7" fillId="0" borderId="85" xfId="1" applyNumberFormat="1" applyFont="1" applyBorder="1" applyAlignment="1">
      <alignment horizontal="center" vertical="center"/>
    </xf>
    <xf numFmtId="166" fontId="7" fillId="0" borderId="85" xfId="12" applyNumberFormat="1" applyFont="1" applyBorder="1" applyAlignment="1">
      <alignment horizontal="center" vertical="center"/>
    </xf>
    <xf numFmtId="44" fontId="5" fillId="0" borderId="85" xfId="1" applyFont="1" applyFill="1" applyBorder="1" applyAlignment="1">
      <alignment horizontal="center" vertical="center" wrapText="1"/>
    </xf>
    <xf numFmtId="0" fontId="5" fillId="0" borderId="66" xfId="11" applyFont="1" applyBorder="1" applyAlignment="1">
      <alignment vertical="center" wrapText="1"/>
    </xf>
    <xf numFmtId="0" fontId="5" fillId="0" borderId="66" xfId="11" applyFont="1" applyBorder="1" applyAlignment="1">
      <alignment horizontal="center" vertical="center" wrapText="1"/>
    </xf>
    <xf numFmtId="1" fontId="6" fillId="0" borderId="66" xfId="11" applyNumberFormat="1" applyFont="1" applyBorder="1" applyAlignment="1">
      <alignment horizontal="center" vertical="center" wrapText="1"/>
    </xf>
    <xf numFmtId="2" fontId="5" fillId="0" borderId="66" xfId="11" applyNumberFormat="1" applyFont="1" applyBorder="1" applyAlignment="1">
      <alignment horizontal="center" vertical="center" wrapText="1"/>
    </xf>
    <xf numFmtId="167" fontId="5" fillId="0" borderId="66" xfId="11" applyNumberFormat="1" applyFont="1" applyBorder="1" applyAlignment="1">
      <alignment horizontal="center" vertical="center"/>
    </xf>
    <xf numFmtId="0" fontId="5" fillId="0" borderId="66" xfId="11" applyFont="1" applyBorder="1" applyAlignment="1">
      <alignment horizontal="center" vertical="center"/>
    </xf>
    <xf numFmtId="1" fontId="93" fillId="0" borderId="66" xfId="11" applyNumberFormat="1" applyFont="1" applyBorder="1" applyAlignment="1">
      <alignment horizontal="center" vertical="center" wrapText="1"/>
    </xf>
    <xf numFmtId="0" fontId="5" fillId="0" borderId="69" xfId="11" applyFont="1" applyBorder="1" applyAlignment="1">
      <alignment horizontal="center" vertical="center" wrapText="1"/>
    </xf>
    <xf numFmtId="1" fontId="6" fillId="0" borderId="69" xfId="11" applyNumberFormat="1" applyFont="1" applyBorder="1" applyAlignment="1">
      <alignment horizontal="center" vertical="center" wrapText="1"/>
    </xf>
    <xf numFmtId="2" fontId="5" fillId="0" borderId="69" xfId="11" applyNumberFormat="1" applyFont="1" applyBorder="1" applyAlignment="1">
      <alignment horizontal="center" vertical="center" wrapText="1"/>
    </xf>
    <xf numFmtId="167" fontId="5" fillId="0" borderId="69" xfId="11" applyNumberFormat="1" applyFont="1" applyBorder="1" applyAlignment="1">
      <alignment horizontal="center" vertical="center"/>
    </xf>
    <xf numFmtId="0" fontId="5" fillId="0" borderId="69" xfId="11" applyFont="1" applyBorder="1" applyAlignment="1">
      <alignment horizontal="center" vertical="center"/>
    </xf>
    <xf numFmtId="0" fontId="5" fillId="0" borderId="69" xfId="11" applyFont="1" applyBorder="1" applyAlignment="1">
      <alignment vertical="center" wrapText="1"/>
    </xf>
    <xf numFmtId="1" fontId="93" fillId="0" borderId="69" xfId="11" applyNumberFormat="1" applyFont="1" applyBorder="1" applyAlignment="1">
      <alignment horizontal="center" vertical="center" wrapText="1"/>
    </xf>
    <xf numFmtId="0" fontId="5" fillId="0" borderId="68" xfId="11" applyFont="1" applyBorder="1" applyAlignment="1">
      <alignment horizontal="center" vertical="center" wrapText="1"/>
    </xf>
    <xf numFmtId="164" fontId="5" fillId="0" borderId="0" xfId="11" applyNumberFormat="1" applyFont="1" applyAlignment="1">
      <alignment vertical="center" wrapText="1"/>
    </xf>
    <xf numFmtId="164" fontId="5" fillId="0" borderId="85" xfId="11" applyNumberFormat="1" applyFont="1" applyBorder="1" applyAlignment="1">
      <alignment vertical="center" wrapText="1"/>
    </xf>
    <xf numFmtId="2" fontId="5" fillId="0" borderId="85" xfId="11" applyNumberFormat="1" applyFont="1" applyBorder="1" applyAlignment="1">
      <alignment horizontal="center" vertical="center" wrapText="1"/>
    </xf>
    <xf numFmtId="1" fontId="6" fillId="0" borderId="85" xfId="11" applyNumberFormat="1" applyFont="1" applyBorder="1" applyAlignment="1">
      <alignment horizontal="center" vertical="center" wrapText="1"/>
    </xf>
    <xf numFmtId="1" fontId="6" fillId="0" borderId="102" xfId="11" applyNumberFormat="1" applyFont="1" applyBorder="1" applyAlignment="1">
      <alignment horizontal="center" vertical="center" wrapText="1"/>
    </xf>
    <xf numFmtId="164" fontId="5" fillId="0" borderId="102" xfId="11" applyNumberFormat="1" applyFont="1" applyBorder="1" applyAlignment="1">
      <alignment vertical="center" wrapText="1"/>
    </xf>
    <xf numFmtId="2" fontId="5" fillId="0" borderId="102" xfId="11" applyNumberFormat="1" applyFont="1" applyBorder="1" applyAlignment="1">
      <alignment horizontal="center" vertical="center" wrapText="1"/>
    </xf>
    <xf numFmtId="164" fontId="6" fillId="0" borderId="85" xfId="11" applyNumberFormat="1" applyFont="1" applyBorder="1" applyAlignment="1">
      <alignment horizontal="center" vertical="center" wrapText="1"/>
    </xf>
    <xf numFmtId="2" fontId="6" fillId="0" borderId="85" xfId="11" applyNumberFormat="1" applyFont="1" applyBorder="1" applyAlignment="1">
      <alignment horizontal="center" vertical="center" wrapText="1"/>
    </xf>
    <xf numFmtId="1" fontId="10" fillId="0" borderId="0" xfId="11" applyNumberFormat="1" applyFont="1" applyAlignment="1">
      <alignment vertical="center" textRotation="255" wrapText="1"/>
    </xf>
    <xf numFmtId="0" fontId="6" fillId="0" borderId="85" xfId="11" applyFont="1" applyBorder="1" applyAlignment="1">
      <alignment horizontal="center" vertical="center" wrapText="1"/>
    </xf>
    <xf numFmtId="164" fontId="6" fillId="0" borderId="85" xfId="11" applyNumberFormat="1" applyFont="1" applyBorder="1" applyAlignment="1">
      <alignment vertical="center" wrapText="1"/>
    </xf>
    <xf numFmtId="1" fontId="10" fillId="0" borderId="91" xfId="11" applyNumberFormat="1" applyFont="1" applyBorder="1" applyAlignment="1">
      <alignment vertical="center" textRotation="255" wrapText="1"/>
    </xf>
    <xf numFmtId="0" fontId="7" fillId="0" borderId="85" xfId="11" applyFont="1" applyBorder="1" applyAlignment="1">
      <alignment horizontal="center" vertical="center" wrapText="1"/>
    </xf>
    <xf numFmtId="0" fontId="32" fillId="0" borderId="85" xfId="11" applyFont="1" applyBorder="1" applyAlignment="1">
      <alignment horizontal="center" vertical="center"/>
    </xf>
    <xf numFmtId="0" fontId="7" fillId="0" borderId="85" xfId="11" applyFont="1" applyBorder="1" applyAlignment="1">
      <alignment vertical="center" wrapText="1"/>
    </xf>
    <xf numFmtId="0" fontId="5" fillId="0" borderId="85" xfId="11" applyFont="1" applyBorder="1" applyAlignment="1">
      <alignment horizontal="center" vertical="center" wrapText="1"/>
    </xf>
    <xf numFmtId="0" fontId="5" fillId="0" borderId="70" xfId="11" applyFont="1" applyBorder="1" applyAlignment="1">
      <alignment horizontal="center" vertical="center" wrapText="1"/>
    </xf>
    <xf numFmtId="0" fontId="5" fillId="0" borderId="65" xfId="11" applyFont="1" applyBorder="1" applyAlignment="1">
      <alignment horizontal="center" vertical="center" wrapText="1"/>
    </xf>
    <xf numFmtId="164" fontId="5" fillId="11" borderId="91" xfId="11" applyNumberFormat="1" applyFont="1" applyFill="1" applyBorder="1" applyAlignment="1">
      <alignment vertical="center" wrapText="1"/>
    </xf>
    <xf numFmtId="164" fontId="5" fillId="11" borderId="78" xfId="11" applyNumberFormat="1" applyFont="1" applyFill="1" applyBorder="1" applyAlignment="1">
      <alignment vertical="center" wrapText="1"/>
    </xf>
    <xf numFmtId="2" fontId="5" fillId="0" borderId="78" xfId="11" applyNumberFormat="1" applyFont="1" applyBorder="1" applyAlignment="1">
      <alignment horizontal="center" vertical="center" wrapText="1"/>
    </xf>
    <xf numFmtId="1" fontId="6" fillId="0" borderId="99" xfId="11" applyNumberFormat="1" applyFont="1" applyBorder="1" applyAlignment="1">
      <alignment horizontal="center" vertical="center" wrapText="1"/>
    </xf>
    <xf numFmtId="164" fontId="5" fillId="11" borderId="101" xfId="11" applyNumberFormat="1" applyFont="1" applyFill="1" applyBorder="1" applyAlignment="1">
      <alignment vertical="center" wrapText="1"/>
    </xf>
    <xf numFmtId="1" fontId="6" fillId="0" borderId="84" xfId="11" applyNumberFormat="1" applyFont="1" applyBorder="1" applyAlignment="1">
      <alignment horizontal="center" vertical="center" wrapText="1"/>
    </xf>
    <xf numFmtId="164" fontId="5" fillId="11" borderId="207" xfId="11" applyNumberFormat="1" applyFont="1" applyFill="1" applyBorder="1" applyAlignment="1">
      <alignment vertical="center" wrapText="1"/>
    </xf>
    <xf numFmtId="1" fontId="6" fillId="0" borderId="78" xfId="11" applyNumberFormat="1" applyFont="1" applyBorder="1" applyAlignment="1">
      <alignment horizontal="center" vertical="center" wrapText="1"/>
    </xf>
    <xf numFmtId="164" fontId="6" fillId="11" borderId="78" xfId="11" applyNumberFormat="1" applyFont="1" applyFill="1" applyBorder="1" applyAlignment="1">
      <alignment horizontal="center" vertical="center" wrapText="1"/>
    </xf>
    <xf numFmtId="2" fontId="55" fillId="0" borderId="78" xfId="11" applyNumberFormat="1" applyFont="1" applyBorder="1" applyAlignment="1">
      <alignment horizontal="center" vertical="center" wrapText="1"/>
    </xf>
    <xf numFmtId="1" fontId="10" fillId="3" borderId="0" xfId="11" applyNumberFormat="1" applyFont="1" applyFill="1" applyAlignment="1">
      <alignment horizontal="center" vertical="center" textRotation="255" wrapText="1"/>
    </xf>
    <xf numFmtId="0" fontId="6" fillId="0" borderId="78" xfId="11" applyFont="1" applyBorder="1" applyAlignment="1">
      <alignment horizontal="center" vertical="center" wrapText="1"/>
    </xf>
    <xf numFmtId="164" fontId="6" fillId="11" borderId="78" xfId="11" applyNumberFormat="1" applyFont="1" applyFill="1" applyBorder="1" applyAlignment="1">
      <alignment vertical="center" wrapText="1"/>
    </xf>
    <xf numFmtId="2" fontId="66" fillId="0" borderId="78" xfId="11" applyNumberFormat="1" applyFont="1" applyBorder="1" applyAlignment="1" applyProtection="1">
      <alignment horizontal="center" vertical="center" wrapText="1"/>
      <protection locked="0"/>
    </xf>
    <xf numFmtId="2" fontId="104" fillId="0" borderId="78" xfId="11" applyNumberFormat="1" applyFont="1" applyBorder="1" applyAlignment="1">
      <alignment horizontal="center" vertical="center" wrapText="1"/>
    </xf>
    <xf numFmtId="0" fontId="7" fillId="0" borderId="78" xfId="11" applyFont="1" applyBorder="1" applyAlignment="1">
      <alignment horizontal="center" vertical="center" wrapText="1"/>
    </xf>
    <xf numFmtId="0" fontId="32" fillId="0" borderId="78" xfId="11" applyFont="1" applyBorder="1" applyAlignment="1">
      <alignment horizontal="center" vertical="center" wrapText="1"/>
    </xf>
    <xf numFmtId="0" fontId="7" fillId="0" borderId="78" xfId="11" applyFont="1" applyBorder="1" applyAlignment="1">
      <alignment vertical="center" wrapText="1"/>
    </xf>
    <xf numFmtId="0" fontId="5" fillId="0" borderId="78" xfId="11" applyFont="1" applyBorder="1" applyAlignment="1">
      <alignment horizontal="center" vertical="center" wrapText="1"/>
    </xf>
    <xf numFmtId="0" fontId="6" fillId="0" borderId="84" xfId="11" applyFont="1" applyBorder="1" applyAlignment="1">
      <alignment horizontal="center" vertical="center" wrapText="1"/>
    </xf>
    <xf numFmtId="0" fontId="6" fillId="0" borderId="139" xfId="11" applyFont="1" applyBorder="1" applyAlignment="1">
      <alignment horizontal="center" vertical="center" wrapText="1"/>
    </xf>
    <xf numFmtId="0" fontId="5" fillId="0" borderId="139" xfId="11" applyFont="1" applyBorder="1" applyAlignment="1">
      <alignment horizontal="center" vertical="center" wrapText="1"/>
    </xf>
    <xf numFmtId="164" fontId="5" fillId="11" borderId="94" xfId="11" applyNumberFormat="1" applyFont="1" applyFill="1" applyBorder="1" applyAlignment="1">
      <alignment vertical="center" wrapText="1"/>
    </xf>
    <xf numFmtId="164" fontId="5" fillId="11" borderId="100" xfId="11" applyNumberFormat="1" applyFont="1" applyFill="1" applyBorder="1" applyAlignment="1">
      <alignment vertical="center" wrapText="1"/>
    </xf>
    <xf numFmtId="0" fontId="5" fillId="2" borderId="66" xfId="11" applyFont="1" applyFill="1" applyBorder="1" applyAlignment="1">
      <alignment vertical="center" wrapText="1"/>
    </xf>
    <xf numFmtId="1" fontId="6" fillId="0" borderId="65" xfId="11" applyNumberFormat="1" applyFont="1" applyBorder="1" applyAlignment="1">
      <alignment horizontal="center" vertical="center" wrapText="1"/>
    </xf>
    <xf numFmtId="0" fontId="93" fillId="0" borderId="66" xfId="11" applyFont="1" applyBorder="1" applyAlignment="1">
      <alignment vertical="center" wrapText="1"/>
    </xf>
    <xf numFmtId="0" fontId="103" fillId="0" borderId="65" xfId="11" applyFont="1" applyBorder="1" applyAlignment="1">
      <alignment vertical="center" wrapText="1"/>
    </xf>
    <xf numFmtId="0" fontId="101" fillId="11" borderId="105" xfId="11" applyFont="1" applyFill="1" applyBorder="1" applyAlignment="1">
      <alignment horizontal="center" vertical="center" wrapText="1"/>
    </xf>
    <xf numFmtId="0" fontId="101" fillId="11" borderId="206" xfId="11" applyFont="1" applyFill="1" applyBorder="1" applyAlignment="1">
      <alignment horizontal="center" vertical="center" wrapText="1"/>
    </xf>
    <xf numFmtId="0" fontId="101" fillId="11" borderId="205" xfId="11" applyFont="1" applyFill="1" applyBorder="1" applyAlignment="1">
      <alignment horizontal="center" vertical="center" wrapText="1"/>
    </xf>
    <xf numFmtId="49" fontId="101" fillId="11" borderId="204" xfId="11" applyNumberFormat="1" applyFont="1" applyFill="1" applyBorder="1" applyAlignment="1">
      <alignment horizontal="center" vertical="center" wrapText="1"/>
    </xf>
    <xf numFmtId="1" fontId="56" fillId="3" borderId="67" xfId="11" applyNumberFormat="1" applyFont="1" applyFill="1" applyBorder="1" applyAlignment="1">
      <alignment horizontal="center" vertical="center" wrapText="1"/>
    </xf>
    <xf numFmtId="1" fontId="52" fillId="3" borderId="67" xfId="11" applyNumberFormat="1" applyFont="1" applyFill="1" applyBorder="1" applyAlignment="1">
      <alignment horizontal="center" vertical="center" textRotation="255" wrapText="1"/>
    </xf>
    <xf numFmtId="1" fontId="56" fillId="3" borderId="195" xfId="11" applyNumberFormat="1" applyFont="1" applyFill="1" applyBorder="1" applyAlignment="1">
      <alignment horizontal="center" vertical="center" wrapText="1"/>
    </xf>
    <xf numFmtId="49" fontId="56" fillId="3" borderId="195" xfId="11" applyNumberFormat="1" applyFont="1" applyFill="1" applyBorder="1" applyAlignment="1">
      <alignment horizontal="center" vertical="center" wrapText="1"/>
    </xf>
    <xf numFmtId="1" fontId="56" fillId="3" borderId="195" xfId="11" applyNumberFormat="1" applyFont="1" applyFill="1" applyBorder="1" applyAlignment="1">
      <alignment horizontal="center" vertical="center"/>
    </xf>
    <xf numFmtId="1" fontId="67" fillId="3" borderId="195" xfId="11" applyNumberFormat="1" applyFont="1" applyFill="1" applyBorder="1" applyAlignment="1">
      <alignment horizontal="center" vertical="center" wrapText="1"/>
    </xf>
    <xf numFmtId="1" fontId="25" fillId="11" borderId="67" xfId="11" applyNumberFormat="1" applyFont="1" applyFill="1" applyBorder="1" applyAlignment="1">
      <alignment horizontal="center" vertical="center" wrapText="1"/>
    </xf>
    <xf numFmtId="0" fontId="102" fillId="0" borderId="191" xfId="11" applyFont="1" applyBorder="1" applyAlignment="1">
      <alignment horizontal="center" vertical="center" wrapText="1"/>
    </xf>
    <xf numFmtId="0" fontId="102" fillId="0" borderId="203" xfId="11" applyFont="1" applyBorder="1" applyAlignment="1">
      <alignment horizontal="center" vertical="center" wrapText="1"/>
    </xf>
    <xf numFmtId="0" fontId="102" fillId="0" borderId="202" xfId="11" applyFont="1" applyBorder="1" applyAlignment="1">
      <alignment horizontal="center" vertical="center" wrapText="1"/>
    </xf>
    <xf numFmtId="0" fontId="101" fillId="11" borderId="91" xfId="11" applyFont="1" applyFill="1" applyBorder="1" applyAlignment="1">
      <alignment horizontal="center" vertical="center" wrapText="1"/>
    </xf>
    <xf numFmtId="0" fontId="101" fillId="11" borderId="201" xfId="11" applyFont="1" applyFill="1" applyBorder="1" applyAlignment="1">
      <alignment horizontal="center" vertical="center" wrapText="1"/>
    </xf>
    <xf numFmtId="0" fontId="101" fillId="11" borderId="200" xfId="11" applyFont="1" applyFill="1" applyBorder="1" applyAlignment="1">
      <alignment horizontal="center" vertical="center" wrapText="1"/>
    </xf>
    <xf numFmtId="0" fontId="100" fillId="11" borderId="200" xfId="11" applyFont="1" applyFill="1" applyBorder="1" applyAlignment="1">
      <alignment horizontal="center" vertical="center" wrapText="1"/>
    </xf>
    <xf numFmtId="49" fontId="100" fillId="11" borderId="199" xfId="11" applyNumberFormat="1" applyFont="1" applyFill="1" applyBorder="1" applyAlignment="1">
      <alignment horizontal="center" vertical="center" wrapText="1"/>
    </xf>
    <xf numFmtId="1" fontId="99" fillId="3" borderId="69" xfId="11" applyNumberFormat="1" applyFont="1" applyFill="1" applyBorder="1" applyAlignment="1">
      <alignment horizontal="center" vertical="center" wrapText="1"/>
    </xf>
    <xf numFmtId="1" fontId="52" fillId="3" borderId="66" xfId="11" applyNumberFormat="1" applyFont="1" applyFill="1" applyBorder="1" applyAlignment="1">
      <alignment horizontal="center" vertical="center" textRotation="255" wrapText="1"/>
    </xf>
    <xf numFmtId="1" fontId="9" fillId="3" borderId="69" xfId="11" applyNumberFormat="1" applyFont="1" applyFill="1" applyBorder="1" applyAlignment="1">
      <alignment horizontal="center" vertical="center" wrapText="1"/>
    </xf>
    <xf numFmtId="1" fontId="98" fillId="3" borderId="69" xfId="11" applyNumberFormat="1" applyFont="1" applyFill="1" applyBorder="1" applyAlignment="1">
      <alignment horizontal="center" vertical="center" wrapText="1"/>
    </xf>
    <xf numFmtId="1" fontId="98" fillId="3" borderId="81" xfId="11" applyNumberFormat="1" applyFont="1" applyFill="1" applyBorder="1" applyAlignment="1">
      <alignment horizontal="center" vertical="center" wrapText="1"/>
    </xf>
    <xf numFmtId="0" fontId="7" fillId="0" borderId="78" xfId="11" applyFont="1" applyBorder="1" applyAlignment="1">
      <alignment horizontal="left" vertical="center" wrapText="1"/>
    </xf>
    <xf numFmtId="49" fontId="7" fillId="0" borderId="78" xfId="11" applyNumberFormat="1" applyFont="1" applyBorder="1" applyAlignment="1">
      <alignment horizontal="left" vertical="center" wrapText="1"/>
    </xf>
    <xf numFmtId="0" fontId="52" fillId="3" borderId="66" xfId="11" applyFont="1" applyFill="1" applyBorder="1" applyAlignment="1">
      <alignment vertical="center" wrapText="1"/>
    </xf>
    <xf numFmtId="1" fontId="65" fillId="3" borderId="66" xfId="11" applyNumberFormat="1" applyFont="1" applyFill="1" applyBorder="1" applyAlignment="1">
      <alignment horizontal="center" vertical="center" wrapText="1"/>
    </xf>
    <xf numFmtId="1" fontId="7" fillId="0" borderId="65" xfId="11" applyNumberFormat="1" applyFont="1" applyBorder="1" applyAlignment="1">
      <alignment horizontal="center" vertical="center" wrapText="1"/>
    </xf>
    <xf numFmtId="164" fontId="93" fillId="0" borderId="0" xfId="11" applyNumberFormat="1" applyFont="1" applyAlignment="1">
      <alignment horizontal="center" vertical="center" wrapText="1"/>
    </xf>
    <xf numFmtId="164" fontId="93" fillId="0" borderId="95" xfId="11" applyNumberFormat="1" applyFont="1" applyBorder="1" applyAlignment="1">
      <alignment horizontal="center" vertical="center" wrapText="1"/>
    </xf>
    <xf numFmtId="2" fontId="93" fillId="0" borderId="95" xfId="11" applyNumberFormat="1" applyFont="1" applyBorder="1" applyAlignment="1">
      <alignment horizontal="center" vertical="center" wrapText="1"/>
    </xf>
    <xf numFmtId="1" fontId="93" fillId="0" borderId="95" xfId="11" applyNumberFormat="1" applyFont="1" applyBorder="1" applyAlignment="1">
      <alignment horizontal="center" vertical="center" wrapText="1"/>
    </xf>
    <xf numFmtId="2" fontId="93" fillId="0" borderId="78" xfId="11" applyNumberFormat="1" applyFont="1" applyBorder="1" applyAlignment="1">
      <alignment horizontal="center" vertical="center" wrapText="1"/>
    </xf>
    <xf numFmtId="1" fontId="93" fillId="0" borderId="78" xfId="11" applyNumberFormat="1" applyFont="1" applyBorder="1" applyAlignment="1">
      <alignment horizontal="center" vertical="center" wrapText="1"/>
    </xf>
    <xf numFmtId="164" fontId="90" fillId="0" borderId="78" xfId="11" applyNumberFormat="1" applyFont="1" applyBorder="1" applyAlignment="1">
      <alignment horizontal="center" vertical="center" wrapText="1"/>
    </xf>
    <xf numFmtId="2" fontId="90" fillId="0" borderId="78" xfId="11" applyNumberFormat="1" applyFont="1" applyBorder="1" applyAlignment="1">
      <alignment horizontal="center" vertical="center" wrapText="1"/>
    </xf>
    <xf numFmtId="1" fontId="52" fillId="3" borderId="65" xfId="11" applyNumberFormat="1" applyFont="1" applyFill="1" applyBorder="1" applyAlignment="1">
      <alignment horizontal="center" vertical="center" textRotation="255" wrapText="1"/>
    </xf>
    <xf numFmtId="166" fontId="10" fillId="0" borderId="78" xfId="11" applyNumberFormat="1" applyFont="1" applyBorder="1" applyAlignment="1">
      <alignment vertical="center" wrapText="1"/>
    </xf>
    <xf numFmtId="2" fontId="10" fillId="0" borderId="78" xfId="11" applyNumberFormat="1" applyFont="1" applyBorder="1" applyAlignment="1">
      <alignment horizontal="center" vertical="center" wrapText="1"/>
    </xf>
    <xf numFmtId="164" fontId="96" fillId="0" borderId="78" xfId="11" applyNumberFormat="1" applyFont="1" applyBorder="1" applyAlignment="1">
      <alignment vertical="center" wrapText="1"/>
    </xf>
    <xf numFmtId="2" fontId="96" fillId="0" borderId="78" xfId="11" applyNumberFormat="1" applyFont="1" applyBorder="1" applyAlignment="1">
      <alignment horizontal="center" vertical="center" wrapText="1"/>
    </xf>
    <xf numFmtId="0" fontId="52" fillId="3" borderId="66" xfId="11" applyFont="1" applyFill="1" applyBorder="1" applyAlignment="1">
      <alignment horizontal="left" vertical="center" wrapText="1"/>
    </xf>
    <xf numFmtId="1" fontId="56" fillId="3" borderId="105" xfId="11" applyNumberFormat="1" applyFont="1" applyFill="1" applyBorder="1" applyAlignment="1">
      <alignment horizontal="center" vertical="center" wrapText="1"/>
    </xf>
    <xf numFmtId="1" fontId="56" fillId="3" borderId="198" xfId="11" applyNumberFormat="1" applyFont="1" applyFill="1" applyBorder="1" applyAlignment="1">
      <alignment horizontal="center" vertical="center" wrapText="1"/>
    </xf>
    <xf numFmtId="1" fontId="56" fillId="3" borderId="197" xfId="11" applyNumberFormat="1" applyFont="1" applyFill="1" applyBorder="1" applyAlignment="1">
      <alignment horizontal="center" vertical="center" wrapText="1"/>
    </xf>
    <xf numFmtId="1" fontId="56" fillId="3" borderId="196" xfId="11" applyNumberFormat="1" applyFont="1" applyFill="1" applyBorder="1" applyAlignment="1">
      <alignment horizontal="center" vertical="center" wrapText="1"/>
    </xf>
    <xf numFmtId="1" fontId="56" fillId="3" borderId="92" xfId="11" applyNumberFormat="1" applyFont="1" applyFill="1" applyBorder="1" applyAlignment="1">
      <alignment horizontal="center" vertical="center" wrapText="1"/>
    </xf>
    <xf numFmtId="1" fontId="56" fillId="3" borderId="92" xfId="11" applyNumberFormat="1" applyFont="1" applyFill="1" applyBorder="1" applyAlignment="1">
      <alignment horizontal="center" vertical="center" wrapText="1"/>
    </xf>
    <xf numFmtId="1" fontId="56" fillId="3" borderId="67" xfId="11" applyNumberFormat="1" applyFont="1" applyFill="1" applyBorder="1" applyAlignment="1">
      <alignment horizontal="center" vertical="center" wrapText="1"/>
    </xf>
    <xf numFmtId="1" fontId="56" fillId="3" borderId="68" xfId="11" applyNumberFormat="1" applyFont="1" applyFill="1" applyBorder="1" applyAlignment="1">
      <alignment horizontal="center" vertical="center" wrapText="1"/>
    </xf>
    <xf numFmtId="0" fontId="93" fillId="0" borderId="65" xfId="11" applyFont="1" applyBorder="1" applyAlignment="1">
      <alignment horizontal="center" vertical="center" wrapText="1"/>
    </xf>
    <xf numFmtId="0" fontId="97" fillId="0" borderId="91" xfId="11" applyFont="1" applyBorder="1" applyAlignment="1">
      <alignment vertical="center" wrapText="1"/>
    </xf>
    <xf numFmtId="0" fontId="97" fillId="0" borderId="70" xfId="11" applyFont="1" applyBorder="1" applyAlignment="1">
      <alignment vertical="center" wrapText="1"/>
    </xf>
    <xf numFmtId="0" fontId="97" fillId="0" borderId="69" xfId="11" applyFont="1" applyBorder="1" applyAlignment="1">
      <alignment vertical="center" wrapText="1"/>
    </xf>
    <xf numFmtId="0" fontId="97" fillId="0" borderId="194" xfId="11" applyFont="1" applyBorder="1" applyAlignment="1">
      <alignment vertical="center" wrapText="1"/>
    </xf>
    <xf numFmtId="164" fontId="93" fillId="0" borderId="193" xfId="11" applyNumberFormat="1" applyFont="1" applyBorder="1" applyAlignment="1">
      <alignment horizontal="center" vertical="center" wrapText="1"/>
    </xf>
    <xf numFmtId="1" fontId="52" fillId="3" borderId="192" xfId="11" applyNumberFormat="1" applyFont="1" applyFill="1" applyBorder="1" applyAlignment="1">
      <alignment horizontal="center" vertical="center" wrapText="1"/>
    </xf>
    <xf numFmtId="1" fontId="52" fillId="3" borderId="66" xfId="11" applyNumberFormat="1" applyFont="1" applyFill="1" applyBorder="1" applyAlignment="1">
      <alignment horizontal="center" vertical="center" wrapText="1"/>
    </xf>
    <xf numFmtId="164" fontId="90" fillId="0" borderId="64" xfId="11" applyNumberFormat="1" applyFont="1" applyBorder="1" applyAlignment="1">
      <alignment horizontal="center" vertical="center" wrapText="1"/>
    </xf>
    <xf numFmtId="1" fontId="90" fillId="0" borderId="66" xfId="11" applyNumberFormat="1" applyFont="1" applyBorder="1" applyAlignment="1">
      <alignment horizontal="center" vertical="center" wrapText="1"/>
    </xf>
    <xf numFmtId="2" fontId="90" fillId="0" borderId="66" xfId="11" applyNumberFormat="1" applyFont="1" applyBorder="1" applyAlignment="1">
      <alignment vertical="center" wrapText="1"/>
    </xf>
    <xf numFmtId="1" fontId="52" fillId="3" borderId="189" xfId="11" applyNumberFormat="1" applyFont="1" applyFill="1" applyBorder="1" applyAlignment="1">
      <alignment horizontal="center" vertical="center" textRotation="255" wrapText="1"/>
    </xf>
    <xf numFmtId="1" fontId="52" fillId="3" borderId="191" xfId="11" applyNumberFormat="1" applyFont="1" applyFill="1" applyBorder="1" applyAlignment="1">
      <alignment horizontal="center" vertical="center" textRotation="255" wrapText="1"/>
    </xf>
    <xf numFmtId="2" fontId="56" fillId="3" borderId="190" xfId="11" applyNumberFormat="1" applyFont="1" applyFill="1" applyBorder="1" applyAlignment="1">
      <alignment horizontal="center" vertical="center" wrapText="1"/>
    </xf>
    <xf numFmtId="2" fontId="56" fillId="3" borderId="189" xfId="11" applyNumberFormat="1" applyFont="1" applyFill="1" applyBorder="1" applyAlignment="1">
      <alignment horizontal="center" vertical="center" wrapText="1"/>
    </xf>
    <xf numFmtId="2" fontId="56" fillId="3" borderId="70" xfId="11" applyNumberFormat="1" applyFont="1" applyFill="1" applyBorder="1" applyAlignment="1">
      <alignment horizontal="center" vertical="center" wrapText="1"/>
    </xf>
    <xf numFmtId="2" fontId="56" fillId="3" borderId="81" xfId="11" applyNumberFormat="1" applyFont="1" applyFill="1" applyBorder="1" applyAlignment="1">
      <alignment horizontal="center" vertical="center" wrapText="1"/>
    </xf>
    <xf numFmtId="0" fontId="52" fillId="3" borderId="84" xfId="11" applyFont="1" applyFill="1" applyBorder="1" applyAlignment="1">
      <alignment horizontal="center" vertical="center" wrapText="1"/>
    </xf>
    <xf numFmtId="0" fontId="52" fillId="3" borderId="102" xfId="11" applyFont="1" applyFill="1" applyBorder="1" applyAlignment="1">
      <alignment horizontal="center" vertical="center" wrapText="1"/>
    </xf>
    <xf numFmtId="0" fontId="52" fillId="3" borderId="83" xfId="11" applyFont="1" applyFill="1" applyBorder="1" applyAlignment="1">
      <alignment horizontal="center" vertical="center" wrapText="1"/>
    </xf>
    <xf numFmtId="0" fontId="93" fillId="0" borderId="66" xfId="11" applyFont="1" applyBorder="1" applyAlignment="1">
      <alignment horizontal="center" vertical="center" wrapText="1"/>
    </xf>
    <xf numFmtId="1" fontId="10" fillId="0" borderId="67" xfId="11" applyNumberFormat="1" applyFont="1" applyBorder="1" applyAlignment="1">
      <alignment vertical="center" textRotation="255" wrapText="1"/>
    </xf>
    <xf numFmtId="164" fontId="10" fillId="0" borderId="67" xfId="11" applyNumberFormat="1" applyFont="1" applyBorder="1" applyAlignment="1">
      <alignment horizontal="center" vertical="center" wrapText="1"/>
    </xf>
    <xf numFmtId="1" fontId="10" fillId="0" borderId="67" xfId="11" applyNumberFormat="1" applyFont="1" applyBorder="1" applyAlignment="1">
      <alignment horizontal="center" vertical="center" wrapText="1"/>
    </xf>
    <xf numFmtId="2" fontId="10" fillId="0" borderId="67" xfId="11" applyNumberFormat="1" applyFont="1" applyBorder="1" applyAlignment="1">
      <alignment vertical="center" wrapText="1"/>
    </xf>
    <xf numFmtId="0" fontId="25" fillId="0" borderId="164" xfId="11" applyFont="1" applyBorder="1" applyAlignment="1" applyProtection="1">
      <alignment horizontal="center" vertical="center" wrapText="1"/>
      <protection locked="0"/>
    </xf>
    <xf numFmtId="0" fontId="25" fillId="0" borderId="87" xfId="11" applyFont="1" applyBorder="1" applyAlignment="1" applyProtection="1">
      <alignment horizontal="center" vertical="center" wrapText="1"/>
      <protection locked="0"/>
    </xf>
    <xf numFmtId="0" fontId="25" fillId="0" borderId="86" xfId="11" applyFont="1" applyBorder="1" applyAlignment="1" applyProtection="1">
      <alignment horizontal="center" vertical="center" wrapText="1"/>
      <protection locked="0"/>
    </xf>
    <xf numFmtId="49" fontId="7" fillId="0" borderId="84" xfId="11" applyNumberFormat="1" applyFont="1" applyBorder="1" applyAlignment="1">
      <alignment horizontal="left" vertical="center" wrapText="1"/>
    </xf>
    <xf numFmtId="49" fontId="7" fillId="0" borderId="102" xfId="11" applyNumberFormat="1" applyFont="1" applyBorder="1" applyAlignment="1">
      <alignment horizontal="left" vertical="center" wrapText="1"/>
    </xf>
    <xf numFmtId="49" fontId="7" fillId="0" borderId="83" xfId="11" applyNumberFormat="1" applyFont="1" applyBorder="1" applyAlignment="1">
      <alignment horizontal="left" vertical="center" wrapText="1"/>
    </xf>
    <xf numFmtId="1" fontId="10" fillId="0" borderId="66" xfId="11" applyNumberFormat="1" applyFont="1" applyBorder="1" applyAlignment="1">
      <alignment vertical="center" textRotation="255" wrapText="1"/>
    </xf>
    <xf numFmtId="164" fontId="10" fillId="0" borderId="66" xfId="11" applyNumberFormat="1" applyFont="1" applyBorder="1" applyAlignment="1">
      <alignment horizontal="center" vertical="center" wrapText="1"/>
    </xf>
    <xf numFmtId="1" fontId="10" fillId="0" borderId="66" xfId="11" applyNumberFormat="1" applyFont="1" applyBorder="1" applyAlignment="1">
      <alignment horizontal="center" vertical="center" wrapText="1"/>
    </xf>
    <xf numFmtId="2" fontId="10" fillId="0" borderId="66" xfId="11" applyNumberFormat="1" applyFont="1" applyBorder="1" applyAlignment="1">
      <alignment vertical="center" wrapText="1"/>
    </xf>
    <xf numFmtId="0" fontId="25" fillId="0" borderId="162" xfId="11" applyFont="1" applyBorder="1" applyAlignment="1" applyProtection="1">
      <alignment horizontal="center" vertical="center" wrapText="1"/>
      <protection locked="0"/>
    </xf>
    <xf numFmtId="0" fontId="25" fillId="0" borderId="0" xfId="11" applyFont="1" applyAlignment="1" applyProtection="1">
      <alignment horizontal="center" vertical="center" wrapText="1"/>
      <protection locked="0"/>
    </xf>
    <xf numFmtId="0" fontId="25" fillId="0" borderId="138" xfId="11" applyFont="1" applyBorder="1" applyAlignment="1" applyProtection="1">
      <alignment horizontal="center" vertical="center" wrapText="1"/>
      <protection locked="0"/>
    </xf>
    <xf numFmtId="0" fontId="95" fillId="0" borderId="66" xfId="11" applyFont="1" applyBorder="1" applyAlignment="1">
      <alignment vertical="center" wrapText="1"/>
    </xf>
    <xf numFmtId="0" fontId="94" fillId="11" borderId="106" xfId="11" applyFont="1" applyFill="1" applyBorder="1" applyAlignment="1">
      <alignment horizontal="center" vertical="center" wrapText="1"/>
    </xf>
    <xf numFmtId="0" fontId="94" fillId="11" borderId="0" xfId="11" applyFont="1" applyFill="1" applyAlignment="1">
      <alignment horizontal="center" vertical="center" wrapText="1"/>
    </xf>
    <xf numFmtId="0" fontId="94" fillId="11" borderId="186" xfId="11" applyFont="1" applyFill="1" applyBorder="1" applyAlignment="1">
      <alignment horizontal="center" vertical="center" wrapText="1"/>
    </xf>
    <xf numFmtId="0" fontId="25" fillId="0" borderId="161" xfId="11" applyFont="1" applyBorder="1" applyAlignment="1" applyProtection="1">
      <alignment horizontal="center" vertical="center" wrapText="1"/>
      <protection locked="0"/>
    </xf>
    <xf numFmtId="0" fontId="25" fillId="0" borderId="85" xfId="11" applyFont="1" applyBorder="1" applyAlignment="1" applyProtection="1">
      <alignment horizontal="center" vertical="center" wrapText="1"/>
      <protection locked="0"/>
    </xf>
    <xf numFmtId="0" fontId="25" fillId="0" borderId="163" xfId="11" applyFont="1" applyBorder="1" applyAlignment="1" applyProtection="1">
      <alignment horizontal="center" vertical="center" wrapText="1"/>
      <protection locked="0"/>
    </xf>
    <xf numFmtId="0" fontId="57" fillId="3" borderId="67" xfId="11" applyFont="1" applyFill="1" applyBorder="1" applyAlignment="1">
      <alignment horizontal="center" vertical="center" wrapText="1"/>
    </xf>
    <xf numFmtId="0" fontId="57" fillId="3" borderId="68" xfId="11" applyFont="1" applyFill="1" applyBorder="1" applyAlignment="1">
      <alignment horizontal="center" vertical="center" wrapText="1"/>
    </xf>
    <xf numFmtId="0" fontId="91" fillId="0" borderId="66" xfId="11" applyFont="1" applyBorder="1" applyAlignment="1">
      <alignment vertical="center"/>
    </xf>
    <xf numFmtId="0" fontId="25" fillId="0" borderId="66" xfId="11" applyFont="1" applyBorder="1" applyAlignment="1">
      <alignment horizontal="center" vertical="center" wrapText="1"/>
    </xf>
    <xf numFmtId="0" fontId="94" fillId="0" borderId="185" xfId="11" applyFont="1" applyBorder="1" applyAlignment="1">
      <alignment vertical="center" wrapText="1"/>
    </xf>
    <xf numFmtId="0" fontId="94" fillId="0" borderId="105" xfId="11" applyFont="1" applyBorder="1" applyAlignment="1">
      <alignment vertical="center" wrapText="1"/>
    </xf>
    <xf numFmtId="0" fontId="94" fillId="0" borderId="92" xfId="11" applyFont="1" applyBorder="1" applyAlignment="1">
      <alignment vertical="center" wrapText="1"/>
    </xf>
    <xf numFmtId="164" fontId="90" fillId="0" borderId="66" xfId="11" applyNumberFormat="1" applyFont="1" applyBorder="1" applyAlignment="1">
      <alignment horizontal="center" vertical="center" wrapText="1"/>
    </xf>
    <xf numFmtId="0" fontId="57" fillId="3" borderId="69" xfId="11" applyFont="1" applyFill="1" applyBorder="1" applyAlignment="1">
      <alignment horizontal="center" vertical="center" wrapText="1"/>
    </xf>
    <xf numFmtId="0" fontId="57" fillId="3" borderId="81" xfId="11" applyFont="1" applyFill="1" applyBorder="1" applyAlignment="1">
      <alignment horizontal="center" vertical="center" wrapText="1"/>
    </xf>
    <xf numFmtId="165" fontId="7" fillId="0" borderId="84" xfId="11" applyNumberFormat="1" applyFont="1" applyBorder="1" applyAlignment="1">
      <alignment horizontal="left" vertical="center" wrapText="1"/>
    </xf>
    <xf numFmtId="165" fontId="7" fillId="0" borderId="102" xfId="11" applyNumberFormat="1" applyFont="1" applyBorder="1" applyAlignment="1">
      <alignment horizontal="left" vertical="center" wrapText="1"/>
    </xf>
    <xf numFmtId="165" fontId="7" fillId="0" borderId="83" xfId="11" applyNumberFormat="1" applyFont="1" applyBorder="1" applyAlignment="1">
      <alignment horizontal="left" vertical="center" wrapText="1"/>
    </xf>
    <xf numFmtId="0" fontId="25" fillId="0" borderId="66" xfId="11" applyFont="1" applyBorder="1" applyAlignment="1">
      <alignment horizontal="center" vertical="center" wrapText="1"/>
    </xf>
    <xf numFmtId="1" fontId="10" fillId="3" borderId="105" xfId="11" applyNumberFormat="1" applyFont="1" applyFill="1" applyBorder="1" applyAlignment="1">
      <alignment horizontal="center" vertical="center" textRotation="255" wrapText="1"/>
    </xf>
    <xf numFmtId="0" fontId="66" fillId="0" borderId="78" xfId="11" applyFont="1" applyBorder="1" applyAlignment="1">
      <alignment horizontal="center" vertical="center" wrapText="1"/>
    </xf>
    <xf numFmtId="0" fontId="61" fillId="16" borderId="184" xfId="11" applyFont="1" applyFill="1" applyBorder="1" applyAlignment="1">
      <alignment horizontal="center" vertical="center" wrapText="1"/>
    </xf>
    <xf numFmtId="0" fontId="61" fillId="16" borderId="105" xfId="11" applyFont="1" applyFill="1" applyBorder="1" applyAlignment="1">
      <alignment horizontal="center" vertical="center" wrapText="1"/>
    </xf>
    <xf numFmtId="0" fontId="61" fillId="16" borderId="92" xfId="11" applyFont="1" applyFill="1" applyBorder="1" applyAlignment="1">
      <alignment horizontal="center" vertical="center" wrapText="1"/>
    </xf>
  </cellXfs>
  <cellStyles count="13">
    <cellStyle name="Euro" xfId="1" xr:uid="{00000000-0005-0000-0000-000000000000}"/>
    <cellStyle name="Euro 2" xfId="2" xr:uid="{00000000-0005-0000-0000-000001000000}"/>
    <cellStyle name="Lien hypertexte" xfId="5" builtinId="8"/>
    <cellStyle name="Monétaire" xfId="3" builtinId="4"/>
    <cellStyle name="Monétaire 2" xfId="9" xr:uid="{0FA4B8A4-50B1-4BA2-968A-3A1B21A24B27}"/>
    <cellStyle name="Monétaire 3" xfId="12" xr:uid="{3450215A-04E8-4186-83DC-4D8DBF2DD172}"/>
    <cellStyle name="Normal" xfId="0" builtinId="0"/>
    <cellStyle name="Normal 2" xfId="4" xr:uid="{00000000-0005-0000-0000-000005000000}"/>
    <cellStyle name="Normal 3" xfId="6" xr:uid="{9425A43B-5DB3-4BA5-A419-E9F2F98B583B}"/>
    <cellStyle name="Normal 3 2" xfId="8" xr:uid="{E7E7B264-226D-4D22-842C-D4AED053CD92}"/>
    <cellStyle name="Normal 3 3" xfId="11" xr:uid="{2C0AB050-9D0C-433E-A20F-CA557BCD4652}"/>
    <cellStyle name="Normal 4" xfId="7" xr:uid="{115DE186-EF13-4EE9-BB50-F5EB60E970C8}"/>
    <cellStyle name="Normal 5" xfId="10" xr:uid="{F406F434-D879-43C6-A74A-0D3A6B775926}"/>
  </cellStyles>
  <dxfs count="127">
    <dxf>
      <fill>
        <patternFill patternType="solid">
          <fgColor indexed="2"/>
          <bgColor indexed="2"/>
        </patternFill>
      </fill>
    </dxf>
    <dxf>
      <fill>
        <patternFill patternType="solid">
          <fgColor indexed="2"/>
          <bgColor indexed="2"/>
        </patternFill>
      </fill>
    </dxf>
    <dxf>
      <font>
        <color theme="0"/>
      </font>
      <fill>
        <patternFill patternType="solid">
          <fgColor rgb="FFC00000"/>
          <bgColor rgb="FFC00000"/>
        </patternFill>
      </fill>
    </dxf>
    <dxf>
      <fill>
        <patternFill patternType="solid">
          <fgColor rgb="FF92D050"/>
          <bgColor rgb="FF92D050"/>
        </patternFill>
      </fill>
    </dxf>
    <dxf>
      <fill>
        <patternFill patternType="solid">
          <fgColor theme="6" tint="0.79998168889431442"/>
          <bgColor theme="6" tint="0.79998168889431442"/>
        </patternFill>
      </fill>
    </dxf>
    <dxf>
      <fill>
        <patternFill>
          <bgColor theme="6"/>
        </patternFill>
      </fill>
    </dxf>
    <dxf>
      <fill>
        <patternFill>
          <bgColor theme="6"/>
        </patternFill>
      </fill>
    </dxf>
    <dxf>
      <fill>
        <patternFill>
          <bgColor theme="0" tint="-0.14996795556505021"/>
        </patternFill>
      </fill>
    </dxf>
    <dxf>
      <fill>
        <patternFill>
          <bgColor theme="5" tint="0.39994506668294322"/>
        </patternFill>
      </fill>
    </dxf>
    <dxf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ill>
        <patternFill>
          <bgColor rgb="FFFFFF99"/>
        </patternFill>
      </fill>
    </dxf>
    <dxf>
      <fill>
        <patternFill>
          <bgColor theme="0" tint="-0.14996795556505021"/>
        </patternFill>
      </fill>
    </dxf>
    <dxf>
      <font>
        <color rgb="FFC00000"/>
      </font>
      <fill>
        <patternFill>
          <bgColor theme="5" tint="0.59996337778862885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ill>
        <patternFill>
          <bgColor theme="6" tint="0.59996337778862885"/>
        </patternFill>
      </fill>
    </dxf>
    <dxf>
      <fill>
        <patternFill patternType="none">
          <fgColor auto="1"/>
          <bgColor auto="1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ont>
        <color auto="1"/>
      </font>
      <fill>
        <patternFill>
          <bgColor theme="0" tint="-0.14996795556505021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ont>
        <b/>
        <i val="0"/>
        <color rgb="FFFF0000"/>
      </font>
      <fill>
        <patternFill>
          <bgColor rgb="FFFFCC00"/>
        </patternFill>
      </fill>
    </dxf>
    <dxf>
      <fill>
        <patternFill>
          <bgColor rgb="FFFFFF99"/>
        </patternFill>
      </fill>
    </dxf>
    <dxf>
      <fill>
        <patternFill>
          <bgColor rgb="FFFFFF99"/>
        </patternFill>
      </fill>
    </dxf>
    <dxf>
      <fill>
        <patternFill>
          <bgColor rgb="FFFFFF00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fill>
        <patternFill>
          <bgColor theme="5" tint="0.39994506668294322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 patternType="solid">
          <fgColor rgb="FFFF66FF"/>
          <bgColor rgb="FFFF66FF"/>
        </patternFill>
      </fill>
    </dxf>
    <dxf>
      <fill>
        <patternFill>
          <bgColor theme="6" tint="0.59996337778862885"/>
        </patternFill>
      </fill>
    </dxf>
    <dxf>
      <fill>
        <patternFill patternType="none">
          <bgColor auto="1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fill>
        <patternFill patternType="solid">
          <fgColor theme="0" tint="-0.24994659260841701"/>
          <bgColor theme="0" tint="-0.14996795556505021"/>
        </patternFill>
      </fill>
    </dxf>
    <dxf>
      <numFmt numFmtId="0" formatCode="General"/>
      <fill>
        <patternFill patternType="solid">
          <fgColor theme="0" tint="-0.24994659260841701"/>
          <bgColor theme="0" tint="-0.14996795556505021"/>
        </patternFill>
      </fill>
    </dxf>
    <dxf>
      <fill>
        <patternFill patternType="solid">
          <fgColor indexed="2"/>
          <bgColor theme="5" tint="0.39994506668294322"/>
        </patternFill>
      </fill>
    </dxf>
    <dxf>
      <numFmt numFmtId="0" formatCode="General"/>
      <fill>
        <patternFill patternType="solid">
          <fgColor theme="0" tint="-0.24994659260841701"/>
          <bgColor theme="0" tint="-0.24994659260841701"/>
        </patternFill>
      </fill>
    </dxf>
    <dxf>
      <fill>
        <patternFill patternType="solid">
          <fgColor rgb="FFFF66CC"/>
          <bgColor rgb="FFFF66CC"/>
        </patternFill>
      </fill>
    </dxf>
    <dxf>
      <font>
        <b val="0"/>
        <i val="0"/>
        <strike val="0"/>
        <u val="none"/>
        <vertAlign val="baseline"/>
        <sz val="11"/>
        <color theme="1"/>
        <name val="Arial"/>
        <scheme val="none"/>
      </font>
      <numFmt numFmtId="4" formatCode="#,##0.00"/>
      <alignment horizontal="center" vertical="center" textRotation="0" wrapText="0" relativeIndent="0" shrinkToFit="0"/>
    </dxf>
    <dxf>
      <font>
        <b val="0"/>
        <i val="0"/>
        <strike val="0"/>
        <u val="none"/>
        <vertAlign val="baseline"/>
        <sz val="11"/>
        <color theme="1"/>
        <name val="Arial"/>
        <scheme val="none"/>
      </font>
      <numFmt numFmtId="165" formatCode="00"/>
      <alignment horizontal="center" vertical="center" textRotation="0" wrapText="0" relativeIndent="0" shrinkToFit="0"/>
    </dxf>
    <dxf>
      <font>
        <b val="0"/>
        <i val="0"/>
        <strike val="0"/>
        <u val="none"/>
        <vertAlign val="baseline"/>
        <sz val="11"/>
        <color theme="1"/>
        <name val="Arial"/>
        <scheme val="none"/>
      </font>
      <alignment horizontal="left" vertical="center" textRotation="0" wrapText="0" relativeIndent="0" shrinkToFit="0"/>
    </dxf>
    <dxf>
      <font>
        <b val="0"/>
        <i val="0"/>
        <strike val="0"/>
        <u val="none"/>
        <vertAlign val="baseline"/>
        <sz val="11"/>
        <color theme="1"/>
        <name val="Arial"/>
        <scheme val="none"/>
      </font>
      <numFmt numFmtId="4" formatCode="#,##0.00"/>
      <alignment horizontal="center" vertical="center" textRotation="0" wrapText="0" relativeIndent="0" shrinkToFit="0"/>
    </dxf>
    <dxf>
      <font>
        <b val="0"/>
        <i val="0"/>
        <strike val="0"/>
        <u val="none"/>
        <vertAlign val="baseline"/>
        <sz val="11"/>
        <color theme="1"/>
        <name val="Arial"/>
        <scheme val="none"/>
      </font>
      <numFmt numFmtId="4" formatCode="#,##0.00"/>
      <alignment horizontal="center" vertical="center" textRotation="0" wrapText="0" relativeIndent="0" shrinkToFit="0"/>
    </dxf>
    <dxf>
      <font>
        <b val="0"/>
        <i val="0"/>
        <strike val="0"/>
        <u val="none"/>
        <vertAlign val="baseline"/>
        <sz val="11"/>
        <color theme="1"/>
        <name val="Arial"/>
        <scheme val="none"/>
      </font>
      <numFmt numFmtId="165" formatCode="00"/>
      <alignment horizontal="center" vertical="center" textRotation="0" wrapText="0" relativeIndent="0" shrinkToFit="0"/>
    </dxf>
    <dxf>
      <font>
        <b val="0"/>
        <i val="0"/>
        <strike val="0"/>
        <u val="none"/>
        <vertAlign val="baseline"/>
        <sz val="11"/>
        <color theme="1"/>
        <name val="Arial"/>
        <scheme val="none"/>
      </font>
      <alignment horizontal="left" vertical="center" textRotation="0" wrapText="0" relativeIndent="0" shrinkToFit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auto="1"/>
        <name val="Arial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numFmt numFmtId="164" formatCode="_ * #,##0.00_)\ &quot;€&quot;_ ;_ * \(#,##0.00\)\ &quot;€&quot;_ ;_ * &quot;-&quot;??_)\ &quot;€&quot;_ ;_ @_ "/>
      <alignment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8"/>
        <color rgb="FFFF0000"/>
        <name val="Arial"/>
        <family val="2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8"/>
        <color theme="1"/>
        <name val="Arial"/>
        <family val="2"/>
        <scheme val="none"/>
      </font>
      <alignment vertical="center" textRotation="0" wrapText="1" indent="0" justifyLastLine="0" shrinkToFit="0" readingOrder="0"/>
      <protection locked="0" hidden="0"/>
    </dxf>
    <dxf>
      <font>
        <b/>
        <strike val="0"/>
        <outline val="0"/>
        <shadow val="0"/>
        <u val="none"/>
        <vertAlign val="baseline"/>
        <sz val="10"/>
        <color theme="1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top style="thin">
          <color rgb="FFBFBFBF"/>
        </top>
      </border>
    </dxf>
    <dxf>
      <font>
        <strike val="0"/>
        <outline val="0"/>
        <shadow val="0"/>
        <u val="none"/>
        <vertAlign val="baseline"/>
        <sz val="11"/>
        <color rgb="FF1F497D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left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3"/>
        <name val="Arial"/>
        <family val="2"/>
        <scheme val="none"/>
      </font>
      <alignment horizontal="center" vertical="center" textRotation="0" wrapText="1" indent="0" justifyLastLine="0" shrinkToFit="0" readingOrder="0"/>
    </dxf>
    <dxf>
      <border outline="0">
        <top style="thin">
          <color theme="0" tint="-0.249977111117893"/>
        </top>
      </border>
    </dxf>
    <dxf>
      <font>
        <strike val="0"/>
        <outline val="0"/>
        <shadow val="0"/>
        <u val="none"/>
        <vertAlign val="baseline"/>
        <sz val="11"/>
        <color theme="3"/>
        <name val="Arial"/>
        <family val="2"/>
        <scheme val="none"/>
      </font>
    </dxf>
  </dxfs>
  <tableStyles count="0" defaultTableStyle="TableStyleMedium2" defaultPivotStyle="PivotStyleLight16"/>
  <colors>
    <mruColors>
      <color rgb="FFFFCC00"/>
      <color rgb="FFFFFF99"/>
      <color rgb="FFFF66CC"/>
      <color rgb="FFFF9999"/>
      <color rgb="FFFF6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2450509</xdr:colOff>
      <xdr:row>5</xdr:row>
      <xdr:rowOff>382141</xdr:rowOff>
    </xdr:from>
    <xdr:to>
      <xdr:col>2</xdr:col>
      <xdr:colOff>4155822</xdr:colOff>
      <xdr:row>5</xdr:row>
      <xdr:rowOff>648683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3509" y="1899791"/>
          <a:ext cx="1705313" cy="26654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2362200</xdr:colOff>
          <xdr:row>3</xdr:row>
          <xdr:rowOff>57150</xdr:rowOff>
        </xdr:from>
        <xdr:to>
          <xdr:col>7</xdr:col>
          <xdr:colOff>4305300</xdr:colOff>
          <xdr:row>5</xdr:row>
          <xdr:rowOff>66675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4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les commandes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1971675</xdr:colOff>
          <xdr:row>2</xdr:row>
          <xdr:rowOff>504825</xdr:rowOff>
        </xdr:from>
        <xdr:to>
          <xdr:col>7</xdr:col>
          <xdr:colOff>3429000</xdr:colOff>
          <xdr:row>3</xdr:row>
          <xdr:rowOff>38100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5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Générer les factures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752475</xdr:colOff>
      <xdr:row>0</xdr:row>
      <xdr:rowOff>133350</xdr:rowOff>
    </xdr:from>
    <xdr:to>
      <xdr:col>2</xdr:col>
      <xdr:colOff>895350</xdr:colOff>
      <xdr:row>5</xdr:row>
      <xdr:rowOff>142875</xdr:rowOff>
    </xdr:to>
    <xdr:pic>
      <xdr:nvPicPr>
        <xdr:cNvPr id="2" name="Image 1" descr="STG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838325" y="133350"/>
          <a:ext cx="2314575" cy="9620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act_268_S46_45_ORLEANS_Lilian_GITTON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IDE"/>
      <sheetName val="COMMANDE"/>
      <sheetName val="ADMIN2"/>
      <sheetName val="BL"/>
      <sheetName val="FACTURE"/>
      <sheetName val="BDD"/>
      <sheetName val="CATALOGUE"/>
      <sheetName val="COMPTA"/>
      <sheetName val="POIDS"/>
      <sheetName val="PAL"/>
      <sheetName val="PEDIDO"/>
      <sheetName val="STG"/>
    </sheetNames>
    <sheetDataSet>
      <sheetData sheetId="0" refreshError="1"/>
      <sheetData sheetId="1">
        <row r="2">
          <cell r="E2">
            <v>45</v>
          </cell>
        </row>
        <row r="3">
          <cell r="E3" t="str">
            <v>Lilian GITTON</v>
          </cell>
        </row>
        <row r="4">
          <cell r="E4" t="str">
            <v>24 rue du clos Rozé</v>
          </cell>
          <cell r="K4" t="str">
            <v>Lilian GITTON</v>
          </cell>
        </row>
        <row r="5">
          <cell r="E5" t="str">
            <v>45100</v>
          </cell>
          <cell r="K5" t="str">
            <v>0687035649</v>
          </cell>
          <cell r="Q5" t="str">
            <v>Victoria WETLEY</v>
          </cell>
          <cell r="S5" t="str">
            <v>Jasmine MACIA</v>
          </cell>
          <cell r="U5" t="str">
            <v>Valérie DA SILVA</v>
          </cell>
          <cell r="W5" t="str">
            <v>Prénom NOM</v>
          </cell>
          <cell r="Y5" t="str">
            <v>Prénom NOM</v>
          </cell>
          <cell r="AA5" t="str">
            <v>Prénom NOM</v>
          </cell>
          <cell r="AC5" t="str">
            <v>Prénom NOM</v>
          </cell>
          <cell r="AE5" t="str">
            <v>Prénom NOM</v>
          </cell>
          <cell r="AG5" t="str">
            <v>Prénom NOM</v>
          </cell>
          <cell r="AI5" t="str">
            <v>Prénom NOM</v>
          </cell>
          <cell r="AK5" t="str">
            <v>Prénom NOM</v>
          </cell>
          <cell r="AM5" t="str">
            <v>Prénom NOM</v>
          </cell>
          <cell r="AO5" t="str">
            <v>Prénom NOM</v>
          </cell>
          <cell r="AQ5" t="str">
            <v>Prénom NOM</v>
          </cell>
          <cell r="AS5" t="str">
            <v>Prénom NOM</v>
          </cell>
          <cell r="AU5" t="str">
            <v>Prénom NOM</v>
          </cell>
          <cell r="AW5" t="str">
            <v>Prénom NOM</v>
          </cell>
          <cell r="AY5" t="str">
            <v>Prénom NOM</v>
          </cell>
          <cell r="BA5" t="str">
            <v>Prénom NOM</v>
          </cell>
        </row>
        <row r="6">
          <cell r="E6" t="str">
            <v>Orléans</v>
          </cell>
          <cell r="K6" t="str">
            <v>liliangitton@yahoo.fr</v>
          </cell>
          <cell r="Q6" t="str">
            <v>victoria.wetley@gmail.com</v>
          </cell>
          <cell r="S6" t="str">
            <v>jasmine.macia@hotmail.com</v>
          </cell>
          <cell r="U6" t="str">
            <v>valerie.dslva@lilo.org</v>
          </cell>
          <cell r="W6" t="str">
            <v>Email</v>
          </cell>
          <cell r="Y6" t="str">
            <v>Email</v>
          </cell>
          <cell r="AA6" t="str">
            <v>Email</v>
          </cell>
          <cell r="AC6" t="str">
            <v>Email</v>
          </cell>
          <cell r="AE6" t="str">
            <v>Email</v>
          </cell>
          <cell r="AG6" t="str">
            <v>Email</v>
          </cell>
          <cell r="AI6" t="str">
            <v>Email</v>
          </cell>
          <cell r="AK6" t="str">
            <v>Email</v>
          </cell>
          <cell r="AM6" t="str">
            <v>Email</v>
          </cell>
          <cell r="AO6" t="str">
            <v>Email</v>
          </cell>
          <cell r="AQ6" t="str">
            <v>Email</v>
          </cell>
          <cell r="AS6" t="str">
            <v>Email</v>
          </cell>
          <cell r="AU6" t="str">
            <v>Email</v>
          </cell>
          <cell r="AW6" t="str">
            <v>Email</v>
          </cell>
          <cell r="AY6" t="str">
            <v>Email</v>
          </cell>
          <cell r="BA6" t="str">
            <v>Email</v>
          </cell>
        </row>
        <row r="7">
          <cell r="E7" t="str">
            <v>0687035649</v>
          </cell>
        </row>
        <row r="8">
          <cell r="E8" t="str">
            <v>À REMPLIR</v>
          </cell>
        </row>
        <row r="36">
          <cell r="O36">
            <v>2</v>
          </cell>
          <cell r="Q36">
            <v>2</v>
          </cell>
          <cell r="S36">
            <v>1</v>
          </cell>
        </row>
        <row r="42">
          <cell r="O42">
            <v>3</v>
          </cell>
          <cell r="Q42">
            <v>2</v>
          </cell>
          <cell r="S42">
            <v>1</v>
          </cell>
          <cell r="U42">
            <v>4</v>
          </cell>
        </row>
        <row r="46">
          <cell r="O46">
            <v>5</v>
          </cell>
        </row>
        <row r="59">
          <cell r="O59">
            <v>10</v>
          </cell>
        </row>
        <row r="86">
          <cell r="O86">
            <v>3</v>
          </cell>
          <cell r="S86">
            <v>1</v>
          </cell>
          <cell r="U86">
            <v>1</v>
          </cell>
        </row>
        <row r="90">
          <cell r="O90">
            <v>3</v>
          </cell>
          <cell r="S90">
            <v>1</v>
          </cell>
          <cell r="U90">
            <v>1</v>
          </cell>
        </row>
        <row r="108">
          <cell r="O108">
            <v>1</v>
          </cell>
          <cell r="S108">
            <v>1</v>
          </cell>
          <cell r="U108">
            <v>3</v>
          </cell>
        </row>
        <row r="125">
          <cell r="O125">
            <v>4</v>
          </cell>
          <cell r="Q125">
            <v>5</v>
          </cell>
          <cell r="S125">
            <v>1</v>
          </cell>
        </row>
        <row r="133">
          <cell r="O133">
            <v>2</v>
          </cell>
          <cell r="Q133">
            <v>4</v>
          </cell>
          <cell r="S133">
            <v>1</v>
          </cell>
          <cell r="U133">
            <v>3</v>
          </cell>
        </row>
        <row r="154">
          <cell r="O154">
            <v>5</v>
          </cell>
          <cell r="S154">
            <v>2</v>
          </cell>
          <cell r="U154">
            <v>3</v>
          </cell>
        </row>
        <row r="162">
          <cell r="O162">
            <v>10</v>
          </cell>
          <cell r="S162">
            <v>3</v>
          </cell>
          <cell r="U162">
            <v>2</v>
          </cell>
        </row>
        <row r="172">
          <cell r="O172">
            <v>5</v>
          </cell>
          <cell r="Q172">
            <v>5</v>
          </cell>
        </row>
        <row r="202">
          <cell r="O202">
            <v>2</v>
          </cell>
          <cell r="S202">
            <v>1</v>
          </cell>
          <cell r="U202">
            <v>2</v>
          </cell>
        </row>
        <row r="203">
          <cell r="O203">
            <v>1</v>
          </cell>
          <cell r="S203">
            <v>1</v>
          </cell>
          <cell r="U203">
            <v>3</v>
          </cell>
        </row>
        <row r="205">
          <cell r="O205">
            <v>5</v>
          </cell>
        </row>
        <row r="225">
          <cell r="O225">
            <v>5</v>
          </cell>
        </row>
        <row r="232">
          <cell r="O232">
            <v>5</v>
          </cell>
        </row>
      </sheetData>
      <sheetData sheetId="2">
        <row r="1">
          <cell r="F1">
            <v>1.5299999999999999E-2</v>
          </cell>
        </row>
        <row r="2">
          <cell r="B2">
            <v>0.9</v>
          </cell>
          <cell r="F2">
            <v>5</v>
          </cell>
        </row>
        <row r="3">
          <cell r="B3">
            <v>0.8</v>
          </cell>
          <cell r="F3">
            <v>0.6</v>
          </cell>
        </row>
        <row r="4">
          <cell r="B4">
            <v>0.7</v>
          </cell>
          <cell r="F4">
            <v>130</v>
          </cell>
        </row>
        <row r="5">
          <cell r="F5">
            <v>77.28</v>
          </cell>
          <cell r="G5">
            <v>84.062383999999994</v>
          </cell>
          <cell r="H5">
            <v>84.062383999999994</v>
          </cell>
        </row>
        <row r="6">
          <cell r="F6">
            <v>784.59</v>
          </cell>
          <cell r="G6">
            <v>109.15724951</v>
          </cell>
          <cell r="H6">
            <v>109.15724951</v>
          </cell>
        </row>
        <row r="7">
          <cell r="F7">
            <v>229.2</v>
          </cell>
          <cell r="G7">
            <v>238.30675999999997</v>
          </cell>
          <cell r="H7">
            <v>238.30675999999997</v>
          </cell>
        </row>
        <row r="8">
          <cell r="F8">
            <v>109.15724951</v>
          </cell>
        </row>
        <row r="9">
          <cell r="F9">
            <v>0.87325799607999999</v>
          </cell>
        </row>
        <row r="10">
          <cell r="F10">
            <v>130</v>
          </cell>
        </row>
        <row r="11">
          <cell r="F11">
            <v>109.15724951</v>
          </cell>
        </row>
        <row r="12">
          <cell r="F12">
            <v>0</v>
          </cell>
        </row>
        <row r="13">
          <cell r="F13">
            <v>0.86605243978102198</v>
          </cell>
        </row>
      </sheetData>
      <sheetData sheetId="3" refreshError="1"/>
      <sheetData sheetId="4" refreshError="1"/>
      <sheetData sheetId="5">
        <row r="2">
          <cell r="A2">
            <v>6096</v>
          </cell>
          <cell r="B2" t="str">
            <v>Açaï en poudre iofilisée BIO (env. 250g)</v>
          </cell>
          <cell r="C2" t="str">
            <v>Brésil</v>
          </cell>
          <cell r="F2" t="str">
            <v>❤️</v>
          </cell>
          <cell r="G2">
            <v>30.11</v>
          </cell>
          <cell r="H2" t="str">
            <v>Pièce</v>
          </cell>
        </row>
        <row r="3">
          <cell r="A3" t="str">
            <v>1100-1312</v>
          </cell>
          <cell r="B3" t="str">
            <v>Ail blanc ou violet BIO</v>
          </cell>
          <cell r="C3" t="str">
            <v>Malaga</v>
          </cell>
          <cell r="F3" t="str">
            <v xml:space="preserve"> </v>
          </cell>
          <cell r="G3">
            <v>8.48</v>
          </cell>
          <cell r="H3" t="str">
            <v>kg</v>
          </cell>
          <cell r="I3" t="str">
            <v>X</v>
          </cell>
        </row>
        <row r="4">
          <cell r="A4">
            <v>1497</v>
          </cell>
          <cell r="B4" t="str">
            <v>Algue Chlorella en poudre BIO (env. 1kg)</v>
          </cell>
          <cell r="C4" t="str">
            <v>Inde</v>
          </cell>
          <cell r="F4" t="str">
            <v xml:space="preserve">OFFRE </v>
          </cell>
          <cell r="G4">
            <v>50.66</v>
          </cell>
          <cell r="H4" t="str">
            <v>Pièce</v>
          </cell>
        </row>
        <row r="5">
          <cell r="A5">
            <v>1497</v>
          </cell>
          <cell r="B5" t="str">
            <v>Algue Chlorella en poudre BIO (env. 500g)</v>
          </cell>
          <cell r="C5" t="str">
            <v>Inde</v>
          </cell>
          <cell r="F5" t="str">
            <v>❤️ OFFRE</v>
          </cell>
          <cell r="G5">
            <v>25.88</v>
          </cell>
          <cell r="H5" t="str">
            <v>Pièce</v>
          </cell>
        </row>
        <row r="6">
          <cell r="A6">
            <v>1189</v>
          </cell>
          <cell r="B6" t="str">
            <v>Algue Dulse déshydratée BIO (env. 1kg)</v>
          </cell>
          <cell r="C6" t="str">
            <v>Irlande</v>
          </cell>
          <cell r="F6" t="str">
            <v>❤️</v>
          </cell>
          <cell r="G6">
            <v>82.17</v>
          </cell>
          <cell r="H6" t="str">
            <v>Pièce</v>
          </cell>
        </row>
        <row r="7">
          <cell r="A7">
            <v>1189</v>
          </cell>
          <cell r="B7" t="str">
            <v>Algue Dulse déshydratée BIO (env. 500g)</v>
          </cell>
          <cell r="C7" t="str">
            <v>Irlande</v>
          </cell>
          <cell r="F7" t="str">
            <v>❤️</v>
          </cell>
          <cell r="G7">
            <v>41.77</v>
          </cell>
          <cell r="H7" t="str">
            <v>Pièce</v>
          </cell>
        </row>
        <row r="8">
          <cell r="A8">
            <v>5247</v>
          </cell>
          <cell r="B8" t="str">
            <v>Algue Gracilasa charnue fraiche (env. 100g).</v>
          </cell>
          <cell r="C8" t="str">
            <v>Galice</v>
          </cell>
          <cell r="G8">
            <v>3.27</v>
          </cell>
          <cell r="H8" t="str">
            <v>Pièce</v>
          </cell>
        </row>
        <row r="9">
          <cell r="A9">
            <v>6073</v>
          </cell>
          <cell r="B9" t="str">
            <v>Algue Kombu déshydratées BIO (env. 1kg)</v>
          </cell>
          <cell r="C9" t="str">
            <v>Galice</v>
          </cell>
          <cell r="F9" t="str">
            <v>❤️</v>
          </cell>
          <cell r="G9">
            <v>37.659999999999997</v>
          </cell>
          <cell r="H9" t="str">
            <v>Pièce</v>
          </cell>
        </row>
        <row r="10">
          <cell r="A10">
            <v>6073</v>
          </cell>
          <cell r="B10" t="str">
            <v>Algue Kombu déshydratées BIO (env. 500g)</v>
          </cell>
          <cell r="C10" t="str">
            <v>Galice</v>
          </cell>
          <cell r="F10" t="str">
            <v>❤️</v>
          </cell>
          <cell r="G10">
            <v>19.579999999999998</v>
          </cell>
          <cell r="H10" t="str">
            <v>Pièce</v>
          </cell>
        </row>
        <row r="11">
          <cell r="A11">
            <v>1096</v>
          </cell>
          <cell r="B11" t="str">
            <v>Algue Nori entière déshydratées BIO (env. 1kg)</v>
          </cell>
          <cell r="C11" t="str">
            <v>Galice</v>
          </cell>
          <cell r="F11" t="str">
            <v>❤️</v>
          </cell>
          <cell r="G11">
            <v>53.4</v>
          </cell>
          <cell r="H11" t="str">
            <v>Pièce</v>
          </cell>
        </row>
        <row r="12">
          <cell r="A12">
            <v>1096</v>
          </cell>
          <cell r="B12" t="str">
            <v>Algue Nori entière déshydratées BIO (env. 500g)</v>
          </cell>
          <cell r="C12" t="str">
            <v>Galice</v>
          </cell>
          <cell r="F12" t="str">
            <v>❤️</v>
          </cell>
          <cell r="G12">
            <v>27.37</v>
          </cell>
          <cell r="H12" t="str">
            <v>Pièce</v>
          </cell>
        </row>
        <row r="13">
          <cell r="A13">
            <v>1102</v>
          </cell>
          <cell r="B13" t="str">
            <v>Aloe Vera (feuille fraîche) BIO</v>
          </cell>
          <cell r="C13" t="str">
            <v>Malaga</v>
          </cell>
          <cell r="F13" t="str">
            <v>❤️</v>
          </cell>
          <cell r="G13">
            <v>3.55</v>
          </cell>
          <cell r="H13" t="str">
            <v>Pièce</v>
          </cell>
          <cell r="I13" t="str">
            <v>X</v>
          </cell>
          <cell r="J13" t="str">
            <v>X</v>
          </cell>
          <cell r="K13" t="str">
            <v>X</v>
          </cell>
        </row>
        <row r="14">
          <cell r="A14">
            <v>5127</v>
          </cell>
          <cell r="B14" t="str">
            <v>Amande Romera avec coque</v>
          </cell>
          <cell r="C14" t="str">
            <v>Malaga</v>
          </cell>
          <cell r="G14">
            <v>3.69</v>
          </cell>
          <cell r="H14" t="str">
            <v>kg</v>
          </cell>
          <cell r="I14" t="str">
            <v>X</v>
          </cell>
        </row>
        <row r="15">
          <cell r="A15">
            <v>1197</v>
          </cell>
          <cell r="B15" t="str">
            <v>Amande sans coque CRU BIO (env. 1kg)</v>
          </cell>
          <cell r="C15" t="str">
            <v>Grenade</v>
          </cell>
          <cell r="F15" t="str">
            <v>❤️</v>
          </cell>
          <cell r="G15">
            <v>24.63</v>
          </cell>
          <cell r="H15" t="str">
            <v>Pièce</v>
          </cell>
          <cell r="I15" t="str">
            <v>X</v>
          </cell>
        </row>
        <row r="16">
          <cell r="A16">
            <v>3020</v>
          </cell>
          <cell r="B16" t="str">
            <v xml:space="preserve">Ananas (mûri sur plante, env. 2kg)
</v>
          </cell>
          <cell r="C16" t="str">
            <v>Costa Rica</v>
          </cell>
          <cell r="F16" t="str">
            <v>❤️</v>
          </cell>
          <cell r="G16">
            <v>4.37</v>
          </cell>
          <cell r="H16" t="str">
            <v>kg</v>
          </cell>
          <cell r="I16" t="str">
            <v>X</v>
          </cell>
          <cell r="J16" t="str">
            <v>X</v>
          </cell>
        </row>
        <row r="17">
          <cell r="A17">
            <v>5131</v>
          </cell>
          <cell r="B17" t="str">
            <v>Ananas deshydraté à basse température BIO  
    - (env. 500g, production Rufino)</v>
          </cell>
          <cell r="C17" t="str">
            <v>Grenade</v>
          </cell>
          <cell r="G17">
            <v>13.67</v>
          </cell>
          <cell r="H17" t="str">
            <v>Pièce</v>
          </cell>
        </row>
        <row r="18">
          <cell r="A18">
            <v>3785</v>
          </cell>
          <cell r="B18" t="str">
            <v>Arachides crues avec coque</v>
          </cell>
          <cell r="C18" t="str">
            <v>Chine</v>
          </cell>
          <cell r="F18" t="str">
            <v>❤️</v>
          </cell>
          <cell r="G18">
            <v>4.37</v>
          </cell>
          <cell r="H18" t="str">
            <v>kg</v>
          </cell>
          <cell r="I18" t="str">
            <v>X</v>
          </cell>
          <cell r="J18" t="str">
            <v>X</v>
          </cell>
        </row>
        <row r="19">
          <cell r="A19">
            <v>1827</v>
          </cell>
          <cell r="B19" t="str">
            <v>Arachides sans coque pelé CRU BIO</v>
          </cell>
          <cell r="C19" t="str">
            <v>Chine</v>
          </cell>
          <cell r="F19" t="str">
            <v>❤️</v>
          </cell>
          <cell r="G19">
            <v>6.82</v>
          </cell>
          <cell r="H19" t="str">
            <v>kg</v>
          </cell>
          <cell r="I19" t="str">
            <v>X</v>
          </cell>
        </row>
        <row r="20">
          <cell r="A20">
            <v>1008</v>
          </cell>
          <cell r="B20" t="str">
            <v>Aubergine BIO</v>
          </cell>
          <cell r="C20" t="str">
            <v>Malaga</v>
          </cell>
          <cell r="F20" t="str">
            <v>OFFRE</v>
          </cell>
          <cell r="G20">
            <v>2.59</v>
          </cell>
          <cell r="H20" t="str">
            <v>kg</v>
          </cell>
          <cell r="I20" t="str">
            <v>X</v>
          </cell>
        </row>
        <row r="21">
          <cell r="A21">
            <v>3775</v>
          </cell>
          <cell r="B21" t="str">
            <v>Aubergine déshydratée
    - (env. 150g, production Rufino)</v>
          </cell>
          <cell r="C21" t="str">
            <v>Grenade</v>
          </cell>
          <cell r="G21">
            <v>2.04</v>
          </cell>
          <cell r="H21" t="str">
            <v>Pièce</v>
          </cell>
        </row>
        <row r="22">
          <cell r="A22" t="str">
            <v>3127-3702-3957</v>
          </cell>
          <cell r="B22" t="str">
            <v xml:space="preserve">Aubergine noire/rayée/blanche </v>
          </cell>
          <cell r="C22" t="str">
            <v>Grenade</v>
          </cell>
          <cell r="G22">
            <v>1.63</v>
          </cell>
          <cell r="H22" t="str">
            <v>kg</v>
          </cell>
          <cell r="I22" t="str">
            <v>X</v>
          </cell>
        </row>
        <row r="23">
          <cell r="A23">
            <v>3001</v>
          </cell>
          <cell r="B23" t="str">
            <v>Avocat Bacon (grand)</v>
          </cell>
          <cell r="C23" t="str">
            <v>Grenade</v>
          </cell>
          <cell r="F23" t="str">
            <v>❤️</v>
          </cell>
          <cell r="G23">
            <v>5.19</v>
          </cell>
          <cell r="H23" t="str">
            <v>kg</v>
          </cell>
          <cell r="I23" t="str">
            <v>X</v>
          </cell>
          <cell r="J23" t="str">
            <v>X</v>
          </cell>
          <cell r="K23" t="str">
            <v>X</v>
          </cell>
        </row>
        <row r="24">
          <cell r="A24">
            <v>1001</v>
          </cell>
          <cell r="B24" t="str">
            <v>Avocat Bacon BIO</v>
          </cell>
          <cell r="C24" t="str">
            <v>Grenade</v>
          </cell>
          <cell r="G24">
            <v>5.45</v>
          </cell>
          <cell r="H24" t="str">
            <v>kg</v>
          </cell>
          <cell r="I24" t="str">
            <v>X</v>
          </cell>
          <cell r="J24" t="str">
            <v>X</v>
          </cell>
          <cell r="K24" t="str">
            <v>X</v>
          </cell>
        </row>
        <row r="25">
          <cell r="A25" t="str">
            <v>3944-3267</v>
          </cell>
          <cell r="B25" t="str">
            <v>Avocat Bacon/Fuerte cocktail (petit calibre)</v>
          </cell>
          <cell r="C25" t="str">
            <v>Grenade</v>
          </cell>
          <cell r="G25">
            <v>6.82</v>
          </cell>
          <cell r="H25" t="str">
            <v>kg</v>
          </cell>
          <cell r="I25" t="str">
            <v>X</v>
          </cell>
        </row>
        <row r="26">
          <cell r="A26">
            <v>3048</v>
          </cell>
          <cell r="B26" t="str">
            <v>Avocat Fuerte</v>
          </cell>
          <cell r="C26" t="str">
            <v>Malaga</v>
          </cell>
          <cell r="F26" t="str">
            <v>❤️</v>
          </cell>
          <cell r="G26">
            <v>5.45</v>
          </cell>
          <cell r="H26" t="str">
            <v>kg</v>
          </cell>
          <cell r="I26" t="str">
            <v>X</v>
          </cell>
          <cell r="J26" t="str">
            <v>X</v>
          </cell>
        </row>
        <row r="27">
          <cell r="A27">
            <v>1200</v>
          </cell>
          <cell r="B27" t="str">
            <v>Avocat Fuerte BIO</v>
          </cell>
          <cell r="C27" t="str">
            <v>Grenade</v>
          </cell>
          <cell r="F27" t="str">
            <v>❤️</v>
          </cell>
          <cell r="G27">
            <v>6.15</v>
          </cell>
          <cell r="H27" t="str">
            <v>kg</v>
          </cell>
          <cell r="I27" t="str">
            <v>X</v>
          </cell>
          <cell r="J27" t="str">
            <v>X</v>
          </cell>
        </row>
        <row r="28">
          <cell r="A28">
            <v>6139</v>
          </cell>
          <cell r="B28" t="str">
            <v>Avocat Fuerte BIO (avec défauts superficiels sur peau, BIO depuis 1985, BIO Suisse depuis 2009)</v>
          </cell>
          <cell r="C28" t="str">
            <v>Malaga</v>
          </cell>
          <cell r="F28" t="str">
            <v>OFFRE</v>
          </cell>
          <cell r="G28">
            <v>3.96</v>
          </cell>
          <cell r="H28" t="str">
            <v>kg</v>
          </cell>
          <cell r="I28" t="str">
            <v>X</v>
          </cell>
          <cell r="J28" t="str">
            <v>X</v>
          </cell>
          <cell r="K28" t="str">
            <v>X</v>
          </cell>
        </row>
        <row r="29">
          <cell r="A29">
            <v>6139</v>
          </cell>
          <cell r="B29" t="str">
            <v>Avocat Fuerte BIO (petit, BIO depuis 1985, BIO Suisse depuis 2009)</v>
          </cell>
          <cell r="C29" t="str">
            <v>Malaga</v>
          </cell>
          <cell r="G29">
            <v>3.82</v>
          </cell>
          <cell r="H29" t="str">
            <v>kg</v>
          </cell>
          <cell r="I29" t="str">
            <v>X</v>
          </cell>
          <cell r="J29" t="str">
            <v>X</v>
          </cell>
          <cell r="K29" t="str">
            <v>X</v>
          </cell>
        </row>
        <row r="30">
          <cell r="A30">
            <v>3009</v>
          </cell>
          <cell r="B30" t="str">
            <v>Avocat Hass</v>
          </cell>
          <cell r="C30" t="str">
            <v>Grenade</v>
          </cell>
          <cell r="G30">
            <v>6.15</v>
          </cell>
          <cell r="H30" t="str">
            <v>kg</v>
          </cell>
          <cell r="I30" t="str">
            <v>X</v>
          </cell>
          <cell r="J30" t="str">
            <v>X</v>
          </cell>
        </row>
        <row r="31">
          <cell r="A31">
            <v>1527</v>
          </cell>
          <cell r="B31" t="str">
            <v>Baie de Goji BIO (env. 1kg)</v>
          </cell>
          <cell r="C31" t="str">
            <v>Tibet</v>
          </cell>
          <cell r="F31" t="str">
            <v>❤️ OFFRE</v>
          </cell>
          <cell r="G31">
            <v>27.37</v>
          </cell>
          <cell r="H31" t="str">
            <v>Pièce</v>
          </cell>
        </row>
        <row r="32">
          <cell r="A32">
            <v>1527</v>
          </cell>
          <cell r="B32" t="str">
            <v>Baie de Goji BIO (envi. 500g)</v>
          </cell>
          <cell r="C32" t="str">
            <v>Tibet</v>
          </cell>
          <cell r="F32" t="str">
            <v>❤️ OFFRE</v>
          </cell>
          <cell r="G32">
            <v>14.37</v>
          </cell>
          <cell r="H32" t="str">
            <v>Pièce</v>
          </cell>
        </row>
        <row r="33">
          <cell r="A33">
            <v>3007</v>
          </cell>
          <cell r="B33" t="str">
            <v>Banane carrée</v>
          </cell>
          <cell r="C33" t="str">
            <v>Grenade</v>
          </cell>
          <cell r="G33">
            <v>3.96</v>
          </cell>
          <cell r="H33" t="str">
            <v>kg</v>
          </cell>
          <cell r="I33" t="str">
            <v>X</v>
          </cell>
          <cell r="J33" t="str">
            <v>X</v>
          </cell>
        </row>
        <row r="34">
          <cell r="A34" t="str">
            <v>1007-2364</v>
          </cell>
          <cell r="B34" t="str">
            <v>Banane Cavendish BIO/RECO
    - (robuste et ferme)</v>
          </cell>
          <cell r="C34" t="str">
            <v>Iles Canaries</v>
          </cell>
          <cell r="F34" t="str">
            <v>❤️</v>
          </cell>
          <cell r="G34">
            <v>4.78</v>
          </cell>
          <cell r="H34" t="str">
            <v>kg</v>
          </cell>
          <cell r="I34" t="str">
            <v>X</v>
          </cell>
        </row>
        <row r="35">
          <cell r="A35">
            <v>3746</v>
          </cell>
          <cell r="B35" t="str">
            <v>Banane deshydratée BIO semi-sèche artisanale
    - (Production Rufino, env. 200g)</v>
          </cell>
          <cell r="C35" t="str">
            <v>Grenade</v>
          </cell>
          <cell r="F35" t="str">
            <v>❤️</v>
          </cell>
          <cell r="G35">
            <v>4.78</v>
          </cell>
          <cell r="H35" t="str">
            <v>Pièce</v>
          </cell>
        </row>
        <row r="36">
          <cell r="A36">
            <v>1458</v>
          </cell>
          <cell r="B36" t="str">
            <v>Bâtons de cannelle BIO (env. 100g)</v>
          </cell>
          <cell r="C36" t="str">
            <v>Inde</v>
          </cell>
          <cell r="G36">
            <v>8.07</v>
          </cell>
          <cell r="H36" t="str">
            <v>Pièce</v>
          </cell>
        </row>
        <row r="37">
          <cell r="A37">
            <v>1275</v>
          </cell>
          <cell r="B37" t="str">
            <v>Betterave avec fanes BIO (production Rufino)</v>
          </cell>
          <cell r="C37" t="str">
            <v>Grenade</v>
          </cell>
          <cell r="G37">
            <v>3.27</v>
          </cell>
          <cell r="H37" t="str">
            <v>kg</v>
          </cell>
          <cell r="I37" t="str">
            <v>X</v>
          </cell>
        </row>
        <row r="38">
          <cell r="A38">
            <v>1679</v>
          </cell>
          <cell r="B38" t="str">
            <v>Betterave sans fanes BIO</v>
          </cell>
          <cell r="C38" t="str">
            <v>Malaga</v>
          </cell>
          <cell r="F38" t="str">
            <v>❤️</v>
          </cell>
          <cell r="G38">
            <v>2.71</v>
          </cell>
          <cell r="H38" t="str">
            <v>kg</v>
          </cell>
          <cell r="I38" t="str">
            <v>X</v>
          </cell>
        </row>
        <row r="39">
          <cell r="A39">
            <v>1696</v>
          </cell>
          <cell r="B39" t="str">
            <v>Betteraves en poudre BIO (env. 1 kg)</v>
          </cell>
          <cell r="C39" t="str">
            <v>Hongrie</v>
          </cell>
          <cell r="G39">
            <v>23.96</v>
          </cell>
          <cell r="H39" t="str">
            <v>Pièce</v>
          </cell>
        </row>
        <row r="40">
          <cell r="A40">
            <v>1696</v>
          </cell>
          <cell r="B40" t="str">
            <v>Betteraves en poudre BIO (env. 500g)</v>
          </cell>
          <cell r="C40" t="str">
            <v>Hongrie</v>
          </cell>
          <cell r="G40">
            <v>12.73</v>
          </cell>
          <cell r="H40" t="str">
            <v>Pièce</v>
          </cell>
        </row>
        <row r="41">
          <cell r="A41">
            <v>1758</v>
          </cell>
          <cell r="B41" t="str">
            <v>Beurre de cacao BIO (env. 1 kg)</v>
          </cell>
          <cell r="C41" t="str">
            <v>Pérou</v>
          </cell>
          <cell r="G41">
            <v>26.84</v>
          </cell>
          <cell r="H41" t="str">
            <v>Pièce</v>
          </cell>
        </row>
        <row r="42">
          <cell r="A42">
            <v>1758</v>
          </cell>
          <cell r="B42" t="str">
            <v>Beurre de cacao BIO (env. 500g)</v>
          </cell>
          <cell r="C42" t="str">
            <v>Pérou</v>
          </cell>
          <cell r="G42">
            <v>14.1</v>
          </cell>
          <cell r="H42" t="str">
            <v>Pièce</v>
          </cell>
        </row>
        <row r="43">
          <cell r="A43">
            <v>1257</v>
          </cell>
          <cell r="B43" t="str">
            <v>Blette verte BIO (production Rufino)</v>
          </cell>
          <cell r="C43" t="str">
            <v>Grenade</v>
          </cell>
          <cell r="F43" t="str">
            <v>OFFRE</v>
          </cell>
          <cell r="G43">
            <v>1.77</v>
          </cell>
          <cell r="H43" t="str">
            <v>kg</v>
          </cell>
          <cell r="I43" t="str">
            <v>X</v>
          </cell>
        </row>
        <row r="44">
          <cell r="A44">
            <v>5085</v>
          </cell>
          <cell r="B44" t="str">
            <v>Bonbons chocolat noir CRU (artisanal, grande qualité, sans sucre, ni gluten, cacao, pâte de cacao, beurre de cacao, vanille naturelle)</v>
          </cell>
          <cell r="C44" t="str">
            <v>National</v>
          </cell>
          <cell r="G44">
            <v>2.71</v>
          </cell>
          <cell r="H44" t="str">
            <v>Pièce</v>
          </cell>
        </row>
        <row r="45">
          <cell r="A45">
            <v>5085</v>
          </cell>
          <cell r="B45" t="str">
            <v>Bonbons chocolat noir CRU (pack de 3)</v>
          </cell>
          <cell r="C45" t="str">
            <v>National</v>
          </cell>
          <cell r="F45" t="str">
            <v>OFFRE</v>
          </cell>
          <cell r="G45">
            <v>6.82</v>
          </cell>
          <cell r="H45" t="str">
            <v>Pièce</v>
          </cell>
        </row>
        <row r="46">
          <cell r="A46">
            <v>1597</v>
          </cell>
          <cell r="B46" t="str">
            <v xml:space="preserve">Cacao en poudre CRU BIO (env. 1 kg) </v>
          </cell>
          <cell r="C46" t="str">
            <v>Pérou</v>
          </cell>
          <cell r="G46">
            <v>14.65</v>
          </cell>
          <cell r="H46" t="str">
            <v>Pièce</v>
          </cell>
          <cell r="I46" t="str">
            <v>X</v>
          </cell>
        </row>
        <row r="47">
          <cell r="A47">
            <v>6099</v>
          </cell>
          <cell r="B47" t="str">
            <v>Camu Camu en poudre BIO (env. 250g)</v>
          </cell>
          <cell r="C47" t="str">
            <v>Pérou</v>
          </cell>
          <cell r="G47">
            <v>18.48</v>
          </cell>
          <cell r="H47" t="str">
            <v>Pièce</v>
          </cell>
        </row>
        <row r="48">
          <cell r="A48">
            <v>3210</v>
          </cell>
          <cell r="B48" t="str">
            <v>Carambole / fruit étoilé</v>
          </cell>
          <cell r="C48" t="str">
            <v>Grenade</v>
          </cell>
          <cell r="G48">
            <v>4.78</v>
          </cell>
          <cell r="H48" t="str">
            <v>kg</v>
          </cell>
          <cell r="I48" t="str">
            <v>X</v>
          </cell>
          <cell r="J48" t="str">
            <v>X</v>
          </cell>
          <cell r="K48" t="str">
            <v>X</v>
          </cell>
        </row>
        <row r="49">
          <cell r="A49">
            <v>5075</v>
          </cell>
          <cell r="B49" t="str">
            <v>Carotte avec fane</v>
          </cell>
          <cell r="C49" t="str">
            <v>Grenade</v>
          </cell>
          <cell r="G49">
            <v>3.14</v>
          </cell>
          <cell r="H49" t="str">
            <v>kg</v>
          </cell>
          <cell r="I49" t="str">
            <v>X</v>
          </cell>
        </row>
        <row r="50">
          <cell r="A50">
            <v>1537</v>
          </cell>
          <cell r="B50" t="str">
            <v>Carotte déshydratée BIO</v>
          </cell>
          <cell r="C50" t="str">
            <v>Grenade</v>
          </cell>
          <cell r="G50">
            <v>21.7</v>
          </cell>
          <cell r="H50" t="str">
            <v>kg</v>
          </cell>
        </row>
        <row r="51">
          <cell r="A51">
            <v>3017</v>
          </cell>
          <cell r="B51" t="str">
            <v>Carotte sans fane</v>
          </cell>
          <cell r="C51" t="str">
            <v>Grenade</v>
          </cell>
          <cell r="G51">
            <v>1.9</v>
          </cell>
          <cell r="H51" t="str">
            <v>kg</v>
          </cell>
          <cell r="I51" t="str">
            <v>X</v>
          </cell>
          <cell r="J51" t="str">
            <v>X</v>
          </cell>
          <cell r="K51" t="str">
            <v>X</v>
          </cell>
        </row>
        <row r="52">
          <cell r="A52">
            <v>1034</v>
          </cell>
          <cell r="B52" t="str">
            <v>Carotte sans fane BIO</v>
          </cell>
          <cell r="C52" t="str">
            <v>Malaga</v>
          </cell>
          <cell r="G52">
            <v>2.3199999999999998</v>
          </cell>
          <cell r="H52" t="str">
            <v>kg</v>
          </cell>
          <cell r="I52" t="str">
            <v>X</v>
          </cell>
          <cell r="J52" t="str">
            <v>X</v>
          </cell>
        </row>
        <row r="53">
          <cell r="A53">
            <v>6117</v>
          </cell>
          <cell r="B53" t="str">
            <v>Caroube en gousse de l'Alpujarra BIO (env. 400g)</v>
          </cell>
          <cell r="C53" t="str">
            <v>Grenade</v>
          </cell>
          <cell r="F53" t="str">
            <v>❤️</v>
          </cell>
          <cell r="G53">
            <v>1.34</v>
          </cell>
          <cell r="H53" t="str">
            <v>Pièce</v>
          </cell>
        </row>
        <row r="54">
          <cell r="A54">
            <v>3023</v>
          </cell>
          <cell r="B54" t="str">
            <v>Céleri vert</v>
          </cell>
          <cell r="C54" t="str">
            <v>Grenade</v>
          </cell>
          <cell r="G54">
            <v>3.27</v>
          </cell>
          <cell r="H54" t="str">
            <v>kg</v>
          </cell>
          <cell r="I54" t="str">
            <v>X</v>
          </cell>
        </row>
        <row r="55">
          <cell r="A55">
            <v>1117</v>
          </cell>
          <cell r="B55" t="str">
            <v>Céleri vert BIO</v>
          </cell>
          <cell r="C55" t="str">
            <v>Malaga</v>
          </cell>
          <cell r="G55">
            <v>3.69</v>
          </cell>
          <cell r="H55" t="str">
            <v>kg</v>
          </cell>
          <cell r="I55" t="str">
            <v>X</v>
          </cell>
        </row>
        <row r="56">
          <cell r="A56">
            <v>3241</v>
          </cell>
          <cell r="B56" t="str">
            <v>Châtaigne</v>
          </cell>
          <cell r="C56" t="str">
            <v>Grenade</v>
          </cell>
          <cell r="G56">
            <v>4.08</v>
          </cell>
          <cell r="H56" t="str">
            <v>kg</v>
          </cell>
        </row>
        <row r="57">
          <cell r="A57">
            <v>1572</v>
          </cell>
          <cell r="B57" t="str">
            <v>Chia BIO (env. 1kg)</v>
          </cell>
          <cell r="C57" t="str">
            <v>Bolivie</v>
          </cell>
          <cell r="F57" t="str">
            <v>❤️</v>
          </cell>
          <cell r="G57">
            <v>6.15</v>
          </cell>
          <cell r="H57" t="str">
            <v>Pièce</v>
          </cell>
          <cell r="I57" t="str">
            <v>X</v>
          </cell>
        </row>
        <row r="58">
          <cell r="A58">
            <v>1611</v>
          </cell>
          <cell r="B58" t="str">
            <v>Chips de coco CRU BIO (env. 1kg)</v>
          </cell>
          <cell r="C58" t="str">
            <v>Sri Lanka</v>
          </cell>
          <cell r="F58" t="str">
            <v>❤️</v>
          </cell>
          <cell r="G58">
            <v>9.3000000000000007</v>
          </cell>
          <cell r="H58" t="str">
            <v>Pièce</v>
          </cell>
          <cell r="I58" t="str">
            <v>X</v>
          </cell>
          <cell r="J58" t="str">
            <v>X</v>
          </cell>
        </row>
        <row r="59">
          <cell r="A59">
            <v>1178</v>
          </cell>
          <cell r="B59" t="str">
            <v>Chirimoya BIO (production Rufino)</v>
          </cell>
          <cell r="C59" t="str">
            <v>Grenade</v>
          </cell>
          <cell r="G59">
            <v>4.78</v>
          </cell>
          <cell r="H59" t="str">
            <v>kg</v>
          </cell>
          <cell r="I59" t="str">
            <v>X</v>
          </cell>
          <cell r="J59" t="str">
            <v>X</v>
          </cell>
          <cell r="K59" t="str">
            <v>X</v>
          </cell>
        </row>
        <row r="60">
          <cell r="A60" t="str">
            <v>3032-5034</v>
          </cell>
          <cell r="B60" t="str">
            <v>Chirimoya en Reconversion agriculture BIO         (gros calibre - production Rufino)</v>
          </cell>
          <cell r="C60" t="str">
            <v>Salobrena</v>
          </cell>
          <cell r="G60">
            <v>4.37</v>
          </cell>
          <cell r="H60" t="str">
            <v>kg</v>
          </cell>
          <cell r="I60" t="str">
            <v>X</v>
          </cell>
          <cell r="J60" t="str">
            <v>X</v>
          </cell>
          <cell r="K60" t="str">
            <v>X</v>
          </cell>
        </row>
        <row r="61">
          <cell r="A61">
            <v>6035</v>
          </cell>
          <cell r="B61" t="str">
            <v>Chocolat de Algorroba BIO (tablette 100g)</v>
          </cell>
          <cell r="C61" t="str">
            <v>National</v>
          </cell>
          <cell r="G61">
            <v>4.6399999999999997</v>
          </cell>
          <cell r="H61" t="str">
            <v>Pièce</v>
          </cell>
          <cell r="I61" t="str">
            <v>X</v>
          </cell>
        </row>
        <row r="62">
          <cell r="A62">
            <v>1209</v>
          </cell>
          <cell r="B62" t="str">
            <v>Chou Kale Lacitano/Cavolo baby BIO (production Rufino)</v>
          </cell>
          <cell r="C62" t="str">
            <v>Grenade</v>
          </cell>
          <cell r="F62" t="str">
            <v>OFFRE</v>
          </cell>
          <cell r="G62">
            <v>4.78</v>
          </cell>
          <cell r="H62" t="str">
            <v>kg</v>
          </cell>
          <cell r="I62" t="str">
            <v>X</v>
          </cell>
          <cell r="J62" t="str">
            <v>X</v>
          </cell>
        </row>
        <row r="63">
          <cell r="A63">
            <v>1626</v>
          </cell>
          <cell r="B63" t="str">
            <v>Chou Kale Winterbor Crespa baby BIO (production Rufino)</v>
          </cell>
          <cell r="C63" t="str">
            <v>Grenade</v>
          </cell>
          <cell r="F63" t="str">
            <v>OFFRE</v>
          </cell>
          <cell r="G63">
            <v>4.78</v>
          </cell>
          <cell r="H63" t="str">
            <v>kg</v>
          </cell>
          <cell r="I63" t="str">
            <v>X</v>
          </cell>
          <cell r="J63" t="str">
            <v>X</v>
          </cell>
        </row>
        <row r="64">
          <cell r="A64">
            <v>1006</v>
          </cell>
          <cell r="B64" t="str">
            <v>Chou vert BIO</v>
          </cell>
          <cell r="C64" t="str">
            <v>Malaga</v>
          </cell>
          <cell r="G64">
            <v>3.14</v>
          </cell>
          <cell r="H64" t="str">
            <v>kg</v>
          </cell>
          <cell r="I64" t="str">
            <v>X</v>
          </cell>
        </row>
        <row r="65">
          <cell r="A65">
            <v>4125</v>
          </cell>
          <cell r="B65" t="str">
            <v>Chufa mix Classic Vegan Milker (pour lait végétal)</v>
          </cell>
          <cell r="C65" t="str">
            <v>National</v>
          </cell>
          <cell r="G65">
            <v>40.65</v>
          </cell>
          <cell r="H65" t="str">
            <v>Pièce</v>
          </cell>
        </row>
        <row r="66">
          <cell r="A66">
            <v>5037</v>
          </cell>
          <cell r="B66" t="str">
            <v>Citron Caviar (culture naturelle, plateau 200g)</v>
          </cell>
          <cell r="C66" t="str">
            <v>Salobrena</v>
          </cell>
          <cell r="F66" t="str">
            <v>❤️ OFFRE</v>
          </cell>
          <cell r="G66">
            <v>6.82</v>
          </cell>
          <cell r="H66" t="str">
            <v>Pièce</v>
          </cell>
        </row>
        <row r="67">
          <cell r="A67">
            <v>5037</v>
          </cell>
          <cell r="B67" t="str">
            <v>Citron Caviar (culture naturelle, plateau 500g)</v>
          </cell>
          <cell r="C67" t="str">
            <v>Salobrena</v>
          </cell>
          <cell r="F67" t="str">
            <v>❤️ OFFRE</v>
          </cell>
          <cell r="G67">
            <v>16.84</v>
          </cell>
          <cell r="H67" t="str">
            <v>Pièce</v>
          </cell>
        </row>
        <row r="68">
          <cell r="A68">
            <v>6019</v>
          </cell>
          <cell r="B68" t="str">
            <v>Citron Caviar BIO
    - (plateau de 200g)</v>
          </cell>
          <cell r="C68" t="str">
            <v>Grenade</v>
          </cell>
          <cell r="F68" t="str">
            <v>❤️</v>
          </cell>
          <cell r="G68">
            <v>11.63</v>
          </cell>
          <cell r="H68" t="str">
            <v>200g</v>
          </cell>
        </row>
        <row r="69">
          <cell r="A69">
            <v>6019</v>
          </cell>
          <cell r="B69" t="str">
            <v>Citron Caviar BIO
    - (plateau de 500g)</v>
          </cell>
          <cell r="C69" t="str">
            <v>Grenade</v>
          </cell>
          <cell r="F69" t="str">
            <v>❤️</v>
          </cell>
          <cell r="G69">
            <v>27.37</v>
          </cell>
          <cell r="H69" t="str">
            <v>500g</v>
          </cell>
        </row>
        <row r="70">
          <cell r="A70">
            <v>3421</v>
          </cell>
          <cell r="B70" t="str">
            <v>Citron jaune (mûri sur plante)</v>
          </cell>
          <cell r="C70" t="str">
            <v>Grenade</v>
          </cell>
          <cell r="F70" t="str">
            <v>❤️</v>
          </cell>
          <cell r="G70">
            <v>2.86</v>
          </cell>
          <cell r="H70" t="str">
            <v>kg</v>
          </cell>
          <cell r="I70" t="str">
            <v>X</v>
          </cell>
          <cell r="J70" t="str">
            <v>X</v>
          </cell>
          <cell r="K70" t="str">
            <v>X</v>
          </cell>
        </row>
        <row r="71">
          <cell r="A71">
            <v>6094</v>
          </cell>
          <cell r="B71" t="str">
            <v>Citron jaune BIO (seconde catégorie)</v>
          </cell>
          <cell r="C71" t="str">
            <v>Malaga</v>
          </cell>
          <cell r="G71">
            <v>1.49</v>
          </cell>
          <cell r="H71" t="str">
            <v>kg</v>
          </cell>
          <cell r="I71" t="str">
            <v>X</v>
          </cell>
          <cell r="J71" t="str">
            <v>X</v>
          </cell>
          <cell r="K71" t="str">
            <v>X</v>
          </cell>
        </row>
        <row r="72">
          <cell r="A72">
            <v>1023</v>
          </cell>
          <cell r="B72" t="str">
            <v>Citron jaune Verna BIO (mûri sur plante) - grand</v>
          </cell>
          <cell r="C72" t="str">
            <v>Malaga</v>
          </cell>
          <cell r="F72" t="str">
            <v>❤️</v>
          </cell>
          <cell r="G72">
            <v>3.14</v>
          </cell>
          <cell r="H72" t="str">
            <v>kg</v>
          </cell>
          <cell r="I72" t="str">
            <v>X</v>
          </cell>
          <cell r="J72" t="str">
            <v>X</v>
          </cell>
          <cell r="K72" t="str">
            <v>X</v>
          </cell>
        </row>
        <row r="73">
          <cell r="A73">
            <v>3169</v>
          </cell>
          <cell r="B73" t="str">
            <v>Citron vert</v>
          </cell>
          <cell r="C73" t="str">
            <v>Grenade</v>
          </cell>
          <cell r="F73" t="str">
            <v>❤️</v>
          </cell>
          <cell r="G73">
            <v>3</v>
          </cell>
          <cell r="H73" t="str">
            <v>kg</v>
          </cell>
          <cell r="I73" t="str">
            <v>X</v>
          </cell>
          <cell r="J73" t="str">
            <v>X</v>
          </cell>
        </row>
        <row r="74">
          <cell r="A74">
            <v>3725</v>
          </cell>
          <cell r="B74" t="str">
            <v xml:space="preserve">Citronnelle BIO (production Rufino)
    - (bouquet de 5 tiges) </v>
          </cell>
          <cell r="C74" t="str">
            <v>Grenade</v>
          </cell>
          <cell r="G74">
            <v>2.59</v>
          </cell>
          <cell r="H74" t="str">
            <v>Pièce</v>
          </cell>
        </row>
        <row r="75">
          <cell r="A75">
            <v>3391</v>
          </cell>
          <cell r="B75" t="str">
            <v>Coco Pagode fraîche</v>
          </cell>
          <cell r="C75" t="str">
            <v>Taîlande</v>
          </cell>
          <cell r="F75" t="str">
            <v>❤️</v>
          </cell>
          <cell r="G75">
            <v>4.37</v>
          </cell>
          <cell r="H75" t="str">
            <v>Pièce</v>
          </cell>
          <cell r="I75" t="str">
            <v>X</v>
          </cell>
          <cell r="J75" t="str">
            <v>X</v>
          </cell>
        </row>
        <row r="76">
          <cell r="A76">
            <v>3678</v>
          </cell>
          <cell r="B76" t="str">
            <v>Coing</v>
          </cell>
          <cell r="C76" t="str">
            <v>Malaga</v>
          </cell>
          <cell r="G76">
            <v>1.9</v>
          </cell>
          <cell r="H76" t="str">
            <v>kg</v>
          </cell>
          <cell r="I76" t="str">
            <v>X</v>
          </cell>
          <cell r="J76" t="str">
            <v>X</v>
          </cell>
        </row>
        <row r="77">
          <cell r="A77">
            <v>3100</v>
          </cell>
          <cell r="B77" t="str">
            <v>Concombre Hollandais</v>
          </cell>
          <cell r="C77" t="str">
            <v>Grenade</v>
          </cell>
          <cell r="G77">
            <v>1.9</v>
          </cell>
          <cell r="H77" t="str">
            <v>kg</v>
          </cell>
          <cell r="I77" t="str">
            <v>X</v>
          </cell>
          <cell r="J77" t="str">
            <v>X</v>
          </cell>
        </row>
        <row r="78">
          <cell r="A78">
            <v>3924</v>
          </cell>
          <cell r="B78" t="str">
            <v>Concombre mini gourmet</v>
          </cell>
          <cell r="C78" t="str">
            <v>Grenade</v>
          </cell>
          <cell r="F78" t="str">
            <v>❤️</v>
          </cell>
          <cell r="G78">
            <v>2.59</v>
          </cell>
          <cell r="H78" t="str">
            <v>kg</v>
          </cell>
          <cell r="I78" t="str">
            <v>X</v>
          </cell>
          <cell r="J78" t="str">
            <v>X</v>
          </cell>
        </row>
        <row r="79">
          <cell r="A79">
            <v>3142</v>
          </cell>
          <cell r="B79" t="str">
            <v>Courge Butternu</v>
          </cell>
          <cell r="C79" t="str">
            <v>Grenade</v>
          </cell>
          <cell r="F79" t="str">
            <v>OFFRE</v>
          </cell>
          <cell r="G79">
            <v>1.34</v>
          </cell>
          <cell r="H79" t="str">
            <v>kg</v>
          </cell>
          <cell r="I79" t="str">
            <v>X</v>
          </cell>
        </row>
        <row r="80">
          <cell r="A80">
            <v>6077</v>
          </cell>
          <cell r="B80" t="str">
            <v>Courge Butternut BIO</v>
          </cell>
          <cell r="C80" t="str">
            <v>Malaga</v>
          </cell>
          <cell r="G80">
            <v>1.63</v>
          </cell>
          <cell r="H80" t="str">
            <v>kg</v>
          </cell>
          <cell r="I80" t="str">
            <v>X</v>
          </cell>
        </row>
        <row r="81">
          <cell r="A81">
            <v>3893</v>
          </cell>
          <cell r="B81" t="str">
            <v>Courge cabello de ángel</v>
          </cell>
          <cell r="C81" t="str">
            <v>Grenade</v>
          </cell>
          <cell r="G81">
            <v>1.63</v>
          </cell>
          <cell r="H81" t="str">
            <v>kg</v>
          </cell>
          <cell r="I81" t="str">
            <v>X</v>
          </cell>
        </row>
        <row r="82">
          <cell r="A82" t="str">
            <v>1002. 932</v>
          </cell>
          <cell r="B82" t="str">
            <v>Courgette BIO (1ère catégorie)</v>
          </cell>
          <cell r="C82" t="str">
            <v>Malaga</v>
          </cell>
          <cell r="G82">
            <v>3.62</v>
          </cell>
          <cell r="H82" t="str">
            <v>kg</v>
          </cell>
          <cell r="I82" t="str">
            <v>X</v>
          </cell>
          <cell r="J82" t="str">
            <v>X</v>
          </cell>
        </row>
        <row r="83">
          <cell r="A83" t="str">
            <v>1002.133</v>
          </cell>
          <cell r="B83" t="str">
            <v>Courgette BIO (2nd catégorie)</v>
          </cell>
          <cell r="C83" t="str">
            <v>Malaga</v>
          </cell>
          <cell r="G83">
            <v>1.34</v>
          </cell>
          <cell r="H83" t="str">
            <v>kg</v>
          </cell>
        </row>
        <row r="84">
          <cell r="A84" t="str">
            <v>3894</v>
          </cell>
          <cell r="B84" t="str">
            <v>Courgette déshydratée
    - (production Rufino - env. 100g)</v>
          </cell>
          <cell r="C84" t="str">
            <v>Grenade</v>
          </cell>
          <cell r="G84">
            <v>2.59</v>
          </cell>
          <cell r="H84" t="str">
            <v>Pièce</v>
          </cell>
        </row>
        <row r="85">
          <cell r="A85">
            <v>6111</v>
          </cell>
          <cell r="B85" t="str">
            <v>Crackers déshydratés CRU BIO (env. 200g)
    - (tomate, tournesol, sarrasin, lin, oignons, ...)</v>
          </cell>
          <cell r="C85" t="str">
            <v>Espagne</v>
          </cell>
          <cell r="G85">
            <v>7.38</v>
          </cell>
          <cell r="H85" t="str">
            <v>Pièce</v>
          </cell>
        </row>
        <row r="86">
          <cell r="A86">
            <v>1702</v>
          </cell>
          <cell r="B86" t="str">
            <v>Crème de courgette BIO
    - (bocal en verre, env. 500g)</v>
          </cell>
          <cell r="C86" t="str">
            <v>National</v>
          </cell>
          <cell r="G86">
            <v>2.38</v>
          </cell>
          <cell r="H86" t="str">
            <v>Pièce</v>
          </cell>
        </row>
        <row r="87">
          <cell r="A87">
            <v>1393</v>
          </cell>
          <cell r="B87" t="str">
            <v>Curcuma frais BIO (paquet 500g)</v>
          </cell>
          <cell r="C87" t="str">
            <v>Pérou</v>
          </cell>
          <cell r="F87" t="str">
            <v>❤️</v>
          </cell>
          <cell r="G87">
            <v>9.56</v>
          </cell>
          <cell r="H87" t="str">
            <v>Pièce</v>
          </cell>
          <cell r="I87" t="str">
            <v>X</v>
          </cell>
        </row>
        <row r="88">
          <cell r="A88">
            <v>5004</v>
          </cell>
          <cell r="B88" t="str">
            <v>Datte Deglet Nour en rame</v>
          </cell>
          <cell r="C88" t="str">
            <v>Jordanie</v>
          </cell>
          <cell r="G88">
            <v>10.26</v>
          </cell>
          <cell r="H88" t="str">
            <v>kg</v>
          </cell>
          <cell r="I88" t="str">
            <v>X</v>
          </cell>
        </row>
        <row r="89">
          <cell r="A89">
            <v>1320</v>
          </cell>
          <cell r="B89" t="str">
            <v>Dattes Deglet dénoyautées BIO</v>
          </cell>
          <cell r="C89" t="str">
            <v>Tunisie</v>
          </cell>
          <cell r="F89" t="str">
            <v>❤️</v>
          </cell>
          <cell r="G89">
            <v>10.93</v>
          </cell>
          <cell r="H89" t="str">
            <v>kg</v>
          </cell>
          <cell r="I89" t="str">
            <v>X</v>
          </cell>
        </row>
        <row r="90">
          <cell r="A90">
            <v>1485</v>
          </cell>
          <cell r="B90" t="str">
            <v>Dattes Deglet Nour sans rame BIO</v>
          </cell>
          <cell r="C90" t="str">
            <v>Tunisie</v>
          </cell>
          <cell r="G90">
            <v>9.56</v>
          </cell>
          <cell r="H90" t="str">
            <v>kg</v>
          </cell>
          <cell r="I90" t="str">
            <v>X</v>
          </cell>
          <cell r="J90" t="str">
            <v>X</v>
          </cell>
        </row>
        <row r="91">
          <cell r="A91">
            <v>1399</v>
          </cell>
          <cell r="B91" t="str">
            <v>Dattes Mazafati de Bam BIO (env. 250g)</v>
          </cell>
          <cell r="C91" t="str">
            <v>Iran</v>
          </cell>
          <cell r="F91" t="str">
            <v>❤️</v>
          </cell>
          <cell r="G91">
            <v>4.6399999999999997</v>
          </cell>
          <cell r="H91" t="str">
            <v>Pièce</v>
          </cell>
          <cell r="I91" t="str">
            <v>X</v>
          </cell>
          <cell r="J91" t="str">
            <v>X</v>
          </cell>
          <cell r="K91" t="str">
            <v>X</v>
          </cell>
        </row>
        <row r="92">
          <cell r="A92" t="str">
            <v>1997</v>
          </cell>
          <cell r="B92" t="str">
            <v>Dattes Medjool Jumbo semi-sèche BIO</v>
          </cell>
          <cell r="C92" t="str">
            <v>Israël</v>
          </cell>
          <cell r="F92" t="str">
            <v>❤️</v>
          </cell>
          <cell r="G92">
            <v>25.19</v>
          </cell>
          <cell r="H92" t="str">
            <v>kg</v>
          </cell>
          <cell r="I92" t="str">
            <v>X</v>
          </cell>
        </row>
        <row r="93">
          <cell r="A93">
            <v>3377</v>
          </cell>
          <cell r="B93" t="str">
            <v>Eau de mer micro-filtrée hypertonique
    - (n°1 : box 3L)</v>
          </cell>
          <cell r="C93" t="str">
            <v>Ibiza</v>
          </cell>
          <cell r="F93" t="str">
            <v>❤️</v>
          </cell>
          <cell r="G93">
            <v>10</v>
          </cell>
          <cell r="H93" t="str">
            <v>Pièce</v>
          </cell>
        </row>
        <row r="94">
          <cell r="A94">
            <v>3720</v>
          </cell>
          <cell r="B94" t="str">
            <v>Eau de mer micro-filtrée hypertonique
    - (n°2 : box 11L)</v>
          </cell>
          <cell r="C94" t="str">
            <v>Ibiza</v>
          </cell>
          <cell r="F94" t="str">
            <v>❤️</v>
          </cell>
          <cell r="G94">
            <v>30</v>
          </cell>
          <cell r="H94" t="str">
            <v>Pièce</v>
          </cell>
        </row>
        <row r="95">
          <cell r="A95">
            <v>3379</v>
          </cell>
          <cell r="B95" t="str">
            <v>Eau de mer micro-filtrée hypertonique
    - (n°3 : box 20L)</v>
          </cell>
          <cell r="C95" t="str">
            <v>Ibiza</v>
          </cell>
          <cell r="F95" t="str">
            <v>❤️</v>
          </cell>
          <cell r="G95">
            <v>45</v>
          </cell>
          <cell r="H95" t="str">
            <v>Pièce</v>
          </cell>
        </row>
        <row r="96">
          <cell r="A96">
            <v>3550</v>
          </cell>
          <cell r="B96" t="str">
            <v>Epi de maïs doux frais (avec feuille autour)</v>
          </cell>
          <cell r="C96" t="str">
            <v>Malaga</v>
          </cell>
          <cell r="G96">
            <v>1.63</v>
          </cell>
          <cell r="H96" t="str">
            <v>Pièce</v>
          </cell>
        </row>
        <row r="97">
          <cell r="A97">
            <v>3146</v>
          </cell>
          <cell r="B97" t="str">
            <v>Epi de maïs doux frais (plateau de 2 pièces)</v>
          </cell>
          <cell r="C97" t="str">
            <v>Malaga</v>
          </cell>
          <cell r="G97">
            <v>3.14</v>
          </cell>
          <cell r="H97" t="str">
            <v>Pièce</v>
          </cell>
        </row>
        <row r="98">
          <cell r="A98">
            <v>4025</v>
          </cell>
          <cell r="B98" t="str">
            <v>Extracteur de jus ANGEL 5500                              (à commander au moins 7 jours à l'avance)</v>
          </cell>
          <cell r="C98" t="str">
            <v>Union européenne</v>
          </cell>
          <cell r="F98" t="str">
            <v>❤️</v>
          </cell>
          <cell r="G98">
            <v>1000</v>
          </cell>
          <cell r="H98" t="str">
            <v>Pièce</v>
          </cell>
        </row>
        <row r="99">
          <cell r="A99">
            <v>1647</v>
          </cell>
          <cell r="B99" t="str">
            <v>Farine de coco (env. 1kg)</v>
          </cell>
          <cell r="C99" t="str">
            <v>Sri Lanka</v>
          </cell>
          <cell r="G99">
            <v>8.48</v>
          </cell>
          <cell r="H99" t="str">
            <v>Pièce</v>
          </cell>
          <cell r="I99" t="str">
            <v>X</v>
          </cell>
        </row>
        <row r="100">
          <cell r="A100">
            <v>3273</v>
          </cell>
          <cell r="B100" t="str">
            <v>Feijoa (produit rare - saison courte)</v>
          </cell>
          <cell r="C100" t="str">
            <v>Grenade</v>
          </cell>
          <cell r="F100" t="str">
            <v>OFFRE</v>
          </cell>
          <cell r="G100">
            <v>4.08</v>
          </cell>
          <cell r="H100" t="str">
            <v>kg</v>
          </cell>
          <cell r="I100" t="str">
            <v>X</v>
          </cell>
          <cell r="J100" t="str">
            <v>X</v>
          </cell>
          <cell r="K100" t="str">
            <v>X</v>
          </cell>
        </row>
        <row r="101">
          <cell r="A101">
            <v>6106</v>
          </cell>
          <cell r="B101" t="str">
            <v>Fenugrec en graines BIO (env. 500g)</v>
          </cell>
          <cell r="C101" t="str">
            <v>Égypte</v>
          </cell>
          <cell r="F101" t="str">
            <v>❤️</v>
          </cell>
          <cell r="G101">
            <v>12.3</v>
          </cell>
          <cell r="H101" t="str">
            <v>Pièce</v>
          </cell>
        </row>
        <row r="102">
          <cell r="A102">
            <v>1937</v>
          </cell>
          <cell r="B102" t="str">
            <v>Fève de Cacao entière CRU BIO (env. 1kg)</v>
          </cell>
          <cell r="C102" t="str">
            <v>Pérou</v>
          </cell>
          <cell r="F102" t="str">
            <v>❤️</v>
          </cell>
          <cell r="G102">
            <v>21.89</v>
          </cell>
          <cell r="H102" t="str">
            <v>Pièce</v>
          </cell>
          <cell r="I102" t="str">
            <v>X</v>
          </cell>
        </row>
        <row r="103">
          <cell r="A103">
            <v>5128</v>
          </cell>
          <cell r="B103" t="str">
            <v>Figue cou dame demi-sèche petite (nouvelle récolte 2020)</v>
          </cell>
          <cell r="C103" t="str">
            <v>Ávila</v>
          </cell>
          <cell r="F103" t="str">
            <v>❤️</v>
          </cell>
          <cell r="G103">
            <v>6.15</v>
          </cell>
          <cell r="H103" t="str">
            <v>kg</v>
          </cell>
          <cell r="I103" t="str">
            <v>X</v>
          </cell>
        </row>
        <row r="104">
          <cell r="A104">
            <v>5129</v>
          </cell>
          <cell r="B104" t="str">
            <v>Figue cou dame semi-sec noire (nouvelle récolte 2020)</v>
          </cell>
          <cell r="C104" t="str">
            <v>Ávila</v>
          </cell>
          <cell r="F104" t="str">
            <v>❤️</v>
          </cell>
          <cell r="G104">
            <v>6.82</v>
          </cell>
          <cell r="H104" t="str">
            <v>kg</v>
          </cell>
          <cell r="I104" t="str">
            <v>X</v>
          </cell>
        </row>
        <row r="105">
          <cell r="A105">
            <v>3177</v>
          </cell>
          <cell r="B105" t="str">
            <v>Figue cou dame semi-sèche (nouvelle récolte 2020)</v>
          </cell>
          <cell r="C105" t="str">
            <v>Ávila</v>
          </cell>
          <cell r="F105" t="str">
            <v>❤️</v>
          </cell>
          <cell r="G105">
            <v>8.19</v>
          </cell>
          <cell r="H105" t="str">
            <v>kg</v>
          </cell>
          <cell r="I105" t="str">
            <v>X</v>
          </cell>
        </row>
        <row r="106">
          <cell r="A106">
            <v>3138</v>
          </cell>
          <cell r="B106" t="str">
            <v>Figue de Barbarie</v>
          </cell>
          <cell r="C106" t="str">
            <v>Grenade</v>
          </cell>
          <cell r="F106" t="str">
            <v>❤️</v>
          </cell>
          <cell r="G106">
            <v>6.82</v>
          </cell>
          <cell r="H106" t="str">
            <v>kg</v>
          </cell>
          <cell r="I106" t="str">
            <v>X</v>
          </cell>
        </row>
        <row r="107">
          <cell r="A107">
            <v>1119</v>
          </cell>
          <cell r="B107" t="str">
            <v>Figue de miel semi-sèche de l’Alpujarra BIO (grande) Excellent et spécial !</v>
          </cell>
          <cell r="C107" t="str">
            <v>Grenade</v>
          </cell>
          <cell r="F107" t="str">
            <v>❤️</v>
          </cell>
          <cell r="G107">
            <v>9.17</v>
          </cell>
          <cell r="H107" t="str">
            <v>kg</v>
          </cell>
          <cell r="I107" t="str">
            <v>X</v>
          </cell>
        </row>
        <row r="108">
          <cell r="A108">
            <v>3873</v>
          </cell>
          <cell r="B108" t="str">
            <v>Figue granillo semi-sèche (nouvelle récolte 2020)</v>
          </cell>
          <cell r="C108" t="str">
            <v>Ávila</v>
          </cell>
          <cell r="F108" t="str">
            <v>❤️</v>
          </cell>
          <cell r="G108">
            <v>6.43</v>
          </cell>
          <cell r="H108" t="str">
            <v>kg</v>
          </cell>
          <cell r="I108" t="str">
            <v>X</v>
          </cell>
        </row>
        <row r="109">
          <cell r="A109">
            <v>3790</v>
          </cell>
          <cell r="B109" t="str">
            <v>Figue semi-sèche (paquet de env. 900g)</v>
          </cell>
          <cell r="C109" t="str">
            <v>Malaga</v>
          </cell>
          <cell r="F109" t="str">
            <v>❤️</v>
          </cell>
          <cell r="G109">
            <v>9.44</v>
          </cell>
          <cell r="H109" t="str">
            <v>kg</v>
          </cell>
          <cell r="I109" t="str">
            <v>X</v>
          </cell>
        </row>
        <row r="110">
          <cell r="A110">
            <v>1220</v>
          </cell>
          <cell r="B110" t="str">
            <v>Fruits du Baobab en poudre (seulement la pulpe) BIO</v>
          </cell>
          <cell r="C110" t="str">
            <v>Import</v>
          </cell>
          <cell r="F110" t="str">
            <v>❤️</v>
          </cell>
          <cell r="G110">
            <v>36.5</v>
          </cell>
          <cell r="H110" t="str">
            <v>kg</v>
          </cell>
        </row>
        <row r="111">
          <cell r="A111">
            <v>1967</v>
          </cell>
          <cell r="B111" t="str">
            <v>Gingembre BIO</v>
          </cell>
          <cell r="C111" t="str">
            <v>Pérou</v>
          </cell>
          <cell r="F111" t="str">
            <v>❤️</v>
          </cell>
          <cell r="G111">
            <v>7.25</v>
          </cell>
          <cell r="H111" t="str">
            <v>kg</v>
          </cell>
          <cell r="I111" t="str">
            <v>X</v>
          </cell>
          <cell r="J111" t="str">
            <v>X</v>
          </cell>
        </row>
        <row r="112">
          <cell r="A112">
            <v>3217</v>
          </cell>
          <cell r="B112" t="str">
            <v>Goyave</v>
          </cell>
          <cell r="C112" t="str">
            <v>Grenade</v>
          </cell>
          <cell r="G112">
            <v>3.69</v>
          </cell>
          <cell r="H112" t="str">
            <v>kg</v>
          </cell>
          <cell r="I112" t="str">
            <v>X</v>
          </cell>
          <cell r="J112" t="str">
            <v>X</v>
          </cell>
          <cell r="K112" t="str">
            <v>X</v>
          </cell>
        </row>
        <row r="113">
          <cell r="A113">
            <v>1619</v>
          </cell>
          <cell r="B113" t="str">
            <v>Goyave BIO (production Rufino)</v>
          </cell>
          <cell r="C113" t="str">
            <v>Grenade</v>
          </cell>
          <cell r="G113">
            <v>4.58</v>
          </cell>
          <cell r="H113" t="str">
            <v>kg</v>
          </cell>
          <cell r="I113" t="str">
            <v>X</v>
          </cell>
          <cell r="J113" t="str">
            <v>X</v>
          </cell>
          <cell r="K113" t="str">
            <v>X</v>
          </cell>
        </row>
        <row r="114">
          <cell r="A114">
            <v>1607</v>
          </cell>
          <cell r="B114" t="str">
            <v>Graines de chanvre pelées CRU BIO
    - (env. 1 kg)</v>
          </cell>
          <cell r="C114" t="str">
            <v>Chine</v>
          </cell>
          <cell r="F114" t="str">
            <v>❤️</v>
          </cell>
          <cell r="G114">
            <v>17.78</v>
          </cell>
          <cell r="H114" t="str">
            <v>kg</v>
          </cell>
          <cell r="I114" t="str">
            <v>X</v>
          </cell>
        </row>
        <row r="115">
          <cell r="A115">
            <v>1356</v>
          </cell>
          <cell r="B115" t="str">
            <v>Graines de tournesol sans coque CRU BIO
    - (env. 1kg)</v>
          </cell>
          <cell r="C115" t="str">
            <v>Bulgarie</v>
          </cell>
          <cell r="G115">
            <v>4.51</v>
          </cell>
          <cell r="H115" t="str">
            <v>kg</v>
          </cell>
          <cell r="I115" t="str">
            <v>X</v>
          </cell>
          <cell r="J115" t="str">
            <v>X</v>
          </cell>
        </row>
        <row r="116">
          <cell r="A116">
            <v>1356</v>
          </cell>
          <cell r="B116" t="str">
            <v>Graines de tournesol sans coque CRU BIO
    - (env. 500g)</v>
          </cell>
          <cell r="C116" t="str">
            <v>Bulgarie</v>
          </cell>
          <cell r="G116">
            <v>2.95</v>
          </cell>
          <cell r="H116" t="str">
            <v>Pièce</v>
          </cell>
        </row>
        <row r="117">
          <cell r="A117">
            <v>3209</v>
          </cell>
          <cell r="B117" t="str">
            <v>Grenade (très rouge)</v>
          </cell>
          <cell r="C117" t="str">
            <v>Grenade</v>
          </cell>
          <cell r="F117" t="str">
            <v>❤️</v>
          </cell>
          <cell r="G117">
            <v>2.4500000000000002</v>
          </cell>
          <cell r="H117" t="str">
            <v>kg</v>
          </cell>
          <cell r="I117" t="str">
            <v>X</v>
          </cell>
          <cell r="J117" t="str">
            <v>X</v>
          </cell>
          <cell r="K117" t="str">
            <v>X</v>
          </cell>
        </row>
        <row r="118">
          <cell r="A118">
            <v>1121</v>
          </cell>
          <cell r="B118" t="str">
            <v>Grenade BIO (grande et rosée)</v>
          </cell>
          <cell r="C118" t="str">
            <v>Grenade</v>
          </cell>
          <cell r="G118">
            <v>2.71</v>
          </cell>
          <cell r="H118" t="str">
            <v>kg</v>
          </cell>
          <cell r="I118" t="str">
            <v>X</v>
          </cell>
          <cell r="J118" t="str">
            <v>X</v>
          </cell>
          <cell r="K118" t="str">
            <v>X</v>
          </cell>
        </row>
        <row r="119">
          <cell r="A119">
            <v>6120</v>
          </cell>
          <cell r="B119" t="str">
            <v xml:space="preserve">Grenade Purple Queen BIO </v>
          </cell>
          <cell r="C119" t="str">
            <v>Malaga</v>
          </cell>
          <cell r="G119">
            <v>3.14</v>
          </cell>
          <cell r="H119" t="str">
            <v>kg</v>
          </cell>
          <cell r="I119" t="str">
            <v>X</v>
          </cell>
          <cell r="J119" t="str">
            <v>X</v>
          </cell>
          <cell r="K119" t="str">
            <v>X</v>
          </cell>
        </row>
        <row r="120">
          <cell r="A120">
            <v>3039</v>
          </cell>
          <cell r="B120" t="str">
            <v>Haricot vert 2e catégorie</v>
          </cell>
          <cell r="C120" t="str">
            <v>Malaga</v>
          </cell>
          <cell r="G120">
            <v>1.34</v>
          </cell>
          <cell r="H120" t="str">
            <v>kg</v>
          </cell>
          <cell r="I120" t="str">
            <v>X</v>
          </cell>
          <cell r="J120" t="str">
            <v>X</v>
          </cell>
        </row>
        <row r="121">
          <cell r="A121">
            <v>1003</v>
          </cell>
          <cell r="B121" t="str">
            <v>Haricot vert BIO</v>
          </cell>
          <cell r="C121" t="str">
            <v>Malaga</v>
          </cell>
          <cell r="G121">
            <v>5.45</v>
          </cell>
          <cell r="H121" t="str">
            <v>kg</v>
          </cell>
          <cell r="I121" t="str">
            <v>X</v>
          </cell>
          <cell r="J121" t="str">
            <v>X</v>
          </cell>
        </row>
        <row r="122">
          <cell r="A122">
            <v>6063</v>
          </cell>
          <cell r="B122" t="str">
            <v>Huile d'olive Alorena 1L BIO (bouteille en verre)</v>
          </cell>
          <cell r="C122" t="str">
            <v>Malaga</v>
          </cell>
          <cell r="G122">
            <v>9.3000000000000007</v>
          </cell>
          <cell r="H122" t="str">
            <v>kg</v>
          </cell>
        </row>
        <row r="123">
          <cell r="A123">
            <v>6064</v>
          </cell>
          <cell r="B123" t="str">
            <v>Huile d'olive Aloreña 5L BIO (bidon métal)</v>
          </cell>
          <cell r="C123" t="str">
            <v>Malaga</v>
          </cell>
          <cell r="F123" t="str">
            <v>❤️</v>
          </cell>
          <cell r="G123">
            <v>41.07</v>
          </cell>
          <cell r="H123" t="str">
            <v>5l</v>
          </cell>
        </row>
        <row r="124">
          <cell r="A124">
            <v>1534</v>
          </cell>
          <cell r="B124" t="str">
            <v>Kaki déshydraté BIO</v>
          </cell>
          <cell r="C124" t="str">
            <v>Grenade</v>
          </cell>
          <cell r="G124">
            <v>26</v>
          </cell>
          <cell r="H124" t="str">
            <v>kg</v>
          </cell>
        </row>
        <row r="125">
          <cell r="A125" t="str">
            <v>3601-5043-3261</v>
          </cell>
          <cell r="B125" t="str">
            <v xml:space="preserve">Kaki différentes variétés - (persimon, rouge brillant, tomatero, sharoni) </v>
          </cell>
          <cell r="C125" t="str">
            <v>Grenade</v>
          </cell>
          <cell r="F125" t="str">
            <v>❤️</v>
          </cell>
          <cell r="G125">
            <v>3.14</v>
          </cell>
          <cell r="H125" t="str">
            <v>kg</v>
          </cell>
          <cell r="I125" t="str">
            <v>X</v>
          </cell>
          <cell r="J125" t="str">
            <v>X</v>
          </cell>
          <cell r="K125" t="str">
            <v>X</v>
          </cell>
        </row>
        <row r="126">
          <cell r="A126">
            <v>3766</v>
          </cell>
          <cell r="B126" t="str">
            <v>Kaki en plateau env. 900g mûri exprès (couleur rouge vive) - Produit rare !</v>
          </cell>
          <cell r="C126" t="str">
            <v>Grenade</v>
          </cell>
          <cell r="G126">
            <v>3.55</v>
          </cell>
          <cell r="H126" t="str">
            <v>Pièce</v>
          </cell>
          <cell r="I126" t="str">
            <v>X</v>
          </cell>
          <cell r="J126" t="str">
            <v>X</v>
          </cell>
        </row>
        <row r="127">
          <cell r="A127">
            <v>3265</v>
          </cell>
          <cell r="B127" t="str">
            <v>Kaki Fuyu</v>
          </cell>
          <cell r="C127" t="str">
            <v>Grenade</v>
          </cell>
          <cell r="F127" t="str">
            <v>❤️</v>
          </cell>
          <cell r="G127">
            <v>3.41</v>
          </cell>
          <cell r="H127" t="str">
            <v>kg</v>
          </cell>
          <cell r="I127" t="str">
            <v>X</v>
          </cell>
          <cell r="J127" t="str">
            <v>X</v>
          </cell>
          <cell r="K127" t="str">
            <v>X</v>
          </cell>
        </row>
        <row r="128">
          <cell r="A128">
            <v>1623</v>
          </cell>
          <cell r="B128" t="str">
            <v>Kaki rojo brillante BIO</v>
          </cell>
          <cell r="C128" t="str">
            <v>Grenade</v>
          </cell>
          <cell r="G128">
            <v>4.08</v>
          </cell>
          <cell r="H128" t="str">
            <v>kg</v>
          </cell>
          <cell r="I128" t="str">
            <v>X</v>
          </cell>
          <cell r="J128" t="str">
            <v>X</v>
          </cell>
        </row>
        <row r="129">
          <cell r="A129" t="str">
            <v>1961-1020</v>
          </cell>
          <cell r="B129" t="str">
            <v>Kiwi  BIO</v>
          </cell>
          <cell r="C129" t="str">
            <v>Portugal</v>
          </cell>
          <cell r="G129">
            <v>6.01</v>
          </cell>
          <cell r="H129" t="str">
            <v>kg</v>
          </cell>
          <cell r="I129" t="str">
            <v>X</v>
          </cell>
          <cell r="J129" t="str">
            <v>X</v>
          </cell>
        </row>
        <row r="130">
          <cell r="A130">
            <v>3276</v>
          </cell>
          <cell r="B130" t="str">
            <v>Kiwi de la Alpujarra</v>
          </cell>
          <cell r="C130" t="str">
            <v>Grenade</v>
          </cell>
          <cell r="G130">
            <v>6.15</v>
          </cell>
          <cell r="H130" t="str">
            <v>kg</v>
          </cell>
          <cell r="I130" t="str">
            <v>X</v>
          </cell>
          <cell r="J130" t="str">
            <v>X</v>
          </cell>
        </row>
        <row r="131">
          <cell r="A131" t="str">
            <v>5130-3941</v>
          </cell>
          <cell r="B131" t="str">
            <v>Kiwi jaune Sun Gold</v>
          </cell>
          <cell r="C131" t="str">
            <v>Nouvelle
Zélande</v>
          </cell>
          <cell r="F131" t="str">
            <v>❤️</v>
          </cell>
          <cell r="G131">
            <v>9.3000000000000007</v>
          </cell>
          <cell r="H131" t="str">
            <v>kg</v>
          </cell>
        </row>
        <row r="132">
          <cell r="A132">
            <v>6093</v>
          </cell>
          <cell r="B132" t="str">
            <v xml:space="preserve">Kombucha océanique (spiruline et citron) BIO Viver (env. 500ml en verre) </v>
          </cell>
          <cell r="C132" t="str">
            <v>Grenade</v>
          </cell>
          <cell r="G132">
            <v>5.33</v>
          </cell>
          <cell r="H132" t="str">
            <v>Pièce</v>
          </cell>
        </row>
        <row r="133">
          <cell r="A133">
            <v>1755</v>
          </cell>
          <cell r="B133" t="str">
            <v>Lait de coco en poudre CRU BIO (1kg)</v>
          </cell>
          <cell r="C133" t="str">
            <v>Sri Lanka</v>
          </cell>
          <cell r="F133" t="str">
            <v>❤️</v>
          </cell>
          <cell r="G133">
            <v>34.22</v>
          </cell>
          <cell r="H133" t="str">
            <v>kg</v>
          </cell>
          <cell r="I133" t="str">
            <v>X</v>
          </cell>
        </row>
        <row r="134">
          <cell r="A134">
            <v>1755</v>
          </cell>
          <cell r="B134" t="str">
            <v>Lait de coco en poudre CRU BIO (500g)</v>
          </cell>
          <cell r="C134" t="str">
            <v>Sri Lanka</v>
          </cell>
          <cell r="F134" t="str">
            <v>❤️</v>
          </cell>
          <cell r="G134">
            <v>17.78</v>
          </cell>
          <cell r="H134" t="str">
            <v>kg</v>
          </cell>
        </row>
        <row r="135">
          <cell r="A135">
            <v>6126</v>
          </cell>
          <cell r="B135" t="str">
            <v>Laitue Maravilla de Verano Neruda BIO (production Rufino)</v>
          </cell>
          <cell r="C135" t="str">
            <v>Grenade</v>
          </cell>
          <cell r="G135">
            <v>1.22</v>
          </cell>
          <cell r="H135" t="str">
            <v>Pièce</v>
          </cell>
          <cell r="I135" t="str">
            <v>X</v>
          </cell>
        </row>
        <row r="136">
          <cell r="A136">
            <v>3977</v>
          </cell>
          <cell r="B136" t="str">
            <v>Levure nutritionnelle + B12 (env. 1 kg)</v>
          </cell>
          <cell r="C136" t="str">
            <v>Estonie</v>
          </cell>
          <cell r="G136">
            <v>20.52</v>
          </cell>
          <cell r="H136" t="str">
            <v>Pièce</v>
          </cell>
        </row>
        <row r="137">
          <cell r="A137">
            <v>3977</v>
          </cell>
          <cell r="B137" t="str">
            <v>Levure nutritionnelle + B12 (env. 500g)</v>
          </cell>
          <cell r="C137" t="str">
            <v>Estonie</v>
          </cell>
          <cell r="G137">
            <v>10.26</v>
          </cell>
          <cell r="H137" t="str">
            <v>Pièce</v>
          </cell>
        </row>
        <row r="138">
          <cell r="A138">
            <v>1103</v>
          </cell>
          <cell r="B138" t="str">
            <v>Lima-Limon BIO (entre citron vert et jaune, cueilli à maturité, variété indienne)</v>
          </cell>
          <cell r="C138" t="str">
            <v>Malaga</v>
          </cell>
          <cell r="F138" t="str">
            <v>❤️</v>
          </cell>
          <cell r="G138">
            <v>3.14</v>
          </cell>
          <cell r="H138" t="str">
            <v>kg</v>
          </cell>
          <cell r="I138" t="str">
            <v>X</v>
          </cell>
          <cell r="J138" t="str">
            <v>X</v>
          </cell>
          <cell r="K138" t="str">
            <v>X</v>
          </cell>
        </row>
        <row r="139">
          <cell r="A139">
            <v>1480</v>
          </cell>
          <cell r="B139" t="str">
            <v>Lin brun BIO (env. 1 kg).</v>
          </cell>
          <cell r="C139" t="str">
            <v>Kazakhstan</v>
          </cell>
          <cell r="G139">
            <v>5.19</v>
          </cell>
          <cell r="H139" t="str">
            <v>Pièce</v>
          </cell>
          <cell r="I139" t="str">
            <v>X</v>
          </cell>
        </row>
        <row r="140">
          <cell r="A140">
            <v>1480</v>
          </cell>
          <cell r="B140" t="str">
            <v>Lin brun BIO (env. 500g)</v>
          </cell>
          <cell r="C140" t="str">
            <v>Kazakhstan</v>
          </cell>
          <cell r="G140">
            <v>3.27</v>
          </cell>
          <cell r="H140" t="str">
            <v>Pièce</v>
          </cell>
        </row>
        <row r="141">
          <cell r="A141">
            <v>1606</v>
          </cell>
          <cell r="B141" t="str">
            <v>Lucuma cru en poudre CRU BIO (env. 1 kg)</v>
          </cell>
          <cell r="C141" t="str">
            <v>Pérou</v>
          </cell>
          <cell r="G141">
            <v>30.11</v>
          </cell>
          <cell r="H141" t="str">
            <v>Pièce</v>
          </cell>
        </row>
        <row r="142">
          <cell r="A142">
            <v>1640</v>
          </cell>
          <cell r="B142" t="str">
            <v>Maca brute en poudre CRU BIO (env. 1kg)</v>
          </cell>
          <cell r="C142" t="str">
            <v>Pérou</v>
          </cell>
          <cell r="G142">
            <v>16.41</v>
          </cell>
          <cell r="H142" t="str">
            <v>Pièce</v>
          </cell>
          <cell r="I142" t="str">
            <v>X</v>
          </cell>
        </row>
        <row r="143">
          <cell r="A143">
            <v>1640</v>
          </cell>
          <cell r="B143" t="str">
            <v>Maca brute en poudre CRU BIO (env. 500g)</v>
          </cell>
          <cell r="C143" t="str">
            <v>Pérou</v>
          </cell>
          <cell r="F143" t="str">
            <v>❤️</v>
          </cell>
          <cell r="G143">
            <v>8.89</v>
          </cell>
          <cell r="H143" t="str">
            <v>Pièce</v>
          </cell>
        </row>
        <row r="144">
          <cell r="A144">
            <v>1639</v>
          </cell>
          <cell r="B144" t="str">
            <v>Maca noire BIO (env. 1kg)</v>
          </cell>
          <cell r="C144" t="str">
            <v>Pérou</v>
          </cell>
          <cell r="G144">
            <v>27.37</v>
          </cell>
          <cell r="H144" t="str">
            <v>Pièce</v>
          </cell>
        </row>
        <row r="145">
          <cell r="A145">
            <v>1639</v>
          </cell>
          <cell r="B145" t="str">
            <v>Maca noire BIO (env. 500g)</v>
          </cell>
          <cell r="C145" t="str">
            <v>Pérou</v>
          </cell>
          <cell r="G145">
            <v>14.37</v>
          </cell>
          <cell r="H145" t="str">
            <v>Pièce</v>
          </cell>
        </row>
        <row r="146">
          <cell r="A146">
            <v>1207</v>
          </cell>
          <cell r="B146" t="str">
            <v>Mandarine BIO</v>
          </cell>
          <cell r="C146" t="str">
            <v>Grenade</v>
          </cell>
          <cell r="G146">
            <v>2.4500000000000002</v>
          </cell>
          <cell r="H146" t="str">
            <v>kg</v>
          </cell>
          <cell r="I146" t="str">
            <v>X</v>
          </cell>
          <cell r="J146" t="str">
            <v>X</v>
          </cell>
        </row>
        <row r="147">
          <cell r="A147">
            <v>3308</v>
          </cell>
          <cell r="B147" t="str">
            <v>Mandarine Clemenules</v>
          </cell>
          <cell r="C147" t="str">
            <v>Grenade</v>
          </cell>
          <cell r="G147">
            <v>2.04</v>
          </cell>
          <cell r="H147" t="str">
            <v>kg</v>
          </cell>
          <cell r="I147" t="str">
            <v>X</v>
          </cell>
        </row>
        <row r="148">
          <cell r="A148">
            <v>6258</v>
          </cell>
          <cell r="B148" t="str">
            <v>Mangue Adania BIO (production Rufino)</v>
          </cell>
          <cell r="C148" t="str">
            <v>Grenade</v>
          </cell>
          <cell r="G148">
            <v>5.0599999999999996</v>
          </cell>
          <cell r="H148" t="str">
            <v>kg</v>
          </cell>
          <cell r="I148" t="str">
            <v>X</v>
          </cell>
          <cell r="J148" t="str">
            <v>X</v>
          </cell>
          <cell r="K148" t="str">
            <v>X</v>
          </cell>
        </row>
        <row r="149">
          <cell r="A149">
            <v>6066</v>
          </cell>
          <cell r="B149" t="str">
            <v>Mangue BIO déjà assez mûre
    - (Keitt, Sensacion, Palmer Rojo, ...)</v>
          </cell>
          <cell r="C149" t="str">
            <v>Grenade/Malaga</v>
          </cell>
          <cell r="G149">
            <v>2.71</v>
          </cell>
          <cell r="H149" t="str">
            <v>kg</v>
          </cell>
        </row>
        <row r="150">
          <cell r="A150">
            <v>5215</v>
          </cell>
          <cell r="B150" t="str">
            <v>Mangue Irwin gourmet déshydratée en tranche à basse température (40-45°) CRU</v>
          </cell>
          <cell r="C150" t="str">
            <v>Grenade</v>
          </cell>
          <cell r="F150" t="str">
            <v>❤️</v>
          </cell>
          <cell r="G150">
            <v>53.4</v>
          </cell>
          <cell r="H150" t="str">
            <v>kg</v>
          </cell>
        </row>
        <row r="151">
          <cell r="A151">
            <v>3255</v>
          </cell>
          <cell r="B151" t="str">
            <v>Mangue Keitt</v>
          </cell>
          <cell r="C151" t="str">
            <v>Grenade</v>
          </cell>
          <cell r="F151" t="str">
            <v>❤️</v>
          </cell>
          <cell r="G151">
            <v>4.2300000000000004</v>
          </cell>
          <cell r="H151" t="str">
            <v>kg</v>
          </cell>
          <cell r="I151" t="str">
            <v>X</v>
          </cell>
          <cell r="J151" t="str">
            <v>X</v>
          </cell>
          <cell r="K151" t="str">
            <v>X</v>
          </cell>
        </row>
        <row r="152">
          <cell r="A152">
            <v>1171</v>
          </cell>
          <cell r="B152" t="str">
            <v>Mangue Keitt BIO</v>
          </cell>
          <cell r="C152" t="str">
            <v>Grenade</v>
          </cell>
          <cell r="F152" t="str">
            <v>❤️</v>
          </cell>
          <cell r="G152">
            <v>5.19</v>
          </cell>
          <cell r="H152" t="str">
            <v>kg</v>
          </cell>
          <cell r="I152" t="str">
            <v>X</v>
          </cell>
          <cell r="J152" t="str">
            <v>X</v>
          </cell>
          <cell r="K152" t="str">
            <v>X</v>
          </cell>
        </row>
        <row r="153">
          <cell r="A153">
            <v>1171</v>
          </cell>
          <cell r="B153" t="str">
            <v>Mangue Keitt BIO (grande, BIO depuis 1985, BIO Suisse depuis 2009)</v>
          </cell>
          <cell r="C153" t="str">
            <v>Malaga</v>
          </cell>
          <cell r="G153">
            <v>3.55</v>
          </cell>
          <cell r="H153" t="str">
            <v>kg</v>
          </cell>
          <cell r="I153" t="str">
            <v>X</v>
          </cell>
          <cell r="J153" t="str">
            <v>X</v>
          </cell>
          <cell r="K153" t="str">
            <v>X</v>
          </cell>
        </row>
        <row r="154">
          <cell r="A154">
            <v>6198</v>
          </cell>
          <cell r="B154" t="str">
            <v>Mangue Keitt BIO (grandes brûlures sur la peau, chair intacte, BIO depuis 1985, BIO Suisse depuis 2009)</v>
          </cell>
          <cell r="C154" t="str">
            <v>Malaga</v>
          </cell>
          <cell r="F154" t="str">
            <v>OFFRE</v>
          </cell>
          <cell r="G154">
            <v>1.79</v>
          </cell>
          <cell r="H154" t="str">
            <v>kg</v>
          </cell>
          <cell r="I154" t="str">
            <v>X</v>
          </cell>
          <cell r="J154" t="str">
            <v>X</v>
          </cell>
          <cell r="K154" t="str">
            <v>X</v>
          </cell>
        </row>
        <row r="155">
          <cell r="A155">
            <v>6198</v>
          </cell>
          <cell r="B155" t="str">
            <v>Mangue Keitt BIO (légères brûlures sur peau , chair intacte,  BIO depuis 1985, BIO Suisse depuis 2009)</v>
          </cell>
          <cell r="C155" t="str">
            <v>Malaga</v>
          </cell>
          <cell r="F155" t="str">
            <v>OFFRE</v>
          </cell>
          <cell r="G155">
            <v>2.19</v>
          </cell>
          <cell r="H155" t="str">
            <v>kg</v>
          </cell>
          <cell r="I155" t="str">
            <v>X</v>
          </cell>
          <cell r="J155" t="str">
            <v>X</v>
          </cell>
          <cell r="K155" t="str">
            <v>X</v>
          </cell>
        </row>
        <row r="156">
          <cell r="A156">
            <v>6127</v>
          </cell>
          <cell r="B156" t="str">
            <v xml:space="preserve">Mangue Keitt gourmet BIO </v>
          </cell>
          <cell r="C156" t="str">
            <v>Malaga</v>
          </cell>
          <cell r="F156" t="str">
            <v>❤️</v>
          </cell>
          <cell r="G156">
            <v>3.41</v>
          </cell>
          <cell r="H156" t="str">
            <v>kg</v>
          </cell>
          <cell r="I156" t="str">
            <v>X</v>
          </cell>
          <cell r="J156" t="str">
            <v>X</v>
          </cell>
          <cell r="K156" t="str">
            <v>X</v>
          </cell>
        </row>
        <row r="157">
          <cell r="A157">
            <v>3225</v>
          </cell>
          <cell r="B157" t="str">
            <v>Mangue Kent sélectionnée</v>
          </cell>
          <cell r="C157" t="str">
            <v>Malaga</v>
          </cell>
          <cell r="G157">
            <v>5.45</v>
          </cell>
          <cell r="H157" t="str">
            <v>kg</v>
          </cell>
          <cell r="I157" t="str">
            <v>X</v>
          </cell>
          <cell r="J157" t="str">
            <v>X</v>
          </cell>
          <cell r="K157" t="str">
            <v>X</v>
          </cell>
        </row>
        <row r="158">
          <cell r="A158">
            <v>3190</v>
          </cell>
          <cell r="B158" t="str">
            <v>Mangue Osteen</v>
          </cell>
          <cell r="C158" t="str">
            <v>Grenade</v>
          </cell>
          <cell r="F158" t="str">
            <v>❤️</v>
          </cell>
          <cell r="G158">
            <v>4.6399999999999997</v>
          </cell>
          <cell r="H158" t="str">
            <v>kg</v>
          </cell>
          <cell r="I158" t="str">
            <v>X</v>
          </cell>
          <cell r="J158" t="str">
            <v>X</v>
          </cell>
          <cell r="K158" t="str">
            <v>X</v>
          </cell>
        </row>
        <row r="159">
          <cell r="A159">
            <v>1115</v>
          </cell>
          <cell r="B159" t="str">
            <v>Mangue Osteen BIO (Qualité supérieure, mûrie sur plante)</v>
          </cell>
          <cell r="C159" t="str">
            <v>Salobrena</v>
          </cell>
          <cell r="F159" t="str">
            <v>❤️</v>
          </cell>
          <cell r="G159">
            <v>5.45</v>
          </cell>
          <cell r="H159" t="str">
            <v>kg</v>
          </cell>
          <cell r="I159" t="str">
            <v>X</v>
          </cell>
          <cell r="J159" t="str">
            <v>X</v>
          </cell>
        </row>
        <row r="160">
          <cell r="A160" t="str">
            <v>3190. 658</v>
          </cell>
          <cell r="B160" t="str">
            <v>Mangue Osteen sélectionnée (Ferme Eparadise, mûrie sur plante, récoltée quotidiennement)</v>
          </cell>
          <cell r="C160" t="str">
            <v>Grenade</v>
          </cell>
          <cell r="F160" t="str">
            <v>❤️</v>
          </cell>
          <cell r="G160">
            <v>5.45</v>
          </cell>
          <cell r="H160" t="str">
            <v>kg</v>
          </cell>
          <cell r="I160" t="str">
            <v>X</v>
          </cell>
          <cell r="J160" t="str">
            <v>X</v>
          </cell>
        </row>
        <row r="161">
          <cell r="A161">
            <v>3868</v>
          </cell>
          <cell r="B161" t="str">
            <v>Mangue Palmer Rojo déshydratée à basse température (40-45°) CRU (env. 500g)</v>
          </cell>
          <cell r="C161" t="str">
            <v>Grenade</v>
          </cell>
          <cell r="G161">
            <v>11.63</v>
          </cell>
          <cell r="H161" t="str">
            <v>Pièce</v>
          </cell>
        </row>
        <row r="162">
          <cell r="A162">
            <v>1843</v>
          </cell>
          <cell r="B162" t="str">
            <v>Mangue Palmer Rouge BIO (Grand)</v>
          </cell>
          <cell r="C162" t="str">
            <v>Grenade</v>
          </cell>
          <cell r="G162">
            <v>5.19</v>
          </cell>
          <cell r="H162" t="str">
            <v>kg</v>
          </cell>
          <cell r="I162" t="str">
            <v>X</v>
          </cell>
          <cell r="J162" t="str">
            <v>X</v>
          </cell>
        </row>
        <row r="163">
          <cell r="A163">
            <v>1104</v>
          </cell>
          <cell r="B163" t="str">
            <v>Mangue Tommy Atkins BIO</v>
          </cell>
          <cell r="C163" t="str">
            <v>Grenade</v>
          </cell>
          <cell r="G163">
            <v>4.08</v>
          </cell>
          <cell r="H163" t="str">
            <v>kg</v>
          </cell>
          <cell r="I163" t="str">
            <v>X</v>
          </cell>
          <cell r="J163" t="str">
            <v>X</v>
          </cell>
        </row>
        <row r="164">
          <cell r="A164" t="str">
            <v>3214-3248-3174-3194-3190-3175-3230</v>
          </cell>
          <cell r="B164" t="str">
            <v>Mangues déjà assez mûres en mélange variétés 
    - (Haden, Irwin, Lipens, Osteen, Tommy Atkins)</v>
          </cell>
          <cell r="C164" t="str">
            <v>Grenade</v>
          </cell>
          <cell r="F164" t="str">
            <v>❤️</v>
          </cell>
          <cell r="G164">
            <v>2.71</v>
          </cell>
          <cell r="H164" t="str">
            <v>kg</v>
          </cell>
        </row>
        <row r="165">
          <cell r="A165">
            <v>3636</v>
          </cell>
          <cell r="B165" t="str">
            <v>Mélange de fruits secs (noisette, noix de cajou, noix du brésil, noix de macadamia, amande, cerneau de noix)</v>
          </cell>
          <cell r="C165" t="str">
            <v>National</v>
          </cell>
          <cell r="G165">
            <v>21.22</v>
          </cell>
          <cell r="H165" t="str">
            <v>kg</v>
          </cell>
        </row>
        <row r="166">
          <cell r="A166">
            <v>3112</v>
          </cell>
          <cell r="B166" t="str">
            <v>Melon peau de crapaud</v>
          </cell>
          <cell r="C166" t="str">
            <v>Cordova</v>
          </cell>
          <cell r="F166" t="str">
            <v>❤️</v>
          </cell>
          <cell r="G166">
            <v>2.1800000000000002</v>
          </cell>
          <cell r="H166" t="str">
            <v>kg</v>
          </cell>
          <cell r="I166" t="str">
            <v>X</v>
          </cell>
          <cell r="J166" t="str">
            <v>X</v>
          </cell>
          <cell r="K166" t="str">
            <v>X</v>
          </cell>
        </row>
        <row r="167">
          <cell r="A167">
            <v>1052</v>
          </cell>
          <cell r="B167" t="str">
            <v>Melon peau de crapaud BIO</v>
          </cell>
          <cell r="C167" t="str">
            <v>Andalousie</v>
          </cell>
          <cell r="G167">
            <v>2.86</v>
          </cell>
          <cell r="H167" t="str">
            <v>kg</v>
          </cell>
          <cell r="I167" t="str">
            <v>X</v>
          </cell>
          <cell r="J167" t="str">
            <v>X</v>
          </cell>
        </row>
        <row r="168">
          <cell r="A168">
            <v>3925</v>
          </cell>
          <cell r="B168" t="str">
            <v>Miel d'avocat (Bocal en verre env. 1kg)</v>
          </cell>
          <cell r="C168" t="str">
            <v>Grenade</v>
          </cell>
          <cell r="F168" t="str">
            <v>❤️</v>
          </cell>
          <cell r="G168">
            <v>12.73</v>
          </cell>
          <cell r="H168" t="str">
            <v>Pièce</v>
          </cell>
          <cell r="I168" t="str">
            <v>X</v>
          </cell>
        </row>
        <row r="169">
          <cell r="A169">
            <v>1324</v>
          </cell>
          <cell r="B169" t="str">
            <v>Miel d'eucalyptus BIO (Bocal en verre env. 1kg)</v>
          </cell>
          <cell r="C169" t="str">
            <v>Huelva</v>
          </cell>
          <cell r="F169" t="str">
            <v>❤️</v>
          </cell>
          <cell r="G169">
            <v>19.850000000000001</v>
          </cell>
          <cell r="H169" t="str">
            <v>Pièce</v>
          </cell>
          <cell r="I169" t="str">
            <v>X</v>
          </cell>
        </row>
        <row r="170">
          <cell r="A170">
            <v>5113</v>
          </cell>
          <cell r="B170" t="str">
            <v>Miel de Fleur d'oranger (Bocal en verre env. 1kg)</v>
          </cell>
          <cell r="C170" t="str">
            <v>Grenade</v>
          </cell>
          <cell r="F170" t="str">
            <v>❤️</v>
          </cell>
          <cell r="G170">
            <v>12.73</v>
          </cell>
          <cell r="H170" t="str">
            <v>Pièce</v>
          </cell>
          <cell r="I170" t="str">
            <v>X</v>
          </cell>
        </row>
        <row r="171">
          <cell r="A171">
            <v>1444</v>
          </cell>
          <cell r="B171" t="str">
            <v>Miel de Huelva multifleurs sans filtration CRU BIO  
    - (Bocal en verre env. 1kg)</v>
          </cell>
          <cell r="C171" t="str">
            <v>Huelva</v>
          </cell>
          <cell r="F171" t="str">
            <v>❤️</v>
          </cell>
          <cell r="G171">
            <v>15.04</v>
          </cell>
          <cell r="H171" t="str">
            <v>Pièce</v>
          </cell>
          <cell r="I171" t="str">
            <v>X</v>
          </cell>
        </row>
        <row r="172">
          <cell r="A172">
            <v>5107</v>
          </cell>
          <cell r="B172" t="str">
            <v>Miel de montagne (Bocal en verre env. 1kg)</v>
          </cell>
          <cell r="C172" t="str">
            <v>Grenade</v>
          </cell>
          <cell r="F172" t="str">
            <v>❤️</v>
          </cell>
          <cell r="G172">
            <v>12.73</v>
          </cell>
          <cell r="H172" t="str">
            <v>Pièce</v>
          </cell>
          <cell r="I172" t="str">
            <v>X</v>
          </cell>
        </row>
        <row r="173">
          <cell r="A173">
            <v>3585</v>
          </cell>
          <cell r="B173" t="str">
            <v>Miel de Romarin (Bocal en verre env. 1kg)</v>
          </cell>
          <cell r="C173" t="str">
            <v>Grenade</v>
          </cell>
          <cell r="F173" t="str">
            <v>❤️</v>
          </cell>
          <cell r="G173">
            <v>12.73</v>
          </cell>
          <cell r="H173" t="str">
            <v>Pièce</v>
          </cell>
          <cell r="I173" t="str">
            <v>X</v>
          </cell>
        </row>
        <row r="174">
          <cell r="A174">
            <v>5114</v>
          </cell>
          <cell r="B174" t="str">
            <v>Miel multi-fleurs (Bocal en verre env. 1kg)</v>
          </cell>
          <cell r="C174" t="str">
            <v>Grenade</v>
          </cell>
          <cell r="F174" t="str">
            <v>❤️</v>
          </cell>
          <cell r="G174">
            <v>10.67</v>
          </cell>
          <cell r="H174" t="str">
            <v>Pièce</v>
          </cell>
          <cell r="I174" t="str">
            <v>X</v>
          </cell>
        </row>
        <row r="175">
          <cell r="A175">
            <v>1707</v>
          </cell>
          <cell r="B175" t="str">
            <v>Moringa en poudre BIO (capsules végétales) (env. 100 pcs.)</v>
          </cell>
          <cell r="C175" t="str">
            <v>Andalousie</v>
          </cell>
          <cell r="G175">
            <v>5.45</v>
          </cell>
          <cell r="H175" t="str">
            <v>Pièce</v>
          </cell>
        </row>
        <row r="176">
          <cell r="A176">
            <v>1730</v>
          </cell>
          <cell r="B176" t="str">
            <v>Moringa en poudre BIO (env. 500g)</v>
          </cell>
          <cell r="C176" t="str">
            <v>Andalousie</v>
          </cell>
          <cell r="G176">
            <v>16.41</v>
          </cell>
          <cell r="H176" t="str">
            <v>Pièce</v>
          </cell>
        </row>
        <row r="177">
          <cell r="A177">
            <v>1729</v>
          </cell>
          <cell r="B177" t="str">
            <v>Moringa feuille sèche BIO (env. 500g)</v>
          </cell>
          <cell r="C177" t="str">
            <v>Andalousie</v>
          </cell>
          <cell r="G177">
            <v>17.39</v>
          </cell>
          <cell r="H177" t="str">
            <v>Pièce</v>
          </cell>
        </row>
        <row r="178">
          <cell r="A178">
            <v>6180</v>
          </cell>
          <cell r="B178" t="str">
            <v>Noisette sans coque CRU BIO (env. 1kg)</v>
          </cell>
          <cell r="C178" t="str">
            <v>National</v>
          </cell>
          <cell r="F178" t="str">
            <v>❤️</v>
          </cell>
          <cell r="G178">
            <v>19.850000000000001</v>
          </cell>
          <cell r="H178" t="str">
            <v>Pièce</v>
          </cell>
          <cell r="I178" t="str">
            <v>X</v>
          </cell>
        </row>
        <row r="179">
          <cell r="A179">
            <v>1027</v>
          </cell>
          <cell r="B179" t="str">
            <v>Noix de cajou BIO (env. 1kg)</v>
          </cell>
          <cell r="C179" t="str">
            <v>Indes</v>
          </cell>
          <cell r="F179" t="str">
            <v>❤️</v>
          </cell>
          <cell r="G179">
            <v>20.52</v>
          </cell>
          <cell r="H179" t="str">
            <v>Pièce</v>
          </cell>
          <cell r="I179" t="str">
            <v>X</v>
          </cell>
          <cell r="J179" t="str">
            <v>X</v>
          </cell>
        </row>
        <row r="180">
          <cell r="A180" t="str">
            <v>1816</v>
          </cell>
          <cell r="B180" t="str">
            <v>Noix de Macadamia sans coque BIO
    - (env. 1kg)</v>
          </cell>
          <cell r="C180" t="str">
            <v>Kenya</v>
          </cell>
          <cell r="F180" t="str">
            <v>❤️</v>
          </cell>
          <cell r="G180">
            <v>43.81</v>
          </cell>
          <cell r="H180" t="str">
            <v>Pièce</v>
          </cell>
        </row>
        <row r="181">
          <cell r="A181" t="str">
            <v>1816</v>
          </cell>
          <cell r="B181" t="str">
            <v>Noix de Macadamia sans coque BIO
    - (env. 500g)</v>
          </cell>
          <cell r="C181" t="str">
            <v>Kenya</v>
          </cell>
          <cell r="F181" t="str">
            <v>❤️</v>
          </cell>
          <cell r="G181">
            <v>22.59</v>
          </cell>
          <cell r="H181" t="str">
            <v>Pièce</v>
          </cell>
        </row>
        <row r="182">
          <cell r="A182">
            <v>6005</v>
          </cell>
          <cell r="B182" t="str">
            <v>Noix de Pécan sans coque BIO (env. 1kg)</v>
          </cell>
          <cell r="C182" t="str">
            <v>Mexique</v>
          </cell>
          <cell r="F182" t="str">
            <v>❤️</v>
          </cell>
          <cell r="G182">
            <v>35.590000000000003</v>
          </cell>
          <cell r="H182" t="str">
            <v>Pièce</v>
          </cell>
          <cell r="I182" t="str">
            <v>X</v>
          </cell>
        </row>
        <row r="183">
          <cell r="A183">
            <v>6005</v>
          </cell>
          <cell r="B183" t="str">
            <v>Noix de Pécan sans coque BIO (env. 500g)</v>
          </cell>
          <cell r="C183" t="str">
            <v>Mexique</v>
          </cell>
          <cell r="F183" t="str">
            <v>❤️</v>
          </cell>
          <cell r="G183">
            <v>18.760000000000002</v>
          </cell>
          <cell r="H183" t="str">
            <v>Pièce</v>
          </cell>
        </row>
        <row r="184">
          <cell r="A184">
            <v>1101</v>
          </cell>
          <cell r="B184" t="str">
            <v>Oignon blanc BIO</v>
          </cell>
          <cell r="C184" t="str">
            <v>Malaga</v>
          </cell>
          <cell r="G184">
            <v>1.77</v>
          </cell>
          <cell r="H184" t="str">
            <v>kg</v>
          </cell>
          <cell r="I184" t="str">
            <v>X</v>
          </cell>
          <cell r="J184" t="str">
            <v>X</v>
          </cell>
        </row>
        <row r="185">
          <cell r="A185">
            <v>1151</v>
          </cell>
          <cell r="B185" t="str">
            <v>Oignon rouge BIO</v>
          </cell>
          <cell r="C185" t="str">
            <v>Malaga</v>
          </cell>
          <cell r="F185" t="str">
            <v>❤️</v>
          </cell>
          <cell r="G185">
            <v>2.04</v>
          </cell>
          <cell r="H185" t="str">
            <v>kg</v>
          </cell>
          <cell r="I185" t="str">
            <v>X</v>
          </cell>
          <cell r="J185" t="str">
            <v>X</v>
          </cell>
        </row>
        <row r="186">
          <cell r="A186">
            <v>6025</v>
          </cell>
          <cell r="B186" t="str">
            <v>Olives Aloreña BIO saumurées non pasteurisées (Bocal 800g)</v>
          </cell>
          <cell r="C186" t="str">
            <v>Malaga</v>
          </cell>
          <cell r="G186">
            <v>5.45</v>
          </cell>
          <cell r="H186" t="str">
            <v>Pièce</v>
          </cell>
          <cell r="I186" t="str">
            <v>X</v>
          </cell>
        </row>
        <row r="187">
          <cell r="A187" t="str">
            <v>5119-F</v>
          </cell>
          <cell r="B187" t="str">
            <v>Olives fermentées fraîches non pasteurisées (env. 400g) - production artisanale</v>
          </cell>
          <cell r="C187" t="str">
            <v>Valence</v>
          </cell>
          <cell r="G187">
            <v>10.4</v>
          </cell>
          <cell r="H187" t="str">
            <v>Pièce</v>
          </cell>
        </row>
        <row r="188">
          <cell r="A188" t="str">
            <v>5119-S</v>
          </cell>
          <cell r="B188" t="str">
            <v>Olives fermentées sèches non pasteurisées (env. 400g) - production artisanale</v>
          </cell>
          <cell r="C188" t="str">
            <v>Valence</v>
          </cell>
          <cell r="G188">
            <v>10.4</v>
          </cell>
          <cell r="H188" t="str">
            <v>Pièce</v>
          </cell>
        </row>
        <row r="189">
          <cell r="A189" t="str">
            <v>5119-SF</v>
          </cell>
          <cell r="B189" t="str">
            <v>Olives fermentées semi-fraîches non pasteurisées (env. 400g) - production artisanale</v>
          </cell>
          <cell r="C189" t="str">
            <v>Valence</v>
          </cell>
          <cell r="G189">
            <v>10.4</v>
          </cell>
          <cell r="H189" t="str">
            <v>Pièce</v>
          </cell>
        </row>
        <row r="190">
          <cell r="A190" t="str">
            <v>5119-SS</v>
          </cell>
          <cell r="B190" t="str">
            <v>Olives fermentées semi-sèches non pasteurisées (env. 400g) - production artisanale</v>
          </cell>
          <cell r="C190" t="str">
            <v>Valence</v>
          </cell>
          <cell r="G190">
            <v>10.4</v>
          </cell>
          <cell r="H190" t="str">
            <v>Pièce</v>
          </cell>
        </row>
        <row r="191">
          <cell r="A191">
            <v>5159</v>
          </cell>
          <cell r="B191" t="str">
            <v>Olives Manzanilla fraîche noire</v>
          </cell>
          <cell r="C191" t="str">
            <v>Grenade</v>
          </cell>
          <cell r="G191">
            <v>3.41</v>
          </cell>
          <cell r="H191" t="str">
            <v>kg</v>
          </cell>
          <cell r="I191" t="str">
            <v>X</v>
          </cell>
        </row>
        <row r="192">
          <cell r="A192">
            <v>1541</v>
          </cell>
          <cell r="B192" t="str">
            <v>Olives noires BIO (bocal 500g, dénoyautées, semi-séchées, non pasteurisées)</v>
          </cell>
          <cell r="C192" t="str">
            <v>Import</v>
          </cell>
          <cell r="F192" t="str">
            <v>❤️</v>
          </cell>
          <cell r="G192">
            <v>9.3000000000000007</v>
          </cell>
          <cell r="H192" t="str">
            <v>Pièce</v>
          </cell>
        </row>
        <row r="193">
          <cell r="A193">
            <v>3136</v>
          </cell>
          <cell r="B193" t="str">
            <v>Orange Naveline de table (nouvelle récolte)</v>
          </cell>
          <cell r="C193" t="str">
            <v>Grenade</v>
          </cell>
          <cell r="G193">
            <v>1.77</v>
          </cell>
          <cell r="H193" t="str">
            <v>kg</v>
          </cell>
          <cell r="I193" t="str">
            <v>X</v>
          </cell>
          <cell r="J193" t="str">
            <v>X</v>
          </cell>
        </row>
        <row r="194">
          <cell r="A194">
            <v>1208</v>
          </cell>
          <cell r="B194" t="str">
            <v>Orange Naveline de table BIO (nouvelle récolte)</v>
          </cell>
          <cell r="C194" t="str">
            <v>Séville</v>
          </cell>
          <cell r="G194">
            <v>2.04</v>
          </cell>
          <cell r="H194" t="str">
            <v>kg</v>
          </cell>
          <cell r="I194" t="str">
            <v>X</v>
          </cell>
          <cell r="J194" t="str">
            <v>X</v>
          </cell>
        </row>
        <row r="195">
          <cell r="A195" t="str">
            <v>3694-3006</v>
          </cell>
          <cell r="B195" t="str">
            <v>Papaye Intenzza/Siluet</v>
          </cell>
          <cell r="C195" t="str">
            <v>Grenade</v>
          </cell>
          <cell r="F195" t="str">
            <v>OFFRE</v>
          </cell>
          <cell r="G195">
            <v>3.96</v>
          </cell>
          <cell r="H195" t="str">
            <v>kg</v>
          </cell>
          <cell r="I195" t="str">
            <v>X</v>
          </cell>
          <cell r="J195" t="str">
            <v>X</v>
          </cell>
          <cell r="K195" t="str">
            <v>X</v>
          </cell>
        </row>
        <row r="196">
          <cell r="A196" t="str">
            <v>1015.133</v>
          </cell>
          <cell r="B196" t="str">
            <v>Patatate douce BIO avec défauts esthétiques 
    - (moyen)</v>
          </cell>
          <cell r="C196" t="str">
            <v>Malaga</v>
          </cell>
          <cell r="G196">
            <v>1.9</v>
          </cell>
          <cell r="H196" t="str">
            <v>kg</v>
          </cell>
          <cell r="I196" t="str">
            <v>X</v>
          </cell>
          <cell r="J196" t="str">
            <v>X</v>
          </cell>
          <cell r="K196" t="str">
            <v>X</v>
          </cell>
        </row>
        <row r="197">
          <cell r="A197">
            <v>1576</v>
          </cell>
          <cell r="B197" t="str">
            <v>Patate douce BIO (grand)</v>
          </cell>
          <cell r="C197" t="str">
            <v>Malaga</v>
          </cell>
          <cell r="F197" t="str">
            <v>❤️</v>
          </cell>
          <cell r="G197">
            <v>2.04</v>
          </cell>
          <cell r="H197" t="str">
            <v>kg</v>
          </cell>
          <cell r="I197" t="str">
            <v>X</v>
          </cell>
          <cell r="J197" t="str">
            <v>X</v>
          </cell>
          <cell r="K197" t="str">
            <v>X</v>
          </cell>
        </row>
        <row r="198">
          <cell r="A198" t="str">
            <v>1015.416</v>
          </cell>
          <cell r="B198" t="str">
            <v>Patate douce BIO (moyen)</v>
          </cell>
          <cell r="C198" t="str">
            <v>Malaga</v>
          </cell>
          <cell r="F198" t="str">
            <v>❤️</v>
          </cell>
          <cell r="G198">
            <v>2.59</v>
          </cell>
          <cell r="H198" t="str">
            <v>kg</v>
          </cell>
          <cell r="I198" t="str">
            <v>X</v>
          </cell>
          <cell r="J198" t="str">
            <v>X</v>
          </cell>
          <cell r="K198" t="str">
            <v>X</v>
          </cell>
        </row>
        <row r="199">
          <cell r="A199">
            <v>1761</v>
          </cell>
          <cell r="B199" t="str">
            <v>Patate douce Violette BIO (Moyenne, grande) Nouvelle récolte</v>
          </cell>
          <cell r="C199" t="str">
            <v>Malaga</v>
          </cell>
          <cell r="F199" t="str">
            <v>❤️</v>
          </cell>
          <cell r="G199">
            <v>3.41</v>
          </cell>
          <cell r="H199" t="str">
            <v>kg</v>
          </cell>
          <cell r="I199" t="str">
            <v>X</v>
          </cell>
          <cell r="J199" t="str">
            <v>X</v>
          </cell>
          <cell r="K199" t="str">
            <v>X</v>
          </cell>
        </row>
        <row r="200">
          <cell r="A200">
            <v>6179</v>
          </cell>
          <cell r="B200" t="str">
            <v>Pâte de Datte BIO</v>
          </cell>
          <cell r="C200" t="str">
            <v>Israël</v>
          </cell>
          <cell r="G200">
            <v>6.82</v>
          </cell>
          <cell r="H200" t="str">
            <v>kg</v>
          </cell>
          <cell r="I200" t="str">
            <v>X</v>
          </cell>
        </row>
        <row r="201">
          <cell r="A201">
            <v>6584</v>
          </cell>
          <cell r="B201" t="str">
            <v>Piment picant de la Vera BIO (env. 1kg)</v>
          </cell>
          <cell r="C201" t="str">
            <v>Sierra de Gredos</v>
          </cell>
          <cell r="G201">
            <v>16.41</v>
          </cell>
          <cell r="H201" t="str">
            <v>Pièce</v>
          </cell>
        </row>
        <row r="202">
          <cell r="A202">
            <v>3049</v>
          </cell>
          <cell r="B202" t="str">
            <v>Piment rouge Ramiro (doux)</v>
          </cell>
          <cell r="C202" t="str">
            <v>Grenade</v>
          </cell>
          <cell r="G202">
            <v>2.71</v>
          </cell>
          <cell r="H202" t="str">
            <v>kg</v>
          </cell>
          <cell r="I202" t="str">
            <v>X</v>
          </cell>
        </row>
        <row r="203">
          <cell r="A203">
            <v>3365</v>
          </cell>
          <cell r="B203" t="str">
            <v>Pistache avec coque 20/22 CRU</v>
          </cell>
          <cell r="C203" t="str">
            <v>National</v>
          </cell>
          <cell r="G203">
            <v>16.41</v>
          </cell>
          <cell r="H203" t="str">
            <v>Pièce</v>
          </cell>
        </row>
        <row r="204">
          <cell r="A204">
            <v>3365</v>
          </cell>
          <cell r="B204" t="str">
            <v>Pistache avec coque 20/22 CRU
    -  (env. 500 g.)</v>
          </cell>
          <cell r="C204" t="str">
            <v>National</v>
          </cell>
          <cell r="G204">
            <v>9.56</v>
          </cell>
          <cell r="H204" t="str">
            <v>Pièce</v>
          </cell>
        </row>
        <row r="205">
          <cell r="A205">
            <v>3615</v>
          </cell>
          <cell r="B205" t="str">
            <v>Pistache avec coque CRU (env. 1kg)</v>
          </cell>
          <cell r="C205" t="str">
            <v>Espagne</v>
          </cell>
          <cell r="F205" t="str">
            <v>❤️</v>
          </cell>
          <cell r="G205">
            <v>34.22</v>
          </cell>
          <cell r="H205" t="str">
            <v>Pièce</v>
          </cell>
        </row>
        <row r="206">
          <cell r="A206">
            <v>3615</v>
          </cell>
          <cell r="B206" t="str">
            <v>Pistache avec coque CRU (env. 500g)</v>
          </cell>
          <cell r="C206" t="str">
            <v>Espagne</v>
          </cell>
          <cell r="F206" t="str">
            <v>❤️</v>
          </cell>
          <cell r="G206">
            <v>17.78</v>
          </cell>
          <cell r="H206" t="str">
            <v>Pièce</v>
          </cell>
        </row>
        <row r="207">
          <cell r="A207">
            <v>3967</v>
          </cell>
          <cell r="B207" t="str">
            <v>Pitaya/Fruit du dragon (jaune à l'extérieur et pulpe blanche)</v>
          </cell>
          <cell r="C207" t="str">
            <v>Grenade</v>
          </cell>
          <cell r="G207">
            <v>9.3000000000000007</v>
          </cell>
          <cell r="H207" t="str">
            <v>kg</v>
          </cell>
        </row>
        <row r="208">
          <cell r="A208">
            <v>3043</v>
          </cell>
          <cell r="B208" t="str">
            <v xml:space="preserve">Poire Conférence  </v>
          </cell>
          <cell r="C208" t="str">
            <v>Espagne</v>
          </cell>
          <cell r="G208">
            <v>3</v>
          </cell>
          <cell r="H208" t="str">
            <v>kg</v>
          </cell>
          <cell r="I208" t="str">
            <v>X</v>
          </cell>
          <cell r="J208" t="str">
            <v>X</v>
          </cell>
        </row>
        <row r="209">
          <cell r="A209">
            <v>1123</v>
          </cell>
          <cell r="B209" t="str">
            <v>Poire Conférence BIO</v>
          </cell>
          <cell r="C209" t="str">
            <v>Espagne</v>
          </cell>
          <cell r="G209">
            <v>3.96</v>
          </cell>
          <cell r="H209" t="str">
            <v>kg</v>
          </cell>
          <cell r="I209" t="str">
            <v>X</v>
          </cell>
          <cell r="J209" t="str">
            <v>X</v>
          </cell>
        </row>
        <row r="210">
          <cell r="A210">
            <v>1535</v>
          </cell>
          <cell r="B210" t="str">
            <v>Poire déshydratée BIO</v>
          </cell>
          <cell r="C210" t="str">
            <v>Grenade</v>
          </cell>
          <cell r="G210">
            <v>22.59</v>
          </cell>
          <cell r="H210" t="str">
            <v>kg</v>
          </cell>
        </row>
        <row r="211">
          <cell r="A211">
            <v>1062</v>
          </cell>
          <cell r="B211" t="str">
            <v>Poireau BIO</v>
          </cell>
          <cell r="C211" t="str">
            <v>Malaga</v>
          </cell>
          <cell r="G211">
            <v>3.41</v>
          </cell>
          <cell r="H211" t="str">
            <v>kg</v>
          </cell>
          <cell r="I211" t="str">
            <v>X</v>
          </cell>
        </row>
        <row r="212">
          <cell r="A212">
            <v>3313</v>
          </cell>
          <cell r="B212" t="str">
            <v>Poivron mini en couleur (saveur sucrée)</v>
          </cell>
          <cell r="C212" t="str">
            <v>Grenade</v>
          </cell>
          <cell r="F212" t="str">
            <v>❤️</v>
          </cell>
          <cell r="G212">
            <v>3.14</v>
          </cell>
          <cell r="H212" t="str">
            <v>kg</v>
          </cell>
          <cell r="I212" t="str">
            <v>X</v>
          </cell>
          <cell r="J212" t="str">
            <v>X</v>
          </cell>
        </row>
        <row r="213">
          <cell r="A213">
            <v>3106</v>
          </cell>
          <cell r="B213" t="str">
            <v>Poivron rouge déshydraté
    - (production Rufino - env. 200g)</v>
          </cell>
          <cell r="C213" t="str">
            <v>Grenade</v>
          </cell>
          <cell r="G213">
            <v>4.08</v>
          </cell>
          <cell r="H213" t="str">
            <v>Pièce</v>
          </cell>
        </row>
        <row r="214">
          <cell r="A214">
            <v>1076</v>
          </cell>
          <cell r="B214" t="str">
            <v>Poivron vert italien BIO</v>
          </cell>
          <cell r="C214" t="str">
            <v>Malaga</v>
          </cell>
          <cell r="F214" t="str">
            <v>OFFRE</v>
          </cell>
          <cell r="G214">
            <v>3.14</v>
          </cell>
          <cell r="H214" t="str">
            <v>kg</v>
          </cell>
          <cell r="I214" t="str">
            <v>X</v>
          </cell>
        </row>
        <row r="215">
          <cell r="A215">
            <v>6041</v>
          </cell>
          <cell r="B215" t="str">
            <v>Polen Frais BIO (bocal 500g)</v>
          </cell>
          <cell r="C215" t="str">
            <v>Cordoue</v>
          </cell>
          <cell r="F215" t="str">
            <v>❤️</v>
          </cell>
          <cell r="G215">
            <v>17.78</v>
          </cell>
          <cell r="H215" t="str">
            <v>Pièce</v>
          </cell>
        </row>
        <row r="216">
          <cell r="A216" t="str">
            <v>1564</v>
          </cell>
          <cell r="B216" t="str">
            <v>Polen sec BIO (bocal 500g)</v>
          </cell>
          <cell r="C216" t="str">
            <v>Huelva</v>
          </cell>
          <cell r="F216" t="str">
            <v>❤️</v>
          </cell>
          <cell r="G216">
            <v>18.48</v>
          </cell>
          <cell r="H216" t="str">
            <v>Pièce</v>
          </cell>
        </row>
        <row r="217">
          <cell r="A217">
            <v>1986</v>
          </cell>
          <cell r="B217" t="str">
            <v>Pomme de terre nouvelle Hero BIO</v>
          </cell>
          <cell r="C217" t="str">
            <v>Malaga</v>
          </cell>
          <cell r="G217">
            <v>2.04</v>
          </cell>
          <cell r="H217" t="str">
            <v>kg</v>
          </cell>
          <cell r="I217" t="str">
            <v>X</v>
          </cell>
          <cell r="J217" t="str">
            <v>X</v>
          </cell>
        </row>
        <row r="218">
          <cell r="A218">
            <v>1147</v>
          </cell>
          <cell r="B218" t="str">
            <v>Pomme de terre rouge BIO</v>
          </cell>
          <cell r="C218" t="str">
            <v>Grenade</v>
          </cell>
          <cell r="G218">
            <v>2.3199999999999998</v>
          </cell>
          <cell r="H218" t="str">
            <v>kg</v>
          </cell>
          <cell r="I218" t="str">
            <v>X</v>
          </cell>
          <cell r="J218" t="str">
            <v>X</v>
          </cell>
        </row>
        <row r="219">
          <cell r="A219">
            <v>3750</v>
          </cell>
          <cell r="B219" t="str">
            <v>Pomme déshydratée
    - (production Rufino, env. 300g)</v>
          </cell>
          <cell r="C219" t="str">
            <v>Grenade</v>
          </cell>
          <cell r="G219">
            <v>7.52</v>
          </cell>
          <cell r="H219" t="str">
            <v>Pièce</v>
          </cell>
        </row>
        <row r="220">
          <cell r="A220">
            <v>3478</v>
          </cell>
          <cell r="B220" t="str">
            <v>pomme Fuji</v>
          </cell>
          <cell r="C220" t="str">
            <v>National</v>
          </cell>
          <cell r="G220">
            <v>2.86</v>
          </cell>
          <cell r="H220" t="str">
            <v>kg</v>
          </cell>
          <cell r="I220" t="str">
            <v>X</v>
          </cell>
          <cell r="J220" t="str">
            <v>X</v>
          </cell>
        </row>
        <row r="221">
          <cell r="A221" t="str">
            <v>5124-3852</v>
          </cell>
          <cell r="B221" t="str">
            <v>Pomme Golden</v>
          </cell>
          <cell r="C221" t="str">
            <v>Grenade</v>
          </cell>
          <cell r="G221">
            <v>2.1800000000000002</v>
          </cell>
          <cell r="H221" t="str">
            <v>kg</v>
          </cell>
          <cell r="I221" t="str">
            <v>X</v>
          </cell>
          <cell r="J221" t="str">
            <v>X</v>
          </cell>
          <cell r="K221" t="str">
            <v>X</v>
          </cell>
        </row>
        <row r="222">
          <cell r="A222">
            <v>3973</v>
          </cell>
          <cell r="B222" t="str">
            <v>Pomme Granny Smith</v>
          </cell>
          <cell r="C222" t="str">
            <v>Grenade</v>
          </cell>
          <cell r="G222">
            <v>2.04</v>
          </cell>
          <cell r="H222" t="str">
            <v>kg</v>
          </cell>
          <cell r="I222" t="str">
            <v>X</v>
          </cell>
          <cell r="J222" t="str">
            <v>X</v>
          </cell>
          <cell r="K222" t="str">
            <v>X</v>
          </cell>
        </row>
        <row r="223">
          <cell r="A223">
            <v>3706</v>
          </cell>
          <cell r="B223" t="str">
            <v>Pomme Reineta</v>
          </cell>
          <cell r="C223" t="str">
            <v>National</v>
          </cell>
          <cell r="G223">
            <v>4.08</v>
          </cell>
          <cell r="H223" t="str">
            <v>kg</v>
          </cell>
          <cell r="I223" t="str">
            <v>X</v>
          </cell>
        </row>
        <row r="224">
          <cell r="A224">
            <v>3145</v>
          </cell>
          <cell r="B224" t="str">
            <v>Pomme rouge Starky</v>
          </cell>
          <cell r="C224" t="str">
            <v>Grenade</v>
          </cell>
          <cell r="F224" t="str">
            <v>❤️</v>
          </cell>
          <cell r="G224">
            <v>2.1800000000000002</v>
          </cell>
          <cell r="H224" t="str">
            <v>kg</v>
          </cell>
          <cell r="I224" t="str">
            <v>X</v>
          </cell>
          <cell r="J224" t="str">
            <v>X</v>
          </cell>
          <cell r="K224" t="str">
            <v>X</v>
          </cell>
        </row>
        <row r="225">
          <cell r="A225">
            <v>5149</v>
          </cell>
          <cell r="B225" t="str">
            <v>Pomme rouge Top Red</v>
          </cell>
          <cell r="C225" t="str">
            <v>Grenade</v>
          </cell>
          <cell r="G225">
            <v>2.4500000000000002</v>
          </cell>
          <cell r="H225" t="str">
            <v>kg</v>
          </cell>
          <cell r="I225" t="str">
            <v>X</v>
          </cell>
        </row>
        <row r="226">
          <cell r="A226">
            <v>3876</v>
          </cell>
          <cell r="B226" t="str">
            <v>Pomme verte Doncella</v>
          </cell>
          <cell r="C226" t="str">
            <v>Grenade</v>
          </cell>
          <cell r="G226">
            <v>2.4500000000000002</v>
          </cell>
          <cell r="H226" t="str">
            <v>kg</v>
          </cell>
          <cell r="I226" t="str">
            <v>X</v>
          </cell>
          <cell r="J226" t="str">
            <v>X</v>
          </cell>
        </row>
        <row r="227">
          <cell r="A227">
            <v>1825</v>
          </cell>
          <cell r="B227" t="str">
            <v>Quinoa blanc BIO</v>
          </cell>
          <cell r="C227" t="str">
            <v>Import</v>
          </cell>
          <cell r="G227">
            <v>9.0299999999999994</v>
          </cell>
          <cell r="H227" t="str">
            <v>kg</v>
          </cell>
          <cell r="I227" t="str">
            <v>X</v>
          </cell>
        </row>
        <row r="228">
          <cell r="A228">
            <v>3824</v>
          </cell>
          <cell r="B228" t="str">
            <v>Radis Daikon</v>
          </cell>
          <cell r="C228" t="str">
            <v>Espagne</v>
          </cell>
          <cell r="F228" t="str">
            <v>❤️</v>
          </cell>
          <cell r="G228">
            <v>2.4500000000000002</v>
          </cell>
          <cell r="H228" t="str">
            <v>kg</v>
          </cell>
          <cell r="I228" t="str">
            <v>X</v>
          </cell>
        </row>
        <row r="229">
          <cell r="A229">
            <v>1073</v>
          </cell>
          <cell r="B229" t="str">
            <v>Raisin sec Sultana BIO
    - (env. 1kg)</v>
          </cell>
          <cell r="C229" t="str">
            <v>Turquie</v>
          </cell>
          <cell r="F229" t="str">
            <v>❤️</v>
          </cell>
          <cell r="G229">
            <v>6.82</v>
          </cell>
          <cell r="H229" t="str">
            <v>Pièce</v>
          </cell>
          <cell r="I229" t="str">
            <v>X</v>
          </cell>
          <cell r="J229" t="str">
            <v>X</v>
          </cell>
        </row>
        <row r="230">
          <cell r="A230">
            <v>3752</v>
          </cell>
          <cell r="B230" t="str">
            <v>Raisins semi -secs Muscat en grains 
    - séchage passif naturel (env. 500g)</v>
          </cell>
          <cell r="C230" t="str">
            <v>Malaga</v>
          </cell>
          <cell r="F230" t="str">
            <v>❤️</v>
          </cell>
          <cell r="G230">
            <v>5.88</v>
          </cell>
          <cell r="H230" t="str">
            <v>Pièce</v>
          </cell>
        </row>
        <row r="231">
          <cell r="A231">
            <v>1694</v>
          </cell>
          <cell r="B231" t="str">
            <v>Reishi en poudre CRU BIO (env. 200g)</v>
          </cell>
          <cell r="C231" t="str">
            <v>Import</v>
          </cell>
          <cell r="G231">
            <v>20.52</v>
          </cell>
          <cell r="H231" t="str">
            <v>Pièce</v>
          </cell>
          <cell r="I231" t="str">
            <v>X</v>
          </cell>
        </row>
        <row r="232">
          <cell r="A232">
            <v>3713</v>
          </cell>
          <cell r="B232" t="str">
            <v>Sel rose de l'Himalaya moulu
    - (sous vide, env. 1kg)</v>
          </cell>
          <cell r="C232" t="str">
            <v>Pakistan</v>
          </cell>
          <cell r="F232" t="str">
            <v>❤️</v>
          </cell>
          <cell r="G232">
            <v>2.71</v>
          </cell>
          <cell r="H232" t="str">
            <v>kg</v>
          </cell>
          <cell r="I232" t="str">
            <v>X</v>
          </cell>
        </row>
        <row r="233">
          <cell r="A233">
            <v>1358</v>
          </cell>
          <cell r="B233" t="str">
            <v>Sésame CRU BIO (env. 1kg)</v>
          </cell>
          <cell r="C233" t="str">
            <v>Paraguay
Egypte</v>
          </cell>
          <cell r="F233" t="str">
            <v>❤️</v>
          </cell>
          <cell r="G233">
            <v>6.82</v>
          </cell>
          <cell r="H233" t="str">
            <v>Pièce</v>
          </cell>
          <cell r="I233" t="str">
            <v>X</v>
          </cell>
        </row>
        <row r="234">
          <cell r="A234">
            <v>1860</v>
          </cell>
          <cell r="B234" t="str">
            <v>Souchet BIO (env. 1kg)</v>
          </cell>
          <cell r="C234" t="str">
            <v>Import</v>
          </cell>
          <cell r="F234" t="str">
            <v>❤️</v>
          </cell>
          <cell r="G234">
            <v>8.19</v>
          </cell>
          <cell r="H234" t="str">
            <v>Pièce</v>
          </cell>
          <cell r="I234" t="str">
            <v>X</v>
          </cell>
          <cell r="J234" t="str">
            <v>X</v>
          </cell>
        </row>
        <row r="235">
          <cell r="A235">
            <v>1496</v>
          </cell>
          <cell r="B235" t="str">
            <v>Spaguetti de mer déshydraté BIO (env. 1kg)</v>
          </cell>
          <cell r="C235" t="str">
            <v>Galice</v>
          </cell>
          <cell r="F235" t="str">
            <v>❤️</v>
          </cell>
          <cell r="G235">
            <v>37.659999999999997</v>
          </cell>
          <cell r="H235" t="str">
            <v>Pièce</v>
          </cell>
        </row>
        <row r="236">
          <cell r="A236">
            <v>1496</v>
          </cell>
          <cell r="B236" t="str">
            <v>Spaguetti de mer déshydraté BIO (env. 500g)</v>
          </cell>
          <cell r="C236" t="str">
            <v>Galice</v>
          </cell>
          <cell r="F236" t="str">
            <v>❤️</v>
          </cell>
          <cell r="G236">
            <v>19.579999999999998</v>
          </cell>
          <cell r="H236" t="str">
            <v>Pièce</v>
          </cell>
        </row>
        <row r="237">
          <cell r="A237">
            <v>1612</v>
          </cell>
          <cell r="B237" t="str">
            <v>Spiruline en poudre BIO (env. 1kg)</v>
          </cell>
          <cell r="C237" t="str">
            <v>Inde</v>
          </cell>
          <cell r="F237" t="str">
            <v>❤️</v>
          </cell>
          <cell r="G237">
            <v>34.22</v>
          </cell>
          <cell r="H237" t="str">
            <v>Pièce</v>
          </cell>
        </row>
        <row r="238">
          <cell r="A238">
            <v>3931</v>
          </cell>
          <cell r="B238" t="str">
            <v>Sucre de canne à sucre (env. 550g, bocal en verre)</v>
          </cell>
          <cell r="C238" t="str">
            <v>National</v>
          </cell>
          <cell r="G238">
            <v>5.0599999999999996</v>
          </cell>
          <cell r="H238" t="str">
            <v>Pièce</v>
          </cell>
        </row>
        <row r="239">
          <cell r="A239">
            <v>1575</v>
          </cell>
          <cell r="B239" t="str">
            <v>Sucre de coco BIO (env. 1kg)</v>
          </cell>
          <cell r="C239" t="str">
            <v>Indonésie</v>
          </cell>
          <cell r="F239" t="str">
            <v>❤️</v>
          </cell>
          <cell r="G239">
            <v>11.91</v>
          </cell>
          <cell r="H239" t="str">
            <v>Pièce</v>
          </cell>
          <cell r="I239" t="str">
            <v>X</v>
          </cell>
        </row>
        <row r="240">
          <cell r="A240">
            <v>6110</v>
          </cell>
          <cell r="B240" t="str">
            <v>Tomate déshydratée en lamelle fine CRU BIO (env. 1kg, 35ºC, qualité supérieure)</v>
          </cell>
          <cell r="C240" t="str">
            <v>Espagne</v>
          </cell>
          <cell r="F240" t="str">
            <v>❤️</v>
          </cell>
          <cell r="G240">
            <v>32.85</v>
          </cell>
          <cell r="H240" t="str">
            <v>Pièce</v>
          </cell>
        </row>
        <row r="241">
          <cell r="A241">
            <v>6110</v>
          </cell>
          <cell r="B241" t="str">
            <v>Tomate déshydratée en lamelle fine CRU BIO (env. 200g, 35ºC, qualité supérieure)</v>
          </cell>
          <cell r="C241" t="str">
            <v>Espagne</v>
          </cell>
          <cell r="F241" t="str">
            <v>❤️</v>
          </cell>
          <cell r="G241">
            <v>7.25</v>
          </cell>
          <cell r="H241" t="str">
            <v>Pièce</v>
          </cell>
        </row>
        <row r="242">
          <cell r="A242" t="str">
            <v>3870- 3828- 3890</v>
          </cell>
          <cell r="B242" t="str">
            <v>Tomate Raf (Puri) rayée noire</v>
          </cell>
          <cell r="C242" t="str">
            <v>Grenade</v>
          </cell>
          <cell r="G242">
            <v>3.14</v>
          </cell>
          <cell r="H242" t="str">
            <v>kg</v>
          </cell>
          <cell r="I242" t="str">
            <v>X</v>
          </cell>
          <cell r="J242" t="str">
            <v>X</v>
          </cell>
        </row>
        <row r="243">
          <cell r="A243">
            <v>3783</v>
          </cell>
          <cell r="B243" t="str">
            <v>Xylitol (sucre de bouleau) (env. 1kg)</v>
          </cell>
          <cell r="C243" t="str">
            <v>Pérou</v>
          </cell>
          <cell r="G243">
            <v>24.63</v>
          </cell>
          <cell r="H243" t="str">
            <v>Pièce</v>
          </cell>
          <cell r="I243" t="str">
            <v>X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6B6BE79-8113-4D96-A35F-D29B43EF0C20}" name="Tableau4" displayName="Tableau4" ref="B9:F10" insertRow="1" totalsRowShown="0" dataDxfId="126" tableBorderDxfId="125">
  <autoFilter ref="B9:F10" xr:uid="{5A90F09D-1587-42B4-B0CA-779D97F86391}"/>
  <tableColumns count="5">
    <tableColumn id="1" xr3:uid="{161C9312-DDE7-4B10-B6CA-7424FD978E96}" name="CODE" dataDxfId="124"/>
    <tableColumn id="2" xr3:uid="{A1ED327A-62F0-43A5-8BB3-B1C75128CE21}" name="DESIGNATION" dataDxfId="123"/>
    <tableColumn id="3" xr3:uid="{8CA943E5-7C0D-46C3-AA08-C32135D57173}" name="UNITE" dataDxfId="122"/>
    <tableColumn id="4" xr3:uid="{C70D7847-3821-4D16-AD86-08FEBF46E5E1}" name="QTE" dataDxfId="121"/>
    <tableColumn id="5" xr3:uid="{C9330A21-0ED9-46F0-B3F5-39FEA7130357}" name="PRIX" dataDxfId="120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D119420-E72B-45A0-A05A-9A60064049E7}" name="Tableau46" displayName="Tableau46" ref="B9:F10" insertRow="1" totalsRowShown="0" dataDxfId="119" tableBorderDxfId="118">
  <autoFilter ref="B9:F10" xr:uid="{5A90F09D-1587-42B4-B0CA-779D97F86391}"/>
  <tableColumns count="5">
    <tableColumn id="1" xr3:uid="{FCA62C4F-F7EA-487B-9FA4-8EAE07F89E33}" name="CODE" dataDxfId="117"/>
    <tableColumn id="2" xr3:uid="{D25B4304-5B96-4FEF-BEBE-B7F07158F08B}" name="DESIGNATION" dataDxfId="116"/>
    <tableColumn id="3" xr3:uid="{1CE85522-7FED-4BF0-83DA-6FE2F110A223}" name="UNITE" dataDxfId="115"/>
    <tableColumn id="4" xr3:uid="{AB0FFBAB-213E-4E94-A3FB-251BD24AB8CA}" name="QTE" dataDxfId="114"/>
    <tableColumn id="5" xr3:uid="{3EDB9888-6C2C-451B-83FE-5634C493046A}" name="PRIX" dataDxfId="113"/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F6EA612C-2358-4008-91BB-0B94AC4C0416}" name="Tableau3" displayName="Tableau3" ref="A1:L251" totalsRowShown="0" headerRowDxfId="112" dataDxfId="111">
  <autoFilter ref="A1:L251" xr:uid="{CBFE9A73-A3D6-4BA0-A4E5-7A3FB2698319}"/>
  <sortState xmlns:xlrd2="http://schemas.microsoft.com/office/spreadsheetml/2017/richdata2" ref="A2:L251">
    <sortCondition ref="B1:B251"/>
  </sortState>
  <tableColumns count="12">
    <tableColumn id="1" xr3:uid="{239A462E-876B-4A16-811F-23316B882245}" name="CODE" dataDxfId="110"/>
    <tableColumn id="2" xr3:uid="{1AEDBBCF-B969-4BF3-B02E-64C46A23AD59}" name="DESIGNATION" dataDxfId="109"/>
    <tableColumn id="3" xr3:uid="{4EA59147-749C-4468-9B7B-4B4C9BBD75F5}" name="ORIGINE" dataDxfId="108"/>
    <tableColumn id="4" xr3:uid="{585E701F-252D-430B-B33D-35A060232053}" name="PRODUCTO" dataDxfId="107"/>
    <tableColumn id="5" xr3:uid="{BF762DE2-2875-4434-9FD8-5D34C4701DC5}" name="ORIGEN" dataDxfId="106"/>
    <tableColumn id="14" xr3:uid="{C630E999-3D2A-48BF-A595-13C941E3AA4D}" name="INFO" dataDxfId="105"/>
    <tableColumn id="6" xr3:uid="{63CBA093-A0CF-42D1-8680-E35812F05A60}" name="PRIX_x000a_(sans FDP)" dataDxfId="104"/>
    <tableColumn id="9" xr3:uid="{D1A6CE2E-8DA8-46AE-B77F-3B2DDB8812A5}" name="UNITÉ" dataDxfId="103" dataCellStyle="Euro"/>
    <tableColumn id="10" xr3:uid="{46004EA1-DE5E-40BC-8A28-C643E5A540E3}" name="10kg" dataDxfId="102"/>
    <tableColumn id="11" xr3:uid="{F1DD5222-A015-46A4-B4E7-21D19F188CA5}" name="30kg" dataDxfId="101"/>
    <tableColumn id="16" xr3:uid="{19EB7FC2-278F-4573-835E-468B5744FEAB}" name="60kg" dataDxfId="100"/>
    <tableColumn id="7" xr3:uid="{97077F7B-9CC3-4B5D-A442-AF96610D1326}" name="5kg_x000a_Min" dataDxfId="99"/>
  </tableColumns>
  <tableStyleInfo name="TableStyleMedium1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au1" displayName="Tableau1" ref="A2:D111">
  <autoFilter ref="A2:D111" xr:uid="{00000000-0009-0000-0100-000001000000}"/>
  <tableColumns count="4">
    <tableColumn id="1" xr3:uid="{00000000-0010-0000-0000-000001000000}" name="NOM" dataDxfId="98"/>
    <tableColumn id="2" xr3:uid="{00000000-0010-0000-0000-000002000000}" name="DPT" dataDxfId="97"/>
    <tableColumn id="3" xr3:uid="{00000000-0010-0000-0000-000003000000}" name="1 à 100 kg" dataDxfId="96"/>
    <tableColumn id="4" xr3:uid="{00000000-0010-0000-0000-000004000000}" name="101 à 200 kg" dataDxfId="95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au2" displayName="Tableau2" ref="A2:C101">
  <autoFilter ref="A2:C101" xr:uid="{00000000-0009-0000-0100-000002000000}"/>
  <tableColumns count="3">
    <tableColumn id="1" xr3:uid="{00000000-0010-0000-0100-000001000000}" name="NOM" dataDxfId="94"/>
    <tableColumn id="2" xr3:uid="{00000000-0010-0000-0100-000002000000}" name="DPT" dataDxfId="93"/>
    <tableColumn id="3" xr3:uid="{00000000-0010-0000-0100-000003000000}" name="1 à 1 pal" dataDxfId="9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/>
        </a:gradFill>
        <a:gradFill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7805D-9BD8-412A-95C7-95DBEF964561}">
  <sheetPr codeName="Feuil7" filterMode="1">
    <tabColor rgb="FFC00000"/>
  </sheetPr>
  <dimension ref="A1:EP264"/>
  <sheetViews>
    <sheetView showGridLines="0" zoomScale="80" zoomScaleNormal="80" workbookViewId="0">
      <pane xSplit="47" ySplit="11" topLeftCell="AV12" activePane="bottomRight" state="frozen"/>
      <selection pane="topRight" activeCell="CA13" sqref="CA13"/>
      <selection pane="bottomLeft" activeCell="CA13" sqref="CA13"/>
      <selection pane="bottomRight" activeCell="AA44" sqref="AA44"/>
    </sheetView>
  </sheetViews>
  <sheetFormatPr baseColWidth="10" defaultColWidth="0" defaultRowHeight="11.25" zeroHeight="1" outlineLevelRow="1" outlineLevelCol="1"/>
  <cols>
    <col min="1" max="20" width="5.7109375" style="551" hidden="1" customWidth="1" outlineLevel="1"/>
    <col min="21" max="21" width="6.42578125" style="551" customWidth="1" collapsed="1"/>
    <col min="22" max="22" width="11.28515625" style="556" customWidth="1"/>
    <col min="23" max="23" width="30.85546875" style="550" customWidth="1"/>
    <col min="24" max="24" width="5.85546875" style="555" customWidth="1"/>
    <col min="25" max="25" width="9.140625" style="554" hidden="1" customWidth="1" outlineLevel="1"/>
    <col min="26" max="26" width="9.42578125" style="554" customWidth="1" collapsed="1"/>
    <col min="27" max="27" width="7.85546875" style="554" customWidth="1"/>
    <col min="28" max="30" width="7.7109375" style="554" hidden="1" customWidth="1" outlineLevel="1"/>
    <col min="31" max="31" width="7.7109375" style="554" hidden="1" customWidth="1" outlineLevel="1" collapsed="1"/>
    <col min="32" max="33" width="7.7109375" style="554" hidden="1" customWidth="1" outlineLevel="1"/>
    <col min="34" max="34" width="10.140625" style="551" customWidth="1" collapsed="1"/>
    <col min="35" max="35" width="8.85546875" style="552" customWidth="1" outlineLevel="1"/>
    <col min="36" max="36" width="10.85546875" style="553" customWidth="1" outlineLevel="1"/>
    <col min="37" max="37" width="9.28515625" style="552" customWidth="1" outlineLevel="1"/>
    <col min="38" max="38" width="2.7109375" style="552" customWidth="1"/>
    <col min="39" max="39" width="7.85546875" style="552" customWidth="1" outlineLevel="1"/>
    <col min="40" max="40" width="11" style="552" customWidth="1" outlineLevel="1"/>
    <col min="41" max="41" width="9.28515625" style="552" customWidth="1" outlineLevel="1"/>
    <col min="42" max="43" width="3.7109375" style="552" customWidth="1" outlineLevel="1"/>
    <col min="44" max="44" width="2.7109375" style="552" customWidth="1"/>
    <col min="45" max="45" width="7.85546875" style="552" customWidth="1" outlineLevel="1"/>
    <col min="46" max="46" width="9.42578125" style="552" customWidth="1" outlineLevel="1"/>
    <col min="47" max="47" width="8.28515625" style="552" customWidth="1" outlineLevel="1"/>
    <col min="48" max="48" width="5.7109375" style="551" customWidth="1"/>
    <col min="49" max="50" width="8.7109375" style="551" customWidth="1"/>
    <col min="51" max="51" width="5.7109375" style="551" customWidth="1"/>
    <col min="52" max="53" width="8.7109375" style="551" customWidth="1"/>
    <col min="54" max="54" width="5.7109375" style="551" customWidth="1"/>
    <col min="55" max="56" width="8.7109375" style="551" customWidth="1"/>
    <col min="57" max="57" width="5.7109375" style="551" customWidth="1"/>
    <col min="58" max="59" width="8.7109375" style="551" customWidth="1"/>
    <col min="60" max="60" width="5.7109375" style="551" customWidth="1"/>
    <col min="61" max="62" width="8.7109375" style="551" customWidth="1"/>
    <col min="63" max="63" width="5.7109375" style="551" customWidth="1"/>
    <col min="64" max="65" width="8.7109375" style="551" customWidth="1"/>
    <col min="66" max="66" width="5.7109375" style="551" customWidth="1"/>
    <col min="67" max="68" width="8.7109375" style="551" customWidth="1"/>
    <col min="69" max="69" width="5.7109375" style="551" customWidth="1"/>
    <col min="70" max="71" width="8.7109375" style="551" customWidth="1"/>
    <col min="72" max="72" width="5.7109375" style="551" customWidth="1"/>
    <col min="73" max="74" width="8.7109375" style="551" customWidth="1"/>
    <col min="75" max="75" width="5.7109375" style="551" customWidth="1"/>
    <col min="76" max="77" width="8.7109375" style="551" customWidth="1"/>
    <col min="78" max="78" width="5.7109375" style="551" customWidth="1"/>
    <col min="79" max="80" width="8.7109375" style="551" customWidth="1"/>
    <col min="81" max="81" width="5.7109375" style="551" customWidth="1"/>
    <col min="82" max="83" width="8.7109375" style="551" customWidth="1"/>
    <col min="84" max="84" width="5.7109375" style="551" customWidth="1"/>
    <col min="85" max="86" width="8.7109375" style="551" customWidth="1"/>
    <col min="87" max="87" width="5.7109375" style="551" customWidth="1"/>
    <col min="88" max="89" width="8.7109375" style="551" customWidth="1"/>
    <col min="90" max="90" width="5.7109375" style="551" customWidth="1"/>
    <col min="91" max="92" width="8.7109375" style="551" customWidth="1"/>
    <col min="93" max="93" width="5.7109375" style="551" customWidth="1"/>
    <col min="94" max="95" width="8.7109375" style="551" customWidth="1"/>
    <col min="96" max="96" width="5.7109375" style="551" customWidth="1"/>
    <col min="97" max="98" width="8.7109375" style="551" customWidth="1"/>
    <col min="99" max="99" width="5.7109375" style="551" customWidth="1"/>
    <col min="100" max="101" width="8.7109375" style="551" customWidth="1"/>
    <col min="102" max="102" width="5.7109375" style="551" customWidth="1"/>
    <col min="103" max="104" width="8.7109375" style="551" customWidth="1"/>
    <col min="105" max="105" width="5.7109375" style="551" customWidth="1"/>
    <col min="106" max="107" width="8.7109375" style="551" customWidth="1"/>
    <col min="108" max="108" width="8.7109375" style="551" hidden="1" customWidth="1"/>
    <col min="109" max="109" width="15.85546875" style="551" customWidth="1"/>
    <col min="110" max="146" width="0" style="550" hidden="1" customWidth="1"/>
    <col min="147" max="16384" width="11.42578125" style="550" hidden="1"/>
  </cols>
  <sheetData>
    <row r="1" spans="1:111" ht="39.950000000000003" customHeight="1" outlineLevel="1">
      <c r="U1" s="726" t="s">
        <v>760</v>
      </c>
      <c r="V1" s="725"/>
      <c r="W1" s="725"/>
      <c r="X1" s="725"/>
      <c r="Y1" s="725"/>
      <c r="Z1" s="725"/>
      <c r="AA1" s="725"/>
      <c r="AB1" s="725"/>
      <c r="AC1" s="725"/>
      <c r="AD1" s="725"/>
      <c r="AE1" s="725"/>
      <c r="AF1" s="725"/>
      <c r="AG1" s="725"/>
      <c r="AH1" s="724"/>
      <c r="AI1" s="723"/>
      <c r="AJ1" s="723"/>
      <c r="AK1" s="723"/>
      <c r="AL1" s="722"/>
      <c r="AM1" s="697"/>
      <c r="AN1" s="696"/>
      <c r="AO1" s="695"/>
      <c r="AP1" s="694"/>
      <c r="AQ1" s="694"/>
      <c r="AR1" s="722"/>
      <c r="AS1" s="673"/>
      <c r="AT1" s="672"/>
      <c r="AU1" s="715"/>
      <c r="AV1" s="721"/>
      <c r="AW1" s="721"/>
      <c r="AX1" s="721"/>
      <c r="AY1" s="721"/>
      <c r="AZ1" s="710"/>
      <c r="BA1" s="524"/>
      <c r="BB1" s="524"/>
      <c r="BC1" s="524"/>
      <c r="BD1" s="524"/>
      <c r="BE1" s="524"/>
      <c r="BF1" s="524"/>
      <c r="BG1" s="524"/>
      <c r="BH1" s="524"/>
      <c r="BI1" s="524"/>
      <c r="BJ1" s="524"/>
      <c r="BK1" s="524"/>
      <c r="BL1" s="524"/>
      <c r="BM1" s="524"/>
      <c r="BN1" s="524"/>
      <c r="BO1" s="524"/>
      <c r="BP1" s="524"/>
      <c r="BQ1" s="524"/>
      <c r="BR1" s="524"/>
      <c r="BS1" s="524"/>
      <c r="BT1" s="524"/>
      <c r="BU1" s="524"/>
      <c r="BV1" s="524"/>
      <c r="BW1" s="524"/>
      <c r="BX1" s="524"/>
      <c r="BY1" s="524"/>
      <c r="BZ1" s="524"/>
      <c r="CA1" s="524"/>
      <c r="CB1" s="524"/>
      <c r="CC1" s="524"/>
      <c r="CD1" s="524"/>
      <c r="CE1" s="524"/>
      <c r="CF1" s="524"/>
      <c r="CG1" s="524"/>
      <c r="CH1" s="524"/>
      <c r="CI1" s="524"/>
      <c r="CJ1" s="524"/>
      <c r="CK1" s="524"/>
      <c r="CL1" s="524"/>
      <c r="CM1" s="524"/>
      <c r="CN1" s="524"/>
      <c r="CO1" s="525"/>
      <c r="CP1" s="525"/>
      <c r="CQ1" s="525"/>
      <c r="CR1" s="525"/>
      <c r="CS1" s="525"/>
      <c r="CT1" s="525"/>
      <c r="CU1" s="525"/>
      <c r="CV1" s="525"/>
      <c r="CW1" s="525"/>
      <c r="CX1" s="525"/>
      <c r="CY1" s="525"/>
      <c r="CZ1" s="525"/>
      <c r="DA1" s="525"/>
      <c r="DB1" s="525"/>
      <c r="DC1" s="525"/>
      <c r="DD1" s="525"/>
      <c r="DE1" s="683"/>
    </row>
    <row r="2" spans="1:111" ht="20.100000000000001" customHeight="1" outlineLevel="1">
      <c r="U2" s="639" t="s">
        <v>39</v>
      </c>
      <c r="V2" s="639"/>
      <c r="W2" s="654" t="s">
        <v>761</v>
      </c>
      <c r="X2" s="720">
        <f>[1]COMMANDE!E2</f>
        <v>45</v>
      </c>
      <c r="Y2" s="719"/>
      <c r="Z2" s="719"/>
      <c r="AA2" s="719"/>
      <c r="AB2" s="719"/>
      <c r="AC2" s="719"/>
      <c r="AD2" s="719"/>
      <c r="AE2" s="719"/>
      <c r="AF2" s="719"/>
      <c r="AG2" s="719"/>
      <c r="AH2" s="718"/>
      <c r="AI2" s="717" t="s">
        <v>762</v>
      </c>
      <c r="AJ2" s="716"/>
      <c r="AK2" s="716"/>
      <c r="AL2" s="594"/>
      <c r="AM2" s="697"/>
      <c r="AN2" s="696"/>
      <c r="AO2" s="695"/>
      <c r="AP2" s="694"/>
      <c r="AQ2" s="694"/>
      <c r="AR2" s="594"/>
      <c r="AS2" s="673"/>
      <c r="AT2" s="672"/>
      <c r="AU2" s="715"/>
      <c r="AV2" s="714"/>
      <c r="AW2" s="713"/>
      <c r="AX2" s="712"/>
      <c r="AY2" s="711"/>
      <c r="AZ2" s="710"/>
      <c r="BA2" s="525"/>
      <c r="BB2" s="525"/>
      <c r="BC2" s="525"/>
      <c r="BD2" s="525"/>
      <c r="BE2" s="525"/>
      <c r="BF2" s="525"/>
      <c r="BG2" s="525"/>
      <c r="BH2" s="525"/>
      <c r="BI2" s="525"/>
      <c r="BJ2" s="525"/>
      <c r="BK2" s="525"/>
      <c r="BL2" s="525"/>
      <c r="BM2" s="525"/>
      <c r="BN2" s="525"/>
      <c r="BO2" s="525"/>
      <c r="BP2" s="525"/>
      <c r="BQ2" s="525"/>
      <c r="BR2" s="525"/>
      <c r="BS2" s="525"/>
      <c r="BT2" s="525"/>
      <c r="BU2" s="525"/>
      <c r="BV2" s="525"/>
      <c r="BW2" s="525"/>
      <c r="BX2" s="525"/>
      <c r="BY2" s="525"/>
      <c r="BZ2" s="525"/>
      <c r="CA2" s="525"/>
      <c r="CB2" s="525"/>
      <c r="CC2" s="525"/>
      <c r="CD2" s="525"/>
      <c r="CE2" s="525"/>
      <c r="CF2" s="525"/>
      <c r="CG2" s="525"/>
      <c r="CH2" s="525"/>
      <c r="CI2" s="525"/>
      <c r="CJ2" s="525"/>
      <c r="CK2" s="525"/>
      <c r="CL2" s="525"/>
      <c r="CM2" s="525"/>
      <c r="CN2" s="525"/>
      <c r="CO2" s="525"/>
      <c r="CP2" s="525"/>
      <c r="CQ2" s="525"/>
      <c r="CR2" s="525"/>
      <c r="CS2" s="525"/>
      <c r="CT2" s="525"/>
      <c r="CU2" s="525"/>
      <c r="CV2" s="525"/>
      <c r="CW2" s="525"/>
      <c r="CX2" s="525"/>
      <c r="CY2" s="525"/>
      <c r="CZ2" s="525"/>
      <c r="DA2" s="525"/>
      <c r="DB2" s="525"/>
      <c r="DC2" s="525"/>
      <c r="DD2" s="525"/>
      <c r="DE2" s="683"/>
    </row>
    <row r="3" spans="1:111" ht="20.100000000000001" customHeight="1" outlineLevel="1">
      <c r="U3" s="639"/>
      <c r="V3" s="639"/>
      <c r="W3" s="654" t="s">
        <v>763</v>
      </c>
      <c r="X3" s="693" t="str">
        <f>[1]COMMANDE!E3</f>
        <v>Lilian GITTON</v>
      </c>
      <c r="Y3" s="692"/>
      <c r="Z3" s="692"/>
      <c r="AA3" s="692"/>
      <c r="AB3" s="692"/>
      <c r="AC3" s="692"/>
      <c r="AD3" s="692"/>
      <c r="AE3" s="692"/>
      <c r="AF3" s="692"/>
      <c r="AG3" s="692"/>
      <c r="AH3" s="691"/>
      <c r="AI3" s="709"/>
      <c r="AJ3" s="708"/>
      <c r="AK3" s="708"/>
      <c r="AL3" s="594"/>
      <c r="AM3" s="697"/>
      <c r="AN3" s="696"/>
      <c r="AO3" s="695"/>
      <c r="AP3" s="694"/>
      <c r="AQ3" s="694"/>
      <c r="AR3" s="594"/>
      <c r="AS3" s="673"/>
      <c r="AT3" s="672"/>
      <c r="AU3" s="671"/>
      <c r="AV3" s="704" t="s">
        <v>59</v>
      </c>
      <c r="AW3" s="703"/>
      <c r="AX3" s="702"/>
      <c r="AY3" s="701"/>
      <c r="AZ3" s="701"/>
      <c r="BA3" s="701"/>
      <c r="BB3" s="701"/>
      <c r="BC3" s="701"/>
      <c r="BD3" s="701"/>
      <c r="BE3" s="701"/>
      <c r="BF3" s="701"/>
      <c r="BG3" s="701"/>
      <c r="BH3" s="701"/>
      <c r="BI3" s="701"/>
      <c r="BJ3" s="701"/>
      <c r="BK3" s="701"/>
      <c r="BL3" s="701"/>
      <c r="BM3" s="701"/>
      <c r="BN3" s="701"/>
      <c r="BO3" s="701"/>
      <c r="BP3" s="701"/>
      <c r="BQ3" s="701"/>
      <c r="BR3" s="701"/>
      <c r="BS3" s="701"/>
      <c r="BT3" s="701"/>
      <c r="BU3" s="701"/>
      <c r="BV3" s="701"/>
      <c r="BW3" s="701"/>
      <c r="BX3" s="701"/>
      <c r="BY3" s="701"/>
      <c r="BZ3" s="701"/>
      <c r="CA3" s="701"/>
      <c r="CB3" s="701"/>
      <c r="CC3" s="701"/>
      <c r="CD3" s="701"/>
      <c r="CE3" s="701"/>
      <c r="CF3" s="701"/>
      <c r="CG3" s="701"/>
      <c r="CH3" s="701"/>
      <c r="CI3" s="701"/>
      <c r="CJ3" s="701"/>
      <c r="CK3" s="701"/>
      <c r="CL3" s="701"/>
      <c r="CM3" s="701"/>
      <c r="CN3" s="701"/>
      <c r="CO3" s="701"/>
      <c r="CP3" s="701"/>
      <c r="CQ3" s="701"/>
      <c r="CR3" s="701"/>
      <c r="CS3" s="701"/>
      <c r="CT3" s="701"/>
      <c r="CU3" s="701"/>
      <c r="CV3" s="701"/>
      <c r="CW3" s="701"/>
      <c r="CX3" s="701"/>
      <c r="CY3" s="701"/>
      <c r="CZ3" s="701"/>
      <c r="DA3" s="701"/>
      <c r="DB3" s="701"/>
      <c r="DC3" s="701"/>
      <c r="DD3" s="701"/>
      <c r="DE3" s="683"/>
    </row>
    <row r="4" spans="1:111" ht="20.100000000000001" customHeight="1" outlineLevel="1">
      <c r="U4" s="639"/>
      <c r="V4" s="639"/>
      <c r="W4" s="654" t="s">
        <v>764</v>
      </c>
      <c r="X4" s="693" t="str">
        <f>[1]COMMANDE!E4</f>
        <v>24 rue du clos Rozé</v>
      </c>
      <c r="Y4" s="692"/>
      <c r="Z4" s="692"/>
      <c r="AA4" s="692"/>
      <c r="AB4" s="692"/>
      <c r="AC4" s="692"/>
      <c r="AD4" s="692"/>
      <c r="AE4" s="692"/>
      <c r="AF4" s="692"/>
      <c r="AG4" s="692"/>
      <c r="AH4" s="691"/>
      <c r="AI4" s="707" t="s">
        <v>765</v>
      </c>
      <c r="AJ4" s="706"/>
      <c r="AK4" s="705"/>
      <c r="AL4" s="594"/>
      <c r="AM4" s="697"/>
      <c r="AN4" s="696"/>
      <c r="AO4" s="695"/>
      <c r="AP4" s="694"/>
      <c r="AQ4" s="694"/>
      <c r="AR4" s="594"/>
      <c r="AS4" s="673"/>
      <c r="AT4" s="672"/>
      <c r="AU4" s="671"/>
      <c r="AV4" s="704"/>
      <c r="AW4" s="703"/>
      <c r="AX4" s="702"/>
      <c r="AY4" s="526"/>
      <c r="AZ4" s="527"/>
      <c r="BA4" s="528"/>
      <c r="BB4" s="526"/>
      <c r="BC4" s="527"/>
      <c r="BD4" s="528"/>
      <c r="BE4" s="526"/>
      <c r="BF4" s="527"/>
      <c r="BG4" s="528"/>
      <c r="BH4" s="526"/>
      <c r="BI4" s="527"/>
      <c r="BJ4" s="528"/>
      <c r="BK4" s="526"/>
      <c r="BL4" s="527"/>
      <c r="BM4" s="528"/>
      <c r="BN4" s="526"/>
      <c r="BO4" s="527"/>
      <c r="BP4" s="528"/>
      <c r="BQ4" s="526"/>
      <c r="BR4" s="527"/>
      <c r="BS4" s="528"/>
      <c r="BT4" s="526"/>
      <c r="BU4" s="527"/>
      <c r="BV4" s="528"/>
      <c r="BW4" s="526"/>
      <c r="BX4" s="527"/>
      <c r="BY4" s="528"/>
      <c r="BZ4" s="526"/>
      <c r="CA4" s="527"/>
      <c r="CB4" s="528"/>
      <c r="CC4" s="526"/>
      <c r="CD4" s="527"/>
      <c r="CE4" s="528"/>
      <c r="CF4" s="526"/>
      <c r="CG4" s="527"/>
      <c r="CH4" s="528"/>
      <c r="CI4" s="526"/>
      <c r="CJ4" s="527"/>
      <c r="CK4" s="528"/>
      <c r="CL4" s="526"/>
      <c r="CM4" s="527"/>
      <c r="CN4" s="528"/>
      <c r="CO4" s="526"/>
      <c r="CP4" s="527"/>
      <c r="CQ4" s="528"/>
      <c r="CR4" s="526"/>
      <c r="CS4" s="527"/>
      <c r="CT4" s="528"/>
      <c r="CU4" s="526"/>
      <c r="CV4" s="527"/>
      <c r="CW4" s="528"/>
      <c r="CX4" s="526"/>
      <c r="CY4" s="701"/>
      <c r="CZ4" s="701"/>
      <c r="DA4" s="526"/>
      <c r="DB4" s="701"/>
      <c r="DC4" s="701"/>
      <c r="DD4" s="701"/>
      <c r="DE4" s="683"/>
    </row>
    <row r="5" spans="1:111" ht="20.100000000000001" customHeight="1" outlineLevel="1">
      <c r="U5" s="639"/>
      <c r="V5" s="639"/>
      <c r="W5" s="654" t="s">
        <v>766</v>
      </c>
      <c r="X5" s="693" t="str">
        <f>[1]COMMANDE!E5</f>
        <v>45100</v>
      </c>
      <c r="Y5" s="692"/>
      <c r="Z5" s="692"/>
      <c r="AA5" s="692"/>
      <c r="AB5" s="692"/>
      <c r="AC5" s="692"/>
      <c r="AD5" s="692"/>
      <c r="AE5" s="692"/>
      <c r="AF5" s="692"/>
      <c r="AG5" s="692"/>
      <c r="AH5" s="691"/>
      <c r="AI5" s="700"/>
      <c r="AJ5" s="699"/>
      <c r="AK5" s="698"/>
      <c r="AL5" s="594"/>
      <c r="AM5" s="697"/>
      <c r="AN5" s="696"/>
      <c r="AO5" s="695"/>
      <c r="AP5" s="694"/>
      <c r="AQ5" s="694"/>
      <c r="AR5" s="594"/>
      <c r="AS5" s="673"/>
      <c r="AT5" s="672"/>
      <c r="AU5" s="671"/>
      <c r="AV5" s="529">
        <v>1</v>
      </c>
      <c r="AW5" s="530"/>
      <c r="AX5" s="531"/>
      <c r="AY5" s="532">
        <v>2</v>
      </c>
      <c r="AZ5" s="533"/>
      <c r="BA5" s="534"/>
      <c r="BB5" s="532">
        <v>3</v>
      </c>
      <c r="BC5" s="533"/>
      <c r="BD5" s="534"/>
      <c r="BE5" s="532">
        <v>4</v>
      </c>
      <c r="BF5" s="533"/>
      <c r="BG5" s="534"/>
      <c r="BH5" s="532">
        <v>5</v>
      </c>
      <c r="BI5" s="533"/>
      <c r="BJ5" s="534"/>
      <c r="BK5" s="532">
        <v>6</v>
      </c>
      <c r="BL5" s="533"/>
      <c r="BM5" s="534"/>
      <c r="BN5" s="532">
        <v>7</v>
      </c>
      <c r="BO5" s="533"/>
      <c r="BP5" s="534"/>
      <c r="BQ5" s="532">
        <v>8</v>
      </c>
      <c r="BR5" s="533"/>
      <c r="BS5" s="534"/>
      <c r="BT5" s="532">
        <v>9</v>
      </c>
      <c r="BU5" s="533"/>
      <c r="BV5" s="534"/>
      <c r="BW5" s="532">
        <v>10</v>
      </c>
      <c r="BX5" s="533"/>
      <c r="BY5" s="534"/>
      <c r="BZ5" s="532">
        <v>11</v>
      </c>
      <c r="CA5" s="533"/>
      <c r="CB5" s="534"/>
      <c r="CC5" s="532">
        <v>12</v>
      </c>
      <c r="CD5" s="533"/>
      <c r="CE5" s="534"/>
      <c r="CF5" s="532">
        <v>13</v>
      </c>
      <c r="CG5" s="533"/>
      <c r="CH5" s="534"/>
      <c r="CI5" s="532">
        <v>14</v>
      </c>
      <c r="CJ5" s="533"/>
      <c r="CK5" s="534"/>
      <c r="CL5" s="532">
        <v>15</v>
      </c>
      <c r="CM5" s="533"/>
      <c r="CN5" s="534"/>
      <c r="CO5" s="532">
        <v>16</v>
      </c>
      <c r="CP5" s="533"/>
      <c r="CQ5" s="534"/>
      <c r="CR5" s="532">
        <v>17</v>
      </c>
      <c r="CS5" s="533"/>
      <c r="CT5" s="534"/>
      <c r="CU5" s="532">
        <v>18</v>
      </c>
      <c r="CV5" s="533"/>
      <c r="CW5" s="534"/>
      <c r="CX5" s="535">
        <v>19</v>
      </c>
      <c r="CY5" s="530"/>
      <c r="CZ5" s="531"/>
      <c r="DA5" s="535">
        <v>20</v>
      </c>
      <c r="DB5" s="530"/>
      <c r="DC5" s="536"/>
      <c r="DD5" s="537"/>
      <c r="DE5" s="683"/>
    </row>
    <row r="6" spans="1:111" ht="20.100000000000001" customHeight="1" outlineLevel="1">
      <c r="U6" s="639"/>
      <c r="V6" s="639"/>
      <c r="W6" s="654" t="s">
        <v>767</v>
      </c>
      <c r="X6" s="693" t="str">
        <f>[1]COMMANDE!E6</f>
        <v>Orléans</v>
      </c>
      <c r="Y6" s="692"/>
      <c r="Z6" s="692"/>
      <c r="AA6" s="692"/>
      <c r="AB6" s="692"/>
      <c r="AC6" s="692"/>
      <c r="AD6" s="692"/>
      <c r="AE6" s="692"/>
      <c r="AF6" s="692"/>
      <c r="AG6" s="692"/>
      <c r="AH6" s="691"/>
      <c r="AI6" s="690"/>
      <c r="AJ6" s="689"/>
      <c r="AK6" s="688"/>
      <c r="AL6" s="594"/>
      <c r="AM6" s="687"/>
      <c r="AN6" s="686"/>
      <c r="AO6" s="685"/>
      <c r="AP6" s="684"/>
      <c r="AQ6" s="684"/>
      <c r="AR6" s="594"/>
      <c r="AS6" s="673"/>
      <c r="AT6" s="672"/>
      <c r="AU6" s="671"/>
      <c r="AV6" s="538"/>
      <c r="AW6" s="533"/>
      <c r="AX6" s="539"/>
      <c r="AY6" s="532"/>
      <c r="AZ6" s="533"/>
      <c r="BA6" s="534"/>
      <c r="BB6" s="532"/>
      <c r="BC6" s="533"/>
      <c r="BD6" s="534"/>
      <c r="BE6" s="532"/>
      <c r="BF6" s="533"/>
      <c r="BG6" s="534"/>
      <c r="BH6" s="532"/>
      <c r="BI6" s="533"/>
      <c r="BJ6" s="534"/>
      <c r="BK6" s="532"/>
      <c r="BL6" s="533"/>
      <c r="BM6" s="534"/>
      <c r="BN6" s="532"/>
      <c r="BO6" s="533"/>
      <c r="BP6" s="534"/>
      <c r="BQ6" s="532"/>
      <c r="BR6" s="533"/>
      <c r="BS6" s="534"/>
      <c r="BT6" s="532"/>
      <c r="BU6" s="533"/>
      <c r="BV6" s="534"/>
      <c r="BW6" s="532"/>
      <c r="BX6" s="533"/>
      <c r="BY6" s="534"/>
      <c r="BZ6" s="532"/>
      <c r="CA6" s="533"/>
      <c r="CB6" s="534"/>
      <c r="CC6" s="532"/>
      <c r="CD6" s="533"/>
      <c r="CE6" s="534"/>
      <c r="CF6" s="532"/>
      <c r="CG6" s="533"/>
      <c r="CH6" s="534"/>
      <c r="CI6" s="532"/>
      <c r="CJ6" s="533"/>
      <c r="CK6" s="534"/>
      <c r="CL6" s="532"/>
      <c r="CM6" s="533"/>
      <c r="CN6" s="534"/>
      <c r="CO6" s="532"/>
      <c r="CP6" s="533"/>
      <c r="CQ6" s="534"/>
      <c r="CR6" s="532"/>
      <c r="CS6" s="533"/>
      <c r="CT6" s="534"/>
      <c r="CU6" s="532"/>
      <c r="CV6" s="533"/>
      <c r="CW6" s="534"/>
      <c r="CX6" s="532"/>
      <c r="CY6" s="533"/>
      <c r="CZ6" s="534"/>
      <c r="DA6" s="532"/>
      <c r="DB6" s="533"/>
      <c r="DC6" s="540"/>
      <c r="DD6" s="541"/>
      <c r="DE6" s="683"/>
    </row>
    <row r="7" spans="1:111" ht="20.100000000000001" customHeight="1" outlineLevel="1">
      <c r="U7" s="639"/>
      <c r="V7" s="639"/>
      <c r="W7" s="638" t="s">
        <v>768</v>
      </c>
      <c r="X7" s="637" t="str">
        <f>[1]COMMANDE!E7</f>
        <v>0687035649</v>
      </c>
      <c r="Y7" s="636"/>
      <c r="Z7" s="682" t="s">
        <v>769</v>
      </c>
      <c r="AA7" s="681"/>
      <c r="AB7" s="681"/>
      <c r="AC7" s="680"/>
      <c r="AD7" s="637" t="str">
        <f>[1]COMMANDE!E8</f>
        <v>À REMPLIR</v>
      </c>
      <c r="AE7" s="636"/>
      <c r="AF7" s="636"/>
      <c r="AG7" s="636"/>
      <c r="AH7" s="636"/>
      <c r="AI7" s="679" t="s">
        <v>770</v>
      </c>
      <c r="AJ7" s="678"/>
      <c r="AK7" s="652">
        <f>FDP_CMD_KG</f>
        <v>0.87325799607999999</v>
      </c>
      <c r="AL7" s="594"/>
      <c r="AM7" s="677" t="s">
        <v>81</v>
      </c>
      <c r="AN7" s="676"/>
      <c r="AO7" s="650">
        <f>FDP_FACT_KG</f>
        <v>0.86605243978102198</v>
      </c>
      <c r="AP7" s="675" t="s">
        <v>771</v>
      </c>
      <c r="AQ7" s="674" t="s">
        <v>772</v>
      </c>
      <c r="AR7" s="594"/>
      <c r="AS7" s="673"/>
      <c r="AT7" s="672"/>
      <c r="AU7" s="671"/>
      <c r="AV7" s="670" t="s">
        <v>773</v>
      </c>
      <c r="AW7" s="669"/>
      <c r="AX7" s="668">
        <f>IF(SUM(AY9,BB9,BE9,BH9,BK9,BN9,BQ9,BT9,BW9,BZ9,CC9,CI9,CL9)=0,AX9,AX9*0.9)</f>
        <v>237.00372300000006</v>
      </c>
      <c r="AY7" s="667"/>
      <c r="AZ7" s="666"/>
      <c r="BA7" s="666"/>
      <c r="BB7" s="666"/>
      <c r="BC7" s="666"/>
      <c r="BD7" s="666"/>
      <c r="BE7" s="666"/>
      <c r="BF7" s="666"/>
      <c r="BG7" s="666"/>
      <c r="BH7" s="666"/>
      <c r="BI7" s="666"/>
      <c r="BJ7" s="666"/>
      <c r="BK7" s="666"/>
      <c r="BL7" s="666"/>
      <c r="BM7" s="666"/>
      <c r="BN7" s="666"/>
      <c r="BO7" s="666"/>
      <c r="BP7" s="666"/>
      <c r="BQ7" s="666"/>
      <c r="BR7" s="666"/>
      <c r="BS7" s="666"/>
      <c r="BT7" s="666"/>
      <c r="BU7" s="666"/>
      <c r="BV7" s="666"/>
      <c r="BW7" s="666"/>
      <c r="BX7" s="666"/>
      <c r="BY7" s="666"/>
      <c r="BZ7" s="666"/>
      <c r="CA7" s="666"/>
      <c r="CB7" s="666"/>
      <c r="CC7" s="666"/>
      <c r="CD7" s="666"/>
      <c r="CE7" s="666"/>
      <c r="CF7" s="666"/>
      <c r="CG7" s="666"/>
      <c r="CH7" s="666"/>
      <c r="CI7" s="666"/>
      <c r="CJ7" s="666"/>
      <c r="CK7" s="666"/>
      <c r="CL7" s="666"/>
      <c r="CM7" s="666"/>
      <c r="CN7" s="665"/>
      <c r="CO7" s="666"/>
      <c r="CP7" s="666"/>
      <c r="CQ7" s="666"/>
      <c r="CR7" s="666"/>
      <c r="CS7" s="666"/>
      <c r="CT7" s="666"/>
      <c r="CU7" s="666"/>
      <c r="CV7" s="666"/>
      <c r="CW7" s="666"/>
      <c r="CX7" s="666"/>
      <c r="CY7" s="666"/>
      <c r="CZ7" s="666"/>
      <c r="DA7" s="666"/>
      <c r="DB7" s="666"/>
      <c r="DC7" s="665"/>
      <c r="DD7" s="664"/>
      <c r="DE7" s="663"/>
    </row>
    <row r="8" spans="1:111" ht="24.95" customHeight="1" outlineLevel="1">
      <c r="U8" s="639" t="s">
        <v>59</v>
      </c>
      <c r="V8" s="639"/>
      <c r="W8" s="654" t="s">
        <v>763</v>
      </c>
      <c r="X8" s="637" t="str">
        <f>[1]COMMANDE!K4</f>
        <v>Lilian GITTON</v>
      </c>
      <c r="Y8" s="636"/>
      <c r="Z8" s="636"/>
      <c r="AA8" s="636"/>
      <c r="AB8" s="636"/>
      <c r="AC8" s="636"/>
      <c r="AD8" s="636"/>
      <c r="AE8" s="636"/>
      <c r="AF8" s="636"/>
      <c r="AG8" s="636"/>
      <c r="AH8" s="636"/>
      <c r="AI8" s="662" t="s">
        <v>79</v>
      </c>
      <c r="AJ8" s="616" t="s">
        <v>82</v>
      </c>
      <c r="AK8" s="618" t="s">
        <v>65</v>
      </c>
      <c r="AL8" s="594"/>
      <c r="AM8" s="616" t="s">
        <v>79</v>
      </c>
      <c r="AN8" s="616" t="s">
        <v>774</v>
      </c>
      <c r="AO8" s="618" t="s">
        <v>65</v>
      </c>
      <c r="AP8" s="632"/>
      <c r="AQ8" s="632"/>
      <c r="AR8" s="594"/>
      <c r="AS8" s="616" t="s">
        <v>79</v>
      </c>
      <c r="AT8" s="661" t="s">
        <v>65</v>
      </c>
      <c r="AU8" s="660"/>
      <c r="AV8" s="616" t="s">
        <v>775</v>
      </c>
      <c r="AW8" s="659" t="s">
        <v>776</v>
      </c>
      <c r="AX8" s="658" t="s">
        <v>83</v>
      </c>
      <c r="AY8" s="657" t="s">
        <v>775</v>
      </c>
      <c r="AZ8" s="657" t="s">
        <v>776</v>
      </c>
      <c r="BA8" s="657" t="s">
        <v>83</v>
      </c>
      <c r="BB8" s="657" t="s">
        <v>775</v>
      </c>
      <c r="BC8" s="657" t="s">
        <v>776</v>
      </c>
      <c r="BD8" s="657" t="s">
        <v>83</v>
      </c>
      <c r="BE8" s="657" t="s">
        <v>775</v>
      </c>
      <c r="BF8" s="657" t="s">
        <v>776</v>
      </c>
      <c r="BG8" s="657" t="s">
        <v>83</v>
      </c>
      <c r="BH8" s="657" t="s">
        <v>775</v>
      </c>
      <c r="BI8" s="657" t="s">
        <v>776</v>
      </c>
      <c r="BJ8" s="657" t="s">
        <v>83</v>
      </c>
      <c r="BK8" s="657" t="s">
        <v>775</v>
      </c>
      <c r="BL8" s="657" t="s">
        <v>776</v>
      </c>
      <c r="BM8" s="657" t="s">
        <v>83</v>
      </c>
      <c r="BN8" s="657" t="s">
        <v>775</v>
      </c>
      <c r="BO8" s="657" t="s">
        <v>776</v>
      </c>
      <c r="BP8" s="657" t="s">
        <v>83</v>
      </c>
      <c r="BQ8" s="657" t="s">
        <v>775</v>
      </c>
      <c r="BR8" s="657" t="s">
        <v>776</v>
      </c>
      <c r="BS8" s="657" t="s">
        <v>83</v>
      </c>
      <c r="BT8" s="657" t="s">
        <v>775</v>
      </c>
      <c r="BU8" s="657" t="s">
        <v>776</v>
      </c>
      <c r="BV8" s="657" t="s">
        <v>83</v>
      </c>
      <c r="BW8" s="657" t="s">
        <v>775</v>
      </c>
      <c r="BX8" s="657" t="s">
        <v>776</v>
      </c>
      <c r="BY8" s="657" t="s">
        <v>83</v>
      </c>
      <c r="BZ8" s="657" t="s">
        <v>775</v>
      </c>
      <c r="CA8" s="657" t="s">
        <v>776</v>
      </c>
      <c r="CB8" s="657" t="s">
        <v>83</v>
      </c>
      <c r="CC8" s="657" t="s">
        <v>775</v>
      </c>
      <c r="CD8" s="657" t="s">
        <v>776</v>
      </c>
      <c r="CE8" s="657" t="s">
        <v>83</v>
      </c>
      <c r="CF8" s="657" t="s">
        <v>775</v>
      </c>
      <c r="CG8" s="657" t="s">
        <v>776</v>
      </c>
      <c r="CH8" s="657" t="s">
        <v>83</v>
      </c>
      <c r="CI8" s="657" t="s">
        <v>775</v>
      </c>
      <c r="CJ8" s="657" t="s">
        <v>776</v>
      </c>
      <c r="CK8" s="657" t="s">
        <v>83</v>
      </c>
      <c r="CL8" s="657" t="s">
        <v>775</v>
      </c>
      <c r="CM8" s="657" t="s">
        <v>776</v>
      </c>
      <c r="CN8" s="656" t="s">
        <v>83</v>
      </c>
      <c r="CO8" s="657" t="s">
        <v>775</v>
      </c>
      <c r="CP8" s="657" t="s">
        <v>776</v>
      </c>
      <c r="CQ8" s="657" t="s">
        <v>83</v>
      </c>
      <c r="CR8" s="657" t="s">
        <v>775</v>
      </c>
      <c r="CS8" s="657" t="s">
        <v>776</v>
      </c>
      <c r="CT8" s="657" t="s">
        <v>83</v>
      </c>
      <c r="CU8" s="657" t="s">
        <v>775</v>
      </c>
      <c r="CV8" s="657" t="s">
        <v>776</v>
      </c>
      <c r="CW8" s="657" t="s">
        <v>83</v>
      </c>
      <c r="CX8" s="657" t="s">
        <v>775</v>
      </c>
      <c r="CY8" s="657" t="s">
        <v>776</v>
      </c>
      <c r="CZ8" s="657" t="s">
        <v>83</v>
      </c>
      <c r="DA8" s="657" t="s">
        <v>775</v>
      </c>
      <c r="DB8" s="657" t="s">
        <v>776</v>
      </c>
      <c r="DC8" s="656" t="s">
        <v>83</v>
      </c>
      <c r="DD8" s="655"/>
      <c r="DE8" s="640"/>
    </row>
    <row r="9" spans="1:111" ht="20.100000000000001" customHeight="1" outlineLevel="1">
      <c r="U9" s="639"/>
      <c r="V9" s="639"/>
      <c r="W9" s="654" t="s">
        <v>777</v>
      </c>
      <c r="X9" s="637" t="str">
        <f>[1]COMMANDE!K5</f>
        <v>0687035649</v>
      </c>
      <c r="Y9" s="636"/>
      <c r="Z9" s="636"/>
      <c r="AA9" s="636"/>
      <c r="AB9" s="636"/>
      <c r="AC9" s="636"/>
      <c r="AD9" s="636"/>
      <c r="AE9" s="636"/>
      <c r="AF9" s="636"/>
      <c r="AG9" s="636"/>
      <c r="AH9" s="636"/>
      <c r="AI9" s="653">
        <f>SUM(AI12:AI263)</f>
        <v>125</v>
      </c>
      <c r="AJ9" s="652">
        <f>FDP_CMD</f>
        <v>109.15724951</v>
      </c>
      <c r="AK9" s="652">
        <f>SUM(AK12:AK263)</f>
        <v>380.35</v>
      </c>
      <c r="AL9" s="594"/>
      <c r="AM9" s="651">
        <f>SUM(AM12:AM263)</f>
        <v>126.03999999999999</v>
      </c>
      <c r="AN9" s="650">
        <f>IF(FDP_FACT_MAN&gt;0, FDP_FACT_MAN, FDP_FACT_AUT)</f>
        <v>109.15724951</v>
      </c>
      <c r="AO9" s="650">
        <f>SUM(AO12:AO263)</f>
        <v>489.0166999999999</v>
      </c>
      <c r="AP9" s="649"/>
      <c r="AQ9" s="632"/>
      <c r="AR9" s="594"/>
      <c r="AS9" s="648">
        <f>SUM(AS12:AS263)</f>
        <v>126.03999999999999</v>
      </c>
      <c r="AT9" s="647">
        <f>SUM(AU12:AU263)</f>
        <v>489.0166999999999</v>
      </c>
      <c r="AU9" s="647"/>
      <c r="AV9" s="646">
        <f>SUM(AV$12:AV$263)</f>
        <v>71</v>
      </c>
      <c r="AW9" s="645">
        <f>SUM(AW$12:AW$263)</f>
        <v>71.671666666666667</v>
      </c>
      <c r="AX9" s="642">
        <f>SUM(AX$12:AX$263)</f>
        <v>263.33747000000005</v>
      </c>
      <c r="AY9" s="644">
        <f>SUM(AY$12:AY$263)</f>
        <v>18</v>
      </c>
      <c r="AZ9" s="643">
        <f>SUM(AZ$12:AZ$263)</f>
        <v>17.802</v>
      </c>
      <c r="BA9" s="642">
        <f>SUM(BA$12:BA$263)</f>
        <v>71.663480000000007</v>
      </c>
      <c r="BB9" s="644">
        <f>SUM(BB$12:BB$263)</f>
        <v>14</v>
      </c>
      <c r="BC9" s="643">
        <f>SUM(BC$12:BC$263)</f>
        <v>14.188999999999998</v>
      </c>
      <c r="BD9" s="642">
        <f>SUM(BD$12:BD$263)</f>
        <v>58.773070000000004</v>
      </c>
      <c r="BE9" s="644">
        <f>SUM(BE$12:BE$263)</f>
        <v>22</v>
      </c>
      <c r="BF9" s="643">
        <f>SUM(BF$12:BF$263)</f>
        <v>22.377333333333333</v>
      </c>
      <c r="BG9" s="642">
        <f>SUM(BG$12:BG$263)</f>
        <v>95.242680000000007</v>
      </c>
      <c r="BH9" s="644">
        <f>SUM(BH$12:BH$263)</f>
        <v>0</v>
      </c>
      <c r="BI9" s="643">
        <f>SUM(BI$12:BI$263)</f>
        <v>0</v>
      </c>
      <c r="BJ9" s="642">
        <f>SUM(BJ$12:BJ$263)</f>
        <v>0</v>
      </c>
      <c r="BK9" s="644">
        <f>SUM(BK$12:BK$263)</f>
        <v>0</v>
      </c>
      <c r="BL9" s="643">
        <f>SUM(BL$12:BL$263)</f>
        <v>0</v>
      </c>
      <c r="BM9" s="642">
        <f>SUM(BM$12:BM$263)</f>
        <v>0</v>
      </c>
      <c r="BN9" s="644">
        <f>SUM(BN$12:BN$263)</f>
        <v>0</v>
      </c>
      <c r="BO9" s="643">
        <f>SUM(BO$12:BO$263)</f>
        <v>0</v>
      </c>
      <c r="BP9" s="642">
        <f>SUM(BP$12:BP$263)</f>
        <v>0</v>
      </c>
      <c r="BQ9" s="644">
        <f>SUM(BQ$12:BQ$263)</f>
        <v>0</v>
      </c>
      <c r="BR9" s="643">
        <f>SUM(BR$12:BR$263)</f>
        <v>0</v>
      </c>
      <c r="BS9" s="642">
        <f>SUM(BS$12:BS$263)</f>
        <v>0</v>
      </c>
      <c r="BT9" s="644">
        <f>SUM(BT$12:BT$263)</f>
        <v>0</v>
      </c>
      <c r="BU9" s="643">
        <f>SUM(BU$12:BU$263)</f>
        <v>0</v>
      </c>
      <c r="BV9" s="642">
        <f>SUM(BV$12:BV$263)</f>
        <v>0</v>
      </c>
      <c r="BW9" s="644">
        <f>SUM(BW$12:BW$263)</f>
        <v>0</v>
      </c>
      <c r="BX9" s="643">
        <f>SUM(BX$12:BX$263)</f>
        <v>0</v>
      </c>
      <c r="BY9" s="642">
        <f>SUM(BY$12:BY$263)</f>
        <v>0</v>
      </c>
      <c r="BZ9" s="644">
        <f>SUM(BZ$12:BZ$263)</f>
        <v>0</v>
      </c>
      <c r="CA9" s="643">
        <f>SUM(CA$12:CA$263)</f>
        <v>0</v>
      </c>
      <c r="CB9" s="642">
        <f>SUM(CB$12:CB$263)</f>
        <v>0</v>
      </c>
      <c r="CC9" s="644">
        <f>SUM(CC$12:CC$263)</f>
        <v>0</v>
      </c>
      <c r="CD9" s="643">
        <f>SUM(CD$12:CD$263)</f>
        <v>0</v>
      </c>
      <c r="CE9" s="642">
        <f>SUM(CE$12:CE$263)</f>
        <v>0</v>
      </c>
      <c r="CF9" s="644">
        <f>SUM(CF$12:CF$263)</f>
        <v>0</v>
      </c>
      <c r="CG9" s="643">
        <f>SUM(CG$12:CG$263)</f>
        <v>0</v>
      </c>
      <c r="CH9" s="642">
        <f>SUM(CH$12:CH$263)</f>
        <v>0</v>
      </c>
      <c r="CI9" s="644">
        <f>SUM(CI$12:CI$263)</f>
        <v>0</v>
      </c>
      <c r="CJ9" s="643">
        <f>SUM(CJ$12:CJ$263)</f>
        <v>0</v>
      </c>
      <c r="CK9" s="642">
        <f>SUM(CK$12:CK$263)</f>
        <v>0</v>
      </c>
      <c r="CL9" s="644">
        <f>SUM(CL$12:CL$263)</f>
        <v>0</v>
      </c>
      <c r="CM9" s="643">
        <f>SUM(CM$12:CM$263)</f>
        <v>0</v>
      </c>
      <c r="CN9" s="642">
        <f>SUM(CN$12:CN$263)</f>
        <v>0</v>
      </c>
      <c r="CO9" s="644">
        <f>SUM(CO$12:CO$263)</f>
        <v>0</v>
      </c>
      <c r="CP9" s="643">
        <f>SUM(CP$12:CP$263)</f>
        <v>0</v>
      </c>
      <c r="CQ9" s="642">
        <f>SUM(CQ$12:CQ$263)</f>
        <v>0</v>
      </c>
      <c r="CR9" s="644">
        <f>SUM(CR$12:CR$263)</f>
        <v>0</v>
      </c>
      <c r="CS9" s="643">
        <f>SUM(CS$12:CS$263)</f>
        <v>0</v>
      </c>
      <c r="CT9" s="642">
        <f>SUM(CT$12:CT$263)</f>
        <v>0</v>
      </c>
      <c r="CU9" s="644">
        <f>SUM(CU$12:CU$263)</f>
        <v>0</v>
      </c>
      <c r="CV9" s="643">
        <f>SUM(CV$12:CV$263)</f>
        <v>0</v>
      </c>
      <c r="CW9" s="642">
        <f>SUM(CW$12:CW$263)</f>
        <v>0</v>
      </c>
      <c r="CX9" s="644">
        <f>SUM(CX$12:CX$263)</f>
        <v>0</v>
      </c>
      <c r="CY9" s="643">
        <f>SUM(CY$12:CY$263)</f>
        <v>0</v>
      </c>
      <c r="CZ9" s="642">
        <f>SUM(CZ$12:CZ$263)</f>
        <v>0</v>
      </c>
      <c r="DA9" s="644">
        <f>SUM(DA$12:DA$263)</f>
        <v>0</v>
      </c>
      <c r="DB9" s="643">
        <f>SUM(DB$12:DB$263)</f>
        <v>0</v>
      </c>
      <c r="DC9" s="642">
        <f>SUM(DC$12:DC$263)</f>
        <v>0</v>
      </c>
      <c r="DD9" s="641"/>
      <c r="DE9" s="640"/>
    </row>
    <row r="10" spans="1:111" ht="20.100000000000001" customHeight="1">
      <c r="U10" s="639"/>
      <c r="V10" s="639"/>
      <c r="W10" s="638" t="s">
        <v>778</v>
      </c>
      <c r="X10" s="637" t="str">
        <f>[1]COMMANDE!K6</f>
        <v>liliangitton@yahoo.fr</v>
      </c>
      <c r="Y10" s="636"/>
      <c r="Z10" s="636"/>
      <c r="AA10" s="636"/>
      <c r="AB10" s="636"/>
      <c r="AC10" s="636"/>
      <c r="AD10" s="636"/>
      <c r="AE10" s="636"/>
      <c r="AF10" s="636"/>
      <c r="AG10" s="636"/>
      <c r="AH10" s="636"/>
      <c r="AI10" s="635" t="s">
        <v>779</v>
      </c>
      <c r="AJ10" s="634"/>
      <c r="AK10" s="634"/>
      <c r="AL10" s="594"/>
      <c r="AM10" s="633" t="s">
        <v>780</v>
      </c>
      <c r="AN10" s="633"/>
      <c r="AO10" s="633"/>
      <c r="AP10" s="632"/>
      <c r="AQ10" s="632"/>
      <c r="AR10" s="594"/>
      <c r="AS10" s="631" t="s">
        <v>781</v>
      </c>
      <c r="AT10" s="631"/>
      <c r="AU10" s="631"/>
      <c r="AV10" s="630" t="str">
        <f>[1]COMMANDE!K4</f>
        <v>Lilian GITTON</v>
      </c>
      <c r="AW10" s="629"/>
      <c r="AX10" s="629"/>
      <c r="AY10" s="628" t="str">
        <f>[1]COMMANDE!Q5</f>
        <v>Victoria WETLEY</v>
      </c>
      <c r="AZ10" s="628"/>
      <c r="BA10" s="628"/>
      <c r="BB10" s="628" t="str">
        <f>[1]COMMANDE!S5</f>
        <v>Jasmine MACIA</v>
      </c>
      <c r="BC10" s="628"/>
      <c r="BD10" s="628"/>
      <c r="BE10" s="628" t="str">
        <f>[1]COMMANDE!U5</f>
        <v>Valérie DA SILVA</v>
      </c>
      <c r="BF10" s="628"/>
      <c r="BG10" s="628"/>
      <c r="BH10" s="628" t="str">
        <f>[1]COMMANDE!W5</f>
        <v>Prénom NOM</v>
      </c>
      <c r="BI10" s="628"/>
      <c r="BJ10" s="628"/>
      <c r="BK10" s="628" t="str">
        <f>[1]COMMANDE!Y5</f>
        <v>Prénom NOM</v>
      </c>
      <c r="BL10" s="628"/>
      <c r="BM10" s="628"/>
      <c r="BN10" s="628" t="str">
        <f>[1]COMMANDE!AA5</f>
        <v>Prénom NOM</v>
      </c>
      <c r="BO10" s="628"/>
      <c r="BP10" s="628"/>
      <c r="BQ10" s="628" t="str">
        <f>[1]COMMANDE!AC5</f>
        <v>Prénom NOM</v>
      </c>
      <c r="BR10" s="628"/>
      <c r="BS10" s="628"/>
      <c r="BT10" s="628" t="str">
        <f>[1]COMMANDE!AE5</f>
        <v>Prénom NOM</v>
      </c>
      <c r="BU10" s="628"/>
      <c r="BV10" s="628"/>
      <c r="BW10" s="628" t="str">
        <f>[1]COMMANDE!AG5</f>
        <v>Prénom NOM</v>
      </c>
      <c r="BX10" s="628"/>
      <c r="BY10" s="628"/>
      <c r="BZ10" s="628" t="str">
        <f>[1]COMMANDE!AI5</f>
        <v>Prénom NOM</v>
      </c>
      <c r="CA10" s="628"/>
      <c r="CB10" s="628"/>
      <c r="CC10" s="628" t="str">
        <f>[1]COMMANDE!AK5</f>
        <v>Prénom NOM</v>
      </c>
      <c r="CD10" s="628"/>
      <c r="CE10" s="628"/>
      <c r="CF10" s="628" t="str">
        <f>[1]COMMANDE!AM5</f>
        <v>Prénom NOM</v>
      </c>
      <c r="CG10" s="628"/>
      <c r="CH10" s="628"/>
      <c r="CI10" s="628" t="str">
        <f>[1]COMMANDE!AO5</f>
        <v>Prénom NOM</v>
      </c>
      <c r="CJ10" s="628"/>
      <c r="CK10" s="628"/>
      <c r="CL10" s="628" t="str">
        <f>[1]COMMANDE!AQ5</f>
        <v>Prénom NOM</v>
      </c>
      <c r="CM10" s="628"/>
      <c r="CN10" s="628"/>
      <c r="CO10" s="628" t="str">
        <f>[1]COMMANDE!AS5</f>
        <v>Prénom NOM</v>
      </c>
      <c r="CP10" s="628"/>
      <c r="CQ10" s="628"/>
      <c r="CR10" s="628" t="str">
        <f>[1]COMMANDE!AU5</f>
        <v>Prénom NOM</v>
      </c>
      <c r="CS10" s="628"/>
      <c r="CT10" s="628"/>
      <c r="CU10" s="628" t="str">
        <f>[1]COMMANDE!AW5</f>
        <v>Prénom NOM</v>
      </c>
      <c r="CV10" s="628"/>
      <c r="CW10" s="628"/>
      <c r="CX10" s="628" t="str">
        <f>[1]COMMANDE!AY5</f>
        <v>Prénom NOM</v>
      </c>
      <c r="CY10" s="628"/>
      <c r="CZ10" s="628"/>
      <c r="DA10" s="628" t="str">
        <f>[1]COMMANDE!BA5</f>
        <v>Prénom NOM</v>
      </c>
      <c r="DB10" s="628"/>
      <c r="DC10" s="627"/>
      <c r="DD10" s="626"/>
      <c r="DE10" s="625" t="s">
        <v>782</v>
      </c>
      <c r="DF10" s="624"/>
      <c r="DG10" s="623"/>
    </row>
    <row r="11" spans="1:111" s="610" customFormat="1" ht="46.5" customHeight="1">
      <c r="A11" s="622">
        <v>1</v>
      </c>
      <c r="B11" s="622">
        <v>2</v>
      </c>
      <c r="C11" s="622">
        <v>3</v>
      </c>
      <c r="D11" s="622">
        <v>4</v>
      </c>
      <c r="E11" s="622">
        <v>5</v>
      </c>
      <c r="F11" s="622">
        <v>6</v>
      </c>
      <c r="G11" s="622">
        <v>7</v>
      </c>
      <c r="H11" s="622">
        <v>8</v>
      </c>
      <c r="I11" s="622">
        <v>9</v>
      </c>
      <c r="J11" s="622">
        <v>10</v>
      </c>
      <c r="K11" s="622">
        <v>11</v>
      </c>
      <c r="L11" s="622">
        <v>12</v>
      </c>
      <c r="M11" s="622">
        <v>13</v>
      </c>
      <c r="N11" s="622">
        <v>14</v>
      </c>
      <c r="O11" s="622">
        <v>15</v>
      </c>
      <c r="P11" s="622">
        <v>16</v>
      </c>
      <c r="Q11" s="622">
        <v>17</v>
      </c>
      <c r="R11" s="622">
        <v>18</v>
      </c>
      <c r="S11" s="622">
        <v>19</v>
      </c>
      <c r="T11" s="622">
        <v>20</v>
      </c>
      <c r="U11" s="616" t="s">
        <v>84</v>
      </c>
      <c r="V11" s="616" t="s">
        <v>71</v>
      </c>
      <c r="W11" s="616" t="s">
        <v>783</v>
      </c>
      <c r="X11" s="620" t="s">
        <v>72</v>
      </c>
      <c r="Y11" s="621" t="s">
        <v>784</v>
      </c>
      <c r="Z11" s="618" t="s">
        <v>785</v>
      </c>
      <c r="AA11" s="620" t="s">
        <v>113</v>
      </c>
      <c r="AB11" s="619" t="s">
        <v>786</v>
      </c>
      <c r="AC11" s="619" t="s">
        <v>787</v>
      </c>
      <c r="AD11" s="619" t="s">
        <v>788</v>
      </c>
      <c r="AE11" s="619" t="s">
        <v>789</v>
      </c>
      <c r="AF11" s="619" t="s">
        <v>790</v>
      </c>
      <c r="AG11" s="619" t="s">
        <v>791</v>
      </c>
      <c r="AH11" s="618" t="s">
        <v>74</v>
      </c>
      <c r="AI11" s="616" t="s">
        <v>79</v>
      </c>
      <c r="AJ11" s="616" t="s">
        <v>85</v>
      </c>
      <c r="AK11" s="616" t="s">
        <v>80</v>
      </c>
      <c r="AL11" s="594"/>
      <c r="AM11" s="616" t="s">
        <v>79</v>
      </c>
      <c r="AN11" s="616" t="s">
        <v>85</v>
      </c>
      <c r="AO11" s="616" t="s">
        <v>80</v>
      </c>
      <c r="AP11" s="617"/>
      <c r="AQ11" s="617"/>
      <c r="AR11" s="594"/>
      <c r="AS11" s="616" t="s">
        <v>79</v>
      </c>
      <c r="AT11" s="616" t="s">
        <v>85</v>
      </c>
      <c r="AU11" s="616" t="s">
        <v>80</v>
      </c>
      <c r="AV11" s="615" t="str">
        <f>[1]COMMANDE!K6</f>
        <v>liliangitton@yahoo.fr</v>
      </c>
      <c r="AW11" s="614"/>
      <c r="AX11" s="614"/>
      <c r="AY11" s="614" t="str">
        <f>[1]COMMANDE!Q6</f>
        <v>victoria.wetley@gmail.com</v>
      </c>
      <c r="AZ11" s="614"/>
      <c r="BA11" s="614"/>
      <c r="BB11" s="614" t="str">
        <f>[1]COMMANDE!S6</f>
        <v>jasmine.macia@hotmail.com</v>
      </c>
      <c r="BC11" s="614"/>
      <c r="BD11" s="614"/>
      <c r="BE11" s="614" t="str">
        <f>[1]COMMANDE!U6</f>
        <v>valerie.dslva@lilo.org</v>
      </c>
      <c r="BF11" s="614"/>
      <c r="BG11" s="614"/>
      <c r="BH11" s="614" t="str">
        <f>[1]COMMANDE!W6</f>
        <v>Email</v>
      </c>
      <c r="BI11" s="614"/>
      <c r="BJ11" s="614"/>
      <c r="BK11" s="614" t="str">
        <f>[1]COMMANDE!Y6</f>
        <v>Email</v>
      </c>
      <c r="BL11" s="614"/>
      <c r="BM11" s="614"/>
      <c r="BN11" s="614" t="str">
        <f>[1]COMMANDE!AA6</f>
        <v>Email</v>
      </c>
      <c r="BO11" s="614"/>
      <c r="BP11" s="614"/>
      <c r="BQ11" s="614" t="str">
        <f>[1]COMMANDE!AC6</f>
        <v>Email</v>
      </c>
      <c r="BR11" s="614"/>
      <c r="BS11" s="614"/>
      <c r="BT11" s="614" t="str">
        <f>[1]COMMANDE!AE6</f>
        <v>Email</v>
      </c>
      <c r="BU11" s="614"/>
      <c r="BV11" s="614"/>
      <c r="BW11" s="614" t="str">
        <f>[1]COMMANDE!AG6</f>
        <v>Email</v>
      </c>
      <c r="BX11" s="614"/>
      <c r="BY11" s="614"/>
      <c r="BZ11" s="614" t="str">
        <f>[1]COMMANDE!AI6</f>
        <v>Email</v>
      </c>
      <c r="CA11" s="614"/>
      <c r="CB11" s="614"/>
      <c r="CC11" s="614" t="str">
        <f>[1]COMMANDE!AK6</f>
        <v>Email</v>
      </c>
      <c r="CD11" s="614"/>
      <c r="CE11" s="614"/>
      <c r="CF11" s="614" t="str">
        <f>[1]COMMANDE!AM6</f>
        <v>Email</v>
      </c>
      <c r="CG11" s="614"/>
      <c r="CH11" s="614"/>
      <c r="CI11" s="614" t="str">
        <f>[1]COMMANDE!AO6</f>
        <v>Email</v>
      </c>
      <c r="CJ11" s="614"/>
      <c r="CK11" s="614"/>
      <c r="CL11" s="614" t="str">
        <f>[1]COMMANDE!AQ6</f>
        <v>Email</v>
      </c>
      <c r="CM11" s="614"/>
      <c r="CN11" s="614"/>
      <c r="CO11" s="614" t="str">
        <f>[1]COMMANDE!AS6</f>
        <v>Email</v>
      </c>
      <c r="CP11" s="614"/>
      <c r="CQ11" s="614"/>
      <c r="CR11" s="614" t="str">
        <f>[1]COMMANDE!AU6</f>
        <v>Email</v>
      </c>
      <c r="CS11" s="614"/>
      <c r="CT11" s="614"/>
      <c r="CU11" s="614" t="str">
        <f>[1]COMMANDE!AW6</f>
        <v>Email</v>
      </c>
      <c r="CV11" s="614"/>
      <c r="CW11" s="614"/>
      <c r="CX11" s="614" t="str">
        <f>[1]COMMANDE!AY6</f>
        <v>Email</v>
      </c>
      <c r="CY11" s="614"/>
      <c r="CZ11" s="614"/>
      <c r="DA11" s="614" t="str">
        <f>[1]COMMANDE!BA6</f>
        <v>Email</v>
      </c>
      <c r="DB11" s="614"/>
      <c r="DC11" s="613"/>
      <c r="DD11" s="612"/>
      <c r="DE11" s="611"/>
    </row>
    <row r="12" spans="1:111" ht="39.950000000000003" hidden="1" customHeight="1">
      <c r="A12" s="604">
        <f>IF(OR($AV12&gt;0, $AX12&gt;0), 1, 0)</f>
        <v>0</v>
      </c>
      <c r="B12" s="604">
        <f>IF(OR($AY12&gt;0, $BA12&gt;0), 1, 0)</f>
        <v>0</v>
      </c>
      <c r="C12" s="604">
        <f>IF(OR($BB12&gt;0, $BD12&gt;0), 1, 0)</f>
        <v>0</v>
      </c>
      <c r="D12" s="604">
        <f>IF(OR($BE12&gt;0, $BG12&gt;0), 1, 0)</f>
        <v>0</v>
      </c>
      <c r="E12" s="604">
        <f>IF(OR($BH12&gt;0, $BJ12&gt;0), 1, 0)</f>
        <v>0</v>
      </c>
      <c r="F12" s="604">
        <f>IF(OR($BK12&gt;0, $BM12&gt;0), 1, 0)</f>
        <v>0</v>
      </c>
      <c r="G12" s="604">
        <f>IF(OR($BN12&gt;0, $BP12&gt;0), 1, 0)</f>
        <v>0</v>
      </c>
      <c r="H12" s="604">
        <f>IF(OR($BQ12&gt;0, $BS12&gt;0), 1, 0)</f>
        <v>0</v>
      </c>
      <c r="I12" s="604">
        <f>IF(OR($BT12&gt;0, $BV12&gt;0), 1, 0)</f>
        <v>0</v>
      </c>
      <c r="J12" s="604">
        <f>IF(OR($BW12&gt;0, $BY12&gt;0), 1, 0)</f>
        <v>0</v>
      </c>
      <c r="K12" s="604">
        <f>IF(OR($BZ12&gt;0, $CB12&gt;0), 1, 0)</f>
        <v>0</v>
      </c>
      <c r="L12" s="604">
        <f>IF(OR($CC12&gt;0, $CE12&gt;0), 1, 0)</f>
        <v>0</v>
      </c>
      <c r="M12" s="604">
        <f>IF(OR($CF12&gt;0, $CH12&gt;0), 1, 0)</f>
        <v>0</v>
      </c>
      <c r="N12" s="604">
        <f>IF(OR($CI12&gt;0, $CK12&gt;0), 1, 0)</f>
        <v>0</v>
      </c>
      <c r="O12" s="604">
        <f>IF(OR($CL12&gt;0, $CN12&gt;0), 1, 0)</f>
        <v>0</v>
      </c>
      <c r="P12" s="604">
        <f>IF(OR($CO12&gt;0, $CQ12&gt;0), 1, 0)</f>
        <v>0</v>
      </c>
      <c r="Q12" s="604">
        <f>IF(OR($CR12&gt;0, $CT12&gt;0), 1, 0)</f>
        <v>0</v>
      </c>
      <c r="R12" s="604">
        <f>IF(OR($CU12&gt;0, $CW12&gt;0), 1, 0)</f>
        <v>0</v>
      </c>
      <c r="S12" s="604">
        <f>IF(OR($CX12&gt;0, $CZ12&gt;0), 1, 0)</f>
        <v>0</v>
      </c>
      <c r="T12" s="604">
        <f>IF(OR($DA12&gt;0, $DC12&gt;0), 1, 0)</f>
        <v>0</v>
      </c>
      <c r="U12" s="603">
        <f>IF(OR($AI12&gt;0,$AM12&gt;0,$AS12&gt;0), 1, 0)</f>
        <v>0</v>
      </c>
      <c r="V12" s="602">
        <f>[1]BDD!A2</f>
        <v>6096</v>
      </c>
      <c r="W12" s="601" t="str">
        <f>[1]BDD!B2</f>
        <v>Açaï en poudre iofilisée BIO (env. 250g)</v>
      </c>
      <c r="X12" s="600" t="str">
        <f>IF([1]BDD!F2=0, "", [1]BDD!F2)</f>
        <v>❤️</v>
      </c>
      <c r="Y12" s="542">
        <f>ROUND([1]BDD!G2+FDP_CMD_KG, 2)</f>
        <v>30.98</v>
      </c>
      <c r="Z12" s="542">
        <f>ROUND([1]BDD!G2+FDP_FACT_KG, 2)</f>
        <v>30.98</v>
      </c>
      <c r="AA12" s="543" t="str">
        <f>[1]BDD!H2</f>
        <v>Pièce</v>
      </c>
      <c r="AB12" s="544" t="str">
        <f>IF(NOT(ISBLANK([1]BDD!I2)), ROUND(SUM(([1]BDD!G2*reduc1),FDP_CMD_KG), 2), "")</f>
        <v/>
      </c>
      <c r="AC12" s="544" t="str">
        <f>IF(NOT(ISBLANK([1]BDD!J2)), ROUND(SUM(([1]BDD!G2*reduc2),FDP_CMD_KG), 2), "")</f>
        <v/>
      </c>
      <c r="AD12" s="544" t="str">
        <f>IF(NOT(ISBLANK([1]BDD!K2)), ROUND(SUM(([1]BDD!G2*reduc3),FDP_CMD_KG), 2), "")</f>
        <v/>
      </c>
      <c r="AE12" s="544" t="str">
        <f>IF(NOT(ISBLANK([1]BDD!I2)), ROUND(SUM(([1]BDD!G2*reduc1),FDP_FACT_KG), 2), "")</f>
        <v/>
      </c>
      <c r="AF12" s="544" t="str">
        <f>IF(NOT(ISBLANK([1]BDD!J2)), ROUND(SUM(([1]BDD!G2*reduc2),FDP_FACT_KG), 2), "")</f>
        <v/>
      </c>
      <c r="AG12" s="544" t="str">
        <f>IF(NOT(ISBLANK([1]BDD!K2)), ROUND(SUM(([1]BDD!G2*reduc3),FDP_FACT_KG), 2), "")</f>
        <v/>
      </c>
      <c r="AH12" s="599" t="str">
        <f>[1]BDD!C2</f>
        <v>Brésil</v>
      </c>
      <c r="AI12" s="598">
        <f>SUM(AV12,AY12,BB12,BE12,BH12,BK12,BN12,BQ12,BT12,BW12,BZ12,CC12,CF12,CI12,CL12,CO12,CR12,CU12,CX12,DA12)</f>
        <v>0</v>
      </c>
      <c r="AJ12" s="545">
        <f>_xlfn.IFS($AD12&lt;&gt;"", $AD12,    $AC12&lt;&gt;"", $AC12,    $AB12&lt;&gt;"", $AB12,    TRUE, $Y12)</f>
        <v>30.98</v>
      </c>
      <c r="AK12" s="592">
        <f>$AI12*$AJ12</f>
        <v>0</v>
      </c>
      <c r="AL12" s="594"/>
      <c r="AM12" s="597"/>
      <c r="AN12" s="545">
        <f>_xlfn.IFS(AND(AM12&gt;=60,$AG12&lt;&gt;""), $AG12,    AND(AM12&gt;=30,$AF12&lt;&gt;""), $AF12,    AND(AM12&gt;=10,$AE12&lt;&gt;""), $AE12,    TRUE, $Z12)</f>
        <v>30.98</v>
      </c>
      <c r="AO12" s="596">
        <f>AM12*AN12</f>
        <v>0</v>
      </c>
      <c r="AP12" s="595"/>
      <c r="AQ12" s="595"/>
      <c r="AR12" s="594"/>
      <c r="AS12" s="593">
        <f>SUM(AW12,AZ12,BC12,BF12,BI12,BL12,BO12,BR12,BU12,BX12,CA12,CD12,CG12,CJ12,CM12,CP12,CS12,CV12,CY12,DB12)</f>
        <v>0</v>
      </c>
      <c r="AT12" s="545">
        <f>_xlfn.IFS(AND(AS12&gt;=60,$AG12&lt;&gt;""), $AG12,    AND(AS12&gt;=30,$AF12&lt;&gt;""), $AF12,    AND(AS12&gt;=10,$AE12&lt;&gt;""), $AE12,    TRUE, $Z12)</f>
        <v>30.98</v>
      </c>
      <c r="AU12" s="592">
        <f>$AS12*$AT12</f>
        <v>0</v>
      </c>
      <c r="AV12" s="591">
        <f>[1]COMMANDE!O10</f>
        <v>0</v>
      </c>
      <c r="AW12" s="586" t="str">
        <f>_xlfn.IFS(AND($AI12=$AM12,$AI12&gt;0,$AM12&gt;0,AV12&gt;0), AV12,     AND(NOT($AI12=$AM12),$AI12&gt;0,$AM12&gt;0,AV12&gt;0), ($AM12*AV12)/$AI12,     AND($AI12=0,$AM12&gt;0,$AQ12&gt;0), IF(INDEX(AV$12:AV$263,MATCH($AQ12,$AP$12:$AP$263,0))&gt;0,($AM12*INDEX(AV$12:AV$263,MATCH($AQ12,$AP$12:$AP$263,0)))/INDEX($AI$12:$AI$263,MATCH($AQ12,$AP$12:$AP$263,0)), "-"),     TRUE, "0")</f>
        <v>0</v>
      </c>
      <c r="AX12" s="588">
        <f>IF(AW$9&gt;0, IF(OR(AW12="",AW12="-"), 0, AW12*$AT12), AV12*$AJ12)</f>
        <v>0</v>
      </c>
      <c r="AY12" s="587">
        <f>[1]COMMANDE!Q10</f>
        <v>0</v>
      </c>
      <c r="AZ12" s="586" t="str">
        <f>_xlfn.IFS(AND($AI12=$AM12,$AI12&gt;0,$AM12&gt;0,AY12&gt;0), AY12,     AND(NOT($AI12=$AM12),$AI12&gt;0,$AM12&gt;0,AY12&gt;0), ($AM12*AY12)/$AI12,     AND($AI12=0,$AM12&gt;0,$AQ12&gt;0), IF(INDEX(AY$12:AY$263,MATCH($AQ12,$AP$12:$AP$263,0))&gt;0,($AM12*INDEX(AY$12:AY$263,MATCH($AQ12,$AP$12:$AP$263,0)))/INDEX($AI$12:$AI$263,MATCH($AQ12,$AP$12:$AP$263,0)), "-"),     TRUE, "0")</f>
        <v>0</v>
      </c>
      <c r="BA12" s="607">
        <f>IF(AZ$9&gt;0, IF(OR(AZ12="",AZ12="-"), 0, AZ12*$AT12), AY12*$AJ12)</f>
        <v>0</v>
      </c>
      <c r="BB12" s="589">
        <f>[1]COMMANDE!S10</f>
        <v>0</v>
      </c>
      <c r="BC12" s="586" t="str">
        <f>_xlfn.IFS(AND($AI12=$AM12,$AI12&gt;0,$AM12&gt;0,BB12&gt;0), BB12,     AND(NOT($AI12=$AM12),$AI12&gt;0,$AM12&gt;0,BB12&gt;0), ($AM12*BB12)/$AI12,     AND($AI12=0,$AM12&gt;0,$AQ12&gt;0), IF(INDEX(BB$12:BB$263,MATCH($AQ12,$AP$12:$AP$263,0))&gt;0,($AM12*INDEX(BB$12:BB$263,MATCH($AQ12,$AP$12:$AP$263,0)))/INDEX($AI$12:$AI$263,MATCH($AQ12,$AP$12:$AP$263,0)), "-"),     TRUE, "0")</f>
        <v>0</v>
      </c>
      <c r="BD12" s="588">
        <f>IF(BC$9&gt;0, IF(OR(BC12="",BC12="-"), 0, BC12*$AT12), BB12*$AJ12)</f>
        <v>0</v>
      </c>
      <c r="BE12" s="587">
        <f>[1]COMMANDE!U10</f>
        <v>0</v>
      </c>
      <c r="BF12" s="586" t="str">
        <f>_xlfn.IFS(AND($AI12=$AM12,$AI12&gt;0,$AM12&gt;0,BE12&gt;0), BE12,     AND(NOT($AI12=$AM12),$AI12&gt;0,$AM12&gt;0,BE12&gt;0), ($AM12*BE12)/$AI12,     AND($AI12=0,$AM12&gt;0,$AQ12&gt;0), IF(INDEX(BE$12:BE$263,MATCH($AQ12,$AP$12:$AP$263,0))&gt;0,($AM12*INDEX(BE$12:BE$263,MATCH($AQ12,$AP$12:$AP$263,0)))/INDEX($AI$12:$AI$263,MATCH($AQ12,$AP$12:$AP$263,0)), "-"),     TRUE, "0")</f>
        <v>0</v>
      </c>
      <c r="BG12" s="607">
        <f>IF(BF$9&gt;0, IF(OR(BF12="",BF12="-"), 0, BF12*$AT12), BE12*$AJ12)</f>
        <v>0</v>
      </c>
      <c r="BH12" s="589">
        <f>[1]COMMANDE!W10</f>
        <v>0</v>
      </c>
      <c r="BI12" s="586" t="str">
        <f>_xlfn.IFS(AND($AI12=$AM12,$AI12&gt;0,$AM12&gt;0,BH12&gt;0), BH12,     AND(NOT($AI12=$AM12),$AI12&gt;0,$AM12&gt;0,BH12&gt;0), ($AM12*BH12)/$AI12,     AND($AI12=0,$AM12&gt;0,$AQ12&gt;0), IF(INDEX(BH$12:BH$263,MATCH($AQ12,$AP$12:$AP$263,0))&gt;0,($AM12*INDEX(BH$12:BH$263,MATCH($AQ12,$AP$12:$AP$263,0)))/INDEX($AI$12:$AI$263,MATCH($AQ12,$AP$12:$AP$263,0)), "-"),     TRUE, "0")</f>
        <v>0</v>
      </c>
      <c r="BJ12" s="588">
        <f>IF(BI$9&gt;0, IF(OR(BI12="",BI12="-"), 0, BI12*$AT12), BH12*$AJ12)</f>
        <v>0</v>
      </c>
      <c r="BK12" s="587">
        <f>[1]COMMANDE!Y10</f>
        <v>0</v>
      </c>
      <c r="BL12" s="586" t="str">
        <f>_xlfn.IFS(AND($AI12=$AM12,$AI12&gt;0,$AM12&gt;0,BK12&gt;0), BK12,     AND(NOT($AI12=$AM12),$AI12&gt;0,$AM12&gt;0,BK12&gt;0), ($AM12*BK12)/$AI12,     AND($AI12=0,$AM12&gt;0,$AQ12&gt;0), IF(INDEX(BK$12:BK$263,MATCH($AQ12,$AP$12:$AP$263,0))&gt;0,($AM12*INDEX(BK$12:BK$263,MATCH($AQ12,$AP$12:$AP$263,0)))/INDEX($AI$12:$AI$263,MATCH($AQ12,$AP$12:$AP$263,0)), "-"),     TRUE, "0")</f>
        <v>0</v>
      </c>
      <c r="BM12" s="607">
        <f>IF(BL$9&gt;0, IF(OR(BL12="",BL12="-"), 0, BL12*$AT12), BK12*$AJ12)</f>
        <v>0</v>
      </c>
      <c r="BN12" s="589">
        <f>[1]COMMANDE!AA10</f>
        <v>0</v>
      </c>
      <c r="BO12" s="586" t="str">
        <f>_xlfn.IFS(AND($AI12=$AM12,$AI12&gt;0,$AM12&gt;0,BN12&gt;0), BN12,     AND(NOT($AI12=$AM12),$AI12&gt;0,$AM12&gt;0,BN12&gt;0), ($AM12*BN12)/$AI12,     AND($AI12=0,$AM12&gt;0,$AQ12&gt;0), IF(INDEX(BN$12:BN$263,MATCH($AQ12,$AP$12:$AP$263,0))&gt;0,($AM12*INDEX(BN$12:BN$263,MATCH($AQ12,$AP$12:$AP$263,0)))/INDEX($AI$12:$AI$263,MATCH($AQ12,$AP$12:$AP$263,0)), "-"),     TRUE, "0")</f>
        <v>0</v>
      </c>
      <c r="BP12" s="588">
        <f>IF(BO$9&gt;0, IF(OR(BO12="",BO12="-"), 0, BO12*$AT12), BN12*$AJ12)</f>
        <v>0</v>
      </c>
      <c r="BQ12" s="587">
        <f>[1]COMMANDE!AC10</f>
        <v>0</v>
      </c>
      <c r="BR12" s="586" t="str">
        <f>_xlfn.IFS(AND($AI12=$AM12,$AI12&gt;0,$AM12&gt;0,BQ12&gt;0), BQ12,     AND(NOT($AI12=$AM12),$AI12&gt;0,$AM12&gt;0,BQ12&gt;0), ($AM12*BQ12)/$AI12,     AND($AI12=0,$AM12&gt;0,$AQ12&gt;0), IF(INDEX(BQ$12:BQ$263,MATCH($AQ12,$AP$12:$AP$263,0))&gt;0,($AM12*INDEX(BQ$12:BQ$263,MATCH($AQ12,$AP$12:$AP$263,0)))/INDEX($AI$12:$AI$263,MATCH($AQ12,$AP$12:$AP$263,0)), "-"),     TRUE, "0")</f>
        <v>0</v>
      </c>
      <c r="BS12" s="607">
        <f>IF(BR$9&gt;0, IF(OR(BR12="",BR12="-"), 0, BR12*$AT12), BQ12*$AJ12)</f>
        <v>0</v>
      </c>
      <c r="BT12" s="589">
        <f>[1]COMMANDE!AE10</f>
        <v>0</v>
      </c>
      <c r="BU12" s="586" t="str">
        <f>_xlfn.IFS(AND($AI12=$AM12,$AI12&gt;0,$AM12&gt;0,BT12&gt;0), BT12,     AND(NOT($AI12=$AM12),$AI12&gt;0,$AM12&gt;0,BT12&gt;0), ($AM12*BT12)/$AI12,     AND($AI12=0,$AM12&gt;0,$AQ12&gt;0), IF(INDEX(BT$12:BT$263,MATCH($AQ12,$AP$12:$AP$263,0))&gt;0,($AM12*INDEX(BT$12:BT$263,MATCH($AQ12,$AP$12:$AP$263,0)))/INDEX($AI$12:$AI$263,MATCH($AQ12,$AP$12:$AP$263,0)), "-"),     TRUE, "0")</f>
        <v>0</v>
      </c>
      <c r="BV12" s="588">
        <f>IF(BU$9&gt;0, IF(OR(BU12="",BU12="-"), 0, BU12*$AT12), BT12*$AJ12)</f>
        <v>0</v>
      </c>
      <c r="BW12" s="587">
        <f>[1]COMMANDE!AG10</f>
        <v>0</v>
      </c>
      <c r="BX12" s="586" t="str">
        <f>_xlfn.IFS(AND($AI12=$AM12,$AI12&gt;0,$AM12&gt;0,BW12&gt;0), BW12,     AND(NOT($AI12=$AM12),$AI12&gt;0,$AM12&gt;0,BW12&gt;0), ($AM12*BW12)/$AI12,     AND($AI12=0,$AM12&gt;0,$AQ12&gt;0), IF(INDEX(BW$12:BW$263,MATCH($AQ12,$AP$12:$AP$263,0))&gt;0,($AM12*INDEX(BW$12:BW$263,MATCH($AQ12,$AP$12:$AP$263,0)))/INDEX($AI$12:$AI$263,MATCH($AQ12,$AP$12:$AP$263,0)), "-"),     TRUE, "0")</f>
        <v>0</v>
      </c>
      <c r="BY12" s="607">
        <f>IF(BX$9&gt;0, IF(OR(BX12="",BX12="-"), 0, BX12*$AT12), BW12*$AJ12)</f>
        <v>0</v>
      </c>
      <c r="BZ12" s="589">
        <f>[1]COMMANDE!AI10</f>
        <v>0</v>
      </c>
      <c r="CA12" s="586" t="str">
        <f>_xlfn.IFS(AND($AI12=$AM12,$AI12&gt;0,$AM12&gt;0,BZ12&gt;0), BZ12,     AND(NOT($AI12=$AM12),$AI12&gt;0,$AM12&gt;0,BZ12&gt;0), ($AM12*BZ12)/$AI12,     AND($AI12=0,$AM12&gt;0,$AQ12&gt;0), IF(INDEX(BZ$12:BZ$263,MATCH($AQ12,$AP$12:$AP$263,0))&gt;0,($AM12*INDEX(BZ$12:BZ$263,MATCH($AQ12,$AP$12:$AP$263,0)))/INDEX($AI$12:$AI$263,MATCH($AQ12,$AP$12:$AP$263,0)), "-"),     TRUE, "0")</f>
        <v>0</v>
      </c>
      <c r="CB12" s="588">
        <f>IF(CA$9&gt;0, IF(OR(CA12="",CA12="-"), 0, CA12*$AT12), BZ12*$AJ12)</f>
        <v>0</v>
      </c>
      <c r="CC12" s="587">
        <f>[1]COMMANDE!AK10</f>
        <v>0</v>
      </c>
      <c r="CD12" s="586" t="str">
        <f>_xlfn.IFS(AND($AI12=$AM12,$AI12&gt;0,$AM12&gt;0,CC12&gt;0), CC12,     AND(NOT($AI12=$AM12),$AI12&gt;0,$AM12&gt;0,CC12&gt;0), ($AM12*CC12)/$AI12,     AND($AI12=0,$AM12&gt;0,$AQ12&gt;0), IF(INDEX(CC$12:CC$263,MATCH($AQ12,$AP$12:$AP$263,0))&gt;0,($AM12*INDEX(CC$12:CC$263,MATCH($AQ12,$AP$12:$AP$263,0)))/INDEX($AI$12:$AI$263,MATCH($AQ12,$AP$12:$AP$263,0)), "-"),     TRUE, "0")</f>
        <v>0</v>
      </c>
      <c r="CE12" s="607">
        <f>IF(CD$9&gt;0, IF(OR(CD12="",CD12="-"), 0, CD12*$AT12), CC12*$AJ12)</f>
        <v>0</v>
      </c>
      <c r="CF12" s="589">
        <f>[1]COMMANDE!AM10</f>
        <v>0</v>
      </c>
      <c r="CG12" s="586" t="str">
        <f>_xlfn.IFS(AND($AI12=$AM12,$AI12&gt;0,$AM12&gt;0,CF12&gt;0), CF12,     AND(NOT($AI12=$AM12),$AI12&gt;0,$AM12&gt;0,CF12&gt;0), ($AM12*CF12)/$AI12,     AND($AI12=0,$AM12&gt;0,$AQ12&gt;0), IF(INDEX(CF$12:CF$263,MATCH($AQ12,$AP$12:$AP$263,0))&gt;0,($AM12*INDEX(CF$12:CF$263,MATCH($AQ12,$AP$12:$AP$263,0)))/INDEX($AI$12:$AI$263,MATCH($AQ12,$AP$12:$AP$263,0)), "-"),     TRUE, "0")</f>
        <v>0</v>
      </c>
      <c r="CH12" s="588">
        <f>IF(CG$9&gt;0, IF(OR(CG12="",CG12="-"), 0, CG12*$AT12), CF12*$AJ12)</f>
        <v>0</v>
      </c>
      <c r="CI12" s="587">
        <f>[1]COMMANDE!AO10</f>
        <v>0</v>
      </c>
      <c r="CJ12" s="586" t="str">
        <f>_xlfn.IFS(AND($AI12=$AM12,$AI12&gt;0,$AM12&gt;0,CI12&gt;0), CI12,     AND(NOT($AI12=$AM12),$AI12&gt;0,$AM12&gt;0,CI12&gt;0), ($AM12*CI12)/$AI12,     AND($AI12=0,$AM12&gt;0,$AQ12&gt;0), IF(INDEX(CI$12:CI$263,MATCH($AQ12,$AP$12:$AP$263,0))&gt;0,($AM12*INDEX(CI$12:CI$263,MATCH($AQ12,$AP$12:$AP$263,0)))/INDEX($AI$12:$AI$263,MATCH($AQ12,$AP$12:$AP$263,0)), "-"),     TRUE, "0")</f>
        <v>0</v>
      </c>
      <c r="CK12" s="607">
        <f>IF(CJ$9&gt;0, IF(OR(CJ12="",CJ12="-"), 0, CJ12*$AT12), CI12*$AJ12)</f>
        <v>0</v>
      </c>
      <c r="CL12" s="589">
        <f>[1]COMMANDE!AQ10</f>
        <v>0</v>
      </c>
      <c r="CM12" s="586" t="str">
        <f>_xlfn.IFS(AND($AI12=$AM12,$AI12&gt;0,$AM12&gt;0,CL12&gt;0), CL12,     AND(NOT($AI12=$AM12),$AI12&gt;0,$AM12&gt;0,CL12&gt;0), ($AM12*CL12)/$AI12,     AND($AI12=0,$AM12&gt;0,$AQ12&gt;0), IF(INDEX(CL$12:CL$263,MATCH($AQ12,$AP$12:$AP$263,0))&gt;0,($AM12*INDEX(CL$12:CL$263,MATCH($AQ12,$AP$12:$AP$263,0)))/INDEX($AI$12:$AI$263,MATCH($AQ12,$AP$12:$AP$263,0)), "-"),     TRUE, "0")</f>
        <v>0</v>
      </c>
      <c r="CN12" s="588">
        <f>IF(CM$9&gt;0, IF(OR(CM12="",CM12="-"), 0, CM12*$AT12), CL12*$AJ12)</f>
        <v>0</v>
      </c>
      <c r="CO12" s="587">
        <f>[1]COMMANDE!AS10</f>
        <v>0</v>
      </c>
      <c r="CP12" s="586" t="str">
        <f>_xlfn.IFS(AND($AI12=$AM12,$AI12&gt;0,$AM12&gt;0,CO12&gt;0), CO12,     AND(NOT($AI12=$AM12),$AI12&gt;0,$AM12&gt;0,CO12&gt;0), ($AM12*CO12)/$AI12,     AND($AI12=0,$AM12&gt;0,$AQ12&gt;0), IF(INDEX(CO$12:CO$263,MATCH($AQ12,$AP$12:$AP$263,0))&gt;0,($AM12*INDEX(CO$12:CO$263,MATCH($AQ12,$AP$12:$AP$263,0)))/INDEX($AI$12:$AI$263,MATCH($AQ12,$AP$12:$AP$263,0)), "-"),     TRUE, "0")</f>
        <v>0</v>
      </c>
      <c r="CQ12" s="607">
        <f>IF(CP$9&gt;0, IF(OR(CP12="",CP12="-"), 0, CP12*$AT12), CO12*$AJ12)</f>
        <v>0</v>
      </c>
      <c r="CR12" s="589">
        <f>[1]COMMANDE!AU10</f>
        <v>0</v>
      </c>
      <c r="CS12" s="586" t="str">
        <f>_xlfn.IFS(AND($AI12=$AM12,$AI12&gt;0,$AM12&gt;0,CR12&gt;0), CR12,     AND(NOT($AI12=$AM12),$AI12&gt;0,$AM12&gt;0,CR12&gt;0), ($AM12*CR12)/$AI12,     AND($AI12=0,$AM12&gt;0,$AQ12&gt;0), IF(INDEX(CR$12:CR$263,MATCH($AQ12,$AP$12:$AP$263,0))&gt;0,($AM12*INDEX(CR$12:CR$263,MATCH($AQ12,$AP$12:$AP$263,0)))/INDEX($AI$12:$AI$263,MATCH($AQ12,$AP$12:$AP$263,0)), "-"),     TRUE, "0")</f>
        <v>0</v>
      </c>
      <c r="CT12" s="588">
        <f>IF(CS$9&gt;0, IF(OR(CS12="",CS12="-"), 0, CS12*$AT12), CR12*$AJ12)</f>
        <v>0</v>
      </c>
      <c r="CU12" s="587">
        <f>[1]COMMANDE!AW10</f>
        <v>0</v>
      </c>
      <c r="CV12" s="586" t="str">
        <f>_xlfn.IFS(AND($AI12=$AM12,$AI12&gt;0,$AM12&gt;0,CU12&gt;0), CU12,     AND(NOT($AI12=$AM12),$AI12&gt;0,$AM12&gt;0,CU12&gt;0), ($AM12*CU12)/$AI12,     AND($AI12=0,$AM12&gt;0,$AQ12&gt;0), IF(INDEX(CU$12:CU$263,MATCH($AQ12,$AP$12:$AP$263,0))&gt;0,($AM12*INDEX(CU$12:CU$263,MATCH($AQ12,$AP$12:$AP$263,0)))/INDEX($AI$12:$AI$263,MATCH($AQ12,$AP$12:$AP$263,0)), "-"),     TRUE, "0")</f>
        <v>0</v>
      </c>
      <c r="CW12" s="607">
        <f>IF(CV$9&gt;0, IF(OR(CV12="",CV12="-"), 0, CV12*$AT12), CU12*$AJ12)</f>
        <v>0</v>
      </c>
      <c r="CX12" s="589">
        <f>[1]COMMANDE!AY10</f>
        <v>0</v>
      </c>
      <c r="CY12" s="586" t="str">
        <f>_xlfn.IFS(AND($AI12=$AM12,$AI12&gt;0,$AM12&gt;0,CX12&gt;0), CX12,     AND(NOT($AI12=$AM12),$AI12&gt;0,$AM12&gt;0,CX12&gt;0), ($AM12*CX12)/$AI12,     AND($AI12=0,$AM12&gt;0,$AQ12&gt;0), IF(INDEX(CX$12:CX$263,MATCH($AQ12,$AP$12:$AP$263,0))&gt;0,($AM12*INDEX(CX$12:CX$263,MATCH($AQ12,$AP$12:$AP$263,0)))/INDEX($AI$12:$AI$263,MATCH($AQ12,$AP$12:$AP$263,0)), "-"),     TRUE, "0")</f>
        <v>0</v>
      </c>
      <c r="CZ12" s="588">
        <f>IF(CY$9&gt;0, IF(OR(CY12="",CY12="-"), 0, CY12*$AT12), CX12*$AJ12)</f>
        <v>0</v>
      </c>
      <c r="DA12" s="587">
        <f>[1]COMMANDE!BA10</f>
        <v>0</v>
      </c>
      <c r="DB12" s="586" t="str">
        <f>_xlfn.IFS(AND($AI12=$AM12,$AI12&gt;0,$AM12&gt;0,DA12&gt;0), DA12,     AND(NOT($AI12=$AM12),$AI12&gt;0,$AM12&gt;0,DA12&gt;0), ($AM12*DA12)/$AI12,     AND($AI12=0,$AM12&gt;0,$AQ12&gt;0), IF(INDEX(DA$12:DA$263,MATCH($AQ12,$AP$12:$AP$263,0))&gt;0,($AM12*INDEX(DA$12:DA$263,MATCH($AQ12,$AP$12:$AP$263,0)))/INDEX($AI$12:$AI$263,MATCH($AQ12,$AP$12:$AP$263,0)), "-"),     TRUE, "0")</f>
        <v>0</v>
      </c>
      <c r="DC12" s="606">
        <f>IF(DB$9&gt;0, IF(OR(DB12="",DB12="-"), 0, DB12*$AT12), DA12*$AJ12)</f>
        <v>0</v>
      </c>
      <c r="DD12" s="584"/>
      <c r="DE12" s="583"/>
    </row>
    <row r="13" spans="1:111" ht="39.950000000000003" hidden="1" customHeight="1">
      <c r="A13" s="604">
        <f>IF(OR($AV13&gt;0, $AX13&gt;0), 1, 0)</f>
        <v>0</v>
      </c>
      <c r="B13" s="604">
        <f>IF(OR($AY13&gt;0, $BA13&gt;0), 1, 0)</f>
        <v>0</v>
      </c>
      <c r="C13" s="604">
        <f>IF(OR($BB13&gt;0, $BD13&gt;0), 1, 0)</f>
        <v>0</v>
      </c>
      <c r="D13" s="604">
        <f>IF(OR($BE13&gt;0, $BG13&gt;0), 1, 0)</f>
        <v>0</v>
      </c>
      <c r="E13" s="604">
        <f>IF(OR($BH13&gt;0, $BJ13&gt;0), 1, 0)</f>
        <v>0</v>
      </c>
      <c r="F13" s="604">
        <f>IF(OR($BK13&gt;0, $BM13&gt;0), 1, 0)</f>
        <v>0</v>
      </c>
      <c r="G13" s="604">
        <f>IF(OR($BN13&gt;0, $BP13&gt;0), 1, 0)</f>
        <v>0</v>
      </c>
      <c r="H13" s="604">
        <f>IF(OR($BQ13&gt;0, $BS13&gt;0), 1, 0)</f>
        <v>0</v>
      </c>
      <c r="I13" s="604">
        <f>IF(OR($BT13&gt;0, $BV13&gt;0), 1, 0)</f>
        <v>0</v>
      </c>
      <c r="J13" s="604">
        <f>IF(OR($BW13&gt;0, $BY13&gt;0), 1, 0)</f>
        <v>0</v>
      </c>
      <c r="K13" s="604">
        <f>IF(OR($BZ13&gt;0, $CB13&gt;0), 1, 0)</f>
        <v>0</v>
      </c>
      <c r="L13" s="604">
        <f>IF(OR($CC13&gt;0, $CE13&gt;0), 1, 0)</f>
        <v>0</v>
      </c>
      <c r="M13" s="604">
        <f>IF(OR($CF13&gt;0, $CH13&gt;0), 1, 0)</f>
        <v>0</v>
      </c>
      <c r="N13" s="604">
        <f>IF(OR($CI13&gt;0, $CK13&gt;0), 1, 0)</f>
        <v>0</v>
      </c>
      <c r="O13" s="604">
        <f>IF(OR($CL13&gt;0, $CN13&gt;0), 1, 0)</f>
        <v>0</v>
      </c>
      <c r="P13" s="604">
        <f>IF(OR($CO13&gt;0, $CQ13&gt;0), 1, 0)</f>
        <v>0</v>
      </c>
      <c r="Q13" s="604">
        <f>IF(OR($CR13&gt;0, $CT13&gt;0), 1, 0)</f>
        <v>0</v>
      </c>
      <c r="R13" s="604">
        <f>IF(OR($CU13&gt;0, $CW13&gt;0), 1, 0)</f>
        <v>0</v>
      </c>
      <c r="S13" s="604">
        <f>IF(OR($CX13&gt;0, $CZ13&gt;0), 1, 0)</f>
        <v>0</v>
      </c>
      <c r="T13" s="604">
        <f>IF(OR($DA13&gt;0, $DC13&gt;0), 1, 0)</f>
        <v>0</v>
      </c>
      <c r="U13" s="603">
        <f>IF(OR($AI13&gt;0,$AM13&gt;0,$AS13&gt;0), 1, 0)</f>
        <v>0</v>
      </c>
      <c r="V13" s="602" t="str">
        <f>[1]BDD!A3</f>
        <v>1100-1312</v>
      </c>
      <c r="W13" s="601" t="str">
        <f>[1]BDD!B3</f>
        <v>Ail blanc ou violet BIO</v>
      </c>
      <c r="X13" s="600" t="str">
        <f>IF([1]BDD!F3=0, "", [1]BDD!F3)</f>
        <v xml:space="preserve"> </v>
      </c>
      <c r="Y13" s="542">
        <f>ROUND([1]BDD!G3+FDP_CMD_KG, 2)</f>
        <v>9.35</v>
      </c>
      <c r="Z13" s="542">
        <f>ROUND([1]BDD!G3+FDP_FACT_KG, 2)</f>
        <v>9.35</v>
      </c>
      <c r="AA13" s="543" t="str">
        <f>[1]BDD!H3</f>
        <v>kg</v>
      </c>
      <c r="AB13" s="544">
        <f>IF(NOT(ISBLANK([1]BDD!I3)), ROUND(SUM(([1]BDD!G3*reduc1),FDP_CMD_KG), 2), "")</f>
        <v>8.51</v>
      </c>
      <c r="AC13" s="544" t="str">
        <f>IF(NOT(ISBLANK([1]BDD!J3)), ROUND(SUM(([1]BDD!G3*reduc2),FDP_CMD_KG), 2), "")</f>
        <v/>
      </c>
      <c r="AD13" s="544" t="str">
        <f>IF(NOT(ISBLANK([1]BDD!K3)), ROUND(SUM(([1]BDD!G3*reduc3),FDP_CMD_KG), 2), "")</f>
        <v/>
      </c>
      <c r="AE13" s="544">
        <f>IF(NOT(ISBLANK([1]BDD!I3)), ROUND(SUM(([1]BDD!G3*reduc1),FDP_FACT_KG), 2), "")</f>
        <v>8.5</v>
      </c>
      <c r="AF13" s="544" t="str">
        <f>IF(NOT(ISBLANK([1]BDD!J3)), ROUND(SUM(([1]BDD!G3*reduc2),FDP_FACT_KG), 2), "")</f>
        <v/>
      </c>
      <c r="AG13" s="544" t="str">
        <f>IF(NOT(ISBLANK([1]BDD!K3)), ROUND(SUM(([1]BDD!G3*reduc3),FDP_FACT_KG), 2), "")</f>
        <v/>
      </c>
      <c r="AH13" s="599" t="str">
        <f>[1]BDD!C3</f>
        <v>Malaga</v>
      </c>
      <c r="AI13" s="598">
        <f>SUM(AV13,AY13,BB13,BE13,BH13,BK13,BN13,BQ13,BT13,BW13,BZ13,CC13,CF13,CI13,CL13,CO13,CR13,CU13,CX13,DA13)</f>
        <v>0</v>
      </c>
      <c r="AJ13" s="545">
        <f>_xlfn.IFS($AD13&lt;&gt;"", $AD13,    $AC13&lt;&gt;"", $AC13,    $AB13&lt;&gt;"", $AB13,    TRUE, $Y13)</f>
        <v>8.51</v>
      </c>
      <c r="AK13" s="592">
        <f>$AI13*$AJ13</f>
        <v>0</v>
      </c>
      <c r="AL13" s="594"/>
      <c r="AM13" s="597"/>
      <c r="AN13" s="545">
        <f>_xlfn.IFS(AND(AM13&gt;=60,$AG13&lt;&gt;""), $AG13,    AND(AM13&gt;=30,$AF13&lt;&gt;""), $AF13,    AND(AM13&gt;=10,$AE13&lt;&gt;""), $AE13,    TRUE, $Z13)</f>
        <v>9.35</v>
      </c>
      <c r="AO13" s="596">
        <f>AM13*AN13</f>
        <v>0</v>
      </c>
      <c r="AP13" s="595"/>
      <c r="AQ13" s="595"/>
      <c r="AR13" s="594"/>
      <c r="AS13" s="593">
        <f>SUM(AW13,AZ13,BC13,BF13,BI13,BL13,BO13,BR13,BU13,BX13,CA13,CD13,CG13,CJ13,CM13,CP13,CS13,CV13,CY13,DB13)</f>
        <v>0</v>
      </c>
      <c r="AT13" s="545">
        <f>_xlfn.IFS(AND(AS13&gt;=60,$AG13&lt;&gt;""), $AG13,    AND(AS13&gt;=30,$AF13&lt;&gt;""), $AF13,    AND(AS13&gt;=10,$AE13&lt;&gt;""), $AE13,    TRUE, $Z13)</f>
        <v>9.35</v>
      </c>
      <c r="AU13" s="592">
        <f>$AS13*$AT13</f>
        <v>0</v>
      </c>
      <c r="AV13" s="591">
        <f>[1]COMMANDE!O11</f>
        <v>0</v>
      </c>
      <c r="AW13" s="586" t="str">
        <f>_xlfn.IFS(AND($AI13=$AM13,$AI13&gt;0,$AM13&gt;0,AV13&gt;0), AV13,     AND(NOT($AI13=$AM13),$AI13&gt;0,$AM13&gt;0,AV13&gt;0), ($AM13*AV13)/$AI13,     AND($AI13=0,$AM13&gt;0,$AQ13&gt;0), IF(INDEX(AV$12:AV$263,MATCH($AQ13,$AP$12:$AP$263,0))&gt;0,($AM13*INDEX(AV$12:AV$263,MATCH($AQ13,$AP$12:$AP$263,0)))/INDEX($AI$12:$AI$263,MATCH($AQ13,$AP$12:$AP$263,0)), "-"),     TRUE, "0")</f>
        <v>0</v>
      </c>
      <c r="AX13" s="588">
        <f>IF(AW$9&gt;0, IF(OR(AW13="",AW13="-"), 0, AW13*$AT13), AV13*$AJ13)</f>
        <v>0</v>
      </c>
      <c r="AY13" s="587">
        <f>[1]COMMANDE!Q11</f>
        <v>0</v>
      </c>
      <c r="AZ13" s="586" t="str">
        <f>_xlfn.IFS(AND($AI13=$AM13,$AI13&gt;0,$AM13&gt;0,AY13&gt;0), AY13,     AND(NOT($AI13=$AM13),$AI13&gt;0,$AM13&gt;0,AY13&gt;0), ($AM13*AY13)/$AI13,     AND($AI13=0,$AM13&gt;0,$AQ13&gt;0), IF(INDEX(AY$12:AY$263,MATCH($AQ13,$AP$12:$AP$263,0))&gt;0,($AM13*INDEX(AY$12:AY$263,MATCH($AQ13,$AP$12:$AP$263,0)))/INDEX($AI$12:$AI$263,MATCH($AQ13,$AP$12:$AP$263,0)), "-"),     TRUE, "0")</f>
        <v>0</v>
      </c>
      <c r="BA13" s="607">
        <f>IF(AZ$9&gt;0, IF(OR(AZ13="",AZ13="-"), 0, AZ13*$AT13), AY13*$AJ13)</f>
        <v>0</v>
      </c>
      <c r="BB13" s="589">
        <f>[1]COMMANDE!S11</f>
        <v>0</v>
      </c>
      <c r="BC13" s="586" t="str">
        <f>_xlfn.IFS(AND($AI13=$AM13,$AI13&gt;0,$AM13&gt;0,BB13&gt;0), BB13,     AND(NOT($AI13=$AM13),$AI13&gt;0,$AM13&gt;0,BB13&gt;0), ($AM13*BB13)/$AI13,     AND($AI13=0,$AM13&gt;0,$AQ13&gt;0), IF(INDEX(BB$12:BB$263,MATCH($AQ13,$AP$12:$AP$263,0))&gt;0,($AM13*INDEX(BB$12:BB$263,MATCH($AQ13,$AP$12:$AP$263,0)))/INDEX($AI$12:$AI$263,MATCH($AQ13,$AP$12:$AP$263,0)), "-"),     TRUE, "0")</f>
        <v>0</v>
      </c>
      <c r="BD13" s="588">
        <f>IF(BC$9&gt;0, IF(OR(BC13="",BC13="-"), 0, BC13*$AT13), BB13*$AJ13)</f>
        <v>0</v>
      </c>
      <c r="BE13" s="587">
        <f>[1]COMMANDE!U11</f>
        <v>0</v>
      </c>
      <c r="BF13" s="586" t="str">
        <f>_xlfn.IFS(AND($AI13=$AM13,$AI13&gt;0,$AM13&gt;0,BE13&gt;0), BE13,     AND(NOT($AI13=$AM13),$AI13&gt;0,$AM13&gt;0,BE13&gt;0), ($AM13*BE13)/$AI13,     AND($AI13=0,$AM13&gt;0,$AQ13&gt;0), IF(INDEX(BE$12:BE$263,MATCH($AQ13,$AP$12:$AP$263,0))&gt;0,($AM13*INDEX(BE$12:BE$263,MATCH($AQ13,$AP$12:$AP$263,0)))/INDEX($AI$12:$AI$263,MATCH($AQ13,$AP$12:$AP$263,0)), "-"),     TRUE, "0")</f>
        <v>0</v>
      </c>
      <c r="BG13" s="607">
        <f>IF(BF$9&gt;0, IF(OR(BF13="",BF13="-"), 0, BF13*$AT13), BE13*$AJ13)</f>
        <v>0</v>
      </c>
      <c r="BH13" s="589">
        <f>[1]COMMANDE!W11</f>
        <v>0</v>
      </c>
      <c r="BI13" s="586" t="str">
        <f>_xlfn.IFS(AND($AI13=$AM13,$AI13&gt;0,$AM13&gt;0,BH13&gt;0), BH13,     AND(NOT($AI13=$AM13),$AI13&gt;0,$AM13&gt;0,BH13&gt;0), ($AM13*BH13)/$AI13,     AND($AI13=0,$AM13&gt;0,$AQ13&gt;0), IF(INDEX(BH$12:BH$263,MATCH($AQ13,$AP$12:$AP$263,0))&gt;0,($AM13*INDEX(BH$12:BH$263,MATCH($AQ13,$AP$12:$AP$263,0)))/INDEX($AI$12:$AI$263,MATCH($AQ13,$AP$12:$AP$263,0)), "-"),     TRUE, "0")</f>
        <v>0</v>
      </c>
      <c r="BJ13" s="588">
        <f>IF(BI$9&gt;0, IF(OR(BI13="",BI13="-"), 0, BI13*$AT13), BH13*$AJ13)</f>
        <v>0</v>
      </c>
      <c r="BK13" s="587">
        <f>[1]COMMANDE!Y11</f>
        <v>0</v>
      </c>
      <c r="BL13" s="586" t="str">
        <f>_xlfn.IFS(AND($AI13=$AM13,$AI13&gt;0,$AM13&gt;0,BK13&gt;0), BK13,     AND(NOT($AI13=$AM13),$AI13&gt;0,$AM13&gt;0,BK13&gt;0), ($AM13*BK13)/$AI13,     AND($AI13=0,$AM13&gt;0,$AQ13&gt;0), IF(INDEX(BK$12:BK$263,MATCH($AQ13,$AP$12:$AP$263,0))&gt;0,($AM13*INDEX(BK$12:BK$263,MATCH($AQ13,$AP$12:$AP$263,0)))/INDEX($AI$12:$AI$263,MATCH($AQ13,$AP$12:$AP$263,0)), "-"),     TRUE, "0")</f>
        <v>0</v>
      </c>
      <c r="BM13" s="607">
        <f>IF(BL$9&gt;0, IF(OR(BL13="",BL13="-"), 0, BL13*$AT13), BK13*$AJ13)</f>
        <v>0</v>
      </c>
      <c r="BN13" s="589">
        <f>[1]COMMANDE!AA11</f>
        <v>0</v>
      </c>
      <c r="BO13" s="586" t="str">
        <f>_xlfn.IFS(AND($AI13=$AM13,$AI13&gt;0,$AM13&gt;0,BN13&gt;0), BN13,     AND(NOT($AI13=$AM13),$AI13&gt;0,$AM13&gt;0,BN13&gt;0), ($AM13*BN13)/$AI13,     AND($AI13=0,$AM13&gt;0,$AQ13&gt;0), IF(INDEX(BN$12:BN$263,MATCH($AQ13,$AP$12:$AP$263,0))&gt;0,($AM13*INDEX(BN$12:BN$263,MATCH($AQ13,$AP$12:$AP$263,0)))/INDEX($AI$12:$AI$263,MATCH($AQ13,$AP$12:$AP$263,0)), "-"),     TRUE, "0")</f>
        <v>0</v>
      </c>
      <c r="BP13" s="588">
        <f>IF(BO$9&gt;0, IF(OR(BO13="",BO13="-"), 0, BO13*$AT13), BN13*$AJ13)</f>
        <v>0</v>
      </c>
      <c r="BQ13" s="587">
        <f>[1]COMMANDE!AC11</f>
        <v>0</v>
      </c>
      <c r="BR13" s="586" t="str">
        <f>_xlfn.IFS(AND($AI13=$AM13,$AI13&gt;0,$AM13&gt;0,BQ13&gt;0), BQ13,     AND(NOT($AI13=$AM13),$AI13&gt;0,$AM13&gt;0,BQ13&gt;0), ($AM13*BQ13)/$AI13,     AND($AI13=0,$AM13&gt;0,$AQ13&gt;0), IF(INDEX(BQ$12:BQ$263,MATCH($AQ13,$AP$12:$AP$263,0))&gt;0,($AM13*INDEX(BQ$12:BQ$263,MATCH($AQ13,$AP$12:$AP$263,0)))/INDEX($AI$12:$AI$263,MATCH($AQ13,$AP$12:$AP$263,0)), "-"),     TRUE, "0")</f>
        <v>0</v>
      </c>
      <c r="BS13" s="607">
        <f>IF(BR$9&gt;0, IF(OR(BR13="",BR13="-"), 0, BR13*$AT13), BQ13*$AJ13)</f>
        <v>0</v>
      </c>
      <c r="BT13" s="589">
        <f>[1]COMMANDE!AE11</f>
        <v>0</v>
      </c>
      <c r="BU13" s="586" t="str">
        <f>_xlfn.IFS(AND($AI13=$AM13,$AI13&gt;0,$AM13&gt;0,BT13&gt;0), BT13,     AND(NOT($AI13=$AM13),$AI13&gt;0,$AM13&gt;0,BT13&gt;0), ($AM13*BT13)/$AI13,     AND($AI13=0,$AM13&gt;0,$AQ13&gt;0), IF(INDEX(BT$12:BT$263,MATCH($AQ13,$AP$12:$AP$263,0))&gt;0,($AM13*INDEX(BT$12:BT$263,MATCH($AQ13,$AP$12:$AP$263,0)))/INDEX($AI$12:$AI$263,MATCH($AQ13,$AP$12:$AP$263,0)), "-"),     TRUE, "0")</f>
        <v>0</v>
      </c>
      <c r="BV13" s="588">
        <f>IF(BU$9&gt;0, IF(OR(BU13="",BU13="-"), 0, BU13*$AT13), BT13*$AJ13)</f>
        <v>0</v>
      </c>
      <c r="BW13" s="587">
        <f>[1]COMMANDE!AG11</f>
        <v>0</v>
      </c>
      <c r="BX13" s="586" t="str">
        <f>_xlfn.IFS(AND($AI13=$AM13,$AI13&gt;0,$AM13&gt;0,BW13&gt;0), BW13,     AND(NOT($AI13=$AM13),$AI13&gt;0,$AM13&gt;0,BW13&gt;0), ($AM13*BW13)/$AI13,     AND($AI13=0,$AM13&gt;0,$AQ13&gt;0), IF(INDEX(BW$12:BW$263,MATCH($AQ13,$AP$12:$AP$263,0))&gt;0,($AM13*INDEX(BW$12:BW$263,MATCH($AQ13,$AP$12:$AP$263,0)))/INDEX($AI$12:$AI$263,MATCH($AQ13,$AP$12:$AP$263,0)), "-"),     TRUE, "0")</f>
        <v>0</v>
      </c>
      <c r="BY13" s="607">
        <f>IF(BX$9&gt;0, IF(OR(BX13="",BX13="-"), 0, BX13*$AT13), BW13*$AJ13)</f>
        <v>0</v>
      </c>
      <c r="BZ13" s="589">
        <f>[1]COMMANDE!AI11</f>
        <v>0</v>
      </c>
      <c r="CA13" s="586" t="str">
        <f>_xlfn.IFS(AND($AI13=$AM13,$AI13&gt;0,$AM13&gt;0,BZ13&gt;0), BZ13,     AND(NOT($AI13=$AM13),$AI13&gt;0,$AM13&gt;0,BZ13&gt;0), ($AM13*BZ13)/$AI13,     AND($AI13=0,$AM13&gt;0,$AQ13&gt;0), IF(INDEX(BZ$12:BZ$263,MATCH($AQ13,$AP$12:$AP$263,0))&gt;0,($AM13*INDEX(BZ$12:BZ$263,MATCH($AQ13,$AP$12:$AP$263,0)))/INDEX($AI$12:$AI$263,MATCH($AQ13,$AP$12:$AP$263,0)), "-"),     TRUE, "0")</f>
        <v>0</v>
      </c>
      <c r="CB13" s="588">
        <f>IF(CA$9&gt;0, IF(OR(CA13="",CA13="-"), 0, CA13*$AT13), BZ13*$AJ13)</f>
        <v>0</v>
      </c>
      <c r="CC13" s="587">
        <f>[1]COMMANDE!AK11</f>
        <v>0</v>
      </c>
      <c r="CD13" s="586" t="str">
        <f>_xlfn.IFS(AND($AI13=$AM13,$AI13&gt;0,$AM13&gt;0,CC13&gt;0), CC13,     AND(NOT($AI13=$AM13),$AI13&gt;0,$AM13&gt;0,CC13&gt;0), ($AM13*CC13)/$AI13,     AND($AI13=0,$AM13&gt;0,$AQ13&gt;0), IF(INDEX(CC$12:CC$263,MATCH($AQ13,$AP$12:$AP$263,0))&gt;0,($AM13*INDEX(CC$12:CC$263,MATCH($AQ13,$AP$12:$AP$263,0)))/INDEX($AI$12:$AI$263,MATCH($AQ13,$AP$12:$AP$263,0)), "-"),     TRUE, "0")</f>
        <v>0</v>
      </c>
      <c r="CE13" s="607">
        <f>IF(CD$9&gt;0, IF(OR(CD13="",CD13="-"), 0, CD13*$AT13), CC13*$AJ13)</f>
        <v>0</v>
      </c>
      <c r="CF13" s="589">
        <f>[1]COMMANDE!AM11</f>
        <v>0</v>
      </c>
      <c r="CG13" s="586" t="str">
        <f>_xlfn.IFS(AND($AI13=$AM13,$AI13&gt;0,$AM13&gt;0,CF13&gt;0), CF13,     AND(NOT($AI13=$AM13),$AI13&gt;0,$AM13&gt;0,CF13&gt;0), ($AM13*CF13)/$AI13,     AND($AI13=0,$AM13&gt;0,$AQ13&gt;0), IF(INDEX(CF$12:CF$263,MATCH($AQ13,$AP$12:$AP$263,0))&gt;0,($AM13*INDEX(CF$12:CF$263,MATCH($AQ13,$AP$12:$AP$263,0)))/INDEX($AI$12:$AI$263,MATCH($AQ13,$AP$12:$AP$263,0)), "-"),     TRUE, "0")</f>
        <v>0</v>
      </c>
      <c r="CH13" s="588">
        <f>IF(CG$9&gt;0, IF(OR(CG13="",CG13="-"), 0, CG13*$AT13), CF13*$AJ13)</f>
        <v>0</v>
      </c>
      <c r="CI13" s="587">
        <f>[1]COMMANDE!AO11</f>
        <v>0</v>
      </c>
      <c r="CJ13" s="586" t="str">
        <f>_xlfn.IFS(AND($AI13=$AM13,$AI13&gt;0,$AM13&gt;0,CI13&gt;0), CI13,     AND(NOT($AI13=$AM13),$AI13&gt;0,$AM13&gt;0,CI13&gt;0), ($AM13*CI13)/$AI13,     AND($AI13=0,$AM13&gt;0,$AQ13&gt;0), IF(INDEX(CI$12:CI$263,MATCH($AQ13,$AP$12:$AP$263,0))&gt;0,($AM13*INDEX(CI$12:CI$263,MATCH($AQ13,$AP$12:$AP$263,0)))/INDEX($AI$12:$AI$263,MATCH($AQ13,$AP$12:$AP$263,0)), "-"),     TRUE, "0")</f>
        <v>0</v>
      </c>
      <c r="CK13" s="607">
        <f>IF(CJ$9&gt;0, IF(OR(CJ13="",CJ13="-"), 0, CJ13*$AT13), CI13*$AJ13)</f>
        <v>0</v>
      </c>
      <c r="CL13" s="589">
        <f>[1]COMMANDE!AQ11</f>
        <v>0</v>
      </c>
      <c r="CM13" s="586" t="str">
        <f>_xlfn.IFS(AND($AI13=$AM13,$AI13&gt;0,$AM13&gt;0,CL13&gt;0), CL13,     AND(NOT($AI13=$AM13),$AI13&gt;0,$AM13&gt;0,CL13&gt;0), ($AM13*CL13)/$AI13,     AND($AI13=0,$AM13&gt;0,$AQ13&gt;0), IF(INDEX(CL$12:CL$263,MATCH($AQ13,$AP$12:$AP$263,0))&gt;0,($AM13*INDEX(CL$12:CL$263,MATCH($AQ13,$AP$12:$AP$263,0)))/INDEX($AI$12:$AI$263,MATCH($AQ13,$AP$12:$AP$263,0)), "-"),     TRUE, "0")</f>
        <v>0</v>
      </c>
      <c r="CN13" s="588">
        <f>IF(CM$9&gt;0, IF(OR(CM13="",CM13="-"), 0, CM13*$AT13), CL13*$AJ13)</f>
        <v>0</v>
      </c>
      <c r="CO13" s="587">
        <f>[1]COMMANDE!AS11</f>
        <v>0</v>
      </c>
      <c r="CP13" s="586" t="str">
        <f>_xlfn.IFS(AND($AI13=$AM13,$AI13&gt;0,$AM13&gt;0,CO13&gt;0), CO13,     AND(NOT($AI13=$AM13),$AI13&gt;0,$AM13&gt;0,CO13&gt;0), ($AM13*CO13)/$AI13,     AND($AI13=0,$AM13&gt;0,$AQ13&gt;0), IF(INDEX(CO$12:CO$263,MATCH($AQ13,$AP$12:$AP$263,0))&gt;0,($AM13*INDEX(CO$12:CO$263,MATCH($AQ13,$AP$12:$AP$263,0)))/INDEX($AI$12:$AI$263,MATCH($AQ13,$AP$12:$AP$263,0)), "-"),     TRUE, "0")</f>
        <v>0</v>
      </c>
      <c r="CQ13" s="607">
        <f>IF(CP$9&gt;0, IF(OR(CP13="",CP13="-"), 0, CP13*$AT13), CO13*$AJ13)</f>
        <v>0</v>
      </c>
      <c r="CR13" s="589">
        <f>[1]COMMANDE!AU11</f>
        <v>0</v>
      </c>
      <c r="CS13" s="586" t="str">
        <f>_xlfn.IFS(AND($AI13=$AM13,$AI13&gt;0,$AM13&gt;0,CR13&gt;0), CR13,     AND(NOT($AI13=$AM13),$AI13&gt;0,$AM13&gt;0,CR13&gt;0), ($AM13*CR13)/$AI13,     AND($AI13=0,$AM13&gt;0,$AQ13&gt;0), IF(INDEX(CR$12:CR$263,MATCH($AQ13,$AP$12:$AP$263,0))&gt;0,($AM13*INDEX(CR$12:CR$263,MATCH($AQ13,$AP$12:$AP$263,0)))/INDEX($AI$12:$AI$263,MATCH($AQ13,$AP$12:$AP$263,0)), "-"),     TRUE, "0")</f>
        <v>0</v>
      </c>
      <c r="CT13" s="588">
        <f>IF(CS$9&gt;0, IF(OR(CS13="",CS13="-"), 0, CS13*$AT13), CR13*$AJ13)</f>
        <v>0</v>
      </c>
      <c r="CU13" s="587">
        <f>[1]COMMANDE!AW11</f>
        <v>0</v>
      </c>
      <c r="CV13" s="586" t="str">
        <f>_xlfn.IFS(AND($AI13=$AM13,$AI13&gt;0,$AM13&gt;0,CU13&gt;0), CU13,     AND(NOT($AI13=$AM13),$AI13&gt;0,$AM13&gt;0,CU13&gt;0), ($AM13*CU13)/$AI13,     AND($AI13=0,$AM13&gt;0,$AQ13&gt;0), IF(INDEX(CU$12:CU$263,MATCH($AQ13,$AP$12:$AP$263,0))&gt;0,($AM13*INDEX(CU$12:CU$263,MATCH($AQ13,$AP$12:$AP$263,0)))/INDEX($AI$12:$AI$263,MATCH($AQ13,$AP$12:$AP$263,0)), "-"),     TRUE, "0")</f>
        <v>0</v>
      </c>
      <c r="CW13" s="607">
        <f>IF(CV$9&gt;0, IF(OR(CV13="",CV13="-"), 0, CV13*$AT13), CU13*$AJ13)</f>
        <v>0</v>
      </c>
      <c r="CX13" s="589">
        <f>[1]COMMANDE!AY11</f>
        <v>0</v>
      </c>
      <c r="CY13" s="586" t="str">
        <f>_xlfn.IFS(AND($AI13=$AM13,$AI13&gt;0,$AM13&gt;0,CX13&gt;0), CX13,     AND(NOT($AI13=$AM13),$AI13&gt;0,$AM13&gt;0,CX13&gt;0), ($AM13*CX13)/$AI13,     AND($AI13=0,$AM13&gt;0,$AQ13&gt;0), IF(INDEX(CX$12:CX$263,MATCH($AQ13,$AP$12:$AP$263,0))&gt;0,($AM13*INDEX(CX$12:CX$263,MATCH($AQ13,$AP$12:$AP$263,0)))/INDEX($AI$12:$AI$263,MATCH($AQ13,$AP$12:$AP$263,0)), "-"),     TRUE, "0")</f>
        <v>0</v>
      </c>
      <c r="CZ13" s="588">
        <f>IF(CY$9&gt;0, IF(OR(CY13="",CY13="-"), 0, CY13*$AT13), CX13*$AJ13)</f>
        <v>0</v>
      </c>
      <c r="DA13" s="587">
        <f>[1]COMMANDE!BA11</f>
        <v>0</v>
      </c>
      <c r="DB13" s="586" t="str">
        <f>_xlfn.IFS(AND($AI13=$AM13,$AI13&gt;0,$AM13&gt;0,DA13&gt;0), DA13,     AND(NOT($AI13=$AM13),$AI13&gt;0,$AM13&gt;0,DA13&gt;0), ($AM13*DA13)/$AI13,     AND($AI13=0,$AM13&gt;0,$AQ13&gt;0), IF(INDEX(DA$12:DA$263,MATCH($AQ13,$AP$12:$AP$263,0))&gt;0,($AM13*INDEX(DA$12:DA$263,MATCH($AQ13,$AP$12:$AP$263,0)))/INDEX($AI$12:$AI$263,MATCH($AQ13,$AP$12:$AP$263,0)), "-"),     TRUE, "0")</f>
        <v>0</v>
      </c>
      <c r="DC13" s="606">
        <f>IF(DB$9&gt;0, IF(OR(DB13="",DB13="-"), 0, DB13*$AT13), DA13*$AJ13)</f>
        <v>0</v>
      </c>
      <c r="DD13" s="584"/>
      <c r="DE13" s="583"/>
    </row>
    <row r="14" spans="1:111" ht="39.950000000000003" hidden="1" customHeight="1">
      <c r="A14" s="604">
        <f>IF(OR($AV14&gt;0, $AX14&gt;0), 1, 0)</f>
        <v>0</v>
      </c>
      <c r="B14" s="604">
        <f>IF(OR($AY14&gt;0, $BA14&gt;0), 1, 0)</f>
        <v>0</v>
      </c>
      <c r="C14" s="604">
        <f>IF(OR($BB14&gt;0, $BD14&gt;0), 1, 0)</f>
        <v>0</v>
      </c>
      <c r="D14" s="604">
        <f>IF(OR($BE14&gt;0, $BG14&gt;0), 1, 0)</f>
        <v>0</v>
      </c>
      <c r="E14" s="604">
        <f>IF(OR($BH14&gt;0, $BJ14&gt;0), 1, 0)</f>
        <v>0</v>
      </c>
      <c r="F14" s="604">
        <f>IF(OR($BK14&gt;0, $BM14&gt;0), 1, 0)</f>
        <v>0</v>
      </c>
      <c r="G14" s="604">
        <f>IF(OR($BN14&gt;0, $BP14&gt;0), 1, 0)</f>
        <v>0</v>
      </c>
      <c r="H14" s="604">
        <f>IF(OR($BQ14&gt;0, $BS14&gt;0), 1, 0)</f>
        <v>0</v>
      </c>
      <c r="I14" s="604">
        <f>IF(OR($BT14&gt;0, $BV14&gt;0), 1, 0)</f>
        <v>0</v>
      </c>
      <c r="J14" s="604">
        <f>IF(OR($BW14&gt;0, $BY14&gt;0), 1, 0)</f>
        <v>0</v>
      </c>
      <c r="K14" s="604">
        <f>IF(OR($BZ14&gt;0, $CB14&gt;0), 1, 0)</f>
        <v>0</v>
      </c>
      <c r="L14" s="604">
        <f>IF(OR($CC14&gt;0, $CE14&gt;0), 1, 0)</f>
        <v>0</v>
      </c>
      <c r="M14" s="604">
        <f>IF(OR($CF14&gt;0, $CH14&gt;0), 1, 0)</f>
        <v>0</v>
      </c>
      <c r="N14" s="604">
        <f>IF(OR($CI14&gt;0, $CK14&gt;0), 1, 0)</f>
        <v>0</v>
      </c>
      <c r="O14" s="604">
        <f>IF(OR($CL14&gt;0, $CN14&gt;0), 1, 0)</f>
        <v>0</v>
      </c>
      <c r="P14" s="604">
        <f>IF(OR($CO14&gt;0, $CQ14&gt;0), 1, 0)</f>
        <v>0</v>
      </c>
      <c r="Q14" s="604">
        <f>IF(OR($CR14&gt;0, $CT14&gt;0), 1, 0)</f>
        <v>0</v>
      </c>
      <c r="R14" s="604">
        <f>IF(OR($CU14&gt;0, $CW14&gt;0), 1, 0)</f>
        <v>0</v>
      </c>
      <c r="S14" s="604">
        <f>IF(OR($CX14&gt;0, $CZ14&gt;0), 1, 0)</f>
        <v>0</v>
      </c>
      <c r="T14" s="604">
        <f>IF(OR($DA14&gt;0, $DC14&gt;0), 1, 0)</f>
        <v>0</v>
      </c>
      <c r="U14" s="603">
        <f>IF(OR($AI14&gt;0,$AM14&gt;0,$AS14&gt;0), 1, 0)</f>
        <v>0</v>
      </c>
      <c r="V14" s="602">
        <f>[1]BDD!A4</f>
        <v>1497</v>
      </c>
      <c r="W14" s="601" t="str">
        <f>[1]BDD!B4</f>
        <v>Algue Chlorella en poudre BIO (env. 1kg)</v>
      </c>
      <c r="X14" s="600" t="str">
        <f>IF([1]BDD!F4=0, "", [1]BDD!F4)</f>
        <v xml:space="preserve">OFFRE </v>
      </c>
      <c r="Y14" s="542">
        <f>ROUND([1]BDD!G4+FDP_CMD_KG, 2)</f>
        <v>51.53</v>
      </c>
      <c r="Z14" s="542">
        <f>ROUND([1]BDD!G4+FDP_FACT_KG, 2)</f>
        <v>51.53</v>
      </c>
      <c r="AA14" s="543" t="str">
        <f>[1]BDD!H4</f>
        <v>Pièce</v>
      </c>
      <c r="AB14" s="544" t="str">
        <f>IF(NOT(ISBLANK([1]BDD!I4)), ROUND(SUM(([1]BDD!G4*reduc1),FDP_CMD_KG), 2), "")</f>
        <v/>
      </c>
      <c r="AC14" s="544" t="str">
        <f>IF(NOT(ISBLANK([1]BDD!J4)), ROUND(SUM(([1]BDD!G4*reduc2),FDP_CMD_KG), 2), "")</f>
        <v/>
      </c>
      <c r="AD14" s="544" t="str">
        <f>IF(NOT(ISBLANK([1]BDD!K4)), ROUND(SUM(([1]BDD!G4*reduc3),FDP_CMD_KG), 2), "")</f>
        <v/>
      </c>
      <c r="AE14" s="544" t="str">
        <f>IF(NOT(ISBLANK([1]BDD!I4)), ROUND(SUM(([1]BDD!G4*reduc1),FDP_FACT_KG), 2), "")</f>
        <v/>
      </c>
      <c r="AF14" s="544" t="str">
        <f>IF(NOT(ISBLANK([1]BDD!J4)), ROUND(SUM(([1]BDD!G4*reduc2),FDP_FACT_KG), 2), "")</f>
        <v/>
      </c>
      <c r="AG14" s="544" t="str">
        <f>IF(NOT(ISBLANK([1]BDD!K4)), ROUND(SUM(([1]BDD!G4*reduc3),FDP_FACT_KG), 2), "")</f>
        <v/>
      </c>
      <c r="AH14" s="599" t="str">
        <f>[1]BDD!C4</f>
        <v>Inde</v>
      </c>
      <c r="AI14" s="598">
        <f>SUM(AV14,AY14,BB14,BE14,BH14,BK14,BN14,BQ14,BT14,BW14,BZ14,CC14,CF14,CI14,CL14,CO14,CR14,CU14,CX14,DA14)</f>
        <v>0</v>
      </c>
      <c r="AJ14" s="545">
        <f>_xlfn.IFS($AD14&lt;&gt;"", $AD14,    $AC14&lt;&gt;"", $AC14,    $AB14&lt;&gt;"", $AB14,    TRUE, $Y14)</f>
        <v>51.53</v>
      </c>
      <c r="AK14" s="592">
        <f>$AI14*$AJ14</f>
        <v>0</v>
      </c>
      <c r="AL14" s="594"/>
      <c r="AM14" s="597"/>
      <c r="AN14" s="545">
        <f>_xlfn.IFS(AND(AM14&gt;=60,$AG14&lt;&gt;""), $AG14,    AND(AM14&gt;=30,$AF14&lt;&gt;""), $AF14,    AND(AM14&gt;=10,$AE14&lt;&gt;""), $AE14,    TRUE, $Z14)</f>
        <v>51.53</v>
      </c>
      <c r="AO14" s="596">
        <f>AM14*AN14</f>
        <v>0</v>
      </c>
      <c r="AP14" s="595"/>
      <c r="AQ14" s="595"/>
      <c r="AR14" s="594"/>
      <c r="AS14" s="593">
        <f>SUM(AW14,AZ14,BC14,BF14,BI14,BL14,BO14,BR14,BU14,BX14,CA14,CD14,CG14,CJ14,CM14,CP14,CS14,CV14,CY14,DB14)</f>
        <v>0</v>
      </c>
      <c r="AT14" s="545">
        <f>_xlfn.IFS(AND(AS14&gt;=60,$AG14&lt;&gt;""), $AG14,    AND(AS14&gt;=30,$AF14&lt;&gt;""), $AF14,    AND(AS14&gt;=10,$AE14&lt;&gt;""), $AE14,    TRUE, $Z14)</f>
        <v>51.53</v>
      </c>
      <c r="AU14" s="592">
        <f>$AS14*$AT14</f>
        <v>0</v>
      </c>
      <c r="AV14" s="591">
        <f>[1]COMMANDE!O12</f>
        <v>0</v>
      </c>
      <c r="AW14" s="586" t="str">
        <f>_xlfn.IFS(AND($AI14=$AM14,$AI14&gt;0,$AM14&gt;0,AV14&gt;0), AV14,     AND(NOT($AI14=$AM14),$AI14&gt;0,$AM14&gt;0,AV14&gt;0), ($AM14*AV14)/$AI14,     AND($AI14=0,$AM14&gt;0,$AQ14&gt;0), IF(INDEX(AV$12:AV$263,MATCH($AQ14,$AP$12:$AP$263,0))&gt;0,($AM14*INDEX(AV$12:AV$263,MATCH($AQ14,$AP$12:$AP$263,0)))/INDEX($AI$12:$AI$263,MATCH($AQ14,$AP$12:$AP$263,0)), "-"),     TRUE, "0")</f>
        <v>0</v>
      </c>
      <c r="AX14" s="588">
        <f>IF(AW$9&gt;0, IF(OR(AW14="",AW14="-"), 0, AW14*$AT14), AV14*$AJ14)</f>
        <v>0</v>
      </c>
      <c r="AY14" s="587">
        <f>[1]COMMANDE!Q12</f>
        <v>0</v>
      </c>
      <c r="AZ14" s="586" t="str">
        <f>_xlfn.IFS(AND($AI14=$AM14,$AI14&gt;0,$AM14&gt;0,AY14&gt;0), AY14,     AND(NOT($AI14=$AM14),$AI14&gt;0,$AM14&gt;0,AY14&gt;0), ($AM14*AY14)/$AI14,     AND($AI14=0,$AM14&gt;0,$AQ14&gt;0), IF(INDEX(AY$12:AY$263,MATCH($AQ14,$AP$12:$AP$263,0))&gt;0,($AM14*INDEX(AY$12:AY$263,MATCH($AQ14,$AP$12:$AP$263,0)))/INDEX($AI$12:$AI$263,MATCH($AQ14,$AP$12:$AP$263,0)), "-"),     TRUE, "0")</f>
        <v>0</v>
      </c>
      <c r="BA14" s="607">
        <f>IF(AZ$9&gt;0, IF(OR(AZ14="",AZ14="-"), 0, AZ14*$AT14), AY14*$AJ14)</f>
        <v>0</v>
      </c>
      <c r="BB14" s="589">
        <f>[1]COMMANDE!S12</f>
        <v>0</v>
      </c>
      <c r="BC14" s="586" t="str">
        <f>_xlfn.IFS(AND($AI14=$AM14,$AI14&gt;0,$AM14&gt;0,BB14&gt;0), BB14,     AND(NOT($AI14=$AM14),$AI14&gt;0,$AM14&gt;0,BB14&gt;0), ($AM14*BB14)/$AI14,     AND($AI14=0,$AM14&gt;0,$AQ14&gt;0), IF(INDEX(BB$12:BB$263,MATCH($AQ14,$AP$12:$AP$263,0))&gt;0,($AM14*INDEX(BB$12:BB$263,MATCH($AQ14,$AP$12:$AP$263,0)))/INDEX($AI$12:$AI$263,MATCH($AQ14,$AP$12:$AP$263,0)), "-"),     TRUE, "0")</f>
        <v>0</v>
      </c>
      <c r="BD14" s="588">
        <f>IF(BC$9&gt;0, IF(OR(BC14="",BC14="-"), 0, BC14*$AT14), BB14*$AJ14)</f>
        <v>0</v>
      </c>
      <c r="BE14" s="587">
        <f>[1]COMMANDE!U12</f>
        <v>0</v>
      </c>
      <c r="BF14" s="586" t="str">
        <f>_xlfn.IFS(AND($AI14=$AM14,$AI14&gt;0,$AM14&gt;0,BE14&gt;0), BE14,     AND(NOT($AI14=$AM14),$AI14&gt;0,$AM14&gt;0,BE14&gt;0), ($AM14*BE14)/$AI14,     AND($AI14=0,$AM14&gt;0,$AQ14&gt;0), IF(INDEX(BE$12:BE$263,MATCH($AQ14,$AP$12:$AP$263,0))&gt;0,($AM14*INDEX(BE$12:BE$263,MATCH($AQ14,$AP$12:$AP$263,0)))/INDEX($AI$12:$AI$263,MATCH($AQ14,$AP$12:$AP$263,0)), "-"),     TRUE, "0")</f>
        <v>0</v>
      </c>
      <c r="BG14" s="607">
        <f>IF(BF$9&gt;0, IF(OR(BF14="",BF14="-"), 0, BF14*$AT14), BE14*$AJ14)</f>
        <v>0</v>
      </c>
      <c r="BH14" s="589">
        <f>[1]COMMANDE!W12</f>
        <v>0</v>
      </c>
      <c r="BI14" s="586" t="str">
        <f>_xlfn.IFS(AND($AI14=$AM14,$AI14&gt;0,$AM14&gt;0,BH14&gt;0), BH14,     AND(NOT($AI14=$AM14),$AI14&gt;0,$AM14&gt;0,BH14&gt;0), ($AM14*BH14)/$AI14,     AND($AI14=0,$AM14&gt;0,$AQ14&gt;0), IF(INDEX(BH$12:BH$263,MATCH($AQ14,$AP$12:$AP$263,0))&gt;0,($AM14*INDEX(BH$12:BH$263,MATCH($AQ14,$AP$12:$AP$263,0)))/INDEX($AI$12:$AI$263,MATCH($AQ14,$AP$12:$AP$263,0)), "-"),     TRUE, "0")</f>
        <v>0</v>
      </c>
      <c r="BJ14" s="588">
        <f>IF(BI$9&gt;0, IF(OR(BI14="",BI14="-"), 0, BI14*$AT14), BH14*$AJ14)</f>
        <v>0</v>
      </c>
      <c r="BK14" s="587">
        <f>[1]COMMANDE!Y12</f>
        <v>0</v>
      </c>
      <c r="BL14" s="586" t="str">
        <f>_xlfn.IFS(AND($AI14=$AM14,$AI14&gt;0,$AM14&gt;0,BK14&gt;0), BK14,     AND(NOT($AI14=$AM14),$AI14&gt;0,$AM14&gt;0,BK14&gt;0), ($AM14*BK14)/$AI14,     AND($AI14=0,$AM14&gt;0,$AQ14&gt;0), IF(INDEX(BK$12:BK$263,MATCH($AQ14,$AP$12:$AP$263,0))&gt;0,($AM14*INDEX(BK$12:BK$263,MATCH($AQ14,$AP$12:$AP$263,0)))/INDEX($AI$12:$AI$263,MATCH($AQ14,$AP$12:$AP$263,0)), "-"),     TRUE, "0")</f>
        <v>0</v>
      </c>
      <c r="BM14" s="607">
        <f>IF(BL$9&gt;0, IF(OR(BL14="",BL14="-"), 0, BL14*$AT14), BK14*$AJ14)</f>
        <v>0</v>
      </c>
      <c r="BN14" s="589">
        <f>[1]COMMANDE!AA12</f>
        <v>0</v>
      </c>
      <c r="BO14" s="586" t="str">
        <f>_xlfn.IFS(AND($AI14=$AM14,$AI14&gt;0,$AM14&gt;0,BN14&gt;0), BN14,     AND(NOT($AI14=$AM14),$AI14&gt;0,$AM14&gt;0,BN14&gt;0), ($AM14*BN14)/$AI14,     AND($AI14=0,$AM14&gt;0,$AQ14&gt;0), IF(INDEX(BN$12:BN$263,MATCH($AQ14,$AP$12:$AP$263,0))&gt;0,($AM14*INDEX(BN$12:BN$263,MATCH($AQ14,$AP$12:$AP$263,0)))/INDEX($AI$12:$AI$263,MATCH($AQ14,$AP$12:$AP$263,0)), "-"),     TRUE, "0")</f>
        <v>0</v>
      </c>
      <c r="BP14" s="588">
        <f>IF(BO$9&gt;0, IF(OR(BO14="",BO14="-"), 0, BO14*$AT14), BN14*$AJ14)</f>
        <v>0</v>
      </c>
      <c r="BQ14" s="587">
        <f>[1]COMMANDE!AC12</f>
        <v>0</v>
      </c>
      <c r="BR14" s="586" t="str">
        <f>_xlfn.IFS(AND($AI14=$AM14,$AI14&gt;0,$AM14&gt;0,BQ14&gt;0), BQ14,     AND(NOT($AI14=$AM14),$AI14&gt;0,$AM14&gt;0,BQ14&gt;0), ($AM14*BQ14)/$AI14,     AND($AI14=0,$AM14&gt;0,$AQ14&gt;0), IF(INDEX(BQ$12:BQ$263,MATCH($AQ14,$AP$12:$AP$263,0))&gt;0,($AM14*INDEX(BQ$12:BQ$263,MATCH($AQ14,$AP$12:$AP$263,0)))/INDEX($AI$12:$AI$263,MATCH($AQ14,$AP$12:$AP$263,0)), "-"),     TRUE, "0")</f>
        <v>0</v>
      </c>
      <c r="BS14" s="607">
        <f>IF(BR$9&gt;0, IF(OR(BR14="",BR14="-"), 0, BR14*$AT14), BQ14*$AJ14)</f>
        <v>0</v>
      </c>
      <c r="BT14" s="589">
        <f>[1]COMMANDE!AE12</f>
        <v>0</v>
      </c>
      <c r="BU14" s="586" t="str">
        <f>_xlfn.IFS(AND($AI14=$AM14,$AI14&gt;0,$AM14&gt;0,BT14&gt;0), BT14,     AND(NOT($AI14=$AM14),$AI14&gt;0,$AM14&gt;0,BT14&gt;0), ($AM14*BT14)/$AI14,     AND($AI14=0,$AM14&gt;0,$AQ14&gt;0), IF(INDEX(BT$12:BT$263,MATCH($AQ14,$AP$12:$AP$263,0))&gt;0,($AM14*INDEX(BT$12:BT$263,MATCH($AQ14,$AP$12:$AP$263,0)))/INDEX($AI$12:$AI$263,MATCH($AQ14,$AP$12:$AP$263,0)), "-"),     TRUE, "0")</f>
        <v>0</v>
      </c>
      <c r="BV14" s="588">
        <f>IF(BU$9&gt;0, IF(OR(BU14="",BU14="-"), 0, BU14*$AT14), BT14*$AJ14)</f>
        <v>0</v>
      </c>
      <c r="BW14" s="587">
        <f>[1]COMMANDE!AG12</f>
        <v>0</v>
      </c>
      <c r="BX14" s="586" t="str">
        <f>_xlfn.IFS(AND($AI14=$AM14,$AI14&gt;0,$AM14&gt;0,BW14&gt;0), BW14,     AND(NOT($AI14=$AM14),$AI14&gt;0,$AM14&gt;0,BW14&gt;0), ($AM14*BW14)/$AI14,     AND($AI14=0,$AM14&gt;0,$AQ14&gt;0), IF(INDEX(BW$12:BW$263,MATCH($AQ14,$AP$12:$AP$263,0))&gt;0,($AM14*INDEX(BW$12:BW$263,MATCH($AQ14,$AP$12:$AP$263,0)))/INDEX($AI$12:$AI$263,MATCH($AQ14,$AP$12:$AP$263,0)), "-"),     TRUE, "0")</f>
        <v>0</v>
      </c>
      <c r="BY14" s="607">
        <f>IF(BX$9&gt;0, IF(OR(BX14="",BX14="-"), 0, BX14*$AT14), BW14*$AJ14)</f>
        <v>0</v>
      </c>
      <c r="BZ14" s="589">
        <f>[1]COMMANDE!AI12</f>
        <v>0</v>
      </c>
      <c r="CA14" s="586" t="str">
        <f>_xlfn.IFS(AND($AI14=$AM14,$AI14&gt;0,$AM14&gt;0,BZ14&gt;0), BZ14,     AND(NOT($AI14=$AM14),$AI14&gt;0,$AM14&gt;0,BZ14&gt;0), ($AM14*BZ14)/$AI14,     AND($AI14=0,$AM14&gt;0,$AQ14&gt;0), IF(INDEX(BZ$12:BZ$263,MATCH($AQ14,$AP$12:$AP$263,0))&gt;0,($AM14*INDEX(BZ$12:BZ$263,MATCH($AQ14,$AP$12:$AP$263,0)))/INDEX($AI$12:$AI$263,MATCH($AQ14,$AP$12:$AP$263,0)), "-"),     TRUE, "0")</f>
        <v>0</v>
      </c>
      <c r="CB14" s="588">
        <f>IF(CA$9&gt;0, IF(OR(CA14="",CA14="-"), 0, CA14*$AT14), BZ14*$AJ14)</f>
        <v>0</v>
      </c>
      <c r="CC14" s="587">
        <f>[1]COMMANDE!AK12</f>
        <v>0</v>
      </c>
      <c r="CD14" s="586" t="str">
        <f>_xlfn.IFS(AND($AI14=$AM14,$AI14&gt;0,$AM14&gt;0,CC14&gt;0), CC14,     AND(NOT($AI14=$AM14),$AI14&gt;0,$AM14&gt;0,CC14&gt;0), ($AM14*CC14)/$AI14,     AND($AI14=0,$AM14&gt;0,$AQ14&gt;0), IF(INDEX(CC$12:CC$263,MATCH($AQ14,$AP$12:$AP$263,0))&gt;0,($AM14*INDEX(CC$12:CC$263,MATCH($AQ14,$AP$12:$AP$263,0)))/INDEX($AI$12:$AI$263,MATCH($AQ14,$AP$12:$AP$263,0)), "-"),     TRUE, "0")</f>
        <v>0</v>
      </c>
      <c r="CE14" s="607">
        <f>IF(CD$9&gt;0, IF(OR(CD14="",CD14="-"), 0, CD14*$AT14), CC14*$AJ14)</f>
        <v>0</v>
      </c>
      <c r="CF14" s="589">
        <f>[1]COMMANDE!AM12</f>
        <v>0</v>
      </c>
      <c r="CG14" s="586" t="str">
        <f>_xlfn.IFS(AND($AI14=$AM14,$AI14&gt;0,$AM14&gt;0,CF14&gt;0), CF14,     AND(NOT($AI14=$AM14),$AI14&gt;0,$AM14&gt;0,CF14&gt;0), ($AM14*CF14)/$AI14,     AND($AI14=0,$AM14&gt;0,$AQ14&gt;0), IF(INDEX(CF$12:CF$263,MATCH($AQ14,$AP$12:$AP$263,0))&gt;0,($AM14*INDEX(CF$12:CF$263,MATCH($AQ14,$AP$12:$AP$263,0)))/INDEX($AI$12:$AI$263,MATCH($AQ14,$AP$12:$AP$263,0)), "-"),     TRUE, "0")</f>
        <v>0</v>
      </c>
      <c r="CH14" s="588">
        <f>IF(CG$9&gt;0, IF(OR(CG14="",CG14="-"), 0, CG14*$AT14), CF14*$AJ14)</f>
        <v>0</v>
      </c>
      <c r="CI14" s="587">
        <f>[1]COMMANDE!AO12</f>
        <v>0</v>
      </c>
      <c r="CJ14" s="586" t="str">
        <f>_xlfn.IFS(AND($AI14=$AM14,$AI14&gt;0,$AM14&gt;0,CI14&gt;0), CI14,     AND(NOT($AI14=$AM14),$AI14&gt;0,$AM14&gt;0,CI14&gt;0), ($AM14*CI14)/$AI14,     AND($AI14=0,$AM14&gt;0,$AQ14&gt;0), IF(INDEX(CI$12:CI$263,MATCH($AQ14,$AP$12:$AP$263,0))&gt;0,($AM14*INDEX(CI$12:CI$263,MATCH($AQ14,$AP$12:$AP$263,0)))/INDEX($AI$12:$AI$263,MATCH($AQ14,$AP$12:$AP$263,0)), "-"),     TRUE, "0")</f>
        <v>0</v>
      </c>
      <c r="CK14" s="607">
        <f>IF(CJ$9&gt;0, IF(OR(CJ14="",CJ14="-"), 0, CJ14*$AT14), CI14*$AJ14)</f>
        <v>0</v>
      </c>
      <c r="CL14" s="589">
        <f>[1]COMMANDE!AQ12</f>
        <v>0</v>
      </c>
      <c r="CM14" s="586" t="str">
        <f>_xlfn.IFS(AND($AI14=$AM14,$AI14&gt;0,$AM14&gt;0,CL14&gt;0), CL14,     AND(NOT($AI14=$AM14),$AI14&gt;0,$AM14&gt;0,CL14&gt;0), ($AM14*CL14)/$AI14,     AND($AI14=0,$AM14&gt;0,$AQ14&gt;0), IF(INDEX(CL$12:CL$263,MATCH($AQ14,$AP$12:$AP$263,0))&gt;0,($AM14*INDEX(CL$12:CL$263,MATCH($AQ14,$AP$12:$AP$263,0)))/INDEX($AI$12:$AI$263,MATCH($AQ14,$AP$12:$AP$263,0)), "-"),     TRUE, "0")</f>
        <v>0</v>
      </c>
      <c r="CN14" s="588">
        <f>IF(CM$9&gt;0, IF(OR(CM14="",CM14="-"), 0, CM14*$AT14), CL14*$AJ14)</f>
        <v>0</v>
      </c>
      <c r="CO14" s="587">
        <f>[1]COMMANDE!AS12</f>
        <v>0</v>
      </c>
      <c r="CP14" s="586" t="str">
        <f>_xlfn.IFS(AND($AI14=$AM14,$AI14&gt;0,$AM14&gt;0,CO14&gt;0), CO14,     AND(NOT($AI14=$AM14),$AI14&gt;0,$AM14&gt;0,CO14&gt;0), ($AM14*CO14)/$AI14,     AND($AI14=0,$AM14&gt;0,$AQ14&gt;0), IF(INDEX(CO$12:CO$263,MATCH($AQ14,$AP$12:$AP$263,0))&gt;0,($AM14*INDEX(CO$12:CO$263,MATCH($AQ14,$AP$12:$AP$263,0)))/INDEX($AI$12:$AI$263,MATCH($AQ14,$AP$12:$AP$263,0)), "-"),     TRUE, "0")</f>
        <v>0</v>
      </c>
      <c r="CQ14" s="607">
        <f>IF(CP$9&gt;0, IF(OR(CP14="",CP14="-"), 0, CP14*$AT14), CO14*$AJ14)</f>
        <v>0</v>
      </c>
      <c r="CR14" s="589">
        <f>[1]COMMANDE!AU12</f>
        <v>0</v>
      </c>
      <c r="CS14" s="586" t="str">
        <f>_xlfn.IFS(AND($AI14=$AM14,$AI14&gt;0,$AM14&gt;0,CR14&gt;0), CR14,     AND(NOT($AI14=$AM14),$AI14&gt;0,$AM14&gt;0,CR14&gt;0), ($AM14*CR14)/$AI14,     AND($AI14=0,$AM14&gt;0,$AQ14&gt;0), IF(INDEX(CR$12:CR$263,MATCH($AQ14,$AP$12:$AP$263,0))&gt;0,($AM14*INDEX(CR$12:CR$263,MATCH($AQ14,$AP$12:$AP$263,0)))/INDEX($AI$12:$AI$263,MATCH($AQ14,$AP$12:$AP$263,0)), "-"),     TRUE, "0")</f>
        <v>0</v>
      </c>
      <c r="CT14" s="588">
        <f>IF(CS$9&gt;0, IF(OR(CS14="",CS14="-"), 0, CS14*$AT14), CR14*$AJ14)</f>
        <v>0</v>
      </c>
      <c r="CU14" s="587">
        <f>[1]COMMANDE!AW12</f>
        <v>0</v>
      </c>
      <c r="CV14" s="586" t="str">
        <f>_xlfn.IFS(AND($AI14=$AM14,$AI14&gt;0,$AM14&gt;0,CU14&gt;0), CU14,     AND(NOT($AI14=$AM14),$AI14&gt;0,$AM14&gt;0,CU14&gt;0), ($AM14*CU14)/$AI14,     AND($AI14=0,$AM14&gt;0,$AQ14&gt;0), IF(INDEX(CU$12:CU$263,MATCH($AQ14,$AP$12:$AP$263,0))&gt;0,($AM14*INDEX(CU$12:CU$263,MATCH($AQ14,$AP$12:$AP$263,0)))/INDEX($AI$12:$AI$263,MATCH($AQ14,$AP$12:$AP$263,0)), "-"),     TRUE, "0")</f>
        <v>0</v>
      </c>
      <c r="CW14" s="607">
        <f>IF(CV$9&gt;0, IF(OR(CV14="",CV14="-"), 0, CV14*$AT14), CU14*$AJ14)</f>
        <v>0</v>
      </c>
      <c r="CX14" s="589">
        <f>[1]COMMANDE!AY12</f>
        <v>0</v>
      </c>
      <c r="CY14" s="586" t="str">
        <f>_xlfn.IFS(AND($AI14=$AM14,$AI14&gt;0,$AM14&gt;0,CX14&gt;0), CX14,     AND(NOT($AI14=$AM14),$AI14&gt;0,$AM14&gt;0,CX14&gt;0), ($AM14*CX14)/$AI14,     AND($AI14=0,$AM14&gt;0,$AQ14&gt;0), IF(INDEX(CX$12:CX$263,MATCH($AQ14,$AP$12:$AP$263,0))&gt;0,($AM14*INDEX(CX$12:CX$263,MATCH($AQ14,$AP$12:$AP$263,0)))/INDEX($AI$12:$AI$263,MATCH($AQ14,$AP$12:$AP$263,0)), "-"),     TRUE, "0")</f>
        <v>0</v>
      </c>
      <c r="CZ14" s="588">
        <f>IF(CY$9&gt;0, IF(OR(CY14="",CY14="-"), 0, CY14*$AT14), CX14*$AJ14)</f>
        <v>0</v>
      </c>
      <c r="DA14" s="587">
        <f>[1]COMMANDE!BA12</f>
        <v>0</v>
      </c>
      <c r="DB14" s="586" t="str">
        <f>_xlfn.IFS(AND($AI14=$AM14,$AI14&gt;0,$AM14&gt;0,DA14&gt;0), DA14,     AND(NOT($AI14=$AM14),$AI14&gt;0,$AM14&gt;0,DA14&gt;0), ($AM14*DA14)/$AI14,     AND($AI14=0,$AM14&gt;0,$AQ14&gt;0), IF(INDEX(DA$12:DA$263,MATCH($AQ14,$AP$12:$AP$263,0))&gt;0,($AM14*INDEX(DA$12:DA$263,MATCH($AQ14,$AP$12:$AP$263,0)))/INDEX($AI$12:$AI$263,MATCH($AQ14,$AP$12:$AP$263,0)), "-"),     TRUE, "0")</f>
        <v>0</v>
      </c>
      <c r="DC14" s="606">
        <f>IF(DB$9&gt;0, IF(OR(DB14="",DB14="-"), 0, DB14*$AT14), DA14*$AJ14)</f>
        <v>0</v>
      </c>
      <c r="DD14" s="584"/>
      <c r="DE14" s="583"/>
    </row>
    <row r="15" spans="1:111" ht="39.950000000000003" hidden="1" customHeight="1">
      <c r="A15" s="604">
        <f>IF(OR($AV15&gt;0, $AX15&gt;0), 1, 0)</f>
        <v>0</v>
      </c>
      <c r="B15" s="604">
        <f>IF(OR($AY15&gt;0, $BA15&gt;0), 1, 0)</f>
        <v>0</v>
      </c>
      <c r="C15" s="604">
        <f>IF(OR($BB15&gt;0, $BD15&gt;0), 1, 0)</f>
        <v>0</v>
      </c>
      <c r="D15" s="604">
        <f>IF(OR($BE15&gt;0, $BG15&gt;0), 1, 0)</f>
        <v>0</v>
      </c>
      <c r="E15" s="604">
        <f>IF(OR($BH15&gt;0, $BJ15&gt;0), 1, 0)</f>
        <v>0</v>
      </c>
      <c r="F15" s="604">
        <f>IF(OR($BK15&gt;0, $BM15&gt;0), 1, 0)</f>
        <v>0</v>
      </c>
      <c r="G15" s="604">
        <f>IF(OR($BN15&gt;0, $BP15&gt;0), 1, 0)</f>
        <v>0</v>
      </c>
      <c r="H15" s="604">
        <f>IF(OR($BQ15&gt;0, $BS15&gt;0), 1, 0)</f>
        <v>0</v>
      </c>
      <c r="I15" s="604">
        <f>IF(OR($BT15&gt;0, $BV15&gt;0), 1, 0)</f>
        <v>0</v>
      </c>
      <c r="J15" s="604">
        <f>IF(OR($BW15&gt;0, $BY15&gt;0), 1, 0)</f>
        <v>0</v>
      </c>
      <c r="K15" s="604">
        <f>IF(OR($BZ15&gt;0, $CB15&gt;0), 1, 0)</f>
        <v>0</v>
      </c>
      <c r="L15" s="604">
        <f>IF(OR($CC15&gt;0, $CE15&gt;0), 1, 0)</f>
        <v>0</v>
      </c>
      <c r="M15" s="604">
        <f>IF(OR($CF15&gt;0, $CH15&gt;0), 1, 0)</f>
        <v>0</v>
      </c>
      <c r="N15" s="604">
        <f>IF(OR($CI15&gt;0, $CK15&gt;0), 1, 0)</f>
        <v>0</v>
      </c>
      <c r="O15" s="604">
        <f>IF(OR($CL15&gt;0, $CN15&gt;0), 1, 0)</f>
        <v>0</v>
      </c>
      <c r="P15" s="604">
        <f>IF(OR($CO15&gt;0, $CQ15&gt;0), 1, 0)</f>
        <v>0</v>
      </c>
      <c r="Q15" s="604">
        <f>IF(OR($CR15&gt;0, $CT15&gt;0), 1, 0)</f>
        <v>0</v>
      </c>
      <c r="R15" s="604">
        <f>IF(OR($CU15&gt;0, $CW15&gt;0), 1, 0)</f>
        <v>0</v>
      </c>
      <c r="S15" s="604">
        <f>IF(OR($CX15&gt;0, $CZ15&gt;0), 1, 0)</f>
        <v>0</v>
      </c>
      <c r="T15" s="604">
        <f>IF(OR($DA15&gt;0, $DC15&gt;0), 1, 0)</f>
        <v>0</v>
      </c>
      <c r="U15" s="603">
        <f>IF(OR($AI15&gt;0,$AM15&gt;0,$AS15&gt;0), 1, 0)</f>
        <v>0</v>
      </c>
      <c r="V15" s="602">
        <f>[1]BDD!A5</f>
        <v>1497</v>
      </c>
      <c r="W15" s="601" t="str">
        <f>[1]BDD!B5</f>
        <v>Algue Chlorella en poudre BIO (env. 500g)</v>
      </c>
      <c r="X15" s="600" t="str">
        <f>IF([1]BDD!F5=0, "", [1]BDD!F5)</f>
        <v>❤️ OFFRE</v>
      </c>
      <c r="Y15" s="542">
        <f>ROUND([1]BDD!G5+FDP_CMD_KG, 2)</f>
        <v>26.75</v>
      </c>
      <c r="Z15" s="542">
        <f>ROUND([1]BDD!G5+FDP_FACT_KG, 2)</f>
        <v>26.75</v>
      </c>
      <c r="AA15" s="543" t="str">
        <f>[1]BDD!H5</f>
        <v>Pièce</v>
      </c>
      <c r="AB15" s="544" t="str">
        <f>IF(NOT(ISBLANK([1]BDD!I5)), ROUND(SUM(([1]BDD!G5*reduc1),FDP_CMD_KG), 2), "")</f>
        <v/>
      </c>
      <c r="AC15" s="544" t="str">
        <f>IF(NOT(ISBLANK([1]BDD!J5)), ROUND(SUM(([1]BDD!G5*reduc2),FDP_CMD_KG), 2), "")</f>
        <v/>
      </c>
      <c r="AD15" s="544" t="str">
        <f>IF(NOT(ISBLANK([1]BDD!K5)), ROUND(SUM(([1]BDD!G5*reduc3),FDP_CMD_KG), 2), "")</f>
        <v/>
      </c>
      <c r="AE15" s="544" t="str">
        <f>IF(NOT(ISBLANK([1]BDD!I5)), ROUND(SUM(([1]BDD!G5*reduc1),FDP_FACT_KG), 2), "")</f>
        <v/>
      </c>
      <c r="AF15" s="544" t="str">
        <f>IF(NOT(ISBLANK([1]BDD!J5)), ROUND(SUM(([1]BDD!G5*reduc2),FDP_FACT_KG), 2), "")</f>
        <v/>
      </c>
      <c r="AG15" s="544" t="str">
        <f>IF(NOT(ISBLANK([1]BDD!K5)), ROUND(SUM(([1]BDD!G5*reduc3),FDP_FACT_KG), 2), "")</f>
        <v/>
      </c>
      <c r="AH15" s="599" t="str">
        <f>[1]BDD!C5</f>
        <v>Inde</v>
      </c>
      <c r="AI15" s="598">
        <f>SUM(AV15,AY15,BB15,BE15,BH15,BK15,BN15,BQ15,BT15,BW15,BZ15,CC15,CF15,CI15,CL15,CO15,CR15,CU15,CX15,DA15)</f>
        <v>0</v>
      </c>
      <c r="AJ15" s="545">
        <f>_xlfn.IFS($AD15&lt;&gt;"", $AD15,    $AC15&lt;&gt;"", $AC15,    $AB15&lt;&gt;"", $AB15,    TRUE, $Y15)</f>
        <v>26.75</v>
      </c>
      <c r="AK15" s="592">
        <f>$AI15*$AJ15</f>
        <v>0</v>
      </c>
      <c r="AL15" s="594"/>
      <c r="AM15" s="597"/>
      <c r="AN15" s="545">
        <f>_xlfn.IFS(AND(AM15&gt;=60,$AG15&lt;&gt;""), $AG15,    AND(AM15&gt;=30,$AF15&lt;&gt;""), $AF15,    AND(AM15&gt;=10,$AE15&lt;&gt;""), $AE15,    TRUE, $Z15)</f>
        <v>26.75</v>
      </c>
      <c r="AO15" s="596">
        <f>AM15*AN15</f>
        <v>0</v>
      </c>
      <c r="AP15" s="595"/>
      <c r="AQ15" s="595"/>
      <c r="AR15" s="594"/>
      <c r="AS15" s="593">
        <f>SUM(AW15,AZ15,BC15,BF15,BI15,BL15,BO15,BR15,BU15,BX15,CA15,CD15,CG15,CJ15,CM15,CP15,CS15,CV15,CY15,DB15)</f>
        <v>0</v>
      </c>
      <c r="AT15" s="545">
        <f>_xlfn.IFS(AND(AS15&gt;=60,$AG15&lt;&gt;""), $AG15,    AND(AS15&gt;=30,$AF15&lt;&gt;""), $AF15,    AND(AS15&gt;=10,$AE15&lt;&gt;""), $AE15,    TRUE, $Z15)</f>
        <v>26.75</v>
      </c>
      <c r="AU15" s="592">
        <f>$AS15*$AT15</f>
        <v>0</v>
      </c>
      <c r="AV15" s="591">
        <f>[1]COMMANDE!O13</f>
        <v>0</v>
      </c>
      <c r="AW15" s="586" t="str">
        <f>_xlfn.IFS(AND($AI15=$AM15,$AI15&gt;0,$AM15&gt;0,AV15&gt;0), AV15,     AND(NOT($AI15=$AM15),$AI15&gt;0,$AM15&gt;0,AV15&gt;0), ($AM15*AV15)/$AI15,     AND($AI15=0,$AM15&gt;0,$AQ15&gt;0), IF(INDEX(AV$12:AV$263,MATCH($AQ15,$AP$12:$AP$263,0))&gt;0,($AM15*INDEX(AV$12:AV$263,MATCH($AQ15,$AP$12:$AP$263,0)))/INDEX($AI$12:$AI$263,MATCH($AQ15,$AP$12:$AP$263,0)), "-"),     TRUE, "0")</f>
        <v>0</v>
      </c>
      <c r="AX15" s="588">
        <f>IF(AW$9&gt;0, IF(OR(AW15="",AW15="-"), 0, AW15*$AT15), AV15*$AJ15)</f>
        <v>0</v>
      </c>
      <c r="AY15" s="587">
        <f>[1]COMMANDE!Q13</f>
        <v>0</v>
      </c>
      <c r="AZ15" s="586" t="str">
        <f>_xlfn.IFS(AND($AI15=$AM15,$AI15&gt;0,$AM15&gt;0,AY15&gt;0), AY15,     AND(NOT($AI15=$AM15),$AI15&gt;0,$AM15&gt;0,AY15&gt;0), ($AM15*AY15)/$AI15,     AND($AI15=0,$AM15&gt;0,$AQ15&gt;0), IF(INDEX(AY$12:AY$263,MATCH($AQ15,$AP$12:$AP$263,0))&gt;0,($AM15*INDEX(AY$12:AY$263,MATCH($AQ15,$AP$12:$AP$263,0)))/INDEX($AI$12:$AI$263,MATCH($AQ15,$AP$12:$AP$263,0)), "-"),     TRUE, "0")</f>
        <v>0</v>
      </c>
      <c r="BA15" s="607">
        <f>IF(AZ$9&gt;0, IF(OR(AZ15="",AZ15="-"), 0, AZ15*$AT15), AY15*$AJ15)</f>
        <v>0</v>
      </c>
      <c r="BB15" s="589">
        <f>[1]COMMANDE!S13</f>
        <v>0</v>
      </c>
      <c r="BC15" s="586" t="str">
        <f>_xlfn.IFS(AND($AI15=$AM15,$AI15&gt;0,$AM15&gt;0,BB15&gt;0), BB15,     AND(NOT($AI15=$AM15),$AI15&gt;0,$AM15&gt;0,BB15&gt;0), ($AM15*BB15)/$AI15,     AND($AI15=0,$AM15&gt;0,$AQ15&gt;0), IF(INDEX(BB$12:BB$263,MATCH($AQ15,$AP$12:$AP$263,0))&gt;0,($AM15*INDEX(BB$12:BB$263,MATCH($AQ15,$AP$12:$AP$263,0)))/INDEX($AI$12:$AI$263,MATCH($AQ15,$AP$12:$AP$263,0)), "-"),     TRUE, "0")</f>
        <v>0</v>
      </c>
      <c r="BD15" s="588">
        <f>IF(BC$9&gt;0, IF(OR(BC15="",BC15="-"), 0, BC15*$AT15), BB15*$AJ15)</f>
        <v>0</v>
      </c>
      <c r="BE15" s="587">
        <f>[1]COMMANDE!U13</f>
        <v>0</v>
      </c>
      <c r="BF15" s="586" t="str">
        <f>_xlfn.IFS(AND($AI15=$AM15,$AI15&gt;0,$AM15&gt;0,BE15&gt;0), BE15,     AND(NOT($AI15=$AM15),$AI15&gt;0,$AM15&gt;0,BE15&gt;0), ($AM15*BE15)/$AI15,     AND($AI15=0,$AM15&gt;0,$AQ15&gt;0), IF(INDEX(BE$12:BE$263,MATCH($AQ15,$AP$12:$AP$263,0))&gt;0,($AM15*INDEX(BE$12:BE$263,MATCH($AQ15,$AP$12:$AP$263,0)))/INDEX($AI$12:$AI$263,MATCH($AQ15,$AP$12:$AP$263,0)), "-"),     TRUE, "0")</f>
        <v>0</v>
      </c>
      <c r="BG15" s="607">
        <f>IF(BF$9&gt;0, IF(OR(BF15="",BF15="-"), 0, BF15*$AT15), BE15*$AJ15)</f>
        <v>0</v>
      </c>
      <c r="BH15" s="589">
        <f>[1]COMMANDE!W13</f>
        <v>0</v>
      </c>
      <c r="BI15" s="586" t="str">
        <f>_xlfn.IFS(AND($AI15=$AM15,$AI15&gt;0,$AM15&gt;0,BH15&gt;0), BH15,     AND(NOT($AI15=$AM15),$AI15&gt;0,$AM15&gt;0,BH15&gt;0), ($AM15*BH15)/$AI15,     AND($AI15=0,$AM15&gt;0,$AQ15&gt;0), IF(INDEX(BH$12:BH$263,MATCH($AQ15,$AP$12:$AP$263,0))&gt;0,($AM15*INDEX(BH$12:BH$263,MATCH($AQ15,$AP$12:$AP$263,0)))/INDEX($AI$12:$AI$263,MATCH($AQ15,$AP$12:$AP$263,0)), "-"),     TRUE, "0")</f>
        <v>0</v>
      </c>
      <c r="BJ15" s="588">
        <f>IF(BI$9&gt;0, IF(OR(BI15="",BI15="-"), 0, BI15*$AT15), BH15*$AJ15)</f>
        <v>0</v>
      </c>
      <c r="BK15" s="587">
        <f>[1]COMMANDE!Y13</f>
        <v>0</v>
      </c>
      <c r="BL15" s="586" t="str">
        <f>_xlfn.IFS(AND($AI15=$AM15,$AI15&gt;0,$AM15&gt;0,BK15&gt;0), BK15,     AND(NOT($AI15=$AM15),$AI15&gt;0,$AM15&gt;0,BK15&gt;0), ($AM15*BK15)/$AI15,     AND($AI15=0,$AM15&gt;0,$AQ15&gt;0), IF(INDEX(BK$12:BK$263,MATCH($AQ15,$AP$12:$AP$263,0))&gt;0,($AM15*INDEX(BK$12:BK$263,MATCH($AQ15,$AP$12:$AP$263,0)))/INDEX($AI$12:$AI$263,MATCH($AQ15,$AP$12:$AP$263,0)), "-"),     TRUE, "0")</f>
        <v>0</v>
      </c>
      <c r="BM15" s="607">
        <f>IF(BL$9&gt;0, IF(OR(BL15="",BL15="-"), 0, BL15*$AT15), BK15*$AJ15)</f>
        <v>0</v>
      </c>
      <c r="BN15" s="589">
        <f>[1]COMMANDE!AA13</f>
        <v>0</v>
      </c>
      <c r="BO15" s="586" t="str">
        <f>_xlfn.IFS(AND($AI15=$AM15,$AI15&gt;0,$AM15&gt;0,BN15&gt;0), BN15,     AND(NOT($AI15=$AM15),$AI15&gt;0,$AM15&gt;0,BN15&gt;0), ($AM15*BN15)/$AI15,     AND($AI15=0,$AM15&gt;0,$AQ15&gt;0), IF(INDEX(BN$12:BN$263,MATCH($AQ15,$AP$12:$AP$263,0))&gt;0,($AM15*INDEX(BN$12:BN$263,MATCH($AQ15,$AP$12:$AP$263,0)))/INDEX($AI$12:$AI$263,MATCH($AQ15,$AP$12:$AP$263,0)), "-"),     TRUE, "0")</f>
        <v>0</v>
      </c>
      <c r="BP15" s="588">
        <f>IF(BO$9&gt;0, IF(OR(BO15="",BO15="-"), 0, BO15*$AT15), BN15*$AJ15)</f>
        <v>0</v>
      </c>
      <c r="BQ15" s="587">
        <f>[1]COMMANDE!AC13</f>
        <v>0</v>
      </c>
      <c r="BR15" s="586" t="str">
        <f>_xlfn.IFS(AND($AI15=$AM15,$AI15&gt;0,$AM15&gt;0,BQ15&gt;0), BQ15,     AND(NOT($AI15=$AM15),$AI15&gt;0,$AM15&gt;0,BQ15&gt;0), ($AM15*BQ15)/$AI15,     AND($AI15=0,$AM15&gt;0,$AQ15&gt;0), IF(INDEX(BQ$12:BQ$263,MATCH($AQ15,$AP$12:$AP$263,0))&gt;0,($AM15*INDEX(BQ$12:BQ$263,MATCH($AQ15,$AP$12:$AP$263,0)))/INDEX($AI$12:$AI$263,MATCH($AQ15,$AP$12:$AP$263,0)), "-"),     TRUE, "0")</f>
        <v>0</v>
      </c>
      <c r="BS15" s="607">
        <f>IF(BR$9&gt;0, IF(OR(BR15="",BR15="-"), 0, BR15*$AT15), BQ15*$AJ15)</f>
        <v>0</v>
      </c>
      <c r="BT15" s="589">
        <f>[1]COMMANDE!AE13</f>
        <v>0</v>
      </c>
      <c r="BU15" s="586" t="str">
        <f>_xlfn.IFS(AND($AI15=$AM15,$AI15&gt;0,$AM15&gt;0,BT15&gt;0), BT15,     AND(NOT($AI15=$AM15),$AI15&gt;0,$AM15&gt;0,BT15&gt;0), ($AM15*BT15)/$AI15,     AND($AI15=0,$AM15&gt;0,$AQ15&gt;0), IF(INDEX(BT$12:BT$263,MATCH($AQ15,$AP$12:$AP$263,0))&gt;0,($AM15*INDEX(BT$12:BT$263,MATCH($AQ15,$AP$12:$AP$263,0)))/INDEX($AI$12:$AI$263,MATCH($AQ15,$AP$12:$AP$263,0)), "-"),     TRUE, "0")</f>
        <v>0</v>
      </c>
      <c r="BV15" s="588">
        <f>IF(BU$9&gt;0, IF(OR(BU15="",BU15="-"), 0, BU15*$AT15), BT15*$AJ15)</f>
        <v>0</v>
      </c>
      <c r="BW15" s="587">
        <f>[1]COMMANDE!AG13</f>
        <v>0</v>
      </c>
      <c r="BX15" s="586" t="str">
        <f>_xlfn.IFS(AND($AI15=$AM15,$AI15&gt;0,$AM15&gt;0,BW15&gt;0), BW15,     AND(NOT($AI15=$AM15),$AI15&gt;0,$AM15&gt;0,BW15&gt;0), ($AM15*BW15)/$AI15,     AND($AI15=0,$AM15&gt;0,$AQ15&gt;0), IF(INDEX(BW$12:BW$263,MATCH($AQ15,$AP$12:$AP$263,0))&gt;0,($AM15*INDEX(BW$12:BW$263,MATCH($AQ15,$AP$12:$AP$263,0)))/INDEX($AI$12:$AI$263,MATCH($AQ15,$AP$12:$AP$263,0)), "-"),     TRUE, "0")</f>
        <v>0</v>
      </c>
      <c r="BY15" s="607">
        <f>IF(BX$9&gt;0, IF(OR(BX15="",BX15="-"), 0, BX15*$AT15), BW15*$AJ15)</f>
        <v>0</v>
      </c>
      <c r="BZ15" s="589">
        <f>[1]COMMANDE!AI13</f>
        <v>0</v>
      </c>
      <c r="CA15" s="586" t="str">
        <f>_xlfn.IFS(AND($AI15=$AM15,$AI15&gt;0,$AM15&gt;0,BZ15&gt;0), BZ15,     AND(NOT($AI15=$AM15),$AI15&gt;0,$AM15&gt;0,BZ15&gt;0), ($AM15*BZ15)/$AI15,     AND($AI15=0,$AM15&gt;0,$AQ15&gt;0), IF(INDEX(BZ$12:BZ$263,MATCH($AQ15,$AP$12:$AP$263,0))&gt;0,($AM15*INDEX(BZ$12:BZ$263,MATCH($AQ15,$AP$12:$AP$263,0)))/INDEX($AI$12:$AI$263,MATCH($AQ15,$AP$12:$AP$263,0)), "-"),     TRUE, "0")</f>
        <v>0</v>
      </c>
      <c r="CB15" s="588">
        <f>IF(CA$9&gt;0, IF(OR(CA15="",CA15="-"), 0, CA15*$AT15), BZ15*$AJ15)</f>
        <v>0</v>
      </c>
      <c r="CC15" s="587">
        <f>[1]COMMANDE!AK13</f>
        <v>0</v>
      </c>
      <c r="CD15" s="586" t="str">
        <f>_xlfn.IFS(AND($AI15=$AM15,$AI15&gt;0,$AM15&gt;0,CC15&gt;0), CC15,     AND(NOT($AI15=$AM15),$AI15&gt;0,$AM15&gt;0,CC15&gt;0), ($AM15*CC15)/$AI15,     AND($AI15=0,$AM15&gt;0,$AQ15&gt;0), IF(INDEX(CC$12:CC$263,MATCH($AQ15,$AP$12:$AP$263,0))&gt;0,($AM15*INDEX(CC$12:CC$263,MATCH($AQ15,$AP$12:$AP$263,0)))/INDEX($AI$12:$AI$263,MATCH($AQ15,$AP$12:$AP$263,0)), "-"),     TRUE, "0")</f>
        <v>0</v>
      </c>
      <c r="CE15" s="607">
        <f>IF(CD$9&gt;0, IF(OR(CD15="",CD15="-"), 0, CD15*$AT15), CC15*$AJ15)</f>
        <v>0</v>
      </c>
      <c r="CF15" s="589">
        <f>[1]COMMANDE!AM13</f>
        <v>0</v>
      </c>
      <c r="CG15" s="586" t="str">
        <f>_xlfn.IFS(AND($AI15=$AM15,$AI15&gt;0,$AM15&gt;0,CF15&gt;0), CF15,     AND(NOT($AI15=$AM15),$AI15&gt;0,$AM15&gt;0,CF15&gt;0), ($AM15*CF15)/$AI15,     AND($AI15=0,$AM15&gt;0,$AQ15&gt;0), IF(INDEX(CF$12:CF$263,MATCH($AQ15,$AP$12:$AP$263,0))&gt;0,($AM15*INDEX(CF$12:CF$263,MATCH($AQ15,$AP$12:$AP$263,0)))/INDEX($AI$12:$AI$263,MATCH($AQ15,$AP$12:$AP$263,0)), "-"),     TRUE, "0")</f>
        <v>0</v>
      </c>
      <c r="CH15" s="588">
        <f>IF(CG$9&gt;0, IF(OR(CG15="",CG15="-"), 0, CG15*$AT15), CF15*$AJ15)</f>
        <v>0</v>
      </c>
      <c r="CI15" s="587">
        <f>[1]COMMANDE!AO13</f>
        <v>0</v>
      </c>
      <c r="CJ15" s="586" t="str">
        <f>_xlfn.IFS(AND($AI15=$AM15,$AI15&gt;0,$AM15&gt;0,CI15&gt;0), CI15,     AND(NOT($AI15=$AM15),$AI15&gt;0,$AM15&gt;0,CI15&gt;0), ($AM15*CI15)/$AI15,     AND($AI15=0,$AM15&gt;0,$AQ15&gt;0), IF(INDEX(CI$12:CI$263,MATCH($AQ15,$AP$12:$AP$263,0))&gt;0,($AM15*INDEX(CI$12:CI$263,MATCH($AQ15,$AP$12:$AP$263,0)))/INDEX($AI$12:$AI$263,MATCH($AQ15,$AP$12:$AP$263,0)), "-"),     TRUE, "0")</f>
        <v>0</v>
      </c>
      <c r="CK15" s="607">
        <f>IF(CJ$9&gt;0, IF(OR(CJ15="",CJ15="-"), 0, CJ15*$AT15), CI15*$AJ15)</f>
        <v>0</v>
      </c>
      <c r="CL15" s="589">
        <f>[1]COMMANDE!AQ13</f>
        <v>0</v>
      </c>
      <c r="CM15" s="586" t="str">
        <f>_xlfn.IFS(AND($AI15=$AM15,$AI15&gt;0,$AM15&gt;0,CL15&gt;0), CL15,     AND(NOT($AI15=$AM15),$AI15&gt;0,$AM15&gt;0,CL15&gt;0), ($AM15*CL15)/$AI15,     AND($AI15=0,$AM15&gt;0,$AQ15&gt;0), IF(INDEX(CL$12:CL$263,MATCH($AQ15,$AP$12:$AP$263,0))&gt;0,($AM15*INDEX(CL$12:CL$263,MATCH($AQ15,$AP$12:$AP$263,0)))/INDEX($AI$12:$AI$263,MATCH($AQ15,$AP$12:$AP$263,0)), "-"),     TRUE, "0")</f>
        <v>0</v>
      </c>
      <c r="CN15" s="588">
        <f>IF(CM$9&gt;0, IF(OR(CM15="",CM15="-"), 0, CM15*$AT15), CL15*$AJ15)</f>
        <v>0</v>
      </c>
      <c r="CO15" s="587">
        <f>[1]COMMANDE!AS13</f>
        <v>0</v>
      </c>
      <c r="CP15" s="586" t="str">
        <f>_xlfn.IFS(AND($AI15=$AM15,$AI15&gt;0,$AM15&gt;0,CO15&gt;0), CO15,     AND(NOT($AI15=$AM15),$AI15&gt;0,$AM15&gt;0,CO15&gt;0), ($AM15*CO15)/$AI15,     AND($AI15=0,$AM15&gt;0,$AQ15&gt;0), IF(INDEX(CO$12:CO$263,MATCH($AQ15,$AP$12:$AP$263,0))&gt;0,($AM15*INDEX(CO$12:CO$263,MATCH($AQ15,$AP$12:$AP$263,0)))/INDEX($AI$12:$AI$263,MATCH($AQ15,$AP$12:$AP$263,0)), "-"),     TRUE, "0")</f>
        <v>0</v>
      </c>
      <c r="CQ15" s="607">
        <f>IF(CP$9&gt;0, IF(OR(CP15="",CP15="-"), 0, CP15*$AT15), CO15*$AJ15)</f>
        <v>0</v>
      </c>
      <c r="CR15" s="589">
        <f>[1]COMMANDE!AU13</f>
        <v>0</v>
      </c>
      <c r="CS15" s="586" t="str">
        <f>_xlfn.IFS(AND($AI15=$AM15,$AI15&gt;0,$AM15&gt;0,CR15&gt;0), CR15,     AND(NOT($AI15=$AM15),$AI15&gt;0,$AM15&gt;0,CR15&gt;0), ($AM15*CR15)/$AI15,     AND($AI15=0,$AM15&gt;0,$AQ15&gt;0), IF(INDEX(CR$12:CR$263,MATCH($AQ15,$AP$12:$AP$263,0))&gt;0,($AM15*INDEX(CR$12:CR$263,MATCH($AQ15,$AP$12:$AP$263,0)))/INDEX($AI$12:$AI$263,MATCH($AQ15,$AP$12:$AP$263,0)), "-"),     TRUE, "0")</f>
        <v>0</v>
      </c>
      <c r="CT15" s="588">
        <f>IF(CS$9&gt;0, IF(OR(CS15="",CS15="-"), 0, CS15*$AT15), CR15*$AJ15)</f>
        <v>0</v>
      </c>
      <c r="CU15" s="587">
        <f>[1]COMMANDE!AW13</f>
        <v>0</v>
      </c>
      <c r="CV15" s="586" t="str">
        <f>_xlfn.IFS(AND($AI15=$AM15,$AI15&gt;0,$AM15&gt;0,CU15&gt;0), CU15,     AND(NOT($AI15=$AM15),$AI15&gt;0,$AM15&gt;0,CU15&gt;0), ($AM15*CU15)/$AI15,     AND($AI15=0,$AM15&gt;0,$AQ15&gt;0), IF(INDEX(CU$12:CU$263,MATCH($AQ15,$AP$12:$AP$263,0))&gt;0,($AM15*INDEX(CU$12:CU$263,MATCH($AQ15,$AP$12:$AP$263,0)))/INDEX($AI$12:$AI$263,MATCH($AQ15,$AP$12:$AP$263,0)), "-"),     TRUE, "0")</f>
        <v>0</v>
      </c>
      <c r="CW15" s="607">
        <f>IF(CV$9&gt;0, IF(OR(CV15="",CV15="-"), 0, CV15*$AT15), CU15*$AJ15)</f>
        <v>0</v>
      </c>
      <c r="CX15" s="589">
        <f>[1]COMMANDE!AY13</f>
        <v>0</v>
      </c>
      <c r="CY15" s="586" t="str">
        <f>_xlfn.IFS(AND($AI15=$AM15,$AI15&gt;0,$AM15&gt;0,CX15&gt;0), CX15,     AND(NOT($AI15=$AM15),$AI15&gt;0,$AM15&gt;0,CX15&gt;0), ($AM15*CX15)/$AI15,     AND($AI15=0,$AM15&gt;0,$AQ15&gt;0), IF(INDEX(CX$12:CX$263,MATCH($AQ15,$AP$12:$AP$263,0))&gt;0,($AM15*INDEX(CX$12:CX$263,MATCH($AQ15,$AP$12:$AP$263,0)))/INDEX($AI$12:$AI$263,MATCH($AQ15,$AP$12:$AP$263,0)), "-"),     TRUE, "0")</f>
        <v>0</v>
      </c>
      <c r="CZ15" s="588">
        <f>IF(CY$9&gt;0, IF(OR(CY15="",CY15="-"), 0, CY15*$AT15), CX15*$AJ15)</f>
        <v>0</v>
      </c>
      <c r="DA15" s="587">
        <f>[1]COMMANDE!BA13</f>
        <v>0</v>
      </c>
      <c r="DB15" s="586" t="str">
        <f>_xlfn.IFS(AND($AI15=$AM15,$AI15&gt;0,$AM15&gt;0,DA15&gt;0), DA15,     AND(NOT($AI15=$AM15),$AI15&gt;0,$AM15&gt;0,DA15&gt;0), ($AM15*DA15)/$AI15,     AND($AI15=0,$AM15&gt;0,$AQ15&gt;0), IF(INDEX(DA$12:DA$263,MATCH($AQ15,$AP$12:$AP$263,0))&gt;0,($AM15*INDEX(DA$12:DA$263,MATCH($AQ15,$AP$12:$AP$263,0)))/INDEX($AI$12:$AI$263,MATCH($AQ15,$AP$12:$AP$263,0)), "-"),     TRUE, "0")</f>
        <v>0</v>
      </c>
      <c r="DC15" s="606">
        <f>IF(DB$9&gt;0, IF(OR(DB15="",DB15="-"), 0, DB15*$AT15), DA15*$AJ15)</f>
        <v>0</v>
      </c>
      <c r="DD15" s="584"/>
      <c r="DE15" s="583"/>
    </row>
    <row r="16" spans="1:111" ht="39.950000000000003" hidden="1" customHeight="1">
      <c r="A16" s="604">
        <f>IF(OR($AV16&gt;0, $AX16&gt;0), 1, 0)</f>
        <v>0</v>
      </c>
      <c r="B16" s="604">
        <f>IF(OR($AY16&gt;0, $BA16&gt;0), 1, 0)</f>
        <v>0</v>
      </c>
      <c r="C16" s="604">
        <f>IF(OR($BB16&gt;0, $BD16&gt;0), 1, 0)</f>
        <v>0</v>
      </c>
      <c r="D16" s="604">
        <f>IF(OR($BE16&gt;0, $BG16&gt;0), 1, 0)</f>
        <v>0</v>
      </c>
      <c r="E16" s="604">
        <f>IF(OR($BH16&gt;0, $BJ16&gt;0), 1, 0)</f>
        <v>0</v>
      </c>
      <c r="F16" s="604">
        <f>IF(OR($BK16&gt;0, $BM16&gt;0), 1, 0)</f>
        <v>0</v>
      </c>
      <c r="G16" s="604">
        <f>IF(OR($BN16&gt;0, $BP16&gt;0), 1, 0)</f>
        <v>0</v>
      </c>
      <c r="H16" s="604">
        <f>IF(OR($BQ16&gt;0, $BS16&gt;0), 1, 0)</f>
        <v>0</v>
      </c>
      <c r="I16" s="604">
        <f>IF(OR($BT16&gt;0, $BV16&gt;0), 1, 0)</f>
        <v>0</v>
      </c>
      <c r="J16" s="604">
        <f>IF(OR($BW16&gt;0, $BY16&gt;0), 1, 0)</f>
        <v>0</v>
      </c>
      <c r="K16" s="604">
        <f>IF(OR($BZ16&gt;0, $CB16&gt;0), 1, 0)</f>
        <v>0</v>
      </c>
      <c r="L16" s="604">
        <f>IF(OR($CC16&gt;0, $CE16&gt;0), 1, 0)</f>
        <v>0</v>
      </c>
      <c r="M16" s="604">
        <f>IF(OR($CF16&gt;0, $CH16&gt;0), 1, 0)</f>
        <v>0</v>
      </c>
      <c r="N16" s="604">
        <f>IF(OR($CI16&gt;0, $CK16&gt;0), 1, 0)</f>
        <v>0</v>
      </c>
      <c r="O16" s="604">
        <f>IF(OR($CL16&gt;0, $CN16&gt;0), 1, 0)</f>
        <v>0</v>
      </c>
      <c r="P16" s="604">
        <f>IF(OR($CO16&gt;0, $CQ16&gt;0), 1, 0)</f>
        <v>0</v>
      </c>
      <c r="Q16" s="604">
        <f>IF(OR($CR16&gt;0, $CT16&gt;0), 1, 0)</f>
        <v>0</v>
      </c>
      <c r="R16" s="604">
        <f>IF(OR($CU16&gt;0, $CW16&gt;0), 1, 0)</f>
        <v>0</v>
      </c>
      <c r="S16" s="604">
        <f>IF(OR($CX16&gt;0, $CZ16&gt;0), 1, 0)</f>
        <v>0</v>
      </c>
      <c r="T16" s="604">
        <f>IF(OR($DA16&gt;0, $DC16&gt;0), 1, 0)</f>
        <v>0</v>
      </c>
      <c r="U16" s="603">
        <f>IF(OR($AI16&gt;0,$AM16&gt;0,$AS16&gt;0), 1, 0)</f>
        <v>0</v>
      </c>
      <c r="V16" s="602">
        <f>[1]BDD!A6</f>
        <v>1189</v>
      </c>
      <c r="W16" s="601" t="str">
        <f>[1]BDD!B6</f>
        <v>Algue Dulse déshydratée BIO (env. 1kg)</v>
      </c>
      <c r="X16" s="600" t="str">
        <f>IF([1]BDD!F6=0, "", [1]BDD!F6)</f>
        <v>❤️</v>
      </c>
      <c r="Y16" s="542">
        <f>ROUND([1]BDD!G6+FDP_CMD_KG, 2)</f>
        <v>83.04</v>
      </c>
      <c r="Z16" s="542">
        <f>ROUND([1]BDD!G6+FDP_FACT_KG, 2)</f>
        <v>83.04</v>
      </c>
      <c r="AA16" s="543" t="str">
        <f>[1]BDD!H6</f>
        <v>Pièce</v>
      </c>
      <c r="AB16" s="544" t="str">
        <f>IF(NOT(ISBLANK([1]BDD!I6)), ROUND(SUM(([1]BDD!G6*reduc1),FDP_CMD_KG), 2), "")</f>
        <v/>
      </c>
      <c r="AC16" s="544" t="str">
        <f>IF(NOT(ISBLANK([1]BDD!J6)), ROUND(SUM(([1]BDD!G6*reduc2),FDP_CMD_KG), 2), "")</f>
        <v/>
      </c>
      <c r="AD16" s="544" t="str">
        <f>IF(NOT(ISBLANK([1]BDD!K6)), ROUND(SUM(([1]BDD!G6*reduc3),FDP_CMD_KG), 2), "")</f>
        <v/>
      </c>
      <c r="AE16" s="544" t="str">
        <f>IF(NOT(ISBLANK([1]BDD!I6)), ROUND(SUM(([1]BDD!G6*reduc1),FDP_FACT_KG), 2), "")</f>
        <v/>
      </c>
      <c r="AF16" s="544" t="str">
        <f>IF(NOT(ISBLANK([1]BDD!J6)), ROUND(SUM(([1]BDD!G6*reduc2),FDP_FACT_KG), 2), "")</f>
        <v/>
      </c>
      <c r="AG16" s="544" t="str">
        <f>IF(NOT(ISBLANK([1]BDD!K6)), ROUND(SUM(([1]BDD!G6*reduc3),FDP_FACT_KG), 2), "")</f>
        <v/>
      </c>
      <c r="AH16" s="599" t="str">
        <f>[1]BDD!C6</f>
        <v>Irlande</v>
      </c>
      <c r="AI16" s="598">
        <f>SUM(AV16,AY16,BB16,BE16,BH16,BK16,BN16,BQ16,BT16,BW16,BZ16,CC16,CF16,CI16,CL16,CO16,CR16,CU16,CX16,DA16)</f>
        <v>0</v>
      </c>
      <c r="AJ16" s="545">
        <f>_xlfn.IFS($AD16&lt;&gt;"", $AD16,    $AC16&lt;&gt;"", $AC16,    $AB16&lt;&gt;"", $AB16,    TRUE, $Y16)</f>
        <v>83.04</v>
      </c>
      <c r="AK16" s="592">
        <f>$AI16*$AJ16</f>
        <v>0</v>
      </c>
      <c r="AL16" s="594"/>
      <c r="AM16" s="597"/>
      <c r="AN16" s="545">
        <f>_xlfn.IFS(AND(AM16&gt;=60,$AG16&lt;&gt;""), $AG16,    AND(AM16&gt;=30,$AF16&lt;&gt;""), $AF16,    AND(AM16&gt;=10,$AE16&lt;&gt;""), $AE16,    TRUE, $Z16)</f>
        <v>83.04</v>
      </c>
      <c r="AO16" s="596">
        <f>AM16*AN16</f>
        <v>0</v>
      </c>
      <c r="AP16" s="595"/>
      <c r="AQ16" s="595"/>
      <c r="AR16" s="594"/>
      <c r="AS16" s="593">
        <f>SUM(AW16,AZ16,BC16,BF16,BI16,BL16,BO16,BR16,BU16,BX16,CA16,CD16,CG16,CJ16,CM16,CP16,CS16,CV16,CY16,DB16)</f>
        <v>0</v>
      </c>
      <c r="AT16" s="545">
        <f>_xlfn.IFS(AND(AS16&gt;=60,$AG16&lt;&gt;""), $AG16,    AND(AS16&gt;=30,$AF16&lt;&gt;""), $AF16,    AND(AS16&gt;=10,$AE16&lt;&gt;""), $AE16,    TRUE, $Z16)</f>
        <v>83.04</v>
      </c>
      <c r="AU16" s="592">
        <f>$AS16*$AT16</f>
        <v>0</v>
      </c>
      <c r="AV16" s="591">
        <f>[1]COMMANDE!O14</f>
        <v>0</v>
      </c>
      <c r="AW16" s="586" t="str">
        <f>_xlfn.IFS(AND($AI16=$AM16,$AI16&gt;0,$AM16&gt;0,AV16&gt;0), AV16,     AND(NOT($AI16=$AM16),$AI16&gt;0,$AM16&gt;0,AV16&gt;0), ($AM16*AV16)/$AI16,     AND($AI16=0,$AM16&gt;0,$AQ16&gt;0), IF(INDEX(AV$12:AV$263,MATCH($AQ16,$AP$12:$AP$263,0))&gt;0,($AM16*INDEX(AV$12:AV$263,MATCH($AQ16,$AP$12:$AP$263,0)))/INDEX($AI$12:$AI$263,MATCH($AQ16,$AP$12:$AP$263,0)), "-"),     TRUE, "0")</f>
        <v>0</v>
      </c>
      <c r="AX16" s="588">
        <f>IF(AW$9&gt;0, IF(OR(AW16="",AW16="-"), 0, AW16*$AT16), AV16*$AJ16)</f>
        <v>0</v>
      </c>
      <c r="AY16" s="587">
        <f>[1]COMMANDE!Q14</f>
        <v>0</v>
      </c>
      <c r="AZ16" s="586" t="str">
        <f>_xlfn.IFS(AND($AI16=$AM16,$AI16&gt;0,$AM16&gt;0,AY16&gt;0), AY16,     AND(NOT($AI16=$AM16),$AI16&gt;0,$AM16&gt;0,AY16&gt;0), ($AM16*AY16)/$AI16,     AND($AI16=0,$AM16&gt;0,$AQ16&gt;0), IF(INDEX(AY$12:AY$263,MATCH($AQ16,$AP$12:$AP$263,0))&gt;0,($AM16*INDEX(AY$12:AY$263,MATCH($AQ16,$AP$12:$AP$263,0)))/INDEX($AI$12:$AI$263,MATCH($AQ16,$AP$12:$AP$263,0)), "-"),     TRUE, "0")</f>
        <v>0</v>
      </c>
      <c r="BA16" s="607">
        <f>IF(AZ$9&gt;0, IF(OR(AZ16="",AZ16="-"), 0, AZ16*$AT16), AY16*$AJ16)</f>
        <v>0</v>
      </c>
      <c r="BB16" s="589">
        <f>[1]COMMANDE!S14</f>
        <v>0</v>
      </c>
      <c r="BC16" s="586" t="str">
        <f>_xlfn.IFS(AND($AI16=$AM16,$AI16&gt;0,$AM16&gt;0,BB16&gt;0), BB16,     AND(NOT($AI16=$AM16),$AI16&gt;0,$AM16&gt;0,BB16&gt;0), ($AM16*BB16)/$AI16,     AND($AI16=0,$AM16&gt;0,$AQ16&gt;0), IF(INDEX(BB$12:BB$263,MATCH($AQ16,$AP$12:$AP$263,0))&gt;0,($AM16*INDEX(BB$12:BB$263,MATCH($AQ16,$AP$12:$AP$263,0)))/INDEX($AI$12:$AI$263,MATCH($AQ16,$AP$12:$AP$263,0)), "-"),     TRUE, "0")</f>
        <v>0</v>
      </c>
      <c r="BD16" s="588">
        <f>IF(BC$9&gt;0, IF(OR(BC16="",BC16="-"), 0, BC16*$AT16), BB16*$AJ16)</f>
        <v>0</v>
      </c>
      <c r="BE16" s="587">
        <f>[1]COMMANDE!U14</f>
        <v>0</v>
      </c>
      <c r="BF16" s="586" t="str">
        <f>_xlfn.IFS(AND($AI16=$AM16,$AI16&gt;0,$AM16&gt;0,BE16&gt;0), BE16,     AND(NOT($AI16=$AM16),$AI16&gt;0,$AM16&gt;0,BE16&gt;0), ($AM16*BE16)/$AI16,     AND($AI16=0,$AM16&gt;0,$AQ16&gt;0), IF(INDEX(BE$12:BE$263,MATCH($AQ16,$AP$12:$AP$263,0))&gt;0,($AM16*INDEX(BE$12:BE$263,MATCH($AQ16,$AP$12:$AP$263,0)))/INDEX($AI$12:$AI$263,MATCH($AQ16,$AP$12:$AP$263,0)), "-"),     TRUE, "0")</f>
        <v>0</v>
      </c>
      <c r="BG16" s="607">
        <f>IF(BF$9&gt;0, IF(OR(BF16="",BF16="-"), 0, BF16*$AT16), BE16*$AJ16)</f>
        <v>0</v>
      </c>
      <c r="BH16" s="589">
        <f>[1]COMMANDE!W14</f>
        <v>0</v>
      </c>
      <c r="BI16" s="586" t="str">
        <f>_xlfn.IFS(AND($AI16=$AM16,$AI16&gt;0,$AM16&gt;0,BH16&gt;0), BH16,     AND(NOT($AI16=$AM16),$AI16&gt;0,$AM16&gt;0,BH16&gt;0), ($AM16*BH16)/$AI16,     AND($AI16=0,$AM16&gt;0,$AQ16&gt;0), IF(INDEX(BH$12:BH$263,MATCH($AQ16,$AP$12:$AP$263,0))&gt;0,($AM16*INDEX(BH$12:BH$263,MATCH($AQ16,$AP$12:$AP$263,0)))/INDEX($AI$12:$AI$263,MATCH($AQ16,$AP$12:$AP$263,0)), "-"),     TRUE, "0")</f>
        <v>0</v>
      </c>
      <c r="BJ16" s="588">
        <f>IF(BI$9&gt;0, IF(OR(BI16="",BI16="-"), 0, BI16*$AT16), BH16*$AJ16)</f>
        <v>0</v>
      </c>
      <c r="BK16" s="587">
        <f>[1]COMMANDE!Y14</f>
        <v>0</v>
      </c>
      <c r="BL16" s="586" t="str">
        <f>_xlfn.IFS(AND($AI16=$AM16,$AI16&gt;0,$AM16&gt;0,BK16&gt;0), BK16,     AND(NOT($AI16=$AM16),$AI16&gt;0,$AM16&gt;0,BK16&gt;0), ($AM16*BK16)/$AI16,     AND($AI16=0,$AM16&gt;0,$AQ16&gt;0), IF(INDEX(BK$12:BK$263,MATCH($AQ16,$AP$12:$AP$263,0))&gt;0,($AM16*INDEX(BK$12:BK$263,MATCH($AQ16,$AP$12:$AP$263,0)))/INDEX($AI$12:$AI$263,MATCH($AQ16,$AP$12:$AP$263,0)), "-"),     TRUE, "0")</f>
        <v>0</v>
      </c>
      <c r="BM16" s="607">
        <f>IF(BL$9&gt;0, IF(OR(BL16="",BL16="-"), 0, BL16*$AT16), BK16*$AJ16)</f>
        <v>0</v>
      </c>
      <c r="BN16" s="589">
        <f>[1]COMMANDE!AA14</f>
        <v>0</v>
      </c>
      <c r="BO16" s="586" t="str">
        <f>_xlfn.IFS(AND($AI16=$AM16,$AI16&gt;0,$AM16&gt;0,BN16&gt;0), BN16,     AND(NOT($AI16=$AM16),$AI16&gt;0,$AM16&gt;0,BN16&gt;0), ($AM16*BN16)/$AI16,     AND($AI16=0,$AM16&gt;0,$AQ16&gt;0), IF(INDEX(BN$12:BN$263,MATCH($AQ16,$AP$12:$AP$263,0))&gt;0,($AM16*INDEX(BN$12:BN$263,MATCH($AQ16,$AP$12:$AP$263,0)))/INDEX($AI$12:$AI$263,MATCH($AQ16,$AP$12:$AP$263,0)), "-"),     TRUE, "0")</f>
        <v>0</v>
      </c>
      <c r="BP16" s="588">
        <f>IF(BO$9&gt;0, IF(OR(BO16="",BO16="-"), 0, BO16*$AT16), BN16*$AJ16)</f>
        <v>0</v>
      </c>
      <c r="BQ16" s="587">
        <f>[1]COMMANDE!AC14</f>
        <v>0</v>
      </c>
      <c r="BR16" s="586" t="str">
        <f>_xlfn.IFS(AND($AI16=$AM16,$AI16&gt;0,$AM16&gt;0,BQ16&gt;0), BQ16,     AND(NOT($AI16=$AM16),$AI16&gt;0,$AM16&gt;0,BQ16&gt;0), ($AM16*BQ16)/$AI16,     AND($AI16=0,$AM16&gt;0,$AQ16&gt;0), IF(INDEX(BQ$12:BQ$263,MATCH($AQ16,$AP$12:$AP$263,0))&gt;0,($AM16*INDEX(BQ$12:BQ$263,MATCH($AQ16,$AP$12:$AP$263,0)))/INDEX($AI$12:$AI$263,MATCH($AQ16,$AP$12:$AP$263,0)), "-"),     TRUE, "0")</f>
        <v>0</v>
      </c>
      <c r="BS16" s="607">
        <f>IF(BR$9&gt;0, IF(OR(BR16="",BR16="-"), 0, BR16*$AT16), BQ16*$AJ16)</f>
        <v>0</v>
      </c>
      <c r="BT16" s="589">
        <f>[1]COMMANDE!AE14</f>
        <v>0</v>
      </c>
      <c r="BU16" s="586" t="str">
        <f>_xlfn.IFS(AND($AI16=$AM16,$AI16&gt;0,$AM16&gt;0,BT16&gt;0), BT16,     AND(NOT($AI16=$AM16),$AI16&gt;0,$AM16&gt;0,BT16&gt;0), ($AM16*BT16)/$AI16,     AND($AI16=0,$AM16&gt;0,$AQ16&gt;0), IF(INDEX(BT$12:BT$263,MATCH($AQ16,$AP$12:$AP$263,0))&gt;0,($AM16*INDEX(BT$12:BT$263,MATCH($AQ16,$AP$12:$AP$263,0)))/INDEX($AI$12:$AI$263,MATCH($AQ16,$AP$12:$AP$263,0)), "-"),     TRUE, "0")</f>
        <v>0</v>
      </c>
      <c r="BV16" s="588">
        <f>IF(BU$9&gt;0, IF(OR(BU16="",BU16="-"), 0, BU16*$AT16), BT16*$AJ16)</f>
        <v>0</v>
      </c>
      <c r="BW16" s="587">
        <f>[1]COMMANDE!AG14</f>
        <v>0</v>
      </c>
      <c r="BX16" s="586" t="str">
        <f>_xlfn.IFS(AND($AI16=$AM16,$AI16&gt;0,$AM16&gt;0,BW16&gt;0), BW16,     AND(NOT($AI16=$AM16),$AI16&gt;0,$AM16&gt;0,BW16&gt;0), ($AM16*BW16)/$AI16,     AND($AI16=0,$AM16&gt;0,$AQ16&gt;0), IF(INDEX(BW$12:BW$263,MATCH($AQ16,$AP$12:$AP$263,0))&gt;0,($AM16*INDEX(BW$12:BW$263,MATCH($AQ16,$AP$12:$AP$263,0)))/INDEX($AI$12:$AI$263,MATCH($AQ16,$AP$12:$AP$263,0)), "-"),     TRUE, "0")</f>
        <v>0</v>
      </c>
      <c r="BY16" s="607">
        <f>IF(BX$9&gt;0, IF(OR(BX16="",BX16="-"), 0, BX16*$AT16), BW16*$AJ16)</f>
        <v>0</v>
      </c>
      <c r="BZ16" s="589">
        <f>[1]COMMANDE!AI14</f>
        <v>0</v>
      </c>
      <c r="CA16" s="586" t="str">
        <f>_xlfn.IFS(AND($AI16=$AM16,$AI16&gt;0,$AM16&gt;0,BZ16&gt;0), BZ16,     AND(NOT($AI16=$AM16),$AI16&gt;0,$AM16&gt;0,BZ16&gt;0), ($AM16*BZ16)/$AI16,     AND($AI16=0,$AM16&gt;0,$AQ16&gt;0), IF(INDEX(BZ$12:BZ$263,MATCH($AQ16,$AP$12:$AP$263,0))&gt;0,($AM16*INDEX(BZ$12:BZ$263,MATCH($AQ16,$AP$12:$AP$263,0)))/INDEX($AI$12:$AI$263,MATCH($AQ16,$AP$12:$AP$263,0)), "-"),     TRUE, "0")</f>
        <v>0</v>
      </c>
      <c r="CB16" s="588">
        <f>IF(CA$9&gt;0, IF(OR(CA16="",CA16="-"), 0, CA16*$AT16), BZ16*$AJ16)</f>
        <v>0</v>
      </c>
      <c r="CC16" s="587">
        <f>[1]COMMANDE!AK14</f>
        <v>0</v>
      </c>
      <c r="CD16" s="586" t="str">
        <f>_xlfn.IFS(AND($AI16=$AM16,$AI16&gt;0,$AM16&gt;0,CC16&gt;0), CC16,     AND(NOT($AI16=$AM16),$AI16&gt;0,$AM16&gt;0,CC16&gt;0), ($AM16*CC16)/$AI16,     AND($AI16=0,$AM16&gt;0,$AQ16&gt;0), IF(INDEX(CC$12:CC$263,MATCH($AQ16,$AP$12:$AP$263,0))&gt;0,($AM16*INDEX(CC$12:CC$263,MATCH($AQ16,$AP$12:$AP$263,0)))/INDEX($AI$12:$AI$263,MATCH($AQ16,$AP$12:$AP$263,0)), "-"),     TRUE, "0")</f>
        <v>0</v>
      </c>
      <c r="CE16" s="607">
        <f>IF(CD$9&gt;0, IF(OR(CD16="",CD16="-"), 0, CD16*$AT16), CC16*$AJ16)</f>
        <v>0</v>
      </c>
      <c r="CF16" s="589">
        <f>[1]COMMANDE!AM14</f>
        <v>0</v>
      </c>
      <c r="CG16" s="586" t="str">
        <f>_xlfn.IFS(AND($AI16=$AM16,$AI16&gt;0,$AM16&gt;0,CF16&gt;0), CF16,     AND(NOT($AI16=$AM16),$AI16&gt;0,$AM16&gt;0,CF16&gt;0), ($AM16*CF16)/$AI16,     AND($AI16=0,$AM16&gt;0,$AQ16&gt;0), IF(INDEX(CF$12:CF$263,MATCH($AQ16,$AP$12:$AP$263,0))&gt;0,($AM16*INDEX(CF$12:CF$263,MATCH($AQ16,$AP$12:$AP$263,0)))/INDEX($AI$12:$AI$263,MATCH($AQ16,$AP$12:$AP$263,0)), "-"),     TRUE, "0")</f>
        <v>0</v>
      </c>
      <c r="CH16" s="588">
        <f>IF(CG$9&gt;0, IF(OR(CG16="",CG16="-"), 0, CG16*$AT16), CF16*$AJ16)</f>
        <v>0</v>
      </c>
      <c r="CI16" s="587">
        <f>[1]COMMANDE!AO14</f>
        <v>0</v>
      </c>
      <c r="CJ16" s="586" t="str">
        <f>_xlfn.IFS(AND($AI16=$AM16,$AI16&gt;0,$AM16&gt;0,CI16&gt;0), CI16,     AND(NOT($AI16=$AM16),$AI16&gt;0,$AM16&gt;0,CI16&gt;0), ($AM16*CI16)/$AI16,     AND($AI16=0,$AM16&gt;0,$AQ16&gt;0), IF(INDEX(CI$12:CI$263,MATCH($AQ16,$AP$12:$AP$263,0))&gt;0,($AM16*INDEX(CI$12:CI$263,MATCH($AQ16,$AP$12:$AP$263,0)))/INDEX($AI$12:$AI$263,MATCH($AQ16,$AP$12:$AP$263,0)), "-"),     TRUE, "0")</f>
        <v>0</v>
      </c>
      <c r="CK16" s="607">
        <f>IF(CJ$9&gt;0, IF(OR(CJ16="",CJ16="-"), 0, CJ16*$AT16), CI16*$AJ16)</f>
        <v>0</v>
      </c>
      <c r="CL16" s="589">
        <f>[1]COMMANDE!AQ14</f>
        <v>0</v>
      </c>
      <c r="CM16" s="586" t="str">
        <f>_xlfn.IFS(AND($AI16=$AM16,$AI16&gt;0,$AM16&gt;0,CL16&gt;0), CL16,     AND(NOT($AI16=$AM16),$AI16&gt;0,$AM16&gt;0,CL16&gt;0), ($AM16*CL16)/$AI16,     AND($AI16=0,$AM16&gt;0,$AQ16&gt;0), IF(INDEX(CL$12:CL$263,MATCH($AQ16,$AP$12:$AP$263,0))&gt;0,($AM16*INDEX(CL$12:CL$263,MATCH($AQ16,$AP$12:$AP$263,0)))/INDEX($AI$12:$AI$263,MATCH($AQ16,$AP$12:$AP$263,0)), "-"),     TRUE, "0")</f>
        <v>0</v>
      </c>
      <c r="CN16" s="588">
        <f>IF(CM$9&gt;0, IF(OR(CM16="",CM16="-"), 0, CM16*$AT16), CL16*$AJ16)</f>
        <v>0</v>
      </c>
      <c r="CO16" s="587">
        <f>[1]COMMANDE!AS14</f>
        <v>0</v>
      </c>
      <c r="CP16" s="586" t="str">
        <f>_xlfn.IFS(AND($AI16=$AM16,$AI16&gt;0,$AM16&gt;0,CO16&gt;0), CO16,     AND(NOT($AI16=$AM16),$AI16&gt;0,$AM16&gt;0,CO16&gt;0), ($AM16*CO16)/$AI16,     AND($AI16=0,$AM16&gt;0,$AQ16&gt;0), IF(INDEX(CO$12:CO$263,MATCH($AQ16,$AP$12:$AP$263,0))&gt;0,($AM16*INDEX(CO$12:CO$263,MATCH($AQ16,$AP$12:$AP$263,0)))/INDEX($AI$12:$AI$263,MATCH($AQ16,$AP$12:$AP$263,0)), "-"),     TRUE, "0")</f>
        <v>0</v>
      </c>
      <c r="CQ16" s="607">
        <f>IF(CP$9&gt;0, IF(OR(CP16="",CP16="-"), 0, CP16*$AT16), CO16*$AJ16)</f>
        <v>0</v>
      </c>
      <c r="CR16" s="589">
        <f>[1]COMMANDE!AU14</f>
        <v>0</v>
      </c>
      <c r="CS16" s="586" t="str">
        <f>_xlfn.IFS(AND($AI16=$AM16,$AI16&gt;0,$AM16&gt;0,CR16&gt;0), CR16,     AND(NOT($AI16=$AM16),$AI16&gt;0,$AM16&gt;0,CR16&gt;0), ($AM16*CR16)/$AI16,     AND($AI16=0,$AM16&gt;0,$AQ16&gt;0), IF(INDEX(CR$12:CR$263,MATCH($AQ16,$AP$12:$AP$263,0))&gt;0,($AM16*INDEX(CR$12:CR$263,MATCH($AQ16,$AP$12:$AP$263,0)))/INDEX($AI$12:$AI$263,MATCH($AQ16,$AP$12:$AP$263,0)), "-"),     TRUE, "0")</f>
        <v>0</v>
      </c>
      <c r="CT16" s="588">
        <f>IF(CS$9&gt;0, IF(OR(CS16="",CS16="-"), 0, CS16*$AT16), CR16*$AJ16)</f>
        <v>0</v>
      </c>
      <c r="CU16" s="587">
        <f>[1]COMMANDE!AW14</f>
        <v>0</v>
      </c>
      <c r="CV16" s="586" t="str">
        <f>_xlfn.IFS(AND($AI16=$AM16,$AI16&gt;0,$AM16&gt;0,CU16&gt;0), CU16,     AND(NOT($AI16=$AM16),$AI16&gt;0,$AM16&gt;0,CU16&gt;0), ($AM16*CU16)/$AI16,     AND($AI16=0,$AM16&gt;0,$AQ16&gt;0), IF(INDEX(CU$12:CU$263,MATCH($AQ16,$AP$12:$AP$263,0))&gt;0,($AM16*INDEX(CU$12:CU$263,MATCH($AQ16,$AP$12:$AP$263,0)))/INDEX($AI$12:$AI$263,MATCH($AQ16,$AP$12:$AP$263,0)), "-"),     TRUE, "0")</f>
        <v>0</v>
      </c>
      <c r="CW16" s="607">
        <f>IF(CV$9&gt;0, IF(OR(CV16="",CV16="-"), 0, CV16*$AT16), CU16*$AJ16)</f>
        <v>0</v>
      </c>
      <c r="CX16" s="589">
        <f>[1]COMMANDE!AY14</f>
        <v>0</v>
      </c>
      <c r="CY16" s="586" t="str">
        <f>_xlfn.IFS(AND($AI16=$AM16,$AI16&gt;0,$AM16&gt;0,CX16&gt;0), CX16,     AND(NOT($AI16=$AM16),$AI16&gt;0,$AM16&gt;0,CX16&gt;0), ($AM16*CX16)/$AI16,     AND($AI16=0,$AM16&gt;0,$AQ16&gt;0), IF(INDEX(CX$12:CX$263,MATCH($AQ16,$AP$12:$AP$263,0))&gt;0,($AM16*INDEX(CX$12:CX$263,MATCH($AQ16,$AP$12:$AP$263,0)))/INDEX($AI$12:$AI$263,MATCH($AQ16,$AP$12:$AP$263,0)), "-"),     TRUE, "0")</f>
        <v>0</v>
      </c>
      <c r="CZ16" s="588">
        <f>IF(CY$9&gt;0, IF(OR(CY16="",CY16="-"), 0, CY16*$AT16), CX16*$AJ16)</f>
        <v>0</v>
      </c>
      <c r="DA16" s="587">
        <f>[1]COMMANDE!BA14</f>
        <v>0</v>
      </c>
      <c r="DB16" s="586" t="str">
        <f>_xlfn.IFS(AND($AI16=$AM16,$AI16&gt;0,$AM16&gt;0,DA16&gt;0), DA16,     AND(NOT($AI16=$AM16),$AI16&gt;0,$AM16&gt;0,DA16&gt;0), ($AM16*DA16)/$AI16,     AND($AI16=0,$AM16&gt;0,$AQ16&gt;0), IF(INDEX(DA$12:DA$263,MATCH($AQ16,$AP$12:$AP$263,0))&gt;0,($AM16*INDEX(DA$12:DA$263,MATCH($AQ16,$AP$12:$AP$263,0)))/INDEX($AI$12:$AI$263,MATCH($AQ16,$AP$12:$AP$263,0)), "-"),     TRUE, "0")</f>
        <v>0</v>
      </c>
      <c r="DC16" s="606">
        <f>IF(DB$9&gt;0, IF(OR(DB16="",DB16="-"), 0, DB16*$AT16), DA16*$AJ16)</f>
        <v>0</v>
      </c>
      <c r="DD16" s="584"/>
      <c r="DE16" s="583"/>
    </row>
    <row r="17" spans="1:109" ht="39.950000000000003" hidden="1" customHeight="1">
      <c r="A17" s="604">
        <f>IF(OR($AV17&gt;0, $AX17&gt;0), 1, 0)</f>
        <v>0</v>
      </c>
      <c r="B17" s="604">
        <f>IF(OR($AY17&gt;0, $BA17&gt;0), 1, 0)</f>
        <v>0</v>
      </c>
      <c r="C17" s="604">
        <f>IF(OR($BB17&gt;0, $BD17&gt;0), 1, 0)</f>
        <v>0</v>
      </c>
      <c r="D17" s="604">
        <f>IF(OR($BE17&gt;0, $BG17&gt;0), 1, 0)</f>
        <v>0</v>
      </c>
      <c r="E17" s="604">
        <f>IF(OR($BH17&gt;0, $BJ17&gt;0), 1, 0)</f>
        <v>0</v>
      </c>
      <c r="F17" s="604">
        <f>IF(OR($BK17&gt;0, $BM17&gt;0), 1, 0)</f>
        <v>0</v>
      </c>
      <c r="G17" s="604">
        <f>IF(OR($BN17&gt;0, $BP17&gt;0), 1, 0)</f>
        <v>0</v>
      </c>
      <c r="H17" s="604">
        <f>IF(OR($BQ17&gt;0, $BS17&gt;0), 1, 0)</f>
        <v>0</v>
      </c>
      <c r="I17" s="604">
        <f>IF(OR($BT17&gt;0, $BV17&gt;0), 1, 0)</f>
        <v>0</v>
      </c>
      <c r="J17" s="604">
        <f>IF(OR($BW17&gt;0, $BY17&gt;0), 1, 0)</f>
        <v>0</v>
      </c>
      <c r="K17" s="604">
        <f>IF(OR($BZ17&gt;0, $CB17&gt;0), 1, 0)</f>
        <v>0</v>
      </c>
      <c r="L17" s="604">
        <f>IF(OR($CC17&gt;0, $CE17&gt;0), 1, 0)</f>
        <v>0</v>
      </c>
      <c r="M17" s="604">
        <f>IF(OR($CF17&gt;0, $CH17&gt;0), 1, 0)</f>
        <v>0</v>
      </c>
      <c r="N17" s="604">
        <f>IF(OR($CI17&gt;0, $CK17&gt;0), 1, 0)</f>
        <v>0</v>
      </c>
      <c r="O17" s="604">
        <f>IF(OR($CL17&gt;0, $CN17&gt;0), 1, 0)</f>
        <v>0</v>
      </c>
      <c r="P17" s="604">
        <f>IF(OR($CO17&gt;0, $CQ17&gt;0), 1, 0)</f>
        <v>0</v>
      </c>
      <c r="Q17" s="604">
        <f>IF(OR($CR17&gt;0, $CT17&gt;0), 1, 0)</f>
        <v>0</v>
      </c>
      <c r="R17" s="604">
        <f>IF(OR($CU17&gt;0, $CW17&gt;0), 1, 0)</f>
        <v>0</v>
      </c>
      <c r="S17" s="604">
        <f>IF(OR($CX17&gt;0, $CZ17&gt;0), 1, 0)</f>
        <v>0</v>
      </c>
      <c r="T17" s="604">
        <f>IF(OR($DA17&gt;0, $DC17&gt;0), 1, 0)</f>
        <v>0</v>
      </c>
      <c r="U17" s="603">
        <f>IF(OR($AI17&gt;0,$AM17&gt;0,$AS17&gt;0), 1, 0)</f>
        <v>0</v>
      </c>
      <c r="V17" s="602">
        <f>[1]BDD!A7</f>
        <v>1189</v>
      </c>
      <c r="W17" s="601" t="str">
        <f>[1]BDD!B7</f>
        <v>Algue Dulse déshydratée BIO (env. 500g)</v>
      </c>
      <c r="X17" s="600" t="str">
        <f>IF([1]BDD!F7=0, "", [1]BDD!F7)</f>
        <v>❤️</v>
      </c>
      <c r="Y17" s="542">
        <f>ROUND([1]BDD!G7+FDP_CMD_KG, 2)</f>
        <v>42.64</v>
      </c>
      <c r="Z17" s="542">
        <f>ROUND([1]BDD!G7+FDP_FACT_KG, 2)</f>
        <v>42.64</v>
      </c>
      <c r="AA17" s="543" t="str">
        <f>[1]BDD!H7</f>
        <v>Pièce</v>
      </c>
      <c r="AB17" s="544" t="str">
        <f>IF(NOT(ISBLANK([1]BDD!I7)), ROUND(SUM(([1]BDD!G7*reduc1),FDP_CMD_KG), 2), "")</f>
        <v/>
      </c>
      <c r="AC17" s="544" t="str">
        <f>IF(NOT(ISBLANK([1]BDD!J7)), ROUND(SUM(([1]BDD!G7*reduc2),FDP_CMD_KG), 2), "")</f>
        <v/>
      </c>
      <c r="AD17" s="544" t="str">
        <f>IF(NOT(ISBLANK([1]BDD!K7)), ROUND(SUM(([1]BDD!G7*reduc3),FDP_CMD_KG), 2), "")</f>
        <v/>
      </c>
      <c r="AE17" s="544" t="str">
        <f>IF(NOT(ISBLANK([1]BDD!I7)), ROUND(SUM(([1]BDD!G7*reduc1),FDP_FACT_KG), 2), "")</f>
        <v/>
      </c>
      <c r="AF17" s="544" t="str">
        <f>IF(NOT(ISBLANK([1]BDD!J7)), ROUND(SUM(([1]BDD!G7*reduc2),FDP_FACT_KG), 2), "")</f>
        <v/>
      </c>
      <c r="AG17" s="544" t="str">
        <f>IF(NOT(ISBLANK([1]BDD!K7)), ROUND(SUM(([1]BDD!G7*reduc3),FDP_FACT_KG), 2), "")</f>
        <v/>
      </c>
      <c r="AH17" s="599" t="str">
        <f>[1]BDD!C7</f>
        <v>Irlande</v>
      </c>
      <c r="AI17" s="598">
        <f>SUM(AV17,AY17,BB17,BE17,BH17,BK17,BN17,BQ17,BT17,BW17,BZ17,CC17,CF17,CI17,CL17,CO17,CR17,CU17,CX17,DA17)</f>
        <v>0</v>
      </c>
      <c r="AJ17" s="545">
        <f>_xlfn.IFS($AD17&lt;&gt;"", $AD17,    $AC17&lt;&gt;"", $AC17,    $AB17&lt;&gt;"", $AB17,    TRUE, $Y17)</f>
        <v>42.64</v>
      </c>
      <c r="AK17" s="592">
        <f>$AI17*$AJ17</f>
        <v>0</v>
      </c>
      <c r="AL17" s="594"/>
      <c r="AM17" s="597"/>
      <c r="AN17" s="545">
        <f>_xlfn.IFS(AND(AM17&gt;=60,$AG17&lt;&gt;""), $AG17,    AND(AM17&gt;=30,$AF17&lt;&gt;""), $AF17,    AND(AM17&gt;=10,$AE17&lt;&gt;""), $AE17,    TRUE, $Z17)</f>
        <v>42.64</v>
      </c>
      <c r="AO17" s="596">
        <f>AM17*AN17</f>
        <v>0</v>
      </c>
      <c r="AP17" s="595"/>
      <c r="AQ17" s="595"/>
      <c r="AR17" s="594"/>
      <c r="AS17" s="593">
        <f>SUM(AW17,AZ17,BC17,BF17,BI17,BL17,BO17,BR17,BU17,BX17,CA17,CD17,CG17,CJ17,CM17,CP17,CS17,CV17,CY17,DB17)</f>
        <v>0</v>
      </c>
      <c r="AT17" s="545">
        <f>_xlfn.IFS(AND(AS17&gt;=60,$AG17&lt;&gt;""), $AG17,    AND(AS17&gt;=30,$AF17&lt;&gt;""), $AF17,    AND(AS17&gt;=10,$AE17&lt;&gt;""), $AE17,    TRUE, $Z17)</f>
        <v>42.64</v>
      </c>
      <c r="AU17" s="592">
        <f>$AS17*$AT17</f>
        <v>0</v>
      </c>
      <c r="AV17" s="591">
        <f>[1]COMMANDE!O15</f>
        <v>0</v>
      </c>
      <c r="AW17" s="586" t="str">
        <f>_xlfn.IFS(AND($AI17=$AM17,$AI17&gt;0,$AM17&gt;0,AV17&gt;0), AV17,     AND(NOT($AI17=$AM17),$AI17&gt;0,$AM17&gt;0,AV17&gt;0), ($AM17*AV17)/$AI17,     AND($AI17=0,$AM17&gt;0,$AQ17&gt;0), IF(INDEX(AV$12:AV$263,MATCH($AQ17,$AP$12:$AP$263,0))&gt;0,($AM17*INDEX(AV$12:AV$263,MATCH($AQ17,$AP$12:$AP$263,0)))/INDEX($AI$12:$AI$263,MATCH($AQ17,$AP$12:$AP$263,0)), "-"),     TRUE, "0")</f>
        <v>0</v>
      </c>
      <c r="AX17" s="588">
        <f>IF(AW$9&gt;0, IF(OR(AW17="",AW17="-"), 0, AW17*$AT17), AV17*$AJ17)</f>
        <v>0</v>
      </c>
      <c r="AY17" s="587">
        <f>[1]COMMANDE!Q15</f>
        <v>0</v>
      </c>
      <c r="AZ17" s="586" t="str">
        <f>_xlfn.IFS(AND($AI17=$AM17,$AI17&gt;0,$AM17&gt;0,AY17&gt;0), AY17,     AND(NOT($AI17=$AM17),$AI17&gt;0,$AM17&gt;0,AY17&gt;0), ($AM17*AY17)/$AI17,     AND($AI17=0,$AM17&gt;0,$AQ17&gt;0), IF(INDEX(AY$12:AY$263,MATCH($AQ17,$AP$12:$AP$263,0))&gt;0,($AM17*INDEX(AY$12:AY$263,MATCH($AQ17,$AP$12:$AP$263,0)))/INDEX($AI$12:$AI$263,MATCH($AQ17,$AP$12:$AP$263,0)), "-"),     TRUE, "0")</f>
        <v>0</v>
      </c>
      <c r="BA17" s="607">
        <f>IF(AZ$9&gt;0, IF(OR(AZ17="",AZ17="-"), 0, AZ17*$AT17), AY17*$AJ17)</f>
        <v>0</v>
      </c>
      <c r="BB17" s="589">
        <f>[1]COMMANDE!S15</f>
        <v>0</v>
      </c>
      <c r="BC17" s="586" t="str">
        <f>_xlfn.IFS(AND($AI17=$AM17,$AI17&gt;0,$AM17&gt;0,BB17&gt;0), BB17,     AND(NOT($AI17=$AM17),$AI17&gt;0,$AM17&gt;0,BB17&gt;0), ($AM17*BB17)/$AI17,     AND($AI17=0,$AM17&gt;0,$AQ17&gt;0), IF(INDEX(BB$12:BB$263,MATCH($AQ17,$AP$12:$AP$263,0))&gt;0,($AM17*INDEX(BB$12:BB$263,MATCH($AQ17,$AP$12:$AP$263,0)))/INDEX($AI$12:$AI$263,MATCH($AQ17,$AP$12:$AP$263,0)), "-"),     TRUE, "0")</f>
        <v>0</v>
      </c>
      <c r="BD17" s="588">
        <f>IF(BC$9&gt;0, IF(OR(BC17="",BC17="-"), 0, BC17*$AT17), BB17*$AJ17)</f>
        <v>0</v>
      </c>
      <c r="BE17" s="587">
        <f>[1]COMMANDE!U15</f>
        <v>0</v>
      </c>
      <c r="BF17" s="586" t="str">
        <f>_xlfn.IFS(AND($AI17=$AM17,$AI17&gt;0,$AM17&gt;0,BE17&gt;0), BE17,     AND(NOT($AI17=$AM17),$AI17&gt;0,$AM17&gt;0,BE17&gt;0), ($AM17*BE17)/$AI17,     AND($AI17=0,$AM17&gt;0,$AQ17&gt;0), IF(INDEX(BE$12:BE$263,MATCH($AQ17,$AP$12:$AP$263,0))&gt;0,($AM17*INDEX(BE$12:BE$263,MATCH($AQ17,$AP$12:$AP$263,0)))/INDEX($AI$12:$AI$263,MATCH($AQ17,$AP$12:$AP$263,0)), "-"),     TRUE, "0")</f>
        <v>0</v>
      </c>
      <c r="BG17" s="607">
        <f>IF(BF$9&gt;0, IF(OR(BF17="",BF17="-"), 0, BF17*$AT17), BE17*$AJ17)</f>
        <v>0</v>
      </c>
      <c r="BH17" s="589">
        <f>[1]COMMANDE!W15</f>
        <v>0</v>
      </c>
      <c r="BI17" s="586" t="str">
        <f>_xlfn.IFS(AND($AI17=$AM17,$AI17&gt;0,$AM17&gt;0,BH17&gt;0), BH17,     AND(NOT($AI17=$AM17),$AI17&gt;0,$AM17&gt;0,BH17&gt;0), ($AM17*BH17)/$AI17,     AND($AI17=0,$AM17&gt;0,$AQ17&gt;0), IF(INDEX(BH$12:BH$263,MATCH($AQ17,$AP$12:$AP$263,0))&gt;0,($AM17*INDEX(BH$12:BH$263,MATCH($AQ17,$AP$12:$AP$263,0)))/INDEX($AI$12:$AI$263,MATCH($AQ17,$AP$12:$AP$263,0)), "-"),     TRUE, "0")</f>
        <v>0</v>
      </c>
      <c r="BJ17" s="588">
        <f>IF(BI$9&gt;0, IF(OR(BI17="",BI17="-"), 0, BI17*$AT17), BH17*$AJ17)</f>
        <v>0</v>
      </c>
      <c r="BK17" s="587">
        <f>[1]COMMANDE!Y15</f>
        <v>0</v>
      </c>
      <c r="BL17" s="586" t="str">
        <f>_xlfn.IFS(AND($AI17=$AM17,$AI17&gt;0,$AM17&gt;0,BK17&gt;0), BK17,     AND(NOT($AI17=$AM17),$AI17&gt;0,$AM17&gt;0,BK17&gt;0), ($AM17*BK17)/$AI17,     AND($AI17=0,$AM17&gt;0,$AQ17&gt;0), IF(INDEX(BK$12:BK$263,MATCH($AQ17,$AP$12:$AP$263,0))&gt;0,($AM17*INDEX(BK$12:BK$263,MATCH($AQ17,$AP$12:$AP$263,0)))/INDEX($AI$12:$AI$263,MATCH($AQ17,$AP$12:$AP$263,0)), "-"),     TRUE, "0")</f>
        <v>0</v>
      </c>
      <c r="BM17" s="607">
        <f>IF(BL$9&gt;0, IF(OR(BL17="",BL17="-"), 0, BL17*$AT17), BK17*$AJ17)</f>
        <v>0</v>
      </c>
      <c r="BN17" s="589">
        <f>[1]COMMANDE!AA15</f>
        <v>0</v>
      </c>
      <c r="BO17" s="586" t="str">
        <f>_xlfn.IFS(AND($AI17=$AM17,$AI17&gt;0,$AM17&gt;0,BN17&gt;0), BN17,     AND(NOT($AI17=$AM17),$AI17&gt;0,$AM17&gt;0,BN17&gt;0), ($AM17*BN17)/$AI17,     AND($AI17=0,$AM17&gt;0,$AQ17&gt;0), IF(INDEX(BN$12:BN$263,MATCH($AQ17,$AP$12:$AP$263,0))&gt;0,($AM17*INDEX(BN$12:BN$263,MATCH($AQ17,$AP$12:$AP$263,0)))/INDEX($AI$12:$AI$263,MATCH($AQ17,$AP$12:$AP$263,0)), "-"),     TRUE, "0")</f>
        <v>0</v>
      </c>
      <c r="BP17" s="588">
        <f>IF(BO$9&gt;0, IF(OR(BO17="",BO17="-"), 0, BO17*$AT17), BN17*$AJ17)</f>
        <v>0</v>
      </c>
      <c r="BQ17" s="587">
        <f>[1]COMMANDE!AC15</f>
        <v>0</v>
      </c>
      <c r="BR17" s="586" t="str">
        <f>_xlfn.IFS(AND($AI17=$AM17,$AI17&gt;0,$AM17&gt;0,BQ17&gt;0), BQ17,     AND(NOT($AI17=$AM17),$AI17&gt;0,$AM17&gt;0,BQ17&gt;0), ($AM17*BQ17)/$AI17,     AND($AI17=0,$AM17&gt;0,$AQ17&gt;0), IF(INDEX(BQ$12:BQ$263,MATCH($AQ17,$AP$12:$AP$263,0))&gt;0,($AM17*INDEX(BQ$12:BQ$263,MATCH($AQ17,$AP$12:$AP$263,0)))/INDEX($AI$12:$AI$263,MATCH($AQ17,$AP$12:$AP$263,0)), "-"),     TRUE, "0")</f>
        <v>0</v>
      </c>
      <c r="BS17" s="607">
        <f>IF(BR$9&gt;0, IF(OR(BR17="",BR17="-"), 0, BR17*$AT17), BQ17*$AJ17)</f>
        <v>0</v>
      </c>
      <c r="BT17" s="589">
        <f>[1]COMMANDE!AE15</f>
        <v>0</v>
      </c>
      <c r="BU17" s="586" t="str">
        <f>_xlfn.IFS(AND($AI17=$AM17,$AI17&gt;0,$AM17&gt;0,BT17&gt;0), BT17,     AND(NOT($AI17=$AM17),$AI17&gt;0,$AM17&gt;0,BT17&gt;0), ($AM17*BT17)/$AI17,     AND($AI17=0,$AM17&gt;0,$AQ17&gt;0), IF(INDEX(BT$12:BT$263,MATCH($AQ17,$AP$12:$AP$263,0))&gt;0,($AM17*INDEX(BT$12:BT$263,MATCH($AQ17,$AP$12:$AP$263,0)))/INDEX($AI$12:$AI$263,MATCH($AQ17,$AP$12:$AP$263,0)), "-"),     TRUE, "0")</f>
        <v>0</v>
      </c>
      <c r="BV17" s="588">
        <f>IF(BU$9&gt;0, IF(OR(BU17="",BU17="-"), 0, BU17*$AT17), BT17*$AJ17)</f>
        <v>0</v>
      </c>
      <c r="BW17" s="587">
        <f>[1]COMMANDE!AG15</f>
        <v>0</v>
      </c>
      <c r="BX17" s="586" t="str">
        <f>_xlfn.IFS(AND($AI17=$AM17,$AI17&gt;0,$AM17&gt;0,BW17&gt;0), BW17,     AND(NOT($AI17=$AM17),$AI17&gt;0,$AM17&gt;0,BW17&gt;0), ($AM17*BW17)/$AI17,     AND($AI17=0,$AM17&gt;0,$AQ17&gt;0), IF(INDEX(BW$12:BW$263,MATCH($AQ17,$AP$12:$AP$263,0))&gt;0,($AM17*INDEX(BW$12:BW$263,MATCH($AQ17,$AP$12:$AP$263,0)))/INDEX($AI$12:$AI$263,MATCH($AQ17,$AP$12:$AP$263,0)), "-"),     TRUE, "0")</f>
        <v>0</v>
      </c>
      <c r="BY17" s="607">
        <f>IF(BX$9&gt;0, IF(OR(BX17="",BX17="-"), 0, BX17*$AT17), BW17*$AJ17)</f>
        <v>0</v>
      </c>
      <c r="BZ17" s="589">
        <f>[1]COMMANDE!AI15</f>
        <v>0</v>
      </c>
      <c r="CA17" s="586" t="str">
        <f>_xlfn.IFS(AND($AI17=$AM17,$AI17&gt;0,$AM17&gt;0,BZ17&gt;0), BZ17,     AND(NOT($AI17=$AM17),$AI17&gt;0,$AM17&gt;0,BZ17&gt;0), ($AM17*BZ17)/$AI17,     AND($AI17=0,$AM17&gt;0,$AQ17&gt;0), IF(INDEX(BZ$12:BZ$263,MATCH($AQ17,$AP$12:$AP$263,0))&gt;0,($AM17*INDEX(BZ$12:BZ$263,MATCH($AQ17,$AP$12:$AP$263,0)))/INDEX($AI$12:$AI$263,MATCH($AQ17,$AP$12:$AP$263,0)), "-"),     TRUE, "0")</f>
        <v>0</v>
      </c>
      <c r="CB17" s="588">
        <f>IF(CA$9&gt;0, IF(OR(CA17="",CA17="-"), 0, CA17*$AT17), BZ17*$AJ17)</f>
        <v>0</v>
      </c>
      <c r="CC17" s="587">
        <f>[1]COMMANDE!AK15</f>
        <v>0</v>
      </c>
      <c r="CD17" s="586" t="str">
        <f>_xlfn.IFS(AND($AI17=$AM17,$AI17&gt;0,$AM17&gt;0,CC17&gt;0), CC17,     AND(NOT($AI17=$AM17),$AI17&gt;0,$AM17&gt;0,CC17&gt;0), ($AM17*CC17)/$AI17,     AND($AI17=0,$AM17&gt;0,$AQ17&gt;0), IF(INDEX(CC$12:CC$263,MATCH($AQ17,$AP$12:$AP$263,0))&gt;0,($AM17*INDEX(CC$12:CC$263,MATCH($AQ17,$AP$12:$AP$263,0)))/INDEX($AI$12:$AI$263,MATCH($AQ17,$AP$12:$AP$263,0)), "-"),     TRUE, "0")</f>
        <v>0</v>
      </c>
      <c r="CE17" s="607">
        <f>IF(CD$9&gt;0, IF(OR(CD17="",CD17="-"), 0, CD17*$AT17), CC17*$AJ17)</f>
        <v>0</v>
      </c>
      <c r="CF17" s="589">
        <f>[1]COMMANDE!AM15</f>
        <v>0</v>
      </c>
      <c r="CG17" s="586" t="str">
        <f>_xlfn.IFS(AND($AI17=$AM17,$AI17&gt;0,$AM17&gt;0,CF17&gt;0), CF17,     AND(NOT($AI17=$AM17),$AI17&gt;0,$AM17&gt;0,CF17&gt;0), ($AM17*CF17)/$AI17,     AND($AI17=0,$AM17&gt;0,$AQ17&gt;0), IF(INDEX(CF$12:CF$263,MATCH($AQ17,$AP$12:$AP$263,0))&gt;0,($AM17*INDEX(CF$12:CF$263,MATCH($AQ17,$AP$12:$AP$263,0)))/INDEX($AI$12:$AI$263,MATCH($AQ17,$AP$12:$AP$263,0)), "-"),     TRUE, "0")</f>
        <v>0</v>
      </c>
      <c r="CH17" s="588">
        <f>IF(CG$9&gt;0, IF(OR(CG17="",CG17="-"), 0, CG17*$AT17), CF17*$AJ17)</f>
        <v>0</v>
      </c>
      <c r="CI17" s="587">
        <f>[1]COMMANDE!AO15</f>
        <v>0</v>
      </c>
      <c r="CJ17" s="586" t="str">
        <f>_xlfn.IFS(AND($AI17=$AM17,$AI17&gt;0,$AM17&gt;0,CI17&gt;0), CI17,     AND(NOT($AI17=$AM17),$AI17&gt;0,$AM17&gt;0,CI17&gt;0), ($AM17*CI17)/$AI17,     AND($AI17=0,$AM17&gt;0,$AQ17&gt;0), IF(INDEX(CI$12:CI$263,MATCH($AQ17,$AP$12:$AP$263,0))&gt;0,($AM17*INDEX(CI$12:CI$263,MATCH($AQ17,$AP$12:$AP$263,0)))/INDEX($AI$12:$AI$263,MATCH($AQ17,$AP$12:$AP$263,0)), "-"),     TRUE, "0")</f>
        <v>0</v>
      </c>
      <c r="CK17" s="607">
        <f>IF(CJ$9&gt;0, IF(OR(CJ17="",CJ17="-"), 0, CJ17*$AT17), CI17*$AJ17)</f>
        <v>0</v>
      </c>
      <c r="CL17" s="589">
        <f>[1]COMMANDE!AQ15</f>
        <v>0</v>
      </c>
      <c r="CM17" s="586" t="str">
        <f>_xlfn.IFS(AND($AI17=$AM17,$AI17&gt;0,$AM17&gt;0,CL17&gt;0), CL17,     AND(NOT($AI17=$AM17),$AI17&gt;0,$AM17&gt;0,CL17&gt;0), ($AM17*CL17)/$AI17,     AND($AI17=0,$AM17&gt;0,$AQ17&gt;0), IF(INDEX(CL$12:CL$263,MATCH($AQ17,$AP$12:$AP$263,0))&gt;0,($AM17*INDEX(CL$12:CL$263,MATCH($AQ17,$AP$12:$AP$263,0)))/INDEX($AI$12:$AI$263,MATCH($AQ17,$AP$12:$AP$263,0)), "-"),     TRUE, "0")</f>
        <v>0</v>
      </c>
      <c r="CN17" s="588">
        <f>IF(CM$9&gt;0, IF(OR(CM17="",CM17="-"), 0, CM17*$AT17), CL17*$AJ17)</f>
        <v>0</v>
      </c>
      <c r="CO17" s="587">
        <f>[1]COMMANDE!AS15</f>
        <v>0</v>
      </c>
      <c r="CP17" s="586" t="str">
        <f>_xlfn.IFS(AND($AI17=$AM17,$AI17&gt;0,$AM17&gt;0,CO17&gt;0), CO17,     AND(NOT($AI17=$AM17),$AI17&gt;0,$AM17&gt;0,CO17&gt;0), ($AM17*CO17)/$AI17,     AND($AI17=0,$AM17&gt;0,$AQ17&gt;0), IF(INDEX(CO$12:CO$263,MATCH($AQ17,$AP$12:$AP$263,0))&gt;0,($AM17*INDEX(CO$12:CO$263,MATCH($AQ17,$AP$12:$AP$263,0)))/INDEX($AI$12:$AI$263,MATCH($AQ17,$AP$12:$AP$263,0)), "-"),     TRUE, "0")</f>
        <v>0</v>
      </c>
      <c r="CQ17" s="607">
        <f>IF(CP$9&gt;0, IF(OR(CP17="",CP17="-"), 0, CP17*$AT17), CO17*$AJ17)</f>
        <v>0</v>
      </c>
      <c r="CR17" s="589">
        <f>[1]COMMANDE!AU15</f>
        <v>0</v>
      </c>
      <c r="CS17" s="586" t="str">
        <f>_xlfn.IFS(AND($AI17=$AM17,$AI17&gt;0,$AM17&gt;0,CR17&gt;0), CR17,     AND(NOT($AI17=$AM17),$AI17&gt;0,$AM17&gt;0,CR17&gt;0), ($AM17*CR17)/$AI17,     AND($AI17=0,$AM17&gt;0,$AQ17&gt;0), IF(INDEX(CR$12:CR$263,MATCH($AQ17,$AP$12:$AP$263,0))&gt;0,($AM17*INDEX(CR$12:CR$263,MATCH($AQ17,$AP$12:$AP$263,0)))/INDEX($AI$12:$AI$263,MATCH($AQ17,$AP$12:$AP$263,0)), "-"),     TRUE, "0")</f>
        <v>0</v>
      </c>
      <c r="CT17" s="588">
        <f>IF(CS$9&gt;0, IF(OR(CS17="",CS17="-"), 0, CS17*$AT17), CR17*$AJ17)</f>
        <v>0</v>
      </c>
      <c r="CU17" s="587">
        <f>[1]COMMANDE!AW15</f>
        <v>0</v>
      </c>
      <c r="CV17" s="586" t="str">
        <f>_xlfn.IFS(AND($AI17=$AM17,$AI17&gt;0,$AM17&gt;0,CU17&gt;0), CU17,     AND(NOT($AI17=$AM17),$AI17&gt;0,$AM17&gt;0,CU17&gt;0), ($AM17*CU17)/$AI17,     AND($AI17=0,$AM17&gt;0,$AQ17&gt;0), IF(INDEX(CU$12:CU$263,MATCH($AQ17,$AP$12:$AP$263,0))&gt;0,($AM17*INDEX(CU$12:CU$263,MATCH($AQ17,$AP$12:$AP$263,0)))/INDEX($AI$12:$AI$263,MATCH($AQ17,$AP$12:$AP$263,0)), "-"),     TRUE, "0")</f>
        <v>0</v>
      </c>
      <c r="CW17" s="607">
        <f>IF(CV$9&gt;0, IF(OR(CV17="",CV17="-"), 0, CV17*$AT17), CU17*$AJ17)</f>
        <v>0</v>
      </c>
      <c r="CX17" s="589">
        <f>[1]COMMANDE!AY15</f>
        <v>0</v>
      </c>
      <c r="CY17" s="586" t="str">
        <f>_xlfn.IFS(AND($AI17=$AM17,$AI17&gt;0,$AM17&gt;0,CX17&gt;0), CX17,     AND(NOT($AI17=$AM17),$AI17&gt;0,$AM17&gt;0,CX17&gt;0), ($AM17*CX17)/$AI17,     AND($AI17=0,$AM17&gt;0,$AQ17&gt;0), IF(INDEX(CX$12:CX$263,MATCH($AQ17,$AP$12:$AP$263,0))&gt;0,($AM17*INDEX(CX$12:CX$263,MATCH($AQ17,$AP$12:$AP$263,0)))/INDEX($AI$12:$AI$263,MATCH($AQ17,$AP$12:$AP$263,0)), "-"),     TRUE, "0")</f>
        <v>0</v>
      </c>
      <c r="CZ17" s="588">
        <f>IF(CY$9&gt;0, IF(OR(CY17="",CY17="-"), 0, CY17*$AT17), CX17*$AJ17)</f>
        <v>0</v>
      </c>
      <c r="DA17" s="587">
        <f>[1]COMMANDE!BA15</f>
        <v>0</v>
      </c>
      <c r="DB17" s="586" t="str">
        <f>_xlfn.IFS(AND($AI17=$AM17,$AI17&gt;0,$AM17&gt;0,DA17&gt;0), DA17,     AND(NOT($AI17=$AM17),$AI17&gt;0,$AM17&gt;0,DA17&gt;0), ($AM17*DA17)/$AI17,     AND($AI17=0,$AM17&gt;0,$AQ17&gt;0), IF(INDEX(DA$12:DA$263,MATCH($AQ17,$AP$12:$AP$263,0))&gt;0,($AM17*INDEX(DA$12:DA$263,MATCH($AQ17,$AP$12:$AP$263,0)))/INDEX($AI$12:$AI$263,MATCH($AQ17,$AP$12:$AP$263,0)), "-"),     TRUE, "0")</f>
        <v>0</v>
      </c>
      <c r="DC17" s="606">
        <f>IF(DB$9&gt;0, IF(OR(DB17="",DB17="-"), 0, DB17*$AT17), DA17*$AJ17)</f>
        <v>0</v>
      </c>
      <c r="DD17" s="584"/>
      <c r="DE17" s="583"/>
    </row>
    <row r="18" spans="1:109" ht="39.950000000000003" hidden="1" customHeight="1">
      <c r="A18" s="604">
        <f>IF(OR($AV18&gt;0, $AX18&gt;0), 1, 0)</f>
        <v>0</v>
      </c>
      <c r="B18" s="604">
        <f>IF(OR($AY18&gt;0, $BA18&gt;0), 1, 0)</f>
        <v>0</v>
      </c>
      <c r="C18" s="604">
        <f>IF(OR($BB18&gt;0, $BD18&gt;0), 1, 0)</f>
        <v>0</v>
      </c>
      <c r="D18" s="604">
        <f>IF(OR($BE18&gt;0, $BG18&gt;0), 1, 0)</f>
        <v>0</v>
      </c>
      <c r="E18" s="604">
        <f>IF(OR($BH18&gt;0, $BJ18&gt;0), 1, 0)</f>
        <v>0</v>
      </c>
      <c r="F18" s="604">
        <f>IF(OR($BK18&gt;0, $BM18&gt;0), 1, 0)</f>
        <v>0</v>
      </c>
      <c r="G18" s="604">
        <f>IF(OR($BN18&gt;0, $BP18&gt;0), 1, 0)</f>
        <v>0</v>
      </c>
      <c r="H18" s="604">
        <f>IF(OR($BQ18&gt;0, $BS18&gt;0), 1, 0)</f>
        <v>0</v>
      </c>
      <c r="I18" s="604">
        <f>IF(OR($BT18&gt;0, $BV18&gt;0), 1, 0)</f>
        <v>0</v>
      </c>
      <c r="J18" s="604">
        <f>IF(OR($BW18&gt;0, $BY18&gt;0), 1, 0)</f>
        <v>0</v>
      </c>
      <c r="K18" s="604">
        <f>IF(OR($BZ18&gt;0, $CB18&gt;0), 1, 0)</f>
        <v>0</v>
      </c>
      <c r="L18" s="604">
        <f>IF(OR($CC18&gt;0, $CE18&gt;0), 1, 0)</f>
        <v>0</v>
      </c>
      <c r="M18" s="604">
        <f>IF(OR($CF18&gt;0, $CH18&gt;0), 1, 0)</f>
        <v>0</v>
      </c>
      <c r="N18" s="604">
        <f>IF(OR($CI18&gt;0, $CK18&gt;0), 1, 0)</f>
        <v>0</v>
      </c>
      <c r="O18" s="604">
        <f>IF(OR($CL18&gt;0, $CN18&gt;0), 1, 0)</f>
        <v>0</v>
      </c>
      <c r="P18" s="604">
        <f>IF(OR($CO18&gt;0, $CQ18&gt;0), 1, 0)</f>
        <v>0</v>
      </c>
      <c r="Q18" s="604">
        <f>IF(OR($CR18&gt;0, $CT18&gt;0), 1, 0)</f>
        <v>0</v>
      </c>
      <c r="R18" s="604">
        <f>IF(OR($CU18&gt;0, $CW18&gt;0), 1, 0)</f>
        <v>0</v>
      </c>
      <c r="S18" s="604">
        <f>IF(OR($CX18&gt;0, $CZ18&gt;0), 1, 0)</f>
        <v>0</v>
      </c>
      <c r="T18" s="604">
        <f>IF(OR($DA18&gt;0, $DC18&gt;0), 1, 0)</f>
        <v>0</v>
      </c>
      <c r="U18" s="603">
        <f>IF(OR($AI18&gt;0,$AM18&gt;0,$AS18&gt;0), 1, 0)</f>
        <v>0</v>
      </c>
      <c r="V18" s="602">
        <f>[1]BDD!A8</f>
        <v>5247</v>
      </c>
      <c r="W18" s="601" t="str">
        <f>[1]BDD!B8</f>
        <v>Algue Gracilasa charnue fraiche (env. 100g).</v>
      </c>
      <c r="X18" s="600" t="str">
        <f>IF([1]BDD!F8=0, "", [1]BDD!F8)</f>
        <v/>
      </c>
      <c r="Y18" s="542">
        <f>ROUND([1]BDD!G8+FDP_CMD_KG, 2)</f>
        <v>4.1399999999999997</v>
      </c>
      <c r="Z18" s="542">
        <f>ROUND([1]BDD!G8+FDP_FACT_KG, 2)</f>
        <v>4.1399999999999997</v>
      </c>
      <c r="AA18" s="543" t="str">
        <f>[1]BDD!H8</f>
        <v>Pièce</v>
      </c>
      <c r="AB18" s="544" t="str">
        <f>IF(NOT(ISBLANK([1]BDD!I8)), ROUND(SUM(([1]BDD!G8*reduc1),FDP_CMD_KG), 2), "")</f>
        <v/>
      </c>
      <c r="AC18" s="544" t="str">
        <f>IF(NOT(ISBLANK([1]BDD!J8)), ROUND(SUM(([1]BDD!G8*reduc2),FDP_CMD_KG), 2), "")</f>
        <v/>
      </c>
      <c r="AD18" s="544" t="str">
        <f>IF(NOT(ISBLANK([1]BDD!K8)), ROUND(SUM(([1]BDD!G8*reduc3),FDP_CMD_KG), 2), "")</f>
        <v/>
      </c>
      <c r="AE18" s="544" t="str">
        <f>IF(NOT(ISBLANK([1]BDD!I8)), ROUND(SUM(([1]BDD!G8*reduc1),FDP_FACT_KG), 2), "")</f>
        <v/>
      </c>
      <c r="AF18" s="544" t="str">
        <f>IF(NOT(ISBLANK([1]BDD!J8)), ROUND(SUM(([1]BDD!G8*reduc2),FDP_FACT_KG), 2), "")</f>
        <v/>
      </c>
      <c r="AG18" s="544" t="str">
        <f>IF(NOT(ISBLANK([1]BDD!K8)), ROUND(SUM(([1]BDD!G8*reduc3),FDP_FACT_KG), 2), "")</f>
        <v/>
      </c>
      <c r="AH18" s="599" t="str">
        <f>[1]BDD!C8</f>
        <v>Galice</v>
      </c>
      <c r="AI18" s="598">
        <f>SUM(AV18,AY18,BB18,BE18,BH18,BK18,BN18,BQ18,BT18,BW18,BZ18,CC18,CF18,CI18,CL18,CO18,CR18,CU18,CX18,DA18)</f>
        <v>0</v>
      </c>
      <c r="AJ18" s="545">
        <f>_xlfn.IFS($AD18&lt;&gt;"", $AD18,    $AC18&lt;&gt;"", $AC18,    $AB18&lt;&gt;"", $AB18,    TRUE, $Y18)</f>
        <v>4.1399999999999997</v>
      </c>
      <c r="AK18" s="592">
        <f>$AI18*$AJ18</f>
        <v>0</v>
      </c>
      <c r="AL18" s="594"/>
      <c r="AM18" s="597"/>
      <c r="AN18" s="545">
        <f>_xlfn.IFS(AND(AM18&gt;=60,$AG18&lt;&gt;""), $AG18,    AND(AM18&gt;=30,$AF18&lt;&gt;""), $AF18,    AND(AM18&gt;=10,$AE18&lt;&gt;""), $AE18,    TRUE, $Z18)</f>
        <v>4.1399999999999997</v>
      </c>
      <c r="AO18" s="596">
        <f>AM18*AN18</f>
        <v>0</v>
      </c>
      <c r="AP18" s="595"/>
      <c r="AQ18" s="595"/>
      <c r="AR18" s="594"/>
      <c r="AS18" s="593">
        <f>SUM(AW18,AZ18,BC18,BF18,BI18,BL18,BO18,BR18,BU18,BX18,CA18,CD18,CG18,CJ18,CM18,CP18,CS18,CV18,CY18,DB18)</f>
        <v>0</v>
      </c>
      <c r="AT18" s="545">
        <f>_xlfn.IFS(AND(AS18&gt;=60,$AG18&lt;&gt;""), $AG18,    AND(AS18&gt;=30,$AF18&lt;&gt;""), $AF18,    AND(AS18&gt;=10,$AE18&lt;&gt;""), $AE18,    TRUE, $Z18)</f>
        <v>4.1399999999999997</v>
      </c>
      <c r="AU18" s="592">
        <f>$AS18*$AT18</f>
        <v>0</v>
      </c>
      <c r="AV18" s="591">
        <f>[1]COMMANDE!O16</f>
        <v>0</v>
      </c>
      <c r="AW18" s="586" t="str">
        <f>_xlfn.IFS(AND($AI18=$AM18,$AI18&gt;0,$AM18&gt;0,AV18&gt;0), AV18,     AND(NOT($AI18=$AM18),$AI18&gt;0,$AM18&gt;0,AV18&gt;0), ($AM18*AV18)/$AI18,     AND($AI18=0,$AM18&gt;0,$AQ18&gt;0), IF(INDEX(AV$12:AV$263,MATCH($AQ18,$AP$12:$AP$263,0))&gt;0,($AM18*INDEX(AV$12:AV$263,MATCH($AQ18,$AP$12:$AP$263,0)))/INDEX($AI$12:$AI$263,MATCH($AQ18,$AP$12:$AP$263,0)), "-"),     TRUE, "0")</f>
        <v>0</v>
      </c>
      <c r="AX18" s="588">
        <f>IF(AW$9&gt;0, IF(OR(AW18="",AW18="-"), 0, AW18*$AT18), AV18*$AJ18)</f>
        <v>0</v>
      </c>
      <c r="AY18" s="587">
        <f>[1]COMMANDE!Q16</f>
        <v>0</v>
      </c>
      <c r="AZ18" s="586" t="str">
        <f>_xlfn.IFS(AND($AI18=$AM18,$AI18&gt;0,$AM18&gt;0,AY18&gt;0), AY18,     AND(NOT($AI18=$AM18),$AI18&gt;0,$AM18&gt;0,AY18&gt;0), ($AM18*AY18)/$AI18,     AND($AI18=0,$AM18&gt;0,$AQ18&gt;0), IF(INDEX(AY$12:AY$263,MATCH($AQ18,$AP$12:$AP$263,0))&gt;0,($AM18*INDEX(AY$12:AY$263,MATCH($AQ18,$AP$12:$AP$263,0)))/INDEX($AI$12:$AI$263,MATCH($AQ18,$AP$12:$AP$263,0)), "-"),     TRUE, "0")</f>
        <v>0</v>
      </c>
      <c r="BA18" s="607">
        <f>IF(AZ$9&gt;0, IF(OR(AZ18="",AZ18="-"), 0, AZ18*$AT18), AY18*$AJ18)</f>
        <v>0</v>
      </c>
      <c r="BB18" s="589">
        <f>[1]COMMANDE!S16</f>
        <v>0</v>
      </c>
      <c r="BC18" s="586" t="str">
        <f>_xlfn.IFS(AND($AI18=$AM18,$AI18&gt;0,$AM18&gt;0,BB18&gt;0), BB18,     AND(NOT($AI18=$AM18),$AI18&gt;0,$AM18&gt;0,BB18&gt;0), ($AM18*BB18)/$AI18,     AND($AI18=0,$AM18&gt;0,$AQ18&gt;0), IF(INDEX(BB$12:BB$263,MATCH($AQ18,$AP$12:$AP$263,0))&gt;0,($AM18*INDEX(BB$12:BB$263,MATCH($AQ18,$AP$12:$AP$263,0)))/INDEX($AI$12:$AI$263,MATCH($AQ18,$AP$12:$AP$263,0)), "-"),     TRUE, "0")</f>
        <v>0</v>
      </c>
      <c r="BD18" s="588">
        <f>IF(BC$9&gt;0, IF(OR(BC18="",BC18="-"), 0, BC18*$AT18), BB18*$AJ18)</f>
        <v>0</v>
      </c>
      <c r="BE18" s="587">
        <f>[1]COMMANDE!U16</f>
        <v>0</v>
      </c>
      <c r="BF18" s="586" t="str">
        <f>_xlfn.IFS(AND($AI18=$AM18,$AI18&gt;0,$AM18&gt;0,BE18&gt;0), BE18,     AND(NOT($AI18=$AM18),$AI18&gt;0,$AM18&gt;0,BE18&gt;0), ($AM18*BE18)/$AI18,     AND($AI18=0,$AM18&gt;0,$AQ18&gt;0), IF(INDEX(BE$12:BE$263,MATCH($AQ18,$AP$12:$AP$263,0))&gt;0,($AM18*INDEX(BE$12:BE$263,MATCH($AQ18,$AP$12:$AP$263,0)))/INDEX($AI$12:$AI$263,MATCH($AQ18,$AP$12:$AP$263,0)), "-"),     TRUE, "0")</f>
        <v>0</v>
      </c>
      <c r="BG18" s="607">
        <f>IF(BF$9&gt;0, IF(OR(BF18="",BF18="-"), 0, BF18*$AT18), BE18*$AJ18)</f>
        <v>0</v>
      </c>
      <c r="BH18" s="589">
        <f>[1]COMMANDE!W16</f>
        <v>0</v>
      </c>
      <c r="BI18" s="586" t="str">
        <f>_xlfn.IFS(AND($AI18=$AM18,$AI18&gt;0,$AM18&gt;0,BH18&gt;0), BH18,     AND(NOT($AI18=$AM18),$AI18&gt;0,$AM18&gt;0,BH18&gt;0), ($AM18*BH18)/$AI18,     AND($AI18=0,$AM18&gt;0,$AQ18&gt;0), IF(INDEX(BH$12:BH$263,MATCH($AQ18,$AP$12:$AP$263,0))&gt;0,($AM18*INDEX(BH$12:BH$263,MATCH($AQ18,$AP$12:$AP$263,0)))/INDEX($AI$12:$AI$263,MATCH($AQ18,$AP$12:$AP$263,0)), "-"),     TRUE, "0")</f>
        <v>0</v>
      </c>
      <c r="BJ18" s="588">
        <f>IF(BI$9&gt;0, IF(OR(BI18="",BI18="-"), 0, BI18*$AT18), BH18*$AJ18)</f>
        <v>0</v>
      </c>
      <c r="BK18" s="587">
        <f>[1]COMMANDE!Y16</f>
        <v>0</v>
      </c>
      <c r="BL18" s="586" t="str">
        <f>_xlfn.IFS(AND($AI18=$AM18,$AI18&gt;0,$AM18&gt;0,BK18&gt;0), BK18,     AND(NOT($AI18=$AM18),$AI18&gt;0,$AM18&gt;0,BK18&gt;0), ($AM18*BK18)/$AI18,     AND($AI18=0,$AM18&gt;0,$AQ18&gt;0), IF(INDEX(BK$12:BK$263,MATCH($AQ18,$AP$12:$AP$263,0))&gt;0,($AM18*INDEX(BK$12:BK$263,MATCH($AQ18,$AP$12:$AP$263,0)))/INDEX($AI$12:$AI$263,MATCH($AQ18,$AP$12:$AP$263,0)), "-"),     TRUE, "0")</f>
        <v>0</v>
      </c>
      <c r="BM18" s="607">
        <f>IF(BL$9&gt;0, IF(OR(BL18="",BL18="-"), 0, BL18*$AT18), BK18*$AJ18)</f>
        <v>0</v>
      </c>
      <c r="BN18" s="589">
        <f>[1]COMMANDE!AA16</f>
        <v>0</v>
      </c>
      <c r="BO18" s="586" t="str">
        <f>_xlfn.IFS(AND($AI18=$AM18,$AI18&gt;0,$AM18&gt;0,BN18&gt;0), BN18,     AND(NOT($AI18=$AM18),$AI18&gt;0,$AM18&gt;0,BN18&gt;0), ($AM18*BN18)/$AI18,     AND($AI18=0,$AM18&gt;0,$AQ18&gt;0), IF(INDEX(BN$12:BN$263,MATCH($AQ18,$AP$12:$AP$263,0))&gt;0,($AM18*INDEX(BN$12:BN$263,MATCH($AQ18,$AP$12:$AP$263,0)))/INDEX($AI$12:$AI$263,MATCH($AQ18,$AP$12:$AP$263,0)), "-"),     TRUE, "0")</f>
        <v>0</v>
      </c>
      <c r="BP18" s="588">
        <f>IF(BO$9&gt;0, IF(OR(BO18="",BO18="-"), 0, BO18*$AT18), BN18*$AJ18)</f>
        <v>0</v>
      </c>
      <c r="BQ18" s="587">
        <f>[1]COMMANDE!AC16</f>
        <v>0</v>
      </c>
      <c r="BR18" s="586" t="str">
        <f>_xlfn.IFS(AND($AI18=$AM18,$AI18&gt;0,$AM18&gt;0,BQ18&gt;0), BQ18,     AND(NOT($AI18=$AM18),$AI18&gt;0,$AM18&gt;0,BQ18&gt;0), ($AM18*BQ18)/$AI18,     AND($AI18=0,$AM18&gt;0,$AQ18&gt;0), IF(INDEX(BQ$12:BQ$263,MATCH($AQ18,$AP$12:$AP$263,0))&gt;0,($AM18*INDEX(BQ$12:BQ$263,MATCH($AQ18,$AP$12:$AP$263,0)))/INDEX($AI$12:$AI$263,MATCH($AQ18,$AP$12:$AP$263,0)), "-"),     TRUE, "0")</f>
        <v>0</v>
      </c>
      <c r="BS18" s="607">
        <f>IF(BR$9&gt;0, IF(OR(BR18="",BR18="-"), 0, BR18*$AT18), BQ18*$AJ18)</f>
        <v>0</v>
      </c>
      <c r="BT18" s="589">
        <f>[1]COMMANDE!AE16</f>
        <v>0</v>
      </c>
      <c r="BU18" s="586" t="str">
        <f>_xlfn.IFS(AND($AI18=$AM18,$AI18&gt;0,$AM18&gt;0,BT18&gt;0), BT18,     AND(NOT($AI18=$AM18),$AI18&gt;0,$AM18&gt;0,BT18&gt;0), ($AM18*BT18)/$AI18,     AND($AI18=0,$AM18&gt;0,$AQ18&gt;0), IF(INDEX(BT$12:BT$263,MATCH($AQ18,$AP$12:$AP$263,0))&gt;0,($AM18*INDEX(BT$12:BT$263,MATCH($AQ18,$AP$12:$AP$263,0)))/INDEX($AI$12:$AI$263,MATCH($AQ18,$AP$12:$AP$263,0)), "-"),     TRUE, "0")</f>
        <v>0</v>
      </c>
      <c r="BV18" s="588">
        <f>IF(BU$9&gt;0, IF(OR(BU18="",BU18="-"), 0, BU18*$AT18), BT18*$AJ18)</f>
        <v>0</v>
      </c>
      <c r="BW18" s="587">
        <f>[1]COMMANDE!AG16</f>
        <v>0</v>
      </c>
      <c r="BX18" s="586" t="str">
        <f>_xlfn.IFS(AND($AI18=$AM18,$AI18&gt;0,$AM18&gt;0,BW18&gt;0), BW18,     AND(NOT($AI18=$AM18),$AI18&gt;0,$AM18&gt;0,BW18&gt;0), ($AM18*BW18)/$AI18,     AND($AI18=0,$AM18&gt;0,$AQ18&gt;0), IF(INDEX(BW$12:BW$263,MATCH($AQ18,$AP$12:$AP$263,0))&gt;0,($AM18*INDEX(BW$12:BW$263,MATCH($AQ18,$AP$12:$AP$263,0)))/INDEX($AI$12:$AI$263,MATCH($AQ18,$AP$12:$AP$263,0)), "-"),     TRUE, "0")</f>
        <v>0</v>
      </c>
      <c r="BY18" s="607">
        <f>IF(BX$9&gt;0, IF(OR(BX18="",BX18="-"), 0, BX18*$AT18), BW18*$AJ18)</f>
        <v>0</v>
      </c>
      <c r="BZ18" s="589">
        <f>[1]COMMANDE!AI16</f>
        <v>0</v>
      </c>
      <c r="CA18" s="586" t="str">
        <f>_xlfn.IFS(AND($AI18=$AM18,$AI18&gt;0,$AM18&gt;0,BZ18&gt;0), BZ18,     AND(NOT($AI18=$AM18),$AI18&gt;0,$AM18&gt;0,BZ18&gt;0), ($AM18*BZ18)/$AI18,     AND($AI18=0,$AM18&gt;0,$AQ18&gt;0), IF(INDEX(BZ$12:BZ$263,MATCH($AQ18,$AP$12:$AP$263,0))&gt;0,($AM18*INDEX(BZ$12:BZ$263,MATCH($AQ18,$AP$12:$AP$263,0)))/INDEX($AI$12:$AI$263,MATCH($AQ18,$AP$12:$AP$263,0)), "-"),     TRUE, "0")</f>
        <v>0</v>
      </c>
      <c r="CB18" s="588">
        <f>IF(CA$9&gt;0, IF(OR(CA18="",CA18="-"), 0, CA18*$AT18), BZ18*$AJ18)</f>
        <v>0</v>
      </c>
      <c r="CC18" s="587">
        <f>[1]COMMANDE!AK16</f>
        <v>0</v>
      </c>
      <c r="CD18" s="586" t="str">
        <f>_xlfn.IFS(AND($AI18=$AM18,$AI18&gt;0,$AM18&gt;0,CC18&gt;0), CC18,     AND(NOT($AI18=$AM18),$AI18&gt;0,$AM18&gt;0,CC18&gt;0), ($AM18*CC18)/$AI18,     AND($AI18=0,$AM18&gt;0,$AQ18&gt;0), IF(INDEX(CC$12:CC$263,MATCH($AQ18,$AP$12:$AP$263,0))&gt;0,($AM18*INDEX(CC$12:CC$263,MATCH($AQ18,$AP$12:$AP$263,0)))/INDEX($AI$12:$AI$263,MATCH($AQ18,$AP$12:$AP$263,0)), "-"),     TRUE, "0")</f>
        <v>0</v>
      </c>
      <c r="CE18" s="607">
        <f>IF(CD$9&gt;0, IF(OR(CD18="",CD18="-"), 0, CD18*$AT18), CC18*$AJ18)</f>
        <v>0</v>
      </c>
      <c r="CF18" s="589">
        <f>[1]COMMANDE!AM16</f>
        <v>0</v>
      </c>
      <c r="CG18" s="586" t="str">
        <f>_xlfn.IFS(AND($AI18=$AM18,$AI18&gt;0,$AM18&gt;0,CF18&gt;0), CF18,     AND(NOT($AI18=$AM18),$AI18&gt;0,$AM18&gt;0,CF18&gt;0), ($AM18*CF18)/$AI18,     AND($AI18=0,$AM18&gt;0,$AQ18&gt;0), IF(INDEX(CF$12:CF$263,MATCH($AQ18,$AP$12:$AP$263,0))&gt;0,($AM18*INDEX(CF$12:CF$263,MATCH($AQ18,$AP$12:$AP$263,0)))/INDEX($AI$12:$AI$263,MATCH($AQ18,$AP$12:$AP$263,0)), "-"),     TRUE, "0")</f>
        <v>0</v>
      </c>
      <c r="CH18" s="588">
        <f>IF(CG$9&gt;0, IF(OR(CG18="",CG18="-"), 0, CG18*$AT18), CF18*$AJ18)</f>
        <v>0</v>
      </c>
      <c r="CI18" s="587">
        <f>[1]COMMANDE!AO16</f>
        <v>0</v>
      </c>
      <c r="CJ18" s="586" t="str">
        <f>_xlfn.IFS(AND($AI18=$AM18,$AI18&gt;0,$AM18&gt;0,CI18&gt;0), CI18,     AND(NOT($AI18=$AM18),$AI18&gt;0,$AM18&gt;0,CI18&gt;0), ($AM18*CI18)/$AI18,     AND($AI18=0,$AM18&gt;0,$AQ18&gt;0), IF(INDEX(CI$12:CI$263,MATCH($AQ18,$AP$12:$AP$263,0))&gt;0,($AM18*INDEX(CI$12:CI$263,MATCH($AQ18,$AP$12:$AP$263,0)))/INDEX($AI$12:$AI$263,MATCH($AQ18,$AP$12:$AP$263,0)), "-"),     TRUE, "0")</f>
        <v>0</v>
      </c>
      <c r="CK18" s="607">
        <f>IF(CJ$9&gt;0, IF(OR(CJ18="",CJ18="-"), 0, CJ18*$AT18), CI18*$AJ18)</f>
        <v>0</v>
      </c>
      <c r="CL18" s="589">
        <f>[1]COMMANDE!AQ16</f>
        <v>0</v>
      </c>
      <c r="CM18" s="586" t="str">
        <f>_xlfn.IFS(AND($AI18=$AM18,$AI18&gt;0,$AM18&gt;0,CL18&gt;0), CL18,     AND(NOT($AI18=$AM18),$AI18&gt;0,$AM18&gt;0,CL18&gt;0), ($AM18*CL18)/$AI18,     AND($AI18=0,$AM18&gt;0,$AQ18&gt;0), IF(INDEX(CL$12:CL$263,MATCH($AQ18,$AP$12:$AP$263,0))&gt;0,($AM18*INDEX(CL$12:CL$263,MATCH($AQ18,$AP$12:$AP$263,0)))/INDEX($AI$12:$AI$263,MATCH($AQ18,$AP$12:$AP$263,0)), "-"),     TRUE, "0")</f>
        <v>0</v>
      </c>
      <c r="CN18" s="588">
        <f>IF(CM$9&gt;0, IF(OR(CM18="",CM18="-"), 0, CM18*$AT18), CL18*$AJ18)</f>
        <v>0</v>
      </c>
      <c r="CO18" s="587">
        <f>[1]COMMANDE!AS16</f>
        <v>0</v>
      </c>
      <c r="CP18" s="586" t="str">
        <f>_xlfn.IFS(AND($AI18=$AM18,$AI18&gt;0,$AM18&gt;0,CO18&gt;0), CO18,     AND(NOT($AI18=$AM18),$AI18&gt;0,$AM18&gt;0,CO18&gt;0), ($AM18*CO18)/$AI18,     AND($AI18=0,$AM18&gt;0,$AQ18&gt;0), IF(INDEX(CO$12:CO$263,MATCH($AQ18,$AP$12:$AP$263,0))&gt;0,($AM18*INDEX(CO$12:CO$263,MATCH($AQ18,$AP$12:$AP$263,0)))/INDEX($AI$12:$AI$263,MATCH($AQ18,$AP$12:$AP$263,0)), "-"),     TRUE, "0")</f>
        <v>0</v>
      </c>
      <c r="CQ18" s="607">
        <f>IF(CP$9&gt;0, IF(OR(CP18="",CP18="-"), 0, CP18*$AT18), CO18*$AJ18)</f>
        <v>0</v>
      </c>
      <c r="CR18" s="589">
        <f>[1]COMMANDE!AU16</f>
        <v>0</v>
      </c>
      <c r="CS18" s="586" t="str">
        <f>_xlfn.IFS(AND($AI18=$AM18,$AI18&gt;0,$AM18&gt;0,CR18&gt;0), CR18,     AND(NOT($AI18=$AM18),$AI18&gt;0,$AM18&gt;0,CR18&gt;0), ($AM18*CR18)/$AI18,     AND($AI18=0,$AM18&gt;0,$AQ18&gt;0), IF(INDEX(CR$12:CR$263,MATCH($AQ18,$AP$12:$AP$263,0))&gt;0,($AM18*INDEX(CR$12:CR$263,MATCH($AQ18,$AP$12:$AP$263,0)))/INDEX($AI$12:$AI$263,MATCH($AQ18,$AP$12:$AP$263,0)), "-"),     TRUE, "0")</f>
        <v>0</v>
      </c>
      <c r="CT18" s="588">
        <f>IF(CS$9&gt;0, IF(OR(CS18="",CS18="-"), 0, CS18*$AT18), CR18*$AJ18)</f>
        <v>0</v>
      </c>
      <c r="CU18" s="587">
        <f>[1]COMMANDE!AW16</f>
        <v>0</v>
      </c>
      <c r="CV18" s="586" t="str">
        <f>_xlfn.IFS(AND($AI18=$AM18,$AI18&gt;0,$AM18&gt;0,CU18&gt;0), CU18,     AND(NOT($AI18=$AM18),$AI18&gt;0,$AM18&gt;0,CU18&gt;0), ($AM18*CU18)/$AI18,     AND($AI18=0,$AM18&gt;0,$AQ18&gt;0), IF(INDEX(CU$12:CU$263,MATCH($AQ18,$AP$12:$AP$263,0))&gt;0,($AM18*INDEX(CU$12:CU$263,MATCH($AQ18,$AP$12:$AP$263,0)))/INDEX($AI$12:$AI$263,MATCH($AQ18,$AP$12:$AP$263,0)), "-"),     TRUE, "0")</f>
        <v>0</v>
      </c>
      <c r="CW18" s="607">
        <f>IF(CV$9&gt;0, IF(OR(CV18="",CV18="-"), 0, CV18*$AT18), CU18*$AJ18)</f>
        <v>0</v>
      </c>
      <c r="CX18" s="589">
        <f>[1]COMMANDE!AY16</f>
        <v>0</v>
      </c>
      <c r="CY18" s="586" t="str">
        <f>_xlfn.IFS(AND($AI18=$AM18,$AI18&gt;0,$AM18&gt;0,CX18&gt;0), CX18,     AND(NOT($AI18=$AM18),$AI18&gt;0,$AM18&gt;0,CX18&gt;0), ($AM18*CX18)/$AI18,     AND($AI18=0,$AM18&gt;0,$AQ18&gt;0), IF(INDEX(CX$12:CX$263,MATCH($AQ18,$AP$12:$AP$263,0))&gt;0,($AM18*INDEX(CX$12:CX$263,MATCH($AQ18,$AP$12:$AP$263,0)))/INDEX($AI$12:$AI$263,MATCH($AQ18,$AP$12:$AP$263,0)), "-"),     TRUE, "0")</f>
        <v>0</v>
      </c>
      <c r="CZ18" s="588">
        <f>IF(CY$9&gt;0, IF(OR(CY18="",CY18="-"), 0, CY18*$AT18), CX18*$AJ18)</f>
        <v>0</v>
      </c>
      <c r="DA18" s="587">
        <f>[1]COMMANDE!BA16</f>
        <v>0</v>
      </c>
      <c r="DB18" s="586" t="str">
        <f>_xlfn.IFS(AND($AI18=$AM18,$AI18&gt;0,$AM18&gt;0,DA18&gt;0), DA18,     AND(NOT($AI18=$AM18),$AI18&gt;0,$AM18&gt;0,DA18&gt;0), ($AM18*DA18)/$AI18,     AND($AI18=0,$AM18&gt;0,$AQ18&gt;0), IF(INDEX(DA$12:DA$263,MATCH($AQ18,$AP$12:$AP$263,0))&gt;0,($AM18*INDEX(DA$12:DA$263,MATCH($AQ18,$AP$12:$AP$263,0)))/INDEX($AI$12:$AI$263,MATCH($AQ18,$AP$12:$AP$263,0)), "-"),     TRUE, "0")</f>
        <v>0</v>
      </c>
      <c r="DC18" s="606">
        <f>IF(DB$9&gt;0, IF(OR(DB18="",DB18="-"), 0, DB18*$AT18), DA18*$AJ18)</f>
        <v>0</v>
      </c>
      <c r="DD18" s="584"/>
      <c r="DE18" s="583"/>
    </row>
    <row r="19" spans="1:109" ht="39.950000000000003" hidden="1" customHeight="1">
      <c r="A19" s="604">
        <f>IF(OR($AV19&gt;0, $AX19&gt;0), 1, 0)</f>
        <v>0</v>
      </c>
      <c r="B19" s="604">
        <f>IF(OR($AY19&gt;0, $BA19&gt;0), 1, 0)</f>
        <v>0</v>
      </c>
      <c r="C19" s="604">
        <f>IF(OR($BB19&gt;0, $BD19&gt;0), 1, 0)</f>
        <v>0</v>
      </c>
      <c r="D19" s="604">
        <f>IF(OR($BE19&gt;0, $BG19&gt;0), 1, 0)</f>
        <v>0</v>
      </c>
      <c r="E19" s="604">
        <f>IF(OR($BH19&gt;0, $BJ19&gt;0), 1, 0)</f>
        <v>0</v>
      </c>
      <c r="F19" s="604">
        <f>IF(OR($BK19&gt;0, $BM19&gt;0), 1, 0)</f>
        <v>0</v>
      </c>
      <c r="G19" s="604">
        <f>IF(OR($BN19&gt;0, $BP19&gt;0), 1, 0)</f>
        <v>0</v>
      </c>
      <c r="H19" s="604">
        <f>IF(OR($BQ19&gt;0, $BS19&gt;0), 1, 0)</f>
        <v>0</v>
      </c>
      <c r="I19" s="604">
        <f>IF(OR($BT19&gt;0, $BV19&gt;0), 1, 0)</f>
        <v>0</v>
      </c>
      <c r="J19" s="604">
        <f>IF(OR($BW19&gt;0, $BY19&gt;0), 1, 0)</f>
        <v>0</v>
      </c>
      <c r="K19" s="604">
        <f>IF(OR($BZ19&gt;0, $CB19&gt;0), 1, 0)</f>
        <v>0</v>
      </c>
      <c r="L19" s="604">
        <f>IF(OR($CC19&gt;0, $CE19&gt;0), 1, 0)</f>
        <v>0</v>
      </c>
      <c r="M19" s="604">
        <f>IF(OR($CF19&gt;0, $CH19&gt;0), 1, 0)</f>
        <v>0</v>
      </c>
      <c r="N19" s="604">
        <f>IF(OR($CI19&gt;0, $CK19&gt;0), 1, 0)</f>
        <v>0</v>
      </c>
      <c r="O19" s="604">
        <f>IF(OR($CL19&gt;0, $CN19&gt;0), 1, 0)</f>
        <v>0</v>
      </c>
      <c r="P19" s="604">
        <f>IF(OR($CO19&gt;0, $CQ19&gt;0), 1, 0)</f>
        <v>0</v>
      </c>
      <c r="Q19" s="604">
        <f>IF(OR($CR19&gt;0, $CT19&gt;0), 1, 0)</f>
        <v>0</v>
      </c>
      <c r="R19" s="604">
        <f>IF(OR($CU19&gt;0, $CW19&gt;0), 1, 0)</f>
        <v>0</v>
      </c>
      <c r="S19" s="604">
        <f>IF(OR($CX19&gt;0, $CZ19&gt;0), 1, 0)</f>
        <v>0</v>
      </c>
      <c r="T19" s="604">
        <f>IF(OR($DA19&gt;0, $DC19&gt;0), 1, 0)</f>
        <v>0</v>
      </c>
      <c r="U19" s="603">
        <f>IF(OR($AI19&gt;0,$AM19&gt;0,$AS19&gt;0), 1, 0)</f>
        <v>0</v>
      </c>
      <c r="V19" s="602">
        <f>[1]BDD!A9</f>
        <v>6073</v>
      </c>
      <c r="W19" s="601" t="str">
        <f>[1]BDD!B9</f>
        <v>Algue Kombu déshydratées BIO (env. 1kg)</v>
      </c>
      <c r="X19" s="600" t="str">
        <f>IF([1]BDD!F9=0, "", [1]BDD!F9)</f>
        <v>❤️</v>
      </c>
      <c r="Y19" s="542">
        <f>ROUND([1]BDD!G9+FDP_CMD_KG, 2)</f>
        <v>38.53</v>
      </c>
      <c r="Z19" s="542">
        <f>ROUND([1]BDD!G9+FDP_FACT_KG, 2)</f>
        <v>38.53</v>
      </c>
      <c r="AA19" s="543" t="str">
        <f>[1]BDD!H9</f>
        <v>Pièce</v>
      </c>
      <c r="AB19" s="544" t="str">
        <f>IF(NOT(ISBLANK([1]BDD!I9)), ROUND(SUM(([1]BDD!G9*reduc1),FDP_CMD_KG), 2), "")</f>
        <v/>
      </c>
      <c r="AC19" s="544" t="str">
        <f>IF(NOT(ISBLANK([1]BDD!J9)), ROUND(SUM(([1]BDD!G9*reduc2),FDP_CMD_KG), 2), "")</f>
        <v/>
      </c>
      <c r="AD19" s="544" t="str">
        <f>IF(NOT(ISBLANK([1]BDD!K9)), ROUND(SUM(([1]BDD!G9*reduc3),FDP_CMD_KG), 2), "")</f>
        <v/>
      </c>
      <c r="AE19" s="544" t="str">
        <f>IF(NOT(ISBLANK([1]BDD!I9)), ROUND(SUM(([1]BDD!G9*reduc1),FDP_FACT_KG), 2), "")</f>
        <v/>
      </c>
      <c r="AF19" s="544" t="str">
        <f>IF(NOT(ISBLANK([1]BDD!J9)), ROUND(SUM(([1]BDD!G9*reduc2),FDP_FACT_KG), 2), "")</f>
        <v/>
      </c>
      <c r="AG19" s="544" t="str">
        <f>IF(NOT(ISBLANK([1]BDD!K9)), ROUND(SUM(([1]BDD!G9*reduc3),FDP_FACT_KG), 2), "")</f>
        <v/>
      </c>
      <c r="AH19" s="599" t="str">
        <f>[1]BDD!C9</f>
        <v>Galice</v>
      </c>
      <c r="AI19" s="598">
        <f>SUM(AV19,AY19,BB19,BE19,BH19,BK19,BN19,BQ19,BT19,BW19,BZ19,CC19,CF19,CI19,CL19,CO19,CR19,CU19,CX19,DA19)</f>
        <v>0</v>
      </c>
      <c r="AJ19" s="545">
        <f>_xlfn.IFS($AD19&lt;&gt;"", $AD19,    $AC19&lt;&gt;"", $AC19,    $AB19&lt;&gt;"", $AB19,    TRUE, $Y19)</f>
        <v>38.53</v>
      </c>
      <c r="AK19" s="592">
        <f>$AI19*$AJ19</f>
        <v>0</v>
      </c>
      <c r="AL19" s="594"/>
      <c r="AM19" s="597"/>
      <c r="AN19" s="545">
        <f>_xlfn.IFS(AND(AM19&gt;=60,$AG19&lt;&gt;""), $AG19,    AND(AM19&gt;=30,$AF19&lt;&gt;""), $AF19,    AND(AM19&gt;=10,$AE19&lt;&gt;""), $AE19,    TRUE, $Z19)</f>
        <v>38.53</v>
      </c>
      <c r="AO19" s="596">
        <f>AM19*AN19</f>
        <v>0</v>
      </c>
      <c r="AP19" s="595"/>
      <c r="AQ19" s="595"/>
      <c r="AR19" s="594"/>
      <c r="AS19" s="593">
        <f>SUM(AW19,AZ19,BC19,BF19,BI19,BL19,BO19,BR19,BU19,BX19,CA19,CD19,CG19,CJ19,CM19,CP19,CS19,CV19,CY19,DB19)</f>
        <v>0</v>
      </c>
      <c r="AT19" s="545">
        <f>_xlfn.IFS(AND(AS19&gt;=60,$AG19&lt;&gt;""), $AG19,    AND(AS19&gt;=30,$AF19&lt;&gt;""), $AF19,    AND(AS19&gt;=10,$AE19&lt;&gt;""), $AE19,    TRUE, $Z19)</f>
        <v>38.53</v>
      </c>
      <c r="AU19" s="592">
        <f>$AS19*$AT19</f>
        <v>0</v>
      </c>
      <c r="AV19" s="591">
        <f>[1]COMMANDE!O17</f>
        <v>0</v>
      </c>
      <c r="AW19" s="586" t="str">
        <f>_xlfn.IFS(AND($AI19=$AM19,$AI19&gt;0,$AM19&gt;0,AV19&gt;0), AV19,     AND(NOT($AI19=$AM19),$AI19&gt;0,$AM19&gt;0,AV19&gt;0), ($AM19*AV19)/$AI19,     AND($AI19=0,$AM19&gt;0,$AQ19&gt;0), IF(INDEX(AV$12:AV$263,MATCH($AQ19,$AP$12:$AP$263,0))&gt;0,($AM19*INDEX(AV$12:AV$263,MATCH($AQ19,$AP$12:$AP$263,0)))/INDEX($AI$12:$AI$263,MATCH($AQ19,$AP$12:$AP$263,0)), "-"),     TRUE, "0")</f>
        <v>0</v>
      </c>
      <c r="AX19" s="588">
        <f>IF(AW$9&gt;0, IF(OR(AW19="",AW19="-"), 0, AW19*$AT19), AV19*$AJ19)</f>
        <v>0</v>
      </c>
      <c r="AY19" s="587">
        <f>[1]COMMANDE!Q17</f>
        <v>0</v>
      </c>
      <c r="AZ19" s="586" t="str">
        <f>_xlfn.IFS(AND($AI19=$AM19,$AI19&gt;0,$AM19&gt;0,AY19&gt;0), AY19,     AND(NOT($AI19=$AM19),$AI19&gt;0,$AM19&gt;0,AY19&gt;0), ($AM19*AY19)/$AI19,     AND($AI19=0,$AM19&gt;0,$AQ19&gt;0), IF(INDEX(AY$12:AY$263,MATCH($AQ19,$AP$12:$AP$263,0))&gt;0,($AM19*INDEX(AY$12:AY$263,MATCH($AQ19,$AP$12:$AP$263,0)))/INDEX($AI$12:$AI$263,MATCH($AQ19,$AP$12:$AP$263,0)), "-"),     TRUE, "0")</f>
        <v>0</v>
      </c>
      <c r="BA19" s="607">
        <f>IF(AZ$9&gt;0, IF(OR(AZ19="",AZ19="-"), 0, AZ19*$AT19), AY19*$AJ19)</f>
        <v>0</v>
      </c>
      <c r="BB19" s="589">
        <f>[1]COMMANDE!S17</f>
        <v>0</v>
      </c>
      <c r="BC19" s="586" t="str">
        <f>_xlfn.IFS(AND($AI19=$AM19,$AI19&gt;0,$AM19&gt;0,BB19&gt;0), BB19,     AND(NOT($AI19=$AM19),$AI19&gt;0,$AM19&gt;0,BB19&gt;0), ($AM19*BB19)/$AI19,     AND($AI19=0,$AM19&gt;0,$AQ19&gt;0), IF(INDEX(BB$12:BB$263,MATCH($AQ19,$AP$12:$AP$263,0))&gt;0,($AM19*INDEX(BB$12:BB$263,MATCH($AQ19,$AP$12:$AP$263,0)))/INDEX($AI$12:$AI$263,MATCH($AQ19,$AP$12:$AP$263,0)), "-"),     TRUE, "0")</f>
        <v>0</v>
      </c>
      <c r="BD19" s="588">
        <f>IF(BC$9&gt;0, IF(OR(BC19="",BC19="-"), 0, BC19*$AT19), BB19*$AJ19)</f>
        <v>0</v>
      </c>
      <c r="BE19" s="587">
        <f>[1]COMMANDE!U17</f>
        <v>0</v>
      </c>
      <c r="BF19" s="586" t="str">
        <f>_xlfn.IFS(AND($AI19=$AM19,$AI19&gt;0,$AM19&gt;0,BE19&gt;0), BE19,     AND(NOT($AI19=$AM19),$AI19&gt;0,$AM19&gt;0,BE19&gt;0), ($AM19*BE19)/$AI19,     AND($AI19=0,$AM19&gt;0,$AQ19&gt;0), IF(INDEX(BE$12:BE$263,MATCH($AQ19,$AP$12:$AP$263,0))&gt;0,($AM19*INDEX(BE$12:BE$263,MATCH($AQ19,$AP$12:$AP$263,0)))/INDEX($AI$12:$AI$263,MATCH($AQ19,$AP$12:$AP$263,0)), "-"),     TRUE, "0")</f>
        <v>0</v>
      </c>
      <c r="BG19" s="607">
        <f>IF(BF$9&gt;0, IF(OR(BF19="",BF19="-"), 0, BF19*$AT19), BE19*$AJ19)</f>
        <v>0</v>
      </c>
      <c r="BH19" s="589">
        <f>[1]COMMANDE!W17</f>
        <v>0</v>
      </c>
      <c r="BI19" s="586" t="str">
        <f>_xlfn.IFS(AND($AI19=$AM19,$AI19&gt;0,$AM19&gt;0,BH19&gt;0), BH19,     AND(NOT($AI19=$AM19),$AI19&gt;0,$AM19&gt;0,BH19&gt;0), ($AM19*BH19)/$AI19,     AND($AI19=0,$AM19&gt;0,$AQ19&gt;0), IF(INDEX(BH$12:BH$263,MATCH($AQ19,$AP$12:$AP$263,0))&gt;0,($AM19*INDEX(BH$12:BH$263,MATCH($AQ19,$AP$12:$AP$263,0)))/INDEX($AI$12:$AI$263,MATCH($AQ19,$AP$12:$AP$263,0)), "-"),     TRUE, "0")</f>
        <v>0</v>
      </c>
      <c r="BJ19" s="588">
        <f>IF(BI$9&gt;0, IF(OR(BI19="",BI19="-"), 0, BI19*$AT19), BH19*$AJ19)</f>
        <v>0</v>
      </c>
      <c r="BK19" s="587">
        <f>[1]COMMANDE!Y17</f>
        <v>0</v>
      </c>
      <c r="BL19" s="586" t="str">
        <f>_xlfn.IFS(AND($AI19=$AM19,$AI19&gt;0,$AM19&gt;0,BK19&gt;0), BK19,     AND(NOT($AI19=$AM19),$AI19&gt;0,$AM19&gt;0,BK19&gt;0), ($AM19*BK19)/$AI19,     AND($AI19=0,$AM19&gt;0,$AQ19&gt;0), IF(INDEX(BK$12:BK$263,MATCH($AQ19,$AP$12:$AP$263,0))&gt;0,($AM19*INDEX(BK$12:BK$263,MATCH($AQ19,$AP$12:$AP$263,0)))/INDEX($AI$12:$AI$263,MATCH($AQ19,$AP$12:$AP$263,0)), "-"),     TRUE, "0")</f>
        <v>0</v>
      </c>
      <c r="BM19" s="607">
        <f>IF(BL$9&gt;0, IF(OR(BL19="",BL19="-"), 0, BL19*$AT19), BK19*$AJ19)</f>
        <v>0</v>
      </c>
      <c r="BN19" s="589">
        <f>[1]COMMANDE!AA17</f>
        <v>0</v>
      </c>
      <c r="BO19" s="586" t="str">
        <f>_xlfn.IFS(AND($AI19=$AM19,$AI19&gt;0,$AM19&gt;0,BN19&gt;0), BN19,     AND(NOT($AI19=$AM19),$AI19&gt;0,$AM19&gt;0,BN19&gt;0), ($AM19*BN19)/$AI19,     AND($AI19=0,$AM19&gt;0,$AQ19&gt;0), IF(INDEX(BN$12:BN$263,MATCH($AQ19,$AP$12:$AP$263,0))&gt;0,($AM19*INDEX(BN$12:BN$263,MATCH($AQ19,$AP$12:$AP$263,0)))/INDEX($AI$12:$AI$263,MATCH($AQ19,$AP$12:$AP$263,0)), "-"),     TRUE, "0")</f>
        <v>0</v>
      </c>
      <c r="BP19" s="588">
        <f>IF(BO$9&gt;0, IF(OR(BO19="",BO19="-"), 0, BO19*$AT19), BN19*$AJ19)</f>
        <v>0</v>
      </c>
      <c r="BQ19" s="587">
        <f>[1]COMMANDE!AC17</f>
        <v>0</v>
      </c>
      <c r="BR19" s="586" t="str">
        <f>_xlfn.IFS(AND($AI19=$AM19,$AI19&gt;0,$AM19&gt;0,BQ19&gt;0), BQ19,     AND(NOT($AI19=$AM19),$AI19&gt;0,$AM19&gt;0,BQ19&gt;0), ($AM19*BQ19)/$AI19,     AND($AI19=0,$AM19&gt;0,$AQ19&gt;0), IF(INDEX(BQ$12:BQ$263,MATCH($AQ19,$AP$12:$AP$263,0))&gt;0,($AM19*INDEX(BQ$12:BQ$263,MATCH($AQ19,$AP$12:$AP$263,0)))/INDEX($AI$12:$AI$263,MATCH($AQ19,$AP$12:$AP$263,0)), "-"),     TRUE, "0")</f>
        <v>0</v>
      </c>
      <c r="BS19" s="607">
        <f>IF(BR$9&gt;0, IF(OR(BR19="",BR19="-"), 0, BR19*$AT19), BQ19*$AJ19)</f>
        <v>0</v>
      </c>
      <c r="BT19" s="589">
        <f>[1]COMMANDE!AE17</f>
        <v>0</v>
      </c>
      <c r="BU19" s="586" t="str">
        <f>_xlfn.IFS(AND($AI19=$AM19,$AI19&gt;0,$AM19&gt;0,BT19&gt;0), BT19,     AND(NOT($AI19=$AM19),$AI19&gt;0,$AM19&gt;0,BT19&gt;0), ($AM19*BT19)/$AI19,     AND($AI19=0,$AM19&gt;0,$AQ19&gt;0), IF(INDEX(BT$12:BT$263,MATCH($AQ19,$AP$12:$AP$263,0))&gt;0,($AM19*INDEX(BT$12:BT$263,MATCH($AQ19,$AP$12:$AP$263,0)))/INDEX($AI$12:$AI$263,MATCH($AQ19,$AP$12:$AP$263,0)), "-"),     TRUE, "0")</f>
        <v>0</v>
      </c>
      <c r="BV19" s="588">
        <f>IF(BU$9&gt;0, IF(OR(BU19="",BU19="-"), 0, BU19*$AT19), BT19*$AJ19)</f>
        <v>0</v>
      </c>
      <c r="BW19" s="587">
        <f>[1]COMMANDE!AG17</f>
        <v>0</v>
      </c>
      <c r="BX19" s="586" t="str">
        <f>_xlfn.IFS(AND($AI19=$AM19,$AI19&gt;0,$AM19&gt;0,BW19&gt;0), BW19,     AND(NOT($AI19=$AM19),$AI19&gt;0,$AM19&gt;0,BW19&gt;0), ($AM19*BW19)/$AI19,     AND($AI19=0,$AM19&gt;0,$AQ19&gt;0), IF(INDEX(BW$12:BW$263,MATCH($AQ19,$AP$12:$AP$263,0))&gt;0,($AM19*INDEX(BW$12:BW$263,MATCH($AQ19,$AP$12:$AP$263,0)))/INDEX($AI$12:$AI$263,MATCH($AQ19,$AP$12:$AP$263,0)), "-"),     TRUE, "0")</f>
        <v>0</v>
      </c>
      <c r="BY19" s="607">
        <f>IF(BX$9&gt;0, IF(OR(BX19="",BX19="-"), 0, BX19*$AT19), BW19*$AJ19)</f>
        <v>0</v>
      </c>
      <c r="BZ19" s="589">
        <f>[1]COMMANDE!AI17</f>
        <v>0</v>
      </c>
      <c r="CA19" s="586" t="str">
        <f>_xlfn.IFS(AND($AI19=$AM19,$AI19&gt;0,$AM19&gt;0,BZ19&gt;0), BZ19,     AND(NOT($AI19=$AM19),$AI19&gt;0,$AM19&gt;0,BZ19&gt;0), ($AM19*BZ19)/$AI19,     AND($AI19=0,$AM19&gt;0,$AQ19&gt;0), IF(INDEX(BZ$12:BZ$263,MATCH($AQ19,$AP$12:$AP$263,0))&gt;0,($AM19*INDEX(BZ$12:BZ$263,MATCH($AQ19,$AP$12:$AP$263,0)))/INDEX($AI$12:$AI$263,MATCH($AQ19,$AP$12:$AP$263,0)), "-"),     TRUE, "0")</f>
        <v>0</v>
      </c>
      <c r="CB19" s="588">
        <f>IF(CA$9&gt;0, IF(OR(CA19="",CA19="-"), 0, CA19*$AT19), BZ19*$AJ19)</f>
        <v>0</v>
      </c>
      <c r="CC19" s="587">
        <f>[1]COMMANDE!AK17</f>
        <v>0</v>
      </c>
      <c r="CD19" s="586" t="str">
        <f>_xlfn.IFS(AND($AI19=$AM19,$AI19&gt;0,$AM19&gt;0,CC19&gt;0), CC19,     AND(NOT($AI19=$AM19),$AI19&gt;0,$AM19&gt;0,CC19&gt;0), ($AM19*CC19)/$AI19,     AND($AI19=0,$AM19&gt;0,$AQ19&gt;0), IF(INDEX(CC$12:CC$263,MATCH($AQ19,$AP$12:$AP$263,0))&gt;0,($AM19*INDEX(CC$12:CC$263,MATCH($AQ19,$AP$12:$AP$263,0)))/INDEX($AI$12:$AI$263,MATCH($AQ19,$AP$12:$AP$263,0)), "-"),     TRUE, "0")</f>
        <v>0</v>
      </c>
      <c r="CE19" s="607">
        <f>IF(CD$9&gt;0, IF(OR(CD19="",CD19="-"), 0, CD19*$AT19), CC19*$AJ19)</f>
        <v>0</v>
      </c>
      <c r="CF19" s="589">
        <f>[1]COMMANDE!AM17</f>
        <v>0</v>
      </c>
      <c r="CG19" s="586" t="str">
        <f>_xlfn.IFS(AND($AI19=$AM19,$AI19&gt;0,$AM19&gt;0,CF19&gt;0), CF19,     AND(NOT($AI19=$AM19),$AI19&gt;0,$AM19&gt;0,CF19&gt;0), ($AM19*CF19)/$AI19,     AND($AI19=0,$AM19&gt;0,$AQ19&gt;0), IF(INDEX(CF$12:CF$263,MATCH($AQ19,$AP$12:$AP$263,0))&gt;0,($AM19*INDEX(CF$12:CF$263,MATCH($AQ19,$AP$12:$AP$263,0)))/INDEX($AI$12:$AI$263,MATCH($AQ19,$AP$12:$AP$263,0)), "-"),     TRUE, "0")</f>
        <v>0</v>
      </c>
      <c r="CH19" s="588">
        <f>IF(CG$9&gt;0, IF(OR(CG19="",CG19="-"), 0, CG19*$AT19), CF19*$AJ19)</f>
        <v>0</v>
      </c>
      <c r="CI19" s="587">
        <f>[1]COMMANDE!AO17</f>
        <v>0</v>
      </c>
      <c r="CJ19" s="586" t="str">
        <f>_xlfn.IFS(AND($AI19=$AM19,$AI19&gt;0,$AM19&gt;0,CI19&gt;0), CI19,     AND(NOT($AI19=$AM19),$AI19&gt;0,$AM19&gt;0,CI19&gt;0), ($AM19*CI19)/$AI19,     AND($AI19=0,$AM19&gt;0,$AQ19&gt;0), IF(INDEX(CI$12:CI$263,MATCH($AQ19,$AP$12:$AP$263,0))&gt;0,($AM19*INDEX(CI$12:CI$263,MATCH($AQ19,$AP$12:$AP$263,0)))/INDEX($AI$12:$AI$263,MATCH($AQ19,$AP$12:$AP$263,0)), "-"),     TRUE, "0")</f>
        <v>0</v>
      </c>
      <c r="CK19" s="607">
        <f>IF(CJ$9&gt;0, IF(OR(CJ19="",CJ19="-"), 0, CJ19*$AT19), CI19*$AJ19)</f>
        <v>0</v>
      </c>
      <c r="CL19" s="589">
        <f>[1]COMMANDE!AQ17</f>
        <v>0</v>
      </c>
      <c r="CM19" s="586" t="str">
        <f>_xlfn.IFS(AND($AI19=$AM19,$AI19&gt;0,$AM19&gt;0,CL19&gt;0), CL19,     AND(NOT($AI19=$AM19),$AI19&gt;0,$AM19&gt;0,CL19&gt;0), ($AM19*CL19)/$AI19,     AND($AI19=0,$AM19&gt;0,$AQ19&gt;0), IF(INDEX(CL$12:CL$263,MATCH($AQ19,$AP$12:$AP$263,0))&gt;0,($AM19*INDEX(CL$12:CL$263,MATCH($AQ19,$AP$12:$AP$263,0)))/INDEX($AI$12:$AI$263,MATCH($AQ19,$AP$12:$AP$263,0)), "-"),     TRUE, "0")</f>
        <v>0</v>
      </c>
      <c r="CN19" s="588">
        <f>IF(CM$9&gt;0, IF(OR(CM19="",CM19="-"), 0, CM19*$AT19), CL19*$AJ19)</f>
        <v>0</v>
      </c>
      <c r="CO19" s="587">
        <f>[1]COMMANDE!AS17</f>
        <v>0</v>
      </c>
      <c r="CP19" s="586" t="str">
        <f>_xlfn.IFS(AND($AI19=$AM19,$AI19&gt;0,$AM19&gt;0,CO19&gt;0), CO19,     AND(NOT($AI19=$AM19),$AI19&gt;0,$AM19&gt;0,CO19&gt;0), ($AM19*CO19)/$AI19,     AND($AI19=0,$AM19&gt;0,$AQ19&gt;0), IF(INDEX(CO$12:CO$263,MATCH($AQ19,$AP$12:$AP$263,0))&gt;0,($AM19*INDEX(CO$12:CO$263,MATCH($AQ19,$AP$12:$AP$263,0)))/INDEX($AI$12:$AI$263,MATCH($AQ19,$AP$12:$AP$263,0)), "-"),     TRUE, "0")</f>
        <v>0</v>
      </c>
      <c r="CQ19" s="607">
        <f>IF(CP$9&gt;0, IF(OR(CP19="",CP19="-"), 0, CP19*$AT19), CO19*$AJ19)</f>
        <v>0</v>
      </c>
      <c r="CR19" s="589">
        <f>[1]COMMANDE!AU17</f>
        <v>0</v>
      </c>
      <c r="CS19" s="586" t="str">
        <f>_xlfn.IFS(AND($AI19=$AM19,$AI19&gt;0,$AM19&gt;0,CR19&gt;0), CR19,     AND(NOT($AI19=$AM19),$AI19&gt;0,$AM19&gt;0,CR19&gt;0), ($AM19*CR19)/$AI19,     AND($AI19=0,$AM19&gt;0,$AQ19&gt;0), IF(INDEX(CR$12:CR$263,MATCH($AQ19,$AP$12:$AP$263,0))&gt;0,($AM19*INDEX(CR$12:CR$263,MATCH($AQ19,$AP$12:$AP$263,0)))/INDEX($AI$12:$AI$263,MATCH($AQ19,$AP$12:$AP$263,0)), "-"),     TRUE, "0")</f>
        <v>0</v>
      </c>
      <c r="CT19" s="588">
        <f>IF(CS$9&gt;0, IF(OR(CS19="",CS19="-"), 0, CS19*$AT19), CR19*$AJ19)</f>
        <v>0</v>
      </c>
      <c r="CU19" s="587">
        <f>[1]COMMANDE!AW17</f>
        <v>0</v>
      </c>
      <c r="CV19" s="586" t="str">
        <f>_xlfn.IFS(AND($AI19=$AM19,$AI19&gt;0,$AM19&gt;0,CU19&gt;0), CU19,     AND(NOT($AI19=$AM19),$AI19&gt;0,$AM19&gt;0,CU19&gt;0), ($AM19*CU19)/$AI19,     AND($AI19=0,$AM19&gt;0,$AQ19&gt;0), IF(INDEX(CU$12:CU$263,MATCH($AQ19,$AP$12:$AP$263,0))&gt;0,($AM19*INDEX(CU$12:CU$263,MATCH($AQ19,$AP$12:$AP$263,0)))/INDEX($AI$12:$AI$263,MATCH($AQ19,$AP$12:$AP$263,0)), "-"),     TRUE, "0")</f>
        <v>0</v>
      </c>
      <c r="CW19" s="607">
        <f>IF(CV$9&gt;0, IF(OR(CV19="",CV19="-"), 0, CV19*$AT19), CU19*$AJ19)</f>
        <v>0</v>
      </c>
      <c r="CX19" s="589">
        <f>[1]COMMANDE!AY17</f>
        <v>0</v>
      </c>
      <c r="CY19" s="586" t="str">
        <f>_xlfn.IFS(AND($AI19=$AM19,$AI19&gt;0,$AM19&gt;0,CX19&gt;0), CX19,     AND(NOT($AI19=$AM19),$AI19&gt;0,$AM19&gt;0,CX19&gt;0), ($AM19*CX19)/$AI19,     AND($AI19=0,$AM19&gt;0,$AQ19&gt;0), IF(INDEX(CX$12:CX$263,MATCH($AQ19,$AP$12:$AP$263,0))&gt;0,($AM19*INDEX(CX$12:CX$263,MATCH($AQ19,$AP$12:$AP$263,0)))/INDEX($AI$12:$AI$263,MATCH($AQ19,$AP$12:$AP$263,0)), "-"),     TRUE, "0")</f>
        <v>0</v>
      </c>
      <c r="CZ19" s="588">
        <f>IF(CY$9&gt;0, IF(OR(CY19="",CY19="-"), 0, CY19*$AT19), CX19*$AJ19)</f>
        <v>0</v>
      </c>
      <c r="DA19" s="587">
        <f>[1]COMMANDE!BA17</f>
        <v>0</v>
      </c>
      <c r="DB19" s="586" t="str">
        <f>_xlfn.IFS(AND($AI19=$AM19,$AI19&gt;0,$AM19&gt;0,DA19&gt;0), DA19,     AND(NOT($AI19=$AM19),$AI19&gt;0,$AM19&gt;0,DA19&gt;0), ($AM19*DA19)/$AI19,     AND($AI19=0,$AM19&gt;0,$AQ19&gt;0), IF(INDEX(DA$12:DA$263,MATCH($AQ19,$AP$12:$AP$263,0))&gt;0,($AM19*INDEX(DA$12:DA$263,MATCH($AQ19,$AP$12:$AP$263,0)))/INDEX($AI$12:$AI$263,MATCH($AQ19,$AP$12:$AP$263,0)), "-"),     TRUE, "0")</f>
        <v>0</v>
      </c>
      <c r="DC19" s="606">
        <f>IF(DB$9&gt;0, IF(OR(DB19="",DB19="-"), 0, DB19*$AT19), DA19*$AJ19)</f>
        <v>0</v>
      </c>
      <c r="DD19" s="584"/>
      <c r="DE19" s="583"/>
    </row>
    <row r="20" spans="1:109" ht="39.950000000000003" hidden="1" customHeight="1">
      <c r="A20" s="604">
        <f>IF(OR($AV20&gt;0, $AX20&gt;0), 1, 0)</f>
        <v>0</v>
      </c>
      <c r="B20" s="604">
        <f>IF(OR($AY20&gt;0, $BA20&gt;0), 1, 0)</f>
        <v>0</v>
      </c>
      <c r="C20" s="604">
        <f>IF(OR($BB20&gt;0, $BD20&gt;0), 1, 0)</f>
        <v>0</v>
      </c>
      <c r="D20" s="604">
        <f>IF(OR($BE20&gt;0, $BG20&gt;0), 1, 0)</f>
        <v>0</v>
      </c>
      <c r="E20" s="604">
        <f>IF(OR($BH20&gt;0, $BJ20&gt;0), 1, 0)</f>
        <v>0</v>
      </c>
      <c r="F20" s="604">
        <f>IF(OR($BK20&gt;0, $BM20&gt;0), 1, 0)</f>
        <v>0</v>
      </c>
      <c r="G20" s="604">
        <f>IF(OR($BN20&gt;0, $BP20&gt;0), 1, 0)</f>
        <v>0</v>
      </c>
      <c r="H20" s="604">
        <f>IF(OR($BQ20&gt;0, $BS20&gt;0), 1, 0)</f>
        <v>0</v>
      </c>
      <c r="I20" s="604">
        <f>IF(OR($BT20&gt;0, $BV20&gt;0), 1, 0)</f>
        <v>0</v>
      </c>
      <c r="J20" s="604">
        <f>IF(OR($BW20&gt;0, $BY20&gt;0), 1, 0)</f>
        <v>0</v>
      </c>
      <c r="K20" s="604">
        <f>IF(OR($BZ20&gt;0, $CB20&gt;0), 1, 0)</f>
        <v>0</v>
      </c>
      <c r="L20" s="604">
        <f>IF(OR($CC20&gt;0, $CE20&gt;0), 1, 0)</f>
        <v>0</v>
      </c>
      <c r="M20" s="604">
        <f>IF(OR($CF20&gt;0, $CH20&gt;0), 1, 0)</f>
        <v>0</v>
      </c>
      <c r="N20" s="604">
        <f>IF(OR($CI20&gt;0, $CK20&gt;0), 1, 0)</f>
        <v>0</v>
      </c>
      <c r="O20" s="604">
        <f>IF(OR($CL20&gt;0, $CN20&gt;0), 1, 0)</f>
        <v>0</v>
      </c>
      <c r="P20" s="604">
        <f>IF(OR($CO20&gt;0, $CQ20&gt;0), 1, 0)</f>
        <v>0</v>
      </c>
      <c r="Q20" s="604">
        <f>IF(OR($CR20&gt;0, $CT20&gt;0), 1, 0)</f>
        <v>0</v>
      </c>
      <c r="R20" s="604">
        <f>IF(OR($CU20&gt;0, $CW20&gt;0), 1, 0)</f>
        <v>0</v>
      </c>
      <c r="S20" s="604">
        <f>IF(OR($CX20&gt;0, $CZ20&gt;0), 1, 0)</f>
        <v>0</v>
      </c>
      <c r="T20" s="604">
        <f>IF(OR($DA20&gt;0, $DC20&gt;0), 1, 0)</f>
        <v>0</v>
      </c>
      <c r="U20" s="603">
        <f>IF(OR($AI20&gt;0,$AM20&gt;0,$AS20&gt;0), 1, 0)</f>
        <v>0</v>
      </c>
      <c r="V20" s="602">
        <f>[1]BDD!A10</f>
        <v>6073</v>
      </c>
      <c r="W20" s="601" t="str">
        <f>[1]BDD!B10</f>
        <v>Algue Kombu déshydratées BIO (env. 500g)</v>
      </c>
      <c r="X20" s="600" t="str">
        <f>IF([1]BDD!F10=0, "", [1]BDD!F10)</f>
        <v>❤️</v>
      </c>
      <c r="Y20" s="542">
        <f>ROUND([1]BDD!G10+FDP_CMD_KG, 2)</f>
        <v>20.45</v>
      </c>
      <c r="Z20" s="542">
        <f>ROUND([1]BDD!G10+FDP_FACT_KG, 2)</f>
        <v>20.45</v>
      </c>
      <c r="AA20" s="543" t="str">
        <f>[1]BDD!H10</f>
        <v>Pièce</v>
      </c>
      <c r="AB20" s="544" t="str">
        <f>IF(NOT(ISBLANK([1]BDD!I10)), ROUND(SUM(([1]BDD!G10*reduc1),FDP_CMD_KG), 2), "")</f>
        <v/>
      </c>
      <c r="AC20" s="544" t="str">
        <f>IF(NOT(ISBLANK([1]BDD!J10)), ROUND(SUM(([1]BDD!G10*reduc2),FDP_CMD_KG), 2), "")</f>
        <v/>
      </c>
      <c r="AD20" s="544" t="str">
        <f>IF(NOT(ISBLANK([1]BDD!K10)), ROUND(SUM(([1]BDD!G10*reduc3),FDP_CMD_KG), 2), "")</f>
        <v/>
      </c>
      <c r="AE20" s="544" t="str">
        <f>IF(NOT(ISBLANK([1]BDD!I10)), ROUND(SUM(([1]BDD!G10*reduc1),FDP_FACT_KG), 2), "")</f>
        <v/>
      </c>
      <c r="AF20" s="544" t="str">
        <f>IF(NOT(ISBLANK([1]BDD!J10)), ROUND(SUM(([1]BDD!G10*reduc2),FDP_FACT_KG), 2), "")</f>
        <v/>
      </c>
      <c r="AG20" s="544" t="str">
        <f>IF(NOT(ISBLANK([1]BDD!K10)), ROUND(SUM(([1]BDD!G10*reduc3),FDP_FACT_KG), 2), "")</f>
        <v/>
      </c>
      <c r="AH20" s="599" t="str">
        <f>[1]BDD!C10</f>
        <v>Galice</v>
      </c>
      <c r="AI20" s="598">
        <f>SUM(AV20,AY20,BB20,BE20,BH20,BK20,BN20,BQ20,BT20,BW20,BZ20,CC20,CF20,CI20,CL20,CO20,CR20,CU20,CX20,DA20)</f>
        <v>0</v>
      </c>
      <c r="AJ20" s="545">
        <f>_xlfn.IFS($AD20&lt;&gt;"", $AD20,    $AC20&lt;&gt;"", $AC20,    $AB20&lt;&gt;"", $AB20,    TRUE, $Y20)</f>
        <v>20.45</v>
      </c>
      <c r="AK20" s="592">
        <f>$AI20*$AJ20</f>
        <v>0</v>
      </c>
      <c r="AL20" s="594"/>
      <c r="AM20" s="597"/>
      <c r="AN20" s="545">
        <f>_xlfn.IFS(AND(AM20&gt;=60,$AG20&lt;&gt;""), $AG20,    AND(AM20&gt;=30,$AF20&lt;&gt;""), $AF20,    AND(AM20&gt;=10,$AE20&lt;&gt;""), $AE20,    TRUE, $Z20)</f>
        <v>20.45</v>
      </c>
      <c r="AO20" s="596">
        <f>AM20*AN20</f>
        <v>0</v>
      </c>
      <c r="AP20" s="595"/>
      <c r="AQ20" s="595"/>
      <c r="AR20" s="594"/>
      <c r="AS20" s="593">
        <f>SUM(AW20,AZ20,BC20,BF20,BI20,BL20,BO20,BR20,BU20,BX20,CA20,CD20,CG20,CJ20,CM20,CP20,CS20,CV20,CY20,DB20)</f>
        <v>0</v>
      </c>
      <c r="AT20" s="545">
        <f>_xlfn.IFS(AND(AS20&gt;=60,$AG20&lt;&gt;""), $AG20,    AND(AS20&gt;=30,$AF20&lt;&gt;""), $AF20,    AND(AS20&gt;=10,$AE20&lt;&gt;""), $AE20,    TRUE, $Z20)</f>
        <v>20.45</v>
      </c>
      <c r="AU20" s="592">
        <f>$AS20*$AT20</f>
        <v>0</v>
      </c>
      <c r="AV20" s="591">
        <f>[1]COMMANDE!O18</f>
        <v>0</v>
      </c>
      <c r="AW20" s="586" t="str">
        <f>_xlfn.IFS(AND($AI20=$AM20,$AI20&gt;0,$AM20&gt;0,AV20&gt;0), AV20,     AND(NOT($AI20=$AM20),$AI20&gt;0,$AM20&gt;0,AV20&gt;0), ($AM20*AV20)/$AI20,     AND($AI20=0,$AM20&gt;0,$AQ20&gt;0), IF(INDEX(AV$12:AV$263,MATCH($AQ20,$AP$12:$AP$263,0))&gt;0,($AM20*INDEX(AV$12:AV$263,MATCH($AQ20,$AP$12:$AP$263,0)))/INDEX($AI$12:$AI$263,MATCH($AQ20,$AP$12:$AP$263,0)), "-"),     TRUE, "0")</f>
        <v>0</v>
      </c>
      <c r="AX20" s="588">
        <f>IF(AW$9&gt;0, IF(OR(AW20="",AW20="-"), 0, AW20*$AT20), AV20*$AJ20)</f>
        <v>0</v>
      </c>
      <c r="AY20" s="587">
        <f>[1]COMMANDE!Q18</f>
        <v>0</v>
      </c>
      <c r="AZ20" s="586" t="str">
        <f>_xlfn.IFS(AND($AI20=$AM20,$AI20&gt;0,$AM20&gt;0,AY20&gt;0), AY20,     AND(NOT($AI20=$AM20),$AI20&gt;0,$AM20&gt;0,AY20&gt;0), ($AM20*AY20)/$AI20,     AND($AI20=0,$AM20&gt;0,$AQ20&gt;0), IF(INDEX(AY$12:AY$263,MATCH($AQ20,$AP$12:$AP$263,0))&gt;0,($AM20*INDEX(AY$12:AY$263,MATCH($AQ20,$AP$12:$AP$263,0)))/INDEX($AI$12:$AI$263,MATCH($AQ20,$AP$12:$AP$263,0)), "-"),     TRUE, "0")</f>
        <v>0</v>
      </c>
      <c r="BA20" s="607">
        <f>IF(AZ$9&gt;0, IF(OR(AZ20="",AZ20="-"), 0, AZ20*$AT20), AY20*$AJ20)</f>
        <v>0</v>
      </c>
      <c r="BB20" s="589">
        <f>[1]COMMANDE!S18</f>
        <v>0</v>
      </c>
      <c r="BC20" s="586" t="str">
        <f>_xlfn.IFS(AND($AI20=$AM20,$AI20&gt;0,$AM20&gt;0,BB20&gt;0), BB20,     AND(NOT($AI20=$AM20),$AI20&gt;0,$AM20&gt;0,BB20&gt;0), ($AM20*BB20)/$AI20,     AND($AI20=0,$AM20&gt;0,$AQ20&gt;0), IF(INDEX(BB$12:BB$263,MATCH($AQ20,$AP$12:$AP$263,0))&gt;0,($AM20*INDEX(BB$12:BB$263,MATCH($AQ20,$AP$12:$AP$263,0)))/INDEX($AI$12:$AI$263,MATCH($AQ20,$AP$12:$AP$263,0)), "-"),     TRUE, "0")</f>
        <v>0</v>
      </c>
      <c r="BD20" s="588">
        <f>IF(BC$9&gt;0, IF(OR(BC20="",BC20="-"), 0, BC20*$AT20), BB20*$AJ20)</f>
        <v>0</v>
      </c>
      <c r="BE20" s="587">
        <f>[1]COMMANDE!U18</f>
        <v>0</v>
      </c>
      <c r="BF20" s="586" t="str">
        <f>_xlfn.IFS(AND($AI20=$AM20,$AI20&gt;0,$AM20&gt;0,BE20&gt;0), BE20,     AND(NOT($AI20=$AM20),$AI20&gt;0,$AM20&gt;0,BE20&gt;0), ($AM20*BE20)/$AI20,     AND($AI20=0,$AM20&gt;0,$AQ20&gt;0), IF(INDEX(BE$12:BE$263,MATCH($AQ20,$AP$12:$AP$263,0))&gt;0,($AM20*INDEX(BE$12:BE$263,MATCH($AQ20,$AP$12:$AP$263,0)))/INDEX($AI$12:$AI$263,MATCH($AQ20,$AP$12:$AP$263,0)), "-"),     TRUE, "0")</f>
        <v>0</v>
      </c>
      <c r="BG20" s="607">
        <f>IF(BF$9&gt;0, IF(OR(BF20="",BF20="-"), 0, BF20*$AT20), BE20*$AJ20)</f>
        <v>0</v>
      </c>
      <c r="BH20" s="589">
        <f>[1]COMMANDE!W18</f>
        <v>0</v>
      </c>
      <c r="BI20" s="586" t="str">
        <f>_xlfn.IFS(AND($AI20=$AM20,$AI20&gt;0,$AM20&gt;0,BH20&gt;0), BH20,     AND(NOT($AI20=$AM20),$AI20&gt;0,$AM20&gt;0,BH20&gt;0), ($AM20*BH20)/$AI20,     AND($AI20=0,$AM20&gt;0,$AQ20&gt;0), IF(INDEX(BH$12:BH$263,MATCH($AQ20,$AP$12:$AP$263,0))&gt;0,($AM20*INDEX(BH$12:BH$263,MATCH($AQ20,$AP$12:$AP$263,0)))/INDEX($AI$12:$AI$263,MATCH($AQ20,$AP$12:$AP$263,0)), "-"),     TRUE, "0")</f>
        <v>0</v>
      </c>
      <c r="BJ20" s="588">
        <f>IF(BI$9&gt;0, IF(OR(BI20="",BI20="-"), 0, BI20*$AT20), BH20*$AJ20)</f>
        <v>0</v>
      </c>
      <c r="BK20" s="587">
        <f>[1]COMMANDE!Y18</f>
        <v>0</v>
      </c>
      <c r="BL20" s="586" t="str">
        <f>_xlfn.IFS(AND($AI20=$AM20,$AI20&gt;0,$AM20&gt;0,BK20&gt;0), BK20,     AND(NOT($AI20=$AM20),$AI20&gt;0,$AM20&gt;0,BK20&gt;0), ($AM20*BK20)/$AI20,     AND($AI20=0,$AM20&gt;0,$AQ20&gt;0), IF(INDEX(BK$12:BK$263,MATCH($AQ20,$AP$12:$AP$263,0))&gt;0,($AM20*INDEX(BK$12:BK$263,MATCH($AQ20,$AP$12:$AP$263,0)))/INDEX($AI$12:$AI$263,MATCH($AQ20,$AP$12:$AP$263,0)), "-"),     TRUE, "0")</f>
        <v>0</v>
      </c>
      <c r="BM20" s="607">
        <f>IF(BL$9&gt;0, IF(OR(BL20="",BL20="-"), 0, BL20*$AT20), BK20*$AJ20)</f>
        <v>0</v>
      </c>
      <c r="BN20" s="589">
        <f>[1]COMMANDE!AA18</f>
        <v>0</v>
      </c>
      <c r="BO20" s="586" t="str">
        <f>_xlfn.IFS(AND($AI20=$AM20,$AI20&gt;0,$AM20&gt;0,BN20&gt;0), BN20,     AND(NOT($AI20=$AM20),$AI20&gt;0,$AM20&gt;0,BN20&gt;0), ($AM20*BN20)/$AI20,     AND($AI20=0,$AM20&gt;0,$AQ20&gt;0), IF(INDEX(BN$12:BN$263,MATCH($AQ20,$AP$12:$AP$263,0))&gt;0,($AM20*INDEX(BN$12:BN$263,MATCH($AQ20,$AP$12:$AP$263,0)))/INDEX($AI$12:$AI$263,MATCH($AQ20,$AP$12:$AP$263,0)), "-"),     TRUE, "0")</f>
        <v>0</v>
      </c>
      <c r="BP20" s="588">
        <f>IF(BO$9&gt;0, IF(OR(BO20="",BO20="-"), 0, BO20*$AT20), BN20*$AJ20)</f>
        <v>0</v>
      </c>
      <c r="BQ20" s="587">
        <f>[1]COMMANDE!AC18</f>
        <v>0</v>
      </c>
      <c r="BR20" s="586" t="str">
        <f>_xlfn.IFS(AND($AI20=$AM20,$AI20&gt;0,$AM20&gt;0,BQ20&gt;0), BQ20,     AND(NOT($AI20=$AM20),$AI20&gt;0,$AM20&gt;0,BQ20&gt;0), ($AM20*BQ20)/$AI20,     AND($AI20=0,$AM20&gt;0,$AQ20&gt;0), IF(INDEX(BQ$12:BQ$263,MATCH($AQ20,$AP$12:$AP$263,0))&gt;0,($AM20*INDEX(BQ$12:BQ$263,MATCH($AQ20,$AP$12:$AP$263,0)))/INDEX($AI$12:$AI$263,MATCH($AQ20,$AP$12:$AP$263,0)), "-"),     TRUE, "0")</f>
        <v>0</v>
      </c>
      <c r="BS20" s="607">
        <f>IF(BR$9&gt;0, IF(OR(BR20="",BR20="-"), 0, BR20*$AT20), BQ20*$AJ20)</f>
        <v>0</v>
      </c>
      <c r="BT20" s="589">
        <f>[1]COMMANDE!AE18</f>
        <v>0</v>
      </c>
      <c r="BU20" s="586" t="str">
        <f>_xlfn.IFS(AND($AI20=$AM20,$AI20&gt;0,$AM20&gt;0,BT20&gt;0), BT20,     AND(NOT($AI20=$AM20),$AI20&gt;0,$AM20&gt;0,BT20&gt;0), ($AM20*BT20)/$AI20,     AND($AI20=0,$AM20&gt;0,$AQ20&gt;0), IF(INDEX(BT$12:BT$263,MATCH($AQ20,$AP$12:$AP$263,0))&gt;0,($AM20*INDEX(BT$12:BT$263,MATCH($AQ20,$AP$12:$AP$263,0)))/INDEX($AI$12:$AI$263,MATCH($AQ20,$AP$12:$AP$263,0)), "-"),     TRUE, "0")</f>
        <v>0</v>
      </c>
      <c r="BV20" s="588">
        <f>IF(BU$9&gt;0, IF(OR(BU20="",BU20="-"), 0, BU20*$AT20), BT20*$AJ20)</f>
        <v>0</v>
      </c>
      <c r="BW20" s="587">
        <f>[1]COMMANDE!AG18</f>
        <v>0</v>
      </c>
      <c r="BX20" s="586" t="str">
        <f>_xlfn.IFS(AND($AI20=$AM20,$AI20&gt;0,$AM20&gt;0,BW20&gt;0), BW20,     AND(NOT($AI20=$AM20),$AI20&gt;0,$AM20&gt;0,BW20&gt;0), ($AM20*BW20)/$AI20,     AND($AI20=0,$AM20&gt;0,$AQ20&gt;0), IF(INDEX(BW$12:BW$263,MATCH($AQ20,$AP$12:$AP$263,0))&gt;0,($AM20*INDEX(BW$12:BW$263,MATCH($AQ20,$AP$12:$AP$263,0)))/INDEX($AI$12:$AI$263,MATCH($AQ20,$AP$12:$AP$263,0)), "-"),     TRUE, "0")</f>
        <v>0</v>
      </c>
      <c r="BY20" s="607">
        <f>IF(BX$9&gt;0, IF(OR(BX20="",BX20="-"), 0, BX20*$AT20), BW20*$AJ20)</f>
        <v>0</v>
      </c>
      <c r="BZ20" s="589">
        <f>[1]COMMANDE!AI18</f>
        <v>0</v>
      </c>
      <c r="CA20" s="586" t="str">
        <f>_xlfn.IFS(AND($AI20=$AM20,$AI20&gt;0,$AM20&gt;0,BZ20&gt;0), BZ20,     AND(NOT($AI20=$AM20),$AI20&gt;0,$AM20&gt;0,BZ20&gt;0), ($AM20*BZ20)/$AI20,     AND($AI20=0,$AM20&gt;0,$AQ20&gt;0), IF(INDEX(BZ$12:BZ$263,MATCH($AQ20,$AP$12:$AP$263,0))&gt;0,($AM20*INDEX(BZ$12:BZ$263,MATCH($AQ20,$AP$12:$AP$263,0)))/INDEX($AI$12:$AI$263,MATCH($AQ20,$AP$12:$AP$263,0)), "-"),     TRUE, "0")</f>
        <v>0</v>
      </c>
      <c r="CB20" s="588">
        <f>IF(CA$9&gt;0, IF(OR(CA20="",CA20="-"), 0, CA20*$AT20), BZ20*$AJ20)</f>
        <v>0</v>
      </c>
      <c r="CC20" s="587">
        <f>[1]COMMANDE!AK18</f>
        <v>0</v>
      </c>
      <c r="CD20" s="586" t="str">
        <f>_xlfn.IFS(AND($AI20=$AM20,$AI20&gt;0,$AM20&gt;0,CC20&gt;0), CC20,     AND(NOT($AI20=$AM20),$AI20&gt;0,$AM20&gt;0,CC20&gt;0), ($AM20*CC20)/$AI20,     AND($AI20=0,$AM20&gt;0,$AQ20&gt;0), IF(INDEX(CC$12:CC$263,MATCH($AQ20,$AP$12:$AP$263,0))&gt;0,($AM20*INDEX(CC$12:CC$263,MATCH($AQ20,$AP$12:$AP$263,0)))/INDEX($AI$12:$AI$263,MATCH($AQ20,$AP$12:$AP$263,0)), "-"),     TRUE, "0")</f>
        <v>0</v>
      </c>
      <c r="CE20" s="607">
        <f>IF(CD$9&gt;0, IF(OR(CD20="",CD20="-"), 0, CD20*$AT20), CC20*$AJ20)</f>
        <v>0</v>
      </c>
      <c r="CF20" s="589">
        <f>[1]COMMANDE!AM18</f>
        <v>0</v>
      </c>
      <c r="CG20" s="586" t="str">
        <f>_xlfn.IFS(AND($AI20=$AM20,$AI20&gt;0,$AM20&gt;0,CF20&gt;0), CF20,     AND(NOT($AI20=$AM20),$AI20&gt;0,$AM20&gt;0,CF20&gt;0), ($AM20*CF20)/$AI20,     AND($AI20=0,$AM20&gt;0,$AQ20&gt;0), IF(INDEX(CF$12:CF$263,MATCH($AQ20,$AP$12:$AP$263,0))&gt;0,($AM20*INDEX(CF$12:CF$263,MATCH($AQ20,$AP$12:$AP$263,0)))/INDEX($AI$12:$AI$263,MATCH($AQ20,$AP$12:$AP$263,0)), "-"),     TRUE, "0")</f>
        <v>0</v>
      </c>
      <c r="CH20" s="588">
        <f>IF(CG$9&gt;0, IF(OR(CG20="",CG20="-"), 0, CG20*$AT20), CF20*$AJ20)</f>
        <v>0</v>
      </c>
      <c r="CI20" s="587">
        <f>[1]COMMANDE!AO18</f>
        <v>0</v>
      </c>
      <c r="CJ20" s="586" t="str">
        <f>_xlfn.IFS(AND($AI20=$AM20,$AI20&gt;0,$AM20&gt;0,CI20&gt;0), CI20,     AND(NOT($AI20=$AM20),$AI20&gt;0,$AM20&gt;0,CI20&gt;0), ($AM20*CI20)/$AI20,     AND($AI20=0,$AM20&gt;0,$AQ20&gt;0), IF(INDEX(CI$12:CI$263,MATCH($AQ20,$AP$12:$AP$263,0))&gt;0,($AM20*INDEX(CI$12:CI$263,MATCH($AQ20,$AP$12:$AP$263,0)))/INDEX($AI$12:$AI$263,MATCH($AQ20,$AP$12:$AP$263,0)), "-"),     TRUE, "0")</f>
        <v>0</v>
      </c>
      <c r="CK20" s="607">
        <f>IF(CJ$9&gt;0, IF(OR(CJ20="",CJ20="-"), 0, CJ20*$AT20), CI20*$AJ20)</f>
        <v>0</v>
      </c>
      <c r="CL20" s="589">
        <f>[1]COMMANDE!AQ18</f>
        <v>0</v>
      </c>
      <c r="CM20" s="586" t="str">
        <f>_xlfn.IFS(AND($AI20=$AM20,$AI20&gt;0,$AM20&gt;0,CL20&gt;0), CL20,     AND(NOT($AI20=$AM20),$AI20&gt;0,$AM20&gt;0,CL20&gt;0), ($AM20*CL20)/$AI20,     AND($AI20=0,$AM20&gt;0,$AQ20&gt;0), IF(INDEX(CL$12:CL$263,MATCH($AQ20,$AP$12:$AP$263,0))&gt;0,($AM20*INDEX(CL$12:CL$263,MATCH($AQ20,$AP$12:$AP$263,0)))/INDEX($AI$12:$AI$263,MATCH($AQ20,$AP$12:$AP$263,0)), "-"),     TRUE, "0")</f>
        <v>0</v>
      </c>
      <c r="CN20" s="588">
        <f>IF(CM$9&gt;0, IF(OR(CM20="",CM20="-"), 0, CM20*$AT20), CL20*$AJ20)</f>
        <v>0</v>
      </c>
      <c r="CO20" s="587">
        <f>[1]COMMANDE!AS18</f>
        <v>0</v>
      </c>
      <c r="CP20" s="586" t="str">
        <f>_xlfn.IFS(AND($AI20=$AM20,$AI20&gt;0,$AM20&gt;0,CO20&gt;0), CO20,     AND(NOT($AI20=$AM20),$AI20&gt;0,$AM20&gt;0,CO20&gt;0), ($AM20*CO20)/$AI20,     AND($AI20=0,$AM20&gt;0,$AQ20&gt;0), IF(INDEX(CO$12:CO$263,MATCH($AQ20,$AP$12:$AP$263,0))&gt;0,($AM20*INDEX(CO$12:CO$263,MATCH($AQ20,$AP$12:$AP$263,0)))/INDEX($AI$12:$AI$263,MATCH($AQ20,$AP$12:$AP$263,0)), "-"),     TRUE, "0")</f>
        <v>0</v>
      </c>
      <c r="CQ20" s="607">
        <f>IF(CP$9&gt;0, IF(OR(CP20="",CP20="-"), 0, CP20*$AT20), CO20*$AJ20)</f>
        <v>0</v>
      </c>
      <c r="CR20" s="589">
        <f>[1]COMMANDE!AU18</f>
        <v>0</v>
      </c>
      <c r="CS20" s="586" t="str">
        <f>_xlfn.IFS(AND($AI20=$AM20,$AI20&gt;0,$AM20&gt;0,CR20&gt;0), CR20,     AND(NOT($AI20=$AM20),$AI20&gt;0,$AM20&gt;0,CR20&gt;0), ($AM20*CR20)/$AI20,     AND($AI20=0,$AM20&gt;0,$AQ20&gt;0), IF(INDEX(CR$12:CR$263,MATCH($AQ20,$AP$12:$AP$263,0))&gt;0,($AM20*INDEX(CR$12:CR$263,MATCH($AQ20,$AP$12:$AP$263,0)))/INDEX($AI$12:$AI$263,MATCH($AQ20,$AP$12:$AP$263,0)), "-"),     TRUE, "0")</f>
        <v>0</v>
      </c>
      <c r="CT20" s="588">
        <f>IF(CS$9&gt;0, IF(OR(CS20="",CS20="-"), 0, CS20*$AT20), CR20*$AJ20)</f>
        <v>0</v>
      </c>
      <c r="CU20" s="587">
        <f>[1]COMMANDE!AW18</f>
        <v>0</v>
      </c>
      <c r="CV20" s="586" t="str">
        <f>_xlfn.IFS(AND($AI20=$AM20,$AI20&gt;0,$AM20&gt;0,CU20&gt;0), CU20,     AND(NOT($AI20=$AM20),$AI20&gt;0,$AM20&gt;0,CU20&gt;0), ($AM20*CU20)/$AI20,     AND($AI20=0,$AM20&gt;0,$AQ20&gt;0), IF(INDEX(CU$12:CU$263,MATCH($AQ20,$AP$12:$AP$263,0))&gt;0,($AM20*INDEX(CU$12:CU$263,MATCH($AQ20,$AP$12:$AP$263,0)))/INDEX($AI$12:$AI$263,MATCH($AQ20,$AP$12:$AP$263,0)), "-"),     TRUE, "0")</f>
        <v>0</v>
      </c>
      <c r="CW20" s="607">
        <f>IF(CV$9&gt;0, IF(OR(CV20="",CV20="-"), 0, CV20*$AT20), CU20*$AJ20)</f>
        <v>0</v>
      </c>
      <c r="CX20" s="589">
        <f>[1]COMMANDE!AY18</f>
        <v>0</v>
      </c>
      <c r="CY20" s="586" t="str">
        <f>_xlfn.IFS(AND($AI20=$AM20,$AI20&gt;0,$AM20&gt;0,CX20&gt;0), CX20,     AND(NOT($AI20=$AM20),$AI20&gt;0,$AM20&gt;0,CX20&gt;0), ($AM20*CX20)/$AI20,     AND($AI20=0,$AM20&gt;0,$AQ20&gt;0), IF(INDEX(CX$12:CX$263,MATCH($AQ20,$AP$12:$AP$263,0))&gt;0,($AM20*INDEX(CX$12:CX$263,MATCH($AQ20,$AP$12:$AP$263,0)))/INDEX($AI$12:$AI$263,MATCH($AQ20,$AP$12:$AP$263,0)), "-"),     TRUE, "0")</f>
        <v>0</v>
      </c>
      <c r="CZ20" s="588">
        <f>IF(CY$9&gt;0, IF(OR(CY20="",CY20="-"), 0, CY20*$AT20), CX20*$AJ20)</f>
        <v>0</v>
      </c>
      <c r="DA20" s="587">
        <f>[1]COMMANDE!BA18</f>
        <v>0</v>
      </c>
      <c r="DB20" s="586" t="str">
        <f>_xlfn.IFS(AND($AI20=$AM20,$AI20&gt;0,$AM20&gt;0,DA20&gt;0), DA20,     AND(NOT($AI20=$AM20),$AI20&gt;0,$AM20&gt;0,DA20&gt;0), ($AM20*DA20)/$AI20,     AND($AI20=0,$AM20&gt;0,$AQ20&gt;0), IF(INDEX(DA$12:DA$263,MATCH($AQ20,$AP$12:$AP$263,0))&gt;0,($AM20*INDEX(DA$12:DA$263,MATCH($AQ20,$AP$12:$AP$263,0)))/INDEX($AI$12:$AI$263,MATCH($AQ20,$AP$12:$AP$263,0)), "-"),     TRUE, "0")</f>
        <v>0</v>
      </c>
      <c r="DC20" s="606">
        <f>IF(DB$9&gt;0, IF(OR(DB20="",DB20="-"), 0, DB20*$AT20), DA20*$AJ20)</f>
        <v>0</v>
      </c>
      <c r="DD20" s="584"/>
      <c r="DE20" s="583"/>
    </row>
    <row r="21" spans="1:109" ht="39.950000000000003" hidden="1" customHeight="1">
      <c r="A21" s="604">
        <f>IF(OR($AV21&gt;0, $AX21&gt;0), 1, 0)</f>
        <v>0</v>
      </c>
      <c r="B21" s="604">
        <f>IF(OR($AY21&gt;0, $BA21&gt;0), 1, 0)</f>
        <v>0</v>
      </c>
      <c r="C21" s="604">
        <f>IF(OR($BB21&gt;0, $BD21&gt;0), 1, 0)</f>
        <v>0</v>
      </c>
      <c r="D21" s="604">
        <f>IF(OR($BE21&gt;0, $BG21&gt;0), 1, 0)</f>
        <v>0</v>
      </c>
      <c r="E21" s="604">
        <f>IF(OR($BH21&gt;0, $BJ21&gt;0), 1, 0)</f>
        <v>0</v>
      </c>
      <c r="F21" s="604">
        <f>IF(OR($BK21&gt;0, $BM21&gt;0), 1, 0)</f>
        <v>0</v>
      </c>
      <c r="G21" s="604">
        <f>IF(OR($BN21&gt;0, $BP21&gt;0), 1, 0)</f>
        <v>0</v>
      </c>
      <c r="H21" s="604">
        <f>IF(OR($BQ21&gt;0, $BS21&gt;0), 1, 0)</f>
        <v>0</v>
      </c>
      <c r="I21" s="604">
        <f>IF(OR($BT21&gt;0, $BV21&gt;0), 1, 0)</f>
        <v>0</v>
      </c>
      <c r="J21" s="604">
        <f>IF(OR($BW21&gt;0, $BY21&gt;0), 1, 0)</f>
        <v>0</v>
      </c>
      <c r="K21" s="604">
        <f>IF(OR($BZ21&gt;0, $CB21&gt;0), 1, 0)</f>
        <v>0</v>
      </c>
      <c r="L21" s="604">
        <f>IF(OR($CC21&gt;0, $CE21&gt;0), 1, 0)</f>
        <v>0</v>
      </c>
      <c r="M21" s="604">
        <f>IF(OR($CF21&gt;0, $CH21&gt;0), 1, 0)</f>
        <v>0</v>
      </c>
      <c r="N21" s="604">
        <f>IF(OR($CI21&gt;0, $CK21&gt;0), 1, 0)</f>
        <v>0</v>
      </c>
      <c r="O21" s="604">
        <f>IF(OR($CL21&gt;0, $CN21&gt;0), 1, 0)</f>
        <v>0</v>
      </c>
      <c r="P21" s="604">
        <f>IF(OR($CO21&gt;0, $CQ21&gt;0), 1, 0)</f>
        <v>0</v>
      </c>
      <c r="Q21" s="604">
        <f>IF(OR($CR21&gt;0, $CT21&gt;0), 1, 0)</f>
        <v>0</v>
      </c>
      <c r="R21" s="604">
        <f>IF(OR($CU21&gt;0, $CW21&gt;0), 1, 0)</f>
        <v>0</v>
      </c>
      <c r="S21" s="604">
        <f>IF(OR($CX21&gt;0, $CZ21&gt;0), 1, 0)</f>
        <v>0</v>
      </c>
      <c r="T21" s="604">
        <f>IF(OR($DA21&gt;0, $DC21&gt;0), 1, 0)</f>
        <v>0</v>
      </c>
      <c r="U21" s="603">
        <f>IF(OR($AI21&gt;0,$AM21&gt;0,$AS21&gt;0), 1, 0)</f>
        <v>0</v>
      </c>
      <c r="V21" s="602">
        <f>[1]BDD!A11</f>
        <v>1096</v>
      </c>
      <c r="W21" s="601" t="str">
        <f>[1]BDD!B11</f>
        <v>Algue Nori entière déshydratées BIO (env. 1kg)</v>
      </c>
      <c r="X21" s="600" t="str">
        <f>IF([1]BDD!F11=0, "", [1]BDD!F11)</f>
        <v>❤️</v>
      </c>
      <c r="Y21" s="542">
        <f>ROUND([1]BDD!G11+FDP_CMD_KG, 2)</f>
        <v>54.27</v>
      </c>
      <c r="Z21" s="542">
        <f>ROUND([1]BDD!G11+FDP_FACT_KG, 2)</f>
        <v>54.27</v>
      </c>
      <c r="AA21" s="543" t="str">
        <f>[1]BDD!H11</f>
        <v>Pièce</v>
      </c>
      <c r="AB21" s="544" t="str">
        <f>IF(NOT(ISBLANK([1]BDD!I11)), ROUND(SUM(([1]BDD!G11*reduc1),FDP_CMD_KG), 2), "")</f>
        <v/>
      </c>
      <c r="AC21" s="544" t="str">
        <f>IF(NOT(ISBLANK([1]BDD!J11)), ROUND(SUM(([1]BDD!G11*reduc2),FDP_CMD_KG), 2), "")</f>
        <v/>
      </c>
      <c r="AD21" s="544" t="str">
        <f>IF(NOT(ISBLANK([1]BDD!K11)), ROUND(SUM(([1]BDD!G11*reduc3),FDP_CMD_KG), 2), "")</f>
        <v/>
      </c>
      <c r="AE21" s="544" t="str">
        <f>IF(NOT(ISBLANK([1]BDD!I11)), ROUND(SUM(([1]BDD!G11*reduc1),FDP_FACT_KG), 2), "")</f>
        <v/>
      </c>
      <c r="AF21" s="544" t="str">
        <f>IF(NOT(ISBLANK([1]BDD!J11)), ROUND(SUM(([1]BDD!G11*reduc2),FDP_FACT_KG), 2), "")</f>
        <v/>
      </c>
      <c r="AG21" s="544" t="str">
        <f>IF(NOT(ISBLANK([1]BDD!K11)), ROUND(SUM(([1]BDD!G11*reduc3),FDP_FACT_KG), 2), "")</f>
        <v/>
      </c>
      <c r="AH21" s="599" t="str">
        <f>[1]BDD!C11</f>
        <v>Galice</v>
      </c>
      <c r="AI21" s="598">
        <f>SUM(AV21,AY21,BB21,BE21,BH21,BK21,BN21,BQ21,BT21,BW21,BZ21,CC21,CF21,CI21,CL21,CO21,CR21,CU21,CX21,DA21)</f>
        <v>0</v>
      </c>
      <c r="AJ21" s="545">
        <f>_xlfn.IFS($AD21&lt;&gt;"", $AD21,    $AC21&lt;&gt;"", $AC21,    $AB21&lt;&gt;"", $AB21,    TRUE, $Y21)</f>
        <v>54.27</v>
      </c>
      <c r="AK21" s="592">
        <f>$AI21*$AJ21</f>
        <v>0</v>
      </c>
      <c r="AL21" s="594"/>
      <c r="AM21" s="597"/>
      <c r="AN21" s="545">
        <f>_xlfn.IFS(AND(AM21&gt;=60,$AG21&lt;&gt;""), $AG21,    AND(AM21&gt;=30,$AF21&lt;&gt;""), $AF21,    AND(AM21&gt;=10,$AE21&lt;&gt;""), $AE21,    TRUE, $Z21)</f>
        <v>54.27</v>
      </c>
      <c r="AO21" s="596">
        <f>AM21*AN21</f>
        <v>0</v>
      </c>
      <c r="AP21" s="595"/>
      <c r="AQ21" s="595"/>
      <c r="AR21" s="594"/>
      <c r="AS21" s="593">
        <f>SUM(AW21,AZ21,BC21,BF21,BI21,BL21,BO21,BR21,BU21,BX21,CA21,CD21,CG21,CJ21,CM21,CP21,CS21,CV21,CY21,DB21)</f>
        <v>0</v>
      </c>
      <c r="AT21" s="545">
        <f>_xlfn.IFS(AND(AS21&gt;=60,$AG21&lt;&gt;""), $AG21,    AND(AS21&gt;=30,$AF21&lt;&gt;""), $AF21,    AND(AS21&gt;=10,$AE21&lt;&gt;""), $AE21,    TRUE, $Z21)</f>
        <v>54.27</v>
      </c>
      <c r="AU21" s="592">
        <f>$AS21*$AT21</f>
        <v>0</v>
      </c>
      <c r="AV21" s="591">
        <f>[1]COMMANDE!O19</f>
        <v>0</v>
      </c>
      <c r="AW21" s="586" t="str">
        <f>_xlfn.IFS(AND($AI21=$AM21,$AI21&gt;0,$AM21&gt;0,AV21&gt;0), AV21,     AND(NOT($AI21=$AM21),$AI21&gt;0,$AM21&gt;0,AV21&gt;0), ($AM21*AV21)/$AI21,     AND($AI21=0,$AM21&gt;0,$AQ21&gt;0), IF(INDEX(AV$12:AV$263,MATCH($AQ21,$AP$12:$AP$263,0))&gt;0,($AM21*INDEX(AV$12:AV$263,MATCH($AQ21,$AP$12:$AP$263,0)))/INDEX($AI$12:$AI$263,MATCH($AQ21,$AP$12:$AP$263,0)), "-"),     TRUE, "0")</f>
        <v>0</v>
      </c>
      <c r="AX21" s="588">
        <f>IF(AW$9&gt;0, IF(OR(AW21="",AW21="-"), 0, AW21*$AT21), AV21*$AJ21)</f>
        <v>0</v>
      </c>
      <c r="AY21" s="587">
        <f>[1]COMMANDE!Q19</f>
        <v>0</v>
      </c>
      <c r="AZ21" s="586" t="str">
        <f>_xlfn.IFS(AND($AI21=$AM21,$AI21&gt;0,$AM21&gt;0,AY21&gt;0), AY21,     AND(NOT($AI21=$AM21),$AI21&gt;0,$AM21&gt;0,AY21&gt;0), ($AM21*AY21)/$AI21,     AND($AI21=0,$AM21&gt;0,$AQ21&gt;0), IF(INDEX(AY$12:AY$263,MATCH($AQ21,$AP$12:$AP$263,0))&gt;0,($AM21*INDEX(AY$12:AY$263,MATCH($AQ21,$AP$12:$AP$263,0)))/INDEX($AI$12:$AI$263,MATCH($AQ21,$AP$12:$AP$263,0)), "-"),     TRUE, "0")</f>
        <v>0</v>
      </c>
      <c r="BA21" s="607">
        <f>IF(AZ$9&gt;0, IF(OR(AZ21="",AZ21="-"), 0, AZ21*$AT21), AY21*$AJ21)</f>
        <v>0</v>
      </c>
      <c r="BB21" s="589">
        <f>[1]COMMANDE!S19</f>
        <v>0</v>
      </c>
      <c r="BC21" s="586" t="str">
        <f>_xlfn.IFS(AND($AI21=$AM21,$AI21&gt;0,$AM21&gt;0,BB21&gt;0), BB21,     AND(NOT($AI21=$AM21),$AI21&gt;0,$AM21&gt;0,BB21&gt;0), ($AM21*BB21)/$AI21,     AND($AI21=0,$AM21&gt;0,$AQ21&gt;0), IF(INDEX(BB$12:BB$263,MATCH($AQ21,$AP$12:$AP$263,0))&gt;0,($AM21*INDEX(BB$12:BB$263,MATCH($AQ21,$AP$12:$AP$263,0)))/INDEX($AI$12:$AI$263,MATCH($AQ21,$AP$12:$AP$263,0)), "-"),     TRUE, "0")</f>
        <v>0</v>
      </c>
      <c r="BD21" s="588">
        <f>IF(BC$9&gt;0, IF(OR(BC21="",BC21="-"), 0, BC21*$AT21), BB21*$AJ21)</f>
        <v>0</v>
      </c>
      <c r="BE21" s="587">
        <f>[1]COMMANDE!U19</f>
        <v>0</v>
      </c>
      <c r="BF21" s="586" t="str">
        <f>_xlfn.IFS(AND($AI21=$AM21,$AI21&gt;0,$AM21&gt;0,BE21&gt;0), BE21,     AND(NOT($AI21=$AM21),$AI21&gt;0,$AM21&gt;0,BE21&gt;0), ($AM21*BE21)/$AI21,     AND($AI21=0,$AM21&gt;0,$AQ21&gt;0), IF(INDEX(BE$12:BE$263,MATCH($AQ21,$AP$12:$AP$263,0))&gt;0,($AM21*INDEX(BE$12:BE$263,MATCH($AQ21,$AP$12:$AP$263,0)))/INDEX($AI$12:$AI$263,MATCH($AQ21,$AP$12:$AP$263,0)), "-"),     TRUE, "0")</f>
        <v>0</v>
      </c>
      <c r="BG21" s="607">
        <f>IF(BF$9&gt;0, IF(OR(BF21="",BF21="-"), 0, BF21*$AT21), BE21*$AJ21)</f>
        <v>0</v>
      </c>
      <c r="BH21" s="589">
        <f>[1]COMMANDE!W19</f>
        <v>0</v>
      </c>
      <c r="BI21" s="586" t="str">
        <f>_xlfn.IFS(AND($AI21=$AM21,$AI21&gt;0,$AM21&gt;0,BH21&gt;0), BH21,     AND(NOT($AI21=$AM21),$AI21&gt;0,$AM21&gt;0,BH21&gt;0), ($AM21*BH21)/$AI21,     AND($AI21=0,$AM21&gt;0,$AQ21&gt;0), IF(INDEX(BH$12:BH$263,MATCH($AQ21,$AP$12:$AP$263,0))&gt;0,($AM21*INDEX(BH$12:BH$263,MATCH($AQ21,$AP$12:$AP$263,0)))/INDEX($AI$12:$AI$263,MATCH($AQ21,$AP$12:$AP$263,0)), "-"),     TRUE, "0")</f>
        <v>0</v>
      </c>
      <c r="BJ21" s="588">
        <f>IF(BI$9&gt;0, IF(OR(BI21="",BI21="-"), 0, BI21*$AT21), BH21*$AJ21)</f>
        <v>0</v>
      </c>
      <c r="BK21" s="587">
        <f>[1]COMMANDE!Y19</f>
        <v>0</v>
      </c>
      <c r="BL21" s="586" t="str">
        <f>_xlfn.IFS(AND($AI21=$AM21,$AI21&gt;0,$AM21&gt;0,BK21&gt;0), BK21,     AND(NOT($AI21=$AM21),$AI21&gt;0,$AM21&gt;0,BK21&gt;0), ($AM21*BK21)/$AI21,     AND($AI21=0,$AM21&gt;0,$AQ21&gt;0), IF(INDEX(BK$12:BK$263,MATCH($AQ21,$AP$12:$AP$263,0))&gt;0,($AM21*INDEX(BK$12:BK$263,MATCH($AQ21,$AP$12:$AP$263,0)))/INDEX($AI$12:$AI$263,MATCH($AQ21,$AP$12:$AP$263,0)), "-"),     TRUE, "0")</f>
        <v>0</v>
      </c>
      <c r="BM21" s="607">
        <f>IF(BL$9&gt;0, IF(OR(BL21="",BL21="-"), 0, BL21*$AT21), BK21*$AJ21)</f>
        <v>0</v>
      </c>
      <c r="BN21" s="589">
        <f>[1]COMMANDE!AA19</f>
        <v>0</v>
      </c>
      <c r="BO21" s="586" t="str">
        <f>_xlfn.IFS(AND($AI21=$AM21,$AI21&gt;0,$AM21&gt;0,BN21&gt;0), BN21,     AND(NOT($AI21=$AM21),$AI21&gt;0,$AM21&gt;0,BN21&gt;0), ($AM21*BN21)/$AI21,     AND($AI21=0,$AM21&gt;0,$AQ21&gt;0), IF(INDEX(BN$12:BN$263,MATCH($AQ21,$AP$12:$AP$263,0))&gt;0,($AM21*INDEX(BN$12:BN$263,MATCH($AQ21,$AP$12:$AP$263,0)))/INDEX($AI$12:$AI$263,MATCH($AQ21,$AP$12:$AP$263,0)), "-"),     TRUE, "0")</f>
        <v>0</v>
      </c>
      <c r="BP21" s="588">
        <f>IF(BO$9&gt;0, IF(OR(BO21="",BO21="-"), 0, BO21*$AT21), BN21*$AJ21)</f>
        <v>0</v>
      </c>
      <c r="BQ21" s="587">
        <f>[1]COMMANDE!AC19</f>
        <v>0</v>
      </c>
      <c r="BR21" s="586" t="str">
        <f>_xlfn.IFS(AND($AI21=$AM21,$AI21&gt;0,$AM21&gt;0,BQ21&gt;0), BQ21,     AND(NOT($AI21=$AM21),$AI21&gt;0,$AM21&gt;0,BQ21&gt;0), ($AM21*BQ21)/$AI21,     AND($AI21=0,$AM21&gt;0,$AQ21&gt;0), IF(INDEX(BQ$12:BQ$263,MATCH($AQ21,$AP$12:$AP$263,0))&gt;0,($AM21*INDEX(BQ$12:BQ$263,MATCH($AQ21,$AP$12:$AP$263,0)))/INDEX($AI$12:$AI$263,MATCH($AQ21,$AP$12:$AP$263,0)), "-"),     TRUE, "0")</f>
        <v>0</v>
      </c>
      <c r="BS21" s="607">
        <f>IF(BR$9&gt;0, IF(OR(BR21="",BR21="-"), 0, BR21*$AT21), BQ21*$AJ21)</f>
        <v>0</v>
      </c>
      <c r="BT21" s="589">
        <f>[1]COMMANDE!AE19</f>
        <v>0</v>
      </c>
      <c r="BU21" s="586" t="str">
        <f>_xlfn.IFS(AND($AI21=$AM21,$AI21&gt;0,$AM21&gt;0,BT21&gt;0), BT21,     AND(NOT($AI21=$AM21),$AI21&gt;0,$AM21&gt;0,BT21&gt;0), ($AM21*BT21)/$AI21,     AND($AI21=0,$AM21&gt;0,$AQ21&gt;0), IF(INDEX(BT$12:BT$263,MATCH($AQ21,$AP$12:$AP$263,0))&gt;0,($AM21*INDEX(BT$12:BT$263,MATCH($AQ21,$AP$12:$AP$263,0)))/INDEX($AI$12:$AI$263,MATCH($AQ21,$AP$12:$AP$263,0)), "-"),     TRUE, "0")</f>
        <v>0</v>
      </c>
      <c r="BV21" s="588">
        <f>IF(BU$9&gt;0, IF(OR(BU21="",BU21="-"), 0, BU21*$AT21), BT21*$AJ21)</f>
        <v>0</v>
      </c>
      <c r="BW21" s="587">
        <f>[1]COMMANDE!AG19</f>
        <v>0</v>
      </c>
      <c r="BX21" s="586" t="str">
        <f>_xlfn.IFS(AND($AI21=$AM21,$AI21&gt;0,$AM21&gt;0,BW21&gt;0), BW21,     AND(NOT($AI21=$AM21),$AI21&gt;0,$AM21&gt;0,BW21&gt;0), ($AM21*BW21)/$AI21,     AND($AI21=0,$AM21&gt;0,$AQ21&gt;0), IF(INDEX(BW$12:BW$263,MATCH($AQ21,$AP$12:$AP$263,0))&gt;0,($AM21*INDEX(BW$12:BW$263,MATCH($AQ21,$AP$12:$AP$263,0)))/INDEX($AI$12:$AI$263,MATCH($AQ21,$AP$12:$AP$263,0)), "-"),     TRUE, "0")</f>
        <v>0</v>
      </c>
      <c r="BY21" s="607">
        <f>IF(BX$9&gt;0, IF(OR(BX21="",BX21="-"), 0, BX21*$AT21), BW21*$AJ21)</f>
        <v>0</v>
      </c>
      <c r="BZ21" s="589">
        <f>[1]COMMANDE!AI19</f>
        <v>0</v>
      </c>
      <c r="CA21" s="586" t="str">
        <f>_xlfn.IFS(AND($AI21=$AM21,$AI21&gt;0,$AM21&gt;0,BZ21&gt;0), BZ21,     AND(NOT($AI21=$AM21),$AI21&gt;0,$AM21&gt;0,BZ21&gt;0), ($AM21*BZ21)/$AI21,     AND($AI21=0,$AM21&gt;0,$AQ21&gt;0), IF(INDEX(BZ$12:BZ$263,MATCH($AQ21,$AP$12:$AP$263,0))&gt;0,($AM21*INDEX(BZ$12:BZ$263,MATCH($AQ21,$AP$12:$AP$263,0)))/INDEX($AI$12:$AI$263,MATCH($AQ21,$AP$12:$AP$263,0)), "-"),     TRUE, "0")</f>
        <v>0</v>
      </c>
      <c r="CB21" s="588">
        <f>IF(CA$9&gt;0, IF(OR(CA21="",CA21="-"), 0, CA21*$AT21), BZ21*$AJ21)</f>
        <v>0</v>
      </c>
      <c r="CC21" s="587">
        <f>[1]COMMANDE!AK19</f>
        <v>0</v>
      </c>
      <c r="CD21" s="586" t="str">
        <f>_xlfn.IFS(AND($AI21=$AM21,$AI21&gt;0,$AM21&gt;0,CC21&gt;0), CC21,     AND(NOT($AI21=$AM21),$AI21&gt;0,$AM21&gt;0,CC21&gt;0), ($AM21*CC21)/$AI21,     AND($AI21=0,$AM21&gt;0,$AQ21&gt;0), IF(INDEX(CC$12:CC$263,MATCH($AQ21,$AP$12:$AP$263,0))&gt;0,($AM21*INDEX(CC$12:CC$263,MATCH($AQ21,$AP$12:$AP$263,0)))/INDEX($AI$12:$AI$263,MATCH($AQ21,$AP$12:$AP$263,0)), "-"),     TRUE, "0")</f>
        <v>0</v>
      </c>
      <c r="CE21" s="607">
        <f>IF(CD$9&gt;0, IF(OR(CD21="",CD21="-"), 0, CD21*$AT21), CC21*$AJ21)</f>
        <v>0</v>
      </c>
      <c r="CF21" s="589">
        <f>[1]COMMANDE!AM19</f>
        <v>0</v>
      </c>
      <c r="CG21" s="586" t="str">
        <f>_xlfn.IFS(AND($AI21=$AM21,$AI21&gt;0,$AM21&gt;0,CF21&gt;0), CF21,     AND(NOT($AI21=$AM21),$AI21&gt;0,$AM21&gt;0,CF21&gt;0), ($AM21*CF21)/$AI21,     AND($AI21=0,$AM21&gt;0,$AQ21&gt;0), IF(INDEX(CF$12:CF$263,MATCH($AQ21,$AP$12:$AP$263,0))&gt;0,($AM21*INDEX(CF$12:CF$263,MATCH($AQ21,$AP$12:$AP$263,0)))/INDEX($AI$12:$AI$263,MATCH($AQ21,$AP$12:$AP$263,0)), "-"),     TRUE, "0")</f>
        <v>0</v>
      </c>
      <c r="CH21" s="588">
        <f>IF(CG$9&gt;0, IF(OR(CG21="",CG21="-"), 0, CG21*$AT21), CF21*$AJ21)</f>
        <v>0</v>
      </c>
      <c r="CI21" s="587">
        <f>[1]COMMANDE!AO19</f>
        <v>0</v>
      </c>
      <c r="CJ21" s="586" t="str">
        <f>_xlfn.IFS(AND($AI21=$AM21,$AI21&gt;0,$AM21&gt;0,CI21&gt;0), CI21,     AND(NOT($AI21=$AM21),$AI21&gt;0,$AM21&gt;0,CI21&gt;0), ($AM21*CI21)/$AI21,     AND($AI21=0,$AM21&gt;0,$AQ21&gt;0), IF(INDEX(CI$12:CI$263,MATCH($AQ21,$AP$12:$AP$263,0))&gt;0,($AM21*INDEX(CI$12:CI$263,MATCH($AQ21,$AP$12:$AP$263,0)))/INDEX($AI$12:$AI$263,MATCH($AQ21,$AP$12:$AP$263,0)), "-"),     TRUE, "0")</f>
        <v>0</v>
      </c>
      <c r="CK21" s="607">
        <f>IF(CJ$9&gt;0, IF(OR(CJ21="",CJ21="-"), 0, CJ21*$AT21), CI21*$AJ21)</f>
        <v>0</v>
      </c>
      <c r="CL21" s="589">
        <f>[1]COMMANDE!AQ19</f>
        <v>0</v>
      </c>
      <c r="CM21" s="586" t="str">
        <f>_xlfn.IFS(AND($AI21=$AM21,$AI21&gt;0,$AM21&gt;0,CL21&gt;0), CL21,     AND(NOT($AI21=$AM21),$AI21&gt;0,$AM21&gt;0,CL21&gt;0), ($AM21*CL21)/$AI21,     AND($AI21=0,$AM21&gt;0,$AQ21&gt;0), IF(INDEX(CL$12:CL$263,MATCH($AQ21,$AP$12:$AP$263,0))&gt;0,($AM21*INDEX(CL$12:CL$263,MATCH($AQ21,$AP$12:$AP$263,0)))/INDEX($AI$12:$AI$263,MATCH($AQ21,$AP$12:$AP$263,0)), "-"),     TRUE, "0")</f>
        <v>0</v>
      </c>
      <c r="CN21" s="588">
        <f>IF(CM$9&gt;0, IF(OR(CM21="",CM21="-"), 0, CM21*$AT21), CL21*$AJ21)</f>
        <v>0</v>
      </c>
      <c r="CO21" s="587">
        <f>[1]COMMANDE!AS19</f>
        <v>0</v>
      </c>
      <c r="CP21" s="586" t="str">
        <f>_xlfn.IFS(AND($AI21=$AM21,$AI21&gt;0,$AM21&gt;0,CO21&gt;0), CO21,     AND(NOT($AI21=$AM21),$AI21&gt;0,$AM21&gt;0,CO21&gt;0), ($AM21*CO21)/$AI21,     AND($AI21=0,$AM21&gt;0,$AQ21&gt;0), IF(INDEX(CO$12:CO$263,MATCH($AQ21,$AP$12:$AP$263,0))&gt;0,($AM21*INDEX(CO$12:CO$263,MATCH($AQ21,$AP$12:$AP$263,0)))/INDEX($AI$12:$AI$263,MATCH($AQ21,$AP$12:$AP$263,0)), "-"),     TRUE, "0")</f>
        <v>0</v>
      </c>
      <c r="CQ21" s="607">
        <f>IF(CP$9&gt;0, IF(OR(CP21="",CP21="-"), 0, CP21*$AT21), CO21*$AJ21)</f>
        <v>0</v>
      </c>
      <c r="CR21" s="589">
        <f>[1]COMMANDE!AU19</f>
        <v>0</v>
      </c>
      <c r="CS21" s="586" t="str">
        <f>_xlfn.IFS(AND($AI21=$AM21,$AI21&gt;0,$AM21&gt;0,CR21&gt;0), CR21,     AND(NOT($AI21=$AM21),$AI21&gt;0,$AM21&gt;0,CR21&gt;0), ($AM21*CR21)/$AI21,     AND($AI21=0,$AM21&gt;0,$AQ21&gt;0), IF(INDEX(CR$12:CR$263,MATCH($AQ21,$AP$12:$AP$263,0))&gt;0,($AM21*INDEX(CR$12:CR$263,MATCH($AQ21,$AP$12:$AP$263,0)))/INDEX($AI$12:$AI$263,MATCH($AQ21,$AP$12:$AP$263,0)), "-"),     TRUE, "0")</f>
        <v>0</v>
      </c>
      <c r="CT21" s="588">
        <f>IF(CS$9&gt;0, IF(OR(CS21="",CS21="-"), 0, CS21*$AT21), CR21*$AJ21)</f>
        <v>0</v>
      </c>
      <c r="CU21" s="587">
        <f>[1]COMMANDE!AW19</f>
        <v>0</v>
      </c>
      <c r="CV21" s="586" t="str">
        <f>_xlfn.IFS(AND($AI21=$AM21,$AI21&gt;0,$AM21&gt;0,CU21&gt;0), CU21,     AND(NOT($AI21=$AM21),$AI21&gt;0,$AM21&gt;0,CU21&gt;0), ($AM21*CU21)/$AI21,     AND($AI21=0,$AM21&gt;0,$AQ21&gt;0), IF(INDEX(CU$12:CU$263,MATCH($AQ21,$AP$12:$AP$263,0))&gt;0,($AM21*INDEX(CU$12:CU$263,MATCH($AQ21,$AP$12:$AP$263,0)))/INDEX($AI$12:$AI$263,MATCH($AQ21,$AP$12:$AP$263,0)), "-"),     TRUE, "0")</f>
        <v>0</v>
      </c>
      <c r="CW21" s="607">
        <f>IF(CV$9&gt;0, IF(OR(CV21="",CV21="-"), 0, CV21*$AT21), CU21*$AJ21)</f>
        <v>0</v>
      </c>
      <c r="CX21" s="589">
        <f>[1]COMMANDE!AY19</f>
        <v>0</v>
      </c>
      <c r="CY21" s="586" t="str">
        <f>_xlfn.IFS(AND($AI21=$AM21,$AI21&gt;0,$AM21&gt;0,CX21&gt;0), CX21,     AND(NOT($AI21=$AM21),$AI21&gt;0,$AM21&gt;0,CX21&gt;0), ($AM21*CX21)/$AI21,     AND($AI21=0,$AM21&gt;0,$AQ21&gt;0), IF(INDEX(CX$12:CX$263,MATCH($AQ21,$AP$12:$AP$263,0))&gt;0,($AM21*INDEX(CX$12:CX$263,MATCH($AQ21,$AP$12:$AP$263,0)))/INDEX($AI$12:$AI$263,MATCH($AQ21,$AP$12:$AP$263,0)), "-"),     TRUE, "0")</f>
        <v>0</v>
      </c>
      <c r="CZ21" s="588">
        <f>IF(CY$9&gt;0, IF(OR(CY21="",CY21="-"), 0, CY21*$AT21), CX21*$AJ21)</f>
        <v>0</v>
      </c>
      <c r="DA21" s="587">
        <f>[1]COMMANDE!BA19</f>
        <v>0</v>
      </c>
      <c r="DB21" s="586" t="str">
        <f>_xlfn.IFS(AND($AI21=$AM21,$AI21&gt;0,$AM21&gt;0,DA21&gt;0), DA21,     AND(NOT($AI21=$AM21),$AI21&gt;0,$AM21&gt;0,DA21&gt;0), ($AM21*DA21)/$AI21,     AND($AI21=0,$AM21&gt;0,$AQ21&gt;0), IF(INDEX(DA$12:DA$263,MATCH($AQ21,$AP$12:$AP$263,0))&gt;0,($AM21*INDEX(DA$12:DA$263,MATCH($AQ21,$AP$12:$AP$263,0)))/INDEX($AI$12:$AI$263,MATCH($AQ21,$AP$12:$AP$263,0)), "-"),     TRUE, "0")</f>
        <v>0</v>
      </c>
      <c r="DC21" s="606">
        <f>IF(DB$9&gt;0, IF(OR(DB21="",DB21="-"), 0, DB21*$AT21), DA21*$AJ21)</f>
        <v>0</v>
      </c>
      <c r="DD21" s="584"/>
      <c r="DE21" s="583"/>
    </row>
    <row r="22" spans="1:109" ht="39.950000000000003" hidden="1" customHeight="1">
      <c r="A22" s="604">
        <f>IF(OR($AV22&gt;0, $AX22&gt;0), 1, 0)</f>
        <v>0</v>
      </c>
      <c r="B22" s="604">
        <f>IF(OR($AY22&gt;0, $BA22&gt;0), 1, 0)</f>
        <v>0</v>
      </c>
      <c r="C22" s="604">
        <f>IF(OR($BB22&gt;0, $BD22&gt;0), 1, 0)</f>
        <v>0</v>
      </c>
      <c r="D22" s="604">
        <f>IF(OR($BE22&gt;0, $BG22&gt;0), 1, 0)</f>
        <v>0</v>
      </c>
      <c r="E22" s="604">
        <f>IF(OR($BH22&gt;0, $BJ22&gt;0), 1, 0)</f>
        <v>0</v>
      </c>
      <c r="F22" s="604">
        <f>IF(OR($BK22&gt;0, $BM22&gt;0), 1, 0)</f>
        <v>0</v>
      </c>
      <c r="G22" s="604">
        <f>IF(OR($BN22&gt;0, $BP22&gt;0), 1, 0)</f>
        <v>0</v>
      </c>
      <c r="H22" s="604">
        <f>IF(OR($BQ22&gt;0, $BS22&gt;0), 1, 0)</f>
        <v>0</v>
      </c>
      <c r="I22" s="604">
        <f>IF(OR($BT22&gt;0, $BV22&gt;0), 1, 0)</f>
        <v>0</v>
      </c>
      <c r="J22" s="604">
        <f>IF(OR($BW22&gt;0, $BY22&gt;0), 1, 0)</f>
        <v>0</v>
      </c>
      <c r="K22" s="604">
        <f>IF(OR($BZ22&gt;0, $CB22&gt;0), 1, 0)</f>
        <v>0</v>
      </c>
      <c r="L22" s="604">
        <f>IF(OR($CC22&gt;0, $CE22&gt;0), 1, 0)</f>
        <v>0</v>
      </c>
      <c r="M22" s="604">
        <f>IF(OR($CF22&gt;0, $CH22&gt;0), 1, 0)</f>
        <v>0</v>
      </c>
      <c r="N22" s="604">
        <f>IF(OR($CI22&gt;0, $CK22&gt;0), 1, 0)</f>
        <v>0</v>
      </c>
      <c r="O22" s="604">
        <f>IF(OR($CL22&gt;0, $CN22&gt;0), 1, 0)</f>
        <v>0</v>
      </c>
      <c r="P22" s="604">
        <f>IF(OR($CO22&gt;0, $CQ22&gt;0), 1, 0)</f>
        <v>0</v>
      </c>
      <c r="Q22" s="604">
        <f>IF(OR($CR22&gt;0, $CT22&gt;0), 1, 0)</f>
        <v>0</v>
      </c>
      <c r="R22" s="604">
        <f>IF(OR($CU22&gt;0, $CW22&gt;0), 1, 0)</f>
        <v>0</v>
      </c>
      <c r="S22" s="604">
        <f>IF(OR($CX22&gt;0, $CZ22&gt;0), 1, 0)</f>
        <v>0</v>
      </c>
      <c r="T22" s="604">
        <f>IF(OR($DA22&gt;0, $DC22&gt;0), 1, 0)</f>
        <v>0</v>
      </c>
      <c r="U22" s="603">
        <f>IF(OR($AI22&gt;0,$AM22&gt;0,$AS22&gt;0), 1, 0)</f>
        <v>0</v>
      </c>
      <c r="V22" s="602">
        <f>[1]BDD!A12</f>
        <v>1096</v>
      </c>
      <c r="W22" s="601" t="str">
        <f>[1]BDD!B12</f>
        <v>Algue Nori entière déshydratées BIO (env. 500g)</v>
      </c>
      <c r="X22" s="600" t="str">
        <f>IF([1]BDD!F12=0, "", [1]BDD!F12)</f>
        <v>❤️</v>
      </c>
      <c r="Y22" s="542">
        <f>ROUND([1]BDD!G12+FDP_CMD_KG, 2)</f>
        <v>28.24</v>
      </c>
      <c r="Z22" s="542">
        <f>ROUND([1]BDD!G12+FDP_FACT_KG, 2)</f>
        <v>28.24</v>
      </c>
      <c r="AA22" s="543" t="str">
        <f>[1]BDD!H12</f>
        <v>Pièce</v>
      </c>
      <c r="AB22" s="544" t="str">
        <f>IF(NOT(ISBLANK([1]BDD!I12)), ROUND(SUM(([1]BDD!G12*reduc1),FDP_CMD_KG), 2), "")</f>
        <v/>
      </c>
      <c r="AC22" s="544" t="str">
        <f>IF(NOT(ISBLANK([1]BDD!J12)), ROUND(SUM(([1]BDD!G12*reduc2),FDP_CMD_KG), 2), "")</f>
        <v/>
      </c>
      <c r="AD22" s="544" t="str">
        <f>IF(NOT(ISBLANK([1]BDD!K12)), ROUND(SUM(([1]BDD!G12*reduc3),FDP_CMD_KG), 2), "")</f>
        <v/>
      </c>
      <c r="AE22" s="544" t="str">
        <f>IF(NOT(ISBLANK([1]BDD!I12)), ROUND(SUM(([1]BDD!G12*reduc1),FDP_FACT_KG), 2), "")</f>
        <v/>
      </c>
      <c r="AF22" s="544" t="str">
        <f>IF(NOT(ISBLANK([1]BDD!J12)), ROUND(SUM(([1]BDD!G12*reduc2),FDP_FACT_KG), 2), "")</f>
        <v/>
      </c>
      <c r="AG22" s="544" t="str">
        <f>IF(NOT(ISBLANK([1]BDD!K12)), ROUND(SUM(([1]BDD!G12*reduc3),FDP_FACT_KG), 2), "")</f>
        <v/>
      </c>
      <c r="AH22" s="599" t="str">
        <f>[1]BDD!C12</f>
        <v>Galice</v>
      </c>
      <c r="AI22" s="598">
        <f>SUM(AV22,AY22,BB22,BE22,BH22,BK22,BN22,BQ22,BT22,BW22,BZ22,CC22,CF22,CI22,CL22,CO22,CR22,CU22,CX22,DA22)</f>
        <v>0</v>
      </c>
      <c r="AJ22" s="545">
        <f>_xlfn.IFS($AD22&lt;&gt;"", $AD22,    $AC22&lt;&gt;"", $AC22,    $AB22&lt;&gt;"", $AB22,    TRUE, $Y22)</f>
        <v>28.24</v>
      </c>
      <c r="AK22" s="592">
        <f>$AI22*$AJ22</f>
        <v>0</v>
      </c>
      <c r="AL22" s="594"/>
      <c r="AM22" s="597"/>
      <c r="AN22" s="545">
        <f>_xlfn.IFS(AND(AM22&gt;=60,$AG22&lt;&gt;""), $AG22,    AND(AM22&gt;=30,$AF22&lt;&gt;""), $AF22,    AND(AM22&gt;=10,$AE22&lt;&gt;""), $AE22,    TRUE, $Z22)</f>
        <v>28.24</v>
      </c>
      <c r="AO22" s="596">
        <f>AM22*AN22</f>
        <v>0</v>
      </c>
      <c r="AP22" s="595"/>
      <c r="AQ22" s="595"/>
      <c r="AR22" s="594"/>
      <c r="AS22" s="593">
        <f>SUM(AW22,AZ22,BC22,BF22,BI22,BL22,BO22,BR22,BU22,BX22,CA22,CD22,CG22,CJ22,CM22,CP22,CS22,CV22,CY22,DB22)</f>
        <v>0</v>
      </c>
      <c r="AT22" s="545">
        <f>_xlfn.IFS(AND(AS22&gt;=60,$AG22&lt;&gt;""), $AG22,    AND(AS22&gt;=30,$AF22&lt;&gt;""), $AF22,    AND(AS22&gt;=10,$AE22&lt;&gt;""), $AE22,    TRUE, $Z22)</f>
        <v>28.24</v>
      </c>
      <c r="AU22" s="592">
        <f>$AS22*$AT22</f>
        <v>0</v>
      </c>
      <c r="AV22" s="591">
        <f>[1]COMMANDE!O20</f>
        <v>0</v>
      </c>
      <c r="AW22" s="586" t="str">
        <f>_xlfn.IFS(AND($AI22=$AM22,$AI22&gt;0,$AM22&gt;0,AV22&gt;0), AV22,     AND(NOT($AI22=$AM22),$AI22&gt;0,$AM22&gt;0,AV22&gt;0), ($AM22*AV22)/$AI22,     AND($AI22=0,$AM22&gt;0,$AQ22&gt;0), IF(INDEX(AV$12:AV$263,MATCH($AQ22,$AP$12:$AP$263,0))&gt;0,($AM22*INDEX(AV$12:AV$263,MATCH($AQ22,$AP$12:$AP$263,0)))/INDEX($AI$12:$AI$263,MATCH($AQ22,$AP$12:$AP$263,0)), "-"),     TRUE, "0")</f>
        <v>0</v>
      </c>
      <c r="AX22" s="588">
        <f>IF(AW$9&gt;0, IF(OR(AW22="",AW22="-"), 0, AW22*$AT22), AV22*$AJ22)</f>
        <v>0</v>
      </c>
      <c r="AY22" s="587">
        <f>[1]COMMANDE!Q20</f>
        <v>0</v>
      </c>
      <c r="AZ22" s="586" t="str">
        <f>_xlfn.IFS(AND($AI22=$AM22,$AI22&gt;0,$AM22&gt;0,AY22&gt;0), AY22,     AND(NOT($AI22=$AM22),$AI22&gt;0,$AM22&gt;0,AY22&gt;0), ($AM22*AY22)/$AI22,     AND($AI22=0,$AM22&gt;0,$AQ22&gt;0), IF(INDEX(AY$12:AY$263,MATCH($AQ22,$AP$12:$AP$263,0))&gt;0,($AM22*INDEX(AY$12:AY$263,MATCH($AQ22,$AP$12:$AP$263,0)))/INDEX($AI$12:$AI$263,MATCH($AQ22,$AP$12:$AP$263,0)), "-"),     TRUE, "0")</f>
        <v>0</v>
      </c>
      <c r="BA22" s="607">
        <f>IF(AZ$9&gt;0, IF(OR(AZ22="",AZ22="-"), 0, AZ22*$AT22), AY22*$AJ22)</f>
        <v>0</v>
      </c>
      <c r="BB22" s="589">
        <f>[1]COMMANDE!S20</f>
        <v>0</v>
      </c>
      <c r="BC22" s="586" t="str">
        <f>_xlfn.IFS(AND($AI22=$AM22,$AI22&gt;0,$AM22&gt;0,BB22&gt;0), BB22,     AND(NOT($AI22=$AM22),$AI22&gt;0,$AM22&gt;0,BB22&gt;0), ($AM22*BB22)/$AI22,     AND($AI22=0,$AM22&gt;0,$AQ22&gt;0), IF(INDEX(BB$12:BB$263,MATCH($AQ22,$AP$12:$AP$263,0))&gt;0,($AM22*INDEX(BB$12:BB$263,MATCH($AQ22,$AP$12:$AP$263,0)))/INDEX($AI$12:$AI$263,MATCH($AQ22,$AP$12:$AP$263,0)), "-"),     TRUE, "0")</f>
        <v>0</v>
      </c>
      <c r="BD22" s="588">
        <f>IF(BC$9&gt;0, IF(OR(BC22="",BC22="-"), 0, BC22*$AT22), BB22*$AJ22)</f>
        <v>0</v>
      </c>
      <c r="BE22" s="587">
        <f>[1]COMMANDE!U20</f>
        <v>0</v>
      </c>
      <c r="BF22" s="586" t="str">
        <f>_xlfn.IFS(AND($AI22=$AM22,$AI22&gt;0,$AM22&gt;0,BE22&gt;0), BE22,     AND(NOT($AI22=$AM22),$AI22&gt;0,$AM22&gt;0,BE22&gt;0), ($AM22*BE22)/$AI22,     AND($AI22=0,$AM22&gt;0,$AQ22&gt;0), IF(INDEX(BE$12:BE$263,MATCH($AQ22,$AP$12:$AP$263,0))&gt;0,($AM22*INDEX(BE$12:BE$263,MATCH($AQ22,$AP$12:$AP$263,0)))/INDEX($AI$12:$AI$263,MATCH($AQ22,$AP$12:$AP$263,0)), "-"),     TRUE, "0")</f>
        <v>0</v>
      </c>
      <c r="BG22" s="607">
        <f>IF(BF$9&gt;0, IF(OR(BF22="",BF22="-"), 0, BF22*$AT22), BE22*$AJ22)</f>
        <v>0</v>
      </c>
      <c r="BH22" s="589">
        <f>[1]COMMANDE!W20</f>
        <v>0</v>
      </c>
      <c r="BI22" s="586" t="str">
        <f>_xlfn.IFS(AND($AI22=$AM22,$AI22&gt;0,$AM22&gt;0,BH22&gt;0), BH22,     AND(NOT($AI22=$AM22),$AI22&gt;0,$AM22&gt;0,BH22&gt;0), ($AM22*BH22)/$AI22,     AND($AI22=0,$AM22&gt;0,$AQ22&gt;0), IF(INDEX(BH$12:BH$263,MATCH($AQ22,$AP$12:$AP$263,0))&gt;0,($AM22*INDEX(BH$12:BH$263,MATCH($AQ22,$AP$12:$AP$263,0)))/INDEX($AI$12:$AI$263,MATCH($AQ22,$AP$12:$AP$263,0)), "-"),     TRUE, "0")</f>
        <v>0</v>
      </c>
      <c r="BJ22" s="588">
        <f>IF(BI$9&gt;0, IF(OR(BI22="",BI22="-"), 0, BI22*$AT22), BH22*$AJ22)</f>
        <v>0</v>
      </c>
      <c r="BK22" s="587">
        <f>[1]COMMANDE!Y20</f>
        <v>0</v>
      </c>
      <c r="BL22" s="586" t="str">
        <f>_xlfn.IFS(AND($AI22=$AM22,$AI22&gt;0,$AM22&gt;0,BK22&gt;0), BK22,     AND(NOT($AI22=$AM22),$AI22&gt;0,$AM22&gt;0,BK22&gt;0), ($AM22*BK22)/$AI22,     AND($AI22=0,$AM22&gt;0,$AQ22&gt;0), IF(INDEX(BK$12:BK$263,MATCH($AQ22,$AP$12:$AP$263,0))&gt;0,($AM22*INDEX(BK$12:BK$263,MATCH($AQ22,$AP$12:$AP$263,0)))/INDEX($AI$12:$AI$263,MATCH($AQ22,$AP$12:$AP$263,0)), "-"),     TRUE, "0")</f>
        <v>0</v>
      </c>
      <c r="BM22" s="607">
        <f>IF(BL$9&gt;0, IF(OR(BL22="",BL22="-"), 0, BL22*$AT22), BK22*$AJ22)</f>
        <v>0</v>
      </c>
      <c r="BN22" s="589">
        <f>[1]COMMANDE!AA20</f>
        <v>0</v>
      </c>
      <c r="BO22" s="586" t="str">
        <f>_xlfn.IFS(AND($AI22=$AM22,$AI22&gt;0,$AM22&gt;0,BN22&gt;0), BN22,     AND(NOT($AI22=$AM22),$AI22&gt;0,$AM22&gt;0,BN22&gt;0), ($AM22*BN22)/$AI22,     AND($AI22=0,$AM22&gt;0,$AQ22&gt;0), IF(INDEX(BN$12:BN$263,MATCH($AQ22,$AP$12:$AP$263,0))&gt;0,($AM22*INDEX(BN$12:BN$263,MATCH($AQ22,$AP$12:$AP$263,0)))/INDEX($AI$12:$AI$263,MATCH($AQ22,$AP$12:$AP$263,0)), "-"),     TRUE, "0")</f>
        <v>0</v>
      </c>
      <c r="BP22" s="588">
        <f>IF(BO$9&gt;0, IF(OR(BO22="",BO22="-"), 0, BO22*$AT22), BN22*$AJ22)</f>
        <v>0</v>
      </c>
      <c r="BQ22" s="587">
        <f>[1]COMMANDE!AC20</f>
        <v>0</v>
      </c>
      <c r="BR22" s="586" t="str">
        <f>_xlfn.IFS(AND($AI22=$AM22,$AI22&gt;0,$AM22&gt;0,BQ22&gt;0), BQ22,     AND(NOT($AI22=$AM22),$AI22&gt;0,$AM22&gt;0,BQ22&gt;0), ($AM22*BQ22)/$AI22,     AND($AI22=0,$AM22&gt;0,$AQ22&gt;0), IF(INDEX(BQ$12:BQ$263,MATCH($AQ22,$AP$12:$AP$263,0))&gt;0,($AM22*INDEX(BQ$12:BQ$263,MATCH($AQ22,$AP$12:$AP$263,0)))/INDEX($AI$12:$AI$263,MATCH($AQ22,$AP$12:$AP$263,0)), "-"),     TRUE, "0")</f>
        <v>0</v>
      </c>
      <c r="BS22" s="607">
        <f>IF(BR$9&gt;0, IF(OR(BR22="",BR22="-"), 0, BR22*$AT22), BQ22*$AJ22)</f>
        <v>0</v>
      </c>
      <c r="BT22" s="589">
        <f>[1]COMMANDE!AE20</f>
        <v>0</v>
      </c>
      <c r="BU22" s="586" t="str">
        <f>_xlfn.IFS(AND($AI22=$AM22,$AI22&gt;0,$AM22&gt;0,BT22&gt;0), BT22,     AND(NOT($AI22=$AM22),$AI22&gt;0,$AM22&gt;0,BT22&gt;0), ($AM22*BT22)/$AI22,     AND($AI22=0,$AM22&gt;0,$AQ22&gt;0), IF(INDEX(BT$12:BT$263,MATCH($AQ22,$AP$12:$AP$263,0))&gt;0,($AM22*INDEX(BT$12:BT$263,MATCH($AQ22,$AP$12:$AP$263,0)))/INDEX($AI$12:$AI$263,MATCH($AQ22,$AP$12:$AP$263,0)), "-"),     TRUE, "0")</f>
        <v>0</v>
      </c>
      <c r="BV22" s="588">
        <f>IF(BU$9&gt;0, IF(OR(BU22="",BU22="-"), 0, BU22*$AT22), BT22*$AJ22)</f>
        <v>0</v>
      </c>
      <c r="BW22" s="587">
        <f>[1]COMMANDE!AG20</f>
        <v>0</v>
      </c>
      <c r="BX22" s="586" t="str">
        <f>_xlfn.IFS(AND($AI22=$AM22,$AI22&gt;0,$AM22&gt;0,BW22&gt;0), BW22,     AND(NOT($AI22=$AM22),$AI22&gt;0,$AM22&gt;0,BW22&gt;0), ($AM22*BW22)/$AI22,     AND($AI22=0,$AM22&gt;0,$AQ22&gt;0), IF(INDEX(BW$12:BW$263,MATCH($AQ22,$AP$12:$AP$263,0))&gt;0,($AM22*INDEX(BW$12:BW$263,MATCH($AQ22,$AP$12:$AP$263,0)))/INDEX($AI$12:$AI$263,MATCH($AQ22,$AP$12:$AP$263,0)), "-"),     TRUE, "0")</f>
        <v>0</v>
      </c>
      <c r="BY22" s="607">
        <f>IF(BX$9&gt;0, IF(OR(BX22="",BX22="-"), 0, BX22*$AT22), BW22*$AJ22)</f>
        <v>0</v>
      </c>
      <c r="BZ22" s="589">
        <f>[1]COMMANDE!AI20</f>
        <v>0</v>
      </c>
      <c r="CA22" s="586" t="str">
        <f>_xlfn.IFS(AND($AI22=$AM22,$AI22&gt;0,$AM22&gt;0,BZ22&gt;0), BZ22,     AND(NOT($AI22=$AM22),$AI22&gt;0,$AM22&gt;0,BZ22&gt;0), ($AM22*BZ22)/$AI22,     AND($AI22=0,$AM22&gt;0,$AQ22&gt;0), IF(INDEX(BZ$12:BZ$263,MATCH($AQ22,$AP$12:$AP$263,0))&gt;0,($AM22*INDEX(BZ$12:BZ$263,MATCH($AQ22,$AP$12:$AP$263,0)))/INDEX($AI$12:$AI$263,MATCH($AQ22,$AP$12:$AP$263,0)), "-"),     TRUE, "0")</f>
        <v>0</v>
      </c>
      <c r="CB22" s="588">
        <f>IF(CA$9&gt;0, IF(OR(CA22="",CA22="-"), 0, CA22*$AT22), BZ22*$AJ22)</f>
        <v>0</v>
      </c>
      <c r="CC22" s="587">
        <f>[1]COMMANDE!AK20</f>
        <v>0</v>
      </c>
      <c r="CD22" s="586" t="str">
        <f>_xlfn.IFS(AND($AI22=$AM22,$AI22&gt;0,$AM22&gt;0,CC22&gt;0), CC22,     AND(NOT($AI22=$AM22),$AI22&gt;0,$AM22&gt;0,CC22&gt;0), ($AM22*CC22)/$AI22,     AND($AI22=0,$AM22&gt;0,$AQ22&gt;0), IF(INDEX(CC$12:CC$263,MATCH($AQ22,$AP$12:$AP$263,0))&gt;0,($AM22*INDEX(CC$12:CC$263,MATCH($AQ22,$AP$12:$AP$263,0)))/INDEX($AI$12:$AI$263,MATCH($AQ22,$AP$12:$AP$263,0)), "-"),     TRUE, "0")</f>
        <v>0</v>
      </c>
      <c r="CE22" s="607">
        <f>IF(CD$9&gt;0, IF(OR(CD22="",CD22="-"), 0, CD22*$AT22), CC22*$AJ22)</f>
        <v>0</v>
      </c>
      <c r="CF22" s="589">
        <f>[1]COMMANDE!AM20</f>
        <v>0</v>
      </c>
      <c r="CG22" s="586" t="str">
        <f>_xlfn.IFS(AND($AI22=$AM22,$AI22&gt;0,$AM22&gt;0,CF22&gt;0), CF22,     AND(NOT($AI22=$AM22),$AI22&gt;0,$AM22&gt;0,CF22&gt;0), ($AM22*CF22)/$AI22,     AND($AI22=0,$AM22&gt;0,$AQ22&gt;0), IF(INDEX(CF$12:CF$263,MATCH($AQ22,$AP$12:$AP$263,0))&gt;0,($AM22*INDEX(CF$12:CF$263,MATCH($AQ22,$AP$12:$AP$263,0)))/INDEX($AI$12:$AI$263,MATCH($AQ22,$AP$12:$AP$263,0)), "-"),     TRUE, "0")</f>
        <v>0</v>
      </c>
      <c r="CH22" s="588">
        <f>IF(CG$9&gt;0, IF(OR(CG22="",CG22="-"), 0, CG22*$AT22), CF22*$AJ22)</f>
        <v>0</v>
      </c>
      <c r="CI22" s="587">
        <f>[1]COMMANDE!AO20</f>
        <v>0</v>
      </c>
      <c r="CJ22" s="586" t="str">
        <f>_xlfn.IFS(AND($AI22=$AM22,$AI22&gt;0,$AM22&gt;0,CI22&gt;0), CI22,     AND(NOT($AI22=$AM22),$AI22&gt;0,$AM22&gt;0,CI22&gt;0), ($AM22*CI22)/$AI22,     AND($AI22=0,$AM22&gt;0,$AQ22&gt;0), IF(INDEX(CI$12:CI$263,MATCH($AQ22,$AP$12:$AP$263,0))&gt;0,($AM22*INDEX(CI$12:CI$263,MATCH($AQ22,$AP$12:$AP$263,0)))/INDEX($AI$12:$AI$263,MATCH($AQ22,$AP$12:$AP$263,0)), "-"),     TRUE, "0")</f>
        <v>0</v>
      </c>
      <c r="CK22" s="607">
        <f>IF(CJ$9&gt;0, IF(OR(CJ22="",CJ22="-"), 0, CJ22*$AT22), CI22*$AJ22)</f>
        <v>0</v>
      </c>
      <c r="CL22" s="589">
        <f>[1]COMMANDE!AQ20</f>
        <v>0</v>
      </c>
      <c r="CM22" s="586" t="str">
        <f>_xlfn.IFS(AND($AI22=$AM22,$AI22&gt;0,$AM22&gt;0,CL22&gt;0), CL22,     AND(NOT($AI22=$AM22),$AI22&gt;0,$AM22&gt;0,CL22&gt;0), ($AM22*CL22)/$AI22,     AND($AI22=0,$AM22&gt;0,$AQ22&gt;0), IF(INDEX(CL$12:CL$263,MATCH($AQ22,$AP$12:$AP$263,0))&gt;0,($AM22*INDEX(CL$12:CL$263,MATCH($AQ22,$AP$12:$AP$263,0)))/INDEX($AI$12:$AI$263,MATCH($AQ22,$AP$12:$AP$263,0)), "-"),     TRUE, "0")</f>
        <v>0</v>
      </c>
      <c r="CN22" s="588">
        <f>IF(CM$9&gt;0, IF(OR(CM22="",CM22="-"), 0, CM22*$AT22), CL22*$AJ22)</f>
        <v>0</v>
      </c>
      <c r="CO22" s="587">
        <f>[1]COMMANDE!AS20</f>
        <v>0</v>
      </c>
      <c r="CP22" s="586" t="str">
        <f>_xlfn.IFS(AND($AI22=$AM22,$AI22&gt;0,$AM22&gt;0,CO22&gt;0), CO22,     AND(NOT($AI22=$AM22),$AI22&gt;0,$AM22&gt;0,CO22&gt;0), ($AM22*CO22)/$AI22,     AND($AI22=0,$AM22&gt;0,$AQ22&gt;0), IF(INDEX(CO$12:CO$263,MATCH($AQ22,$AP$12:$AP$263,0))&gt;0,($AM22*INDEX(CO$12:CO$263,MATCH($AQ22,$AP$12:$AP$263,0)))/INDEX($AI$12:$AI$263,MATCH($AQ22,$AP$12:$AP$263,0)), "-"),     TRUE, "0")</f>
        <v>0</v>
      </c>
      <c r="CQ22" s="607">
        <f>IF(CP$9&gt;0, IF(OR(CP22="",CP22="-"), 0, CP22*$AT22), CO22*$AJ22)</f>
        <v>0</v>
      </c>
      <c r="CR22" s="589">
        <f>[1]COMMANDE!AU20</f>
        <v>0</v>
      </c>
      <c r="CS22" s="586" t="str">
        <f>_xlfn.IFS(AND($AI22=$AM22,$AI22&gt;0,$AM22&gt;0,CR22&gt;0), CR22,     AND(NOT($AI22=$AM22),$AI22&gt;0,$AM22&gt;0,CR22&gt;0), ($AM22*CR22)/$AI22,     AND($AI22=0,$AM22&gt;0,$AQ22&gt;0), IF(INDEX(CR$12:CR$263,MATCH($AQ22,$AP$12:$AP$263,0))&gt;0,($AM22*INDEX(CR$12:CR$263,MATCH($AQ22,$AP$12:$AP$263,0)))/INDEX($AI$12:$AI$263,MATCH($AQ22,$AP$12:$AP$263,0)), "-"),     TRUE, "0")</f>
        <v>0</v>
      </c>
      <c r="CT22" s="588">
        <f>IF(CS$9&gt;0, IF(OR(CS22="",CS22="-"), 0, CS22*$AT22), CR22*$AJ22)</f>
        <v>0</v>
      </c>
      <c r="CU22" s="587">
        <f>[1]COMMANDE!AW20</f>
        <v>0</v>
      </c>
      <c r="CV22" s="586" t="str">
        <f>_xlfn.IFS(AND($AI22=$AM22,$AI22&gt;0,$AM22&gt;0,CU22&gt;0), CU22,     AND(NOT($AI22=$AM22),$AI22&gt;0,$AM22&gt;0,CU22&gt;0), ($AM22*CU22)/$AI22,     AND($AI22=0,$AM22&gt;0,$AQ22&gt;0), IF(INDEX(CU$12:CU$263,MATCH($AQ22,$AP$12:$AP$263,0))&gt;0,($AM22*INDEX(CU$12:CU$263,MATCH($AQ22,$AP$12:$AP$263,0)))/INDEX($AI$12:$AI$263,MATCH($AQ22,$AP$12:$AP$263,0)), "-"),     TRUE, "0")</f>
        <v>0</v>
      </c>
      <c r="CW22" s="607">
        <f>IF(CV$9&gt;0, IF(OR(CV22="",CV22="-"), 0, CV22*$AT22), CU22*$AJ22)</f>
        <v>0</v>
      </c>
      <c r="CX22" s="589">
        <f>[1]COMMANDE!AY20</f>
        <v>0</v>
      </c>
      <c r="CY22" s="586" t="str">
        <f>_xlfn.IFS(AND($AI22=$AM22,$AI22&gt;0,$AM22&gt;0,CX22&gt;0), CX22,     AND(NOT($AI22=$AM22),$AI22&gt;0,$AM22&gt;0,CX22&gt;0), ($AM22*CX22)/$AI22,     AND($AI22=0,$AM22&gt;0,$AQ22&gt;0), IF(INDEX(CX$12:CX$263,MATCH($AQ22,$AP$12:$AP$263,0))&gt;0,($AM22*INDEX(CX$12:CX$263,MATCH($AQ22,$AP$12:$AP$263,0)))/INDEX($AI$12:$AI$263,MATCH($AQ22,$AP$12:$AP$263,0)), "-"),     TRUE, "0")</f>
        <v>0</v>
      </c>
      <c r="CZ22" s="588">
        <f>IF(CY$9&gt;0, IF(OR(CY22="",CY22="-"), 0, CY22*$AT22), CX22*$AJ22)</f>
        <v>0</v>
      </c>
      <c r="DA22" s="587">
        <f>[1]COMMANDE!BA20</f>
        <v>0</v>
      </c>
      <c r="DB22" s="586" t="str">
        <f>_xlfn.IFS(AND($AI22=$AM22,$AI22&gt;0,$AM22&gt;0,DA22&gt;0), DA22,     AND(NOT($AI22=$AM22),$AI22&gt;0,$AM22&gt;0,DA22&gt;0), ($AM22*DA22)/$AI22,     AND($AI22=0,$AM22&gt;0,$AQ22&gt;0), IF(INDEX(DA$12:DA$263,MATCH($AQ22,$AP$12:$AP$263,0))&gt;0,($AM22*INDEX(DA$12:DA$263,MATCH($AQ22,$AP$12:$AP$263,0)))/INDEX($AI$12:$AI$263,MATCH($AQ22,$AP$12:$AP$263,0)), "-"),     TRUE, "0")</f>
        <v>0</v>
      </c>
      <c r="DC22" s="606">
        <f>IF(DB$9&gt;0, IF(OR(DB22="",DB22="-"), 0, DB22*$AT22), DA22*$AJ22)</f>
        <v>0</v>
      </c>
      <c r="DD22" s="584"/>
      <c r="DE22" s="583"/>
    </row>
    <row r="23" spans="1:109" ht="39.950000000000003" hidden="1" customHeight="1">
      <c r="A23" s="604">
        <f>IF(OR($AV23&gt;0, $AX23&gt;0), 1, 0)</f>
        <v>0</v>
      </c>
      <c r="B23" s="604">
        <f>IF(OR($AY23&gt;0, $BA23&gt;0), 1, 0)</f>
        <v>0</v>
      </c>
      <c r="C23" s="604">
        <f>IF(OR($BB23&gt;0, $BD23&gt;0), 1, 0)</f>
        <v>0</v>
      </c>
      <c r="D23" s="604">
        <f>IF(OR($BE23&gt;0, $BG23&gt;0), 1, 0)</f>
        <v>0</v>
      </c>
      <c r="E23" s="604">
        <f>IF(OR($BH23&gt;0, $BJ23&gt;0), 1, 0)</f>
        <v>0</v>
      </c>
      <c r="F23" s="604">
        <f>IF(OR($BK23&gt;0, $BM23&gt;0), 1, 0)</f>
        <v>0</v>
      </c>
      <c r="G23" s="604">
        <f>IF(OR($BN23&gt;0, $BP23&gt;0), 1, 0)</f>
        <v>0</v>
      </c>
      <c r="H23" s="604">
        <f>IF(OR($BQ23&gt;0, $BS23&gt;0), 1, 0)</f>
        <v>0</v>
      </c>
      <c r="I23" s="604">
        <f>IF(OR($BT23&gt;0, $BV23&gt;0), 1, 0)</f>
        <v>0</v>
      </c>
      <c r="J23" s="604">
        <f>IF(OR($BW23&gt;0, $BY23&gt;0), 1, 0)</f>
        <v>0</v>
      </c>
      <c r="K23" s="604">
        <f>IF(OR($BZ23&gt;0, $CB23&gt;0), 1, 0)</f>
        <v>0</v>
      </c>
      <c r="L23" s="604">
        <f>IF(OR($CC23&gt;0, $CE23&gt;0), 1, 0)</f>
        <v>0</v>
      </c>
      <c r="M23" s="604">
        <f>IF(OR($CF23&gt;0, $CH23&gt;0), 1, 0)</f>
        <v>0</v>
      </c>
      <c r="N23" s="604">
        <f>IF(OR($CI23&gt;0, $CK23&gt;0), 1, 0)</f>
        <v>0</v>
      </c>
      <c r="O23" s="604">
        <f>IF(OR($CL23&gt;0, $CN23&gt;0), 1, 0)</f>
        <v>0</v>
      </c>
      <c r="P23" s="604">
        <f>IF(OR($CO23&gt;0, $CQ23&gt;0), 1, 0)</f>
        <v>0</v>
      </c>
      <c r="Q23" s="604">
        <f>IF(OR($CR23&gt;0, $CT23&gt;0), 1, 0)</f>
        <v>0</v>
      </c>
      <c r="R23" s="604">
        <f>IF(OR($CU23&gt;0, $CW23&gt;0), 1, 0)</f>
        <v>0</v>
      </c>
      <c r="S23" s="604">
        <f>IF(OR($CX23&gt;0, $CZ23&gt;0), 1, 0)</f>
        <v>0</v>
      </c>
      <c r="T23" s="604">
        <f>IF(OR($DA23&gt;0, $DC23&gt;0), 1, 0)</f>
        <v>0</v>
      </c>
      <c r="U23" s="603">
        <f>IF(OR($AI23&gt;0,$AM23&gt;0,$AS23&gt;0), 1, 0)</f>
        <v>0</v>
      </c>
      <c r="V23" s="602">
        <f>[1]BDD!A13</f>
        <v>1102</v>
      </c>
      <c r="W23" s="601" t="str">
        <f>[1]BDD!B13</f>
        <v>Aloe Vera (feuille fraîche) BIO</v>
      </c>
      <c r="X23" s="600" t="str">
        <f>IF([1]BDD!F13=0, "", [1]BDD!F13)</f>
        <v>❤️</v>
      </c>
      <c r="Y23" s="542">
        <f>ROUND([1]BDD!G13+FDP_CMD_KG, 2)</f>
        <v>4.42</v>
      </c>
      <c r="Z23" s="542">
        <f>ROUND([1]BDD!G13+FDP_FACT_KG, 2)</f>
        <v>4.42</v>
      </c>
      <c r="AA23" s="543" t="str">
        <f>[1]BDD!H13</f>
        <v>Pièce</v>
      </c>
      <c r="AB23" s="544">
        <f>IF(NOT(ISBLANK([1]BDD!I13)), ROUND(SUM(([1]BDD!G13*reduc1),FDP_CMD_KG), 2), "")</f>
        <v>4.07</v>
      </c>
      <c r="AC23" s="544">
        <f>IF(NOT(ISBLANK([1]BDD!J13)), ROUND(SUM(([1]BDD!G13*reduc2),FDP_CMD_KG), 2), "")</f>
        <v>3.71</v>
      </c>
      <c r="AD23" s="544">
        <f>IF(NOT(ISBLANK([1]BDD!K13)), ROUND(SUM(([1]BDD!G13*reduc3),FDP_CMD_KG), 2), "")</f>
        <v>3.36</v>
      </c>
      <c r="AE23" s="544">
        <f>IF(NOT(ISBLANK([1]BDD!I13)), ROUND(SUM(([1]BDD!G13*reduc1),FDP_FACT_KG), 2), "")</f>
        <v>4.0599999999999996</v>
      </c>
      <c r="AF23" s="544">
        <f>IF(NOT(ISBLANK([1]BDD!J13)), ROUND(SUM(([1]BDD!G13*reduc2),FDP_FACT_KG), 2), "")</f>
        <v>3.71</v>
      </c>
      <c r="AG23" s="544">
        <f>IF(NOT(ISBLANK([1]BDD!K13)), ROUND(SUM(([1]BDD!G13*reduc3),FDP_FACT_KG), 2), "")</f>
        <v>3.35</v>
      </c>
      <c r="AH23" s="599" t="str">
        <f>[1]BDD!C13</f>
        <v>Malaga</v>
      </c>
      <c r="AI23" s="598">
        <f>SUM(AV23,AY23,BB23,BE23,BH23,BK23,BN23,BQ23,BT23,BW23,BZ23,CC23,CF23,CI23,CL23,CO23,CR23,CU23,CX23,DA23)</f>
        <v>0</v>
      </c>
      <c r="AJ23" s="545">
        <f>_xlfn.IFS($AD23&lt;&gt;"", $AD23,    $AC23&lt;&gt;"", $AC23,    $AB23&lt;&gt;"", $AB23,    TRUE, $Y23)</f>
        <v>3.36</v>
      </c>
      <c r="AK23" s="592">
        <f>$AI23*$AJ23</f>
        <v>0</v>
      </c>
      <c r="AL23" s="594"/>
      <c r="AM23" s="597"/>
      <c r="AN23" s="545">
        <f>_xlfn.IFS(AND(AM23&gt;=60,$AG23&lt;&gt;""), $AG23,    AND(AM23&gt;=30,$AF23&lt;&gt;""), $AF23,    AND(AM23&gt;=10,$AE23&lt;&gt;""), $AE23,    TRUE, $Z23)</f>
        <v>4.42</v>
      </c>
      <c r="AO23" s="596">
        <f>AM23*AN23</f>
        <v>0</v>
      </c>
      <c r="AP23" s="595"/>
      <c r="AQ23" s="595"/>
      <c r="AR23" s="594"/>
      <c r="AS23" s="593">
        <f>SUM(AW23,AZ23,BC23,BF23,BI23,BL23,BO23,BR23,BU23,BX23,CA23,CD23,CG23,CJ23,CM23,CP23,CS23,CV23,CY23,DB23)</f>
        <v>0</v>
      </c>
      <c r="AT23" s="545">
        <f>_xlfn.IFS(AND(AS23&gt;=60,$AG23&lt;&gt;""), $AG23,    AND(AS23&gt;=30,$AF23&lt;&gt;""), $AF23,    AND(AS23&gt;=10,$AE23&lt;&gt;""), $AE23,    TRUE, $Z23)</f>
        <v>4.42</v>
      </c>
      <c r="AU23" s="592">
        <f>$AS23*$AT23</f>
        <v>0</v>
      </c>
      <c r="AV23" s="591">
        <f>[1]COMMANDE!O21</f>
        <v>0</v>
      </c>
      <c r="AW23" s="586" t="str">
        <f>_xlfn.IFS(AND($AI23=$AM23,$AI23&gt;0,$AM23&gt;0,AV23&gt;0), AV23,     AND(NOT($AI23=$AM23),$AI23&gt;0,$AM23&gt;0,AV23&gt;0), ($AM23*AV23)/$AI23,     AND($AI23=0,$AM23&gt;0,$AQ23&gt;0), IF(INDEX(AV$12:AV$263,MATCH($AQ23,$AP$12:$AP$263,0))&gt;0,($AM23*INDEX(AV$12:AV$263,MATCH($AQ23,$AP$12:$AP$263,0)))/INDEX($AI$12:$AI$263,MATCH($AQ23,$AP$12:$AP$263,0)), "-"),     TRUE, "0")</f>
        <v>0</v>
      </c>
      <c r="AX23" s="588">
        <f>IF(AW$9&gt;0, IF(OR(AW23="",AW23="-"), 0, AW23*$AT23), AV23*$AJ23)</f>
        <v>0</v>
      </c>
      <c r="AY23" s="587">
        <f>[1]COMMANDE!Q21</f>
        <v>0</v>
      </c>
      <c r="AZ23" s="586" t="str">
        <f>_xlfn.IFS(AND($AI23=$AM23,$AI23&gt;0,$AM23&gt;0,AY23&gt;0), AY23,     AND(NOT($AI23=$AM23),$AI23&gt;0,$AM23&gt;0,AY23&gt;0), ($AM23*AY23)/$AI23,     AND($AI23=0,$AM23&gt;0,$AQ23&gt;0), IF(INDEX(AY$12:AY$263,MATCH($AQ23,$AP$12:$AP$263,0))&gt;0,($AM23*INDEX(AY$12:AY$263,MATCH($AQ23,$AP$12:$AP$263,0)))/INDEX($AI$12:$AI$263,MATCH($AQ23,$AP$12:$AP$263,0)), "-"),     TRUE, "0")</f>
        <v>0</v>
      </c>
      <c r="BA23" s="607">
        <f>IF(AZ$9&gt;0, IF(OR(AZ23="",AZ23="-"), 0, AZ23*$AT23), AY23*$AJ23)</f>
        <v>0</v>
      </c>
      <c r="BB23" s="589">
        <f>[1]COMMANDE!S21</f>
        <v>0</v>
      </c>
      <c r="BC23" s="586" t="str">
        <f>_xlfn.IFS(AND($AI23=$AM23,$AI23&gt;0,$AM23&gt;0,BB23&gt;0), BB23,     AND(NOT($AI23=$AM23),$AI23&gt;0,$AM23&gt;0,BB23&gt;0), ($AM23*BB23)/$AI23,     AND($AI23=0,$AM23&gt;0,$AQ23&gt;0), IF(INDEX(BB$12:BB$263,MATCH($AQ23,$AP$12:$AP$263,0))&gt;0,($AM23*INDEX(BB$12:BB$263,MATCH($AQ23,$AP$12:$AP$263,0)))/INDEX($AI$12:$AI$263,MATCH($AQ23,$AP$12:$AP$263,0)), "-"),     TRUE, "0")</f>
        <v>0</v>
      </c>
      <c r="BD23" s="588">
        <f>IF(BC$9&gt;0, IF(OR(BC23="",BC23="-"), 0, BC23*$AT23), BB23*$AJ23)</f>
        <v>0</v>
      </c>
      <c r="BE23" s="587">
        <f>[1]COMMANDE!U21</f>
        <v>0</v>
      </c>
      <c r="BF23" s="586" t="str">
        <f>_xlfn.IFS(AND($AI23=$AM23,$AI23&gt;0,$AM23&gt;0,BE23&gt;0), BE23,     AND(NOT($AI23=$AM23),$AI23&gt;0,$AM23&gt;0,BE23&gt;0), ($AM23*BE23)/$AI23,     AND($AI23=0,$AM23&gt;0,$AQ23&gt;0), IF(INDEX(BE$12:BE$263,MATCH($AQ23,$AP$12:$AP$263,0))&gt;0,($AM23*INDEX(BE$12:BE$263,MATCH($AQ23,$AP$12:$AP$263,0)))/INDEX($AI$12:$AI$263,MATCH($AQ23,$AP$12:$AP$263,0)), "-"),     TRUE, "0")</f>
        <v>0</v>
      </c>
      <c r="BG23" s="607">
        <f>IF(BF$9&gt;0, IF(OR(BF23="",BF23="-"), 0, BF23*$AT23), BE23*$AJ23)</f>
        <v>0</v>
      </c>
      <c r="BH23" s="589">
        <f>[1]COMMANDE!W21</f>
        <v>0</v>
      </c>
      <c r="BI23" s="586" t="str">
        <f>_xlfn.IFS(AND($AI23=$AM23,$AI23&gt;0,$AM23&gt;0,BH23&gt;0), BH23,     AND(NOT($AI23=$AM23),$AI23&gt;0,$AM23&gt;0,BH23&gt;0), ($AM23*BH23)/$AI23,     AND($AI23=0,$AM23&gt;0,$AQ23&gt;0), IF(INDEX(BH$12:BH$263,MATCH($AQ23,$AP$12:$AP$263,0))&gt;0,($AM23*INDEX(BH$12:BH$263,MATCH($AQ23,$AP$12:$AP$263,0)))/INDEX($AI$12:$AI$263,MATCH($AQ23,$AP$12:$AP$263,0)), "-"),     TRUE, "0")</f>
        <v>0</v>
      </c>
      <c r="BJ23" s="588">
        <f>IF(BI$9&gt;0, IF(OR(BI23="",BI23="-"), 0, BI23*$AT23), BH23*$AJ23)</f>
        <v>0</v>
      </c>
      <c r="BK23" s="587">
        <f>[1]COMMANDE!Y21</f>
        <v>0</v>
      </c>
      <c r="BL23" s="586" t="str">
        <f>_xlfn.IFS(AND($AI23=$AM23,$AI23&gt;0,$AM23&gt;0,BK23&gt;0), BK23,     AND(NOT($AI23=$AM23),$AI23&gt;0,$AM23&gt;0,BK23&gt;0), ($AM23*BK23)/$AI23,     AND($AI23=0,$AM23&gt;0,$AQ23&gt;0), IF(INDEX(BK$12:BK$263,MATCH($AQ23,$AP$12:$AP$263,0))&gt;0,($AM23*INDEX(BK$12:BK$263,MATCH($AQ23,$AP$12:$AP$263,0)))/INDEX($AI$12:$AI$263,MATCH($AQ23,$AP$12:$AP$263,0)), "-"),     TRUE, "0")</f>
        <v>0</v>
      </c>
      <c r="BM23" s="607">
        <f>IF(BL$9&gt;0, IF(OR(BL23="",BL23="-"), 0, BL23*$AT23), BK23*$AJ23)</f>
        <v>0</v>
      </c>
      <c r="BN23" s="589">
        <f>[1]COMMANDE!AA21</f>
        <v>0</v>
      </c>
      <c r="BO23" s="586" t="str">
        <f>_xlfn.IFS(AND($AI23=$AM23,$AI23&gt;0,$AM23&gt;0,BN23&gt;0), BN23,     AND(NOT($AI23=$AM23),$AI23&gt;0,$AM23&gt;0,BN23&gt;0), ($AM23*BN23)/$AI23,     AND($AI23=0,$AM23&gt;0,$AQ23&gt;0), IF(INDEX(BN$12:BN$263,MATCH($AQ23,$AP$12:$AP$263,0))&gt;0,($AM23*INDEX(BN$12:BN$263,MATCH($AQ23,$AP$12:$AP$263,0)))/INDEX($AI$12:$AI$263,MATCH($AQ23,$AP$12:$AP$263,0)), "-"),     TRUE, "0")</f>
        <v>0</v>
      </c>
      <c r="BP23" s="588">
        <f>IF(BO$9&gt;0, IF(OR(BO23="",BO23="-"), 0, BO23*$AT23), BN23*$AJ23)</f>
        <v>0</v>
      </c>
      <c r="BQ23" s="587">
        <f>[1]COMMANDE!AC21</f>
        <v>0</v>
      </c>
      <c r="BR23" s="586" t="str">
        <f>_xlfn.IFS(AND($AI23=$AM23,$AI23&gt;0,$AM23&gt;0,BQ23&gt;0), BQ23,     AND(NOT($AI23=$AM23),$AI23&gt;0,$AM23&gt;0,BQ23&gt;0), ($AM23*BQ23)/$AI23,     AND($AI23=0,$AM23&gt;0,$AQ23&gt;0), IF(INDEX(BQ$12:BQ$263,MATCH($AQ23,$AP$12:$AP$263,0))&gt;0,($AM23*INDEX(BQ$12:BQ$263,MATCH($AQ23,$AP$12:$AP$263,0)))/INDEX($AI$12:$AI$263,MATCH($AQ23,$AP$12:$AP$263,0)), "-"),     TRUE, "0")</f>
        <v>0</v>
      </c>
      <c r="BS23" s="607">
        <f>IF(BR$9&gt;0, IF(OR(BR23="",BR23="-"), 0, BR23*$AT23), BQ23*$AJ23)</f>
        <v>0</v>
      </c>
      <c r="BT23" s="589">
        <f>[1]COMMANDE!AE21</f>
        <v>0</v>
      </c>
      <c r="BU23" s="586" t="str">
        <f>_xlfn.IFS(AND($AI23=$AM23,$AI23&gt;0,$AM23&gt;0,BT23&gt;0), BT23,     AND(NOT($AI23=$AM23),$AI23&gt;0,$AM23&gt;0,BT23&gt;0), ($AM23*BT23)/$AI23,     AND($AI23=0,$AM23&gt;0,$AQ23&gt;0), IF(INDEX(BT$12:BT$263,MATCH($AQ23,$AP$12:$AP$263,0))&gt;0,($AM23*INDEX(BT$12:BT$263,MATCH($AQ23,$AP$12:$AP$263,0)))/INDEX($AI$12:$AI$263,MATCH($AQ23,$AP$12:$AP$263,0)), "-"),     TRUE, "0")</f>
        <v>0</v>
      </c>
      <c r="BV23" s="588">
        <f>IF(BU$9&gt;0, IF(OR(BU23="",BU23="-"), 0, BU23*$AT23), BT23*$AJ23)</f>
        <v>0</v>
      </c>
      <c r="BW23" s="587">
        <f>[1]COMMANDE!AG21</f>
        <v>0</v>
      </c>
      <c r="BX23" s="586" t="str">
        <f>_xlfn.IFS(AND($AI23=$AM23,$AI23&gt;0,$AM23&gt;0,BW23&gt;0), BW23,     AND(NOT($AI23=$AM23),$AI23&gt;0,$AM23&gt;0,BW23&gt;0), ($AM23*BW23)/$AI23,     AND($AI23=0,$AM23&gt;0,$AQ23&gt;0), IF(INDEX(BW$12:BW$263,MATCH($AQ23,$AP$12:$AP$263,0))&gt;0,($AM23*INDEX(BW$12:BW$263,MATCH($AQ23,$AP$12:$AP$263,0)))/INDEX($AI$12:$AI$263,MATCH($AQ23,$AP$12:$AP$263,0)), "-"),     TRUE, "0")</f>
        <v>0</v>
      </c>
      <c r="BY23" s="607">
        <f>IF(BX$9&gt;0, IF(OR(BX23="",BX23="-"), 0, BX23*$AT23), BW23*$AJ23)</f>
        <v>0</v>
      </c>
      <c r="BZ23" s="589">
        <f>[1]COMMANDE!AI21</f>
        <v>0</v>
      </c>
      <c r="CA23" s="586" t="str">
        <f>_xlfn.IFS(AND($AI23=$AM23,$AI23&gt;0,$AM23&gt;0,BZ23&gt;0), BZ23,     AND(NOT($AI23=$AM23),$AI23&gt;0,$AM23&gt;0,BZ23&gt;0), ($AM23*BZ23)/$AI23,     AND($AI23=0,$AM23&gt;0,$AQ23&gt;0), IF(INDEX(BZ$12:BZ$263,MATCH($AQ23,$AP$12:$AP$263,0))&gt;0,($AM23*INDEX(BZ$12:BZ$263,MATCH($AQ23,$AP$12:$AP$263,0)))/INDEX($AI$12:$AI$263,MATCH($AQ23,$AP$12:$AP$263,0)), "-"),     TRUE, "0")</f>
        <v>0</v>
      </c>
      <c r="CB23" s="588">
        <f>IF(CA$9&gt;0, IF(OR(CA23="",CA23="-"), 0, CA23*$AT23), BZ23*$AJ23)</f>
        <v>0</v>
      </c>
      <c r="CC23" s="587">
        <f>[1]COMMANDE!AK21</f>
        <v>0</v>
      </c>
      <c r="CD23" s="586" t="str">
        <f>_xlfn.IFS(AND($AI23=$AM23,$AI23&gt;0,$AM23&gt;0,CC23&gt;0), CC23,     AND(NOT($AI23=$AM23),$AI23&gt;0,$AM23&gt;0,CC23&gt;0), ($AM23*CC23)/$AI23,     AND($AI23=0,$AM23&gt;0,$AQ23&gt;0), IF(INDEX(CC$12:CC$263,MATCH($AQ23,$AP$12:$AP$263,0))&gt;0,($AM23*INDEX(CC$12:CC$263,MATCH($AQ23,$AP$12:$AP$263,0)))/INDEX($AI$12:$AI$263,MATCH($AQ23,$AP$12:$AP$263,0)), "-"),     TRUE, "0")</f>
        <v>0</v>
      </c>
      <c r="CE23" s="607">
        <f>IF(CD$9&gt;0, IF(OR(CD23="",CD23="-"), 0, CD23*$AT23), CC23*$AJ23)</f>
        <v>0</v>
      </c>
      <c r="CF23" s="589">
        <f>[1]COMMANDE!AM21</f>
        <v>0</v>
      </c>
      <c r="CG23" s="586" t="str">
        <f>_xlfn.IFS(AND($AI23=$AM23,$AI23&gt;0,$AM23&gt;0,CF23&gt;0), CF23,     AND(NOT($AI23=$AM23),$AI23&gt;0,$AM23&gt;0,CF23&gt;0), ($AM23*CF23)/$AI23,     AND($AI23=0,$AM23&gt;0,$AQ23&gt;0), IF(INDEX(CF$12:CF$263,MATCH($AQ23,$AP$12:$AP$263,0))&gt;0,($AM23*INDEX(CF$12:CF$263,MATCH($AQ23,$AP$12:$AP$263,0)))/INDEX($AI$12:$AI$263,MATCH($AQ23,$AP$12:$AP$263,0)), "-"),     TRUE, "0")</f>
        <v>0</v>
      </c>
      <c r="CH23" s="588">
        <f>IF(CG$9&gt;0, IF(OR(CG23="",CG23="-"), 0, CG23*$AT23), CF23*$AJ23)</f>
        <v>0</v>
      </c>
      <c r="CI23" s="587">
        <f>[1]COMMANDE!AO21</f>
        <v>0</v>
      </c>
      <c r="CJ23" s="586" t="str">
        <f>_xlfn.IFS(AND($AI23=$AM23,$AI23&gt;0,$AM23&gt;0,CI23&gt;0), CI23,     AND(NOT($AI23=$AM23),$AI23&gt;0,$AM23&gt;0,CI23&gt;0), ($AM23*CI23)/$AI23,     AND($AI23=0,$AM23&gt;0,$AQ23&gt;0), IF(INDEX(CI$12:CI$263,MATCH($AQ23,$AP$12:$AP$263,0))&gt;0,($AM23*INDEX(CI$12:CI$263,MATCH($AQ23,$AP$12:$AP$263,0)))/INDEX($AI$12:$AI$263,MATCH($AQ23,$AP$12:$AP$263,0)), "-"),     TRUE, "0")</f>
        <v>0</v>
      </c>
      <c r="CK23" s="607">
        <f>IF(CJ$9&gt;0, IF(OR(CJ23="",CJ23="-"), 0, CJ23*$AT23), CI23*$AJ23)</f>
        <v>0</v>
      </c>
      <c r="CL23" s="589">
        <f>[1]COMMANDE!AQ21</f>
        <v>0</v>
      </c>
      <c r="CM23" s="586" t="str">
        <f>_xlfn.IFS(AND($AI23=$AM23,$AI23&gt;0,$AM23&gt;0,CL23&gt;0), CL23,     AND(NOT($AI23=$AM23),$AI23&gt;0,$AM23&gt;0,CL23&gt;0), ($AM23*CL23)/$AI23,     AND($AI23=0,$AM23&gt;0,$AQ23&gt;0), IF(INDEX(CL$12:CL$263,MATCH($AQ23,$AP$12:$AP$263,0))&gt;0,($AM23*INDEX(CL$12:CL$263,MATCH($AQ23,$AP$12:$AP$263,0)))/INDEX($AI$12:$AI$263,MATCH($AQ23,$AP$12:$AP$263,0)), "-"),     TRUE, "0")</f>
        <v>0</v>
      </c>
      <c r="CN23" s="588">
        <f>IF(CM$9&gt;0, IF(OR(CM23="",CM23="-"), 0, CM23*$AT23), CL23*$AJ23)</f>
        <v>0</v>
      </c>
      <c r="CO23" s="587">
        <f>[1]COMMANDE!AS21</f>
        <v>0</v>
      </c>
      <c r="CP23" s="586" t="str">
        <f>_xlfn.IFS(AND($AI23=$AM23,$AI23&gt;0,$AM23&gt;0,CO23&gt;0), CO23,     AND(NOT($AI23=$AM23),$AI23&gt;0,$AM23&gt;0,CO23&gt;0), ($AM23*CO23)/$AI23,     AND($AI23=0,$AM23&gt;0,$AQ23&gt;0), IF(INDEX(CO$12:CO$263,MATCH($AQ23,$AP$12:$AP$263,0))&gt;0,($AM23*INDEX(CO$12:CO$263,MATCH($AQ23,$AP$12:$AP$263,0)))/INDEX($AI$12:$AI$263,MATCH($AQ23,$AP$12:$AP$263,0)), "-"),     TRUE, "0")</f>
        <v>0</v>
      </c>
      <c r="CQ23" s="607">
        <f>IF(CP$9&gt;0, IF(OR(CP23="",CP23="-"), 0, CP23*$AT23), CO23*$AJ23)</f>
        <v>0</v>
      </c>
      <c r="CR23" s="589">
        <f>[1]COMMANDE!AU21</f>
        <v>0</v>
      </c>
      <c r="CS23" s="586" t="str">
        <f>_xlfn.IFS(AND($AI23=$AM23,$AI23&gt;0,$AM23&gt;0,CR23&gt;0), CR23,     AND(NOT($AI23=$AM23),$AI23&gt;0,$AM23&gt;0,CR23&gt;0), ($AM23*CR23)/$AI23,     AND($AI23=0,$AM23&gt;0,$AQ23&gt;0), IF(INDEX(CR$12:CR$263,MATCH($AQ23,$AP$12:$AP$263,0))&gt;0,($AM23*INDEX(CR$12:CR$263,MATCH($AQ23,$AP$12:$AP$263,0)))/INDEX($AI$12:$AI$263,MATCH($AQ23,$AP$12:$AP$263,0)), "-"),     TRUE, "0")</f>
        <v>0</v>
      </c>
      <c r="CT23" s="588">
        <f>IF(CS$9&gt;0, IF(OR(CS23="",CS23="-"), 0, CS23*$AT23), CR23*$AJ23)</f>
        <v>0</v>
      </c>
      <c r="CU23" s="587">
        <f>[1]COMMANDE!AW21</f>
        <v>0</v>
      </c>
      <c r="CV23" s="586" t="str">
        <f>_xlfn.IFS(AND($AI23=$AM23,$AI23&gt;0,$AM23&gt;0,CU23&gt;0), CU23,     AND(NOT($AI23=$AM23),$AI23&gt;0,$AM23&gt;0,CU23&gt;0), ($AM23*CU23)/$AI23,     AND($AI23=0,$AM23&gt;0,$AQ23&gt;0), IF(INDEX(CU$12:CU$263,MATCH($AQ23,$AP$12:$AP$263,0))&gt;0,($AM23*INDEX(CU$12:CU$263,MATCH($AQ23,$AP$12:$AP$263,0)))/INDEX($AI$12:$AI$263,MATCH($AQ23,$AP$12:$AP$263,0)), "-"),     TRUE, "0")</f>
        <v>0</v>
      </c>
      <c r="CW23" s="607">
        <f>IF(CV$9&gt;0, IF(OR(CV23="",CV23="-"), 0, CV23*$AT23), CU23*$AJ23)</f>
        <v>0</v>
      </c>
      <c r="CX23" s="589">
        <f>[1]COMMANDE!AY21</f>
        <v>0</v>
      </c>
      <c r="CY23" s="586" t="str">
        <f>_xlfn.IFS(AND($AI23=$AM23,$AI23&gt;0,$AM23&gt;0,CX23&gt;0), CX23,     AND(NOT($AI23=$AM23),$AI23&gt;0,$AM23&gt;0,CX23&gt;0), ($AM23*CX23)/$AI23,     AND($AI23=0,$AM23&gt;0,$AQ23&gt;0), IF(INDEX(CX$12:CX$263,MATCH($AQ23,$AP$12:$AP$263,0))&gt;0,($AM23*INDEX(CX$12:CX$263,MATCH($AQ23,$AP$12:$AP$263,0)))/INDEX($AI$12:$AI$263,MATCH($AQ23,$AP$12:$AP$263,0)), "-"),     TRUE, "0")</f>
        <v>0</v>
      </c>
      <c r="CZ23" s="588">
        <f>IF(CY$9&gt;0, IF(OR(CY23="",CY23="-"), 0, CY23*$AT23), CX23*$AJ23)</f>
        <v>0</v>
      </c>
      <c r="DA23" s="587">
        <f>[1]COMMANDE!BA21</f>
        <v>0</v>
      </c>
      <c r="DB23" s="586" t="str">
        <f>_xlfn.IFS(AND($AI23=$AM23,$AI23&gt;0,$AM23&gt;0,DA23&gt;0), DA23,     AND(NOT($AI23=$AM23),$AI23&gt;0,$AM23&gt;0,DA23&gt;0), ($AM23*DA23)/$AI23,     AND($AI23=0,$AM23&gt;0,$AQ23&gt;0), IF(INDEX(DA$12:DA$263,MATCH($AQ23,$AP$12:$AP$263,0))&gt;0,($AM23*INDEX(DA$12:DA$263,MATCH($AQ23,$AP$12:$AP$263,0)))/INDEX($AI$12:$AI$263,MATCH($AQ23,$AP$12:$AP$263,0)), "-"),     TRUE, "0")</f>
        <v>0</v>
      </c>
      <c r="DC23" s="606">
        <f>IF(DB$9&gt;0, IF(OR(DB23="",DB23="-"), 0, DB23*$AT23), DA23*$AJ23)</f>
        <v>0</v>
      </c>
      <c r="DD23" s="584"/>
      <c r="DE23" s="583"/>
    </row>
    <row r="24" spans="1:109" ht="39.950000000000003" hidden="1" customHeight="1">
      <c r="A24" s="604">
        <f>IF(OR($AV24&gt;0, $AX24&gt;0), 1, 0)</f>
        <v>0</v>
      </c>
      <c r="B24" s="604">
        <f>IF(OR($AY24&gt;0, $BA24&gt;0), 1, 0)</f>
        <v>0</v>
      </c>
      <c r="C24" s="604">
        <f>IF(OR($BB24&gt;0, $BD24&gt;0), 1, 0)</f>
        <v>0</v>
      </c>
      <c r="D24" s="604">
        <f>IF(OR($BE24&gt;0, $BG24&gt;0), 1, 0)</f>
        <v>0</v>
      </c>
      <c r="E24" s="604">
        <f>IF(OR($BH24&gt;0, $BJ24&gt;0), 1, 0)</f>
        <v>0</v>
      </c>
      <c r="F24" s="604">
        <f>IF(OR($BK24&gt;0, $BM24&gt;0), 1, 0)</f>
        <v>0</v>
      </c>
      <c r="G24" s="604">
        <f>IF(OR($BN24&gt;0, $BP24&gt;0), 1, 0)</f>
        <v>0</v>
      </c>
      <c r="H24" s="604">
        <f>IF(OR($BQ24&gt;0, $BS24&gt;0), 1, 0)</f>
        <v>0</v>
      </c>
      <c r="I24" s="604">
        <f>IF(OR($BT24&gt;0, $BV24&gt;0), 1, 0)</f>
        <v>0</v>
      </c>
      <c r="J24" s="604">
        <f>IF(OR($BW24&gt;0, $BY24&gt;0), 1, 0)</f>
        <v>0</v>
      </c>
      <c r="K24" s="604">
        <f>IF(OR($BZ24&gt;0, $CB24&gt;0), 1, 0)</f>
        <v>0</v>
      </c>
      <c r="L24" s="604">
        <f>IF(OR($CC24&gt;0, $CE24&gt;0), 1, 0)</f>
        <v>0</v>
      </c>
      <c r="M24" s="604">
        <f>IF(OR($CF24&gt;0, $CH24&gt;0), 1, 0)</f>
        <v>0</v>
      </c>
      <c r="N24" s="604">
        <f>IF(OR($CI24&gt;0, $CK24&gt;0), 1, 0)</f>
        <v>0</v>
      </c>
      <c r="O24" s="604">
        <f>IF(OR($CL24&gt;0, $CN24&gt;0), 1, 0)</f>
        <v>0</v>
      </c>
      <c r="P24" s="604">
        <f>IF(OR($CO24&gt;0, $CQ24&gt;0), 1, 0)</f>
        <v>0</v>
      </c>
      <c r="Q24" s="604">
        <f>IF(OR($CR24&gt;0, $CT24&gt;0), 1, 0)</f>
        <v>0</v>
      </c>
      <c r="R24" s="604">
        <f>IF(OR($CU24&gt;0, $CW24&gt;0), 1, 0)</f>
        <v>0</v>
      </c>
      <c r="S24" s="604">
        <f>IF(OR($CX24&gt;0, $CZ24&gt;0), 1, 0)</f>
        <v>0</v>
      </c>
      <c r="T24" s="604">
        <f>IF(OR($DA24&gt;0, $DC24&gt;0), 1, 0)</f>
        <v>0</v>
      </c>
      <c r="U24" s="603">
        <f>IF(OR($AI24&gt;0,$AM24&gt;0,$AS24&gt;0), 1, 0)</f>
        <v>0</v>
      </c>
      <c r="V24" s="602">
        <f>[1]BDD!A14</f>
        <v>5127</v>
      </c>
      <c r="W24" s="601" t="str">
        <f>[1]BDD!B14</f>
        <v>Amande Romera avec coque</v>
      </c>
      <c r="X24" s="600" t="str">
        <f>IF([1]BDD!F14=0, "", [1]BDD!F14)</f>
        <v/>
      </c>
      <c r="Y24" s="542">
        <f>ROUND([1]BDD!G14+FDP_CMD_KG, 2)</f>
        <v>4.5599999999999996</v>
      </c>
      <c r="Z24" s="542">
        <f>ROUND([1]BDD!G14+FDP_FACT_KG, 2)</f>
        <v>4.5599999999999996</v>
      </c>
      <c r="AA24" s="543" t="str">
        <f>[1]BDD!H14</f>
        <v>kg</v>
      </c>
      <c r="AB24" s="544">
        <f>IF(NOT(ISBLANK([1]BDD!I14)), ROUND(SUM(([1]BDD!G14*reduc1),FDP_CMD_KG), 2), "")</f>
        <v>4.1900000000000004</v>
      </c>
      <c r="AC24" s="544" t="str">
        <f>IF(NOT(ISBLANK([1]BDD!J14)), ROUND(SUM(([1]BDD!G14*reduc2),FDP_CMD_KG), 2), "")</f>
        <v/>
      </c>
      <c r="AD24" s="544" t="str">
        <f>IF(NOT(ISBLANK([1]BDD!K14)), ROUND(SUM(([1]BDD!G14*reduc3),FDP_CMD_KG), 2), "")</f>
        <v/>
      </c>
      <c r="AE24" s="544">
        <f>IF(NOT(ISBLANK([1]BDD!I14)), ROUND(SUM(([1]BDD!G14*reduc1),FDP_FACT_KG), 2), "")</f>
        <v>4.1900000000000004</v>
      </c>
      <c r="AF24" s="544" t="str">
        <f>IF(NOT(ISBLANK([1]BDD!J14)), ROUND(SUM(([1]BDD!G14*reduc2),FDP_FACT_KG), 2), "")</f>
        <v/>
      </c>
      <c r="AG24" s="544" t="str">
        <f>IF(NOT(ISBLANK([1]BDD!K14)), ROUND(SUM(([1]BDD!G14*reduc3),FDP_FACT_KG), 2), "")</f>
        <v/>
      </c>
      <c r="AH24" s="599" t="str">
        <f>[1]BDD!C14</f>
        <v>Malaga</v>
      </c>
      <c r="AI24" s="598">
        <f>SUM(AV24,AY24,BB24,BE24,BH24,BK24,BN24,BQ24,BT24,BW24,BZ24,CC24,CF24,CI24,CL24,CO24,CR24,CU24,CX24,DA24)</f>
        <v>0</v>
      </c>
      <c r="AJ24" s="545">
        <f>_xlfn.IFS($AD24&lt;&gt;"", $AD24,    $AC24&lt;&gt;"", $AC24,    $AB24&lt;&gt;"", $AB24,    TRUE, $Y24)</f>
        <v>4.1900000000000004</v>
      </c>
      <c r="AK24" s="592">
        <f>$AI24*$AJ24</f>
        <v>0</v>
      </c>
      <c r="AL24" s="594"/>
      <c r="AM24" s="597"/>
      <c r="AN24" s="545">
        <f>_xlfn.IFS(AND(AM24&gt;=60,$AG24&lt;&gt;""), $AG24,    AND(AM24&gt;=30,$AF24&lt;&gt;""), $AF24,    AND(AM24&gt;=10,$AE24&lt;&gt;""), $AE24,    TRUE, $Z24)</f>
        <v>4.5599999999999996</v>
      </c>
      <c r="AO24" s="596">
        <f>AM24*AN24</f>
        <v>0</v>
      </c>
      <c r="AP24" s="595"/>
      <c r="AQ24" s="595"/>
      <c r="AR24" s="594"/>
      <c r="AS24" s="593">
        <f>SUM(AW24,AZ24,BC24,BF24,BI24,BL24,BO24,BR24,BU24,BX24,CA24,CD24,CG24,CJ24,CM24,CP24,CS24,CV24,CY24,DB24)</f>
        <v>0</v>
      </c>
      <c r="AT24" s="545">
        <f>_xlfn.IFS(AND(AS24&gt;=60,$AG24&lt;&gt;""), $AG24,    AND(AS24&gt;=30,$AF24&lt;&gt;""), $AF24,    AND(AS24&gt;=10,$AE24&lt;&gt;""), $AE24,    TRUE, $Z24)</f>
        <v>4.5599999999999996</v>
      </c>
      <c r="AU24" s="592">
        <f>$AS24*$AT24</f>
        <v>0</v>
      </c>
      <c r="AV24" s="591">
        <f>[1]COMMANDE!O22</f>
        <v>0</v>
      </c>
      <c r="AW24" s="586" t="str">
        <f>_xlfn.IFS(AND($AI24=$AM24,$AI24&gt;0,$AM24&gt;0,AV24&gt;0), AV24,     AND(NOT($AI24=$AM24),$AI24&gt;0,$AM24&gt;0,AV24&gt;0), ($AM24*AV24)/$AI24,     AND($AI24=0,$AM24&gt;0,$AQ24&gt;0), IF(INDEX(AV$12:AV$263,MATCH($AQ24,$AP$12:$AP$263,0))&gt;0,($AM24*INDEX(AV$12:AV$263,MATCH($AQ24,$AP$12:$AP$263,0)))/INDEX($AI$12:$AI$263,MATCH($AQ24,$AP$12:$AP$263,0)), "-"),     TRUE, "0")</f>
        <v>0</v>
      </c>
      <c r="AX24" s="588">
        <f>IF(AW$9&gt;0, IF(OR(AW24="",AW24="-"), 0, AW24*$AT24), AV24*$AJ24)</f>
        <v>0</v>
      </c>
      <c r="AY24" s="587">
        <f>[1]COMMANDE!Q22</f>
        <v>0</v>
      </c>
      <c r="AZ24" s="586" t="str">
        <f>_xlfn.IFS(AND($AI24=$AM24,$AI24&gt;0,$AM24&gt;0,AY24&gt;0), AY24,     AND(NOT($AI24=$AM24),$AI24&gt;0,$AM24&gt;0,AY24&gt;0), ($AM24*AY24)/$AI24,     AND($AI24=0,$AM24&gt;0,$AQ24&gt;0), IF(INDEX(AY$12:AY$263,MATCH($AQ24,$AP$12:$AP$263,0))&gt;0,($AM24*INDEX(AY$12:AY$263,MATCH($AQ24,$AP$12:$AP$263,0)))/INDEX($AI$12:$AI$263,MATCH($AQ24,$AP$12:$AP$263,0)), "-"),     TRUE, "0")</f>
        <v>0</v>
      </c>
      <c r="BA24" s="607">
        <f>IF(AZ$9&gt;0, IF(OR(AZ24="",AZ24="-"), 0, AZ24*$AT24), AY24*$AJ24)</f>
        <v>0</v>
      </c>
      <c r="BB24" s="589">
        <f>[1]COMMANDE!S22</f>
        <v>0</v>
      </c>
      <c r="BC24" s="586" t="str">
        <f>_xlfn.IFS(AND($AI24=$AM24,$AI24&gt;0,$AM24&gt;0,BB24&gt;0), BB24,     AND(NOT($AI24=$AM24),$AI24&gt;0,$AM24&gt;0,BB24&gt;0), ($AM24*BB24)/$AI24,     AND($AI24=0,$AM24&gt;0,$AQ24&gt;0), IF(INDEX(BB$12:BB$263,MATCH($AQ24,$AP$12:$AP$263,0))&gt;0,($AM24*INDEX(BB$12:BB$263,MATCH($AQ24,$AP$12:$AP$263,0)))/INDEX($AI$12:$AI$263,MATCH($AQ24,$AP$12:$AP$263,0)), "-"),     TRUE, "0")</f>
        <v>0</v>
      </c>
      <c r="BD24" s="588">
        <f>IF(BC$9&gt;0, IF(OR(BC24="",BC24="-"), 0, BC24*$AT24), BB24*$AJ24)</f>
        <v>0</v>
      </c>
      <c r="BE24" s="587">
        <f>[1]COMMANDE!U22</f>
        <v>0</v>
      </c>
      <c r="BF24" s="586" t="str">
        <f>_xlfn.IFS(AND($AI24=$AM24,$AI24&gt;0,$AM24&gt;0,BE24&gt;0), BE24,     AND(NOT($AI24=$AM24),$AI24&gt;0,$AM24&gt;0,BE24&gt;0), ($AM24*BE24)/$AI24,     AND($AI24=0,$AM24&gt;0,$AQ24&gt;0), IF(INDEX(BE$12:BE$263,MATCH($AQ24,$AP$12:$AP$263,0))&gt;0,($AM24*INDEX(BE$12:BE$263,MATCH($AQ24,$AP$12:$AP$263,0)))/INDEX($AI$12:$AI$263,MATCH($AQ24,$AP$12:$AP$263,0)), "-"),     TRUE, "0")</f>
        <v>0</v>
      </c>
      <c r="BG24" s="607">
        <f>IF(BF$9&gt;0, IF(OR(BF24="",BF24="-"), 0, BF24*$AT24), BE24*$AJ24)</f>
        <v>0</v>
      </c>
      <c r="BH24" s="589">
        <f>[1]COMMANDE!W22</f>
        <v>0</v>
      </c>
      <c r="BI24" s="586" t="str">
        <f>_xlfn.IFS(AND($AI24=$AM24,$AI24&gt;0,$AM24&gt;0,BH24&gt;0), BH24,     AND(NOT($AI24=$AM24),$AI24&gt;0,$AM24&gt;0,BH24&gt;0), ($AM24*BH24)/$AI24,     AND($AI24=0,$AM24&gt;0,$AQ24&gt;0), IF(INDEX(BH$12:BH$263,MATCH($AQ24,$AP$12:$AP$263,0))&gt;0,($AM24*INDEX(BH$12:BH$263,MATCH($AQ24,$AP$12:$AP$263,0)))/INDEX($AI$12:$AI$263,MATCH($AQ24,$AP$12:$AP$263,0)), "-"),     TRUE, "0")</f>
        <v>0</v>
      </c>
      <c r="BJ24" s="588">
        <f>IF(BI$9&gt;0, IF(OR(BI24="",BI24="-"), 0, BI24*$AT24), BH24*$AJ24)</f>
        <v>0</v>
      </c>
      <c r="BK24" s="587">
        <f>[1]COMMANDE!Y22</f>
        <v>0</v>
      </c>
      <c r="BL24" s="586" t="str">
        <f>_xlfn.IFS(AND($AI24=$AM24,$AI24&gt;0,$AM24&gt;0,BK24&gt;0), BK24,     AND(NOT($AI24=$AM24),$AI24&gt;0,$AM24&gt;0,BK24&gt;0), ($AM24*BK24)/$AI24,     AND($AI24=0,$AM24&gt;0,$AQ24&gt;0), IF(INDEX(BK$12:BK$263,MATCH($AQ24,$AP$12:$AP$263,0))&gt;0,($AM24*INDEX(BK$12:BK$263,MATCH($AQ24,$AP$12:$AP$263,0)))/INDEX($AI$12:$AI$263,MATCH($AQ24,$AP$12:$AP$263,0)), "-"),     TRUE, "0")</f>
        <v>0</v>
      </c>
      <c r="BM24" s="607">
        <f>IF(BL$9&gt;0, IF(OR(BL24="",BL24="-"), 0, BL24*$AT24), BK24*$AJ24)</f>
        <v>0</v>
      </c>
      <c r="BN24" s="589">
        <f>[1]COMMANDE!AA22</f>
        <v>0</v>
      </c>
      <c r="BO24" s="586" t="str">
        <f>_xlfn.IFS(AND($AI24=$AM24,$AI24&gt;0,$AM24&gt;0,BN24&gt;0), BN24,     AND(NOT($AI24=$AM24),$AI24&gt;0,$AM24&gt;0,BN24&gt;0), ($AM24*BN24)/$AI24,     AND($AI24=0,$AM24&gt;0,$AQ24&gt;0), IF(INDEX(BN$12:BN$263,MATCH($AQ24,$AP$12:$AP$263,0))&gt;0,($AM24*INDEX(BN$12:BN$263,MATCH($AQ24,$AP$12:$AP$263,0)))/INDEX($AI$12:$AI$263,MATCH($AQ24,$AP$12:$AP$263,0)), "-"),     TRUE, "0")</f>
        <v>0</v>
      </c>
      <c r="BP24" s="588">
        <f>IF(BO$9&gt;0, IF(OR(BO24="",BO24="-"), 0, BO24*$AT24), BN24*$AJ24)</f>
        <v>0</v>
      </c>
      <c r="BQ24" s="587">
        <f>[1]COMMANDE!AC22</f>
        <v>0</v>
      </c>
      <c r="BR24" s="586" t="str">
        <f>_xlfn.IFS(AND($AI24=$AM24,$AI24&gt;0,$AM24&gt;0,BQ24&gt;0), BQ24,     AND(NOT($AI24=$AM24),$AI24&gt;0,$AM24&gt;0,BQ24&gt;0), ($AM24*BQ24)/$AI24,     AND($AI24=0,$AM24&gt;0,$AQ24&gt;0), IF(INDEX(BQ$12:BQ$263,MATCH($AQ24,$AP$12:$AP$263,0))&gt;0,($AM24*INDEX(BQ$12:BQ$263,MATCH($AQ24,$AP$12:$AP$263,0)))/INDEX($AI$12:$AI$263,MATCH($AQ24,$AP$12:$AP$263,0)), "-"),     TRUE, "0")</f>
        <v>0</v>
      </c>
      <c r="BS24" s="607">
        <f>IF(BR$9&gt;0, IF(OR(BR24="",BR24="-"), 0, BR24*$AT24), BQ24*$AJ24)</f>
        <v>0</v>
      </c>
      <c r="BT24" s="589">
        <f>[1]COMMANDE!AE22</f>
        <v>0</v>
      </c>
      <c r="BU24" s="586" t="str">
        <f>_xlfn.IFS(AND($AI24=$AM24,$AI24&gt;0,$AM24&gt;0,BT24&gt;0), BT24,     AND(NOT($AI24=$AM24),$AI24&gt;0,$AM24&gt;0,BT24&gt;0), ($AM24*BT24)/$AI24,     AND($AI24=0,$AM24&gt;0,$AQ24&gt;0), IF(INDEX(BT$12:BT$263,MATCH($AQ24,$AP$12:$AP$263,0))&gt;0,($AM24*INDEX(BT$12:BT$263,MATCH($AQ24,$AP$12:$AP$263,0)))/INDEX($AI$12:$AI$263,MATCH($AQ24,$AP$12:$AP$263,0)), "-"),     TRUE, "0")</f>
        <v>0</v>
      </c>
      <c r="BV24" s="588">
        <f>IF(BU$9&gt;0, IF(OR(BU24="",BU24="-"), 0, BU24*$AT24), BT24*$AJ24)</f>
        <v>0</v>
      </c>
      <c r="BW24" s="587">
        <f>[1]COMMANDE!AG22</f>
        <v>0</v>
      </c>
      <c r="BX24" s="586" t="str">
        <f>_xlfn.IFS(AND($AI24=$AM24,$AI24&gt;0,$AM24&gt;0,BW24&gt;0), BW24,     AND(NOT($AI24=$AM24),$AI24&gt;0,$AM24&gt;0,BW24&gt;0), ($AM24*BW24)/$AI24,     AND($AI24=0,$AM24&gt;0,$AQ24&gt;0), IF(INDEX(BW$12:BW$263,MATCH($AQ24,$AP$12:$AP$263,0))&gt;0,($AM24*INDEX(BW$12:BW$263,MATCH($AQ24,$AP$12:$AP$263,0)))/INDEX($AI$12:$AI$263,MATCH($AQ24,$AP$12:$AP$263,0)), "-"),     TRUE, "0")</f>
        <v>0</v>
      </c>
      <c r="BY24" s="607">
        <f>IF(BX$9&gt;0, IF(OR(BX24="",BX24="-"), 0, BX24*$AT24), BW24*$AJ24)</f>
        <v>0</v>
      </c>
      <c r="BZ24" s="589">
        <f>[1]COMMANDE!AI22</f>
        <v>0</v>
      </c>
      <c r="CA24" s="586" t="str">
        <f>_xlfn.IFS(AND($AI24=$AM24,$AI24&gt;0,$AM24&gt;0,BZ24&gt;0), BZ24,     AND(NOT($AI24=$AM24),$AI24&gt;0,$AM24&gt;0,BZ24&gt;0), ($AM24*BZ24)/$AI24,     AND($AI24=0,$AM24&gt;0,$AQ24&gt;0), IF(INDEX(BZ$12:BZ$263,MATCH($AQ24,$AP$12:$AP$263,0))&gt;0,($AM24*INDEX(BZ$12:BZ$263,MATCH($AQ24,$AP$12:$AP$263,0)))/INDEX($AI$12:$AI$263,MATCH($AQ24,$AP$12:$AP$263,0)), "-"),     TRUE, "0")</f>
        <v>0</v>
      </c>
      <c r="CB24" s="588">
        <f>IF(CA$9&gt;0, IF(OR(CA24="",CA24="-"), 0, CA24*$AT24), BZ24*$AJ24)</f>
        <v>0</v>
      </c>
      <c r="CC24" s="587">
        <f>[1]COMMANDE!AK22</f>
        <v>0</v>
      </c>
      <c r="CD24" s="586" t="str">
        <f>_xlfn.IFS(AND($AI24=$AM24,$AI24&gt;0,$AM24&gt;0,CC24&gt;0), CC24,     AND(NOT($AI24=$AM24),$AI24&gt;0,$AM24&gt;0,CC24&gt;0), ($AM24*CC24)/$AI24,     AND($AI24=0,$AM24&gt;0,$AQ24&gt;0), IF(INDEX(CC$12:CC$263,MATCH($AQ24,$AP$12:$AP$263,0))&gt;0,($AM24*INDEX(CC$12:CC$263,MATCH($AQ24,$AP$12:$AP$263,0)))/INDEX($AI$12:$AI$263,MATCH($AQ24,$AP$12:$AP$263,0)), "-"),     TRUE, "0")</f>
        <v>0</v>
      </c>
      <c r="CE24" s="607">
        <f>IF(CD$9&gt;0, IF(OR(CD24="",CD24="-"), 0, CD24*$AT24), CC24*$AJ24)</f>
        <v>0</v>
      </c>
      <c r="CF24" s="589">
        <f>[1]COMMANDE!AM22</f>
        <v>0</v>
      </c>
      <c r="CG24" s="586" t="str">
        <f>_xlfn.IFS(AND($AI24=$AM24,$AI24&gt;0,$AM24&gt;0,CF24&gt;0), CF24,     AND(NOT($AI24=$AM24),$AI24&gt;0,$AM24&gt;0,CF24&gt;0), ($AM24*CF24)/$AI24,     AND($AI24=0,$AM24&gt;0,$AQ24&gt;0), IF(INDEX(CF$12:CF$263,MATCH($AQ24,$AP$12:$AP$263,0))&gt;0,($AM24*INDEX(CF$12:CF$263,MATCH($AQ24,$AP$12:$AP$263,0)))/INDEX($AI$12:$AI$263,MATCH($AQ24,$AP$12:$AP$263,0)), "-"),     TRUE, "0")</f>
        <v>0</v>
      </c>
      <c r="CH24" s="588">
        <f>IF(CG$9&gt;0, IF(OR(CG24="",CG24="-"), 0, CG24*$AT24), CF24*$AJ24)</f>
        <v>0</v>
      </c>
      <c r="CI24" s="587">
        <f>[1]COMMANDE!AO22</f>
        <v>0</v>
      </c>
      <c r="CJ24" s="586" t="str">
        <f>_xlfn.IFS(AND($AI24=$AM24,$AI24&gt;0,$AM24&gt;0,CI24&gt;0), CI24,     AND(NOT($AI24=$AM24),$AI24&gt;0,$AM24&gt;0,CI24&gt;0), ($AM24*CI24)/$AI24,     AND($AI24=0,$AM24&gt;0,$AQ24&gt;0), IF(INDEX(CI$12:CI$263,MATCH($AQ24,$AP$12:$AP$263,0))&gt;0,($AM24*INDEX(CI$12:CI$263,MATCH($AQ24,$AP$12:$AP$263,0)))/INDEX($AI$12:$AI$263,MATCH($AQ24,$AP$12:$AP$263,0)), "-"),     TRUE, "0")</f>
        <v>0</v>
      </c>
      <c r="CK24" s="607">
        <f>IF(CJ$9&gt;0, IF(OR(CJ24="",CJ24="-"), 0, CJ24*$AT24), CI24*$AJ24)</f>
        <v>0</v>
      </c>
      <c r="CL24" s="589">
        <f>[1]COMMANDE!AQ22</f>
        <v>0</v>
      </c>
      <c r="CM24" s="586" t="str">
        <f>_xlfn.IFS(AND($AI24=$AM24,$AI24&gt;0,$AM24&gt;0,CL24&gt;0), CL24,     AND(NOT($AI24=$AM24),$AI24&gt;0,$AM24&gt;0,CL24&gt;0), ($AM24*CL24)/$AI24,     AND($AI24=0,$AM24&gt;0,$AQ24&gt;0), IF(INDEX(CL$12:CL$263,MATCH($AQ24,$AP$12:$AP$263,0))&gt;0,($AM24*INDEX(CL$12:CL$263,MATCH($AQ24,$AP$12:$AP$263,0)))/INDEX($AI$12:$AI$263,MATCH($AQ24,$AP$12:$AP$263,0)), "-"),     TRUE, "0")</f>
        <v>0</v>
      </c>
      <c r="CN24" s="588">
        <f>IF(CM$9&gt;0, IF(OR(CM24="",CM24="-"), 0, CM24*$AT24), CL24*$AJ24)</f>
        <v>0</v>
      </c>
      <c r="CO24" s="587">
        <f>[1]COMMANDE!AS22</f>
        <v>0</v>
      </c>
      <c r="CP24" s="586" t="str">
        <f>_xlfn.IFS(AND($AI24=$AM24,$AI24&gt;0,$AM24&gt;0,CO24&gt;0), CO24,     AND(NOT($AI24=$AM24),$AI24&gt;0,$AM24&gt;0,CO24&gt;0), ($AM24*CO24)/$AI24,     AND($AI24=0,$AM24&gt;0,$AQ24&gt;0), IF(INDEX(CO$12:CO$263,MATCH($AQ24,$AP$12:$AP$263,0))&gt;0,($AM24*INDEX(CO$12:CO$263,MATCH($AQ24,$AP$12:$AP$263,0)))/INDEX($AI$12:$AI$263,MATCH($AQ24,$AP$12:$AP$263,0)), "-"),     TRUE, "0")</f>
        <v>0</v>
      </c>
      <c r="CQ24" s="607">
        <f>IF(CP$9&gt;0, IF(OR(CP24="",CP24="-"), 0, CP24*$AT24), CO24*$AJ24)</f>
        <v>0</v>
      </c>
      <c r="CR24" s="589">
        <f>[1]COMMANDE!AU22</f>
        <v>0</v>
      </c>
      <c r="CS24" s="586" t="str">
        <f>_xlfn.IFS(AND($AI24=$AM24,$AI24&gt;0,$AM24&gt;0,CR24&gt;0), CR24,     AND(NOT($AI24=$AM24),$AI24&gt;0,$AM24&gt;0,CR24&gt;0), ($AM24*CR24)/$AI24,     AND($AI24=0,$AM24&gt;0,$AQ24&gt;0), IF(INDEX(CR$12:CR$263,MATCH($AQ24,$AP$12:$AP$263,0))&gt;0,($AM24*INDEX(CR$12:CR$263,MATCH($AQ24,$AP$12:$AP$263,0)))/INDEX($AI$12:$AI$263,MATCH($AQ24,$AP$12:$AP$263,0)), "-"),     TRUE, "0")</f>
        <v>0</v>
      </c>
      <c r="CT24" s="588">
        <f>IF(CS$9&gt;0, IF(OR(CS24="",CS24="-"), 0, CS24*$AT24), CR24*$AJ24)</f>
        <v>0</v>
      </c>
      <c r="CU24" s="587">
        <f>[1]COMMANDE!AW22</f>
        <v>0</v>
      </c>
      <c r="CV24" s="586" t="str">
        <f>_xlfn.IFS(AND($AI24=$AM24,$AI24&gt;0,$AM24&gt;0,CU24&gt;0), CU24,     AND(NOT($AI24=$AM24),$AI24&gt;0,$AM24&gt;0,CU24&gt;0), ($AM24*CU24)/$AI24,     AND($AI24=0,$AM24&gt;0,$AQ24&gt;0), IF(INDEX(CU$12:CU$263,MATCH($AQ24,$AP$12:$AP$263,0))&gt;0,($AM24*INDEX(CU$12:CU$263,MATCH($AQ24,$AP$12:$AP$263,0)))/INDEX($AI$12:$AI$263,MATCH($AQ24,$AP$12:$AP$263,0)), "-"),     TRUE, "0")</f>
        <v>0</v>
      </c>
      <c r="CW24" s="607">
        <f>IF(CV$9&gt;0, IF(OR(CV24="",CV24="-"), 0, CV24*$AT24), CU24*$AJ24)</f>
        <v>0</v>
      </c>
      <c r="CX24" s="589">
        <f>[1]COMMANDE!AY22</f>
        <v>0</v>
      </c>
      <c r="CY24" s="586" t="str">
        <f>_xlfn.IFS(AND($AI24=$AM24,$AI24&gt;0,$AM24&gt;0,CX24&gt;0), CX24,     AND(NOT($AI24=$AM24),$AI24&gt;0,$AM24&gt;0,CX24&gt;0), ($AM24*CX24)/$AI24,     AND($AI24=0,$AM24&gt;0,$AQ24&gt;0), IF(INDEX(CX$12:CX$263,MATCH($AQ24,$AP$12:$AP$263,0))&gt;0,($AM24*INDEX(CX$12:CX$263,MATCH($AQ24,$AP$12:$AP$263,0)))/INDEX($AI$12:$AI$263,MATCH($AQ24,$AP$12:$AP$263,0)), "-"),     TRUE, "0")</f>
        <v>0</v>
      </c>
      <c r="CZ24" s="588">
        <f>IF(CY$9&gt;0, IF(OR(CY24="",CY24="-"), 0, CY24*$AT24), CX24*$AJ24)</f>
        <v>0</v>
      </c>
      <c r="DA24" s="587">
        <f>[1]COMMANDE!BA22</f>
        <v>0</v>
      </c>
      <c r="DB24" s="586" t="str">
        <f>_xlfn.IFS(AND($AI24=$AM24,$AI24&gt;0,$AM24&gt;0,DA24&gt;0), DA24,     AND(NOT($AI24=$AM24),$AI24&gt;0,$AM24&gt;0,DA24&gt;0), ($AM24*DA24)/$AI24,     AND($AI24=0,$AM24&gt;0,$AQ24&gt;0), IF(INDEX(DA$12:DA$263,MATCH($AQ24,$AP$12:$AP$263,0))&gt;0,($AM24*INDEX(DA$12:DA$263,MATCH($AQ24,$AP$12:$AP$263,0)))/INDEX($AI$12:$AI$263,MATCH($AQ24,$AP$12:$AP$263,0)), "-"),     TRUE, "0")</f>
        <v>0</v>
      </c>
      <c r="DC24" s="606">
        <f>IF(DB$9&gt;0, IF(OR(DB24="",DB24="-"), 0, DB24*$AT24), DA24*$AJ24)</f>
        <v>0</v>
      </c>
      <c r="DD24" s="584"/>
      <c r="DE24" s="583"/>
    </row>
    <row r="25" spans="1:109" ht="39.950000000000003" hidden="1" customHeight="1">
      <c r="A25" s="604">
        <f>IF(OR($AV25&gt;0, $AX25&gt;0), 1, 0)</f>
        <v>0</v>
      </c>
      <c r="B25" s="604">
        <f>IF(OR($AY25&gt;0, $BA25&gt;0), 1, 0)</f>
        <v>0</v>
      </c>
      <c r="C25" s="604">
        <f>IF(OR($BB25&gt;0, $BD25&gt;0), 1, 0)</f>
        <v>0</v>
      </c>
      <c r="D25" s="604">
        <f>IF(OR($BE25&gt;0, $BG25&gt;0), 1, 0)</f>
        <v>0</v>
      </c>
      <c r="E25" s="604">
        <f>IF(OR($BH25&gt;0, $BJ25&gt;0), 1, 0)</f>
        <v>0</v>
      </c>
      <c r="F25" s="604">
        <f>IF(OR($BK25&gt;0, $BM25&gt;0), 1, 0)</f>
        <v>0</v>
      </c>
      <c r="G25" s="604">
        <f>IF(OR($BN25&gt;0, $BP25&gt;0), 1, 0)</f>
        <v>0</v>
      </c>
      <c r="H25" s="604">
        <f>IF(OR($BQ25&gt;0, $BS25&gt;0), 1, 0)</f>
        <v>0</v>
      </c>
      <c r="I25" s="604">
        <f>IF(OR($BT25&gt;0, $BV25&gt;0), 1, 0)</f>
        <v>0</v>
      </c>
      <c r="J25" s="604">
        <f>IF(OR($BW25&gt;0, $BY25&gt;0), 1, 0)</f>
        <v>0</v>
      </c>
      <c r="K25" s="604">
        <f>IF(OR($BZ25&gt;0, $CB25&gt;0), 1, 0)</f>
        <v>0</v>
      </c>
      <c r="L25" s="604">
        <f>IF(OR($CC25&gt;0, $CE25&gt;0), 1, 0)</f>
        <v>0</v>
      </c>
      <c r="M25" s="604">
        <f>IF(OR($CF25&gt;0, $CH25&gt;0), 1, 0)</f>
        <v>0</v>
      </c>
      <c r="N25" s="604">
        <f>IF(OR($CI25&gt;0, $CK25&gt;0), 1, 0)</f>
        <v>0</v>
      </c>
      <c r="O25" s="604">
        <f>IF(OR($CL25&gt;0, $CN25&gt;0), 1, 0)</f>
        <v>0</v>
      </c>
      <c r="P25" s="604">
        <f>IF(OR($CO25&gt;0, $CQ25&gt;0), 1, 0)</f>
        <v>0</v>
      </c>
      <c r="Q25" s="604">
        <f>IF(OR($CR25&gt;0, $CT25&gt;0), 1, 0)</f>
        <v>0</v>
      </c>
      <c r="R25" s="604">
        <f>IF(OR($CU25&gt;0, $CW25&gt;0), 1, 0)</f>
        <v>0</v>
      </c>
      <c r="S25" s="604">
        <f>IF(OR($CX25&gt;0, $CZ25&gt;0), 1, 0)</f>
        <v>0</v>
      </c>
      <c r="T25" s="604">
        <f>IF(OR($DA25&gt;0, $DC25&gt;0), 1, 0)</f>
        <v>0</v>
      </c>
      <c r="U25" s="603">
        <f>IF(OR($AI25&gt;0,$AM25&gt;0,$AS25&gt;0), 1, 0)</f>
        <v>0</v>
      </c>
      <c r="V25" s="602">
        <f>[1]BDD!A15</f>
        <v>1197</v>
      </c>
      <c r="W25" s="601" t="str">
        <f>[1]BDD!B15</f>
        <v>Amande sans coque CRU BIO (env. 1kg)</v>
      </c>
      <c r="X25" s="600" t="str">
        <f>IF([1]BDD!F15=0, "", [1]BDD!F15)</f>
        <v>❤️</v>
      </c>
      <c r="Y25" s="542">
        <f>ROUND([1]BDD!G15+FDP_CMD_KG, 2)</f>
        <v>25.5</v>
      </c>
      <c r="Z25" s="542">
        <f>ROUND([1]BDD!G15+FDP_FACT_KG, 2)</f>
        <v>25.5</v>
      </c>
      <c r="AA25" s="543" t="str">
        <f>[1]BDD!H15</f>
        <v>Pièce</v>
      </c>
      <c r="AB25" s="544">
        <f>IF(NOT(ISBLANK([1]BDD!I15)), ROUND(SUM(([1]BDD!G15*reduc1),FDP_CMD_KG), 2), "")</f>
        <v>23.04</v>
      </c>
      <c r="AC25" s="544" t="str">
        <f>IF(NOT(ISBLANK([1]BDD!J15)), ROUND(SUM(([1]BDD!G15*reduc2),FDP_CMD_KG), 2), "")</f>
        <v/>
      </c>
      <c r="AD25" s="544" t="str">
        <f>IF(NOT(ISBLANK([1]BDD!K15)), ROUND(SUM(([1]BDD!G15*reduc3),FDP_CMD_KG), 2), "")</f>
        <v/>
      </c>
      <c r="AE25" s="544">
        <f>IF(NOT(ISBLANK([1]BDD!I15)), ROUND(SUM(([1]BDD!G15*reduc1),FDP_FACT_KG), 2), "")</f>
        <v>23.03</v>
      </c>
      <c r="AF25" s="544" t="str">
        <f>IF(NOT(ISBLANK([1]BDD!J15)), ROUND(SUM(([1]BDD!G15*reduc2),FDP_FACT_KG), 2), "")</f>
        <v/>
      </c>
      <c r="AG25" s="544" t="str">
        <f>IF(NOT(ISBLANK([1]BDD!K15)), ROUND(SUM(([1]BDD!G15*reduc3),FDP_FACT_KG), 2), "")</f>
        <v/>
      </c>
      <c r="AH25" s="599" t="str">
        <f>[1]BDD!C15</f>
        <v>Grenade</v>
      </c>
      <c r="AI25" s="598">
        <f>SUM(AV25,AY25,BB25,BE25,BH25,BK25,BN25,BQ25,BT25,BW25,BZ25,CC25,CF25,CI25,CL25,CO25,CR25,CU25,CX25,DA25)</f>
        <v>0</v>
      </c>
      <c r="AJ25" s="545">
        <f>_xlfn.IFS($AD25&lt;&gt;"", $AD25,    $AC25&lt;&gt;"", $AC25,    $AB25&lt;&gt;"", $AB25,    TRUE, $Y25)</f>
        <v>23.04</v>
      </c>
      <c r="AK25" s="592">
        <f>$AI25*$AJ25</f>
        <v>0</v>
      </c>
      <c r="AL25" s="594"/>
      <c r="AM25" s="597"/>
      <c r="AN25" s="545">
        <f>_xlfn.IFS(AND(AM25&gt;=60,$AG25&lt;&gt;""), $AG25,    AND(AM25&gt;=30,$AF25&lt;&gt;""), $AF25,    AND(AM25&gt;=10,$AE25&lt;&gt;""), $AE25,    TRUE, $Z25)</f>
        <v>25.5</v>
      </c>
      <c r="AO25" s="596">
        <f>AM25*AN25</f>
        <v>0</v>
      </c>
      <c r="AP25" s="595"/>
      <c r="AQ25" s="595"/>
      <c r="AR25" s="594"/>
      <c r="AS25" s="593">
        <f>SUM(AW25,AZ25,BC25,BF25,BI25,BL25,BO25,BR25,BU25,BX25,CA25,CD25,CG25,CJ25,CM25,CP25,CS25,CV25,CY25,DB25)</f>
        <v>0</v>
      </c>
      <c r="AT25" s="545">
        <f>_xlfn.IFS(AND(AS25&gt;=60,$AG25&lt;&gt;""), $AG25,    AND(AS25&gt;=30,$AF25&lt;&gt;""), $AF25,    AND(AS25&gt;=10,$AE25&lt;&gt;""), $AE25,    TRUE, $Z25)</f>
        <v>25.5</v>
      </c>
      <c r="AU25" s="592">
        <f>$AS25*$AT25</f>
        <v>0</v>
      </c>
      <c r="AV25" s="591">
        <f>[1]COMMANDE!O23</f>
        <v>0</v>
      </c>
      <c r="AW25" s="586" t="str">
        <f>_xlfn.IFS(AND($AI25=$AM25,$AI25&gt;0,$AM25&gt;0,AV25&gt;0), AV25,     AND(NOT($AI25=$AM25),$AI25&gt;0,$AM25&gt;0,AV25&gt;0), ($AM25*AV25)/$AI25,     AND($AI25=0,$AM25&gt;0,$AQ25&gt;0), IF(INDEX(AV$12:AV$263,MATCH($AQ25,$AP$12:$AP$263,0))&gt;0,($AM25*INDEX(AV$12:AV$263,MATCH($AQ25,$AP$12:$AP$263,0)))/INDEX($AI$12:$AI$263,MATCH($AQ25,$AP$12:$AP$263,0)), "-"),     TRUE, "0")</f>
        <v>0</v>
      </c>
      <c r="AX25" s="588">
        <f>IF(AW$9&gt;0, IF(OR(AW25="",AW25="-"), 0, AW25*$AT25), AV25*$AJ25)</f>
        <v>0</v>
      </c>
      <c r="AY25" s="587">
        <f>[1]COMMANDE!Q23</f>
        <v>0</v>
      </c>
      <c r="AZ25" s="586" t="str">
        <f>_xlfn.IFS(AND($AI25=$AM25,$AI25&gt;0,$AM25&gt;0,AY25&gt;0), AY25,     AND(NOT($AI25=$AM25),$AI25&gt;0,$AM25&gt;0,AY25&gt;0), ($AM25*AY25)/$AI25,     AND($AI25=0,$AM25&gt;0,$AQ25&gt;0), IF(INDEX(AY$12:AY$263,MATCH($AQ25,$AP$12:$AP$263,0))&gt;0,($AM25*INDEX(AY$12:AY$263,MATCH($AQ25,$AP$12:$AP$263,0)))/INDEX($AI$12:$AI$263,MATCH($AQ25,$AP$12:$AP$263,0)), "-"),     TRUE, "0")</f>
        <v>0</v>
      </c>
      <c r="BA25" s="607">
        <f>IF(AZ$9&gt;0, IF(OR(AZ25="",AZ25="-"), 0, AZ25*$AT25), AY25*$AJ25)</f>
        <v>0</v>
      </c>
      <c r="BB25" s="589">
        <f>[1]COMMANDE!S23</f>
        <v>0</v>
      </c>
      <c r="BC25" s="586" t="str">
        <f>_xlfn.IFS(AND($AI25=$AM25,$AI25&gt;0,$AM25&gt;0,BB25&gt;0), BB25,     AND(NOT($AI25=$AM25),$AI25&gt;0,$AM25&gt;0,BB25&gt;0), ($AM25*BB25)/$AI25,     AND($AI25=0,$AM25&gt;0,$AQ25&gt;0), IF(INDEX(BB$12:BB$263,MATCH($AQ25,$AP$12:$AP$263,0))&gt;0,($AM25*INDEX(BB$12:BB$263,MATCH($AQ25,$AP$12:$AP$263,0)))/INDEX($AI$12:$AI$263,MATCH($AQ25,$AP$12:$AP$263,0)), "-"),     TRUE, "0")</f>
        <v>0</v>
      </c>
      <c r="BD25" s="588">
        <f>IF(BC$9&gt;0, IF(OR(BC25="",BC25="-"), 0, BC25*$AT25), BB25*$AJ25)</f>
        <v>0</v>
      </c>
      <c r="BE25" s="587">
        <f>[1]COMMANDE!U23</f>
        <v>0</v>
      </c>
      <c r="BF25" s="586" t="str">
        <f>_xlfn.IFS(AND($AI25=$AM25,$AI25&gt;0,$AM25&gt;0,BE25&gt;0), BE25,     AND(NOT($AI25=$AM25),$AI25&gt;0,$AM25&gt;0,BE25&gt;0), ($AM25*BE25)/$AI25,     AND($AI25=0,$AM25&gt;0,$AQ25&gt;0), IF(INDEX(BE$12:BE$263,MATCH($AQ25,$AP$12:$AP$263,0))&gt;0,($AM25*INDEX(BE$12:BE$263,MATCH($AQ25,$AP$12:$AP$263,0)))/INDEX($AI$12:$AI$263,MATCH($AQ25,$AP$12:$AP$263,0)), "-"),     TRUE, "0")</f>
        <v>0</v>
      </c>
      <c r="BG25" s="607">
        <f>IF(BF$9&gt;0, IF(OR(BF25="",BF25="-"), 0, BF25*$AT25), BE25*$AJ25)</f>
        <v>0</v>
      </c>
      <c r="BH25" s="589">
        <f>[1]COMMANDE!W23</f>
        <v>0</v>
      </c>
      <c r="BI25" s="586" t="str">
        <f>_xlfn.IFS(AND($AI25=$AM25,$AI25&gt;0,$AM25&gt;0,BH25&gt;0), BH25,     AND(NOT($AI25=$AM25),$AI25&gt;0,$AM25&gt;0,BH25&gt;0), ($AM25*BH25)/$AI25,     AND($AI25=0,$AM25&gt;0,$AQ25&gt;0), IF(INDEX(BH$12:BH$263,MATCH($AQ25,$AP$12:$AP$263,0))&gt;0,($AM25*INDEX(BH$12:BH$263,MATCH($AQ25,$AP$12:$AP$263,0)))/INDEX($AI$12:$AI$263,MATCH($AQ25,$AP$12:$AP$263,0)), "-"),     TRUE, "0")</f>
        <v>0</v>
      </c>
      <c r="BJ25" s="588">
        <f>IF(BI$9&gt;0, IF(OR(BI25="",BI25="-"), 0, BI25*$AT25), BH25*$AJ25)</f>
        <v>0</v>
      </c>
      <c r="BK25" s="587">
        <f>[1]COMMANDE!Y23</f>
        <v>0</v>
      </c>
      <c r="BL25" s="586" t="str">
        <f>_xlfn.IFS(AND($AI25=$AM25,$AI25&gt;0,$AM25&gt;0,BK25&gt;0), BK25,     AND(NOT($AI25=$AM25),$AI25&gt;0,$AM25&gt;0,BK25&gt;0), ($AM25*BK25)/$AI25,     AND($AI25=0,$AM25&gt;0,$AQ25&gt;0), IF(INDEX(BK$12:BK$263,MATCH($AQ25,$AP$12:$AP$263,0))&gt;0,($AM25*INDEX(BK$12:BK$263,MATCH($AQ25,$AP$12:$AP$263,0)))/INDEX($AI$12:$AI$263,MATCH($AQ25,$AP$12:$AP$263,0)), "-"),     TRUE, "0")</f>
        <v>0</v>
      </c>
      <c r="BM25" s="607">
        <f>IF(BL$9&gt;0, IF(OR(BL25="",BL25="-"), 0, BL25*$AT25), BK25*$AJ25)</f>
        <v>0</v>
      </c>
      <c r="BN25" s="589">
        <f>[1]COMMANDE!AA23</f>
        <v>0</v>
      </c>
      <c r="BO25" s="586" t="str">
        <f>_xlfn.IFS(AND($AI25=$AM25,$AI25&gt;0,$AM25&gt;0,BN25&gt;0), BN25,     AND(NOT($AI25=$AM25),$AI25&gt;0,$AM25&gt;0,BN25&gt;0), ($AM25*BN25)/$AI25,     AND($AI25=0,$AM25&gt;0,$AQ25&gt;0), IF(INDEX(BN$12:BN$263,MATCH($AQ25,$AP$12:$AP$263,0))&gt;0,($AM25*INDEX(BN$12:BN$263,MATCH($AQ25,$AP$12:$AP$263,0)))/INDEX($AI$12:$AI$263,MATCH($AQ25,$AP$12:$AP$263,0)), "-"),     TRUE, "0")</f>
        <v>0</v>
      </c>
      <c r="BP25" s="588">
        <f>IF(BO$9&gt;0, IF(OR(BO25="",BO25="-"), 0, BO25*$AT25), BN25*$AJ25)</f>
        <v>0</v>
      </c>
      <c r="BQ25" s="587">
        <f>[1]COMMANDE!AC23</f>
        <v>0</v>
      </c>
      <c r="BR25" s="586" t="str">
        <f>_xlfn.IFS(AND($AI25=$AM25,$AI25&gt;0,$AM25&gt;0,BQ25&gt;0), BQ25,     AND(NOT($AI25=$AM25),$AI25&gt;0,$AM25&gt;0,BQ25&gt;0), ($AM25*BQ25)/$AI25,     AND($AI25=0,$AM25&gt;0,$AQ25&gt;0), IF(INDEX(BQ$12:BQ$263,MATCH($AQ25,$AP$12:$AP$263,0))&gt;0,($AM25*INDEX(BQ$12:BQ$263,MATCH($AQ25,$AP$12:$AP$263,0)))/INDEX($AI$12:$AI$263,MATCH($AQ25,$AP$12:$AP$263,0)), "-"),     TRUE, "0")</f>
        <v>0</v>
      </c>
      <c r="BS25" s="607">
        <f>IF(BR$9&gt;0, IF(OR(BR25="",BR25="-"), 0, BR25*$AT25), BQ25*$AJ25)</f>
        <v>0</v>
      </c>
      <c r="BT25" s="589">
        <f>[1]COMMANDE!AE23</f>
        <v>0</v>
      </c>
      <c r="BU25" s="586" t="str">
        <f>_xlfn.IFS(AND($AI25=$AM25,$AI25&gt;0,$AM25&gt;0,BT25&gt;0), BT25,     AND(NOT($AI25=$AM25),$AI25&gt;0,$AM25&gt;0,BT25&gt;0), ($AM25*BT25)/$AI25,     AND($AI25=0,$AM25&gt;0,$AQ25&gt;0), IF(INDEX(BT$12:BT$263,MATCH($AQ25,$AP$12:$AP$263,0))&gt;0,($AM25*INDEX(BT$12:BT$263,MATCH($AQ25,$AP$12:$AP$263,0)))/INDEX($AI$12:$AI$263,MATCH($AQ25,$AP$12:$AP$263,0)), "-"),     TRUE, "0")</f>
        <v>0</v>
      </c>
      <c r="BV25" s="588">
        <f>IF(BU$9&gt;0, IF(OR(BU25="",BU25="-"), 0, BU25*$AT25), BT25*$AJ25)</f>
        <v>0</v>
      </c>
      <c r="BW25" s="587">
        <f>[1]COMMANDE!AG23</f>
        <v>0</v>
      </c>
      <c r="BX25" s="586" t="str">
        <f>_xlfn.IFS(AND($AI25=$AM25,$AI25&gt;0,$AM25&gt;0,BW25&gt;0), BW25,     AND(NOT($AI25=$AM25),$AI25&gt;0,$AM25&gt;0,BW25&gt;0), ($AM25*BW25)/$AI25,     AND($AI25=0,$AM25&gt;0,$AQ25&gt;0), IF(INDEX(BW$12:BW$263,MATCH($AQ25,$AP$12:$AP$263,0))&gt;0,($AM25*INDEX(BW$12:BW$263,MATCH($AQ25,$AP$12:$AP$263,0)))/INDEX($AI$12:$AI$263,MATCH($AQ25,$AP$12:$AP$263,0)), "-"),     TRUE, "0")</f>
        <v>0</v>
      </c>
      <c r="BY25" s="607">
        <f>IF(BX$9&gt;0, IF(OR(BX25="",BX25="-"), 0, BX25*$AT25), BW25*$AJ25)</f>
        <v>0</v>
      </c>
      <c r="BZ25" s="589">
        <f>[1]COMMANDE!AI23</f>
        <v>0</v>
      </c>
      <c r="CA25" s="586" t="str">
        <f>_xlfn.IFS(AND($AI25=$AM25,$AI25&gt;0,$AM25&gt;0,BZ25&gt;0), BZ25,     AND(NOT($AI25=$AM25),$AI25&gt;0,$AM25&gt;0,BZ25&gt;0), ($AM25*BZ25)/$AI25,     AND($AI25=0,$AM25&gt;0,$AQ25&gt;0), IF(INDEX(BZ$12:BZ$263,MATCH($AQ25,$AP$12:$AP$263,0))&gt;0,($AM25*INDEX(BZ$12:BZ$263,MATCH($AQ25,$AP$12:$AP$263,0)))/INDEX($AI$12:$AI$263,MATCH($AQ25,$AP$12:$AP$263,0)), "-"),     TRUE, "0")</f>
        <v>0</v>
      </c>
      <c r="CB25" s="588">
        <f>IF(CA$9&gt;0, IF(OR(CA25="",CA25="-"), 0, CA25*$AT25), BZ25*$AJ25)</f>
        <v>0</v>
      </c>
      <c r="CC25" s="587">
        <f>[1]COMMANDE!AK23</f>
        <v>0</v>
      </c>
      <c r="CD25" s="586" t="str">
        <f>_xlfn.IFS(AND($AI25=$AM25,$AI25&gt;0,$AM25&gt;0,CC25&gt;0), CC25,     AND(NOT($AI25=$AM25),$AI25&gt;0,$AM25&gt;0,CC25&gt;0), ($AM25*CC25)/$AI25,     AND($AI25=0,$AM25&gt;0,$AQ25&gt;0), IF(INDEX(CC$12:CC$263,MATCH($AQ25,$AP$12:$AP$263,0))&gt;0,($AM25*INDEX(CC$12:CC$263,MATCH($AQ25,$AP$12:$AP$263,0)))/INDEX($AI$12:$AI$263,MATCH($AQ25,$AP$12:$AP$263,0)), "-"),     TRUE, "0")</f>
        <v>0</v>
      </c>
      <c r="CE25" s="607">
        <f>IF(CD$9&gt;0, IF(OR(CD25="",CD25="-"), 0, CD25*$AT25), CC25*$AJ25)</f>
        <v>0</v>
      </c>
      <c r="CF25" s="589">
        <f>[1]COMMANDE!AM23</f>
        <v>0</v>
      </c>
      <c r="CG25" s="586" t="str">
        <f>_xlfn.IFS(AND($AI25=$AM25,$AI25&gt;0,$AM25&gt;0,CF25&gt;0), CF25,     AND(NOT($AI25=$AM25),$AI25&gt;0,$AM25&gt;0,CF25&gt;0), ($AM25*CF25)/$AI25,     AND($AI25=0,$AM25&gt;0,$AQ25&gt;0), IF(INDEX(CF$12:CF$263,MATCH($AQ25,$AP$12:$AP$263,0))&gt;0,($AM25*INDEX(CF$12:CF$263,MATCH($AQ25,$AP$12:$AP$263,0)))/INDEX($AI$12:$AI$263,MATCH($AQ25,$AP$12:$AP$263,0)), "-"),     TRUE, "0")</f>
        <v>0</v>
      </c>
      <c r="CH25" s="588">
        <f>IF(CG$9&gt;0, IF(OR(CG25="",CG25="-"), 0, CG25*$AT25), CF25*$AJ25)</f>
        <v>0</v>
      </c>
      <c r="CI25" s="587">
        <f>[1]COMMANDE!AO23</f>
        <v>0</v>
      </c>
      <c r="CJ25" s="586" t="str">
        <f>_xlfn.IFS(AND($AI25=$AM25,$AI25&gt;0,$AM25&gt;0,CI25&gt;0), CI25,     AND(NOT($AI25=$AM25),$AI25&gt;0,$AM25&gt;0,CI25&gt;0), ($AM25*CI25)/$AI25,     AND($AI25=0,$AM25&gt;0,$AQ25&gt;0), IF(INDEX(CI$12:CI$263,MATCH($AQ25,$AP$12:$AP$263,0))&gt;0,($AM25*INDEX(CI$12:CI$263,MATCH($AQ25,$AP$12:$AP$263,0)))/INDEX($AI$12:$AI$263,MATCH($AQ25,$AP$12:$AP$263,0)), "-"),     TRUE, "0")</f>
        <v>0</v>
      </c>
      <c r="CK25" s="607">
        <f>IF(CJ$9&gt;0, IF(OR(CJ25="",CJ25="-"), 0, CJ25*$AT25), CI25*$AJ25)</f>
        <v>0</v>
      </c>
      <c r="CL25" s="589">
        <f>[1]COMMANDE!AQ23</f>
        <v>0</v>
      </c>
      <c r="CM25" s="586" t="str">
        <f>_xlfn.IFS(AND($AI25=$AM25,$AI25&gt;0,$AM25&gt;0,CL25&gt;0), CL25,     AND(NOT($AI25=$AM25),$AI25&gt;0,$AM25&gt;0,CL25&gt;0), ($AM25*CL25)/$AI25,     AND($AI25=0,$AM25&gt;0,$AQ25&gt;0), IF(INDEX(CL$12:CL$263,MATCH($AQ25,$AP$12:$AP$263,0))&gt;0,($AM25*INDEX(CL$12:CL$263,MATCH($AQ25,$AP$12:$AP$263,0)))/INDEX($AI$12:$AI$263,MATCH($AQ25,$AP$12:$AP$263,0)), "-"),     TRUE, "0")</f>
        <v>0</v>
      </c>
      <c r="CN25" s="588">
        <f>IF(CM$9&gt;0, IF(OR(CM25="",CM25="-"), 0, CM25*$AT25), CL25*$AJ25)</f>
        <v>0</v>
      </c>
      <c r="CO25" s="587">
        <f>[1]COMMANDE!AS23</f>
        <v>0</v>
      </c>
      <c r="CP25" s="586" t="str">
        <f>_xlfn.IFS(AND($AI25=$AM25,$AI25&gt;0,$AM25&gt;0,CO25&gt;0), CO25,     AND(NOT($AI25=$AM25),$AI25&gt;0,$AM25&gt;0,CO25&gt;0), ($AM25*CO25)/$AI25,     AND($AI25=0,$AM25&gt;0,$AQ25&gt;0), IF(INDEX(CO$12:CO$263,MATCH($AQ25,$AP$12:$AP$263,0))&gt;0,($AM25*INDEX(CO$12:CO$263,MATCH($AQ25,$AP$12:$AP$263,0)))/INDEX($AI$12:$AI$263,MATCH($AQ25,$AP$12:$AP$263,0)), "-"),     TRUE, "0")</f>
        <v>0</v>
      </c>
      <c r="CQ25" s="607">
        <f>IF(CP$9&gt;0, IF(OR(CP25="",CP25="-"), 0, CP25*$AT25), CO25*$AJ25)</f>
        <v>0</v>
      </c>
      <c r="CR25" s="589">
        <f>[1]COMMANDE!AU23</f>
        <v>0</v>
      </c>
      <c r="CS25" s="586" t="str">
        <f>_xlfn.IFS(AND($AI25=$AM25,$AI25&gt;0,$AM25&gt;0,CR25&gt;0), CR25,     AND(NOT($AI25=$AM25),$AI25&gt;0,$AM25&gt;0,CR25&gt;0), ($AM25*CR25)/$AI25,     AND($AI25=0,$AM25&gt;0,$AQ25&gt;0), IF(INDEX(CR$12:CR$263,MATCH($AQ25,$AP$12:$AP$263,0))&gt;0,($AM25*INDEX(CR$12:CR$263,MATCH($AQ25,$AP$12:$AP$263,0)))/INDEX($AI$12:$AI$263,MATCH($AQ25,$AP$12:$AP$263,0)), "-"),     TRUE, "0")</f>
        <v>0</v>
      </c>
      <c r="CT25" s="588">
        <f>IF(CS$9&gt;0, IF(OR(CS25="",CS25="-"), 0, CS25*$AT25), CR25*$AJ25)</f>
        <v>0</v>
      </c>
      <c r="CU25" s="587">
        <f>[1]COMMANDE!AW23</f>
        <v>0</v>
      </c>
      <c r="CV25" s="586" t="str">
        <f>_xlfn.IFS(AND($AI25=$AM25,$AI25&gt;0,$AM25&gt;0,CU25&gt;0), CU25,     AND(NOT($AI25=$AM25),$AI25&gt;0,$AM25&gt;0,CU25&gt;0), ($AM25*CU25)/$AI25,     AND($AI25=0,$AM25&gt;0,$AQ25&gt;0), IF(INDEX(CU$12:CU$263,MATCH($AQ25,$AP$12:$AP$263,0))&gt;0,($AM25*INDEX(CU$12:CU$263,MATCH($AQ25,$AP$12:$AP$263,0)))/INDEX($AI$12:$AI$263,MATCH($AQ25,$AP$12:$AP$263,0)), "-"),     TRUE, "0")</f>
        <v>0</v>
      </c>
      <c r="CW25" s="607">
        <f>IF(CV$9&gt;0, IF(OR(CV25="",CV25="-"), 0, CV25*$AT25), CU25*$AJ25)</f>
        <v>0</v>
      </c>
      <c r="CX25" s="589">
        <f>[1]COMMANDE!AY23</f>
        <v>0</v>
      </c>
      <c r="CY25" s="586" t="str">
        <f>_xlfn.IFS(AND($AI25=$AM25,$AI25&gt;0,$AM25&gt;0,CX25&gt;0), CX25,     AND(NOT($AI25=$AM25),$AI25&gt;0,$AM25&gt;0,CX25&gt;0), ($AM25*CX25)/$AI25,     AND($AI25=0,$AM25&gt;0,$AQ25&gt;0), IF(INDEX(CX$12:CX$263,MATCH($AQ25,$AP$12:$AP$263,0))&gt;0,($AM25*INDEX(CX$12:CX$263,MATCH($AQ25,$AP$12:$AP$263,0)))/INDEX($AI$12:$AI$263,MATCH($AQ25,$AP$12:$AP$263,0)), "-"),     TRUE, "0")</f>
        <v>0</v>
      </c>
      <c r="CZ25" s="588">
        <f>IF(CY$9&gt;0, IF(OR(CY25="",CY25="-"), 0, CY25*$AT25), CX25*$AJ25)</f>
        <v>0</v>
      </c>
      <c r="DA25" s="587">
        <f>[1]COMMANDE!BA23</f>
        <v>0</v>
      </c>
      <c r="DB25" s="586" t="str">
        <f>_xlfn.IFS(AND($AI25=$AM25,$AI25&gt;0,$AM25&gt;0,DA25&gt;0), DA25,     AND(NOT($AI25=$AM25),$AI25&gt;0,$AM25&gt;0,DA25&gt;0), ($AM25*DA25)/$AI25,     AND($AI25=0,$AM25&gt;0,$AQ25&gt;0), IF(INDEX(DA$12:DA$263,MATCH($AQ25,$AP$12:$AP$263,0))&gt;0,($AM25*INDEX(DA$12:DA$263,MATCH($AQ25,$AP$12:$AP$263,0)))/INDEX($AI$12:$AI$263,MATCH($AQ25,$AP$12:$AP$263,0)), "-"),     TRUE, "0")</f>
        <v>0</v>
      </c>
      <c r="DC25" s="606">
        <f>IF(DB$9&gt;0, IF(OR(DB25="",DB25="-"), 0, DB25*$AT25), DA25*$AJ25)</f>
        <v>0</v>
      </c>
      <c r="DD25" s="584"/>
      <c r="DE25" s="583"/>
    </row>
    <row r="26" spans="1:109" ht="39.950000000000003" hidden="1" customHeight="1">
      <c r="A26" s="604">
        <f>IF(OR($AV26&gt;0, $AX26&gt;0), 1, 0)</f>
        <v>0</v>
      </c>
      <c r="B26" s="604">
        <f>IF(OR($AY26&gt;0, $BA26&gt;0), 1, 0)</f>
        <v>0</v>
      </c>
      <c r="C26" s="604">
        <f>IF(OR($BB26&gt;0, $BD26&gt;0), 1, 0)</f>
        <v>0</v>
      </c>
      <c r="D26" s="604">
        <f>IF(OR($BE26&gt;0, $BG26&gt;0), 1, 0)</f>
        <v>0</v>
      </c>
      <c r="E26" s="604">
        <f>IF(OR($BH26&gt;0, $BJ26&gt;0), 1, 0)</f>
        <v>0</v>
      </c>
      <c r="F26" s="604">
        <f>IF(OR($BK26&gt;0, $BM26&gt;0), 1, 0)</f>
        <v>0</v>
      </c>
      <c r="G26" s="604">
        <f>IF(OR($BN26&gt;0, $BP26&gt;0), 1, 0)</f>
        <v>0</v>
      </c>
      <c r="H26" s="604">
        <f>IF(OR($BQ26&gt;0, $BS26&gt;0), 1, 0)</f>
        <v>0</v>
      </c>
      <c r="I26" s="604">
        <f>IF(OR($BT26&gt;0, $BV26&gt;0), 1, 0)</f>
        <v>0</v>
      </c>
      <c r="J26" s="604">
        <f>IF(OR($BW26&gt;0, $BY26&gt;0), 1, 0)</f>
        <v>0</v>
      </c>
      <c r="K26" s="604">
        <f>IF(OR($BZ26&gt;0, $CB26&gt;0), 1, 0)</f>
        <v>0</v>
      </c>
      <c r="L26" s="604">
        <f>IF(OR($CC26&gt;0, $CE26&gt;0), 1, 0)</f>
        <v>0</v>
      </c>
      <c r="M26" s="604">
        <f>IF(OR($CF26&gt;0, $CH26&gt;0), 1, 0)</f>
        <v>0</v>
      </c>
      <c r="N26" s="604">
        <f>IF(OR($CI26&gt;0, $CK26&gt;0), 1, 0)</f>
        <v>0</v>
      </c>
      <c r="O26" s="604">
        <f>IF(OR($CL26&gt;0, $CN26&gt;0), 1, 0)</f>
        <v>0</v>
      </c>
      <c r="P26" s="604">
        <f>IF(OR($CO26&gt;0, $CQ26&gt;0), 1, 0)</f>
        <v>0</v>
      </c>
      <c r="Q26" s="604">
        <f>IF(OR($CR26&gt;0, $CT26&gt;0), 1, 0)</f>
        <v>0</v>
      </c>
      <c r="R26" s="604">
        <f>IF(OR($CU26&gt;0, $CW26&gt;0), 1, 0)</f>
        <v>0</v>
      </c>
      <c r="S26" s="604">
        <f>IF(OR($CX26&gt;0, $CZ26&gt;0), 1, 0)</f>
        <v>0</v>
      </c>
      <c r="T26" s="604">
        <f>IF(OR($DA26&gt;0, $DC26&gt;0), 1, 0)</f>
        <v>0</v>
      </c>
      <c r="U26" s="603">
        <f>IF(OR($AI26&gt;0,$AM26&gt;0,$AS26&gt;0), 1, 0)</f>
        <v>0</v>
      </c>
      <c r="V26" s="602">
        <f>[1]BDD!A16</f>
        <v>3020</v>
      </c>
      <c r="W26" s="601" t="str">
        <f>[1]BDD!B16</f>
        <v xml:space="preserve">Ananas (mûri sur plante, env. 2kg)
</v>
      </c>
      <c r="X26" s="600" t="str">
        <f>IF([1]BDD!F16=0, "", [1]BDD!F16)</f>
        <v>❤️</v>
      </c>
      <c r="Y26" s="542">
        <f>ROUND([1]BDD!G16+FDP_CMD_KG, 2)</f>
        <v>5.24</v>
      </c>
      <c r="Z26" s="542">
        <f>ROUND([1]BDD!G16+FDP_FACT_KG, 2)</f>
        <v>5.24</v>
      </c>
      <c r="AA26" s="543" t="str">
        <f>[1]BDD!H16</f>
        <v>kg</v>
      </c>
      <c r="AB26" s="544">
        <f>IF(NOT(ISBLANK([1]BDD!I16)), ROUND(SUM(([1]BDD!G16*reduc1),FDP_CMD_KG), 2), "")</f>
        <v>4.8099999999999996</v>
      </c>
      <c r="AC26" s="544">
        <f>IF(NOT(ISBLANK([1]BDD!J16)), ROUND(SUM(([1]BDD!G16*reduc2),FDP_CMD_KG), 2), "")</f>
        <v>4.37</v>
      </c>
      <c r="AD26" s="544" t="str">
        <f>IF(NOT(ISBLANK([1]BDD!K16)), ROUND(SUM(([1]BDD!G16*reduc3),FDP_CMD_KG), 2), "")</f>
        <v/>
      </c>
      <c r="AE26" s="544">
        <f>IF(NOT(ISBLANK([1]BDD!I16)), ROUND(SUM(([1]BDD!G16*reduc1),FDP_FACT_KG), 2), "")</f>
        <v>4.8</v>
      </c>
      <c r="AF26" s="544">
        <f>IF(NOT(ISBLANK([1]BDD!J16)), ROUND(SUM(([1]BDD!G16*reduc2),FDP_FACT_KG), 2), "")</f>
        <v>4.3600000000000003</v>
      </c>
      <c r="AG26" s="544" t="str">
        <f>IF(NOT(ISBLANK([1]BDD!K16)), ROUND(SUM(([1]BDD!G16*reduc3),FDP_FACT_KG), 2), "")</f>
        <v/>
      </c>
      <c r="AH26" s="599" t="str">
        <f>[1]BDD!C16</f>
        <v>Costa Rica</v>
      </c>
      <c r="AI26" s="598">
        <f>SUM(AV26,AY26,BB26,BE26,BH26,BK26,BN26,BQ26,BT26,BW26,BZ26,CC26,CF26,CI26,CL26,CO26,CR26,CU26,CX26,DA26)</f>
        <v>0</v>
      </c>
      <c r="AJ26" s="545">
        <f>_xlfn.IFS($AD26&lt;&gt;"", $AD26,    $AC26&lt;&gt;"", $AC26,    $AB26&lt;&gt;"", $AB26,    TRUE, $Y26)</f>
        <v>4.37</v>
      </c>
      <c r="AK26" s="592">
        <f>$AI26*$AJ26</f>
        <v>0</v>
      </c>
      <c r="AL26" s="594"/>
      <c r="AM26" s="597"/>
      <c r="AN26" s="545">
        <f>_xlfn.IFS(AND(AM26&gt;=60,$AG26&lt;&gt;""), $AG26,    AND(AM26&gt;=30,$AF26&lt;&gt;""), $AF26,    AND(AM26&gt;=10,$AE26&lt;&gt;""), $AE26,    TRUE, $Z26)</f>
        <v>5.24</v>
      </c>
      <c r="AO26" s="596">
        <f>AM26*AN26</f>
        <v>0</v>
      </c>
      <c r="AP26" s="595"/>
      <c r="AQ26" s="595"/>
      <c r="AR26" s="594"/>
      <c r="AS26" s="593">
        <f>SUM(AW26,AZ26,BC26,BF26,BI26,BL26,BO26,BR26,BU26,BX26,CA26,CD26,CG26,CJ26,CM26,CP26,CS26,CV26,CY26,DB26)</f>
        <v>0</v>
      </c>
      <c r="AT26" s="545">
        <f>_xlfn.IFS(AND(AS26&gt;=60,$AG26&lt;&gt;""), $AG26,    AND(AS26&gt;=30,$AF26&lt;&gt;""), $AF26,    AND(AS26&gt;=10,$AE26&lt;&gt;""), $AE26,    TRUE, $Z26)</f>
        <v>5.24</v>
      </c>
      <c r="AU26" s="592">
        <f>$AS26*$AT26</f>
        <v>0</v>
      </c>
      <c r="AV26" s="591">
        <f>[1]COMMANDE!O24</f>
        <v>0</v>
      </c>
      <c r="AW26" s="586" t="str">
        <f>_xlfn.IFS(AND($AI26=$AM26,$AI26&gt;0,$AM26&gt;0,AV26&gt;0), AV26,     AND(NOT($AI26=$AM26),$AI26&gt;0,$AM26&gt;0,AV26&gt;0), ($AM26*AV26)/$AI26,     AND($AI26=0,$AM26&gt;0,$AQ26&gt;0), IF(INDEX(AV$12:AV$263,MATCH($AQ26,$AP$12:$AP$263,0))&gt;0,($AM26*INDEX(AV$12:AV$263,MATCH($AQ26,$AP$12:$AP$263,0)))/INDEX($AI$12:$AI$263,MATCH($AQ26,$AP$12:$AP$263,0)), "-"),     TRUE, "0")</f>
        <v>0</v>
      </c>
      <c r="AX26" s="588">
        <f>IF(AW$9&gt;0, IF(OR(AW26="",AW26="-"), 0, AW26*$AT26), AV26*$AJ26)</f>
        <v>0</v>
      </c>
      <c r="AY26" s="587">
        <f>[1]COMMANDE!Q24</f>
        <v>0</v>
      </c>
      <c r="AZ26" s="586" t="str">
        <f>_xlfn.IFS(AND($AI26=$AM26,$AI26&gt;0,$AM26&gt;0,AY26&gt;0), AY26,     AND(NOT($AI26=$AM26),$AI26&gt;0,$AM26&gt;0,AY26&gt;0), ($AM26*AY26)/$AI26,     AND($AI26=0,$AM26&gt;0,$AQ26&gt;0), IF(INDEX(AY$12:AY$263,MATCH($AQ26,$AP$12:$AP$263,0))&gt;0,($AM26*INDEX(AY$12:AY$263,MATCH($AQ26,$AP$12:$AP$263,0)))/INDEX($AI$12:$AI$263,MATCH($AQ26,$AP$12:$AP$263,0)), "-"),     TRUE, "0")</f>
        <v>0</v>
      </c>
      <c r="BA26" s="607">
        <f>IF(AZ$9&gt;0, IF(OR(AZ26="",AZ26="-"), 0, AZ26*$AT26), AY26*$AJ26)</f>
        <v>0</v>
      </c>
      <c r="BB26" s="589">
        <f>[1]COMMANDE!S24</f>
        <v>0</v>
      </c>
      <c r="BC26" s="586" t="str">
        <f>_xlfn.IFS(AND($AI26=$AM26,$AI26&gt;0,$AM26&gt;0,BB26&gt;0), BB26,     AND(NOT($AI26=$AM26),$AI26&gt;0,$AM26&gt;0,BB26&gt;0), ($AM26*BB26)/$AI26,     AND($AI26=0,$AM26&gt;0,$AQ26&gt;0), IF(INDEX(BB$12:BB$263,MATCH($AQ26,$AP$12:$AP$263,0))&gt;0,($AM26*INDEX(BB$12:BB$263,MATCH($AQ26,$AP$12:$AP$263,0)))/INDEX($AI$12:$AI$263,MATCH($AQ26,$AP$12:$AP$263,0)), "-"),     TRUE, "0")</f>
        <v>0</v>
      </c>
      <c r="BD26" s="588">
        <f>IF(BC$9&gt;0, IF(OR(BC26="",BC26="-"), 0, BC26*$AT26), BB26*$AJ26)</f>
        <v>0</v>
      </c>
      <c r="BE26" s="587">
        <f>[1]COMMANDE!U24</f>
        <v>0</v>
      </c>
      <c r="BF26" s="586" t="str">
        <f>_xlfn.IFS(AND($AI26=$AM26,$AI26&gt;0,$AM26&gt;0,BE26&gt;0), BE26,     AND(NOT($AI26=$AM26),$AI26&gt;0,$AM26&gt;0,BE26&gt;0), ($AM26*BE26)/$AI26,     AND($AI26=0,$AM26&gt;0,$AQ26&gt;0), IF(INDEX(BE$12:BE$263,MATCH($AQ26,$AP$12:$AP$263,0))&gt;0,($AM26*INDEX(BE$12:BE$263,MATCH($AQ26,$AP$12:$AP$263,0)))/INDEX($AI$12:$AI$263,MATCH($AQ26,$AP$12:$AP$263,0)), "-"),     TRUE, "0")</f>
        <v>0</v>
      </c>
      <c r="BG26" s="607">
        <f>IF(BF$9&gt;0, IF(OR(BF26="",BF26="-"), 0, BF26*$AT26), BE26*$AJ26)</f>
        <v>0</v>
      </c>
      <c r="BH26" s="589">
        <f>[1]COMMANDE!W24</f>
        <v>0</v>
      </c>
      <c r="BI26" s="586" t="str">
        <f>_xlfn.IFS(AND($AI26=$AM26,$AI26&gt;0,$AM26&gt;0,BH26&gt;0), BH26,     AND(NOT($AI26=$AM26),$AI26&gt;0,$AM26&gt;0,BH26&gt;0), ($AM26*BH26)/$AI26,     AND($AI26=0,$AM26&gt;0,$AQ26&gt;0), IF(INDEX(BH$12:BH$263,MATCH($AQ26,$AP$12:$AP$263,0))&gt;0,($AM26*INDEX(BH$12:BH$263,MATCH($AQ26,$AP$12:$AP$263,0)))/INDEX($AI$12:$AI$263,MATCH($AQ26,$AP$12:$AP$263,0)), "-"),     TRUE, "0")</f>
        <v>0</v>
      </c>
      <c r="BJ26" s="588">
        <f>IF(BI$9&gt;0, IF(OR(BI26="",BI26="-"), 0, BI26*$AT26), BH26*$AJ26)</f>
        <v>0</v>
      </c>
      <c r="BK26" s="587">
        <f>[1]COMMANDE!Y24</f>
        <v>0</v>
      </c>
      <c r="BL26" s="586" t="str">
        <f>_xlfn.IFS(AND($AI26=$AM26,$AI26&gt;0,$AM26&gt;0,BK26&gt;0), BK26,     AND(NOT($AI26=$AM26),$AI26&gt;0,$AM26&gt;0,BK26&gt;0), ($AM26*BK26)/$AI26,     AND($AI26=0,$AM26&gt;0,$AQ26&gt;0), IF(INDEX(BK$12:BK$263,MATCH($AQ26,$AP$12:$AP$263,0))&gt;0,($AM26*INDEX(BK$12:BK$263,MATCH($AQ26,$AP$12:$AP$263,0)))/INDEX($AI$12:$AI$263,MATCH($AQ26,$AP$12:$AP$263,0)), "-"),     TRUE, "0")</f>
        <v>0</v>
      </c>
      <c r="BM26" s="607">
        <f>IF(BL$9&gt;0, IF(OR(BL26="",BL26="-"), 0, BL26*$AT26), BK26*$AJ26)</f>
        <v>0</v>
      </c>
      <c r="BN26" s="589">
        <f>[1]COMMANDE!AA24</f>
        <v>0</v>
      </c>
      <c r="BO26" s="586" t="str">
        <f>_xlfn.IFS(AND($AI26=$AM26,$AI26&gt;0,$AM26&gt;0,BN26&gt;0), BN26,     AND(NOT($AI26=$AM26),$AI26&gt;0,$AM26&gt;0,BN26&gt;0), ($AM26*BN26)/$AI26,     AND($AI26=0,$AM26&gt;0,$AQ26&gt;0), IF(INDEX(BN$12:BN$263,MATCH($AQ26,$AP$12:$AP$263,0))&gt;0,($AM26*INDEX(BN$12:BN$263,MATCH($AQ26,$AP$12:$AP$263,0)))/INDEX($AI$12:$AI$263,MATCH($AQ26,$AP$12:$AP$263,0)), "-"),     TRUE, "0")</f>
        <v>0</v>
      </c>
      <c r="BP26" s="588">
        <f>IF(BO$9&gt;0, IF(OR(BO26="",BO26="-"), 0, BO26*$AT26), BN26*$AJ26)</f>
        <v>0</v>
      </c>
      <c r="BQ26" s="587">
        <f>[1]COMMANDE!AC24</f>
        <v>0</v>
      </c>
      <c r="BR26" s="586" t="str">
        <f>_xlfn.IFS(AND($AI26=$AM26,$AI26&gt;0,$AM26&gt;0,BQ26&gt;0), BQ26,     AND(NOT($AI26=$AM26),$AI26&gt;0,$AM26&gt;0,BQ26&gt;0), ($AM26*BQ26)/$AI26,     AND($AI26=0,$AM26&gt;0,$AQ26&gt;0), IF(INDEX(BQ$12:BQ$263,MATCH($AQ26,$AP$12:$AP$263,0))&gt;0,($AM26*INDEX(BQ$12:BQ$263,MATCH($AQ26,$AP$12:$AP$263,0)))/INDEX($AI$12:$AI$263,MATCH($AQ26,$AP$12:$AP$263,0)), "-"),     TRUE, "0")</f>
        <v>0</v>
      </c>
      <c r="BS26" s="607">
        <f>IF(BR$9&gt;0, IF(OR(BR26="",BR26="-"), 0, BR26*$AT26), BQ26*$AJ26)</f>
        <v>0</v>
      </c>
      <c r="BT26" s="589">
        <f>[1]COMMANDE!AE24</f>
        <v>0</v>
      </c>
      <c r="BU26" s="586" t="str">
        <f>_xlfn.IFS(AND($AI26=$AM26,$AI26&gt;0,$AM26&gt;0,BT26&gt;0), BT26,     AND(NOT($AI26=$AM26),$AI26&gt;0,$AM26&gt;0,BT26&gt;0), ($AM26*BT26)/$AI26,     AND($AI26=0,$AM26&gt;0,$AQ26&gt;0), IF(INDEX(BT$12:BT$263,MATCH($AQ26,$AP$12:$AP$263,0))&gt;0,($AM26*INDEX(BT$12:BT$263,MATCH($AQ26,$AP$12:$AP$263,0)))/INDEX($AI$12:$AI$263,MATCH($AQ26,$AP$12:$AP$263,0)), "-"),     TRUE, "0")</f>
        <v>0</v>
      </c>
      <c r="BV26" s="588">
        <f>IF(BU$9&gt;0, IF(OR(BU26="",BU26="-"), 0, BU26*$AT26), BT26*$AJ26)</f>
        <v>0</v>
      </c>
      <c r="BW26" s="587">
        <f>[1]COMMANDE!AG24</f>
        <v>0</v>
      </c>
      <c r="BX26" s="586" t="str">
        <f>_xlfn.IFS(AND($AI26=$AM26,$AI26&gt;0,$AM26&gt;0,BW26&gt;0), BW26,     AND(NOT($AI26=$AM26),$AI26&gt;0,$AM26&gt;0,BW26&gt;0), ($AM26*BW26)/$AI26,     AND($AI26=0,$AM26&gt;0,$AQ26&gt;0), IF(INDEX(BW$12:BW$263,MATCH($AQ26,$AP$12:$AP$263,0))&gt;0,($AM26*INDEX(BW$12:BW$263,MATCH($AQ26,$AP$12:$AP$263,0)))/INDEX($AI$12:$AI$263,MATCH($AQ26,$AP$12:$AP$263,0)), "-"),     TRUE, "0")</f>
        <v>0</v>
      </c>
      <c r="BY26" s="607">
        <f>IF(BX$9&gt;0, IF(OR(BX26="",BX26="-"), 0, BX26*$AT26), BW26*$AJ26)</f>
        <v>0</v>
      </c>
      <c r="BZ26" s="589">
        <f>[1]COMMANDE!AI24</f>
        <v>0</v>
      </c>
      <c r="CA26" s="586" t="str">
        <f>_xlfn.IFS(AND($AI26=$AM26,$AI26&gt;0,$AM26&gt;0,BZ26&gt;0), BZ26,     AND(NOT($AI26=$AM26),$AI26&gt;0,$AM26&gt;0,BZ26&gt;0), ($AM26*BZ26)/$AI26,     AND($AI26=0,$AM26&gt;0,$AQ26&gt;0), IF(INDEX(BZ$12:BZ$263,MATCH($AQ26,$AP$12:$AP$263,0))&gt;0,($AM26*INDEX(BZ$12:BZ$263,MATCH($AQ26,$AP$12:$AP$263,0)))/INDEX($AI$12:$AI$263,MATCH($AQ26,$AP$12:$AP$263,0)), "-"),     TRUE, "0")</f>
        <v>0</v>
      </c>
      <c r="CB26" s="588">
        <f>IF(CA$9&gt;0, IF(OR(CA26="",CA26="-"), 0, CA26*$AT26), BZ26*$AJ26)</f>
        <v>0</v>
      </c>
      <c r="CC26" s="587">
        <f>[1]COMMANDE!AK24</f>
        <v>0</v>
      </c>
      <c r="CD26" s="586" t="str">
        <f>_xlfn.IFS(AND($AI26=$AM26,$AI26&gt;0,$AM26&gt;0,CC26&gt;0), CC26,     AND(NOT($AI26=$AM26),$AI26&gt;0,$AM26&gt;0,CC26&gt;0), ($AM26*CC26)/$AI26,     AND($AI26=0,$AM26&gt;0,$AQ26&gt;0), IF(INDEX(CC$12:CC$263,MATCH($AQ26,$AP$12:$AP$263,0))&gt;0,($AM26*INDEX(CC$12:CC$263,MATCH($AQ26,$AP$12:$AP$263,0)))/INDEX($AI$12:$AI$263,MATCH($AQ26,$AP$12:$AP$263,0)), "-"),     TRUE, "0")</f>
        <v>0</v>
      </c>
      <c r="CE26" s="607">
        <f>IF(CD$9&gt;0, IF(OR(CD26="",CD26="-"), 0, CD26*$AT26), CC26*$AJ26)</f>
        <v>0</v>
      </c>
      <c r="CF26" s="589">
        <f>[1]COMMANDE!AM24</f>
        <v>0</v>
      </c>
      <c r="CG26" s="586" t="str">
        <f>_xlfn.IFS(AND($AI26=$AM26,$AI26&gt;0,$AM26&gt;0,CF26&gt;0), CF26,     AND(NOT($AI26=$AM26),$AI26&gt;0,$AM26&gt;0,CF26&gt;0), ($AM26*CF26)/$AI26,     AND($AI26=0,$AM26&gt;0,$AQ26&gt;0), IF(INDEX(CF$12:CF$263,MATCH($AQ26,$AP$12:$AP$263,0))&gt;0,($AM26*INDEX(CF$12:CF$263,MATCH($AQ26,$AP$12:$AP$263,0)))/INDEX($AI$12:$AI$263,MATCH($AQ26,$AP$12:$AP$263,0)), "-"),     TRUE, "0")</f>
        <v>0</v>
      </c>
      <c r="CH26" s="588">
        <f>IF(CG$9&gt;0, IF(OR(CG26="",CG26="-"), 0, CG26*$AT26), CF26*$AJ26)</f>
        <v>0</v>
      </c>
      <c r="CI26" s="587">
        <f>[1]COMMANDE!AO24</f>
        <v>0</v>
      </c>
      <c r="CJ26" s="586" t="str">
        <f>_xlfn.IFS(AND($AI26=$AM26,$AI26&gt;0,$AM26&gt;0,CI26&gt;0), CI26,     AND(NOT($AI26=$AM26),$AI26&gt;0,$AM26&gt;0,CI26&gt;0), ($AM26*CI26)/$AI26,     AND($AI26=0,$AM26&gt;0,$AQ26&gt;0), IF(INDEX(CI$12:CI$263,MATCH($AQ26,$AP$12:$AP$263,0))&gt;0,($AM26*INDEX(CI$12:CI$263,MATCH($AQ26,$AP$12:$AP$263,0)))/INDEX($AI$12:$AI$263,MATCH($AQ26,$AP$12:$AP$263,0)), "-"),     TRUE, "0")</f>
        <v>0</v>
      </c>
      <c r="CK26" s="607">
        <f>IF(CJ$9&gt;0, IF(OR(CJ26="",CJ26="-"), 0, CJ26*$AT26), CI26*$AJ26)</f>
        <v>0</v>
      </c>
      <c r="CL26" s="589">
        <f>[1]COMMANDE!AQ24</f>
        <v>0</v>
      </c>
      <c r="CM26" s="586" t="str">
        <f>_xlfn.IFS(AND($AI26=$AM26,$AI26&gt;0,$AM26&gt;0,CL26&gt;0), CL26,     AND(NOT($AI26=$AM26),$AI26&gt;0,$AM26&gt;0,CL26&gt;0), ($AM26*CL26)/$AI26,     AND($AI26=0,$AM26&gt;0,$AQ26&gt;0), IF(INDEX(CL$12:CL$263,MATCH($AQ26,$AP$12:$AP$263,0))&gt;0,($AM26*INDEX(CL$12:CL$263,MATCH($AQ26,$AP$12:$AP$263,0)))/INDEX($AI$12:$AI$263,MATCH($AQ26,$AP$12:$AP$263,0)), "-"),     TRUE, "0")</f>
        <v>0</v>
      </c>
      <c r="CN26" s="588">
        <f>IF(CM$9&gt;0, IF(OR(CM26="",CM26="-"), 0, CM26*$AT26), CL26*$AJ26)</f>
        <v>0</v>
      </c>
      <c r="CO26" s="587">
        <f>[1]COMMANDE!AS24</f>
        <v>0</v>
      </c>
      <c r="CP26" s="586" t="str">
        <f>_xlfn.IFS(AND($AI26=$AM26,$AI26&gt;0,$AM26&gt;0,CO26&gt;0), CO26,     AND(NOT($AI26=$AM26),$AI26&gt;0,$AM26&gt;0,CO26&gt;0), ($AM26*CO26)/$AI26,     AND($AI26=0,$AM26&gt;0,$AQ26&gt;0), IF(INDEX(CO$12:CO$263,MATCH($AQ26,$AP$12:$AP$263,0))&gt;0,($AM26*INDEX(CO$12:CO$263,MATCH($AQ26,$AP$12:$AP$263,0)))/INDEX($AI$12:$AI$263,MATCH($AQ26,$AP$12:$AP$263,0)), "-"),     TRUE, "0")</f>
        <v>0</v>
      </c>
      <c r="CQ26" s="607">
        <f>IF(CP$9&gt;0, IF(OR(CP26="",CP26="-"), 0, CP26*$AT26), CO26*$AJ26)</f>
        <v>0</v>
      </c>
      <c r="CR26" s="589">
        <f>[1]COMMANDE!AU24</f>
        <v>0</v>
      </c>
      <c r="CS26" s="586" t="str">
        <f>_xlfn.IFS(AND($AI26=$AM26,$AI26&gt;0,$AM26&gt;0,CR26&gt;0), CR26,     AND(NOT($AI26=$AM26),$AI26&gt;0,$AM26&gt;0,CR26&gt;0), ($AM26*CR26)/$AI26,     AND($AI26=0,$AM26&gt;0,$AQ26&gt;0), IF(INDEX(CR$12:CR$263,MATCH($AQ26,$AP$12:$AP$263,0))&gt;0,($AM26*INDEX(CR$12:CR$263,MATCH($AQ26,$AP$12:$AP$263,0)))/INDEX($AI$12:$AI$263,MATCH($AQ26,$AP$12:$AP$263,0)), "-"),     TRUE, "0")</f>
        <v>0</v>
      </c>
      <c r="CT26" s="588">
        <f>IF(CS$9&gt;0, IF(OR(CS26="",CS26="-"), 0, CS26*$AT26), CR26*$AJ26)</f>
        <v>0</v>
      </c>
      <c r="CU26" s="587">
        <f>[1]COMMANDE!AW24</f>
        <v>0</v>
      </c>
      <c r="CV26" s="586" t="str">
        <f>_xlfn.IFS(AND($AI26=$AM26,$AI26&gt;0,$AM26&gt;0,CU26&gt;0), CU26,     AND(NOT($AI26=$AM26),$AI26&gt;0,$AM26&gt;0,CU26&gt;0), ($AM26*CU26)/$AI26,     AND($AI26=0,$AM26&gt;0,$AQ26&gt;0), IF(INDEX(CU$12:CU$263,MATCH($AQ26,$AP$12:$AP$263,0))&gt;0,($AM26*INDEX(CU$12:CU$263,MATCH($AQ26,$AP$12:$AP$263,0)))/INDEX($AI$12:$AI$263,MATCH($AQ26,$AP$12:$AP$263,0)), "-"),     TRUE, "0")</f>
        <v>0</v>
      </c>
      <c r="CW26" s="607">
        <f>IF(CV$9&gt;0, IF(OR(CV26="",CV26="-"), 0, CV26*$AT26), CU26*$AJ26)</f>
        <v>0</v>
      </c>
      <c r="CX26" s="589">
        <f>[1]COMMANDE!AY24</f>
        <v>0</v>
      </c>
      <c r="CY26" s="586" t="str">
        <f>_xlfn.IFS(AND($AI26=$AM26,$AI26&gt;0,$AM26&gt;0,CX26&gt;0), CX26,     AND(NOT($AI26=$AM26),$AI26&gt;0,$AM26&gt;0,CX26&gt;0), ($AM26*CX26)/$AI26,     AND($AI26=0,$AM26&gt;0,$AQ26&gt;0), IF(INDEX(CX$12:CX$263,MATCH($AQ26,$AP$12:$AP$263,0))&gt;0,($AM26*INDEX(CX$12:CX$263,MATCH($AQ26,$AP$12:$AP$263,0)))/INDEX($AI$12:$AI$263,MATCH($AQ26,$AP$12:$AP$263,0)), "-"),     TRUE, "0")</f>
        <v>0</v>
      </c>
      <c r="CZ26" s="588">
        <f>IF(CY$9&gt;0, IF(OR(CY26="",CY26="-"), 0, CY26*$AT26), CX26*$AJ26)</f>
        <v>0</v>
      </c>
      <c r="DA26" s="587">
        <f>[1]COMMANDE!BA24</f>
        <v>0</v>
      </c>
      <c r="DB26" s="586" t="str">
        <f>_xlfn.IFS(AND($AI26=$AM26,$AI26&gt;0,$AM26&gt;0,DA26&gt;0), DA26,     AND(NOT($AI26=$AM26),$AI26&gt;0,$AM26&gt;0,DA26&gt;0), ($AM26*DA26)/$AI26,     AND($AI26=0,$AM26&gt;0,$AQ26&gt;0), IF(INDEX(DA$12:DA$263,MATCH($AQ26,$AP$12:$AP$263,0))&gt;0,($AM26*INDEX(DA$12:DA$263,MATCH($AQ26,$AP$12:$AP$263,0)))/INDEX($AI$12:$AI$263,MATCH($AQ26,$AP$12:$AP$263,0)), "-"),     TRUE, "0")</f>
        <v>0</v>
      </c>
      <c r="DC26" s="606">
        <f>IF(DB$9&gt;0, IF(OR(DB26="",DB26="-"), 0, DB26*$AT26), DA26*$AJ26)</f>
        <v>0</v>
      </c>
      <c r="DD26" s="584"/>
      <c r="DE26" s="583"/>
    </row>
    <row r="27" spans="1:109" ht="39.950000000000003" hidden="1" customHeight="1">
      <c r="A27" s="604">
        <f>IF(OR($AV27&gt;0, $AX27&gt;0), 1, 0)</f>
        <v>0</v>
      </c>
      <c r="B27" s="604">
        <f>IF(OR($AY27&gt;0, $BA27&gt;0), 1, 0)</f>
        <v>0</v>
      </c>
      <c r="C27" s="604">
        <f>IF(OR($BB27&gt;0, $BD27&gt;0), 1, 0)</f>
        <v>0</v>
      </c>
      <c r="D27" s="604">
        <f>IF(OR($BE27&gt;0, $BG27&gt;0), 1, 0)</f>
        <v>0</v>
      </c>
      <c r="E27" s="604">
        <f>IF(OR($BH27&gt;0, $BJ27&gt;0), 1, 0)</f>
        <v>0</v>
      </c>
      <c r="F27" s="604">
        <f>IF(OR($BK27&gt;0, $BM27&gt;0), 1, 0)</f>
        <v>0</v>
      </c>
      <c r="G27" s="604">
        <f>IF(OR($BN27&gt;0, $BP27&gt;0), 1, 0)</f>
        <v>0</v>
      </c>
      <c r="H27" s="604">
        <f>IF(OR($BQ27&gt;0, $BS27&gt;0), 1, 0)</f>
        <v>0</v>
      </c>
      <c r="I27" s="604">
        <f>IF(OR($BT27&gt;0, $BV27&gt;0), 1, 0)</f>
        <v>0</v>
      </c>
      <c r="J27" s="604">
        <f>IF(OR($BW27&gt;0, $BY27&gt;0), 1, 0)</f>
        <v>0</v>
      </c>
      <c r="K27" s="604">
        <f>IF(OR($BZ27&gt;0, $CB27&gt;0), 1, 0)</f>
        <v>0</v>
      </c>
      <c r="L27" s="604">
        <f>IF(OR($CC27&gt;0, $CE27&gt;0), 1, 0)</f>
        <v>0</v>
      </c>
      <c r="M27" s="604">
        <f>IF(OR($CF27&gt;0, $CH27&gt;0), 1, 0)</f>
        <v>0</v>
      </c>
      <c r="N27" s="604">
        <f>IF(OR($CI27&gt;0, $CK27&gt;0), 1, 0)</f>
        <v>0</v>
      </c>
      <c r="O27" s="604">
        <f>IF(OR($CL27&gt;0, $CN27&gt;0), 1, 0)</f>
        <v>0</v>
      </c>
      <c r="P27" s="604">
        <f>IF(OR($CO27&gt;0, $CQ27&gt;0), 1, 0)</f>
        <v>0</v>
      </c>
      <c r="Q27" s="604">
        <f>IF(OR($CR27&gt;0, $CT27&gt;0), 1, 0)</f>
        <v>0</v>
      </c>
      <c r="R27" s="604">
        <f>IF(OR($CU27&gt;0, $CW27&gt;0), 1, 0)</f>
        <v>0</v>
      </c>
      <c r="S27" s="604">
        <f>IF(OR($CX27&gt;0, $CZ27&gt;0), 1, 0)</f>
        <v>0</v>
      </c>
      <c r="T27" s="604">
        <f>IF(OR($DA27&gt;0, $DC27&gt;0), 1, 0)</f>
        <v>0</v>
      </c>
      <c r="U27" s="603">
        <f>IF(OR($AI27&gt;0,$AM27&gt;0,$AS27&gt;0), 1, 0)</f>
        <v>0</v>
      </c>
      <c r="V27" s="602">
        <f>[1]BDD!A17</f>
        <v>5131</v>
      </c>
      <c r="W27" s="601" t="str">
        <f>[1]BDD!B17</f>
        <v>Ananas deshydraté à basse température BIO  
    - (env. 500g, production Rufino)</v>
      </c>
      <c r="X27" s="600" t="str">
        <f>IF([1]BDD!F17=0, "", [1]BDD!F17)</f>
        <v/>
      </c>
      <c r="Y27" s="542">
        <f>ROUND([1]BDD!G17+FDP_CMD_KG, 2)</f>
        <v>14.54</v>
      </c>
      <c r="Z27" s="542">
        <f>ROUND([1]BDD!G17+FDP_FACT_KG, 2)</f>
        <v>14.54</v>
      </c>
      <c r="AA27" s="543" t="str">
        <f>[1]BDD!H17</f>
        <v>Pièce</v>
      </c>
      <c r="AB27" s="544" t="str">
        <f>IF(NOT(ISBLANK([1]BDD!I17)), ROUND(SUM(([1]BDD!G17*reduc1),FDP_CMD_KG), 2), "")</f>
        <v/>
      </c>
      <c r="AC27" s="544" t="str">
        <f>IF(NOT(ISBLANK([1]BDD!J17)), ROUND(SUM(([1]BDD!G17*reduc2),FDP_CMD_KG), 2), "")</f>
        <v/>
      </c>
      <c r="AD27" s="544" t="str">
        <f>IF(NOT(ISBLANK([1]BDD!K17)), ROUND(SUM(([1]BDD!G17*reduc3),FDP_CMD_KG), 2), "")</f>
        <v/>
      </c>
      <c r="AE27" s="544" t="str">
        <f>IF(NOT(ISBLANK([1]BDD!I17)), ROUND(SUM(([1]BDD!G17*reduc1),FDP_FACT_KG), 2), "")</f>
        <v/>
      </c>
      <c r="AF27" s="544" t="str">
        <f>IF(NOT(ISBLANK([1]BDD!J17)), ROUND(SUM(([1]BDD!G17*reduc2),FDP_FACT_KG), 2), "")</f>
        <v/>
      </c>
      <c r="AG27" s="544" t="str">
        <f>IF(NOT(ISBLANK([1]BDD!K17)), ROUND(SUM(([1]BDD!G17*reduc3),FDP_FACT_KG), 2), "")</f>
        <v/>
      </c>
      <c r="AH27" s="599" t="str">
        <f>[1]BDD!C17</f>
        <v>Grenade</v>
      </c>
      <c r="AI27" s="598">
        <f>SUM(AV27,AY27,BB27,BE27,BH27,BK27,BN27,BQ27,BT27,BW27,BZ27,CC27,CF27,CI27,CL27,CO27,CR27,CU27,CX27,DA27)</f>
        <v>0</v>
      </c>
      <c r="AJ27" s="545">
        <f>_xlfn.IFS($AD27&lt;&gt;"", $AD27,    $AC27&lt;&gt;"", $AC27,    $AB27&lt;&gt;"", $AB27,    TRUE, $Y27)</f>
        <v>14.54</v>
      </c>
      <c r="AK27" s="592">
        <f>$AI27*$AJ27</f>
        <v>0</v>
      </c>
      <c r="AL27" s="594"/>
      <c r="AM27" s="597"/>
      <c r="AN27" s="545">
        <f>_xlfn.IFS(AND(AM27&gt;=60,$AG27&lt;&gt;""), $AG27,    AND(AM27&gt;=30,$AF27&lt;&gt;""), $AF27,    AND(AM27&gt;=10,$AE27&lt;&gt;""), $AE27,    TRUE, $Z27)</f>
        <v>14.54</v>
      </c>
      <c r="AO27" s="596">
        <f>AM27*AN27</f>
        <v>0</v>
      </c>
      <c r="AP27" s="595"/>
      <c r="AQ27" s="595"/>
      <c r="AR27" s="594"/>
      <c r="AS27" s="593">
        <f>SUM(AW27,AZ27,BC27,BF27,BI27,BL27,BO27,BR27,BU27,BX27,CA27,CD27,CG27,CJ27,CM27,CP27,CS27,CV27,CY27,DB27)</f>
        <v>0</v>
      </c>
      <c r="AT27" s="545">
        <f>_xlfn.IFS(AND(AS27&gt;=60,$AG27&lt;&gt;""), $AG27,    AND(AS27&gt;=30,$AF27&lt;&gt;""), $AF27,    AND(AS27&gt;=10,$AE27&lt;&gt;""), $AE27,    TRUE, $Z27)</f>
        <v>14.54</v>
      </c>
      <c r="AU27" s="592">
        <f>$AS27*$AT27</f>
        <v>0</v>
      </c>
      <c r="AV27" s="591">
        <f>[1]COMMANDE!O25</f>
        <v>0</v>
      </c>
      <c r="AW27" s="586" t="str">
        <f>_xlfn.IFS(AND($AI27=$AM27,$AI27&gt;0,$AM27&gt;0,AV27&gt;0), AV27,     AND(NOT($AI27=$AM27),$AI27&gt;0,$AM27&gt;0,AV27&gt;0), ($AM27*AV27)/$AI27,     AND($AI27=0,$AM27&gt;0,$AQ27&gt;0), IF(INDEX(AV$12:AV$263,MATCH($AQ27,$AP$12:$AP$263,0))&gt;0,($AM27*INDEX(AV$12:AV$263,MATCH($AQ27,$AP$12:$AP$263,0)))/INDEX($AI$12:$AI$263,MATCH($AQ27,$AP$12:$AP$263,0)), "-"),     TRUE, "0")</f>
        <v>0</v>
      </c>
      <c r="AX27" s="588">
        <f>IF(AW$9&gt;0, IF(OR(AW27="",AW27="-"), 0, AW27*$AT27), AV27*$AJ27)</f>
        <v>0</v>
      </c>
      <c r="AY27" s="587">
        <f>[1]COMMANDE!Q25</f>
        <v>0</v>
      </c>
      <c r="AZ27" s="586" t="str">
        <f>_xlfn.IFS(AND($AI27=$AM27,$AI27&gt;0,$AM27&gt;0,AY27&gt;0), AY27,     AND(NOT($AI27=$AM27),$AI27&gt;0,$AM27&gt;0,AY27&gt;0), ($AM27*AY27)/$AI27,     AND($AI27=0,$AM27&gt;0,$AQ27&gt;0), IF(INDEX(AY$12:AY$263,MATCH($AQ27,$AP$12:$AP$263,0))&gt;0,($AM27*INDEX(AY$12:AY$263,MATCH($AQ27,$AP$12:$AP$263,0)))/INDEX($AI$12:$AI$263,MATCH($AQ27,$AP$12:$AP$263,0)), "-"),     TRUE, "0")</f>
        <v>0</v>
      </c>
      <c r="BA27" s="607">
        <f>IF(AZ$9&gt;0, IF(OR(AZ27="",AZ27="-"), 0, AZ27*$AT27), AY27*$AJ27)</f>
        <v>0</v>
      </c>
      <c r="BB27" s="589">
        <f>[1]COMMANDE!S25</f>
        <v>0</v>
      </c>
      <c r="BC27" s="586" t="str">
        <f>_xlfn.IFS(AND($AI27=$AM27,$AI27&gt;0,$AM27&gt;0,BB27&gt;0), BB27,     AND(NOT($AI27=$AM27),$AI27&gt;0,$AM27&gt;0,BB27&gt;0), ($AM27*BB27)/$AI27,     AND($AI27=0,$AM27&gt;0,$AQ27&gt;0), IF(INDEX(BB$12:BB$263,MATCH($AQ27,$AP$12:$AP$263,0))&gt;0,($AM27*INDEX(BB$12:BB$263,MATCH($AQ27,$AP$12:$AP$263,0)))/INDEX($AI$12:$AI$263,MATCH($AQ27,$AP$12:$AP$263,0)), "-"),     TRUE, "0")</f>
        <v>0</v>
      </c>
      <c r="BD27" s="588">
        <f>IF(BC$9&gt;0, IF(OR(BC27="",BC27="-"), 0, BC27*$AT27), BB27*$AJ27)</f>
        <v>0</v>
      </c>
      <c r="BE27" s="587">
        <f>[1]COMMANDE!U25</f>
        <v>0</v>
      </c>
      <c r="BF27" s="586" t="str">
        <f>_xlfn.IFS(AND($AI27=$AM27,$AI27&gt;0,$AM27&gt;0,BE27&gt;0), BE27,     AND(NOT($AI27=$AM27),$AI27&gt;0,$AM27&gt;0,BE27&gt;0), ($AM27*BE27)/$AI27,     AND($AI27=0,$AM27&gt;0,$AQ27&gt;0), IF(INDEX(BE$12:BE$263,MATCH($AQ27,$AP$12:$AP$263,0))&gt;0,($AM27*INDEX(BE$12:BE$263,MATCH($AQ27,$AP$12:$AP$263,0)))/INDEX($AI$12:$AI$263,MATCH($AQ27,$AP$12:$AP$263,0)), "-"),     TRUE, "0")</f>
        <v>0</v>
      </c>
      <c r="BG27" s="607">
        <f>IF(BF$9&gt;0, IF(OR(BF27="",BF27="-"), 0, BF27*$AT27), BE27*$AJ27)</f>
        <v>0</v>
      </c>
      <c r="BH27" s="589">
        <f>[1]COMMANDE!W25</f>
        <v>0</v>
      </c>
      <c r="BI27" s="586" t="str">
        <f>_xlfn.IFS(AND($AI27=$AM27,$AI27&gt;0,$AM27&gt;0,BH27&gt;0), BH27,     AND(NOT($AI27=$AM27),$AI27&gt;0,$AM27&gt;0,BH27&gt;0), ($AM27*BH27)/$AI27,     AND($AI27=0,$AM27&gt;0,$AQ27&gt;0), IF(INDEX(BH$12:BH$263,MATCH($AQ27,$AP$12:$AP$263,0))&gt;0,($AM27*INDEX(BH$12:BH$263,MATCH($AQ27,$AP$12:$AP$263,0)))/INDEX($AI$12:$AI$263,MATCH($AQ27,$AP$12:$AP$263,0)), "-"),     TRUE, "0")</f>
        <v>0</v>
      </c>
      <c r="BJ27" s="588">
        <f>IF(BI$9&gt;0, IF(OR(BI27="",BI27="-"), 0, BI27*$AT27), BH27*$AJ27)</f>
        <v>0</v>
      </c>
      <c r="BK27" s="587">
        <f>[1]COMMANDE!Y25</f>
        <v>0</v>
      </c>
      <c r="BL27" s="586" t="str">
        <f>_xlfn.IFS(AND($AI27=$AM27,$AI27&gt;0,$AM27&gt;0,BK27&gt;0), BK27,     AND(NOT($AI27=$AM27),$AI27&gt;0,$AM27&gt;0,BK27&gt;0), ($AM27*BK27)/$AI27,     AND($AI27=0,$AM27&gt;0,$AQ27&gt;0), IF(INDEX(BK$12:BK$263,MATCH($AQ27,$AP$12:$AP$263,0))&gt;0,($AM27*INDEX(BK$12:BK$263,MATCH($AQ27,$AP$12:$AP$263,0)))/INDEX($AI$12:$AI$263,MATCH($AQ27,$AP$12:$AP$263,0)), "-"),     TRUE, "0")</f>
        <v>0</v>
      </c>
      <c r="BM27" s="607">
        <f>IF(BL$9&gt;0, IF(OR(BL27="",BL27="-"), 0, BL27*$AT27), BK27*$AJ27)</f>
        <v>0</v>
      </c>
      <c r="BN27" s="589">
        <f>[1]COMMANDE!AA25</f>
        <v>0</v>
      </c>
      <c r="BO27" s="586" t="str">
        <f>_xlfn.IFS(AND($AI27=$AM27,$AI27&gt;0,$AM27&gt;0,BN27&gt;0), BN27,     AND(NOT($AI27=$AM27),$AI27&gt;0,$AM27&gt;0,BN27&gt;0), ($AM27*BN27)/$AI27,     AND($AI27=0,$AM27&gt;0,$AQ27&gt;0), IF(INDEX(BN$12:BN$263,MATCH($AQ27,$AP$12:$AP$263,0))&gt;0,($AM27*INDEX(BN$12:BN$263,MATCH($AQ27,$AP$12:$AP$263,0)))/INDEX($AI$12:$AI$263,MATCH($AQ27,$AP$12:$AP$263,0)), "-"),     TRUE, "0")</f>
        <v>0</v>
      </c>
      <c r="BP27" s="588">
        <f>IF(BO$9&gt;0, IF(OR(BO27="",BO27="-"), 0, BO27*$AT27), BN27*$AJ27)</f>
        <v>0</v>
      </c>
      <c r="BQ27" s="587">
        <f>[1]COMMANDE!AC25</f>
        <v>0</v>
      </c>
      <c r="BR27" s="586" t="str">
        <f>_xlfn.IFS(AND($AI27=$AM27,$AI27&gt;0,$AM27&gt;0,BQ27&gt;0), BQ27,     AND(NOT($AI27=$AM27),$AI27&gt;0,$AM27&gt;0,BQ27&gt;0), ($AM27*BQ27)/$AI27,     AND($AI27=0,$AM27&gt;0,$AQ27&gt;0), IF(INDEX(BQ$12:BQ$263,MATCH($AQ27,$AP$12:$AP$263,0))&gt;0,($AM27*INDEX(BQ$12:BQ$263,MATCH($AQ27,$AP$12:$AP$263,0)))/INDEX($AI$12:$AI$263,MATCH($AQ27,$AP$12:$AP$263,0)), "-"),     TRUE, "0")</f>
        <v>0</v>
      </c>
      <c r="BS27" s="607">
        <f>IF(BR$9&gt;0, IF(OR(BR27="",BR27="-"), 0, BR27*$AT27), BQ27*$AJ27)</f>
        <v>0</v>
      </c>
      <c r="BT27" s="589">
        <f>[1]COMMANDE!AE25</f>
        <v>0</v>
      </c>
      <c r="BU27" s="586" t="str">
        <f>_xlfn.IFS(AND($AI27=$AM27,$AI27&gt;0,$AM27&gt;0,BT27&gt;0), BT27,     AND(NOT($AI27=$AM27),$AI27&gt;0,$AM27&gt;0,BT27&gt;0), ($AM27*BT27)/$AI27,     AND($AI27=0,$AM27&gt;0,$AQ27&gt;0), IF(INDEX(BT$12:BT$263,MATCH($AQ27,$AP$12:$AP$263,0))&gt;0,($AM27*INDEX(BT$12:BT$263,MATCH($AQ27,$AP$12:$AP$263,0)))/INDEX($AI$12:$AI$263,MATCH($AQ27,$AP$12:$AP$263,0)), "-"),     TRUE, "0")</f>
        <v>0</v>
      </c>
      <c r="BV27" s="588">
        <f>IF(BU$9&gt;0, IF(OR(BU27="",BU27="-"), 0, BU27*$AT27), BT27*$AJ27)</f>
        <v>0</v>
      </c>
      <c r="BW27" s="587">
        <f>[1]COMMANDE!AG25</f>
        <v>0</v>
      </c>
      <c r="BX27" s="586" t="str">
        <f>_xlfn.IFS(AND($AI27=$AM27,$AI27&gt;0,$AM27&gt;0,BW27&gt;0), BW27,     AND(NOT($AI27=$AM27),$AI27&gt;0,$AM27&gt;0,BW27&gt;0), ($AM27*BW27)/$AI27,     AND($AI27=0,$AM27&gt;0,$AQ27&gt;0), IF(INDEX(BW$12:BW$263,MATCH($AQ27,$AP$12:$AP$263,0))&gt;0,($AM27*INDEX(BW$12:BW$263,MATCH($AQ27,$AP$12:$AP$263,0)))/INDEX($AI$12:$AI$263,MATCH($AQ27,$AP$12:$AP$263,0)), "-"),     TRUE, "0")</f>
        <v>0</v>
      </c>
      <c r="BY27" s="607">
        <f>IF(BX$9&gt;0, IF(OR(BX27="",BX27="-"), 0, BX27*$AT27), BW27*$AJ27)</f>
        <v>0</v>
      </c>
      <c r="BZ27" s="589">
        <f>[1]COMMANDE!AI25</f>
        <v>0</v>
      </c>
      <c r="CA27" s="586" t="str">
        <f>_xlfn.IFS(AND($AI27=$AM27,$AI27&gt;0,$AM27&gt;0,BZ27&gt;0), BZ27,     AND(NOT($AI27=$AM27),$AI27&gt;0,$AM27&gt;0,BZ27&gt;0), ($AM27*BZ27)/$AI27,     AND($AI27=0,$AM27&gt;0,$AQ27&gt;0), IF(INDEX(BZ$12:BZ$263,MATCH($AQ27,$AP$12:$AP$263,0))&gt;0,($AM27*INDEX(BZ$12:BZ$263,MATCH($AQ27,$AP$12:$AP$263,0)))/INDEX($AI$12:$AI$263,MATCH($AQ27,$AP$12:$AP$263,0)), "-"),     TRUE, "0")</f>
        <v>0</v>
      </c>
      <c r="CB27" s="588">
        <f>IF(CA$9&gt;0, IF(OR(CA27="",CA27="-"), 0, CA27*$AT27), BZ27*$AJ27)</f>
        <v>0</v>
      </c>
      <c r="CC27" s="587">
        <f>[1]COMMANDE!AK25</f>
        <v>0</v>
      </c>
      <c r="CD27" s="586" t="str">
        <f>_xlfn.IFS(AND($AI27=$AM27,$AI27&gt;0,$AM27&gt;0,CC27&gt;0), CC27,     AND(NOT($AI27=$AM27),$AI27&gt;0,$AM27&gt;0,CC27&gt;0), ($AM27*CC27)/$AI27,     AND($AI27=0,$AM27&gt;0,$AQ27&gt;0), IF(INDEX(CC$12:CC$263,MATCH($AQ27,$AP$12:$AP$263,0))&gt;0,($AM27*INDEX(CC$12:CC$263,MATCH($AQ27,$AP$12:$AP$263,0)))/INDEX($AI$12:$AI$263,MATCH($AQ27,$AP$12:$AP$263,0)), "-"),     TRUE, "0")</f>
        <v>0</v>
      </c>
      <c r="CE27" s="607">
        <f>IF(CD$9&gt;0, IF(OR(CD27="",CD27="-"), 0, CD27*$AT27), CC27*$AJ27)</f>
        <v>0</v>
      </c>
      <c r="CF27" s="589">
        <f>[1]COMMANDE!AM25</f>
        <v>0</v>
      </c>
      <c r="CG27" s="586" t="str">
        <f>_xlfn.IFS(AND($AI27=$AM27,$AI27&gt;0,$AM27&gt;0,CF27&gt;0), CF27,     AND(NOT($AI27=$AM27),$AI27&gt;0,$AM27&gt;0,CF27&gt;0), ($AM27*CF27)/$AI27,     AND($AI27=0,$AM27&gt;0,$AQ27&gt;0), IF(INDEX(CF$12:CF$263,MATCH($AQ27,$AP$12:$AP$263,0))&gt;0,($AM27*INDEX(CF$12:CF$263,MATCH($AQ27,$AP$12:$AP$263,0)))/INDEX($AI$12:$AI$263,MATCH($AQ27,$AP$12:$AP$263,0)), "-"),     TRUE, "0")</f>
        <v>0</v>
      </c>
      <c r="CH27" s="588">
        <f>IF(CG$9&gt;0, IF(OR(CG27="",CG27="-"), 0, CG27*$AT27), CF27*$AJ27)</f>
        <v>0</v>
      </c>
      <c r="CI27" s="587">
        <f>[1]COMMANDE!AO25</f>
        <v>0</v>
      </c>
      <c r="CJ27" s="586" t="str">
        <f>_xlfn.IFS(AND($AI27=$AM27,$AI27&gt;0,$AM27&gt;0,CI27&gt;0), CI27,     AND(NOT($AI27=$AM27),$AI27&gt;0,$AM27&gt;0,CI27&gt;0), ($AM27*CI27)/$AI27,     AND($AI27=0,$AM27&gt;0,$AQ27&gt;0), IF(INDEX(CI$12:CI$263,MATCH($AQ27,$AP$12:$AP$263,0))&gt;0,($AM27*INDEX(CI$12:CI$263,MATCH($AQ27,$AP$12:$AP$263,0)))/INDEX($AI$12:$AI$263,MATCH($AQ27,$AP$12:$AP$263,0)), "-"),     TRUE, "0")</f>
        <v>0</v>
      </c>
      <c r="CK27" s="607">
        <f>IF(CJ$9&gt;0, IF(OR(CJ27="",CJ27="-"), 0, CJ27*$AT27), CI27*$AJ27)</f>
        <v>0</v>
      </c>
      <c r="CL27" s="589">
        <f>[1]COMMANDE!AQ25</f>
        <v>0</v>
      </c>
      <c r="CM27" s="586" t="str">
        <f>_xlfn.IFS(AND($AI27=$AM27,$AI27&gt;0,$AM27&gt;0,CL27&gt;0), CL27,     AND(NOT($AI27=$AM27),$AI27&gt;0,$AM27&gt;0,CL27&gt;0), ($AM27*CL27)/$AI27,     AND($AI27=0,$AM27&gt;0,$AQ27&gt;0), IF(INDEX(CL$12:CL$263,MATCH($AQ27,$AP$12:$AP$263,0))&gt;0,($AM27*INDEX(CL$12:CL$263,MATCH($AQ27,$AP$12:$AP$263,0)))/INDEX($AI$12:$AI$263,MATCH($AQ27,$AP$12:$AP$263,0)), "-"),     TRUE, "0")</f>
        <v>0</v>
      </c>
      <c r="CN27" s="588">
        <f>IF(CM$9&gt;0, IF(OR(CM27="",CM27="-"), 0, CM27*$AT27), CL27*$AJ27)</f>
        <v>0</v>
      </c>
      <c r="CO27" s="587">
        <f>[1]COMMANDE!AS25</f>
        <v>0</v>
      </c>
      <c r="CP27" s="586" t="str">
        <f>_xlfn.IFS(AND($AI27=$AM27,$AI27&gt;0,$AM27&gt;0,CO27&gt;0), CO27,     AND(NOT($AI27=$AM27),$AI27&gt;0,$AM27&gt;0,CO27&gt;0), ($AM27*CO27)/$AI27,     AND($AI27=0,$AM27&gt;0,$AQ27&gt;0), IF(INDEX(CO$12:CO$263,MATCH($AQ27,$AP$12:$AP$263,0))&gt;0,($AM27*INDEX(CO$12:CO$263,MATCH($AQ27,$AP$12:$AP$263,0)))/INDEX($AI$12:$AI$263,MATCH($AQ27,$AP$12:$AP$263,0)), "-"),     TRUE, "0")</f>
        <v>0</v>
      </c>
      <c r="CQ27" s="607">
        <f>IF(CP$9&gt;0, IF(OR(CP27="",CP27="-"), 0, CP27*$AT27), CO27*$AJ27)</f>
        <v>0</v>
      </c>
      <c r="CR27" s="589">
        <f>[1]COMMANDE!AU25</f>
        <v>0</v>
      </c>
      <c r="CS27" s="586" t="str">
        <f>_xlfn.IFS(AND($AI27=$AM27,$AI27&gt;0,$AM27&gt;0,CR27&gt;0), CR27,     AND(NOT($AI27=$AM27),$AI27&gt;0,$AM27&gt;0,CR27&gt;0), ($AM27*CR27)/$AI27,     AND($AI27=0,$AM27&gt;0,$AQ27&gt;0), IF(INDEX(CR$12:CR$263,MATCH($AQ27,$AP$12:$AP$263,0))&gt;0,($AM27*INDEX(CR$12:CR$263,MATCH($AQ27,$AP$12:$AP$263,0)))/INDEX($AI$12:$AI$263,MATCH($AQ27,$AP$12:$AP$263,0)), "-"),     TRUE, "0")</f>
        <v>0</v>
      </c>
      <c r="CT27" s="588">
        <f>IF(CS$9&gt;0, IF(OR(CS27="",CS27="-"), 0, CS27*$AT27), CR27*$AJ27)</f>
        <v>0</v>
      </c>
      <c r="CU27" s="587">
        <f>[1]COMMANDE!AW25</f>
        <v>0</v>
      </c>
      <c r="CV27" s="586" t="str">
        <f>_xlfn.IFS(AND($AI27=$AM27,$AI27&gt;0,$AM27&gt;0,CU27&gt;0), CU27,     AND(NOT($AI27=$AM27),$AI27&gt;0,$AM27&gt;0,CU27&gt;0), ($AM27*CU27)/$AI27,     AND($AI27=0,$AM27&gt;0,$AQ27&gt;0), IF(INDEX(CU$12:CU$263,MATCH($AQ27,$AP$12:$AP$263,0))&gt;0,($AM27*INDEX(CU$12:CU$263,MATCH($AQ27,$AP$12:$AP$263,0)))/INDEX($AI$12:$AI$263,MATCH($AQ27,$AP$12:$AP$263,0)), "-"),     TRUE, "0")</f>
        <v>0</v>
      </c>
      <c r="CW27" s="607">
        <f>IF(CV$9&gt;0, IF(OR(CV27="",CV27="-"), 0, CV27*$AT27), CU27*$AJ27)</f>
        <v>0</v>
      </c>
      <c r="CX27" s="589">
        <f>[1]COMMANDE!AY25</f>
        <v>0</v>
      </c>
      <c r="CY27" s="586" t="str">
        <f>_xlfn.IFS(AND($AI27=$AM27,$AI27&gt;0,$AM27&gt;0,CX27&gt;0), CX27,     AND(NOT($AI27=$AM27),$AI27&gt;0,$AM27&gt;0,CX27&gt;0), ($AM27*CX27)/$AI27,     AND($AI27=0,$AM27&gt;0,$AQ27&gt;0), IF(INDEX(CX$12:CX$263,MATCH($AQ27,$AP$12:$AP$263,0))&gt;0,($AM27*INDEX(CX$12:CX$263,MATCH($AQ27,$AP$12:$AP$263,0)))/INDEX($AI$12:$AI$263,MATCH($AQ27,$AP$12:$AP$263,0)), "-"),     TRUE, "0")</f>
        <v>0</v>
      </c>
      <c r="CZ27" s="588">
        <f>IF(CY$9&gt;0, IF(OR(CY27="",CY27="-"), 0, CY27*$AT27), CX27*$AJ27)</f>
        <v>0</v>
      </c>
      <c r="DA27" s="587">
        <f>[1]COMMANDE!BA25</f>
        <v>0</v>
      </c>
      <c r="DB27" s="586" t="str">
        <f>_xlfn.IFS(AND($AI27=$AM27,$AI27&gt;0,$AM27&gt;0,DA27&gt;0), DA27,     AND(NOT($AI27=$AM27),$AI27&gt;0,$AM27&gt;0,DA27&gt;0), ($AM27*DA27)/$AI27,     AND($AI27=0,$AM27&gt;0,$AQ27&gt;0), IF(INDEX(DA$12:DA$263,MATCH($AQ27,$AP$12:$AP$263,0))&gt;0,($AM27*INDEX(DA$12:DA$263,MATCH($AQ27,$AP$12:$AP$263,0)))/INDEX($AI$12:$AI$263,MATCH($AQ27,$AP$12:$AP$263,0)), "-"),     TRUE, "0")</f>
        <v>0</v>
      </c>
      <c r="DC27" s="606">
        <f>IF(DB$9&gt;0, IF(OR(DB27="",DB27="-"), 0, DB27*$AT27), DA27*$AJ27)</f>
        <v>0</v>
      </c>
      <c r="DD27" s="584"/>
      <c r="DE27" s="583"/>
    </row>
    <row r="28" spans="1:109" ht="39.950000000000003" hidden="1" customHeight="1">
      <c r="A28" s="604">
        <f>IF(OR($AV28&gt;0, $AX28&gt;0), 1, 0)</f>
        <v>0</v>
      </c>
      <c r="B28" s="604">
        <f>IF(OR($AY28&gt;0, $BA28&gt;0), 1, 0)</f>
        <v>0</v>
      </c>
      <c r="C28" s="604">
        <f>IF(OR($BB28&gt;0, $BD28&gt;0), 1, 0)</f>
        <v>0</v>
      </c>
      <c r="D28" s="604">
        <f>IF(OR($BE28&gt;0, $BG28&gt;0), 1, 0)</f>
        <v>0</v>
      </c>
      <c r="E28" s="604">
        <f>IF(OR($BH28&gt;0, $BJ28&gt;0), 1, 0)</f>
        <v>0</v>
      </c>
      <c r="F28" s="604">
        <f>IF(OR($BK28&gt;0, $BM28&gt;0), 1, 0)</f>
        <v>0</v>
      </c>
      <c r="G28" s="604">
        <f>IF(OR($BN28&gt;0, $BP28&gt;0), 1, 0)</f>
        <v>0</v>
      </c>
      <c r="H28" s="604">
        <f>IF(OR($BQ28&gt;0, $BS28&gt;0), 1, 0)</f>
        <v>0</v>
      </c>
      <c r="I28" s="604">
        <f>IF(OR($BT28&gt;0, $BV28&gt;0), 1, 0)</f>
        <v>0</v>
      </c>
      <c r="J28" s="604">
        <f>IF(OR($BW28&gt;0, $BY28&gt;0), 1, 0)</f>
        <v>0</v>
      </c>
      <c r="K28" s="604">
        <f>IF(OR($BZ28&gt;0, $CB28&gt;0), 1, 0)</f>
        <v>0</v>
      </c>
      <c r="L28" s="604">
        <f>IF(OR($CC28&gt;0, $CE28&gt;0), 1, 0)</f>
        <v>0</v>
      </c>
      <c r="M28" s="604">
        <f>IF(OR($CF28&gt;0, $CH28&gt;0), 1, 0)</f>
        <v>0</v>
      </c>
      <c r="N28" s="604">
        <f>IF(OR($CI28&gt;0, $CK28&gt;0), 1, 0)</f>
        <v>0</v>
      </c>
      <c r="O28" s="604">
        <f>IF(OR($CL28&gt;0, $CN28&gt;0), 1, 0)</f>
        <v>0</v>
      </c>
      <c r="P28" s="604">
        <f>IF(OR($CO28&gt;0, $CQ28&gt;0), 1, 0)</f>
        <v>0</v>
      </c>
      <c r="Q28" s="604">
        <f>IF(OR($CR28&gt;0, $CT28&gt;0), 1, 0)</f>
        <v>0</v>
      </c>
      <c r="R28" s="604">
        <f>IF(OR($CU28&gt;0, $CW28&gt;0), 1, 0)</f>
        <v>0</v>
      </c>
      <c r="S28" s="604">
        <f>IF(OR($CX28&gt;0, $CZ28&gt;0), 1, 0)</f>
        <v>0</v>
      </c>
      <c r="T28" s="604">
        <f>IF(OR($DA28&gt;0, $DC28&gt;0), 1, 0)</f>
        <v>0</v>
      </c>
      <c r="U28" s="603">
        <f>IF(OR($AI28&gt;0,$AM28&gt;0,$AS28&gt;0), 1, 0)</f>
        <v>0</v>
      </c>
      <c r="V28" s="602">
        <f>[1]BDD!A18</f>
        <v>3785</v>
      </c>
      <c r="W28" s="601" t="str">
        <f>[1]BDD!B18</f>
        <v>Arachides crues avec coque</v>
      </c>
      <c r="X28" s="600" t="str">
        <f>IF([1]BDD!F18=0, "", [1]BDD!F18)</f>
        <v>❤️</v>
      </c>
      <c r="Y28" s="542">
        <f>ROUND([1]BDD!G18+FDP_CMD_KG, 2)</f>
        <v>5.24</v>
      </c>
      <c r="Z28" s="542">
        <f>ROUND([1]BDD!G18+FDP_FACT_KG, 2)</f>
        <v>5.24</v>
      </c>
      <c r="AA28" s="543" t="str">
        <f>[1]BDD!H18</f>
        <v>kg</v>
      </c>
      <c r="AB28" s="544">
        <f>IF(NOT(ISBLANK([1]BDD!I18)), ROUND(SUM(([1]BDD!G18*reduc1),FDP_CMD_KG), 2), "")</f>
        <v>4.8099999999999996</v>
      </c>
      <c r="AC28" s="544">
        <f>IF(NOT(ISBLANK([1]BDD!J18)), ROUND(SUM(([1]BDD!G18*reduc2),FDP_CMD_KG), 2), "")</f>
        <v>4.37</v>
      </c>
      <c r="AD28" s="544" t="str">
        <f>IF(NOT(ISBLANK([1]BDD!K18)), ROUND(SUM(([1]BDD!G18*reduc3),FDP_CMD_KG), 2), "")</f>
        <v/>
      </c>
      <c r="AE28" s="544">
        <f>IF(NOT(ISBLANK([1]BDD!I18)), ROUND(SUM(([1]BDD!G18*reduc1),FDP_FACT_KG), 2), "")</f>
        <v>4.8</v>
      </c>
      <c r="AF28" s="544">
        <f>IF(NOT(ISBLANK([1]BDD!J18)), ROUND(SUM(([1]BDD!G18*reduc2),FDP_FACT_KG), 2), "")</f>
        <v>4.3600000000000003</v>
      </c>
      <c r="AG28" s="544" t="str">
        <f>IF(NOT(ISBLANK([1]BDD!K18)), ROUND(SUM(([1]BDD!G18*reduc3),FDP_FACT_KG), 2), "")</f>
        <v/>
      </c>
      <c r="AH28" s="599" t="str">
        <f>[1]BDD!C18</f>
        <v>Chine</v>
      </c>
      <c r="AI28" s="598">
        <f>SUM(AV28,AY28,BB28,BE28,BH28,BK28,BN28,BQ28,BT28,BW28,BZ28,CC28,CF28,CI28,CL28,CO28,CR28,CU28,CX28,DA28)</f>
        <v>0</v>
      </c>
      <c r="AJ28" s="545">
        <f>_xlfn.IFS($AD28&lt;&gt;"", $AD28,    $AC28&lt;&gt;"", $AC28,    $AB28&lt;&gt;"", $AB28,    TRUE, $Y28)</f>
        <v>4.37</v>
      </c>
      <c r="AK28" s="592">
        <f>$AI28*$AJ28</f>
        <v>0</v>
      </c>
      <c r="AL28" s="594"/>
      <c r="AM28" s="597"/>
      <c r="AN28" s="545">
        <f>_xlfn.IFS(AND(AM28&gt;=60,$AG28&lt;&gt;""), $AG28,    AND(AM28&gt;=30,$AF28&lt;&gt;""), $AF28,    AND(AM28&gt;=10,$AE28&lt;&gt;""), $AE28,    TRUE, $Z28)</f>
        <v>5.24</v>
      </c>
      <c r="AO28" s="596">
        <f>AM28*AN28</f>
        <v>0</v>
      </c>
      <c r="AP28" s="595"/>
      <c r="AQ28" s="595"/>
      <c r="AR28" s="594"/>
      <c r="AS28" s="593">
        <f>SUM(AW28,AZ28,BC28,BF28,BI28,BL28,BO28,BR28,BU28,BX28,CA28,CD28,CG28,CJ28,CM28,CP28,CS28,CV28,CY28,DB28)</f>
        <v>0</v>
      </c>
      <c r="AT28" s="545">
        <f>_xlfn.IFS(AND(AS28&gt;=60,$AG28&lt;&gt;""), $AG28,    AND(AS28&gt;=30,$AF28&lt;&gt;""), $AF28,    AND(AS28&gt;=10,$AE28&lt;&gt;""), $AE28,    TRUE, $Z28)</f>
        <v>5.24</v>
      </c>
      <c r="AU28" s="592">
        <f>$AS28*$AT28</f>
        <v>0</v>
      </c>
      <c r="AV28" s="591">
        <f>[1]COMMANDE!O26</f>
        <v>0</v>
      </c>
      <c r="AW28" s="586" t="str">
        <f>_xlfn.IFS(AND($AI28=$AM28,$AI28&gt;0,$AM28&gt;0,AV28&gt;0), AV28,     AND(NOT($AI28=$AM28),$AI28&gt;0,$AM28&gt;0,AV28&gt;0), ($AM28*AV28)/$AI28,     AND($AI28=0,$AM28&gt;0,$AQ28&gt;0), IF(INDEX(AV$12:AV$263,MATCH($AQ28,$AP$12:$AP$263,0))&gt;0,($AM28*INDEX(AV$12:AV$263,MATCH($AQ28,$AP$12:$AP$263,0)))/INDEX($AI$12:$AI$263,MATCH($AQ28,$AP$12:$AP$263,0)), "-"),     TRUE, "0")</f>
        <v>0</v>
      </c>
      <c r="AX28" s="588">
        <f>IF(AW$9&gt;0, IF(OR(AW28="",AW28="-"), 0, AW28*$AT28), AV28*$AJ28)</f>
        <v>0</v>
      </c>
      <c r="AY28" s="587">
        <f>[1]COMMANDE!Q26</f>
        <v>0</v>
      </c>
      <c r="AZ28" s="586" t="str">
        <f>_xlfn.IFS(AND($AI28=$AM28,$AI28&gt;0,$AM28&gt;0,AY28&gt;0), AY28,     AND(NOT($AI28=$AM28),$AI28&gt;0,$AM28&gt;0,AY28&gt;0), ($AM28*AY28)/$AI28,     AND($AI28=0,$AM28&gt;0,$AQ28&gt;0), IF(INDEX(AY$12:AY$263,MATCH($AQ28,$AP$12:$AP$263,0))&gt;0,($AM28*INDEX(AY$12:AY$263,MATCH($AQ28,$AP$12:$AP$263,0)))/INDEX($AI$12:$AI$263,MATCH($AQ28,$AP$12:$AP$263,0)), "-"),     TRUE, "0")</f>
        <v>0</v>
      </c>
      <c r="BA28" s="607">
        <f>IF(AZ$9&gt;0, IF(OR(AZ28="",AZ28="-"), 0, AZ28*$AT28), AY28*$AJ28)</f>
        <v>0</v>
      </c>
      <c r="BB28" s="589">
        <f>[1]COMMANDE!S26</f>
        <v>0</v>
      </c>
      <c r="BC28" s="586" t="str">
        <f>_xlfn.IFS(AND($AI28=$AM28,$AI28&gt;0,$AM28&gt;0,BB28&gt;0), BB28,     AND(NOT($AI28=$AM28),$AI28&gt;0,$AM28&gt;0,BB28&gt;0), ($AM28*BB28)/$AI28,     AND($AI28=0,$AM28&gt;0,$AQ28&gt;0), IF(INDEX(BB$12:BB$263,MATCH($AQ28,$AP$12:$AP$263,0))&gt;0,($AM28*INDEX(BB$12:BB$263,MATCH($AQ28,$AP$12:$AP$263,0)))/INDEX($AI$12:$AI$263,MATCH($AQ28,$AP$12:$AP$263,0)), "-"),     TRUE, "0")</f>
        <v>0</v>
      </c>
      <c r="BD28" s="588">
        <f>IF(BC$9&gt;0, IF(OR(BC28="",BC28="-"), 0, BC28*$AT28), BB28*$AJ28)</f>
        <v>0</v>
      </c>
      <c r="BE28" s="587">
        <f>[1]COMMANDE!U26</f>
        <v>0</v>
      </c>
      <c r="BF28" s="586" t="str">
        <f>_xlfn.IFS(AND($AI28=$AM28,$AI28&gt;0,$AM28&gt;0,BE28&gt;0), BE28,     AND(NOT($AI28=$AM28),$AI28&gt;0,$AM28&gt;0,BE28&gt;0), ($AM28*BE28)/$AI28,     AND($AI28=0,$AM28&gt;0,$AQ28&gt;0), IF(INDEX(BE$12:BE$263,MATCH($AQ28,$AP$12:$AP$263,0))&gt;0,($AM28*INDEX(BE$12:BE$263,MATCH($AQ28,$AP$12:$AP$263,0)))/INDEX($AI$12:$AI$263,MATCH($AQ28,$AP$12:$AP$263,0)), "-"),     TRUE, "0")</f>
        <v>0</v>
      </c>
      <c r="BG28" s="607">
        <f>IF(BF$9&gt;0, IF(OR(BF28="",BF28="-"), 0, BF28*$AT28), BE28*$AJ28)</f>
        <v>0</v>
      </c>
      <c r="BH28" s="589">
        <f>[1]COMMANDE!W26</f>
        <v>0</v>
      </c>
      <c r="BI28" s="586" t="str">
        <f>_xlfn.IFS(AND($AI28=$AM28,$AI28&gt;0,$AM28&gt;0,BH28&gt;0), BH28,     AND(NOT($AI28=$AM28),$AI28&gt;0,$AM28&gt;0,BH28&gt;0), ($AM28*BH28)/$AI28,     AND($AI28=0,$AM28&gt;0,$AQ28&gt;0), IF(INDEX(BH$12:BH$263,MATCH($AQ28,$AP$12:$AP$263,0))&gt;0,($AM28*INDEX(BH$12:BH$263,MATCH($AQ28,$AP$12:$AP$263,0)))/INDEX($AI$12:$AI$263,MATCH($AQ28,$AP$12:$AP$263,0)), "-"),     TRUE, "0")</f>
        <v>0</v>
      </c>
      <c r="BJ28" s="588">
        <f>IF(BI$9&gt;0, IF(OR(BI28="",BI28="-"), 0, BI28*$AT28), BH28*$AJ28)</f>
        <v>0</v>
      </c>
      <c r="BK28" s="587">
        <f>[1]COMMANDE!Y26</f>
        <v>0</v>
      </c>
      <c r="BL28" s="586" t="str">
        <f>_xlfn.IFS(AND($AI28=$AM28,$AI28&gt;0,$AM28&gt;0,BK28&gt;0), BK28,     AND(NOT($AI28=$AM28),$AI28&gt;0,$AM28&gt;0,BK28&gt;0), ($AM28*BK28)/$AI28,     AND($AI28=0,$AM28&gt;0,$AQ28&gt;0), IF(INDEX(BK$12:BK$263,MATCH($AQ28,$AP$12:$AP$263,0))&gt;0,($AM28*INDEX(BK$12:BK$263,MATCH($AQ28,$AP$12:$AP$263,0)))/INDEX($AI$12:$AI$263,MATCH($AQ28,$AP$12:$AP$263,0)), "-"),     TRUE, "0")</f>
        <v>0</v>
      </c>
      <c r="BM28" s="607">
        <f>IF(BL$9&gt;0, IF(OR(BL28="",BL28="-"), 0, BL28*$AT28), BK28*$AJ28)</f>
        <v>0</v>
      </c>
      <c r="BN28" s="589">
        <f>[1]COMMANDE!AA26</f>
        <v>0</v>
      </c>
      <c r="BO28" s="586" t="str">
        <f>_xlfn.IFS(AND($AI28=$AM28,$AI28&gt;0,$AM28&gt;0,BN28&gt;0), BN28,     AND(NOT($AI28=$AM28),$AI28&gt;0,$AM28&gt;0,BN28&gt;0), ($AM28*BN28)/$AI28,     AND($AI28=0,$AM28&gt;0,$AQ28&gt;0), IF(INDEX(BN$12:BN$263,MATCH($AQ28,$AP$12:$AP$263,0))&gt;0,($AM28*INDEX(BN$12:BN$263,MATCH($AQ28,$AP$12:$AP$263,0)))/INDEX($AI$12:$AI$263,MATCH($AQ28,$AP$12:$AP$263,0)), "-"),     TRUE, "0")</f>
        <v>0</v>
      </c>
      <c r="BP28" s="588">
        <f>IF(BO$9&gt;0, IF(OR(BO28="",BO28="-"), 0, BO28*$AT28), BN28*$AJ28)</f>
        <v>0</v>
      </c>
      <c r="BQ28" s="587">
        <f>[1]COMMANDE!AC26</f>
        <v>0</v>
      </c>
      <c r="BR28" s="586" t="str">
        <f>_xlfn.IFS(AND($AI28=$AM28,$AI28&gt;0,$AM28&gt;0,BQ28&gt;0), BQ28,     AND(NOT($AI28=$AM28),$AI28&gt;0,$AM28&gt;0,BQ28&gt;0), ($AM28*BQ28)/$AI28,     AND($AI28=0,$AM28&gt;0,$AQ28&gt;0), IF(INDEX(BQ$12:BQ$263,MATCH($AQ28,$AP$12:$AP$263,0))&gt;0,($AM28*INDEX(BQ$12:BQ$263,MATCH($AQ28,$AP$12:$AP$263,0)))/INDEX($AI$12:$AI$263,MATCH($AQ28,$AP$12:$AP$263,0)), "-"),     TRUE, "0")</f>
        <v>0</v>
      </c>
      <c r="BS28" s="607">
        <f>IF(BR$9&gt;0, IF(OR(BR28="",BR28="-"), 0, BR28*$AT28), BQ28*$AJ28)</f>
        <v>0</v>
      </c>
      <c r="BT28" s="589">
        <f>[1]COMMANDE!AE26</f>
        <v>0</v>
      </c>
      <c r="BU28" s="586" t="str">
        <f>_xlfn.IFS(AND($AI28=$AM28,$AI28&gt;0,$AM28&gt;0,BT28&gt;0), BT28,     AND(NOT($AI28=$AM28),$AI28&gt;0,$AM28&gt;0,BT28&gt;0), ($AM28*BT28)/$AI28,     AND($AI28=0,$AM28&gt;0,$AQ28&gt;0), IF(INDEX(BT$12:BT$263,MATCH($AQ28,$AP$12:$AP$263,0))&gt;0,($AM28*INDEX(BT$12:BT$263,MATCH($AQ28,$AP$12:$AP$263,0)))/INDEX($AI$12:$AI$263,MATCH($AQ28,$AP$12:$AP$263,0)), "-"),     TRUE, "0")</f>
        <v>0</v>
      </c>
      <c r="BV28" s="588">
        <f>IF(BU$9&gt;0, IF(OR(BU28="",BU28="-"), 0, BU28*$AT28), BT28*$AJ28)</f>
        <v>0</v>
      </c>
      <c r="BW28" s="587">
        <f>[1]COMMANDE!AG26</f>
        <v>0</v>
      </c>
      <c r="BX28" s="586" t="str">
        <f>_xlfn.IFS(AND($AI28=$AM28,$AI28&gt;0,$AM28&gt;0,BW28&gt;0), BW28,     AND(NOT($AI28=$AM28),$AI28&gt;0,$AM28&gt;0,BW28&gt;0), ($AM28*BW28)/$AI28,     AND($AI28=0,$AM28&gt;0,$AQ28&gt;0), IF(INDEX(BW$12:BW$263,MATCH($AQ28,$AP$12:$AP$263,0))&gt;0,($AM28*INDEX(BW$12:BW$263,MATCH($AQ28,$AP$12:$AP$263,0)))/INDEX($AI$12:$AI$263,MATCH($AQ28,$AP$12:$AP$263,0)), "-"),     TRUE, "0")</f>
        <v>0</v>
      </c>
      <c r="BY28" s="607">
        <f>IF(BX$9&gt;0, IF(OR(BX28="",BX28="-"), 0, BX28*$AT28), BW28*$AJ28)</f>
        <v>0</v>
      </c>
      <c r="BZ28" s="589">
        <f>[1]COMMANDE!AI26</f>
        <v>0</v>
      </c>
      <c r="CA28" s="586" t="str">
        <f>_xlfn.IFS(AND($AI28=$AM28,$AI28&gt;0,$AM28&gt;0,BZ28&gt;0), BZ28,     AND(NOT($AI28=$AM28),$AI28&gt;0,$AM28&gt;0,BZ28&gt;0), ($AM28*BZ28)/$AI28,     AND($AI28=0,$AM28&gt;0,$AQ28&gt;0), IF(INDEX(BZ$12:BZ$263,MATCH($AQ28,$AP$12:$AP$263,0))&gt;0,($AM28*INDEX(BZ$12:BZ$263,MATCH($AQ28,$AP$12:$AP$263,0)))/INDEX($AI$12:$AI$263,MATCH($AQ28,$AP$12:$AP$263,0)), "-"),     TRUE, "0")</f>
        <v>0</v>
      </c>
      <c r="CB28" s="588">
        <f>IF(CA$9&gt;0, IF(OR(CA28="",CA28="-"), 0, CA28*$AT28), BZ28*$AJ28)</f>
        <v>0</v>
      </c>
      <c r="CC28" s="587">
        <f>[1]COMMANDE!AK26</f>
        <v>0</v>
      </c>
      <c r="CD28" s="586" t="str">
        <f>_xlfn.IFS(AND($AI28=$AM28,$AI28&gt;0,$AM28&gt;0,CC28&gt;0), CC28,     AND(NOT($AI28=$AM28),$AI28&gt;0,$AM28&gt;0,CC28&gt;0), ($AM28*CC28)/$AI28,     AND($AI28=0,$AM28&gt;0,$AQ28&gt;0), IF(INDEX(CC$12:CC$263,MATCH($AQ28,$AP$12:$AP$263,0))&gt;0,($AM28*INDEX(CC$12:CC$263,MATCH($AQ28,$AP$12:$AP$263,0)))/INDEX($AI$12:$AI$263,MATCH($AQ28,$AP$12:$AP$263,0)), "-"),     TRUE, "0")</f>
        <v>0</v>
      </c>
      <c r="CE28" s="607">
        <f>IF(CD$9&gt;0, IF(OR(CD28="",CD28="-"), 0, CD28*$AT28), CC28*$AJ28)</f>
        <v>0</v>
      </c>
      <c r="CF28" s="589">
        <f>[1]COMMANDE!AM26</f>
        <v>0</v>
      </c>
      <c r="CG28" s="586" t="str">
        <f>_xlfn.IFS(AND($AI28=$AM28,$AI28&gt;0,$AM28&gt;0,CF28&gt;0), CF28,     AND(NOT($AI28=$AM28),$AI28&gt;0,$AM28&gt;0,CF28&gt;0), ($AM28*CF28)/$AI28,     AND($AI28=0,$AM28&gt;0,$AQ28&gt;0), IF(INDEX(CF$12:CF$263,MATCH($AQ28,$AP$12:$AP$263,0))&gt;0,($AM28*INDEX(CF$12:CF$263,MATCH($AQ28,$AP$12:$AP$263,0)))/INDEX($AI$12:$AI$263,MATCH($AQ28,$AP$12:$AP$263,0)), "-"),     TRUE, "0")</f>
        <v>0</v>
      </c>
      <c r="CH28" s="588">
        <f>IF(CG$9&gt;0, IF(OR(CG28="",CG28="-"), 0, CG28*$AT28), CF28*$AJ28)</f>
        <v>0</v>
      </c>
      <c r="CI28" s="587">
        <f>[1]COMMANDE!AO26</f>
        <v>0</v>
      </c>
      <c r="CJ28" s="586" t="str">
        <f>_xlfn.IFS(AND($AI28=$AM28,$AI28&gt;0,$AM28&gt;0,CI28&gt;0), CI28,     AND(NOT($AI28=$AM28),$AI28&gt;0,$AM28&gt;0,CI28&gt;0), ($AM28*CI28)/$AI28,     AND($AI28=0,$AM28&gt;0,$AQ28&gt;0), IF(INDEX(CI$12:CI$263,MATCH($AQ28,$AP$12:$AP$263,0))&gt;0,($AM28*INDEX(CI$12:CI$263,MATCH($AQ28,$AP$12:$AP$263,0)))/INDEX($AI$12:$AI$263,MATCH($AQ28,$AP$12:$AP$263,0)), "-"),     TRUE, "0")</f>
        <v>0</v>
      </c>
      <c r="CK28" s="607">
        <f>IF(CJ$9&gt;0, IF(OR(CJ28="",CJ28="-"), 0, CJ28*$AT28), CI28*$AJ28)</f>
        <v>0</v>
      </c>
      <c r="CL28" s="589">
        <f>[1]COMMANDE!AQ26</f>
        <v>0</v>
      </c>
      <c r="CM28" s="586" t="str">
        <f>_xlfn.IFS(AND($AI28=$AM28,$AI28&gt;0,$AM28&gt;0,CL28&gt;0), CL28,     AND(NOT($AI28=$AM28),$AI28&gt;0,$AM28&gt;0,CL28&gt;0), ($AM28*CL28)/$AI28,     AND($AI28=0,$AM28&gt;0,$AQ28&gt;0), IF(INDEX(CL$12:CL$263,MATCH($AQ28,$AP$12:$AP$263,0))&gt;0,($AM28*INDEX(CL$12:CL$263,MATCH($AQ28,$AP$12:$AP$263,0)))/INDEX($AI$12:$AI$263,MATCH($AQ28,$AP$12:$AP$263,0)), "-"),     TRUE, "0")</f>
        <v>0</v>
      </c>
      <c r="CN28" s="588">
        <f>IF(CM$9&gt;0, IF(OR(CM28="",CM28="-"), 0, CM28*$AT28), CL28*$AJ28)</f>
        <v>0</v>
      </c>
      <c r="CO28" s="587">
        <f>[1]COMMANDE!AS26</f>
        <v>0</v>
      </c>
      <c r="CP28" s="586" t="str">
        <f>_xlfn.IFS(AND($AI28=$AM28,$AI28&gt;0,$AM28&gt;0,CO28&gt;0), CO28,     AND(NOT($AI28=$AM28),$AI28&gt;0,$AM28&gt;0,CO28&gt;0), ($AM28*CO28)/$AI28,     AND($AI28=0,$AM28&gt;0,$AQ28&gt;0), IF(INDEX(CO$12:CO$263,MATCH($AQ28,$AP$12:$AP$263,0))&gt;0,($AM28*INDEX(CO$12:CO$263,MATCH($AQ28,$AP$12:$AP$263,0)))/INDEX($AI$12:$AI$263,MATCH($AQ28,$AP$12:$AP$263,0)), "-"),     TRUE, "0")</f>
        <v>0</v>
      </c>
      <c r="CQ28" s="607">
        <f>IF(CP$9&gt;0, IF(OR(CP28="",CP28="-"), 0, CP28*$AT28), CO28*$AJ28)</f>
        <v>0</v>
      </c>
      <c r="CR28" s="589">
        <f>[1]COMMANDE!AU26</f>
        <v>0</v>
      </c>
      <c r="CS28" s="586" t="str">
        <f>_xlfn.IFS(AND($AI28=$AM28,$AI28&gt;0,$AM28&gt;0,CR28&gt;0), CR28,     AND(NOT($AI28=$AM28),$AI28&gt;0,$AM28&gt;0,CR28&gt;0), ($AM28*CR28)/$AI28,     AND($AI28=0,$AM28&gt;0,$AQ28&gt;0), IF(INDEX(CR$12:CR$263,MATCH($AQ28,$AP$12:$AP$263,0))&gt;0,($AM28*INDEX(CR$12:CR$263,MATCH($AQ28,$AP$12:$AP$263,0)))/INDEX($AI$12:$AI$263,MATCH($AQ28,$AP$12:$AP$263,0)), "-"),     TRUE, "0")</f>
        <v>0</v>
      </c>
      <c r="CT28" s="588">
        <f>IF(CS$9&gt;0, IF(OR(CS28="",CS28="-"), 0, CS28*$AT28), CR28*$AJ28)</f>
        <v>0</v>
      </c>
      <c r="CU28" s="587">
        <f>[1]COMMANDE!AW26</f>
        <v>0</v>
      </c>
      <c r="CV28" s="586" t="str">
        <f>_xlfn.IFS(AND($AI28=$AM28,$AI28&gt;0,$AM28&gt;0,CU28&gt;0), CU28,     AND(NOT($AI28=$AM28),$AI28&gt;0,$AM28&gt;0,CU28&gt;0), ($AM28*CU28)/$AI28,     AND($AI28=0,$AM28&gt;0,$AQ28&gt;0), IF(INDEX(CU$12:CU$263,MATCH($AQ28,$AP$12:$AP$263,0))&gt;0,($AM28*INDEX(CU$12:CU$263,MATCH($AQ28,$AP$12:$AP$263,0)))/INDEX($AI$12:$AI$263,MATCH($AQ28,$AP$12:$AP$263,0)), "-"),     TRUE, "0")</f>
        <v>0</v>
      </c>
      <c r="CW28" s="607">
        <f>IF(CV$9&gt;0, IF(OR(CV28="",CV28="-"), 0, CV28*$AT28), CU28*$AJ28)</f>
        <v>0</v>
      </c>
      <c r="CX28" s="589">
        <f>[1]COMMANDE!AY26</f>
        <v>0</v>
      </c>
      <c r="CY28" s="586" t="str">
        <f>_xlfn.IFS(AND($AI28=$AM28,$AI28&gt;0,$AM28&gt;0,CX28&gt;0), CX28,     AND(NOT($AI28=$AM28),$AI28&gt;0,$AM28&gt;0,CX28&gt;0), ($AM28*CX28)/$AI28,     AND($AI28=0,$AM28&gt;0,$AQ28&gt;0), IF(INDEX(CX$12:CX$263,MATCH($AQ28,$AP$12:$AP$263,0))&gt;0,($AM28*INDEX(CX$12:CX$263,MATCH($AQ28,$AP$12:$AP$263,0)))/INDEX($AI$12:$AI$263,MATCH($AQ28,$AP$12:$AP$263,0)), "-"),     TRUE, "0")</f>
        <v>0</v>
      </c>
      <c r="CZ28" s="588">
        <f>IF(CY$9&gt;0, IF(OR(CY28="",CY28="-"), 0, CY28*$AT28), CX28*$AJ28)</f>
        <v>0</v>
      </c>
      <c r="DA28" s="587">
        <f>[1]COMMANDE!BA26</f>
        <v>0</v>
      </c>
      <c r="DB28" s="586" t="str">
        <f>_xlfn.IFS(AND($AI28=$AM28,$AI28&gt;0,$AM28&gt;0,DA28&gt;0), DA28,     AND(NOT($AI28=$AM28),$AI28&gt;0,$AM28&gt;0,DA28&gt;0), ($AM28*DA28)/$AI28,     AND($AI28=0,$AM28&gt;0,$AQ28&gt;0), IF(INDEX(DA$12:DA$263,MATCH($AQ28,$AP$12:$AP$263,0))&gt;0,($AM28*INDEX(DA$12:DA$263,MATCH($AQ28,$AP$12:$AP$263,0)))/INDEX($AI$12:$AI$263,MATCH($AQ28,$AP$12:$AP$263,0)), "-"),     TRUE, "0")</f>
        <v>0</v>
      </c>
      <c r="DC28" s="606">
        <f>IF(DB$9&gt;0, IF(OR(DB28="",DB28="-"), 0, DB28*$AT28), DA28*$AJ28)</f>
        <v>0</v>
      </c>
      <c r="DD28" s="584"/>
      <c r="DE28" s="583"/>
    </row>
    <row r="29" spans="1:109" ht="39.950000000000003" hidden="1" customHeight="1">
      <c r="A29" s="604">
        <f>IF(OR($AV29&gt;0, $AX29&gt;0), 1, 0)</f>
        <v>0</v>
      </c>
      <c r="B29" s="604">
        <f>IF(OR($AY29&gt;0, $BA29&gt;0), 1, 0)</f>
        <v>0</v>
      </c>
      <c r="C29" s="604">
        <f>IF(OR($BB29&gt;0, $BD29&gt;0), 1, 0)</f>
        <v>0</v>
      </c>
      <c r="D29" s="604">
        <f>IF(OR($BE29&gt;0, $BG29&gt;0), 1, 0)</f>
        <v>0</v>
      </c>
      <c r="E29" s="604">
        <f>IF(OR($BH29&gt;0, $BJ29&gt;0), 1, 0)</f>
        <v>0</v>
      </c>
      <c r="F29" s="604">
        <f>IF(OR($BK29&gt;0, $BM29&gt;0), 1, 0)</f>
        <v>0</v>
      </c>
      <c r="G29" s="604">
        <f>IF(OR($BN29&gt;0, $BP29&gt;0), 1, 0)</f>
        <v>0</v>
      </c>
      <c r="H29" s="604">
        <f>IF(OR($BQ29&gt;0, $BS29&gt;0), 1, 0)</f>
        <v>0</v>
      </c>
      <c r="I29" s="604">
        <f>IF(OR($BT29&gt;0, $BV29&gt;0), 1, 0)</f>
        <v>0</v>
      </c>
      <c r="J29" s="604">
        <f>IF(OR($BW29&gt;0, $BY29&gt;0), 1, 0)</f>
        <v>0</v>
      </c>
      <c r="K29" s="604">
        <f>IF(OR($BZ29&gt;0, $CB29&gt;0), 1, 0)</f>
        <v>0</v>
      </c>
      <c r="L29" s="604">
        <f>IF(OR($CC29&gt;0, $CE29&gt;0), 1, 0)</f>
        <v>0</v>
      </c>
      <c r="M29" s="604">
        <f>IF(OR($CF29&gt;0, $CH29&gt;0), 1, 0)</f>
        <v>0</v>
      </c>
      <c r="N29" s="604">
        <f>IF(OR($CI29&gt;0, $CK29&gt;0), 1, 0)</f>
        <v>0</v>
      </c>
      <c r="O29" s="604">
        <f>IF(OR($CL29&gt;0, $CN29&gt;0), 1, 0)</f>
        <v>0</v>
      </c>
      <c r="P29" s="604">
        <f>IF(OR($CO29&gt;0, $CQ29&gt;0), 1, 0)</f>
        <v>0</v>
      </c>
      <c r="Q29" s="604">
        <f>IF(OR($CR29&gt;0, $CT29&gt;0), 1, 0)</f>
        <v>0</v>
      </c>
      <c r="R29" s="604">
        <f>IF(OR($CU29&gt;0, $CW29&gt;0), 1, 0)</f>
        <v>0</v>
      </c>
      <c r="S29" s="604">
        <f>IF(OR($CX29&gt;0, $CZ29&gt;0), 1, 0)</f>
        <v>0</v>
      </c>
      <c r="T29" s="604">
        <f>IF(OR($DA29&gt;0, $DC29&gt;0), 1, 0)</f>
        <v>0</v>
      </c>
      <c r="U29" s="603">
        <f>IF(OR($AI29&gt;0,$AM29&gt;0,$AS29&gt;0), 1, 0)</f>
        <v>0</v>
      </c>
      <c r="V29" s="602">
        <f>[1]BDD!A19</f>
        <v>1827</v>
      </c>
      <c r="W29" s="601" t="str">
        <f>[1]BDD!B19</f>
        <v>Arachides sans coque pelé CRU BIO</v>
      </c>
      <c r="X29" s="600" t="str">
        <f>IF([1]BDD!F19=0, "", [1]BDD!F19)</f>
        <v>❤️</v>
      </c>
      <c r="Y29" s="542">
        <f>ROUND([1]BDD!G19+FDP_CMD_KG, 2)</f>
        <v>7.69</v>
      </c>
      <c r="Z29" s="542">
        <f>ROUND([1]BDD!G19+FDP_FACT_KG, 2)</f>
        <v>7.69</v>
      </c>
      <c r="AA29" s="543" t="str">
        <f>[1]BDD!H19</f>
        <v>kg</v>
      </c>
      <c r="AB29" s="544">
        <f>IF(NOT(ISBLANK([1]BDD!I19)), ROUND(SUM(([1]BDD!G19*reduc1),FDP_CMD_KG), 2), "")</f>
        <v>7.01</v>
      </c>
      <c r="AC29" s="544" t="str">
        <f>IF(NOT(ISBLANK([1]BDD!J19)), ROUND(SUM(([1]BDD!G19*reduc2),FDP_CMD_KG), 2), "")</f>
        <v/>
      </c>
      <c r="AD29" s="544" t="str">
        <f>IF(NOT(ISBLANK([1]BDD!K19)), ROUND(SUM(([1]BDD!G19*reduc3),FDP_CMD_KG), 2), "")</f>
        <v/>
      </c>
      <c r="AE29" s="544">
        <f>IF(NOT(ISBLANK([1]BDD!I19)), ROUND(SUM(([1]BDD!G19*reduc1),FDP_FACT_KG), 2), "")</f>
        <v>7</v>
      </c>
      <c r="AF29" s="544" t="str">
        <f>IF(NOT(ISBLANK([1]BDD!J19)), ROUND(SUM(([1]BDD!G19*reduc2),FDP_FACT_KG), 2), "")</f>
        <v/>
      </c>
      <c r="AG29" s="544" t="str">
        <f>IF(NOT(ISBLANK([1]BDD!K19)), ROUND(SUM(([1]BDD!G19*reduc3),FDP_FACT_KG), 2), "")</f>
        <v/>
      </c>
      <c r="AH29" s="599" t="str">
        <f>[1]BDD!C19</f>
        <v>Chine</v>
      </c>
      <c r="AI29" s="598">
        <f>SUM(AV29,AY29,BB29,BE29,BH29,BK29,BN29,BQ29,BT29,BW29,BZ29,CC29,CF29,CI29,CL29,CO29,CR29,CU29,CX29,DA29)</f>
        <v>0</v>
      </c>
      <c r="AJ29" s="545">
        <f>_xlfn.IFS($AD29&lt;&gt;"", $AD29,    $AC29&lt;&gt;"", $AC29,    $AB29&lt;&gt;"", $AB29,    TRUE, $Y29)</f>
        <v>7.01</v>
      </c>
      <c r="AK29" s="592">
        <f>$AI29*$AJ29</f>
        <v>0</v>
      </c>
      <c r="AL29" s="594"/>
      <c r="AM29" s="597"/>
      <c r="AN29" s="545">
        <f>_xlfn.IFS(AND(AM29&gt;=60,$AG29&lt;&gt;""), $AG29,    AND(AM29&gt;=30,$AF29&lt;&gt;""), $AF29,    AND(AM29&gt;=10,$AE29&lt;&gt;""), $AE29,    TRUE, $Z29)</f>
        <v>7.69</v>
      </c>
      <c r="AO29" s="596">
        <f>AM29*AN29</f>
        <v>0</v>
      </c>
      <c r="AP29" s="595"/>
      <c r="AQ29" s="595"/>
      <c r="AR29" s="594"/>
      <c r="AS29" s="593">
        <f>SUM(AW29,AZ29,BC29,BF29,BI29,BL29,BO29,BR29,BU29,BX29,CA29,CD29,CG29,CJ29,CM29,CP29,CS29,CV29,CY29,DB29)</f>
        <v>0</v>
      </c>
      <c r="AT29" s="545">
        <f>_xlfn.IFS(AND(AS29&gt;=60,$AG29&lt;&gt;""), $AG29,    AND(AS29&gt;=30,$AF29&lt;&gt;""), $AF29,    AND(AS29&gt;=10,$AE29&lt;&gt;""), $AE29,    TRUE, $Z29)</f>
        <v>7.69</v>
      </c>
      <c r="AU29" s="592">
        <f>$AS29*$AT29</f>
        <v>0</v>
      </c>
      <c r="AV29" s="591">
        <f>[1]COMMANDE!O27</f>
        <v>0</v>
      </c>
      <c r="AW29" s="586" t="str">
        <f>_xlfn.IFS(AND($AI29=$AM29,$AI29&gt;0,$AM29&gt;0,AV29&gt;0), AV29,     AND(NOT($AI29=$AM29),$AI29&gt;0,$AM29&gt;0,AV29&gt;0), ($AM29*AV29)/$AI29,     AND($AI29=0,$AM29&gt;0,$AQ29&gt;0), IF(INDEX(AV$12:AV$263,MATCH($AQ29,$AP$12:$AP$263,0))&gt;0,($AM29*INDEX(AV$12:AV$263,MATCH($AQ29,$AP$12:$AP$263,0)))/INDEX($AI$12:$AI$263,MATCH($AQ29,$AP$12:$AP$263,0)), "-"),     TRUE, "0")</f>
        <v>0</v>
      </c>
      <c r="AX29" s="588">
        <f>IF(AW$9&gt;0, IF(OR(AW29="",AW29="-"), 0, AW29*$AT29), AV29*$AJ29)</f>
        <v>0</v>
      </c>
      <c r="AY29" s="587">
        <f>[1]COMMANDE!Q27</f>
        <v>0</v>
      </c>
      <c r="AZ29" s="586" t="str">
        <f>_xlfn.IFS(AND($AI29=$AM29,$AI29&gt;0,$AM29&gt;0,AY29&gt;0), AY29,     AND(NOT($AI29=$AM29),$AI29&gt;0,$AM29&gt;0,AY29&gt;0), ($AM29*AY29)/$AI29,     AND($AI29=0,$AM29&gt;0,$AQ29&gt;0), IF(INDEX(AY$12:AY$263,MATCH($AQ29,$AP$12:$AP$263,0))&gt;0,($AM29*INDEX(AY$12:AY$263,MATCH($AQ29,$AP$12:$AP$263,0)))/INDEX($AI$12:$AI$263,MATCH($AQ29,$AP$12:$AP$263,0)), "-"),     TRUE, "0")</f>
        <v>0</v>
      </c>
      <c r="BA29" s="607">
        <f>IF(AZ$9&gt;0, IF(OR(AZ29="",AZ29="-"), 0, AZ29*$AT29), AY29*$AJ29)</f>
        <v>0</v>
      </c>
      <c r="BB29" s="589">
        <f>[1]COMMANDE!S27</f>
        <v>0</v>
      </c>
      <c r="BC29" s="586" t="str">
        <f>_xlfn.IFS(AND($AI29=$AM29,$AI29&gt;0,$AM29&gt;0,BB29&gt;0), BB29,     AND(NOT($AI29=$AM29),$AI29&gt;0,$AM29&gt;0,BB29&gt;0), ($AM29*BB29)/$AI29,     AND($AI29=0,$AM29&gt;0,$AQ29&gt;0), IF(INDEX(BB$12:BB$263,MATCH($AQ29,$AP$12:$AP$263,0))&gt;0,($AM29*INDEX(BB$12:BB$263,MATCH($AQ29,$AP$12:$AP$263,0)))/INDEX($AI$12:$AI$263,MATCH($AQ29,$AP$12:$AP$263,0)), "-"),     TRUE, "0")</f>
        <v>0</v>
      </c>
      <c r="BD29" s="588">
        <f>IF(BC$9&gt;0, IF(OR(BC29="",BC29="-"), 0, BC29*$AT29), BB29*$AJ29)</f>
        <v>0</v>
      </c>
      <c r="BE29" s="587">
        <f>[1]COMMANDE!U27</f>
        <v>0</v>
      </c>
      <c r="BF29" s="586" t="str">
        <f>_xlfn.IFS(AND($AI29=$AM29,$AI29&gt;0,$AM29&gt;0,BE29&gt;0), BE29,     AND(NOT($AI29=$AM29),$AI29&gt;0,$AM29&gt;0,BE29&gt;0), ($AM29*BE29)/$AI29,     AND($AI29=0,$AM29&gt;0,$AQ29&gt;0), IF(INDEX(BE$12:BE$263,MATCH($AQ29,$AP$12:$AP$263,0))&gt;0,($AM29*INDEX(BE$12:BE$263,MATCH($AQ29,$AP$12:$AP$263,0)))/INDEX($AI$12:$AI$263,MATCH($AQ29,$AP$12:$AP$263,0)), "-"),     TRUE, "0")</f>
        <v>0</v>
      </c>
      <c r="BG29" s="607">
        <f>IF(BF$9&gt;0, IF(OR(BF29="",BF29="-"), 0, BF29*$AT29), BE29*$AJ29)</f>
        <v>0</v>
      </c>
      <c r="BH29" s="589">
        <f>[1]COMMANDE!W27</f>
        <v>0</v>
      </c>
      <c r="BI29" s="586" t="str">
        <f>_xlfn.IFS(AND($AI29=$AM29,$AI29&gt;0,$AM29&gt;0,BH29&gt;0), BH29,     AND(NOT($AI29=$AM29),$AI29&gt;0,$AM29&gt;0,BH29&gt;0), ($AM29*BH29)/$AI29,     AND($AI29=0,$AM29&gt;0,$AQ29&gt;0), IF(INDEX(BH$12:BH$263,MATCH($AQ29,$AP$12:$AP$263,0))&gt;0,($AM29*INDEX(BH$12:BH$263,MATCH($AQ29,$AP$12:$AP$263,0)))/INDEX($AI$12:$AI$263,MATCH($AQ29,$AP$12:$AP$263,0)), "-"),     TRUE, "0")</f>
        <v>0</v>
      </c>
      <c r="BJ29" s="588">
        <f>IF(BI$9&gt;0, IF(OR(BI29="",BI29="-"), 0, BI29*$AT29), BH29*$AJ29)</f>
        <v>0</v>
      </c>
      <c r="BK29" s="587">
        <f>[1]COMMANDE!Y27</f>
        <v>0</v>
      </c>
      <c r="BL29" s="586" t="str">
        <f>_xlfn.IFS(AND($AI29=$AM29,$AI29&gt;0,$AM29&gt;0,BK29&gt;0), BK29,     AND(NOT($AI29=$AM29),$AI29&gt;0,$AM29&gt;0,BK29&gt;0), ($AM29*BK29)/$AI29,     AND($AI29=0,$AM29&gt;0,$AQ29&gt;0), IF(INDEX(BK$12:BK$263,MATCH($AQ29,$AP$12:$AP$263,0))&gt;0,($AM29*INDEX(BK$12:BK$263,MATCH($AQ29,$AP$12:$AP$263,0)))/INDEX($AI$12:$AI$263,MATCH($AQ29,$AP$12:$AP$263,0)), "-"),     TRUE, "0")</f>
        <v>0</v>
      </c>
      <c r="BM29" s="607">
        <f>IF(BL$9&gt;0, IF(OR(BL29="",BL29="-"), 0, BL29*$AT29), BK29*$AJ29)</f>
        <v>0</v>
      </c>
      <c r="BN29" s="589">
        <f>[1]COMMANDE!AA27</f>
        <v>0</v>
      </c>
      <c r="BO29" s="586" t="str">
        <f>_xlfn.IFS(AND($AI29=$AM29,$AI29&gt;0,$AM29&gt;0,BN29&gt;0), BN29,     AND(NOT($AI29=$AM29),$AI29&gt;0,$AM29&gt;0,BN29&gt;0), ($AM29*BN29)/$AI29,     AND($AI29=0,$AM29&gt;0,$AQ29&gt;0), IF(INDEX(BN$12:BN$263,MATCH($AQ29,$AP$12:$AP$263,0))&gt;0,($AM29*INDEX(BN$12:BN$263,MATCH($AQ29,$AP$12:$AP$263,0)))/INDEX($AI$12:$AI$263,MATCH($AQ29,$AP$12:$AP$263,0)), "-"),     TRUE, "0")</f>
        <v>0</v>
      </c>
      <c r="BP29" s="588">
        <f>IF(BO$9&gt;0, IF(OR(BO29="",BO29="-"), 0, BO29*$AT29), BN29*$AJ29)</f>
        <v>0</v>
      </c>
      <c r="BQ29" s="587">
        <f>[1]COMMANDE!AC27</f>
        <v>0</v>
      </c>
      <c r="BR29" s="586" t="str">
        <f>_xlfn.IFS(AND($AI29=$AM29,$AI29&gt;0,$AM29&gt;0,BQ29&gt;0), BQ29,     AND(NOT($AI29=$AM29),$AI29&gt;0,$AM29&gt;0,BQ29&gt;0), ($AM29*BQ29)/$AI29,     AND($AI29=0,$AM29&gt;0,$AQ29&gt;0), IF(INDEX(BQ$12:BQ$263,MATCH($AQ29,$AP$12:$AP$263,0))&gt;0,($AM29*INDEX(BQ$12:BQ$263,MATCH($AQ29,$AP$12:$AP$263,0)))/INDEX($AI$12:$AI$263,MATCH($AQ29,$AP$12:$AP$263,0)), "-"),     TRUE, "0")</f>
        <v>0</v>
      </c>
      <c r="BS29" s="607">
        <f>IF(BR$9&gt;0, IF(OR(BR29="",BR29="-"), 0, BR29*$AT29), BQ29*$AJ29)</f>
        <v>0</v>
      </c>
      <c r="BT29" s="589">
        <f>[1]COMMANDE!AE27</f>
        <v>0</v>
      </c>
      <c r="BU29" s="586" t="str">
        <f>_xlfn.IFS(AND($AI29=$AM29,$AI29&gt;0,$AM29&gt;0,BT29&gt;0), BT29,     AND(NOT($AI29=$AM29),$AI29&gt;0,$AM29&gt;0,BT29&gt;0), ($AM29*BT29)/$AI29,     AND($AI29=0,$AM29&gt;0,$AQ29&gt;0), IF(INDEX(BT$12:BT$263,MATCH($AQ29,$AP$12:$AP$263,0))&gt;0,($AM29*INDEX(BT$12:BT$263,MATCH($AQ29,$AP$12:$AP$263,0)))/INDEX($AI$12:$AI$263,MATCH($AQ29,$AP$12:$AP$263,0)), "-"),     TRUE, "0")</f>
        <v>0</v>
      </c>
      <c r="BV29" s="588">
        <f>IF(BU$9&gt;0, IF(OR(BU29="",BU29="-"), 0, BU29*$AT29), BT29*$AJ29)</f>
        <v>0</v>
      </c>
      <c r="BW29" s="587">
        <f>[1]COMMANDE!AG27</f>
        <v>0</v>
      </c>
      <c r="BX29" s="586" t="str">
        <f>_xlfn.IFS(AND($AI29=$AM29,$AI29&gt;0,$AM29&gt;0,BW29&gt;0), BW29,     AND(NOT($AI29=$AM29),$AI29&gt;0,$AM29&gt;0,BW29&gt;0), ($AM29*BW29)/$AI29,     AND($AI29=0,$AM29&gt;0,$AQ29&gt;0), IF(INDEX(BW$12:BW$263,MATCH($AQ29,$AP$12:$AP$263,0))&gt;0,($AM29*INDEX(BW$12:BW$263,MATCH($AQ29,$AP$12:$AP$263,0)))/INDEX($AI$12:$AI$263,MATCH($AQ29,$AP$12:$AP$263,0)), "-"),     TRUE, "0")</f>
        <v>0</v>
      </c>
      <c r="BY29" s="607">
        <f>IF(BX$9&gt;0, IF(OR(BX29="",BX29="-"), 0, BX29*$AT29), BW29*$AJ29)</f>
        <v>0</v>
      </c>
      <c r="BZ29" s="589">
        <f>[1]COMMANDE!AI27</f>
        <v>0</v>
      </c>
      <c r="CA29" s="586" t="str">
        <f>_xlfn.IFS(AND($AI29=$AM29,$AI29&gt;0,$AM29&gt;0,BZ29&gt;0), BZ29,     AND(NOT($AI29=$AM29),$AI29&gt;0,$AM29&gt;0,BZ29&gt;0), ($AM29*BZ29)/$AI29,     AND($AI29=0,$AM29&gt;0,$AQ29&gt;0), IF(INDEX(BZ$12:BZ$263,MATCH($AQ29,$AP$12:$AP$263,0))&gt;0,($AM29*INDEX(BZ$12:BZ$263,MATCH($AQ29,$AP$12:$AP$263,0)))/INDEX($AI$12:$AI$263,MATCH($AQ29,$AP$12:$AP$263,0)), "-"),     TRUE, "0")</f>
        <v>0</v>
      </c>
      <c r="CB29" s="588">
        <f>IF(CA$9&gt;0, IF(OR(CA29="",CA29="-"), 0, CA29*$AT29), BZ29*$AJ29)</f>
        <v>0</v>
      </c>
      <c r="CC29" s="587">
        <f>[1]COMMANDE!AK27</f>
        <v>0</v>
      </c>
      <c r="CD29" s="586" t="str">
        <f>_xlfn.IFS(AND($AI29=$AM29,$AI29&gt;0,$AM29&gt;0,CC29&gt;0), CC29,     AND(NOT($AI29=$AM29),$AI29&gt;0,$AM29&gt;0,CC29&gt;0), ($AM29*CC29)/$AI29,     AND($AI29=0,$AM29&gt;0,$AQ29&gt;0), IF(INDEX(CC$12:CC$263,MATCH($AQ29,$AP$12:$AP$263,0))&gt;0,($AM29*INDEX(CC$12:CC$263,MATCH($AQ29,$AP$12:$AP$263,0)))/INDEX($AI$12:$AI$263,MATCH($AQ29,$AP$12:$AP$263,0)), "-"),     TRUE, "0")</f>
        <v>0</v>
      </c>
      <c r="CE29" s="607">
        <f>IF(CD$9&gt;0, IF(OR(CD29="",CD29="-"), 0, CD29*$AT29), CC29*$AJ29)</f>
        <v>0</v>
      </c>
      <c r="CF29" s="589">
        <f>[1]COMMANDE!AM27</f>
        <v>0</v>
      </c>
      <c r="CG29" s="586" t="str">
        <f>_xlfn.IFS(AND($AI29=$AM29,$AI29&gt;0,$AM29&gt;0,CF29&gt;0), CF29,     AND(NOT($AI29=$AM29),$AI29&gt;0,$AM29&gt;0,CF29&gt;0), ($AM29*CF29)/$AI29,     AND($AI29=0,$AM29&gt;0,$AQ29&gt;0), IF(INDEX(CF$12:CF$263,MATCH($AQ29,$AP$12:$AP$263,0))&gt;0,($AM29*INDEX(CF$12:CF$263,MATCH($AQ29,$AP$12:$AP$263,0)))/INDEX($AI$12:$AI$263,MATCH($AQ29,$AP$12:$AP$263,0)), "-"),     TRUE, "0")</f>
        <v>0</v>
      </c>
      <c r="CH29" s="588">
        <f>IF(CG$9&gt;0, IF(OR(CG29="",CG29="-"), 0, CG29*$AT29), CF29*$AJ29)</f>
        <v>0</v>
      </c>
      <c r="CI29" s="587">
        <f>[1]COMMANDE!AO27</f>
        <v>0</v>
      </c>
      <c r="CJ29" s="586" t="str">
        <f>_xlfn.IFS(AND($AI29=$AM29,$AI29&gt;0,$AM29&gt;0,CI29&gt;0), CI29,     AND(NOT($AI29=$AM29),$AI29&gt;0,$AM29&gt;0,CI29&gt;0), ($AM29*CI29)/$AI29,     AND($AI29=0,$AM29&gt;0,$AQ29&gt;0), IF(INDEX(CI$12:CI$263,MATCH($AQ29,$AP$12:$AP$263,0))&gt;0,($AM29*INDEX(CI$12:CI$263,MATCH($AQ29,$AP$12:$AP$263,0)))/INDEX($AI$12:$AI$263,MATCH($AQ29,$AP$12:$AP$263,0)), "-"),     TRUE, "0")</f>
        <v>0</v>
      </c>
      <c r="CK29" s="607">
        <f>IF(CJ$9&gt;0, IF(OR(CJ29="",CJ29="-"), 0, CJ29*$AT29), CI29*$AJ29)</f>
        <v>0</v>
      </c>
      <c r="CL29" s="589">
        <f>[1]COMMANDE!AQ27</f>
        <v>0</v>
      </c>
      <c r="CM29" s="586" t="str">
        <f>_xlfn.IFS(AND($AI29=$AM29,$AI29&gt;0,$AM29&gt;0,CL29&gt;0), CL29,     AND(NOT($AI29=$AM29),$AI29&gt;0,$AM29&gt;0,CL29&gt;0), ($AM29*CL29)/$AI29,     AND($AI29=0,$AM29&gt;0,$AQ29&gt;0), IF(INDEX(CL$12:CL$263,MATCH($AQ29,$AP$12:$AP$263,0))&gt;0,($AM29*INDEX(CL$12:CL$263,MATCH($AQ29,$AP$12:$AP$263,0)))/INDEX($AI$12:$AI$263,MATCH($AQ29,$AP$12:$AP$263,0)), "-"),     TRUE, "0")</f>
        <v>0</v>
      </c>
      <c r="CN29" s="588">
        <f>IF(CM$9&gt;0, IF(OR(CM29="",CM29="-"), 0, CM29*$AT29), CL29*$AJ29)</f>
        <v>0</v>
      </c>
      <c r="CO29" s="587">
        <f>[1]COMMANDE!AS27</f>
        <v>0</v>
      </c>
      <c r="CP29" s="586" t="str">
        <f>_xlfn.IFS(AND($AI29=$AM29,$AI29&gt;0,$AM29&gt;0,CO29&gt;0), CO29,     AND(NOT($AI29=$AM29),$AI29&gt;0,$AM29&gt;0,CO29&gt;0), ($AM29*CO29)/$AI29,     AND($AI29=0,$AM29&gt;0,$AQ29&gt;0), IF(INDEX(CO$12:CO$263,MATCH($AQ29,$AP$12:$AP$263,0))&gt;0,($AM29*INDEX(CO$12:CO$263,MATCH($AQ29,$AP$12:$AP$263,0)))/INDEX($AI$12:$AI$263,MATCH($AQ29,$AP$12:$AP$263,0)), "-"),     TRUE, "0")</f>
        <v>0</v>
      </c>
      <c r="CQ29" s="607">
        <f>IF(CP$9&gt;0, IF(OR(CP29="",CP29="-"), 0, CP29*$AT29), CO29*$AJ29)</f>
        <v>0</v>
      </c>
      <c r="CR29" s="589">
        <f>[1]COMMANDE!AU27</f>
        <v>0</v>
      </c>
      <c r="CS29" s="586" t="str">
        <f>_xlfn.IFS(AND($AI29=$AM29,$AI29&gt;0,$AM29&gt;0,CR29&gt;0), CR29,     AND(NOT($AI29=$AM29),$AI29&gt;0,$AM29&gt;0,CR29&gt;0), ($AM29*CR29)/$AI29,     AND($AI29=0,$AM29&gt;0,$AQ29&gt;0), IF(INDEX(CR$12:CR$263,MATCH($AQ29,$AP$12:$AP$263,0))&gt;0,($AM29*INDEX(CR$12:CR$263,MATCH($AQ29,$AP$12:$AP$263,0)))/INDEX($AI$12:$AI$263,MATCH($AQ29,$AP$12:$AP$263,0)), "-"),     TRUE, "0")</f>
        <v>0</v>
      </c>
      <c r="CT29" s="588">
        <f>IF(CS$9&gt;0, IF(OR(CS29="",CS29="-"), 0, CS29*$AT29), CR29*$AJ29)</f>
        <v>0</v>
      </c>
      <c r="CU29" s="587">
        <f>[1]COMMANDE!AW27</f>
        <v>0</v>
      </c>
      <c r="CV29" s="586" t="str">
        <f>_xlfn.IFS(AND($AI29=$AM29,$AI29&gt;0,$AM29&gt;0,CU29&gt;0), CU29,     AND(NOT($AI29=$AM29),$AI29&gt;0,$AM29&gt;0,CU29&gt;0), ($AM29*CU29)/$AI29,     AND($AI29=0,$AM29&gt;0,$AQ29&gt;0), IF(INDEX(CU$12:CU$263,MATCH($AQ29,$AP$12:$AP$263,0))&gt;0,($AM29*INDEX(CU$12:CU$263,MATCH($AQ29,$AP$12:$AP$263,0)))/INDEX($AI$12:$AI$263,MATCH($AQ29,$AP$12:$AP$263,0)), "-"),     TRUE, "0")</f>
        <v>0</v>
      </c>
      <c r="CW29" s="607">
        <f>IF(CV$9&gt;0, IF(OR(CV29="",CV29="-"), 0, CV29*$AT29), CU29*$AJ29)</f>
        <v>0</v>
      </c>
      <c r="CX29" s="589">
        <f>[1]COMMANDE!AY27</f>
        <v>0</v>
      </c>
      <c r="CY29" s="586" t="str">
        <f>_xlfn.IFS(AND($AI29=$AM29,$AI29&gt;0,$AM29&gt;0,CX29&gt;0), CX29,     AND(NOT($AI29=$AM29),$AI29&gt;0,$AM29&gt;0,CX29&gt;0), ($AM29*CX29)/$AI29,     AND($AI29=0,$AM29&gt;0,$AQ29&gt;0), IF(INDEX(CX$12:CX$263,MATCH($AQ29,$AP$12:$AP$263,0))&gt;0,($AM29*INDEX(CX$12:CX$263,MATCH($AQ29,$AP$12:$AP$263,0)))/INDEX($AI$12:$AI$263,MATCH($AQ29,$AP$12:$AP$263,0)), "-"),     TRUE, "0")</f>
        <v>0</v>
      </c>
      <c r="CZ29" s="588">
        <f>IF(CY$9&gt;0, IF(OR(CY29="",CY29="-"), 0, CY29*$AT29), CX29*$AJ29)</f>
        <v>0</v>
      </c>
      <c r="DA29" s="587">
        <f>[1]COMMANDE!BA27</f>
        <v>0</v>
      </c>
      <c r="DB29" s="586" t="str">
        <f>_xlfn.IFS(AND($AI29=$AM29,$AI29&gt;0,$AM29&gt;0,DA29&gt;0), DA29,     AND(NOT($AI29=$AM29),$AI29&gt;0,$AM29&gt;0,DA29&gt;0), ($AM29*DA29)/$AI29,     AND($AI29=0,$AM29&gt;0,$AQ29&gt;0), IF(INDEX(DA$12:DA$263,MATCH($AQ29,$AP$12:$AP$263,0))&gt;0,($AM29*INDEX(DA$12:DA$263,MATCH($AQ29,$AP$12:$AP$263,0)))/INDEX($AI$12:$AI$263,MATCH($AQ29,$AP$12:$AP$263,0)), "-"),     TRUE, "0")</f>
        <v>0</v>
      </c>
      <c r="DC29" s="606">
        <f>IF(DB$9&gt;0, IF(OR(DB29="",DB29="-"), 0, DB29*$AT29), DA29*$AJ29)</f>
        <v>0</v>
      </c>
      <c r="DD29" s="584"/>
      <c r="DE29" s="583"/>
    </row>
    <row r="30" spans="1:109" ht="39.950000000000003" hidden="1" customHeight="1">
      <c r="A30" s="604">
        <f>IF(OR($AV30&gt;0, $AX30&gt;0), 1, 0)</f>
        <v>0</v>
      </c>
      <c r="B30" s="604">
        <f>IF(OR($AY30&gt;0, $BA30&gt;0), 1, 0)</f>
        <v>0</v>
      </c>
      <c r="C30" s="604">
        <f>IF(OR($BB30&gt;0, $BD30&gt;0), 1, 0)</f>
        <v>0</v>
      </c>
      <c r="D30" s="604">
        <f>IF(OR($BE30&gt;0, $BG30&gt;0), 1, 0)</f>
        <v>0</v>
      </c>
      <c r="E30" s="604">
        <f>IF(OR($BH30&gt;0, $BJ30&gt;0), 1, 0)</f>
        <v>0</v>
      </c>
      <c r="F30" s="604">
        <f>IF(OR($BK30&gt;0, $BM30&gt;0), 1, 0)</f>
        <v>0</v>
      </c>
      <c r="G30" s="604">
        <f>IF(OR($BN30&gt;0, $BP30&gt;0), 1, 0)</f>
        <v>0</v>
      </c>
      <c r="H30" s="604">
        <f>IF(OR($BQ30&gt;0, $BS30&gt;0), 1, 0)</f>
        <v>0</v>
      </c>
      <c r="I30" s="604">
        <f>IF(OR($BT30&gt;0, $BV30&gt;0), 1, 0)</f>
        <v>0</v>
      </c>
      <c r="J30" s="604">
        <f>IF(OR($BW30&gt;0, $BY30&gt;0), 1, 0)</f>
        <v>0</v>
      </c>
      <c r="K30" s="604">
        <f>IF(OR($BZ30&gt;0, $CB30&gt;0), 1, 0)</f>
        <v>0</v>
      </c>
      <c r="L30" s="604">
        <f>IF(OR($CC30&gt;0, $CE30&gt;0), 1, 0)</f>
        <v>0</v>
      </c>
      <c r="M30" s="604">
        <f>IF(OR($CF30&gt;0, $CH30&gt;0), 1, 0)</f>
        <v>0</v>
      </c>
      <c r="N30" s="604">
        <f>IF(OR($CI30&gt;0, $CK30&gt;0), 1, 0)</f>
        <v>0</v>
      </c>
      <c r="O30" s="604">
        <f>IF(OR($CL30&gt;0, $CN30&gt;0), 1, 0)</f>
        <v>0</v>
      </c>
      <c r="P30" s="604">
        <f>IF(OR($CO30&gt;0, $CQ30&gt;0), 1, 0)</f>
        <v>0</v>
      </c>
      <c r="Q30" s="604">
        <f>IF(OR($CR30&gt;0, $CT30&gt;0), 1, 0)</f>
        <v>0</v>
      </c>
      <c r="R30" s="604">
        <f>IF(OR($CU30&gt;0, $CW30&gt;0), 1, 0)</f>
        <v>0</v>
      </c>
      <c r="S30" s="604">
        <f>IF(OR($CX30&gt;0, $CZ30&gt;0), 1, 0)</f>
        <v>0</v>
      </c>
      <c r="T30" s="604">
        <f>IF(OR($DA30&gt;0, $DC30&gt;0), 1, 0)</f>
        <v>0</v>
      </c>
      <c r="U30" s="603">
        <f>IF(OR($AI30&gt;0,$AM30&gt;0,$AS30&gt;0), 1, 0)</f>
        <v>0</v>
      </c>
      <c r="V30" s="602">
        <f>[1]BDD!A20</f>
        <v>1008</v>
      </c>
      <c r="W30" s="601" t="str">
        <f>[1]BDD!B20</f>
        <v>Aubergine BIO</v>
      </c>
      <c r="X30" s="600" t="str">
        <f>IF([1]BDD!F20=0, "", [1]BDD!F20)</f>
        <v>OFFRE</v>
      </c>
      <c r="Y30" s="542">
        <f>ROUND([1]BDD!G20+FDP_CMD_KG, 2)</f>
        <v>3.46</v>
      </c>
      <c r="Z30" s="542">
        <f>ROUND([1]BDD!G20+FDP_FACT_KG, 2)</f>
        <v>3.46</v>
      </c>
      <c r="AA30" s="543" t="str">
        <f>[1]BDD!H20</f>
        <v>kg</v>
      </c>
      <c r="AB30" s="544">
        <f>IF(NOT(ISBLANK([1]BDD!I20)), ROUND(SUM(([1]BDD!G20*reduc1),FDP_CMD_KG), 2), "")</f>
        <v>3.2</v>
      </c>
      <c r="AC30" s="544" t="str">
        <f>IF(NOT(ISBLANK([1]BDD!J20)), ROUND(SUM(([1]BDD!G20*reduc2),FDP_CMD_KG), 2), "")</f>
        <v/>
      </c>
      <c r="AD30" s="544" t="str">
        <f>IF(NOT(ISBLANK([1]BDD!K20)), ROUND(SUM(([1]BDD!G20*reduc3),FDP_CMD_KG), 2), "")</f>
        <v/>
      </c>
      <c r="AE30" s="544">
        <f>IF(NOT(ISBLANK([1]BDD!I20)), ROUND(SUM(([1]BDD!G20*reduc1),FDP_FACT_KG), 2), "")</f>
        <v>3.2</v>
      </c>
      <c r="AF30" s="544" t="str">
        <f>IF(NOT(ISBLANK([1]BDD!J20)), ROUND(SUM(([1]BDD!G20*reduc2),FDP_FACT_KG), 2), "")</f>
        <v/>
      </c>
      <c r="AG30" s="544" t="str">
        <f>IF(NOT(ISBLANK([1]BDD!K20)), ROUND(SUM(([1]BDD!G20*reduc3),FDP_FACT_KG), 2), "")</f>
        <v/>
      </c>
      <c r="AH30" s="599" t="str">
        <f>[1]BDD!C20</f>
        <v>Malaga</v>
      </c>
      <c r="AI30" s="598">
        <f>SUM(AV30,AY30,BB30,BE30,BH30,BK30,BN30,BQ30,BT30,BW30,BZ30,CC30,CF30,CI30,CL30,CO30,CR30,CU30,CX30,DA30)</f>
        <v>0</v>
      </c>
      <c r="AJ30" s="545">
        <f>_xlfn.IFS($AD30&lt;&gt;"", $AD30,    $AC30&lt;&gt;"", $AC30,    $AB30&lt;&gt;"", $AB30,    TRUE, $Y30)</f>
        <v>3.2</v>
      </c>
      <c r="AK30" s="592">
        <f>$AI30*$AJ30</f>
        <v>0</v>
      </c>
      <c r="AL30" s="594"/>
      <c r="AM30" s="597"/>
      <c r="AN30" s="545">
        <f>_xlfn.IFS(AND(AM30&gt;=60,$AG30&lt;&gt;""), $AG30,    AND(AM30&gt;=30,$AF30&lt;&gt;""), $AF30,    AND(AM30&gt;=10,$AE30&lt;&gt;""), $AE30,    TRUE, $Z30)</f>
        <v>3.46</v>
      </c>
      <c r="AO30" s="596">
        <f>AM30*AN30</f>
        <v>0</v>
      </c>
      <c r="AP30" s="595"/>
      <c r="AQ30" s="595"/>
      <c r="AR30" s="594"/>
      <c r="AS30" s="593">
        <f>SUM(AW30,AZ30,BC30,BF30,BI30,BL30,BO30,BR30,BU30,BX30,CA30,CD30,CG30,CJ30,CM30,CP30,CS30,CV30,CY30,DB30)</f>
        <v>0</v>
      </c>
      <c r="AT30" s="545">
        <f>_xlfn.IFS(AND(AS30&gt;=60,$AG30&lt;&gt;""), $AG30,    AND(AS30&gt;=30,$AF30&lt;&gt;""), $AF30,    AND(AS30&gt;=10,$AE30&lt;&gt;""), $AE30,    TRUE, $Z30)</f>
        <v>3.46</v>
      </c>
      <c r="AU30" s="592">
        <f>$AS30*$AT30</f>
        <v>0</v>
      </c>
      <c r="AV30" s="591">
        <f>[1]COMMANDE!O28</f>
        <v>0</v>
      </c>
      <c r="AW30" s="586" t="str">
        <f>_xlfn.IFS(AND($AI30=$AM30,$AI30&gt;0,$AM30&gt;0,AV30&gt;0), AV30,     AND(NOT($AI30=$AM30),$AI30&gt;0,$AM30&gt;0,AV30&gt;0), ($AM30*AV30)/$AI30,     AND($AI30=0,$AM30&gt;0,$AQ30&gt;0), IF(INDEX(AV$12:AV$263,MATCH($AQ30,$AP$12:$AP$263,0))&gt;0,($AM30*INDEX(AV$12:AV$263,MATCH($AQ30,$AP$12:$AP$263,0)))/INDEX($AI$12:$AI$263,MATCH($AQ30,$AP$12:$AP$263,0)), "-"),     TRUE, "0")</f>
        <v>0</v>
      </c>
      <c r="AX30" s="588">
        <f>IF(AW$9&gt;0, IF(OR(AW30="",AW30="-"), 0, AW30*$AT30), AV30*$AJ30)</f>
        <v>0</v>
      </c>
      <c r="AY30" s="587">
        <f>[1]COMMANDE!Q28</f>
        <v>0</v>
      </c>
      <c r="AZ30" s="586" t="str">
        <f>_xlfn.IFS(AND($AI30=$AM30,$AI30&gt;0,$AM30&gt;0,AY30&gt;0), AY30,     AND(NOT($AI30=$AM30),$AI30&gt;0,$AM30&gt;0,AY30&gt;0), ($AM30*AY30)/$AI30,     AND($AI30=0,$AM30&gt;0,$AQ30&gt;0), IF(INDEX(AY$12:AY$263,MATCH($AQ30,$AP$12:$AP$263,0))&gt;0,($AM30*INDEX(AY$12:AY$263,MATCH($AQ30,$AP$12:$AP$263,0)))/INDEX($AI$12:$AI$263,MATCH($AQ30,$AP$12:$AP$263,0)), "-"),     TRUE, "0")</f>
        <v>0</v>
      </c>
      <c r="BA30" s="607">
        <f>IF(AZ$9&gt;0, IF(OR(AZ30="",AZ30="-"), 0, AZ30*$AT30), AY30*$AJ30)</f>
        <v>0</v>
      </c>
      <c r="BB30" s="589">
        <f>[1]COMMANDE!S28</f>
        <v>0</v>
      </c>
      <c r="BC30" s="586" t="str">
        <f>_xlfn.IFS(AND($AI30=$AM30,$AI30&gt;0,$AM30&gt;0,BB30&gt;0), BB30,     AND(NOT($AI30=$AM30),$AI30&gt;0,$AM30&gt;0,BB30&gt;0), ($AM30*BB30)/$AI30,     AND($AI30=0,$AM30&gt;0,$AQ30&gt;0), IF(INDEX(BB$12:BB$263,MATCH($AQ30,$AP$12:$AP$263,0))&gt;0,($AM30*INDEX(BB$12:BB$263,MATCH($AQ30,$AP$12:$AP$263,0)))/INDEX($AI$12:$AI$263,MATCH($AQ30,$AP$12:$AP$263,0)), "-"),     TRUE, "0")</f>
        <v>0</v>
      </c>
      <c r="BD30" s="588">
        <f>IF(BC$9&gt;0, IF(OR(BC30="",BC30="-"), 0, BC30*$AT30), BB30*$AJ30)</f>
        <v>0</v>
      </c>
      <c r="BE30" s="587">
        <f>[1]COMMANDE!U28</f>
        <v>0</v>
      </c>
      <c r="BF30" s="586" t="str">
        <f>_xlfn.IFS(AND($AI30=$AM30,$AI30&gt;0,$AM30&gt;0,BE30&gt;0), BE30,     AND(NOT($AI30=$AM30),$AI30&gt;0,$AM30&gt;0,BE30&gt;0), ($AM30*BE30)/$AI30,     AND($AI30=0,$AM30&gt;0,$AQ30&gt;0), IF(INDEX(BE$12:BE$263,MATCH($AQ30,$AP$12:$AP$263,0))&gt;0,($AM30*INDEX(BE$12:BE$263,MATCH($AQ30,$AP$12:$AP$263,0)))/INDEX($AI$12:$AI$263,MATCH($AQ30,$AP$12:$AP$263,0)), "-"),     TRUE, "0")</f>
        <v>0</v>
      </c>
      <c r="BG30" s="607">
        <f>IF(BF$9&gt;0, IF(OR(BF30="",BF30="-"), 0, BF30*$AT30), BE30*$AJ30)</f>
        <v>0</v>
      </c>
      <c r="BH30" s="589">
        <f>[1]COMMANDE!W28</f>
        <v>0</v>
      </c>
      <c r="BI30" s="586" t="str">
        <f>_xlfn.IFS(AND($AI30=$AM30,$AI30&gt;0,$AM30&gt;0,BH30&gt;0), BH30,     AND(NOT($AI30=$AM30),$AI30&gt;0,$AM30&gt;0,BH30&gt;0), ($AM30*BH30)/$AI30,     AND($AI30=0,$AM30&gt;0,$AQ30&gt;0), IF(INDEX(BH$12:BH$263,MATCH($AQ30,$AP$12:$AP$263,0))&gt;0,($AM30*INDEX(BH$12:BH$263,MATCH($AQ30,$AP$12:$AP$263,0)))/INDEX($AI$12:$AI$263,MATCH($AQ30,$AP$12:$AP$263,0)), "-"),     TRUE, "0")</f>
        <v>0</v>
      </c>
      <c r="BJ30" s="588">
        <f>IF(BI$9&gt;0, IF(OR(BI30="",BI30="-"), 0, BI30*$AT30), BH30*$AJ30)</f>
        <v>0</v>
      </c>
      <c r="BK30" s="587">
        <f>[1]COMMANDE!Y28</f>
        <v>0</v>
      </c>
      <c r="BL30" s="586" t="str">
        <f>_xlfn.IFS(AND($AI30=$AM30,$AI30&gt;0,$AM30&gt;0,BK30&gt;0), BK30,     AND(NOT($AI30=$AM30),$AI30&gt;0,$AM30&gt;0,BK30&gt;0), ($AM30*BK30)/$AI30,     AND($AI30=0,$AM30&gt;0,$AQ30&gt;0), IF(INDEX(BK$12:BK$263,MATCH($AQ30,$AP$12:$AP$263,0))&gt;0,($AM30*INDEX(BK$12:BK$263,MATCH($AQ30,$AP$12:$AP$263,0)))/INDEX($AI$12:$AI$263,MATCH($AQ30,$AP$12:$AP$263,0)), "-"),     TRUE, "0")</f>
        <v>0</v>
      </c>
      <c r="BM30" s="607">
        <f>IF(BL$9&gt;0, IF(OR(BL30="",BL30="-"), 0, BL30*$AT30), BK30*$AJ30)</f>
        <v>0</v>
      </c>
      <c r="BN30" s="589">
        <f>[1]COMMANDE!AA28</f>
        <v>0</v>
      </c>
      <c r="BO30" s="586" t="str">
        <f>_xlfn.IFS(AND($AI30=$AM30,$AI30&gt;0,$AM30&gt;0,BN30&gt;0), BN30,     AND(NOT($AI30=$AM30),$AI30&gt;0,$AM30&gt;0,BN30&gt;0), ($AM30*BN30)/$AI30,     AND($AI30=0,$AM30&gt;0,$AQ30&gt;0), IF(INDEX(BN$12:BN$263,MATCH($AQ30,$AP$12:$AP$263,0))&gt;0,($AM30*INDEX(BN$12:BN$263,MATCH($AQ30,$AP$12:$AP$263,0)))/INDEX($AI$12:$AI$263,MATCH($AQ30,$AP$12:$AP$263,0)), "-"),     TRUE, "0")</f>
        <v>0</v>
      </c>
      <c r="BP30" s="588">
        <f>IF(BO$9&gt;0, IF(OR(BO30="",BO30="-"), 0, BO30*$AT30), BN30*$AJ30)</f>
        <v>0</v>
      </c>
      <c r="BQ30" s="587">
        <f>[1]COMMANDE!AC28</f>
        <v>0</v>
      </c>
      <c r="BR30" s="586" t="str">
        <f>_xlfn.IFS(AND($AI30=$AM30,$AI30&gt;0,$AM30&gt;0,BQ30&gt;0), BQ30,     AND(NOT($AI30=$AM30),$AI30&gt;0,$AM30&gt;0,BQ30&gt;0), ($AM30*BQ30)/$AI30,     AND($AI30=0,$AM30&gt;0,$AQ30&gt;0), IF(INDEX(BQ$12:BQ$263,MATCH($AQ30,$AP$12:$AP$263,0))&gt;0,($AM30*INDEX(BQ$12:BQ$263,MATCH($AQ30,$AP$12:$AP$263,0)))/INDEX($AI$12:$AI$263,MATCH($AQ30,$AP$12:$AP$263,0)), "-"),     TRUE, "0")</f>
        <v>0</v>
      </c>
      <c r="BS30" s="607">
        <f>IF(BR$9&gt;0, IF(OR(BR30="",BR30="-"), 0, BR30*$AT30), BQ30*$AJ30)</f>
        <v>0</v>
      </c>
      <c r="BT30" s="589">
        <f>[1]COMMANDE!AE28</f>
        <v>0</v>
      </c>
      <c r="BU30" s="586" t="str">
        <f>_xlfn.IFS(AND($AI30=$AM30,$AI30&gt;0,$AM30&gt;0,BT30&gt;0), BT30,     AND(NOT($AI30=$AM30),$AI30&gt;0,$AM30&gt;0,BT30&gt;0), ($AM30*BT30)/$AI30,     AND($AI30=0,$AM30&gt;0,$AQ30&gt;0), IF(INDEX(BT$12:BT$263,MATCH($AQ30,$AP$12:$AP$263,0))&gt;0,($AM30*INDEX(BT$12:BT$263,MATCH($AQ30,$AP$12:$AP$263,0)))/INDEX($AI$12:$AI$263,MATCH($AQ30,$AP$12:$AP$263,0)), "-"),     TRUE, "0")</f>
        <v>0</v>
      </c>
      <c r="BV30" s="588">
        <f>IF(BU$9&gt;0, IF(OR(BU30="",BU30="-"), 0, BU30*$AT30), BT30*$AJ30)</f>
        <v>0</v>
      </c>
      <c r="BW30" s="587">
        <f>[1]COMMANDE!AG28</f>
        <v>0</v>
      </c>
      <c r="BX30" s="586" t="str">
        <f>_xlfn.IFS(AND($AI30=$AM30,$AI30&gt;0,$AM30&gt;0,BW30&gt;0), BW30,     AND(NOT($AI30=$AM30),$AI30&gt;0,$AM30&gt;0,BW30&gt;0), ($AM30*BW30)/$AI30,     AND($AI30=0,$AM30&gt;0,$AQ30&gt;0), IF(INDEX(BW$12:BW$263,MATCH($AQ30,$AP$12:$AP$263,0))&gt;0,($AM30*INDEX(BW$12:BW$263,MATCH($AQ30,$AP$12:$AP$263,0)))/INDEX($AI$12:$AI$263,MATCH($AQ30,$AP$12:$AP$263,0)), "-"),     TRUE, "0")</f>
        <v>0</v>
      </c>
      <c r="BY30" s="607">
        <f>IF(BX$9&gt;0, IF(OR(BX30="",BX30="-"), 0, BX30*$AT30), BW30*$AJ30)</f>
        <v>0</v>
      </c>
      <c r="BZ30" s="589">
        <f>[1]COMMANDE!AI28</f>
        <v>0</v>
      </c>
      <c r="CA30" s="586" t="str">
        <f>_xlfn.IFS(AND($AI30=$AM30,$AI30&gt;0,$AM30&gt;0,BZ30&gt;0), BZ30,     AND(NOT($AI30=$AM30),$AI30&gt;0,$AM30&gt;0,BZ30&gt;0), ($AM30*BZ30)/$AI30,     AND($AI30=0,$AM30&gt;0,$AQ30&gt;0), IF(INDEX(BZ$12:BZ$263,MATCH($AQ30,$AP$12:$AP$263,0))&gt;0,($AM30*INDEX(BZ$12:BZ$263,MATCH($AQ30,$AP$12:$AP$263,0)))/INDEX($AI$12:$AI$263,MATCH($AQ30,$AP$12:$AP$263,0)), "-"),     TRUE, "0")</f>
        <v>0</v>
      </c>
      <c r="CB30" s="588">
        <f>IF(CA$9&gt;0, IF(OR(CA30="",CA30="-"), 0, CA30*$AT30), BZ30*$AJ30)</f>
        <v>0</v>
      </c>
      <c r="CC30" s="587">
        <f>[1]COMMANDE!AK28</f>
        <v>0</v>
      </c>
      <c r="CD30" s="586" t="str">
        <f>_xlfn.IFS(AND($AI30=$AM30,$AI30&gt;0,$AM30&gt;0,CC30&gt;0), CC30,     AND(NOT($AI30=$AM30),$AI30&gt;0,$AM30&gt;0,CC30&gt;0), ($AM30*CC30)/$AI30,     AND($AI30=0,$AM30&gt;0,$AQ30&gt;0), IF(INDEX(CC$12:CC$263,MATCH($AQ30,$AP$12:$AP$263,0))&gt;0,($AM30*INDEX(CC$12:CC$263,MATCH($AQ30,$AP$12:$AP$263,0)))/INDEX($AI$12:$AI$263,MATCH($AQ30,$AP$12:$AP$263,0)), "-"),     TRUE, "0")</f>
        <v>0</v>
      </c>
      <c r="CE30" s="607">
        <f>IF(CD$9&gt;0, IF(OR(CD30="",CD30="-"), 0, CD30*$AT30), CC30*$AJ30)</f>
        <v>0</v>
      </c>
      <c r="CF30" s="589">
        <f>[1]COMMANDE!AM28</f>
        <v>0</v>
      </c>
      <c r="CG30" s="586" t="str">
        <f>_xlfn.IFS(AND($AI30=$AM30,$AI30&gt;0,$AM30&gt;0,CF30&gt;0), CF30,     AND(NOT($AI30=$AM30),$AI30&gt;0,$AM30&gt;0,CF30&gt;0), ($AM30*CF30)/$AI30,     AND($AI30=0,$AM30&gt;0,$AQ30&gt;0), IF(INDEX(CF$12:CF$263,MATCH($AQ30,$AP$12:$AP$263,0))&gt;0,($AM30*INDEX(CF$12:CF$263,MATCH($AQ30,$AP$12:$AP$263,0)))/INDEX($AI$12:$AI$263,MATCH($AQ30,$AP$12:$AP$263,0)), "-"),     TRUE, "0")</f>
        <v>0</v>
      </c>
      <c r="CH30" s="588">
        <f>IF(CG$9&gt;0, IF(OR(CG30="",CG30="-"), 0, CG30*$AT30), CF30*$AJ30)</f>
        <v>0</v>
      </c>
      <c r="CI30" s="587">
        <f>[1]COMMANDE!AO28</f>
        <v>0</v>
      </c>
      <c r="CJ30" s="586" t="str">
        <f>_xlfn.IFS(AND($AI30=$AM30,$AI30&gt;0,$AM30&gt;0,CI30&gt;0), CI30,     AND(NOT($AI30=$AM30),$AI30&gt;0,$AM30&gt;0,CI30&gt;0), ($AM30*CI30)/$AI30,     AND($AI30=0,$AM30&gt;0,$AQ30&gt;0), IF(INDEX(CI$12:CI$263,MATCH($AQ30,$AP$12:$AP$263,0))&gt;0,($AM30*INDEX(CI$12:CI$263,MATCH($AQ30,$AP$12:$AP$263,0)))/INDEX($AI$12:$AI$263,MATCH($AQ30,$AP$12:$AP$263,0)), "-"),     TRUE, "0")</f>
        <v>0</v>
      </c>
      <c r="CK30" s="607">
        <f>IF(CJ$9&gt;0, IF(OR(CJ30="",CJ30="-"), 0, CJ30*$AT30), CI30*$AJ30)</f>
        <v>0</v>
      </c>
      <c r="CL30" s="589">
        <f>[1]COMMANDE!AQ28</f>
        <v>0</v>
      </c>
      <c r="CM30" s="586" t="str">
        <f>_xlfn.IFS(AND($AI30=$AM30,$AI30&gt;0,$AM30&gt;0,CL30&gt;0), CL30,     AND(NOT($AI30=$AM30),$AI30&gt;0,$AM30&gt;0,CL30&gt;0), ($AM30*CL30)/$AI30,     AND($AI30=0,$AM30&gt;0,$AQ30&gt;0), IF(INDEX(CL$12:CL$263,MATCH($AQ30,$AP$12:$AP$263,0))&gt;0,($AM30*INDEX(CL$12:CL$263,MATCH($AQ30,$AP$12:$AP$263,0)))/INDEX($AI$12:$AI$263,MATCH($AQ30,$AP$12:$AP$263,0)), "-"),     TRUE, "0")</f>
        <v>0</v>
      </c>
      <c r="CN30" s="588">
        <f>IF(CM$9&gt;0, IF(OR(CM30="",CM30="-"), 0, CM30*$AT30), CL30*$AJ30)</f>
        <v>0</v>
      </c>
      <c r="CO30" s="587">
        <f>[1]COMMANDE!AS28</f>
        <v>0</v>
      </c>
      <c r="CP30" s="586" t="str">
        <f>_xlfn.IFS(AND($AI30=$AM30,$AI30&gt;0,$AM30&gt;0,CO30&gt;0), CO30,     AND(NOT($AI30=$AM30),$AI30&gt;0,$AM30&gt;0,CO30&gt;0), ($AM30*CO30)/$AI30,     AND($AI30=0,$AM30&gt;0,$AQ30&gt;0), IF(INDEX(CO$12:CO$263,MATCH($AQ30,$AP$12:$AP$263,0))&gt;0,($AM30*INDEX(CO$12:CO$263,MATCH($AQ30,$AP$12:$AP$263,0)))/INDEX($AI$12:$AI$263,MATCH($AQ30,$AP$12:$AP$263,0)), "-"),     TRUE, "0")</f>
        <v>0</v>
      </c>
      <c r="CQ30" s="607">
        <f>IF(CP$9&gt;0, IF(OR(CP30="",CP30="-"), 0, CP30*$AT30), CO30*$AJ30)</f>
        <v>0</v>
      </c>
      <c r="CR30" s="589">
        <f>[1]COMMANDE!AU28</f>
        <v>0</v>
      </c>
      <c r="CS30" s="586" t="str">
        <f>_xlfn.IFS(AND($AI30=$AM30,$AI30&gt;0,$AM30&gt;0,CR30&gt;0), CR30,     AND(NOT($AI30=$AM30),$AI30&gt;0,$AM30&gt;0,CR30&gt;0), ($AM30*CR30)/$AI30,     AND($AI30=0,$AM30&gt;0,$AQ30&gt;0), IF(INDEX(CR$12:CR$263,MATCH($AQ30,$AP$12:$AP$263,0))&gt;0,($AM30*INDEX(CR$12:CR$263,MATCH($AQ30,$AP$12:$AP$263,0)))/INDEX($AI$12:$AI$263,MATCH($AQ30,$AP$12:$AP$263,0)), "-"),     TRUE, "0")</f>
        <v>0</v>
      </c>
      <c r="CT30" s="588">
        <f>IF(CS$9&gt;0, IF(OR(CS30="",CS30="-"), 0, CS30*$AT30), CR30*$AJ30)</f>
        <v>0</v>
      </c>
      <c r="CU30" s="587">
        <f>[1]COMMANDE!AW28</f>
        <v>0</v>
      </c>
      <c r="CV30" s="586" t="str">
        <f>_xlfn.IFS(AND($AI30=$AM30,$AI30&gt;0,$AM30&gt;0,CU30&gt;0), CU30,     AND(NOT($AI30=$AM30),$AI30&gt;0,$AM30&gt;0,CU30&gt;0), ($AM30*CU30)/$AI30,     AND($AI30=0,$AM30&gt;0,$AQ30&gt;0), IF(INDEX(CU$12:CU$263,MATCH($AQ30,$AP$12:$AP$263,0))&gt;0,($AM30*INDEX(CU$12:CU$263,MATCH($AQ30,$AP$12:$AP$263,0)))/INDEX($AI$12:$AI$263,MATCH($AQ30,$AP$12:$AP$263,0)), "-"),     TRUE, "0")</f>
        <v>0</v>
      </c>
      <c r="CW30" s="607">
        <f>IF(CV$9&gt;0, IF(OR(CV30="",CV30="-"), 0, CV30*$AT30), CU30*$AJ30)</f>
        <v>0</v>
      </c>
      <c r="CX30" s="589">
        <f>[1]COMMANDE!AY28</f>
        <v>0</v>
      </c>
      <c r="CY30" s="586" t="str">
        <f>_xlfn.IFS(AND($AI30=$AM30,$AI30&gt;0,$AM30&gt;0,CX30&gt;0), CX30,     AND(NOT($AI30=$AM30),$AI30&gt;0,$AM30&gt;0,CX30&gt;0), ($AM30*CX30)/$AI30,     AND($AI30=0,$AM30&gt;0,$AQ30&gt;0), IF(INDEX(CX$12:CX$263,MATCH($AQ30,$AP$12:$AP$263,0))&gt;0,($AM30*INDEX(CX$12:CX$263,MATCH($AQ30,$AP$12:$AP$263,0)))/INDEX($AI$12:$AI$263,MATCH($AQ30,$AP$12:$AP$263,0)), "-"),     TRUE, "0")</f>
        <v>0</v>
      </c>
      <c r="CZ30" s="588">
        <f>IF(CY$9&gt;0, IF(OR(CY30="",CY30="-"), 0, CY30*$AT30), CX30*$AJ30)</f>
        <v>0</v>
      </c>
      <c r="DA30" s="587">
        <f>[1]COMMANDE!BA28</f>
        <v>0</v>
      </c>
      <c r="DB30" s="586" t="str">
        <f>_xlfn.IFS(AND($AI30=$AM30,$AI30&gt;0,$AM30&gt;0,DA30&gt;0), DA30,     AND(NOT($AI30=$AM30),$AI30&gt;0,$AM30&gt;0,DA30&gt;0), ($AM30*DA30)/$AI30,     AND($AI30=0,$AM30&gt;0,$AQ30&gt;0), IF(INDEX(DA$12:DA$263,MATCH($AQ30,$AP$12:$AP$263,0))&gt;0,($AM30*INDEX(DA$12:DA$263,MATCH($AQ30,$AP$12:$AP$263,0)))/INDEX($AI$12:$AI$263,MATCH($AQ30,$AP$12:$AP$263,0)), "-"),     TRUE, "0")</f>
        <v>0</v>
      </c>
      <c r="DC30" s="606">
        <f>IF(DB$9&gt;0, IF(OR(DB30="",DB30="-"), 0, DB30*$AT30), DA30*$AJ30)</f>
        <v>0</v>
      </c>
      <c r="DD30" s="584"/>
      <c r="DE30" s="583"/>
    </row>
    <row r="31" spans="1:109" ht="39.950000000000003" hidden="1" customHeight="1">
      <c r="A31" s="604">
        <f>IF(OR($AV31&gt;0, $AX31&gt;0), 1, 0)</f>
        <v>0</v>
      </c>
      <c r="B31" s="604">
        <f>IF(OR($AY31&gt;0, $BA31&gt;0), 1, 0)</f>
        <v>0</v>
      </c>
      <c r="C31" s="604">
        <f>IF(OR($BB31&gt;0, $BD31&gt;0), 1, 0)</f>
        <v>0</v>
      </c>
      <c r="D31" s="604">
        <f>IF(OR($BE31&gt;0, $BG31&gt;0), 1, 0)</f>
        <v>0</v>
      </c>
      <c r="E31" s="604">
        <f>IF(OR($BH31&gt;0, $BJ31&gt;0), 1, 0)</f>
        <v>0</v>
      </c>
      <c r="F31" s="604">
        <f>IF(OR($BK31&gt;0, $BM31&gt;0), 1, 0)</f>
        <v>0</v>
      </c>
      <c r="G31" s="604">
        <f>IF(OR($BN31&gt;0, $BP31&gt;0), 1, 0)</f>
        <v>0</v>
      </c>
      <c r="H31" s="604">
        <f>IF(OR($BQ31&gt;0, $BS31&gt;0), 1, 0)</f>
        <v>0</v>
      </c>
      <c r="I31" s="604">
        <f>IF(OR($BT31&gt;0, $BV31&gt;0), 1, 0)</f>
        <v>0</v>
      </c>
      <c r="J31" s="604">
        <f>IF(OR($BW31&gt;0, $BY31&gt;0), 1, 0)</f>
        <v>0</v>
      </c>
      <c r="K31" s="604">
        <f>IF(OR($BZ31&gt;0, $CB31&gt;0), 1, 0)</f>
        <v>0</v>
      </c>
      <c r="L31" s="604">
        <f>IF(OR($CC31&gt;0, $CE31&gt;0), 1, 0)</f>
        <v>0</v>
      </c>
      <c r="M31" s="604">
        <f>IF(OR($CF31&gt;0, $CH31&gt;0), 1, 0)</f>
        <v>0</v>
      </c>
      <c r="N31" s="604">
        <f>IF(OR($CI31&gt;0, $CK31&gt;0), 1, 0)</f>
        <v>0</v>
      </c>
      <c r="O31" s="604">
        <f>IF(OR($CL31&gt;0, $CN31&gt;0), 1, 0)</f>
        <v>0</v>
      </c>
      <c r="P31" s="604">
        <f>IF(OR($CO31&gt;0, $CQ31&gt;0), 1, 0)</f>
        <v>0</v>
      </c>
      <c r="Q31" s="604">
        <f>IF(OR($CR31&gt;0, $CT31&gt;0), 1, 0)</f>
        <v>0</v>
      </c>
      <c r="R31" s="604">
        <f>IF(OR($CU31&gt;0, $CW31&gt;0), 1, 0)</f>
        <v>0</v>
      </c>
      <c r="S31" s="604">
        <f>IF(OR($CX31&gt;0, $CZ31&gt;0), 1, 0)</f>
        <v>0</v>
      </c>
      <c r="T31" s="604">
        <f>IF(OR($DA31&gt;0, $DC31&gt;0), 1, 0)</f>
        <v>0</v>
      </c>
      <c r="U31" s="603">
        <f>IF(OR($AI31&gt;0,$AM31&gt;0,$AS31&gt;0), 1, 0)</f>
        <v>0</v>
      </c>
      <c r="V31" s="602">
        <f>[1]BDD!A21</f>
        <v>3775</v>
      </c>
      <c r="W31" s="601" t="str">
        <f>[1]BDD!B21</f>
        <v>Aubergine déshydratée
    - (env. 150g, production Rufino)</v>
      </c>
      <c r="X31" s="600" t="str">
        <f>IF([1]BDD!F21=0, "", [1]BDD!F21)</f>
        <v/>
      </c>
      <c r="Y31" s="542">
        <f>ROUND([1]BDD!G21+FDP_CMD_KG, 2)</f>
        <v>2.91</v>
      </c>
      <c r="Z31" s="542">
        <f>ROUND([1]BDD!G21+FDP_FACT_KG, 2)</f>
        <v>2.91</v>
      </c>
      <c r="AA31" s="543" t="str">
        <f>[1]BDD!H21</f>
        <v>Pièce</v>
      </c>
      <c r="AB31" s="544" t="str">
        <f>IF(NOT(ISBLANK([1]BDD!I21)), ROUND(SUM(([1]BDD!G21*reduc1),FDP_CMD_KG), 2), "")</f>
        <v/>
      </c>
      <c r="AC31" s="544" t="str">
        <f>IF(NOT(ISBLANK([1]BDD!J21)), ROUND(SUM(([1]BDD!G21*reduc2),FDP_CMD_KG), 2), "")</f>
        <v/>
      </c>
      <c r="AD31" s="544" t="str">
        <f>IF(NOT(ISBLANK([1]BDD!K21)), ROUND(SUM(([1]BDD!G21*reduc3),FDP_CMD_KG), 2), "")</f>
        <v/>
      </c>
      <c r="AE31" s="544" t="str">
        <f>IF(NOT(ISBLANK([1]BDD!I21)), ROUND(SUM(([1]BDD!G21*reduc1),FDP_FACT_KG), 2), "")</f>
        <v/>
      </c>
      <c r="AF31" s="544" t="str">
        <f>IF(NOT(ISBLANK([1]BDD!J21)), ROUND(SUM(([1]BDD!G21*reduc2),FDP_FACT_KG), 2), "")</f>
        <v/>
      </c>
      <c r="AG31" s="544" t="str">
        <f>IF(NOT(ISBLANK([1]BDD!K21)), ROUND(SUM(([1]BDD!G21*reduc3),FDP_FACT_KG), 2), "")</f>
        <v/>
      </c>
      <c r="AH31" s="599" t="str">
        <f>[1]BDD!C21</f>
        <v>Grenade</v>
      </c>
      <c r="AI31" s="598">
        <f>SUM(AV31,AY31,BB31,BE31,BH31,BK31,BN31,BQ31,BT31,BW31,BZ31,CC31,CF31,CI31,CL31,CO31,CR31,CU31,CX31,DA31)</f>
        <v>0</v>
      </c>
      <c r="AJ31" s="545">
        <f>_xlfn.IFS($AD31&lt;&gt;"", $AD31,    $AC31&lt;&gt;"", $AC31,    $AB31&lt;&gt;"", $AB31,    TRUE, $Y31)</f>
        <v>2.91</v>
      </c>
      <c r="AK31" s="592">
        <f>$AI31*$AJ31</f>
        <v>0</v>
      </c>
      <c r="AL31" s="594"/>
      <c r="AM31" s="597"/>
      <c r="AN31" s="545">
        <f>_xlfn.IFS(AND(AM31&gt;=60,$AG31&lt;&gt;""), $AG31,    AND(AM31&gt;=30,$AF31&lt;&gt;""), $AF31,    AND(AM31&gt;=10,$AE31&lt;&gt;""), $AE31,    TRUE, $Z31)</f>
        <v>2.91</v>
      </c>
      <c r="AO31" s="596">
        <f>AM31*AN31</f>
        <v>0</v>
      </c>
      <c r="AP31" s="595"/>
      <c r="AQ31" s="595"/>
      <c r="AR31" s="594"/>
      <c r="AS31" s="593">
        <f>SUM(AW31,AZ31,BC31,BF31,BI31,BL31,BO31,BR31,BU31,BX31,CA31,CD31,CG31,CJ31,CM31,CP31,CS31,CV31,CY31,DB31)</f>
        <v>0</v>
      </c>
      <c r="AT31" s="545">
        <f>_xlfn.IFS(AND(AS31&gt;=60,$AG31&lt;&gt;""), $AG31,    AND(AS31&gt;=30,$AF31&lt;&gt;""), $AF31,    AND(AS31&gt;=10,$AE31&lt;&gt;""), $AE31,    TRUE, $Z31)</f>
        <v>2.91</v>
      </c>
      <c r="AU31" s="592">
        <f>$AS31*$AT31</f>
        <v>0</v>
      </c>
      <c r="AV31" s="591">
        <f>[1]COMMANDE!O29</f>
        <v>0</v>
      </c>
      <c r="AW31" s="586" t="str">
        <f>_xlfn.IFS(AND($AI31=$AM31,$AI31&gt;0,$AM31&gt;0,AV31&gt;0), AV31,     AND(NOT($AI31=$AM31),$AI31&gt;0,$AM31&gt;0,AV31&gt;0), ($AM31*AV31)/$AI31,     AND($AI31=0,$AM31&gt;0,$AQ31&gt;0), IF(INDEX(AV$12:AV$263,MATCH($AQ31,$AP$12:$AP$263,0))&gt;0,($AM31*INDEX(AV$12:AV$263,MATCH($AQ31,$AP$12:$AP$263,0)))/INDEX($AI$12:$AI$263,MATCH($AQ31,$AP$12:$AP$263,0)), "-"),     TRUE, "0")</f>
        <v>0</v>
      </c>
      <c r="AX31" s="588">
        <f>IF(AW$9&gt;0, IF(OR(AW31="",AW31="-"), 0, AW31*$AT31), AV31*$AJ31)</f>
        <v>0</v>
      </c>
      <c r="AY31" s="587">
        <f>[1]COMMANDE!Q29</f>
        <v>0</v>
      </c>
      <c r="AZ31" s="586" t="str">
        <f>_xlfn.IFS(AND($AI31=$AM31,$AI31&gt;0,$AM31&gt;0,AY31&gt;0), AY31,     AND(NOT($AI31=$AM31),$AI31&gt;0,$AM31&gt;0,AY31&gt;0), ($AM31*AY31)/$AI31,     AND($AI31=0,$AM31&gt;0,$AQ31&gt;0), IF(INDEX(AY$12:AY$263,MATCH($AQ31,$AP$12:$AP$263,0))&gt;0,($AM31*INDEX(AY$12:AY$263,MATCH($AQ31,$AP$12:$AP$263,0)))/INDEX($AI$12:$AI$263,MATCH($AQ31,$AP$12:$AP$263,0)), "-"),     TRUE, "0")</f>
        <v>0</v>
      </c>
      <c r="BA31" s="607">
        <f>IF(AZ$9&gt;0, IF(OR(AZ31="",AZ31="-"), 0, AZ31*$AT31), AY31*$AJ31)</f>
        <v>0</v>
      </c>
      <c r="BB31" s="589">
        <f>[1]COMMANDE!S29</f>
        <v>0</v>
      </c>
      <c r="BC31" s="586" t="str">
        <f>_xlfn.IFS(AND($AI31=$AM31,$AI31&gt;0,$AM31&gt;0,BB31&gt;0), BB31,     AND(NOT($AI31=$AM31),$AI31&gt;0,$AM31&gt;0,BB31&gt;0), ($AM31*BB31)/$AI31,     AND($AI31=0,$AM31&gt;0,$AQ31&gt;0), IF(INDEX(BB$12:BB$263,MATCH($AQ31,$AP$12:$AP$263,0))&gt;0,($AM31*INDEX(BB$12:BB$263,MATCH($AQ31,$AP$12:$AP$263,0)))/INDEX($AI$12:$AI$263,MATCH($AQ31,$AP$12:$AP$263,0)), "-"),     TRUE, "0")</f>
        <v>0</v>
      </c>
      <c r="BD31" s="588">
        <f>IF(BC$9&gt;0, IF(OR(BC31="",BC31="-"), 0, BC31*$AT31), BB31*$AJ31)</f>
        <v>0</v>
      </c>
      <c r="BE31" s="587">
        <f>[1]COMMANDE!U29</f>
        <v>0</v>
      </c>
      <c r="BF31" s="586" t="str">
        <f>_xlfn.IFS(AND($AI31=$AM31,$AI31&gt;0,$AM31&gt;0,BE31&gt;0), BE31,     AND(NOT($AI31=$AM31),$AI31&gt;0,$AM31&gt;0,BE31&gt;0), ($AM31*BE31)/$AI31,     AND($AI31=0,$AM31&gt;0,$AQ31&gt;0), IF(INDEX(BE$12:BE$263,MATCH($AQ31,$AP$12:$AP$263,0))&gt;0,($AM31*INDEX(BE$12:BE$263,MATCH($AQ31,$AP$12:$AP$263,0)))/INDEX($AI$12:$AI$263,MATCH($AQ31,$AP$12:$AP$263,0)), "-"),     TRUE, "0")</f>
        <v>0</v>
      </c>
      <c r="BG31" s="607">
        <f>IF(BF$9&gt;0, IF(OR(BF31="",BF31="-"), 0, BF31*$AT31), BE31*$AJ31)</f>
        <v>0</v>
      </c>
      <c r="BH31" s="589">
        <f>[1]COMMANDE!W29</f>
        <v>0</v>
      </c>
      <c r="BI31" s="586" t="str">
        <f>_xlfn.IFS(AND($AI31=$AM31,$AI31&gt;0,$AM31&gt;0,BH31&gt;0), BH31,     AND(NOT($AI31=$AM31),$AI31&gt;0,$AM31&gt;0,BH31&gt;0), ($AM31*BH31)/$AI31,     AND($AI31=0,$AM31&gt;0,$AQ31&gt;0), IF(INDEX(BH$12:BH$263,MATCH($AQ31,$AP$12:$AP$263,0))&gt;0,($AM31*INDEX(BH$12:BH$263,MATCH($AQ31,$AP$12:$AP$263,0)))/INDEX($AI$12:$AI$263,MATCH($AQ31,$AP$12:$AP$263,0)), "-"),     TRUE, "0")</f>
        <v>0</v>
      </c>
      <c r="BJ31" s="588">
        <f>IF(BI$9&gt;0, IF(OR(BI31="",BI31="-"), 0, BI31*$AT31), BH31*$AJ31)</f>
        <v>0</v>
      </c>
      <c r="BK31" s="587">
        <f>[1]COMMANDE!Y29</f>
        <v>0</v>
      </c>
      <c r="BL31" s="586" t="str">
        <f>_xlfn.IFS(AND($AI31=$AM31,$AI31&gt;0,$AM31&gt;0,BK31&gt;0), BK31,     AND(NOT($AI31=$AM31),$AI31&gt;0,$AM31&gt;0,BK31&gt;0), ($AM31*BK31)/$AI31,     AND($AI31=0,$AM31&gt;0,$AQ31&gt;0), IF(INDEX(BK$12:BK$263,MATCH($AQ31,$AP$12:$AP$263,0))&gt;0,($AM31*INDEX(BK$12:BK$263,MATCH($AQ31,$AP$12:$AP$263,0)))/INDEX($AI$12:$AI$263,MATCH($AQ31,$AP$12:$AP$263,0)), "-"),     TRUE, "0")</f>
        <v>0</v>
      </c>
      <c r="BM31" s="607">
        <f>IF(BL$9&gt;0, IF(OR(BL31="",BL31="-"), 0, BL31*$AT31), BK31*$AJ31)</f>
        <v>0</v>
      </c>
      <c r="BN31" s="589">
        <f>[1]COMMANDE!AA29</f>
        <v>0</v>
      </c>
      <c r="BO31" s="586" t="str">
        <f>_xlfn.IFS(AND($AI31=$AM31,$AI31&gt;0,$AM31&gt;0,BN31&gt;0), BN31,     AND(NOT($AI31=$AM31),$AI31&gt;0,$AM31&gt;0,BN31&gt;0), ($AM31*BN31)/$AI31,     AND($AI31=0,$AM31&gt;0,$AQ31&gt;0), IF(INDEX(BN$12:BN$263,MATCH($AQ31,$AP$12:$AP$263,0))&gt;0,($AM31*INDEX(BN$12:BN$263,MATCH($AQ31,$AP$12:$AP$263,0)))/INDEX($AI$12:$AI$263,MATCH($AQ31,$AP$12:$AP$263,0)), "-"),     TRUE, "0")</f>
        <v>0</v>
      </c>
      <c r="BP31" s="588">
        <f>IF(BO$9&gt;0, IF(OR(BO31="",BO31="-"), 0, BO31*$AT31), BN31*$AJ31)</f>
        <v>0</v>
      </c>
      <c r="BQ31" s="587">
        <f>[1]COMMANDE!AC29</f>
        <v>0</v>
      </c>
      <c r="BR31" s="586" t="str">
        <f>_xlfn.IFS(AND($AI31=$AM31,$AI31&gt;0,$AM31&gt;0,BQ31&gt;0), BQ31,     AND(NOT($AI31=$AM31),$AI31&gt;0,$AM31&gt;0,BQ31&gt;0), ($AM31*BQ31)/$AI31,     AND($AI31=0,$AM31&gt;0,$AQ31&gt;0), IF(INDEX(BQ$12:BQ$263,MATCH($AQ31,$AP$12:$AP$263,0))&gt;0,($AM31*INDEX(BQ$12:BQ$263,MATCH($AQ31,$AP$12:$AP$263,0)))/INDEX($AI$12:$AI$263,MATCH($AQ31,$AP$12:$AP$263,0)), "-"),     TRUE, "0")</f>
        <v>0</v>
      </c>
      <c r="BS31" s="607">
        <f>IF(BR$9&gt;0, IF(OR(BR31="",BR31="-"), 0, BR31*$AT31), BQ31*$AJ31)</f>
        <v>0</v>
      </c>
      <c r="BT31" s="589">
        <f>[1]COMMANDE!AE29</f>
        <v>0</v>
      </c>
      <c r="BU31" s="586" t="str">
        <f>_xlfn.IFS(AND($AI31=$AM31,$AI31&gt;0,$AM31&gt;0,BT31&gt;0), BT31,     AND(NOT($AI31=$AM31),$AI31&gt;0,$AM31&gt;0,BT31&gt;0), ($AM31*BT31)/$AI31,     AND($AI31=0,$AM31&gt;0,$AQ31&gt;0), IF(INDEX(BT$12:BT$263,MATCH($AQ31,$AP$12:$AP$263,0))&gt;0,($AM31*INDEX(BT$12:BT$263,MATCH($AQ31,$AP$12:$AP$263,0)))/INDEX($AI$12:$AI$263,MATCH($AQ31,$AP$12:$AP$263,0)), "-"),     TRUE, "0")</f>
        <v>0</v>
      </c>
      <c r="BV31" s="588">
        <f>IF(BU$9&gt;0, IF(OR(BU31="",BU31="-"), 0, BU31*$AT31), BT31*$AJ31)</f>
        <v>0</v>
      </c>
      <c r="BW31" s="587">
        <f>[1]COMMANDE!AG29</f>
        <v>0</v>
      </c>
      <c r="BX31" s="586" t="str">
        <f>_xlfn.IFS(AND($AI31=$AM31,$AI31&gt;0,$AM31&gt;0,BW31&gt;0), BW31,     AND(NOT($AI31=$AM31),$AI31&gt;0,$AM31&gt;0,BW31&gt;0), ($AM31*BW31)/$AI31,     AND($AI31=0,$AM31&gt;0,$AQ31&gt;0), IF(INDEX(BW$12:BW$263,MATCH($AQ31,$AP$12:$AP$263,0))&gt;0,($AM31*INDEX(BW$12:BW$263,MATCH($AQ31,$AP$12:$AP$263,0)))/INDEX($AI$12:$AI$263,MATCH($AQ31,$AP$12:$AP$263,0)), "-"),     TRUE, "0")</f>
        <v>0</v>
      </c>
      <c r="BY31" s="607">
        <f>IF(BX$9&gt;0, IF(OR(BX31="",BX31="-"), 0, BX31*$AT31), BW31*$AJ31)</f>
        <v>0</v>
      </c>
      <c r="BZ31" s="589">
        <f>[1]COMMANDE!AI29</f>
        <v>0</v>
      </c>
      <c r="CA31" s="586" t="str">
        <f>_xlfn.IFS(AND($AI31=$AM31,$AI31&gt;0,$AM31&gt;0,BZ31&gt;0), BZ31,     AND(NOT($AI31=$AM31),$AI31&gt;0,$AM31&gt;0,BZ31&gt;0), ($AM31*BZ31)/$AI31,     AND($AI31=0,$AM31&gt;0,$AQ31&gt;0), IF(INDEX(BZ$12:BZ$263,MATCH($AQ31,$AP$12:$AP$263,0))&gt;0,($AM31*INDEX(BZ$12:BZ$263,MATCH($AQ31,$AP$12:$AP$263,0)))/INDEX($AI$12:$AI$263,MATCH($AQ31,$AP$12:$AP$263,0)), "-"),     TRUE, "0")</f>
        <v>0</v>
      </c>
      <c r="CB31" s="588">
        <f>IF(CA$9&gt;0, IF(OR(CA31="",CA31="-"), 0, CA31*$AT31), BZ31*$AJ31)</f>
        <v>0</v>
      </c>
      <c r="CC31" s="587">
        <f>[1]COMMANDE!AK29</f>
        <v>0</v>
      </c>
      <c r="CD31" s="586" t="str">
        <f>_xlfn.IFS(AND($AI31=$AM31,$AI31&gt;0,$AM31&gt;0,CC31&gt;0), CC31,     AND(NOT($AI31=$AM31),$AI31&gt;0,$AM31&gt;0,CC31&gt;0), ($AM31*CC31)/$AI31,     AND($AI31=0,$AM31&gt;0,$AQ31&gt;0), IF(INDEX(CC$12:CC$263,MATCH($AQ31,$AP$12:$AP$263,0))&gt;0,($AM31*INDEX(CC$12:CC$263,MATCH($AQ31,$AP$12:$AP$263,0)))/INDEX($AI$12:$AI$263,MATCH($AQ31,$AP$12:$AP$263,0)), "-"),     TRUE, "0")</f>
        <v>0</v>
      </c>
      <c r="CE31" s="607">
        <f>IF(CD$9&gt;0, IF(OR(CD31="",CD31="-"), 0, CD31*$AT31), CC31*$AJ31)</f>
        <v>0</v>
      </c>
      <c r="CF31" s="589">
        <f>[1]COMMANDE!AM29</f>
        <v>0</v>
      </c>
      <c r="CG31" s="586" t="str">
        <f>_xlfn.IFS(AND($AI31=$AM31,$AI31&gt;0,$AM31&gt;0,CF31&gt;0), CF31,     AND(NOT($AI31=$AM31),$AI31&gt;0,$AM31&gt;0,CF31&gt;0), ($AM31*CF31)/$AI31,     AND($AI31=0,$AM31&gt;0,$AQ31&gt;0), IF(INDEX(CF$12:CF$263,MATCH($AQ31,$AP$12:$AP$263,0))&gt;0,($AM31*INDEX(CF$12:CF$263,MATCH($AQ31,$AP$12:$AP$263,0)))/INDEX($AI$12:$AI$263,MATCH($AQ31,$AP$12:$AP$263,0)), "-"),     TRUE, "0")</f>
        <v>0</v>
      </c>
      <c r="CH31" s="588">
        <f>IF(CG$9&gt;0, IF(OR(CG31="",CG31="-"), 0, CG31*$AT31), CF31*$AJ31)</f>
        <v>0</v>
      </c>
      <c r="CI31" s="587">
        <f>[1]COMMANDE!AO29</f>
        <v>0</v>
      </c>
      <c r="CJ31" s="586" t="str">
        <f>_xlfn.IFS(AND($AI31=$AM31,$AI31&gt;0,$AM31&gt;0,CI31&gt;0), CI31,     AND(NOT($AI31=$AM31),$AI31&gt;0,$AM31&gt;0,CI31&gt;0), ($AM31*CI31)/$AI31,     AND($AI31=0,$AM31&gt;0,$AQ31&gt;0), IF(INDEX(CI$12:CI$263,MATCH($AQ31,$AP$12:$AP$263,0))&gt;0,($AM31*INDEX(CI$12:CI$263,MATCH($AQ31,$AP$12:$AP$263,0)))/INDEX($AI$12:$AI$263,MATCH($AQ31,$AP$12:$AP$263,0)), "-"),     TRUE, "0")</f>
        <v>0</v>
      </c>
      <c r="CK31" s="607">
        <f>IF(CJ$9&gt;0, IF(OR(CJ31="",CJ31="-"), 0, CJ31*$AT31), CI31*$AJ31)</f>
        <v>0</v>
      </c>
      <c r="CL31" s="589">
        <f>[1]COMMANDE!AQ29</f>
        <v>0</v>
      </c>
      <c r="CM31" s="586" t="str">
        <f>_xlfn.IFS(AND($AI31=$AM31,$AI31&gt;0,$AM31&gt;0,CL31&gt;0), CL31,     AND(NOT($AI31=$AM31),$AI31&gt;0,$AM31&gt;0,CL31&gt;0), ($AM31*CL31)/$AI31,     AND($AI31=0,$AM31&gt;0,$AQ31&gt;0), IF(INDEX(CL$12:CL$263,MATCH($AQ31,$AP$12:$AP$263,0))&gt;0,($AM31*INDEX(CL$12:CL$263,MATCH($AQ31,$AP$12:$AP$263,0)))/INDEX($AI$12:$AI$263,MATCH($AQ31,$AP$12:$AP$263,0)), "-"),     TRUE, "0")</f>
        <v>0</v>
      </c>
      <c r="CN31" s="588">
        <f>IF(CM$9&gt;0, IF(OR(CM31="",CM31="-"), 0, CM31*$AT31), CL31*$AJ31)</f>
        <v>0</v>
      </c>
      <c r="CO31" s="587">
        <f>[1]COMMANDE!AS29</f>
        <v>0</v>
      </c>
      <c r="CP31" s="586" t="str">
        <f>_xlfn.IFS(AND($AI31=$AM31,$AI31&gt;0,$AM31&gt;0,CO31&gt;0), CO31,     AND(NOT($AI31=$AM31),$AI31&gt;0,$AM31&gt;0,CO31&gt;0), ($AM31*CO31)/$AI31,     AND($AI31=0,$AM31&gt;0,$AQ31&gt;0), IF(INDEX(CO$12:CO$263,MATCH($AQ31,$AP$12:$AP$263,0))&gt;0,($AM31*INDEX(CO$12:CO$263,MATCH($AQ31,$AP$12:$AP$263,0)))/INDEX($AI$12:$AI$263,MATCH($AQ31,$AP$12:$AP$263,0)), "-"),     TRUE, "0")</f>
        <v>0</v>
      </c>
      <c r="CQ31" s="607">
        <f>IF(CP$9&gt;0, IF(OR(CP31="",CP31="-"), 0, CP31*$AT31), CO31*$AJ31)</f>
        <v>0</v>
      </c>
      <c r="CR31" s="589">
        <f>[1]COMMANDE!AU29</f>
        <v>0</v>
      </c>
      <c r="CS31" s="586" t="str">
        <f>_xlfn.IFS(AND($AI31=$AM31,$AI31&gt;0,$AM31&gt;0,CR31&gt;0), CR31,     AND(NOT($AI31=$AM31),$AI31&gt;0,$AM31&gt;0,CR31&gt;0), ($AM31*CR31)/$AI31,     AND($AI31=0,$AM31&gt;0,$AQ31&gt;0), IF(INDEX(CR$12:CR$263,MATCH($AQ31,$AP$12:$AP$263,0))&gt;0,($AM31*INDEX(CR$12:CR$263,MATCH($AQ31,$AP$12:$AP$263,0)))/INDEX($AI$12:$AI$263,MATCH($AQ31,$AP$12:$AP$263,0)), "-"),     TRUE, "0")</f>
        <v>0</v>
      </c>
      <c r="CT31" s="588">
        <f>IF(CS$9&gt;0, IF(OR(CS31="",CS31="-"), 0, CS31*$AT31), CR31*$AJ31)</f>
        <v>0</v>
      </c>
      <c r="CU31" s="587">
        <f>[1]COMMANDE!AW29</f>
        <v>0</v>
      </c>
      <c r="CV31" s="586" t="str">
        <f>_xlfn.IFS(AND($AI31=$AM31,$AI31&gt;0,$AM31&gt;0,CU31&gt;0), CU31,     AND(NOT($AI31=$AM31),$AI31&gt;0,$AM31&gt;0,CU31&gt;0), ($AM31*CU31)/$AI31,     AND($AI31=0,$AM31&gt;0,$AQ31&gt;0), IF(INDEX(CU$12:CU$263,MATCH($AQ31,$AP$12:$AP$263,0))&gt;0,($AM31*INDEX(CU$12:CU$263,MATCH($AQ31,$AP$12:$AP$263,0)))/INDEX($AI$12:$AI$263,MATCH($AQ31,$AP$12:$AP$263,0)), "-"),     TRUE, "0")</f>
        <v>0</v>
      </c>
      <c r="CW31" s="607">
        <f>IF(CV$9&gt;0, IF(OR(CV31="",CV31="-"), 0, CV31*$AT31), CU31*$AJ31)</f>
        <v>0</v>
      </c>
      <c r="CX31" s="589">
        <f>[1]COMMANDE!AY29</f>
        <v>0</v>
      </c>
      <c r="CY31" s="586" t="str">
        <f>_xlfn.IFS(AND($AI31=$AM31,$AI31&gt;0,$AM31&gt;0,CX31&gt;0), CX31,     AND(NOT($AI31=$AM31),$AI31&gt;0,$AM31&gt;0,CX31&gt;0), ($AM31*CX31)/$AI31,     AND($AI31=0,$AM31&gt;0,$AQ31&gt;0), IF(INDEX(CX$12:CX$263,MATCH($AQ31,$AP$12:$AP$263,0))&gt;0,($AM31*INDEX(CX$12:CX$263,MATCH($AQ31,$AP$12:$AP$263,0)))/INDEX($AI$12:$AI$263,MATCH($AQ31,$AP$12:$AP$263,0)), "-"),     TRUE, "0")</f>
        <v>0</v>
      </c>
      <c r="CZ31" s="588">
        <f>IF(CY$9&gt;0, IF(OR(CY31="",CY31="-"), 0, CY31*$AT31), CX31*$AJ31)</f>
        <v>0</v>
      </c>
      <c r="DA31" s="587">
        <f>[1]COMMANDE!BA29</f>
        <v>0</v>
      </c>
      <c r="DB31" s="586" t="str">
        <f>_xlfn.IFS(AND($AI31=$AM31,$AI31&gt;0,$AM31&gt;0,DA31&gt;0), DA31,     AND(NOT($AI31=$AM31),$AI31&gt;0,$AM31&gt;0,DA31&gt;0), ($AM31*DA31)/$AI31,     AND($AI31=0,$AM31&gt;0,$AQ31&gt;0), IF(INDEX(DA$12:DA$263,MATCH($AQ31,$AP$12:$AP$263,0))&gt;0,($AM31*INDEX(DA$12:DA$263,MATCH($AQ31,$AP$12:$AP$263,0)))/INDEX($AI$12:$AI$263,MATCH($AQ31,$AP$12:$AP$263,0)), "-"),     TRUE, "0")</f>
        <v>0</v>
      </c>
      <c r="DC31" s="606">
        <f>IF(DB$9&gt;0, IF(OR(DB31="",DB31="-"), 0, DB31*$AT31), DA31*$AJ31)</f>
        <v>0</v>
      </c>
      <c r="DD31" s="584"/>
      <c r="DE31" s="583"/>
    </row>
    <row r="32" spans="1:109" ht="39.950000000000003" hidden="1" customHeight="1">
      <c r="A32" s="604">
        <f>IF(OR($AV32&gt;0, $AX32&gt;0), 1, 0)</f>
        <v>0</v>
      </c>
      <c r="B32" s="604">
        <f>IF(OR($AY32&gt;0, $BA32&gt;0), 1, 0)</f>
        <v>0</v>
      </c>
      <c r="C32" s="604">
        <f>IF(OR($BB32&gt;0, $BD32&gt;0), 1, 0)</f>
        <v>0</v>
      </c>
      <c r="D32" s="604">
        <f>IF(OR($BE32&gt;0, $BG32&gt;0), 1, 0)</f>
        <v>0</v>
      </c>
      <c r="E32" s="604">
        <f>IF(OR($BH32&gt;0, $BJ32&gt;0), 1, 0)</f>
        <v>0</v>
      </c>
      <c r="F32" s="604">
        <f>IF(OR($BK32&gt;0, $BM32&gt;0), 1, 0)</f>
        <v>0</v>
      </c>
      <c r="G32" s="604">
        <f>IF(OR($BN32&gt;0, $BP32&gt;0), 1, 0)</f>
        <v>0</v>
      </c>
      <c r="H32" s="604">
        <f>IF(OR($BQ32&gt;0, $BS32&gt;0), 1, 0)</f>
        <v>0</v>
      </c>
      <c r="I32" s="604">
        <f>IF(OR($BT32&gt;0, $BV32&gt;0), 1, 0)</f>
        <v>0</v>
      </c>
      <c r="J32" s="604">
        <f>IF(OR($BW32&gt;0, $BY32&gt;0), 1, 0)</f>
        <v>0</v>
      </c>
      <c r="K32" s="604">
        <f>IF(OR($BZ32&gt;0, $CB32&gt;0), 1, 0)</f>
        <v>0</v>
      </c>
      <c r="L32" s="604">
        <f>IF(OR($CC32&gt;0, $CE32&gt;0), 1, 0)</f>
        <v>0</v>
      </c>
      <c r="M32" s="604">
        <f>IF(OR($CF32&gt;0, $CH32&gt;0), 1, 0)</f>
        <v>0</v>
      </c>
      <c r="N32" s="604">
        <f>IF(OR($CI32&gt;0, $CK32&gt;0), 1, 0)</f>
        <v>0</v>
      </c>
      <c r="O32" s="604">
        <f>IF(OR($CL32&gt;0, $CN32&gt;0), 1, 0)</f>
        <v>0</v>
      </c>
      <c r="P32" s="604">
        <f>IF(OR($CO32&gt;0, $CQ32&gt;0), 1, 0)</f>
        <v>0</v>
      </c>
      <c r="Q32" s="604">
        <f>IF(OR($CR32&gt;0, $CT32&gt;0), 1, 0)</f>
        <v>0</v>
      </c>
      <c r="R32" s="604">
        <f>IF(OR($CU32&gt;0, $CW32&gt;0), 1, 0)</f>
        <v>0</v>
      </c>
      <c r="S32" s="604">
        <f>IF(OR($CX32&gt;0, $CZ32&gt;0), 1, 0)</f>
        <v>0</v>
      </c>
      <c r="T32" s="604">
        <f>IF(OR($DA32&gt;0, $DC32&gt;0), 1, 0)</f>
        <v>0</v>
      </c>
      <c r="U32" s="603">
        <f>IF(OR($AI32&gt;0,$AM32&gt;0,$AS32&gt;0), 1, 0)</f>
        <v>0</v>
      </c>
      <c r="V32" s="602" t="str">
        <f>[1]BDD!A22</f>
        <v>3127-3702-3957</v>
      </c>
      <c r="W32" s="601" t="str">
        <f>[1]BDD!B22</f>
        <v xml:space="preserve">Aubergine noire/rayée/blanche </v>
      </c>
      <c r="X32" s="600" t="str">
        <f>IF([1]BDD!F22=0, "", [1]BDD!F22)</f>
        <v/>
      </c>
      <c r="Y32" s="542">
        <f>ROUND([1]BDD!G22+FDP_CMD_KG, 2)</f>
        <v>2.5</v>
      </c>
      <c r="Z32" s="542">
        <f>ROUND([1]BDD!G22+FDP_FACT_KG, 2)</f>
        <v>2.5</v>
      </c>
      <c r="AA32" s="543" t="str">
        <f>[1]BDD!H22</f>
        <v>kg</v>
      </c>
      <c r="AB32" s="544">
        <f>IF(NOT(ISBLANK([1]BDD!I22)), ROUND(SUM(([1]BDD!G22*reduc1),FDP_CMD_KG), 2), "")</f>
        <v>2.34</v>
      </c>
      <c r="AC32" s="544" t="str">
        <f>IF(NOT(ISBLANK([1]BDD!J22)), ROUND(SUM(([1]BDD!G22*reduc2),FDP_CMD_KG), 2), "")</f>
        <v/>
      </c>
      <c r="AD32" s="544" t="str">
        <f>IF(NOT(ISBLANK([1]BDD!K22)), ROUND(SUM(([1]BDD!G22*reduc3),FDP_CMD_KG), 2), "")</f>
        <v/>
      </c>
      <c r="AE32" s="544">
        <f>IF(NOT(ISBLANK([1]BDD!I22)), ROUND(SUM(([1]BDD!G22*reduc1),FDP_FACT_KG), 2), "")</f>
        <v>2.33</v>
      </c>
      <c r="AF32" s="544" t="str">
        <f>IF(NOT(ISBLANK([1]BDD!J22)), ROUND(SUM(([1]BDD!G22*reduc2),FDP_FACT_KG), 2), "")</f>
        <v/>
      </c>
      <c r="AG32" s="544" t="str">
        <f>IF(NOT(ISBLANK([1]BDD!K22)), ROUND(SUM(([1]BDD!G22*reduc3),FDP_FACT_KG), 2), "")</f>
        <v/>
      </c>
      <c r="AH32" s="599" t="str">
        <f>[1]BDD!C22</f>
        <v>Grenade</v>
      </c>
      <c r="AI32" s="598">
        <f>SUM(AV32,AY32,BB32,BE32,BH32,BK32,BN32,BQ32,BT32,BW32,BZ32,CC32,CF32,CI32,CL32,CO32,CR32,CU32,CX32,DA32)</f>
        <v>0</v>
      </c>
      <c r="AJ32" s="545">
        <f>_xlfn.IFS($AD32&lt;&gt;"", $AD32,    $AC32&lt;&gt;"", $AC32,    $AB32&lt;&gt;"", $AB32,    TRUE, $Y32)</f>
        <v>2.34</v>
      </c>
      <c r="AK32" s="592">
        <f>$AI32*$AJ32</f>
        <v>0</v>
      </c>
      <c r="AL32" s="594"/>
      <c r="AM32" s="597"/>
      <c r="AN32" s="545">
        <f>_xlfn.IFS(AND(AM32&gt;=60,$AG32&lt;&gt;""), $AG32,    AND(AM32&gt;=30,$AF32&lt;&gt;""), $AF32,    AND(AM32&gt;=10,$AE32&lt;&gt;""), $AE32,    TRUE, $Z32)</f>
        <v>2.5</v>
      </c>
      <c r="AO32" s="596">
        <f>AM32*AN32</f>
        <v>0</v>
      </c>
      <c r="AP32" s="595"/>
      <c r="AQ32" s="595"/>
      <c r="AR32" s="594"/>
      <c r="AS32" s="593">
        <f>SUM(AW32,AZ32,BC32,BF32,BI32,BL32,BO32,BR32,BU32,BX32,CA32,CD32,CG32,CJ32,CM32,CP32,CS32,CV32,CY32,DB32)</f>
        <v>0</v>
      </c>
      <c r="AT32" s="545">
        <f>_xlfn.IFS(AND(AS32&gt;=60,$AG32&lt;&gt;""), $AG32,    AND(AS32&gt;=30,$AF32&lt;&gt;""), $AF32,    AND(AS32&gt;=10,$AE32&lt;&gt;""), $AE32,    TRUE, $Z32)</f>
        <v>2.5</v>
      </c>
      <c r="AU32" s="592">
        <f>$AS32*$AT32</f>
        <v>0</v>
      </c>
      <c r="AV32" s="591">
        <f>[1]COMMANDE!O30</f>
        <v>0</v>
      </c>
      <c r="AW32" s="586" t="str">
        <f>_xlfn.IFS(AND($AI32=$AM32,$AI32&gt;0,$AM32&gt;0,AV32&gt;0), AV32,     AND(NOT($AI32=$AM32),$AI32&gt;0,$AM32&gt;0,AV32&gt;0), ($AM32*AV32)/$AI32,     AND($AI32=0,$AM32&gt;0,$AQ32&gt;0), IF(INDEX(AV$12:AV$263,MATCH($AQ32,$AP$12:$AP$263,0))&gt;0,($AM32*INDEX(AV$12:AV$263,MATCH($AQ32,$AP$12:$AP$263,0)))/INDEX($AI$12:$AI$263,MATCH($AQ32,$AP$12:$AP$263,0)), "-"),     TRUE, "0")</f>
        <v>0</v>
      </c>
      <c r="AX32" s="588">
        <f>IF(AW$9&gt;0, IF(OR(AW32="",AW32="-"), 0, AW32*$AT32), AV32*$AJ32)</f>
        <v>0</v>
      </c>
      <c r="AY32" s="587">
        <f>[1]COMMANDE!Q30</f>
        <v>0</v>
      </c>
      <c r="AZ32" s="586" t="str">
        <f>_xlfn.IFS(AND($AI32=$AM32,$AI32&gt;0,$AM32&gt;0,AY32&gt;0), AY32,     AND(NOT($AI32=$AM32),$AI32&gt;0,$AM32&gt;0,AY32&gt;0), ($AM32*AY32)/$AI32,     AND($AI32=0,$AM32&gt;0,$AQ32&gt;0), IF(INDEX(AY$12:AY$263,MATCH($AQ32,$AP$12:$AP$263,0))&gt;0,($AM32*INDEX(AY$12:AY$263,MATCH($AQ32,$AP$12:$AP$263,0)))/INDEX($AI$12:$AI$263,MATCH($AQ32,$AP$12:$AP$263,0)), "-"),     TRUE, "0")</f>
        <v>0</v>
      </c>
      <c r="BA32" s="607">
        <f>IF(AZ$9&gt;0, IF(OR(AZ32="",AZ32="-"), 0, AZ32*$AT32), AY32*$AJ32)</f>
        <v>0</v>
      </c>
      <c r="BB32" s="589">
        <f>[1]COMMANDE!S30</f>
        <v>0</v>
      </c>
      <c r="BC32" s="586" t="str">
        <f>_xlfn.IFS(AND($AI32=$AM32,$AI32&gt;0,$AM32&gt;0,BB32&gt;0), BB32,     AND(NOT($AI32=$AM32),$AI32&gt;0,$AM32&gt;0,BB32&gt;0), ($AM32*BB32)/$AI32,     AND($AI32=0,$AM32&gt;0,$AQ32&gt;0), IF(INDEX(BB$12:BB$263,MATCH($AQ32,$AP$12:$AP$263,0))&gt;0,($AM32*INDEX(BB$12:BB$263,MATCH($AQ32,$AP$12:$AP$263,0)))/INDEX($AI$12:$AI$263,MATCH($AQ32,$AP$12:$AP$263,0)), "-"),     TRUE, "0")</f>
        <v>0</v>
      </c>
      <c r="BD32" s="588">
        <f>IF(BC$9&gt;0, IF(OR(BC32="",BC32="-"), 0, BC32*$AT32), BB32*$AJ32)</f>
        <v>0</v>
      </c>
      <c r="BE32" s="587">
        <f>[1]COMMANDE!U30</f>
        <v>0</v>
      </c>
      <c r="BF32" s="586" t="str">
        <f>_xlfn.IFS(AND($AI32=$AM32,$AI32&gt;0,$AM32&gt;0,BE32&gt;0), BE32,     AND(NOT($AI32=$AM32),$AI32&gt;0,$AM32&gt;0,BE32&gt;0), ($AM32*BE32)/$AI32,     AND($AI32=0,$AM32&gt;0,$AQ32&gt;0), IF(INDEX(BE$12:BE$263,MATCH($AQ32,$AP$12:$AP$263,0))&gt;0,($AM32*INDEX(BE$12:BE$263,MATCH($AQ32,$AP$12:$AP$263,0)))/INDEX($AI$12:$AI$263,MATCH($AQ32,$AP$12:$AP$263,0)), "-"),     TRUE, "0")</f>
        <v>0</v>
      </c>
      <c r="BG32" s="607">
        <f>IF(BF$9&gt;0, IF(OR(BF32="",BF32="-"), 0, BF32*$AT32), BE32*$AJ32)</f>
        <v>0</v>
      </c>
      <c r="BH32" s="589">
        <f>[1]COMMANDE!W30</f>
        <v>0</v>
      </c>
      <c r="BI32" s="586" t="str">
        <f>_xlfn.IFS(AND($AI32=$AM32,$AI32&gt;0,$AM32&gt;0,BH32&gt;0), BH32,     AND(NOT($AI32=$AM32),$AI32&gt;0,$AM32&gt;0,BH32&gt;0), ($AM32*BH32)/$AI32,     AND($AI32=0,$AM32&gt;0,$AQ32&gt;0), IF(INDEX(BH$12:BH$263,MATCH($AQ32,$AP$12:$AP$263,0))&gt;0,($AM32*INDEX(BH$12:BH$263,MATCH($AQ32,$AP$12:$AP$263,0)))/INDEX($AI$12:$AI$263,MATCH($AQ32,$AP$12:$AP$263,0)), "-"),     TRUE, "0")</f>
        <v>0</v>
      </c>
      <c r="BJ32" s="588">
        <f>IF(BI$9&gt;0, IF(OR(BI32="",BI32="-"), 0, BI32*$AT32), BH32*$AJ32)</f>
        <v>0</v>
      </c>
      <c r="BK32" s="587">
        <f>[1]COMMANDE!Y30</f>
        <v>0</v>
      </c>
      <c r="BL32" s="586" t="str">
        <f>_xlfn.IFS(AND($AI32=$AM32,$AI32&gt;0,$AM32&gt;0,BK32&gt;0), BK32,     AND(NOT($AI32=$AM32),$AI32&gt;0,$AM32&gt;0,BK32&gt;0), ($AM32*BK32)/$AI32,     AND($AI32=0,$AM32&gt;0,$AQ32&gt;0), IF(INDEX(BK$12:BK$263,MATCH($AQ32,$AP$12:$AP$263,0))&gt;0,($AM32*INDEX(BK$12:BK$263,MATCH($AQ32,$AP$12:$AP$263,0)))/INDEX($AI$12:$AI$263,MATCH($AQ32,$AP$12:$AP$263,0)), "-"),     TRUE, "0")</f>
        <v>0</v>
      </c>
      <c r="BM32" s="607">
        <f>IF(BL$9&gt;0, IF(OR(BL32="",BL32="-"), 0, BL32*$AT32), BK32*$AJ32)</f>
        <v>0</v>
      </c>
      <c r="BN32" s="589">
        <f>[1]COMMANDE!AA30</f>
        <v>0</v>
      </c>
      <c r="BO32" s="586" t="str">
        <f>_xlfn.IFS(AND($AI32=$AM32,$AI32&gt;0,$AM32&gt;0,BN32&gt;0), BN32,     AND(NOT($AI32=$AM32),$AI32&gt;0,$AM32&gt;0,BN32&gt;0), ($AM32*BN32)/$AI32,     AND($AI32=0,$AM32&gt;0,$AQ32&gt;0), IF(INDEX(BN$12:BN$263,MATCH($AQ32,$AP$12:$AP$263,0))&gt;0,($AM32*INDEX(BN$12:BN$263,MATCH($AQ32,$AP$12:$AP$263,0)))/INDEX($AI$12:$AI$263,MATCH($AQ32,$AP$12:$AP$263,0)), "-"),     TRUE, "0")</f>
        <v>0</v>
      </c>
      <c r="BP32" s="588">
        <f>IF(BO$9&gt;0, IF(OR(BO32="",BO32="-"), 0, BO32*$AT32), BN32*$AJ32)</f>
        <v>0</v>
      </c>
      <c r="BQ32" s="587">
        <f>[1]COMMANDE!AC30</f>
        <v>0</v>
      </c>
      <c r="BR32" s="586" t="str">
        <f>_xlfn.IFS(AND($AI32=$AM32,$AI32&gt;0,$AM32&gt;0,BQ32&gt;0), BQ32,     AND(NOT($AI32=$AM32),$AI32&gt;0,$AM32&gt;0,BQ32&gt;0), ($AM32*BQ32)/$AI32,     AND($AI32=0,$AM32&gt;0,$AQ32&gt;0), IF(INDEX(BQ$12:BQ$263,MATCH($AQ32,$AP$12:$AP$263,0))&gt;0,($AM32*INDEX(BQ$12:BQ$263,MATCH($AQ32,$AP$12:$AP$263,0)))/INDEX($AI$12:$AI$263,MATCH($AQ32,$AP$12:$AP$263,0)), "-"),     TRUE, "0")</f>
        <v>0</v>
      </c>
      <c r="BS32" s="607">
        <f>IF(BR$9&gt;0, IF(OR(BR32="",BR32="-"), 0, BR32*$AT32), BQ32*$AJ32)</f>
        <v>0</v>
      </c>
      <c r="BT32" s="589">
        <f>[1]COMMANDE!AE30</f>
        <v>0</v>
      </c>
      <c r="BU32" s="586" t="str">
        <f>_xlfn.IFS(AND($AI32=$AM32,$AI32&gt;0,$AM32&gt;0,BT32&gt;0), BT32,     AND(NOT($AI32=$AM32),$AI32&gt;0,$AM32&gt;0,BT32&gt;0), ($AM32*BT32)/$AI32,     AND($AI32=0,$AM32&gt;0,$AQ32&gt;0), IF(INDEX(BT$12:BT$263,MATCH($AQ32,$AP$12:$AP$263,0))&gt;0,($AM32*INDEX(BT$12:BT$263,MATCH($AQ32,$AP$12:$AP$263,0)))/INDEX($AI$12:$AI$263,MATCH($AQ32,$AP$12:$AP$263,0)), "-"),     TRUE, "0")</f>
        <v>0</v>
      </c>
      <c r="BV32" s="588">
        <f>IF(BU$9&gt;0, IF(OR(BU32="",BU32="-"), 0, BU32*$AT32), BT32*$AJ32)</f>
        <v>0</v>
      </c>
      <c r="BW32" s="587">
        <f>[1]COMMANDE!AG30</f>
        <v>0</v>
      </c>
      <c r="BX32" s="586" t="str">
        <f>_xlfn.IFS(AND($AI32=$AM32,$AI32&gt;0,$AM32&gt;0,BW32&gt;0), BW32,     AND(NOT($AI32=$AM32),$AI32&gt;0,$AM32&gt;0,BW32&gt;0), ($AM32*BW32)/$AI32,     AND($AI32=0,$AM32&gt;0,$AQ32&gt;0), IF(INDEX(BW$12:BW$263,MATCH($AQ32,$AP$12:$AP$263,0))&gt;0,($AM32*INDEX(BW$12:BW$263,MATCH($AQ32,$AP$12:$AP$263,0)))/INDEX($AI$12:$AI$263,MATCH($AQ32,$AP$12:$AP$263,0)), "-"),     TRUE, "0")</f>
        <v>0</v>
      </c>
      <c r="BY32" s="607">
        <f>IF(BX$9&gt;0, IF(OR(BX32="",BX32="-"), 0, BX32*$AT32), BW32*$AJ32)</f>
        <v>0</v>
      </c>
      <c r="BZ32" s="589">
        <f>[1]COMMANDE!AI30</f>
        <v>0</v>
      </c>
      <c r="CA32" s="586" t="str">
        <f>_xlfn.IFS(AND($AI32=$AM32,$AI32&gt;0,$AM32&gt;0,BZ32&gt;0), BZ32,     AND(NOT($AI32=$AM32),$AI32&gt;0,$AM32&gt;0,BZ32&gt;0), ($AM32*BZ32)/$AI32,     AND($AI32=0,$AM32&gt;0,$AQ32&gt;0), IF(INDEX(BZ$12:BZ$263,MATCH($AQ32,$AP$12:$AP$263,0))&gt;0,($AM32*INDEX(BZ$12:BZ$263,MATCH($AQ32,$AP$12:$AP$263,0)))/INDEX($AI$12:$AI$263,MATCH($AQ32,$AP$12:$AP$263,0)), "-"),     TRUE, "0")</f>
        <v>0</v>
      </c>
      <c r="CB32" s="588">
        <f>IF(CA$9&gt;0, IF(OR(CA32="",CA32="-"), 0, CA32*$AT32), BZ32*$AJ32)</f>
        <v>0</v>
      </c>
      <c r="CC32" s="587">
        <f>[1]COMMANDE!AK30</f>
        <v>0</v>
      </c>
      <c r="CD32" s="586" t="str">
        <f>_xlfn.IFS(AND($AI32=$AM32,$AI32&gt;0,$AM32&gt;0,CC32&gt;0), CC32,     AND(NOT($AI32=$AM32),$AI32&gt;0,$AM32&gt;0,CC32&gt;0), ($AM32*CC32)/$AI32,     AND($AI32=0,$AM32&gt;0,$AQ32&gt;0), IF(INDEX(CC$12:CC$263,MATCH($AQ32,$AP$12:$AP$263,0))&gt;0,($AM32*INDEX(CC$12:CC$263,MATCH($AQ32,$AP$12:$AP$263,0)))/INDEX($AI$12:$AI$263,MATCH($AQ32,$AP$12:$AP$263,0)), "-"),     TRUE, "0")</f>
        <v>0</v>
      </c>
      <c r="CE32" s="607">
        <f>IF(CD$9&gt;0, IF(OR(CD32="",CD32="-"), 0, CD32*$AT32), CC32*$AJ32)</f>
        <v>0</v>
      </c>
      <c r="CF32" s="589">
        <f>[1]COMMANDE!AM30</f>
        <v>0</v>
      </c>
      <c r="CG32" s="586" t="str">
        <f>_xlfn.IFS(AND($AI32=$AM32,$AI32&gt;0,$AM32&gt;0,CF32&gt;0), CF32,     AND(NOT($AI32=$AM32),$AI32&gt;0,$AM32&gt;0,CF32&gt;0), ($AM32*CF32)/$AI32,     AND($AI32=0,$AM32&gt;0,$AQ32&gt;0), IF(INDEX(CF$12:CF$263,MATCH($AQ32,$AP$12:$AP$263,0))&gt;0,($AM32*INDEX(CF$12:CF$263,MATCH($AQ32,$AP$12:$AP$263,0)))/INDEX($AI$12:$AI$263,MATCH($AQ32,$AP$12:$AP$263,0)), "-"),     TRUE, "0")</f>
        <v>0</v>
      </c>
      <c r="CH32" s="588">
        <f>IF(CG$9&gt;0, IF(OR(CG32="",CG32="-"), 0, CG32*$AT32), CF32*$AJ32)</f>
        <v>0</v>
      </c>
      <c r="CI32" s="587">
        <f>[1]COMMANDE!AO30</f>
        <v>0</v>
      </c>
      <c r="CJ32" s="586" t="str">
        <f>_xlfn.IFS(AND($AI32=$AM32,$AI32&gt;0,$AM32&gt;0,CI32&gt;0), CI32,     AND(NOT($AI32=$AM32),$AI32&gt;0,$AM32&gt;0,CI32&gt;0), ($AM32*CI32)/$AI32,     AND($AI32=0,$AM32&gt;0,$AQ32&gt;0), IF(INDEX(CI$12:CI$263,MATCH($AQ32,$AP$12:$AP$263,0))&gt;0,($AM32*INDEX(CI$12:CI$263,MATCH($AQ32,$AP$12:$AP$263,0)))/INDEX($AI$12:$AI$263,MATCH($AQ32,$AP$12:$AP$263,0)), "-"),     TRUE, "0")</f>
        <v>0</v>
      </c>
      <c r="CK32" s="607">
        <f>IF(CJ$9&gt;0, IF(OR(CJ32="",CJ32="-"), 0, CJ32*$AT32), CI32*$AJ32)</f>
        <v>0</v>
      </c>
      <c r="CL32" s="589">
        <f>[1]COMMANDE!AQ30</f>
        <v>0</v>
      </c>
      <c r="CM32" s="586" t="str">
        <f>_xlfn.IFS(AND($AI32=$AM32,$AI32&gt;0,$AM32&gt;0,CL32&gt;0), CL32,     AND(NOT($AI32=$AM32),$AI32&gt;0,$AM32&gt;0,CL32&gt;0), ($AM32*CL32)/$AI32,     AND($AI32=0,$AM32&gt;0,$AQ32&gt;0), IF(INDEX(CL$12:CL$263,MATCH($AQ32,$AP$12:$AP$263,0))&gt;0,($AM32*INDEX(CL$12:CL$263,MATCH($AQ32,$AP$12:$AP$263,0)))/INDEX($AI$12:$AI$263,MATCH($AQ32,$AP$12:$AP$263,0)), "-"),     TRUE, "0")</f>
        <v>0</v>
      </c>
      <c r="CN32" s="588">
        <f>IF(CM$9&gt;0, IF(OR(CM32="",CM32="-"), 0, CM32*$AT32), CL32*$AJ32)</f>
        <v>0</v>
      </c>
      <c r="CO32" s="587">
        <f>[1]COMMANDE!AS30</f>
        <v>0</v>
      </c>
      <c r="CP32" s="586" t="str">
        <f>_xlfn.IFS(AND($AI32=$AM32,$AI32&gt;0,$AM32&gt;0,CO32&gt;0), CO32,     AND(NOT($AI32=$AM32),$AI32&gt;0,$AM32&gt;0,CO32&gt;0), ($AM32*CO32)/$AI32,     AND($AI32=0,$AM32&gt;0,$AQ32&gt;0), IF(INDEX(CO$12:CO$263,MATCH($AQ32,$AP$12:$AP$263,0))&gt;0,($AM32*INDEX(CO$12:CO$263,MATCH($AQ32,$AP$12:$AP$263,0)))/INDEX($AI$12:$AI$263,MATCH($AQ32,$AP$12:$AP$263,0)), "-"),     TRUE, "0")</f>
        <v>0</v>
      </c>
      <c r="CQ32" s="607">
        <f>IF(CP$9&gt;0, IF(OR(CP32="",CP32="-"), 0, CP32*$AT32), CO32*$AJ32)</f>
        <v>0</v>
      </c>
      <c r="CR32" s="589">
        <f>[1]COMMANDE!AU30</f>
        <v>0</v>
      </c>
      <c r="CS32" s="586" t="str">
        <f>_xlfn.IFS(AND($AI32=$AM32,$AI32&gt;0,$AM32&gt;0,CR32&gt;0), CR32,     AND(NOT($AI32=$AM32),$AI32&gt;0,$AM32&gt;0,CR32&gt;0), ($AM32*CR32)/$AI32,     AND($AI32=0,$AM32&gt;0,$AQ32&gt;0), IF(INDEX(CR$12:CR$263,MATCH($AQ32,$AP$12:$AP$263,0))&gt;0,($AM32*INDEX(CR$12:CR$263,MATCH($AQ32,$AP$12:$AP$263,0)))/INDEX($AI$12:$AI$263,MATCH($AQ32,$AP$12:$AP$263,0)), "-"),     TRUE, "0")</f>
        <v>0</v>
      </c>
      <c r="CT32" s="588">
        <f>IF(CS$9&gt;0, IF(OR(CS32="",CS32="-"), 0, CS32*$AT32), CR32*$AJ32)</f>
        <v>0</v>
      </c>
      <c r="CU32" s="587">
        <f>[1]COMMANDE!AW30</f>
        <v>0</v>
      </c>
      <c r="CV32" s="586" t="str">
        <f>_xlfn.IFS(AND($AI32=$AM32,$AI32&gt;0,$AM32&gt;0,CU32&gt;0), CU32,     AND(NOT($AI32=$AM32),$AI32&gt;0,$AM32&gt;0,CU32&gt;0), ($AM32*CU32)/$AI32,     AND($AI32=0,$AM32&gt;0,$AQ32&gt;0), IF(INDEX(CU$12:CU$263,MATCH($AQ32,$AP$12:$AP$263,0))&gt;0,($AM32*INDEX(CU$12:CU$263,MATCH($AQ32,$AP$12:$AP$263,0)))/INDEX($AI$12:$AI$263,MATCH($AQ32,$AP$12:$AP$263,0)), "-"),     TRUE, "0")</f>
        <v>0</v>
      </c>
      <c r="CW32" s="607">
        <f>IF(CV$9&gt;0, IF(OR(CV32="",CV32="-"), 0, CV32*$AT32), CU32*$AJ32)</f>
        <v>0</v>
      </c>
      <c r="CX32" s="589">
        <f>[1]COMMANDE!AY30</f>
        <v>0</v>
      </c>
      <c r="CY32" s="586" t="str">
        <f>_xlfn.IFS(AND($AI32=$AM32,$AI32&gt;0,$AM32&gt;0,CX32&gt;0), CX32,     AND(NOT($AI32=$AM32),$AI32&gt;0,$AM32&gt;0,CX32&gt;0), ($AM32*CX32)/$AI32,     AND($AI32=0,$AM32&gt;0,$AQ32&gt;0), IF(INDEX(CX$12:CX$263,MATCH($AQ32,$AP$12:$AP$263,0))&gt;0,($AM32*INDEX(CX$12:CX$263,MATCH($AQ32,$AP$12:$AP$263,0)))/INDEX($AI$12:$AI$263,MATCH($AQ32,$AP$12:$AP$263,0)), "-"),     TRUE, "0")</f>
        <v>0</v>
      </c>
      <c r="CZ32" s="588">
        <f>IF(CY$9&gt;0, IF(OR(CY32="",CY32="-"), 0, CY32*$AT32), CX32*$AJ32)</f>
        <v>0</v>
      </c>
      <c r="DA32" s="587">
        <f>[1]COMMANDE!BA30</f>
        <v>0</v>
      </c>
      <c r="DB32" s="586" t="str">
        <f>_xlfn.IFS(AND($AI32=$AM32,$AI32&gt;0,$AM32&gt;0,DA32&gt;0), DA32,     AND(NOT($AI32=$AM32),$AI32&gt;0,$AM32&gt;0,DA32&gt;0), ($AM32*DA32)/$AI32,     AND($AI32=0,$AM32&gt;0,$AQ32&gt;0), IF(INDEX(DA$12:DA$263,MATCH($AQ32,$AP$12:$AP$263,0))&gt;0,($AM32*INDEX(DA$12:DA$263,MATCH($AQ32,$AP$12:$AP$263,0)))/INDEX($AI$12:$AI$263,MATCH($AQ32,$AP$12:$AP$263,0)), "-"),     TRUE, "0")</f>
        <v>0</v>
      </c>
      <c r="DC32" s="606">
        <f>IF(DB$9&gt;0, IF(OR(DB32="",DB32="-"), 0, DB32*$AT32), DA32*$AJ32)</f>
        <v>0</v>
      </c>
      <c r="DD32" s="584"/>
      <c r="DE32" s="583"/>
    </row>
    <row r="33" spans="1:109" ht="39.950000000000003" hidden="1" customHeight="1">
      <c r="A33" s="604">
        <f>IF(OR($AV33&gt;0, $AX33&gt;0), 1, 0)</f>
        <v>0</v>
      </c>
      <c r="B33" s="604">
        <f>IF(OR($AY33&gt;0, $BA33&gt;0), 1, 0)</f>
        <v>0</v>
      </c>
      <c r="C33" s="604">
        <f>IF(OR($BB33&gt;0, $BD33&gt;0), 1, 0)</f>
        <v>0</v>
      </c>
      <c r="D33" s="604">
        <f>IF(OR($BE33&gt;0, $BG33&gt;0), 1, 0)</f>
        <v>0</v>
      </c>
      <c r="E33" s="604">
        <f>IF(OR($BH33&gt;0, $BJ33&gt;0), 1, 0)</f>
        <v>0</v>
      </c>
      <c r="F33" s="604">
        <f>IF(OR($BK33&gt;0, $BM33&gt;0), 1, 0)</f>
        <v>0</v>
      </c>
      <c r="G33" s="604">
        <f>IF(OR($BN33&gt;0, $BP33&gt;0), 1, 0)</f>
        <v>0</v>
      </c>
      <c r="H33" s="604">
        <f>IF(OR($BQ33&gt;0, $BS33&gt;0), 1, 0)</f>
        <v>0</v>
      </c>
      <c r="I33" s="604">
        <f>IF(OR($BT33&gt;0, $BV33&gt;0), 1, 0)</f>
        <v>0</v>
      </c>
      <c r="J33" s="604">
        <f>IF(OR($BW33&gt;0, $BY33&gt;0), 1, 0)</f>
        <v>0</v>
      </c>
      <c r="K33" s="604">
        <f>IF(OR($BZ33&gt;0, $CB33&gt;0), 1, 0)</f>
        <v>0</v>
      </c>
      <c r="L33" s="604">
        <f>IF(OR($CC33&gt;0, $CE33&gt;0), 1, 0)</f>
        <v>0</v>
      </c>
      <c r="M33" s="604">
        <f>IF(OR($CF33&gt;0, $CH33&gt;0), 1, 0)</f>
        <v>0</v>
      </c>
      <c r="N33" s="604">
        <f>IF(OR($CI33&gt;0, $CK33&gt;0), 1, 0)</f>
        <v>0</v>
      </c>
      <c r="O33" s="604">
        <f>IF(OR($CL33&gt;0, $CN33&gt;0), 1, 0)</f>
        <v>0</v>
      </c>
      <c r="P33" s="604">
        <f>IF(OR($CO33&gt;0, $CQ33&gt;0), 1, 0)</f>
        <v>0</v>
      </c>
      <c r="Q33" s="604">
        <f>IF(OR($CR33&gt;0, $CT33&gt;0), 1, 0)</f>
        <v>0</v>
      </c>
      <c r="R33" s="604">
        <f>IF(OR($CU33&gt;0, $CW33&gt;0), 1, 0)</f>
        <v>0</v>
      </c>
      <c r="S33" s="604">
        <f>IF(OR($CX33&gt;0, $CZ33&gt;0), 1, 0)</f>
        <v>0</v>
      </c>
      <c r="T33" s="604">
        <f>IF(OR($DA33&gt;0, $DC33&gt;0), 1, 0)</f>
        <v>0</v>
      </c>
      <c r="U33" s="603">
        <f>IF(OR($AI33&gt;0,$AM33&gt;0,$AS33&gt;0), 1, 0)</f>
        <v>0</v>
      </c>
      <c r="V33" s="602">
        <f>[1]BDD!A23</f>
        <v>3001</v>
      </c>
      <c r="W33" s="601" t="str">
        <f>[1]BDD!B23</f>
        <v>Avocat Bacon (grand)</v>
      </c>
      <c r="X33" s="600" t="str">
        <f>IF([1]BDD!F23=0, "", [1]BDD!F23)</f>
        <v>❤️</v>
      </c>
      <c r="Y33" s="542">
        <f>ROUND([1]BDD!G23+FDP_CMD_KG, 2)</f>
        <v>6.06</v>
      </c>
      <c r="Z33" s="542">
        <f>ROUND([1]BDD!G23+FDP_FACT_KG, 2)</f>
        <v>6.06</v>
      </c>
      <c r="AA33" s="543" t="str">
        <f>[1]BDD!H23</f>
        <v>kg</v>
      </c>
      <c r="AB33" s="544">
        <f>IF(NOT(ISBLANK([1]BDD!I23)), ROUND(SUM(([1]BDD!G23*reduc1),FDP_CMD_KG), 2), "")</f>
        <v>5.54</v>
      </c>
      <c r="AC33" s="544">
        <f>IF(NOT(ISBLANK([1]BDD!J23)), ROUND(SUM(([1]BDD!G23*reduc2),FDP_CMD_KG), 2), "")</f>
        <v>5.03</v>
      </c>
      <c r="AD33" s="544">
        <f>IF(NOT(ISBLANK([1]BDD!K23)), ROUND(SUM(([1]BDD!G23*reduc3),FDP_CMD_KG), 2), "")</f>
        <v>4.51</v>
      </c>
      <c r="AE33" s="544">
        <f>IF(NOT(ISBLANK([1]BDD!I23)), ROUND(SUM(([1]BDD!G23*reduc1),FDP_FACT_KG), 2), "")</f>
        <v>5.54</v>
      </c>
      <c r="AF33" s="544">
        <f>IF(NOT(ISBLANK([1]BDD!J23)), ROUND(SUM(([1]BDD!G23*reduc2),FDP_FACT_KG), 2), "")</f>
        <v>5.0199999999999996</v>
      </c>
      <c r="AG33" s="544">
        <f>IF(NOT(ISBLANK([1]BDD!K23)), ROUND(SUM(([1]BDD!G23*reduc3),FDP_FACT_KG), 2), "")</f>
        <v>4.5</v>
      </c>
      <c r="AH33" s="599" t="str">
        <f>[1]BDD!C23</f>
        <v>Grenade</v>
      </c>
      <c r="AI33" s="598">
        <f>SUM(AV33,AY33,BB33,BE33,BH33,BK33,BN33,BQ33,BT33,BW33,BZ33,CC33,CF33,CI33,CL33,CO33,CR33,CU33,CX33,DA33)</f>
        <v>0</v>
      </c>
      <c r="AJ33" s="545">
        <f>_xlfn.IFS($AD33&lt;&gt;"", $AD33,    $AC33&lt;&gt;"", $AC33,    $AB33&lt;&gt;"", $AB33,    TRUE, $Y33)</f>
        <v>4.51</v>
      </c>
      <c r="AK33" s="592">
        <f>$AI33*$AJ33</f>
        <v>0</v>
      </c>
      <c r="AL33" s="594"/>
      <c r="AM33" s="597"/>
      <c r="AN33" s="545">
        <f>_xlfn.IFS(AND(AM33&gt;=60,$AG33&lt;&gt;""), $AG33,    AND(AM33&gt;=30,$AF33&lt;&gt;""), $AF33,    AND(AM33&gt;=10,$AE33&lt;&gt;""), $AE33,    TRUE, $Z33)</f>
        <v>6.06</v>
      </c>
      <c r="AO33" s="596">
        <f>AM33*AN33</f>
        <v>0</v>
      </c>
      <c r="AP33" s="595"/>
      <c r="AQ33" s="595"/>
      <c r="AR33" s="594"/>
      <c r="AS33" s="593">
        <f>SUM(AW33,AZ33,BC33,BF33,BI33,BL33,BO33,BR33,BU33,BX33,CA33,CD33,CG33,CJ33,CM33,CP33,CS33,CV33,CY33,DB33)</f>
        <v>0</v>
      </c>
      <c r="AT33" s="545">
        <f>_xlfn.IFS(AND(AS33&gt;=60,$AG33&lt;&gt;""), $AG33,    AND(AS33&gt;=30,$AF33&lt;&gt;""), $AF33,    AND(AS33&gt;=10,$AE33&lt;&gt;""), $AE33,    TRUE, $Z33)</f>
        <v>6.06</v>
      </c>
      <c r="AU33" s="592">
        <f>$AS33*$AT33</f>
        <v>0</v>
      </c>
      <c r="AV33" s="591">
        <f>[1]COMMANDE!O31</f>
        <v>0</v>
      </c>
      <c r="AW33" s="586" t="str">
        <f>_xlfn.IFS(AND($AI33=$AM33,$AI33&gt;0,$AM33&gt;0,AV33&gt;0), AV33,     AND(NOT($AI33=$AM33),$AI33&gt;0,$AM33&gt;0,AV33&gt;0), ($AM33*AV33)/$AI33,     AND($AI33=0,$AM33&gt;0,$AQ33&gt;0), IF(INDEX(AV$12:AV$263,MATCH($AQ33,$AP$12:$AP$263,0))&gt;0,($AM33*INDEX(AV$12:AV$263,MATCH($AQ33,$AP$12:$AP$263,0)))/INDEX($AI$12:$AI$263,MATCH($AQ33,$AP$12:$AP$263,0)), "-"),     TRUE, "0")</f>
        <v>0</v>
      </c>
      <c r="AX33" s="588">
        <f>IF(AW$9&gt;0, IF(OR(AW33="",AW33="-"), 0, AW33*$AT33), AV33*$AJ33)</f>
        <v>0</v>
      </c>
      <c r="AY33" s="587">
        <f>[1]COMMANDE!Q31</f>
        <v>0</v>
      </c>
      <c r="AZ33" s="586" t="str">
        <f>_xlfn.IFS(AND($AI33=$AM33,$AI33&gt;0,$AM33&gt;0,AY33&gt;0), AY33,     AND(NOT($AI33=$AM33),$AI33&gt;0,$AM33&gt;0,AY33&gt;0), ($AM33*AY33)/$AI33,     AND($AI33=0,$AM33&gt;0,$AQ33&gt;0), IF(INDEX(AY$12:AY$263,MATCH($AQ33,$AP$12:$AP$263,0))&gt;0,($AM33*INDEX(AY$12:AY$263,MATCH($AQ33,$AP$12:$AP$263,0)))/INDEX($AI$12:$AI$263,MATCH($AQ33,$AP$12:$AP$263,0)), "-"),     TRUE, "0")</f>
        <v>0</v>
      </c>
      <c r="BA33" s="607">
        <f>IF(AZ$9&gt;0, IF(OR(AZ33="",AZ33="-"), 0, AZ33*$AT33), AY33*$AJ33)</f>
        <v>0</v>
      </c>
      <c r="BB33" s="589">
        <f>[1]COMMANDE!S31</f>
        <v>0</v>
      </c>
      <c r="BC33" s="586" t="str">
        <f>_xlfn.IFS(AND($AI33=$AM33,$AI33&gt;0,$AM33&gt;0,BB33&gt;0), BB33,     AND(NOT($AI33=$AM33),$AI33&gt;0,$AM33&gt;0,BB33&gt;0), ($AM33*BB33)/$AI33,     AND($AI33=0,$AM33&gt;0,$AQ33&gt;0), IF(INDEX(BB$12:BB$263,MATCH($AQ33,$AP$12:$AP$263,0))&gt;0,($AM33*INDEX(BB$12:BB$263,MATCH($AQ33,$AP$12:$AP$263,0)))/INDEX($AI$12:$AI$263,MATCH($AQ33,$AP$12:$AP$263,0)), "-"),     TRUE, "0")</f>
        <v>0</v>
      </c>
      <c r="BD33" s="588">
        <f>IF(BC$9&gt;0, IF(OR(BC33="",BC33="-"), 0, BC33*$AT33), BB33*$AJ33)</f>
        <v>0</v>
      </c>
      <c r="BE33" s="587">
        <f>[1]COMMANDE!U31</f>
        <v>0</v>
      </c>
      <c r="BF33" s="586" t="str">
        <f>_xlfn.IFS(AND($AI33=$AM33,$AI33&gt;0,$AM33&gt;0,BE33&gt;0), BE33,     AND(NOT($AI33=$AM33),$AI33&gt;0,$AM33&gt;0,BE33&gt;0), ($AM33*BE33)/$AI33,     AND($AI33=0,$AM33&gt;0,$AQ33&gt;0), IF(INDEX(BE$12:BE$263,MATCH($AQ33,$AP$12:$AP$263,0))&gt;0,($AM33*INDEX(BE$12:BE$263,MATCH($AQ33,$AP$12:$AP$263,0)))/INDEX($AI$12:$AI$263,MATCH($AQ33,$AP$12:$AP$263,0)), "-"),     TRUE, "0")</f>
        <v>0</v>
      </c>
      <c r="BG33" s="607">
        <f>IF(BF$9&gt;0, IF(OR(BF33="",BF33="-"), 0, BF33*$AT33), BE33*$AJ33)</f>
        <v>0</v>
      </c>
      <c r="BH33" s="589">
        <f>[1]COMMANDE!W31</f>
        <v>0</v>
      </c>
      <c r="BI33" s="586" t="str">
        <f>_xlfn.IFS(AND($AI33=$AM33,$AI33&gt;0,$AM33&gt;0,BH33&gt;0), BH33,     AND(NOT($AI33=$AM33),$AI33&gt;0,$AM33&gt;0,BH33&gt;0), ($AM33*BH33)/$AI33,     AND($AI33=0,$AM33&gt;0,$AQ33&gt;0), IF(INDEX(BH$12:BH$263,MATCH($AQ33,$AP$12:$AP$263,0))&gt;0,($AM33*INDEX(BH$12:BH$263,MATCH($AQ33,$AP$12:$AP$263,0)))/INDEX($AI$12:$AI$263,MATCH($AQ33,$AP$12:$AP$263,0)), "-"),     TRUE, "0")</f>
        <v>0</v>
      </c>
      <c r="BJ33" s="588">
        <f>IF(BI$9&gt;0, IF(OR(BI33="",BI33="-"), 0, BI33*$AT33), BH33*$AJ33)</f>
        <v>0</v>
      </c>
      <c r="BK33" s="587">
        <f>[1]COMMANDE!Y31</f>
        <v>0</v>
      </c>
      <c r="BL33" s="586" t="str">
        <f>_xlfn.IFS(AND($AI33=$AM33,$AI33&gt;0,$AM33&gt;0,BK33&gt;0), BK33,     AND(NOT($AI33=$AM33),$AI33&gt;0,$AM33&gt;0,BK33&gt;0), ($AM33*BK33)/$AI33,     AND($AI33=0,$AM33&gt;0,$AQ33&gt;0), IF(INDEX(BK$12:BK$263,MATCH($AQ33,$AP$12:$AP$263,0))&gt;0,($AM33*INDEX(BK$12:BK$263,MATCH($AQ33,$AP$12:$AP$263,0)))/INDEX($AI$12:$AI$263,MATCH($AQ33,$AP$12:$AP$263,0)), "-"),     TRUE, "0")</f>
        <v>0</v>
      </c>
      <c r="BM33" s="607">
        <f>IF(BL$9&gt;0, IF(OR(BL33="",BL33="-"), 0, BL33*$AT33), BK33*$AJ33)</f>
        <v>0</v>
      </c>
      <c r="BN33" s="589">
        <f>[1]COMMANDE!AA31</f>
        <v>0</v>
      </c>
      <c r="BO33" s="586" t="str">
        <f>_xlfn.IFS(AND($AI33=$AM33,$AI33&gt;0,$AM33&gt;0,BN33&gt;0), BN33,     AND(NOT($AI33=$AM33),$AI33&gt;0,$AM33&gt;0,BN33&gt;0), ($AM33*BN33)/$AI33,     AND($AI33=0,$AM33&gt;0,$AQ33&gt;0), IF(INDEX(BN$12:BN$263,MATCH($AQ33,$AP$12:$AP$263,0))&gt;0,($AM33*INDEX(BN$12:BN$263,MATCH($AQ33,$AP$12:$AP$263,0)))/INDEX($AI$12:$AI$263,MATCH($AQ33,$AP$12:$AP$263,0)), "-"),     TRUE, "0")</f>
        <v>0</v>
      </c>
      <c r="BP33" s="588">
        <f>IF(BO$9&gt;0, IF(OR(BO33="",BO33="-"), 0, BO33*$AT33), BN33*$AJ33)</f>
        <v>0</v>
      </c>
      <c r="BQ33" s="587">
        <f>[1]COMMANDE!AC31</f>
        <v>0</v>
      </c>
      <c r="BR33" s="586" t="str">
        <f>_xlfn.IFS(AND($AI33=$AM33,$AI33&gt;0,$AM33&gt;0,BQ33&gt;0), BQ33,     AND(NOT($AI33=$AM33),$AI33&gt;0,$AM33&gt;0,BQ33&gt;0), ($AM33*BQ33)/$AI33,     AND($AI33=0,$AM33&gt;0,$AQ33&gt;0), IF(INDEX(BQ$12:BQ$263,MATCH($AQ33,$AP$12:$AP$263,0))&gt;0,($AM33*INDEX(BQ$12:BQ$263,MATCH($AQ33,$AP$12:$AP$263,0)))/INDEX($AI$12:$AI$263,MATCH($AQ33,$AP$12:$AP$263,0)), "-"),     TRUE, "0")</f>
        <v>0</v>
      </c>
      <c r="BS33" s="607">
        <f>IF(BR$9&gt;0, IF(OR(BR33="",BR33="-"), 0, BR33*$AT33), BQ33*$AJ33)</f>
        <v>0</v>
      </c>
      <c r="BT33" s="589">
        <f>[1]COMMANDE!AE31</f>
        <v>0</v>
      </c>
      <c r="BU33" s="586" t="str">
        <f>_xlfn.IFS(AND($AI33=$AM33,$AI33&gt;0,$AM33&gt;0,BT33&gt;0), BT33,     AND(NOT($AI33=$AM33),$AI33&gt;0,$AM33&gt;0,BT33&gt;0), ($AM33*BT33)/$AI33,     AND($AI33=0,$AM33&gt;0,$AQ33&gt;0), IF(INDEX(BT$12:BT$263,MATCH($AQ33,$AP$12:$AP$263,0))&gt;0,($AM33*INDEX(BT$12:BT$263,MATCH($AQ33,$AP$12:$AP$263,0)))/INDEX($AI$12:$AI$263,MATCH($AQ33,$AP$12:$AP$263,0)), "-"),     TRUE, "0")</f>
        <v>0</v>
      </c>
      <c r="BV33" s="588">
        <f>IF(BU$9&gt;0, IF(OR(BU33="",BU33="-"), 0, BU33*$AT33), BT33*$AJ33)</f>
        <v>0</v>
      </c>
      <c r="BW33" s="587">
        <f>[1]COMMANDE!AG31</f>
        <v>0</v>
      </c>
      <c r="BX33" s="586" t="str">
        <f>_xlfn.IFS(AND($AI33=$AM33,$AI33&gt;0,$AM33&gt;0,BW33&gt;0), BW33,     AND(NOT($AI33=$AM33),$AI33&gt;0,$AM33&gt;0,BW33&gt;0), ($AM33*BW33)/$AI33,     AND($AI33=0,$AM33&gt;0,$AQ33&gt;0), IF(INDEX(BW$12:BW$263,MATCH($AQ33,$AP$12:$AP$263,0))&gt;0,($AM33*INDEX(BW$12:BW$263,MATCH($AQ33,$AP$12:$AP$263,0)))/INDEX($AI$12:$AI$263,MATCH($AQ33,$AP$12:$AP$263,0)), "-"),     TRUE, "0")</f>
        <v>0</v>
      </c>
      <c r="BY33" s="607">
        <f>IF(BX$9&gt;0, IF(OR(BX33="",BX33="-"), 0, BX33*$AT33), BW33*$AJ33)</f>
        <v>0</v>
      </c>
      <c r="BZ33" s="589">
        <f>[1]COMMANDE!AI31</f>
        <v>0</v>
      </c>
      <c r="CA33" s="586" t="str">
        <f>_xlfn.IFS(AND($AI33=$AM33,$AI33&gt;0,$AM33&gt;0,BZ33&gt;0), BZ33,     AND(NOT($AI33=$AM33),$AI33&gt;0,$AM33&gt;0,BZ33&gt;0), ($AM33*BZ33)/$AI33,     AND($AI33=0,$AM33&gt;0,$AQ33&gt;0), IF(INDEX(BZ$12:BZ$263,MATCH($AQ33,$AP$12:$AP$263,0))&gt;0,($AM33*INDEX(BZ$12:BZ$263,MATCH($AQ33,$AP$12:$AP$263,0)))/INDEX($AI$12:$AI$263,MATCH($AQ33,$AP$12:$AP$263,0)), "-"),     TRUE, "0")</f>
        <v>0</v>
      </c>
      <c r="CB33" s="588">
        <f>IF(CA$9&gt;0, IF(OR(CA33="",CA33="-"), 0, CA33*$AT33), BZ33*$AJ33)</f>
        <v>0</v>
      </c>
      <c r="CC33" s="587">
        <f>[1]COMMANDE!AK31</f>
        <v>0</v>
      </c>
      <c r="CD33" s="586" t="str">
        <f>_xlfn.IFS(AND($AI33=$AM33,$AI33&gt;0,$AM33&gt;0,CC33&gt;0), CC33,     AND(NOT($AI33=$AM33),$AI33&gt;0,$AM33&gt;0,CC33&gt;0), ($AM33*CC33)/$AI33,     AND($AI33=0,$AM33&gt;0,$AQ33&gt;0), IF(INDEX(CC$12:CC$263,MATCH($AQ33,$AP$12:$AP$263,0))&gt;0,($AM33*INDEX(CC$12:CC$263,MATCH($AQ33,$AP$12:$AP$263,0)))/INDEX($AI$12:$AI$263,MATCH($AQ33,$AP$12:$AP$263,0)), "-"),     TRUE, "0")</f>
        <v>0</v>
      </c>
      <c r="CE33" s="607">
        <f>IF(CD$9&gt;0, IF(OR(CD33="",CD33="-"), 0, CD33*$AT33), CC33*$AJ33)</f>
        <v>0</v>
      </c>
      <c r="CF33" s="589">
        <f>[1]COMMANDE!AM31</f>
        <v>0</v>
      </c>
      <c r="CG33" s="586" t="str">
        <f>_xlfn.IFS(AND($AI33=$AM33,$AI33&gt;0,$AM33&gt;0,CF33&gt;0), CF33,     AND(NOT($AI33=$AM33),$AI33&gt;0,$AM33&gt;0,CF33&gt;0), ($AM33*CF33)/$AI33,     AND($AI33=0,$AM33&gt;0,$AQ33&gt;0), IF(INDEX(CF$12:CF$263,MATCH($AQ33,$AP$12:$AP$263,0))&gt;0,($AM33*INDEX(CF$12:CF$263,MATCH($AQ33,$AP$12:$AP$263,0)))/INDEX($AI$12:$AI$263,MATCH($AQ33,$AP$12:$AP$263,0)), "-"),     TRUE, "0")</f>
        <v>0</v>
      </c>
      <c r="CH33" s="588">
        <f>IF(CG$9&gt;0, IF(OR(CG33="",CG33="-"), 0, CG33*$AT33), CF33*$AJ33)</f>
        <v>0</v>
      </c>
      <c r="CI33" s="587">
        <f>[1]COMMANDE!AO31</f>
        <v>0</v>
      </c>
      <c r="CJ33" s="586" t="str">
        <f>_xlfn.IFS(AND($AI33=$AM33,$AI33&gt;0,$AM33&gt;0,CI33&gt;0), CI33,     AND(NOT($AI33=$AM33),$AI33&gt;0,$AM33&gt;0,CI33&gt;0), ($AM33*CI33)/$AI33,     AND($AI33=0,$AM33&gt;0,$AQ33&gt;0), IF(INDEX(CI$12:CI$263,MATCH($AQ33,$AP$12:$AP$263,0))&gt;0,($AM33*INDEX(CI$12:CI$263,MATCH($AQ33,$AP$12:$AP$263,0)))/INDEX($AI$12:$AI$263,MATCH($AQ33,$AP$12:$AP$263,0)), "-"),     TRUE, "0")</f>
        <v>0</v>
      </c>
      <c r="CK33" s="607">
        <f>IF(CJ$9&gt;0, IF(OR(CJ33="",CJ33="-"), 0, CJ33*$AT33), CI33*$AJ33)</f>
        <v>0</v>
      </c>
      <c r="CL33" s="589">
        <f>[1]COMMANDE!AQ31</f>
        <v>0</v>
      </c>
      <c r="CM33" s="586" t="str">
        <f>_xlfn.IFS(AND($AI33=$AM33,$AI33&gt;0,$AM33&gt;0,CL33&gt;0), CL33,     AND(NOT($AI33=$AM33),$AI33&gt;0,$AM33&gt;0,CL33&gt;0), ($AM33*CL33)/$AI33,     AND($AI33=0,$AM33&gt;0,$AQ33&gt;0), IF(INDEX(CL$12:CL$263,MATCH($AQ33,$AP$12:$AP$263,0))&gt;0,($AM33*INDEX(CL$12:CL$263,MATCH($AQ33,$AP$12:$AP$263,0)))/INDEX($AI$12:$AI$263,MATCH($AQ33,$AP$12:$AP$263,0)), "-"),     TRUE, "0")</f>
        <v>0</v>
      </c>
      <c r="CN33" s="588">
        <f>IF(CM$9&gt;0, IF(OR(CM33="",CM33="-"), 0, CM33*$AT33), CL33*$AJ33)</f>
        <v>0</v>
      </c>
      <c r="CO33" s="587">
        <f>[1]COMMANDE!AS31</f>
        <v>0</v>
      </c>
      <c r="CP33" s="586" t="str">
        <f>_xlfn.IFS(AND($AI33=$AM33,$AI33&gt;0,$AM33&gt;0,CO33&gt;0), CO33,     AND(NOT($AI33=$AM33),$AI33&gt;0,$AM33&gt;0,CO33&gt;0), ($AM33*CO33)/$AI33,     AND($AI33=0,$AM33&gt;0,$AQ33&gt;0), IF(INDEX(CO$12:CO$263,MATCH($AQ33,$AP$12:$AP$263,0))&gt;0,($AM33*INDEX(CO$12:CO$263,MATCH($AQ33,$AP$12:$AP$263,0)))/INDEX($AI$12:$AI$263,MATCH($AQ33,$AP$12:$AP$263,0)), "-"),     TRUE, "0")</f>
        <v>0</v>
      </c>
      <c r="CQ33" s="607">
        <f>IF(CP$9&gt;0, IF(OR(CP33="",CP33="-"), 0, CP33*$AT33), CO33*$AJ33)</f>
        <v>0</v>
      </c>
      <c r="CR33" s="589">
        <f>[1]COMMANDE!AU31</f>
        <v>0</v>
      </c>
      <c r="CS33" s="586" t="str">
        <f>_xlfn.IFS(AND($AI33=$AM33,$AI33&gt;0,$AM33&gt;0,CR33&gt;0), CR33,     AND(NOT($AI33=$AM33),$AI33&gt;0,$AM33&gt;0,CR33&gt;0), ($AM33*CR33)/$AI33,     AND($AI33=0,$AM33&gt;0,$AQ33&gt;0), IF(INDEX(CR$12:CR$263,MATCH($AQ33,$AP$12:$AP$263,0))&gt;0,($AM33*INDEX(CR$12:CR$263,MATCH($AQ33,$AP$12:$AP$263,0)))/INDEX($AI$12:$AI$263,MATCH($AQ33,$AP$12:$AP$263,0)), "-"),     TRUE, "0")</f>
        <v>0</v>
      </c>
      <c r="CT33" s="588">
        <f>IF(CS$9&gt;0, IF(OR(CS33="",CS33="-"), 0, CS33*$AT33), CR33*$AJ33)</f>
        <v>0</v>
      </c>
      <c r="CU33" s="587">
        <f>[1]COMMANDE!AW31</f>
        <v>0</v>
      </c>
      <c r="CV33" s="586" t="str">
        <f>_xlfn.IFS(AND($AI33=$AM33,$AI33&gt;0,$AM33&gt;0,CU33&gt;0), CU33,     AND(NOT($AI33=$AM33),$AI33&gt;0,$AM33&gt;0,CU33&gt;0), ($AM33*CU33)/$AI33,     AND($AI33=0,$AM33&gt;0,$AQ33&gt;0), IF(INDEX(CU$12:CU$263,MATCH($AQ33,$AP$12:$AP$263,0))&gt;0,($AM33*INDEX(CU$12:CU$263,MATCH($AQ33,$AP$12:$AP$263,0)))/INDEX($AI$12:$AI$263,MATCH($AQ33,$AP$12:$AP$263,0)), "-"),     TRUE, "0")</f>
        <v>0</v>
      </c>
      <c r="CW33" s="607">
        <f>IF(CV$9&gt;0, IF(OR(CV33="",CV33="-"), 0, CV33*$AT33), CU33*$AJ33)</f>
        <v>0</v>
      </c>
      <c r="CX33" s="589">
        <f>[1]COMMANDE!AY31</f>
        <v>0</v>
      </c>
      <c r="CY33" s="586" t="str">
        <f>_xlfn.IFS(AND($AI33=$AM33,$AI33&gt;0,$AM33&gt;0,CX33&gt;0), CX33,     AND(NOT($AI33=$AM33),$AI33&gt;0,$AM33&gt;0,CX33&gt;0), ($AM33*CX33)/$AI33,     AND($AI33=0,$AM33&gt;0,$AQ33&gt;0), IF(INDEX(CX$12:CX$263,MATCH($AQ33,$AP$12:$AP$263,0))&gt;0,($AM33*INDEX(CX$12:CX$263,MATCH($AQ33,$AP$12:$AP$263,0)))/INDEX($AI$12:$AI$263,MATCH($AQ33,$AP$12:$AP$263,0)), "-"),     TRUE, "0")</f>
        <v>0</v>
      </c>
      <c r="CZ33" s="588">
        <f>IF(CY$9&gt;0, IF(OR(CY33="",CY33="-"), 0, CY33*$AT33), CX33*$AJ33)</f>
        <v>0</v>
      </c>
      <c r="DA33" s="587">
        <f>[1]COMMANDE!BA31</f>
        <v>0</v>
      </c>
      <c r="DB33" s="586" t="str">
        <f>_xlfn.IFS(AND($AI33=$AM33,$AI33&gt;0,$AM33&gt;0,DA33&gt;0), DA33,     AND(NOT($AI33=$AM33),$AI33&gt;0,$AM33&gt;0,DA33&gt;0), ($AM33*DA33)/$AI33,     AND($AI33=0,$AM33&gt;0,$AQ33&gt;0), IF(INDEX(DA$12:DA$263,MATCH($AQ33,$AP$12:$AP$263,0))&gt;0,($AM33*INDEX(DA$12:DA$263,MATCH($AQ33,$AP$12:$AP$263,0)))/INDEX($AI$12:$AI$263,MATCH($AQ33,$AP$12:$AP$263,0)), "-"),     TRUE, "0")</f>
        <v>0</v>
      </c>
      <c r="DC33" s="606">
        <f>IF(DB$9&gt;0, IF(OR(DB33="",DB33="-"), 0, DB33*$AT33), DA33*$AJ33)</f>
        <v>0</v>
      </c>
      <c r="DD33" s="584"/>
      <c r="DE33" s="583"/>
    </row>
    <row r="34" spans="1:109" ht="39.950000000000003" hidden="1" customHeight="1">
      <c r="A34" s="604">
        <f>IF(OR($AV34&gt;0, $AX34&gt;0), 1, 0)</f>
        <v>0</v>
      </c>
      <c r="B34" s="604">
        <f>IF(OR($AY34&gt;0, $BA34&gt;0), 1, 0)</f>
        <v>0</v>
      </c>
      <c r="C34" s="604">
        <f>IF(OR($BB34&gt;0, $BD34&gt;0), 1, 0)</f>
        <v>0</v>
      </c>
      <c r="D34" s="604">
        <f>IF(OR($BE34&gt;0, $BG34&gt;0), 1, 0)</f>
        <v>0</v>
      </c>
      <c r="E34" s="604">
        <f>IF(OR($BH34&gt;0, $BJ34&gt;0), 1, 0)</f>
        <v>0</v>
      </c>
      <c r="F34" s="604">
        <f>IF(OR($BK34&gt;0, $BM34&gt;0), 1, 0)</f>
        <v>0</v>
      </c>
      <c r="G34" s="604">
        <f>IF(OR($BN34&gt;0, $BP34&gt;0), 1, 0)</f>
        <v>0</v>
      </c>
      <c r="H34" s="604">
        <f>IF(OR($BQ34&gt;0, $BS34&gt;0), 1, 0)</f>
        <v>0</v>
      </c>
      <c r="I34" s="604">
        <f>IF(OR($BT34&gt;0, $BV34&gt;0), 1, 0)</f>
        <v>0</v>
      </c>
      <c r="J34" s="604">
        <f>IF(OR($BW34&gt;0, $BY34&gt;0), 1, 0)</f>
        <v>0</v>
      </c>
      <c r="K34" s="604">
        <f>IF(OR($BZ34&gt;0, $CB34&gt;0), 1, 0)</f>
        <v>0</v>
      </c>
      <c r="L34" s="604">
        <f>IF(OR($CC34&gt;0, $CE34&gt;0), 1, 0)</f>
        <v>0</v>
      </c>
      <c r="M34" s="604">
        <f>IF(OR($CF34&gt;0, $CH34&gt;0), 1, 0)</f>
        <v>0</v>
      </c>
      <c r="N34" s="604">
        <f>IF(OR($CI34&gt;0, $CK34&gt;0), 1, 0)</f>
        <v>0</v>
      </c>
      <c r="O34" s="604">
        <f>IF(OR($CL34&gt;0, $CN34&gt;0), 1, 0)</f>
        <v>0</v>
      </c>
      <c r="P34" s="604">
        <f>IF(OR($CO34&gt;0, $CQ34&gt;0), 1, 0)</f>
        <v>0</v>
      </c>
      <c r="Q34" s="604">
        <f>IF(OR($CR34&gt;0, $CT34&gt;0), 1, 0)</f>
        <v>0</v>
      </c>
      <c r="R34" s="604">
        <f>IF(OR($CU34&gt;0, $CW34&gt;0), 1, 0)</f>
        <v>0</v>
      </c>
      <c r="S34" s="604">
        <f>IF(OR($CX34&gt;0, $CZ34&gt;0), 1, 0)</f>
        <v>0</v>
      </c>
      <c r="T34" s="604">
        <f>IF(OR($DA34&gt;0, $DC34&gt;0), 1, 0)</f>
        <v>0</v>
      </c>
      <c r="U34" s="603">
        <f>IF(OR($AI34&gt;0,$AM34&gt;0,$AS34&gt;0), 1, 0)</f>
        <v>0</v>
      </c>
      <c r="V34" s="602">
        <f>[1]BDD!A24</f>
        <v>1001</v>
      </c>
      <c r="W34" s="601" t="str">
        <f>[1]BDD!B24</f>
        <v>Avocat Bacon BIO</v>
      </c>
      <c r="X34" s="600" t="str">
        <f>IF([1]BDD!F24=0, "", [1]BDD!F24)</f>
        <v/>
      </c>
      <c r="Y34" s="542">
        <f>ROUND([1]BDD!G24+FDP_CMD_KG, 2)</f>
        <v>6.32</v>
      </c>
      <c r="Z34" s="542">
        <f>ROUND([1]BDD!G24+FDP_FACT_KG, 2)</f>
        <v>6.32</v>
      </c>
      <c r="AA34" s="543" t="str">
        <f>[1]BDD!H24</f>
        <v>kg</v>
      </c>
      <c r="AB34" s="544">
        <f>IF(NOT(ISBLANK([1]BDD!I24)), ROUND(SUM(([1]BDD!G24*reduc1),FDP_CMD_KG), 2), "")</f>
        <v>5.78</v>
      </c>
      <c r="AC34" s="544">
        <f>IF(NOT(ISBLANK([1]BDD!J24)), ROUND(SUM(([1]BDD!G24*reduc2),FDP_CMD_KG), 2), "")</f>
        <v>5.23</v>
      </c>
      <c r="AD34" s="544">
        <f>IF(NOT(ISBLANK([1]BDD!K24)), ROUND(SUM(([1]BDD!G24*reduc3),FDP_CMD_KG), 2), "")</f>
        <v>4.6900000000000004</v>
      </c>
      <c r="AE34" s="544">
        <f>IF(NOT(ISBLANK([1]BDD!I24)), ROUND(SUM(([1]BDD!G24*reduc1),FDP_FACT_KG), 2), "")</f>
        <v>5.77</v>
      </c>
      <c r="AF34" s="544">
        <f>IF(NOT(ISBLANK([1]BDD!J24)), ROUND(SUM(([1]BDD!G24*reduc2),FDP_FACT_KG), 2), "")</f>
        <v>5.23</v>
      </c>
      <c r="AG34" s="544">
        <f>IF(NOT(ISBLANK([1]BDD!K24)), ROUND(SUM(([1]BDD!G24*reduc3),FDP_FACT_KG), 2), "")</f>
        <v>4.68</v>
      </c>
      <c r="AH34" s="599" t="str">
        <f>[1]BDD!C24</f>
        <v>Grenade</v>
      </c>
      <c r="AI34" s="598">
        <f>SUM(AV34,AY34,BB34,BE34,BH34,BK34,BN34,BQ34,BT34,BW34,BZ34,CC34,CF34,CI34,CL34,CO34,CR34,CU34,CX34,DA34)</f>
        <v>0</v>
      </c>
      <c r="AJ34" s="545">
        <f>_xlfn.IFS($AD34&lt;&gt;"", $AD34,    $AC34&lt;&gt;"", $AC34,    $AB34&lt;&gt;"", $AB34,    TRUE, $Y34)</f>
        <v>4.6900000000000004</v>
      </c>
      <c r="AK34" s="592">
        <f>$AI34*$AJ34</f>
        <v>0</v>
      </c>
      <c r="AL34" s="594"/>
      <c r="AM34" s="597"/>
      <c r="AN34" s="545">
        <f>_xlfn.IFS(AND(AM34&gt;=60,$AG34&lt;&gt;""), $AG34,    AND(AM34&gt;=30,$AF34&lt;&gt;""), $AF34,    AND(AM34&gt;=10,$AE34&lt;&gt;""), $AE34,    TRUE, $Z34)</f>
        <v>6.32</v>
      </c>
      <c r="AO34" s="596">
        <f>AM34*AN34</f>
        <v>0</v>
      </c>
      <c r="AP34" s="595"/>
      <c r="AQ34" s="595"/>
      <c r="AR34" s="594"/>
      <c r="AS34" s="593">
        <f>SUM(AW34,AZ34,BC34,BF34,BI34,BL34,BO34,BR34,BU34,BX34,CA34,CD34,CG34,CJ34,CM34,CP34,CS34,CV34,CY34,DB34)</f>
        <v>0</v>
      </c>
      <c r="AT34" s="545">
        <f>_xlfn.IFS(AND(AS34&gt;=60,$AG34&lt;&gt;""), $AG34,    AND(AS34&gt;=30,$AF34&lt;&gt;""), $AF34,    AND(AS34&gt;=10,$AE34&lt;&gt;""), $AE34,    TRUE, $Z34)</f>
        <v>6.32</v>
      </c>
      <c r="AU34" s="592">
        <f>$AS34*$AT34</f>
        <v>0</v>
      </c>
      <c r="AV34" s="591">
        <f>[1]COMMANDE!O32</f>
        <v>0</v>
      </c>
      <c r="AW34" s="586" t="str">
        <f>_xlfn.IFS(AND($AI34=$AM34,$AI34&gt;0,$AM34&gt;0,AV34&gt;0), AV34,     AND(NOT($AI34=$AM34),$AI34&gt;0,$AM34&gt;0,AV34&gt;0), ($AM34*AV34)/$AI34,     AND($AI34=0,$AM34&gt;0,$AQ34&gt;0), IF(INDEX(AV$12:AV$263,MATCH($AQ34,$AP$12:$AP$263,0))&gt;0,($AM34*INDEX(AV$12:AV$263,MATCH($AQ34,$AP$12:$AP$263,0)))/INDEX($AI$12:$AI$263,MATCH($AQ34,$AP$12:$AP$263,0)), "-"),     TRUE, "0")</f>
        <v>0</v>
      </c>
      <c r="AX34" s="588">
        <f>IF(AW$9&gt;0, IF(OR(AW34="",AW34="-"), 0, AW34*$AT34), AV34*$AJ34)</f>
        <v>0</v>
      </c>
      <c r="AY34" s="587">
        <f>[1]COMMANDE!Q32</f>
        <v>0</v>
      </c>
      <c r="AZ34" s="586" t="str">
        <f>_xlfn.IFS(AND($AI34=$AM34,$AI34&gt;0,$AM34&gt;0,AY34&gt;0), AY34,     AND(NOT($AI34=$AM34),$AI34&gt;0,$AM34&gt;0,AY34&gt;0), ($AM34*AY34)/$AI34,     AND($AI34=0,$AM34&gt;0,$AQ34&gt;0), IF(INDEX(AY$12:AY$263,MATCH($AQ34,$AP$12:$AP$263,0))&gt;0,($AM34*INDEX(AY$12:AY$263,MATCH($AQ34,$AP$12:$AP$263,0)))/INDEX($AI$12:$AI$263,MATCH($AQ34,$AP$12:$AP$263,0)), "-"),     TRUE, "0")</f>
        <v>0</v>
      </c>
      <c r="BA34" s="607">
        <f>IF(AZ$9&gt;0, IF(OR(AZ34="",AZ34="-"), 0, AZ34*$AT34), AY34*$AJ34)</f>
        <v>0</v>
      </c>
      <c r="BB34" s="589">
        <f>[1]COMMANDE!S32</f>
        <v>0</v>
      </c>
      <c r="BC34" s="586" t="str">
        <f>_xlfn.IFS(AND($AI34=$AM34,$AI34&gt;0,$AM34&gt;0,BB34&gt;0), BB34,     AND(NOT($AI34=$AM34),$AI34&gt;0,$AM34&gt;0,BB34&gt;0), ($AM34*BB34)/$AI34,     AND($AI34=0,$AM34&gt;0,$AQ34&gt;0), IF(INDEX(BB$12:BB$263,MATCH($AQ34,$AP$12:$AP$263,0))&gt;0,($AM34*INDEX(BB$12:BB$263,MATCH($AQ34,$AP$12:$AP$263,0)))/INDEX($AI$12:$AI$263,MATCH($AQ34,$AP$12:$AP$263,0)), "-"),     TRUE, "0")</f>
        <v>0</v>
      </c>
      <c r="BD34" s="588">
        <f>IF(BC$9&gt;0, IF(OR(BC34="",BC34="-"), 0, BC34*$AT34), BB34*$AJ34)</f>
        <v>0</v>
      </c>
      <c r="BE34" s="587">
        <f>[1]COMMANDE!U32</f>
        <v>0</v>
      </c>
      <c r="BF34" s="586" t="str">
        <f>_xlfn.IFS(AND($AI34=$AM34,$AI34&gt;0,$AM34&gt;0,BE34&gt;0), BE34,     AND(NOT($AI34=$AM34),$AI34&gt;0,$AM34&gt;0,BE34&gt;0), ($AM34*BE34)/$AI34,     AND($AI34=0,$AM34&gt;0,$AQ34&gt;0), IF(INDEX(BE$12:BE$263,MATCH($AQ34,$AP$12:$AP$263,0))&gt;0,($AM34*INDEX(BE$12:BE$263,MATCH($AQ34,$AP$12:$AP$263,0)))/INDEX($AI$12:$AI$263,MATCH($AQ34,$AP$12:$AP$263,0)), "-"),     TRUE, "0")</f>
        <v>0</v>
      </c>
      <c r="BG34" s="607">
        <f>IF(BF$9&gt;0, IF(OR(BF34="",BF34="-"), 0, BF34*$AT34), BE34*$AJ34)</f>
        <v>0</v>
      </c>
      <c r="BH34" s="589">
        <f>[1]COMMANDE!W32</f>
        <v>0</v>
      </c>
      <c r="BI34" s="586" t="str">
        <f>_xlfn.IFS(AND($AI34=$AM34,$AI34&gt;0,$AM34&gt;0,BH34&gt;0), BH34,     AND(NOT($AI34=$AM34),$AI34&gt;0,$AM34&gt;0,BH34&gt;0), ($AM34*BH34)/$AI34,     AND($AI34=0,$AM34&gt;0,$AQ34&gt;0), IF(INDEX(BH$12:BH$263,MATCH($AQ34,$AP$12:$AP$263,0))&gt;0,($AM34*INDEX(BH$12:BH$263,MATCH($AQ34,$AP$12:$AP$263,0)))/INDEX($AI$12:$AI$263,MATCH($AQ34,$AP$12:$AP$263,0)), "-"),     TRUE, "0")</f>
        <v>0</v>
      </c>
      <c r="BJ34" s="588">
        <f>IF(BI$9&gt;0, IF(OR(BI34="",BI34="-"), 0, BI34*$AT34), BH34*$AJ34)</f>
        <v>0</v>
      </c>
      <c r="BK34" s="587">
        <f>[1]COMMANDE!Y32</f>
        <v>0</v>
      </c>
      <c r="BL34" s="586" t="str">
        <f>_xlfn.IFS(AND($AI34=$AM34,$AI34&gt;0,$AM34&gt;0,BK34&gt;0), BK34,     AND(NOT($AI34=$AM34),$AI34&gt;0,$AM34&gt;0,BK34&gt;0), ($AM34*BK34)/$AI34,     AND($AI34=0,$AM34&gt;0,$AQ34&gt;0), IF(INDEX(BK$12:BK$263,MATCH($AQ34,$AP$12:$AP$263,0))&gt;0,($AM34*INDEX(BK$12:BK$263,MATCH($AQ34,$AP$12:$AP$263,0)))/INDEX($AI$12:$AI$263,MATCH($AQ34,$AP$12:$AP$263,0)), "-"),     TRUE, "0")</f>
        <v>0</v>
      </c>
      <c r="BM34" s="607">
        <f>IF(BL$9&gt;0, IF(OR(BL34="",BL34="-"), 0, BL34*$AT34), BK34*$AJ34)</f>
        <v>0</v>
      </c>
      <c r="BN34" s="589">
        <f>[1]COMMANDE!AA32</f>
        <v>0</v>
      </c>
      <c r="BO34" s="586" t="str">
        <f>_xlfn.IFS(AND($AI34=$AM34,$AI34&gt;0,$AM34&gt;0,BN34&gt;0), BN34,     AND(NOT($AI34=$AM34),$AI34&gt;0,$AM34&gt;0,BN34&gt;0), ($AM34*BN34)/$AI34,     AND($AI34=0,$AM34&gt;0,$AQ34&gt;0), IF(INDEX(BN$12:BN$263,MATCH($AQ34,$AP$12:$AP$263,0))&gt;0,($AM34*INDEX(BN$12:BN$263,MATCH($AQ34,$AP$12:$AP$263,0)))/INDEX($AI$12:$AI$263,MATCH($AQ34,$AP$12:$AP$263,0)), "-"),     TRUE, "0")</f>
        <v>0</v>
      </c>
      <c r="BP34" s="588">
        <f>IF(BO$9&gt;0, IF(OR(BO34="",BO34="-"), 0, BO34*$AT34), BN34*$AJ34)</f>
        <v>0</v>
      </c>
      <c r="BQ34" s="587">
        <f>[1]COMMANDE!AC32</f>
        <v>0</v>
      </c>
      <c r="BR34" s="586" t="str">
        <f>_xlfn.IFS(AND($AI34=$AM34,$AI34&gt;0,$AM34&gt;0,BQ34&gt;0), BQ34,     AND(NOT($AI34=$AM34),$AI34&gt;0,$AM34&gt;0,BQ34&gt;0), ($AM34*BQ34)/$AI34,     AND($AI34=0,$AM34&gt;0,$AQ34&gt;0), IF(INDEX(BQ$12:BQ$263,MATCH($AQ34,$AP$12:$AP$263,0))&gt;0,($AM34*INDEX(BQ$12:BQ$263,MATCH($AQ34,$AP$12:$AP$263,0)))/INDEX($AI$12:$AI$263,MATCH($AQ34,$AP$12:$AP$263,0)), "-"),     TRUE, "0")</f>
        <v>0</v>
      </c>
      <c r="BS34" s="607">
        <f>IF(BR$9&gt;0, IF(OR(BR34="",BR34="-"), 0, BR34*$AT34), BQ34*$AJ34)</f>
        <v>0</v>
      </c>
      <c r="BT34" s="589">
        <f>[1]COMMANDE!AE32</f>
        <v>0</v>
      </c>
      <c r="BU34" s="586" t="str">
        <f>_xlfn.IFS(AND($AI34=$AM34,$AI34&gt;0,$AM34&gt;0,BT34&gt;0), BT34,     AND(NOT($AI34=$AM34),$AI34&gt;0,$AM34&gt;0,BT34&gt;0), ($AM34*BT34)/$AI34,     AND($AI34=0,$AM34&gt;0,$AQ34&gt;0), IF(INDEX(BT$12:BT$263,MATCH($AQ34,$AP$12:$AP$263,0))&gt;0,($AM34*INDEX(BT$12:BT$263,MATCH($AQ34,$AP$12:$AP$263,0)))/INDEX($AI$12:$AI$263,MATCH($AQ34,$AP$12:$AP$263,0)), "-"),     TRUE, "0")</f>
        <v>0</v>
      </c>
      <c r="BV34" s="588">
        <f>IF(BU$9&gt;0, IF(OR(BU34="",BU34="-"), 0, BU34*$AT34), BT34*$AJ34)</f>
        <v>0</v>
      </c>
      <c r="BW34" s="587">
        <f>[1]COMMANDE!AG32</f>
        <v>0</v>
      </c>
      <c r="BX34" s="586" t="str">
        <f>_xlfn.IFS(AND($AI34=$AM34,$AI34&gt;0,$AM34&gt;0,BW34&gt;0), BW34,     AND(NOT($AI34=$AM34),$AI34&gt;0,$AM34&gt;0,BW34&gt;0), ($AM34*BW34)/$AI34,     AND($AI34=0,$AM34&gt;0,$AQ34&gt;0), IF(INDEX(BW$12:BW$263,MATCH($AQ34,$AP$12:$AP$263,0))&gt;0,($AM34*INDEX(BW$12:BW$263,MATCH($AQ34,$AP$12:$AP$263,0)))/INDEX($AI$12:$AI$263,MATCH($AQ34,$AP$12:$AP$263,0)), "-"),     TRUE, "0")</f>
        <v>0</v>
      </c>
      <c r="BY34" s="607">
        <f>IF(BX$9&gt;0, IF(OR(BX34="",BX34="-"), 0, BX34*$AT34), BW34*$AJ34)</f>
        <v>0</v>
      </c>
      <c r="BZ34" s="589">
        <f>[1]COMMANDE!AI32</f>
        <v>0</v>
      </c>
      <c r="CA34" s="586" t="str">
        <f>_xlfn.IFS(AND($AI34=$AM34,$AI34&gt;0,$AM34&gt;0,BZ34&gt;0), BZ34,     AND(NOT($AI34=$AM34),$AI34&gt;0,$AM34&gt;0,BZ34&gt;0), ($AM34*BZ34)/$AI34,     AND($AI34=0,$AM34&gt;0,$AQ34&gt;0), IF(INDEX(BZ$12:BZ$263,MATCH($AQ34,$AP$12:$AP$263,0))&gt;0,($AM34*INDEX(BZ$12:BZ$263,MATCH($AQ34,$AP$12:$AP$263,0)))/INDEX($AI$12:$AI$263,MATCH($AQ34,$AP$12:$AP$263,0)), "-"),     TRUE, "0")</f>
        <v>0</v>
      </c>
      <c r="CB34" s="588">
        <f>IF(CA$9&gt;0, IF(OR(CA34="",CA34="-"), 0, CA34*$AT34), BZ34*$AJ34)</f>
        <v>0</v>
      </c>
      <c r="CC34" s="587">
        <f>[1]COMMANDE!AK32</f>
        <v>0</v>
      </c>
      <c r="CD34" s="586" t="str">
        <f>_xlfn.IFS(AND($AI34=$AM34,$AI34&gt;0,$AM34&gt;0,CC34&gt;0), CC34,     AND(NOT($AI34=$AM34),$AI34&gt;0,$AM34&gt;0,CC34&gt;0), ($AM34*CC34)/$AI34,     AND($AI34=0,$AM34&gt;0,$AQ34&gt;0), IF(INDEX(CC$12:CC$263,MATCH($AQ34,$AP$12:$AP$263,0))&gt;0,($AM34*INDEX(CC$12:CC$263,MATCH($AQ34,$AP$12:$AP$263,0)))/INDEX($AI$12:$AI$263,MATCH($AQ34,$AP$12:$AP$263,0)), "-"),     TRUE, "0")</f>
        <v>0</v>
      </c>
      <c r="CE34" s="607">
        <f>IF(CD$9&gt;0, IF(OR(CD34="",CD34="-"), 0, CD34*$AT34), CC34*$AJ34)</f>
        <v>0</v>
      </c>
      <c r="CF34" s="589">
        <f>[1]COMMANDE!AM32</f>
        <v>0</v>
      </c>
      <c r="CG34" s="586" t="str">
        <f>_xlfn.IFS(AND($AI34=$AM34,$AI34&gt;0,$AM34&gt;0,CF34&gt;0), CF34,     AND(NOT($AI34=$AM34),$AI34&gt;0,$AM34&gt;0,CF34&gt;0), ($AM34*CF34)/$AI34,     AND($AI34=0,$AM34&gt;0,$AQ34&gt;0), IF(INDEX(CF$12:CF$263,MATCH($AQ34,$AP$12:$AP$263,0))&gt;0,($AM34*INDEX(CF$12:CF$263,MATCH($AQ34,$AP$12:$AP$263,0)))/INDEX($AI$12:$AI$263,MATCH($AQ34,$AP$12:$AP$263,0)), "-"),     TRUE, "0")</f>
        <v>0</v>
      </c>
      <c r="CH34" s="588">
        <f>IF(CG$9&gt;0, IF(OR(CG34="",CG34="-"), 0, CG34*$AT34), CF34*$AJ34)</f>
        <v>0</v>
      </c>
      <c r="CI34" s="587">
        <f>[1]COMMANDE!AO32</f>
        <v>0</v>
      </c>
      <c r="CJ34" s="586" t="str">
        <f>_xlfn.IFS(AND($AI34=$AM34,$AI34&gt;0,$AM34&gt;0,CI34&gt;0), CI34,     AND(NOT($AI34=$AM34),$AI34&gt;0,$AM34&gt;0,CI34&gt;0), ($AM34*CI34)/$AI34,     AND($AI34=0,$AM34&gt;0,$AQ34&gt;0), IF(INDEX(CI$12:CI$263,MATCH($AQ34,$AP$12:$AP$263,0))&gt;0,($AM34*INDEX(CI$12:CI$263,MATCH($AQ34,$AP$12:$AP$263,0)))/INDEX($AI$12:$AI$263,MATCH($AQ34,$AP$12:$AP$263,0)), "-"),     TRUE, "0")</f>
        <v>0</v>
      </c>
      <c r="CK34" s="607">
        <f>IF(CJ$9&gt;0, IF(OR(CJ34="",CJ34="-"), 0, CJ34*$AT34), CI34*$AJ34)</f>
        <v>0</v>
      </c>
      <c r="CL34" s="589">
        <f>[1]COMMANDE!AQ32</f>
        <v>0</v>
      </c>
      <c r="CM34" s="586" t="str">
        <f>_xlfn.IFS(AND($AI34=$AM34,$AI34&gt;0,$AM34&gt;0,CL34&gt;0), CL34,     AND(NOT($AI34=$AM34),$AI34&gt;0,$AM34&gt;0,CL34&gt;0), ($AM34*CL34)/$AI34,     AND($AI34=0,$AM34&gt;0,$AQ34&gt;0), IF(INDEX(CL$12:CL$263,MATCH($AQ34,$AP$12:$AP$263,0))&gt;0,($AM34*INDEX(CL$12:CL$263,MATCH($AQ34,$AP$12:$AP$263,0)))/INDEX($AI$12:$AI$263,MATCH($AQ34,$AP$12:$AP$263,0)), "-"),     TRUE, "0")</f>
        <v>0</v>
      </c>
      <c r="CN34" s="588">
        <f>IF(CM$9&gt;0, IF(OR(CM34="",CM34="-"), 0, CM34*$AT34), CL34*$AJ34)</f>
        <v>0</v>
      </c>
      <c r="CO34" s="587">
        <f>[1]COMMANDE!AS32</f>
        <v>0</v>
      </c>
      <c r="CP34" s="586" t="str">
        <f>_xlfn.IFS(AND($AI34=$AM34,$AI34&gt;0,$AM34&gt;0,CO34&gt;0), CO34,     AND(NOT($AI34=$AM34),$AI34&gt;0,$AM34&gt;0,CO34&gt;0), ($AM34*CO34)/$AI34,     AND($AI34=0,$AM34&gt;0,$AQ34&gt;0), IF(INDEX(CO$12:CO$263,MATCH($AQ34,$AP$12:$AP$263,0))&gt;0,($AM34*INDEX(CO$12:CO$263,MATCH($AQ34,$AP$12:$AP$263,0)))/INDEX($AI$12:$AI$263,MATCH($AQ34,$AP$12:$AP$263,0)), "-"),     TRUE, "0")</f>
        <v>0</v>
      </c>
      <c r="CQ34" s="607">
        <f>IF(CP$9&gt;0, IF(OR(CP34="",CP34="-"), 0, CP34*$AT34), CO34*$AJ34)</f>
        <v>0</v>
      </c>
      <c r="CR34" s="589">
        <f>[1]COMMANDE!AU32</f>
        <v>0</v>
      </c>
      <c r="CS34" s="586" t="str">
        <f>_xlfn.IFS(AND($AI34=$AM34,$AI34&gt;0,$AM34&gt;0,CR34&gt;0), CR34,     AND(NOT($AI34=$AM34),$AI34&gt;0,$AM34&gt;0,CR34&gt;0), ($AM34*CR34)/$AI34,     AND($AI34=0,$AM34&gt;0,$AQ34&gt;0), IF(INDEX(CR$12:CR$263,MATCH($AQ34,$AP$12:$AP$263,0))&gt;0,($AM34*INDEX(CR$12:CR$263,MATCH($AQ34,$AP$12:$AP$263,0)))/INDEX($AI$12:$AI$263,MATCH($AQ34,$AP$12:$AP$263,0)), "-"),     TRUE, "0")</f>
        <v>0</v>
      </c>
      <c r="CT34" s="588">
        <f>IF(CS$9&gt;0, IF(OR(CS34="",CS34="-"), 0, CS34*$AT34), CR34*$AJ34)</f>
        <v>0</v>
      </c>
      <c r="CU34" s="587">
        <f>[1]COMMANDE!AW32</f>
        <v>0</v>
      </c>
      <c r="CV34" s="586" t="str">
        <f>_xlfn.IFS(AND($AI34=$AM34,$AI34&gt;0,$AM34&gt;0,CU34&gt;0), CU34,     AND(NOT($AI34=$AM34),$AI34&gt;0,$AM34&gt;0,CU34&gt;0), ($AM34*CU34)/$AI34,     AND($AI34=0,$AM34&gt;0,$AQ34&gt;0), IF(INDEX(CU$12:CU$263,MATCH($AQ34,$AP$12:$AP$263,0))&gt;0,($AM34*INDEX(CU$12:CU$263,MATCH($AQ34,$AP$12:$AP$263,0)))/INDEX($AI$12:$AI$263,MATCH($AQ34,$AP$12:$AP$263,0)), "-"),     TRUE, "0")</f>
        <v>0</v>
      </c>
      <c r="CW34" s="607">
        <f>IF(CV$9&gt;0, IF(OR(CV34="",CV34="-"), 0, CV34*$AT34), CU34*$AJ34)</f>
        <v>0</v>
      </c>
      <c r="CX34" s="589">
        <f>[1]COMMANDE!AY32</f>
        <v>0</v>
      </c>
      <c r="CY34" s="586" t="str">
        <f>_xlfn.IFS(AND($AI34=$AM34,$AI34&gt;0,$AM34&gt;0,CX34&gt;0), CX34,     AND(NOT($AI34=$AM34),$AI34&gt;0,$AM34&gt;0,CX34&gt;0), ($AM34*CX34)/$AI34,     AND($AI34=0,$AM34&gt;0,$AQ34&gt;0), IF(INDEX(CX$12:CX$263,MATCH($AQ34,$AP$12:$AP$263,0))&gt;0,($AM34*INDEX(CX$12:CX$263,MATCH($AQ34,$AP$12:$AP$263,0)))/INDEX($AI$12:$AI$263,MATCH($AQ34,$AP$12:$AP$263,0)), "-"),     TRUE, "0")</f>
        <v>0</v>
      </c>
      <c r="CZ34" s="588">
        <f>IF(CY$9&gt;0, IF(OR(CY34="",CY34="-"), 0, CY34*$AT34), CX34*$AJ34)</f>
        <v>0</v>
      </c>
      <c r="DA34" s="587">
        <f>[1]COMMANDE!BA32</f>
        <v>0</v>
      </c>
      <c r="DB34" s="586" t="str">
        <f>_xlfn.IFS(AND($AI34=$AM34,$AI34&gt;0,$AM34&gt;0,DA34&gt;0), DA34,     AND(NOT($AI34=$AM34),$AI34&gt;0,$AM34&gt;0,DA34&gt;0), ($AM34*DA34)/$AI34,     AND($AI34=0,$AM34&gt;0,$AQ34&gt;0), IF(INDEX(DA$12:DA$263,MATCH($AQ34,$AP$12:$AP$263,0))&gt;0,($AM34*INDEX(DA$12:DA$263,MATCH($AQ34,$AP$12:$AP$263,0)))/INDEX($AI$12:$AI$263,MATCH($AQ34,$AP$12:$AP$263,0)), "-"),     TRUE, "0")</f>
        <v>0</v>
      </c>
      <c r="DC34" s="606">
        <f>IF(DB$9&gt;0, IF(OR(DB34="",DB34="-"), 0, DB34*$AT34), DA34*$AJ34)</f>
        <v>0</v>
      </c>
      <c r="DD34" s="584"/>
      <c r="DE34" s="583"/>
    </row>
    <row r="35" spans="1:109" ht="39.950000000000003" hidden="1" customHeight="1">
      <c r="A35" s="604">
        <f>IF(OR($AV35&gt;0, $AX35&gt;0), 1, 0)</f>
        <v>0</v>
      </c>
      <c r="B35" s="604">
        <f>IF(OR($AY35&gt;0, $BA35&gt;0), 1, 0)</f>
        <v>0</v>
      </c>
      <c r="C35" s="604">
        <f>IF(OR($BB35&gt;0, $BD35&gt;0), 1, 0)</f>
        <v>0</v>
      </c>
      <c r="D35" s="604">
        <f>IF(OR($BE35&gt;0, $BG35&gt;0), 1, 0)</f>
        <v>0</v>
      </c>
      <c r="E35" s="604">
        <f>IF(OR($BH35&gt;0, $BJ35&gt;0), 1, 0)</f>
        <v>0</v>
      </c>
      <c r="F35" s="604">
        <f>IF(OR($BK35&gt;0, $BM35&gt;0), 1, 0)</f>
        <v>0</v>
      </c>
      <c r="G35" s="604">
        <f>IF(OR($BN35&gt;0, $BP35&gt;0), 1, 0)</f>
        <v>0</v>
      </c>
      <c r="H35" s="604">
        <f>IF(OR($BQ35&gt;0, $BS35&gt;0), 1, 0)</f>
        <v>0</v>
      </c>
      <c r="I35" s="604">
        <f>IF(OR($BT35&gt;0, $BV35&gt;0), 1, 0)</f>
        <v>0</v>
      </c>
      <c r="J35" s="604">
        <f>IF(OR($BW35&gt;0, $BY35&gt;0), 1, 0)</f>
        <v>0</v>
      </c>
      <c r="K35" s="604">
        <f>IF(OR($BZ35&gt;0, $CB35&gt;0), 1, 0)</f>
        <v>0</v>
      </c>
      <c r="L35" s="604">
        <f>IF(OR($CC35&gt;0, $CE35&gt;0), 1, 0)</f>
        <v>0</v>
      </c>
      <c r="M35" s="604">
        <f>IF(OR($CF35&gt;0, $CH35&gt;0), 1, 0)</f>
        <v>0</v>
      </c>
      <c r="N35" s="604">
        <f>IF(OR($CI35&gt;0, $CK35&gt;0), 1, 0)</f>
        <v>0</v>
      </c>
      <c r="O35" s="604">
        <f>IF(OR($CL35&gt;0, $CN35&gt;0), 1, 0)</f>
        <v>0</v>
      </c>
      <c r="P35" s="604">
        <f>IF(OR($CO35&gt;0, $CQ35&gt;0), 1, 0)</f>
        <v>0</v>
      </c>
      <c r="Q35" s="604">
        <f>IF(OR($CR35&gt;0, $CT35&gt;0), 1, 0)</f>
        <v>0</v>
      </c>
      <c r="R35" s="604">
        <f>IF(OR($CU35&gt;0, $CW35&gt;0), 1, 0)</f>
        <v>0</v>
      </c>
      <c r="S35" s="604">
        <f>IF(OR($CX35&gt;0, $CZ35&gt;0), 1, 0)</f>
        <v>0</v>
      </c>
      <c r="T35" s="604">
        <f>IF(OR($DA35&gt;0, $DC35&gt;0), 1, 0)</f>
        <v>0</v>
      </c>
      <c r="U35" s="603">
        <f>IF(OR($AI35&gt;0,$AM35&gt;0,$AS35&gt;0), 1, 0)</f>
        <v>0</v>
      </c>
      <c r="V35" s="602" t="str">
        <f>[1]BDD!A25</f>
        <v>3944-3267</v>
      </c>
      <c r="W35" s="601" t="str">
        <f>[1]BDD!B25</f>
        <v>Avocat Bacon/Fuerte cocktail (petit calibre)</v>
      </c>
      <c r="X35" s="600" t="str">
        <f>IF([1]BDD!F25=0, "", [1]BDD!F25)</f>
        <v/>
      </c>
      <c r="Y35" s="542">
        <f>ROUND([1]BDD!G25+FDP_CMD_KG, 2)</f>
        <v>7.69</v>
      </c>
      <c r="Z35" s="542">
        <f>ROUND([1]BDD!G25+FDP_FACT_KG, 2)</f>
        <v>7.69</v>
      </c>
      <c r="AA35" s="543" t="str">
        <f>[1]BDD!H25</f>
        <v>kg</v>
      </c>
      <c r="AB35" s="544">
        <f>IF(NOT(ISBLANK([1]BDD!I25)), ROUND(SUM(([1]BDD!G25*reduc1),FDP_CMD_KG), 2), "")</f>
        <v>7.01</v>
      </c>
      <c r="AC35" s="544" t="str">
        <f>IF(NOT(ISBLANK([1]BDD!J25)), ROUND(SUM(([1]BDD!G25*reduc2),FDP_CMD_KG), 2), "")</f>
        <v/>
      </c>
      <c r="AD35" s="544" t="str">
        <f>IF(NOT(ISBLANK([1]BDD!K25)), ROUND(SUM(([1]BDD!G25*reduc3),FDP_CMD_KG), 2), "")</f>
        <v/>
      </c>
      <c r="AE35" s="544">
        <f>IF(NOT(ISBLANK([1]BDD!I25)), ROUND(SUM(([1]BDD!G25*reduc1),FDP_FACT_KG), 2), "")</f>
        <v>7</v>
      </c>
      <c r="AF35" s="544" t="str">
        <f>IF(NOT(ISBLANK([1]BDD!J25)), ROUND(SUM(([1]BDD!G25*reduc2),FDP_FACT_KG), 2), "")</f>
        <v/>
      </c>
      <c r="AG35" s="544" t="str">
        <f>IF(NOT(ISBLANK([1]BDD!K25)), ROUND(SUM(([1]BDD!G25*reduc3),FDP_FACT_KG), 2), "")</f>
        <v/>
      </c>
      <c r="AH35" s="599" t="str">
        <f>[1]BDD!C25</f>
        <v>Grenade</v>
      </c>
      <c r="AI35" s="598">
        <f>SUM(AV35,AY35,BB35,BE35,BH35,BK35,BN35,BQ35,BT35,BW35,BZ35,CC35,CF35,CI35,CL35,CO35,CR35,CU35,CX35,DA35)</f>
        <v>0</v>
      </c>
      <c r="AJ35" s="545">
        <f>_xlfn.IFS($AD35&lt;&gt;"", $AD35,    $AC35&lt;&gt;"", $AC35,    $AB35&lt;&gt;"", $AB35,    TRUE, $Y35)</f>
        <v>7.01</v>
      </c>
      <c r="AK35" s="592">
        <f>$AI35*$AJ35</f>
        <v>0</v>
      </c>
      <c r="AL35" s="594"/>
      <c r="AM35" s="597"/>
      <c r="AN35" s="545">
        <f>_xlfn.IFS(AND(AM35&gt;=60,$AG35&lt;&gt;""), $AG35,    AND(AM35&gt;=30,$AF35&lt;&gt;""), $AF35,    AND(AM35&gt;=10,$AE35&lt;&gt;""), $AE35,    TRUE, $Z35)</f>
        <v>7.69</v>
      </c>
      <c r="AO35" s="596">
        <f>AM35*AN35</f>
        <v>0</v>
      </c>
      <c r="AP35" s="595"/>
      <c r="AQ35" s="595"/>
      <c r="AR35" s="594"/>
      <c r="AS35" s="593">
        <f>SUM(AW35,AZ35,BC35,BF35,BI35,BL35,BO35,BR35,BU35,BX35,CA35,CD35,CG35,CJ35,CM35,CP35,CS35,CV35,CY35,DB35)</f>
        <v>0</v>
      </c>
      <c r="AT35" s="545">
        <f>_xlfn.IFS(AND(AS35&gt;=60,$AG35&lt;&gt;""), $AG35,    AND(AS35&gt;=30,$AF35&lt;&gt;""), $AF35,    AND(AS35&gt;=10,$AE35&lt;&gt;""), $AE35,    TRUE, $Z35)</f>
        <v>7.69</v>
      </c>
      <c r="AU35" s="592">
        <f>$AS35*$AT35</f>
        <v>0</v>
      </c>
      <c r="AV35" s="591">
        <f>[1]COMMANDE!O33</f>
        <v>0</v>
      </c>
      <c r="AW35" s="586" t="str">
        <f>_xlfn.IFS(AND($AI35=$AM35,$AI35&gt;0,$AM35&gt;0,AV35&gt;0), AV35,     AND(NOT($AI35=$AM35),$AI35&gt;0,$AM35&gt;0,AV35&gt;0), ($AM35*AV35)/$AI35,     AND($AI35=0,$AM35&gt;0,$AQ35&gt;0), IF(INDEX(AV$12:AV$263,MATCH($AQ35,$AP$12:$AP$263,0))&gt;0,($AM35*INDEX(AV$12:AV$263,MATCH($AQ35,$AP$12:$AP$263,0)))/INDEX($AI$12:$AI$263,MATCH($AQ35,$AP$12:$AP$263,0)), "-"),     TRUE, "0")</f>
        <v>0</v>
      </c>
      <c r="AX35" s="588">
        <f>IF(AW$9&gt;0, IF(OR(AW35="",AW35="-"), 0, AW35*$AT35), AV35*$AJ35)</f>
        <v>0</v>
      </c>
      <c r="AY35" s="587">
        <f>[1]COMMANDE!Q33</f>
        <v>0</v>
      </c>
      <c r="AZ35" s="586" t="str">
        <f>_xlfn.IFS(AND($AI35=$AM35,$AI35&gt;0,$AM35&gt;0,AY35&gt;0), AY35,     AND(NOT($AI35=$AM35),$AI35&gt;0,$AM35&gt;0,AY35&gt;0), ($AM35*AY35)/$AI35,     AND($AI35=0,$AM35&gt;0,$AQ35&gt;0), IF(INDEX(AY$12:AY$263,MATCH($AQ35,$AP$12:$AP$263,0))&gt;0,($AM35*INDEX(AY$12:AY$263,MATCH($AQ35,$AP$12:$AP$263,0)))/INDEX($AI$12:$AI$263,MATCH($AQ35,$AP$12:$AP$263,0)), "-"),     TRUE, "0")</f>
        <v>0</v>
      </c>
      <c r="BA35" s="607">
        <f>IF(AZ$9&gt;0, IF(OR(AZ35="",AZ35="-"), 0, AZ35*$AT35), AY35*$AJ35)</f>
        <v>0</v>
      </c>
      <c r="BB35" s="589">
        <f>[1]COMMANDE!S33</f>
        <v>0</v>
      </c>
      <c r="BC35" s="586" t="str">
        <f>_xlfn.IFS(AND($AI35=$AM35,$AI35&gt;0,$AM35&gt;0,BB35&gt;0), BB35,     AND(NOT($AI35=$AM35),$AI35&gt;0,$AM35&gt;0,BB35&gt;0), ($AM35*BB35)/$AI35,     AND($AI35=0,$AM35&gt;0,$AQ35&gt;0), IF(INDEX(BB$12:BB$263,MATCH($AQ35,$AP$12:$AP$263,0))&gt;0,($AM35*INDEX(BB$12:BB$263,MATCH($AQ35,$AP$12:$AP$263,0)))/INDEX($AI$12:$AI$263,MATCH($AQ35,$AP$12:$AP$263,0)), "-"),     TRUE, "0")</f>
        <v>0</v>
      </c>
      <c r="BD35" s="588">
        <f>IF(BC$9&gt;0, IF(OR(BC35="",BC35="-"), 0, BC35*$AT35), BB35*$AJ35)</f>
        <v>0</v>
      </c>
      <c r="BE35" s="587">
        <f>[1]COMMANDE!U33</f>
        <v>0</v>
      </c>
      <c r="BF35" s="586" t="str">
        <f>_xlfn.IFS(AND($AI35=$AM35,$AI35&gt;0,$AM35&gt;0,BE35&gt;0), BE35,     AND(NOT($AI35=$AM35),$AI35&gt;0,$AM35&gt;0,BE35&gt;0), ($AM35*BE35)/$AI35,     AND($AI35=0,$AM35&gt;0,$AQ35&gt;0), IF(INDEX(BE$12:BE$263,MATCH($AQ35,$AP$12:$AP$263,0))&gt;0,($AM35*INDEX(BE$12:BE$263,MATCH($AQ35,$AP$12:$AP$263,0)))/INDEX($AI$12:$AI$263,MATCH($AQ35,$AP$12:$AP$263,0)), "-"),     TRUE, "0")</f>
        <v>0</v>
      </c>
      <c r="BG35" s="607">
        <f>IF(BF$9&gt;0, IF(OR(BF35="",BF35="-"), 0, BF35*$AT35), BE35*$AJ35)</f>
        <v>0</v>
      </c>
      <c r="BH35" s="589">
        <f>[1]COMMANDE!W33</f>
        <v>0</v>
      </c>
      <c r="BI35" s="586" t="str">
        <f>_xlfn.IFS(AND($AI35=$AM35,$AI35&gt;0,$AM35&gt;0,BH35&gt;0), BH35,     AND(NOT($AI35=$AM35),$AI35&gt;0,$AM35&gt;0,BH35&gt;0), ($AM35*BH35)/$AI35,     AND($AI35=0,$AM35&gt;0,$AQ35&gt;0), IF(INDEX(BH$12:BH$263,MATCH($AQ35,$AP$12:$AP$263,0))&gt;0,($AM35*INDEX(BH$12:BH$263,MATCH($AQ35,$AP$12:$AP$263,0)))/INDEX($AI$12:$AI$263,MATCH($AQ35,$AP$12:$AP$263,0)), "-"),     TRUE, "0")</f>
        <v>0</v>
      </c>
      <c r="BJ35" s="588">
        <f>IF(BI$9&gt;0, IF(OR(BI35="",BI35="-"), 0, BI35*$AT35), BH35*$AJ35)</f>
        <v>0</v>
      </c>
      <c r="BK35" s="587">
        <f>[1]COMMANDE!Y33</f>
        <v>0</v>
      </c>
      <c r="BL35" s="586" t="str">
        <f>_xlfn.IFS(AND($AI35=$AM35,$AI35&gt;0,$AM35&gt;0,BK35&gt;0), BK35,     AND(NOT($AI35=$AM35),$AI35&gt;0,$AM35&gt;0,BK35&gt;0), ($AM35*BK35)/$AI35,     AND($AI35=0,$AM35&gt;0,$AQ35&gt;0), IF(INDEX(BK$12:BK$263,MATCH($AQ35,$AP$12:$AP$263,0))&gt;0,($AM35*INDEX(BK$12:BK$263,MATCH($AQ35,$AP$12:$AP$263,0)))/INDEX($AI$12:$AI$263,MATCH($AQ35,$AP$12:$AP$263,0)), "-"),     TRUE, "0")</f>
        <v>0</v>
      </c>
      <c r="BM35" s="607">
        <f>IF(BL$9&gt;0, IF(OR(BL35="",BL35="-"), 0, BL35*$AT35), BK35*$AJ35)</f>
        <v>0</v>
      </c>
      <c r="BN35" s="589">
        <f>[1]COMMANDE!AA33</f>
        <v>0</v>
      </c>
      <c r="BO35" s="586" t="str">
        <f>_xlfn.IFS(AND($AI35=$AM35,$AI35&gt;0,$AM35&gt;0,BN35&gt;0), BN35,     AND(NOT($AI35=$AM35),$AI35&gt;0,$AM35&gt;0,BN35&gt;0), ($AM35*BN35)/$AI35,     AND($AI35=0,$AM35&gt;0,$AQ35&gt;0), IF(INDEX(BN$12:BN$263,MATCH($AQ35,$AP$12:$AP$263,0))&gt;0,($AM35*INDEX(BN$12:BN$263,MATCH($AQ35,$AP$12:$AP$263,0)))/INDEX($AI$12:$AI$263,MATCH($AQ35,$AP$12:$AP$263,0)), "-"),     TRUE, "0")</f>
        <v>0</v>
      </c>
      <c r="BP35" s="588">
        <f>IF(BO$9&gt;0, IF(OR(BO35="",BO35="-"), 0, BO35*$AT35), BN35*$AJ35)</f>
        <v>0</v>
      </c>
      <c r="BQ35" s="587">
        <f>[1]COMMANDE!AC33</f>
        <v>0</v>
      </c>
      <c r="BR35" s="586" t="str">
        <f>_xlfn.IFS(AND($AI35=$AM35,$AI35&gt;0,$AM35&gt;0,BQ35&gt;0), BQ35,     AND(NOT($AI35=$AM35),$AI35&gt;0,$AM35&gt;0,BQ35&gt;0), ($AM35*BQ35)/$AI35,     AND($AI35=0,$AM35&gt;0,$AQ35&gt;0), IF(INDEX(BQ$12:BQ$263,MATCH($AQ35,$AP$12:$AP$263,0))&gt;0,($AM35*INDEX(BQ$12:BQ$263,MATCH($AQ35,$AP$12:$AP$263,0)))/INDEX($AI$12:$AI$263,MATCH($AQ35,$AP$12:$AP$263,0)), "-"),     TRUE, "0")</f>
        <v>0</v>
      </c>
      <c r="BS35" s="607">
        <f>IF(BR$9&gt;0, IF(OR(BR35="",BR35="-"), 0, BR35*$AT35), BQ35*$AJ35)</f>
        <v>0</v>
      </c>
      <c r="BT35" s="589">
        <f>[1]COMMANDE!AE33</f>
        <v>0</v>
      </c>
      <c r="BU35" s="586" t="str">
        <f>_xlfn.IFS(AND($AI35=$AM35,$AI35&gt;0,$AM35&gt;0,BT35&gt;0), BT35,     AND(NOT($AI35=$AM35),$AI35&gt;0,$AM35&gt;0,BT35&gt;0), ($AM35*BT35)/$AI35,     AND($AI35=0,$AM35&gt;0,$AQ35&gt;0), IF(INDEX(BT$12:BT$263,MATCH($AQ35,$AP$12:$AP$263,0))&gt;0,($AM35*INDEX(BT$12:BT$263,MATCH($AQ35,$AP$12:$AP$263,0)))/INDEX($AI$12:$AI$263,MATCH($AQ35,$AP$12:$AP$263,0)), "-"),     TRUE, "0")</f>
        <v>0</v>
      </c>
      <c r="BV35" s="588">
        <f>IF(BU$9&gt;0, IF(OR(BU35="",BU35="-"), 0, BU35*$AT35), BT35*$AJ35)</f>
        <v>0</v>
      </c>
      <c r="BW35" s="587">
        <f>[1]COMMANDE!AG33</f>
        <v>0</v>
      </c>
      <c r="BX35" s="586" t="str">
        <f>_xlfn.IFS(AND($AI35=$AM35,$AI35&gt;0,$AM35&gt;0,BW35&gt;0), BW35,     AND(NOT($AI35=$AM35),$AI35&gt;0,$AM35&gt;0,BW35&gt;0), ($AM35*BW35)/$AI35,     AND($AI35=0,$AM35&gt;0,$AQ35&gt;0), IF(INDEX(BW$12:BW$263,MATCH($AQ35,$AP$12:$AP$263,0))&gt;0,($AM35*INDEX(BW$12:BW$263,MATCH($AQ35,$AP$12:$AP$263,0)))/INDEX($AI$12:$AI$263,MATCH($AQ35,$AP$12:$AP$263,0)), "-"),     TRUE, "0")</f>
        <v>0</v>
      </c>
      <c r="BY35" s="607">
        <f>IF(BX$9&gt;0, IF(OR(BX35="",BX35="-"), 0, BX35*$AT35), BW35*$AJ35)</f>
        <v>0</v>
      </c>
      <c r="BZ35" s="589">
        <f>[1]COMMANDE!AI33</f>
        <v>0</v>
      </c>
      <c r="CA35" s="586" t="str">
        <f>_xlfn.IFS(AND($AI35=$AM35,$AI35&gt;0,$AM35&gt;0,BZ35&gt;0), BZ35,     AND(NOT($AI35=$AM35),$AI35&gt;0,$AM35&gt;0,BZ35&gt;0), ($AM35*BZ35)/$AI35,     AND($AI35=0,$AM35&gt;0,$AQ35&gt;0), IF(INDEX(BZ$12:BZ$263,MATCH($AQ35,$AP$12:$AP$263,0))&gt;0,($AM35*INDEX(BZ$12:BZ$263,MATCH($AQ35,$AP$12:$AP$263,0)))/INDEX($AI$12:$AI$263,MATCH($AQ35,$AP$12:$AP$263,0)), "-"),     TRUE, "0")</f>
        <v>0</v>
      </c>
      <c r="CB35" s="588">
        <f>IF(CA$9&gt;0, IF(OR(CA35="",CA35="-"), 0, CA35*$AT35), BZ35*$AJ35)</f>
        <v>0</v>
      </c>
      <c r="CC35" s="587">
        <f>[1]COMMANDE!AK33</f>
        <v>0</v>
      </c>
      <c r="CD35" s="586" t="str">
        <f>_xlfn.IFS(AND($AI35=$AM35,$AI35&gt;0,$AM35&gt;0,CC35&gt;0), CC35,     AND(NOT($AI35=$AM35),$AI35&gt;0,$AM35&gt;0,CC35&gt;0), ($AM35*CC35)/$AI35,     AND($AI35=0,$AM35&gt;0,$AQ35&gt;0), IF(INDEX(CC$12:CC$263,MATCH($AQ35,$AP$12:$AP$263,0))&gt;0,($AM35*INDEX(CC$12:CC$263,MATCH($AQ35,$AP$12:$AP$263,0)))/INDEX($AI$12:$AI$263,MATCH($AQ35,$AP$12:$AP$263,0)), "-"),     TRUE, "0")</f>
        <v>0</v>
      </c>
      <c r="CE35" s="607">
        <f>IF(CD$9&gt;0, IF(OR(CD35="",CD35="-"), 0, CD35*$AT35), CC35*$AJ35)</f>
        <v>0</v>
      </c>
      <c r="CF35" s="589">
        <f>[1]COMMANDE!AM33</f>
        <v>0</v>
      </c>
      <c r="CG35" s="586" t="str">
        <f>_xlfn.IFS(AND($AI35=$AM35,$AI35&gt;0,$AM35&gt;0,CF35&gt;0), CF35,     AND(NOT($AI35=$AM35),$AI35&gt;0,$AM35&gt;0,CF35&gt;0), ($AM35*CF35)/$AI35,     AND($AI35=0,$AM35&gt;0,$AQ35&gt;0), IF(INDEX(CF$12:CF$263,MATCH($AQ35,$AP$12:$AP$263,0))&gt;0,($AM35*INDEX(CF$12:CF$263,MATCH($AQ35,$AP$12:$AP$263,0)))/INDEX($AI$12:$AI$263,MATCH($AQ35,$AP$12:$AP$263,0)), "-"),     TRUE, "0")</f>
        <v>0</v>
      </c>
      <c r="CH35" s="588">
        <f>IF(CG$9&gt;0, IF(OR(CG35="",CG35="-"), 0, CG35*$AT35), CF35*$AJ35)</f>
        <v>0</v>
      </c>
      <c r="CI35" s="587">
        <f>[1]COMMANDE!AO33</f>
        <v>0</v>
      </c>
      <c r="CJ35" s="586" t="str">
        <f>_xlfn.IFS(AND($AI35=$AM35,$AI35&gt;0,$AM35&gt;0,CI35&gt;0), CI35,     AND(NOT($AI35=$AM35),$AI35&gt;0,$AM35&gt;0,CI35&gt;0), ($AM35*CI35)/$AI35,     AND($AI35=0,$AM35&gt;0,$AQ35&gt;0), IF(INDEX(CI$12:CI$263,MATCH($AQ35,$AP$12:$AP$263,0))&gt;0,($AM35*INDEX(CI$12:CI$263,MATCH($AQ35,$AP$12:$AP$263,0)))/INDEX($AI$12:$AI$263,MATCH($AQ35,$AP$12:$AP$263,0)), "-"),     TRUE, "0")</f>
        <v>0</v>
      </c>
      <c r="CK35" s="607">
        <f>IF(CJ$9&gt;0, IF(OR(CJ35="",CJ35="-"), 0, CJ35*$AT35), CI35*$AJ35)</f>
        <v>0</v>
      </c>
      <c r="CL35" s="589">
        <f>[1]COMMANDE!AQ33</f>
        <v>0</v>
      </c>
      <c r="CM35" s="586" t="str">
        <f>_xlfn.IFS(AND($AI35=$AM35,$AI35&gt;0,$AM35&gt;0,CL35&gt;0), CL35,     AND(NOT($AI35=$AM35),$AI35&gt;0,$AM35&gt;0,CL35&gt;0), ($AM35*CL35)/$AI35,     AND($AI35=0,$AM35&gt;0,$AQ35&gt;0), IF(INDEX(CL$12:CL$263,MATCH($AQ35,$AP$12:$AP$263,0))&gt;0,($AM35*INDEX(CL$12:CL$263,MATCH($AQ35,$AP$12:$AP$263,0)))/INDEX($AI$12:$AI$263,MATCH($AQ35,$AP$12:$AP$263,0)), "-"),     TRUE, "0")</f>
        <v>0</v>
      </c>
      <c r="CN35" s="588">
        <f>IF(CM$9&gt;0, IF(OR(CM35="",CM35="-"), 0, CM35*$AT35), CL35*$AJ35)</f>
        <v>0</v>
      </c>
      <c r="CO35" s="587">
        <f>[1]COMMANDE!AS33</f>
        <v>0</v>
      </c>
      <c r="CP35" s="586" t="str">
        <f>_xlfn.IFS(AND($AI35=$AM35,$AI35&gt;0,$AM35&gt;0,CO35&gt;0), CO35,     AND(NOT($AI35=$AM35),$AI35&gt;0,$AM35&gt;0,CO35&gt;0), ($AM35*CO35)/$AI35,     AND($AI35=0,$AM35&gt;0,$AQ35&gt;0), IF(INDEX(CO$12:CO$263,MATCH($AQ35,$AP$12:$AP$263,0))&gt;0,($AM35*INDEX(CO$12:CO$263,MATCH($AQ35,$AP$12:$AP$263,0)))/INDEX($AI$12:$AI$263,MATCH($AQ35,$AP$12:$AP$263,0)), "-"),     TRUE, "0")</f>
        <v>0</v>
      </c>
      <c r="CQ35" s="607">
        <f>IF(CP$9&gt;0, IF(OR(CP35="",CP35="-"), 0, CP35*$AT35), CO35*$AJ35)</f>
        <v>0</v>
      </c>
      <c r="CR35" s="589">
        <f>[1]COMMANDE!AU33</f>
        <v>0</v>
      </c>
      <c r="CS35" s="586" t="str">
        <f>_xlfn.IFS(AND($AI35=$AM35,$AI35&gt;0,$AM35&gt;0,CR35&gt;0), CR35,     AND(NOT($AI35=$AM35),$AI35&gt;0,$AM35&gt;0,CR35&gt;0), ($AM35*CR35)/$AI35,     AND($AI35=0,$AM35&gt;0,$AQ35&gt;0), IF(INDEX(CR$12:CR$263,MATCH($AQ35,$AP$12:$AP$263,0))&gt;0,($AM35*INDEX(CR$12:CR$263,MATCH($AQ35,$AP$12:$AP$263,0)))/INDEX($AI$12:$AI$263,MATCH($AQ35,$AP$12:$AP$263,0)), "-"),     TRUE, "0")</f>
        <v>0</v>
      </c>
      <c r="CT35" s="588">
        <f>IF(CS$9&gt;0, IF(OR(CS35="",CS35="-"), 0, CS35*$AT35), CR35*$AJ35)</f>
        <v>0</v>
      </c>
      <c r="CU35" s="587">
        <f>[1]COMMANDE!AW33</f>
        <v>0</v>
      </c>
      <c r="CV35" s="586" t="str">
        <f>_xlfn.IFS(AND($AI35=$AM35,$AI35&gt;0,$AM35&gt;0,CU35&gt;0), CU35,     AND(NOT($AI35=$AM35),$AI35&gt;0,$AM35&gt;0,CU35&gt;0), ($AM35*CU35)/$AI35,     AND($AI35=0,$AM35&gt;0,$AQ35&gt;0), IF(INDEX(CU$12:CU$263,MATCH($AQ35,$AP$12:$AP$263,0))&gt;0,($AM35*INDEX(CU$12:CU$263,MATCH($AQ35,$AP$12:$AP$263,0)))/INDEX($AI$12:$AI$263,MATCH($AQ35,$AP$12:$AP$263,0)), "-"),     TRUE, "0")</f>
        <v>0</v>
      </c>
      <c r="CW35" s="607">
        <f>IF(CV$9&gt;0, IF(OR(CV35="",CV35="-"), 0, CV35*$AT35), CU35*$AJ35)</f>
        <v>0</v>
      </c>
      <c r="CX35" s="589">
        <f>[1]COMMANDE!AY33</f>
        <v>0</v>
      </c>
      <c r="CY35" s="586" t="str">
        <f>_xlfn.IFS(AND($AI35=$AM35,$AI35&gt;0,$AM35&gt;0,CX35&gt;0), CX35,     AND(NOT($AI35=$AM35),$AI35&gt;0,$AM35&gt;0,CX35&gt;0), ($AM35*CX35)/$AI35,     AND($AI35=0,$AM35&gt;0,$AQ35&gt;0), IF(INDEX(CX$12:CX$263,MATCH($AQ35,$AP$12:$AP$263,0))&gt;0,($AM35*INDEX(CX$12:CX$263,MATCH($AQ35,$AP$12:$AP$263,0)))/INDEX($AI$12:$AI$263,MATCH($AQ35,$AP$12:$AP$263,0)), "-"),     TRUE, "0")</f>
        <v>0</v>
      </c>
      <c r="CZ35" s="588">
        <f>IF(CY$9&gt;0, IF(OR(CY35="",CY35="-"), 0, CY35*$AT35), CX35*$AJ35)</f>
        <v>0</v>
      </c>
      <c r="DA35" s="587">
        <f>[1]COMMANDE!BA33</f>
        <v>0</v>
      </c>
      <c r="DB35" s="586" t="str">
        <f>_xlfn.IFS(AND($AI35=$AM35,$AI35&gt;0,$AM35&gt;0,DA35&gt;0), DA35,     AND(NOT($AI35=$AM35),$AI35&gt;0,$AM35&gt;0,DA35&gt;0), ($AM35*DA35)/$AI35,     AND($AI35=0,$AM35&gt;0,$AQ35&gt;0), IF(INDEX(DA$12:DA$263,MATCH($AQ35,$AP$12:$AP$263,0))&gt;0,($AM35*INDEX(DA$12:DA$263,MATCH($AQ35,$AP$12:$AP$263,0)))/INDEX($AI$12:$AI$263,MATCH($AQ35,$AP$12:$AP$263,0)), "-"),     TRUE, "0")</f>
        <v>0</v>
      </c>
      <c r="DC35" s="606">
        <f>IF(DB$9&gt;0, IF(OR(DB35="",DB35="-"), 0, DB35*$AT35), DA35*$AJ35)</f>
        <v>0</v>
      </c>
      <c r="DD35" s="584"/>
      <c r="DE35" s="583"/>
    </row>
    <row r="36" spans="1:109" ht="39.950000000000003" hidden="1" customHeight="1">
      <c r="A36" s="604">
        <f>IF(OR($AV36&gt;0, $AX36&gt;0), 1, 0)</f>
        <v>0</v>
      </c>
      <c r="B36" s="604">
        <f>IF(OR($AY36&gt;0, $BA36&gt;0), 1, 0)</f>
        <v>0</v>
      </c>
      <c r="C36" s="604">
        <f>IF(OR($BB36&gt;0, $BD36&gt;0), 1, 0)</f>
        <v>0</v>
      </c>
      <c r="D36" s="604">
        <f>IF(OR($BE36&gt;0, $BG36&gt;0), 1, 0)</f>
        <v>0</v>
      </c>
      <c r="E36" s="604">
        <f>IF(OR($BH36&gt;0, $BJ36&gt;0), 1, 0)</f>
        <v>0</v>
      </c>
      <c r="F36" s="604">
        <f>IF(OR($BK36&gt;0, $BM36&gt;0), 1, 0)</f>
        <v>0</v>
      </c>
      <c r="G36" s="604">
        <f>IF(OR($BN36&gt;0, $BP36&gt;0), 1, 0)</f>
        <v>0</v>
      </c>
      <c r="H36" s="604">
        <f>IF(OR($BQ36&gt;0, $BS36&gt;0), 1, 0)</f>
        <v>0</v>
      </c>
      <c r="I36" s="604">
        <f>IF(OR($BT36&gt;0, $BV36&gt;0), 1, 0)</f>
        <v>0</v>
      </c>
      <c r="J36" s="604">
        <f>IF(OR($BW36&gt;0, $BY36&gt;0), 1, 0)</f>
        <v>0</v>
      </c>
      <c r="K36" s="604">
        <f>IF(OR($BZ36&gt;0, $CB36&gt;0), 1, 0)</f>
        <v>0</v>
      </c>
      <c r="L36" s="604">
        <f>IF(OR($CC36&gt;0, $CE36&gt;0), 1, 0)</f>
        <v>0</v>
      </c>
      <c r="M36" s="604">
        <f>IF(OR($CF36&gt;0, $CH36&gt;0), 1, 0)</f>
        <v>0</v>
      </c>
      <c r="N36" s="604">
        <f>IF(OR($CI36&gt;0, $CK36&gt;0), 1, 0)</f>
        <v>0</v>
      </c>
      <c r="O36" s="604">
        <f>IF(OR($CL36&gt;0, $CN36&gt;0), 1, 0)</f>
        <v>0</v>
      </c>
      <c r="P36" s="604">
        <f>IF(OR($CO36&gt;0, $CQ36&gt;0), 1, 0)</f>
        <v>0</v>
      </c>
      <c r="Q36" s="604">
        <f>IF(OR($CR36&gt;0, $CT36&gt;0), 1, 0)</f>
        <v>0</v>
      </c>
      <c r="R36" s="604">
        <f>IF(OR($CU36&gt;0, $CW36&gt;0), 1, 0)</f>
        <v>0</v>
      </c>
      <c r="S36" s="604">
        <f>IF(OR($CX36&gt;0, $CZ36&gt;0), 1, 0)</f>
        <v>0</v>
      </c>
      <c r="T36" s="604">
        <f>IF(OR($DA36&gt;0, $DC36&gt;0), 1, 0)</f>
        <v>0</v>
      </c>
      <c r="U36" s="603">
        <f>IF(OR($AI36&gt;0,$AM36&gt;0,$AS36&gt;0), 1, 0)</f>
        <v>0</v>
      </c>
      <c r="V36" s="602">
        <f>[1]BDD!A26</f>
        <v>3048</v>
      </c>
      <c r="W36" s="601" t="str">
        <f>[1]BDD!B26</f>
        <v>Avocat Fuerte</v>
      </c>
      <c r="X36" s="600" t="str">
        <f>IF([1]BDD!F26=0, "", [1]BDD!F26)</f>
        <v>❤️</v>
      </c>
      <c r="Y36" s="542">
        <f>ROUND([1]BDD!G26+FDP_CMD_KG, 2)</f>
        <v>6.32</v>
      </c>
      <c r="Z36" s="542">
        <f>ROUND([1]BDD!G26+FDP_FACT_KG, 2)</f>
        <v>6.32</v>
      </c>
      <c r="AA36" s="543" t="str">
        <f>[1]BDD!H26</f>
        <v>kg</v>
      </c>
      <c r="AB36" s="544">
        <f>IF(NOT(ISBLANK([1]BDD!I26)), ROUND(SUM(([1]BDD!G26*reduc1),FDP_CMD_KG), 2), "")</f>
        <v>5.78</v>
      </c>
      <c r="AC36" s="544">
        <f>IF(NOT(ISBLANK([1]BDD!J26)), ROUND(SUM(([1]BDD!G26*reduc2),FDP_CMD_KG), 2), "")</f>
        <v>5.23</v>
      </c>
      <c r="AD36" s="544" t="str">
        <f>IF(NOT(ISBLANK([1]BDD!K26)), ROUND(SUM(([1]BDD!G26*reduc3),FDP_CMD_KG), 2), "")</f>
        <v/>
      </c>
      <c r="AE36" s="544">
        <f>IF(NOT(ISBLANK([1]BDD!I26)), ROUND(SUM(([1]BDD!G26*reduc1),FDP_FACT_KG), 2), "")</f>
        <v>5.77</v>
      </c>
      <c r="AF36" s="544">
        <f>IF(NOT(ISBLANK([1]BDD!J26)), ROUND(SUM(([1]BDD!G26*reduc2),FDP_FACT_KG), 2), "")</f>
        <v>5.23</v>
      </c>
      <c r="AG36" s="544" t="str">
        <f>IF(NOT(ISBLANK([1]BDD!K26)), ROUND(SUM(([1]BDD!G26*reduc3),FDP_FACT_KG), 2), "")</f>
        <v/>
      </c>
      <c r="AH36" s="599" t="str">
        <f>[1]BDD!C26</f>
        <v>Malaga</v>
      </c>
      <c r="AI36" s="598">
        <f>SUM(AV36,AY36,BB36,BE36,BH36,BK36,BN36,BQ36,BT36,BW36,BZ36,CC36,CF36,CI36,CL36,CO36,CR36,CU36,CX36,DA36)</f>
        <v>0</v>
      </c>
      <c r="AJ36" s="545">
        <f>_xlfn.IFS($AD36&lt;&gt;"", $AD36,    $AC36&lt;&gt;"", $AC36,    $AB36&lt;&gt;"", $AB36,    TRUE, $Y36)</f>
        <v>5.23</v>
      </c>
      <c r="AK36" s="592">
        <f>$AI36*$AJ36</f>
        <v>0</v>
      </c>
      <c r="AL36" s="594"/>
      <c r="AM36" s="597"/>
      <c r="AN36" s="545">
        <f>_xlfn.IFS(AND(AM36&gt;=60,$AG36&lt;&gt;""), $AG36,    AND(AM36&gt;=30,$AF36&lt;&gt;""), $AF36,    AND(AM36&gt;=10,$AE36&lt;&gt;""), $AE36,    TRUE, $Z36)</f>
        <v>6.32</v>
      </c>
      <c r="AO36" s="596">
        <f>AM36*AN36</f>
        <v>0</v>
      </c>
      <c r="AP36" s="595"/>
      <c r="AQ36" s="595"/>
      <c r="AR36" s="594"/>
      <c r="AS36" s="593">
        <f>SUM(AW36,AZ36,BC36,BF36,BI36,BL36,BO36,BR36,BU36,BX36,CA36,CD36,CG36,CJ36,CM36,CP36,CS36,CV36,CY36,DB36)</f>
        <v>0</v>
      </c>
      <c r="AT36" s="545">
        <f>_xlfn.IFS(AND(AS36&gt;=60,$AG36&lt;&gt;""), $AG36,    AND(AS36&gt;=30,$AF36&lt;&gt;""), $AF36,    AND(AS36&gt;=10,$AE36&lt;&gt;""), $AE36,    TRUE, $Z36)</f>
        <v>6.32</v>
      </c>
      <c r="AU36" s="592">
        <f>$AS36*$AT36</f>
        <v>0</v>
      </c>
      <c r="AV36" s="591">
        <f>[1]COMMANDE!O34</f>
        <v>0</v>
      </c>
      <c r="AW36" s="586" t="str">
        <f>_xlfn.IFS(AND($AI36=$AM36,$AI36&gt;0,$AM36&gt;0,AV36&gt;0), AV36,     AND(NOT($AI36=$AM36),$AI36&gt;0,$AM36&gt;0,AV36&gt;0), ($AM36*AV36)/$AI36,     AND($AI36=0,$AM36&gt;0,$AQ36&gt;0), IF(INDEX(AV$12:AV$263,MATCH($AQ36,$AP$12:$AP$263,0))&gt;0,($AM36*INDEX(AV$12:AV$263,MATCH($AQ36,$AP$12:$AP$263,0)))/INDEX($AI$12:$AI$263,MATCH($AQ36,$AP$12:$AP$263,0)), "-"),     TRUE, "0")</f>
        <v>0</v>
      </c>
      <c r="AX36" s="588">
        <f>IF(AW$9&gt;0, IF(OR(AW36="",AW36="-"), 0, AW36*$AT36), AV36*$AJ36)</f>
        <v>0</v>
      </c>
      <c r="AY36" s="587">
        <f>[1]COMMANDE!Q34</f>
        <v>0</v>
      </c>
      <c r="AZ36" s="586" t="str">
        <f>_xlfn.IFS(AND($AI36=$AM36,$AI36&gt;0,$AM36&gt;0,AY36&gt;0), AY36,     AND(NOT($AI36=$AM36),$AI36&gt;0,$AM36&gt;0,AY36&gt;0), ($AM36*AY36)/$AI36,     AND($AI36=0,$AM36&gt;0,$AQ36&gt;0), IF(INDEX(AY$12:AY$263,MATCH($AQ36,$AP$12:$AP$263,0))&gt;0,($AM36*INDEX(AY$12:AY$263,MATCH($AQ36,$AP$12:$AP$263,0)))/INDEX($AI$12:$AI$263,MATCH($AQ36,$AP$12:$AP$263,0)), "-"),     TRUE, "0")</f>
        <v>0</v>
      </c>
      <c r="BA36" s="607">
        <f>IF(AZ$9&gt;0, IF(OR(AZ36="",AZ36="-"), 0, AZ36*$AT36), AY36*$AJ36)</f>
        <v>0</v>
      </c>
      <c r="BB36" s="589">
        <f>[1]COMMANDE!S34</f>
        <v>0</v>
      </c>
      <c r="BC36" s="586" t="str">
        <f>_xlfn.IFS(AND($AI36=$AM36,$AI36&gt;0,$AM36&gt;0,BB36&gt;0), BB36,     AND(NOT($AI36=$AM36),$AI36&gt;0,$AM36&gt;0,BB36&gt;0), ($AM36*BB36)/$AI36,     AND($AI36=0,$AM36&gt;0,$AQ36&gt;0), IF(INDEX(BB$12:BB$263,MATCH($AQ36,$AP$12:$AP$263,0))&gt;0,($AM36*INDEX(BB$12:BB$263,MATCH($AQ36,$AP$12:$AP$263,0)))/INDEX($AI$12:$AI$263,MATCH($AQ36,$AP$12:$AP$263,0)), "-"),     TRUE, "0")</f>
        <v>0</v>
      </c>
      <c r="BD36" s="588">
        <f>IF(BC$9&gt;0, IF(OR(BC36="",BC36="-"), 0, BC36*$AT36), BB36*$AJ36)</f>
        <v>0</v>
      </c>
      <c r="BE36" s="587">
        <f>[1]COMMANDE!U34</f>
        <v>0</v>
      </c>
      <c r="BF36" s="586" t="str">
        <f>_xlfn.IFS(AND($AI36=$AM36,$AI36&gt;0,$AM36&gt;0,BE36&gt;0), BE36,     AND(NOT($AI36=$AM36),$AI36&gt;0,$AM36&gt;0,BE36&gt;0), ($AM36*BE36)/$AI36,     AND($AI36=0,$AM36&gt;0,$AQ36&gt;0), IF(INDEX(BE$12:BE$263,MATCH($AQ36,$AP$12:$AP$263,0))&gt;0,($AM36*INDEX(BE$12:BE$263,MATCH($AQ36,$AP$12:$AP$263,0)))/INDEX($AI$12:$AI$263,MATCH($AQ36,$AP$12:$AP$263,0)), "-"),     TRUE, "0")</f>
        <v>0</v>
      </c>
      <c r="BG36" s="607">
        <f>IF(BF$9&gt;0, IF(OR(BF36="",BF36="-"), 0, BF36*$AT36), BE36*$AJ36)</f>
        <v>0</v>
      </c>
      <c r="BH36" s="589">
        <f>[1]COMMANDE!W34</f>
        <v>0</v>
      </c>
      <c r="BI36" s="586" t="str">
        <f>_xlfn.IFS(AND($AI36=$AM36,$AI36&gt;0,$AM36&gt;0,BH36&gt;0), BH36,     AND(NOT($AI36=$AM36),$AI36&gt;0,$AM36&gt;0,BH36&gt;0), ($AM36*BH36)/$AI36,     AND($AI36=0,$AM36&gt;0,$AQ36&gt;0), IF(INDEX(BH$12:BH$263,MATCH($AQ36,$AP$12:$AP$263,0))&gt;0,($AM36*INDEX(BH$12:BH$263,MATCH($AQ36,$AP$12:$AP$263,0)))/INDEX($AI$12:$AI$263,MATCH($AQ36,$AP$12:$AP$263,0)), "-"),     TRUE, "0")</f>
        <v>0</v>
      </c>
      <c r="BJ36" s="588">
        <f>IF(BI$9&gt;0, IF(OR(BI36="",BI36="-"), 0, BI36*$AT36), BH36*$AJ36)</f>
        <v>0</v>
      </c>
      <c r="BK36" s="587">
        <f>[1]COMMANDE!Y34</f>
        <v>0</v>
      </c>
      <c r="BL36" s="586" t="str">
        <f>_xlfn.IFS(AND($AI36=$AM36,$AI36&gt;0,$AM36&gt;0,BK36&gt;0), BK36,     AND(NOT($AI36=$AM36),$AI36&gt;0,$AM36&gt;0,BK36&gt;0), ($AM36*BK36)/$AI36,     AND($AI36=0,$AM36&gt;0,$AQ36&gt;0), IF(INDEX(BK$12:BK$263,MATCH($AQ36,$AP$12:$AP$263,0))&gt;0,($AM36*INDEX(BK$12:BK$263,MATCH($AQ36,$AP$12:$AP$263,0)))/INDEX($AI$12:$AI$263,MATCH($AQ36,$AP$12:$AP$263,0)), "-"),     TRUE, "0")</f>
        <v>0</v>
      </c>
      <c r="BM36" s="607">
        <f>IF(BL$9&gt;0, IF(OR(BL36="",BL36="-"), 0, BL36*$AT36), BK36*$AJ36)</f>
        <v>0</v>
      </c>
      <c r="BN36" s="589">
        <f>[1]COMMANDE!AA34</f>
        <v>0</v>
      </c>
      <c r="BO36" s="586" t="str">
        <f>_xlfn.IFS(AND($AI36=$AM36,$AI36&gt;0,$AM36&gt;0,BN36&gt;0), BN36,     AND(NOT($AI36=$AM36),$AI36&gt;0,$AM36&gt;0,BN36&gt;0), ($AM36*BN36)/$AI36,     AND($AI36=0,$AM36&gt;0,$AQ36&gt;0), IF(INDEX(BN$12:BN$263,MATCH($AQ36,$AP$12:$AP$263,0))&gt;0,($AM36*INDEX(BN$12:BN$263,MATCH($AQ36,$AP$12:$AP$263,0)))/INDEX($AI$12:$AI$263,MATCH($AQ36,$AP$12:$AP$263,0)), "-"),     TRUE, "0")</f>
        <v>0</v>
      </c>
      <c r="BP36" s="588">
        <f>IF(BO$9&gt;0, IF(OR(BO36="",BO36="-"), 0, BO36*$AT36), BN36*$AJ36)</f>
        <v>0</v>
      </c>
      <c r="BQ36" s="587">
        <f>[1]COMMANDE!AC34</f>
        <v>0</v>
      </c>
      <c r="BR36" s="586" t="str">
        <f>_xlfn.IFS(AND($AI36=$AM36,$AI36&gt;0,$AM36&gt;0,BQ36&gt;0), BQ36,     AND(NOT($AI36=$AM36),$AI36&gt;0,$AM36&gt;0,BQ36&gt;0), ($AM36*BQ36)/$AI36,     AND($AI36=0,$AM36&gt;0,$AQ36&gt;0), IF(INDEX(BQ$12:BQ$263,MATCH($AQ36,$AP$12:$AP$263,0))&gt;0,($AM36*INDEX(BQ$12:BQ$263,MATCH($AQ36,$AP$12:$AP$263,0)))/INDEX($AI$12:$AI$263,MATCH($AQ36,$AP$12:$AP$263,0)), "-"),     TRUE, "0")</f>
        <v>0</v>
      </c>
      <c r="BS36" s="607">
        <f>IF(BR$9&gt;0, IF(OR(BR36="",BR36="-"), 0, BR36*$AT36), BQ36*$AJ36)</f>
        <v>0</v>
      </c>
      <c r="BT36" s="589">
        <f>[1]COMMANDE!AE34</f>
        <v>0</v>
      </c>
      <c r="BU36" s="586" t="str">
        <f>_xlfn.IFS(AND($AI36=$AM36,$AI36&gt;0,$AM36&gt;0,BT36&gt;0), BT36,     AND(NOT($AI36=$AM36),$AI36&gt;0,$AM36&gt;0,BT36&gt;0), ($AM36*BT36)/$AI36,     AND($AI36=0,$AM36&gt;0,$AQ36&gt;0), IF(INDEX(BT$12:BT$263,MATCH($AQ36,$AP$12:$AP$263,0))&gt;0,($AM36*INDEX(BT$12:BT$263,MATCH($AQ36,$AP$12:$AP$263,0)))/INDEX($AI$12:$AI$263,MATCH($AQ36,$AP$12:$AP$263,0)), "-"),     TRUE, "0")</f>
        <v>0</v>
      </c>
      <c r="BV36" s="588">
        <f>IF(BU$9&gt;0, IF(OR(BU36="",BU36="-"), 0, BU36*$AT36), BT36*$AJ36)</f>
        <v>0</v>
      </c>
      <c r="BW36" s="587">
        <f>[1]COMMANDE!AG34</f>
        <v>0</v>
      </c>
      <c r="BX36" s="586" t="str">
        <f>_xlfn.IFS(AND($AI36=$AM36,$AI36&gt;0,$AM36&gt;0,BW36&gt;0), BW36,     AND(NOT($AI36=$AM36),$AI36&gt;0,$AM36&gt;0,BW36&gt;0), ($AM36*BW36)/$AI36,     AND($AI36=0,$AM36&gt;0,$AQ36&gt;0), IF(INDEX(BW$12:BW$263,MATCH($AQ36,$AP$12:$AP$263,0))&gt;0,($AM36*INDEX(BW$12:BW$263,MATCH($AQ36,$AP$12:$AP$263,0)))/INDEX($AI$12:$AI$263,MATCH($AQ36,$AP$12:$AP$263,0)), "-"),     TRUE, "0")</f>
        <v>0</v>
      </c>
      <c r="BY36" s="607">
        <f>IF(BX$9&gt;0, IF(OR(BX36="",BX36="-"), 0, BX36*$AT36), BW36*$AJ36)</f>
        <v>0</v>
      </c>
      <c r="BZ36" s="589">
        <f>[1]COMMANDE!AI34</f>
        <v>0</v>
      </c>
      <c r="CA36" s="586" t="str">
        <f>_xlfn.IFS(AND($AI36=$AM36,$AI36&gt;0,$AM36&gt;0,BZ36&gt;0), BZ36,     AND(NOT($AI36=$AM36),$AI36&gt;0,$AM36&gt;0,BZ36&gt;0), ($AM36*BZ36)/$AI36,     AND($AI36=0,$AM36&gt;0,$AQ36&gt;0), IF(INDEX(BZ$12:BZ$263,MATCH($AQ36,$AP$12:$AP$263,0))&gt;0,($AM36*INDEX(BZ$12:BZ$263,MATCH($AQ36,$AP$12:$AP$263,0)))/INDEX($AI$12:$AI$263,MATCH($AQ36,$AP$12:$AP$263,0)), "-"),     TRUE, "0")</f>
        <v>0</v>
      </c>
      <c r="CB36" s="588">
        <f>IF(CA$9&gt;0, IF(OR(CA36="",CA36="-"), 0, CA36*$AT36), BZ36*$AJ36)</f>
        <v>0</v>
      </c>
      <c r="CC36" s="587">
        <f>[1]COMMANDE!AK34</f>
        <v>0</v>
      </c>
      <c r="CD36" s="586" t="str">
        <f>_xlfn.IFS(AND($AI36=$AM36,$AI36&gt;0,$AM36&gt;0,CC36&gt;0), CC36,     AND(NOT($AI36=$AM36),$AI36&gt;0,$AM36&gt;0,CC36&gt;0), ($AM36*CC36)/$AI36,     AND($AI36=0,$AM36&gt;0,$AQ36&gt;0), IF(INDEX(CC$12:CC$263,MATCH($AQ36,$AP$12:$AP$263,0))&gt;0,($AM36*INDEX(CC$12:CC$263,MATCH($AQ36,$AP$12:$AP$263,0)))/INDEX($AI$12:$AI$263,MATCH($AQ36,$AP$12:$AP$263,0)), "-"),     TRUE, "0")</f>
        <v>0</v>
      </c>
      <c r="CE36" s="607">
        <f>IF(CD$9&gt;0, IF(OR(CD36="",CD36="-"), 0, CD36*$AT36), CC36*$AJ36)</f>
        <v>0</v>
      </c>
      <c r="CF36" s="589">
        <f>[1]COMMANDE!AM34</f>
        <v>0</v>
      </c>
      <c r="CG36" s="586" t="str">
        <f>_xlfn.IFS(AND($AI36=$AM36,$AI36&gt;0,$AM36&gt;0,CF36&gt;0), CF36,     AND(NOT($AI36=$AM36),$AI36&gt;0,$AM36&gt;0,CF36&gt;0), ($AM36*CF36)/$AI36,     AND($AI36=0,$AM36&gt;0,$AQ36&gt;0), IF(INDEX(CF$12:CF$263,MATCH($AQ36,$AP$12:$AP$263,0))&gt;0,($AM36*INDEX(CF$12:CF$263,MATCH($AQ36,$AP$12:$AP$263,0)))/INDEX($AI$12:$AI$263,MATCH($AQ36,$AP$12:$AP$263,0)), "-"),     TRUE, "0")</f>
        <v>0</v>
      </c>
      <c r="CH36" s="588">
        <f>IF(CG$9&gt;0, IF(OR(CG36="",CG36="-"), 0, CG36*$AT36), CF36*$AJ36)</f>
        <v>0</v>
      </c>
      <c r="CI36" s="587">
        <f>[1]COMMANDE!AO34</f>
        <v>0</v>
      </c>
      <c r="CJ36" s="586" t="str">
        <f>_xlfn.IFS(AND($AI36=$AM36,$AI36&gt;0,$AM36&gt;0,CI36&gt;0), CI36,     AND(NOT($AI36=$AM36),$AI36&gt;0,$AM36&gt;0,CI36&gt;0), ($AM36*CI36)/$AI36,     AND($AI36=0,$AM36&gt;0,$AQ36&gt;0), IF(INDEX(CI$12:CI$263,MATCH($AQ36,$AP$12:$AP$263,0))&gt;0,($AM36*INDEX(CI$12:CI$263,MATCH($AQ36,$AP$12:$AP$263,0)))/INDEX($AI$12:$AI$263,MATCH($AQ36,$AP$12:$AP$263,0)), "-"),     TRUE, "0")</f>
        <v>0</v>
      </c>
      <c r="CK36" s="607">
        <f>IF(CJ$9&gt;0, IF(OR(CJ36="",CJ36="-"), 0, CJ36*$AT36), CI36*$AJ36)</f>
        <v>0</v>
      </c>
      <c r="CL36" s="589">
        <f>[1]COMMANDE!AQ34</f>
        <v>0</v>
      </c>
      <c r="CM36" s="586" t="str">
        <f>_xlfn.IFS(AND($AI36=$AM36,$AI36&gt;0,$AM36&gt;0,CL36&gt;0), CL36,     AND(NOT($AI36=$AM36),$AI36&gt;0,$AM36&gt;0,CL36&gt;0), ($AM36*CL36)/$AI36,     AND($AI36=0,$AM36&gt;0,$AQ36&gt;0), IF(INDEX(CL$12:CL$263,MATCH($AQ36,$AP$12:$AP$263,0))&gt;0,($AM36*INDEX(CL$12:CL$263,MATCH($AQ36,$AP$12:$AP$263,0)))/INDEX($AI$12:$AI$263,MATCH($AQ36,$AP$12:$AP$263,0)), "-"),     TRUE, "0")</f>
        <v>0</v>
      </c>
      <c r="CN36" s="588">
        <f>IF(CM$9&gt;0, IF(OR(CM36="",CM36="-"), 0, CM36*$AT36), CL36*$AJ36)</f>
        <v>0</v>
      </c>
      <c r="CO36" s="587">
        <f>[1]COMMANDE!AS34</f>
        <v>0</v>
      </c>
      <c r="CP36" s="586" t="str">
        <f>_xlfn.IFS(AND($AI36=$AM36,$AI36&gt;0,$AM36&gt;0,CO36&gt;0), CO36,     AND(NOT($AI36=$AM36),$AI36&gt;0,$AM36&gt;0,CO36&gt;0), ($AM36*CO36)/$AI36,     AND($AI36=0,$AM36&gt;0,$AQ36&gt;0), IF(INDEX(CO$12:CO$263,MATCH($AQ36,$AP$12:$AP$263,0))&gt;0,($AM36*INDEX(CO$12:CO$263,MATCH($AQ36,$AP$12:$AP$263,0)))/INDEX($AI$12:$AI$263,MATCH($AQ36,$AP$12:$AP$263,0)), "-"),     TRUE, "0")</f>
        <v>0</v>
      </c>
      <c r="CQ36" s="607">
        <f>IF(CP$9&gt;0, IF(OR(CP36="",CP36="-"), 0, CP36*$AT36), CO36*$AJ36)</f>
        <v>0</v>
      </c>
      <c r="CR36" s="589">
        <f>[1]COMMANDE!AU34</f>
        <v>0</v>
      </c>
      <c r="CS36" s="586" t="str">
        <f>_xlfn.IFS(AND($AI36=$AM36,$AI36&gt;0,$AM36&gt;0,CR36&gt;0), CR36,     AND(NOT($AI36=$AM36),$AI36&gt;0,$AM36&gt;0,CR36&gt;0), ($AM36*CR36)/$AI36,     AND($AI36=0,$AM36&gt;0,$AQ36&gt;0), IF(INDEX(CR$12:CR$263,MATCH($AQ36,$AP$12:$AP$263,0))&gt;0,($AM36*INDEX(CR$12:CR$263,MATCH($AQ36,$AP$12:$AP$263,0)))/INDEX($AI$12:$AI$263,MATCH($AQ36,$AP$12:$AP$263,0)), "-"),     TRUE, "0")</f>
        <v>0</v>
      </c>
      <c r="CT36" s="588">
        <f>IF(CS$9&gt;0, IF(OR(CS36="",CS36="-"), 0, CS36*$AT36), CR36*$AJ36)</f>
        <v>0</v>
      </c>
      <c r="CU36" s="587">
        <f>[1]COMMANDE!AW34</f>
        <v>0</v>
      </c>
      <c r="CV36" s="586" t="str">
        <f>_xlfn.IFS(AND($AI36=$AM36,$AI36&gt;0,$AM36&gt;0,CU36&gt;0), CU36,     AND(NOT($AI36=$AM36),$AI36&gt;0,$AM36&gt;0,CU36&gt;0), ($AM36*CU36)/$AI36,     AND($AI36=0,$AM36&gt;0,$AQ36&gt;0), IF(INDEX(CU$12:CU$263,MATCH($AQ36,$AP$12:$AP$263,0))&gt;0,($AM36*INDEX(CU$12:CU$263,MATCH($AQ36,$AP$12:$AP$263,0)))/INDEX($AI$12:$AI$263,MATCH($AQ36,$AP$12:$AP$263,0)), "-"),     TRUE, "0")</f>
        <v>0</v>
      </c>
      <c r="CW36" s="607">
        <f>IF(CV$9&gt;0, IF(OR(CV36="",CV36="-"), 0, CV36*$AT36), CU36*$AJ36)</f>
        <v>0</v>
      </c>
      <c r="CX36" s="589">
        <f>[1]COMMANDE!AY34</f>
        <v>0</v>
      </c>
      <c r="CY36" s="586" t="str">
        <f>_xlfn.IFS(AND($AI36=$AM36,$AI36&gt;0,$AM36&gt;0,CX36&gt;0), CX36,     AND(NOT($AI36=$AM36),$AI36&gt;0,$AM36&gt;0,CX36&gt;0), ($AM36*CX36)/$AI36,     AND($AI36=0,$AM36&gt;0,$AQ36&gt;0), IF(INDEX(CX$12:CX$263,MATCH($AQ36,$AP$12:$AP$263,0))&gt;0,($AM36*INDEX(CX$12:CX$263,MATCH($AQ36,$AP$12:$AP$263,0)))/INDEX($AI$12:$AI$263,MATCH($AQ36,$AP$12:$AP$263,0)), "-"),     TRUE, "0")</f>
        <v>0</v>
      </c>
      <c r="CZ36" s="588">
        <f>IF(CY$9&gt;0, IF(OR(CY36="",CY36="-"), 0, CY36*$AT36), CX36*$AJ36)</f>
        <v>0</v>
      </c>
      <c r="DA36" s="587">
        <f>[1]COMMANDE!BA34</f>
        <v>0</v>
      </c>
      <c r="DB36" s="586" t="str">
        <f>_xlfn.IFS(AND($AI36=$AM36,$AI36&gt;0,$AM36&gt;0,DA36&gt;0), DA36,     AND(NOT($AI36=$AM36),$AI36&gt;0,$AM36&gt;0,DA36&gt;0), ($AM36*DA36)/$AI36,     AND($AI36=0,$AM36&gt;0,$AQ36&gt;0), IF(INDEX(DA$12:DA$263,MATCH($AQ36,$AP$12:$AP$263,0))&gt;0,($AM36*INDEX(DA$12:DA$263,MATCH($AQ36,$AP$12:$AP$263,0)))/INDEX($AI$12:$AI$263,MATCH($AQ36,$AP$12:$AP$263,0)), "-"),     TRUE, "0")</f>
        <v>0</v>
      </c>
      <c r="DC36" s="606">
        <f>IF(DB$9&gt;0, IF(OR(DB36="",DB36="-"), 0, DB36*$AT36), DA36*$AJ36)</f>
        <v>0</v>
      </c>
      <c r="DD36" s="584"/>
      <c r="DE36" s="583"/>
    </row>
    <row r="37" spans="1:109" ht="39.950000000000003" hidden="1" customHeight="1">
      <c r="A37" s="604">
        <f>IF(OR($AV37&gt;0, $AX37&gt;0), 1, 0)</f>
        <v>0</v>
      </c>
      <c r="B37" s="604">
        <f>IF(OR($AY37&gt;0, $BA37&gt;0), 1, 0)</f>
        <v>0</v>
      </c>
      <c r="C37" s="604">
        <f>IF(OR($BB37&gt;0, $BD37&gt;0), 1, 0)</f>
        <v>0</v>
      </c>
      <c r="D37" s="604">
        <f>IF(OR($BE37&gt;0, $BG37&gt;0), 1, 0)</f>
        <v>0</v>
      </c>
      <c r="E37" s="604">
        <f>IF(OR($BH37&gt;0, $BJ37&gt;0), 1, 0)</f>
        <v>0</v>
      </c>
      <c r="F37" s="604">
        <f>IF(OR($BK37&gt;0, $BM37&gt;0), 1, 0)</f>
        <v>0</v>
      </c>
      <c r="G37" s="604">
        <f>IF(OR($BN37&gt;0, $BP37&gt;0), 1, 0)</f>
        <v>0</v>
      </c>
      <c r="H37" s="604">
        <f>IF(OR($BQ37&gt;0, $BS37&gt;0), 1, 0)</f>
        <v>0</v>
      </c>
      <c r="I37" s="604">
        <f>IF(OR($BT37&gt;0, $BV37&gt;0), 1, 0)</f>
        <v>0</v>
      </c>
      <c r="J37" s="604">
        <f>IF(OR($BW37&gt;0, $BY37&gt;0), 1, 0)</f>
        <v>0</v>
      </c>
      <c r="K37" s="604">
        <f>IF(OR($BZ37&gt;0, $CB37&gt;0), 1, 0)</f>
        <v>0</v>
      </c>
      <c r="L37" s="604">
        <f>IF(OR($CC37&gt;0, $CE37&gt;0), 1, 0)</f>
        <v>0</v>
      </c>
      <c r="M37" s="604">
        <f>IF(OR($CF37&gt;0, $CH37&gt;0), 1, 0)</f>
        <v>0</v>
      </c>
      <c r="N37" s="604">
        <f>IF(OR($CI37&gt;0, $CK37&gt;0), 1, 0)</f>
        <v>0</v>
      </c>
      <c r="O37" s="604">
        <f>IF(OR($CL37&gt;0, $CN37&gt;0), 1, 0)</f>
        <v>0</v>
      </c>
      <c r="P37" s="604">
        <f>IF(OR($CO37&gt;0, $CQ37&gt;0), 1, 0)</f>
        <v>0</v>
      </c>
      <c r="Q37" s="604">
        <f>IF(OR($CR37&gt;0, $CT37&gt;0), 1, 0)</f>
        <v>0</v>
      </c>
      <c r="R37" s="604">
        <f>IF(OR($CU37&gt;0, $CW37&gt;0), 1, 0)</f>
        <v>0</v>
      </c>
      <c r="S37" s="604">
        <f>IF(OR($CX37&gt;0, $CZ37&gt;0), 1, 0)</f>
        <v>0</v>
      </c>
      <c r="T37" s="604">
        <f>IF(OR($DA37&gt;0, $DC37&gt;0), 1, 0)</f>
        <v>0</v>
      </c>
      <c r="U37" s="603">
        <f>IF(OR($AI37&gt;0,$AM37&gt;0,$AS37&gt;0), 1, 0)</f>
        <v>0</v>
      </c>
      <c r="V37" s="602">
        <f>[1]BDD!A27</f>
        <v>1200</v>
      </c>
      <c r="W37" s="601" t="str">
        <f>[1]BDD!B27</f>
        <v>Avocat Fuerte BIO</v>
      </c>
      <c r="X37" s="600" t="str">
        <f>IF([1]BDD!F27=0, "", [1]BDD!F27)</f>
        <v>❤️</v>
      </c>
      <c r="Y37" s="542">
        <f>ROUND([1]BDD!G27+FDP_CMD_KG, 2)</f>
        <v>7.02</v>
      </c>
      <c r="Z37" s="542">
        <f>ROUND([1]BDD!G27+FDP_FACT_KG, 2)</f>
        <v>7.02</v>
      </c>
      <c r="AA37" s="543" t="str">
        <f>[1]BDD!H27</f>
        <v>kg</v>
      </c>
      <c r="AB37" s="544">
        <f>IF(NOT(ISBLANK([1]BDD!I27)), ROUND(SUM(([1]BDD!G27*reduc1),FDP_CMD_KG), 2), "")</f>
        <v>6.41</v>
      </c>
      <c r="AC37" s="544">
        <f>IF(NOT(ISBLANK([1]BDD!J27)), ROUND(SUM(([1]BDD!G27*reduc2),FDP_CMD_KG), 2), "")</f>
        <v>5.79</v>
      </c>
      <c r="AD37" s="544" t="str">
        <f>IF(NOT(ISBLANK([1]BDD!K27)), ROUND(SUM(([1]BDD!G27*reduc3),FDP_CMD_KG), 2), "")</f>
        <v/>
      </c>
      <c r="AE37" s="544">
        <f>IF(NOT(ISBLANK([1]BDD!I27)), ROUND(SUM(([1]BDD!G27*reduc1),FDP_FACT_KG), 2), "")</f>
        <v>6.4</v>
      </c>
      <c r="AF37" s="544">
        <f>IF(NOT(ISBLANK([1]BDD!J27)), ROUND(SUM(([1]BDD!G27*reduc2),FDP_FACT_KG), 2), "")</f>
        <v>5.79</v>
      </c>
      <c r="AG37" s="544" t="str">
        <f>IF(NOT(ISBLANK([1]BDD!K27)), ROUND(SUM(([1]BDD!G27*reduc3),FDP_FACT_KG), 2), "")</f>
        <v/>
      </c>
      <c r="AH37" s="599" t="str">
        <f>[1]BDD!C27</f>
        <v>Grenade</v>
      </c>
      <c r="AI37" s="598">
        <f>SUM(AV37,AY37,BB37,BE37,BH37,BK37,BN37,BQ37,BT37,BW37,BZ37,CC37,CF37,CI37,CL37,CO37,CR37,CU37,CX37,DA37)</f>
        <v>0</v>
      </c>
      <c r="AJ37" s="545">
        <f>_xlfn.IFS($AD37&lt;&gt;"", $AD37,    $AC37&lt;&gt;"", $AC37,    $AB37&lt;&gt;"", $AB37,    TRUE, $Y37)</f>
        <v>5.79</v>
      </c>
      <c r="AK37" s="592">
        <f>$AI37*$AJ37</f>
        <v>0</v>
      </c>
      <c r="AL37" s="594"/>
      <c r="AM37" s="597"/>
      <c r="AN37" s="545">
        <f>_xlfn.IFS(AND(AM37&gt;=60,$AG37&lt;&gt;""), $AG37,    AND(AM37&gt;=30,$AF37&lt;&gt;""), $AF37,    AND(AM37&gt;=10,$AE37&lt;&gt;""), $AE37,    TRUE, $Z37)</f>
        <v>7.02</v>
      </c>
      <c r="AO37" s="596">
        <f>AM37*AN37</f>
        <v>0</v>
      </c>
      <c r="AP37" s="595"/>
      <c r="AQ37" s="595"/>
      <c r="AR37" s="594"/>
      <c r="AS37" s="593">
        <f>SUM(AW37,AZ37,BC37,BF37,BI37,BL37,BO37,BR37,BU37,BX37,CA37,CD37,CG37,CJ37,CM37,CP37,CS37,CV37,CY37,DB37)</f>
        <v>0</v>
      </c>
      <c r="AT37" s="545">
        <f>_xlfn.IFS(AND(AS37&gt;=60,$AG37&lt;&gt;""), $AG37,    AND(AS37&gt;=30,$AF37&lt;&gt;""), $AF37,    AND(AS37&gt;=10,$AE37&lt;&gt;""), $AE37,    TRUE, $Z37)</f>
        <v>7.02</v>
      </c>
      <c r="AU37" s="592">
        <f>$AS37*$AT37</f>
        <v>0</v>
      </c>
      <c r="AV37" s="591">
        <f>[1]COMMANDE!O35</f>
        <v>0</v>
      </c>
      <c r="AW37" s="586" t="str">
        <f>_xlfn.IFS(AND($AI37=$AM37,$AI37&gt;0,$AM37&gt;0,AV37&gt;0), AV37,     AND(NOT($AI37=$AM37),$AI37&gt;0,$AM37&gt;0,AV37&gt;0), ($AM37*AV37)/$AI37,     AND($AI37=0,$AM37&gt;0,$AQ37&gt;0), IF(INDEX(AV$12:AV$263,MATCH($AQ37,$AP$12:$AP$263,0))&gt;0,($AM37*INDEX(AV$12:AV$263,MATCH($AQ37,$AP$12:$AP$263,0)))/INDEX($AI$12:$AI$263,MATCH($AQ37,$AP$12:$AP$263,0)), "-"),     TRUE, "0")</f>
        <v>0</v>
      </c>
      <c r="AX37" s="588">
        <f>IF(AW$9&gt;0, IF(OR(AW37="",AW37="-"), 0, AW37*$AT37), AV37*$AJ37)</f>
        <v>0</v>
      </c>
      <c r="AY37" s="587">
        <f>[1]COMMANDE!Q35</f>
        <v>0</v>
      </c>
      <c r="AZ37" s="586" t="str">
        <f>_xlfn.IFS(AND($AI37=$AM37,$AI37&gt;0,$AM37&gt;0,AY37&gt;0), AY37,     AND(NOT($AI37=$AM37),$AI37&gt;0,$AM37&gt;0,AY37&gt;0), ($AM37*AY37)/$AI37,     AND($AI37=0,$AM37&gt;0,$AQ37&gt;0), IF(INDEX(AY$12:AY$263,MATCH($AQ37,$AP$12:$AP$263,0))&gt;0,($AM37*INDEX(AY$12:AY$263,MATCH($AQ37,$AP$12:$AP$263,0)))/INDEX($AI$12:$AI$263,MATCH($AQ37,$AP$12:$AP$263,0)), "-"),     TRUE, "0")</f>
        <v>0</v>
      </c>
      <c r="BA37" s="607">
        <f>IF(AZ$9&gt;0, IF(OR(AZ37="",AZ37="-"), 0, AZ37*$AT37), AY37*$AJ37)</f>
        <v>0</v>
      </c>
      <c r="BB37" s="589">
        <f>[1]COMMANDE!S35</f>
        <v>0</v>
      </c>
      <c r="BC37" s="586" t="str">
        <f>_xlfn.IFS(AND($AI37=$AM37,$AI37&gt;0,$AM37&gt;0,BB37&gt;0), BB37,     AND(NOT($AI37=$AM37),$AI37&gt;0,$AM37&gt;0,BB37&gt;0), ($AM37*BB37)/$AI37,     AND($AI37=0,$AM37&gt;0,$AQ37&gt;0), IF(INDEX(BB$12:BB$263,MATCH($AQ37,$AP$12:$AP$263,0))&gt;0,($AM37*INDEX(BB$12:BB$263,MATCH($AQ37,$AP$12:$AP$263,0)))/INDEX($AI$12:$AI$263,MATCH($AQ37,$AP$12:$AP$263,0)), "-"),     TRUE, "0")</f>
        <v>0</v>
      </c>
      <c r="BD37" s="588">
        <f>IF(BC$9&gt;0, IF(OR(BC37="",BC37="-"), 0, BC37*$AT37), BB37*$AJ37)</f>
        <v>0</v>
      </c>
      <c r="BE37" s="587">
        <f>[1]COMMANDE!U35</f>
        <v>0</v>
      </c>
      <c r="BF37" s="586" t="str">
        <f>_xlfn.IFS(AND($AI37=$AM37,$AI37&gt;0,$AM37&gt;0,BE37&gt;0), BE37,     AND(NOT($AI37=$AM37),$AI37&gt;0,$AM37&gt;0,BE37&gt;0), ($AM37*BE37)/$AI37,     AND($AI37=0,$AM37&gt;0,$AQ37&gt;0), IF(INDEX(BE$12:BE$263,MATCH($AQ37,$AP$12:$AP$263,0))&gt;0,($AM37*INDEX(BE$12:BE$263,MATCH($AQ37,$AP$12:$AP$263,0)))/INDEX($AI$12:$AI$263,MATCH($AQ37,$AP$12:$AP$263,0)), "-"),     TRUE, "0")</f>
        <v>0</v>
      </c>
      <c r="BG37" s="607">
        <f>IF(BF$9&gt;0, IF(OR(BF37="",BF37="-"), 0, BF37*$AT37), BE37*$AJ37)</f>
        <v>0</v>
      </c>
      <c r="BH37" s="589">
        <f>[1]COMMANDE!W35</f>
        <v>0</v>
      </c>
      <c r="BI37" s="586" t="str">
        <f>_xlfn.IFS(AND($AI37=$AM37,$AI37&gt;0,$AM37&gt;0,BH37&gt;0), BH37,     AND(NOT($AI37=$AM37),$AI37&gt;0,$AM37&gt;0,BH37&gt;0), ($AM37*BH37)/$AI37,     AND($AI37=0,$AM37&gt;0,$AQ37&gt;0), IF(INDEX(BH$12:BH$263,MATCH($AQ37,$AP$12:$AP$263,0))&gt;0,($AM37*INDEX(BH$12:BH$263,MATCH($AQ37,$AP$12:$AP$263,0)))/INDEX($AI$12:$AI$263,MATCH($AQ37,$AP$12:$AP$263,0)), "-"),     TRUE, "0")</f>
        <v>0</v>
      </c>
      <c r="BJ37" s="588">
        <f>IF(BI$9&gt;0, IF(OR(BI37="",BI37="-"), 0, BI37*$AT37), BH37*$AJ37)</f>
        <v>0</v>
      </c>
      <c r="BK37" s="587">
        <f>[1]COMMANDE!Y35</f>
        <v>0</v>
      </c>
      <c r="BL37" s="586" t="str">
        <f>_xlfn.IFS(AND($AI37=$AM37,$AI37&gt;0,$AM37&gt;0,BK37&gt;0), BK37,     AND(NOT($AI37=$AM37),$AI37&gt;0,$AM37&gt;0,BK37&gt;0), ($AM37*BK37)/$AI37,     AND($AI37=0,$AM37&gt;0,$AQ37&gt;0), IF(INDEX(BK$12:BK$263,MATCH($AQ37,$AP$12:$AP$263,0))&gt;0,($AM37*INDEX(BK$12:BK$263,MATCH($AQ37,$AP$12:$AP$263,0)))/INDEX($AI$12:$AI$263,MATCH($AQ37,$AP$12:$AP$263,0)), "-"),     TRUE, "0")</f>
        <v>0</v>
      </c>
      <c r="BM37" s="607">
        <f>IF(BL$9&gt;0, IF(OR(BL37="",BL37="-"), 0, BL37*$AT37), BK37*$AJ37)</f>
        <v>0</v>
      </c>
      <c r="BN37" s="589">
        <f>[1]COMMANDE!AA35</f>
        <v>0</v>
      </c>
      <c r="BO37" s="586" t="str">
        <f>_xlfn.IFS(AND($AI37=$AM37,$AI37&gt;0,$AM37&gt;0,BN37&gt;0), BN37,     AND(NOT($AI37=$AM37),$AI37&gt;0,$AM37&gt;0,BN37&gt;0), ($AM37*BN37)/$AI37,     AND($AI37=0,$AM37&gt;0,$AQ37&gt;0), IF(INDEX(BN$12:BN$263,MATCH($AQ37,$AP$12:$AP$263,0))&gt;0,($AM37*INDEX(BN$12:BN$263,MATCH($AQ37,$AP$12:$AP$263,0)))/INDEX($AI$12:$AI$263,MATCH($AQ37,$AP$12:$AP$263,0)), "-"),     TRUE, "0")</f>
        <v>0</v>
      </c>
      <c r="BP37" s="588">
        <f>IF(BO$9&gt;0, IF(OR(BO37="",BO37="-"), 0, BO37*$AT37), BN37*$AJ37)</f>
        <v>0</v>
      </c>
      <c r="BQ37" s="587">
        <f>[1]COMMANDE!AC35</f>
        <v>0</v>
      </c>
      <c r="BR37" s="586" t="str">
        <f>_xlfn.IFS(AND($AI37=$AM37,$AI37&gt;0,$AM37&gt;0,BQ37&gt;0), BQ37,     AND(NOT($AI37=$AM37),$AI37&gt;0,$AM37&gt;0,BQ37&gt;0), ($AM37*BQ37)/$AI37,     AND($AI37=0,$AM37&gt;0,$AQ37&gt;0), IF(INDEX(BQ$12:BQ$263,MATCH($AQ37,$AP$12:$AP$263,0))&gt;0,($AM37*INDEX(BQ$12:BQ$263,MATCH($AQ37,$AP$12:$AP$263,0)))/INDEX($AI$12:$AI$263,MATCH($AQ37,$AP$12:$AP$263,0)), "-"),     TRUE, "0")</f>
        <v>0</v>
      </c>
      <c r="BS37" s="607">
        <f>IF(BR$9&gt;0, IF(OR(BR37="",BR37="-"), 0, BR37*$AT37), BQ37*$AJ37)</f>
        <v>0</v>
      </c>
      <c r="BT37" s="589">
        <f>[1]COMMANDE!AE35</f>
        <v>0</v>
      </c>
      <c r="BU37" s="586" t="str">
        <f>_xlfn.IFS(AND($AI37=$AM37,$AI37&gt;0,$AM37&gt;0,BT37&gt;0), BT37,     AND(NOT($AI37=$AM37),$AI37&gt;0,$AM37&gt;0,BT37&gt;0), ($AM37*BT37)/$AI37,     AND($AI37=0,$AM37&gt;0,$AQ37&gt;0), IF(INDEX(BT$12:BT$263,MATCH($AQ37,$AP$12:$AP$263,0))&gt;0,($AM37*INDEX(BT$12:BT$263,MATCH($AQ37,$AP$12:$AP$263,0)))/INDEX($AI$12:$AI$263,MATCH($AQ37,$AP$12:$AP$263,0)), "-"),     TRUE, "0")</f>
        <v>0</v>
      </c>
      <c r="BV37" s="588">
        <f>IF(BU$9&gt;0, IF(OR(BU37="",BU37="-"), 0, BU37*$AT37), BT37*$AJ37)</f>
        <v>0</v>
      </c>
      <c r="BW37" s="587">
        <f>[1]COMMANDE!AG35</f>
        <v>0</v>
      </c>
      <c r="BX37" s="586" t="str">
        <f>_xlfn.IFS(AND($AI37=$AM37,$AI37&gt;0,$AM37&gt;0,BW37&gt;0), BW37,     AND(NOT($AI37=$AM37),$AI37&gt;0,$AM37&gt;0,BW37&gt;0), ($AM37*BW37)/$AI37,     AND($AI37=0,$AM37&gt;0,$AQ37&gt;0), IF(INDEX(BW$12:BW$263,MATCH($AQ37,$AP$12:$AP$263,0))&gt;0,($AM37*INDEX(BW$12:BW$263,MATCH($AQ37,$AP$12:$AP$263,0)))/INDEX($AI$12:$AI$263,MATCH($AQ37,$AP$12:$AP$263,0)), "-"),     TRUE, "0")</f>
        <v>0</v>
      </c>
      <c r="BY37" s="607">
        <f>IF(BX$9&gt;0, IF(OR(BX37="",BX37="-"), 0, BX37*$AT37), BW37*$AJ37)</f>
        <v>0</v>
      </c>
      <c r="BZ37" s="589">
        <f>[1]COMMANDE!AI35</f>
        <v>0</v>
      </c>
      <c r="CA37" s="586" t="str">
        <f>_xlfn.IFS(AND($AI37=$AM37,$AI37&gt;0,$AM37&gt;0,BZ37&gt;0), BZ37,     AND(NOT($AI37=$AM37),$AI37&gt;0,$AM37&gt;0,BZ37&gt;0), ($AM37*BZ37)/$AI37,     AND($AI37=0,$AM37&gt;0,$AQ37&gt;0), IF(INDEX(BZ$12:BZ$263,MATCH($AQ37,$AP$12:$AP$263,0))&gt;0,($AM37*INDEX(BZ$12:BZ$263,MATCH($AQ37,$AP$12:$AP$263,0)))/INDEX($AI$12:$AI$263,MATCH($AQ37,$AP$12:$AP$263,0)), "-"),     TRUE, "0")</f>
        <v>0</v>
      </c>
      <c r="CB37" s="588">
        <f>IF(CA$9&gt;0, IF(OR(CA37="",CA37="-"), 0, CA37*$AT37), BZ37*$AJ37)</f>
        <v>0</v>
      </c>
      <c r="CC37" s="587">
        <f>[1]COMMANDE!AK35</f>
        <v>0</v>
      </c>
      <c r="CD37" s="586" t="str">
        <f>_xlfn.IFS(AND($AI37=$AM37,$AI37&gt;0,$AM37&gt;0,CC37&gt;0), CC37,     AND(NOT($AI37=$AM37),$AI37&gt;0,$AM37&gt;0,CC37&gt;0), ($AM37*CC37)/$AI37,     AND($AI37=0,$AM37&gt;0,$AQ37&gt;0), IF(INDEX(CC$12:CC$263,MATCH($AQ37,$AP$12:$AP$263,0))&gt;0,($AM37*INDEX(CC$12:CC$263,MATCH($AQ37,$AP$12:$AP$263,0)))/INDEX($AI$12:$AI$263,MATCH($AQ37,$AP$12:$AP$263,0)), "-"),     TRUE, "0")</f>
        <v>0</v>
      </c>
      <c r="CE37" s="607">
        <f>IF(CD$9&gt;0, IF(OR(CD37="",CD37="-"), 0, CD37*$AT37), CC37*$AJ37)</f>
        <v>0</v>
      </c>
      <c r="CF37" s="589">
        <f>[1]COMMANDE!AM35</f>
        <v>0</v>
      </c>
      <c r="CG37" s="586" t="str">
        <f>_xlfn.IFS(AND($AI37=$AM37,$AI37&gt;0,$AM37&gt;0,CF37&gt;0), CF37,     AND(NOT($AI37=$AM37),$AI37&gt;0,$AM37&gt;0,CF37&gt;0), ($AM37*CF37)/$AI37,     AND($AI37=0,$AM37&gt;0,$AQ37&gt;0), IF(INDEX(CF$12:CF$263,MATCH($AQ37,$AP$12:$AP$263,0))&gt;0,($AM37*INDEX(CF$12:CF$263,MATCH($AQ37,$AP$12:$AP$263,0)))/INDEX($AI$12:$AI$263,MATCH($AQ37,$AP$12:$AP$263,0)), "-"),     TRUE, "0")</f>
        <v>0</v>
      </c>
      <c r="CH37" s="588">
        <f>IF(CG$9&gt;0, IF(OR(CG37="",CG37="-"), 0, CG37*$AT37), CF37*$AJ37)</f>
        <v>0</v>
      </c>
      <c r="CI37" s="587">
        <f>[1]COMMANDE!AO35</f>
        <v>0</v>
      </c>
      <c r="CJ37" s="586" t="str">
        <f>_xlfn.IFS(AND($AI37=$AM37,$AI37&gt;0,$AM37&gt;0,CI37&gt;0), CI37,     AND(NOT($AI37=$AM37),$AI37&gt;0,$AM37&gt;0,CI37&gt;0), ($AM37*CI37)/$AI37,     AND($AI37=0,$AM37&gt;0,$AQ37&gt;0), IF(INDEX(CI$12:CI$263,MATCH($AQ37,$AP$12:$AP$263,0))&gt;0,($AM37*INDEX(CI$12:CI$263,MATCH($AQ37,$AP$12:$AP$263,0)))/INDEX($AI$12:$AI$263,MATCH($AQ37,$AP$12:$AP$263,0)), "-"),     TRUE, "0")</f>
        <v>0</v>
      </c>
      <c r="CK37" s="607">
        <f>IF(CJ$9&gt;0, IF(OR(CJ37="",CJ37="-"), 0, CJ37*$AT37), CI37*$AJ37)</f>
        <v>0</v>
      </c>
      <c r="CL37" s="589">
        <f>[1]COMMANDE!AQ35</f>
        <v>0</v>
      </c>
      <c r="CM37" s="586" t="str">
        <f>_xlfn.IFS(AND($AI37=$AM37,$AI37&gt;0,$AM37&gt;0,CL37&gt;0), CL37,     AND(NOT($AI37=$AM37),$AI37&gt;0,$AM37&gt;0,CL37&gt;0), ($AM37*CL37)/$AI37,     AND($AI37=0,$AM37&gt;0,$AQ37&gt;0), IF(INDEX(CL$12:CL$263,MATCH($AQ37,$AP$12:$AP$263,0))&gt;0,($AM37*INDEX(CL$12:CL$263,MATCH($AQ37,$AP$12:$AP$263,0)))/INDEX($AI$12:$AI$263,MATCH($AQ37,$AP$12:$AP$263,0)), "-"),     TRUE, "0")</f>
        <v>0</v>
      </c>
      <c r="CN37" s="588">
        <f>IF(CM$9&gt;0, IF(OR(CM37="",CM37="-"), 0, CM37*$AT37), CL37*$AJ37)</f>
        <v>0</v>
      </c>
      <c r="CO37" s="587">
        <f>[1]COMMANDE!AS35</f>
        <v>0</v>
      </c>
      <c r="CP37" s="586" t="str">
        <f>_xlfn.IFS(AND($AI37=$AM37,$AI37&gt;0,$AM37&gt;0,CO37&gt;0), CO37,     AND(NOT($AI37=$AM37),$AI37&gt;0,$AM37&gt;0,CO37&gt;0), ($AM37*CO37)/$AI37,     AND($AI37=0,$AM37&gt;0,$AQ37&gt;0), IF(INDEX(CO$12:CO$263,MATCH($AQ37,$AP$12:$AP$263,0))&gt;0,($AM37*INDEX(CO$12:CO$263,MATCH($AQ37,$AP$12:$AP$263,0)))/INDEX($AI$12:$AI$263,MATCH($AQ37,$AP$12:$AP$263,0)), "-"),     TRUE, "0")</f>
        <v>0</v>
      </c>
      <c r="CQ37" s="607">
        <f>IF(CP$9&gt;0, IF(OR(CP37="",CP37="-"), 0, CP37*$AT37), CO37*$AJ37)</f>
        <v>0</v>
      </c>
      <c r="CR37" s="589">
        <f>[1]COMMANDE!AU35</f>
        <v>0</v>
      </c>
      <c r="CS37" s="586" t="str">
        <f>_xlfn.IFS(AND($AI37=$AM37,$AI37&gt;0,$AM37&gt;0,CR37&gt;0), CR37,     AND(NOT($AI37=$AM37),$AI37&gt;0,$AM37&gt;0,CR37&gt;0), ($AM37*CR37)/$AI37,     AND($AI37=0,$AM37&gt;0,$AQ37&gt;0), IF(INDEX(CR$12:CR$263,MATCH($AQ37,$AP$12:$AP$263,0))&gt;0,($AM37*INDEX(CR$12:CR$263,MATCH($AQ37,$AP$12:$AP$263,0)))/INDEX($AI$12:$AI$263,MATCH($AQ37,$AP$12:$AP$263,0)), "-"),     TRUE, "0")</f>
        <v>0</v>
      </c>
      <c r="CT37" s="588">
        <f>IF(CS$9&gt;0, IF(OR(CS37="",CS37="-"), 0, CS37*$AT37), CR37*$AJ37)</f>
        <v>0</v>
      </c>
      <c r="CU37" s="587">
        <f>[1]COMMANDE!AW35</f>
        <v>0</v>
      </c>
      <c r="CV37" s="586" t="str">
        <f>_xlfn.IFS(AND($AI37=$AM37,$AI37&gt;0,$AM37&gt;0,CU37&gt;0), CU37,     AND(NOT($AI37=$AM37),$AI37&gt;0,$AM37&gt;0,CU37&gt;0), ($AM37*CU37)/$AI37,     AND($AI37=0,$AM37&gt;0,$AQ37&gt;0), IF(INDEX(CU$12:CU$263,MATCH($AQ37,$AP$12:$AP$263,0))&gt;0,($AM37*INDEX(CU$12:CU$263,MATCH($AQ37,$AP$12:$AP$263,0)))/INDEX($AI$12:$AI$263,MATCH($AQ37,$AP$12:$AP$263,0)), "-"),     TRUE, "0")</f>
        <v>0</v>
      </c>
      <c r="CW37" s="607">
        <f>IF(CV$9&gt;0, IF(OR(CV37="",CV37="-"), 0, CV37*$AT37), CU37*$AJ37)</f>
        <v>0</v>
      </c>
      <c r="CX37" s="589">
        <f>[1]COMMANDE!AY35</f>
        <v>0</v>
      </c>
      <c r="CY37" s="586" t="str">
        <f>_xlfn.IFS(AND($AI37=$AM37,$AI37&gt;0,$AM37&gt;0,CX37&gt;0), CX37,     AND(NOT($AI37=$AM37),$AI37&gt;0,$AM37&gt;0,CX37&gt;0), ($AM37*CX37)/$AI37,     AND($AI37=0,$AM37&gt;0,$AQ37&gt;0), IF(INDEX(CX$12:CX$263,MATCH($AQ37,$AP$12:$AP$263,0))&gt;0,($AM37*INDEX(CX$12:CX$263,MATCH($AQ37,$AP$12:$AP$263,0)))/INDEX($AI$12:$AI$263,MATCH($AQ37,$AP$12:$AP$263,0)), "-"),     TRUE, "0")</f>
        <v>0</v>
      </c>
      <c r="CZ37" s="588">
        <f>IF(CY$9&gt;0, IF(OR(CY37="",CY37="-"), 0, CY37*$AT37), CX37*$AJ37)</f>
        <v>0</v>
      </c>
      <c r="DA37" s="587">
        <f>[1]COMMANDE!BA35</f>
        <v>0</v>
      </c>
      <c r="DB37" s="586" t="str">
        <f>_xlfn.IFS(AND($AI37=$AM37,$AI37&gt;0,$AM37&gt;0,DA37&gt;0), DA37,     AND(NOT($AI37=$AM37),$AI37&gt;0,$AM37&gt;0,DA37&gt;0), ($AM37*DA37)/$AI37,     AND($AI37=0,$AM37&gt;0,$AQ37&gt;0), IF(INDEX(DA$12:DA$263,MATCH($AQ37,$AP$12:$AP$263,0))&gt;0,($AM37*INDEX(DA$12:DA$263,MATCH($AQ37,$AP$12:$AP$263,0)))/INDEX($AI$12:$AI$263,MATCH($AQ37,$AP$12:$AP$263,0)), "-"),     TRUE, "0")</f>
        <v>0</v>
      </c>
      <c r="DC37" s="606">
        <f>IF(DB$9&gt;0, IF(OR(DB37="",DB37="-"), 0, DB37*$AT37), DA37*$AJ37)</f>
        <v>0</v>
      </c>
      <c r="DD37" s="584"/>
      <c r="DE37" s="583"/>
    </row>
    <row r="38" spans="1:109" ht="39.950000000000003" customHeight="1">
      <c r="A38" s="604">
        <f>IF(OR($AV38&gt;0, $AX38&gt;0), 1, 0)</f>
        <v>1</v>
      </c>
      <c r="B38" s="604">
        <f>IF(OR($AY38&gt;0, $BA38&gt;0), 1, 0)</f>
        <v>1</v>
      </c>
      <c r="C38" s="604">
        <f>IF(OR($BB38&gt;0, $BD38&gt;0), 1, 0)</f>
        <v>1</v>
      </c>
      <c r="D38" s="604">
        <f>IF(OR($BE38&gt;0, $BG38&gt;0), 1, 0)</f>
        <v>0</v>
      </c>
      <c r="E38" s="604">
        <f>IF(OR($BH38&gt;0, $BJ38&gt;0), 1, 0)</f>
        <v>0</v>
      </c>
      <c r="F38" s="604">
        <f>IF(OR($BK38&gt;0, $BM38&gt;0), 1, 0)</f>
        <v>0</v>
      </c>
      <c r="G38" s="604">
        <f>IF(OR($BN38&gt;0, $BP38&gt;0), 1, 0)</f>
        <v>0</v>
      </c>
      <c r="H38" s="604">
        <f>IF(OR($BQ38&gt;0, $BS38&gt;0), 1, 0)</f>
        <v>0</v>
      </c>
      <c r="I38" s="604">
        <f>IF(OR($BT38&gt;0, $BV38&gt;0), 1, 0)</f>
        <v>0</v>
      </c>
      <c r="J38" s="604">
        <f>IF(OR($BW38&gt;0, $BY38&gt;0), 1, 0)</f>
        <v>0</v>
      </c>
      <c r="K38" s="604">
        <f>IF(OR($BZ38&gt;0, $CB38&gt;0), 1, 0)</f>
        <v>0</v>
      </c>
      <c r="L38" s="604">
        <f>IF(OR($CC38&gt;0, $CE38&gt;0), 1, 0)</f>
        <v>0</v>
      </c>
      <c r="M38" s="604">
        <f>IF(OR($CF38&gt;0, $CH38&gt;0), 1, 0)</f>
        <v>0</v>
      </c>
      <c r="N38" s="604">
        <f>IF(OR($CI38&gt;0, $CK38&gt;0), 1, 0)</f>
        <v>0</v>
      </c>
      <c r="O38" s="604">
        <f>IF(OR($CL38&gt;0, $CN38&gt;0), 1, 0)</f>
        <v>0</v>
      </c>
      <c r="P38" s="604">
        <f>IF(OR($CO38&gt;0, $CQ38&gt;0), 1, 0)</f>
        <v>0</v>
      </c>
      <c r="Q38" s="604">
        <f>IF(OR($CR38&gt;0, $CT38&gt;0), 1, 0)</f>
        <v>0</v>
      </c>
      <c r="R38" s="604">
        <f>IF(OR($CU38&gt;0, $CW38&gt;0), 1, 0)</f>
        <v>0</v>
      </c>
      <c r="S38" s="604">
        <f>IF(OR($CX38&gt;0, $CZ38&gt;0), 1, 0)</f>
        <v>0</v>
      </c>
      <c r="T38" s="604">
        <f>IF(OR($DA38&gt;0, $DC38&gt;0), 1, 0)</f>
        <v>0</v>
      </c>
      <c r="U38" s="603">
        <f>IF(OR($AI38&gt;0,$AM38&gt;0,$AS38&gt;0), 1, 0)</f>
        <v>1</v>
      </c>
      <c r="V38" s="602">
        <f>[1]BDD!A28</f>
        <v>6139</v>
      </c>
      <c r="W38" s="601" t="str">
        <f>[1]BDD!B28</f>
        <v>Avocat Fuerte BIO (avec défauts superficiels sur peau, BIO depuis 1985, BIO Suisse depuis 2009)</v>
      </c>
      <c r="X38" s="600" t="str">
        <f>IF([1]BDD!F28=0, "", [1]BDD!F28)</f>
        <v>OFFRE</v>
      </c>
      <c r="Y38" s="542">
        <f>ROUND([1]BDD!G28+FDP_CMD_KG, 2)</f>
        <v>4.83</v>
      </c>
      <c r="Z38" s="542">
        <f>ROUND([1]BDD!G28+FDP_FACT_KG, 2)</f>
        <v>4.83</v>
      </c>
      <c r="AA38" s="543" t="str">
        <f>[1]BDD!H28</f>
        <v>kg</v>
      </c>
      <c r="AB38" s="544">
        <f>IF(NOT(ISBLANK([1]BDD!I28)), ROUND(SUM(([1]BDD!G28*reduc1),FDP_CMD_KG), 2), "")</f>
        <v>4.4400000000000004</v>
      </c>
      <c r="AC38" s="544">
        <f>IF(NOT(ISBLANK([1]BDD!J28)), ROUND(SUM(([1]BDD!G28*reduc2),FDP_CMD_KG), 2), "")</f>
        <v>4.04</v>
      </c>
      <c r="AD38" s="544">
        <f>IF(NOT(ISBLANK([1]BDD!K28)), ROUND(SUM(([1]BDD!G28*reduc3),FDP_CMD_KG), 2), "")</f>
        <v>3.65</v>
      </c>
      <c r="AE38" s="544">
        <f>IF(NOT(ISBLANK([1]BDD!I28)), ROUND(SUM(([1]BDD!G28*reduc1),FDP_FACT_KG), 2), "")</f>
        <v>4.43</v>
      </c>
      <c r="AF38" s="544">
        <f>IF(NOT(ISBLANK([1]BDD!J28)), ROUND(SUM(([1]BDD!G28*reduc2),FDP_FACT_KG), 2), "")</f>
        <v>4.03</v>
      </c>
      <c r="AG38" s="544">
        <f>IF(NOT(ISBLANK([1]BDD!K28)), ROUND(SUM(([1]BDD!G28*reduc3),FDP_FACT_KG), 2), "")</f>
        <v>3.64</v>
      </c>
      <c r="AH38" s="599" t="str">
        <f>[1]BDD!C28</f>
        <v>Malaga</v>
      </c>
      <c r="AI38" s="598">
        <f>SUM(AV38,AY38,BB38,BE38,BH38,BK38,BN38,BQ38,BT38,BW38,BZ38,CC38,CF38,CI38,CL38,CO38,CR38,CU38,CX38,DA38)</f>
        <v>5</v>
      </c>
      <c r="AJ38" s="545">
        <f>_xlfn.IFS($AD38&lt;&gt;"", $AD38,    $AC38&lt;&gt;"", $AC38,    $AB38&lt;&gt;"", $AB38,    TRUE, $Y38)</f>
        <v>3.65</v>
      </c>
      <c r="AK38" s="592">
        <f>$AI38*$AJ38</f>
        <v>18.25</v>
      </c>
      <c r="AL38" s="594"/>
      <c r="AM38" s="597">
        <v>5</v>
      </c>
      <c r="AN38" s="545">
        <f>_xlfn.IFS(AND(AM38&gt;=60,$AG38&lt;&gt;""), $AG38,    AND(AM38&gt;=30,$AF38&lt;&gt;""), $AF38,    AND(AM38&gt;=10,$AE38&lt;&gt;""), $AE38,    TRUE, $Z38)</f>
        <v>4.83</v>
      </c>
      <c r="AO38" s="596">
        <f>AM38*AN38</f>
        <v>24.15</v>
      </c>
      <c r="AP38" s="595"/>
      <c r="AQ38" s="595"/>
      <c r="AR38" s="594"/>
      <c r="AS38" s="593">
        <f>SUM(AW38,AZ38,BC38,BF38,BI38,BL38,BO38,BR38,BU38,BX38,CA38,CD38,CG38,CJ38,CM38,CP38,CS38,CV38,CY38,DB38)</f>
        <v>5</v>
      </c>
      <c r="AT38" s="545">
        <f>_xlfn.IFS(AND(AS38&gt;=60,$AG38&lt;&gt;""), $AG38,    AND(AS38&gt;=30,$AF38&lt;&gt;""), $AF38,    AND(AS38&gt;=10,$AE38&lt;&gt;""), $AE38,    TRUE, $Z38)</f>
        <v>4.83</v>
      </c>
      <c r="AU38" s="592">
        <f>$AS38*$AT38</f>
        <v>24.15</v>
      </c>
      <c r="AV38" s="591">
        <f>[1]COMMANDE!O36</f>
        <v>2</v>
      </c>
      <c r="AW38" s="586">
        <f>_xlfn.IFS(AND($AI38=$AM38,$AI38&gt;0,$AM38&gt;0,AV38&gt;0), AV38,     AND(NOT($AI38=$AM38),$AI38&gt;0,$AM38&gt;0,AV38&gt;0), ($AM38*AV38)/$AI38,     AND($AI38=0,$AM38&gt;0,$AQ38&gt;0), IF(INDEX(AV$12:AV$263,MATCH($AQ38,$AP$12:$AP$263,0))&gt;0,($AM38*INDEX(AV$12:AV$263,MATCH($AQ38,$AP$12:$AP$263,0)))/INDEX($AI$12:$AI$263,MATCH($AQ38,$AP$12:$AP$263,0)), "-"),     TRUE, "0")</f>
        <v>2</v>
      </c>
      <c r="AX38" s="588">
        <f>IF(AW$9&gt;0, IF(OR(AW38="",AW38="-"), 0, AW38*$AT38), AV38*$AJ38)</f>
        <v>9.66</v>
      </c>
      <c r="AY38" s="587">
        <f>[1]COMMANDE!Q36</f>
        <v>2</v>
      </c>
      <c r="AZ38" s="586">
        <f>_xlfn.IFS(AND($AI38=$AM38,$AI38&gt;0,$AM38&gt;0,AY38&gt;0), AY38,     AND(NOT($AI38=$AM38),$AI38&gt;0,$AM38&gt;0,AY38&gt;0), ($AM38*AY38)/$AI38,     AND($AI38=0,$AM38&gt;0,$AQ38&gt;0), IF(INDEX(AY$12:AY$263,MATCH($AQ38,$AP$12:$AP$263,0))&gt;0,($AM38*INDEX(AY$12:AY$263,MATCH($AQ38,$AP$12:$AP$263,0)))/INDEX($AI$12:$AI$263,MATCH($AQ38,$AP$12:$AP$263,0)), "-"),     TRUE, "0")</f>
        <v>2</v>
      </c>
      <c r="BA38" s="607">
        <f>IF(AZ$9&gt;0, IF(OR(AZ38="",AZ38="-"), 0, AZ38*$AT38), AY38*$AJ38)</f>
        <v>9.66</v>
      </c>
      <c r="BB38" s="589">
        <f>[1]COMMANDE!S36</f>
        <v>1</v>
      </c>
      <c r="BC38" s="586">
        <f>_xlfn.IFS(AND($AI38=$AM38,$AI38&gt;0,$AM38&gt;0,BB38&gt;0), BB38,     AND(NOT($AI38=$AM38),$AI38&gt;0,$AM38&gt;0,BB38&gt;0), ($AM38*BB38)/$AI38,     AND($AI38=0,$AM38&gt;0,$AQ38&gt;0), IF(INDEX(BB$12:BB$263,MATCH($AQ38,$AP$12:$AP$263,0))&gt;0,($AM38*INDEX(BB$12:BB$263,MATCH($AQ38,$AP$12:$AP$263,0)))/INDEX($AI$12:$AI$263,MATCH($AQ38,$AP$12:$AP$263,0)), "-"),     TRUE, "0")</f>
        <v>1</v>
      </c>
      <c r="BD38" s="588">
        <f>IF(BC$9&gt;0, IF(OR(BC38="",BC38="-"), 0, BC38*$AT38), BB38*$AJ38)</f>
        <v>4.83</v>
      </c>
      <c r="BE38" s="587">
        <f>[1]COMMANDE!U36</f>
        <v>0</v>
      </c>
      <c r="BF38" s="586" t="str">
        <f>_xlfn.IFS(AND($AI38=$AM38,$AI38&gt;0,$AM38&gt;0,BE38&gt;0), BE38,     AND(NOT($AI38=$AM38),$AI38&gt;0,$AM38&gt;0,BE38&gt;0), ($AM38*BE38)/$AI38,     AND($AI38=0,$AM38&gt;0,$AQ38&gt;0), IF(INDEX(BE$12:BE$263,MATCH($AQ38,$AP$12:$AP$263,0))&gt;0,($AM38*INDEX(BE$12:BE$263,MATCH($AQ38,$AP$12:$AP$263,0)))/INDEX($AI$12:$AI$263,MATCH($AQ38,$AP$12:$AP$263,0)), "-"),     TRUE, "0")</f>
        <v>0</v>
      </c>
      <c r="BG38" s="607">
        <f>IF(BF$9&gt;0, IF(OR(BF38="",BF38="-"), 0, BF38*$AT38), BE38*$AJ38)</f>
        <v>0</v>
      </c>
      <c r="BH38" s="589">
        <f>[1]COMMANDE!W36</f>
        <v>0</v>
      </c>
      <c r="BI38" s="586" t="str">
        <f>_xlfn.IFS(AND($AI38=$AM38,$AI38&gt;0,$AM38&gt;0,BH38&gt;0), BH38,     AND(NOT($AI38=$AM38),$AI38&gt;0,$AM38&gt;0,BH38&gt;0), ($AM38*BH38)/$AI38,     AND($AI38=0,$AM38&gt;0,$AQ38&gt;0), IF(INDEX(BH$12:BH$263,MATCH($AQ38,$AP$12:$AP$263,0))&gt;0,($AM38*INDEX(BH$12:BH$263,MATCH($AQ38,$AP$12:$AP$263,0)))/INDEX($AI$12:$AI$263,MATCH($AQ38,$AP$12:$AP$263,0)), "-"),     TRUE, "0")</f>
        <v>0</v>
      </c>
      <c r="BJ38" s="588">
        <f>IF(BI$9&gt;0, IF(OR(BI38="",BI38="-"), 0, BI38*$AT38), BH38*$AJ38)</f>
        <v>0</v>
      </c>
      <c r="BK38" s="587">
        <f>[1]COMMANDE!Y36</f>
        <v>0</v>
      </c>
      <c r="BL38" s="586" t="str">
        <f>_xlfn.IFS(AND($AI38=$AM38,$AI38&gt;0,$AM38&gt;0,BK38&gt;0), BK38,     AND(NOT($AI38=$AM38),$AI38&gt;0,$AM38&gt;0,BK38&gt;0), ($AM38*BK38)/$AI38,     AND($AI38=0,$AM38&gt;0,$AQ38&gt;0), IF(INDEX(BK$12:BK$263,MATCH($AQ38,$AP$12:$AP$263,0))&gt;0,($AM38*INDEX(BK$12:BK$263,MATCH($AQ38,$AP$12:$AP$263,0)))/INDEX($AI$12:$AI$263,MATCH($AQ38,$AP$12:$AP$263,0)), "-"),     TRUE, "0")</f>
        <v>0</v>
      </c>
      <c r="BM38" s="607">
        <f>IF(BL$9&gt;0, IF(OR(BL38="",BL38="-"), 0, BL38*$AT38), BK38*$AJ38)</f>
        <v>0</v>
      </c>
      <c r="BN38" s="589">
        <f>[1]COMMANDE!AA36</f>
        <v>0</v>
      </c>
      <c r="BO38" s="586" t="str">
        <f>_xlfn.IFS(AND($AI38=$AM38,$AI38&gt;0,$AM38&gt;0,BN38&gt;0), BN38,     AND(NOT($AI38=$AM38),$AI38&gt;0,$AM38&gt;0,BN38&gt;0), ($AM38*BN38)/$AI38,     AND($AI38=0,$AM38&gt;0,$AQ38&gt;0), IF(INDEX(BN$12:BN$263,MATCH($AQ38,$AP$12:$AP$263,0))&gt;0,($AM38*INDEX(BN$12:BN$263,MATCH($AQ38,$AP$12:$AP$263,0)))/INDEX($AI$12:$AI$263,MATCH($AQ38,$AP$12:$AP$263,0)), "-"),     TRUE, "0")</f>
        <v>0</v>
      </c>
      <c r="BP38" s="588">
        <f>IF(BO$9&gt;0, IF(OR(BO38="",BO38="-"), 0, BO38*$AT38), BN38*$AJ38)</f>
        <v>0</v>
      </c>
      <c r="BQ38" s="587">
        <f>[1]COMMANDE!AC36</f>
        <v>0</v>
      </c>
      <c r="BR38" s="586" t="str">
        <f>_xlfn.IFS(AND($AI38=$AM38,$AI38&gt;0,$AM38&gt;0,BQ38&gt;0), BQ38,     AND(NOT($AI38=$AM38),$AI38&gt;0,$AM38&gt;0,BQ38&gt;0), ($AM38*BQ38)/$AI38,     AND($AI38=0,$AM38&gt;0,$AQ38&gt;0), IF(INDEX(BQ$12:BQ$263,MATCH($AQ38,$AP$12:$AP$263,0))&gt;0,($AM38*INDEX(BQ$12:BQ$263,MATCH($AQ38,$AP$12:$AP$263,0)))/INDEX($AI$12:$AI$263,MATCH($AQ38,$AP$12:$AP$263,0)), "-"),     TRUE, "0")</f>
        <v>0</v>
      </c>
      <c r="BS38" s="607">
        <f>IF(BR$9&gt;0, IF(OR(BR38="",BR38="-"), 0, BR38*$AT38), BQ38*$AJ38)</f>
        <v>0</v>
      </c>
      <c r="BT38" s="589">
        <f>[1]COMMANDE!AE36</f>
        <v>0</v>
      </c>
      <c r="BU38" s="586" t="str">
        <f>_xlfn.IFS(AND($AI38=$AM38,$AI38&gt;0,$AM38&gt;0,BT38&gt;0), BT38,     AND(NOT($AI38=$AM38),$AI38&gt;0,$AM38&gt;0,BT38&gt;0), ($AM38*BT38)/$AI38,     AND($AI38=0,$AM38&gt;0,$AQ38&gt;0), IF(INDEX(BT$12:BT$263,MATCH($AQ38,$AP$12:$AP$263,0))&gt;0,($AM38*INDEX(BT$12:BT$263,MATCH($AQ38,$AP$12:$AP$263,0)))/INDEX($AI$12:$AI$263,MATCH($AQ38,$AP$12:$AP$263,0)), "-"),     TRUE, "0")</f>
        <v>0</v>
      </c>
      <c r="BV38" s="588">
        <f>IF(BU$9&gt;0, IF(OR(BU38="",BU38="-"), 0, BU38*$AT38), BT38*$AJ38)</f>
        <v>0</v>
      </c>
      <c r="BW38" s="587">
        <f>[1]COMMANDE!AG36</f>
        <v>0</v>
      </c>
      <c r="BX38" s="586" t="str">
        <f>_xlfn.IFS(AND($AI38=$AM38,$AI38&gt;0,$AM38&gt;0,BW38&gt;0), BW38,     AND(NOT($AI38=$AM38),$AI38&gt;0,$AM38&gt;0,BW38&gt;0), ($AM38*BW38)/$AI38,     AND($AI38=0,$AM38&gt;0,$AQ38&gt;0), IF(INDEX(BW$12:BW$263,MATCH($AQ38,$AP$12:$AP$263,0))&gt;0,($AM38*INDEX(BW$12:BW$263,MATCH($AQ38,$AP$12:$AP$263,0)))/INDEX($AI$12:$AI$263,MATCH($AQ38,$AP$12:$AP$263,0)), "-"),     TRUE, "0")</f>
        <v>0</v>
      </c>
      <c r="BY38" s="607">
        <f>IF(BX$9&gt;0, IF(OR(BX38="",BX38="-"), 0, BX38*$AT38), BW38*$AJ38)</f>
        <v>0</v>
      </c>
      <c r="BZ38" s="589">
        <f>[1]COMMANDE!AI36</f>
        <v>0</v>
      </c>
      <c r="CA38" s="586" t="str">
        <f>_xlfn.IFS(AND($AI38=$AM38,$AI38&gt;0,$AM38&gt;0,BZ38&gt;0), BZ38,     AND(NOT($AI38=$AM38),$AI38&gt;0,$AM38&gt;0,BZ38&gt;0), ($AM38*BZ38)/$AI38,     AND($AI38=0,$AM38&gt;0,$AQ38&gt;0), IF(INDEX(BZ$12:BZ$263,MATCH($AQ38,$AP$12:$AP$263,0))&gt;0,($AM38*INDEX(BZ$12:BZ$263,MATCH($AQ38,$AP$12:$AP$263,0)))/INDEX($AI$12:$AI$263,MATCH($AQ38,$AP$12:$AP$263,0)), "-"),     TRUE, "0")</f>
        <v>0</v>
      </c>
      <c r="CB38" s="588">
        <f>IF(CA$9&gt;0, IF(OR(CA38="",CA38="-"), 0, CA38*$AT38), BZ38*$AJ38)</f>
        <v>0</v>
      </c>
      <c r="CC38" s="587">
        <f>[1]COMMANDE!AK36</f>
        <v>0</v>
      </c>
      <c r="CD38" s="586" t="str">
        <f>_xlfn.IFS(AND($AI38=$AM38,$AI38&gt;0,$AM38&gt;0,CC38&gt;0), CC38,     AND(NOT($AI38=$AM38),$AI38&gt;0,$AM38&gt;0,CC38&gt;0), ($AM38*CC38)/$AI38,     AND($AI38=0,$AM38&gt;0,$AQ38&gt;0), IF(INDEX(CC$12:CC$263,MATCH($AQ38,$AP$12:$AP$263,0))&gt;0,($AM38*INDEX(CC$12:CC$263,MATCH($AQ38,$AP$12:$AP$263,0)))/INDEX($AI$12:$AI$263,MATCH($AQ38,$AP$12:$AP$263,0)), "-"),     TRUE, "0")</f>
        <v>0</v>
      </c>
      <c r="CE38" s="607">
        <f>IF(CD$9&gt;0, IF(OR(CD38="",CD38="-"), 0, CD38*$AT38), CC38*$AJ38)</f>
        <v>0</v>
      </c>
      <c r="CF38" s="589">
        <f>[1]COMMANDE!AM36</f>
        <v>0</v>
      </c>
      <c r="CG38" s="586" t="str">
        <f>_xlfn.IFS(AND($AI38=$AM38,$AI38&gt;0,$AM38&gt;0,CF38&gt;0), CF38,     AND(NOT($AI38=$AM38),$AI38&gt;0,$AM38&gt;0,CF38&gt;0), ($AM38*CF38)/$AI38,     AND($AI38=0,$AM38&gt;0,$AQ38&gt;0), IF(INDEX(CF$12:CF$263,MATCH($AQ38,$AP$12:$AP$263,0))&gt;0,($AM38*INDEX(CF$12:CF$263,MATCH($AQ38,$AP$12:$AP$263,0)))/INDEX($AI$12:$AI$263,MATCH($AQ38,$AP$12:$AP$263,0)), "-"),     TRUE, "0")</f>
        <v>0</v>
      </c>
      <c r="CH38" s="588">
        <f>IF(CG$9&gt;0, IF(OR(CG38="",CG38="-"), 0, CG38*$AT38), CF38*$AJ38)</f>
        <v>0</v>
      </c>
      <c r="CI38" s="587">
        <f>[1]COMMANDE!AO36</f>
        <v>0</v>
      </c>
      <c r="CJ38" s="586" t="str">
        <f>_xlfn.IFS(AND($AI38=$AM38,$AI38&gt;0,$AM38&gt;0,CI38&gt;0), CI38,     AND(NOT($AI38=$AM38),$AI38&gt;0,$AM38&gt;0,CI38&gt;0), ($AM38*CI38)/$AI38,     AND($AI38=0,$AM38&gt;0,$AQ38&gt;0), IF(INDEX(CI$12:CI$263,MATCH($AQ38,$AP$12:$AP$263,0))&gt;0,($AM38*INDEX(CI$12:CI$263,MATCH($AQ38,$AP$12:$AP$263,0)))/INDEX($AI$12:$AI$263,MATCH($AQ38,$AP$12:$AP$263,0)), "-"),     TRUE, "0")</f>
        <v>0</v>
      </c>
      <c r="CK38" s="607">
        <f>IF(CJ$9&gt;0, IF(OR(CJ38="",CJ38="-"), 0, CJ38*$AT38), CI38*$AJ38)</f>
        <v>0</v>
      </c>
      <c r="CL38" s="589">
        <f>[1]COMMANDE!AQ36</f>
        <v>0</v>
      </c>
      <c r="CM38" s="586" t="str">
        <f>_xlfn.IFS(AND($AI38=$AM38,$AI38&gt;0,$AM38&gt;0,CL38&gt;0), CL38,     AND(NOT($AI38=$AM38),$AI38&gt;0,$AM38&gt;0,CL38&gt;0), ($AM38*CL38)/$AI38,     AND($AI38=0,$AM38&gt;0,$AQ38&gt;0), IF(INDEX(CL$12:CL$263,MATCH($AQ38,$AP$12:$AP$263,0))&gt;0,($AM38*INDEX(CL$12:CL$263,MATCH($AQ38,$AP$12:$AP$263,0)))/INDEX($AI$12:$AI$263,MATCH($AQ38,$AP$12:$AP$263,0)), "-"),     TRUE, "0")</f>
        <v>0</v>
      </c>
      <c r="CN38" s="588">
        <f>IF(CM$9&gt;0, IF(OR(CM38="",CM38="-"), 0, CM38*$AT38), CL38*$AJ38)</f>
        <v>0</v>
      </c>
      <c r="CO38" s="587">
        <f>[1]COMMANDE!AS36</f>
        <v>0</v>
      </c>
      <c r="CP38" s="586" t="str">
        <f>_xlfn.IFS(AND($AI38=$AM38,$AI38&gt;0,$AM38&gt;0,CO38&gt;0), CO38,     AND(NOT($AI38=$AM38),$AI38&gt;0,$AM38&gt;0,CO38&gt;0), ($AM38*CO38)/$AI38,     AND($AI38=0,$AM38&gt;0,$AQ38&gt;0), IF(INDEX(CO$12:CO$263,MATCH($AQ38,$AP$12:$AP$263,0))&gt;0,($AM38*INDEX(CO$12:CO$263,MATCH($AQ38,$AP$12:$AP$263,0)))/INDEX($AI$12:$AI$263,MATCH($AQ38,$AP$12:$AP$263,0)), "-"),     TRUE, "0")</f>
        <v>0</v>
      </c>
      <c r="CQ38" s="607">
        <f>IF(CP$9&gt;0, IF(OR(CP38="",CP38="-"), 0, CP38*$AT38), CO38*$AJ38)</f>
        <v>0</v>
      </c>
      <c r="CR38" s="589">
        <f>[1]COMMANDE!AU36</f>
        <v>0</v>
      </c>
      <c r="CS38" s="586" t="str">
        <f>_xlfn.IFS(AND($AI38=$AM38,$AI38&gt;0,$AM38&gt;0,CR38&gt;0), CR38,     AND(NOT($AI38=$AM38),$AI38&gt;0,$AM38&gt;0,CR38&gt;0), ($AM38*CR38)/$AI38,     AND($AI38=0,$AM38&gt;0,$AQ38&gt;0), IF(INDEX(CR$12:CR$263,MATCH($AQ38,$AP$12:$AP$263,0))&gt;0,($AM38*INDEX(CR$12:CR$263,MATCH($AQ38,$AP$12:$AP$263,0)))/INDEX($AI$12:$AI$263,MATCH($AQ38,$AP$12:$AP$263,0)), "-"),     TRUE, "0")</f>
        <v>0</v>
      </c>
      <c r="CT38" s="588">
        <f>IF(CS$9&gt;0, IF(OR(CS38="",CS38="-"), 0, CS38*$AT38), CR38*$AJ38)</f>
        <v>0</v>
      </c>
      <c r="CU38" s="587">
        <f>[1]COMMANDE!AW36</f>
        <v>0</v>
      </c>
      <c r="CV38" s="586" t="str">
        <f>_xlfn.IFS(AND($AI38=$AM38,$AI38&gt;0,$AM38&gt;0,CU38&gt;0), CU38,     AND(NOT($AI38=$AM38),$AI38&gt;0,$AM38&gt;0,CU38&gt;0), ($AM38*CU38)/$AI38,     AND($AI38=0,$AM38&gt;0,$AQ38&gt;0), IF(INDEX(CU$12:CU$263,MATCH($AQ38,$AP$12:$AP$263,0))&gt;0,($AM38*INDEX(CU$12:CU$263,MATCH($AQ38,$AP$12:$AP$263,0)))/INDEX($AI$12:$AI$263,MATCH($AQ38,$AP$12:$AP$263,0)), "-"),     TRUE, "0")</f>
        <v>0</v>
      </c>
      <c r="CW38" s="607">
        <f>IF(CV$9&gt;0, IF(OR(CV38="",CV38="-"), 0, CV38*$AT38), CU38*$AJ38)</f>
        <v>0</v>
      </c>
      <c r="CX38" s="589">
        <f>[1]COMMANDE!AY36</f>
        <v>0</v>
      </c>
      <c r="CY38" s="586" t="str">
        <f>_xlfn.IFS(AND($AI38=$AM38,$AI38&gt;0,$AM38&gt;0,CX38&gt;0), CX38,     AND(NOT($AI38=$AM38),$AI38&gt;0,$AM38&gt;0,CX38&gt;0), ($AM38*CX38)/$AI38,     AND($AI38=0,$AM38&gt;0,$AQ38&gt;0), IF(INDEX(CX$12:CX$263,MATCH($AQ38,$AP$12:$AP$263,0))&gt;0,($AM38*INDEX(CX$12:CX$263,MATCH($AQ38,$AP$12:$AP$263,0)))/INDEX($AI$12:$AI$263,MATCH($AQ38,$AP$12:$AP$263,0)), "-"),     TRUE, "0")</f>
        <v>0</v>
      </c>
      <c r="CZ38" s="588">
        <f>IF(CY$9&gt;0, IF(OR(CY38="",CY38="-"), 0, CY38*$AT38), CX38*$AJ38)</f>
        <v>0</v>
      </c>
      <c r="DA38" s="587">
        <f>[1]COMMANDE!BA36</f>
        <v>0</v>
      </c>
      <c r="DB38" s="586" t="str">
        <f>_xlfn.IFS(AND($AI38=$AM38,$AI38&gt;0,$AM38&gt;0,DA38&gt;0), DA38,     AND(NOT($AI38=$AM38),$AI38&gt;0,$AM38&gt;0,DA38&gt;0), ($AM38*DA38)/$AI38,     AND($AI38=0,$AM38&gt;0,$AQ38&gt;0), IF(INDEX(DA$12:DA$263,MATCH($AQ38,$AP$12:$AP$263,0))&gt;0,($AM38*INDEX(DA$12:DA$263,MATCH($AQ38,$AP$12:$AP$263,0)))/INDEX($AI$12:$AI$263,MATCH($AQ38,$AP$12:$AP$263,0)), "-"),     TRUE, "0")</f>
        <v>0</v>
      </c>
      <c r="DC38" s="606">
        <f>IF(DB$9&gt;0, IF(OR(DB38="",DB38="-"), 0, DB38*$AT38), DA38*$AJ38)</f>
        <v>0</v>
      </c>
      <c r="DD38" s="584"/>
      <c r="DE38" s="583"/>
    </row>
    <row r="39" spans="1:109" ht="39.950000000000003" hidden="1" customHeight="1">
      <c r="A39" s="604">
        <f>IF(OR($AV39&gt;0, $AX39&gt;0), 1, 0)</f>
        <v>0</v>
      </c>
      <c r="B39" s="604">
        <f>IF(OR($AY39&gt;0, $BA39&gt;0), 1, 0)</f>
        <v>0</v>
      </c>
      <c r="C39" s="604">
        <f>IF(OR($BB39&gt;0, $BD39&gt;0), 1, 0)</f>
        <v>0</v>
      </c>
      <c r="D39" s="604">
        <f>IF(OR($BE39&gt;0, $BG39&gt;0), 1, 0)</f>
        <v>0</v>
      </c>
      <c r="E39" s="604">
        <f>IF(OR($BH39&gt;0, $BJ39&gt;0), 1, 0)</f>
        <v>0</v>
      </c>
      <c r="F39" s="604">
        <f>IF(OR($BK39&gt;0, $BM39&gt;0), 1, 0)</f>
        <v>0</v>
      </c>
      <c r="G39" s="604">
        <f>IF(OR($BN39&gt;0, $BP39&gt;0), 1, 0)</f>
        <v>0</v>
      </c>
      <c r="H39" s="604">
        <f>IF(OR($BQ39&gt;0, $BS39&gt;0), 1, 0)</f>
        <v>0</v>
      </c>
      <c r="I39" s="604">
        <f>IF(OR($BT39&gt;0, $BV39&gt;0), 1, 0)</f>
        <v>0</v>
      </c>
      <c r="J39" s="604">
        <f>IF(OR($BW39&gt;0, $BY39&gt;0), 1, 0)</f>
        <v>0</v>
      </c>
      <c r="K39" s="604">
        <f>IF(OR($BZ39&gt;0, $CB39&gt;0), 1, 0)</f>
        <v>0</v>
      </c>
      <c r="L39" s="604">
        <f>IF(OR($CC39&gt;0, $CE39&gt;0), 1, 0)</f>
        <v>0</v>
      </c>
      <c r="M39" s="604">
        <f>IF(OR($CF39&gt;0, $CH39&gt;0), 1, 0)</f>
        <v>0</v>
      </c>
      <c r="N39" s="604">
        <f>IF(OR($CI39&gt;0, $CK39&gt;0), 1, 0)</f>
        <v>0</v>
      </c>
      <c r="O39" s="604">
        <f>IF(OR($CL39&gt;0, $CN39&gt;0), 1, 0)</f>
        <v>0</v>
      </c>
      <c r="P39" s="604">
        <f>IF(OR($CO39&gt;0, $CQ39&gt;0), 1, 0)</f>
        <v>0</v>
      </c>
      <c r="Q39" s="604">
        <f>IF(OR($CR39&gt;0, $CT39&gt;0), 1, 0)</f>
        <v>0</v>
      </c>
      <c r="R39" s="604">
        <f>IF(OR($CU39&gt;0, $CW39&gt;0), 1, 0)</f>
        <v>0</v>
      </c>
      <c r="S39" s="604">
        <f>IF(OR($CX39&gt;0, $CZ39&gt;0), 1, 0)</f>
        <v>0</v>
      </c>
      <c r="T39" s="604">
        <f>IF(OR($DA39&gt;0, $DC39&gt;0), 1, 0)</f>
        <v>0</v>
      </c>
      <c r="U39" s="603">
        <f>IF(OR($AI39&gt;0,$AM39&gt;0,$AS39&gt;0), 1, 0)</f>
        <v>0</v>
      </c>
      <c r="V39" s="602">
        <f>[1]BDD!A29</f>
        <v>6139</v>
      </c>
      <c r="W39" s="601" t="str">
        <f>[1]BDD!B29</f>
        <v>Avocat Fuerte BIO (petit, BIO depuis 1985, BIO Suisse depuis 2009)</v>
      </c>
      <c r="X39" s="600" t="str">
        <f>IF([1]BDD!F29=0, "", [1]BDD!F29)</f>
        <v/>
      </c>
      <c r="Y39" s="542">
        <f>ROUND([1]BDD!G29+FDP_CMD_KG, 2)</f>
        <v>4.6900000000000004</v>
      </c>
      <c r="Z39" s="542">
        <f>ROUND([1]BDD!G29+FDP_FACT_KG, 2)</f>
        <v>4.6900000000000004</v>
      </c>
      <c r="AA39" s="543" t="str">
        <f>[1]BDD!H29</f>
        <v>kg</v>
      </c>
      <c r="AB39" s="544">
        <f>IF(NOT(ISBLANK([1]BDD!I29)), ROUND(SUM(([1]BDD!G29*reduc1),FDP_CMD_KG), 2), "")</f>
        <v>4.3099999999999996</v>
      </c>
      <c r="AC39" s="544">
        <f>IF(NOT(ISBLANK([1]BDD!J29)), ROUND(SUM(([1]BDD!G29*reduc2),FDP_CMD_KG), 2), "")</f>
        <v>3.93</v>
      </c>
      <c r="AD39" s="544">
        <f>IF(NOT(ISBLANK([1]BDD!K29)), ROUND(SUM(([1]BDD!G29*reduc3),FDP_CMD_KG), 2), "")</f>
        <v>3.55</v>
      </c>
      <c r="AE39" s="544">
        <f>IF(NOT(ISBLANK([1]BDD!I29)), ROUND(SUM(([1]BDD!G29*reduc1),FDP_FACT_KG), 2), "")</f>
        <v>4.3</v>
      </c>
      <c r="AF39" s="544">
        <f>IF(NOT(ISBLANK([1]BDD!J29)), ROUND(SUM(([1]BDD!G29*reduc2),FDP_FACT_KG), 2), "")</f>
        <v>3.92</v>
      </c>
      <c r="AG39" s="544">
        <f>IF(NOT(ISBLANK([1]BDD!K29)), ROUND(SUM(([1]BDD!G29*reduc3),FDP_FACT_KG), 2), "")</f>
        <v>3.54</v>
      </c>
      <c r="AH39" s="599" t="str">
        <f>[1]BDD!C29</f>
        <v>Malaga</v>
      </c>
      <c r="AI39" s="598">
        <f>SUM(AV39,AY39,BB39,BE39,BH39,BK39,BN39,BQ39,BT39,BW39,BZ39,CC39,CF39,CI39,CL39,CO39,CR39,CU39,CX39,DA39)</f>
        <v>0</v>
      </c>
      <c r="AJ39" s="545">
        <f>_xlfn.IFS($AD39&lt;&gt;"", $AD39,    $AC39&lt;&gt;"", $AC39,    $AB39&lt;&gt;"", $AB39,    TRUE, $Y39)</f>
        <v>3.55</v>
      </c>
      <c r="AK39" s="592">
        <f>$AI39*$AJ39</f>
        <v>0</v>
      </c>
      <c r="AL39" s="594"/>
      <c r="AM39" s="597"/>
      <c r="AN39" s="545">
        <f>_xlfn.IFS(AND(AM39&gt;=60,$AG39&lt;&gt;""), $AG39,    AND(AM39&gt;=30,$AF39&lt;&gt;""), $AF39,    AND(AM39&gt;=10,$AE39&lt;&gt;""), $AE39,    TRUE, $Z39)</f>
        <v>4.6900000000000004</v>
      </c>
      <c r="AO39" s="596">
        <f>AM39*AN39</f>
        <v>0</v>
      </c>
      <c r="AP39" s="595"/>
      <c r="AQ39" s="595"/>
      <c r="AR39" s="594"/>
      <c r="AS39" s="593">
        <f>SUM(AW39,AZ39,BC39,BF39,BI39,BL39,BO39,BR39,BU39,BX39,CA39,CD39,CG39,CJ39,CM39,CP39,CS39,CV39,CY39,DB39)</f>
        <v>0</v>
      </c>
      <c r="AT39" s="545">
        <f>_xlfn.IFS(AND(AS39&gt;=60,$AG39&lt;&gt;""), $AG39,    AND(AS39&gt;=30,$AF39&lt;&gt;""), $AF39,    AND(AS39&gt;=10,$AE39&lt;&gt;""), $AE39,    TRUE, $Z39)</f>
        <v>4.6900000000000004</v>
      </c>
      <c r="AU39" s="592">
        <f>$AS39*$AT39</f>
        <v>0</v>
      </c>
      <c r="AV39" s="591">
        <f>[1]COMMANDE!O37</f>
        <v>0</v>
      </c>
      <c r="AW39" s="586" t="str">
        <f>_xlfn.IFS(AND($AI39=$AM39,$AI39&gt;0,$AM39&gt;0,AV39&gt;0), AV39,     AND(NOT($AI39=$AM39),$AI39&gt;0,$AM39&gt;0,AV39&gt;0), ($AM39*AV39)/$AI39,     AND($AI39=0,$AM39&gt;0,$AQ39&gt;0), IF(INDEX(AV$12:AV$263,MATCH($AQ39,$AP$12:$AP$263,0))&gt;0,($AM39*INDEX(AV$12:AV$263,MATCH($AQ39,$AP$12:$AP$263,0)))/INDEX($AI$12:$AI$263,MATCH($AQ39,$AP$12:$AP$263,0)), "-"),     TRUE, "0")</f>
        <v>0</v>
      </c>
      <c r="AX39" s="588">
        <f>IF(AW$9&gt;0, IF(OR(AW39="",AW39="-"), 0, AW39*$AT39), AV39*$AJ39)</f>
        <v>0</v>
      </c>
      <c r="AY39" s="587">
        <f>[1]COMMANDE!Q37</f>
        <v>0</v>
      </c>
      <c r="AZ39" s="586" t="str">
        <f>_xlfn.IFS(AND($AI39=$AM39,$AI39&gt;0,$AM39&gt;0,AY39&gt;0), AY39,     AND(NOT($AI39=$AM39),$AI39&gt;0,$AM39&gt;0,AY39&gt;0), ($AM39*AY39)/$AI39,     AND($AI39=0,$AM39&gt;0,$AQ39&gt;0), IF(INDEX(AY$12:AY$263,MATCH($AQ39,$AP$12:$AP$263,0))&gt;0,($AM39*INDEX(AY$12:AY$263,MATCH($AQ39,$AP$12:$AP$263,0)))/INDEX($AI$12:$AI$263,MATCH($AQ39,$AP$12:$AP$263,0)), "-"),     TRUE, "0")</f>
        <v>0</v>
      </c>
      <c r="BA39" s="607">
        <f>IF(AZ$9&gt;0, IF(OR(AZ39="",AZ39="-"), 0, AZ39*$AT39), AY39*$AJ39)</f>
        <v>0</v>
      </c>
      <c r="BB39" s="589">
        <f>[1]COMMANDE!S37</f>
        <v>0</v>
      </c>
      <c r="BC39" s="586" t="str">
        <f>_xlfn.IFS(AND($AI39=$AM39,$AI39&gt;0,$AM39&gt;0,BB39&gt;0), BB39,     AND(NOT($AI39=$AM39),$AI39&gt;0,$AM39&gt;0,BB39&gt;0), ($AM39*BB39)/$AI39,     AND($AI39=0,$AM39&gt;0,$AQ39&gt;0), IF(INDEX(BB$12:BB$263,MATCH($AQ39,$AP$12:$AP$263,0))&gt;0,($AM39*INDEX(BB$12:BB$263,MATCH($AQ39,$AP$12:$AP$263,0)))/INDEX($AI$12:$AI$263,MATCH($AQ39,$AP$12:$AP$263,0)), "-"),     TRUE, "0")</f>
        <v>0</v>
      </c>
      <c r="BD39" s="588">
        <f>IF(BC$9&gt;0, IF(OR(BC39="",BC39="-"), 0, BC39*$AT39), BB39*$AJ39)</f>
        <v>0</v>
      </c>
      <c r="BE39" s="587">
        <f>[1]COMMANDE!U37</f>
        <v>0</v>
      </c>
      <c r="BF39" s="586" t="str">
        <f>_xlfn.IFS(AND($AI39=$AM39,$AI39&gt;0,$AM39&gt;0,BE39&gt;0), BE39,     AND(NOT($AI39=$AM39),$AI39&gt;0,$AM39&gt;0,BE39&gt;0), ($AM39*BE39)/$AI39,     AND($AI39=0,$AM39&gt;0,$AQ39&gt;0), IF(INDEX(BE$12:BE$263,MATCH($AQ39,$AP$12:$AP$263,0))&gt;0,($AM39*INDEX(BE$12:BE$263,MATCH($AQ39,$AP$12:$AP$263,0)))/INDEX($AI$12:$AI$263,MATCH($AQ39,$AP$12:$AP$263,0)), "-"),     TRUE, "0")</f>
        <v>0</v>
      </c>
      <c r="BG39" s="607">
        <f>IF(BF$9&gt;0, IF(OR(BF39="",BF39="-"), 0, BF39*$AT39), BE39*$AJ39)</f>
        <v>0</v>
      </c>
      <c r="BH39" s="589">
        <f>[1]COMMANDE!W37</f>
        <v>0</v>
      </c>
      <c r="BI39" s="586" t="str">
        <f>_xlfn.IFS(AND($AI39=$AM39,$AI39&gt;0,$AM39&gt;0,BH39&gt;0), BH39,     AND(NOT($AI39=$AM39),$AI39&gt;0,$AM39&gt;0,BH39&gt;0), ($AM39*BH39)/$AI39,     AND($AI39=0,$AM39&gt;0,$AQ39&gt;0), IF(INDEX(BH$12:BH$263,MATCH($AQ39,$AP$12:$AP$263,0))&gt;0,($AM39*INDEX(BH$12:BH$263,MATCH($AQ39,$AP$12:$AP$263,0)))/INDEX($AI$12:$AI$263,MATCH($AQ39,$AP$12:$AP$263,0)), "-"),     TRUE, "0")</f>
        <v>0</v>
      </c>
      <c r="BJ39" s="588">
        <f>IF(BI$9&gt;0, IF(OR(BI39="",BI39="-"), 0, BI39*$AT39), BH39*$AJ39)</f>
        <v>0</v>
      </c>
      <c r="BK39" s="587">
        <f>[1]COMMANDE!Y37</f>
        <v>0</v>
      </c>
      <c r="BL39" s="586" t="str">
        <f>_xlfn.IFS(AND($AI39=$AM39,$AI39&gt;0,$AM39&gt;0,BK39&gt;0), BK39,     AND(NOT($AI39=$AM39),$AI39&gt;0,$AM39&gt;0,BK39&gt;0), ($AM39*BK39)/$AI39,     AND($AI39=0,$AM39&gt;0,$AQ39&gt;0), IF(INDEX(BK$12:BK$263,MATCH($AQ39,$AP$12:$AP$263,0))&gt;0,($AM39*INDEX(BK$12:BK$263,MATCH($AQ39,$AP$12:$AP$263,0)))/INDEX($AI$12:$AI$263,MATCH($AQ39,$AP$12:$AP$263,0)), "-"),     TRUE, "0")</f>
        <v>0</v>
      </c>
      <c r="BM39" s="607">
        <f>IF(BL$9&gt;0, IF(OR(BL39="",BL39="-"), 0, BL39*$AT39), BK39*$AJ39)</f>
        <v>0</v>
      </c>
      <c r="BN39" s="589">
        <f>[1]COMMANDE!AA37</f>
        <v>0</v>
      </c>
      <c r="BO39" s="586" t="str">
        <f>_xlfn.IFS(AND($AI39=$AM39,$AI39&gt;0,$AM39&gt;0,BN39&gt;0), BN39,     AND(NOT($AI39=$AM39),$AI39&gt;0,$AM39&gt;0,BN39&gt;0), ($AM39*BN39)/$AI39,     AND($AI39=0,$AM39&gt;0,$AQ39&gt;0), IF(INDEX(BN$12:BN$263,MATCH($AQ39,$AP$12:$AP$263,0))&gt;0,($AM39*INDEX(BN$12:BN$263,MATCH($AQ39,$AP$12:$AP$263,0)))/INDEX($AI$12:$AI$263,MATCH($AQ39,$AP$12:$AP$263,0)), "-"),     TRUE, "0")</f>
        <v>0</v>
      </c>
      <c r="BP39" s="588">
        <f>IF(BO$9&gt;0, IF(OR(BO39="",BO39="-"), 0, BO39*$AT39), BN39*$AJ39)</f>
        <v>0</v>
      </c>
      <c r="BQ39" s="587">
        <f>[1]COMMANDE!AC37</f>
        <v>0</v>
      </c>
      <c r="BR39" s="586" t="str">
        <f>_xlfn.IFS(AND($AI39=$AM39,$AI39&gt;0,$AM39&gt;0,BQ39&gt;0), BQ39,     AND(NOT($AI39=$AM39),$AI39&gt;0,$AM39&gt;0,BQ39&gt;0), ($AM39*BQ39)/$AI39,     AND($AI39=0,$AM39&gt;0,$AQ39&gt;0), IF(INDEX(BQ$12:BQ$263,MATCH($AQ39,$AP$12:$AP$263,0))&gt;0,($AM39*INDEX(BQ$12:BQ$263,MATCH($AQ39,$AP$12:$AP$263,0)))/INDEX($AI$12:$AI$263,MATCH($AQ39,$AP$12:$AP$263,0)), "-"),     TRUE, "0")</f>
        <v>0</v>
      </c>
      <c r="BS39" s="607">
        <f>IF(BR$9&gt;0, IF(OR(BR39="",BR39="-"), 0, BR39*$AT39), BQ39*$AJ39)</f>
        <v>0</v>
      </c>
      <c r="BT39" s="589">
        <f>[1]COMMANDE!AE37</f>
        <v>0</v>
      </c>
      <c r="BU39" s="586" t="str">
        <f>_xlfn.IFS(AND($AI39=$AM39,$AI39&gt;0,$AM39&gt;0,BT39&gt;0), BT39,     AND(NOT($AI39=$AM39),$AI39&gt;0,$AM39&gt;0,BT39&gt;0), ($AM39*BT39)/$AI39,     AND($AI39=0,$AM39&gt;0,$AQ39&gt;0), IF(INDEX(BT$12:BT$263,MATCH($AQ39,$AP$12:$AP$263,0))&gt;0,($AM39*INDEX(BT$12:BT$263,MATCH($AQ39,$AP$12:$AP$263,0)))/INDEX($AI$12:$AI$263,MATCH($AQ39,$AP$12:$AP$263,0)), "-"),     TRUE, "0")</f>
        <v>0</v>
      </c>
      <c r="BV39" s="588">
        <f>IF(BU$9&gt;0, IF(OR(BU39="",BU39="-"), 0, BU39*$AT39), BT39*$AJ39)</f>
        <v>0</v>
      </c>
      <c r="BW39" s="587">
        <f>[1]COMMANDE!AG37</f>
        <v>0</v>
      </c>
      <c r="BX39" s="586" t="str">
        <f>_xlfn.IFS(AND($AI39=$AM39,$AI39&gt;0,$AM39&gt;0,BW39&gt;0), BW39,     AND(NOT($AI39=$AM39),$AI39&gt;0,$AM39&gt;0,BW39&gt;0), ($AM39*BW39)/$AI39,     AND($AI39=0,$AM39&gt;0,$AQ39&gt;0), IF(INDEX(BW$12:BW$263,MATCH($AQ39,$AP$12:$AP$263,0))&gt;0,($AM39*INDEX(BW$12:BW$263,MATCH($AQ39,$AP$12:$AP$263,0)))/INDEX($AI$12:$AI$263,MATCH($AQ39,$AP$12:$AP$263,0)), "-"),     TRUE, "0")</f>
        <v>0</v>
      </c>
      <c r="BY39" s="607">
        <f>IF(BX$9&gt;0, IF(OR(BX39="",BX39="-"), 0, BX39*$AT39), BW39*$AJ39)</f>
        <v>0</v>
      </c>
      <c r="BZ39" s="589">
        <f>[1]COMMANDE!AI37</f>
        <v>0</v>
      </c>
      <c r="CA39" s="586" t="str">
        <f>_xlfn.IFS(AND($AI39=$AM39,$AI39&gt;0,$AM39&gt;0,BZ39&gt;0), BZ39,     AND(NOT($AI39=$AM39),$AI39&gt;0,$AM39&gt;0,BZ39&gt;0), ($AM39*BZ39)/$AI39,     AND($AI39=0,$AM39&gt;0,$AQ39&gt;0), IF(INDEX(BZ$12:BZ$263,MATCH($AQ39,$AP$12:$AP$263,0))&gt;0,($AM39*INDEX(BZ$12:BZ$263,MATCH($AQ39,$AP$12:$AP$263,0)))/INDEX($AI$12:$AI$263,MATCH($AQ39,$AP$12:$AP$263,0)), "-"),     TRUE, "0")</f>
        <v>0</v>
      </c>
      <c r="CB39" s="588">
        <f>IF(CA$9&gt;0, IF(OR(CA39="",CA39="-"), 0, CA39*$AT39), BZ39*$AJ39)</f>
        <v>0</v>
      </c>
      <c r="CC39" s="587">
        <f>[1]COMMANDE!AK37</f>
        <v>0</v>
      </c>
      <c r="CD39" s="586" t="str">
        <f>_xlfn.IFS(AND($AI39=$AM39,$AI39&gt;0,$AM39&gt;0,CC39&gt;0), CC39,     AND(NOT($AI39=$AM39),$AI39&gt;0,$AM39&gt;0,CC39&gt;0), ($AM39*CC39)/$AI39,     AND($AI39=0,$AM39&gt;0,$AQ39&gt;0), IF(INDEX(CC$12:CC$263,MATCH($AQ39,$AP$12:$AP$263,0))&gt;0,($AM39*INDEX(CC$12:CC$263,MATCH($AQ39,$AP$12:$AP$263,0)))/INDEX($AI$12:$AI$263,MATCH($AQ39,$AP$12:$AP$263,0)), "-"),     TRUE, "0")</f>
        <v>0</v>
      </c>
      <c r="CE39" s="607">
        <f>IF(CD$9&gt;0, IF(OR(CD39="",CD39="-"), 0, CD39*$AT39), CC39*$AJ39)</f>
        <v>0</v>
      </c>
      <c r="CF39" s="589">
        <f>[1]COMMANDE!AM37</f>
        <v>0</v>
      </c>
      <c r="CG39" s="586" t="str">
        <f>_xlfn.IFS(AND($AI39=$AM39,$AI39&gt;0,$AM39&gt;0,CF39&gt;0), CF39,     AND(NOT($AI39=$AM39),$AI39&gt;0,$AM39&gt;0,CF39&gt;0), ($AM39*CF39)/$AI39,     AND($AI39=0,$AM39&gt;0,$AQ39&gt;0), IF(INDEX(CF$12:CF$263,MATCH($AQ39,$AP$12:$AP$263,0))&gt;0,($AM39*INDEX(CF$12:CF$263,MATCH($AQ39,$AP$12:$AP$263,0)))/INDEX($AI$12:$AI$263,MATCH($AQ39,$AP$12:$AP$263,0)), "-"),     TRUE, "0")</f>
        <v>0</v>
      </c>
      <c r="CH39" s="588">
        <f>IF(CG$9&gt;0, IF(OR(CG39="",CG39="-"), 0, CG39*$AT39), CF39*$AJ39)</f>
        <v>0</v>
      </c>
      <c r="CI39" s="587">
        <f>[1]COMMANDE!AO37</f>
        <v>0</v>
      </c>
      <c r="CJ39" s="586" t="str">
        <f>_xlfn.IFS(AND($AI39=$AM39,$AI39&gt;0,$AM39&gt;0,CI39&gt;0), CI39,     AND(NOT($AI39=$AM39),$AI39&gt;0,$AM39&gt;0,CI39&gt;0), ($AM39*CI39)/$AI39,     AND($AI39=0,$AM39&gt;0,$AQ39&gt;0), IF(INDEX(CI$12:CI$263,MATCH($AQ39,$AP$12:$AP$263,0))&gt;0,($AM39*INDEX(CI$12:CI$263,MATCH($AQ39,$AP$12:$AP$263,0)))/INDEX($AI$12:$AI$263,MATCH($AQ39,$AP$12:$AP$263,0)), "-"),     TRUE, "0")</f>
        <v>0</v>
      </c>
      <c r="CK39" s="607">
        <f>IF(CJ$9&gt;0, IF(OR(CJ39="",CJ39="-"), 0, CJ39*$AT39), CI39*$AJ39)</f>
        <v>0</v>
      </c>
      <c r="CL39" s="589">
        <f>[1]COMMANDE!AQ37</f>
        <v>0</v>
      </c>
      <c r="CM39" s="586" t="str">
        <f>_xlfn.IFS(AND($AI39=$AM39,$AI39&gt;0,$AM39&gt;0,CL39&gt;0), CL39,     AND(NOT($AI39=$AM39),$AI39&gt;0,$AM39&gt;0,CL39&gt;0), ($AM39*CL39)/$AI39,     AND($AI39=0,$AM39&gt;0,$AQ39&gt;0), IF(INDEX(CL$12:CL$263,MATCH($AQ39,$AP$12:$AP$263,0))&gt;0,($AM39*INDEX(CL$12:CL$263,MATCH($AQ39,$AP$12:$AP$263,0)))/INDEX($AI$12:$AI$263,MATCH($AQ39,$AP$12:$AP$263,0)), "-"),     TRUE, "0")</f>
        <v>0</v>
      </c>
      <c r="CN39" s="588">
        <f>IF(CM$9&gt;0, IF(OR(CM39="",CM39="-"), 0, CM39*$AT39), CL39*$AJ39)</f>
        <v>0</v>
      </c>
      <c r="CO39" s="587">
        <f>[1]COMMANDE!AS37</f>
        <v>0</v>
      </c>
      <c r="CP39" s="586" t="str">
        <f>_xlfn.IFS(AND($AI39=$AM39,$AI39&gt;0,$AM39&gt;0,CO39&gt;0), CO39,     AND(NOT($AI39=$AM39),$AI39&gt;0,$AM39&gt;0,CO39&gt;0), ($AM39*CO39)/$AI39,     AND($AI39=0,$AM39&gt;0,$AQ39&gt;0), IF(INDEX(CO$12:CO$263,MATCH($AQ39,$AP$12:$AP$263,0))&gt;0,($AM39*INDEX(CO$12:CO$263,MATCH($AQ39,$AP$12:$AP$263,0)))/INDEX($AI$12:$AI$263,MATCH($AQ39,$AP$12:$AP$263,0)), "-"),     TRUE, "0")</f>
        <v>0</v>
      </c>
      <c r="CQ39" s="607">
        <f>IF(CP$9&gt;0, IF(OR(CP39="",CP39="-"), 0, CP39*$AT39), CO39*$AJ39)</f>
        <v>0</v>
      </c>
      <c r="CR39" s="589">
        <f>[1]COMMANDE!AU37</f>
        <v>0</v>
      </c>
      <c r="CS39" s="586" t="str">
        <f>_xlfn.IFS(AND($AI39=$AM39,$AI39&gt;0,$AM39&gt;0,CR39&gt;0), CR39,     AND(NOT($AI39=$AM39),$AI39&gt;0,$AM39&gt;0,CR39&gt;0), ($AM39*CR39)/$AI39,     AND($AI39=0,$AM39&gt;0,$AQ39&gt;0), IF(INDEX(CR$12:CR$263,MATCH($AQ39,$AP$12:$AP$263,0))&gt;0,($AM39*INDEX(CR$12:CR$263,MATCH($AQ39,$AP$12:$AP$263,0)))/INDEX($AI$12:$AI$263,MATCH($AQ39,$AP$12:$AP$263,0)), "-"),     TRUE, "0")</f>
        <v>0</v>
      </c>
      <c r="CT39" s="588">
        <f>IF(CS$9&gt;0, IF(OR(CS39="",CS39="-"), 0, CS39*$AT39), CR39*$AJ39)</f>
        <v>0</v>
      </c>
      <c r="CU39" s="587">
        <f>[1]COMMANDE!AW37</f>
        <v>0</v>
      </c>
      <c r="CV39" s="586" t="str">
        <f>_xlfn.IFS(AND($AI39=$AM39,$AI39&gt;0,$AM39&gt;0,CU39&gt;0), CU39,     AND(NOT($AI39=$AM39),$AI39&gt;0,$AM39&gt;0,CU39&gt;0), ($AM39*CU39)/$AI39,     AND($AI39=0,$AM39&gt;0,$AQ39&gt;0), IF(INDEX(CU$12:CU$263,MATCH($AQ39,$AP$12:$AP$263,0))&gt;0,($AM39*INDEX(CU$12:CU$263,MATCH($AQ39,$AP$12:$AP$263,0)))/INDEX($AI$12:$AI$263,MATCH($AQ39,$AP$12:$AP$263,0)), "-"),     TRUE, "0")</f>
        <v>0</v>
      </c>
      <c r="CW39" s="607">
        <f>IF(CV$9&gt;0, IF(OR(CV39="",CV39="-"), 0, CV39*$AT39), CU39*$AJ39)</f>
        <v>0</v>
      </c>
      <c r="CX39" s="589">
        <f>[1]COMMANDE!AY37</f>
        <v>0</v>
      </c>
      <c r="CY39" s="586" t="str">
        <f>_xlfn.IFS(AND($AI39=$AM39,$AI39&gt;0,$AM39&gt;0,CX39&gt;0), CX39,     AND(NOT($AI39=$AM39),$AI39&gt;0,$AM39&gt;0,CX39&gt;0), ($AM39*CX39)/$AI39,     AND($AI39=0,$AM39&gt;0,$AQ39&gt;0), IF(INDEX(CX$12:CX$263,MATCH($AQ39,$AP$12:$AP$263,0))&gt;0,($AM39*INDEX(CX$12:CX$263,MATCH($AQ39,$AP$12:$AP$263,0)))/INDEX($AI$12:$AI$263,MATCH($AQ39,$AP$12:$AP$263,0)), "-"),     TRUE, "0")</f>
        <v>0</v>
      </c>
      <c r="CZ39" s="588">
        <f>IF(CY$9&gt;0, IF(OR(CY39="",CY39="-"), 0, CY39*$AT39), CX39*$AJ39)</f>
        <v>0</v>
      </c>
      <c r="DA39" s="587">
        <f>[1]COMMANDE!BA37</f>
        <v>0</v>
      </c>
      <c r="DB39" s="586" t="str">
        <f>_xlfn.IFS(AND($AI39=$AM39,$AI39&gt;0,$AM39&gt;0,DA39&gt;0), DA39,     AND(NOT($AI39=$AM39),$AI39&gt;0,$AM39&gt;0,DA39&gt;0), ($AM39*DA39)/$AI39,     AND($AI39=0,$AM39&gt;0,$AQ39&gt;0), IF(INDEX(DA$12:DA$263,MATCH($AQ39,$AP$12:$AP$263,0))&gt;0,($AM39*INDEX(DA$12:DA$263,MATCH($AQ39,$AP$12:$AP$263,0)))/INDEX($AI$12:$AI$263,MATCH($AQ39,$AP$12:$AP$263,0)), "-"),     TRUE, "0")</f>
        <v>0</v>
      </c>
      <c r="DC39" s="606">
        <f>IF(DB$9&gt;0, IF(OR(DB39="",DB39="-"), 0, DB39*$AT39), DA39*$AJ39)</f>
        <v>0</v>
      </c>
      <c r="DD39" s="584"/>
      <c r="DE39" s="583"/>
    </row>
    <row r="40" spans="1:109" ht="39.950000000000003" hidden="1" customHeight="1">
      <c r="A40" s="604">
        <f>IF(OR($AV40&gt;0, $AX40&gt;0), 1, 0)</f>
        <v>0</v>
      </c>
      <c r="B40" s="604">
        <f>IF(OR($AY40&gt;0, $BA40&gt;0), 1, 0)</f>
        <v>0</v>
      </c>
      <c r="C40" s="604">
        <f>IF(OR($BB40&gt;0, $BD40&gt;0), 1, 0)</f>
        <v>0</v>
      </c>
      <c r="D40" s="604">
        <f>IF(OR($BE40&gt;0, $BG40&gt;0), 1, 0)</f>
        <v>0</v>
      </c>
      <c r="E40" s="604">
        <f>IF(OR($BH40&gt;0, $BJ40&gt;0), 1, 0)</f>
        <v>0</v>
      </c>
      <c r="F40" s="604">
        <f>IF(OR($BK40&gt;0, $BM40&gt;0), 1, 0)</f>
        <v>0</v>
      </c>
      <c r="G40" s="604">
        <f>IF(OR($BN40&gt;0, $BP40&gt;0), 1, 0)</f>
        <v>0</v>
      </c>
      <c r="H40" s="604">
        <f>IF(OR($BQ40&gt;0, $BS40&gt;0), 1, 0)</f>
        <v>0</v>
      </c>
      <c r="I40" s="604">
        <f>IF(OR($BT40&gt;0, $BV40&gt;0), 1, 0)</f>
        <v>0</v>
      </c>
      <c r="J40" s="604">
        <f>IF(OR($BW40&gt;0, $BY40&gt;0), 1, 0)</f>
        <v>0</v>
      </c>
      <c r="K40" s="604">
        <f>IF(OR($BZ40&gt;0, $CB40&gt;0), 1, 0)</f>
        <v>0</v>
      </c>
      <c r="L40" s="604">
        <f>IF(OR($CC40&gt;0, $CE40&gt;0), 1, 0)</f>
        <v>0</v>
      </c>
      <c r="M40" s="604">
        <f>IF(OR($CF40&gt;0, $CH40&gt;0), 1, 0)</f>
        <v>0</v>
      </c>
      <c r="N40" s="604">
        <f>IF(OR($CI40&gt;0, $CK40&gt;0), 1, 0)</f>
        <v>0</v>
      </c>
      <c r="O40" s="604">
        <f>IF(OR($CL40&gt;0, $CN40&gt;0), 1, 0)</f>
        <v>0</v>
      </c>
      <c r="P40" s="604">
        <f>IF(OR($CO40&gt;0, $CQ40&gt;0), 1, 0)</f>
        <v>0</v>
      </c>
      <c r="Q40" s="604">
        <f>IF(OR($CR40&gt;0, $CT40&gt;0), 1, 0)</f>
        <v>0</v>
      </c>
      <c r="R40" s="604">
        <f>IF(OR($CU40&gt;0, $CW40&gt;0), 1, 0)</f>
        <v>0</v>
      </c>
      <c r="S40" s="604">
        <f>IF(OR($CX40&gt;0, $CZ40&gt;0), 1, 0)</f>
        <v>0</v>
      </c>
      <c r="T40" s="604">
        <f>IF(OR($DA40&gt;0, $DC40&gt;0), 1, 0)</f>
        <v>0</v>
      </c>
      <c r="U40" s="603">
        <f>IF(OR($AI40&gt;0,$AM40&gt;0,$AS40&gt;0), 1, 0)</f>
        <v>0</v>
      </c>
      <c r="V40" s="602">
        <f>[1]BDD!A30</f>
        <v>3009</v>
      </c>
      <c r="W40" s="601" t="str">
        <f>[1]BDD!B30</f>
        <v>Avocat Hass</v>
      </c>
      <c r="X40" s="600" t="str">
        <f>IF([1]BDD!F30=0, "", [1]BDD!F30)</f>
        <v/>
      </c>
      <c r="Y40" s="542">
        <f>ROUND([1]BDD!G30+FDP_CMD_KG, 2)</f>
        <v>7.02</v>
      </c>
      <c r="Z40" s="542">
        <f>ROUND([1]BDD!G30+FDP_FACT_KG, 2)</f>
        <v>7.02</v>
      </c>
      <c r="AA40" s="543" t="str">
        <f>[1]BDD!H30</f>
        <v>kg</v>
      </c>
      <c r="AB40" s="544">
        <f>IF(NOT(ISBLANK([1]BDD!I30)), ROUND(SUM(([1]BDD!G30*reduc1),FDP_CMD_KG), 2), "")</f>
        <v>6.41</v>
      </c>
      <c r="AC40" s="544">
        <f>IF(NOT(ISBLANK([1]BDD!J30)), ROUND(SUM(([1]BDD!G30*reduc2),FDP_CMD_KG), 2), "")</f>
        <v>5.79</v>
      </c>
      <c r="AD40" s="544" t="str">
        <f>IF(NOT(ISBLANK([1]BDD!K30)), ROUND(SUM(([1]BDD!G30*reduc3),FDP_CMD_KG), 2), "")</f>
        <v/>
      </c>
      <c r="AE40" s="544">
        <f>IF(NOT(ISBLANK([1]BDD!I30)), ROUND(SUM(([1]BDD!G30*reduc1),FDP_FACT_KG), 2), "")</f>
        <v>6.4</v>
      </c>
      <c r="AF40" s="544">
        <f>IF(NOT(ISBLANK([1]BDD!J30)), ROUND(SUM(([1]BDD!G30*reduc2),FDP_FACT_KG), 2), "")</f>
        <v>5.79</v>
      </c>
      <c r="AG40" s="544" t="str">
        <f>IF(NOT(ISBLANK([1]BDD!K30)), ROUND(SUM(([1]BDD!G30*reduc3),FDP_FACT_KG), 2), "")</f>
        <v/>
      </c>
      <c r="AH40" s="599" t="str">
        <f>[1]BDD!C30</f>
        <v>Grenade</v>
      </c>
      <c r="AI40" s="598">
        <f>SUM(AV40,AY40,BB40,BE40,BH40,BK40,BN40,BQ40,BT40,BW40,BZ40,CC40,CF40,CI40,CL40,CO40,CR40,CU40,CX40,DA40)</f>
        <v>0</v>
      </c>
      <c r="AJ40" s="545">
        <f>_xlfn.IFS($AD40&lt;&gt;"", $AD40,    $AC40&lt;&gt;"", $AC40,    $AB40&lt;&gt;"", $AB40,    TRUE, $Y40)</f>
        <v>5.79</v>
      </c>
      <c r="AK40" s="592">
        <f>$AI40*$AJ40</f>
        <v>0</v>
      </c>
      <c r="AL40" s="594"/>
      <c r="AM40" s="597"/>
      <c r="AN40" s="545">
        <f>_xlfn.IFS(AND(AM40&gt;=60,$AG40&lt;&gt;""), $AG40,    AND(AM40&gt;=30,$AF40&lt;&gt;""), $AF40,    AND(AM40&gt;=10,$AE40&lt;&gt;""), $AE40,    TRUE, $Z40)</f>
        <v>7.02</v>
      </c>
      <c r="AO40" s="596">
        <f>AM40*AN40</f>
        <v>0</v>
      </c>
      <c r="AP40" s="595"/>
      <c r="AQ40" s="595"/>
      <c r="AR40" s="594"/>
      <c r="AS40" s="593">
        <f>SUM(AW40,AZ40,BC40,BF40,BI40,BL40,BO40,BR40,BU40,BX40,CA40,CD40,CG40,CJ40,CM40,CP40,CS40,CV40,CY40,DB40)</f>
        <v>0</v>
      </c>
      <c r="AT40" s="545">
        <f>_xlfn.IFS(AND(AS40&gt;=60,$AG40&lt;&gt;""), $AG40,    AND(AS40&gt;=30,$AF40&lt;&gt;""), $AF40,    AND(AS40&gt;=10,$AE40&lt;&gt;""), $AE40,    TRUE, $Z40)</f>
        <v>7.02</v>
      </c>
      <c r="AU40" s="592">
        <f>$AS40*$AT40</f>
        <v>0</v>
      </c>
      <c r="AV40" s="591">
        <f>[1]COMMANDE!O38</f>
        <v>0</v>
      </c>
      <c r="AW40" s="586" t="str">
        <f>_xlfn.IFS(AND($AI40=$AM40,$AI40&gt;0,$AM40&gt;0,AV40&gt;0), AV40,     AND(NOT($AI40=$AM40),$AI40&gt;0,$AM40&gt;0,AV40&gt;0), ($AM40*AV40)/$AI40,     AND($AI40=0,$AM40&gt;0,$AQ40&gt;0), IF(INDEX(AV$12:AV$263,MATCH($AQ40,$AP$12:$AP$263,0))&gt;0,($AM40*INDEX(AV$12:AV$263,MATCH($AQ40,$AP$12:$AP$263,0)))/INDEX($AI$12:$AI$263,MATCH($AQ40,$AP$12:$AP$263,0)), "-"),     TRUE, "0")</f>
        <v>0</v>
      </c>
      <c r="AX40" s="588">
        <f>IF(AW$9&gt;0, IF(OR(AW40="",AW40="-"), 0, AW40*$AT40), AV40*$AJ40)</f>
        <v>0</v>
      </c>
      <c r="AY40" s="587">
        <f>[1]COMMANDE!Q38</f>
        <v>0</v>
      </c>
      <c r="AZ40" s="586" t="str">
        <f>_xlfn.IFS(AND($AI40=$AM40,$AI40&gt;0,$AM40&gt;0,AY40&gt;0), AY40,     AND(NOT($AI40=$AM40),$AI40&gt;0,$AM40&gt;0,AY40&gt;0), ($AM40*AY40)/$AI40,     AND($AI40=0,$AM40&gt;0,$AQ40&gt;0), IF(INDEX(AY$12:AY$263,MATCH($AQ40,$AP$12:$AP$263,0))&gt;0,($AM40*INDEX(AY$12:AY$263,MATCH($AQ40,$AP$12:$AP$263,0)))/INDEX($AI$12:$AI$263,MATCH($AQ40,$AP$12:$AP$263,0)), "-"),     TRUE, "0")</f>
        <v>0</v>
      </c>
      <c r="BA40" s="607">
        <f>IF(AZ$9&gt;0, IF(OR(AZ40="",AZ40="-"), 0, AZ40*$AT40), AY40*$AJ40)</f>
        <v>0</v>
      </c>
      <c r="BB40" s="589">
        <f>[1]COMMANDE!S38</f>
        <v>0</v>
      </c>
      <c r="BC40" s="586" t="str">
        <f>_xlfn.IFS(AND($AI40=$AM40,$AI40&gt;0,$AM40&gt;0,BB40&gt;0), BB40,     AND(NOT($AI40=$AM40),$AI40&gt;0,$AM40&gt;0,BB40&gt;0), ($AM40*BB40)/$AI40,     AND($AI40=0,$AM40&gt;0,$AQ40&gt;0), IF(INDEX(BB$12:BB$263,MATCH($AQ40,$AP$12:$AP$263,0))&gt;0,($AM40*INDEX(BB$12:BB$263,MATCH($AQ40,$AP$12:$AP$263,0)))/INDEX($AI$12:$AI$263,MATCH($AQ40,$AP$12:$AP$263,0)), "-"),     TRUE, "0")</f>
        <v>0</v>
      </c>
      <c r="BD40" s="588">
        <f>IF(BC$9&gt;0, IF(OR(BC40="",BC40="-"), 0, BC40*$AT40), BB40*$AJ40)</f>
        <v>0</v>
      </c>
      <c r="BE40" s="587">
        <f>[1]COMMANDE!U38</f>
        <v>0</v>
      </c>
      <c r="BF40" s="586" t="str">
        <f>_xlfn.IFS(AND($AI40=$AM40,$AI40&gt;0,$AM40&gt;0,BE40&gt;0), BE40,     AND(NOT($AI40=$AM40),$AI40&gt;0,$AM40&gt;0,BE40&gt;0), ($AM40*BE40)/$AI40,     AND($AI40=0,$AM40&gt;0,$AQ40&gt;0), IF(INDEX(BE$12:BE$263,MATCH($AQ40,$AP$12:$AP$263,0))&gt;0,($AM40*INDEX(BE$12:BE$263,MATCH($AQ40,$AP$12:$AP$263,0)))/INDEX($AI$12:$AI$263,MATCH($AQ40,$AP$12:$AP$263,0)), "-"),     TRUE, "0")</f>
        <v>0</v>
      </c>
      <c r="BG40" s="607">
        <f>IF(BF$9&gt;0, IF(OR(BF40="",BF40="-"), 0, BF40*$AT40), BE40*$AJ40)</f>
        <v>0</v>
      </c>
      <c r="BH40" s="589">
        <f>[1]COMMANDE!W38</f>
        <v>0</v>
      </c>
      <c r="BI40" s="586" t="str">
        <f>_xlfn.IFS(AND($AI40=$AM40,$AI40&gt;0,$AM40&gt;0,BH40&gt;0), BH40,     AND(NOT($AI40=$AM40),$AI40&gt;0,$AM40&gt;0,BH40&gt;0), ($AM40*BH40)/$AI40,     AND($AI40=0,$AM40&gt;0,$AQ40&gt;0), IF(INDEX(BH$12:BH$263,MATCH($AQ40,$AP$12:$AP$263,0))&gt;0,($AM40*INDEX(BH$12:BH$263,MATCH($AQ40,$AP$12:$AP$263,0)))/INDEX($AI$12:$AI$263,MATCH($AQ40,$AP$12:$AP$263,0)), "-"),     TRUE, "0")</f>
        <v>0</v>
      </c>
      <c r="BJ40" s="588">
        <f>IF(BI$9&gt;0, IF(OR(BI40="",BI40="-"), 0, BI40*$AT40), BH40*$AJ40)</f>
        <v>0</v>
      </c>
      <c r="BK40" s="587">
        <f>[1]COMMANDE!Y38</f>
        <v>0</v>
      </c>
      <c r="BL40" s="586" t="str">
        <f>_xlfn.IFS(AND($AI40=$AM40,$AI40&gt;0,$AM40&gt;0,BK40&gt;0), BK40,     AND(NOT($AI40=$AM40),$AI40&gt;0,$AM40&gt;0,BK40&gt;0), ($AM40*BK40)/$AI40,     AND($AI40=0,$AM40&gt;0,$AQ40&gt;0), IF(INDEX(BK$12:BK$263,MATCH($AQ40,$AP$12:$AP$263,0))&gt;0,($AM40*INDEX(BK$12:BK$263,MATCH($AQ40,$AP$12:$AP$263,0)))/INDEX($AI$12:$AI$263,MATCH($AQ40,$AP$12:$AP$263,0)), "-"),     TRUE, "0")</f>
        <v>0</v>
      </c>
      <c r="BM40" s="607">
        <f>IF(BL$9&gt;0, IF(OR(BL40="",BL40="-"), 0, BL40*$AT40), BK40*$AJ40)</f>
        <v>0</v>
      </c>
      <c r="BN40" s="589">
        <f>[1]COMMANDE!AA38</f>
        <v>0</v>
      </c>
      <c r="BO40" s="586" t="str">
        <f>_xlfn.IFS(AND($AI40=$AM40,$AI40&gt;0,$AM40&gt;0,BN40&gt;0), BN40,     AND(NOT($AI40=$AM40),$AI40&gt;0,$AM40&gt;0,BN40&gt;0), ($AM40*BN40)/$AI40,     AND($AI40=0,$AM40&gt;0,$AQ40&gt;0), IF(INDEX(BN$12:BN$263,MATCH($AQ40,$AP$12:$AP$263,0))&gt;0,($AM40*INDEX(BN$12:BN$263,MATCH($AQ40,$AP$12:$AP$263,0)))/INDEX($AI$12:$AI$263,MATCH($AQ40,$AP$12:$AP$263,0)), "-"),     TRUE, "0")</f>
        <v>0</v>
      </c>
      <c r="BP40" s="588">
        <f>IF(BO$9&gt;0, IF(OR(BO40="",BO40="-"), 0, BO40*$AT40), BN40*$AJ40)</f>
        <v>0</v>
      </c>
      <c r="BQ40" s="587">
        <f>[1]COMMANDE!AC38</f>
        <v>0</v>
      </c>
      <c r="BR40" s="586" t="str">
        <f>_xlfn.IFS(AND($AI40=$AM40,$AI40&gt;0,$AM40&gt;0,BQ40&gt;0), BQ40,     AND(NOT($AI40=$AM40),$AI40&gt;0,$AM40&gt;0,BQ40&gt;0), ($AM40*BQ40)/$AI40,     AND($AI40=0,$AM40&gt;0,$AQ40&gt;0), IF(INDEX(BQ$12:BQ$263,MATCH($AQ40,$AP$12:$AP$263,0))&gt;0,($AM40*INDEX(BQ$12:BQ$263,MATCH($AQ40,$AP$12:$AP$263,0)))/INDEX($AI$12:$AI$263,MATCH($AQ40,$AP$12:$AP$263,0)), "-"),     TRUE, "0")</f>
        <v>0</v>
      </c>
      <c r="BS40" s="607">
        <f>IF(BR$9&gt;0, IF(OR(BR40="",BR40="-"), 0, BR40*$AT40), BQ40*$AJ40)</f>
        <v>0</v>
      </c>
      <c r="BT40" s="589">
        <f>[1]COMMANDE!AE38</f>
        <v>0</v>
      </c>
      <c r="BU40" s="586" t="str">
        <f>_xlfn.IFS(AND($AI40=$AM40,$AI40&gt;0,$AM40&gt;0,BT40&gt;0), BT40,     AND(NOT($AI40=$AM40),$AI40&gt;0,$AM40&gt;0,BT40&gt;0), ($AM40*BT40)/$AI40,     AND($AI40=0,$AM40&gt;0,$AQ40&gt;0), IF(INDEX(BT$12:BT$263,MATCH($AQ40,$AP$12:$AP$263,0))&gt;0,($AM40*INDEX(BT$12:BT$263,MATCH($AQ40,$AP$12:$AP$263,0)))/INDEX($AI$12:$AI$263,MATCH($AQ40,$AP$12:$AP$263,0)), "-"),     TRUE, "0")</f>
        <v>0</v>
      </c>
      <c r="BV40" s="588">
        <f>IF(BU$9&gt;0, IF(OR(BU40="",BU40="-"), 0, BU40*$AT40), BT40*$AJ40)</f>
        <v>0</v>
      </c>
      <c r="BW40" s="587">
        <f>[1]COMMANDE!AG38</f>
        <v>0</v>
      </c>
      <c r="BX40" s="586" t="str">
        <f>_xlfn.IFS(AND($AI40=$AM40,$AI40&gt;0,$AM40&gt;0,BW40&gt;0), BW40,     AND(NOT($AI40=$AM40),$AI40&gt;0,$AM40&gt;0,BW40&gt;0), ($AM40*BW40)/$AI40,     AND($AI40=0,$AM40&gt;0,$AQ40&gt;0), IF(INDEX(BW$12:BW$263,MATCH($AQ40,$AP$12:$AP$263,0))&gt;0,($AM40*INDEX(BW$12:BW$263,MATCH($AQ40,$AP$12:$AP$263,0)))/INDEX($AI$12:$AI$263,MATCH($AQ40,$AP$12:$AP$263,0)), "-"),     TRUE, "0")</f>
        <v>0</v>
      </c>
      <c r="BY40" s="607">
        <f>IF(BX$9&gt;0, IF(OR(BX40="",BX40="-"), 0, BX40*$AT40), BW40*$AJ40)</f>
        <v>0</v>
      </c>
      <c r="BZ40" s="589">
        <f>[1]COMMANDE!AI38</f>
        <v>0</v>
      </c>
      <c r="CA40" s="586" t="str">
        <f>_xlfn.IFS(AND($AI40=$AM40,$AI40&gt;0,$AM40&gt;0,BZ40&gt;0), BZ40,     AND(NOT($AI40=$AM40),$AI40&gt;0,$AM40&gt;0,BZ40&gt;0), ($AM40*BZ40)/$AI40,     AND($AI40=0,$AM40&gt;0,$AQ40&gt;0), IF(INDEX(BZ$12:BZ$263,MATCH($AQ40,$AP$12:$AP$263,0))&gt;0,($AM40*INDEX(BZ$12:BZ$263,MATCH($AQ40,$AP$12:$AP$263,0)))/INDEX($AI$12:$AI$263,MATCH($AQ40,$AP$12:$AP$263,0)), "-"),     TRUE, "0")</f>
        <v>0</v>
      </c>
      <c r="CB40" s="588">
        <f>IF(CA$9&gt;0, IF(OR(CA40="",CA40="-"), 0, CA40*$AT40), BZ40*$AJ40)</f>
        <v>0</v>
      </c>
      <c r="CC40" s="587">
        <f>[1]COMMANDE!AK38</f>
        <v>0</v>
      </c>
      <c r="CD40" s="586" t="str">
        <f>_xlfn.IFS(AND($AI40=$AM40,$AI40&gt;0,$AM40&gt;0,CC40&gt;0), CC40,     AND(NOT($AI40=$AM40),$AI40&gt;0,$AM40&gt;0,CC40&gt;0), ($AM40*CC40)/$AI40,     AND($AI40=0,$AM40&gt;0,$AQ40&gt;0), IF(INDEX(CC$12:CC$263,MATCH($AQ40,$AP$12:$AP$263,0))&gt;0,($AM40*INDEX(CC$12:CC$263,MATCH($AQ40,$AP$12:$AP$263,0)))/INDEX($AI$12:$AI$263,MATCH($AQ40,$AP$12:$AP$263,0)), "-"),     TRUE, "0")</f>
        <v>0</v>
      </c>
      <c r="CE40" s="607">
        <f>IF(CD$9&gt;0, IF(OR(CD40="",CD40="-"), 0, CD40*$AT40), CC40*$AJ40)</f>
        <v>0</v>
      </c>
      <c r="CF40" s="589">
        <f>[1]COMMANDE!AM38</f>
        <v>0</v>
      </c>
      <c r="CG40" s="586" t="str">
        <f>_xlfn.IFS(AND($AI40=$AM40,$AI40&gt;0,$AM40&gt;0,CF40&gt;0), CF40,     AND(NOT($AI40=$AM40),$AI40&gt;0,$AM40&gt;0,CF40&gt;0), ($AM40*CF40)/$AI40,     AND($AI40=0,$AM40&gt;0,$AQ40&gt;0), IF(INDEX(CF$12:CF$263,MATCH($AQ40,$AP$12:$AP$263,0))&gt;0,($AM40*INDEX(CF$12:CF$263,MATCH($AQ40,$AP$12:$AP$263,0)))/INDEX($AI$12:$AI$263,MATCH($AQ40,$AP$12:$AP$263,0)), "-"),     TRUE, "0")</f>
        <v>0</v>
      </c>
      <c r="CH40" s="588">
        <f>IF(CG$9&gt;0, IF(OR(CG40="",CG40="-"), 0, CG40*$AT40), CF40*$AJ40)</f>
        <v>0</v>
      </c>
      <c r="CI40" s="587">
        <f>[1]COMMANDE!AO38</f>
        <v>0</v>
      </c>
      <c r="CJ40" s="586" t="str">
        <f>_xlfn.IFS(AND($AI40=$AM40,$AI40&gt;0,$AM40&gt;0,CI40&gt;0), CI40,     AND(NOT($AI40=$AM40),$AI40&gt;0,$AM40&gt;0,CI40&gt;0), ($AM40*CI40)/$AI40,     AND($AI40=0,$AM40&gt;0,$AQ40&gt;0), IF(INDEX(CI$12:CI$263,MATCH($AQ40,$AP$12:$AP$263,0))&gt;0,($AM40*INDEX(CI$12:CI$263,MATCH($AQ40,$AP$12:$AP$263,0)))/INDEX($AI$12:$AI$263,MATCH($AQ40,$AP$12:$AP$263,0)), "-"),     TRUE, "0")</f>
        <v>0</v>
      </c>
      <c r="CK40" s="607">
        <f>IF(CJ$9&gt;0, IF(OR(CJ40="",CJ40="-"), 0, CJ40*$AT40), CI40*$AJ40)</f>
        <v>0</v>
      </c>
      <c r="CL40" s="589">
        <f>[1]COMMANDE!AQ38</f>
        <v>0</v>
      </c>
      <c r="CM40" s="586" t="str">
        <f>_xlfn.IFS(AND($AI40=$AM40,$AI40&gt;0,$AM40&gt;0,CL40&gt;0), CL40,     AND(NOT($AI40=$AM40),$AI40&gt;0,$AM40&gt;0,CL40&gt;0), ($AM40*CL40)/$AI40,     AND($AI40=0,$AM40&gt;0,$AQ40&gt;0), IF(INDEX(CL$12:CL$263,MATCH($AQ40,$AP$12:$AP$263,0))&gt;0,($AM40*INDEX(CL$12:CL$263,MATCH($AQ40,$AP$12:$AP$263,0)))/INDEX($AI$12:$AI$263,MATCH($AQ40,$AP$12:$AP$263,0)), "-"),     TRUE, "0")</f>
        <v>0</v>
      </c>
      <c r="CN40" s="588">
        <f>IF(CM$9&gt;0, IF(OR(CM40="",CM40="-"), 0, CM40*$AT40), CL40*$AJ40)</f>
        <v>0</v>
      </c>
      <c r="CO40" s="587">
        <f>[1]COMMANDE!AS38</f>
        <v>0</v>
      </c>
      <c r="CP40" s="586" t="str">
        <f>_xlfn.IFS(AND($AI40=$AM40,$AI40&gt;0,$AM40&gt;0,CO40&gt;0), CO40,     AND(NOT($AI40=$AM40),$AI40&gt;0,$AM40&gt;0,CO40&gt;0), ($AM40*CO40)/$AI40,     AND($AI40=0,$AM40&gt;0,$AQ40&gt;0), IF(INDEX(CO$12:CO$263,MATCH($AQ40,$AP$12:$AP$263,0))&gt;0,($AM40*INDEX(CO$12:CO$263,MATCH($AQ40,$AP$12:$AP$263,0)))/INDEX($AI$12:$AI$263,MATCH($AQ40,$AP$12:$AP$263,0)), "-"),     TRUE, "0")</f>
        <v>0</v>
      </c>
      <c r="CQ40" s="607">
        <f>IF(CP$9&gt;0, IF(OR(CP40="",CP40="-"), 0, CP40*$AT40), CO40*$AJ40)</f>
        <v>0</v>
      </c>
      <c r="CR40" s="589">
        <f>[1]COMMANDE!AU38</f>
        <v>0</v>
      </c>
      <c r="CS40" s="586" t="str">
        <f>_xlfn.IFS(AND($AI40=$AM40,$AI40&gt;0,$AM40&gt;0,CR40&gt;0), CR40,     AND(NOT($AI40=$AM40),$AI40&gt;0,$AM40&gt;0,CR40&gt;0), ($AM40*CR40)/$AI40,     AND($AI40=0,$AM40&gt;0,$AQ40&gt;0), IF(INDEX(CR$12:CR$263,MATCH($AQ40,$AP$12:$AP$263,0))&gt;0,($AM40*INDEX(CR$12:CR$263,MATCH($AQ40,$AP$12:$AP$263,0)))/INDEX($AI$12:$AI$263,MATCH($AQ40,$AP$12:$AP$263,0)), "-"),     TRUE, "0")</f>
        <v>0</v>
      </c>
      <c r="CT40" s="588">
        <f>IF(CS$9&gt;0, IF(OR(CS40="",CS40="-"), 0, CS40*$AT40), CR40*$AJ40)</f>
        <v>0</v>
      </c>
      <c r="CU40" s="587">
        <f>[1]COMMANDE!AW38</f>
        <v>0</v>
      </c>
      <c r="CV40" s="586" t="str">
        <f>_xlfn.IFS(AND($AI40=$AM40,$AI40&gt;0,$AM40&gt;0,CU40&gt;0), CU40,     AND(NOT($AI40=$AM40),$AI40&gt;0,$AM40&gt;0,CU40&gt;0), ($AM40*CU40)/$AI40,     AND($AI40=0,$AM40&gt;0,$AQ40&gt;0), IF(INDEX(CU$12:CU$263,MATCH($AQ40,$AP$12:$AP$263,0))&gt;0,($AM40*INDEX(CU$12:CU$263,MATCH($AQ40,$AP$12:$AP$263,0)))/INDEX($AI$12:$AI$263,MATCH($AQ40,$AP$12:$AP$263,0)), "-"),     TRUE, "0")</f>
        <v>0</v>
      </c>
      <c r="CW40" s="607">
        <f>IF(CV$9&gt;0, IF(OR(CV40="",CV40="-"), 0, CV40*$AT40), CU40*$AJ40)</f>
        <v>0</v>
      </c>
      <c r="CX40" s="589">
        <f>[1]COMMANDE!AY38</f>
        <v>0</v>
      </c>
      <c r="CY40" s="586" t="str">
        <f>_xlfn.IFS(AND($AI40=$AM40,$AI40&gt;0,$AM40&gt;0,CX40&gt;0), CX40,     AND(NOT($AI40=$AM40),$AI40&gt;0,$AM40&gt;0,CX40&gt;0), ($AM40*CX40)/$AI40,     AND($AI40=0,$AM40&gt;0,$AQ40&gt;0), IF(INDEX(CX$12:CX$263,MATCH($AQ40,$AP$12:$AP$263,0))&gt;0,($AM40*INDEX(CX$12:CX$263,MATCH($AQ40,$AP$12:$AP$263,0)))/INDEX($AI$12:$AI$263,MATCH($AQ40,$AP$12:$AP$263,0)), "-"),     TRUE, "0")</f>
        <v>0</v>
      </c>
      <c r="CZ40" s="588">
        <f>IF(CY$9&gt;0, IF(OR(CY40="",CY40="-"), 0, CY40*$AT40), CX40*$AJ40)</f>
        <v>0</v>
      </c>
      <c r="DA40" s="587">
        <f>[1]COMMANDE!BA38</f>
        <v>0</v>
      </c>
      <c r="DB40" s="586" t="str">
        <f>_xlfn.IFS(AND($AI40=$AM40,$AI40&gt;0,$AM40&gt;0,DA40&gt;0), DA40,     AND(NOT($AI40=$AM40),$AI40&gt;0,$AM40&gt;0,DA40&gt;0), ($AM40*DA40)/$AI40,     AND($AI40=0,$AM40&gt;0,$AQ40&gt;0), IF(INDEX(DA$12:DA$263,MATCH($AQ40,$AP$12:$AP$263,0))&gt;0,($AM40*INDEX(DA$12:DA$263,MATCH($AQ40,$AP$12:$AP$263,0)))/INDEX($AI$12:$AI$263,MATCH($AQ40,$AP$12:$AP$263,0)), "-"),     TRUE, "0")</f>
        <v>0</v>
      </c>
      <c r="DC40" s="606">
        <f>IF(DB$9&gt;0, IF(OR(DB40="",DB40="-"), 0, DB40*$AT40), DA40*$AJ40)</f>
        <v>0</v>
      </c>
      <c r="DD40" s="584"/>
      <c r="DE40" s="583"/>
    </row>
    <row r="41" spans="1:109" ht="39.950000000000003" hidden="1" customHeight="1">
      <c r="A41" s="604">
        <f>IF(OR($AV41&gt;0, $AX41&gt;0), 1, 0)</f>
        <v>0</v>
      </c>
      <c r="B41" s="604">
        <f>IF(OR($AY41&gt;0, $BA41&gt;0), 1, 0)</f>
        <v>0</v>
      </c>
      <c r="C41" s="604">
        <f>IF(OR($BB41&gt;0, $BD41&gt;0), 1, 0)</f>
        <v>0</v>
      </c>
      <c r="D41" s="604">
        <f>IF(OR($BE41&gt;0, $BG41&gt;0), 1, 0)</f>
        <v>0</v>
      </c>
      <c r="E41" s="604">
        <f>IF(OR($BH41&gt;0, $BJ41&gt;0), 1, 0)</f>
        <v>0</v>
      </c>
      <c r="F41" s="604">
        <f>IF(OR($BK41&gt;0, $BM41&gt;0), 1, 0)</f>
        <v>0</v>
      </c>
      <c r="G41" s="604">
        <f>IF(OR($BN41&gt;0, $BP41&gt;0), 1, 0)</f>
        <v>0</v>
      </c>
      <c r="H41" s="604">
        <f>IF(OR($BQ41&gt;0, $BS41&gt;0), 1, 0)</f>
        <v>0</v>
      </c>
      <c r="I41" s="604">
        <f>IF(OR($BT41&gt;0, $BV41&gt;0), 1, 0)</f>
        <v>0</v>
      </c>
      <c r="J41" s="604">
        <f>IF(OR($BW41&gt;0, $BY41&gt;0), 1, 0)</f>
        <v>0</v>
      </c>
      <c r="K41" s="604">
        <f>IF(OR($BZ41&gt;0, $CB41&gt;0), 1, 0)</f>
        <v>0</v>
      </c>
      <c r="L41" s="604">
        <f>IF(OR($CC41&gt;0, $CE41&gt;0), 1, 0)</f>
        <v>0</v>
      </c>
      <c r="M41" s="604">
        <f>IF(OR($CF41&gt;0, $CH41&gt;0), 1, 0)</f>
        <v>0</v>
      </c>
      <c r="N41" s="604">
        <f>IF(OR($CI41&gt;0, $CK41&gt;0), 1, 0)</f>
        <v>0</v>
      </c>
      <c r="O41" s="604">
        <f>IF(OR($CL41&gt;0, $CN41&gt;0), 1, 0)</f>
        <v>0</v>
      </c>
      <c r="P41" s="604">
        <f>IF(OR($CO41&gt;0, $CQ41&gt;0), 1, 0)</f>
        <v>0</v>
      </c>
      <c r="Q41" s="604">
        <f>IF(OR($CR41&gt;0, $CT41&gt;0), 1, 0)</f>
        <v>0</v>
      </c>
      <c r="R41" s="604">
        <f>IF(OR($CU41&gt;0, $CW41&gt;0), 1, 0)</f>
        <v>0</v>
      </c>
      <c r="S41" s="604">
        <f>IF(OR($CX41&gt;0, $CZ41&gt;0), 1, 0)</f>
        <v>0</v>
      </c>
      <c r="T41" s="604">
        <f>IF(OR($DA41&gt;0, $DC41&gt;0), 1, 0)</f>
        <v>0</v>
      </c>
      <c r="U41" s="603">
        <f>IF(OR($AI41&gt;0,$AM41&gt;0,$AS41&gt;0), 1, 0)</f>
        <v>0</v>
      </c>
      <c r="V41" s="602">
        <f>[1]BDD!A31</f>
        <v>1527</v>
      </c>
      <c r="W41" s="601" t="str">
        <f>[1]BDD!B31</f>
        <v>Baie de Goji BIO (env. 1kg)</v>
      </c>
      <c r="X41" s="600" t="str">
        <f>IF([1]BDD!F31=0, "", [1]BDD!F31)</f>
        <v>❤️ OFFRE</v>
      </c>
      <c r="Y41" s="542">
        <f>ROUND([1]BDD!G31+FDP_CMD_KG, 2)</f>
        <v>28.24</v>
      </c>
      <c r="Z41" s="542">
        <f>ROUND([1]BDD!G31+FDP_FACT_KG, 2)</f>
        <v>28.24</v>
      </c>
      <c r="AA41" s="543" t="str">
        <f>[1]BDD!H31</f>
        <v>Pièce</v>
      </c>
      <c r="AB41" s="544" t="str">
        <f>IF(NOT(ISBLANK([1]BDD!I31)), ROUND(SUM(([1]BDD!G31*reduc1),FDP_CMD_KG), 2), "")</f>
        <v/>
      </c>
      <c r="AC41" s="544" t="str">
        <f>IF(NOT(ISBLANK([1]BDD!J31)), ROUND(SUM(([1]BDD!G31*reduc2),FDP_CMD_KG), 2), "")</f>
        <v/>
      </c>
      <c r="AD41" s="544" t="str">
        <f>IF(NOT(ISBLANK([1]BDD!K31)), ROUND(SUM(([1]BDD!G31*reduc3),FDP_CMD_KG), 2), "")</f>
        <v/>
      </c>
      <c r="AE41" s="544" t="str">
        <f>IF(NOT(ISBLANK([1]BDD!I31)), ROUND(SUM(([1]BDD!G31*reduc1),FDP_FACT_KG), 2), "")</f>
        <v/>
      </c>
      <c r="AF41" s="544" t="str">
        <f>IF(NOT(ISBLANK([1]BDD!J31)), ROUND(SUM(([1]BDD!G31*reduc2),FDP_FACT_KG), 2), "")</f>
        <v/>
      </c>
      <c r="AG41" s="544" t="str">
        <f>IF(NOT(ISBLANK([1]BDD!K31)), ROUND(SUM(([1]BDD!G31*reduc3),FDP_FACT_KG), 2), "")</f>
        <v/>
      </c>
      <c r="AH41" s="599" t="str">
        <f>[1]BDD!C31</f>
        <v>Tibet</v>
      </c>
      <c r="AI41" s="598">
        <f>SUM(AV41,AY41,BB41,BE41,BH41,BK41,BN41,BQ41,BT41,BW41,BZ41,CC41,CF41,CI41,CL41,CO41,CR41,CU41,CX41,DA41)</f>
        <v>0</v>
      </c>
      <c r="AJ41" s="545">
        <f>_xlfn.IFS($AD41&lt;&gt;"", $AD41,    $AC41&lt;&gt;"", $AC41,    $AB41&lt;&gt;"", $AB41,    TRUE, $Y41)</f>
        <v>28.24</v>
      </c>
      <c r="AK41" s="592">
        <f>$AI41*$AJ41</f>
        <v>0</v>
      </c>
      <c r="AL41" s="594"/>
      <c r="AM41" s="597"/>
      <c r="AN41" s="545">
        <f>_xlfn.IFS(AND(AM41&gt;=60,$AG41&lt;&gt;""), $AG41,    AND(AM41&gt;=30,$AF41&lt;&gt;""), $AF41,    AND(AM41&gt;=10,$AE41&lt;&gt;""), $AE41,    TRUE, $Z41)</f>
        <v>28.24</v>
      </c>
      <c r="AO41" s="596">
        <f>AM41*AN41</f>
        <v>0</v>
      </c>
      <c r="AP41" s="595"/>
      <c r="AQ41" s="595"/>
      <c r="AR41" s="594"/>
      <c r="AS41" s="593">
        <f>SUM(AW41,AZ41,BC41,BF41,BI41,BL41,BO41,BR41,BU41,BX41,CA41,CD41,CG41,CJ41,CM41,CP41,CS41,CV41,CY41,DB41)</f>
        <v>0</v>
      </c>
      <c r="AT41" s="545">
        <f>_xlfn.IFS(AND(AS41&gt;=60,$AG41&lt;&gt;""), $AG41,    AND(AS41&gt;=30,$AF41&lt;&gt;""), $AF41,    AND(AS41&gt;=10,$AE41&lt;&gt;""), $AE41,    TRUE, $Z41)</f>
        <v>28.24</v>
      </c>
      <c r="AU41" s="592">
        <f>$AS41*$AT41</f>
        <v>0</v>
      </c>
      <c r="AV41" s="591">
        <f>[1]COMMANDE!O39</f>
        <v>0</v>
      </c>
      <c r="AW41" s="586" t="str">
        <f>_xlfn.IFS(AND($AI41=$AM41,$AI41&gt;0,$AM41&gt;0,AV41&gt;0), AV41,     AND(NOT($AI41=$AM41),$AI41&gt;0,$AM41&gt;0,AV41&gt;0), ($AM41*AV41)/$AI41,     AND($AI41=0,$AM41&gt;0,$AQ41&gt;0), IF(INDEX(AV$12:AV$263,MATCH($AQ41,$AP$12:$AP$263,0))&gt;0,($AM41*INDEX(AV$12:AV$263,MATCH($AQ41,$AP$12:$AP$263,0)))/INDEX($AI$12:$AI$263,MATCH($AQ41,$AP$12:$AP$263,0)), "-"),     TRUE, "0")</f>
        <v>0</v>
      </c>
      <c r="AX41" s="588">
        <f>IF(AW$9&gt;0, IF(OR(AW41="",AW41="-"), 0, AW41*$AT41), AV41*$AJ41)</f>
        <v>0</v>
      </c>
      <c r="AY41" s="587">
        <f>[1]COMMANDE!Q39</f>
        <v>0</v>
      </c>
      <c r="AZ41" s="586" t="str">
        <f>_xlfn.IFS(AND($AI41=$AM41,$AI41&gt;0,$AM41&gt;0,AY41&gt;0), AY41,     AND(NOT($AI41=$AM41),$AI41&gt;0,$AM41&gt;0,AY41&gt;0), ($AM41*AY41)/$AI41,     AND($AI41=0,$AM41&gt;0,$AQ41&gt;0), IF(INDEX(AY$12:AY$263,MATCH($AQ41,$AP$12:$AP$263,0))&gt;0,($AM41*INDEX(AY$12:AY$263,MATCH($AQ41,$AP$12:$AP$263,0)))/INDEX($AI$12:$AI$263,MATCH($AQ41,$AP$12:$AP$263,0)), "-"),     TRUE, "0")</f>
        <v>0</v>
      </c>
      <c r="BA41" s="607">
        <f>IF(AZ$9&gt;0, IF(OR(AZ41="",AZ41="-"), 0, AZ41*$AT41), AY41*$AJ41)</f>
        <v>0</v>
      </c>
      <c r="BB41" s="589">
        <f>[1]COMMANDE!S39</f>
        <v>0</v>
      </c>
      <c r="BC41" s="586" t="str">
        <f>_xlfn.IFS(AND($AI41=$AM41,$AI41&gt;0,$AM41&gt;0,BB41&gt;0), BB41,     AND(NOT($AI41=$AM41),$AI41&gt;0,$AM41&gt;0,BB41&gt;0), ($AM41*BB41)/$AI41,     AND($AI41=0,$AM41&gt;0,$AQ41&gt;0), IF(INDEX(BB$12:BB$263,MATCH($AQ41,$AP$12:$AP$263,0))&gt;0,($AM41*INDEX(BB$12:BB$263,MATCH($AQ41,$AP$12:$AP$263,0)))/INDEX($AI$12:$AI$263,MATCH($AQ41,$AP$12:$AP$263,0)), "-"),     TRUE, "0")</f>
        <v>0</v>
      </c>
      <c r="BD41" s="588">
        <f>IF(BC$9&gt;0, IF(OR(BC41="",BC41="-"), 0, BC41*$AT41), BB41*$AJ41)</f>
        <v>0</v>
      </c>
      <c r="BE41" s="587">
        <f>[1]COMMANDE!U39</f>
        <v>0</v>
      </c>
      <c r="BF41" s="586" t="str">
        <f>_xlfn.IFS(AND($AI41=$AM41,$AI41&gt;0,$AM41&gt;0,BE41&gt;0), BE41,     AND(NOT($AI41=$AM41),$AI41&gt;0,$AM41&gt;0,BE41&gt;0), ($AM41*BE41)/$AI41,     AND($AI41=0,$AM41&gt;0,$AQ41&gt;0), IF(INDEX(BE$12:BE$263,MATCH($AQ41,$AP$12:$AP$263,0))&gt;0,($AM41*INDEX(BE$12:BE$263,MATCH($AQ41,$AP$12:$AP$263,0)))/INDEX($AI$12:$AI$263,MATCH($AQ41,$AP$12:$AP$263,0)), "-"),     TRUE, "0")</f>
        <v>0</v>
      </c>
      <c r="BG41" s="607">
        <f>IF(BF$9&gt;0, IF(OR(BF41="",BF41="-"), 0, BF41*$AT41), BE41*$AJ41)</f>
        <v>0</v>
      </c>
      <c r="BH41" s="589">
        <f>[1]COMMANDE!W39</f>
        <v>0</v>
      </c>
      <c r="BI41" s="586" t="str">
        <f>_xlfn.IFS(AND($AI41=$AM41,$AI41&gt;0,$AM41&gt;0,BH41&gt;0), BH41,     AND(NOT($AI41=$AM41),$AI41&gt;0,$AM41&gt;0,BH41&gt;0), ($AM41*BH41)/$AI41,     AND($AI41=0,$AM41&gt;0,$AQ41&gt;0), IF(INDEX(BH$12:BH$263,MATCH($AQ41,$AP$12:$AP$263,0))&gt;0,($AM41*INDEX(BH$12:BH$263,MATCH($AQ41,$AP$12:$AP$263,0)))/INDEX($AI$12:$AI$263,MATCH($AQ41,$AP$12:$AP$263,0)), "-"),     TRUE, "0")</f>
        <v>0</v>
      </c>
      <c r="BJ41" s="588">
        <f>IF(BI$9&gt;0, IF(OR(BI41="",BI41="-"), 0, BI41*$AT41), BH41*$AJ41)</f>
        <v>0</v>
      </c>
      <c r="BK41" s="587">
        <f>[1]COMMANDE!Y39</f>
        <v>0</v>
      </c>
      <c r="BL41" s="586" t="str">
        <f>_xlfn.IFS(AND($AI41=$AM41,$AI41&gt;0,$AM41&gt;0,BK41&gt;0), BK41,     AND(NOT($AI41=$AM41),$AI41&gt;0,$AM41&gt;0,BK41&gt;0), ($AM41*BK41)/$AI41,     AND($AI41=0,$AM41&gt;0,$AQ41&gt;0), IF(INDEX(BK$12:BK$263,MATCH($AQ41,$AP$12:$AP$263,0))&gt;0,($AM41*INDEX(BK$12:BK$263,MATCH($AQ41,$AP$12:$AP$263,0)))/INDEX($AI$12:$AI$263,MATCH($AQ41,$AP$12:$AP$263,0)), "-"),     TRUE, "0")</f>
        <v>0</v>
      </c>
      <c r="BM41" s="607">
        <f>IF(BL$9&gt;0, IF(OR(BL41="",BL41="-"), 0, BL41*$AT41), BK41*$AJ41)</f>
        <v>0</v>
      </c>
      <c r="BN41" s="589">
        <f>[1]COMMANDE!AA39</f>
        <v>0</v>
      </c>
      <c r="BO41" s="586" t="str">
        <f>_xlfn.IFS(AND($AI41=$AM41,$AI41&gt;0,$AM41&gt;0,BN41&gt;0), BN41,     AND(NOT($AI41=$AM41),$AI41&gt;0,$AM41&gt;0,BN41&gt;0), ($AM41*BN41)/$AI41,     AND($AI41=0,$AM41&gt;0,$AQ41&gt;0), IF(INDEX(BN$12:BN$263,MATCH($AQ41,$AP$12:$AP$263,0))&gt;0,($AM41*INDEX(BN$12:BN$263,MATCH($AQ41,$AP$12:$AP$263,0)))/INDEX($AI$12:$AI$263,MATCH($AQ41,$AP$12:$AP$263,0)), "-"),     TRUE, "0")</f>
        <v>0</v>
      </c>
      <c r="BP41" s="588">
        <f>IF(BO$9&gt;0, IF(OR(BO41="",BO41="-"), 0, BO41*$AT41), BN41*$AJ41)</f>
        <v>0</v>
      </c>
      <c r="BQ41" s="587">
        <f>[1]COMMANDE!AC39</f>
        <v>0</v>
      </c>
      <c r="BR41" s="586" t="str">
        <f>_xlfn.IFS(AND($AI41=$AM41,$AI41&gt;0,$AM41&gt;0,BQ41&gt;0), BQ41,     AND(NOT($AI41=$AM41),$AI41&gt;0,$AM41&gt;0,BQ41&gt;0), ($AM41*BQ41)/$AI41,     AND($AI41=0,$AM41&gt;0,$AQ41&gt;0), IF(INDEX(BQ$12:BQ$263,MATCH($AQ41,$AP$12:$AP$263,0))&gt;0,($AM41*INDEX(BQ$12:BQ$263,MATCH($AQ41,$AP$12:$AP$263,0)))/INDEX($AI$12:$AI$263,MATCH($AQ41,$AP$12:$AP$263,0)), "-"),     TRUE, "0")</f>
        <v>0</v>
      </c>
      <c r="BS41" s="607">
        <f>IF(BR$9&gt;0, IF(OR(BR41="",BR41="-"), 0, BR41*$AT41), BQ41*$AJ41)</f>
        <v>0</v>
      </c>
      <c r="BT41" s="589">
        <f>[1]COMMANDE!AE39</f>
        <v>0</v>
      </c>
      <c r="BU41" s="586" t="str">
        <f>_xlfn.IFS(AND($AI41=$AM41,$AI41&gt;0,$AM41&gt;0,BT41&gt;0), BT41,     AND(NOT($AI41=$AM41),$AI41&gt;0,$AM41&gt;0,BT41&gt;0), ($AM41*BT41)/$AI41,     AND($AI41=0,$AM41&gt;0,$AQ41&gt;0), IF(INDEX(BT$12:BT$263,MATCH($AQ41,$AP$12:$AP$263,0))&gt;0,($AM41*INDEX(BT$12:BT$263,MATCH($AQ41,$AP$12:$AP$263,0)))/INDEX($AI$12:$AI$263,MATCH($AQ41,$AP$12:$AP$263,0)), "-"),     TRUE, "0")</f>
        <v>0</v>
      </c>
      <c r="BV41" s="588">
        <f>IF(BU$9&gt;0, IF(OR(BU41="",BU41="-"), 0, BU41*$AT41), BT41*$AJ41)</f>
        <v>0</v>
      </c>
      <c r="BW41" s="587">
        <f>[1]COMMANDE!AG39</f>
        <v>0</v>
      </c>
      <c r="BX41" s="586" t="str">
        <f>_xlfn.IFS(AND($AI41=$AM41,$AI41&gt;0,$AM41&gt;0,BW41&gt;0), BW41,     AND(NOT($AI41=$AM41),$AI41&gt;0,$AM41&gt;0,BW41&gt;0), ($AM41*BW41)/$AI41,     AND($AI41=0,$AM41&gt;0,$AQ41&gt;0), IF(INDEX(BW$12:BW$263,MATCH($AQ41,$AP$12:$AP$263,0))&gt;0,($AM41*INDEX(BW$12:BW$263,MATCH($AQ41,$AP$12:$AP$263,0)))/INDEX($AI$12:$AI$263,MATCH($AQ41,$AP$12:$AP$263,0)), "-"),     TRUE, "0")</f>
        <v>0</v>
      </c>
      <c r="BY41" s="607">
        <f>IF(BX$9&gt;0, IF(OR(BX41="",BX41="-"), 0, BX41*$AT41), BW41*$AJ41)</f>
        <v>0</v>
      </c>
      <c r="BZ41" s="589">
        <f>[1]COMMANDE!AI39</f>
        <v>0</v>
      </c>
      <c r="CA41" s="586" t="str">
        <f>_xlfn.IFS(AND($AI41=$AM41,$AI41&gt;0,$AM41&gt;0,BZ41&gt;0), BZ41,     AND(NOT($AI41=$AM41),$AI41&gt;0,$AM41&gt;0,BZ41&gt;0), ($AM41*BZ41)/$AI41,     AND($AI41=0,$AM41&gt;0,$AQ41&gt;0), IF(INDEX(BZ$12:BZ$263,MATCH($AQ41,$AP$12:$AP$263,0))&gt;0,($AM41*INDEX(BZ$12:BZ$263,MATCH($AQ41,$AP$12:$AP$263,0)))/INDEX($AI$12:$AI$263,MATCH($AQ41,$AP$12:$AP$263,0)), "-"),     TRUE, "0")</f>
        <v>0</v>
      </c>
      <c r="CB41" s="588">
        <f>IF(CA$9&gt;0, IF(OR(CA41="",CA41="-"), 0, CA41*$AT41), BZ41*$AJ41)</f>
        <v>0</v>
      </c>
      <c r="CC41" s="587">
        <f>[1]COMMANDE!AK39</f>
        <v>0</v>
      </c>
      <c r="CD41" s="586" t="str">
        <f>_xlfn.IFS(AND($AI41=$AM41,$AI41&gt;0,$AM41&gt;0,CC41&gt;0), CC41,     AND(NOT($AI41=$AM41),$AI41&gt;0,$AM41&gt;0,CC41&gt;0), ($AM41*CC41)/$AI41,     AND($AI41=0,$AM41&gt;0,$AQ41&gt;0), IF(INDEX(CC$12:CC$263,MATCH($AQ41,$AP$12:$AP$263,0))&gt;0,($AM41*INDEX(CC$12:CC$263,MATCH($AQ41,$AP$12:$AP$263,0)))/INDEX($AI$12:$AI$263,MATCH($AQ41,$AP$12:$AP$263,0)), "-"),     TRUE, "0")</f>
        <v>0</v>
      </c>
      <c r="CE41" s="607">
        <f>IF(CD$9&gt;0, IF(OR(CD41="",CD41="-"), 0, CD41*$AT41), CC41*$AJ41)</f>
        <v>0</v>
      </c>
      <c r="CF41" s="589">
        <f>[1]COMMANDE!AM39</f>
        <v>0</v>
      </c>
      <c r="CG41" s="586" t="str">
        <f>_xlfn.IFS(AND($AI41=$AM41,$AI41&gt;0,$AM41&gt;0,CF41&gt;0), CF41,     AND(NOT($AI41=$AM41),$AI41&gt;0,$AM41&gt;0,CF41&gt;0), ($AM41*CF41)/$AI41,     AND($AI41=0,$AM41&gt;0,$AQ41&gt;0), IF(INDEX(CF$12:CF$263,MATCH($AQ41,$AP$12:$AP$263,0))&gt;0,($AM41*INDEX(CF$12:CF$263,MATCH($AQ41,$AP$12:$AP$263,0)))/INDEX($AI$12:$AI$263,MATCH($AQ41,$AP$12:$AP$263,0)), "-"),     TRUE, "0")</f>
        <v>0</v>
      </c>
      <c r="CH41" s="588">
        <f>IF(CG$9&gt;0, IF(OR(CG41="",CG41="-"), 0, CG41*$AT41), CF41*$AJ41)</f>
        <v>0</v>
      </c>
      <c r="CI41" s="587">
        <f>[1]COMMANDE!AO39</f>
        <v>0</v>
      </c>
      <c r="CJ41" s="586" t="str">
        <f>_xlfn.IFS(AND($AI41=$AM41,$AI41&gt;0,$AM41&gt;0,CI41&gt;0), CI41,     AND(NOT($AI41=$AM41),$AI41&gt;0,$AM41&gt;0,CI41&gt;0), ($AM41*CI41)/$AI41,     AND($AI41=0,$AM41&gt;0,$AQ41&gt;0), IF(INDEX(CI$12:CI$263,MATCH($AQ41,$AP$12:$AP$263,0))&gt;0,($AM41*INDEX(CI$12:CI$263,MATCH($AQ41,$AP$12:$AP$263,0)))/INDEX($AI$12:$AI$263,MATCH($AQ41,$AP$12:$AP$263,0)), "-"),     TRUE, "0")</f>
        <v>0</v>
      </c>
      <c r="CK41" s="607">
        <f>IF(CJ$9&gt;0, IF(OR(CJ41="",CJ41="-"), 0, CJ41*$AT41), CI41*$AJ41)</f>
        <v>0</v>
      </c>
      <c r="CL41" s="589">
        <f>[1]COMMANDE!AQ39</f>
        <v>0</v>
      </c>
      <c r="CM41" s="586" t="str">
        <f>_xlfn.IFS(AND($AI41=$AM41,$AI41&gt;0,$AM41&gt;0,CL41&gt;0), CL41,     AND(NOT($AI41=$AM41),$AI41&gt;0,$AM41&gt;0,CL41&gt;0), ($AM41*CL41)/$AI41,     AND($AI41=0,$AM41&gt;0,$AQ41&gt;0), IF(INDEX(CL$12:CL$263,MATCH($AQ41,$AP$12:$AP$263,0))&gt;0,($AM41*INDEX(CL$12:CL$263,MATCH($AQ41,$AP$12:$AP$263,0)))/INDEX($AI$12:$AI$263,MATCH($AQ41,$AP$12:$AP$263,0)), "-"),     TRUE, "0")</f>
        <v>0</v>
      </c>
      <c r="CN41" s="588">
        <f>IF(CM$9&gt;0, IF(OR(CM41="",CM41="-"), 0, CM41*$AT41), CL41*$AJ41)</f>
        <v>0</v>
      </c>
      <c r="CO41" s="587">
        <f>[1]COMMANDE!AS39</f>
        <v>0</v>
      </c>
      <c r="CP41" s="586" t="str">
        <f>_xlfn.IFS(AND($AI41=$AM41,$AI41&gt;0,$AM41&gt;0,CO41&gt;0), CO41,     AND(NOT($AI41=$AM41),$AI41&gt;0,$AM41&gt;0,CO41&gt;0), ($AM41*CO41)/$AI41,     AND($AI41=0,$AM41&gt;0,$AQ41&gt;0), IF(INDEX(CO$12:CO$263,MATCH($AQ41,$AP$12:$AP$263,0))&gt;0,($AM41*INDEX(CO$12:CO$263,MATCH($AQ41,$AP$12:$AP$263,0)))/INDEX($AI$12:$AI$263,MATCH($AQ41,$AP$12:$AP$263,0)), "-"),     TRUE, "0")</f>
        <v>0</v>
      </c>
      <c r="CQ41" s="607">
        <f>IF(CP$9&gt;0, IF(OR(CP41="",CP41="-"), 0, CP41*$AT41), CO41*$AJ41)</f>
        <v>0</v>
      </c>
      <c r="CR41" s="589">
        <f>[1]COMMANDE!AU39</f>
        <v>0</v>
      </c>
      <c r="CS41" s="586" t="str">
        <f>_xlfn.IFS(AND($AI41=$AM41,$AI41&gt;0,$AM41&gt;0,CR41&gt;0), CR41,     AND(NOT($AI41=$AM41),$AI41&gt;0,$AM41&gt;0,CR41&gt;0), ($AM41*CR41)/$AI41,     AND($AI41=0,$AM41&gt;0,$AQ41&gt;0), IF(INDEX(CR$12:CR$263,MATCH($AQ41,$AP$12:$AP$263,0))&gt;0,($AM41*INDEX(CR$12:CR$263,MATCH($AQ41,$AP$12:$AP$263,0)))/INDEX($AI$12:$AI$263,MATCH($AQ41,$AP$12:$AP$263,0)), "-"),     TRUE, "0")</f>
        <v>0</v>
      </c>
      <c r="CT41" s="588">
        <f>IF(CS$9&gt;0, IF(OR(CS41="",CS41="-"), 0, CS41*$AT41), CR41*$AJ41)</f>
        <v>0</v>
      </c>
      <c r="CU41" s="587">
        <f>[1]COMMANDE!AW39</f>
        <v>0</v>
      </c>
      <c r="CV41" s="586" t="str">
        <f>_xlfn.IFS(AND($AI41=$AM41,$AI41&gt;0,$AM41&gt;0,CU41&gt;0), CU41,     AND(NOT($AI41=$AM41),$AI41&gt;0,$AM41&gt;0,CU41&gt;0), ($AM41*CU41)/$AI41,     AND($AI41=0,$AM41&gt;0,$AQ41&gt;0), IF(INDEX(CU$12:CU$263,MATCH($AQ41,$AP$12:$AP$263,0))&gt;0,($AM41*INDEX(CU$12:CU$263,MATCH($AQ41,$AP$12:$AP$263,0)))/INDEX($AI$12:$AI$263,MATCH($AQ41,$AP$12:$AP$263,0)), "-"),     TRUE, "0")</f>
        <v>0</v>
      </c>
      <c r="CW41" s="607">
        <f>IF(CV$9&gt;0, IF(OR(CV41="",CV41="-"), 0, CV41*$AT41), CU41*$AJ41)</f>
        <v>0</v>
      </c>
      <c r="CX41" s="589">
        <f>[1]COMMANDE!AY39</f>
        <v>0</v>
      </c>
      <c r="CY41" s="586" t="str">
        <f>_xlfn.IFS(AND($AI41=$AM41,$AI41&gt;0,$AM41&gt;0,CX41&gt;0), CX41,     AND(NOT($AI41=$AM41),$AI41&gt;0,$AM41&gt;0,CX41&gt;0), ($AM41*CX41)/$AI41,     AND($AI41=0,$AM41&gt;0,$AQ41&gt;0), IF(INDEX(CX$12:CX$263,MATCH($AQ41,$AP$12:$AP$263,0))&gt;0,($AM41*INDEX(CX$12:CX$263,MATCH($AQ41,$AP$12:$AP$263,0)))/INDEX($AI$12:$AI$263,MATCH($AQ41,$AP$12:$AP$263,0)), "-"),     TRUE, "0")</f>
        <v>0</v>
      </c>
      <c r="CZ41" s="588">
        <f>IF(CY$9&gt;0, IF(OR(CY41="",CY41="-"), 0, CY41*$AT41), CX41*$AJ41)</f>
        <v>0</v>
      </c>
      <c r="DA41" s="587">
        <f>[1]COMMANDE!BA39</f>
        <v>0</v>
      </c>
      <c r="DB41" s="586" t="str">
        <f>_xlfn.IFS(AND($AI41=$AM41,$AI41&gt;0,$AM41&gt;0,DA41&gt;0), DA41,     AND(NOT($AI41=$AM41),$AI41&gt;0,$AM41&gt;0,DA41&gt;0), ($AM41*DA41)/$AI41,     AND($AI41=0,$AM41&gt;0,$AQ41&gt;0), IF(INDEX(DA$12:DA$263,MATCH($AQ41,$AP$12:$AP$263,0))&gt;0,($AM41*INDEX(DA$12:DA$263,MATCH($AQ41,$AP$12:$AP$263,0)))/INDEX($AI$12:$AI$263,MATCH($AQ41,$AP$12:$AP$263,0)), "-"),     TRUE, "0")</f>
        <v>0</v>
      </c>
      <c r="DC41" s="606">
        <f>IF(DB$9&gt;0, IF(OR(DB41="",DB41="-"), 0, DB41*$AT41), DA41*$AJ41)</f>
        <v>0</v>
      </c>
      <c r="DD41" s="584"/>
      <c r="DE41" s="583"/>
    </row>
    <row r="42" spans="1:109" ht="39.950000000000003" hidden="1" customHeight="1">
      <c r="A42" s="604">
        <f>IF(OR($AV42&gt;0, $AX42&gt;0), 1, 0)</f>
        <v>0</v>
      </c>
      <c r="B42" s="604">
        <f>IF(OR($AY42&gt;0, $BA42&gt;0), 1, 0)</f>
        <v>0</v>
      </c>
      <c r="C42" s="604">
        <f>IF(OR($BB42&gt;0, $BD42&gt;0), 1, 0)</f>
        <v>0</v>
      </c>
      <c r="D42" s="604">
        <f>IF(OR($BE42&gt;0, $BG42&gt;0), 1, 0)</f>
        <v>0</v>
      </c>
      <c r="E42" s="604">
        <f>IF(OR($BH42&gt;0, $BJ42&gt;0), 1, 0)</f>
        <v>0</v>
      </c>
      <c r="F42" s="604">
        <f>IF(OR($BK42&gt;0, $BM42&gt;0), 1, 0)</f>
        <v>0</v>
      </c>
      <c r="G42" s="604">
        <f>IF(OR($BN42&gt;0, $BP42&gt;0), 1, 0)</f>
        <v>0</v>
      </c>
      <c r="H42" s="604">
        <f>IF(OR($BQ42&gt;0, $BS42&gt;0), 1, 0)</f>
        <v>0</v>
      </c>
      <c r="I42" s="604">
        <f>IF(OR($BT42&gt;0, $BV42&gt;0), 1, 0)</f>
        <v>0</v>
      </c>
      <c r="J42" s="604">
        <f>IF(OR($BW42&gt;0, $BY42&gt;0), 1, 0)</f>
        <v>0</v>
      </c>
      <c r="K42" s="604">
        <f>IF(OR($BZ42&gt;0, $CB42&gt;0), 1, 0)</f>
        <v>0</v>
      </c>
      <c r="L42" s="604">
        <f>IF(OR($CC42&gt;0, $CE42&gt;0), 1, 0)</f>
        <v>0</v>
      </c>
      <c r="M42" s="604">
        <f>IF(OR($CF42&gt;0, $CH42&gt;0), 1, 0)</f>
        <v>0</v>
      </c>
      <c r="N42" s="604">
        <f>IF(OR($CI42&gt;0, $CK42&gt;0), 1, 0)</f>
        <v>0</v>
      </c>
      <c r="O42" s="604">
        <f>IF(OR($CL42&gt;0, $CN42&gt;0), 1, 0)</f>
        <v>0</v>
      </c>
      <c r="P42" s="604">
        <f>IF(OR($CO42&gt;0, $CQ42&gt;0), 1, 0)</f>
        <v>0</v>
      </c>
      <c r="Q42" s="604">
        <f>IF(OR($CR42&gt;0, $CT42&gt;0), 1, 0)</f>
        <v>0</v>
      </c>
      <c r="R42" s="604">
        <f>IF(OR($CU42&gt;0, $CW42&gt;0), 1, 0)</f>
        <v>0</v>
      </c>
      <c r="S42" s="604">
        <f>IF(OR($CX42&gt;0, $CZ42&gt;0), 1, 0)</f>
        <v>0</v>
      </c>
      <c r="T42" s="604">
        <f>IF(OR($DA42&gt;0, $DC42&gt;0), 1, 0)</f>
        <v>0</v>
      </c>
      <c r="U42" s="603">
        <f>IF(OR($AI42&gt;0,$AM42&gt;0,$AS42&gt;0), 1, 0)</f>
        <v>0</v>
      </c>
      <c r="V42" s="602">
        <f>[1]BDD!A32</f>
        <v>1527</v>
      </c>
      <c r="W42" s="601" t="str">
        <f>[1]BDD!B32</f>
        <v>Baie de Goji BIO (envi. 500g)</v>
      </c>
      <c r="X42" s="600" t="str">
        <f>IF([1]BDD!F32=0, "", [1]BDD!F32)</f>
        <v>❤️ OFFRE</v>
      </c>
      <c r="Y42" s="542">
        <f>ROUND([1]BDD!G32+FDP_CMD_KG, 2)</f>
        <v>15.24</v>
      </c>
      <c r="Z42" s="542">
        <f>ROUND([1]BDD!G32+FDP_FACT_KG, 2)</f>
        <v>15.24</v>
      </c>
      <c r="AA42" s="543" t="str">
        <f>[1]BDD!H32</f>
        <v>Pièce</v>
      </c>
      <c r="AB42" s="544" t="str">
        <f>IF(NOT(ISBLANK([1]BDD!I32)), ROUND(SUM(([1]BDD!G32*reduc1),FDP_CMD_KG), 2), "")</f>
        <v/>
      </c>
      <c r="AC42" s="544" t="str">
        <f>IF(NOT(ISBLANK([1]BDD!J32)), ROUND(SUM(([1]BDD!G32*reduc2),FDP_CMD_KG), 2), "")</f>
        <v/>
      </c>
      <c r="AD42" s="544" t="str">
        <f>IF(NOT(ISBLANK([1]BDD!K32)), ROUND(SUM(([1]BDD!G32*reduc3),FDP_CMD_KG), 2), "")</f>
        <v/>
      </c>
      <c r="AE42" s="544" t="str">
        <f>IF(NOT(ISBLANK([1]BDD!I32)), ROUND(SUM(([1]BDD!G32*reduc1),FDP_FACT_KG), 2), "")</f>
        <v/>
      </c>
      <c r="AF42" s="544" t="str">
        <f>IF(NOT(ISBLANK([1]BDD!J32)), ROUND(SUM(([1]BDD!G32*reduc2),FDP_FACT_KG), 2), "")</f>
        <v/>
      </c>
      <c r="AG42" s="544" t="str">
        <f>IF(NOT(ISBLANK([1]BDD!K32)), ROUND(SUM(([1]BDD!G32*reduc3),FDP_FACT_KG), 2), "")</f>
        <v/>
      </c>
      <c r="AH42" s="599" t="str">
        <f>[1]BDD!C32</f>
        <v>Tibet</v>
      </c>
      <c r="AI42" s="598">
        <f>SUM(AV42,AY42,BB42,BE42,BH42,BK42,BN42,BQ42,BT42,BW42,BZ42,CC42,CF42,CI42,CL42,CO42,CR42,CU42,CX42,DA42)</f>
        <v>0</v>
      </c>
      <c r="AJ42" s="545">
        <f>_xlfn.IFS($AD42&lt;&gt;"", $AD42,    $AC42&lt;&gt;"", $AC42,    $AB42&lt;&gt;"", $AB42,    TRUE, $Y42)</f>
        <v>15.24</v>
      </c>
      <c r="AK42" s="592">
        <f>$AI42*$AJ42</f>
        <v>0</v>
      </c>
      <c r="AL42" s="594"/>
      <c r="AM42" s="597"/>
      <c r="AN42" s="545">
        <f>_xlfn.IFS(AND(AM42&gt;=60,$AG42&lt;&gt;""), $AG42,    AND(AM42&gt;=30,$AF42&lt;&gt;""), $AF42,    AND(AM42&gt;=10,$AE42&lt;&gt;""), $AE42,    TRUE, $Z42)</f>
        <v>15.24</v>
      </c>
      <c r="AO42" s="596">
        <f>AM42*AN42</f>
        <v>0</v>
      </c>
      <c r="AP42" s="595"/>
      <c r="AQ42" s="595"/>
      <c r="AR42" s="594"/>
      <c r="AS42" s="593">
        <f>SUM(AW42,AZ42,BC42,BF42,BI42,BL42,BO42,BR42,BU42,BX42,CA42,CD42,CG42,CJ42,CM42,CP42,CS42,CV42,CY42,DB42)</f>
        <v>0</v>
      </c>
      <c r="AT42" s="545">
        <f>_xlfn.IFS(AND(AS42&gt;=60,$AG42&lt;&gt;""), $AG42,    AND(AS42&gt;=30,$AF42&lt;&gt;""), $AF42,    AND(AS42&gt;=10,$AE42&lt;&gt;""), $AE42,    TRUE, $Z42)</f>
        <v>15.24</v>
      </c>
      <c r="AU42" s="592">
        <f>$AS42*$AT42</f>
        <v>0</v>
      </c>
      <c r="AV42" s="591">
        <f>[1]COMMANDE!O40</f>
        <v>0</v>
      </c>
      <c r="AW42" s="586" t="str">
        <f>_xlfn.IFS(AND($AI42=$AM42,$AI42&gt;0,$AM42&gt;0,AV42&gt;0), AV42,     AND(NOT($AI42=$AM42),$AI42&gt;0,$AM42&gt;0,AV42&gt;0), ($AM42*AV42)/$AI42,     AND($AI42=0,$AM42&gt;0,$AQ42&gt;0), IF(INDEX(AV$12:AV$263,MATCH($AQ42,$AP$12:$AP$263,0))&gt;0,($AM42*INDEX(AV$12:AV$263,MATCH($AQ42,$AP$12:$AP$263,0)))/INDEX($AI$12:$AI$263,MATCH($AQ42,$AP$12:$AP$263,0)), "-"),     TRUE, "0")</f>
        <v>0</v>
      </c>
      <c r="AX42" s="588">
        <f>IF(AW$9&gt;0, IF(OR(AW42="",AW42="-"), 0, AW42*$AT42), AV42*$AJ42)</f>
        <v>0</v>
      </c>
      <c r="AY42" s="587">
        <f>[1]COMMANDE!Q40</f>
        <v>0</v>
      </c>
      <c r="AZ42" s="586" t="str">
        <f>_xlfn.IFS(AND($AI42=$AM42,$AI42&gt;0,$AM42&gt;0,AY42&gt;0), AY42,     AND(NOT($AI42=$AM42),$AI42&gt;0,$AM42&gt;0,AY42&gt;0), ($AM42*AY42)/$AI42,     AND($AI42=0,$AM42&gt;0,$AQ42&gt;0), IF(INDEX(AY$12:AY$263,MATCH($AQ42,$AP$12:$AP$263,0))&gt;0,($AM42*INDEX(AY$12:AY$263,MATCH($AQ42,$AP$12:$AP$263,0)))/INDEX($AI$12:$AI$263,MATCH($AQ42,$AP$12:$AP$263,0)), "-"),     TRUE, "0")</f>
        <v>0</v>
      </c>
      <c r="BA42" s="607">
        <f>IF(AZ$9&gt;0, IF(OR(AZ42="",AZ42="-"), 0, AZ42*$AT42), AY42*$AJ42)</f>
        <v>0</v>
      </c>
      <c r="BB42" s="589">
        <f>[1]COMMANDE!S40</f>
        <v>0</v>
      </c>
      <c r="BC42" s="586" t="str">
        <f>_xlfn.IFS(AND($AI42=$AM42,$AI42&gt;0,$AM42&gt;0,BB42&gt;0), BB42,     AND(NOT($AI42=$AM42),$AI42&gt;0,$AM42&gt;0,BB42&gt;0), ($AM42*BB42)/$AI42,     AND($AI42=0,$AM42&gt;0,$AQ42&gt;0), IF(INDEX(BB$12:BB$263,MATCH($AQ42,$AP$12:$AP$263,0))&gt;0,($AM42*INDEX(BB$12:BB$263,MATCH($AQ42,$AP$12:$AP$263,0)))/INDEX($AI$12:$AI$263,MATCH($AQ42,$AP$12:$AP$263,0)), "-"),     TRUE, "0")</f>
        <v>0</v>
      </c>
      <c r="BD42" s="588">
        <f>IF(BC$9&gt;0, IF(OR(BC42="",BC42="-"), 0, BC42*$AT42), BB42*$AJ42)</f>
        <v>0</v>
      </c>
      <c r="BE42" s="587">
        <f>[1]COMMANDE!U40</f>
        <v>0</v>
      </c>
      <c r="BF42" s="586" t="str">
        <f>_xlfn.IFS(AND($AI42=$AM42,$AI42&gt;0,$AM42&gt;0,BE42&gt;0), BE42,     AND(NOT($AI42=$AM42),$AI42&gt;0,$AM42&gt;0,BE42&gt;0), ($AM42*BE42)/$AI42,     AND($AI42=0,$AM42&gt;0,$AQ42&gt;0), IF(INDEX(BE$12:BE$263,MATCH($AQ42,$AP$12:$AP$263,0))&gt;0,($AM42*INDEX(BE$12:BE$263,MATCH($AQ42,$AP$12:$AP$263,0)))/INDEX($AI$12:$AI$263,MATCH($AQ42,$AP$12:$AP$263,0)), "-"),     TRUE, "0")</f>
        <v>0</v>
      </c>
      <c r="BG42" s="607">
        <f>IF(BF$9&gt;0, IF(OR(BF42="",BF42="-"), 0, BF42*$AT42), BE42*$AJ42)</f>
        <v>0</v>
      </c>
      <c r="BH42" s="589">
        <f>[1]COMMANDE!W40</f>
        <v>0</v>
      </c>
      <c r="BI42" s="586" t="str">
        <f>_xlfn.IFS(AND($AI42=$AM42,$AI42&gt;0,$AM42&gt;0,BH42&gt;0), BH42,     AND(NOT($AI42=$AM42),$AI42&gt;0,$AM42&gt;0,BH42&gt;0), ($AM42*BH42)/$AI42,     AND($AI42=0,$AM42&gt;0,$AQ42&gt;0), IF(INDEX(BH$12:BH$263,MATCH($AQ42,$AP$12:$AP$263,0))&gt;0,($AM42*INDEX(BH$12:BH$263,MATCH($AQ42,$AP$12:$AP$263,0)))/INDEX($AI$12:$AI$263,MATCH($AQ42,$AP$12:$AP$263,0)), "-"),     TRUE, "0")</f>
        <v>0</v>
      </c>
      <c r="BJ42" s="588">
        <f>IF(BI$9&gt;0, IF(OR(BI42="",BI42="-"), 0, BI42*$AT42), BH42*$AJ42)</f>
        <v>0</v>
      </c>
      <c r="BK42" s="587">
        <f>[1]COMMANDE!Y40</f>
        <v>0</v>
      </c>
      <c r="BL42" s="586" t="str">
        <f>_xlfn.IFS(AND($AI42=$AM42,$AI42&gt;0,$AM42&gt;0,BK42&gt;0), BK42,     AND(NOT($AI42=$AM42),$AI42&gt;0,$AM42&gt;0,BK42&gt;0), ($AM42*BK42)/$AI42,     AND($AI42=0,$AM42&gt;0,$AQ42&gt;0), IF(INDEX(BK$12:BK$263,MATCH($AQ42,$AP$12:$AP$263,0))&gt;0,($AM42*INDEX(BK$12:BK$263,MATCH($AQ42,$AP$12:$AP$263,0)))/INDEX($AI$12:$AI$263,MATCH($AQ42,$AP$12:$AP$263,0)), "-"),     TRUE, "0")</f>
        <v>0</v>
      </c>
      <c r="BM42" s="607">
        <f>IF(BL$9&gt;0, IF(OR(BL42="",BL42="-"), 0, BL42*$AT42), BK42*$AJ42)</f>
        <v>0</v>
      </c>
      <c r="BN42" s="589">
        <f>[1]COMMANDE!AA40</f>
        <v>0</v>
      </c>
      <c r="BO42" s="586" t="str">
        <f>_xlfn.IFS(AND($AI42=$AM42,$AI42&gt;0,$AM42&gt;0,BN42&gt;0), BN42,     AND(NOT($AI42=$AM42),$AI42&gt;0,$AM42&gt;0,BN42&gt;0), ($AM42*BN42)/$AI42,     AND($AI42=0,$AM42&gt;0,$AQ42&gt;0), IF(INDEX(BN$12:BN$263,MATCH($AQ42,$AP$12:$AP$263,0))&gt;0,($AM42*INDEX(BN$12:BN$263,MATCH($AQ42,$AP$12:$AP$263,0)))/INDEX($AI$12:$AI$263,MATCH($AQ42,$AP$12:$AP$263,0)), "-"),     TRUE, "0")</f>
        <v>0</v>
      </c>
      <c r="BP42" s="588">
        <f>IF(BO$9&gt;0, IF(OR(BO42="",BO42="-"), 0, BO42*$AT42), BN42*$AJ42)</f>
        <v>0</v>
      </c>
      <c r="BQ42" s="587">
        <f>[1]COMMANDE!AC40</f>
        <v>0</v>
      </c>
      <c r="BR42" s="586" t="str">
        <f>_xlfn.IFS(AND($AI42=$AM42,$AI42&gt;0,$AM42&gt;0,BQ42&gt;0), BQ42,     AND(NOT($AI42=$AM42),$AI42&gt;0,$AM42&gt;0,BQ42&gt;0), ($AM42*BQ42)/$AI42,     AND($AI42=0,$AM42&gt;0,$AQ42&gt;0), IF(INDEX(BQ$12:BQ$263,MATCH($AQ42,$AP$12:$AP$263,0))&gt;0,($AM42*INDEX(BQ$12:BQ$263,MATCH($AQ42,$AP$12:$AP$263,0)))/INDEX($AI$12:$AI$263,MATCH($AQ42,$AP$12:$AP$263,0)), "-"),     TRUE, "0")</f>
        <v>0</v>
      </c>
      <c r="BS42" s="607">
        <f>IF(BR$9&gt;0, IF(OR(BR42="",BR42="-"), 0, BR42*$AT42), BQ42*$AJ42)</f>
        <v>0</v>
      </c>
      <c r="BT42" s="589">
        <f>[1]COMMANDE!AE40</f>
        <v>0</v>
      </c>
      <c r="BU42" s="586" t="str">
        <f>_xlfn.IFS(AND($AI42=$AM42,$AI42&gt;0,$AM42&gt;0,BT42&gt;0), BT42,     AND(NOT($AI42=$AM42),$AI42&gt;0,$AM42&gt;0,BT42&gt;0), ($AM42*BT42)/$AI42,     AND($AI42=0,$AM42&gt;0,$AQ42&gt;0), IF(INDEX(BT$12:BT$263,MATCH($AQ42,$AP$12:$AP$263,0))&gt;0,($AM42*INDEX(BT$12:BT$263,MATCH($AQ42,$AP$12:$AP$263,0)))/INDEX($AI$12:$AI$263,MATCH($AQ42,$AP$12:$AP$263,0)), "-"),     TRUE, "0")</f>
        <v>0</v>
      </c>
      <c r="BV42" s="588">
        <f>IF(BU$9&gt;0, IF(OR(BU42="",BU42="-"), 0, BU42*$AT42), BT42*$AJ42)</f>
        <v>0</v>
      </c>
      <c r="BW42" s="587">
        <f>[1]COMMANDE!AG40</f>
        <v>0</v>
      </c>
      <c r="BX42" s="586" t="str">
        <f>_xlfn.IFS(AND($AI42=$AM42,$AI42&gt;0,$AM42&gt;0,BW42&gt;0), BW42,     AND(NOT($AI42=$AM42),$AI42&gt;0,$AM42&gt;0,BW42&gt;0), ($AM42*BW42)/$AI42,     AND($AI42=0,$AM42&gt;0,$AQ42&gt;0), IF(INDEX(BW$12:BW$263,MATCH($AQ42,$AP$12:$AP$263,0))&gt;0,($AM42*INDEX(BW$12:BW$263,MATCH($AQ42,$AP$12:$AP$263,0)))/INDEX($AI$12:$AI$263,MATCH($AQ42,$AP$12:$AP$263,0)), "-"),     TRUE, "0")</f>
        <v>0</v>
      </c>
      <c r="BY42" s="607">
        <f>IF(BX$9&gt;0, IF(OR(BX42="",BX42="-"), 0, BX42*$AT42), BW42*$AJ42)</f>
        <v>0</v>
      </c>
      <c r="BZ42" s="589">
        <f>[1]COMMANDE!AI40</f>
        <v>0</v>
      </c>
      <c r="CA42" s="586" t="str">
        <f>_xlfn.IFS(AND($AI42=$AM42,$AI42&gt;0,$AM42&gt;0,BZ42&gt;0), BZ42,     AND(NOT($AI42=$AM42),$AI42&gt;0,$AM42&gt;0,BZ42&gt;0), ($AM42*BZ42)/$AI42,     AND($AI42=0,$AM42&gt;0,$AQ42&gt;0), IF(INDEX(BZ$12:BZ$263,MATCH($AQ42,$AP$12:$AP$263,0))&gt;0,($AM42*INDEX(BZ$12:BZ$263,MATCH($AQ42,$AP$12:$AP$263,0)))/INDEX($AI$12:$AI$263,MATCH($AQ42,$AP$12:$AP$263,0)), "-"),     TRUE, "0")</f>
        <v>0</v>
      </c>
      <c r="CB42" s="588">
        <f>IF(CA$9&gt;0, IF(OR(CA42="",CA42="-"), 0, CA42*$AT42), BZ42*$AJ42)</f>
        <v>0</v>
      </c>
      <c r="CC42" s="587">
        <f>[1]COMMANDE!AK40</f>
        <v>0</v>
      </c>
      <c r="CD42" s="586" t="str">
        <f>_xlfn.IFS(AND($AI42=$AM42,$AI42&gt;0,$AM42&gt;0,CC42&gt;0), CC42,     AND(NOT($AI42=$AM42),$AI42&gt;0,$AM42&gt;0,CC42&gt;0), ($AM42*CC42)/$AI42,     AND($AI42=0,$AM42&gt;0,$AQ42&gt;0), IF(INDEX(CC$12:CC$263,MATCH($AQ42,$AP$12:$AP$263,0))&gt;0,($AM42*INDEX(CC$12:CC$263,MATCH($AQ42,$AP$12:$AP$263,0)))/INDEX($AI$12:$AI$263,MATCH($AQ42,$AP$12:$AP$263,0)), "-"),     TRUE, "0")</f>
        <v>0</v>
      </c>
      <c r="CE42" s="607">
        <f>IF(CD$9&gt;0, IF(OR(CD42="",CD42="-"), 0, CD42*$AT42), CC42*$AJ42)</f>
        <v>0</v>
      </c>
      <c r="CF42" s="589">
        <f>[1]COMMANDE!AM40</f>
        <v>0</v>
      </c>
      <c r="CG42" s="586" t="str">
        <f>_xlfn.IFS(AND($AI42=$AM42,$AI42&gt;0,$AM42&gt;0,CF42&gt;0), CF42,     AND(NOT($AI42=$AM42),$AI42&gt;0,$AM42&gt;0,CF42&gt;0), ($AM42*CF42)/$AI42,     AND($AI42=0,$AM42&gt;0,$AQ42&gt;0), IF(INDEX(CF$12:CF$263,MATCH($AQ42,$AP$12:$AP$263,0))&gt;0,($AM42*INDEX(CF$12:CF$263,MATCH($AQ42,$AP$12:$AP$263,0)))/INDEX($AI$12:$AI$263,MATCH($AQ42,$AP$12:$AP$263,0)), "-"),     TRUE, "0")</f>
        <v>0</v>
      </c>
      <c r="CH42" s="588">
        <f>IF(CG$9&gt;0, IF(OR(CG42="",CG42="-"), 0, CG42*$AT42), CF42*$AJ42)</f>
        <v>0</v>
      </c>
      <c r="CI42" s="587">
        <f>[1]COMMANDE!AO40</f>
        <v>0</v>
      </c>
      <c r="CJ42" s="586" t="str">
        <f>_xlfn.IFS(AND($AI42=$AM42,$AI42&gt;0,$AM42&gt;0,CI42&gt;0), CI42,     AND(NOT($AI42=$AM42),$AI42&gt;0,$AM42&gt;0,CI42&gt;0), ($AM42*CI42)/$AI42,     AND($AI42=0,$AM42&gt;0,$AQ42&gt;0), IF(INDEX(CI$12:CI$263,MATCH($AQ42,$AP$12:$AP$263,0))&gt;0,($AM42*INDEX(CI$12:CI$263,MATCH($AQ42,$AP$12:$AP$263,0)))/INDEX($AI$12:$AI$263,MATCH($AQ42,$AP$12:$AP$263,0)), "-"),     TRUE, "0")</f>
        <v>0</v>
      </c>
      <c r="CK42" s="607">
        <f>IF(CJ$9&gt;0, IF(OR(CJ42="",CJ42="-"), 0, CJ42*$AT42), CI42*$AJ42)</f>
        <v>0</v>
      </c>
      <c r="CL42" s="589">
        <f>[1]COMMANDE!AQ40</f>
        <v>0</v>
      </c>
      <c r="CM42" s="586" t="str">
        <f>_xlfn.IFS(AND($AI42=$AM42,$AI42&gt;0,$AM42&gt;0,CL42&gt;0), CL42,     AND(NOT($AI42=$AM42),$AI42&gt;0,$AM42&gt;0,CL42&gt;0), ($AM42*CL42)/$AI42,     AND($AI42=0,$AM42&gt;0,$AQ42&gt;0), IF(INDEX(CL$12:CL$263,MATCH($AQ42,$AP$12:$AP$263,0))&gt;0,($AM42*INDEX(CL$12:CL$263,MATCH($AQ42,$AP$12:$AP$263,0)))/INDEX($AI$12:$AI$263,MATCH($AQ42,$AP$12:$AP$263,0)), "-"),     TRUE, "0")</f>
        <v>0</v>
      </c>
      <c r="CN42" s="588">
        <f>IF(CM$9&gt;0, IF(OR(CM42="",CM42="-"), 0, CM42*$AT42), CL42*$AJ42)</f>
        <v>0</v>
      </c>
      <c r="CO42" s="587">
        <f>[1]COMMANDE!AS40</f>
        <v>0</v>
      </c>
      <c r="CP42" s="586" t="str">
        <f>_xlfn.IFS(AND($AI42=$AM42,$AI42&gt;0,$AM42&gt;0,CO42&gt;0), CO42,     AND(NOT($AI42=$AM42),$AI42&gt;0,$AM42&gt;0,CO42&gt;0), ($AM42*CO42)/$AI42,     AND($AI42=0,$AM42&gt;0,$AQ42&gt;0), IF(INDEX(CO$12:CO$263,MATCH($AQ42,$AP$12:$AP$263,0))&gt;0,($AM42*INDEX(CO$12:CO$263,MATCH($AQ42,$AP$12:$AP$263,0)))/INDEX($AI$12:$AI$263,MATCH($AQ42,$AP$12:$AP$263,0)), "-"),     TRUE, "0")</f>
        <v>0</v>
      </c>
      <c r="CQ42" s="607">
        <f>IF(CP$9&gt;0, IF(OR(CP42="",CP42="-"), 0, CP42*$AT42), CO42*$AJ42)</f>
        <v>0</v>
      </c>
      <c r="CR42" s="589">
        <f>[1]COMMANDE!AU40</f>
        <v>0</v>
      </c>
      <c r="CS42" s="586" t="str">
        <f>_xlfn.IFS(AND($AI42=$AM42,$AI42&gt;0,$AM42&gt;0,CR42&gt;0), CR42,     AND(NOT($AI42=$AM42),$AI42&gt;0,$AM42&gt;0,CR42&gt;0), ($AM42*CR42)/$AI42,     AND($AI42=0,$AM42&gt;0,$AQ42&gt;0), IF(INDEX(CR$12:CR$263,MATCH($AQ42,$AP$12:$AP$263,0))&gt;0,($AM42*INDEX(CR$12:CR$263,MATCH($AQ42,$AP$12:$AP$263,0)))/INDEX($AI$12:$AI$263,MATCH($AQ42,$AP$12:$AP$263,0)), "-"),     TRUE, "0")</f>
        <v>0</v>
      </c>
      <c r="CT42" s="588">
        <f>IF(CS$9&gt;0, IF(OR(CS42="",CS42="-"), 0, CS42*$AT42), CR42*$AJ42)</f>
        <v>0</v>
      </c>
      <c r="CU42" s="587">
        <f>[1]COMMANDE!AW40</f>
        <v>0</v>
      </c>
      <c r="CV42" s="586" t="str">
        <f>_xlfn.IFS(AND($AI42=$AM42,$AI42&gt;0,$AM42&gt;0,CU42&gt;0), CU42,     AND(NOT($AI42=$AM42),$AI42&gt;0,$AM42&gt;0,CU42&gt;0), ($AM42*CU42)/$AI42,     AND($AI42=0,$AM42&gt;0,$AQ42&gt;0), IF(INDEX(CU$12:CU$263,MATCH($AQ42,$AP$12:$AP$263,0))&gt;0,($AM42*INDEX(CU$12:CU$263,MATCH($AQ42,$AP$12:$AP$263,0)))/INDEX($AI$12:$AI$263,MATCH($AQ42,$AP$12:$AP$263,0)), "-"),     TRUE, "0")</f>
        <v>0</v>
      </c>
      <c r="CW42" s="607">
        <f>IF(CV$9&gt;0, IF(OR(CV42="",CV42="-"), 0, CV42*$AT42), CU42*$AJ42)</f>
        <v>0</v>
      </c>
      <c r="CX42" s="589">
        <f>[1]COMMANDE!AY40</f>
        <v>0</v>
      </c>
      <c r="CY42" s="586" t="str">
        <f>_xlfn.IFS(AND($AI42=$AM42,$AI42&gt;0,$AM42&gt;0,CX42&gt;0), CX42,     AND(NOT($AI42=$AM42),$AI42&gt;0,$AM42&gt;0,CX42&gt;0), ($AM42*CX42)/$AI42,     AND($AI42=0,$AM42&gt;0,$AQ42&gt;0), IF(INDEX(CX$12:CX$263,MATCH($AQ42,$AP$12:$AP$263,0))&gt;0,($AM42*INDEX(CX$12:CX$263,MATCH($AQ42,$AP$12:$AP$263,0)))/INDEX($AI$12:$AI$263,MATCH($AQ42,$AP$12:$AP$263,0)), "-"),     TRUE, "0")</f>
        <v>0</v>
      </c>
      <c r="CZ42" s="588">
        <f>IF(CY$9&gt;0, IF(OR(CY42="",CY42="-"), 0, CY42*$AT42), CX42*$AJ42)</f>
        <v>0</v>
      </c>
      <c r="DA42" s="587">
        <f>[1]COMMANDE!BA40</f>
        <v>0</v>
      </c>
      <c r="DB42" s="586" t="str">
        <f>_xlfn.IFS(AND($AI42=$AM42,$AI42&gt;0,$AM42&gt;0,DA42&gt;0), DA42,     AND(NOT($AI42=$AM42),$AI42&gt;0,$AM42&gt;0,DA42&gt;0), ($AM42*DA42)/$AI42,     AND($AI42=0,$AM42&gt;0,$AQ42&gt;0), IF(INDEX(DA$12:DA$263,MATCH($AQ42,$AP$12:$AP$263,0))&gt;0,($AM42*INDEX(DA$12:DA$263,MATCH($AQ42,$AP$12:$AP$263,0)))/INDEX($AI$12:$AI$263,MATCH($AQ42,$AP$12:$AP$263,0)), "-"),     TRUE, "0")</f>
        <v>0</v>
      </c>
      <c r="DC42" s="606">
        <f>IF(DB$9&gt;0, IF(OR(DB42="",DB42="-"), 0, DB42*$AT42), DA42*$AJ42)</f>
        <v>0</v>
      </c>
      <c r="DD42" s="584"/>
      <c r="DE42" s="583"/>
    </row>
    <row r="43" spans="1:109" ht="39.950000000000003" hidden="1" customHeight="1">
      <c r="A43" s="604">
        <f>IF(OR($AV43&gt;0, $AX43&gt;0), 1, 0)</f>
        <v>0</v>
      </c>
      <c r="B43" s="604">
        <f>IF(OR($AY43&gt;0, $BA43&gt;0), 1, 0)</f>
        <v>0</v>
      </c>
      <c r="C43" s="604">
        <f>IF(OR($BB43&gt;0, $BD43&gt;0), 1, 0)</f>
        <v>0</v>
      </c>
      <c r="D43" s="604">
        <f>IF(OR($BE43&gt;0, $BG43&gt;0), 1, 0)</f>
        <v>0</v>
      </c>
      <c r="E43" s="604">
        <f>IF(OR($BH43&gt;0, $BJ43&gt;0), 1, 0)</f>
        <v>0</v>
      </c>
      <c r="F43" s="604">
        <f>IF(OR($BK43&gt;0, $BM43&gt;0), 1, 0)</f>
        <v>0</v>
      </c>
      <c r="G43" s="604">
        <f>IF(OR($BN43&gt;0, $BP43&gt;0), 1, 0)</f>
        <v>0</v>
      </c>
      <c r="H43" s="604">
        <f>IF(OR($BQ43&gt;0, $BS43&gt;0), 1, 0)</f>
        <v>0</v>
      </c>
      <c r="I43" s="604">
        <f>IF(OR($BT43&gt;0, $BV43&gt;0), 1, 0)</f>
        <v>0</v>
      </c>
      <c r="J43" s="604">
        <f>IF(OR($BW43&gt;0, $BY43&gt;0), 1, 0)</f>
        <v>0</v>
      </c>
      <c r="K43" s="604">
        <f>IF(OR($BZ43&gt;0, $CB43&gt;0), 1, 0)</f>
        <v>0</v>
      </c>
      <c r="L43" s="604">
        <f>IF(OR($CC43&gt;0, $CE43&gt;0), 1, 0)</f>
        <v>0</v>
      </c>
      <c r="M43" s="604">
        <f>IF(OR($CF43&gt;0, $CH43&gt;0), 1, 0)</f>
        <v>0</v>
      </c>
      <c r="N43" s="604">
        <f>IF(OR($CI43&gt;0, $CK43&gt;0), 1, 0)</f>
        <v>0</v>
      </c>
      <c r="O43" s="604">
        <f>IF(OR($CL43&gt;0, $CN43&gt;0), 1, 0)</f>
        <v>0</v>
      </c>
      <c r="P43" s="604">
        <f>IF(OR($CO43&gt;0, $CQ43&gt;0), 1, 0)</f>
        <v>0</v>
      </c>
      <c r="Q43" s="604">
        <f>IF(OR($CR43&gt;0, $CT43&gt;0), 1, 0)</f>
        <v>0</v>
      </c>
      <c r="R43" s="604">
        <f>IF(OR($CU43&gt;0, $CW43&gt;0), 1, 0)</f>
        <v>0</v>
      </c>
      <c r="S43" s="604">
        <f>IF(OR($CX43&gt;0, $CZ43&gt;0), 1, 0)</f>
        <v>0</v>
      </c>
      <c r="T43" s="604">
        <f>IF(OR($DA43&gt;0, $DC43&gt;0), 1, 0)</f>
        <v>0</v>
      </c>
      <c r="U43" s="603">
        <f>IF(OR($AI43&gt;0,$AM43&gt;0,$AS43&gt;0), 1, 0)</f>
        <v>0</v>
      </c>
      <c r="V43" s="602">
        <f>[1]BDD!A33</f>
        <v>3007</v>
      </c>
      <c r="W43" s="601" t="str">
        <f>[1]BDD!B33</f>
        <v>Banane carrée</v>
      </c>
      <c r="X43" s="600" t="str">
        <f>IF([1]BDD!F33=0, "", [1]BDD!F33)</f>
        <v/>
      </c>
      <c r="Y43" s="542">
        <f>ROUND([1]BDD!G33+FDP_CMD_KG, 2)</f>
        <v>4.83</v>
      </c>
      <c r="Z43" s="542">
        <f>ROUND([1]BDD!G33+FDP_FACT_KG, 2)</f>
        <v>4.83</v>
      </c>
      <c r="AA43" s="543" t="str">
        <f>[1]BDD!H33</f>
        <v>kg</v>
      </c>
      <c r="AB43" s="544">
        <f>IF(NOT(ISBLANK([1]BDD!I33)), ROUND(SUM(([1]BDD!G33*reduc1),FDP_CMD_KG), 2), "")</f>
        <v>4.4400000000000004</v>
      </c>
      <c r="AC43" s="544">
        <f>IF(NOT(ISBLANK([1]BDD!J33)), ROUND(SUM(([1]BDD!G33*reduc2),FDP_CMD_KG), 2), "")</f>
        <v>4.04</v>
      </c>
      <c r="AD43" s="544" t="str">
        <f>IF(NOT(ISBLANK([1]BDD!K33)), ROUND(SUM(([1]BDD!G33*reduc3),FDP_CMD_KG), 2), "")</f>
        <v/>
      </c>
      <c r="AE43" s="544">
        <f>IF(NOT(ISBLANK([1]BDD!I33)), ROUND(SUM(([1]BDD!G33*reduc1),FDP_FACT_KG), 2), "")</f>
        <v>4.43</v>
      </c>
      <c r="AF43" s="544">
        <f>IF(NOT(ISBLANK([1]BDD!J33)), ROUND(SUM(([1]BDD!G33*reduc2),FDP_FACT_KG), 2), "")</f>
        <v>4.03</v>
      </c>
      <c r="AG43" s="544" t="str">
        <f>IF(NOT(ISBLANK([1]BDD!K33)), ROUND(SUM(([1]BDD!G33*reduc3),FDP_FACT_KG), 2), "")</f>
        <v/>
      </c>
      <c r="AH43" s="599" t="str">
        <f>[1]BDD!C33</f>
        <v>Grenade</v>
      </c>
      <c r="AI43" s="598">
        <f>SUM(AV43,AY43,BB43,BE43,BH43,BK43,BN43,BQ43,BT43,BW43,BZ43,CC43,CF43,CI43,CL43,CO43,CR43,CU43,CX43,DA43)</f>
        <v>0</v>
      </c>
      <c r="AJ43" s="545">
        <f>_xlfn.IFS($AD43&lt;&gt;"", $AD43,    $AC43&lt;&gt;"", $AC43,    $AB43&lt;&gt;"", $AB43,    TRUE, $Y43)</f>
        <v>4.04</v>
      </c>
      <c r="AK43" s="592">
        <f>$AI43*$AJ43</f>
        <v>0</v>
      </c>
      <c r="AL43" s="594"/>
      <c r="AM43" s="597"/>
      <c r="AN43" s="545">
        <f>_xlfn.IFS(AND(AM43&gt;=60,$AG43&lt;&gt;""), $AG43,    AND(AM43&gt;=30,$AF43&lt;&gt;""), $AF43,    AND(AM43&gt;=10,$AE43&lt;&gt;""), $AE43,    TRUE, $Z43)</f>
        <v>4.83</v>
      </c>
      <c r="AO43" s="596">
        <f>AM43*AN43</f>
        <v>0</v>
      </c>
      <c r="AP43" s="595"/>
      <c r="AQ43" s="595"/>
      <c r="AR43" s="594"/>
      <c r="AS43" s="593">
        <f>SUM(AW43,AZ43,BC43,BF43,BI43,BL43,BO43,BR43,BU43,BX43,CA43,CD43,CG43,CJ43,CM43,CP43,CS43,CV43,CY43,DB43)</f>
        <v>0</v>
      </c>
      <c r="AT43" s="545">
        <f>_xlfn.IFS(AND(AS43&gt;=60,$AG43&lt;&gt;""), $AG43,    AND(AS43&gt;=30,$AF43&lt;&gt;""), $AF43,    AND(AS43&gt;=10,$AE43&lt;&gt;""), $AE43,    TRUE, $Z43)</f>
        <v>4.83</v>
      </c>
      <c r="AU43" s="592">
        <f>$AS43*$AT43</f>
        <v>0</v>
      </c>
      <c r="AV43" s="591">
        <f>[1]COMMANDE!O41</f>
        <v>0</v>
      </c>
      <c r="AW43" s="586" t="str">
        <f>_xlfn.IFS(AND($AI43=$AM43,$AI43&gt;0,$AM43&gt;0,AV43&gt;0), AV43,     AND(NOT($AI43=$AM43),$AI43&gt;0,$AM43&gt;0,AV43&gt;0), ($AM43*AV43)/$AI43,     AND($AI43=0,$AM43&gt;0,$AQ43&gt;0), IF(INDEX(AV$12:AV$263,MATCH($AQ43,$AP$12:$AP$263,0))&gt;0,($AM43*INDEX(AV$12:AV$263,MATCH($AQ43,$AP$12:$AP$263,0)))/INDEX($AI$12:$AI$263,MATCH($AQ43,$AP$12:$AP$263,0)), "-"),     TRUE, "0")</f>
        <v>0</v>
      </c>
      <c r="AX43" s="588">
        <f>IF(AW$9&gt;0, IF(OR(AW43="",AW43="-"), 0, AW43*$AT43), AV43*$AJ43)</f>
        <v>0</v>
      </c>
      <c r="AY43" s="587">
        <f>[1]COMMANDE!Q41</f>
        <v>0</v>
      </c>
      <c r="AZ43" s="586" t="str">
        <f>_xlfn.IFS(AND($AI43=$AM43,$AI43&gt;0,$AM43&gt;0,AY43&gt;0), AY43,     AND(NOT($AI43=$AM43),$AI43&gt;0,$AM43&gt;0,AY43&gt;0), ($AM43*AY43)/$AI43,     AND($AI43=0,$AM43&gt;0,$AQ43&gt;0), IF(INDEX(AY$12:AY$263,MATCH($AQ43,$AP$12:$AP$263,0))&gt;0,($AM43*INDEX(AY$12:AY$263,MATCH($AQ43,$AP$12:$AP$263,0)))/INDEX($AI$12:$AI$263,MATCH($AQ43,$AP$12:$AP$263,0)), "-"),     TRUE, "0")</f>
        <v>0</v>
      </c>
      <c r="BA43" s="607">
        <f>IF(AZ$9&gt;0, IF(OR(AZ43="",AZ43="-"), 0, AZ43*$AT43), AY43*$AJ43)</f>
        <v>0</v>
      </c>
      <c r="BB43" s="589">
        <f>[1]COMMANDE!S41</f>
        <v>0</v>
      </c>
      <c r="BC43" s="586" t="str">
        <f>_xlfn.IFS(AND($AI43=$AM43,$AI43&gt;0,$AM43&gt;0,BB43&gt;0), BB43,     AND(NOT($AI43=$AM43),$AI43&gt;0,$AM43&gt;0,BB43&gt;0), ($AM43*BB43)/$AI43,     AND($AI43=0,$AM43&gt;0,$AQ43&gt;0), IF(INDEX(BB$12:BB$263,MATCH($AQ43,$AP$12:$AP$263,0))&gt;0,($AM43*INDEX(BB$12:BB$263,MATCH($AQ43,$AP$12:$AP$263,0)))/INDEX($AI$12:$AI$263,MATCH($AQ43,$AP$12:$AP$263,0)), "-"),     TRUE, "0")</f>
        <v>0</v>
      </c>
      <c r="BD43" s="588">
        <f>IF(BC$9&gt;0, IF(OR(BC43="",BC43="-"), 0, BC43*$AT43), BB43*$AJ43)</f>
        <v>0</v>
      </c>
      <c r="BE43" s="587">
        <f>[1]COMMANDE!U41</f>
        <v>0</v>
      </c>
      <c r="BF43" s="586" t="str">
        <f>_xlfn.IFS(AND($AI43=$AM43,$AI43&gt;0,$AM43&gt;0,BE43&gt;0), BE43,     AND(NOT($AI43=$AM43),$AI43&gt;0,$AM43&gt;0,BE43&gt;0), ($AM43*BE43)/$AI43,     AND($AI43=0,$AM43&gt;0,$AQ43&gt;0), IF(INDEX(BE$12:BE$263,MATCH($AQ43,$AP$12:$AP$263,0))&gt;0,($AM43*INDEX(BE$12:BE$263,MATCH($AQ43,$AP$12:$AP$263,0)))/INDEX($AI$12:$AI$263,MATCH($AQ43,$AP$12:$AP$263,0)), "-"),     TRUE, "0")</f>
        <v>0</v>
      </c>
      <c r="BG43" s="607">
        <f>IF(BF$9&gt;0, IF(OR(BF43="",BF43="-"), 0, BF43*$AT43), BE43*$AJ43)</f>
        <v>0</v>
      </c>
      <c r="BH43" s="589">
        <f>[1]COMMANDE!W41</f>
        <v>0</v>
      </c>
      <c r="BI43" s="586" t="str">
        <f>_xlfn.IFS(AND($AI43=$AM43,$AI43&gt;0,$AM43&gt;0,BH43&gt;0), BH43,     AND(NOT($AI43=$AM43),$AI43&gt;0,$AM43&gt;0,BH43&gt;0), ($AM43*BH43)/$AI43,     AND($AI43=0,$AM43&gt;0,$AQ43&gt;0), IF(INDEX(BH$12:BH$263,MATCH($AQ43,$AP$12:$AP$263,0))&gt;0,($AM43*INDEX(BH$12:BH$263,MATCH($AQ43,$AP$12:$AP$263,0)))/INDEX($AI$12:$AI$263,MATCH($AQ43,$AP$12:$AP$263,0)), "-"),     TRUE, "0")</f>
        <v>0</v>
      </c>
      <c r="BJ43" s="588">
        <f>IF(BI$9&gt;0, IF(OR(BI43="",BI43="-"), 0, BI43*$AT43), BH43*$AJ43)</f>
        <v>0</v>
      </c>
      <c r="BK43" s="587">
        <f>[1]COMMANDE!Y41</f>
        <v>0</v>
      </c>
      <c r="BL43" s="586" t="str">
        <f>_xlfn.IFS(AND($AI43=$AM43,$AI43&gt;0,$AM43&gt;0,BK43&gt;0), BK43,     AND(NOT($AI43=$AM43),$AI43&gt;0,$AM43&gt;0,BK43&gt;0), ($AM43*BK43)/$AI43,     AND($AI43=0,$AM43&gt;0,$AQ43&gt;0), IF(INDEX(BK$12:BK$263,MATCH($AQ43,$AP$12:$AP$263,0))&gt;0,($AM43*INDEX(BK$12:BK$263,MATCH($AQ43,$AP$12:$AP$263,0)))/INDEX($AI$12:$AI$263,MATCH($AQ43,$AP$12:$AP$263,0)), "-"),     TRUE, "0")</f>
        <v>0</v>
      </c>
      <c r="BM43" s="607">
        <f>IF(BL$9&gt;0, IF(OR(BL43="",BL43="-"), 0, BL43*$AT43), BK43*$AJ43)</f>
        <v>0</v>
      </c>
      <c r="BN43" s="589">
        <f>[1]COMMANDE!AA41</f>
        <v>0</v>
      </c>
      <c r="BO43" s="586" t="str">
        <f>_xlfn.IFS(AND($AI43=$AM43,$AI43&gt;0,$AM43&gt;0,BN43&gt;0), BN43,     AND(NOT($AI43=$AM43),$AI43&gt;0,$AM43&gt;0,BN43&gt;0), ($AM43*BN43)/$AI43,     AND($AI43=0,$AM43&gt;0,$AQ43&gt;0), IF(INDEX(BN$12:BN$263,MATCH($AQ43,$AP$12:$AP$263,0))&gt;0,($AM43*INDEX(BN$12:BN$263,MATCH($AQ43,$AP$12:$AP$263,0)))/INDEX($AI$12:$AI$263,MATCH($AQ43,$AP$12:$AP$263,0)), "-"),     TRUE, "0")</f>
        <v>0</v>
      </c>
      <c r="BP43" s="588">
        <f>IF(BO$9&gt;0, IF(OR(BO43="",BO43="-"), 0, BO43*$AT43), BN43*$AJ43)</f>
        <v>0</v>
      </c>
      <c r="BQ43" s="587">
        <f>[1]COMMANDE!AC41</f>
        <v>0</v>
      </c>
      <c r="BR43" s="586" t="str">
        <f>_xlfn.IFS(AND($AI43=$AM43,$AI43&gt;0,$AM43&gt;0,BQ43&gt;0), BQ43,     AND(NOT($AI43=$AM43),$AI43&gt;0,$AM43&gt;0,BQ43&gt;0), ($AM43*BQ43)/$AI43,     AND($AI43=0,$AM43&gt;0,$AQ43&gt;0), IF(INDEX(BQ$12:BQ$263,MATCH($AQ43,$AP$12:$AP$263,0))&gt;0,($AM43*INDEX(BQ$12:BQ$263,MATCH($AQ43,$AP$12:$AP$263,0)))/INDEX($AI$12:$AI$263,MATCH($AQ43,$AP$12:$AP$263,0)), "-"),     TRUE, "0")</f>
        <v>0</v>
      </c>
      <c r="BS43" s="607">
        <f>IF(BR$9&gt;0, IF(OR(BR43="",BR43="-"), 0, BR43*$AT43), BQ43*$AJ43)</f>
        <v>0</v>
      </c>
      <c r="BT43" s="589">
        <f>[1]COMMANDE!AE41</f>
        <v>0</v>
      </c>
      <c r="BU43" s="586" t="str">
        <f>_xlfn.IFS(AND($AI43=$AM43,$AI43&gt;0,$AM43&gt;0,BT43&gt;0), BT43,     AND(NOT($AI43=$AM43),$AI43&gt;0,$AM43&gt;0,BT43&gt;0), ($AM43*BT43)/$AI43,     AND($AI43=0,$AM43&gt;0,$AQ43&gt;0), IF(INDEX(BT$12:BT$263,MATCH($AQ43,$AP$12:$AP$263,0))&gt;0,($AM43*INDEX(BT$12:BT$263,MATCH($AQ43,$AP$12:$AP$263,0)))/INDEX($AI$12:$AI$263,MATCH($AQ43,$AP$12:$AP$263,0)), "-"),     TRUE, "0")</f>
        <v>0</v>
      </c>
      <c r="BV43" s="588">
        <f>IF(BU$9&gt;0, IF(OR(BU43="",BU43="-"), 0, BU43*$AT43), BT43*$AJ43)</f>
        <v>0</v>
      </c>
      <c r="BW43" s="587">
        <f>[1]COMMANDE!AG41</f>
        <v>0</v>
      </c>
      <c r="BX43" s="586" t="str">
        <f>_xlfn.IFS(AND($AI43=$AM43,$AI43&gt;0,$AM43&gt;0,BW43&gt;0), BW43,     AND(NOT($AI43=$AM43),$AI43&gt;0,$AM43&gt;0,BW43&gt;0), ($AM43*BW43)/$AI43,     AND($AI43=0,$AM43&gt;0,$AQ43&gt;0), IF(INDEX(BW$12:BW$263,MATCH($AQ43,$AP$12:$AP$263,0))&gt;0,($AM43*INDEX(BW$12:BW$263,MATCH($AQ43,$AP$12:$AP$263,0)))/INDEX($AI$12:$AI$263,MATCH($AQ43,$AP$12:$AP$263,0)), "-"),     TRUE, "0")</f>
        <v>0</v>
      </c>
      <c r="BY43" s="607">
        <f>IF(BX$9&gt;0, IF(OR(BX43="",BX43="-"), 0, BX43*$AT43), BW43*$AJ43)</f>
        <v>0</v>
      </c>
      <c r="BZ43" s="589">
        <f>[1]COMMANDE!AI41</f>
        <v>0</v>
      </c>
      <c r="CA43" s="586" t="str">
        <f>_xlfn.IFS(AND($AI43=$AM43,$AI43&gt;0,$AM43&gt;0,BZ43&gt;0), BZ43,     AND(NOT($AI43=$AM43),$AI43&gt;0,$AM43&gt;0,BZ43&gt;0), ($AM43*BZ43)/$AI43,     AND($AI43=0,$AM43&gt;0,$AQ43&gt;0), IF(INDEX(BZ$12:BZ$263,MATCH($AQ43,$AP$12:$AP$263,0))&gt;0,($AM43*INDEX(BZ$12:BZ$263,MATCH($AQ43,$AP$12:$AP$263,0)))/INDEX($AI$12:$AI$263,MATCH($AQ43,$AP$12:$AP$263,0)), "-"),     TRUE, "0")</f>
        <v>0</v>
      </c>
      <c r="CB43" s="588">
        <f>IF(CA$9&gt;0, IF(OR(CA43="",CA43="-"), 0, CA43*$AT43), BZ43*$AJ43)</f>
        <v>0</v>
      </c>
      <c r="CC43" s="587">
        <f>[1]COMMANDE!AK41</f>
        <v>0</v>
      </c>
      <c r="CD43" s="586" t="str">
        <f>_xlfn.IFS(AND($AI43=$AM43,$AI43&gt;0,$AM43&gt;0,CC43&gt;0), CC43,     AND(NOT($AI43=$AM43),$AI43&gt;0,$AM43&gt;0,CC43&gt;0), ($AM43*CC43)/$AI43,     AND($AI43=0,$AM43&gt;0,$AQ43&gt;0), IF(INDEX(CC$12:CC$263,MATCH($AQ43,$AP$12:$AP$263,0))&gt;0,($AM43*INDEX(CC$12:CC$263,MATCH($AQ43,$AP$12:$AP$263,0)))/INDEX($AI$12:$AI$263,MATCH($AQ43,$AP$12:$AP$263,0)), "-"),     TRUE, "0")</f>
        <v>0</v>
      </c>
      <c r="CE43" s="607">
        <f>IF(CD$9&gt;0, IF(OR(CD43="",CD43="-"), 0, CD43*$AT43), CC43*$AJ43)</f>
        <v>0</v>
      </c>
      <c r="CF43" s="589">
        <f>[1]COMMANDE!AM41</f>
        <v>0</v>
      </c>
      <c r="CG43" s="586" t="str">
        <f>_xlfn.IFS(AND($AI43=$AM43,$AI43&gt;0,$AM43&gt;0,CF43&gt;0), CF43,     AND(NOT($AI43=$AM43),$AI43&gt;0,$AM43&gt;0,CF43&gt;0), ($AM43*CF43)/$AI43,     AND($AI43=0,$AM43&gt;0,$AQ43&gt;0), IF(INDEX(CF$12:CF$263,MATCH($AQ43,$AP$12:$AP$263,0))&gt;0,($AM43*INDEX(CF$12:CF$263,MATCH($AQ43,$AP$12:$AP$263,0)))/INDEX($AI$12:$AI$263,MATCH($AQ43,$AP$12:$AP$263,0)), "-"),     TRUE, "0")</f>
        <v>0</v>
      </c>
      <c r="CH43" s="588">
        <f>IF(CG$9&gt;0, IF(OR(CG43="",CG43="-"), 0, CG43*$AT43), CF43*$AJ43)</f>
        <v>0</v>
      </c>
      <c r="CI43" s="587">
        <f>[1]COMMANDE!AO41</f>
        <v>0</v>
      </c>
      <c r="CJ43" s="586" t="str">
        <f>_xlfn.IFS(AND($AI43=$AM43,$AI43&gt;0,$AM43&gt;0,CI43&gt;0), CI43,     AND(NOT($AI43=$AM43),$AI43&gt;0,$AM43&gt;0,CI43&gt;0), ($AM43*CI43)/$AI43,     AND($AI43=0,$AM43&gt;0,$AQ43&gt;0), IF(INDEX(CI$12:CI$263,MATCH($AQ43,$AP$12:$AP$263,0))&gt;0,($AM43*INDEX(CI$12:CI$263,MATCH($AQ43,$AP$12:$AP$263,0)))/INDEX($AI$12:$AI$263,MATCH($AQ43,$AP$12:$AP$263,0)), "-"),     TRUE, "0")</f>
        <v>0</v>
      </c>
      <c r="CK43" s="607">
        <f>IF(CJ$9&gt;0, IF(OR(CJ43="",CJ43="-"), 0, CJ43*$AT43), CI43*$AJ43)</f>
        <v>0</v>
      </c>
      <c r="CL43" s="589">
        <f>[1]COMMANDE!AQ41</f>
        <v>0</v>
      </c>
      <c r="CM43" s="586" t="str">
        <f>_xlfn.IFS(AND($AI43=$AM43,$AI43&gt;0,$AM43&gt;0,CL43&gt;0), CL43,     AND(NOT($AI43=$AM43),$AI43&gt;0,$AM43&gt;0,CL43&gt;0), ($AM43*CL43)/$AI43,     AND($AI43=0,$AM43&gt;0,$AQ43&gt;0), IF(INDEX(CL$12:CL$263,MATCH($AQ43,$AP$12:$AP$263,0))&gt;0,($AM43*INDEX(CL$12:CL$263,MATCH($AQ43,$AP$12:$AP$263,0)))/INDEX($AI$12:$AI$263,MATCH($AQ43,$AP$12:$AP$263,0)), "-"),     TRUE, "0")</f>
        <v>0</v>
      </c>
      <c r="CN43" s="588">
        <f>IF(CM$9&gt;0, IF(OR(CM43="",CM43="-"), 0, CM43*$AT43), CL43*$AJ43)</f>
        <v>0</v>
      </c>
      <c r="CO43" s="587">
        <f>[1]COMMANDE!AS41</f>
        <v>0</v>
      </c>
      <c r="CP43" s="586" t="str">
        <f>_xlfn.IFS(AND($AI43=$AM43,$AI43&gt;0,$AM43&gt;0,CO43&gt;0), CO43,     AND(NOT($AI43=$AM43),$AI43&gt;0,$AM43&gt;0,CO43&gt;0), ($AM43*CO43)/$AI43,     AND($AI43=0,$AM43&gt;0,$AQ43&gt;0), IF(INDEX(CO$12:CO$263,MATCH($AQ43,$AP$12:$AP$263,0))&gt;0,($AM43*INDEX(CO$12:CO$263,MATCH($AQ43,$AP$12:$AP$263,0)))/INDEX($AI$12:$AI$263,MATCH($AQ43,$AP$12:$AP$263,0)), "-"),     TRUE, "0")</f>
        <v>0</v>
      </c>
      <c r="CQ43" s="607">
        <f>IF(CP$9&gt;0, IF(OR(CP43="",CP43="-"), 0, CP43*$AT43), CO43*$AJ43)</f>
        <v>0</v>
      </c>
      <c r="CR43" s="589">
        <f>[1]COMMANDE!AU41</f>
        <v>0</v>
      </c>
      <c r="CS43" s="586" t="str">
        <f>_xlfn.IFS(AND($AI43=$AM43,$AI43&gt;0,$AM43&gt;0,CR43&gt;0), CR43,     AND(NOT($AI43=$AM43),$AI43&gt;0,$AM43&gt;0,CR43&gt;0), ($AM43*CR43)/$AI43,     AND($AI43=0,$AM43&gt;0,$AQ43&gt;0), IF(INDEX(CR$12:CR$263,MATCH($AQ43,$AP$12:$AP$263,0))&gt;0,($AM43*INDEX(CR$12:CR$263,MATCH($AQ43,$AP$12:$AP$263,0)))/INDEX($AI$12:$AI$263,MATCH($AQ43,$AP$12:$AP$263,0)), "-"),     TRUE, "0")</f>
        <v>0</v>
      </c>
      <c r="CT43" s="588">
        <f>IF(CS$9&gt;0, IF(OR(CS43="",CS43="-"), 0, CS43*$AT43), CR43*$AJ43)</f>
        <v>0</v>
      </c>
      <c r="CU43" s="587">
        <f>[1]COMMANDE!AW41</f>
        <v>0</v>
      </c>
      <c r="CV43" s="586" t="str">
        <f>_xlfn.IFS(AND($AI43=$AM43,$AI43&gt;0,$AM43&gt;0,CU43&gt;0), CU43,     AND(NOT($AI43=$AM43),$AI43&gt;0,$AM43&gt;0,CU43&gt;0), ($AM43*CU43)/$AI43,     AND($AI43=0,$AM43&gt;0,$AQ43&gt;0), IF(INDEX(CU$12:CU$263,MATCH($AQ43,$AP$12:$AP$263,0))&gt;0,($AM43*INDEX(CU$12:CU$263,MATCH($AQ43,$AP$12:$AP$263,0)))/INDEX($AI$12:$AI$263,MATCH($AQ43,$AP$12:$AP$263,0)), "-"),     TRUE, "0")</f>
        <v>0</v>
      </c>
      <c r="CW43" s="607">
        <f>IF(CV$9&gt;0, IF(OR(CV43="",CV43="-"), 0, CV43*$AT43), CU43*$AJ43)</f>
        <v>0</v>
      </c>
      <c r="CX43" s="589">
        <f>[1]COMMANDE!AY41</f>
        <v>0</v>
      </c>
      <c r="CY43" s="586" t="str">
        <f>_xlfn.IFS(AND($AI43=$AM43,$AI43&gt;0,$AM43&gt;0,CX43&gt;0), CX43,     AND(NOT($AI43=$AM43),$AI43&gt;0,$AM43&gt;0,CX43&gt;0), ($AM43*CX43)/$AI43,     AND($AI43=0,$AM43&gt;0,$AQ43&gt;0), IF(INDEX(CX$12:CX$263,MATCH($AQ43,$AP$12:$AP$263,0))&gt;0,($AM43*INDEX(CX$12:CX$263,MATCH($AQ43,$AP$12:$AP$263,0)))/INDEX($AI$12:$AI$263,MATCH($AQ43,$AP$12:$AP$263,0)), "-"),     TRUE, "0")</f>
        <v>0</v>
      </c>
      <c r="CZ43" s="588">
        <f>IF(CY$9&gt;0, IF(OR(CY43="",CY43="-"), 0, CY43*$AT43), CX43*$AJ43)</f>
        <v>0</v>
      </c>
      <c r="DA43" s="587">
        <f>[1]COMMANDE!BA41</f>
        <v>0</v>
      </c>
      <c r="DB43" s="586" t="str">
        <f>_xlfn.IFS(AND($AI43=$AM43,$AI43&gt;0,$AM43&gt;0,DA43&gt;0), DA43,     AND(NOT($AI43=$AM43),$AI43&gt;0,$AM43&gt;0,DA43&gt;0), ($AM43*DA43)/$AI43,     AND($AI43=0,$AM43&gt;0,$AQ43&gt;0), IF(INDEX(DA$12:DA$263,MATCH($AQ43,$AP$12:$AP$263,0))&gt;0,($AM43*INDEX(DA$12:DA$263,MATCH($AQ43,$AP$12:$AP$263,0)))/INDEX($AI$12:$AI$263,MATCH($AQ43,$AP$12:$AP$263,0)), "-"),     TRUE, "0")</f>
        <v>0</v>
      </c>
      <c r="DC43" s="606">
        <f>IF(DB$9&gt;0, IF(OR(DB43="",DB43="-"), 0, DB43*$AT43), DA43*$AJ43)</f>
        <v>0</v>
      </c>
      <c r="DD43" s="584"/>
      <c r="DE43" s="583"/>
    </row>
    <row r="44" spans="1:109" ht="39.950000000000003" customHeight="1">
      <c r="A44" s="604">
        <f>IF(OR($AV44&gt;0, $AX44&gt;0), 1, 0)</f>
        <v>1</v>
      </c>
      <c r="B44" s="604">
        <f>IF(OR($AY44&gt;0, $BA44&gt;0), 1, 0)</f>
        <v>1</v>
      </c>
      <c r="C44" s="604">
        <f>IF(OR($BB44&gt;0, $BD44&gt;0), 1, 0)</f>
        <v>1</v>
      </c>
      <c r="D44" s="604">
        <f>IF(OR($BE44&gt;0, $BG44&gt;0), 1, 0)</f>
        <v>1</v>
      </c>
      <c r="E44" s="604">
        <f>IF(OR($BH44&gt;0, $BJ44&gt;0), 1, 0)</f>
        <v>0</v>
      </c>
      <c r="F44" s="604">
        <f>IF(OR($BK44&gt;0, $BM44&gt;0), 1, 0)</f>
        <v>0</v>
      </c>
      <c r="G44" s="604">
        <f>IF(OR($BN44&gt;0, $BP44&gt;0), 1, 0)</f>
        <v>0</v>
      </c>
      <c r="H44" s="604">
        <f>IF(OR($BQ44&gt;0, $BS44&gt;0), 1, 0)</f>
        <v>0</v>
      </c>
      <c r="I44" s="604">
        <f>IF(OR($BT44&gt;0, $BV44&gt;0), 1, 0)</f>
        <v>0</v>
      </c>
      <c r="J44" s="604">
        <f>IF(OR($BW44&gt;0, $BY44&gt;0), 1, 0)</f>
        <v>0</v>
      </c>
      <c r="K44" s="604">
        <f>IF(OR($BZ44&gt;0, $CB44&gt;0), 1, 0)</f>
        <v>0</v>
      </c>
      <c r="L44" s="604">
        <f>IF(OR($CC44&gt;0, $CE44&gt;0), 1, 0)</f>
        <v>0</v>
      </c>
      <c r="M44" s="604">
        <f>IF(OR($CF44&gt;0, $CH44&gt;0), 1, 0)</f>
        <v>0</v>
      </c>
      <c r="N44" s="604">
        <f>IF(OR($CI44&gt;0, $CK44&gt;0), 1, 0)</f>
        <v>0</v>
      </c>
      <c r="O44" s="604">
        <f>IF(OR($CL44&gt;0, $CN44&gt;0), 1, 0)</f>
        <v>0</v>
      </c>
      <c r="P44" s="604">
        <f>IF(OR($CO44&gt;0, $CQ44&gt;0), 1, 0)</f>
        <v>0</v>
      </c>
      <c r="Q44" s="604">
        <f>IF(OR($CR44&gt;0, $CT44&gt;0), 1, 0)</f>
        <v>0</v>
      </c>
      <c r="R44" s="604">
        <f>IF(OR($CU44&gt;0, $CW44&gt;0), 1, 0)</f>
        <v>0</v>
      </c>
      <c r="S44" s="604">
        <f>IF(OR($CX44&gt;0, $CZ44&gt;0), 1, 0)</f>
        <v>0</v>
      </c>
      <c r="T44" s="604">
        <f>IF(OR($DA44&gt;0, $DC44&gt;0), 1, 0)</f>
        <v>0</v>
      </c>
      <c r="U44" s="603">
        <f>IF(OR($AI44&gt;0,$AM44&gt;0,$AS44&gt;0), 1, 0)</f>
        <v>1</v>
      </c>
      <c r="V44" s="602" t="str">
        <f>[1]BDD!A34</f>
        <v>1007-2364</v>
      </c>
      <c r="W44" s="601" t="str">
        <f>[1]BDD!B34</f>
        <v>Banane Cavendish BIO/RECO
    - (robuste et ferme)</v>
      </c>
      <c r="X44" s="600" t="str">
        <f>IF([1]BDD!F34=0, "", [1]BDD!F34)</f>
        <v>❤️</v>
      </c>
      <c r="Y44" s="542">
        <f>ROUND([1]BDD!G34+FDP_CMD_KG, 2)</f>
        <v>5.65</v>
      </c>
      <c r="Z44" s="542">
        <f>ROUND([1]BDD!G34+FDP_FACT_KG, 2)</f>
        <v>5.65</v>
      </c>
      <c r="AA44" s="543" t="str">
        <f>[1]BDD!H34</f>
        <v>kg</v>
      </c>
      <c r="AB44" s="544">
        <f>IF(NOT(ISBLANK([1]BDD!I34)), ROUND(SUM(([1]BDD!G34*reduc1),FDP_CMD_KG), 2), "")</f>
        <v>5.18</v>
      </c>
      <c r="AC44" s="544" t="str">
        <f>IF(NOT(ISBLANK([1]BDD!J34)), ROUND(SUM(([1]BDD!G34*reduc2),FDP_CMD_KG), 2), "")</f>
        <v/>
      </c>
      <c r="AD44" s="544" t="str">
        <f>IF(NOT(ISBLANK([1]BDD!K34)), ROUND(SUM(([1]BDD!G34*reduc3),FDP_CMD_KG), 2), "")</f>
        <v/>
      </c>
      <c r="AE44" s="544">
        <f>IF(NOT(ISBLANK([1]BDD!I34)), ROUND(SUM(([1]BDD!G34*reduc1),FDP_FACT_KG), 2), "")</f>
        <v>5.17</v>
      </c>
      <c r="AF44" s="544" t="str">
        <f>IF(NOT(ISBLANK([1]BDD!J34)), ROUND(SUM(([1]BDD!G34*reduc2),FDP_FACT_KG), 2), "")</f>
        <v/>
      </c>
      <c r="AG44" s="544" t="str">
        <f>IF(NOT(ISBLANK([1]BDD!K34)), ROUND(SUM(([1]BDD!G34*reduc3),FDP_FACT_KG), 2), "")</f>
        <v/>
      </c>
      <c r="AH44" s="599" t="str">
        <f>[1]BDD!C34</f>
        <v>Iles Canaries</v>
      </c>
      <c r="AI44" s="598">
        <f>SUM(AV44,AY44,BB44,BE44,BH44,BK44,BN44,BQ44,BT44,BW44,BZ44,CC44,CF44,CI44,CL44,CO44,CR44,CU44,CX44,DA44)</f>
        <v>10</v>
      </c>
      <c r="AJ44" s="545">
        <f>_xlfn.IFS($AD44&lt;&gt;"", $AD44,    $AC44&lt;&gt;"", $AC44,    $AB44&lt;&gt;"", $AB44,    TRUE, $Y44)</f>
        <v>5.18</v>
      </c>
      <c r="AK44" s="592">
        <f>$AI44*$AJ44</f>
        <v>51.8</v>
      </c>
      <c r="AL44" s="594"/>
      <c r="AM44" s="597">
        <v>10.050000000000001</v>
      </c>
      <c r="AN44" s="545">
        <f>_xlfn.IFS(AND(AM44&gt;=60,$AG44&lt;&gt;""), $AG44,    AND(AM44&gt;=30,$AF44&lt;&gt;""), $AF44,    AND(AM44&gt;=10,$AE44&lt;&gt;""), $AE44,    TRUE, $Z44)</f>
        <v>5.17</v>
      </c>
      <c r="AO44" s="596">
        <f>AM44*AN44</f>
        <v>51.958500000000001</v>
      </c>
      <c r="AP44" s="595"/>
      <c r="AQ44" s="595"/>
      <c r="AR44" s="594"/>
      <c r="AS44" s="593">
        <f>SUM(AW44,AZ44,BC44,BF44,BI44,BL44,BO44,BR44,BU44,BX44,CA44,CD44,CG44,CJ44,CM44,CP44,CS44,CV44,CY44,DB44)</f>
        <v>10.050000000000001</v>
      </c>
      <c r="AT44" s="545">
        <f>_xlfn.IFS(AND(AS44&gt;=60,$AG44&lt;&gt;""), $AG44,    AND(AS44&gt;=30,$AF44&lt;&gt;""), $AF44,    AND(AS44&gt;=10,$AE44&lt;&gt;""), $AE44,    TRUE, $Z44)</f>
        <v>5.17</v>
      </c>
      <c r="AU44" s="592">
        <f>$AS44*$AT44</f>
        <v>51.958500000000001</v>
      </c>
      <c r="AV44" s="591">
        <f>[1]COMMANDE!O42</f>
        <v>3</v>
      </c>
      <c r="AW44" s="586">
        <f>_xlfn.IFS(AND($AI44=$AM44,$AI44&gt;0,$AM44&gt;0,AV44&gt;0), AV44,     AND(NOT($AI44=$AM44),$AI44&gt;0,$AM44&gt;0,AV44&gt;0), ($AM44*AV44)/$AI44,     AND($AI44=0,$AM44&gt;0,$AQ44&gt;0), IF(INDEX(AV$12:AV$263,MATCH($AQ44,$AP$12:$AP$263,0))&gt;0,($AM44*INDEX(AV$12:AV$263,MATCH($AQ44,$AP$12:$AP$263,0)))/INDEX($AI$12:$AI$263,MATCH($AQ44,$AP$12:$AP$263,0)), "-"),     TRUE, "0")</f>
        <v>3.0150000000000001</v>
      </c>
      <c r="AX44" s="588">
        <f>IF(AW$9&gt;0, IF(OR(AW44="",AW44="-"), 0, AW44*$AT44), AV44*$AJ44)</f>
        <v>15.58755</v>
      </c>
      <c r="AY44" s="587">
        <f>[1]COMMANDE!Q42</f>
        <v>2</v>
      </c>
      <c r="AZ44" s="586">
        <f>_xlfn.IFS(AND($AI44=$AM44,$AI44&gt;0,$AM44&gt;0,AY44&gt;0), AY44,     AND(NOT($AI44=$AM44),$AI44&gt;0,$AM44&gt;0,AY44&gt;0), ($AM44*AY44)/$AI44,     AND($AI44=0,$AM44&gt;0,$AQ44&gt;0), IF(INDEX(AY$12:AY$263,MATCH($AQ44,$AP$12:$AP$263,0))&gt;0,($AM44*INDEX(AY$12:AY$263,MATCH($AQ44,$AP$12:$AP$263,0)))/INDEX($AI$12:$AI$263,MATCH($AQ44,$AP$12:$AP$263,0)), "-"),     TRUE, "0")</f>
        <v>2.0100000000000002</v>
      </c>
      <c r="BA44" s="607">
        <f>IF(AZ$9&gt;0, IF(OR(AZ44="",AZ44="-"), 0, AZ44*$AT44), AY44*$AJ44)</f>
        <v>10.391700000000002</v>
      </c>
      <c r="BB44" s="589">
        <f>[1]COMMANDE!S42</f>
        <v>1</v>
      </c>
      <c r="BC44" s="586">
        <f>_xlfn.IFS(AND($AI44=$AM44,$AI44&gt;0,$AM44&gt;0,BB44&gt;0), BB44,     AND(NOT($AI44=$AM44),$AI44&gt;0,$AM44&gt;0,BB44&gt;0), ($AM44*BB44)/$AI44,     AND($AI44=0,$AM44&gt;0,$AQ44&gt;0), IF(INDEX(BB$12:BB$263,MATCH($AQ44,$AP$12:$AP$263,0))&gt;0,($AM44*INDEX(BB$12:BB$263,MATCH($AQ44,$AP$12:$AP$263,0)))/INDEX($AI$12:$AI$263,MATCH($AQ44,$AP$12:$AP$263,0)), "-"),     TRUE, "0")</f>
        <v>1.0050000000000001</v>
      </c>
      <c r="BD44" s="588">
        <f>IF(BC$9&gt;0, IF(OR(BC44="",BC44="-"), 0, BC44*$AT44), BB44*$AJ44)</f>
        <v>5.195850000000001</v>
      </c>
      <c r="BE44" s="587">
        <f>[1]COMMANDE!U42</f>
        <v>4</v>
      </c>
      <c r="BF44" s="586">
        <f>_xlfn.IFS(AND($AI44=$AM44,$AI44&gt;0,$AM44&gt;0,BE44&gt;0), BE44,     AND(NOT($AI44=$AM44),$AI44&gt;0,$AM44&gt;0,BE44&gt;0), ($AM44*BE44)/$AI44,     AND($AI44=0,$AM44&gt;0,$AQ44&gt;0), IF(INDEX(BE$12:BE$263,MATCH($AQ44,$AP$12:$AP$263,0))&gt;0,($AM44*INDEX(BE$12:BE$263,MATCH($AQ44,$AP$12:$AP$263,0)))/INDEX($AI$12:$AI$263,MATCH($AQ44,$AP$12:$AP$263,0)), "-"),     TRUE, "0")</f>
        <v>4.0200000000000005</v>
      </c>
      <c r="BG44" s="607">
        <f>IF(BF$9&gt;0, IF(OR(BF44="",BF44="-"), 0, BF44*$AT44), BE44*$AJ44)</f>
        <v>20.783400000000004</v>
      </c>
      <c r="BH44" s="589">
        <f>[1]COMMANDE!W42</f>
        <v>0</v>
      </c>
      <c r="BI44" s="586" t="str">
        <f>_xlfn.IFS(AND($AI44=$AM44,$AI44&gt;0,$AM44&gt;0,BH44&gt;0), BH44,     AND(NOT($AI44=$AM44),$AI44&gt;0,$AM44&gt;0,BH44&gt;0), ($AM44*BH44)/$AI44,     AND($AI44=0,$AM44&gt;0,$AQ44&gt;0), IF(INDEX(BH$12:BH$263,MATCH($AQ44,$AP$12:$AP$263,0))&gt;0,($AM44*INDEX(BH$12:BH$263,MATCH($AQ44,$AP$12:$AP$263,0)))/INDEX($AI$12:$AI$263,MATCH($AQ44,$AP$12:$AP$263,0)), "-"),     TRUE, "0")</f>
        <v>0</v>
      </c>
      <c r="BJ44" s="588">
        <f>IF(BI$9&gt;0, IF(OR(BI44="",BI44="-"), 0, BI44*$AT44), BH44*$AJ44)</f>
        <v>0</v>
      </c>
      <c r="BK44" s="587">
        <f>[1]COMMANDE!Y42</f>
        <v>0</v>
      </c>
      <c r="BL44" s="586" t="str">
        <f>_xlfn.IFS(AND($AI44=$AM44,$AI44&gt;0,$AM44&gt;0,BK44&gt;0), BK44,     AND(NOT($AI44=$AM44),$AI44&gt;0,$AM44&gt;0,BK44&gt;0), ($AM44*BK44)/$AI44,     AND($AI44=0,$AM44&gt;0,$AQ44&gt;0), IF(INDEX(BK$12:BK$263,MATCH($AQ44,$AP$12:$AP$263,0))&gt;0,($AM44*INDEX(BK$12:BK$263,MATCH($AQ44,$AP$12:$AP$263,0)))/INDEX($AI$12:$AI$263,MATCH($AQ44,$AP$12:$AP$263,0)), "-"),     TRUE, "0")</f>
        <v>0</v>
      </c>
      <c r="BM44" s="607">
        <f>IF(BL$9&gt;0, IF(OR(BL44="",BL44="-"), 0, BL44*$AT44), BK44*$AJ44)</f>
        <v>0</v>
      </c>
      <c r="BN44" s="589">
        <f>[1]COMMANDE!AA42</f>
        <v>0</v>
      </c>
      <c r="BO44" s="586" t="str">
        <f>_xlfn.IFS(AND($AI44=$AM44,$AI44&gt;0,$AM44&gt;0,BN44&gt;0), BN44,     AND(NOT($AI44=$AM44),$AI44&gt;0,$AM44&gt;0,BN44&gt;0), ($AM44*BN44)/$AI44,     AND($AI44=0,$AM44&gt;0,$AQ44&gt;0), IF(INDEX(BN$12:BN$263,MATCH($AQ44,$AP$12:$AP$263,0))&gt;0,($AM44*INDEX(BN$12:BN$263,MATCH($AQ44,$AP$12:$AP$263,0)))/INDEX($AI$12:$AI$263,MATCH($AQ44,$AP$12:$AP$263,0)), "-"),     TRUE, "0")</f>
        <v>0</v>
      </c>
      <c r="BP44" s="588">
        <f>IF(BO$9&gt;0, IF(OR(BO44="",BO44="-"), 0, BO44*$AT44), BN44*$AJ44)</f>
        <v>0</v>
      </c>
      <c r="BQ44" s="587">
        <f>[1]COMMANDE!AC42</f>
        <v>0</v>
      </c>
      <c r="BR44" s="586" t="str">
        <f>_xlfn.IFS(AND($AI44=$AM44,$AI44&gt;0,$AM44&gt;0,BQ44&gt;0), BQ44,     AND(NOT($AI44=$AM44),$AI44&gt;0,$AM44&gt;0,BQ44&gt;0), ($AM44*BQ44)/$AI44,     AND($AI44=0,$AM44&gt;0,$AQ44&gt;0), IF(INDEX(BQ$12:BQ$263,MATCH($AQ44,$AP$12:$AP$263,0))&gt;0,($AM44*INDEX(BQ$12:BQ$263,MATCH($AQ44,$AP$12:$AP$263,0)))/INDEX($AI$12:$AI$263,MATCH($AQ44,$AP$12:$AP$263,0)), "-"),     TRUE, "0")</f>
        <v>0</v>
      </c>
      <c r="BS44" s="607">
        <f>IF(BR$9&gt;0, IF(OR(BR44="",BR44="-"), 0, BR44*$AT44), BQ44*$AJ44)</f>
        <v>0</v>
      </c>
      <c r="BT44" s="589">
        <f>[1]COMMANDE!AE42</f>
        <v>0</v>
      </c>
      <c r="BU44" s="586" t="str">
        <f>_xlfn.IFS(AND($AI44=$AM44,$AI44&gt;0,$AM44&gt;0,BT44&gt;0), BT44,     AND(NOT($AI44=$AM44),$AI44&gt;0,$AM44&gt;0,BT44&gt;0), ($AM44*BT44)/$AI44,     AND($AI44=0,$AM44&gt;0,$AQ44&gt;0), IF(INDEX(BT$12:BT$263,MATCH($AQ44,$AP$12:$AP$263,0))&gt;0,($AM44*INDEX(BT$12:BT$263,MATCH($AQ44,$AP$12:$AP$263,0)))/INDEX($AI$12:$AI$263,MATCH($AQ44,$AP$12:$AP$263,0)), "-"),     TRUE, "0")</f>
        <v>0</v>
      </c>
      <c r="BV44" s="588">
        <f>IF(BU$9&gt;0, IF(OR(BU44="",BU44="-"), 0, BU44*$AT44), BT44*$AJ44)</f>
        <v>0</v>
      </c>
      <c r="BW44" s="587">
        <f>[1]COMMANDE!AG42</f>
        <v>0</v>
      </c>
      <c r="BX44" s="586" t="str">
        <f>_xlfn.IFS(AND($AI44=$AM44,$AI44&gt;0,$AM44&gt;0,BW44&gt;0), BW44,     AND(NOT($AI44=$AM44),$AI44&gt;0,$AM44&gt;0,BW44&gt;0), ($AM44*BW44)/$AI44,     AND($AI44=0,$AM44&gt;0,$AQ44&gt;0), IF(INDEX(BW$12:BW$263,MATCH($AQ44,$AP$12:$AP$263,0))&gt;0,($AM44*INDEX(BW$12:BW$263,MATCH($AQ44,$AP$12:$AP$263,0)))/INDEX($AI$12:$AI$263,MATCH($AQ44,$AP$12:$AP$263,0)), "-"),     TRUE, "0")</f>
        <v>0</v>
      </c>
      <c r="BY44" s="607">
        <f>IF(BX$9&gt;0, IF(OR(BX44="",BX44="-"), 0, BX44*$AT44), BW44*$AJ44)</f>
        <v>0</v>
      </c>
      <c r="BZ44" s="589">
        <f>[1]COMMANDE!AI42</f>
        <v>0</v>
      </c>
      <c r="CA44" s="586" t="str">
        <f>_xlfn.IFS(AND($AI44=$AM44,$AI44&gt;0,$AM44&gt;0,BZ44&gt;0), BZ44,     AND(NOT($AI44=$AM44),$AI44&gt;0,$AM44&gt;0,BZ44&gt;0), ($AM44*BZ44)/$AI44,     AND($AI44=0,$AM44&gt;0,$AQ44&gt;0), IF(INDEX(BZ$12:BZ$263,MATCH($AQ44,$AP$12:$AP$263,0))&gt;0,($AM44*INDEX(BZ$12:BZ$263,MATCH($AQ44,$AP$12:$AP$263,0)))/INDEX($AI$12:$AI$263,MATCH($AQ44,$AP$12:$AP$263,0)), "-"),     TRUE, "0")</f>
        <v>0</v>
      </c>
      <c r="CB44" s="588">
        <f>IF(CA$9&gt;0, IF(OR(CA44="",CA44="-"), 0, CA44*$AT44), BZ44*$AJ44)</f>
        <v>0</v>
      </c>
      <c r="CC44" s="587">
        <f>[1]COMMANDE!AK42</f>
        <v>0</v>
      </c>
      <c r="CD44" s="586" t="str">
        <f>_xlfn.IFS(AND($AI44=$AM44,$AI44&gt;0,$AM44&gt;0,CC44&gt;0), CC44,     AND(NOT($AI44=$AM44),$AI44&gt;0,$AM44&gt;0,CC44&gt;0), ($AM44*CC44)/$AI44,     AND($AI44=0,$AM44&gt;0,$AQ44&gt;0), IF(INDEX(CC$12:CC$263,MATCH($AQ44,$AP$12:$AP$263,0))&gt;0,($AM44*INDEX(CC$12:CC$263,MATCH($AQ44,$AP$12:$AP$263,0)))/INDEX($AI$12:$AI$263,MATCH($AQ44,$AP$12:$AP$263,0)), "-"),     TRUE, "0")</f>
        <v>0</v>
      </c>
      <c r="CE44" s="607">
        <f>IF(CD$9&gt;0, IF(OR(CD44="",CD44="-"), 0, CD44*$AT44), CC44*$AJ44)</f>
        <v>0</v>
      </c>
      <c r="CF44" s="589">
        <f>[1]COMMANDE!AM42</f>
        <v>0</v>
      </c>
      <c r="CG44" s="586" t="str">
        <f>_xlfn.IFS(AND($AI44=$AM44,$AI44&gt;0,$AM44&gt;0,CF44&gt;0), CF44,     AND(NOT($AI44=$AM44),$AI44&gt;0,$AM44&gt;0,CF44&gt;0), ($AM44*CF44)/$AI44,     AND($AI44=0,$AM44&gt;0,$AQ44&gt;0), IF(INDEX(CF$12:CF$263,MATCH($AQ44,$AP$12:$AP$263,0))&gt;0,($AM44*INDEX(CF$12:CF$263,MATCH($AQ44,$AP$12:$AP$263,0)))/INDEX($AI$12:$AI$263,MATCH($AQ44,$AP$12:$AP$263,0)), "-"),     TRUE, "0")</f>
        <v>0</v>
      </c>
      <c r="CH44" s="588">
        <f>IF(CG$9&gt;0, IF(OR(CG44="",CG44="-"), 0, CG44*$AT44), CF44*$AJ44)</f>
        <v>0</v>
      </c>
      <c r="CI44" s="587">
        <f>[1]COMMANDE!AO42</f>
        <v>0</v>
      </c>
      <c r="CJ44" s="586" t="str">
        <f>_xlfn.IFS(AND($AI44=$AM44,$AI44&gt;0,$AM44&gt;0,CI44&gt;0), CI44,     AND(NOT($AI44=$AM44),$AI44&gt;0,$AM44&gt;0,CI44&gt;0), ($AM44*CI44)/$AI44,     AND($AI44=0,$AM44&gt;0,$AQ44&gt;0), IF(INDEX(CI$12:CI$263,MATCH($AQ44,$AP$12:$AP$263,0))&gt;0,($AM44*INDEX(CI$12:CI$263,MATCH($AQ44,$AP$12:$AP$263,0)))/INDEX($AI$12:$AI$263,MATCH($AQ44,$AP$12:$AP$263,0)), "-"),     TRUE, "0")</f>
        <v>0</v>
      </c>
      <c r="CK44" s="607">
        <f>IF(CJ$9&gt;0, IF(OR(CJ44="",CJ44="-"), 0, CJ44*$AT44), CI44*$AJ44)</f>
        <v>0</v>
      </c>
      <c r="CL44" s="589">
        <f>[1]COMMANDE!AQ42</f>
        <v>0</v>
      </c>
      <c r="CM44" s="586" t="str">
        <f>_xlfn.IFS(AND($AI44=$AM44,$AI44&gt;0,$AM44&gt;0,CL44&gt;0), CL44,     AND(NOT($AI44=$AM44),$AI44&gt;0,$AM44&gt;0,CL44&gt;0), ($AM44*CL44)/$AI44,     AND($AI44=0,$AM44&gt;0,$AQ44&gt;0), IF(INDEX(CL$12:CL$263,MATCH($AQ44,$AP$12:$AP$263,0))&gt;0,($AM44*INDEX(CL$12:CL$263,MATCH($AQ44,$AP$12:$AP$263,0)))/INDEX($AI$12:$AI$263,MATCH($AQ44,$AP$12:$AP$263,0)), "-"),     TRUE, "0")</f>
        <v>0</v>
      </c>
      <c r="CN44" s="588">
        <f>IF(CM$9&gt;0, IF(OR(CM44="",CM44="-"), 0, CM44*$AT44), CL44*$AJ44)</f>
        <v>0</v>
      </c>
      <c r="CO44" s="587">
        <f>[1]COMMANDE!AS42</f>
        <v>0</v>
      </c>
      <c r="CP44" s="586" t="str">
        <f>_xlfn.IFS(AND($AI44=$AM44,$AI44&gt;0,$AM44&gt;0,CO44&gt;0), CO44,     AND(NOT($AI44=$AM44),$AI44&gt;0,$AM44&gt;0,CO44&gt;0), ($AM44*CO44)/$AI44,     AND($AI44=0,$AM44&gt;0,$AQ44&gt;0), IF(INDEX(CO$12:CO$263,MATCH($AQ44,$AP$12:$AP$263,0))&gt;0,($AM44*INDEX(CO$12:CO$263,MATCH($AQ44,$AP$12:$AP$263,0)))/INDEX($AI$12:$AI$263,MATCH($AQ44,$AP$12:$AP$263,0)), "-"),     TRUE, "0")</f>
        <v>0</v>
      </c>
      <c r="CQ44" s="607">
        <f>IF(CP$9&gt;0, IF(OR(CP44="",CP44="-"), 0, CP44*$AT44), CO44*$AJ44)</f>
        <v>0</v>
      </c>
      <c r="CR44" s="589">
        <f>[1]COMMANDE!AU42</f>
        <v>0</v>
      </c>
      <c r="CS44" s="586" t="str">
        <f>_xlfn.IFS(AND($AI44=$AM44,$AI44&gt;0,$AM44&gt;0,CR44&gt;0), CR44,     AND(NOT($AI44=$AM44),$AI44&gt;0,$AM44&gt;0,CR44&gt;0), ($AM44*CR44)/$AI44,     AND($AI44=0,$AM44&gt;0,$AQ44&gt;0), IF(INDEX(CR$12:CR$263,MATCH($AQ44,$AP$12:$AP$263,0))&gt;0,($AM44*INDEX(CR$12:CR$263,MATCH($AQ44,$AP$12:$AP$263,0)))/INDEX($AI$12:$AI$263,MATCH($AQ44,$AP$12:$AP$263,0)), "-"),     TRUE, "0")</f>
        <v>0</v>
      </c>
      <c r="CT44" s="588">
        <f>IF(CS$9&gt;0, IF(OR(CS44="",CS44="-"), 0, CS44*$AT44), CR44*$AJ44)</f>
        <v>0</v>
      </c>
      <c r="CU44" s="587">
        <f>[1]COMMANDE!AW42</f>
        <v>0</v>
      </c>
      <c r="CV44" s="586" t="str">
        <f>_xlfn.IFS(AND($AI44=$AM44,$AI44&gt;0,$AM44&gt;0,CU44&gt;0), CU44,     AND(NOT($AI44=$AM44),$AI44&gt;0,$AM44&gt;0,CU44&gt;0), ($AM44*CU44)/$AI44,     AND($AI44=0,$AM44&gt;0,$AQ44&gt;0), IF(INDEX(CU$12:CU$263,MATCH($AQ44,$AP$12:$AP$263,0))&gt;0,($AM44*INDEX(CU$12:CU$263,MATCH($AQ44,$AP$12:$AP$263,0)))/INDEX($AI$12:$AI$263,MATCH($AQ44,$AP$12:$AP$263,0)), "-"),     TRUE, "0")</f>
        <v>0</v>
      </c>
      <c r="CW44" s="607">
        <f>IF(CV$9&gt;0, IF(OR(CV44="",CV44="-"), 0, CV44*$AT44), CU44*$AJ44)</f>
        <v>0</v>
      </c>
      <c r="CX44" s="589">
        <f>[1]COMMANDE!AY42</f>
        <v>0</v>
      </c>
      <c r="CY44" s="586" t="str">
        <f>_xlfn.IFS(AND($AI44=$AM44,$AI44&gt;0,$AM44&gt;0,CX44&gt;0), CX44,     AND(NOT($AI44=$AM44),$AI44&gt;0,$AM44&gt;0,CX44&gt;0), ($AM44*CX44)/$AI44,     AND($AI44=0,$AM44&gt;0,$AQ44&gt;0), IF(INDEX(CX$12:CX$263,MATCH($AQ44,$AP$12:$AP$263,0))&gt;0,($AM44*INDEX(CX$12:CX$263,MATCH($AQ44,$AP$12:$AP$263,0)))/INDEX($AI$12:$AI$263,MATCH($AQ44,$AP$12:$AP$263,0)), "-"),     TRUE, "0")</f>
        <v>0</v>
      </c>
      <c r="CZ44" s="588">
        <f>IF(CY$9&gt;0, IF(OR(CY44="",CY44="-"), 0, CY44*$AT44), CX44*$AJ44)</f>
        <v>0</v>
      </c>
      <c r="DA44" s="587">
        <f>[1]COMMANDE!BA42</f>
        <v>0</v>
      </c>
      <c r="DB44" s="586" t="str">
        <f>_xlfn.IFS(AND($AI44=$AM44,$AI44&gt;0,$AM44&gt;0,DA44&gt;0), DA44,     AND(NOT($AI44=$AM44),$AI44&gt;0,$AM44&gt;0,DA44&gt;0), ($AM44*DA44)/$AI44,     AND($AI44=0,$AM44&gt;0,$AQ44&gt;0), IF(INDEX(DA$12:DA$263,MATCH($AQ44,$AP$12:$AP$263,0))&gt;0,($AM44*INDEX(DA$12:DA$263,MATCH($AQ44,$AP$12:$AP$263,0)))/INDEX($AI$12:$AI$263,MATCH($AQ44,$AP$12:$AP$263,0)), "-"),     TRUE, "0")</f>
        <v>0</v>
      </c>
      <c r="DC44" s="606">
        <f>IF(DB$9&gt;0, IF(OR(DB44="",DB44="-"), 0, DB44*$AT44), DA44*$AJ44)</f>
        <v>0</v>
      </c>
      <c r="DD44" s="584"/>
      <c r="DE44" s="583"/>
    </row>
    <row r="45" spans="1:109" ht="39.950000000000003" hidden="1" customHeight="1">
      <c r="A45" s="604">
        <f>IF(OR($AV45&gt;0, $AX45&gt;0), 1, 0)</f>
        <v>0</v>
      </c>
      <c r="B45" s="604">
        <f>IF(OR($AY45&gt;0, $BA45&gt;0), 1, 0)</f>
        <v>0</v>
      </c>
      <c r="C45" s="604">
        <f>IF(OR($BB45&gt;0, $BD45&gt;0), 1, 0)</f>
        <v>0</v>
      </c>
      <c r="D45" s="604">
        <f>IF(OR($BE45&gt;0, $BG45&gt;0), 1, 0)</f>
        <v>0</v>
      </c>
      <c r="E45" s="604">
        <f>IF(OR($BH45&gt;0, $BJ45&gt;0), 1, 0)</f>
        <v>0</v>
      </c>
      <c r="F45" s="604">
        <f>IF(OR($BK45&gt;0, $BM45&gt;0), 1, 0)</f>
        <v>0</v>
      </c>
      <c r="G45" s="604">
        <f>IF(OR($BN45&gt;0, $BP45&gt;0), 1, 0)</f>
        <v>0</v>
      </c>
      <c r="H45" s="604">
        <f>IF(OR($BQ45&gt;0, $BS45&gt;0), 1, 0)</f>
        <v>0</v>
      </c>
      <c r="I45" s="604">
        <f>IF(OR($BT45&gt;0, $BV45&gt;0), 1, 0)</f>
        <v>0</v>
      </c>
      <c r="J45" s="604">
        <f>IF(OR($BW45&gt;0, $BY45&gt;0), 1, 0)</f>
        <v>0</v>
      </c>
      <c r="K45" s="604">
        <f>IF(OR($BZ45&gt;0, $CB45&gt;0), 1, 0)</f>
        <v>0</v>
      </c>
      <c r="L45" s="604">
        <f>IF(OR($CC45&gt;0, $CE45&gt;0), 1, 0)</f>
        <v>0</v>
      </c>
      <c r="M45" s="604">
        <f>IF(OR($CF45&gt;0, $CH45&gt;0), 1, 0)</f>
        <v>0</v>
      </c>
      <c r="N45" s="604">
        <f>IF(OR($CI45&gt;0, $CK45&gt;0), 1, 0)</f>
        <v>0</v>
      </c>
      <c r="O45" s="604">
        <f>IF(OR($CL45&gt;0, $CN45&gt;0), 1, 0)</f>
        <v>0</v>
      </c>
      <c r="P45" s="604">
        <f>IF(OR($CO45&gt;0, $CQ45&gt;0), 1, 0)</f>
        <v>0</v>
      </c>
      <c r="Q45" s="604">
        <f>IF(OR($CR45&gt;0, $CT45&gt;0), 1, 0)</f>
        <v>0</v>
      </c>
      <c r="R45" s="604">
        <f>IF(OR($CU45&gt;0, $CW45&gt;0), 1, 0)</f>
        <v>0</v>
      </c>
      <c r="S45" s="604">
        <f>IF(OR($CX45&gt;0, $CZ45&gt;0), 1, 0)</f>
        <v>0</v>
      </c>
      <c r="T45" s="604">
        <f>IF(OR($DA45&gt;0, $DC45&gt;0), 1, 0)</f>
        <v>0</v>
      </c>
      <c r="U45" s="603">
        <f>IF(OR($AI45&gt;0,$AM45&gt;0,$AS45&gt;0), 1, 0)</f>
        <v>0</v>
      </c>
      <c r="V45" s="602">
        <f>[1]BDD!A35</f>
        <v>3746</v>
      </c>
      <c r="W45" s="601" t="str">
        <f>[1]BDD!B35</f>
        <v>Banane deshydratée BIO semi-sèche artisanale
    - (Production Rufino, env. 200g)</v>
      </c>
      <c r="X45" s="600" t="str">
        <f>IF([1]BDD!F35=0, "", [1]BDD!F35)</f>
        <v>❤️</v>
      </c>
      <c r="Y45" s="542">
        <f>ROUND([1]BDD!G35+FDP_CMD_KG, 2)</f>
        <v>5.65</v>
      </c>
      <c r="Z45" s="542">
        <f>ROUND([1]BDD!G35+FDP_FACT_KG, 2)</f>
        <v>5.65</v>
      </c>
      <c r="AA45" s="543" t="str">
        <f>[1]BDD!H35</f>
        <v>Pièce</v>
      </c>
      <c r="AB45" s="544" t="str">
        <f>IF(NOT(ISBLANK([1]BDD!I35)), ROUND(SUM(([1]BDD!G35*reduc1),FDP_CMD_KG), 2), "")</f>
        <v/>
      </c>
      <c r="AC45" s="544" t="str">
        <f>IF(NOT(ISBLANK([1]BDD!J35)), ROUND(SUM(([1]BDD!G35*reduc2),FDP_CMD_KG), 2), "")</f>
        <v/>
      </c>
      <c r="AD45" s="544" t="str">
        <f>IF(NOT(ISBLANK([1]BDD!K35)), ROUND(SUM(([1]BDD!G35*reduc3),FDP_CMD_KG), 2), "")</f>
        <v/>
      </c>
      <c r="AE45" s="544" t="str">
        <f>IF(NOT(ISBLANK([1]BDD!I35)), ROUND(SUM(([1]BDD!G35*reduc1),FDP_FACT_KG), 2), "")</f>
        <v/>
      </c>
      <c r="AF45" s="544" t="str">
        <f>IF(NOT(ISBLANK([1]BDD!J35)), ROUND(SUM(([1]BDD!G35*reduc2),FDP_FACT_KG), 2), "")</f>
        <v/>
      </c>
      <c r="AG45" s="544" t="str">
        <f>IF(NOT(ISBLANK([1]BDD!K35)), ROUND(SUM(([1]BDD!G35*reduc3),FDP_FACT_KG), 2), "")</f>
        <v/>
      </c>
      <c r="AH45" s="599" t="str">
        <f>[1]BDD!C35</f>
        <v>Grenade</v>
      </c>
      <c r="AI45" s="598">
        <f>SUM(AV45,AY45,BB45,BE45,BH45,BK45,BN45,BQ45,BT45,BW45,BZ45,CC45,CF45,CI45,CL45,CO45,CR45,CU45,CX45,DA45)</f>
        <v>0</v>
      </c>
      <c r="AJ45" s="545">
        <f>_xlfn.IFS($AD45&lt;&gt;"", $AD45,    $AC45&lt;&gt;"", $AC45,    $AB45&lt;&gt;"", $AB45,    TRUE, $Y45)</f>
        <v>5.65</v>
      </c>
      <c r="AK45" s="592">
        <f>$AI45*$AJ45</f>
        <v>0</v>
      </c>
      <c r="AL45" s="594"/>
      <c r="AM45" s="597"/>
      <c r="AN45" s="545">
        <f>_xlfn.IFS(AND(AM45&gt;=60,$AG45&lt;&gt;""), $AG45,    AND(AM45&gt;=30,$AF45&lt;&gt;""), $AF45,    AND(AM45&gt;=10,$AE45&lt;&gt;""), $AE45,    TRUE, $Z45)</f>
        <v>5.65</v>
      </c>
      <c r="AO45" s="596">
        <f>AM45*AN45</f>
        <v>0</v>
      </c>
      <c r="AP45" s="595"/>
      <c r="AQ45" s="595"/>
      <c r="AR45" s="594"/>
      <c r="AS45" s="593">
        <f>SUM(AW45,AZ45,BC45,BF45,BI45,BL45,BO45,BR45,BU45,BX45,CA45,CD45,CG45,CJ45,CM45,CP45,CS45,CV45,CY45,DB45)</f>
        <v>0</v>
      </c>
      <c r="AT45" s="545">
        <f>_xlfn.IFS(AND(AS45&gt;=60,$AG45&lt;&gt;""), $AG45,    AND(AS45&gt;=30,$AF45&lt;&gt;""), $AF45,    AND(AS45&gt;=10,$AE45&lt;&gt;""), $AE45,    TRUE, $Z45)</f>
        <v>5.65</v>
      </c>
      <c r="AU45" s="592">
        <f>$AS45*$AT45</f>
        <v>0</v>
      </c>
      <c r="AV45" s="591">
        <f>[1]COMMANDE!O43</f>
        <v>0</v>
      </c>
      <c r="AW45" s="586" t="str">
        <f>_xlfn.IFS(AND($AI45=$AM45,$AI45&gt;0,$AM45&gt;0,AV45&gt;0), AV45,     AND(NOT($AI45=$AM45),$AI45&gt;0,$AM45&gt;0,AV45&gt;0), ($AM45*AV45)/$AI45,     AND($AI45=0,$AM45&gt;0,$AQ45&gt;0), IF(INDEX(AV$12:AV$263,MATCH($AQ45,$AP$12:$AP$263,0))&gt;0,($AM45*INDEX(AV$12:AV$263,MATCH($AQ45,$AP$12:$AP$263,0)))/INDEX($AI$12:$AI$263,MATCH($AQ45,$AP$12:$AP$263,0)), "-"),     TRUE, "0")</f>
        <v>0</v>
      </c>
      <c r="AX45" s="588">
        <f>IF(AW$9&gt;0, IF(OR(AW45="",AW45="-"), 0, AW45*$AT45), AV45*$AJ45)</f>
        <v>0</v>
      </c>
      <c r="AY45" s="587">
        <f>[1]COMMANDE!Q43</f>
        <v>0</v>
      </c>
      <c r="AZ45" s="586" t="str">
        <f>_xlfn.IFS(AND($AI45=$AM45,$AI45&gt;0,$AM45&gt;0,AY45&gt;0), AY45,     AND(NOT($AI45=$AM45),$AI45&gt;0,$AM45&gt;0,AY45&gt;0), ($AM45*AY45)/$AI45,     AND($AI45=0,$AM45&gt;0,$AQ45&gt;0), IF(INDEX(AY$12:AY$263,MATCH($AQ45,$AP$12:$AP$263,0))&gt;0,($AM45*INDEX(AY$12:AY$263,MATCH($AQ45,$AP$12:$AP$263,0)))/INDEX($AI$12:$AI$263,MATCH($AQ45,$AP$12:$AP$263,0)), "-"),     TRUE, "0")</f>
        <v>0</v>
      </c>
      <c r="BA45" s="607">
        <f>IF(AZ$9&gt;0, IF(OR(AZ45="",AZ45="-"), 0, AZ45*$AT45), AY45*$AJ45)</f>
        <v>0</v>
      </c>
      <c r="BB45" s="589">
        <f>[1]COMMANDE!S43</f>
        <v>0</v>
      </c>
      <c r="BC45" s="586" t="str">
        <f>_xlfn.IFS(AND($AI45=$AM45,$AI45&gt;0,$AM45&gt;0,BB45&gt;0), BB45,     AND(NOT($AI45=$AM45),$AI45&gt;0,$AM45&gt;0,BB45&gt;0), ($AM45*BB45)/$AI45,     AND($AI45=0,$AM45&gt;0,$AQ45&gt;0), IF(INDEX(BB$12:BB$263,MATCH($AQ45,$AP$12:$AP$263,0))&gt;0,($AM45*INDEX(BB$12:BB$263,MATCH($AQ45,$AP$12:$AP$263,0)))/INDEX($AI$12:$AI$263,MATCH($AQ45,$AP$12:$AP$263,0)), "-"),     TRUE, "0")</f>
        <v>0</v>
      </c>
      <c r="BD45" s="588">
        <f>IF(BC$9&gt;0, IF(OR(BC45="",BC45="-"), 0, BC45*$AT45), BB45*$AJ45)</f>
        <v>0</v>
      </c>
      <c r="BE45" s="587">
        <f>[1]COMMANDE!U43</f>
        <v>0</v>
      </c>
      <c r="BF45" s="586" t="str">
        <f>_xlfn.IFS(AND($AI45=$AM45,$AI45&gt;0,$AM45&gt;0,BE45&gt;0), BE45,     AND(NOT($AI45=$AM45),$AI45&gt;0,$AM45&gt;0,BE45&gt;0), ($AM45*BE45)/$AI45,     AND($AI45=0,$AM45&gt;0,$AQ45&gt;0), IF(INDEX(BE$12:BE$263,MATCH($AQ45,$AP$12:$AP$263,0))&gt;0,($AM45*INDEX(BE$12:BE$263,MATCH($AQ45,$AP$12:$AP$263,0)))/INDEX($AI$12:$AI$263,MATCH($AQ45,$AP$12:$AP$263,0)), "-"),     TRUE, "0")</f>
        <v>0</v>
      </c>
      <c r="BG45" s="607">
        <f>IF(BF$9&gt;0, IF(OR(BF45="",BF45="-"), 0, BF45*$AT45), BE45*$AJ45)</f>
        <v>0</v>
      </c>
      <c r="BH45" s="589">
        <f>[1]COMMANDE!W43</f>
        <v>0</v>
      </c>
      <c r="BI45" s="586" t="str">
        <f>_xlfn.IFS(AND($AI45=$AM45,$AI45&gt;0,$AM45&gt;0,BH45&gt;0), BH45,     AND(NOT($AI45=$AM45),$AI45&gt;0,$AM45&gt;0,BH45&gt;0), ($AM45*BH45)/$AI45,     AND($AI45=0,$AM45&gt;0,$AQ45&gt;0), IF(INDEX(BH$12:BH$263,MATCH($AQ45,$AP$12:$AP$263,0))&gt;0,($AM45*INDEX(BH$12:BH$263,MATCH($AQ45,$AP$12:$AP$263,0)))/INDEX($AI$12:$AI$263,MATCH($AQ45,$AP$12:$AP$263,0)), "-"),     TRUE, "0")</f>
        <v>0</v>
      </c>
      <c r="BJ45" s="588">
        <f>IF(BI$9&gt;0, IF(OR(BI45="",BI45="-"), 0, BI45*$AT45), BH45*$AJ45)</f>
        <v>0</v>
      </c>
      <c r="BK45" s="587">
        <f>[1]COMMANDE!Y43</f>
        <v>0</v>
      </c>
      <c r="BL45" s="586" t="str">
        <f>_xlfn.IFS(AND($AI45=$AM45,$AI45&gt;0,$AM45&gt;0,BK45&gt;0), BK45,     AND(NOT($AI45=$AM45),$AI45&gt;0,$AM45&gt;0,BK45&gt;0), ($AM45*BK45)/$AI45,     AND($AI45=0,$AM45&gt;0,$AQ45&gt;0), IF(INDEX(BK$12:BK$263,MATCH($AQ45,$AP$12:$AP$263,0))&gt;0,($AM45*INDEX(BK$12:BK$263,MATCH($AQ45,$AP$12:$AP$263,0)))/INDEX($AI$12:$AI$263,MATCH($AQ45,$AP$12:$AP$263,0)), "-"),     TRUE, "0")</f>
        <v>0</v>
      </c>
      <c r="BM45" s="607">
        <f>IF(BL$9&gt;0, IF(OR(BL45="",BL45="-"), 0, BL45*$AT45), BK45*$AJ45)</f>
        <v>0</v>
      </c>
      <c r="BN45" s="589">
        <f>[1]COMMANDE!AA43</f>
        <v>0</v>
      </c>
      <c r="BO45" s="586" t="str">
        <f>_xlfn.IFS(AND($AI45=$AM45,$AI45&gt;0,$AM45&gt;0,BN45&gt;0), BN45,     AND(NOT($AI45=$AM45),$AI45&gt;0,$AM45&gt;0,BN45&gt;0), ($AM45*BN45)/$AI45,     AND($AI45=0,$AM45&gt;0,$AQ45&gt;0), IF(INDEX(BN$12:BN$263,MATCH($AQ45,$AP$12:$AP$263,0))&gt;0,($AM45*INDEX(BN$12:BN$263,MATCH($AQ45,$AP$12:$AP$263,0)))/INDEX($AI$12:$AI$263,MATCH($AQ45,$AP$12:$AP$263,0)), "-"),     TRUE, "0")</f>
        <v>0</v>
      </c>
      <c r="BP45" s="588">
        <f>IF(BO$9&gt;0, IF(OR(BO45="",BO45="-"), 0, BO45*$AT45), BN45*$AJ45)</f>
        <v>0</v>
      </c>
      <c r="BQ45" s="587">
        <f>[1]COMMANDE!AC43</f>
        <v>0</v>
      </c>
      <c r="BR45" s="586" t="str">
        <f>_xlfn.IFS(AND($AI45=$AM45,$AI45&gt;0,$AM45&gt;0,BQ45&gt;0), BQ45,     AND(NOT($AI45=$AM45),$AI45&gt;0,$AM45&gt;0,BQ45&gt;0), ($AM45*BQ45)/$AI45,     AND($AI45=0,$AM45&gt;0,$AQ45&gt;0), IF(INDEX(BQ$12:BQ$263,MATCH($AQ45,$AP$12:$AP$263,0))&gt;0,($AM45*INDEX(BQ$12:BQ$263,MATCH($AQ45,$AP$12:$AP$263,0)))/INDEX($AI$12:$AI$263,MATCH($AQ45,$AP$12:$AP$263,0)), "-"),     TRUE, "0")</f>
        <v>0</v>
      </c>
      <c r="BS45" s="607">
        <f>IF(BR$9&gt;0, IF(OR(BR45="",BR45="-"), 0, BR45*$AT45), BQ45*$AJ45)</f>
        <v>0</v>
      </c>
      <c r="BT45" s="589">
        <f>[1]COMMANDE!AE43</f>
        <v>0</v>
      </c>
      <c r="BU45" s="586" t="str">
        <f>_xlfn.IFS(AND($AI45=$AM45,$AI45&gt;0,$AM45&gt;0,BT45&gt;0), BT45,     AND(NOT($AI45=$AM45),$AI45&gt;0,$AM45&gt;0,BT45&gt;0), ($AM45*BT45)/$AI45,     AND($AI45=0,$AM45&gt;0,$AQ45&gt;0), IF(INDEX(BT$12:BT$263,MATCH($AQ45,$AP$12:$AP$263,0))&gt;0,($AM45*INDEX(BT$12:BT$263,MATCH($AQ45,$AP$12:$AP$263,0)))/INDEX($AI$12:$AI$263,MATCH($AQ45,$AP$12:$AP$263,0)), "-"),     TRUE, "0")</f>
        <v>0</v>
      </c>
      <c r="BV45" s="588">
        <f>IF(BU$9&gt;0, IF(OR(BU45="",BU45="-"), 0, BU45*$AT45), BT45*$AJ45)</f>
        <v>0</v>
      </c>
      <c r="BW45" s="587">
        <f>[1]COMMANDE!AG43</f>
        <v>0</v>
      </c>
      <c r="BX45" s="586" t="str">
        <f>_xlfn.IFS(AND($AI45=$AM45,$AI45&gt;0,$AM45&gt;0,BW45&gt;0), BW45,     AND(NOT($AI45=$AM45),$AI45&gt;0,$AM45&gt;0,BW45&gt;0), ($AM45*BW45)/$AI45,     AND($AI45=0,$AM45&gt;0,$AQ45&gt;0), IF(INDEX(BW$12:BW$263,MATCH($AQ45,$AP$12:$AP$263,0))&gt;0,($AM45*INDEX(BW$12:BW$263,MATCH($AQ45,$AP$12:$AP$263,0)))/INDEX($AI$12:$AI$263,MATCH($AQ45,$AP$12:$AP$263,0)), "-"),     TRUE, "0")</f>
        <v>0</v>
      </c>
      <c r="BY45" s="607">
        <f>IF(BX$9&gt;0, IF(OR(BX45="",BX45="-"), 0, BX45*$AT45), BW45*$AJ45)</f>
        <v>0</v>
      </c>
      <c r="BZ45" s="589">
        <f>[1]COMMANDE!AI43</f>
        <v>0</v>
      </c>
      <c r="CA45" s="586" t="str">
        <f>_xlfn.IFS(AND($AI45=$AM45,$AI45&gt;0,$AM45&gt;0,BZ45&gt;0), BZ45,     AND(NOT($AI45=$AM45),$AI45&gt;0,$AM45&gt;0,BZ45&gt;0), ($AM45*BZ45)/$AI45,     AND($AI45=0,$AM45&gt;0,$AQ45&gt;0), IF(INDEX(BZ$12:BZ$263,MATCH($AQ45,$AP$12:$AP$263,0))&gt;0,($AM45*INDEX(BZ$12:BZ$263,MATCH($AQ45,$AP$12:$AP$263,0)))/INDEX($AI$12:$AI$263,MATCH($AQ45,$AP$12:$AP$263,0)), "-"),     TRUE, "0")</f>
        <v>0</v>
      </c>
      <c r="CB45" s="588">
        <f>IF(CA$9&gt;0, IF(OR(CA45="",CA45="-"), 0, CA45*$AT45), BZ45*$AJ45)</f>
        <v>0</v>
      </c>
      <c r="CC45" s="587">
        <f>[1]COMMANDE!AK43</f>
        <v>0</v>
      </c>
      <c r="CD45" s="586" t="str">
        <f>_xlfn.IFS(AND($AI45=$AM45,$AI45&gt;0,$AM45&gt;0,CC45&gt;0), CC45,     AND(NOT($AI45=$AM45),$AI45&gt;0,$AM45&gt;0,CC45&gt;0), ($AM45*CC45)/$AI45,     AND($AI45=0,$AM45&gt;0,$AQ45&gt;0), IF(INDEX(CC$12:CC$263,MATCH($AQ45,$AP$12:$AP$263,0))&gt;0,($AM45*INDEX(CC$12:CC$263,MATCH($AQ45,$AP$12:$AP$263,0)))/INDEX($AI$12:$AI$263,MATCH($AQ45,$AP$12:$AP$263,0)), "-"),     TRUE, "0")</f>
        <v>0</v>
      </c>
      <c r="CE45" s="607">
        <f>IF(CD$9&gt;0, IF(OR(CD45="",CD45="-"), 0, CD45*$AT45), CC45*$AJ45)</f>
        <v>0</v>
      </c>
      <c r="CF45" s="589">
        <f>[1]COMMANDE!AM43</f>
        <v>0</v>
      </c>
      <c r="CG45" s="586" t="str">
        <f>_xlfn.IFS(AND($AI45=$AM45,$AI45&gt;0,$AM45&gt;0,CF45&gt;0), CF45,     AND(NOT($AI45=$AM45),$AI45&gt;0,$AM45&gt;0,CF45&gt;0), ($AM45*CF45)/$AI45,     AND($AI45=0,$AM45&gt;0,$AQ45&gt;0), IF(INDEX(CF$12:CF$263,MATCH($AQ45,$AP$12:$AP$263,0))&gt;0,($AM45*INDEX(CF$12:CF$263,MATCH($AQ45,$AP$12:$AP$263,0)))/INDEX($AI$12:$AI$263,MATCH($AQ45,$AP$12:$AP$263,0)), "-"),     TRUE, "0")</f>
        <v>0</v>
      </c>
      <c r="CH45" s="588">
        <f>IF(CG$9&gt;0, IF(OR(CG45="",CG45="-"), 0, CG45*$AT45), CF45*$AJ45)</f>
        <v>0</v>
      </c>
      <c r="CI45" s="587">
        <f>[1]COMMANDE!AO43</f>
        <v>0</v>
      </c>
      <c r="CJ45" s="586" t="str">
        <f>_xlfn.IFS(AND($AI45=$AM45,$AI45&gt;0,$AM45&gt;0,CI45&gt;0), CI45,     AND(NOT($AI45=$AM45),$AI45&gt;0,$AM45&gt;0,CI45&gt;0), ($AM45*CI45)/$AI45,     AND($AI45=0,$AM45&gt;0,$AQ45&gt;0), IF(INDEX(CI$12:CI$263,MATCH($AQ45,$AP$12:$AP$263,0))&gt;0,($AM45*INDEX(CI$12:CI$263,MATCH($AQ45,$AP$12:$AP$263,0)))/INDEX($AI$12:$AI$263,MATCH($AQ45,$AP$12:$AP$263,0)), "-"),     TRUE, "0")</f>
        <v>0</v>
      </c>
      <c r="CK45" s="607">
        <f>IF(CJ$9&gt;0, IF(OR(CJ45="",CJ45="-"), 0, CJ45*$AT45), CI45*$AJ45)</f>
        <v>0</v>
      </c>
      <c r="CL45" s="589">
        <f>[1]COMMANDE!AQ43</f>
        <v>0</v>
      </c>
      <c r="CM45" s="586" t="str">
        <f>_xlfn.IFS(AND($AI45=$AM45,$AI45&gt;0,$AM45&gt;0,CL45&gt;0), CL45,     AND(NOT($AI45=$AM45),$AI45&gt;0,$AM45&gt;0,CL45&gt;0), ($AM45*CL45)/$AI45,     AND($AI45=0,$AM45&gt;0,$AQ45&gt;0), IF(INDEX(CL$12:CL$263,MATCH($AQ45,$AP$12:$AP$263,0))&gt;0,($AM45*INDEX(CL$12:CL$263,MATCH($AQ45,$AP$12:$AP$263,0)))/INDEX($AI$12:$AI$263,MATCH($AQ45,$AP$12:$AP$263,0)), "-"),     TRUE, "0")</f>
        <v>0</v>
      </c>
      <c r="CN45" s="588">
        <f>IF(CM$9&gt;0, IF(OR(CM45="",CM45="-"), 0, CM45*$AT45), CL45*$AJ45)</f>
        <v>0</v>
      </c>
      <c r="CO45" s="587">
        <f>[1]COMMANDE!AS43</f>
        <v>0</v>
      </c>
      <c r="CP45" s="586" t="str">
        <f>_xlfn.IFS(AND($AI45=$AM45,$AI45&gt;0,$AM45&gt;0,CO45&gt;0), CO45,     AND(NOT($AI45=$AM45),$AI45&gt;0,$AM45&gt;0,CO45&gt;0), ($AM45*CO45)/$AI45,     AND($AI45=0,$AM45&gt;0,$AQ45&gt;0), IF(INDEX(CO$12:CO$263,MATCH($AQ45,$AP$12:$AP$263,0))&gt;0,($AM45*INDEX(CO$12:CO$263,MATCH($AQ45,$AP$12:$AP$263,0)))/INDEX($AI$12:$AI$263,MATCH($AQ45,$AP$12:$AP$263,0)), "-"),     TRUE, "0")</f>
        <v>0</v>
      </c>
      <c r="CQ45" s="607">
        <f>IF(CP$9&gt;0, IF(OR(CP45="",CP45="-"), 0, CP45*$AT45), CO45*$AJ45)</f>
        <v>0</v>
      </c>
      <c r="CR45" s="589">
        <f>[1]COMMANDE!AU43</f>
        <v>0</v>
      </c>
      <c r="CS45" s="586" t="str">
        <f>_xlfn.IFS(AND($AI45=$AM45,$AI45&gt;0,$AM45&gt;0,CR45&gt;0), CR45,     AND(NOT($AI45=$AM45),$AI45&gt;0,$AM45&gt;0,CR45&gt;0), ($AM45*CR45)/$AI45,     AND($AI45=0,$AM45&gt;0,$AQ45&gt;0), IF(INDEX(CR$12:CR$263,MATCH($AQ45,$AP$12:$AP$263,0))&gt;0,($AM45*INDEX(CR$12:CR$263,MATCH($AQ45,$AP$12:$AP$263,0)))/INDEX($AI$12:$AI$263,MATCH($AQ45,$AP$12:$AP$263,0)), "-"),     TRUE, "0")</f>
        <v>0</v>
      </c>
      <c r="CT45" s="588">
        <f>IF(CS$9&gt;0, IF(OR(CS45="",CS45="-"), 0, CS45*$AT45), CR45*$AJ45)</f>
        <v>0</v>
      </c>
      <c r="CU45" s="587">
        <f>[1]COMMANDE!AW43</f>
        <v>0</v>
      </c>
      <c r="CV45" s="586" t="str">
        <f>_xlfn.IFS(AND($AI45=$AM45,$AI45&gt;0,$AM45&gt;0,CU45&gt;0), CU45,     AND(NOT($AI45=$AM45),$AI45&gt;0,$AM45&gt;0,CU45&gt;0), ($AM45*CU45)/$AI45,     AND($AI45=0,$AM45&gt;0,$AQ45&gt;0), IF(INDEX(CU$12:CU$263,MATCH($AQ45,$AP$12:$AP$263,0))&gt;0,($AM45*INDEX(CU$12:CU$263,MATCH($AQ45,$AP$12:$AP$263,0)))/INDEX($AI$12:$AI$263,MATCH($AQ45,$AP$12:$AP$263,0)), "-"),     TRUE, "0")</f>
        <v>0</v>
      </c>
      <c r="CW45" s="607">
        <f>IF(CV$9&gt;0, IF(OR(CV45="",CV45="-"), 0, CV45*$AT45), CU45*$AJ45)</f>
        <v>0</v>
      </c>
      <c r="CX45" s="589">
        <f>[1]COMMANDE!AY43</f>
        <v>0</v>
      </c>
      <c r="CY45" s="586" t="str">
        <f>_xlfn.IFS(AND($AI45=$AM45,$AI45&gt;0,$AM45&gt;0,CX45&gt;0), CX45,     AND(NOT($AI45=$AM45),$AI45&gt;0,$AM45&gt;0,CX45&gt;0), ($AM45*CX45)/$AI45,     AND($AI45=0,$AM45&gt;0,$AQ45&gt;0), IF(INDEX(CX$12:CX$263,MATCH($AQ45,$AP$12:$AP$263,0))&gt;0,($AM45*INDEX(CX$12:CX$263,MATCH($AQ45,$AP$12:$AP$263,0)))/INDEX($AI$12:$AI$263,MATCH($AQ45,$AP$12:$AP$263,0)), "-"),     TRUE, "0")</f>
        <v>0</v>
      </c>
      <c r="CZ45" s="588">
        <f>IF(CY$9&gt;0, IF(OR(CY45="",CY45="-"), 0, CY45*$AT45), CX45*$AJ45)</f>
        <v>0</v>
      </c>
      <c r="DA45" s="587">
        <f>[1]COMMANDE!BA43</f>
        <v>0</v>
      </c>
      <c r="DB45" s="586" t="str">
        <f>_xlfn.IFS(AND($AI45=$AM45,$AI45&gt;0,$AM45&gt;0,DA45&gt;0), DA45,     AND(NOT($AI45=$AM45),$AI45&gt;0,$AM45&gt;0,DA45&gt;0), ($AM45*DA45)/$AI45,     AND($AI45=0,$AM45&gt;0,$AQ45&gt;0), IF(INDEX(DA$12:DA$263,MATCH($AQ45,$AP$12:$AP$263,0))&gt;0,($AM45*INDEX(DA$12:DA$263,MATCH($AQ45,$AP$12:$AP$263,0)))/INDEX($AI$12:$AI$263,MATCH($AQ45,$AP$12:$AP$263,0)), "-"),     TRUE, "0")</f>
        <v>0</v>
      </c>
      <c r="DC45" s="606">
        <f>IF(DB$9&gt;0, IF(OR(DB45="",DB45="-"), 0, DB45*$AT45), DA45*$AJ45)</f>
        <v>0</v>
      </c>
      <c r="DD45" s="584"/>
      <c r="DE45" s="583"/>
    </row>
    <row r="46" spans="1:109" ht="39.950000000000003" hidden="1" customHeight="1">
      <c r="A46" s="604">
        <f>IF(OR($AV46&gt;0, $AX46&gt;0), 1, 0)</f>
        <v>0</v>
      </c>
      <c r="B46" s="604">
        <f>IF(OR($AY46&gt;0, $BA46&gt;0), 1, 0)</f>
        <v>0</v>
      </c>
      <c r="C46" s="604">
        <f>IF(OR($BB46&gt;0, $BD46&gt;0), 1, 0)</f>
        <v>0</v>
      </c>
      <c r="D46" s="604">
        <f>IF(OR($BE46&gt;0, $BG46&gt;0), 1, 0)</f>
        <v>0</v>
      </c>
      <c r="E46" s="604">
        <f>IF(OR($BH46&gt;0, $BJ46&gt;0), 1, 0)</f>
        <v>0</v>
      </c>
      <c r="F46" s="604">
        <f>IF(OR($BK46&gt;0, $BM46&gt;0), 1, 0)</f>
        <v>0</v>
      </c>
      <c r="G46" s="604">
        <f>IF(OR($BN46&gt;0, $BP46&gt;0), 1, 0)</f>
        <v>0</v>
      </c>
      <c r="H46" s="604">
        <f>IF(OR($BQ46&gt;0, $BS46&gt;0), 1, 0)</f>
        <v>0</v>
      </c>
      <c r="I46" s="604">
        <f>IF(OR($BT46&gt;0, $BV46&gt;0), 1, 0)</f>
        <v>0</v>
      </c>
      <c r="J46" s="604">
        <f>IF(OR($BW46&gt;0, $BY46&gt;0), 1, 0)</f>
        <v>0</v>
      </c>
      <c r="K46" s="604">
        <f>IF(OR($BZ46&gt;0, $CB46&gt;0), 1, 0)</f>
        <v>0</v>
      </c>
      <c r="L46" s="604">
        <f>IF(OR($CC46&gt;0, $CE46&gt;0), 1, 0)</f>
        <v>0</v>
      </c>
      <c r="M46" s="604">
        <f>IF(OR($CF46&gt;0, $CH46&gt;0), 1, 0)</f>
        <v>0</v>
      </c>
      <c r="N46" s="604">
        <f>IF(OR($CI46&gt;0, $CK46&gt;0), 1, 0)</f>
        <v>0</v>
      </c>
      <c r="O46" s="604">
        <f>IF(OR($CL46&gt;0, $CN46&gt;0), 1, 0)</f>
        <v>0</v>
      </c>
      <c r="P46" s="604">
        <f>IF(OR($CO46&gt;0, $CQ46&gt;0), 1, 0)</f>
        <v>0</v>
      </c>
      <c r="Q46" s="604">
        <f>IF(OR($CR46&gt;0, $CT46&gt;0), 1, 0)</f>
        <v>0</v>
      </c>
      <c r="R46" s="604">
        <f>IF(OR($CU46&gt;0, $CW46&gt;0), 1, 0)</f>
        <v>0</v>
      </c>
      <c r="S46" s="604">
        <f>IF(OR($CX46&gt;0, $CZ46&gt;0), 1, 0)</f>
        <v>0</v>
      </c>
      <c r="T46" s="604">
        <f>IF(OR($DA46&gt;0, $DC46&gt;0), 1, 0)</f>
        <v>0</v>
      </c>
      <c r="U46" s="603">
        <f>IF(OR($AI46&gt;0,$AM46&gt;0,$AS46&gt;0), 1, 0)</f>
        <v>0</v>
      </c>
      <c r="V46" s="602">
        <f>[1]BDD!A36</f>
        <v>1458</v>
      </c>
      <c r="W46" s="601" t="str">
        <f>[1]BDD!B36</f>
        <v>Bâtons de cannelle BIO (env. 100g)</v>
      </c>
      <c r="X46" s="600" t="str">
        <f>IF([1]BDD!F36=0, "", [1]BDD!F36)</f>
        <v/>
      </c>
      <c r="Y46" s="542">
        <f>ROUND([1]BDD!G36+FDP_CMD_KG, 2)</f>
        <v>8.94</v>
      </c>
      <c r="Z46" s="542">
        <f>ROUND([1]BDD!G36+FDP_FACT_KG, 2)</f>
        <v>8.94</v>
      </c>
      <c r="AA46" s="543" t="str">
        <f>[1]BDD!H36</f>
        <v>Pièce</v>
      </c>
      <c r="AB46" s="544" t="str">
        <f>IF(NOT(ISBLANK([1]BDD!I36)), ROUND(SUM(([1]BDD!G36*reduc1),FDP_CMD_KG), 2), "")</f>
        <v/>
      </c>
      <c r="AC46" s="544" t="str">
        <f>IF(NOT(ISBLANK([1]BDD!J36)), ROUND(SUM(([1]BDD!G36*reduc2),FDP_CMD_KG), 2), "")</f>
        <v/>
      </c>
      <c r="AD46" s="544" t="str">
        <f>IF(NOT(ISBLANK([1]BDD!K36)), ROUND(SUM(([1]BDD!G36*reduc3),FDP_CMD_KG), 2), "")</f>
        <v/>
      </c>
      <c r="AE46" s="544" t="str">
        <f>IF(NOT(ISBLANK([1]BDD!I36)), ROUND(SUM(([1]BDD!G36*reduc1),FDP_FACT_KG), 2), "")</f>
        <v/>
      </c>
      <c r="AF46" s="544" t="str">
        <f>IF(NOT(ISBLANK([1]BDD!J36)), ROUND(SUM(([1]BDD!G36*reduc2),FDP_FACT_KG), 2), "")</f>
        <v/>
      </c>
      <c r="AG46" s="544" t="str">
        <f>IF(NOT(ISBLANK([1]BDD!K36)), ROUND(SUM(([1]BDD!G36*reduc3),FDP_FACT_KG), 2), "")</f>
        <v/>
      </c>
      <c r="AH46" s="599" t="str">
        <f>[1]BDD!C36</f>
        <v>Inde</v>
      </c>
      <c r="AI46" s="598">
        <f>SUM(AV46,AY46,BB46,BE46,BH46,BK46,BN46,BQ46,BT46,BW46,BZ46,CC46,CF46,CI46,CL46,CO46,CR46,CU46,CX46,DA46)</f>
        <v>0</v>
      </c>
      <c r="AJ46" s="545">
        <f>_xlfn.IFS($AD46&lt;&gt;"", $AD46,    $AC46&lt;&gt;"", $AC46,    $AB46&lt;&gt;"", $AB46,    TRUE, $Y46)</f>
        <v>8.94</v>
      </c>
      <c r="AK46" s="592">
        <f>$AI46*$AJ46</f>
        <v>0</v>
      </c>
      <c r="AL46" s="594"/>
      <c r="AM46" s="597"/>
      <c r="AN46" s="545">
        <f>_xlfn.IFS(AND(AM46&gt;=60,$AG46&lt;&gt;""), $AG46,    AND(AM46&gt;=30,$AF46&lt;&gt;""), $AF46,    AND(AM46&gt;=10,$AE46&lt;&gt;""), $AE46,    TRUE, $Z46)</f>
        <v>8.94</v>
      </c>
      <c r="AO46" s="596">
        <f>AM46*AN46</f>
        <v>0</v>
      </c>
      <c r="AP46" s="595"/>
      <c r="AQ46" s="595"/>
      <c r="AR46" s="594"/>
      <c r="AS46" s="593">
        <f>SUM(AW46,AZ46,BC46,BF46,BI46,BL46,BO46,BR46,BU46,BX46,CA46,CD46,CG46,CJ46,CM46,CP46,CS46,CV46,CY46,DB46)</f>
        <v>0</v>
      </c>
      <c r="AT46" s="545">
        <f>_xlfn.IFS(AND(AS46&gt;=60,$AG46&lt;&gt;""), $AG46,    AND(AS46&gt;=30,$AF46&lt;&gt;""), $AF46,    AND(AS46&gt;=10,$AE46&lt;&gt;""), $AE46,    TRUE, $Z46)</f>
        <v>8.94</v>
      </c>
      <c r="AU46" s="592">
        <f>$AS46*$AT46</f>
        <v>0</v>
      </c>
      <c r="AV46" s="591">
        <f>[1]COMMANDE!O44</f>
        <v>0</v>
      </c>
      <c r="AW46" s="586" t="str">
        <f>_xlfn.IFS(AND($AI46=$AM46,$AI46&gt;0,$AM46&gt;0,AV46&gt;0), AV46,     AND(NOT($AI46=$AM46),$AI46&gt;0,$AM46&gt;0,AV46&gt;0), ($AM46*AV46)/$AI46,     AND($AI46=0,$AM46&gt;0,$AQ46&gt;0), IF(INDEX(AV$12:AV$263,MATCH($AQ46,$AP$12:$AP$263,0))&gt;0,($AM46*INDEX(AV$12:AV$263,MATCH($AQ46,$AP$12:$AP$263,0)))/INDEX($AI$12:$AI$263,MATCH($AQ46,$AP$12:$AP$263,0)), "-"),     TRUE, "0")</f>
        <v>0</v>
      </c>
      <c r="AX46" s="588">
        <f>IF(AW$9&gt;0, IF(OR(AW46="",AW46="-"), 0, AW46*$AT46), AV46*$AJ46)</f>
        <v>0</v>
      </c>
      <c r="AY46" s="587">
        <f>[1]COMMANDE!Q44</f>
        <v>0</v>
      </c>
      <c r="AZ46" s="586" t="str">
        <f>_xlfn.IFS(AND($AI46=$AM46,$AI46&gt;0,$AM46&gt;0,AY46&gt;0), AY46,     AND(NOT($AI46=$AM46),$AI46&gt;0,$AM46&gt;0,AY46&gt;0), ($AM46*AY46)/$AI46,     AND($AI46=0,$AM46&gt;0,$AQ46&gt;0), IF(INDEX(AY$12:AY$263,MATCH($AQ46,$AP$12:$AP$263,0))&gt;0,($AM46*INDEX(AY$12:AY$263,MATCH($AQ46,$AP$12:$AP$263,0)))/INDEX($AI$12:$AI$263,MATCH($AQ46,$AP$12:$AP$263,0)), "-"),     TRUE, "0")</f>
        <v>0</v>
      </c>
      <c r="BA46" s="607">
        <f>IF(AZ$9&gt;0, IF(OR(AZ46="",AZ46="-"), 0, AZ46*$AT46), AY46*$AJ46)</f>
        <v>0</v>
      </c>
      <c r="BB46" s="589">
        <f>[1]COMMANDE!S44</f>
        <v>0</v>
      </c>
      <c r="BC46" s="586" t="str">
        <f>_xlfn.IFS(AND($AI46=$AM46,$AI46&gt;0,$AM46&gt;0,BB46&gt;0), BB46,     AND(NOT($AI46=$AM46),$AI46&gt;0,$AM46&gt;0,BB46&gt;0), ($AM46*BB46)/$AI46,     AND($AI46=0,$AM46&gt;0,$AQ46&gt;0), IF(INDEX(BB$12:BB$263,MATCH($AQ46,$AP$12:$AP$263,0))&gt;0,($AM46*INDEX(BB$12:BB$263,MATCH($AQ46,$AP$12:$AP$263,0)))/INDEX($AI$12:$AI$263,MATCH($AQ46,$AP$12:$AP$263,0)), "-"),     TRUE, "0")</f>
        <v>0</v>
      </c>
      <c r="BD46" s="588">
        <f>IF(BC$9&gt;0, IF(OR(BC46="",BC46="-"), 0, BC46*$AT46), BB46*$AJ46)</f>
        <v>0</v>
      </c>
      <c r="BE46" s="587">
        <f>[1]COMMANDE!U44</f>
        <v>0</v>
      </c>
      <c r="BF46" s="586" t="str">
        <f>_xlfn.IFS(AND($AI46=$AM46,$AI46&gt;0,$AM46&gt;0,BE46&gt;0), BE46,     AND(NOT($AI46=$AM46),$AI46&gt;0,$AM46&gt;0,BE46&gt;0), ($AM46*BE46)/$AI46,     AND($AI46=0,$AM46&gt;0,$AQ46&gt;0), IF(INDEX(BE$12:BE$263,MATCH($AQ46,$AP$12:$AP$263,0))&gt;0,($AM46*INDEX(BE$12:BE$263,MATCH($AQ46,$AP$12:$AP$263,0)))/INDEX($AI$12:$AI$263,MATCH($AQ46,$AP$12:$AP$263,0)), "-"),     TRUE, "0")</f>
        <v>0</v>
      </c>
      <c r="BG46" s="607">
        <f>IF(BF$9&gt;0, IF(OR(BF46="",BF46="-"), 0, BF46*$AT46), BE46*$AJ46)</f>
        <v>0</v>
      </c>
      <c r="BH46" s="589">
        <f>[1]COMMANDE!W44</f>
        <v>0</v>
      </c>
      <c r="BI46" s="586" t="str">
        <f>_xlfn.IFS(AND($AI46=$AM46,$AI46&gt;0,$AM46&gt;0,BH46&gt;0), BH46,     AND(NOT($AI46=$AM46),$AI46&gt;0,$AM46&gt;0,BH46&gt;0), ($AM46*BH46)/$AI46,     AND($AI46=0,$AM46&gt;0,$AQ46&gt;0), IF(INDEX(BH$12:BH$263,MATCH($AQ46,$AP$12:$AP$263,0))&gt;0,($AM46*INDEX(BH$12:BH$263,MATCH($AQ46,$AP$12:$AP$263,0)))/INDEX($AI$12:$AI$263,MATCH($AQ46,$AP$12:$AP$263,0)), "-"),     TRUE, "0")</f>
        <v>0</v>
      </c>
      <c r="BJ46" s="588">
        <f>IF(BI$9&gt;0, IF(OR(BI46="",BI46="-"), 0, BI46*$AT46), BH46*$AJ46)</f>
        <v>0</v>
      </c>
      <c r="BK46" s="587">
        <f>[1]COMMANDE!Y44</f>
        <v>0</v>
      </c>
      <c r="BL46" s="586" t="str">
        <f>_xlfn.IFS(AND($AI46=$AM46,$AI46&gt;0,$AM46&gt;0,BK46&gt;0), BK46,     AND(NOT($AI46=$AM46),$AI46&gt;0,$AM46&gt;0,BK46&gt;0), ($AM46*BK46)/$AI46,     AND($AI46=0,$AM46&gt;0,$AQ46&gt;0), IF(INDEX(BK$12:BK$263,MATCH($AQ46,$AP$12:$AP$263,0))&gt;0,($AM46*INDEX(BK$12:BK$263,MATCH($AQ46,$AP$12:$AP$263,0)))/INDEX($AI$12:$AI$263,MATCH($AQ46,$AP$12:$AP$263,0)), "-"),     TRUE, "0")</f>
        <v>0</v>
      </c>
      <c r="BM46" s="607">
        <f>IF(BL$9&gt;0, IF(OR(BL46="",BL46="-"), 0, BL46*$AT46), BK46*$AJ46)</f>
        <v>0</v>
      </c>
      <c r="BN46" s="589">
        <f>[1]COMMANDE!AA44</f>
        <v>0</v>
      </c>
      <c r="BO46" s="586" t="str">
        <f>_xlfn.IFS(AND($AI46=$AM46,$AI46&gt;0,$AM46&gt;0,BN46&gt;0), BN46,     AND(NOT($AI46=$AM46),$AI46&gt;0,$AM46&gt;0,BN46&gt;0), ($AM46*BN46)/$AI46,     AND($AI46=0,$AM46&gt;0,$AQ46&gt;0), IF(INDEX(BN$12:BN$263,MATCH($AQ46,$AP$12:$AP$263,0))&gt;0,($AM46*INDEX(BN$12:BN$263,MATCH($AQ46,$AP$12:$AP$263,0)))/INDEX($AI$12:$AI$263,MATCH($AQ46,$AP$12:$AP$263,0)), "-"),     TRUE, "0")</f>
        <v>0</v>
      </c>
      <c r="BP46" s="588">
        <f>IF(BO$9&gt;0, IF(OR(BO46="",BO46="-"), 0, BO46*$AT46), BN46*$AJ46)</f>
        <v>0</v>
      </c>
      <c r="BQ46" s="587">
        <f>[1]COMMANDE!AC44</f>
        <v>0</v>
      </c>
      <c r="BR46" s="586" t="str">
        <f>_xlfn.IFS(AND($AI46=$AM46,$AI46&gt;0,$AM46&gt;0,BQ46&gt;0), BQ46,     AND(NOT($AI46=$AM46),$AI46&gt;0,$AM46&gt;0,BQ46&gt;0), ($AM46*BQ46)/$AI46,     AND($AI46=0,$AM46&gt;0,$AQ46&gt;0), IF(INDEX(BQ$12:BQ$263,MATCH($AQ46,$AP$12:$AP$263,0))&gt;0,($AM46*INDEX(BQ$12:BQ$263,MATCH($AQ46,$AP$12:$AP$263,0)))/INDEX($AI$12:$AI$263,MATCH($AQ46,$AP$12:$AP$263,0)), "-"),     TRUE, "0")</f>
        <v>0</v>
      </c>
      <c r="BS46" s="607">
        <f>IF(BR$9&gt;0, IF(OR(BR46="",BR46="-"), 0, BR46*$AT46), BQ46*$AJ46)</f>
        <v>0</v>
      </c>
      <c r="BT46" s="589">
        <f>[1]COMMANDE!AE44</f>
        <v>0</v>
      </c>
      <c r="BU46" s="586" t="str">
        <f>_xlfn.IFS(AND($AI46=$AM46,$AI46&gt;0,$AM46&gt;0,BT46&gt;0), BT46,     AND(NOT($AI46=$AM46),$AI46&gt;0,$AM46&gt;0,BT46&gt;0), ($AM46*BT46)/$AI46,     AND($AI46=0,$AM46&gt;0,$AQ46&gt;0), IF(INDEX(BT$12:BT$263,MATCH($AQ46,$AP$12:$AP$263,0))&gt;0,($AM46*INDEX(BT$12:BT$263,MATCH($AQ46,$AP$12:$AP$263,0)))/INDEX($AI$12:$AI$263,MATCH($AQ46,$AP$12:$AP$263,0)), "-"),     TRUE, "0")</f>
        <v>0</v>
      </c>
      <c r="BV46" s="588">
        <f>IF(BU$9&gt;0, IF(OR(BU46="",BU46="-"), 0, BU46*$AT46), BT46*$AJ46)</f>
        <v>0</v>
      </c>
      <c r="BW46" s="587">
        <f>[1]COMMANDE!AG44</f>
        <v>0</v>
      </c>
      <c r="BX46" s="586" t="str">
        <f>_xlfn.IFS(AND($AI46=$AM46,$AI46&gt;0,$AM46&gt;0,BW46&gt;0), BW46,     AND(NOT($AI46=$AM46),$AI46&gt;0,$AM46&gt;0,BW46&gt;0), ($AM46*BW46)/$AI46,     AND($AI46=0,$AM46&gt;0,$AQ46&gt;0), IF(INDEX(BW$12:BW$263,MATCH($AQ46,$AP$12:$AP$263,0))&gt;0,($AM46*INDEX(BW$12:BW$263,MATCH($AQ46,$AP$12:$AP$263,0)))/INDEX($AI$12:$AI$263,MATCH($AQ46,$AP$12:$AP$263,0)), "-"),     TRUE, "0")</f>
        <v>0</v>
      </c>
      <c r="BY46" s="607">
        <f>IF(BX$9&gt;0, IF(OR(BX46="",BX46="-"), 0, BX46*$AT46), BW46*$AJ46)</f>
        <v>0</v>
      </c>
      <c r="BZ46" s="589">
        <f>[1]COMMANDE!AI44</f>
        <v>0</v>
      </c>
      <c r="CA46" s="586" t="str">
        <f>_xlfn.IFS(AND($AI46=$AM46,$AI46&gt;0,$AM46&gt;0,BZ46&gt;0), BZ46,     AND(NOT($AI46=$AM46),$AI46&gt;0,$AM46&gt;0,BZ46&gt;0), ($AM46*BZ46)/$AI46,     AND($AI46=0,$AM46&gt;0,$AQ46&gt;0), IF(INDEX(BZ$12:BZ$263,MATCH($AQ46,$AP$12:$AP$263,0))&gt;0,($AM46*INDEX(BZ$12:BZ$263,MATCH($AQ46,$AP$12:$AP$263,0)))/INDEX($AI$12:$AI$263,MATCH($AQ46,$AP$12:$AP$263,0)), "-"),     TRUE, "0")</f>
        <v>0</v>
      </c>
      <c r="CB46" s="588">
        <f>IF(CA$9&gt;0, IF(OR(CA46="",CA46="-"), 0, CA46*$AT46), BZ46*$AJ46)</f>
        <v>0</v>
      </c>
      <c r="CC46" s="587">
        <f>[1]COMMANDE!AK44</f>
        <v>0</v>
      </c>
      <c r="CD46" s="586" t="str">
        <f>_xlfn.IFS(AND($AI46=$AM46,$AI46&gt;0,$AM46&gt;0,CC46&gt;0), CC46,     AND(NOT($AI46=$AM46),$AI46&gt;0,$AM46&gt;0,CC46&gt;0), ($AM46*CC46)/$AI46,     AND($AI46=0,$AM46&gt;0,$AQ46&gt;0), IF(INDEX(CC$12:CC$263,MATCH($AQ46,$AP$12:$AP$263,0))&gt;0,($AM46*INDEX(CC$12:CC$263,MATCH($AQ46,$AP$12:$AP$263,0)))/INDEX($AI$12:$AI$263,MATCH($AQ46,$AP$12:$AP$263,0)), "-"),     TRUE, "0")</f>
        <v>0</v>
      </c>
      <c r="CE46" s="607">
        <f>IF(CD$9&gt;0, IF(OR(CD46="",CD46="-"), 0, CD46*$AT46), CC46*$AJ46)</f>
        <v>0</v>
      </c>
      <c r="CF46" s="589">
        <f>[1]COMMANDE!AM44</f>
        <v>0</v>
      </c>
      <c r="CG46" s="586" t="str">
        <f>_xlfn.IFS(AND($AI46=$AM46,$AI46&gt;0,$AM46&gt;0,CF46&gt;0), CF46,     AND(NOT($AI46=$AM46),$AI46&gt;0,$AM46&gt;0,CF46&gt;0), ($AM46*CF46)/$AI46,     AND($AI46=0,$AM46&gt;0,$AQ46&gt;0), IF(INDEX(CF$12:CF$263,MATCH($AQ46,$AP$12:$AP$263,0))&gt;0,($AM46*INDEX(CF$12:CF$263,MATCH($AQ46,$AP$12:$AP$263,0)))/INDEX($AI$12:$AI$263,MATCH($AQ46,$AP$12:$AP$263,0)), "-"),     TRUE, "0")</f>
        <v>0</v>
      </c>
      <c r="CH46" s="588">
        <f>IF(CG$9&gt;0, IF(OR(CG46="",CG46="-"), 0, CG46*$AT46), CF46*$AJ46)</f>
        <v>0</v>
      </c>
      <c r="CI46" s="587">
        <f>[1]COMMANDE!AO44</f>
        <v>0</v>
      </c>
      <c r="CJ46" s="586" t="str">
        <f>_xlfn.IFS(AND($AI46=$AM46,$AI46&gt;0,$AM46&gt;0,CI46&gt;0), CI46,     AND(NOT($AI46=$AM46),$AI46&gt;0,$AM46&gt;0,CI46&gt;0), ($AM46*CI46)/$AI46,     AND($AI46=0,$AM46&gt;0,$AQ46&gt;0), IF(INDEX(CI$12:CI$263,MATCH($AQ46,$AP$12:$AP$263,0))&gt;0,($AM46*INDEX(CI$12:CI$263,MATCH($AQ46,$AP$12:$AP$263,0)))/INDEX($AI$12:$AI$263,MATCH($AQ46,$AP$12:$AP$263,0)), "-"),     TRUE, "0")</f>
        <v>0</v>
      </c>
      <c r="CK46" s="607">
        <f>IF(CJ$9&gt;0, IF(OR(CJ46="",CJ46="-"), 0, CJ46*$AT46), CI46*$AJ46)</f>
        <v>0</v>
      </c>
      <c r="CL46" s="589">
        <f>[1]COMMANDE!AQ44</f>
        <v>0</v>
      </c>
      <c r="CM46" s="586" t="str">
        <f>_xlfn.IFS(AND($AI46=$AM46,$AI46&gt;0,$AM46&gt;0,CL46&gt;0), CL46,     AND(NOT($AI46=$AM46),$AI46&gt;0,$AM46&gt;0,CL46&gt;0), ($AM46*CL46)/$AI46,     AND($AI46=0,$AM46&gt;0,$AQ46&gt;0), IF(INDEX(CL$12:CL$263,MATCH($AQ46,$AP$12:$AP$263,0))&gt;0,($AM46*INDEX(CL$12:CL$263,MATCH($AQ46,$AP$12:$AP$263,0)))/INDEX($AI$12:$AI$263,MATCH($AQ46,$AP$12:$AP$263,0)), "-"),     TRUE, "0")</f>
        <v>0</v>
      </c>
      <c r="CN46" s="588">
        <f>IF(CM$9&gt;0, IF(OR(CM46="",CM46="-"), 0, CM46*$AT46), CL46*$AJ46)</f>
        <v>0</v>
      </c>
      <c r="CO46" s="587">
        <f>[1]COMMANDE!AS44</f>
        <v>0</v>
      </c>
      <c r="CP46" s="586" t="str">
        <f>_xlfn.IFS(AND($AI46=$AM46,$AI46&gt;0,$AM46&gt;0,CO46&gt;0), CO46,     AND(NOT($AI46=$AM46),$AI46&gt;0,$AM46&gt;0,CO46&gt;0), ($AM46*CO46)/$AI46,     AND($AI46=0,$AM46&gt;0,$AQ46&gt;0), IF(INDEX(CO$12:CO$263,MATCH($AQ46,$AP$12:$AP$263,0))&gt;0,($AM46*INDEX(CO$12:CO$263,MATCH($AQ46,$AP$12:$AP$263,0)))/INDEX($AI$12:$AI$263,MATCH($AQ46,$AP$12:$AP$263,0)), "-"),     TRUE, "0")</f>
        <v>0</v>
      </c>
      <c r="CQ46" s="607">
        <f>IF(CP$9&gt;0, IF(OR(CP46="",CP46="-"), 0, CP46*$AT46), CO46*$AJ46)</f>
        <v>0</v>
      </c>
      <c r="CR46" s="589">
        <f>[1]COMMANDE!AU44</f>
        <v>0</v>
      </c>
      <c r="CS46" s="586" t="str">
        <f>_xlfn.IFS(AND($AI46=$AM46,$AI46&gt;0,$AM46&gt;0,CR46&gt;0), CR46,     AND(NOT($AI46=$AM46),$AI46&gt;0,$AM46&gt;0,CR46&gt;0), ($AM46*CR46)/$AI46,     AND($AI46=0,$AM46&gt;0,$AQ46&gt;0), IF(INDEX(CR$12:CR$263,MATCH($AQ46,$AP$12:$AP$263,0))&gt;0,($AM46*INDEX(CR$12:CR$263,MATCH($AQ46,$AP$12:$AP$263,0)))/INDEX($AI$12:$AI$263,MATCH($AQ46,$AP$12:$AP$263,0)), "-"),     TRUE, "0")</f>
        <v>0</v>
      </c>
      <c r="CT46" s="588">
        <f>IF(CS$9&gt;0, IF(OR(CS46="",CS46="-"), 0, CS46*$AT46), CR46*$AJ46)</f>
        <v>0</v>
      </c>
      <c r="CU46" s="587">
        <f>[1]COMMANDE!AW44</f>
        <v>0</v>
      </c>
      <c r="CV46" s="586" t="str">
        <f>_xlfn.IFS(AND($AI46=$AM46,$AI46&gt;0,$AM46&gt;0,CU46&gt;0), CU46,     AND(NOT($AI46=$AM46),$AI46&gt;0,$AM46&gt;0,CU46&gt;0), ($AM46*CU46)/$AI46,     AND($AI46=0,$AM46&gt;0,$AQ46&gt;0), IF(INDEX(CU$12:CU$263,MATCH($AQ46,$AP$12:$AP$263,0))&gt;0,($AM46*INDEX(CU$12:CU$263,MATCH($AQ46,$AP$12:$AP$263,0)))/INDEX($AI$12:$AI$263,MATCH($AQ46,$AP$12:$AP$263,0)), "-"),     TRUE, "0")</f>
        <v>0</v>
      </c>
      <c r="CW46" s="607">
        <f>IF(CV$9&gt;0, IF(OR(CV46="",CV46="-"), 0, CV46*$AT46), CU46*$AJ46)</f>
        <v>0</v>
      </c>
      <c r="CX46" s="589">
        <f>[1]COMMANDE!AY44</f>
        <v>0</v>
      </c>
      <c r="CY46" s="586" t="str">
        <f>_xlfn.IFS(AND($AI46=$AM46,$AI46&gt;0,$AM46&gt;0,CX46&gt;0), CX46,     AND(NOT($AI46=$AM46),$AI46&gt;0,$AM46&gt;0,CX46&gt;0), ($AM46*CX46)/$AI46,     AND($AI46=0,$AM46&gt;0,$AQ46&gt;0), IF(INDEX(CX$12:CX$263,MATCH($AQ46,$AP$12:$AP$263,0))&gt;0,($AM46*INDEX(CX$12:CX$263,MATCH($AQ46,$AP$12:$AP$263,0)))/INDEX($AI$12:$AI$263,MATCH($AQ46,$AP$12:$AP$263,0)), "-"),     TRUE, "0")</f>
        <v>0</v>
      </c>
      <c r="CZ46" s="588">
        <f>IF(CY$9&gt;0, IF(OR(CY46="",CY46="-"), 0, CY46*$AT46), CX46*$AJ46)</f>
        <v>0</v>
      </c>
      <c r="DA46" s="587">
        <f>[1]COMMANDE!BA44</f>
        <v>0</v>
      </c>
      <c r="DB46" s="586" t="str">
        <f>_xlfn.IFS(AND($AI46=$AM46,$AI46&gt;0,$AM46&gt;0,DA46&gt;0), DA46,     AND(NOT($AI46=$AM46),$AI46&gt;0,$AM46&gt;0,DA46&gt;0), ($AM46*DA46)/$AI46,     AND($AI46=0,$AM46&gt;0,$AQ46&gt;0), IF(INDEX(DA$12:DA$263,MATCH($AQ46,$AP$12:$AP$263,0))&gt;0,($AM46*INDEX(DA$12:DA$263,MATCH($AQ46,$AP$12:$AP$263,0)))/INDEX($AI$12:$AI$263,MATCH($AQ46,$AP$12:$AP$263,0)), "-"),     TRUE, "0")</f>
        <v>0</v>
      </c>
      <c r="DC46" s="606">
        <f>IF(DB$9&gt;0, IF(OR(DB46="",DB46="-"), 0, DB46*$AT46), DA46*$AJ46)</f>
        <v>0</v>
      </c>
      <c r="DD46" s="584"/>
      <c r="DE46" s="583"/>
    </row>
    <row r="47" spans="1:109" ht="39.950000000000003" customHeight="1">
      <c r="A47" s="604">
        <f>IF(OR($AV47&gt;0, $AX47&gt;0), 1, 0)</f>
        <v>1</v>
      </c>
      <c r="B47" s="604">
        <f>IF(OR($AY47&gt;0, $BA47&gt;0), 1, 0)</f>
        <v>0</v>
      </c>
      <c r="C47" s="604">
        <f>IF(OR($BB47&gt;0, $BD47&gt;0), 1, 0)</f>
        <v>0</v>
      </c>
      <c r="D47" s="604">
        <f>IF(OR($BE47&gt;0, $BG47&gt;0), 1, 0)</f>
        <v>0</v>
      </c>
      <c r="E47" s="604">
        <f>IF(OR($BH47&gt;0, $BJ47&gt;0), 1, 0)</f>
        <v>0</v>
      </c>
      <c r="F47" s="604">
        <f>IF(OR($BK47&gt;0, $BM47&gt;0), 1, 0)</f>
        <v>0</v>
      </c>
      <c r="G47" s="604">
        <f>IF(OR($BN47&gt;0, $BP47&gt;0), 1, 0)</f>
        <v>0</v>
      </c>
      <c r="H47" s="604">
        <f>IF(OR($BQ47&gt;0, $BS47&gt;0), 1, 0)</f>
        <v>0</v>
      </c>
      <c r="I47" s="604">
        <f>IF(OR($BT47&gt;0, $BV47&gt;0), 1, 0)</f>
        <v>0</v>
      </c>
      <c r="J47" s="604">
        <f>IF(OR($BW47&gt;0, $BY47&gt;0), 1, 0)</f>
        <v>0</v>
      </c>
      <c r="K47" s="604">
        <f>IF(OR($BZ47&gt;0, $CB47&gt;0), 1, 0)</f>
        <v>0</v>
      </c>
      <c r="L47" s="604">
        <f>IF(OR($CC47&gt;0, $CE47&gt;0), 1, 0)</f>
        <v>0</v>
      </c>
      <c r="M47" s="604">
        <f>IF(OR($CF47&gt;0, $CH47&gt;0), 1, 0)</f>
        <v>0</v>
      </c>
      <c r="N47" s="604">
        <f>IF(OR($CI47&gt;0, $CK47&gt;0), 1, 0)</f>
        <v>0</v>
      </c>
      <c r="O47" s="604">
        <f>IF(OR($CL47&gt;0, $CN47&gt;0), 1, 0)</f>
        <v>0</v>
      </c>
      <c r="P47" s="604">
        <f>IF(OR($CO47&gt;0, $CQ47&gt;0), 1, 0)</f>
        <v>0</v>
      </c>
      <c r="Q47" s="604">
        <f>IF(OR($CR47&gt;0, $CT47&gt;0), 1, 0)</f>
        <v>0</v>
      </c>
      <c r="R47" s="604">
        <f>IF(OR($CU47&gt;0, $CW47&gt;0), 1, 0)</f>
        <v>0</v>
      </c>
      <c r="S47" s="604">
        <f>IF(OR($CX47&gt;0, $CZ47&gt;0), 1, 0)</f>
        <v>0</v>
      </c>
      <c r="T47" s="604">
        <f>IF(OR($DA47&gt;0, $DC47&gt;0), 1, 0)</f>
        <v>0</v>
      </c>
      <c r="U47" s="603">
        <f>IF(OR($AI47&gt;0,$AM47&gt;0,$AS47&gt;0), 1, 0)</f>
        <v>1</v>
      </c>
      <c r="V47" s="602">
        <f>[1]BDD!A37</f>
        <v>1275</v>
      </c>
      <c r="W47" s="601" t="str">
        <f>[1]BDD!B37</f>
        <v>Betterave avec fanes BIO (production Rufino)</v>
      </c>
      <c r="X47" s="600" t="str">
        <f>IF([1]BDD!F37=0, "", [1]BDD!F37)</f>
        <v/>
      </c>
      <c r="Y47" s="542">
        <f>ROUND([1]BDD!G37+FDP_CMD_KG, 2)</f>
        <v>4.1399999999999997</v>
      </c>
      <c r="Z47" s="542">
        <f>ROUND([1]BDD!G37+FDP_FACT_KG, 2)</f>
        <v>4.1399999999999997</v>
      </c>
      <c r="AA47" s="543" t="str">
        <f>[1]BDD!H37</f>
        <v>kg</v>
      </c>
      <c r="AB47" s="544">
        <f>IF(NOT(ISBLANK([1]BDD!I37)), ROUND(SUM(([1]BDD!G37*reduc1),FDP_CMD_KG), 2), "")</f>
        <v>3.82</v>
      </c>
      <c r="AC47" s="544" t="str">
        <f>IF(NOT(ISBLANK([1]BDD!J37)), ROUND(SUM(([1]BDD!G37*reduc2),FDP_CMD_KG), 2), "")</f>
        <v/>
      </c>
      <c r="AD47" s="544" t="str">
        <f>IF(NOT(ISBLANK([1]BDD!K37)), ROUND(SUM(([1]BDD!G37*reduc3),FDP_CMD_KG), 2), "")</f>
        <v/>
      </c>
      <c r="AE47" s="544">
        <f>IF(NOT(ISBLANK([1]BDD!I37)), ROUND(SUM(([1]BDD!G37*reduc1),FDP_FACT_KG), 2), "")</f>
        <v>3.81</v>
      </c>
      <c r="AF47" s="544" t="str">
        <f>IF(NOT(ISBLANK([1]BDD!J37)), ROUND(SUM(([1]BDD!G37*reduc2),FDP_FACT_KG), 2), "")</f>
        <v/>
      </c>
      <c r="AG47" s="544" t="str">
        <f>IF(NOT(ISBLANK([1]BDD!K37)), ROUND(SUM(([1]BDD!G37*reduc3),FDP_FACT_KG), 2), "")</f>
        <v/>
      </c>
      <c r="AH47" s="599" t="str">
        <f>[1]BDD!C37</f>
        <v>Grenade</v>
      </c>
      <c r="AI47" s="598">
        <f>SUM(AV47,AY47,BB47,BE47,BH47,BK47,BN47,BQ47,BT47,BW47,BZ47,CC47,CF47,CI47,CL47,CO47,CR47,CU47,CX47,DA47)</f>
        <v>0</v>
      </c>
      <c r="AJ47" s="545">
        <f>_xlfn.IFS($AD47&lt;&gt;"", $AD47,    $AC47&lt;&gt;"", $AC47,    $AB47&lt;&gt;"", $AB47,    TRUE, $Y47)</f>
        <v>3.82</v>
      </c>
      <c r="AK47" s="592">
        <f>$AI47*$AJ47</f>
        <v>0</v>
      </c>
      <c r="AL47" s="594"/>
      <c r="AM47" s="597">
        <v>5.0999999999999996</v>
      </c>
      <c r="AN47" s="545">
        <f>_xlfn.IFS(AND(AM47&gt;=60,$AG47&lt;&gt;""), $AG47,    AND(AM47&gt;=30,$AF47&lt;&gt;""), $AF47,    AND(AM47&gt;=10,$AE47&lt;&gt;""), $AE47,    TRUE, $Z47)</f>
        <v>4.1399999999999997</v>
      </c>
      <c r="AO47" s="596">
        <f>AM47*AN47</f>
        <v>21.113999999999997</v>
      </c>
      <c r="AP47" s="595"/>
      <c r="AQ47" s="595">
        <v>3</v>
      </c>
      <c r="AR47" s="594"/>
      <c r="AS47" s="593">
        <f>SUM(AW47,AZ47,BC47,BF47,BI47,BL47,BO47,BR47,BU47,BX47,CA47,CD47,CG47,CJ47,CM47,CP47,CS47,CV47,CY47,DB47)</f>
        <v>5.0999999999999996</v>
      </c>
      <c r="AT47" s="545">
        <f>_xlfn.IFS(AND(AS47&gt;=60,$AG47&lt;&gt;""), $AG47,    AND(AS47&gt;=30,$AF47&lt;&gt;""), $AF47,    AND(AS47&gt;=10,$AE47&lt;&gt;""), $AE47,    TRUE, $Z47)</f>
        <v>4.1399999999999997</v>
      </c>
      <c r="AU47" s="592">
        <f>$AS47*$AT47</f>
        <v>21.113999999999997</v>
      </c>
      <c r="AV47" s="591">
        <f>[1]COMMANDE!O45</f>
        <v>0</v>
      </c>
      <c r="AW47" s="586">
        <f>_xlfn.IFS(AND($AI47=$AM47,$AI47&gt;0,$AM47&gt;0,AV47&gt;0), AV47,     AND(NOT($AI47=$AM47),$AI47&gt;0,$AM47&gt;0,AV47&gt;0), ($AM47*AV47)/$AI47,     AND($AI47=0,$AM47&gt;0,$AQ47&gt;0), IF(INDEX(AV$12:AV$263,MATCH($AQ47,$AP$12:$AP$263,0))&gt;0,($AM47*INDEX(AV$12:AV$263,MATCH($AQ47,$AP$12:$AP$263,0)))/INDEX($AI$12:$AI$263,MATCH($AQ47,$AP$12:$AP$263,0)), "-"),     TRUE, "0")</f>
        <v>5.0999999999999996</v>
      </c>
      <c r="AX47" s="588">
        <f>IF(AW$9&gt;0, IF(OR(AW47="",AW47="-"), 0, AW47*$AT47), AV47*$AJ47)</f>
        <v>21.113999999999997</v>
      </c>
      <c r="AY47" s="587">
        <f>[1]COMMANDE!Q45</f>
        <v>0</v>
      </c>
      <c r="AZ47" s="586">
        <v>0</v>
      </c>
      <c r="BA47" s="607">
        <f>IF(AZ$9&gt;0, IF(OR(AZ47="",AZ47="-"), 0, AZ47*$AT47), AY47*$AJ47)</f>
        <v>0</v>
      </c>
      <c r="BB47" s="589">
        <f>[1]COMMANDE!S45</f>
        <v>0</v>
      </c>
      <c r="BC47" s="586" t="str">
        <f>_xlfn.IFS(AND($AI47=$AM47,$AI47&gt;0,$AM47&gt;0,BB47&gt;0), BB47,     AND(NOT($AI47=$AM47),$AI47&gt;0,$AM47&gt;0,BB47&gt;0), ($AM47*BB47)/$AI47,     AND($AI47=0,$AM47&gt;0,$AQ47&gt;0), IF(INDEX(BB$12:BB$263,MATCH($AQ47,$AP$12:$AP$263,0))&gt;0,($AM47*INDEX(BB$12:BB$263,MATCH($AQ47,$AP$12:$AP$263,0)))/INDEX($AI$12:$AI$263,MATCH($AQ47,$AP$12:$AP$263,0)), "-"),     TRUE, "0")</f>
        <v>-</v>
      </c>
      <c r="BD47" s="588">
        <f>IF(BC$9&gt;0, IF(OR(BC47="",BC47="-"), 0, BC47*$AT47), BB47*$AJ47)</f>
        <v>0</v>
      </c>
      <c r="BE47" s="587">
        <f>[1]COMMANDE!U45</f>
        <v>0</v>
      </c>
      <c r="BF47" s="586" t="str">
        <f>_xlfn.IFS(AND($AI47=$AM47,$AI47&gt;0,$AM47&gt;0,BE47&gt;0), BE47,     AND(NOT($AI47=$AM47),$AI47&gt;0,$AM47&gt;0,BE47&gt;0), ($AM47*BE47)/$AI47,     AND($AI47=0,$AM47&gt;0,$AQ47&gt;0), IF(INDEX(BE$12:BE$263,MATCH($AQ47,$AP$12:$AP$263,0))&gt;0,($AM47*INDEX(BE$12:BE$263,MATCH($AQ47,$AP$12:$AP$263,0)))/INDEX($AI$12:$AI$263,MATCH($AQ47,$AP$12:$AP$263,0)), "-"),     TRUE, "0")</f>
        <v>-</v>
      </c>
      <c r="BG47" s="607">
        <f>IF(BF$9&gt;0, IF(OR(BF47="",BF47="-"), 0, BF47*$AT47), BE47*$AJ47)</f>
        <v>0</v>
      </c>
      <c r="BH47" s="589">
        <f>[1]COMMANDE!W45</f>
        <v>0</v>
      </c>
      <c r="BI47" s="586" t="str">
        <f>_xlfn.IFS(AND($AI47=$AM47,$AI47&gt;0,$AM47&gt;0,BH47&gt;0), BH47,     AND(NOT($AI47=$AM47),$AI47&gt;0,$AM47&gt;0,BH47&gt;0), ($AM47*BH47)/$AI47,     AND($AI47=0,$AM47&gt;0,$AQ47&gt;0), IF(INDEX(BH$12:BH$263,MATCH($AQ47,$AP$12:$AP$263,0))&gt;0,($AM47*INDEX(BH$12:BH$263,MATCH($AQ47,$AP$12:$AP$263,0)))/INDEX($AI$12:$AI$263,MATCH($AQ47,$AP$12:$AP$263,0)), "-"),     TRUE, "0")</f>
        <v>-</v>
      </c>
      <c r="BJ47" s="588">
        <f>IF(BI$9&gt;0, IF(OR(BI47="",BI47="-"), 0, BI47*$AT47), BH47*$AJ47)</f>
        <v>0</v>
      </c>
      <c r="BK47" s="587">
        <f>[1]COMMANDE!Y45</f>
        <v>0</v>
      </c>
      <c r="BL47" s="586" t="str">
        <f>_xlfn.IFS(AND($AI47=$AM47,$AI47&gt;0,$AM47&gt;0,BK47&gt;0), BK47,     AND(NOT($AI47=$AM47),$AI47&gt;0,$AM47&gt;0,BK47&gt;0), ($AM47*BK47)/$AI47,     AND($AI47=0,$AM47&gt;0,$AQ47&gt;0), IF(INDEX(BK$12:BK$263,MATCH($AQ47,$AP$12:$AP$263,0))&gt;0,($AM47*INDEX(BK$12:BK$263,MATCH($AQ47,$AP$12:$AP$263,0)))/INDEX($AI$12:$AI$263,MATCH($AQ47,$AP$12:$AP$263,0)), "-"),     TRUE, "0")</f>
        <v>-</v>
      </c>
      <c r="BM47" s="607">
        <f>IF(BL$9&gt;0, IF(OR(BL47="",BL47="-"), 0, BL47*$AT47), BK47*$AJ47)</f>
        <v>0</v>
      </c>
      <c r="BN47" s="589">
        <f>[1]COMMANDE!AA45</f>
        <v>0</v>
      </c>
      <c r="BO47" s="586" t="str">
        <f>_xlfn.IFS(AND($AI47=$AM47,$AI47&gt;0,$AM47&gt;0,BN47&gt;0), BN47,     AND(NOT($AI47=$AM47),$AI47&gt;0,$AM47&gt;0,BN47&gt;0), ($AM47*BN47)/$AI47,     AND($AI47=0,$AM47&gt;0,$AQ47&gt;0), IF(INDEX(BN$12:BN$263,MATCH($AQ47,$AP$12:$AP$263,0))&gt;0,($AM47*INDEX(BN$12:BN$263,MATCH($AQ47,$AP$12:$AP$263,0)))/INDEX($AI$12:$AI$263,MATCH($AQ47,$AP$12:$AP$263,0)), "-"),     TRUE, "0")</f>
        <v>-</v>
      </c>
      <c r="BP47" s="588">
        <f>IF(BO$9&gt;0, IF(OR(BO47="",BO47="-"), 0, BO47*$AT47), BN47*$AJ47)</f>
        <v>0</v>
      </c>
      <c r="BQ47" s="587">
        <f>[1]COMMANDE!AC45</f>
        <v>0</v>
      </c>
      <c r="BR47" s="586" t="str">
        <f>_xlfn.IFS(AND($AI47=$AM47,$AI47&gt;0,$AM47&gt;0,BQ47&gt;0), BQ47,     AND(NOT($AI47=$AM47),$AI47&gt;0,$AM47&gt;0,BQ47&gt;0), ($AM47*BQ47)/$AI47,     AND($AI47=0,$AM47&gt;0,$AQ47&gt;0), IF(INDEX(BQ$12:BQ$263,MATCH($AQ47,$AP$12:$AP$263,0))&gt;0,($AM47*INDEX(BQ$12:BQ$263,MATCH($AQ47,$AP$12:$AP$263,0)))/INDEX($AI$12:$AI$263,MATCH($AQ47,$AP$12:$AP$263,0)), "-"),     TRUE, "0")</f>
        <v>-</v>
      </c>
      <c r="BS47" s="607">
        <f>IF(BR$9&gt;0, IF(OR(BR47="",BR47="-"), 0, BR47*$AT47), BQ47*$AJ47)</f>
        <v>0</v>
      </c>
      <c r="BT47" s="589">
        <f>[1]COMMANDE!AE45</f>
        <v>0</v>
      </c>
      <c r="BU47" s="586" t="str">
        <f>_xlfn.IFS(AND($AI47=$AM47,$AI47&gt;0,$AM47&gt;0,BT47&gt;0), BT47,     AND(NOT($AI47=$AM47),$AI47&gt;0,$AM47&gt;0,BT47&gt;0), ($AM47*BT47)/$AI47,     AND($AI47=0,$AM47&gt;0,$AQ47&gt;0), IF(INDEX(BT$12:BT$263,MATCH($AQ47,$AP$12:$AP$263,0))&gt;0,($AM47*INDEX(BT$12:BT$263,MATCH($AQ47,$AP$12:$AP$263,0)))/INDEX($AI$12:$AI$263,MATCH($AQ47,$AP$12:$AP$263,0)), "-"),     TRUE, "0")</f>
        <v>-</v>
      </c>
      <c r="BV47" s="588">
        <f>IF(BU$9&gt;0, IF(OR(BU47="",BU47="-"), 0, BU47*$AT47), BT47*$AJ47)</f>
        <v>0</v>
      </c>
      <c r="BW47" s="587">
        <f>[1]COMMANDE!AG45</f>
        <v>0</v>
      </c>
      <c r="BX47" s="586" t="str">
        <f>_xlfn.IFS(AND($AI47=$AM47,$AI47&gt;0,$AM47&gt;0,BW47&gt;0), BW47,     AND(NOT($AI47=$AM47),$AI47&gt;0,$AM47&gt;0,BW47&gt;0), ($AM47*BW47)/$AI47,     AND($AI47=0,$AM47&gt;0,$AQ47&gt;0), IF(INDEX(BW$12:BW$263,MATCH($AQ47,$AP$12:$AP$263,0))&gt;0,($AM47*INDEX(BW$12:BW$263,MATCH($AQ47,$AP$12:$AP$263,0)))/INDEX($AI$12:$AI$263,MATCH($AQ47,$AP$12:$AP$263,0)), "-"),     TRUE, "0")</f>
        <v>-</v>
      </c>
      <c r="BY47" s="607">
        <f>IF(BX$9&gt;0, IF(OR(BX47="",BX47="-"), 0, BX47*$AT47), BW47*$AJ47)</f>
        <v>0</v>
      </c>
      <c r="BZ47" s="589">
        <f>[1]COMMANDE!AI45</f>
        <v>0</v>
      </c>
      <c r="CA47" s="586" t="str">
        <f>_xlfn.IFS(AND($AI47=$AM47,$AI47&gt;0,$AM47&gt;0,BZ47&gt;0), BZ47,     AND(NOT($AI47=$AM47),$AI47&gt;0,$AM47&gt;0,BZ47&gt;0), ($AM47*BZ47)/$AI47,     AND($AI47=0,$AM47&gt;0,$AQ47&gt;0), IF(INDEX(BZ$12:BZ$263,MATCH($AQ47,$AP$12:$AP$263,0))&gt;0,($AM47*INDEX(BZ$12:BZ$263,MATCH($AQ47,$AP$12:$AP$263,0)))/INDEX($AI$12:$AI$263,MATCH($AQ47,$AP$12:$AP$263,0)), "-"),     TRUE, "0")</f>
        <v>-</v>
      </c>
      <c r="CB47" s="588">
        <f>IF(CA$9&gt;0, IF(OR(CA47="",CA47="-"), 0, CA47*$AT47), BZ47*$AJ47)</f>
        <v>0</v>
      </c>
      <c r="CC47" s="587">
        <f>[1]COMMANDE!AK45</f>
        <v>0</v>
      </c>
      <c r="CD47" s="586" t="str">
        <f>_xlfn.IFS(AND($AI47=$AM47,$AI47&gt;0,$AM47&gt;0,CC47&gt;0), CC47,     AND(NOT($AI47=$AM47),$AI47&gt;0,$AM47&gt;0,CC47&gt;0), ($AM47*CC47)/$AI47,     AND($AI47=0,$AM47&gt;0,$AQ47&gt;0), IF(INDEX(CC$12:CC$263,MATCH($AQ47,$AP$12:$AP$263,0))&gt;0,($AM47*INDEX(CC$12:CC$263,MATCH($AQ47,$AP$12:$AP$263,0)))/INDEX($AI$12:$AI$263,MATCH($AQ47,$AP$12:$AP$263,0)), "-"),     TRUE, "0")</f>
        <v>-</v>
      </c>
      <c r="CE47" s="607">
        <f>IF(CD$9&gt;0, IF(OR(CD47="",CD47="-"), 0, CD47*$AT47), CC47*$AJ47)</f>
        <v>0</v>
      </c>
      <c r="CF47" s="589">
        <f>[1]COMMANDE!AM45</f>
        <v>0</v>
      </c>
      <c r="CG47" s="586" t="str">
        <f>_xlfn.IFS(AND($AI47=$AM47,$AI47&gt;0,$AM47&gt;0,CF47&gt;0), CF47,     AND(NOT($AI47=$AM47),$AI47&gt;0,$AM47&gt;0,CF47&gt;0), ($AM47*CF47)/$AI47,     AND($AI47=0,$AM47&gt;0,$AQ47&gt;0), IF(INDEX(CF$12:CF$263,MATCH($AQ47,$AP$12:$AP$263,0))&gt;0,($AM47*INDEX(CF$12:CF$263,MATCH($AQ47,$AP$12:$AP$263,0)))/INDEX($AI$12:$AI$263,MATCH($AQ47,$AP$12:$AP$263,0)), "-"),     TRUE, "0")</f>
        <v>-</v>
      </c>
      <c r="CH47" s="588">
        <f>IF(CG$9&gt;0, IF(OR(CG47="",CG47="-"), 0, CG47*$AT47), CF47*$AJ47)</f>
        <v>0</v>
      </c>
      <c r="CI47" s="587">
        <f>[1]COMMANDE!AO45</f>
        <v>0</v>
      </c>
      <c r="CJ47" s="586" t="str">
        <f>_xlfn.IFS(AND($AI47=$AM47,$AI47&gt;0,$AM47&gt;0,CI47&gt;0), CI47,     AND(NOT($AI47=$AM47),$AI47&gt;0,$AM47&gt;0,CI47&gt;0), ($AM47*CI47)/$AI47,     AND($AI47=0,$AM47&gt;0,$AQ47&gt;0), IF(INDEX(CI$12:CI$263,MATCH($AQ47,$AP$12:$AP$263,0))&gt;0,($AM47*INDEX(CI$12:CI$263,MATCH($AQ47,$AP$12:$AP$263,0)))/INDEX($AI$12:$AI$263,MATCH($AQ47,$AP$12:$AP$263,0)), "-"),     TRUE, "0")</f>
        <v>-</v>
      </c>
      <c r="CK47" s="607">
        <f>IF(CJ$9&gt;0, IF(OR(CJ47="",CJ47="-"), 0, CJ47*$AT47), CI47*$AJ47)</f>
        <v>0</v>
      </c>
      <c r="CL47" s="589">
        <f>[1]COMMANDE!AQ45</f>
        <v>0</v>
      </c>
      <c r="CM47" s="586" t="str">
        <f>_xlfn.IFS(AND($AI47=$AM47,$AI47&gt;0,$AM47&gt;0,CL47&gt;0), CL47,     AND(NOT($AI47=$AM47),$AI47&gt;0,$AM47&gt;0,CL47&gt;0), ($AM47*CL47)/$AI47,     AND($AI47=0,$AM47&gt;0,$AQ47&gt;0), IF(INDEX(CL$12:CL$263,MATCH($AQ47,$AP$12:$AP$263,0))&gt;0,($AM47*INDEX(CL$12:CL$263,MATCH($AQ47,$AP$12:$AP$263,0)))/INDEX($AI$12:$AI$263,MATCH($AQ47,$AP$12:$AP$263,0)), "-"),     TRUE, "0")</f>
        <v>-</v>
      </c>
      <c r="CN47" s="588">
        <f>IF(CM$9&gt;0, IF(OR(CM47="",CM47="-"), 0, CM47*$AT47), CL47*$AJ47)</f>
        <v>0</v>
      </c>
      <c r="CO47" s="587">
        <f>[1]COMMANDE!AS45</f>
        <v>0</v>
      </c>
      <c r="CP47" s="586" t="str">
        <f>_xlfn.IFS(AND($AI47=$AM47,$AI47&gt;0,$AM47&gt;0,CO47&gt;0), CO47,     AND(NOT($AI47=$AM47),$AI47&gt;0,$AM47&gt;0,CO47&gt;0), ($AM47*CO47)/$AI47,     AND($AI47=0,$AM47&gt;0,$AQ47&gt;0), IF(INDEX(CO$12:CO$263,MATCH($AQ47,$AP$12:$AP$263,0))&gt;0,($AM47*INDEX(CO$12:CO$263,MATCH($AQ47,$AP$12:$AP$263,0)))/INDEX($AI$12:$AI$263,MATCH($AQ47,$AP$12:$AP$263,0)), "-"),     TRUE, "0")</f>
        <v>-</v>
      </c>
      <c r="CQ47" s="607">
        <f>IF(CP$9&gt;0, IF(OR(CP47="",CP47="-"), 0, CP47*$AT47), CO47*$AJ47)</f>
        <v>0</v>
      </c>
      <c r="CR47" s="589">
        <f>[1]COMMANDE!AU45</f>
        <v>0</v>
      </c>
      <c r="CS47" s="586" t="str">
        <f>_xlfn.IFS(AND($AI47=$AM47,$AI47&gt;0,$AM47&gt;0,CR47&gt;0), CR47,     AND(NOT($AI47=$AM47),$AI47&gt;0,$AM47&gt;0,CR47&gt;0), ($AM47*CR47)/$AI47,     AND($AI47=0,$AM47&gt;0,$AQ47&gt;0), IF(INDEX(CR$12:CR$263,MATCH($AQ47,$AP$12:$AP$263,0))&gt;0,($AM47*INDEX(CR$12:CR$263,MATCH($AQ47,$AP$12:$AP$263,0)))/INDEX($AI$12:$AI$263,MATCH($AQ47,$AP$12:$AP$263,0)), "-"),     TRUE, "0")</f>
        <v>-</v>
      </c>
      <c r="CT47" s="588">
        <f>IF(CS$9&gt;0, IF(OR(CS47="",CS47="-"), 0, CS47*$AT47), CR47*$AJ47)</f>
        <v>0</v>
      </c>
      <c r="CU47" s="587">
        <f>[1]COMMANDE!AW45</f>
        <v>0</v>
      </c>
      <c r="CV47" s="586" t="str">
        <f>_xlfn.IFS(AND($AI47=$AM47,$AI47&gt;0,$AM47&gt;0,CU47&gt;0), CU47,     AND(NOT($AI47=$AM47),$AI47&gt;0,$AM47&gt;0,CU47&gt;0), ($AM47*CU47)/$AI47,     AND($AI47=0,$AM47&gt;0,$AQ47&gt;0), IF(INDEX(CU$12:CU$263,MATCH($AQ47,$AP$12:$AP$263,0))&gt;0,($AM47*INDEX(CU$12:CU$263,MATCH($AQ47,$AP$12:$AP$263,0)))/INDEX($AI$12:$AI$263,MATCH($AQ47,$AP$12:$AP$263,0)), "-"),     TRUE, "0")</f>
        <v>-</v>
      </c>
      <c r="CW47" s="607">
        <f>IF(CV$9&gt;0, IF(OR(CV47="",CV47="-"), 0, CV47*$AT47), CU47*$AJ47)</f>
        <v>0</v>
      </c>
      <c r="CX47" s="589">
        <f>[1]COMMANDE!AY45</f>
        <v>0</v>
      </c>
      <c r="CY47" s="586" t="str">
        <f>_xlfn.IFS(AND($AI47=$AM47,$AI47&gt;0,$AM47&gt;0,CX47&gt;0), CX47,     AND(NOT($AI47=$AM47),$AI47&gt;0,$AM47&gt;0,CX47&gt;0), ($AM47*CX47)/$AI47,     AND($AI47=0,$AM47&gt;0,$AQ47&gt;0), IF(INDEX(CX$12:CX$263,MATCH($AQ47,$AP$12:$AP$263,0))&gt;0,($AM47*INDEX(CX$12:CX$263,MATCH($AQ47,$AP$12:$AP$263,0)))/INDEX($AI$12:$AI$263,MATCH($AQ47,$AP$12:$AP$263,0)), "-"),     TRUE, "0")</f>
        <v>-</v>
      </c>
      <c r="CZ47" s="588">
        <f>IF(CY$9&gt;0, IF(OR(CY47="",CY47="-"), 0, CY47*$AT47), CX47*$AJ47)</f>
        <v>0</v>
      </c>
      <c r="DA47" s="587">
        <f>[1]COMMANDE!BA45</f>
        <v>0</v>
      </c>
      <c r="DB47" s="586" t="str">
        <f>_xlfn.IFS(AND($AI47=$AM47,$AI47&gt;0,$AM47&gt;0,DA47&gt;0), DA47,     AND(NOT($AI47=$AM47),$AI47&gt;0,$AM47&gt;0,DA47&gt;0), ($AM47*DA47)/$AI47,     AND($AI47=0,$AM47&gt;0,$AQ47&gt;0), IF(INDEX(DA$12:DA$263,MATCH($AQ47,$AP$12:$AP$263,0))&gt;0,($AM47*INDEX(DA$12:DA$263,MATCH($AQ47,$AP$12:$AP$263,0)))/INDEX($AI$12:$AI$263,MATCH($AQ47,$AP$12:$AP$263,0)), "-"),     TRUE, "0")</f>
        <v>-</v>
      </c>
      <c r="DC47" s="606">
        <f>IF(DB$9&gt;0, IF(OR(DB47="",DB47="-"), 0, DB47*$AT47), DA47*$AJ47)</f>
        <v>0</v>
      </c>
      <c r="DD47" s="584"/>
      <c r="DE47" s="583"/>
    </row>
    <row r="48" spans="1:109" ht="39.950000000000003" customHeight="1">
      <c r="A48" s="604">
        <f>IF(OR($AV48&gt;0, $AX48&gt;0), 1, 0)</f>
        <v>1</v>
      </c>
      <c r="B48" s="604">
        <f>IF(OR($AY48&gt;0, $BA48&gt;0), 1, 0)</f>
        <v>0</v>
      </c>
      <c r="C48" s="604">
        <f>IF(OR($BB48&gt;0, $BD48&gt;0), 1, 0)</f>
        <v>0</v>
      </c>
      <c r="D48" s="604">
        <f>IF(OR($BE48&gt;0, $BG48&gt;0), 1, 0)</f>
        <v>0</v>
      </c>
      <c r="E48" s="604">
        <f>IF(OR($BH48&gt;0, $BJ48&gt;0), 1, 0)</f>
        <v>0</v>
      </c>
      <c r="F48" s="604">
        <f>IF(OR($BK48&gt;0, $BM48&gt;0), 1, 0)</f>
        <v>0</v>
      </c>
      <c r="G48" s="604">
        <f>IF(OR($BN48&gt;0, $BP48&gt;0), 1, 0)</f>
        <v>0</v>
      </c>
      <c r="H48" s="604">
        <f>IF(OR($BQ48&gt;0, $BS48&gt;0), 1, 0)</f>
        <v>0</v>
      </c>
      <c r="I48" s="604">
        <f>IF(OR($BT48&gt;0, $BV48&gt;0), 1, 0)</f>
        <v>0</v>
      </c>
      <c r="J48" s="604">
        <f>IF(OR($BW48&gt;0, $BY48&gt;0), 1, 0)</f>
        <v>0</v>
      </c>
      <c r="K48" s="604">
        <f>IF(OR($BZ48&gt;0, $CB48&gt;0), 1, 0)</f>
        <v>0</v>
      </c>
      <c r="L48" s="604">
        <f>IF(OR($CC48&gt;0, $CE48&gt;0), 1, 0)</f>
        <v>0</v>
      </c>
      <c r="M48" s="604">
        <f>IF(OR($CF48&gt;0, $CH48&gt;0), 1, 0)</f>
        <v>0</v>
      </c>
      <c r="N48" s="604">
        <f>IF(OR($CI48&gt;0, $CK48&gt;0), 1, 0)</f>
        <v>0</v>
      </c>
      <c r="O48" s="604">
        <f>IF(OR($CL48&gt;0, $CN48&gt;0), 1, 0)</f>
        <v>0</v>
      </c>
      <c r="P48" s="604">
        <f>IF(OR($CO48&gt;0, $CQ48&gt;0), 1, 0)</f>
        <v>0</v>
      </c>
      <c r="Q48" s="604">
        <f>IF(OR($CR48&gt;0, $CT48&gt;0), 1, 0)</f>
        <v>0</v>
      </c>
      <c r="R48" s="604">
        <f>IF(OR($CU48&gt;0, $CW48&gt;0), 1, 0)</f>
        <v>0</v>
      </c>
      <c r="S48" s="604">
        <f>IF(OR($CX48&gt;0, $CZ48&gt;0), 1, 0)</f>
        <v>0</v>
      </c>
      <c r="T48" s="604">
        <f>IF(OR($DA48&gt;0, $DC48&gt;0), 1, 0)</f>
        <v>0</v>
      </c>
      <c r="U48" s="603">
        <f>IF(OR($AI48&gt;0,$AM48&gt;0,$AS48&gt;0), 1, 0)</f>
        <v>1</v>
      </c>
      <c r="V48" s="602">
        <f>[1]BDD!A38</f>
        <v>1679</v>
      </c>
      <c r="W48" s="601" t="str">
        <f>[1]BDD!B38</f>
        <v>Betterave sans fanes BIO</v>
      </c>
      <c r="X48" s="600" t="str">
        <f>IF([1]BDD!F38=0, "", [1]BDD!F38)</f>
        <v>❤️</v>
      </c>
      <c r="Y48" s="542">
        <f>ROUND([1]BDD!G38+FDP_CMD_KG, 2)</f>
        <v>3.58</v>
      </c>
      <c r="Z48" s="542">
        <f>ROUND([1]BDD!G38+FDP_FACT_KG, 2)</f>
        <v>3.58</v>
      </c>
      <c r="AA48" s="543" t="str">
        <f>[1]BDD!H38</f>
        <v>kg</v>
      </c>
      <c r="AB48" s="544">
        <f>IF(NOT(ISBLANK([1]BDD!I38)), ROUND(SUM(([1]BDD!G38*reduc1),FDP_CMD_KG), 2), "")</f>
        <v>3.31</v>
      </c>
      <c r="AC48" s="544" t="str">
        <f>IF(NOT(ISBLANK([1]BDD!J38)), ROUND(SUM(([1]BDD!G38*reduc2),FDP_CMD_KG), 2), "")</f>
        <v/>
      </c>
      <c r="AD48" s="544" t="str">
        <f>IF(NOT(ISBLANK([1]BDD!K38)), ROUND(SUM(([1]BDD!G38*reduc3),FDP_CMD_KG), 2), "")</f>
        <v/>
      </c>
      <c r="AE48" s="544">
        <f>IF(NOT(ISBLANK([1]BDD!I38)), ROUND(SUM(([1]BDD!G38*reduc1),FDP_FACT_KG), 2), "")</f>
        <v>3.31</v>
      </c>
      <c r="AF48" s="544" t="str">
        <f>IF(NOT(ISBLANK([1]BDD!J38)), ROUND(SUM(([1]BDD!G38*reduc2),FDP_FACT_KG), 2), "")</f>
        <v/>
      </c>
      <c r="AG48" s="544" t="str">
        <f>IF(NOT(ISBLANK([1]BDD!K38)), ROUND(SUM(([1]BDD!G38*reduc3),FDP_FACT_KG), 2), "")</f>
        <v/>
      </c>
      <c r="AH48" s="599" t="str">
        <f>[1]BDD!C38</f>
        <v>Malaga</v>
      </c>
      <c r="AI48" s="598">
        <f>SUM(AV48,AY48,BB48,BE48,BH48,BK48,BN48,BQ48,BT48,BW48,BZ48,CC48,CF48,CI48,CL48,CO48,CR48,CU48,CX48,DA48)</f>
        <v>5</v>
      </c>
      <c r="AJ48" s="545">
        <f>_xlfn.IFS($AD48&lt;&gt;"", $AD48,    $AC48&lt;&gt;"", $AC48,    $AB48&lt;&gt;"", $AB48,    TRUE, $Y48)</f>
        <v>3.31</v>
      </c>
      <c r="AK48" s="592">
        <f>$AI48*$AJ48</f>
        <v>16.55</v>
      </c>
      <c r="AL48" s="594"/>
      <c r="AM48" s="597"/>
      <c r="AN48" s="545">
        <f>_xlfn.IFS(AND(AM48&gt;=60,$AG48&lt;&gt;""), $AG48,    AND(AM48&gt;=30,$AF48&lt;&gt;""), $AF48,    AND(AM48&gt;=10,$AE48&lt;&gt;""), $AE48,    TRUE, $Z48)</f>
        <v>3.58</v>
      </c>
      <c r="AO48" s="596">
        <f>AM48*AN48</f>
        <v>0</v>
      </c>
      <c r="AP48" s="595">
        <v>3</v>
      </c>
      <c r="AQ48" s="595"/>
      <c r="AR48" s="594"/>
      <c r="AS48" s="593">
        <f>SUM(AW48,AZ48,BC48,BF48,BI48,BL48,BO48,BR48,BU48,BX48,CA48,CD48,CG48,CJ48,CM48,CP48,CS48,CV48,CY48,DB48)</f>
        <v>0</v>
      </c>
      <c r="AT48" s="545">
        <f>_xlfn.IFS(AND(AS48&gt;=60,$AG48&lt;&gt;""), $AG48,    AND(AS48&gt;=30,$AF48&lt;&gt;""), $AF48,    AND(AS48&gt;=10,$AE48&lt;&gt;""), $AE48,    TRUE, $Z48)</f>
        <v>3.58</v>
      </c>
      <c r="AU48" s="592">
        <f>$AS48*$AT48</f>
        <v>0</v>
      </c>
      <c r="AV48" s="591">
        <f>[1]COMMANDE!O46</f>
        <v>5</v>
      </c>
      <c r="AW48" s="586" t="str">
        <f>_xlfn.IFS(AND($AI48=$AM48,$AI48&gt;0,$AM48&gt;0,AV48&gt;0), AV48,     AND(NOT($AI48=$AM48),$AI48&gt;0,$AM48&gt;0,AV48&gt;0), ($AM48*AV48)/$AI48,     AND($AI48=0,$AM48&gt;0,$AQ48&gt;0), IF(INDEX(AV$12:AV$263,MATCH($AQ48,$AP$12:$AP$263,0))&gt;0,($AM48*INDEX(AV$12:AV$263,MATCH($AQ48,$AP$12:$AP$263,0)))/INDEX($AI$12:$AI$263,MATCH($AQ48,$AP$12:$AP$263,0)), "-"),     TRUE, "0")</f>
        <v>0</v>
      </c>
      <c r="AX48" s="588">
        <f>IF(AW$9&gt;0, IF(OR(AW48="",AW48="-"), 0, AW48*$AT48), AV48*$AJ48)</f>
        <v>0</v>
      </c>
      <c r="AY48" s="587">
        <f>[1]COMMANDE!Q46</f>
        <v>0</v>
      </c>
      <c r="AZ48" s="586" t="str">
        <f>_xlfn.IFS(AND($AI48=$AM48,$AI48&gt;0,$AM48&gt;0,AY48&gt;0), AY48,     AND(NOT($AI48=$AM48),$AI48&gt;0,$AM48&gt;0,AY48&gt;0), ($AM48*AY48)/$AI48,     AND($AI48=0,$AM48&gt;0,$AQ48&gt;0), IF(INDEX(AY$12:AY$263,MATCH($AQ48,$AP$12:$AP$263,0))&gt;0,($AM48*INDEX(AY$12:AY$263,MATCH($AQ48,$AP$12:$AP$263,0)))/INDEX($AI$12:$AI$263,MATCH($AQ48,$AP$12:$AP$263,0)), "-"),     TRUE, "0")</f>
        <v>0</v>
      </c>
      <c r="BA48" s="607">
        <f>IF(AZ$9&gt;0, IF(OR(AZ48="",AZ48="-"), 0, AZ48*$AT48), AY48*$AJ48)</f>
        <v>0</v>
      </c>
      <c r="BB48" s="589">
        <f>[1]COMMANDE!S46</f>
        <v>0</v>
      </c>
      <c r="BC48" s="586" t="str">
        <f>_xlfn.IFS(AND($AI48=$AM48,$AI48&gt;0,$AM48&gt;0,BB48&gt;0), BB48,     AND(NOT($AI48=$AM48),$AI48&gt;0,$AM48&gt;0,BB48&gt;0), ($AM48*BB48)/$AI48,     AND($AI48=0,$AM48&gt;0,$AQ48&gt;0), IF(INDEX(BB$12:BB$263,MATCH($AQ48,$AP$12:$AP$263,0))&gt;0,($AM48*INDEX(BB$12:BB$263,MATCH($AQ48,$AP$12:$AP$263,0)))/INDEX($AI$12:$AI$263,MATCH($AQ48,$AP$12:$AP$263,0)), "-"),     TRUE, "0")</f>
        <v>0</v>
      </c>
      <c r="BD48" s="588">
        <f>IF(BC$9&gt;0, IF(OR(BC48="",BC48="-"), 0, BC48*$AT48), BB48*$AJ48)</f>
        <v>0</v>
      </c>
      <c r="BE48" s="587">
        <f>[1]COMMANDE!U46</f>
        <v>0</v>
      </c>
      <c r="BF48" s="586" t="str">
        <f>_xlfn.IFS(AND($AI48=$AM48,$AI48&gt;0,$AM48&gt;0,BE48&gt;0), BE48,     AND(NOT($AI48=$AM48),$AI48&gt;0,$AM48&gt;0,BE48&gt;0), ($AM48*BE48)/$AI48,     AND($AI48=0,$AM48&gt;0,$AQ48&gt;0), IF(INDEX(BE$12:BE$263,MATCH($AQ48,$AP$12:$AP$263,0))&gt;0,($AM48*INDEX(BE$12:BE$263,MATCH($AQ48,$AP$12:$AP$263,0)))/INDEX($AI$12:$AI$263,MATCH($AQ48,$AP$12:$AP$263,0)), "-"),     TRUE, "0")</f>
        <v>0</v>
      </c>
      <c r="BG48" s="607">
        <f>IF(BF$9&gt;0, IF(OR(BF48="",BF48="-"), 0, BF48*$AT48), BE48*$AJ48)</f>
        <v>0</v>
      </c>
      <c r="BH48" s="589">
        <f>[1]COMMANDE!W46</f>
        <v>0</v>
      </c>
      <c r="BI48" s="586" t="str">
        <f>_xlfn.IFS(AND($AI48=$AM48,$AI48&gt;0,$AM48&gt;0,BH48&gt;0), BH48,     AND(NOT($AI48=$AM48),$AI48&gt;0,$AM48&gt;0,BH48&gt;0), ($AM48*BH48)/$AI48,     AND($AI48=0,$AM48&gt;0,$AQ48&gt;0), IF(INDEX(BH$12:BH$263,MATCH($AQ48,$AP$12:$AP$263,0))&gt;0,($AM48*INDEX(BH$12:BH$263,MATCH($AQ48,$AP$12:$AP$263,0)))/INDEX($AI$12:$AI$263,MATCH($AQ48,$AP$12:$AP$263,0)), "-"),     TRUE, "0")</f>
        <v>0</v>
      </c>
      <c r="BJ48" s="588">
        <f>IF(BI$9&gt;0, IF(OR(BI48="",BI48="-"), 0, BI48*$AT48), BH48*$AJ48)</f>
        <v>0</v>
      </c>
      <c r="BK48" s="587">
        <f>[1]COMMANDE!Y46</f>
        <v>0</v>
      </c>
      <c r="BL48" s="586" t="str">
        <f>_xlfn.IFS(AND($AI48=$AM48,$AI48&gt;0,$AM48&gt;0,BK48&gt;0), BK48,     AND(NOT($AI48=$AM48),$AI48&gt;0,$AM48&gt;0,BK48&gt;0), ($AM48*BK48)/$AI48,     AND($AI48=0,$AM48&gt;0,$AQ48&gt;0), IF(INDEX(BK$12:BK$263,MATCH($AQ48,$AP$12:$AP$263,0))&gt;0,($AM48*INDEX(BK$12:BK$263,MATCH($AQ48,$AP$12:$AP$263,0)))/INDEX($AI$12:$AI$263,MATCH($AQ48,$AP$12:$AP$263,0)), "-"),     TRUE, "0")</f>
        <v>0</v>
      </c>
      <c r="BM48" s="607">
        <f>IF(BL$9&gt;0, IF(OR(BL48="",BL48="-"), 0, BL48*$AT48), BK48*$AJ48)</f>
        <v>0</v>
      </c>
      <c r="BN48" s="589">
        <f>[1]COMMANDE!AA46</f>
        <v>0</v>
      </c>
      <c r="BO48" s="586" t="str">
        <f>_xlfn.IFS(AND($AI48=$AM48,$AI48&gt;0,$AM48&gt;0,BN48&gt;0), BN48,     AND(NOT($AI48=$AM48),$AI48&gt;0,$AM48&gt;0,BN48&gt;0), ($AM48*BN48)/$AI48,     AND($AI48=0,$AM48&gt;0,$AQ48&gt;0), IF(INDEX(BN$12:BN$263,MATCH($AQ48,$AP$12:$AP$263,0))&gt;0,($AM48*INDEX(BN$12:BN$263,MATCH($AQ48,$AP$12:$AP$263,0)))/INDEX($AI$12:$AI$263,MATCH($AQ48,$AP$12:$AP$263,0)), "-"),     TRUE, "0")</f>
        <v>0</v>
      </c>
      <c r="BP48" s="588">
        <f>IF(BO$9&gt;0, IF(OR(BO48="",BO48="-"), 0, BO48*$AT48), BN48*$AJ48)</f>
        <v>0</v>
      </c>
      <c r="BQ48" s="587">
        <f>[1]COMMANDE!AC46</f>
        <v>0</v>
      </c>
      <c r="BR48" s="586" t="str">
        <f>_xlfn.IFS(AND($AI48=$AM48,$AI48&gt;0,$AM48&gt;0,BQ48&gt;0), BQ48,     AND(NOT($AI48=$AM48),$AI48&gt;0,$AM48&gt;0,BQ48&gt;0), ($AM48*BQ48)/$AI48,     AND($AI48=0,$AM48&gt;0,$AQ48&gt;0), IF(INDEX(BQ$12:BQ$263,MATCH($AQ48,$AP$12:$AP$263,0))&gt;0,($AM48*INDEX(BQ$12:BQ$263,MATCH($AQ48,$AP$12:$AP$263,0)))/INDEX($AI$12:$AI$263,MATCH($AQ48,$AP$12:$AP$263,0)), "-"),     TRUE, "0")</f>
        <v>0</v>
      </c>
      <c r="BS48" s="607">
        <f>IF(BR$9&gt;0, IF(OR(BR48="",BR48="-"), 0, BR48*$AT48), BQ48*$AJ48)</f>
        <v>0</v>
      </c>
      <c r="BT48" s="589">
        <f>[1]COMMANDE!AE46</f>
        <v>0</v>
      </c>
      <c r="BU48" s="586" t="str">
        <f>_xlfn.IFS(AND($AI48=$AM48,$AI48&gt;0,$AM48&gt;0,BT48&gt;0), BT48,     AND(NOT($AI48=$AM48),$AI48&gt;0,$AM48&gt;0,BT48&gt;0), ($AM48*BT48)/$AI48,     AND($AI48=0,$AM48&gt;0,$AQ48&gt;0), IF(INDEX(BT$12:BT$263,MATCH($AQ48,$AP$12:$AP$263,0))&gt;0,($AM48*INDEX(BT$12:BT$263,MATCH($AQ48,$AP$12:$AP$263,0)))/INDEX($AI$12:$AI$263,MATCH($AQ48,$AP$12:$AP$263,0)), "-"),     TRUE, "0")</f>
        <v>0</v>
      </c>
      <c r="BV48" s="588">
        <f>IF(BU$9&gt;0, IF(OR(BU48="",BU48="-"), 0, BU48*$AT48), BT48*$AJ48)</f>
        <v>0</v>
      </c>
      <c r="BW48" s="587">
        <f>[1]COMMANDE!AG46</f>
        <v>0</v>
      </c>
      <c r="BX48" s="586" t="str">
        <f>_xlfn.IFS(AND($AI48=$AM48,$AI48&gt;0,$AM48&gt;0,BW48&gt;0), BW48,     AND(NOT($AI48=$AM48),$AI48&gt;0,$AM48&gt;0,BW48&gt;0), ($AM48*BW48)/$AI48,     AND($AI48=0,$AM48&gt;0,$AQ48&gt;0), IF(INDEX(BW$12:BW$263,MATCH($AQ48,$AP$12:$AP$263,0))&gt;0,($AM48*INDEX(BW$12:BW$263,MATCH($AQ48,$AP$12:$AP$263,0)))/INDEX($AI$12:$AI$263,MATCH($AQ48,$AP$12:$AP$263,0)), "-"),     TRUE, "0")</f>
        <v>0</v>
      </c>
      <c r="BY48" s="607">
        <f>IF(BX$9&gt;0, IF(OR(BX48="",BX48="-"), 0, BX48*$AT48), BW48*$AJ48)</f>
        <v>0</v>
      </c>
      <c r="BZ48" s="589">
        <f>[1]COMMANDE!AI46</f>
        <v>0</v>
      </c>
      <c r="CA48" s="586" t="str">
        <f>_xlfn.IFS(AND($AI48=$AM48,$AI48&gt;0,$AM48&gt;0,BZ48&gt;0), BZ48,     AND(NOT($AI48=$AM48),$AI48&gt;0,$AM48&gt;0,BZ48&gt;0), ($AM48*BZ48)/$AI48,     AND($AI48=0,$AM48&gt;0,$AQ48&gt;0), IF(INDEX(BZ$12:BZ$263,MATCH($AQ48,$AP$12:$AP$263,0))&gt;0,($AM48*INDEX(BZ$12:BZ$263,MATCH($AQ48,$AP$12:$AP$263,0)))/INDEX($AI$12:$AI$263,MATCH($AQ48,$AP$12:$AP$263,0)), "-"),     TRUE, "0")</f>
        <v>0</v>
      </c>
      <c r="CB48" s="588">
        <f>IF(CA$9&gt;0, IF(OR(CA48="",CA48="-"), 0, CA48*$AT48), BZ48*$AJ48)</f>
        <v>0</v>
      </c>
      <c r="CC48" s="587">
        <f>[1]COMMANDE!AK46</f>
        <v>0</v>
      </c>
      <c r="CD48" s="586" t="str">
        <f>_xlfn.IFS(AND($AI48=$AM48,$AI48&gt;0,$AM48&gt;0,CC48&gt;0), CC48,     AND(NOT($AI48=$AM48),$AI48&gt;0,$AM48&gt;0,CC48&gt;0), ($AM48*CC48)/$AI48,     AND($AI48=0,$AM48&gt;0,$AQ48&gt;0), IF(INDEX(CC$12:CC$263,MATCH($AQ48,$AP$12:$AP$263,0))&gt;0,($AM48*INDEX(CC$12:CC$263,MATCH($AQ48,$AP$12:$AP$263,0)))/INDEX($AI$12:$AI$263,MATCH($AQ48,$AP$12:$AP$263,0)), "-"),     TRUE, "0")</f>
        <v>0</v>
      </c>
      <c r="CE48" s="607">
        <f>IF(CD$9&gt;0, IF(OR(CD48="",CD48="-"), 0, CD48*$AT48), CC48*$AJ48)</f>
        <v>0</v>
      </c>
      <c r="CF48" s="589">
        <f>[1]COMMANDE!AM46</f>
        <v>0</v>
      </c>
      <c r="CG48" s="586" t="str">
        <f>_xlfn.IFS(AND($AI48=$AM48,$AI48&gt;0,$AM48&gt;0,CF48&gt;0), CF48,     AND(NOT($AI48=$AM48),$AI48&gt;0,$AM48&gt;0,CF48&gt;0), ($AM48*CF48)/$AI48,     AND($AI48=0,$AM48&gt;0,$AQ48&gt;0), IF(INDEX(CF$12:CF$263,MATCH($AQ48,$AP$12:$AP$263,0))&gt;0,($AM48*INDEX(CF$12:CF$263,MATCH($AQ48,$AP$12:$AP$263,0)))/INDEX($AI$12:$AI$263,MATCH($AQ48,$AP$12:$AP$263,0)), "-"),     TRUE, "0")</f>
        <v>0</v>
      </c>
      <c r="CH48" s="588">
        <f>IF(CG$9&gt;0, IF(OR(CG48="",CG48="-"), 0, CG48*$AT48), CF48*$AJ48)</f>
        <v>0</v>
      </c>
      <c r="CI48" s="587">
        <f>[1]COMMANDE!AO46</f>
        <v>0</v>
      </c>
      <c r="CJ48" s="586" t="str">
        <f>_xlfn.IFS(AND($AI48=$AM48,$AI48&gt;0,$AM48&gt;0,CI48&gt;0), CI48,     AND(NOT($AI48=$AM48),$AI48&gt;0,$AM48&gt;0,CI48&gt;0), ($AM48*CI48)/$AI48,     AND($AI48=0,$AM48&gt;0,$AQ48&gt;0), IF(INDEX(CI$12:CI$263,MATCH($AQ48,$AP$12:$AP$263,0))&gt;0,($AM48*INDEX(CI$12:CI$263,MATCH($AQ48,$AP$12:$AP$263,0)))/INDEX($AI$12:$AI$263,MATCH($AQ48,$AP$12:$AP$263,0)), "-"),     TRUE, "0")</f>
        <v>0</v>
      </c>
      <c r="CK48" s="607">
        <f>IF(CJ$9&gt;0, IF(OR(CJ48="",CJ48="-"), 0, CJ48*$AT48), CI48*$AJ48)</f>
        <v>0</v>
      </c>
      <c r="CL48" s="589">
        <f>[1]COMMANDE!AQ46</f>
        <v>0</v>
      </c>
      <c r="CM48" s="586" t="str">
        <f>_xlfn.IFS(AND($AI48=$AM48,$AI48&gt;0,$AM48&gt;0,CL48&gt;0), CL48,     AND(NOT($AI48=$AM48),$AI48&gt;0,$AM48&gt;0,CL48&gt;0), ($AM48*CL48)/$AI48,     AND($AI48=0,$AM48&gt;0,$AQ48&gt;0), IF(INDEX(CL$12:CL$263,MATCH($AQ48,$AP$12:$AP$263,0))&gt;0,($AM48*INDEX(CL$12:CL$263,MATCH($AQ48,$AP$12:$AP$263,0)))/INDEX($AI$12:$AI$263,MATCH($AQ48,$AP$12:$AP$263,0)), "-"),     TRUE, "0")</f>
        <v>0</v>
      </c>
      <c r="CN48" s="588">
        <f>IF(CM$9&gt;0, IF(OR(CM48="",CM48="-"), 0, CM48*$AT48), CL48*$AJ48)</f>
        <v>0</v>
      </c>
      <c r="CO48" s="587">
        <f>[1]COMMANDE!AS46</f>
        <v>0</v>
      </c>
      <c r="CP48" s="586" t="str">
        <f>_xlfn.IFS(AND($AI48=$AM48,$AI48&gt;0,$AM48&gt;0,CO48&gt;0), CO48,     AND(NOT($AI48=$AM48),$AI48&gt;0,$AM48&gt;0,CO48&gt;0), ($AM48*CO48)/$AI48,     AND($AI48=0,$AM48&gt;0,$AQ48&gt;0), IF(INDEX(CO$12:CO$263,MATCH($AQ48,$AP$12:$AP$263,0))&gt;0,($AM48*INDEX(CO$12:CO$263,MATCH($AQ48,$AP$12:$AP$263,0)))/INDEX($AI$12:$AI$263,MATCH($AQ48,$AP$12:$AP$263,0)), "-"),     TRUE, "0")</f>
        <v>0</v>
      </c>
      <c r="CQ48" s="607">
        <f>IF(CP$9&gt;0, IF(OR(CP48="",CP48="-"), 0, CP48*$AT48), CO48*$AJ48)</f>
        <v>0</v>
      </c>
      <c r="CR48" s="589">
        <f>[1]COMMANDE!AU46</f>
        <v>0</v>
      </c>
      <c r="CS48" s="586" t="str">
        <f>_xlfn.IFS(AND($AI48=$AM48,$AI48&gt;0,$AM48&gt;0,CR48&gt;0), CR48,     AND(NOT($AI48=$AM48),$AI48&gt;0,$AM48&gt;0,CR48&gt;0), ($AM48*CR48)/$AI48,     AND($AI48=0,$AM48&gt;0,$AQ48&gt;0), IF(INDEX(CR$12:CR$263,MATCH($AQ48,$AP$12:$AP$263,0))&gt;0,($AM48*INDEX(CR$12:CR$263,MATCH($AQ48,$AP$12:$AP$263,0)))/INDEX($AI$12:$AI$263,MATCH($AQ48,$AP$12:$AP$263,0)), "-"),     TRUE, "0")</f>
        <v>0</v>
      </c>
      <c r="CT48" s="588">
        <f>IF(CS$9&gt;0, IF(OR(CS48="",CS48="-"), 0, CS48*$AT48), CR48*$AJ48)</f>
        <v>0</v>
      </c>
      <c r="CU48" s="587">
        <f>[1]COMMANDE!AW46</f>
        <v>0</v>
      </c>
      <c r="CV48" s="586" t="str">
        <f>_xlfn.IFS(AND($AI48=$AM48,$AI48&gt;0,$AM48&gt;0,CU48&gt;0), CU48,     AND(NOT($AI48=$AM48),$AI48&gt;0,$AM48&gt;0,CU48&gt;0), ($AM48*CU48)/$AI48,     AND($AI48=0,$AM48&gt;0,$AQ48&gt;0), IF(INDEX(CU$12:CU$263,MATCH($AQ48,$AP$12:$AP$263,0))&gt;0,($AM48*INDEX(CU$12:CU$263,MATCH($AQ48,$AP$12:$AP$263,0)))/INDEX($AI$12:$AI$263,MATCH($AQ48,$AP$12:$AP$263,0)), "-"),     TRUE, "0")</f>
        <v>0</v>
      </c>
      <c r="CW48" s="607">
        <f>IF(CV$9&gt;0, IF(OR(CV48="",CV48="-"), 0, CV48*$AT48), CU48*$AJ48)</f>
        <v>0</v>
      </c>
      <c r="CX48" s="589">
        <f>[1]COMMANDE!AY46</f>
        <v>0</v>
      </c>
      <c r="CY48" s="586" t="str">
        <f>_xlfn.IFS(AND($AI48=$AM48,$AI48&gt;0,$AM48&gt;0,CX48&gt;0), CX48,     AND(NOT($AI48=$AM48),$AI48&gt;0,$AM48&gt;0,CX48&gt;0), ($AM48*CX48)/$AI48,     AND($AI48=0,$AM48&gt;0,$AQ48&gt;0), IF(INDEX(CX$12:CX$263,MATCH($AQ48,$AP$12:$AP$263,0))&gt;0,($AM48*INDEX(CX$12:CX$263,MATCH($AQ48,$AP$12:$AP$263,0)))/INDEX($AI$12:$AI$263,MATCH($AQ48,$AP$12:$AP$263,0)), "-"),     TRUE, "0")</f>
        <v>0</v>
      </c>
      <c r="CZ48" s="588">
        <f>IF(CY$9&gt;0, IF(OR(CY48="",CY48="-"), 0, CY48*$AT48), CX48*$AJ48)</f>
        <v>0</v>
      </c>
      <c r="DA48" s="587">
        <f>[1]COMMANDE!BA46</f>
        <v>0</v>
      </c>
      <c r="DB48" s="586" t="str">
        <f>_xlfn.IFS(AND($AI48=$AM48,$AI48&gt;0,$AM48&gt;0,DA48&gt;0), DA48,     AND(NOT($AI48=$AM48),$AI48&gt;0,$AM48&gt;0,DA48&gt;0), ($AM48*DA48)/$AI48,     AND($AI48=0,$AM48&gt;0,$AQ48&gt;0), IF(INDEX(DA$12:DA$263,MATCH($AQ48,$AP$12:$AP$263,0))&gt;0,($AM48*INDEX(DA$12:DA$263,MATCH($AQ48,$AP$12:$AP$263,0)))/INDEX($AI$12:$AI$263,MATCH($AQ48,$AP$12:$AP$263,0)), "-"),     TRUE, "0")</f>
        <v>0</v>
      </c>
      <c r="DC48" s="606">
        <f>IF(DB$9&gt;0, IF(OR(DB48="",DB48="-"), 0, DB48*$AT48), DA48*$AJ48)</f>
        <v>0</v>
      </c>
      <c r="DD48" s="584"/>
      <c r="DE48" s="583"/>
    </row>
    <row r="49" spans="1:109" ht="39.950000000000003" hidden="1" customHeight="1">
      <c r="A49" s="604">
        <f>IF(OR($AV49&gt;0, $AX49&gt;0), 1, 0)</f>
        <v>0</v>
      </c>
      <c r="B49" s="604">
        <f>IF(OR($AY49&gt;0, $BA49&gt;0), 1, 0)</f>
        <v>0</v>
      </c>
      <c r="C49" s="604">
        <f>IF(OR($BB49&gt;0, $BD49&gt;0), 1, 0)</f>
        <v>0</v>
      </c>
      <c r="D49" s="604">
        <f>IF(OR($BE49&gt;0, $BG49&gt;0), 1, 0)</f>
        <v>0</v>
      </c>
      <c r="E49" s="604">
        <f>IF(OR($BH49&gt;0, $BJ49&gt;0), 1, 0)</f>
        <v>0</v>
      </c>
      <c r="F49" s="604">
        <f>IF(OR($BK49&gt;0, $BM49&gt;0), 1, 0)</f>
        <v>0</v>
      </c>
      <c r="G49" s="604">
        <f>IF(OR($BN49&gt;0, $BP49&gt;0), 1, 0)</f>
        <v>0</v>
      </c>
      <c r="H49" s="604">
        <f>IF(OR($BQ49&gt;0, $BS49&gt;0), 1, 0)</f>
        <v>0</v>
      </c>
      <c r="I49" s="604">
        <f>IF(OR($BT49&gt;0, $BV49&gt;0), 1, 0)</f>
        <v>0</v>
      </c>
      <c r="J49" s="604">
        <f>IF(OR($BW49&gt;0, $BY49&gt;0), 1, 0)</f>
        <v>0</v>
      </c>
      <c r="K49" s="604">
        <f>IF(OR($BZ49&gt;0, $CB49&gt;0), 1, 0)</f>
        <v>0</v>
      </c>
      <c r="L49" s="604">
        <f>IF(OR($CC49&gt;0, $CE49&gt;0), 1, 0)</f>
        <v>0</v>
      </c>
      <c r="M49" s="604">
        <f>IF(OR($CF49&gt;0, $CH49&gt;0), 1, 0)</f>
        <v>0</v>
      </c>
      <c r="N49" s="604">
        <f>IF(OR($CI49&gt;0, $CK49&gt;0), 1, 0)</f>
        <v>0</v>
      </c>
      <c r="O49" s="604">
        <f>IF(OR($CL49&gt;0, $CN49&gt;0), 1, 0)</f>
        <v>0</v>
      </c>
      <c r="P49" s="604">
        <f>IF(OR($CO49&gt;0, $CQ49&gt;0), 1, 0)</f>
        <v>0</v>
      </c>
      <c r="Q49" s="604">
        <f>IF(OR($CR49&gt;0, $CT49&gt;0), 1, 0)</f>
        <v>0</v>
      </c>
      <c r="R49" s="604">
        <f>IF(OR($CU49&gt;0, $CW49&gt;0), 1, 0)</f>
        <v>0</v>
      </c>
      <c r="S49" s="604">
        <f>IF(OR($CX49&gt;0, $CZ49&gt;0), 1, 0)</f>
        <v>0</v>
      </c>
      <c r="T49" s="604">
        <f>IF(OR($DA49&gt;0, $DC49&gt;0), 1, 0)</f>
        <v>0</v>
      </c>
      <c r="U49" s="603">
        <f>IF(OR($AI49&gt;0,$AM49&gt;0,$AS49&gt;0), 1, 0)</f>
        <v>0</v>
      </c>
      <c r="V49" s="602">
        <f>[1]BDD!A39</f>
        <v>1696</v>
      </c>
      <c r="W49" s="601" t="str">
        <f>[1]BDD!B39</f>
        <v>Betteraves en poudre BIO (env. 1 kg)</v>
      </c>
      <c r="X49" s="600" t="str">
        <f>IF([1]BDD!F39=0, "", [1]BDD!F39)</f>
        <v/>
      </c>
      <c r="Y49" s="542">
        <f>ROUND([1]BDD!G39+FDP_CMD_KG, 2)</f>
        <v>24.83</v>
      </c>
      <c r="Z49" s="542">
        <f>ROUND([1]BDD!G39+FDP_FACT_KG, 2)</f>
        <v>24.83</v>
      </c>
      <c r="AA49" s="543" t="str">
        <f>[1]BDD!H39</f>
        <v>Pièce</v>
      </c>
      <c r="AB49" s="544" t="str">
        <f>IF(NOT(ISBLANK([1]BDD!I39)), ROUND(SUM(([1]BDD!G39*reduc1),FDP_CMD_KG), 2), "")</f>
        <v/>
      </c>
      <c r="AC49" s="544" t="str">
        <f>IF(NOT(ISBLANK([1]BDD!J39)), ROUND(SUM(([1]BDD!G39*reduc2),FDP_CMD_KG), 2), "")</f>
        <v/>
      </c>
      <c r="AD49" s="544" t="str">
        <f>IF(NOT(ISBLANK([1]BDD!K39)), ROUND(SUM(([1]BDD!G39*reduc3),FDP_CMD_KG), 2), "")</f>
        <v/>
      </c>
      <c r="AE49" s="544" t="str">
        <f>IF(NOT(ISBLANK([1]BDD!I39)), ROUND(SUM(([1]BDD!G39*reduc1),FDP_FACT_KG), 2), "")</f>
        <v/>
      </c>
      <c r="AF49" s="544" t="str">
        <f>IF(NOT(ISBLANK([1]BDD!J39)), ROUND(SUM(([1]BDD!G39*reduc2),FDP_FACT_KG), 2), "")</f>
        <v/>
      </c>
      <c r="AG49" s="544" t="str">
        <f>IF(NOT(ISBLANK([1]BDD!K39)), ROUND(SUM(([1]BDD!G39*reduc3),FDP_FACT_KG), 2), "")</f>
        <v/>
      </c>
      <c r="AH49" s="599" t="str">
        <f>[1]BDD!C39</f>
        <v>Hongrie</v>
      </c>
      <c r="AI49" s="598">
        <f>SUM(AV49,AY49,BB49,BE49,BH49,BK49,BN49,BQ49,BT49,BW49,BZ49,CC49,CF49,CI49,CL49,CO49,CR49,CU49,CX49,DA49)</f>
        <v>0</v>
      </c>
      <c r="AJ49" s="545">
        <f>_xlfn.IFS($AD49&lt;&gt;"", $AD49,    $AC49&lt;&gt;"", $AC49,    $AB49&lt;&gt;"", $AB49,    TRUE, $Y49)</f>
        <v>24.83</v>
      </c>
      <c r="AK49" s="592">
        <f>$AI49*$AJ49</f>
        <v>0</v>
      </c>
      <c r="AL49" s="594"/>
      <c r="AM49" s="597"/>
      <c r="AN49" s="545">
        <f>_xlfn.IFS(AND(AM49&gt;=60,$AG49&lt;&gt;""), $AG49,    AND(AM49&gt;=30,$AF49&lt;&gt;""), $AF49,    AND(AM49&gt;=10,$AE49&lt;&gt;""), $AE49,    TRUE, $Z49)</f>
        <v>24.83</v>
      </c>
      <c r="AO49" s="596">
        <f>AM49*AN49</f>
        <v>0</v>
      </c>
      <c r="AP49" s="595"/>
      <c r="AQ49" s="595"/>
      <c r="AR49" s="594"/>
      <c r="AS49" s="593">
        <f>SUM(AW49,AZ49,BC49,BF49,BI49,BL49,BO49,BR49,BU49,BX49,CA49,CD49,CG49,CJ49,CM49,CP49,CS49,CV49,CY49,DB49)</f>
        <v>0</v>
      </c>
      <c r="AT49" s="545">
        <f>_xlfn.IFS(AND(AS49&gt;=60,$AG49&lt;&gt;""), $AG49,    AND(AS49&gt;=30,$AF49&lt;&gt;""), $AF49,    AND(AS49&gt;=10,$AE49&lt;&gt;""), $AE49,    TRUE, $Z49)</f>
        <v>24.83</v>
      </c>
      <c r="AU49" s="592">
        <f>$AS49*$AT49</f>
        <v>0</v>
      </c>
      <c r="AV49" s="591">
        <f>[1]COMMANDE!O47</f>
        <v>0</v>
      </c>
      <c r="AW49" s="586" t="str">
        <f>_xlfn.IFS(AND($AI49=$AM49,$AI49&gt;0,$AM49&gt;0,AV49&gt;0), AV49,     AND(NOT($AI49=$AM49),$AI49&gt;0,$AM49&gt;0,AV49&gt;0), ($AM49*AV49)/$AI49,     AND($AI49=0,$AM49&gt;0,$AQ49&gt;0), IF(INDEX(AV$12:AV$263,MATCH($AQ49,$AP$12:$AP$263,0))&gt;0,($AM49*INDEX(AV$12:AV$263,MATCH($AQ49,$AP$12:$AP$263,0)))/INDEX($AI$12:$AI$263,MATCH($AQ49,$AP$12:$AP$263,0)), "-"),     TRUE, "0")</f>
        <v>0</v>
      </c>
      <c r="AX49" s="588">
        <f>IF(AW$9&gt;0, IF(OR(AW49="",AW49="-"), 0, AW49*$AT49), AV49*$AJ49)</f>
        <v>0</v>
      </c>
      <c r="AY49" s="587">
        <f>[1]COMMANDE!Q47</f>
        <v>0</v>
      </c>
      <c r="AZ49" s="586" t="str">
        <f>_xlfn.IFS(AND($AI49=$AM49,$AI49&gt;0,$AM49&gt;0,AY49&gt;0), AY49,     AND(NOT($AI49=$AM49),$AI49&gt;0,$AM49&gt;0,AY49&gt;0), ($AM49*AY49)/$AI49,     AND($AI49=0,$AM49&gt;0,$AQ49&gt;0), IF(INDEX(AY$12:AY$263,MATCH($AQ49,$AP$12:$AP$263,0))&gt;0,($AM49*INDEX(AY$12:AY$263,MATCH($AQ49,$AP$12:$AP$263,0)))/INDEX($AI$12:$AI$263,MATCH($AQ49,$AP$12:$AP$263,0)), "-"),     TRUE, "0")</f>
        <v>0</v>
      </c>
      <c r="BA49" s="607">
        <f>IF(AZ$9&gt;0, IF(OR(AZ49="",AZ49="-"), 0, AZ49*$AT49), AY49*$AJ49)</f>
        <v>0</v>
      </c>
      <c r="BB49" s="589">
        <f>[1]COMMANDE!S47</f>
        <v>0</v>
      </c>
      <c r="BC49" s="586" t="str">
        <f>_xlfn.IFS(AND($AI49=$AM49,$AI49&gt;0,$AM49&gt;0,BB49&gt;0), BB49,     AND(NOT($AI49=$AM49),$AI49&gt;0,$AM49&gt;0,BB49&gt;0), ($AM49*BB49)/$AI49,     AND($AI49=0,$AM49&gt;0,$AQ49&gt;0), IF(INDEX(BB$12:BB$263,MATCH($AQ49,$AP$12:$AP$263,0))&gt;0,($AM49*INDEX(BB$12:BB$263,MATCH($AQ49,$AP$12:$AP$263,0)))/INDEX($AI$12:$AI$263,MATCH($AQ49,$AP$12:$AP$263,0)), "-"),     TRUE, "0")</f>
        <v>0</v>
      </c>
      <c r="BD49" s="588">
        <f>IF(BC$9&gt;0, IF(OR(BC49="",BC49="-"), 0, BC49*$AT49), BB49*$AJ49)</f>
        <v>0</v>
      </c>
      <c r="BE49" s="587">
        <f>[1]COMMANDE!U47</f>
        <v>0</v>
      </c>
      <c r="BF49" s="586" t="str">
        <f>_xlfn.IFS(AND($AI49=$AM49,$AI49&gt;0,$AM49&gt;0,BE49&gt;0), BE49,     AND(NOT($AI49=$AM49),$AI49&gt;0,$AM49&gt;0,BE49&gt;0), ($AM49*BE49)/$AI49,     AND($AI49=0,$AM49&gt;0,$AQ49&gt;0), IF(INDEX(BE$12:BE$263,MATCH($AQ49,$AP$12:$AP$263,0))&gt;0,($AM49*INDEX(BE$12:BE$263,MATCH($AQ49,$AP$12:$AP$263,0)))/INDEX($AI$12:$AI$263,MATCH($AQ49,$AP$12:$AP$263,0)), "-"),     TRUE, "0")</f>
        <v>0</v>
      </c>
      <c r="BG49" s="607">
        <f>IF(BF$9&gt;0, IF(OR(BF49="",BF49="-"), 0, BF49*$AT49), BE49*$AJ49)</f>
        <v>0</v>
      </c>
      <c r="BH49" s="589">
        <f>[1]COMMANDE!W47</f>
        <v>0</v>
      </c>
      <c r="BI49" s="586" t="str">
        <f>_xlfn.IFS(AND($AI49=$AM49,$AI49&gt;0,$AM49&gt;0,BH49&gt;0), BH49,     AND(NOT($AI49=$AM49),$AI49&gt;0,$AM49&gt;0,BH49&gt;0), ($AM49*BH49)/$AI49,     AND($AI49=0,$AM49&gt;0,$AQ49&gt;0), IF(INDEX(BH$12:BH$263,MATCH($AQ49,$AP$12:$AP$263,0))&gt;0,($AM49*INDEX(BH$12:BH$263,MATCH($AQ49,$AP$12:$AP$263,0)))/INDEX($AI$12:$AI$263,MATCH($AQ49,$AP$12:$AP$263,0)), "-"),     TRUE, "0")</f>
        <v>0</v>
      </c>
      <c r="BJ49" s="588">
        <f>IF(BI$9&gt;0, IF(OR(BI49="",BI49="-"), 0, BI49*$AT49), BH49*$AJ49)</f>
        <v>0</v>
      </c>
      <c r="BK49" s="587">
        <f>[1]COMMANDE!Y47</f>
        <v>0</v>
      </c>
      <c r="BL49" s="586" t="str">
        <f>_xlfn.IFS(AND($AI49=$AM49,$AI49&gt;0,$AM49&gt;0,BK49&gt;0), BK49,     AND(NOT($AI49=$AM49),$AI49&gt;0,$AM49&gt;0,BK49&gt;0), ($AM49*BK49)/$AI49,     AND($AI49=0,$AM49&gt;0,$AQ49&gt;0), IF(INDEX(BK$12:BK$263,MATCH($AQ49,$AP$12:$AP$263,0))&gt;0,($AM49*INDEX(BK$12:BK$263,MATCH($AQ49,$AP$12:$AP$263,0)))/INDEX($AI$12:$AI$263,MATCH($AQ49,$AP$12:$AP$263,0)), "-"),     TRUE, "0")</f>
        <v>0</v>
      </c>
      <c r="BM49" s="607">
        <f>IF(BL$9&gt;0, IF(OR(BL49="",BL49="-"), 0, BL49*$AT49), BK49*$AJ49)</f>
        <v>0</v>
      </c>
      <c r="BN49" s="589">
        <f>[1]COMMANDE!AA47</f>
        <v>0</v>
      </c>
      <c r="BO49" s="586" t="str">
        <f>_xlfn.IFS(AND($AI49=$AM49,$AI49&gt;0,$AM49&gt;0,BN49&gt;0), BN49,     AND(NOT($AI49=$AM49),$AI49&gt;0,$AM49&gt;0,BN49&gt;0), ($AM49*BN49)/$AI49,     AND($AI49=0,$AM49&gt;0,$AQ49&gt;0), IF(INDEX(BN$12:BN$263,MATCH($AQ49,$AP$12:$AP$263,0))&gt;0,($AM49*INDEX(BN$12:BN$263,MATCH($AQ49,$AP$12:$AP$263,0)))/INDEX($AI$12:$AI$263,MATCH($AQ49,$AP$12:$AP$263,0)), "-"),     TRUE, "0")</f>
        <v>0</v>
      </c>
      <c r="BP49" s="588">
        <f>IF(BO$9&gt;0, IF(OR(BO49="",BO49="-"), 0, BO49*$AT49), BN49*$AJ49)</f>
        <v>0</v>
      </c>
      <c r="BQ49" s="587">
        <f>[1]COMMANDE!AC47</f>
        <v>0</v>
      </c>
      <c r="BR49" s="586" t="str">
        <f>_xlfn.IFS(AND($AI49=$AM49,$AI49&gt;0,$AM49&gt;0,BQ49&gt;0), BQ49,     AND(NOT($AI49=$AM49),$AI49&gt;0,$AM49&gt;0,BQ49&gt;0), ($AM49*BQ49)/$AI49,     AND($AI49=0,$AM49&gt;0,$AQ49&gt;0), IF(INDEX(BQ$12:BQ$263,MATCH($AQ49,$AP$12:$AP$263,0))&gt;0,($AM49*INDEX(BQ$12:BQ$263,MATCH($AQ49,$AP$12:$AP$263,0)))/INDEX($AI$12:$AI$263,MATCH($AQ49,$AP$12:$AP$263,0)), "-"),     TRUE, "0")</f>
        <v>0</v>
      </c>
      <c r="BS49" s="607">
        <f>IF(BR$9&gt;0, IF(OR(BR49="",BR49="-"), 0, BR49*$AT49), BQ49*$AJ49)</f>
        <v>0</v>
      </c>
      <c r="BT49" s="589">
        <f>[1]COMMANDE!AE47</f>
        <v>0</v>
      </c>
      <c r="BU49" s="586" t="str">
        <f>_xlfn.IFS(AND($AI49=$AM49,$AI49&gt;0,$AM49&gt;0,BT49&gt;0), BT49,     AND(NOT($AI49=$AM49),$AI49&gt;0,$AM49&gt;0,BT49&gt;0), ($AM49*BT49)/$AI49,     AND($AI49=0,$AM49&gt;0,$AQ49&gt;0), IF(INDEX(BT$12:BT$263,MATCH($AQ49,$AP$12:$AP$263,0))&gt;0,($AM49*INDEX(BT$12:BT$263,MATCH($AQ49,$AP$12:$AP$263,0)))/INDEX($AI$12:$AI$263,MATCH($AQ49,$AP$12:$AP$263,0)), "-"),     TRUE, "0")</f>
        <v>0</v>
      </c>
      <c r="BV49" s="588">
        <f>IF(BU$9&gt;0, IF(OR(BU49="",BU49="-"), 0, BU49*$AT49), BT49*$AJ49)</f>
        <v>0</v>
      </c>
      <c r="BW49" s="587">
        <f>[1]COMMANDE!AG47</f>
        <v>0</v>
      </c>
      <c r="BX49" s="586" t="str">
        <f>_xlfn.IFS(AND($AI49=$AM49,$AI49&gt;0,$AM49&gt;0,BW49&gt;0), BW49,     AND(NOT($AI49=$AM49),$AI49&gt;0,$AM49&gt;0,BW49&gt;0), ($AM49*BW49)/$AI49,     AND($AI49=0,$AM49&gt;0,$AQ49&gt;0), IF(INDEX(BW$12:BW$263,MATCH($AQ49,$AP$12:$AP$263,0))&gt;0,($AM49*INDEX(BW$12:BW$263,MATCH($AQ49,$AP$12:$AP$263,0)))/INDEX($AI$12:$AI$263,MATCH($AQ49,$AP$12:$AP$263,0)), "-"),     TRUE, "0")</f>
        <v>0</v>
      </c>
      <c r="BY49" s="607">
        <f>IF(BX$9&gt;0, IF(OR(BX49="",BX49="-"), 0, BX49*$AT49), BW49*$AJ49)</f>
        <v>0</v>
      </c>
      <c r="BZ49" s="589">
        <f>[1]COMMANDE!AI47</f>
        <v>0</v>
      </c>
      <c r="CA49" s="586" t="str">
        <f>_xlfn.IFS(AND($AI49=$AM49,$AI49&gt;0,$AM49&gt;0,BZ49&gt;0), BZ49,     AND(NOT($AI49=$AM49),$AI49&gt;0,$AM49&gt;0,BZ49&gt;0), ($AM49*BZ49)/$AI49,     AND($AI49=0,$AM49&gt;0,$AQ49&gt;0), IF(INDEX(BZ$12:BZ$263,MATCH($AQ49,$AP$12:$AP$263,0))&gt;0,($AM49*INDEX(BZ$12:BZ$263,MATCH($AQ49,$AP$12:$AP$263,0)))/INDEX($AI$12:$AI$263,MATCH($AQ49,$AP$12:$AP$263,0)), "-"),     TRUE, "0")</f>
        <v>0</v>
      </c>
      <c r="CB49" s="588">
        <f>IF(CA$9&gt;0, IF(OR(CA49="",CA49="-"), 0, CA49*$AT49), BZ49*$AJ49)</f>
        <v>0</v>
      </c>
      <c r="CC49" s="587">
        <f>[1]COMMANDE!AK47</f>
        <v>0</v>
      </c>
      <c r="CD49" s="586" t="str">
        <f>_xlfn.IFS(AND($AI49=$AM49,$AI49&gt;0,$AM49&gt;0,CC49&gt;0), CC49,     AND(NOT($AI49=$AM49),$AI49&gt;0,$AM49&gt;0,CC49&gt;0), ($AM49*CC49)/$AI49,     AND($AI49=0,$AM49&gt;0,$AQ49&gt;0), IF(INDEX(CC$12:CC$263,MATCH($AQ49,$AP$12:$AP$263,0))&gt;0,($AM49*INDEX(CC$12:CC$263,MATCH($AQ49,$AP$12:$AP$263,0)))/INDEX($AI$12:$AI$263,MATCH($AQ49,$AP$12:$AP$263,0)), "-"),     TRUE, "0")</f>
        <v>0</v>
      </c>
      <c r="CE49" s="607">
        <f>IF(CD$9&gt;0, IF(OR(CD49="",CD49="-"), 0, CD49*$AT49), CC49*$AJ49)</f>
        <v>0</v>
      </c>
      <c r="CF49" s="589">
        <f>[1]COMMANDE!AM47</f>
        <v>0</v>
      </c>
      <c r="CG49" s="586" t="str">
        <f>_xlfn.IFS(AND($AI49=$AM49,$AI49&gt;0,$AM49&gt;0,CF49&gt;0), CF49,     AND(NOT($AI49=$AM49),$AI49&gt;0,$AM49&gt;0,CF49&gt;0), ($AM49*CF49)/$AI49,     AND($AI49=0,$AM49&gt;0,$AQ49&gt;0), IF(INDEX(CF$12:CF$263,MATCH($AQ49,$AP$12:$AP$263,0))&gt;0,($AM49*INDEX(CF$12:CF$263,MATCH($AQ49,$AP$12:$AP$263,0)))/INDEX($AI$12:$AI$263,MATCH($AQ49,$AP$12:$AP$263,0)), "-"),     TRUE, "0")</f>
        <v>0</v>
      </c>
      <c r="CH49" s="588">
        <f>IF(CG$9&gt;0, IF(OR(CG49="",CG49="-"), 0, CG49*$AT49), CF49*$AJ49)</f>
        <v>0</v>
      </c>
      <c r="CI49" s="587">
        <f>[1]COMMANDE!AO47</f>
        <v>0</v>
      </c>
      <c r="CJ49" s="586" t="str">
        <f>_xlfn.IFS(AND($AI49=$AM49,$AI49&gt;0,$AM49&gt;0,CI49&gt;0), CI49,     AND(NOT($AI49=$AM49),$AI49&gt;0,$AM49&gt;0,CI49&gt;0), ($AM49*CI49)/$AI49,     AND($AI49=0,$AM49&gt;0,$AQ49&gt;0), IF(INDEX(CI$12:CI$263,MATCH($AQ49,$AP$12:$AP$263,0))&gt;0,($AM49*INDEX(CI$12:CI$263,MATCH($AQ49,$AP$12:$AP$263,0)))/INDEX($AI$12:$AI$263,MATCH($AQ49,$AP$12:$AP$263,0)), "-"),     TRUE, "0")</f>
        <v>0</v>
      </c>
      <c r="CK49" s="607">
        <f>IF(CJ$9&gt;0, IF(OR(CJ49="",CJ49="-"), 0, CJ49*$AT49), CI49*$AJ49)</f>
        <v>0</v>
      </c>
      <c r="CL49" s="589">
        <f>[1]COMMANDE!AQ47</f>
        <v>0</v>
      </c>
      <c r="CM49" s="586" t="str">
        <f>_xlfn.IFS(AND($AI49=$AM49,$AI49&gt;0,$AM49&gt;0,CL49&gt;0), CL49,     AND(NOT($AI49=$AM49),$AI49&gt;0,$AM49&gt;0,CL49&gt;0), ($AM49*CL49)/$AI49,     AND($AI49=0,$AM49&gt;0,$AQ49&gt;0), IF(INDEX(CL$12:CL$263,MATCH($AQ49,$AP$12:$AP$263,0))&gt;0,($AM49*INDEX(CL$12:CL$263,MATCH($AQ49,$AP$12:$AP$263,0)))/INDEX($AI$12:$AI$263,MATCH($AQ49,$AP$12:$AP$263,0)), "-"),     TRUE, "0")</f>
        <v>0</v>
      </c>
      <c r="CN49" s="588">
        <f>IF(CM$9&gt;0, IF(OR(CM49="",CM49="-"), 0, CM49*$AT49), CL49*$AJ49)</f>
        <v>0</v>
      </c>
      <c r="CO49" s="587">
        <f>[1]COMMANDE!AS47</f>
        <v>0</v>
      </c>
      <c r="CP49" s="586" t="str">
        <f>_xlfn.IFS(AND($AI49=$AM49,$AI49&gt;0,$AM49&gt;0,CO49&gt;0), CO49,     AND(NOT($AI49=$AM49),$AI49&gt;0,$AM49&gt;0,CO49&gt;0), ($AM49*CO49)/$AI49,     AND($AI49=0,$AM49&gt;0,$AQ49&gt;0), IF(INDEX(CO$12:CO$263,MATCH($AQ49,$AP$12:$AP$263,0))&gt;0,($AM49*INDEX(CO$12:CO$263,MATCH($AQ49,$AP$12:$AP$263,0)))/INDEX($AI$12:$AI$263,MATCH($AQ49,$AP$12:$AP$263,0)), "-"),     TRUE, "0")</f>
        <v>0</v>
      </c>
      <c r="CQ49" s="607">
        <f>IF(CP$9&gt;0, IF(OR(CP49="",CP49="-"), 0, CP49*$AT49), CO49*$AJ49)</f>
        <v>0</v>
      </c>
      <c r="CR49" s="589">
        <f>[1]COMMANDE!AU47</f>
        <v>0</v>
      </c>
      <c r="CS49" s="586" t="str">
        <f>_xlfn.IFS(AND($AI49=$AM49,$AI49&gt;0,$AM49&gt;0,CR49&gt;0), CR49,     AND(NOT($AI49=$AM49),$AI49&gt;0,$AM49&gt;0,CR49&gt;0), ($AM49*CR49)/$AI49,     AND($AI49=0,$AM49&gt;0,$AQ49&gt;0), IF(INDEX(CR$12:CR$263,MATCH($AQ49,$AP$12:$AP$263,0))&gt;0,($AM49*INDEX(CR$12:CR$263,MATCH($AQ49,$AP$12:$AP$263,0)))/INDEX($AI$12:$AI$263,MATCH($AQ49,$AP$12:$AP$263,0)), "-"),     TRUE, "0")</f>
        <v>0</v>
      </c>
      <c r="CT49" s="588">
        <f>IF(CS$9&gt;0, IF(OR(CS49="",CS49="-"), 0, CS49*$AT49), CR49*$AJ49)</f>
        <v>0</v>
      </c>
      <c r="CU49" s="587">
        <f>[1]COMMANDE!AW47</f>
        <v>0</v>
      </c>
      <c r="CV49" s="586" t="str">
        <f>_xlfn.IFS(AND($AI49=$AM49,$AI49&gt;0,$AM49&gt;0,CU49&gt;0), CU49,     AND(NOT($AI49=$AM49),$AI49&gt;0,$AM49&gt;0,CU49&gt;0), ($AM49*CU49)/$AI49,     AND($AI49=0,$AM49&gt;0,$AQ49&gt;0), IF(INDEX(CU$12:CU$263,MATCH($AQ49,$AP$12:$AP$263,0))&gt;0,($AM49*INDEX(CU$12:CU$263,MATCH($AQ49,$AP$12:$AP$263,0)))/INDEX($AI$12:$AI$263,MATCH($AQ49,$AP$12:$AP$263,0)), "-"),     TRUE, "0")</f>
        <v>0</v>
      </c>
      <c r="CW49" s="607">
        <f>IF(CV$9&gt;0, IF(OR(CV49="",CV49="-"), 0, CV49*$AT49), CU49*$AJ49)</f>
        <v>0</v>
      </c>
      <c r="CX49" s="589">
        <f>[1]COMMANDE!AY47</f>
        <v>0</v>
      </c>
      <c r="CY49" s="586" t="str">
        <f>_xlfn.IFS(AND($AI49=$AM49,$AI49&gt;0,$AM49&gt;0,CX49&gt;0), CX49,     AND(NOT($AI49=$AM49),$AI49&gt;0,$AM49&gt;0,CX49&gt;0), ($AM49*CX49)/$AI49,     AND($AI49=0,$AM49&gt;0,$AQ49&gt;0), IF(INDEX(CX$12:CX$263,MATCH($AQ49,$AP$12:$AP$263,0))&gt;0,($AM49*INDEX(CX$12:CX$263,MATCH($AQ49,$AP$12:$AP$263,0)))/INDEX($AI$12:$AI$263,MATCH($AQ49,$AP$12:$AP$263,0)), "-"),     TRUE, "0")</f>
        <v>0</v>
      </c>
      <c r="CZ49" s="588">
        <f>IF(CY$9&gt;0, IF(OR(CY49="",CY49="-"), 0, CY49*$AT49), CX49*$AJ49)</f>
        <v>0</v>
      </c>
      <c r="DA49" s="587">
        <f>[1]COMMANDE!BA47</f>
        <v>0</v>
      </c>
      <c r="DB49" s="586" t="str">
        <f>_xlfn.IFS(AND($AI49=$AM49,$AI49&gt;0,$AM49&gt;0,DA49&gt;0), DA49,     AND(NOT($AI49=$AM49),$AI49&gt;0,$AM49&gt;0,DA49&gt;0), ($AM49*DA49)/$AI49,     AND($AI49=0,$AM49&gt;0,$AQ49&gt;0), IF(INDEX(DA$12:DA$263,MATCH($AQ49,$AP$12:$AP$263,0))&gt;0,($AM49*INDEX(DA$12:DA$263,MATCH($AQ49,$AP$12:$AP$263,0)))/INDEX($AI$12:$AI$263,MATCH($AQ49,$AP$12:$AP$263,0)), "-"),     TRUE, "0")</f>
        <v>0</v>
      </c>
      <c r="DC49" s="606">
        <f>IF(DB$9&gt;0, IF(OR(DB49="",DB49="-"), 0, DB49*$AT49), DA49*$AJ49)</f>
        <v>0</v>
      </c>
      <c r="DD49" s="584"/>
      <c r="DE49" s="583"/>
    </row>
    <row r="50" spans="1:109" ht="39.950000000000003" hidden="1" customHeight="1">
      <c r="A50" s="604">
        <f>IF(OR($AV50&gt;0, $AX50&gt;0), 1, 0)</f>
        <v>0</v>
      </c>
      <c r="B50" s="604">
        <f>IF(OR($AY50&gt;0, $BA50&gt;0), 1, 0)</f>
        <v>0</v>
      </c>
      <c r="C50" s="604">
        <f>IF(OR($BB50&gt;0, $BD50&gt;0), 1, 0)</f>
        <v>0</v>
      </c>
      <c r="D50" s="604">
        <f>IF(OR($BE50&gt;0, $BG50&gt;0), 1, 0)</f>
        <v>0</v>
      </c>
      <c r="E50" s="604">
        <f>IF(OR($BH50&gt;0, $BJ50&gt;0), 1, 0)</f>
        <v>0</v>
      </c>
      <c r="F50" s="604">
        <f>IF(OR($BK50&gt;0, $BM50&gt;0), 1, 0)</f>
        <v>0</v>
      </c>
      <c r="G50" s="604">
        <f>IF(OR($BN50&gt;0, $BP50&gt;0), 1, 0)</f>
        <v>0</v>
      </c>
      <c r="H50" s="604">
        <f>IF(OR($BQ50&gt;0, $BS50&gt;0), 1, 0)</f>
        <v>0</v>
      </c>
      <c r="I50" s="604">
        <f>IF(OR($BT50&gt;0, $BV50&gt;0), 1, 0)</f>
        <v>0</v>
      </c>
      <c r="J50" s="604">
        <f>IF(OR($BW50&gt;0, $BY50&gt;0), 1, 0)</f>
        <v>0</v>
      </c>
      <c r="K50" s="604">
        <f>IF(OR($BZ50&gt;0, $CB50&gt;0), 1, 0)</f>
        <v>0</v>
      </c>
      <c r="L50" s="604">
        <f>IF(OR($CC50&gt;0, $CE50&gt;0), 1, 0)</f>
        <v>0</v>
      </c>
      <c r="M50" s="604">
        <f>IF(OR($CF50&gt;0, $CH50&gt;0), 1, 0)</f>
        <v>0</v>
      </c>
      <c r="N50" s="604">
        <f>IF(OR($CI50&gt;0, $CK50&gt;0), 1, 0)</f>
        <v>0</v>
      </c>
      <c r="O50" s="604">
        <f>IF(OR($CL50&gt;0, $CN50&gt;0), 1, 0)</f>
        <v>0</v>
      </c>
      <c r="P50" s="604">
        <f>IF(OR($CO50&gt;0, $CQ50&gt;0), 1, 0)</f>
        <v>0</v>
      </c>
      <c r="Q50" s="604">
        <f>IF(OR($CR50&gt;0, $CT50&gt;0), 1, 0)</f>
        <v>0</v>
      </c>
      <c r="R50" s="604">
        <f>IF(OR($CU50&gt;0, $CW50&gt;0), 1, 0)</f>
        <v>0</v>
      </c>
      <c r="S50" s="604">
        <f>IF(OR($CX50&gt;0, $CZ50&gt;0), 1, 0)</f>
        <v>0</v>
      </c>
      <c r="T50" s="604">
        <f>IF(OR($DA50&gt;0, $DC50&gt;0), 1, 0)</f>
        <v>0</v>
      </c>
      <c r="U50" s="603">
        <f>IF(OR($AI50&gt;0,$AM50&gt;0,$AS50&gt;0), 1, 0)</f>
        <v>0</v>
      </c>
      <c r="V50" s="602">
        <f>[1]BDD!A40</f>
        <v>1696</v>
      </c>
      <c r="W50" s="601" t="str">
        <f>[1]BDD!B40</f>
        <v>Betteraves en poudre BIO (env. 500g)</v>
      </c>
      <c r="X50" s="600" t="str">
        <f>IF([1]BDD!F40=0, "", [1]BDD!F40)</f>
        <v/>
      </c>
      <c r="Y50" s="542">
        <f>ROUND([1]BDD!G40+FDP_CMD_KG, 2)</f>
        <v>13.6</v>
      </c>
      <c r="Z50" s="542">
        <f>ROUND([1]BDD!G40+FDP_FACT_KG, 2)</f>
        <v>13.6</v>
      </c>
      <c r="AA50" s="543" t="str">
        <f>[1]BDD!H40</f>
        <v>Pièce</v>
      </c>
      <c r="AB50" s="544" t="str">
        <f>IF(NOT(ISBLANK([1]BDD!I40)), ROUND(SUM(([1]BDD!G40*reduc1),FDP_CMD_KG), 2), "")</f>
        <v/>
      </c>
      <c r="AC50" s="544" t="str">
        <f>IF(NOT(ISBLANK([1]BDD!J40)), ROUND(SUM(([1]BDD!G40*reduc2),FDP_CMD_KG), 2), "")</f>
        <v/>
      </c>
      <c r="AD50" s="544" t="str">
        <f>IF(NOT(ISBLANK([1]BDD!K40)), ROUND(SUM(([1]BDD!G40*reduc3),FDP_CMD_KG), 2), "")</f>
        <v/>
      </c>
      <c r="AE50" s="544" t="str">
        <f>IF(NOT(ISBLANK([1]BDD!I40)), ROUND(SUM(([1]BDD!G40*reduc1),FDP_FACT_KG), 2), "")</f>
        <v/>
      </c>
      <c r="AF50" s="544" t="str">
        <f>IF(NOT(ISBLANK([1]BDD!J40)), ROUND(SUM(([1]BDD!G40*reduc2),FDP_FACT_KG), 2), "")</f>
        <v/>
      </c>
      <c r="AG50" s="544" t="str">
        <f>IF(NOT(ISBLANK([1]BDD!K40)), ROUND(SUM(([1]BDD!G40*reduc3),FDP_FACT_KG), 2), "")</f>
        <v/>
      </c>
      <c r="AH50" s="599" t="str">
        <f>[1]BDD!C40</f>
        <v>Hongrie</v>
      </c>
      <c r="AI50" s="598">
        <f>SUM(AV50,AY50,BB50,BE50,BH50,BK50,BN50,BQ50,BT50,BW50,BZ50,CC50,CF50,CI50,CL50,CO50,CR50,CU50,CX50,DA50)</f>
        <v>0</v>
      </c>
      <c r="AJ50" s="545">
        <f>_xlfn.IFS($AD50&lt;&gt;"", $AD50,    $AC50&lt;&gt;"", $AC50,    $AB50&lt;&gt;"", $AB50,    TRUE, $Y50)</f>
        <v>13.6</v>
      </c>
      <c r="AK50" s="592">
        <f>$AI50*$AJ50</f>
        <v>0</v>
      </c>
      <c r="AL50" s="594"/>
      <c r="AM50" s="597"/>
      <c r="AN50" s="545">
        <f>_xlfn.IFS(AND(AM50&gt;=60,$AG50&lt;&gt;""), $AG50,    AND(AM50&gt;=30,$AF50&lt;&gt;""), $AF50,    AND(AM50&gt;=10,$AE50&lt;&gt;""), $AE50,    TRUE, $Z50)</f>
        <v>13.6</v>
      </c>
      <c r="AO50" s="596">
        <f>AM50*AN50</f>
        <v>0</v>
      </c>
      <c r="AP50" s="595"/>
      <c r="AQ50" s="595"/>
      <c r="AR50" s="594"/>
      <c r="AS50" s="593">
        <f>SUM(AW50,AZ50,BC50,BF50,BI50,BL50,BO50,BR50,BU50,BX50,CA50,CD50,CG50,CJ50,CM50,CP50,CS50,CV50,CY50,DB50)</f>
        <v>0</v>
      </c>
      <c r="AT50" s="545">
        <f>_xlfn.IFS(AND(AS50&gt;=60,$AG50&lt;&gt;""), $AG50,    AND(AS50&gt;=30,$AF50&lt;&gt;""), $AF50,    AND(AS50&gt;=10,$AE50&lt;&gt;""), $AE50,    TRUE, $Z50)</f>
        <v>13.6</v>
      </c>
      <c r="AU50" s="592">
        <f>$AS50*$AT50</f>
        <v>0</v>
      </c>
      <c r="AV50" s="591">
        <f>[1]COMMANDE!O48</f>
        <v>0</v>
      </c>
      <c r="AW50" s="586" t="str">
        <f>_xlfn.IFS(AND($AI50=$AM50,$AI50&gt;0,$AM50&gt;0,AV50&gt;0), AV50,     AND(NOT($AI50=$AM50),$AI50&gt;0,$AM50&gt;0,AV50&gt;0), ($AM50*AV50)/$AI50,     AND($AI50=0,$AM50&gt;0,$AQ50&gt;0), IF(INDEX(AV$12:AV$263,MATCH($AQ50,$AP$12:$AP$263,0))&gt;0,($AM50*INDEX(AV$12:AV$263,MATCH($AQ50,$AP$12:$AP$263,0)))/INDEX($AI$12:$AI$263,MATCH($AQ50,$AP$12:$AP$263,0)), "-"),     TRUE, "0")</f>
        <v>0</v>
      </c>
      <c r="AX50" s="588">
        <f>IF(AW$9&gt;0, IF(OR(AW50="",AW50="-"), 0, AW50*$AT50), AV50*$AJ50)</f>
        <v>0</v>
      </c>
      <c r="AY50" s="587">
        <f>[1]COMMANDE!Q48</f>
        <v>0</v>
      </c>
      <c r="AZ50" s="586" t="str">
        <f>_xlfn.IFS(AND($AI50=$AM50,$AI50&gt;0,$AM50&gt;0,AY50&gt;0), AY50,     AND(NOT($AI50=$AM50),$AI50&gt;0,$AM50&gt;0,AY50&gt;0), ($AM50*AY50)/$AI50,     AND($AI50=0,$AM50&gt;0,$AQ50&gt;0), IF(INDEX(AY$12:AY$263,MATCH($AQ50,$AP$12:$AP$263,0))&gt;0,($AM50*INDEX(AY$12:AY$263,MATCH($AQ50,$AP$12:$AP$263,0)))/INDEX($AI$12:$AI$263,MATCH($AQ50,$AP$12:$AP$263,0)), "-"),     TRUE, "0")</f>
        <v>0</v>
      </c>
      <c r="BA50" s="607">
        <f>IF(AZ$9&gt;0, IF(OR(AZ50="",AZ50="-"), 0, AZ50*$AT50), AY50*$AJ50)</f>
        <v>0</v>
      </c>
      <c r="BB50" s="589">
        <f>[1]COMMANDE!S48</f>
        <v>0</v>
      </c>
      <c r="BC50" s="586" t="str">
        <f>_xlfn.IFS(AND($AI50=$AM50,$AI50&gt;0,$AM50&gt;0,BB50&gt;0), BB50,     AND(NOT($AI50=$AM50),$AI50&gt;0,$AM50&gt;0,BB50&gt;0), ($AM50*BB50)/$AI50,     AND($AI50=0,$AM50&gt;0,$AQ50&gt;0), IF(INDEX(BB$12:BB$263,MATCH($AQ50,$AP$12:$AP$263,0))&gt;0,($AM50*INDEX(BB$12:BB$263,MATCH($AQ50,$AP$12:$AP$263,0)))/INDEX($AI$12:$AI$263,MATCH($AQ50,$AP$12:$AP$263,0)), "-"),     TRUE, "0")</f>
        <v>0</v>
      </c>
      <c r="BD50" s="588">
        <f>IF(BC$9&gt;0, IF(OR(BC50="",BC50="-"), 0, BC50*$AT50), BB50*$AJ50)</f>
        <v>0</v>
      </c>
      <c r="BE50" s="587">
        <f>[1]COMMANDE!U48</f>
        <v>0</v>
      </c>
      <c r="BF50" s="586" t="str">
        <f>_xlfn.IFS(AND($AI50=$AM50,$AI50&gt;0,$AM50&gt;0,BE50&gt;0), BE50,     AND(NOT($AI50=$AM50),$AI50&gt;0,$AM50&gt;0,BE50&gt;0), ($AM50*BE50)/$AI50,     AND($AI50=0,$AM50&gt;0,$AQ50&gt;0), IF(INDEX(BE$12:BE$263,MATCH($AQ50,$AP$12:$AP$263,0))&gt;0,($AM50*INDEX(BE$12:BE$263,MATCH($AQ50,$AP$12:$AP$263,0)))/INDEX($AI$12:$AI$263,MATCH($AQ50,$AP$12:$AP$263,0)), "-"),     TRUE, "0")</f>
        <v>0</v>
      </c>
      <c r="BG50" s="607">
        <f>IF(BF$9&gt;0, IF(OR(BF50="",BF50="-"), 0, BF50*$AT50), BE50*$AJ50)</f>
        <v>0</v>
      </c>
      <c r="BH50" s="589">
        <f>[1]COMMANDE!W48</f>
        <v>0</v>
      </c>
      <c r="BI50" s="586" t="str">
        <f>_xlfn.IFS(AND($AI50=$AM50,$AI50&gt;0,$AM50&gt;0,BH50&gt;0), BH50,     AND(NOT($AI50=$AM50),$AI50&gt;0,$AM50&gt;0,BH50&gt;0), ($AM50*BH50)/$AI50,     AND($AI50=0,$AM50&gt;0,$AQ50&gt;0), IF(INDEX(BH$12:BH$263,MATCH($AQ50,$AP$12:$AP$263,0))&gt;0,($AM50*INDEX(BH$12:BH$263,MATCH($AQ50,$AP$12:$AP$263,0)))/INDEX($AI$12:$AI$263,MATCH($AQ50,$AP$12:$AP$263,0)), "-"),     TRUE, "0")</f>
        <v>0</v>
      </c>
      <c r="BJ50" s="588">
        <f>IF(BI$9&gt;0, IF(OR(BI50="",BI50="-"), 0, BI50*$AT50), BH50*$AJ50)</f>
        <v>0</v>
      </c>
      <c r="BK50" s="587">
        <f>[1]COMMANDE!Y48</f>
        <v>0</v>
      </c>
      <c r="BL50" s="586" t="str">
        <f>_xlfn.IFS(AND($AI50=$AM50,$AI50&gt;0,$AM50&gt;0,BK50&gt;0), BK50,     AND(NOT($AI50=$AM50),$AI50&gt;0,$AM50&gt;0,BK50&gt;0), ($AM50*BK50)/$AI50,     AND($AI50=0,$AM50&gt;0,$AQ50&gt;0), IF(INDEX(BK$12:BK$263,MATCH($AQ50,$AP$12:$AP$263,0))&gt;0,($AM50*INDEX(BK$12:BK$263,MATCH($AQ50,$AP$12:$AP$263,0)))/INDEX($AI$12:$AI$263,MATCH($AQ50,$AP$12:$AP$263,0)), "-"),     TRUE, "0")</f>
        <v>0</v>
      </c>
      <c r="BM50" s="607">
        <f>IF(BL$9&gt;0, IF(OR(BL50="",BL50="-"), 0, BL50*$AT50), BK50*$AJ50)</f>
        <v>0</v>
      </c>
      <c r="BN50" s="589">
        <f>[1]COMMANDE!AA48</f>
        <v>0</v>
      </c>
      <c r="BO50" s="586" t="str">
        <f>_xlfn.IFS(AND($AI50=$AM50,$AI50&gt;0,$AM50&gt;0,BN50&gt;0), BN50,     AND(NOT($AI50=$AM50),$AI50&gt;0,$AM50&gt;0,BN50&gt;0), ($AM50*BN50)/$AI50,     AND($AI50=0,$AM50&gt;0,$AQ50&gt;0), IF(INDEX(BN$12:BN$263,MATCH($AQ50,$AP$12:$AP$263,0))&gt;0,($AM50*INDEX(BN$12:BN$263,MATCH($AQ50,$AP$12:$AP$263,0)))/INDEX($AI$12:$AI$263,MATCH($AQ50,$AP$12:$AP$263,0)), "-"),     TRUE, "0")</f>
        <v>0</v>
      </c>
      <c r="BP50" s="588">
        <f>IF(BO$9&gt;0, IF(OR(BO50="",BO50="-"), 0, BO50*$AT50), BN50*$AJ50)</f>
        <v>0</v>
      </c>
      <c r="BQ50" s="587">
        <f>[1]COMMANDE!AC48</f>
        <v>0</v>
      </c>
      <c r="BR50" s="586" t="str">
        <f>_xlfn.IFS(AND($AI50=$AM50,$AI50&gt;0,$AM50&gt;0,BQ50&gt;0), BQ50,     AND(NOT($AI50=$AM50),$AI50&gt;0,$AM50&gt;0,BQ50&gt;0), ($AM50*BQ50)/$AI50,     AND($AI50=0,$AM50&gt;0,$AQ50&gt;0), IF(INDEX(BQ$12:BQ$263,MATCH($AQ50,$AP$12:$AP$263,0))&gt;0,($AM50*INDEX(BQ$12:BQ$263,MATCH($AQ50,$AP$12:$AP$263,0)))/INDEX($AI$12:$AI$263,MATCH($AQ50,$AP$12:$AP$263,0)), "-"),     TRUE, "0")</f>
        <v>0</v>
      </c>
      <c r="BS50" s="607">
        <f>IF(BR$9&gt;0, IF(OR(BR50="",BR50="-"), 0, BR50*$AT50), BQ50*$AJ50)</f>
        <v>0</v>
      </c>
      <c r="BT50" s="589">
        <f>[1]COMMANDE!AE48</f>
        <v>0</v>
      </c>
      <c r="BU50" s="586" t="str">
        <f>_xlfn.IFS(AND($AI50=$AM50,$AI50&gt;0,$AM50&gt;0,BT50&gt;0), BT50,     AND(NOT($AI50=$AM50),$AI50&gt;0,$AM50&gt;0,BT50&gt;0), ($AM50*BT50)/$AI50,     AND($AI50=0,$AM50&gt;0,$AQ50&gt;0), IF(INDEX(BT$12:BT$263,MATCH($AQ50,$AP$12:$AP$263,0))&gt;0,($AM50*INDEX(BT$12:BT$263,MATCH($AQ50,$AP$12:$AP$263,0)))/INDEX($AI$12:$AI$263,MATCH($AQ50,$AP$12:$AP$263,0)), "-"),     TRUE, "0")</f>
        <v>0</v>
      </c>
      <c r="BV50" s="588">
        <f>IF(BU$9&gt;0, IF(OR(BU50="",BU50="-"), 0, BU50*$AT50), BT50*$AJ50)</f>
        <v>0</v>
      </c>
      <c r="BW50" s="587">
        <f>[1]COMMANDE!AG48</f>
        <v>0</v>
      </c>
      <c r="BX50" s="586" t="str">
        <f>_xlfn.IFS(AND($AI50=$AM50,$AI50&gt;0,$AM50&gt;0,BW50&gt;0), BW50,     AND(NOT($AI50=$AM50),$AI50&gt;0,$AM50&gt;0,BW50&gt;0), ($AM50*BW50)/$AI50,     AND($AI50=0,$AM50&gt;0,$AQ50&gt;0), IF(INDEX(BW$12:BW$263,MATCH($AQ50,$AP$12:$AP$263,0))&gt;0,($AM50*INDEX(BW$12:BW$263,MATCH($AQ50,$AP$12:$AP$263,0)))/INDEX($AI$12:$AI$263,MATCH($AQ50,$AP$12:$AP$263,0)), "-"),     TRUE, "0")</f>
        <v>0</v>
      </c>
      <c r="BY50" s="607">
        <f>IF(BX$9&gt;0, IF(OR(BX50="",BX50="-"), 0, BX50*$AT50), BW50*$AJ50)</f>
        <v>0</v>
      </c>
      <c r="BZ50" s="589">
        <f>[1]COMMANDE!AI48</f>
        <v>0</v>
      </c>
      <c r="CA50" s="586" t="str">
        <f>_xlfn.IFS(AND($AI50=$AM50,$AI50&gt;0,$AM50&gt;0,BZ50&gt;0), BZ50,     AND(NOT($AI50=$AM50),$AI50&gt;0,$AM50&gt;0,BZ50&gt;0), ($AM50*BZ50)/$AI50,     AND($AI50=0,$AM50&gt;0,$AQ50&gt;0), IF(INDEX(BZ$12:BZ$263,MATCH($AQ50,$AP$12:$AP$263,0))&gt;0,($AM50*INDEX(BZ$12:BZ$263,MATCH($AQ50,$AP$12:$AP$263,0)))/INDEX($AI$12:$AI$263,MATCH($AQ50,$AP$12:$AP$263,0)), "-"),     TRUE, "0")</f>
        <v>0</v>
      </c>
      <c r="CB50" s="588">
        <f>IF(CA$9&gt;0, IF(OR(CA50="",CA50="-"), 0, CA50*$AT50), BZ50*$AJ50)</f>
        <v>0</v>
      </c>
      <c r="CC50" s="587">
        <f>[1]COMMANDE!AK48</f>
        <v>0</v>
      </c>
      <c r="CD50" s="586" t="str">
        <f>_xlfn.IFS(AND($AI50=$AM50,$AI50&gt;0,$AM50&gt;0,CC50&gt;0), CC50,     AND(NOT($AI50=$AM50),$AI50&gt;0,$AM50&gt;0,CC50&gt;0), ($AM50*CC50)/$AI50,     AND($AI50=0,$AM50&gt;0,$AQ50&gt;0), IF(INDEX(CC$12:CC$263,MATCH($AQ50,$AP$12:$AP$263,0))&gt;0,($AM50*INDEX(CC$12:CC$263,MATCH($AQ50,$AP$12:$AP$263,0)))/INDEX($AI$12:$AI$263,MATCH($AQ50,$AP$12:$AP$263,0)), "-"),     TRUE, "0")</f>
        <v>0</v>
      </c>
      <c r="CE50" s="607">
        <f>IF(CD$9&gt;0, IF(OR(CD50="",CD50="-"), 0, CD50*$AT50), CC50*$AJ50)</f>
        <v>0</v>
      </c>
      <c r="CF50" s="589">
        <f>[1]COMMANDE!AM48</f>
        <v>0</v>
      </c>
      <c r="CG50" s="586" t="str">
        <f>_xlfn.IFS(AND($AI50=$AM50,$AI50&gt;0,$AM50&gt;0,CF50&gt;0), CF50,     AND(NOT($AI50=$AM50),$AI50&gt;0,$AM50&gt;0,CF50&gt;0), ($AM50*CF50)/$AI50,     AND($AI50=0,$AM50&gt;0,$AQ50&gt;0), IF(INDEX(CF$12:CF$263,MATCH($AQ50,$AP$12:$AP$263,0))&gt;0,($AM50*INDEX(CF$12:CF$263,MATCH($AQ50,$AP$12:$AP$263,0)))/INDEX($AI$12:$AI$263,MATCH($AQ50,$AP$12:$AP$263,0)), "-"),     TRUE, "0")</f>
        <v>0</v>
      </c>
      <c r="CH50" s="588">
        <f>IF(CG$9&gt;0, IF(OR(CG50="",CG50="-"), 0, CG50*$AT50), CF50*$AJ50)</f>
        <v>0</v>
      </c>
      <c r="CI50" s="587">
        <f>[1]COMMANDE!AO48</f>
        <v>0</v>
      </c>
      <c r="CJ50" s="586" t="str">
        <f>_xlfn.IFS(AND($AI50=$AM50,$AI50&gt;0,$AM50&gt;0,CI50&gt;0), CI50,     AND(NOT($AI50=$AM50),$AI50&gt;0,$AM50&gt;0,CI50&gt;0), ($AM50*CI50)/$AI50,     AND($AI50=0,$AM50&gt;0,$AQ50&gt;0), IF(INDEX(CI$12:CI$263,MATCH($AQ50,$AP$12:$AP$263,0))&gt;0,($AM50*INDEX(CI$12:CI$263,MATCH($AQ50,$AP$12:$AP$263,0)))/INDEX($AI$12:$AI$263,MATCH($AQ50,$AP$12:$AP$263,0)), "-"),     TRUE, "0")</f>
        <v>0</v>
      </c>
      <c r="CK50" s="607">
        <f>IF(CJ$9&gt;0, IF(OR(CJ50="",CJ50="-"), 0, CJ50*$AT50), CI50*$AJ50)</f>
        <v>0</v>
      </c>
      <c r="CL50" s="589">
        <f>[1]COMMANDE!AQ48</f>
        <v>0</v>
      </c>
      <c r="CM50" s="586" t="str">
        <f>_xlfn.IFS(AND($AI50=$AM50,$AI50&gt;0,$AM50&gt;0,CL50&gt;0), CL50,     AND(NOT($AI50=$AM50),$AI50&gt;0,$AM50&gt;0,CL50&gt;0), ($AM50*CL50)/$AI50,     AND($AI50=0,$AM50&gt;0,$AQ50&gt;0), IF(INDEX(CL$12:CL$263,MATCH($AQ50,$AP$12:$AP$263,0))&gt;0,($AM50*INDEX(CL$12:CL$263,MATCH($AQ50,$AP$12:$AP$263,0)))/INDEX($AI$12:$AI$263,MATCH($AQ50,$AP$12:$AP$263,0)), "-"),     TRUE, "0")</f>
        <v>0</v>
      </c>
      <c r="CN50" s="588">
        <f>IF(CM$9&gt;0, IF(OR(CM50="",CM50="-"), 0, CM50*$AT50), CL50*$AJ50)</f>
        <v>0</v>
      </c>
      <c r="CO50" s="587">
        <f>[1]COMMANDE!AS48</f>
        <v>0</v>
      </c>
      <c r="CP50" s="586" t="str">
        <f>_xlfn.IFS(AND($AI50=$AM50,$AI50&gt;0,$AM50&gt;0,CO50&gt;0), CO50,     AND(NOT($AI50=$AM50),$AI50&gt;0,$AM50&gt;0,CO50&gt;0), ($AM50*CO50)/$AI50,     AND($AI50=0,$AM50&gt;0,$AQ50&gt;0), IF(INDEX(CO$12:CO$263,MATCH($AQ50,$AP$12:$AP$263,0))&gt;0,($AM50*INDEX(CO$12:CO$263,MATCH($AQ50,$AP$12:$AP$263,0)))/INDEX($AI$12:$AI$263,MATCH($AQ50,$AP$12:$AP$263,0)), "-"),     TRUE, "0")</f>
        <v>0</v>
      </c>
      <c r="CQ50" s="607">
        <f>IF(CP$9&gt;0, IF(OR(CP50="",CP50="-"), 0, CP50*$AT50), CO50*$AJ50)</f>
        <v>0</v>
      </c>
      <c r="CR50" s="589">
        <f>[1]COMMANDE!AU48</f>
        <v>0</v>
      </c>
      <c r="CS50" s="586" t="str">
        <f>_xlfn.IFS(AND($AI50=$AM50,$AI50&gt;0,$AM50&gt;0,CR50&gt;0), CR50,     AND(NOT($AI50=$AM50),$AI50&gt;0,$AM50&gt;0,CR50&gt;0), ($AM50*CR50)/$AI50,     AND($AI50=0,$AM50&gt;0,$AQ50&gt;0), IF(INDEX(CR$12:CR$263,MATCH($AQ50,$AP$12:$AP$263,0))&gt;0,($AM50*INDEX(CR$12:CR$263,MATCH($AQ50,$AP$12:$AP$263,0)))/INDEX($AI$12:$AI$263,MATCH($AQ50,$AP$12:$AP$263,0)), "-"),     TRUE, "0")</f>
        <v>0</v>
      </c>
      <c r="CT50" s="588">
        <f>IF(CS$9&gt;0, IF(OR(CS50="",CS50="-"), 0, CS50*$AT50), CR50*$AJ50)</f>
        <v>0</v>
      </c>
      <c r="CU50" s="587">
        <f>[1]COMMANDE!AW48</f>
        <v>0</v>
      </c>
      <c r="CV50" s="586" t="str">
        <f>_xlfn.IFS(AND($AI50=$AM50,$AI50&gt;0,$AM50&gt;0,CU50&gt;0), CU50,     AND(NOT($AI50=$AM50),$AI50&gt;0,$AM50&gt;0,CU50&gt;0), ($AM50*CU50)/$AI50,     AND($AI50=0,$AM50&gt;0,$AQ50&gt;0), IF(INDEX(CU$12:CU$263,MATCH($AQ50,$AP$12:$AP$263,0))&gt;0,($AM50*INDEX(CU$12:CU$263,MATCH($AQ50,$AP$12:$AP$263,0)))/INDEX($AI$12:$AI$263,MATCH($AQ50,$AP$12:$AP$263,0)), "-"),     TRUE, "0")</f>
        <v>0</v>
      </c>
      <c r="CW50" s="607">
        <f>IF(CV$9&gt;0, IF(OR(CV50="",CV50="-"), 0, CV50*$AT50), CU50*$AJ50)</f>
        <v>0</v>
      </c>
      <c r="CX50" s="589">
        <f>[1]COMMANDE!AY48</f>
        <v>0</v>
      </c>
      <c r="CY50" s="586" t="str">
        <f>_xlfn.IFS(AND($AI50=$AM50,$AI50&gt;0,$AM50&gt;0,CX50&gt;0), CX50,     AND(NOT($AI50=$AM50),$AI50&gt;0,$AM50&gt;0,CX50&gt;0), ($AM50*CX50)/$AI50,     AND($AI50=0,$AM50&gt;0,$AQ50&gt;0), IF(INDEX(CX$12:CX$263,MATCH($AQ50,$AP$12:$AP$263,0))&gt;0,($AM50*INDEX(CX$12:CX$263,MATCH($AQ50,$AP$12:$AP$263,0)))/INDEX($AI$12:$AI$263,MATCH($AQ50,$AP$12:$AP$263,0)), "-"),     TRUE, "0")</f>
        <v>0</v>
      </c>
      <c r="CZ50" s="588">
        <f>IF(CY$9&gt;0, IF(OR(CY50="",CY50="-"), 0, CY50*$AT50), CX50*$AJ50)</f>
        <v>0</v>
      </c>
      <c r="DA50" s="587">
        <f>[1]COMMANDE!BA48</f>
        <v>0</v>
      </c>
      <c r="DB50" s="586" t="str">
        <f>_xlfn.IFS(AND($AI50=$AM50,$AI50&gt;0,$AM50&gt;0,DA50&gt;0), DA50,     AND(NOT($AI50=$AM50),$AI50&gt;0,$AM50&gt;0,DA50&gt;0), ($AM50*DA50)/$AI50,     AND($AI50=0,$AM50&gt;0,$AQ50&gt;0), IF(INDEX(DA$12:DA$263,MATCH($AQ50,$AP$12:$AP$263,0))&gt;0,($AM50*INDEX(DA$12:DA$263,MATCH($AQ50,$AP$12:$AP$263,0)))/INDEX($AI$12:$AI$263,MATCH($AQ50,$AP$12:$AP$263,0)), "-"),     TRUE, "0")</f>
        <v>0</v>
      </c>
      <c r="DC50" s="606">
        <f>IF(DB$9&gt;0, IF(OR(DB50="",DB50="-"), 0, DB50*$AT50), DA50*$AJ50)</f>
        <v>0</v>
      </c>
      <c r="DD50" s="584"/>
      <c r="DE50" s="583"/>
    </row>
    <row r="51" spans="1:109" ht="39.950000000000003" hidden="1" customHeight="1">
      <c r="A51" s="604">
        <f>IF(OR($AV51&gt;0, $AX51&gt;0), 1, 0)</f>
        <v>0</v>
      </c>
      <c r="B51" s="604">
        <f>IF(OR($AY51&gt;0, $BA51&gt;0), 1, 0)</f>
        <v>0</v>
      </c>
      <c r="C51" s="604">
        <f>IF(OR($BB51&gt;0, $BD51&gt;0), 1, 0)</f>
        <v>0</v>
      </c>
      <c r="D51" s="604">
        <f>IF(OR($BE51&gt;0, $BG51&gt;0), 1, 0)</f>
        <v>0</v>
      </c>
      <c r="E51" s="604">
        <f>IF(OR($BH51&gt;0, $BJ51&gt;0), 1, 0)</f>
        <v>0</v>
      </c>
      <c r="F51" s="604">
        <f>IF(OR($BK51&gt;0, $BM51&gt;0), 1, 0)</f>
        <v>0</v>
      </c>
      <c r="G51" s="604">
        <f>IF(OR($BN51&gt;0, $BP51&gt;0), 1, 0)</f>
        <v>0</v>
      </c>
      <c r="H51" s="604">
        <f>IF(OR($BQ51&gt;0, $BS51&gt;0), 1, 0)</f>
        <v>0</v>
      </c>
      <c r="I51" s="604">
        <f>IF(OR($BT51&gt;0, $BV51&gt;0), 1, 0)</f>
        <v>0</v>
      </c>
      <c r="J51" s="604">
        <f>IF(OR($BW51&gt;0, $BY51&gt;0), 1, 0)</f>
        <v>0</v>
      </c>
      <c r="K51" s="604">
        <f>IF(OR($BZ51&gt;0, $CB51&gt;0), 1, 0)</f>
        <v>0</v>
      </c>
      <c r="L51" s="604">
        <f>IF(OR($CC51&gt;0, $CE51&gt;0), 1, 0)</f>
        <v>0</v>
      </c>
      <c r="M51" s="604">
        <f>IF(OR($CF51&gt;0, $CH51&gt;0), 1, 0)</f>
        <v>0</v>
      </c>
      <c r="N51" s="604">
        <f>IF(OR($CI51&gt;0, $CK51&gt;0), 1, 0)</f>
        <v>0</v>
      </c>
      <c r="O51" s="604">
        <f>IF(OR($CL51&gt;0, $CN51&gt;0), 1, 0)</f>
        <v>0</v>
      </c>
      <c r="P51" s="604">
        <f>IF(OR($CO51&gt;0, $CQ51&gt;0), 1, 0)</f>
        <v>0</v>
      </c>
      <c r="Q51" s="604">
        <f>IF(OR($CR51&gt;0, $CT51&gt;0), 1, 0)</f>
        <v>0</v>
      </c>
      <c r="R51" s="604">
        <f>IF(OR($CU51&gt;0, $CW51&gt;0), 1, 0)</f>
        <v>0</v>
      </c>
      <c r="S51" s="604">
        <f>IF(OR($CX51&gt;0, $CZ51&gt;0), 1, 0)</f>
        <v>0</v>
      </c>
      <c r="T51" s="604">
        <f>IF(OR($DA51&gt;0, $DC51&gt;0), 1, 0)</f>
        <v>0</v>
      </c>
      <c r="U51" s="603">
        <f>IF(OR($AI51&gt;0,$AM51&gt;0,$AS51&gt;0), 1, 0)</f>
        <v>0</v>
      </c>
      <c r="V51" s="602">
        <f>[1]BDD!A41</f>
        <v>1758</v>
      </c>
      <c r="W51" s="601" t="str">
        <f>[1]BDD!B41</f>
        <v>Beurre de cacao BIO (env. 1 kg)</v>
      </c>
      <c r="X51" s="600" t="str">
        <f>IF([1]BDD!F41=0, "", [1]BDD!F41)</f>
        <v/>
      </c>
      <c r="Y51" s="542">
        <f>ROUND([1]BDD!G41+FDP_CMD_KG, 2)</f>
        <v>27.71</v>
      </c>
      <c r="Z51" s="542">
        <f>ROUND([1]BDD!G41+FDP_FACT_KG, 2)</f>
        <v>27.71</v>
      </c>
      <c r="AA51" s="543" t="str">
        <f>[1]BDD!H41</f>
        <v>Pièce</v>
      </c>
      <c r="AB51" s="544" t="str">
        <f>IF(NOT(ISBLANK([1]BDD!I41)), ROUND(SUM(([1]BDD!G41*reduc1),FDP_CMD_KG), 2), "")</f>
        <v/>
      </c>
      <c r="AC51" s="544" t="str">
        <f>IF(NOT(ISBLANK([1]BDD!J41)), ROUND(SUM(([1]BDD!G41*reduc2),FDP_CMD_KG), 2), "")</f>
        <v/>
      </c>
      <c r="AD51" s="544" t="str">
        <f>IF(NOT(ISBLANK([1]BDD!K41)), ROUND(SUM(([1]BDD!G41*reduc3),FDP_CMD_KG), 2), "")</f>
        <v/>
      </c>
      <c r="AE51" s="544" t="str">
        <f>IF(NOT(ISBLANK([1]BDD!I41)), ROUND(SUM(([1]BDD!G41*reduc1),FDP_FACT_KG), 2), "")</f>
        <v/>
      </c>
      <c r="AF51" s="544" t="str">
        <f>IF(NOT(ISBLANK([1]BDD!J41)), ROUND(SUM(([1]BDD!G41*reduc2),FDP_FACT_KG), 2), "")</f>
        <v/>
      </c>
      <c r="AG51" s="544" t="str">
        <f>IF(NOT(ISBLANK([1]BDD!K41)), ROUND(SUM(([1]BDD!G41*reduc3),FDP_FACT_KG), 2), "")</f>
        <v/>
      </c>
      <c r="AH51" s="599" t="str">
        <f>[1]BDD!C41</f>
        <v>Pérou</v>
      </c>
      <c r="AI51" s="598">
        <f>SUM(AV51,AY51,BB51,BE51,BH51,BK51,BN51,BQ51,BT51,BW51,BZ51,CC51,CF51,CI51,CL51,CO51,CR51,CU51,CX51,DA51)</f>
        <v>0</v>
      </c>
      <c r="AJ51" s="545">
        <f>_xlfn.IFS($AD51&lt;&gt;"", $AD51,    $AC51&lt;&gt;"", $AC51,    $AB51&lt;&gt;"", $AB51,    TRUE, $Y51)</f>
        <v>27.71</v>
      </c>
      <c r="AK51" s="592">
        <f>$AI51*$AJ51</f>
        <v>0</v>
      </c>
      <c r="AL51" s="594"/>
      <c r="AM51" s="597"/>
      <c r="AN51" s="545">
        <f>_xlfn.IFS(AND(AM51&gt;=60,$AG51&lt;&gt;""), $AG51,    AND(AM51&gt;=30,$AF51&lt;&gt;""), $AF51,    AND(AM51&gt;=10,$AE51&lt;&gt;""), $AE51,    TRUE, $Z51)</f>
        <v>27.71</v>
      </c>
      <c r="AO51" s="596">
        <f>AM51*AN51</f>
        <v>0</v>
      </c>
      <c r="AP51" s="595"/>
      <c r="AQ51" s="595"/>
      <c r="AR51" s="594"/>
      <c r="AS51" s="593">
        <f>SUM(AW51,AZ51,BC51,BF51,BI51,BL51,BO51,BR51,BU51,BX51,CA51,CD51,CG51,CJ51,CM51,CP51,CS51,CV51,CY51,DB51)</f>
        <v>0</v>
      </c>
      <c r="AT51" s="545">
        <f>_xlfn.IFS(AND(AS51&gt;=60,$AG51&lt;&gt;""), $AG51,    AND(AS51&gt;=30,$AF51&lt;&gt;""), $AF51,    AND(AS51&gt;=10,$AE51&lt;&gt;""), $AE51,    TRUE, $Z51)</f>
        <v>27.71</v>
      </c>
      <c r="AU51" s="592">
        <f>$AS51*$AT51</f>
        <v>0</v>
      </c>
      <c r="AV51" s="591">
        <f>[1]COMMANDE!O49</f>
        <v>0</v>
      </c>
      <c r="AW51" s="586" t="str">
        <f>_xlfn.IFS(AND($AI51=$AM51,$AI51&gt;0,$AM51&gt;0,AV51&gt;0), AV51,     AND(NOT($AI51=$AM51),$AI51&gt;0,$AM51&gt;0,AV51&gt;0), ($AM51*AV51)/$AI51,     AND($AI51=0,$AM51&gt;0,$AQ51&gt;0), IF(INDEX(AV$12:AV$263,MATCH($AQ51,$AP$12:$AP$263,0))&gt;0,($AM51*INDEX(AV$12:AV$263,MATCH($AQ51,$AP$12:$AP$263,0)))/INDEX($AI$12:$AI$263,MATCH($AQ51,$AP$12:$AP$263,0)), "-"),     TRUE, "0")</f>
        <v>0</v>
      </c>
      <c r="AX51" s="588">
        <f>IF(AW$9&gt;0, IF(OR(AW51="",AW51="-"), 0, AW51*$AT51), AV51*$AJ51)</f>
        <v>0</v>
      </c>
      <c r="AY51" s="587">
        <f>[1]COMMANDE!Q49</f>
        <v>0</v>
      </c>
      <c r="AZ51" s="586" t="str">
        <f>_xlfn.IFS(AND($AI51=$AM51,$AI51&gt;0,$AM51&gt;0,AY51&gt;0), AY51,     AND(NOT($AI51=$AM51),$AI51&gt;0,$AM51&gt;0,AY51&gt;0), ($AM51*AY51)/$AI51,     AND($AI51=0,$AM51&gt;0,$AQ51&gt;0), IF(INDEX(AY$12:AY$263,MATCH($AQ51,$AP$12:$AP$263,0))&gt;0,($AM51*INDEX(AY$12:AY$263,MATCH($AQ51,$AP$12:$AP$263,0)))/INDEX($AI$12:$AI$263,MATCH($AQ51,$AP$12:$AP$263,0)), "-"),     TRUE, "0")</f>
        <v>0</v>
      </c>
      <c r="BA51" s="607">
        <f>IF(AZ$9&gt;0, IF(OR(AZ51="",AZ51="-"), 0, AZ51*$AT51), AY51*$AJ51)</f>
        <v>0</v>
      </c>
      <c r="BB51" s="589">
        <f>[1]COMMANDE!S49</f>
        <v>0</v>
      </c>
      <c r="BC51" s="586" t="str">
        <f>_xlfn.IFS(AND($AI51=$AM51,$AI51&gt;0,$AM51&gt;0,BB51&gt;0), BB51,     AND(NOT($AI51=$AM51),$AI51&gt;0,$AM51&gt;0,BB51&gt;0), ($AM51*BB51)/$AI51,     AND($AI51=0,$AM51&gt;0,$AQ51&gt;0), IF(INDEX(BB$12:BB$263,MATCH($AQ51,$AP$12:$AP$263,0))&gt;0,($AM51*INDEX(BB$12:BB$263,MATCH($AQ51,$AP$12:$AP$263,0)))/INDEX($AI$12:$AI$263,MATCH($AQ51,$AP$12:$AP$263,0)), "-"),     TRUE, "0")</f>
        <v>0</v>
      </c>
      <c r="BD51" s="588">
        <f>IF(BC$9&gt;0, IF(OR(BC51="",BC51="-"), 0, BC51*$AT51), BB51*$AJ51)</f>
        <v>0</v>
      </c>
      <c r="BE51" s="587">
        <f>[1]COMMANDE!U49</f>
        <v>0</v>
      </c>
      <c r="BF51" s="586" t="str">
        <f>_xlfn.IFS(AND($AI51=$AM51,$AI51&gt;0,$AM51&gt;0,BE51&gt;0), BE51,     AND(NOT($AI51=$AM51),$AI51&gt;0,$AM51&gt;0,BE51&gt;0), ($AM51*BE51)/$AI51,     AND($AI51=0,$AM51&gt;0,$AQ51&gt;0), IF(INDEX(BE$12:BE$263,MATCH($AQ51,$AP$12:$AP$263,0))&gt;0,($AM51*INDEX(BE$12:BE$263,MATCH($AQ51,$AP$12:$AP$263,0)))/INDEX($AI$12:$AI$263,MATCH($AQ51,$AP$12:$AP$263,0)), "-"),     TRUE, "0")</f>
        <v>0</v>
      </c>
      <c r="BG51" s="607">
        <f>IF(BF$9&gt;0, IF(OR(BF51="",BF51="-"), 0, BF51*$AT51), BE51*$AJ51)</f>
        <v>0</v>
      </c>
      <c r="BH51" s="589">
        <f>[1]COMMANDE!W49</f>
        <v>0</v>
      </c>
      <c r="BI51" s="586" t="str">
        <f>_xlfn.IFS(AND($AI51=$AM51,$AI51&gt;0,$AM51&gt;0,BH51&gt;0), BH51,     AND(NOT($AI51=$AM51),$AI51&gt;0,$AM51&gt;0,BH51&gt;0), ($AM51*BH51)/$AI51,     AND($AI51=0,$AM51&gt;0,$AQ51&gt;0), IF(INDEX(BH$12:BH$263,MATCH($AQ51,$AP$12:$AP$263,0))&gt;0,($AM51*INDEX(BH$12:BH$263,MATCH($AQ51,$AP$12:$AP$263,0)))/INDEX($AI$12:$AI$263,MATCH($AQ51,$AP$12:$AP$263,0)), "-"),     TRUE, "0")</f>
        <v>0</v>
      </c>
      <c r="BJ51" s="588">
        <f>IF(BI$9&gt;0, IF(OR(BI51="",BI51="-"), 0, BI51*$AT51), BH51*$AJ51)</f>
        <v>0</v>
      </c>
      <c r="BK51" s="587">
        <f>[1]COMMANDE!Y49</f>
        <v>0</v>
      </c>
      <c r="BL51" s="586" t="str">
        <f>_xlfn.IFS(AND($AI51=$AM51,$AI51&gt;0,$AM51&gt;0,BK51&gt;0), BK51,     AND(NOT($AI51=$AM51),$AI51&gt;0,$AM51&gt;0,BK51&gt;0), ($AM51*BK51)/$AI51,     AND($AI51=0,$AM51&gt;0,$AQ51&gt;0), IF(INDEX(BK$12:BK$263,MATCH($AQ51,$AP$12:$AP$263,0))&gt;0,($AM51*INDEX(BK$12:BK$263,MATCH($AQ51,$AP$12:$AP$263,0)))/INDEX($AI$12:$AI$263,MATCH($AQ51,$AP$12:$AP$263,0)), "-"),     TRUE, "0")</f>
        <v>0</v>
      </c>
      <c r="BM51" s="607">
        <f>IF(BL$9&gt;0, IF(OR(BL51="",BL51="-"), 0, BL51*$AT51), BK51*$AJ51)</f>
        <v>0</v>
      </c>
      <c r="BN51" s="589">
        <f>[1]COMMANDE!AA49</f>
        <v>0</v>
      </c>
      <c r="BO51" s="586" t="str">
        <f>_xlfn.IFS(AND($AI51=$AM51,$AI51&gt;0,$AM51&gt;0,BN51&gt;0), BN51,     AND(NOT($AI51=$AM51),$AI51&gt;0,$AM51&gt;0,BN51&gt;0), ($AM51*BN51)/$AI51,     AND($AI51=0,$AM51&gt;0,$AQ51&gt;0), IF(INDEX(BN$12:BN$263,MATCH($AQ51,$AP$12:$AP$263,0))&gt;0,($AM51*INDEX(BN$12:BN$263,MATCH($AQ51,$AP$12:$AP$263,0)))/INDEX($AI$12:$AI$263,MATCH($AQ51,$AP$12:$AP$263,0)), "-"),     TRUE, "0")</f>
        <v>0</v>
      </c>
      <c r="BP51" s="588">
        <f>IF(BO$9&gt;0, IF(OR(BO51="",BO51="-"), 0, BO51*$AT51), BN51*$AJ51)</f>
        <v>0</v>
      </c>
      <c r="BQ51" s="587">
        <f>[1]COMMANDE!AC49</f>
        <v>0</v>
      </c>
      <c r="BR51" s="586" t="str">
        <f>_xlfn.IFS(AND($AI51=$AM51,$AI51&gt;0,$AM51&gt;0,BQ51&gt;0), BQ51,     AND(NOT($AI51=$AM51),$AI51&gt;0,$AM51&gt;0,BQ51&gt;0), ($AM51*BQ51)/$AI51,     AND($AI51=0,$AM51&gt;0,$AQ51&gt;0), IF(INDEX(BQ$12:BQ$263,MATCH($AQ51,$AP$12:$AP$263,0))&gt;0,($AM51*INDEX(BQ$12:BQ$263,MATCH($AQ51,$AP$12:$AP$263,0)))/INDEX($AI$12:$AI$263,MATCH($AQ51,$AP$12:$AP$263,0)), "-"),     TRUE, "0")</f>
        <v>0</v>
      </c>
      <c r="BS51" s="607">
        <f>IF(BR$9&gt;0, IF(OR(BR51="",BR51="-"), 0, BR51*$AT51), BQ51*$AJ51)</f>
        <v>0</v>
      </c>
      <c r="BT51" s="589">
        <f>[1]COMMANDE!AE49</f>
        <v>0</v>
      </c>
      <c r="BU51" s="586" t="str">
        <f>_xlfn.IFS(AND($AI51=$AM51,$AI51&gt;0,$AM51&gt;0,BT51&gt;0), BT51,     AND(NOT($AI51=$AM51),$AI51&gt;0,$AM51&gt;0,BT51&gt;0), ($AM51*BT51)/$AI51,     AND($AI51=0,$AM51&gt;0,$AQ51&gt;0), IF(INDEX(BT$12:BT$263,MATCH($AQ51,$AP$12:$AP$263,0))&gt;0,($AM51*INDEX(BT$12:BT$263,MATCH($AQ51,$AP$12:$AP$263,0)))/INDEX($AI$12:$AI$263,MATCH($AQ51,$AP$12:$AP$263,0)), "-"),     TRUE, "0")</f>
        <v>0</v>
      </c>
      <c r="BV51" s="588">
        <f>IF(BU$9&gt;0, IF(OR(BU51="",BU51="-"), 0, BU51*$AT51), BT51*$AJ51)</f>
        <v>0</v>
      </c>
      <c r="BW51" s="587">
        <f>[1]COMMANDE!AG49</f>
        <v>0</v>
      </c>
      <c r="BX51" s="586" t="str">
        <f>_xlfn.IFS(AND($AI51=$AM51,$AI51&gt;0,$AM51&gt;0,BW51&gt;0), BW51,     AND(NOT($AI51=$AM51),$AI51&gt;0,$AM51&gt;0,BW51&gt;0), ($AM51*BW51)/$AI51,     AND($AI51=0,$AM51&gt;0,$AQ51&gt;0), IF(INDEX(BW$12:BW$263,MATCH($AQ51,$AP$12:$AP$263,0))&gt;0,($AM51*INDEX(BW$12:BW$263,MATCH($AQ51,$AP$12:$AP$263,0)))/INDEX($AI$12:$AI$263,MATCH($AQ51,$AP$12:$AP$263,0)), "-"),     TRUE, "0")</f>
        <v>0</v>
      </c>
      <c r="BY51" s="607">
        <f>IF(BX$9&gt;0, IF(OR(BX51="",BX51="-"), 0, BX51*$AT51), BW51*$AJ51)</f>
        <v>0</v>
      </c>
      <c r="BZ51" s="589">
        <f>[1]COMMANDE!AI49</f>
        <v>0</v>
      </c>
      <c r="CA51" s="586" t="str">
        <f>_xlfn.IFS(AND($AI51=$AM51,$AI51&gt;0,$AM51&gt;0,BZ51&gt;0), BZ51,     AND(NOT($AI51=$AM51),$AI51&gt;0,$AM51&gt;0,BZ51&gt;0), ($AM51*BZ51)/$AI51,     AND($AI51=0,$AM51&gt;0,$AQ51&gt;0), IF(INDEX(BZ$12:BZ$263,MATCH($AQ51,$AP$12:$AP$263,0))&gt;0,($AM51*INDEX(BZ$12:BZ$263,MATCH($AQ51,$AP$12:$AP$263,0)))/INDEX($AI$12:$AI$263,MATCH($AQ51,$AP$12:$AP$263,0)), "-"),     TRUE, "0")</f>
        <v>0</v>
      </c>
      <c r="CB51" s="588">
        <f>IF(CA$9&gt;0, IF(OR(CA51="",CA51="-"), 0, CA51*$AT51), BZ51*$AJ51)</f>
        <v>0</v>
      </c>
      <c r="CC51" s="587">
        <f>[1]COMMANDE!AK49</f>
        <v>0</v>
      </c>
      <c r="CD51" s="586" t="str">
        <f>_xlfn.IFS(AND($AI51=$AM51,$AI51&gt;0,$AM51&gt;0,CC51&gt;0), CC51,     AND(NOT($AI51=$AM51),$AI51&gt;0,$AM51&gt;0,CC51&gt;0), ($AM51*CC51)/$AI51,     AND($AI51=0,$AM51&gt;0,$AQ51&gt;0), IF(INDEX(CC$12:CC$263,MATCH($AQ51,$AP$12:$AP$263,0))&gt;0,($AM51*INDEX(CC$12:CC$263,MATCH($AQ51,$AP$12:$AP$263,0)))/INDEX($AI$12:$AI$263,MATCH($AQ51,$AP$12:$AP$263,0)), "-"),     TRUE, "0")</f>
        <v>0</v>
      </c>
      <c r="CE51" s="607">
        <f>IF(CD$9&gt;0, IF(OR(CD51="",CD51="-"), 0, CD51*$AT51), CC51*$AJ51)</f>
        <v>0</v>
      </c>
      <c r="CF51" s="589">
        <f>[1]COMMANDE!AM49</f>
        <v>0</v>
      </c>
      <c r="CG51" s="586" t="str">
        <f>_xlfn.IFS(AND($AI51=$AM51,$AI51&gt;0,$AM51&gt;0,CF51&gt;0), CF51,     AND(NOT($AI51=$AM51),$AI51&gt;0,$AM51&gt;0,CF51&gt;0), ($AM51*CF51)/$AI51,     AND($AI51=0,$AM51&gt;0,$AQ51&gt;0), IF(INDEX(CF$12:CF$263,MATCH($AQ51,$AP$12:$AP$263,0))&gt;0,($AM51*INDEX(CF$12:CF$263,MATCH($AQ51,$AP$12:$AP$263,0)))/INDEX($AI$12:$AI$263,MATCH($AQ51,$AP$12:$AP$263,0)), "-"),     TRUE, "0")</f>
        <v>0</v>
      </c>
      <c r="CH51" s="588">
        <f>IF(CG$9&gt;0, IF(OR(CG51="",CG51="-"), 0, CG51*$AT51), CF51*$AJ51)</f>
        <v>0</v>
      </c>
      <c r="CI51" s="587">
        <f>[1]COMMANDE!AO49</f>
        <v>0</v>
      </c>
      <c r="CJ51" s="586" t="str">
        <f>_xlfn.IFS(AND($AI51=$AM51,$AI51&gt;0,$AM51&gt;0,CI51&gt;0), CI51,     AND(NOT($AI51=$AM51),$AI51&gt;0,$AM51&gt;0,CI51&gt;0), ($AM51*CI51)/$AI51,     AND($AI51=0,$AM51&gt;0,$AQ51&gt;0), IF(INDEX(CI$12:CI$263,MATCH($AQ51,$AP$12:$AP$263,0))&gt;0,($AM51*INDEX(CI$12:CI$263,MATCH($AQ51,$AP$12:$AP$263,0)))/INDEX($AI$12:$AI$263,MATCH($AQ51,$AP$12:$AP$263,0)), "-"),     TRUE, "0")</f>
        <v>0</v>
      </c>
      <c r="CK51" s="607">
        <f>IF(CJ$9&gt;0, IF(OR(CJ51="",CJ51="-"), 0, CJ51*$AT51), CI51*$AJ51)</f>
        <v>0</v>
      </c>
      <c r="CL51" s="589">
        <f>[1]COMMANDE!AQ49</f>
        <v>0</v>
      </c>
      <c r="CM51" s="586" t="str">
        <f>_xlfn.IFS(AND($AI51=$AM51,$AI51&gt;0,$AM51&gt;0,CL51&gt;0), CL51,     AND(NOT($AI51=$AM51),$AI51&gt;0,$AM51&gt;0,CL51&gt;0), ($AM51*CL51)/$AI51,     AND($AI51=0,$AM51&gt;0,$AQ51&gt;0), IF(INDEX(CL$12:CL$263,MATCH($AQ51,$AP$12:$AP$263,0))&gt;0,($AM51*INDEX(CL$12:CL$263,MATCH($AQ51,$AP$12:$AP$263,0)))/INDEX($AI$12:$AI$263,MATCH($AQ51,$AP$12:$AP$263,0)), "-"),     TRUE, "0")</f>
        <v>0</v>
      </c>
      <c r="CN51" s="588">
        <f>IF(CM$9&gt;0, IF(OR(CM51="",CM51="-"), 0, CM51*$AT51), CL51*$AJ51)</f>
        <v>0</v>
      </c>
      <c r="CO51" s="587">
        <f>[1]COMMANDE!AS49</f>
        <v>0</v>
      </c>
      <c r="CP51" s="586" t="str">
        <f>_xlfn.IFS(AND($AI51=$AM51,$AI51&gt;0,$AM51&gt;0,CO51&gt;0), CO51,     AND(NOT($AI51=$AM51),$AI51&gt;0,$AM51&gt;0,CO51&gt;0), ($AM51*CO51)/$AI51,     AND($AI51=0,$AM51&gt;0,$AQ51&gt;0), IF(INDEX(CO$12:CO$263,MATCH($AQ51,$AP$12:$AP$263,0))&gt;0,($AM51*INDEX(CO$12:CO$263,MATCH($AQ51,$AP$12:$AP$263,0)))/INDEX($AI$12:$AI$263,MATCH($AQ51,$AP$12:$AP$263,0)), "-"),     TRUE, "0")</f>
        <v>0</v>
      </c>
      <c r="CQ51" s="607">
        <f>IF(CP$9&gt;0, IF(OR(CP51="",CP51="-"), 0, CP51*$AT51), CO51*$AJ51)</f>
        <v>0</v>
      </c>
      <c r="CR51" s="589">
        <f>[1]COMMANDE!AU49</f>
        <v>0</v>
      </c>
      <c r="CS51" s="586" t="str">
        <f>_xlfn.IFS(AND($AI51=$AM51,$AI51&gt;0,$AM51&gt;0,CR51&gt;0), CR51,     AND(NOT($AI51=$AM51),$AI51&gt;0,$AM51&gt;0,CR51&gt;0), ($AM51*CR51)/$AI51,     AND($AI51=0,$AM51&gt;0,$AQ51&gt;0), IF(INDEX(CR$12:CR$263,MATCH($AQ51,$AP$12:$AP$263,0))&gt;0,($AM51*INDEX(CR$12:CR$263,MATCH($AQ51,$AP$12:$AP$263,0)))/INDEX($AI$12:$AI$263,MATCH($AQ51,$AP$12:$AP$263,0)), "-"),     TRUE, "0")</f>
        <v>0</v>
      </c>
      <c r="CT51" s="588">
        <f>IF(CS$9&gt;0, IF(OR(CS51="",CS51="-"), 0, CS51*$AT51), CR51*$AJ51)</f>
        <v>0</v>
      </c>
      <c r="CU51" s="587">
        <f>[1]COMMANDE!AW49</f>
        <v>0</v>
      </c>
      <c r="CV51" s="586" t="str">
        <f>_xlfn.IFS(AND($AI51=$AM51,$AI51&gt;0,$AM51&gt;0,CU51&gt;0), CU51,     AND(NOT($AI51=$AM51),$AI51&gt;0,$AM51&gt;0,CU51&gt;0), ($AM51*CU51)/$AI51,     AND($AI51=0,$AM51&gt;0,$AQ51&gt;0), IF(INDEX(CU$12:CU$263,MATCH($AQ51,$AP$12:$AP$263,0))&gt;0,($AM51*INDEX(CU$12:CU$263,MATCH($AQ51,$AP$12:$AP$263,0)))/INDEX($AI$12:$AI$263,MATCH($AQ51,$AP$12:$AP$263,0)), "-"),     TRUE, "0")</f>
        <v>0</v>
      </c>
      <c r="CW51" s="607">
        <f>IF(CV$9&gt;0, IF(OR(CV51="",CV51="-"), 0, CV51*$AT51), CU51*$AJ51)</f>
        <v>0</v>
      </c>
      <c r="CX51" s="589">
        <f>[1]COMMANDE!AY49</f>
        <v>0</v>
      </c>
      <c r="CY51" s="586" t="str">
        <f>_xlfn.IFS(AND($AI51=$AM51,$AI51&gt;0,$AM51&gt;0,CX51&gt;0), CX51,     AND(NOT($AI51=$AM51),$AI51&gt;0,$AM51&gt;0,CX51&gt;0), ($AM51*CX51)/$AI51,     AND($AI51=0,$AM51&gt;0,$AQ51&gt;0), IF(INDEX(CX$12:CX$263,MATCH($AQ51,$AP$12:$AP$263,0))&gt;0,($AM51*INDEX(CX$12:CX$263,MATCH($AQ51,$AP$12:$AP$263,0)))/INDEX($AI$12:$AI$263,MATCH($AQ51,$AP$12:$AP$263,0)), "-"),     TRUE, "0")</f>
        <v>0</v>
      </c>
      <c r="CZ51" s="588">
        <f>IF(CY$9&gt;0, IF(OR(CY51="",CY51="-"), 0, CY51*$AT51), CX51*$AJ51)</f>
        <v>0</v>
      </c>
      <c r="DA51" s="587">
        <f>[1]COMMANDE!BA49</f>
        <v>0</v>
      </c>
      <c r="DB51" s="586" t="str">
        <f>_xlfn.IFS(AND($AI51=$AM51,$AI51&gt;0,$AM51&gt;0,DA51&gt;0), DA51,     AND(NOT($AI51=$AM51),$AI51&gt;0,$AM51&gt;0,DA51&gt;0), ($AM51*DA51)/$AI51,     AND($AI51=0,$AM51&gt;0,$AQ51&gt;0), IF(INDEX(DA$12:DA$263,MATCH($AQ51,$AP$12:$AP$263,0))&gt;0,($AM51*INDEX(DA$12:DA$263,MATCH($AQ51,$AP$12:$AP$263,0)))/INDEX($AI$12:$AI$263,MATCH($AQ51,$AP$12:$AP$263,0)), "-"),     TRUE, "0")</f>
        <v>0</v>
      </c>
      <c r="DC51" s="606">
        <f>IF(DB$9&gt;0, IF(OR(DB51="",DB51="-"), 0, DB51*$AT51), DA51*$AJ51)</f>
        <v>0</v>
      </c>
      <c r="DD51" s="584"/>
      <c r="DE51" s="583"/>
    </row>
    <row r="52" spans="1:109" ht="39.950000000000003" hidden="1" customHeight="1">
      <c r="A52" s="604">
        <f>IF(OR($AV52&gt;0, $AX52&gt;0), 1, 0)</f>
        <v>0</v>
      </c>
      <c r="B52" s="604">
        <f>IF(OR($AY52&gt;0, $BA52&gt;0), 1, 0)</f>
        <v>0</v>
      </c>
      <c r="C52" s="604">
        <f>IF(OR($BB52&gt;0, $BD52&gt;0), 1, 0)</f>
        <v>0</v>
      </c>
      <c r="D52" s="604">
        <f>IF(OR($BE52&gt;0, $BG52&gt;0), 1, 0)</f>
        <v>0</v>
      </c>
      <c r="E52" s="604">
        <f>IF(OR($BH52&gt;0, $BJ52&gt;0), 1, 0)</f>
        <v>0</v>
      </c>
      <c r="F52" s="604">
        <f>IF(OR($BK52&gt;0, $BM52&gt;0), 1, 0)</f>
        <v>0</v>
      </c>
      <c r="G52" s="604">
        <f>IF(OR($BN52&gt;0, $BP52&gt;0), 1, 0)</f>
        <v>0</v>
      </c>
      <c r="H52" s="604">
        <f>IF(OR($BQ52&gt;0, $BS52&gt;0), 1, 0)</f>
        <v>0</v>
      </c>
      <c r="I52" s="604">
        <f>IF(OR($BT52&gt;0, $BV52&gt;0), 1, 0)</f>
        <v>0</v>
      </c>
      <c r="J52" s="604">
        <f>IF(OR($BW52&gt;0, $BY52&gt;0), 1, 0)</f>
        <v>0</v>
      </c>
      <c r="K52" s="604">
        <f>IF(OR($BZ52&gt;0, $CB52&gt;0), 1, 0)</f>
        <v>0</v>
      </c>
      <c r="L52" s="604">
        <f>IF(OR($CC52&gt;0, $CE52&gt;0), 1, 0)</f>
        <v>0</v>
      </c>
      <c r="M52" s="604">
        <f>IF(OR($CF52&gt;0, $CH52&gt;0), 1, 0)</f>
        <v>0</v>
      </c>
      <c r="N52" s="604">
        <f>IF(OR($CI52&gt;0, $CK52&gt;0), 1, 0)</f>
        <v>0</v>
      </c>
      <c r="O52" s="604">
        <f>IF(OR($CL52&gt;0, $CN52&gt;0), 1, 0)</f>
        <v>0</v>
      </c>
      <c r="P52" s="604">
        <f>IF(OR($CO52&gt;0, $CQ52&gt;0), 1, 0)</f>
        <v>0</v>
      </c>
      <c r="Q52" s="604">
        <f>IF(OR($CR52&gt;0, $CT52&gt;0), 1, 0)</f>
        <v>0</v>
      </c>
      <c r="R52" s="604">
        <f>IF(OR($CU52&gt;0, $CW52&gt;0), 1, 0)</f>
        <v>0</v>
      </c>
      <c r="S52" s="604">
        <f>IF(OR($CX52&gt;0, $CZ52&gt;0), 1, 0)</f>
        <v>0</v>
      </c>
      <c r="T52" s="604">
        <f>IF(OR($DA52&gt;0, $DC52&gt;0), 1, 0)</f>
        <v>0</v>
      </c>
      <c r="U52" s="603">
        <f>IF(OR($AI52&gt;0,$AM52&gt;0,$AS52&gt;0), 1, 0)</f>
        <v>0</v>
      </c>
      <c r="V52" s="602">
        <f>[1]BDD!A42</f>
        <v>1758</v>
      </c>
      <c r="W52" s="601" t="str">
        <f>[1]BDD!B42</f>
        <v>Beurre de cacao BIO (env. 500g)</v>
      </c>
      <c r="X52" s="600" t="str">
        <f>IF([1]BDD!F42=0, "", [1]BDD!F42)</f>
        <v/>
      </c>
      <c r="Y52" s="542">
        <f>ROUND([1]BDD!G42+FDP_CMD_KG, 2)</f>
        <v>14.97</v>
      </c>
      <c r="Z52" s="542">
        <f>ROUND([1]BDD!G42+FDP_FACT_KG, 2)</f>
        <v>14.97</v>
      </c>
      <c r="AA52" s="543" t="str">
        <f>[1]BDD!H42</f>
        <v>Pièce</v>
      </c>
      <c r="AB52" s="544" t="str">
        <f>IF(NOT(ISBLANK([1]BDD!I42)), ROUND(SUM(([1]BDD!G42*reduc1),FDP_CMD_KG), 2), "")</f>
        <v/>
      </c>
      <c r="AC52" s="544" t="str">
        <f>IF(NOT(ISBLANK([1]BDD!J42)), ROUND(SUM(([1]BDD!G42*reduc2),FDP_CMD_KG), 2), "")</f>
        <v/>
      </c>
      <c r="AD52" s="544" t="str">
        <f>IF(NOT(ISBLANK([1]BDD!K42)), ROUND(SUM(([1]BDD!G42*reduc3),FDP_CMD_KG), 2), "")</f>
        <v/>
      </c>
      <c r="AE52" s="544" t="str">
        <f>IF(NOT(ISBLANK([1]BDD!I42)), ROUND(SUM(([1]BDD!G42*reduc1),FDP_FACT_KG), 2), "")</f>
        <v/>
      </c>
      <c r="AF52" s="544" t="str">
        <f>IF(NOT(ISBLANK([1]BDD!J42)), ROUND(SUM(([1]BDD!G42*reduc2),FDP_FACT_KG), 2), "")</f>
        <v/>
      </c>
      <c r="AG52" s="544" t="str">
        <f>IF(NOT(ISBLANK([1]BDD!K42)), ROUND(SUM(([1]BDD!G42*reduc3),FDP_FACT_KG), 2), "")</f>
        <v/>
      </c>
      <c r="AH52" s="599" t="str">
        <f>[1]BDD!C42</f>
        <v>Pérou</v>
      </c>
      <c r="AI52" s="598">
        <f>SUM(AV52,AY52,BB52,BE52,BH52,BK52,BN52,BQ52,BT52,BW52,BZ52,CC52,CF52,CI52,CL52,CO52,CR52,CU52,CX52,DA52)</f>
        <v>0</v>
      </c>
      <c r="AJ52" s="545">
        <f>_xlfn.IFS($AD52&lt;&gt;"", $AD52,    $AC52&lt;&gt;"", $AC52,    $AB52&lt;&gt;"", $AB52,    TRUE, $Y52)</f>
        <v>14.97</v>
      </c>
      <c r="AK52" s="592">
        <f>$AI52*$AJ52</f>
        <v>0</v>
      </c>
      <c r="AL52" s="594"/>
      <c r="AM52" s="597"/>
      <c r="AN52" s="545">
        <f>_xlfn.IFS(AND(AM52&gt;=60,$AG52&lt;&gt;""), $AG52,    AND(AM52&gt;=30,$AF52&lt;&gt;""), $AF52,    AND(AM52&gt;=10,$AE52&lt;&gt;""), $AE52,    TRUE, $Z52)</f>
        <v>14.97</v>
      </c>
      <c r="AO52" s="596">
        <f>AM52*AN52</f>
        <v>0</v>
      </c>
      <c r="AP52" s="595"/>
      <c r="AQ52" s="595"/>
      <c r="AR52" s="594"/>
      <c r="AS52" s="593">
        <f>SUM(AW52,AZ52,BC52,BF52,BI52,BL52,BO52,BR52,BU52,BX52,CA52,CD52,CG52,CJ52,CM52,CP52,CS52,CV52,CY52,DB52)</f>
        <v>0</v>
      </c>
      <c r="AT52" s="545">
        <f>_xlfn.IFS(AND(AS52&gt;=60,$AG52&lt;&gt;""), $AG52,    AND(AS52&gt;=30,$AF52&lt;&gt;""), $AF52,    AND(AS52&gt;=10,$AE52&lt;&gt;""), $AE52,    TRUE, $Z52)</f>
        <v>14.97</v>
      </c>
      <c r="AU52" s="592">
        <f>$AS52*$AT52</f>
        <v>0</v>
      </c>
      <c r="AV52" s="591">
        <f>[1]COMMANDE!O50</f>
        <v>0</v>
      </c>
      <c r="AW52" s="586" t="str">
        <f>_xlfn.IFS(AND($AI52=$AM52,$AI52&gt;0,$AM52&gt;0,AV52&gt;0), AV52,     AND(NOT($AI52=$AM52),$AI52&gt;0,$AM52&gt;0,AV52&gt;0), ($AM52*AV52)/$AI52,     AND($AI52=0,$AM52&gt;0,$AQ52&gt;0), IF(INDEX(AV$12:AV$263,MATCH($AQ52,$AP$12:$AP$263,0))&gt;0,($AM52*INDEX(AV$12:AV$263,MATCH($AQ52,$AP$12:$AP$263,0)))/INDEX($AI$12:$AI$263,MATCH($AQ52,$AP$12:$AP$263,0)), "-"),     TRUE, "0")</f>
        <v>0</v>
      </c>
      <c r="AX52" s="588">
        <f>IF(AW$9&gt;0, IF(OR(AW52="",AW52="-"), 0, AW52*$AT52), AV52*$AJ52)</f>
        <v>0</v>
      </c>
      <c r="AY52" s="587">
        <f>[1]COMMANDE!Q50</f>
        <v>0</v>
      </c>
      <c r="AZ52" s="586" t="str">
        <f>_xlfn.IFS(AND($AI52=$AM52,$AI52&gt;0,$AM52&gt;0,AY52&gt;0), AY52,     AND(NOT($AI52=$AM52),$AI52&gt;0,$AM52&gt;0,AY52&gt;0), ($AM52*AY52)/$AI52,     AND($AI52=0,$AM52&gt;0,$AQ52&gt;0), IF(INDEX(AY$12:AY$263,MATCH($AQ52,$AP$12:$AP$263,0))&gt;0,($AM52*INDEX(AY$12:AY$263,MATCH($AQ52,$AP$12:$AP$263,0)))/INDEX($AI$12:$AI$263,MATCH($AQ52,$AP$12:$AP$263,0)), "-"),     TRUE, "0")</f>
        <v>0</v>
      </c>
      <c r="BA52" s="607">
        <f>IF(AZ$9&gt;0, IF(OR(AZ52="",AZ52="-"), 0, AZ52*$AT52), AY52*$AJ52)</f>
        <v>0</v>
      </c>
      <c r="BB52" s="589">
        <f>[1]COMMANDE!S50</f>
        <v>0</v>
      </c>
      <c r="BC52" s="586" t="str">
        <f>_xlfn.IFS(AND($AI52=$AM52,$AI52&gt;0,$AM52&gt;0,BB52&gt;0), BB52,     AND(NOT($AI52=$AM52),$AI52&gt;0,$AM52&gt;0,BB52&gt;0), ($AM52*BB52)/$AI52,     AND($AI52=0,$AM52&gt;0,$AQ52&gt;0), IF(INDEX(BB$12:BB$263,MATCH($AQ52,$AP$12:$AP$263,0))&gt;0,($AM52*INDEX(BB$12:BB$263,MATCH($AQ52,$AP$12:$AP$263,0)))/INDEX($AI$12:$AI$263,MATCH($AQ52,$AP$12:$AP$263,0)), "-"),     TRUE, "0")</f>
        <v>0</v>
      </c>
      <c r="BD52" s="588">
        <f>IF(BC$9&gt;0, IF(OR(BC52="",BC52="-"), 0, BC52*$AT52), BB52*$AJ52)</f>
        <v>0</v>
      </c>
      <c r="BE52" s="587">
        <f>[1]COMMANDE!U50</f>
        <v>0</v>
      </c>
      <c r="BF52" s="586" t="str">
        <f>_xlfn.IFS(AND($AI52=$AM52,$AI52&gt;0,$AM52&gt;0,BE52&gt;0), BE52,     AND(NOT($AI52=$AM52),$AI52&gt;0,$AM52&gt;0,BE52&gt;0), ($AM52*BE52)/$AI52,     AND($AI52=0,$AM52&gt;0,$AQ52&gt;0), IF(INDEX(BE$12:BE$263,MATCH($AQ52,$AP$12:$AP$263,0))&gt;0,($AM52*INDEX(BE$12:BE$263,MATCH($AQ52,$AP$12:$AP$263,0)))/INDEX($AI$12:$AI$263,MATCH($AQ52,$AP$12:$AP$263,0)), "-"),     TRUE, "0")</f>
        <v>0</v>
      </c>
      <c r="BG52" s="607">
        <f>IF(BF$9&gt;0, IF(OR(BF52="",BF52="-"), 0, BF52*$AT52), BE52*$AJ52)</f>
        <v>0</v>
      </c>
      <c r="BH52" s="589">
        <f>[1]COMMANDE!W50</f>
        <v>0</v>
      </c>
      <c r="BI52" s="586" t="str">
        <f>_xlfn.IFS(AND($AI52=$AM52,$AI52&gt;0,$AM52&gt;0,BH52&gt;0), BH52,     AND(NOT($AI52=$AM52),$AI52&gt;0,$AM52&gt;0,BH52&gt;0), ($AM52*BH52)/$AI52,     AND($AI52=0,$AM52&gt;0,$AQ52&gt;0), IF(INDEX(BH$12:BH$263,MATCH($AQ52,$AP$12:$AP$263,0))&gt;0,($AM52*INDEX(BH$12:BH$263,MATCH($AQ52,$AP$12:$AP$263,0)))/INDEX($AI$12:$AI$263,MATCH($AQ52,$AP$12:$AP$263,0)), "-"),     TRUE, "0")</f>
        <v>0</v>
      </c>
      <c r="BJ52" s="588">
        <f>IF(BI$9&gt;0, IF(OR(BI52="",BI52="-"), 0, BI52*$AT52), BH52*$AJ52)</f>
        <v>0</v>
      </c>
      <c r="BK52" s="587">
        <f>[1]COMMANDE!Y50</f>
        <v>0</v>
      </c>
      <c r="BL52" s="586" t="str">
        <f>_xlfn.IFS(AND($AI52=$AM52,$AI52&gt;0,$AM52&gt;0,BK52&gt;0), BK52,     AND(NOT($AI52=$AM52),$AI52&gt;0,$AM52&gt;0,BK52&gt;0), ($AM52*BK52)/$AI52,     AND($AI52=0,$AM52&gt;0,$AQ52&gt;0), IF(INDEX(BK$12:BK$263,MATCH($AQ52,$AP$12:$AP$263,0))&gt;0,($AM52*INDEX(BK$12:BK$263,MATCH($AQ52,$AP$12:$AP$263,0)))/INDEX($AI$12:$AI$263,MATCH($AQ52,$AP$12:$AP$263,0)), "-"),     TRUE, "0")</f>
        <v>0</v>
      </c>
      <c r="BM52" s="607">
        <f>IF(BL$9&gt;0, IF(OR(BL52="",BL52="-"), 0, BL52*$AT52), BK52*$AJ52)</f>
        <v>0</v>
      </c>
      <c r="BN52" s="589">
        <f>[1]COMMANDE!AA50</f>
        <v>0</v>
      </c>
      <c r="BO52" s="586" t="str">
        <f>_xlfn.IFS(AND($AI52=$AM52,$AI52&gt;0,$AM52&gt;0,BN52&gt;0), BN52,     AND(NOT($AI52=$AM52),$AI52&gt;0,$AM52&gt;0,BN52&gt;0), ($AM52*BN52)/$AI52,     AND($AI52=0,$AM52&gt;0,$AQ52&gt;0), IF(INDEX(BN$12:BN$263,MATCH($AQ52,$AP$12:$AP$263,0))&gt;0,($AM52*INDEX(BN$12:BN$263,MATCH($AQ52,$AP$12:$AP$263,0)))/INDEX($AI$12:$AI$263,MATCH($AQ52,$AP$12:$AP$263,0)), "-"),     TRUE, "0")</f>
        <v>0</v>
      </c>
      <c r="BP52" s="588">
        <f>IF(BO$9&gt;0, IF(OR(BO52="",BO52="-"), 0, BO52*$AT52), BN52*$AJ52)</f>
        <v>0</v>
      </c>
      <c r="BQ52" s="587">
        <f>[1]COMMANDE!AC50</f>
        <v>0</v>
      </c>
      <c r="BR52" s="586" t="str">
        <f>_xlfn.IFS(AND($AI52=$AM52,$AI52&gt;0,$AM52&gt;0,BQ52&gt;0), BQ52,     AND(NOT($AI52=$AM52),$AI52&gt;0,$AM52&gt;0,BQ52&gt;0), ($AM52*BQ52)/$AI52,     AND($AI52=0,$AM52&gt;0,$AQ52&gt;0), IF(INDEX(BQ$12:BQ$263,MATCH($AQ52,$AP$12:$AP$263,0))&gt;0,($AM52*INDEX(BQ$12:BQ$263,MATCH($AQ52,$AP$12:$AP$263,0)))/INDEX($AI$12:$AI$263,MATCH($AQ52,$AP$12:$AP$263,0)), "-"),     TRUE, "0")</f>
        <v>0</v>
      </c>
      <c r="BS52" s="607">
        <f>IF(BR$9&gt;0, IF(OR(BR52="",BR52="-"), 0, BR52*$AT52), BQ52*$AJ52)</f>
        <v>0</v>
      </c>
      <c r="BT52" s="589">
        <f>[1]COMMANDE!AE50</f>
        <v>0</v>
      </c>
      <c r="BU52" s="586" t="str">
        <f>_xlfn.IFS(AND($AI52=$AM52,$AI52&gt;0,$AM52&gt;0,BT52&gt;0), BT52,     AND(NOT($AI52=$AM52),$AI52&gt;0,$AM52&gt;0,BT52&gt;0), ($AM52*BT52)/$AI52,     AND($AI52=0,$AM52&gt;0,$AQ52&gt;0), IF(INDEX(BT$12:BT$263,MATCH($AQ52,$AP$12:$AP$263,0))&gt;0,($AM52*INDEX(BT$12:BT$263,MATCH($AQ52,$AP$12:$AP$263,0)))/INDEX($AI$12:$AI$263,MATCH($AQ52,$AP$12:$AP$263,0)), "-"),     TRUE, "0")</f>
        <v>0</v>
      </c>
      <c r="BV52" s="588">
        <f>IF(BU$9&gt;0, IF(OR(BU52="",BU52="-"), 0, BU52*$AT52), BT52*$AJ52)</f>
        <v>0</v>
      </c>
      <c r="BW52" s="587">
        <f>[1]COMMANDE!AG50</f>
        <v>0</v>
      </c>
      <c r="BX52" s="586" t="str">
        <f>_xlfn.IFS(AND($AI52=$AM52,$AI52&gt;0,$AM52&gt;0,BW52&gt;0), BW52,     AND(NOT($AI52=$AM52),$AI52&gt;0,$AM52&gt;0,BW52&gt;0), ($AM52*BW52)/$AI52,     AND($AI52=0,$AM52&gt;0,$AQ52&gt;0), IF(INDEX(BW$12:BW$263,MATCH($AQ52,$AP$12:$AP$263,0))&gt;0,($AM52*INDEX(BW$12:BW$263,MATCH($AQ52,$AP$12:$AP$263,0)))/INDEX($AI$12:$AI$263,MATCH($AQ52,$AP$12:$AP$263,0)), "-"),     TRUE, "0")</f>
        <v>0</v>
      </c>
      <c r="BY52" s="607">
        <f>IF(BX$9&gt;0, IF(OR(BX52="",BX52="-"), 0, BX52*$AT52), BW52*$AJ52)</f>
        <v>0</v>
      </c>
      <c r="BZ52" s="589">
        <f>[1]COMMANDE!AI50</f>
        <v>0</v>
      </c>
      <c r="CA52" s="586" t="str">
        <f>_xlfn.IFS(AND($AI52=$AM52,$AI52&gt;0,$AM52&gt;0,BZ52&gt;0), BZ52,     AND(NOT($AI52=$AM52),$AI52&gt;0,$AM52&gt;0,BZ52&gt;0), ($AM52*BZ52)/$AI52,     AND($AI52=0,$AM52&gt;0,$AQ52&gt;0), IF(INDEX(BZ$12:BZ$263,MATCH($AQ52,$AP$12:$AP$263,0))&gt;0,($AM52*INDEX(BZ$12:BZ$263,MATCH($AQ52,$AP$12:$AP$263,0)))/INDEX($AI$12:$AI$263,MATCH($AQ52,$AP$12:$AP$263,0)), "-"),     TRUE, "0")</f>
        <v>0</v>
      </c>
      <c r="CB52" s="588">
        <f>IF(CA$9&gt;0, IF(OR(CA52="",CA52="-"), 0, CA52*$AT52), BZ52*$AJ52)</f>
        <v>0</v>
      </c>
      <c r="CC52" s="587">
        <f>[1]COMMANDE!AK50</f>
        <v>0</v>
      </c>
      <c r="CD52" s="586" t="str">
        <f>_xlfn.IFS(AND($AI52=$AM52,$AI52&gt;0,$AM52&gt;0,CC52&gt;0), CC52,     AND(NOT($AI52=$AM52),$AI52&gt;0,$AM52&gt;0,CC52&gt;0), ($AM52*CC52)/$AI52,     AND($AI52=0,$AM52&gt;0,$AQ52&gt;0), IF(INDEX(CC$12:CC$263,MATCH($AQ52,$AP$12:$AP$263,0))&gt;0,($AM52*INDEX(CC$12:CC$263,MATCH($AQ52,$AP$12:$AP$263,0)))/INDEX($AI$12:$AI$263,MATCH($AQ52,$AP$12:$AP$263,0)), "-"),     TRUE, "0")</f>
        <v>0</v>
      </c>
      <c r="CE52" s="607">
        <f>IF(CD$9&gt;0, IF(OR(CD52="",CD52="-"), 0, CD52*$AT52), CC52*$AJ52)</f>
        <v>0</v>
      </c>
      <c r="CF52" s="589">
        <f>[1]COMMANDE!AM50</f>
        <v>0</v>
      </c>
      <c r="CG52" s="586" t="str">
        <f>_xlfn.IFS(AND($AI52=$AM52,$AI52&gt;0,$AM52&gt;0,CF52&gt;0), CF52,     AND(NOT($AI52=$AM52),$AI52&gt;0,$AM52&gt;0,CF52&gt;0), ($AM52*CF52)/$AI52,     AND($AI52=0,$AM52&gt;0,$AQ52&gt;0), IF(INDEX(CF$12:CF$263,MATCH($AQ52,$AP$12:$AP$263,0))&gt;0,($AM52*INDEX(CF$12:CF$263,MATCH($AQ52,$AP$12:$AP$263,0)))/INDEX($AI$12:$AI$263,MATCH($AQ52,$AP$12:$AP$263,0)), "-"),     TRUE, "0")</f>
        <v>0</v>
      </c>
      <c r="CH52" s="588">
        <f>IF(CG$9&gt;0, IF(OR(CG52="",CG52="-"), 0, CG52*$AT52), CF52*$AJ52)</f>
        <v>0</v>
      </c>
      <c r="CI52" s="587">
        <f>[1]COMMANDE!AO50</f>
        <v>0</v>
      </c>
      <c r="CJ52" s="586" t="str">
        <f>_xlfn.IFS(AND($AI52=$AM52,$AI52&gt;0,$AM52&gt;0,CI52&gt;0), CI52,     AND(NOT($AI52=$AM52),$AI52&gt;0,$AM52&gt;0,CI52&gt;0), ($AM52*CI52)/$AI52,     AND($AI52=0,$AM52&gt;0,$AQ52&gt;0), IF(INDEX(CI$12:CI$263,MATCH($AQ52,$AP$12:$AP$263,0))&gt;0,($AM52*INDEX(CI$12:CI$263,MATCH($AQ52,$AP$12:$AP$263,0)))/INDEX($AI$12:$AI$263,MATCH($AQ52,$AP$12:$AP$263,0)), "-"),     TRUE, "0")</f>
        <v>0</v>
      </c>
      <c r="CK52" s="607">
        <f>IF(CJ$9&gt;0, IF(OR(CJ52="",CJ52="-"), 0, CJ52*$AT52), CI52*$AJ52)</f>
        <v>0</v>
      </c>
      <c r="CL52" s="589">
        <f>[1]COMMANDE!AQ50</f>
        <v>0</v>
      </c>
      <c r="CM52" s="586" t="str">
        <f>_xlfn.IFS(AND($AI52=$AM52,$AI52&gt;0,$AM52&gt;0,CL52&gt;0), CL52,     AND(NOT($AI52=$AM52),$AI52&gt;0,$AM52&gt;0,CL52&gt;0), ($AM52*CL52)/$AI52,     AND($AI52=0,$AM52&gt;0,$AQ52&gt;0), IF(INDEX(CL$12:CL$263,MATCH($AQ52,$AP$12:$AP$263,0))&gt;0,($AM52*INDEX(CL$12:CL$263,MATCH($AQ52,$AP$12:$AP$263,0)))/INDEX($AI$12:$AI$263,MATCH($AQ52,$AP$12:$AP$263,0)), "-"),     TRUE, "0")</f>
        <v>0</v>
      </c>
      <c r="CN52" s="588">
        <f>IF(CM$9&gt;0, IF(OR(CM52="",CM52="-"), 0, CM52*$AT52), CL52*$AJ52)</f>
        <v>0</v>
      </c>
      <c r="CO52" s="587">
        <f>[1]COMMANDE!AS50</f>
        <v>0</v>
      </c>
      <c r="CP52" s="586" t="str">
        <f>_xlfn.IFS(AND($AI52=$AM52,$AI52&gt;0,$AM52&gt;0,CO52&gt;0), CO52,     AND(NOT($AI52=$AM52),$AI52&gt;0,$AM52&gt;0,CO52&gt;0), ($AM52*CO52)/$AI52,     AND($AI52=0,$AM52&gt;0,$AQ52&gt;0), IF(INDEX(CO$12:CO$263,MATCH($AQ52,$AP$12:$AP$263,0))&gt;0,($AM52*INDEX(CO$12:CO$263,MATCH($AQ52,$AP$12:$AP$263,0)))/INDEX($AI$12:$AI$263,MATCH($AQ52,$AP$12:$AP$263,0)), "-"),     TRUE, "0")</f>
        <v>0</v>
      </c>
      <c r="CQ52" s="607">
        <f>IF(CP$9&gt;0, IF(OR(CP52="",CP52="-"), 0, CP52*$AT52), CO52*$AJ52)</f>
        <v>0</v>
      </c>
      <c r="CR52" s="589">
        <f>[1]COMMANDE!AU50</f>
        <v>0</v>
      </c>
      <c r="CS52" s="586" t="str">
        <f>_xlfn.IFS(AND($AI52=$AM52,$AI52&gt;0,$AM52&gt;0,CR52&gt;0), CR52,     AND(NOT($AI52=$AM52),$AI52&gt;0,$AM52&gt;0,CR52&gt;0), ($AM52*CR52)/$AI52,     AND($AI52=0,$AM52&gt;0,$AQ52&gt;0), IF(INDEX(CR$12:CR$263,MATCH($AQ52,$AP$12:$AP$263,0))&gt;0,($AM52*INDEX(CR$12:CR$263,MATCH($AQ52,$AP$12:$AP$263,0)))/INDEX($AI$12:$AI$263,MATCH($AQ52,$AP$12:$AP$263,0)), "-"),     TRUE, "0")</f>
        <v>0</v>
      </c>
      <c r="CT52" s="588">
        <f>IF(CS$9&gt;0, IF(OR(CS52="",CS52="-"), 0, CS52*$AT52), CR52*$AJ52)</f>
        <v>0</v>
      </c>
      <c r="CU52" s="587">
        <f>[1]COMMANDE!AW50</f>
        <v>0</v>
      </c>
      <c r="CV52" s="586" t="str">
        <f>_xlfn.IFS(AND($AI52=$AM52,$AI52&gt;0,$AM52&gt;0,CU52&gt;0), CU52,     AND(NOT($AI52=$AM52),$AI52&gt;0,$AM52&gt;0,CU52&gt;0), ($AM52*CU52)/$AI52,     AND($AI52=0,$AM52&gt;0,$AQ52&gt;0), IF(INDEX(CU$12:CU$263,MATCH($AQ52,$AP$12:$AP$263,0))&gt;0,($AM52*INDEX(CU$12:CU$263,MATCH($AQ52,$AP$12:$AP$263,0)))/INDEX($AI$12:$AI$263,MATCH($AQ52,$AP$12:$AP$263,0)), "-"),     TRUE, "0")</f>
        <v>0</v>
      </c>
      <c r="CW52" s="607">
        <f>IF(CV$9&gt;0, IF(OR(CV52="",CV52="-"), 0, CV52*$AT52), CU52*$AJ52)</f>
        <v>0</v>
      </c>
      <c r="CX52" s="589">
        <f>[1]COMMANDE!AY50</f>
        <v>0</v>
      </c>
      <c r="CY52" s="586" t="str">
        <f>_xlfn.IFS(AND($AI52=$AM52,$AI52&gt;0,$AM52&gt;0,CX52&gt;0), CX52,     AND(NOT($AI52=$AM52),$AI52&gt;0,$AM52&gt;0,CX52&gt;0), ($AM52*CX52)/$AI52,     AND($AI52=0,$AM52&gt;0,$AQ52&gt;0), IF(INDEX(CX$12:CX$263,MATCH($AQ52,$AP$12:$AP$263,0))&gt;0,($AM52*INDEX(CX$12:CX$263,MATCH($AQ52,$AP$12:$AP$263,0)))/INDEX($AI$12:$AI$263,MATCH($AQ52,$AP$12:$AP$263,0)), "-"),     TRUE, "0")</f>
        <v>0</v>
      </c>
      <c r="CZ52" s="588">
        <f>IF(CY$9&gt;0, IF(OR(CY52="",CY52="-"), 0, CY52*$AT52), CX52*$AJ52)</f>
        <v>0</v>
      </c>
      <c r="DA52" s="587">
        <f>[1]COMMANDE!BA50</f>
        <v>0</v>
      </c>
      <c r="DB52" s="586" t="str">
        <f>_xlfn.IFS(AND($AI52=$AM52,$AI52&gt;0,$AM52&gt;0,DA52&gt;0), DA52,     AND(NOT($AI52=$AM52),$AI52&gt;0,$AM52&gt;0,DA52&gt;0), ($AM52*DA52)/$AI52,     AND($AI52=0,$AM52&gt;0,$AQ52&gt;0), IF(INDEX(DA$12:DA$263,MATCH($AQ52,$AP$12:$AP$263,0))&gt;0,($AM52*INDEX(DA$12:DA$263,MATCH($AQ52,$AP$12:$AP$263,0)))/INDEX($AI$12:$AI$263,MATCH($AQ52,$AP$12:$AP$263,0)), "-"),     TRUE, "0")</f>
        <v>0</v>
      </c>
      <c r="DC52" s="606">
        <f>IF(DB$9&gt;0, IF(OR(DB52="",DB52="-"), 0, DB52*$AT52), DA52*$AJ52)</f>
        <v>0</v>
      </c>
      <c r="DD52" s="584"/>
      <c r="DE52" s="583"/>
    </row>
    <row r="53" spans="1:109" ht="39.950000000000003" hidden="1" customHeight="1">
      <c r="A53" s="604">
        <f>IF(OR($AV53&gt;0, $AX53&gt;0), 1, 0)</f>
        <v>0</v>
      </c>
      <c r="B53" s="604">
        <f>IF(OR($AY53&gt;0, $BA53&gt;0), 1, 0)</f>
        <v>0</v>
      </c>
      <c r="C53" s="604">
        <f>IF(OR($BB53&gt;0, $BD53&gt;0), 1, 0)</f>
        <v>0</v>
      </c>
      <c r="D53" s="604">
        <f>IF(OR($BE53&gt;0, $BG53&gt;0), 1, 0)</f>
        <v>0</v>
      </c>
      <c r="E53" s="604">
        <f>IF(OR($BH53&gt;0, $BJ53&gt;0), 1, 0)</f>
        <v>0</v>
      </c>
      <c r="F53" s="604">
        <f>IF(OR($BK53&gt;0, $BM53&gt;0), 1, 0)</f>
        <v>0</v>
      </c>
      <c r="G53" s="604">
        <f>IF(OR($BN53&gt;0, $BP53&gt;0), 1, 0)</f>
        <v>0</v>
      </c>
      <c r="H53" s="604">
        <f>IF(OR($BQ53&gt;0, $BS53&gt;0), 1, 0)</f>
        <v>0</v>
      </c>
      <c r="I53" s="604">
        <f>IF(OR($BT53&gt;0, $BV53&gt;0), 1, 0)</f>
        <v>0</v>
      </c>
      <c r="J53" s="604">
        <f>IF(OR($BW53&gt;0, $BY53&gt;0), 1, 0)</f>
        <v>0</v>
      </c>
      <c r="K53" s="604">
        <f>IF(OR($BZ53&gt;0, $CB53&gt;0), 1, 0)</f>
        <v>0</v>
      </c>
      <c r="L53" s="604">
        <f>IF(OR($CC53&gt;0, $CE53&gt;0), 1, 0)</f>
        <v>0</v>
      </c>
      <c r="M53" s="604">
        <f>IF(OR($CF53&gt;0, $CH53&gt;0), 1, 0)</f>
        <v>0</v>
      </c>
      <c r="N53" s="604">
        <f>IF(OR($CI53&gt;0, $CK53&gt;0), 1, 0)</f>
        <v>0</v>
      </c>
      <c r="O53" s="604">
        <f>IF(OR($CL53&gt;0, $CN53&gt;0), 1, 0)</f>
        <v>0</v>
      </c>
      <c r="P53" s="604">
        <f>IF(OR($CO53&gt;0, $CQ53&gt;0), 1, 0)</f>
        <v>0</v>
      </c>
      <c r="Q53" s="604">
        <f>IF(OR($CR53&gt;0, $CT53&gt;0), 1, 0)</f>
        <v>0</v>
      </c>
      <c r="R53" s="604">
        <f>IF(OR($CU53&gt;0, $CW53&gt;0), 1, 0)</f>
        <v>0</v>
      </c>
      <c r="S53" s="604">
        <f>IF(OR($CX53&gt;0, $CZ53&gt;0), 1, 0)</f>
        <v>0</v>
      </c>
      <c r="T53" s="604">
        <f>IF(OR($DA53&gt;0, $DC53&gt;0), 1, 0)</f>
        <v>0</v>
      </c>
      <c r="U53" s="603">
        <f>IF(OR($AI53&gt;0,$AM53&gt;0,$AS53&gt;0), 1, 0)</f>
        <v>0</v>
      </c>
      <c r="V53" s="602">
        <f>[1]BDD!A43</f>
        <v>1257</v>
      </c>
      <c r="W53" s="601" t="str">
        <f>[1]BDD!B43</f>
        <v>Blette verte BIO (production Rufino)</v>
      </c>
      <c r="X53" s="600" t="str">
        <f>IF([1]BDD!F43=0, "", [1]BDD!F43)</f>
        <v>OFFRE</v>
      </c>
      <c r="Y53" s="542">
        <f>ROUND([1]BDD!G43+FDP_CMD_KG, 2)</f>
        <v>2.64</v>
      </c>
      <c r="Z53" s="542">
        <f>ROUND([1]BDD!G43+FDP_FACT_KG, 2)</f>
        <v>2.64</v>
      </c>
      <c r="AA53" s="543" t="str">
        <f>[1]BDD!H43</f>
        <v>kg</v>
      </c>
      <c r="AB53" s="544">
        <f>IF(NOT(ISBLANK([1]BDD!I43)), ROUND(SUM(([1]BDD!G43*reduc1),FDP_CMD_KG), 2), "")</f>
        <v>2.4700000000000002</v>
      </c>
      <c r="AC53" s="544" t="str">
        <f>IF(NOT(ISBLANK([1]BDD!J43)), ROUND(SUM(([1]BDD!G43*reduc2),FDP_CMD_KG), 2), "")</f>
        <v/>
      </c>
      <c r="AD53" s="544" t="str">
        <f>IF(NOT(ISBLANK([1]BDD!K43)), ROUND(SUM(([1]BDD!G43*reduc3),FDP_CMD_KG), 2), "")</f>
        <v/>
      </c>
      <c r="AE53" s="544">
        <f>IF(NOT(ISBLANK([1]BDD!I43)), ROUND(SUM(([1]BDD!G43*reduc1),FDP_FACT_KG), 2), "")</f>
        <v>2.46</v>
      </c>
      <c r="AF53" s="544" t="str">
        <f>IF(NOT(ISBLANK([1]BDD!J43)), ROUND(SUM(([1]BDD!G43*reduc2),FDP_FACT_KG), 2), "")</f>
        <v/>
      </c>
      <c r="AG53" s="544" t="str">
        <f>IF(NOT(ISBLANK([1]BDD!K43)), ROUND(SUM(([1]BDD!G43*reduc3),FDP_FACT_KG), 2), "")</f>
        <v/>
      </c>
      <c r="AH53" s="599" t="str">
        <f>[1]BDD!C43</f>
        <v>Grenade</v>
      </c>
      <c r="AI53" s="598">
        <f>SUM(AV53,AY53,BB53,BE53,BH53,BK53,BN53,BQ53,BT53,BW53,BZ53,CC53,CF53,CI53,CL53,CO53,CR53,CU53,CX53,DA53)</f>
        <v>0</v>
      </c>
      <c r="AJ53" s="545">
        <f>_xlfn.IFS($AD53&lt;&gt;"", $AD53,    $AC53&lt;&gt;"", $AC53,    $AB53&lt;&gt;"", $AB53,    TRUE, $Y53)</f>
        <v>2.4700000000000002</v>
      </c>
      <c r="AK53" s="592">
        <f>$AI53*$AJ53</f>
        <v>0</v>
      </c>
      <c r="AL53" s="594"/>
      <c r="AM53" s="597"/>
      <c r="AN53" s="545">
        <f>_xlfn.IFS(AND(AM53&gt;=60,$AG53&lt;&gt;""), $AG53,    AND(AM53&gt;=30,$AF53&lt;&gt;""), $AF53,    AND(AM53&gt;=10,$AE53&lt;&gt;""), $AE53,    TRUE, $Z53)</f>
        <v>2.64</v>
      </c>
      <c r="AO53" s="596">
        <f>AM53*AN53</f>
        <v>0</v>
      </c>
      <c r="AP53" s="595"/>
      <c r="AQ53" s="595"/>
      <c r="AR53" s="594"/>
      <c r="AS53" s="593">
        <f>SUM(AW53,AZ53,BC53,BF53,BI53,BL53,BO53,BR53,BU53,BX53,CA53,CD53,CG53,CJ53,CM53,CP53,CS53,CV53,CY53,DB53)</f>
        <v>0</v>
      </c>
      <c r="AT53" s="545">
        <f>_xlfn.IFS(AND(AS53&gt;=60,$AG53&lt;&gt;""), $AG53,    AND(AS53&gt;=30,$AF53&lt;&gt;""), $AF53,    AND(AS53&gt;=10,$AE53&lt;&gt;""), $AE53,    TRUE, $Z53)</f>
        <v>2.64</v>
      </c>
      <c r="AU53" s="592">
        <f>$AS53*$AT53</f>
        <v>0</v>
      </c>
      <c r="AV53" s="591">
        <f>[1]COMMANDE!O51</f>
        <v>0</v>
      </c>
      <c r="AW53" s="586" t="str">
        <f>_xlfn.IFS(AND($AI53=$AM53,$AI53&gt;0,$AM53&gt;0,AV53&gt;0), AV53,     AND(NOT($AI53=$AM53),$AI53&gt;0,$AM53&gt;0,AV53&gt;0), ($AM53*AV53)/$AI53,     AND($AI53=0,$AM53&gt;0,$AQ53&gt;0), IF(INDEX(AV$12:AV$263,MATCH($AQ53,$AP$12:$AP$263,0))&gt;0,($AM53*INDEX(AV$12:AV$263,MATCH($AQ53,$AP$12:$AP$263,0)))/INDEX($AI$12:$AI$263,MATCH($AQ53,$AP$12:$AP$263,0)), "-"),     TRUE, "0")</f>
        <v>0</v>
      </c>
      <c r="AX53" s="588">
        <f>IF(AW$9&gt;0, IF(OR(AW53="",AW53="-"), 0, AW53*$AT53), AV53*$AJ53)</f>
        <v>0</v>
      </c>
      <c r="AY53" s="587">
        <f>[1]COMMANDE!Q51</f>
        <v>0</v>
      </c>
      <c r="AZ53" s="586" t="str">
        <f>_xlfn.IFS(AND($AI53=$AM53,$AI53&gt;0,$AM53&gt;0,AY53&gt;0), AY53,     AND(NOT($AI53=$AM53),$AI53&gt;0,$AM53&gt;0,AY53&gt;0), ($AM53*AY53)/$AI53,     AND($AI53=0,$AM53&gt;0,$AQ53&gt;0), IF(INDEX(AY$12:AY$263,MATCH($AQ53,$AP$12:$AP$263,0))&gt;0,($AM53*INDEX(AY$12:AY$263,MATCH($AQ53,$AP$12:$AP$263,0)))/INDEX($AI$12:$AI$263,MATCH($AQ53,$AP$12:$AP$263,0)), "-"),     TRUE, "0")</f>
        <v>0</v>
      </c>
      <c r="BA53" s="607">
        <f>IF(AZ$9&gt;0, IF(OR(AZ53="",AZ53="-"), 0, AZ53*$AT53), AY53*$AJ53)</f>
        <v>0</v>
      </c>
      <c r="BB53" s="589">
        <f>[1]COMMANDE!S51</f>
        <v>0</v>
      </c>
      <c r="BC53" s="586" t="str">
        <f>_xlfn.IFS(AND($AI53=$AM53,$AI53&gt;0,$AM53&gt;0,BB53&gt;0), BB53,     AND(NOT($AI53=$AM53),$AI53&gt;0,$AM53&gt;0,BB53&gt;0), ($AM53*BB53)/$AI53,     AND($AI53=0,$AM53&gt;0,$AQ53&gt;0), IF(INDEX(BB$12:BB$263,MATCH($AQ53,$AP$12:$AP$263,0))&gt;0,($AM53*INDEX(BB$12:BB$263,MATCH($AQ53,$AP$12:$AP$263,0)))/INDEX($AI$12:$AI$263,MATCH($AQ53,$AP$12:$AP$263,0)), "-"),     TRUE, "0")</f>
        <v>0</v>
      </c>
      <c r="BD53" s="588">
        <f>IF(BC$9&gt;0, IF(OR(BC53="",BC53="-"), 0, BC53*$AT53), BB53*$AJ53)</f>
        <v>0</v>
      </c>
      <c r="BE53" s="587">
        <f>[1]COMMANDE!U51</f>
        <v>0</v>
      </c>
      <c r="BF53" s="586" t="str">
        <f>_xlfn.IFS(AND($AI53=$AM53,$AI53&gt;0,$AM53&gt;0,BE53&gt;0), BE53,     AND(NOT($AI53=$AM53),$AI53&gt;0,$AM53&gt;0,BE53&gt;0), ($AM53*BE53)/$AI53,     AND($AI53=0,$AM53&gt;0,$AQ53&gt;0), IF(INDEX(BE$12:BE$263,MATCH($AQ53,$AP$12:$AP$263,0))&gt;0,($AM53*INDEX(BE$12:BE$263,MATCH($AQ53,$AP$12:$AP$263,0)))/INDEX($AI$12:$AI$263,MATCH($AQ53,$AP$12:$AP$263,0)), "-"),     TRUE, "0")</f>
        <v>0</v>
      </c>
      <c r="BG53" s="607">
        <f>IF(BF$9&gt;0, IF(OR(BF53="",BF53="-"), 0, BF53*$AT53), BE53*$AJ53)</f>
        <v>0</v>
      </c>
      <c r="BH53" s="589">
        <f>[1]COMMANDE!W51</f>
        <v>0</v>
      </c>
      <c r="BI53" s="586" t="str">
        <f>_xlfn.IFS(AND($AI53=$AM53,$AI53&gt;0,$AM53&gt;0,BH53&gt;0), BH53,     AND(NOT($AI53=$AM53),$AI53&gt;0,$AM53&gt;0,BH53&gt;0), ($AM53*BH53)/$AI53,     AND($AI53=0,$AM53&gt;0,$AQ53&gt;0), IF(INDEX(BH$12:BH$263,MATCH($AQ53,$AP$12:$AP$263,0))&gt;0,($AM53*INDEX(BH$12:BH$263,MATCH($AQ53,$AP$12:$AP$263,0)))/INDEX($AI$12:$AI$263,MATCH($AQ53,$AP$12:$AP$263,0)), "-"),     TRUE, "0")</f>
        <v>0</v>
      </c>
      <c r="BJ53" s="588">
        <f>IF(BI$9&gt;0, IF(OR(BI53="",BI53="-"), 0, BI53*$AT53), BH53*$AJ53)</f>
        <v>0</v>
      </c>
      <c r="BK53" s="587">
        <f>[1]COMMANDE!Y51</f>
        <v>0</v>
      </c>
      <c r="BL53" s="586" t="str">
        <f>_xlfn.IFS(AND($AI53=$AM53,$AI53&gt;0,$AM53&gt;0,BK53&gt;0), BK53,     AND(NOT($AI53=$AM53),$AI53&gt;0,$AM53&gt;0,BK53&gt;0), ($AM53*BK53)/$AI53,     AND($AI53=0,$AM53&gt;0,$AQ53&gt;0), IF(INDEX(BK$12:BK$263,MATCH($AQ53,$AP$12:$AP$263,0))&gt;0,($AM53*INDEX(BK$12:BK$263,MATCH($AQ53,$AP$12:$AP$263,0)))/INDEX($AI$12:$AI$263,MATCH($AQ53,$AP$12:$AP$263,0)), "-"),     TRUE, "0")</f>
        <v>0</v>
      </c>
      <c r="BM53" s="607">
        <f>IF(BL$9&gt;0, IF(OR(BL53="",BL53="-"), 0, BL53*$AT53), BK53*$AJ53)</f>
        <v>0</v>
      </c>
      <c r="BN53" s="589">
        <f>[1]COMMANDE!AA51</f>
        <v>0</v>
      </c>
      <c r="BO53" s="586" t="str">
        <f>_xlfn.IFS(AND($AI53=$AM53,$AI53&gt;0,$AM53&gt;0,BN53&gt;0), BN53,     AND(NOT($AI53=$AM53),$AI53&gt;0,$AM53&gt;0,BN53&gt;0), ($AM53*BN53)/$AI53,     AND($AI53=0,$AM53&gt;0,$AQ53&gt;0), IF(INDEX(BN$12:BN$263,MATCH($AQ53,$AP$12:$AP$263,0))&gt;0,($AM53*INDEX(BN$12:BN$263,MATCH($AQ53,$AP$12:$AP$263,0)))/INDEX($AI$12:$AI$263,MATCH($AQ53,$AP$12:$AP$263,0)), "-"),     TRUE, "0")</f>
        <v>0</v>
      </c>
      <c r="BP53" s="588">
        <f>IF(BO$9&gt;0, IF(OR(BO53="",BO53="-"), 0, BO53*$AT53), BN53*$AJ53)</f>
        <v>0</v>
      </c>
      <c r="BQ53" s="587">
        <f>[1]COMMANDE!AC51</f>
        <v>0</v>
      </c>
      <c r="BR53" s="586" t="str">
        <f>_xlfn.IFS(AND($AI53=$AM53,$AI53&gt;0,$AM53&gt;0,BQ53&gt;0), BQ53,     AND(NOT($AI53=$AM53),$AI53&gt;0,$AM53&gt;0,BQ53&gt;0), ($AM53*BQ53)/$AI53,     AND($AI53=0,$AM53&gt;0,$AQ53&gt;0), IF(INDEX(BQ$12:BQ$263,MATCH($AQ53,$AP$12:$AP$263,0))&gt;0,($AM53*INDEX(BQ$12:BQ$263,MATCH($AQ53,$AP$12:$AP$263,0)))/INDEX($AI$12:$AI$263,MATCH($AQ53,$AP$12:$AP$263,0)), "-"),     TRUE, "0")</f>
        <v>0</v>
      </c>
      <c r="BS53" s="607">
        <f>IF(BR$9&gt;0, IF(OR(BR53="",BR53="-"), 0, BR53*$AT53), BQ53*$AJ53)</f>
        <v>0</v>
      </c>
      <c r="BT53" s="589">
        <f>[1]COMMANDE!AE51</f>
        <v>0</v>
      </c>
      <c r="BU53" s="586" t="str">
        <f>_xlfn.IFS(AND($AI53=$AM53,$AI53&gt;0,$AM53&gt;0,BT53&gt;0), BT53,     AND(NOT($AI53=$AM53),$AI53&gt;0,$AM53&gt;0,BT53&gt;0), ($AM53*BT53)/$AI53,     AND($AI53=0,$AM53&gt;0,$AQ53&gt;0), IF(INDEX(BT$12:BT$263,MATCH($AQ53,$AP$12:$AP$263,0))&gt;0,($AM53*INDEX(BT$12:BT$263,MATCH($AQ53,$AP$12:$AP$263,0)))/INDEX($AI$12:$AI$263,MATCH($AQ53,$AP$12:$AP$263,0)), "-"),     TRUE, "0")</f>
        <v>0</v>
      </c>
      <c r="BV53" s="588">
        <f>IF(BU$9&gt;0, IF(OR(BU53="",BU53="-"), 0, BU53*$AT53), BT53*$AJ53)</f>
        <v>0</v>
      </c>
      <c r="BW53" s="587">
        <f>[1]COMMANDE!AG51</f>
        <v>0</v>
      </c>
      <c r="BX53" s="586" t="str">
        <f>_xlfn.IFS(AND($AI53=$AM53,$AI53&gt;0,$AM53&gt;0,BW53&gt;0), BW53,     AND(NOT($AI53=$AM53),$AI53&gt;0,$AM53&gt;0,BW53&gt;0), ($AM53*BW53)/$AI53,     AND($AI53=0,$AM53&gt;0,$AQ53&gt;0), IF(INDEX(BW$12:BW$263,MATCH($AQ53,$AP$12:$AP$263,0))&gt;0,($AM53*INDEX(BW$12:BW$263,MATCH($AQ53,$AP$12:$AP$263,0)))/INDEX($AI$12:$AI$263,MATCH($AQ53,$AP$12:$AP$263,0)), "-"),     TRUE, "0")</f>
        <v>0</v>
      </c>
      <c r="BY53" s="607">
        <f>IF(BX$9&gt;0, IF(OR(BX53="",BX53="-"), 0, BX53*$AT53), BW53*$AJ53)</f>
        <v>0</v>
      </c>
      <c r="BZ53" s="589">
        <f>[1]COMMANDE!AI51</f>
        <v>0</v>
      </c>
      <c r="CA53" s="586" t="str">
        <f>_xlfn.IFS(AND($AI53=$AM53,$AI53&gt;0,$AM53&gt;0,BZ53&gt;0), BZ53,     AND(NOT($AI53=$AM53),$AI53&gt;0,$AM53&gt;0,BZ53&gt;0), ($AM53*BZ53)/$AI53,     AND($AI53=0,$AM53&gt;0,$AQ53&gt;0), IF(INDEX(BZ$12:BZ$263,MATCH($AQ53,$AP$12:$AP$263,0))&gt;0,($AM53*INDEX(BZ$12:BZ$263,MATCH($AQ53,$AP$12:$AP$263,0)))/INDEX($AI$12:$AI$263,MATCH($AQ53,$AP$12:$AP$263,0)), "-"),     TRUE, "0")</f>
        <v>0</v>
      </c>
      <c r="CB53" s="588">
        <f>IF(CA$9&gt;0, IF(OR(CA53="",CA53="-"), 0, CA53*$AT53), BZ53*$AJ53)</f>
        <v>0</v>
      </c>
      <c r="CC53" s="587">
        <f>[1]COMMANDE!AK51</f>
        <v>0</v>
      </c>
      <c r="CD53" s="586" t="str">
        <f>_xlfn.IFS(AND($AI53=$AM53,$AI53&gt;0,$AM53&gt;0,CC53&gt;0), CC53,     AND(NOT($AI53=$AM53),$AI53&gt;0,$AM53&gt;0,CC53&gt;0), ($AM53*CC53)/$AI53,     AND($AI53=0,$AM53&gt;0,$AQ53&gt;0), IF(INDEX(CC$12:CC$263,MATCH($AQ53,$AP$12:$AP$263,0))&gt;0,($AM53*INDEX(CC$12:CC$263,MATCH($AQ53,$AP$12:$AP$263,0)))/INDEX($AI$12:$AI$263,MATCH($AQ53,$AP$12:$AP$263,0)), "-"),     TRUE, "0")</f>
        <v>0</v>
      </c>
      <c r="CE53" s="607">
        <f>IF(CD$9&gt;0, IF(OR(CD53="",CD53="-"), 0, CD53*$AT53), CC53*$AJ53)</f>
        <v>0</v>
      </c>
      <c r="CF53" s="589">
        <f>[1]COMMANDE!AM51</f>
        <v>0</v>
      </c>
      <c r="CG53" s="586" t="str">
        <f>_xlfn.IFS(AND($AI53=$AM53,$AI53&gt;0,$AM53&gt;0,CF53&gt;0), CF53,     AND(NOT($AI53=$AM53),$AI53&gt;0,$AM53&gt;0,CF53&gt;0), ($AM53*CF53)/$AI53,     AND($AI53=0,$AM53&gt;0,$AQ53&gt;0), IF(INDEX(CF$12:CF$263,MATCH($AQ53,$AP$12:$AP$263,0))&gt;0,($AM53*INDEX(CF$12:CF$263,MATCH($AQ53,$AP$12:$AP$263,0)))/INDEX($AI$12:$AI$263,MATCH($AQ53,$AP$12:$AP$263,0)), "-"),     TRUE, "0")</f>
        <v>0</v>
      </c>
      <c r="CH53" s="588">
        <f>IF(CG$9&gt;0, IF(OR(CG53="",CG53="-"), 0, CG53*$AT53), CF53*$AJ53)</f>
        <v>0</v>
      </c>
      <c r="CI53" s="587">
        <f>[1]COMMANDE!AO51</f>
        <v>0</v>
      </c>
      <c r="CJ53" s="586" t="str">
        <f>_xlfn.IFS(AND($AI53=$AM53,$AI53&gt;0,$AM53&gt;0,CI53&gt;0), CI53,     AND(NOT($AI53=$AM53),$AI53&gt;0,$AM53&gt;0,CI53&gt;0), ($AM53*CI53)/$AI53,     AND($AI53=0,$AM53&gt;0,$AQ53&gt;0), IF(INDEX(CI$12:CI$263,MATCH($AQ53,$AP$12:$AP$263,0))&gt;0,($AM53*INDEX(CI$12:CI$263,MATCH($AQ53,$AP$12:$AP$263,0)))/INDEX($AI$12:$AI$263,MATCH($AQ53,$AP$12:$AP$263,0)), "-"),     TRUE, "0")</f>
        <v>0</v>
      </c>
      <c r="CK53" s="607">
        <f>IF(CJ$9&gt;0, IF(OR(CJ53="",CJ53="-"), 0, CJ53*$AT53), CI53*$AJ53)</f>
        <v>0</v>
      </c>
      <c r="CL53" s="589">
        <f>[1]COMMANDE!AQ51</f>
        <v>0</v>
      </c>
      <c r="CM53" s="586" t="str">
        <f>_xlfn.IFS(AND($AI53=$AM53,$AI53&gt;0,$AM53&gt;0,CL53&gt;0), CL53,     AND(NOT($AI53=$AM53),$AI53&gt;0,$AM53&gt;0,CL53&gt;0), ($AM53*CL53)/$AI53,     AND($AI53=0,$AM53&gt;0,$AQ53&gt;0), IF(INDEX(CL$12:CL$263,MATCH($AQ53,$AP$12:$AP$263,0))&gt;0,($AM53*INDEX(CL$12:CL$263,MATCH($AQ53,$AP$12:$AP$263,0)))/INDEX($AI$12:$AI$263,MATCH($AQ53,$AP$12:$AP$263,0)), "-"),     TRUE, "0")</f>
        <v>0</v>
      </c>
      <c r="CN53" s="588">
        <f>IF(CM$9&gt;0, IF(OR(CM53="",CM53="-"), 0, CM53*$AT53), CL53*$AJ53)</f>
        <v>0</v>
      </c>
      <c r="CO53" s="587">
        <f>[1]COMMANDE!AS51</f>
        <v>0</v>
      </c>
      <c r="CP53" s="586" t="str">
        <f>_xlfn.IFS(AND($AI53=$AM53,$AI53&gt;0,$AM53&gt;0,CO53&gt;0), CO53,     AND(NOT($AI53=$AM53),$AI53&gt;0,$AM53&gt;0,CO53&gt;0), ($AM53*CO53)/$AI53,     AND($AI53=0,$AM53&gt;0,$AQ53&gt;0), IF(INDEX(CO$12:CO$263,MATCH($AQ53,$AP$12:$AP$263,0))&gt;0,($AM53*INDEX(CO$12:CO$263,MATCH($AQ53,$AP$12:$AP$263,0)))/INDEX($AI$12:$AI$263,MATCH($AQ53,$AP$12:$AP$263,0)), "-"),     TRUE, "0")</f>
        <v>0</v>
      </c>
      <c r="CQ53" s="607">
        <f>IF(CP$9&gt;0, IF(OR(CP53="",CP53="-"), 0, CP53*$AT53), CO53*$AJ53)</f>
        <v>0</v>
      </c>
      <c r="CR53" s="589">
        <f>[1]COMMANDE!AU51</f>
        <v>0</v>
      </c>
      <c r="CS53" s="586" t="str">
        <f>_xlfn.IFS(AND($AI53=$AM53,$AI53&gt;0,$AM53&gt;0,CR53&gt;0), CR53,     AND(NOT($AI53=$AM53),$AI53&gt;0,$AM53&gt;0,CR53&gt;0), ($AM53*CR53)/$AI53,     AND($AI53=0,$AM53&gt;0,$AQ53&gt;0), IF(INDEX(CR$12:CR$263,MATCH($AQ53,$AP$12:$AP$263,0))&gt;0,($AM53*INDEX(CR$12:CR$263,MATCH($AQ53,$AP$12:$AP$263,0)))/INDEX($AI$12:$AI$263,MATCH($AQ53,$AP$12:$AP$263,0)), "-"),     TRUE, "0")</f>
        <v>0</v>
      </c>
      <c r="CT53" s="588">
        <f>IF(CS$9&gt;0, IF(OR(CS53="",CS53="-"), 0, CS53*$AT53), CR53*$AJ53)</f>
        <v>0</v>
      </c>
      <c r="CU53" s="587">
        <f>[1]COMMANDE!AW51</f>
        <v>0</v>
      </c>
      <c r="CV53" s="586" t="str">
        <f>_xlfn.IFS(AND($AI53=$AM53,$AI53&gt;0,$AM53&gt;0,CU53&gt;0), CU53,     AND(NOT($AI53=$AM53),$AI53&gt;0,$AM53&gt;0,CU53&gt;0), ($AM53*CU53)/$AI53,     AND($AI53=0,$AM53&gt;0,$AQ53&gt;0), IF(INDEX(CU$12:CU$263,MATCH($AQ53,$AP$12:$AP$263,0))&gt;0,($AM53*INDEX(CU$12:CU$263,MATCH($AQ53,$AP$12:$AP$263,0)))/INDEX($AI$12:$AI$263,MATCH($AQ53,$AP$12:$AP$263,0)), "-"),     TRUE, "0")</f>
        <v>0</v>
      </c>
      <c r="CW53" s="607">
        <f>IF(CV$9&gt;0, IF(OR(CV53="",CV53="-"), 0, CV53*$AT53), CU53*$AJ53)</f>
        <v>0</v>
      </c>
      <c r="CX53" s="589">
        <f>[1]COMMANDE!AY51</f>
        <v>0</v>
      </c>
      <c r="CY53" s="586" t="str">
        <f>_xlfn.IFS(AND($AI53=$AM53,$AI53&gt;0,$AM53&gt;0,CX53&gt;0), CX53,     AND(NOT($AI53=$AM53),$AI53&gt;0,$AM53&gt;0,CX53&gt;0), ($AM53*CX53)/$AI53,     AND($AI53=0,$AM53&gt;0,$AQ53&gt;0), IF(INDEX(CX$12:CX$263,MATCH($AQ53,$AP$12:$AP$263,0))&gt;0,($AM53*INDEX(CX$12:CX$263,MATCH($AQ53,$AP$12:$AP$263,0)))/INDEX($AI$12:$AI$263,MATCH($AQ53,$AP$12:$AP$263,0)), "-"),     TRUE, "0")</f>
        <v>0</v>
      </c>
      <c r="CZ53" s="588">
        <f>IF(CY$9&gt;0, IF(OR(CY53="",CY53="-"), 0, CY53*$AT53), CX53*$AJ53)</f>
        <v>0</v>
      </c>
      <c r="DA53" s="587">
        <f>[1]COMMANDE!BA51</f>
        <v>0</v>
      </c>
      <c r="DB53" s="586" t="str">
        <f>_xlfn.IFS(AND($AI53=$AM53,$AI53&gt;0,$AM53&gt;0,DA53&gt;0), DA53,     AND(NOT($AI53=$AM53),$AI53&gt;0,$AM53&gt;0,DA53&gt;0), ($AM53*DA53)/$AI53,     AND($AI53=0,$AM53&gt;0,$AQ53&gt;0), IF(INDEX(DA$12:DA$263,MATCH($AQ53,$AP$12:$AP$263,0))&gt;0,($AM53*INDEX(DA$12:DA$263,MATCH($AQ53,$AP$12:$AP$263,0)))/INDEX($AI$12:$AI$263,MATCH($AQ53,$AP$12:$AP$263,0)), "-"),     TRUE, "0")</f>
        <v>0</v>
      </c>
      <c r="DC53" s="606">
        <f>IF(DB$9&gt;0, IF(OR(DB53="",DB53="-"), 0, DB53*$AT53), DA53*$AJ53)</f>
        <v>0</v>
      </c>
      <c r="DD53" s="584"/>
      <c r="DE53" s="583"/>
    </row>
    <row r="54" spans="1:109" ht="39.950000000000003" hidden="1" customHeight="1">
      <c r="A54" s="604">
        <f>IF(OR($AV54&gt;0, $AX54&gt;0), 1, 0)</f>
        <v>0</v>
      </c>
      <c r="B54" s="604">
        <f>IF(OR($AY54&gt;0, $BA54&gt;0), 1, 0)</f>
        <v>0</v>
      </c>
      <c r="C54" s="604">
        <f>IF(OR($BB54&gt;0, $BD54&gt;0), 1, 0)</f>
        <v>0</v>
      </c>
      <c r="D54" s="604">
        <f>IF(OR($BE54&gt;0, $BG54&gt;0), 1, 0)</f>
        <v>0</v>
      </c>
      <c r="E54" s="604">
        <f>IF(OR($BH54&gt;0, $BJ54&gt;0), 1, 0)</f>
        <v>0</v>
      </c>
      <c r="F54" s="604">
        <f>IF(OR($BK54&gt;0, $BM54&gt;0), 1, 0)</f>
        <v>0</v>
      </c>
      <c r="G54" s="604">
        <f>IF(OR($BN54&gt;0, $BP54&gt;0), 1, 0)</f>
        <v>0</v>
      </c>
      <c r="H54" s="604">
        <f>IF(OR($BQ54&gt;0, $BS54&gt;0), 1, 0)</f>
        <v>0</v>
      </c>
      <c r="I54" s="604">
        <f>IF(OR($BT54&gt;0, $BV54&gt;0), 1, 0)</f>
        <v>0</v>
      </c>
      <c r="J54" s="604">
        <f>IF(OR($BW54&gt;0, $BY54&gt;0), 1, 0)</f>
        <v>0</v>
      </c>
      <c r="K54" s="604">
        <f>IF(OR($BZ54&gt;0, $CB54&gt;0), 1, 0)</f>
        <v>0</v>
      </c>
      <c r="L54" s="604">
        <f>IF(OR($CC54&gt;0, $CE54&gt;0), 1, 0)</f>
        <v>0</v>
      </c>
      <c r="M54" s="604">
        <f>IF(OR($CF54&gt;0, $CH54&gt;0), 1, 0)</f>
        <v>0</v>
      </c>
      <c r="N54" s="604">
        <f>IF(OR($CI54&gt;0, $CK54&gt;0), 1, 0)</f>
        <v>0</v>
      </c>
      <c r="O54" s="604">
        <f>IF(OR($CL54&gt;0, $CN54&gt;0), 1, 0)</f>
        <v>0</v>
      </c>
      <c r="P54" s="604">
        <f>IF(OR($CO54&gt;0, $CQ54&gt;0), 1, 0)</f>
        <v>0</v>
      </c>
      <c r="Q54" s="604">
        <f>IF(OR($CR54&gt;0, $CT54&gt;0), 1, 0)</f>
        <v>0</v>
      </c>
      <c r="R54" s="604">
        <f>IF(OR($CU54&gt;0, $CW54&gt;0), 1, 0)</f>
        <v>0</v>
      </c>
      <c r="S54" s="604">
        <f>IF(OR($CX54&gt;0, $CZ54&gt;0), 1, 0)</f>
        <v>0</v>
      </c>
      <c r="T54" s="604">
        <f>IF(OR($DA54&gt;0, $DC54&gt;0), 1, 0)</f>
        <v>0</v>
      </c>
      <c r="U54" s="603">
        <f>IF(OR($AI54&gt;0,$AM54&gt;0,$AS54&gt;0), 1, 0)</f>
        <v>0</v>
      </c>
      <c r="V54" s="602">
        <f>[1]BDD!A44</f>
        <v>5085</v>
      </c>
      <c r="W54" s="601" t="str">
        <f>[1]BDD!B44</f>
        <v>Bonbons chocolat noir CRU (artisanal, grande qualité, sans sucre, ni gluten, cacao, pâte de cacao, beurre de cacao, vanille naturelle)</v>
      </c>
      <c r="X54" s="600" t="str">
        <f>IF([1]BDD!F44=0, "", [1]BDD!F44)</f>
        <v/>
      </c>
      <c r="Y54" s="542">
        <f>ROUND([1]BDD!G44+FDP_CMD_KG, 2)</f>
        <v>3.58</v>
      </c>
      <c r="Z54" s="542">
        <f>ROUND([1]BDD!G44+FDP_FACT_KG, 2)</f>
        <v>3.58</v>
      </c>
      <c r="AA54" s="543" t="str">
        <f>[1]BDD!H44</f>
        <v>Pièce</v>
      </c>
      <c r="AB54" s="544" t="str">
        <f>IF(NOT(ISBLANK([1]BDD!I44)), ROUND(SUM(([1]BDD!G44*reduc1),FDP_CMD_KG), 2), "")</f>
        <v/>
      </c>
      <c r="AC54" s="544" t="str">
        <f>IF(NOT(ISBLANK([1]BDD!J44)), ROUND(SUM(([1]BDD!G44*reduc2),FDP_CMD_KG), 2), "")</f>
        <v/>
      </c>
      <c r="AD54" s="544" t="str">
        <f>IF(NOT(ISBLANK([1]BDD!K44)), ROUND(SUM(([1]BDD!G44*reduc3),FDP_CMD_KG), 2), "")</f>
        <v/>
      </c>
      <c r="AE54" s="544" t="str">
        <f>IF(NOT(ISBLANK([1]BDD!I44)), ROUND(SUM(([1]BDD!G44*reduc1),FDP_FACT_KG), 2), "")</f>
        <v/>
      </c>
      <c r="AF54" s="544" t="str">
        <f>IF(NOT(ISBLANK([1]BDD!J44)), ROUND(SUM(([1]BDD!G44*reduc2),FDP_FACT_KG), 2), "")</f>
        <v/>
      </c>
      <c r="AG54" s="544" t="str">
        <f>IF(NOT(ISBLANK([1]BDD!K44)), ROUND(SUM(([1]BDD!G44*reduc3),FDP_FACT_KG), 2), "")</f>
        <v/>
      </c>
      <c r="AH54" s="599" t="str">
        <f>[1]BDD!C44</f>
        <v>National</v>
      </c>
      <c r="AI54" s="598">
        <f>SUM(AV54,AY54,BB54,BE54,BH54,BK54,BN54,BQ54,BT54,BW54,BZ54,CC54,CF54,CI54,CL54,CO54,CR54,CU54,CX54,DA54)</f>
        <v>0</v>
      </c>
      <c r="AJ54" s="545">
        <f>_xlfn.IFS($AD54&lt;&gt;"", $AD54,    $AC54&lt;&gt;"", $AC54,    $AB54&lt;&gt;"", $AB54,    TRUE, $Y54)</f>
        <v>3.58</v>
      </c>
      <c r="AK54" s="592">
        <f>$AI54*$AJ54</f>
        <v>0</v>
      </c>
      <c r="AL54" s="594"/>
      <c r="AM54" s="597"/>
      <c r="AN54" s="545">
        <f>_xlfn.IFS(AND(AM54&gt;=60,$AG54&lt;&gt;""), $AG54,    AND(AM54&gt;=30,$AF54&lt;&gt;""), $AF54,    AND(AM54&gt;=10,$AE54&lt;&gt;""), $AE54,    TRUE, $Z54)</f>
        <v>3.58</v>
      </c>
      <c r="AO54" s="596">
        <f>AM54*AN54</f>
        <v>0</v>
      </c>
      <c r="AP54" s="595"/>
      <c r="AQ54" s="595"/>
      <c r="AR54" s="594"/>
      <c r="AS54" s="593">
        <f>SUM(AW54,AZ54,BC54,BF54,BI54,BL54,BO54,BR54,BU54,BX54,CA54,CD54,CG54,CJ54,CM54,CP54,CS54,CV54,CY54,DB54)</f>
        <v>0</v>
      </c>
      <c r="AT54" s="545">
        <f>_xlfn.IFS(AND(AS54&gt;=60,$AG54&lt;&gt;""), $AG54,    AND(AS54&gt;=30,$AF54&lt;&gt;""), $AF54,    AND(AS54&gt;=10,$AE54&lt;&gt;""), $AE54,    TRUE, $Z54)</f>
        <v>3.58</v>
      </c>
      <c r="AU54" s="592">
        <f>$AS54*$AT54</f>
        <v>0</v>
      </c>
      <c r="AV54" s="591">
        <f>[1]COMMANDE!O52</f>
        <v>0</v>
      </c>
      <c r="AW54" s="586" t="str">
        <f>_xlfn.IFS(AND($AI54=$AM54,$AI54&gt;0,$AM54&gt;0,AV54&gt;0), AV54,     AND(NOT($AI54=$AM54),$AI54&gt;0,$AM54&gt;0,AV54&gt;0), ($AM54*AV54)/$AI54,     AND($AI54=0,$AM54&gt;0,$AQ54&gt;0), IF(INDEX(AV$12:AV$263,MATCH($AQ54,$AP$12:$AP$263,0))&gt;0,($AM54*INDEX(AV$12:AV$263,MATCH($AQ54,$AP$12:$AP$263,0)))/INDEX($AI$12:$AI$263,MATCH($AQ54,$AP$12:$AP$263,0)), "-"),     TRUE, "0")</f>
        <v>0</v>
      </c>
      <c r="AX54" s="588">
        <f>IF(AW$9&gt;0, IF(OR(AW54="",AW54="-"), 0, AW54*$AT54), AV54*$AJ54)</f>
        <v>0</v>
      </c>
      <c r="AY54" s="587">
        <f>[1]COMMANDE!Q52</f>
        <v>0</v>
      </c>
      <c r="AZ54" s="586" t="str">
        <f>_xlfn.IFS(AND($AI54=$AM54,$AI54&gt;0,$AM54&gt;0,AY54&gt;0), AY54,     AND(NOT($AI54=$AM54),$AI54&gt;0,$AM54&gt;0,AY54&gt;0), ($AM54*AY54)/$AI54,     AND($AI54=0,$AM54&gt;0,$AQ54&gt;0), IF(INDEX(AY$12:AY$263,MATCH($AQ54,$AP$12:$AP$263,0))&gt;0,($AM54*INDEX(AY$12:AY$263,MATCH($AQ54,$AP$12:$AP$263,0)))/INDEX($AI$12:$AI$263,MATCH($AQ54,$AP$12:$AP$263,0)), "-"),     TRUE, "0")</f>
        <v>0</v>
      </c>
      <c r="BA54" s="607">
        <f>IF(AZ$9&gt;0, IF(OR(AZ54="",AZ54="-"), 0, AZ54*$AT54), AY54*$AJ54)</f>
        <v>0</v>
      </c>
      <c r="BB54" s="589">
        <f>[1]COMMANDE!S52</f>
        <v>0</v>
      </c>
      <c r="BC54" s="586" t="str">
        <f>_xlfn.IFS(AND($AI54=$AM54,$AI54&gt;0,$AM54&gt;0,BB54&gt;0), BB54,     AND(NOT($AI54=$AM54),$AI54&gt;0,$AM54&gt;0,BB54&gt;0), ($AM54*BB54)/$AI54,     AND($AI54=0,$AM54&gt;0,$AQ54&gt;0), IF(INDEX(BB$12:BB$263,MATCH($AQ54,$AP$12:$AP$263,0))&gt;0,($AM54*INDEX(BB$12:BB$263,MATCH($AQ54,$AP$12:$AP$263,0)))/INDEX($AI$12:$AI$263,MATCH($AQ54,$AP$12:$AP$263,0)), "-"),     TRUE, "0")</f>
        <v>0</v>
      </c>
      <c r="BD54" s="588">
        <f>IF(BC$9&gt;0, IF(OR(BC54="",BC54="-"), 0, BC54*$AT54), BB54*$AJ54)</f>
        <v>0</v>
      </c>
      <c r="BE54" s="587">
        <f>[1]COMMANDE!U52</f>
        <v>0</v>
      </c>
      <c r="BF54" s="586" t="str">
        <f>_xlfn.IFS(AND($AI54=$AM54,$AI54&gt;0,$AM54&gt;0,BE54&gt;0), BE54,     AND(NOT($AI54=$AM54),$AI54&gt;0,$AM54&gt;0,BE54&gt;0), ($AM54*BE54)/$AI54,     AND($AI54=0,$AM54&gt;0,$AQ54&gt;0), IF(INDEX(BE$12:BE$263,MATCH($AQ54,$AP$12:$AP$263,0))&gt;0,($AM54*INDEX(BE$12:BE$263,MATCH($AQ54,$AP$12:$AP$263,0)))/INDEX($AI$12:$AI$263,MATCH($AQ54,$AP$12:$AP$263,0)), "-"),     TRUE, "0")</f>
        <v>0</v>
      </c>
      <c r="BG54" s="607">
        <f>IF(BF$9&gt;0, IF(OR(BF54="",BF54="-"), 0, BF54*$AT54), BE54*$AJ54)</f>
        <v>0</v>
      </c>
      <c r="BH54" s="589">
        <f>[1]COMMANDE!W52</f>
        <v>0</v>
      </c>
      <c r="BI54" s="586" t="str">
        <f>_xlfn.IFS(AND($AI54=$AM54,$AI54&gt;0,$AM54&gt;0,BH54&gt;0), BH54,     AND(NOT($AI54=$AM54),$AI54&gt;0,$AM54&gt;0,BH54&gt;0), ($AM54*BH54)/$AI54,     AND($AI54=0,$AM54&gt;0,$AQ54&gt;0), IF(INDEX(BH$12:BH$263,MATCH($AQ54,$AP$12:$AP$263,0))&gt;0,($AM54*INDEX(BH$12:BH$263,MATCH($AQ54,$AP$12:$AP$263,0)))/INDEX($AI$12:$AI$263,MATCH($AQ54,$AP$12:$AP$263,0)), "-"),     TRUE, "0")</f>
        <v>0</v>
      </c>
      <c r="BJ54" s="588">
        <f>IF(BI$9&gt;0, IF(OR(BI54="",BI54="-"), 0, BI54*$AT54), BH54*$AJ54)</f>
        <v>0</v>
      </c>
      <c r="BK54" s="587">
        <f>[1]COMMANDE!Y52</f>
        <v>0</v>
      </c>
      <c r="BL54" s="586" t="str">
        <f>_xlfn.IFS(AND($AI54=$AM54,$AI54&gt;0,$AM54&gt;0,BK54&gt;0), BK54,     AND(NOT($AI54=$AM54),$AI54&gt;0,$AM54&gt;0,BK54&gt;0), ($AM54*BK54)/$AI54,     AND($AI54=0,$AM54&gt;0,$AQ54&gt;0), IF(INDEX(BK$12:BK$263,MATCH($AQ54,$AP$12:$AP$263,0))&gt;0,($AM54*INDEX(BK$12:BK$263,MATCH($AQ54,$AP$12:$AP$263,0)))/INDEX($AI$12:$AI$263,MATCH($AQ54,$AP$12:$AP$263,0)), "-"),     TRUE, "0")</f>
        <v>0</v>
      </c>
      <c r="BM54" s="607">
        <f>IF(BL$9&gt;0, IF(OR(BL54="",BL54="-"), 0, BL54*$AT54), BK54*$AJ54)</f>
        <v>0</v>
      </c>
      <c r="BN54" s="589">
        <f>[1]COMMANDE!AA52</f>
        <v>0</v>
      </c>
      <c r="BO54" s="586" t="str">
        <f>_xlfn.IFS(AND($AI54=$AM54,$AI54&gt;0,$AM54&gt;0,BN54&gt;0), BN54,     AND(NOT($AI54=$AM54),$AI54&gt;0,$AM54&gt;0,BN54&gt;0), ($AM54*BN54)/$AI54,     AND($AI54=0,$AM54&gt;0,$AQ54&gt;0), IF(INDEX(BN$12:BN$263,MATCH($AQ54,$AP$12:$AP$263,0))&gt;0,($AM54*INDEX(BN$12:BN$263,MATCH($AQ54,$AP$12:$AP$263,0)))/INDEX($AI$12:$AI$263,MATCH($AQ54,$AP$12:$AP$263,0)), "-"),     TRUE, "0")</f>
        <v>0</v>
      </c>
      <c r="BP54" s="588">
        <f>IF(BO$9&gt;0, IF(OR(BO54="",BO54="-"), 0, BO54*$AT54), BN54*$AJ54)</f>
        <v>0</v>
      </c>
      <c r="BQ54" s="587">
        <f>[1]COMMANDE!AC52</f>
        <v>0</v>
      </c>
      <c r="BR54" s="586" t="str">
        <f>_xlfn.IFS(AND($AI54=$AM54,$AI54&gt;0,$AM54&gt;0,BQ54&gt;0), BQ54,     AND(NOT($AI54=$AM54),$AI54&gt;0,$AM54&gt;0,BQ54&gt;0), ($AM54*BQ54)/$AI54,     AND($AI54=0,$AM54&gt;0,$AQ54&gt;0), IF(INDEX(BQ$12:BQ$263,MATCH($AQ54,$AP$12:$AP$263,0))&gt;0,($AM54*INDEX(BQ$12:BQ$263,MATCH($AQ54,$AP$12:$AP$263,0)))/INDEX($AI$12:$AI$263,MATCH($AQ54,$AP$12:$AP$263,0)), "-"),     TRUE, "0")</f>
        <v>0</v>
      </c>
      <c r="BS54" s="607">
        <f>IF(BR$9&gt;0, IF(OR(BR54="",BR54="-"), 0, BR54*$AT54), BQ54*$AJ54)</f>
        <v>0</v>
      </c>
      <c r="BT54" s="589">
        <f>[1]COMMANDE!AE52</f>
        <v>0</v>
      </c>
      <c r="BU54" s="586" t="str">
        <f>_xlfn.IFS(AND($AI54=$AM54,$AI54&gt;0,$AM54&gt;0,BT54&gt;0), BT54,     AND(NOT($AI54=$AM54),$AI54&gt;0,$AM54&gt;0,BT54&gt;0), ($AM54*BT54)/$AI54,     AND($AI54=0,$AM54&gt;0,$AQ54&gt;0), IF(INDEX(BT$12:BT$263,MATCH($AQ54,$AP$12:$AP$263,0))&gt;0,($AM54*INDEX(BT$12:BT$263,MATCH($AQ54,$AP$12:$AP$263,0)))/INDEX($AI$12:$AI$263,MATCH($AQ54,$AP$12:$AP$263,0)), "-"),     TRUE, "0")</f>
        <v>0</v>
      </c>
      <c r="BV54" s="588">
        <f>IF(BU$9&gt;0, IF(OR(BU54="",BU54="-"), 0, BU54*$AT54), BT54*$AJ54)</f>
        <v>0</v>
      </c>
      <c r="BW54" s="587">
        <f>[1]COMMANDE!AG52</f>
        <v>0</v>
      </c>
      <c r="BX54" s="586" t="str">
        <f>_xlfn.IFS(AND($AI54=$AM54,$AI54&gt;0,$AM54&gt;0,BW54&gt;0), BW54,     AND(NOT($AI54=$AM54),$AI54&gt;0,$AM54&gt;0,BW54&gt;0), ($AM54*BW54)/$AI54,     AND($AI54=0,$AM54&gt;0,$AQ54&gt;0), IF(INDEX(BW$12:BW$263,MATCH($AQ54,$AP$12:$AP$263,0))&gt;0,($AM54*INDEX(BW$12:BW$263,MATCH($AQ54,$AP$12:$AP$263,0)))/INDEX($AI$12:$AI$263,MATCH($AQ54,$AP$12:$AP$263,0)), "-"),     TRUE, "0")</f>
        <v>0</v>
      </c>
      <c r="BY54" s="607">
        <f>IF(BX$9&gt;0, IF(OR(BX54="",BX54="-"), 0, BX54*$AT54), BW54*$AJ54)</f>
        <v>0</v>
      </c>
      <c r="BZ54" s="589">
        <f>[1]COMMANDE!AI52</f>
        <v>0</v>
      </c>
      <c r="CA54" s="586" t="str">
        <f>_xlfn.IFS(AND($AI54=$AM54,$AI54&gt;0,$AM54&gt;0,BZ54&gt;0), BZ54,     AND(NOT($AI54=$AM54),$AI54&gt;0,$AM54&gt;0,BZ54&gt;0), ($AM54*BZ54)/$AI54,     AND($AI54=0,$AM54&gt;0,$AQ54&gt;0), IF(INDEX(BZ$12:BZ$263,MATCH($AQ54,$AP$12:$AP$263,0))&gt;0,($AM54*INDEX(BZ$12:BZ$263,MATCH($AQ54,$AP$12:$AP$263,0)))/INDEX($AI$12:$AI$263,MATCH($AQ54,$AP$12:$AP$263,0)), "-"),     TRUE, "0")</f>
        <v>0</v>
      </c>
      <c r="CB54" s="588">
        <f>IF(CA$9&gt;0, IF(OR(CA54="",CA54="-"), 0, CA54*$AT54), BZ54*$AJ54)</f>
        <v>0</v>
      </c>
      <c r="CC54" s="587">
        <f>[1]COMMANDE!AK52</f>
        <v>0</v>
      </c>
      <c r="CD54" s="586" t="str">
        <f>_xlfn.IFS(AND($AI54=$AM54,$AI54&gt;0,$AM54&gt;0,CC54&gt;0), CC54,     AND(NOT($AI54=$AM54),$AI54&gt;0,$AM54&gt;0,CC54&gt;0), ($AM54*CC54)/$AI54,     AND($AI54=0,$AM54&gt;0,$AQ54&gt;0), IF(INDEX(CC$12:CC$263,MATCH($AQ54,$AP$12:$AP$263,0))&gt;0,($AM54*INDEX(CC$12:CC$263,MATCH($AQ54,$AP$12:$AP$263,0)))/INDEX($AI$12:$AI$263,MATCH($AQ54,$AP$12:$AP$263,0)), "-"),     TRUE, "0")</f>
        <v>0</v>
      </c>
      <c r="CE54" s="607">
        <f>IF(CD$9&gt;0, IF(OR(CD54="",CD54="-"), 0, CD54*$AT54), CC54*$AJ54)</f>
        <v>0</v>
      </c>
      <c r="CF54" s="589">
        <f>[1]COMMANDE!AM52</f>
        <v>0</v>
      </c>
      <c r="CG54" s="586" t="str">
        <f>_xlfn.IFS(AND($AI54=$AM54,$AI54&gt;0,$AM54&gt;0,CF54&gt;0), CF54,     AND(NOT($AI54=$AM54),$AI54&gt;0,$AM54&gt;0,CF54&gt;0), ($AM54*CF54)/$AI54,     AND($AI54=0,$AM54&gt;0,$AQ54&gt;0), IF(INDEX(CF$12:CF$263,MATCH($AQ54,$AP$12:$AP$263,0))&gt;0,($AM54*INDEX(CF$12:CF$263,MATCH($AQ54,$AP$12:$AP$263,0)))/INDEX($AI$12:$AI$263,MATCH($AQ54,$AP$12:$AP$263,0)), "-"),     TRUE, "0")</f>
        <v>0</v>
      </c>
      <c r="CH54" s="588">
        <f>IF(CG$9&gt;0, IF(OR(CG54="",CG54="-"), 0, CG54*$AT54), CF54*$AJ54)</f>
        <v>0</v>
      </c>
      <c r="CI54" s="587">
        <f>[1]COMMANDE!AO52</f>
        <v>0</v>
      </c>
      <c r="CJ54" s="586" t="str">
        <f>_xlfn.IFS(AND($AI54=$AM54,$AI54&gt;0,$AM54&gt;0,CI54&gt;0), CI54,     AND(NOT($AI54=$AM54),$AI54&gt;0,$AM54&gt;0,CI54&gt;0), ($AM54*CI54)/$AI54,     AND($AI54=0,$AM54&gt;0,$AQ54&gt;0), IF(INDEX(CI$12:CI$263,MATCH($AQ54,$AP$12:$AP$263,0))&gt;0,($AM54*INDEX(CI$12:CI$263,MATCH($AQ54,$AP$12:$AP$263,0)))/INDEX($AI$12:$AI$263,MATCH($AQ54,$AP$12:$AP$263,0)), "-"),     TRUE, "0")</f>
        <v>0</v>
      </c>
      <c r="CK54" s="607">
        <f>IF(CJ$9&gt;0, IF(OR(CJ54="",CJ54="-"), 0, CJ54*$AT54), CI54*$AJ54)</f>
        <v>0</v>
      </c>
      <c r="CL54" s="589">
        <f>[1]COMMANDE!AQ52</f>
        <v>0</v>
      </c>
      <c r="CM54" s="586" t="str">
        <f>_xlfn.IFS(AND($AI54=$AM54,$AI54&gt;0,$AM54&gt;0,CL54&gt;0), CL54,     AND(NOT($AI54=$AM54),$AI54&gt;0,$AM54&gt;0,CL54&gt;0), ($AM54*CL54)/$AI54,     AND($AI54=0,$AM54&gt;0,$AQ54&gt;0), IF(INDEX(CL$12:CL$263,MATCH($AQ54,$AP$12:$AP$263,0))&gt;0,($AM54*INDEX(CL$12:CL$263,MATCH($AQ54,$AP$12:$AP$263,0)))/INDEX($AI$12:$AI$263,MATCH($AQ54,$AP$12:$AP$263,0)), "-"),     TRUE, "0")</f>
        <v>0</v>
      </c>
      <c r="CN54" s="588">
        <f>IF(CM$9&gt;0, IF(OR(CM54="",CM54="-"), 0, CM54*$AT54), CL54*$AJ54)</f>
        <v>0</v>
      </c>
      <c r="CO54" s="587">
        <f>[1]COMMANDE!AS52</f>
        <v>0</v>
      </c>
      <c r="CP54" s="586" t="str">
        <f>_xlfn.IFS(AND($AI54=$AM54,$AI54&gt;0,$AM54&gt;0,CO54&gt;0), CO54,     AND(NOT($AI54=$AM54),$AI54&gt;0,$AM54&gt;0,CO54&gt;0), ($AM54*CO54)/$AI54,     AND($AI54=0,$AM54&gt;0,$AQ54&gt;0), IF(INDEX(CO$12:CO$263,MATCH($AQ54,$AP$12:$AP$263,0))&gt;0,($AM54*INDEX(CO$12:CO$263,MATCH($AQ54,$AP$12:$AP$263,0)))/INDEX($AI$12:$AI$263,MATCH($AQ54,$AP$12:$AP$263,0)), "-"),     TRUE, "0")</f>
        <v>0</v>
      </c>
      <c r="CQ54" s="607">
        <f>IF(CP$9&gt;0, IF(OR(CP54="",CP54="-"), 0, CP54*$AT54), CO54*$AJ54)</f>
        <v>0</v>
      </c>
      <c r="CR54" s="589">
        <f>[1]COMMANDE!AU52</f>
        <v>0</v>
      </c>
      <c r="CS54" s="586" t="str">
        <f>_xlfn.IFS(AND($AI54=$AM54,$AI54&gt;0,$AM54&gt;0,CR54&gt;0), CR54,     AND(NOT($AI54=$AM54),$AI54&gt;0,$AM54&gt;0,CR54&gt;0), ($AM54*CR54)/$AI54,     AND($AI54=0,$AM54&gt;0,$AQ54&gt;0), IF(INDEX(CR$12:CR$263,MATCH($AQ54,$AP$12:$AP$263,0))&gt;0,($AM54*INDEX(CR$12:CR$263,MATCH($AQ54,$AP$12:$AP$263,0)))/INDEX($AI$12:$AI$263,MATCH($AQ54,$AP$12:$AP$263,0)), "-"),     TRUE, "0")</f>
        <v>0</v>
      </c>
      <c r="CT54" s="588">
        <f>IF(CS$9&gt;0, IF(OR(CS54="",CS54="-"), 0, CS54*$AT54), CR54*$AJ54)</f>
        <v>0</v>
      </c>
      <c r="CU54" s="587">
        <f>[1]COMMANDE!AW52</f>
        <v>0</v>
      </c>
      <c r="CV54" s="586" t="str">
        <f>_xlfn.IFS(AND($AI54=$AM54,$AI54&gt;0,$AM54&gt;0,CU54&gt;0), CU54,     AND(NOT($AI54=$AM54),$AI54&gt;0,$AM54&gt;0,CU54&gt;0), ($AM54*CU54)/$AI54,     AND($AI54=0,$AM54&gt;0,$AQ54&gt;0), IF(INDEX(CU$12:CU$263,MATCH($AQ54,$AP$12:$AP$263,0))&gt;0,($AM54*INDEX(CU$12:CU$263,MATCH($AQ54,$AP$12:$AP$263,0)))/INDEX($AI$12:$AI$263,MATCH($AQ54,$AP$12:$AP$263,0)), "-"),     TRUE, "0")</f>
        <v>0</v>
      </c>
      <c r="CW54" s="607">
        <f>IF(CV$9&gt;0, IF(OR(CV54="",CV54="-"), 0, CV54*$AT54), CU54*$AJ54)</f>
        <v>0</v>
      </c>
      <c r="CX54" s="589">
        <f>[1]COMMANDE!AY52</f>
        <v>0</v>
      </c>
      <c r="CY54" s="586" t="str">
        <f>_xlfn.IFS(AND($AI54=$AM54,$AI54&gt;0,$AM54&gt;0,CX54&gt;0), CX54,     AND(NOT($AI54=$AM54),$AI54&gt;0,$AM54&gt;0,CX54&gt;0), ($AM54*CX54)/$AI54,     AND($AI54=0,$AM54&gt;0,$AQ54&gt;0), IF(INDEX(CX$12:CX$263,MATCH($AQ54,$AP$12:$AP$263,0))&gt;0,($AM54*INDEX(CX$12:CX$263,MATCH($AQ54,$AP$12:$AP$263,0)))/INDEX($AI$12:$AI$263,MATCH($AQ54,$AP$12:$AP$263,0)), "-"),     TRUE, "0")</f>
        <v>0</v>
      </c>
      <c r="CZ54" s="588">
        <f>IF(CY$9&gt;0, IF(OR(CY54="",CY54="-"), 0, CY54*$AT54), CX54*$AJ54)</f>
        <v>0</v>
      </c>
      <c r="DA54" s="587">
        <f>[1]COMMANDE!BA52</f>
        <v>0</v>
      </c>
      <c r="DB54" s="586" t="str">
        <f>_xlfn.IFS(AND($AI54=$AM54,$AI54&gt;0,$AM54&gt;0,DA54&gt;0), DA54,     AND(NOT($AI54=$AM54),$AI54&gt;0,$AM54&gt;0,DA54&gt;0), ($AM54*DA54)/$AI54,     AND($AI54=0,$AM54&gt;0,$AQ54&gt;0), IF(INDEX(DA$12:DA$263,MATCH($AQ54,$AP$12:$AP$263,0))&gt;0,($AM54*INDEX(DA$12:DA$263,MATCH($AQ54,$AP$12:$AP$263,0)))/INDEX($AI$12:$AI$263,MATCH($AQ54,$AP$12:$AP$263,0)), "-"),     TRUE, "0")</f>
        <v>0</v>
      </c>
      <c r="DC54" s="606">
        <f>IF(DB$9&gt;0, IF(OR(DB54="",DB54="-"), 0, DB54*$AT54), DA54*$AJ54)</f>
        <v>0</v>
      </c>
      <c r="DD54" s="584"/>
      <c r="DE54" s="583"/>
    </row>
    <row r="55" spans="1:109" ht="39.950000000000003" hidden="1" customHeight="1">
      <c r="A55" s="604">
        <f>IF(OR($AV55&gt;0, $AX55&gt;0), 1, 0)</f>
        <v>0</v>
      </c>
      <c r="B55" s="604">
        <f>IF(OR($AY55&gt;0, $BA55&gt;0), 1, 0)</f>
        <v>0</v>
      </c>
      <c r="C55" s="604">
        <f>IF(OR($BB55&gt;0, $BD55&gt;0), 1, 0)</f>
        <v>0</v>
      </c>
      <c r="D55" s="604">
        <f>IF(OR($BE55&gt;0, $BG55&gt;0), 1, 0)</f>
        <v>0</v>
      </c>
      <c r="E55" s="604">
        <f>IF(OR($BH55&gt;0, $BJ55&gt;0), 1, 0)</f>
        <v>0</v>
      </c>
      <c r="F55" s="604">
        <f>IF(OR($BK55&gt;0, $BM55&gt;0), 1, 0)</f>
        <v>0</v>
      </c>
      <c r="G55" s="604">
        <f>IF(OR($BN55&gt;0, $BP55&gt;0), 1, 0)</f>
        <v>0</v>
      </c>
      <c r="H55" s="604">
        <f>IF(OR($BQ55&gt;0, $BS55&gt;0), 1, 0)</f>
        <v>0</v>
      </c>
      <c r="I55" s="604">
        <f>IF(OR($BT55&gt;0, $BV55&gt;0), 1, 0)</f>
        <v>0</v>
      </c>
      <c r="J55" s="604">
        <f>IF(OR($BW55&gt;0, $BY55&gt;0), 1, 0)</f>
        <v>0</v>
      </c>
      <c r="K55" s="604">
        <f>IF(OR($BZ55&gt;0, $CB55&gt;0), 1, 0)</f>
        <v>0</v>
      </c>
      <c r="L55" s="604">
        <f>IF(OR($CC55&gt;0, $CE55&gt;0), 1, 0)</f>
        <v>0</v>
      </c>
      <c r="M55" s="604">
        <f>IF(OR($CF55&gt;0, $CH55&gt;0), 1, 0)</f>
        <v>0</v>
      </c>
      <c r="N55" s="604">
        <f>IF(OR($CI55&gt;0, $CK55&gt;0), 1, 0)</f>
        <v>0</v>
      </c>
      <c r="O55" s="604">
        <f>IF(OR($CL55&gt;0, $CN55&gt;0), 1, 0)</f>
        <v>0</v>
      </c>
      <c r="P55" s="604">
        <f>IF(OR($CO55&gt;0, $CQ55&gt;0), 1, 0)</f>
        <v>0</v>
      </c>
      <c r="Q55" s="604">
        <f>IF(OR($CR55&gt;0, $CT55&gt;0), 1, 0)</f>
        <v>0</v>
      </c>
      <c r="R55" s="604">
        <f>IF(OR($CU55&gt;0, $CW55&gt;0), 1, 0)</f>
        <v>0</v>
      </c>
      <c r="S55" s="604">
        <f>IF(OR($CX55&gt;0, $CZ55&gt;0), 1, 0)</f>
        <v>0</v>
      </c>
      <c r="T55" s="604">
        <f>IF(OR($DA55&gt;0, $DC55&gt;0), 1, 0)</f>
        <v>0</v>
      </c>
      <c r="U55" s="603">
        <f>IF(OR($AI55&gt;0,$AM55&gt;0,$AS55&gt;0), 1, 0)</f>
        <v>0</v>
      </c>
      <c r="V55" s="602">
        <f>[1]BDD!A45</f>
        <v>5085</v>
      </c>
      <c r="W55" s="601" t="str">
        <f>[1]BDD!B45</f>
        <v>Bonbons chocolat noir CRU (pack de 3)</v>
      </c>
      <c r="X55" s="600" t="str">
        <f>IF([1]BDD!F45=0, "", [1]BDD!F45)</f>
        <v>OFFRE</v>
      </c>
      <c r="Y55" s="542">
        <f>ROUND([1]BDD!G45+FDP_CMD_KG, 2)</f>
        <v>7.69</v>
      </c>
      <c r="Z55" s="542">
        <f>ROUND([1]BDD!G45+FDP_FACT_KG, 2)</f>
        <v>7.69</v>
      </c>
      <c r="AA55" s="543" t="str">
        <f>[1]BDD!H45</f>
        <v>Pièce</v>
      </c>
      <c r="AB55" s="544" t="str">
        <f>IF(NOT(ISBLANK([1]BDD!I45)), ROUND(SUM(([1]BDD!G45*reduc1),FDP_CMD_KG), 2), "")</f>
        <v/>
      </c>
      <c r="AC55" s="544" t="str">
        <f>IF(NOT(ISBLANK([1]BDD!J45)), ROUND(SUM(([1]BDD!G45*reduc2),FDP_CMD_KG), 2), "")</f>
        <v/>
      </c>
      <c r="AD55" s="544" t="str">
        <f>IF(NOT(ISBLANK([1]BDD!K45)), ROUND(SUM(([1]BDD!G45*reduc3),FDP_CMD_KG), 2), "")</f>
        <v/>
      </c>
      <c r="AE55" s="544" t="str">
        <f>IF(NOT(ISBLANK([1]BDD!I45)), ROUND(SUM(([1]BDD!G45*reduc1),FDP_FACT_KG), 2), "")</f>
        <v/>
      </c>
      <c r="AF55" s="544" t="str">
        <f>IF(NOT(ISBLANK([1]BDD!J45)), ROUND(SUM(([1]BDD!G45*reduc2),FDP_FACT_KG), 2), "")</f>
        <v/>
      </c>
      <c r="AG55" s="544" t="str">
        <f>IF(NOT(ISBLANK([1]BDD!K45)), ROUND(SUM(([1]BDD!G45*reduc3),FDP_FACT_KG), 2), "")</f>
        <v/>
      </c>
      <c r="AH55" s="599" t="str">
        <f>[1]BDD!C45</f>
        <v>National</v>
      </c>
      <c r="AI55" s="598">
        <f>SUM(AV55,AY55,BB55,BE55,BH55,BK55,BN55,BQ55,BT55,BW55,BZ55,CC55,CF55,CI55,CL55,CO55,CR55,CU55,CX55,DA55)</f>
        <v>0</v>
      </c>
      <c r="AJ55" s="545">
        <f>_xlfn.IFS($AD55&lt;&gt;"", $AD55,    $AC55&lt;&gt;"", $AC55,    $AB55&lt;&gt;"", $AB55,    TRUE, $Y55)</f>
        <v>7.69</v>
      </c>
      <c r="AK55" s="592">
        <f>$AI55*$AJ55</f>
        <v>0</v>
      </c>
      <c r="AL55" s="594"/>
      <c r="AM55" s="597"/>
      <c r="AN55" s="545">
        <f>_xlfn.IFS(AND(AM55&gt;=60,$AG55&lt;&gt;""), $AG55,    AND(AM55&gt;=30,$AF55&lt;&gt;""), $AF55,    AND(AM55&gt;=10,$AE55&lt;&gt;""), $AE55,    TRUE, $Z55)</f>
        <v>7.69</v>
      </c>
      <c r="AO55" s="596">
        <f>AM55*AN55</f>
        <v>0</v>
      </c>
      <c r="AP55" s="595"/>
      <c r="AQ55" s="595"/>
      <c r="AR55" s="594"/>
      <c r="AS55" s="593">
        <f>SUM(AW55,AZ55,BC55,BF55,BI55,BL55,BO55,BR55,BU55,BX55,CA55,CD55,CG55,CJ55,CM55,CP55,CS55,CV55,CY55,DB55)</f>
        <v>0</v>
      </c>
      <c r="AT55" s="545">
        <f>_xlfn.IFS(AND(AS55&gt;=60,$AG55&lt;&gt;""), $AG55,    AND(AS55&gt;=30,$AF55&lt;&gt;""), $AF55,    AND(AS55&gt;=10,$AE55&lt;&gt;""), $AE55,    TRUE, $Z55)</f>
        <v>7.69</v>
      </c>
      <c r="AU55" s="592">
        <f>$AS55*$AT55</f>
        <v>0</v>
      </c>
      <c r="AV55" s="591">
        <f>[1]COMMANDE!O53</f>
        <v>0</v>
      </c>
      <c r="AW55" s="586" t="str">
        <f>_xlfn.IFS(AND($AI55=$AM55,$AI55&gt;0,$AM55&gt;0,AV55&gt;0), AV55,     AND(NOT($AI55=$AM55),$AI55&gt;0,$AM55&gt;0,AV55&gt;0), ($AM55*AV55)/$AI55,     AND($AI55=0,$AM55&gt;0,$AQ55&gt;0), IF(INDEX(AV$12:AV$263,MATCH($AQ55,$AP$12:$AP$263,0))&gt;0,($AM55*INDEX(AV$12:AV$263,MATCH($AQ55,$AP$12:$AP$263,0)))/INDEX($AI$12:$AI$263,MATCH($AQ55,$AP$12:$AP$263,0)), "-"),     TRUE, "0")</f>
        <v>0</v>
      </c>
      <c r="AX55" s="588">
        <f>IF(AW$9&gt;0, IF(OR(AW55="",AW55="-"), 0, AW55*$AT55), AV55*$AJ55)</f>
        <v>0</v>
      </c>
      <c r="AY55" s="587">
        <f>[1]COMMANDE!Q53</f>
        <v>0</v>
      </c>
      <c r="AZ55" s="586" t="str">
        <f>_xlfn.IFS(AND($AI55=$AM55,$AI55&gt;0,$AM55&gt;0,AY55&gt;0), AY55,     AND(NOT($AI55=$AM55),$AI55&gt;0,$AM55&gt;0,AY55&gt;0), ($AM55*AY55)/$AI55,     AND($AI55=0,$AM55&gt;0,$AQ55&gt;0), IF(INDEX(AY$12:AY$263,MATCH($AQ55,$AP$12:$AP$263,0))&gt;0,($AM55*INDEX(AY$12:AY$263,MATCH($AQ55,$AP$12:$AP$263,0)))/INDEX($AI$12:$AI$263,MATCH($AQ55,$AP$12:$AP$263,0)), "-"),     TRUE, "0")</f>
        <v>0</v>
      </c>
      <c r="BA55" s="607">
        <f>IF(AZ$9&gt;0, IF(OR(AZ55="",AZ55="-"), 0, AZ55*$AT55), AY55*$AJ55)</f>
        <v>0</v>
      </c>
      <c r="BB55" s="589">
        <f>[1]COMMANDE!S53</f>
        <v>0</v>
      </c>
      <c r="BC55" s="586" t="str">
        <f>_xlfn.IFS(AND($AI55=$AM55,$AI55&gt;0,$AM55&gt;0,BB55&gt;0), BB55,     AND(NOT($AI55=$AM55),$AI55&gt;0,$AM55&gt;0,BB55&gt;0), ($AM55*BB55)/$AI55,     AND($AI55=0,$AM55&gt;0,$AQ55&gt;0), IF(INDEX(BB$12:BB$263,MATCH($AQ55,$AP$12:$AP$263,0))&gt;0,($AM55*INDEX(BB$12:BB$263,MATCH($AQ55,$AP$12:$AP$263,0)))/INDEX($AI$12:$AI$263,MATCH($AQ55,$AP$12:$AP$263,0)), "-"),     TRUE, "0")</f>
        <v>0</v>
      </c>
      <c r="BD55" s="588">
        <f>IF(BC$9&gt;0, IF(OR(BC55="",BC55="-"), 0, BC55*$AT55), BB55*$AJ55)</f>
        <v>0</v>
      </c>
      <c r="BE55" s="587">
        <f>[1]COMMANDE!U53</f>
        <v>0</v>
      </c>
      <c r="BF55" s="586" t="str">
        <f>_xlfn.IFS(AND($AI55=$AM55,$AI55&gt;0,$AM55&gt;0,BE55&gt;0), BE55,     AND(NOT($AI55=$AM55),$AI55&gt;0,$AM55&gt;0,BE55&gt;0), ($AM55*BE55)/$AI55,     AND($AI55=0,$AM55&gt;0,$AQ55&gt;0), IF(INDEX(BE$12:BE$263,MATCH($AQ55,$AP$12:$AP$263,0))&gt;0,($AM55*INDEX(BE$12:BE$263,MATCH($AQ55,$AP$12:$AP$263,0)))/INDEX($AI$12:$AI$263,MATCH($AQ55,$AP$12:$AP$263,0)), "-"),     TRUE, "0")</f>
        <v>0</v>
      </c>
      <c r="BG55" s="607">
        <f>IF(BF$9&gt;0, IF(OR(BF55="",BF55="-"), 0, BF55*$AT55), BE55*$AJ55)</f>
        <v>0</v>
      </c>
      <c r="BH55" s="589">
        <f>[1]COMMANDE!W53</f>
        <v>0</v>
      </c>
      <c r="BI55" s="586" t="str">
        <f>_xlfn.IFS(AND($AI55=$AM55,$AI55&gt;0,$AM55&gt;0,BH55&gt;0), BH55,     AND(NOT($AI55=$AM55),$AI55&gt;0,$AM55&gt;0,BH55&gt;0), ($AM55*BH55)/$AI55,     AND($AI55=0,$AM55&gt;0,$AQ55&gt;0), IF(INDEX(BH$12:BH$263,MATCH($AQ55,$AP$12:$AP$263,0))&gt;0,($AM55*INDEX(BH$12:BH$263,MATCH($AQ55,$AP$12:$AP$263,0)))/INDEX($AI$12:$AI$263,MATCH($AQ55,$AP$12:$AP$263,0)), "-"),     TRUE, "0")</f>
        <v>0</v>
      </c>
      <c r="BJ55" s="588">
        <f>IF(BI$9&gt;0, IF(OR(BI55="",BI55="-"), 0, BI55*$AT55), BH55*$AJ55)</f>
        <v>0</v>
      </c>
      <c r="BK55" s="587">
        <f>[1]COMMANDE!Y53</f>
        <v>0</v>
      </c>
      <c r="BL55" s="586" t="str">
        <f>_xlfn.IFS(AND($AI55=$AM55,$AI55&gt;0,$AM55&gt;0,BK55&gt;0), BK55,     AND(NOT($AI55=$AM55),$AI55&gt;0,$AM55&gt;0,BK55&gt;0), ($AM55*BK55)/$AI55,     AND($AI55=0,$AM55&gt;0,$AQ55&gt;0), IF(INDEX(BK$12:BK$263,MATCH($AQ55,$AP$12:$AP$263,0))&gt;0,($AM55*INDEX(BK$12:BK$263,MATCH($AQ55,$AP$12:$AP$263,0)))/INDEX($AI$12:$AI$263,MATCH($AQ55,$AP$12:$AP$263,0)), "-"),     TRUE, "0")</f>
        <v>0</v>
      </c>
      <c r="BM55" s="607">
        <f>IF(BL$9&gt;0, IF(OR(BL55="",BL55="-"), 0, BL55*$AT55), BK55*$AJ55)</f>
        <v>0</v>
      </c>
      <c r="BN55" s="589">
        <f>[1]COMMANDE!AA53</f>
        <v>0</v>
      </c>
      <c r="BO55" s="586" t="str">
        <f>_xlfn.IFS(AND($AI55=$AM55,$AI55&gt;0,$AM55&gt;0,BN55&gt;0), BN55,     AND(NOT($AI55=$AM55),$AI55&gt;0,$AM55&gt;0,BN55&gt;0), ($AM55*BN55)/$AI55,     AND($AI55=0,$AM55&gt;0,$AQ55&gt;0), IF(INDEX(BN$12:BN$263,MATCH($AQ55,$AP$12:$AP$263,0))&gt;0,($AM55*INDEX(BN$12:BN$263,MATCH($AQ55,$AP$12:$AP$263,0)))/INDEX($AI$12:$AI$263,MATCH($AQ55,$AP$12:$AP$263,0)), "-"),     TRUE, "0")</f>
        <v>0</v>
      </c>
      <c r="BP55" s="588">
        <f>IF(BO$9&gt;0, IF(OR(BO55="",BO55="-"), 0, BO55*$AT55), BN55*$AJ55)</f>
        <v>0</v>
      </c>
      <c r="BQ55" s="587">
        <f>[1]COMMANDE!AC53</f>
        <v>0</v>
      </c>
      <c r="BR55" s="586" t="str">
        <f>_xlfn.IFS(AND($AI55=$AM55,$AI55&gt;0,$AM55&gt;0,BQ55&gt;0), BQ55,     AND(NOT($AI55=$AM55),$AI55&gt;0,$AM55&gt;0,BQ55&gt;0), ($AM55*BQ55)/$AI55,     AND($AI55=0,$AM55&gt;0,$AQ55&gt;0), IF(INDEX(BQ$12:BQ$263,MATCH($AQ55,$AP$12:$AP$263,0))&gt;0,($AM55*INDEX(BQ$12:BQ$263,MATCH($AQ55,$AP$12:$AP$263,0)))/INDEX($AI$12:$AI$263,MATCH($AQ55,$AP$12:$AP$263,0)), "-"),     TRUE, "0")</f>
        <v>0</v>
      </c>
      <c r="BS55" s="607">
        <f>IF(BR$9&gt;0, IF(OR(BR55="",BR55="-"), 0, BR55*$AT55), BQ55*$AJ55)</f>
        <v>0</v>
      </c>
      <c r="BT55" s="589">
        <f>[1]COMMANDE!AE53</f>
        <v>0</v>
      </c>
      <c r="BU55" s="586" t="str">
        <f>_xlfn.IFS(AND($AI55=$AM55,$AI55&gt;0,$AM55&gt;0,BT55&gt;0), BT55,     AND(NOT($AI55=$AM55),$AI55&gt;0,$AM55&gt;0,BT55&gt;0), ($AM55*BT55)/$AI55,     AND($AI55=0,$AM55&gt;0,$AQ55&gt;0), IF(INDEX(BT$12:BT$263,MATCH($AQ55,$AP$12:$AP$263,0))&gt;0,($AM55*INDEX(BT$12:BT$263,MATCH($AQ55,$AP$12:$AP$263,0)))/INDEX($AI$12:$AI$263,MATCH($AQ55,$AP$12:$AP$263,0)), "-"),     TRUE, "0")</f>
        <v>0</v>
      </c>
      <c r="BV55" s="588">
        <f>IF(BU$9&gt;0, IF(OR(BU55="",BU55="-"), 0, BU55*$AT55), BT55*$AJ55)</f>
        <v>0</v>
      </c>
      <c r="BW55" s="587">
        <f>[1]COMMANDE!AG53</f>
        <v>0</v>
      </c>
      <c r="BX55" s="586" t="str">
        <f>_xlfn.IFS(AND($AI55=$AM55,$AI55&gt;0,$AM55&gt;0,BW55&gt;0), BW55,     AND(NOT($AI55=$AM55),$AI55&gt;0,$AM55&gt;0,BW55&gt;0), ($AM55*BW55)/$AI55,     AND($AI55=0,$AM55&gt;0,$AQ55&gt;0), IF(INDEX(BW$12:BW$263,MATCH($AQ55,$AP$12:$AP$263,0))&gt;0,($AM55*INDEX(BW$12:BW$263,MATCH($AQ55,$AP$12:$AP$263,0)))/INDEX($AI$12:$AI$263,MATCH($AQ55,$AP$12:$AP$263,0)), "-"),     TRUE, "0")</f>
        <v>0</v>
      </c>
      <c r="BY55" s="607">
        <f>IF(BX$9&gt;0, IF(OR(BX55="",BX55="-"), 0, BX55*$AT55), BW55*$AJ55)</f>
        <v>0</v>
      </c>
      <c r="BZ55" s="589">
        <f>[1]COMMANDE!AI53</f>
        <v>0</v>
      </c>
      <c r="CA55" s="586" t="str">
        <f>_xlfn.IFS(AND($AI55=$AM55,$AI55&gt;0,$AM55&gt;0,BZ55&gt;0), BZ55,     AND(NOT($AI55=$AM55),$AI55&gt;0,$AM55&gt;0,BZ55&gt;0), ($AM55*BZ55)/$AI55,     AND($AI55=0,$AM55&gt;0,$AQ55&gt;0), IF(INDEX(BZ$12:BZ$263,MATCH($AQ55,$AP$12:$AP$263,0))&gt;0,($AM55*INDEX(BZ$12:BZ$263,MATCH($AQ55,$AP$12:$AP$263,0)))/INDEX($AI$12:$AI$263,MATCH($AQ55,$AP$12:$AP$263,0)), "-"),     TRUE, "0")</f>
        <v>0</v>
      </c>
      <c r="CB55" s="588">
        <f>IF(CA$9&gt;0, IF(OR(CA55="",CA55="-"), 0, CA55*$AT55), BZ55*$AJ55)</f>
        <v>0</v>
      </c>
      <c r="CC55" s="587">
        <f>[1]COMMANDE!AK53</f>
        <v>0</v>
      </c>
      <c r="CD55" s="586" t="str">
        <f>_xlfn.IFS(AND($AI55=$AM55,$AI55&gt;0,$AM55&gt;0,CC55&gt;0), CC55,     AND(NOT($AI55=$AM55),$AI55&gt;0,$AM55&gt;0,CC55&gt;0), ($AM55*CC55)/$AI55,     AND($AI55=0,$AM55&gt;0,$AQ55&gt;0), IF(INDEX(CC$12:CC$263,MATCH($AQ55,$AP$12:$AP$263,0))&gt;0,($AM55*INDEX(CC$12:CC$263,MATCH($AQ55,$AP$12:$AP$263,0)))/INDEX($AI$12:$AI$263,MATCH($AQ55,$AP$12:$AP$263,0)), "-"),     TRUE, "0")</f>
        <v>0</v>
      </c>
      <c r="CE55" s="607">
        <f>IF(CD$9&gt;0, IF(OR(CD55="",CD55="-"), 0, CD55*$AT55), CC55*$AJ55)</f>
        <v>0</v>
      </c>
      <c r="CF55" s="589">
        <f>[1]COMMANDE!AM53</f>
        <v>0</v>
      </c>
      <c r="CG55" s="586" t="str">
        <f>_xlfn.IFS(AND($AI55=$AM55,$AI55&gt;0,$AM55&gt;0,CF55&gt;0), CF55,     AND(NOT($AI55=$AM55),$AI55&gt;0,$AM55&gt;0,CF55&gt;0), ($AM55*CF55)/$AI55,     AND($AI55=0,$AM55&gt;0,$AQ55&gt;0), IF(INDEX(CF$12:CF$263,MATCH($AQ55,$AP$12:$AP$263,0))&gt;0,($AM55*INDEX(CF$12:CF$263,MATCH($AQ55,$AP$12:$AP$263,0)))/INDEX($AI$12:$AI$263,MATCH($AQ55,$AP$12:$AP$263,0)), "-"),     TRUE, "0")</f>
        <v>0</v>
      </c>
      <c r="CH55" s="588">
        <f>IF(CG$9&gt;0, IF(OR(CG55="",CG55="-"), 0, CG55*$AT55), CF55*$AJ55)</f>
        <v>0</v>
      </c>
      <c r="CI55" s="587">
        <f>[1]COMMANDE!AO53</f>
        <v>0</v>
      </c>
      <c r="CJ55" s="586" t="str">
        <f>_xlfn.IFS(AND($AI55=$AM55,$AI55&gt;0,$AM55&gt;0,CI55&gt;0), CI55,     AND(NOT($AI55=$AM55),$AI55&gt;0,$AM55&gt;0,CI55&gt;0), ($AM55*CI55)/$AI55,     AND($AI55=0,$AM55&gt;0,$AQ55&gt;0), IF(INDEX(CI$12:CI$263,MATCH($AQ55,$AP$12:$AP$263,0))&gt;0,($AM55*INDEX(CI$12:CI$263,MATCH($AQ55,$AP$12:$AP$263,0)))/INDEX($AI$12:$AI$263,MATCH($AQ55,$AP$12:$AP$263,0)), "-"),     TRUE, "0")</f>
        <v>0</v>
      </c>
      <c r="CK55" s="607">
        <f>IF(CJ$9&gt;0, IF(OR(CJ55="",CJ55="-"), 0, CJ55*$AT55), CI55*$AJ55)</f>
        <v>0</v>
      </c>
      <c r="CL55" s="589">
        <f>[1]COMMANDE!AQ53</f>
        <v>0</v>
      </c>
      <c r="CM55" s="586" t="str">
        <f>_xlfn.IFS(AND($AI55=$AM55,$AI55&gt;0,$AM55&gt;0,CL55&gt;0), CL55,     AND(NOT($AI55=$AM55),$AI55&gt;0,$AM55&gt;0,CL55&gt;0), ($AM55*CL55)/$AI55,     AND($AI55=0,$AM55&gt;0,$AQ55&gt;0), IF(INDEX(CL$12:CL$263,MATCH($AQ55,$AP$12:$AP$263,0))&gt;0,($AM55*INDEX(CL$12:CL$263,MATCH($AQ55,$AP$12:$AP$263,0)))/INDEX($AI$12:$AI$263,MATCH($AQ55,$AP$12:$AP$263,0)), "-"),     TRUE, "0")</f>
        <v>0</v>
      </c>
      <c r="CN55" s="588">
        <f>IF(CM$9&gt;0, IF(OR(CM55="",CM55="-"), 0, CM55*$AT55), CL55*$AJ55)</f>
        <v>0</v>
      </c>
      <c r="CO55" s="587">
        <f>[1]COMMANDE!AS53</f>
        <v>0</v>
      </c>
      <c r="CP55" s="586" t="str">
        <f>_xlfn.IFS(AND($AI55=$AM55,$AI55&gt;0,$AM55&gt;0,CO55&gt;0), CO55,     AND(NOT($AI55=$AM55),$AI55&gt;0,$AM55&gt;0,CO55&gt;0), ($AM55*CO55)/$AI55,     AND($AI55=0,$AM55&gt;0,$AQ55&gt;0), IF(INDEX(CO$12:CO$263,MATCH($AQ55,$AP$12:$AP$263,0))&gt;0,($AM55*INDEX(CO$12:CO$263,MATCH($AQ55,$AP$12:$AP$263,0)))/INDEX($AI$12:$AI$263,MATCH($AQ55,$AP$12:$AP$263,0)), "-"),     TRUE, "0")</f>
        <v>0</v>
      </c>
      <c r="CQ55" s="607">
        <f>IF(CP$9&gt;0, IF(OR(CP55="",CP55="-"), 0, CP55*$AT55), CO55*$AJ55)</f>
        <v>0</v>
      </c>
      <c r="CR55" s="589">
        <f>[1]COMMANDE!AU53</f>
        <v>0</v>
      </c>
      <c r="CS55" s="586" t="str">
        <f>_xlfn.IFS(AND($AI55=$AM55,$AI55&gt;0,$AM55&gt;0,CR55&gt;0), CR55,     AND(NOT($AI55=$AM55),$AI55&gt;0,$AM55&gt;0,CR55&gt;0), ($AM55*CR55)/$AI55,     AND($AI55=0,$AM55&gt;0,$AQ55&gt;0), IF(INDEX(CR$12:CR$263,MATCH($AQ55,$AP$12:$AP$263,0))&gt;0,($AM55*INDEX(CR$12:CR$263,MATCH($AQ55,$AP$12:$AP$263,0)))/INDEX($AI$12:$AI$263,MATCH($AQ55,$AP$12:$AP$263,0)), "-"),     TRUE, "0")</f>
        <v>0</v>
      </c>
      <c r="CT55" s="588">
        <f>IF(CS$9&gt;0, IF(OR(CS55="",CS55="-"), 0, CS55*$AT55), CR55*$AJ55)</f>
        <v>0</v>
      </c>
      <c r="CU55" s="587">
        <f>[1]COMMANDE!AW53</f>
        <v>0</v>
      </c>
      <c r="CV55" s="586" t="str">
        <f>_xlfn.IFS(AND($AI55=$AM55,$AI55&gt;0,$AM55&gt;0,CU55&gt;0), CU55,     AND(NOT($AI55=$AM55),$AI55&gt;0,$AM55&gt;0,CU55&gt;0), ($AM55*CU55)/$AI55,     AND($AI55=0,$AM55&gt;0,$AQ55&gt;0), IF(INDEX(CU$12:CU$263,MATCH($AQ55,$AP$12:$AP$263,0))&gt;0,($AM55*INDEX(CU$12:CU$263,MATCH($AQ55,$AP$12:$AP$263,0)))/INDEX($AI$12:$AI$263,MATCH($AQ55,$AP$12:$AP$263,0)), "-"),     TRUE, "0")</f>
        <v>0</v>
      </c>
      <c r="CW55" s="607">
        <f>IF(CV$9&gt;0, IF(OR(CV55="",CV55="-"), 0, CV55*$AT55), CU55*$AJ55)</f>
        <v>0</v>
      </c>
      <c r="CX55" s="589">
        <f>[1]COMMANDE!AY53</f>
        <v>0</v>
      </c>
      <c r="CY55" s="586" t="str">
        <f>_xlfn.IFS(AND($AI55=$AM55,$AI55&gt;0,$AM55&gt;0,CX55&gt;0), CX55,     AND(NOT($AI55=$AM55),$AI55&gt;0,$AM55&gt;0,CX55&gt;0), ($AM55*CX55)/$AI55,     AND($AI55=0,$AM55&gt;0,$AQ55&gt;0), IF(INDEX(CX$12:CX$263,MATCH($AQ55,$AP$12:$AP$263,0))&gt;0,($AM55*INDEX(CX$12:CX$263,MATCH($AQ55,$AP$12:$AP$263,0)))/INDEX($AI$12:$AI$263,MATCH($AQ55,$AP$12:$AP$263,0)), "-"),     TRUE, "0")</f>
        <v>0</v>
      </c>
      <c r="CZ55" s="588">
        <f>IF(CY$9&gt;0, IF(OR(CY55="",CY55="-"), 0, CY55*$AT55), CX55*$AJ55)</f>
        <v>0</v>
      </c>
      <c r="DA55" s="587">
        <f>[1]COMMANDE!BA53</f>
        <v>0</v>
      </c>
      <c r="DB55" s="586" t="str">
        <f>_xlfn.IFS(AND($AI55=$AM55,$AI55&gt;0,$AM55&gt;0,DA55&gt;0), DA55,     AND(NOT($AI55=$AM55),$AI55&gt;0,$AM55&gt;0,DA55&gt;0), ($AM55*DA55)/$AI55,     AND($AI55=0,$AM55&gt;0,$AQ55&gt;0), IF(INDEX(DA$12:DA$263,MATCH($AQ55,$AP$12:$AP$263,0))&gt;0,($AM55*INDEX(DA$12:DA$263,MATCH($AQ55,$AP$12:$AP$263,0)))/INDEX($AI$12:$AI$263,MATCH($AQ55,$AP$12:$AP$263,0)), "-"),     TRUE, "0")</f>
        <v>0</v>
      </c>
      <c r="DC55" s="606">
        <f>IF(DB$9&gt;0, IF(OR(DB55="",DB55="-"), 0, DB55*$AT55), DA55*$AJ55)</f>
        <v>0</v>
      </c>
      <c r="DD55" s="584"/>
      <c r="DE55" s="583"/>
    </row>
    <row r="56" spans="1:109" ht="39.950000000000003" hidden="1" customHeight="1">
      <c r="A56" s="604">
        <f>IF(OR($AV56&gt;0, $AX56&gt;0), 1, 0)</f>
        <v>0</v>
      </c>
      <c r="B56" s="604">
        <f>IF(OR($AY56&gt;0, $BA56&gt;0), 1, 0)</f>
        <v>0</v>
      </c>
      <c r="C56" s="604">
        <f>IF(OR($BB56&gt;0, $BD56&gt;0), 1, 0)</f>
        <v>0</v>
      </c>
      <c r="D56" s="604">
        <f>IF(OR($BE56&gt;0, $BG56&gt;0), 1, 0)</f>
        <v>0</v>
      </c>
      <c r="E56" s="604">
        <f>IF(OR($BH56&gt;0, $BJ56&gt;0), 1, 0)</f>
        <v>0</v>
      </c>
      <c r="F56" s="604">
        <f>IF(OR($BK56&gt;0, $BM56&gt;0), 1, 0)</f>
        <v>0</v>
      </c>
      <c r="G56" s="604">
        <f>IF(OR($BN56&gt;0, $BP56&gt;0), 1, 0)</f>
        <v>0</v>
      </c>
      <c r="H56" s="604">
        <f>IF(OR($BQ56&gt;0, $BS56&gt;0), 1, 0)</f>
        <v>0</v>
      </c>
      <c r="I56" s="604">
        <f>IF(OR($BT56&gt;0, $BV56&gt;0), 1, 0)</f>
        <v>0</v>
      </c>
      <c r="J56" s="604">
        <f>IF(OR($BW56&gt;0, $BY56&gt;0), 1, 0)</f>
        <v>0</v>
      </c>
      <c r="K56" s="604">
        <f>IF(OR($BZ56&gt;0, $CB56&gt;0), 1, 0)</f>
        <v>0</v>
      </c>
      <c r="L56" s="604">
        <f>IF(OR($CC56&gt;0, $CE56&gt;0), 1, 0)</f>
        <v>0</v>
      </c>
      <c r="M56" s="604">
        <f>IF(OR($CF56&gt;0, $CH56&gt;0), 1, 0)</f>
        <v>0</v>
      </c>
      <c r="N56" s="604">
        <f>IF(OR($CI56&gt;0, $CK56&gt;0), 1, 0)</f>
        <v>0</v>
      </c>
      <c r="O56" s="604">
        <f>IF(OR($CL56&gt;0, $CN56&gt;0), 1, 0)</f>
        <v>0</v>
      </c>
      <c r="P56" s="604">
        <f>IF(OR($CO56&gt;0, $CQ56&gt;0), 1, 0)</f>
        <v>0</v>
      </c>
      <c r="Q56" s="604">
        <f>IF(OR($CR56&gt;0, $CT56&gt;0), 1, 0)</f>
        <v>0</v>
      </c>
      <c r="R56" s="604">
        <f>IF(OR($CU56&gt;0, $CW56&gt;0), 1, 0)</f>
        <v>0</v>
      </c>
      <c r="S56" s="604">
        <f>IF(OR($CX56&gt;0, $CZ56&gt;0), 1, 0)</f>
        <v>0</v>
      </c>
      <c r="T56" s="604">
        <f>IF(OR($DA56&gt;0, $DC56&gt;0), 1, 0)</f>
        <v>0</v>
      </c>
      <c r="U56" s="603">
        <f>IF(OR($AI56&gt;0,$AM56&gt;0,$AS56&gt;0), 1, 0)</f>
        <v>0</v>
      </c>
      <c r="V56" s="602">
        <f>[1]BDD!A46</f>
        <v>1597</v>
      </c>
      <c r="W56" s="601" t="str">
        <f>[1]BDD!B46</f>
        <v xml:space="preserve">Cacao en poudre CRU BIO (env. 1 kg) </v>
      </c>
      <c r="X56" s="600" t="str">
        <f>IF([1]BDD!F46=0, "", [1]BDD!F46)</f>
        <v/>
      </c>
      <c r="Y56" s="542">
        <f>ROUND([1]BDD!G46+FDP_CMD_KG, 2)</f>
        <v>15.52</v>
      </c>
      <c r="Z56" s="542">
        <f>ROUND([1]BDD!G46+FDP_FACT_KG, 2)</f>
        <v>15.52</v>
      </c>
      <c r="AA56" s="543" t="str">
        <f>[1]BDD!H46</f>
        <v>Pièce</v>
      </c>
      <c r="AB56" s="544">
        <f>IF(NOT(ISBLANK([1]BDD!I46)), ROUND(SUM(([1]BDD!G46*reduc1),FDP_CMD_KG), 2), "")</f>
        <v>14.06</v>
      </c>
      <c r="AC56" s="544" t="str">
        <f>IF(NOT(ISBLANK([1]BDD!J46)), ROUND(SUM(([1]BDD!G46*reduc2),FDP_CMD_KG), 2), "")</f>
        <v/>
      </c>
      <c r="AD56" s="544" t="str">
        <f>IF(NOT(ISBLANK([1]BDD!K46)), ROUND(SUM(([1]BDD!G46*reduc3),FDP_CMD_KG), 2), "")</f>
        <v/>
      </c>
      <c r="AE56" s="544">
        <f>IF(NOT(ISBLANK([1]BDD!I46)), ROUND(SUM(([1]BDD!G46*reduc1),FDP_FACT_KG), 2), "")</f>
        <v>14.05</v>
      </c>
      <c r="AF56" s="544" t="str">
        <f>IF(NOT(ISBLANK([1]BDD!J46)), ROUND(SUM(([1]BDD!G46*reduc2),FDP_FACT_KG), 2), "")</f>
        <v/>
      </c>
      <c r="AG56" s="544" t="str">
        <f>IF(NOT(ISBLANK([1]BDD!K46)), ROUND(SUM(([1]BDD!G46*reduc3),FDP_FACT_KG), 2), "")</f>
        <v/>
      </c>
      <c r="AH56" s="599" t="str">
        <f>[1]BDD!C46</f>
        <v>Pérou</v>
      </c>
      <c r="AI56" s="598">
        <f>SUM(AV56,AY56,BB56,BE56,BH56,BK56,BN56,BQ56,BT56,BW56,BZ56,CC56,CF56,CI56,CL56,CO56,CR56,CU56,CX56,DA56)</f>
        <v>0</v>
      </c>
      <c r="AJ56" s="545">
        <f>_xlfn.IFS($AD56&lt;&gt;"", $AD56,    $AC56&lt;&gt;"", $AC56,    $AB56&lt;&gt;"", $AB56,    TRUE, $Y56)</f>
        <v>14.06</v>
      </c>
      <c r="AK56" s="592">
        <f>$AI56*$AJ56</f>
        <v>0</v>
      </c>
      <c r="AL56" s="594"/>
      <c r="AM56" s="597"/>
      <c r="AN56" s="545">
        <f>_xlfn.IFS(AND(AM56&gt;=60,$AG56&lt;&gt;""), $AG56,    AND(AM56&gt;=30,$AF56&lt;&gt;""), $AF56,    AND(AM56&gt;=10,$AE56&lt;&gt;""), $AE56,    TRUE, $Z56)</f>
        <v>15.52</v>
      </c>
      <c r="AO56" s="596">
        <f>AM56*AN56</f>
        <v>0</v>
      </c>
      <c r="AP56" s="595"/>
      <c r="AQ56" s="595"/>
      <c r="AR56" s="594"/>
      <c r="AS56" s="593">
        <f>SUM(AW56,AZ56,BC56,BF56,BI56,BL56,BO56,BR56,BU56,BX56,CA56,CD56,CG56,CJ56,CM56,CP56,CS56,CV56,CY56,DB56)</f>
        <v>0</v>
      </c>
      <c r="AT56" s="545">
        <f>_xlfn.IFS(AND(AS56&gt;=60,$AG56&lt;&gt;""), $AG56,    AND(AS56&gt;=30,$AF56&lt;&gt;""), $AF56,    AND(AS56&gt;=10,$AE56&lt;&gt;""), $AE56,    TRUE, $Z56)</f>
        <v>15.52</v>
      </c>
      <c r="AU56" s="592">
        <f>$AS56*$AT56</f>
        <v>0</v>
      </c>
      <c r="AV56" s="591">
        <f>[1]COMMANDE!O54</f>
        <v>0</v>
      </c>
      <c r="AW56" s="586" t="str">
        <f>_xlfn.IFS(AND($AI56=$AM56,$AI56&gt;0,$AM56&gt;0,AV56&gt;0), AV56,     AND(NOT($AI56=$AM56),$AI56&gt;0,$AM56&gt;0,AV56&gt;0), ($AM56*AV56)/$AI56,     AND($AI56=0,$AM56&gt;0,$AQ56&gt;0), IF(INDEX(AV$12:AV$263,MATCH($AQ56,$AP$12:$AP$263,0))&gt;0,($AM56*INDEX(AV$12:AV$263,MATCH($AQ56,$AP$12:$AP$263,0)))/INDEX($AI$12:$AI$263,MATCH($AQ56,$AP$12:$AP$263,0)), "-"),     TRUE, "0")</f>
        <v>0</v>
      </c>
      <c r="AX56" s="588">
        <f>IF(AW$9&gt;0, IF(OR(AW56="",AW56="-"), 0, AW56*$AT56), AV56*$AJ56)</f>
        <v>0</v>
      </c>
      <c r="AY56" s="587">
        <f>[1]COMMANDE!Q54</f>
        <v>0</v>
      </c>
      <c r="AZ56" s="586" t="str">
        <f>_xlfn.IFS(AND($AI56=$AM56,$AI56&gt;0,$AM56&gt;0,AY56&gt;0), AY56,     AND(NOT($AI56=$AM56),$AI56&gt;0,$AM56&gt;0,AY56&gt;0), ($AM56*AY56)/$AI56,     AND($AI56=0,$AM56&gt;0,$AQ56&gt;0), IF(INDEX(AY$12:AY$263,MATCH($AQ56,$AP$12:$AP$263,0))&gt;0,($AM56*INDEX(AY$12:AY$263,MATCH($AQ56,$AP$12:$AP$263,0)))/INDEX($AI$12:$AI$263,MATCH($AQ56,$AP$12:$AP$263,0)), "-"),     TRUE, "0")</f>
        <v>0</v>
      </c>
      <c r="BA56" s="607">
        <f>IF(AZ$9&gt;0, IF(OR(AZ56="",AZ56="-"), 0, AZ56*$AT56), AY56*$AJ56)</f>
        <v>0</v>
      </c>
      <c r="BB56" s="589">
        <f>[1]COMMANDE!S54</f>
        <v>0</v>
      </c>
      <c r="BC56" s="586" t="str">
        <f>_xlfn.IFS(AND($AI56=$AM56,$AI56&gt;0,$AM56&gt;0,BB56&gt;0), BB56,     AND(NOT($AI56=$AM56),$AI56&gt;0,$AM56&gt;0,BB56&gt;0), ($AM56*BB56)/$AI56,     AND($AI56=0,$AM56&gt;0,$AQ56&gt;0), IF(INDEX(BB$12:BB$263,MATCH($AQ56,$AP$12:$AP$263,0))&gt;0,($AM56*INDEX(BB$12:BB$263,MATCH($AQ56,$AP$12:$AP$263,0)))/INDEX($AI$12:$AI$263,MATCH($AQ56,$AP$12:$AP$263,0)), "-"),     TRUE, "0")</f>
        <v>0</v>
      </c>
      <c r="BD56" s="588">
        <f>IF(BC$9&gt;0, IF(OR(BC56="",BC56="-"), 0, BC56*$AT56), BB56*$AJ56)</f>
        <v>0</v>
      </c>
      <c r="BE56" s="587">
        <f>[1]COMMANDE!U54</f>
        <v>0</v>
      </c>
      <c r="BF56" s="586" t="str">
        <f>_xlfn.IFS(AND($AI56=$AM56,$AI56&gt;0,$AM56&gt;0,BE56&gt;0), BE56,     AND(NOT($AI56=$AM56),$AI56&gt;0,$AM56&gt;0,BE56&gt;0), ($AM56*BE56)/$AI56,     AND($AI56=0,$AM56&gt;0,$AQ56&gt;0), IF(INDEX(BE$12:BE$263,MATCH($AQ56,$AP$12:$AP$263,0))&gt;0,($AM56*INDEX(BE$12:BE$263,MATCH($AQ56,$AP$12:$AP$263,0)))/INDEX($AI$12:$AI$263,MATCH($AQ56,$AP$12:$AP$263,0)), "-"),     TRUE, "0")</f>
        <v>0</v>
      </c>
      <c r="BG56" s="607">
        <f>IF(BF$9&gt;0, IF(OR(BF56="",BF56="-"), 0, BF56*$AT56), BE56*$AJ56)</f>
        <v>0</v>
      </c>
      <c r="BH56" s="589">
        <f>[1]COMMANDE!W54</f>
        <v>0</v>
      </c>
      <c r="BI56" s="586" t="str">
        <f>_xlfn.IFS(AND($AI56=$AM56,$AI56&gt;0,$AM56&gt;0,BH56&gt;0), BH56,     AND(NOT($AI56=$AM56),$AI56&gt;0,$AM56&gt;0,BH56&gt;0), ($AM56*BH56)/$AI56,     AND($AI56=0,$AM56&gt;0,$AQ56&gt;0), IF(INDEX(BH$12:BH$263,MATCH($AQ56,$AP$12:$AP$263,0))&gt;0,($AM56*INDEX(BH$12:BH$263,MATCH($AQ56,$AP$12:$AP$263,0)))/INDEX($AI$12:$AI$263,MATCH($AQ56,$AP$12:$AP$263,0)), "-"),     TRUE, "0")</f>
        <v>0</v>
      </c>
      <c r="BJ56" s="588">
        <f>IF(BI$9&gt;0, IF(OR(BI56="",BI56="-"), 0, BI56*$AT56), BH56*$AJ56)</f>
        <v>0</v>
      </c>
      <c r="BK56" s="587">
        <f>[1]COMMANDE!Y54</f>
        <v>0</v>
      </c>
      <c r="BL56" s="586" t="str">
        <f>_xlfn.IFS(AND($AI56=$AM56,$AI56&gt;0,$AM56&gt;0,BK56&gt;0), BK56,     AND(NOT($AI56=$AM56),$AI56&gt;0,$AM56&gt;0,BK56&gt;0), ($AM56*BK56)/$AI56,     AND($AI56=0,$AM56&gt;0,$AQ56&gt;0), IF(INDEX(BK$12:BK$263,MATCH($AQ56,$AP$12:$AP$263,0))&gt;0,($AM56*INDEX(BK$12:BK$263,MATCH($AQ56,$AP$12:$AP$263,0)))/INDEX($AI$12:$AI$263,MATCH($AQ56,$AP$12:$AP$263,0)), "-"),     TRUE, "0")</f>
        <v>0</v>
      </c>
      <c r="BM56" s="607">
        <f>IF(BL$9&gt;0, IF(OR(BL56="",BL56="-"), 0, BL56*$AT56), BK56*$AJ56)</f>
        <v>0</v>
      </c>
      <c r="BN56" s="589">
        <f>[1]COMMANDE!AA54</f>
        <v>0</v>
      </c>
      <c r="BO56" s="586" t="str">
        <f>_xlfn.IFS(AND($AI56=$AM56,$AI56&gt;0,$AM56&gt;0,BN56&gt;0), BN56,     AND(NOT($AI56=$AM56),$AI56&gt;0,$AM56&gt;0,BN56&gt;0), ($AM56*BN56)/$AI56,     AND($AI56=0,$AM56&gt;0,$AQ56&gt;0), IF(INDEX(BN$12:BN$263,MATCH($AQ56,$AP$12:$AP$263,0))&gt;0,($AM56*INDEX(BN$12:BN$263,MATCH($AQ56,$AP$12:$AP$263,0)))/INDEX($AI$12:$AI$263,MATCH($AQ56,$AP$12:$AP$263,0)), "-"),     TRUE, "0")</f>
        <v>0</v>
      </c>
      <c r="BP56" s="588">
        <f>IF(BO$9&gt;0, IF(OR(BO56="",BO56="-"), 0, BO56*$AT56), BN56*$AJ56)</f>
        <v>0</v>
      </c>
      <c r="BQ56" s="587">
        <f>[1]COMMANDE!AC54</f>
        <v>0</v>
      </c>
      <c r="BR56" s="586" t="str">
        <f>_xlfn.IFS(AND($AI56=$AM56,$AI56&gt;0,$AM56&gt;0,BQ56&gt;0), BQ56,     AND(NOT($AI56=$AM56),$AI56&gt;0,$AM56&gt;0,BQ56&gt;0), ($AM56*BQ56)/$AI56,     AND($AI56=0,$AM56&gt;0,$AQ56&gt;0), IF(INDEX(BQ$12:BQ$263,MATCH($AQ56,$AP$12:$AP$263,0))&gt;0,($AM56*INDEX(BQ$12:BQ$263,MATCH($AQ56,$AP$12:$AP$263,0)))/INDEX($AI$12:$AI$263,MATCH($AQ56,$AP$12:$AP$263,0)), "-"),     TRUE, "0")</f>
        <v>0</v>
      </c>
      <c r="BS56" s="607">
        <f>IF(BR$9&gt;0, IF(OR(BR56="",BR56="-"), 0, BR56*$AT56), BQ56*$AJ56)</f>
        <v>0</v>
      </c>
      <c r="BT56" s="589">
        <f>[1]COMMANDE!AE54</f>
        <v>0</v>
      </c>
      <c r="BU56" s="586" t="str">
        <f>_xlfn.IFS(AND($AI56=$AM56,$AI56&gt;0,$AM56&gt;0,BT56&gt;0), BT56,     AND(NOT($AI56=$AM56),$AI56&gt;0,$AM56&gt;0,BT56&gt;0), ($AM56*BT56)/$AI56,     AND($AI56=0,$AM56&gt;0,$AQ56&gt;0), IF(INDEX(BT$12:BT$263,MATCH($AQ56,$AP$12:$AP$263,0))&gt;0,($AM56*INDEX(BT$12:BT$263,MATCH($AQ56,$AP$12:$AP$263,0)))/INDEX($AI$12:$AI$263,MATCH($AQ56,$AP$12:$AP$263,0)), "-"),     TRUE, "0")</f>
        <v>0</v>
      </c>
      <c r="BV56" s="588">
        <f>IF(BU$9&gt;0, IF(OR(BU56="",BU56="-"), 0, BU56*$AT56), BT56*$AJ56)</f>
        <v>0</v>
      </c>
      <c r="BW56" s="587">
        <f>[1]COMMANDE!AG54</f>
        <v>0</v>
      </c>
      <c r="BX56" s="586" t="str">
        <f>_xlfn.IFS(AND($AI56=$AM56,$AI56&gt;0,$AM56&gt;0,BW56&gt;0), BW56,     AND(NOT($AI56=$AM56),$AI56&gt;0,$AM56&gt;0,BW56&gt;0), ($AM56*BW56)/$AI56,     AND($AI56=0,$AM56&gt;0,$AQ56&gt;0), IF(INDEX(BW$12:BW$263,MATCH($AQ56,$AP$12:$AP$263,0))&gt;0,($AM56*INDEX(BW$12:BW$263,MATCH($AQ56,$AP$12:$AP$263,0)))/INDEX($AI$12:$AI$263,MATCH($AQ56,$AP$12:$AP$263,0)), "-"),     TRUE, "0")</f>
        <v>0</v>
      </c>
      <c r="BY56" s="607">
        <f>IF(BX$9&gt;0, IF(OR(BX56="",BX56="-"), 0, BX56*$AT56), BW56*$AJ56)</f>
        <v>0</v>
      </c>
      <c r="BZ56" s="589">
        <f>[1]COMMANDE!AI54</f>
        <v>0</v>
      </c>
      <c r="CA56" s="586" t="str">
        <f>_xlfn.IFS(AND($AI56=$AM56,$AI56&gt;0,$AM56&gt;0,BZ56&gt;0), BZ56,     AND(NOT($AI56=$AM56),$AI56&gt;0,$AM56&gt;0,BZ56&gt;0), ($AM56*BZ56)/$AI56,     AND($AI56=0,$AM56&gt;0,$AQ56&gt;0), IF(INDEX(BZ$12:BZ$263,MATCH($AQ56,$AP$12:$AP$263,0))&gt;0,($AM56*INDEX(BZ$12:BZ$263,MATCH($AQ56,$AP$12:$AP$263,0)))/INDEX($AI$12:$AI$263,MATCH($AQ56,$AP$12:$AP$263,0)), "-"),     TRUE, "0")</f>
        <v>0</v>
      </c>
      <c r="CB56" s="588">
        <f>IF(CA$9&gt;0, IF(OR(CA56="",CA56="-"), 0, CA56*$AT56), BZ56*$AJ56)</f>
        <v>0</v>
      </c>
      <c r="CC56" s="587">
        <f>[1]COMMANDE!AK54</f>
        <v>0</v>
      </c>
      <c r="CD56" s="586" t="str">
        <f>_xlfn.IFS(AND($AI56=$AM56,$AI56&gt;0,$AM56&gt;0,CC56&gt;0), CC56,     AND(NOT($AI56=$AM56),$AI56&gt;0,$AM56&gt;0,CC56&gt;0), ($AM56*CC56)/$AI56,     AND($AI56=0,$AM56&gt;0,$AQ56&gt;0), IF(INDEX(CC$12:CC$263,MATCH($AQ56,$AP$12:$AP$263,0))&gt;0,($AM56*INDEX(CC$12:CC$263,MATCH($AQ56,$AP$12:$AP$263,0)))/INDEX($AI$12:$AI$263,MATCH($AQ56,$AP$12:$AP$263,0)), "-"),     TRUE, "0")</f>
        <v>0</v>
      </c>
      <c r="CE56" s="607">
        <f>IF(CD$9&gt;0, IF(OR(CD56="",CD56="-"), 0, CD56*$AT56), CC56*$AJ56)</f>
        <v>0</v>
      </c>
      <c r="CF56" s="589">
        <f>[1]COMMANDE!AM54</f>
        <v>0</v>
      </c>
      <c r="CG56" s="586" t="str">
        <f>_xlfn.IFS(AND($AI56=$AM56,$AI56&gt;0,$AM56&gt;0,CF56&gt;0), CF56,     AND(NOT($AI56=$AM56),$AI56&gt;0,$AM56&gt;0,CF56&gt;0), ($AM56*CF56)/$AI56,     AND($AI56=0,$AM56&gt;0,$AQ56&gt;0), IF(INDEX(CF$12:CF$263,MATCH($AQ56,$AP$12:$AP$263,0))&gt;0,($AM56*INDEX(CF$12:CF$263,MATCH($AQ56,$AP$12:$AP$263,0)))/INDEX($AI$12:$AI$263,MATCH($AQ56,$AP$12:$AP$263,0)), "-"),     TRUE, "0")</f>
        <v>0</v>
      </c>
      <c r="CH56" s="588">
        <f>IF(CG$9&gt;0, IF(OR(CG56="",CG56="-"), 0, CG56*$AT56), CF56*$AJ56)</f>
        <v>0</v>
      </c>
      <c r="CI56" s="587">
        <f>[1]COMMANDE!AO54</f>
        <v>0</v>
      </c>
      <c r="CJ56" s="586" t="str">
        <f>_xlfn.IFS(AND($AI56=$AM56,$AI56&gt;0,$AM56&gt;0,CI56&gt;0), CI56,     AND(NOT($AI56=$AM56),$AI56&gt;0,$AM56&gt;0,CI56&gt;0), ($AM56*CI56)/$AI56,     AND($AI56=0,$AM56&gt;0,$AQ56&gt;0), IF(INDEX(CI$12:CI$263,MATCH($AQ56,$AP$12:$AP$263,0))&gt;0,($AM56*INDEX(CI$12:CI$263,MATCH($AQ56,$AP$12:$AP$263,0)))/INDEX($AI$12:$AI$263,MATCH($AQ56,$AP$12:$AP$263,0)), "-"),     TRUE, "0")</f>
        <v>0</v>
      </c>
      <c r="CK56" s="607">
        <f>IF(CJ$9&gt;0, IF(OR(CJ56="",CJ56="-"), 0, CJ56*$AT56), CI56*$AJ56)</f>
        <v>0</v>
      </c>
      <c r="CL56" s="589">
        <f>[1]COMMANDE!AQ54</f>
        <v>0</v>
      </c>
      <c r="CM56" s="586" t="str">
        <f>_xlfn.IFS(AND($AI56=$AM56,$AI56&gt;0,$AM56&gt;0,CL56&gt;0), CL56,     AND(NOT($AI56=$AM56),$AI56&gt;0,$AM56&gt;0,CL56&gt;0), ($AM56*CL56)/$AI56,     AND($AI56=0,$AM56&gt;0,$AQ56&gt;0), IF(INDEX(CL$12:CL$263,MATCH($AQ56,$AP$12:$AP$263,0))&gt;0,($AM56*INDEX(CL$12:CL$263,MATCH($AQ56,$AP$12:$AP$263,0)))/INDEX($AI$12:$AI$263,MATCH($AQ56,$AP$12:$AP$263,0)), "-"),     TRUE, "0")</f>
        <v>0</v>
      </c>
      <c r="CN56" s="588">
        <f>IF(CM$9&gt;0, IF(OR(CM56="",CM56="-"), 0, CM56*$AT56), CL56*$AJ56)</f>
        <v>0</v>
      </c>
      <c r="CO56" s="587">
        <f>[1]COMMANDE!AS54</f>
        <v>0</v>
      </c>
      <c r="CP56" s="586" t="str">
        <f>_xlfn.IFS(AND($AI56=$AM56,$AI56&gt;0,$AM56&gt;0,CO56&gt;0), CO56,     AND(NOT($AI56=$AM56),$AI56&gt;0,$AM56&gt;0,CO56&gt;0), ($AM56*CO56)/$AI56,     AND($AI56=0,$AM56&gt;0,$AQ56&gt;0), IF(INDEX(CO$12:CO$263,MATCH($AQ56,$AP$12:$AP$263,0))&gt;0,($AM56*INDEX(CO$12:CO$263,MATCH($AQ56,$AP$12:$AP$263,0)))/INDEX($AI$12:$AI$263,MATCH($AQ56,$AP$12:$AP$263,0)), "-"),     TRUE, "0")</f>
        <v>0</v>
      </c>
      <c r="CQ56" s="607">
        <f>IF(CP$9&gt;0, IF(OR(CP56="",CP56="-"), 0, CP56*$AT56), CO56*$AJ56)</f>
        <v>0</v>
      </c>
      <c r="CR56" s="589">
        <f>[1]COMMANDE!AU54</f>
        <v>0</v>
      </c>
      <c r="CS56" s="586" t="str">
        <f>_xlfn.IFS(AND($AI56=$AM56,$AI56&gt;0,$AM56&gt;0,CR56&gt;0), CR56,     AND(NOT($AI56=$AM56),$AI56&gt;0,$AM56&gt;0,CR56&gt;0), ($AM56*CR56)/$AI56,     AND($AI56=0,$AM56&gt;0,$AQ56&gt;0), IF(INDEX(CR$12:CR$263,MATCH($AQ56,$AP$12:$AP$263,0))&gt;0,($AM56*INDEX(CR$12:CR$263,MATCH($AQ56,$AP$12:$AP$263,0)))/INDEX($AI$12:$AI$263,MATCH($AQ56,$AP$12:$AP$263,0)), "-"),     TRUE, "0")</f>
        <v>0</v>
      </c>
      <c r="CT56" s="588">
        <f>IF(CS$9&gt;0, IF(OR(CS56="",CS56="-"), 0, CS56*$AT56), CR56*$AJ56)</f>
        <v>0</v>
      </c>
      <c r="CU56" s="587">
        <f>[1]COMMANDE!AW54</f>
        <v>0</v>
      </c>
      <c r="CV56" s="586" t="str">
        <f>_xlfn.IFS(AND($AI56=$AM56,$AI56&gt;0,$AM56&gt;0,CU56&gt;0), CU56,     AND(NOT($AI56=$AM56),$AI56&gt;0,$AM56&gt;0,CU56&gt;0), ($AM56*CU56)/$AI56,     AND($AI56=0,$AM56&gt;0,$AQ56&gt;0), IF(INDEX(CU$12:CU$263,MATCH($AQ56,$AP$12:$AP$263,0))&gt;0,($AM56*INDEX(CU$12:CU$263,MATCH($AQ56,$AP$12:$AP$263,0)))/INDEX($AI$12:$AI$263,MATCH($AQ56,$AP$12:$AP$263,0)), "-"),     TRUE, "0")</f>
        <v>0</v>
      </c>
      <c r="CW56" s="607">
        <f>IF(CV$9&gt;0, IF(OR(CV56="",CV56="-"), 0, CV56*$AT56), CU56*$AJ56)</f>
        <v>0</v>
      </c>
      <c r="CX56" s="589">
        <f>[1]COMMANDE!AY54</f>
        <v>0</v>
      </c>
      <c r="CY56" s="586" t="str">
        <f>_xlfn.IFS(AND($AI56=$AM56,$AI56&gt;0,$AM56&gt;0,CX56&gt;0), CX56,     AND(NOT($AI56=$AM56),$AI56&gt;0,$AM56&gt;0,CX56&gt;0), ($AM56*CX56)/$AI56,     AND($AI56=0,$AM56&gt;0,$AQ56&gt;0), IF(INDEX(CX$12:CX$263,MATCH($AQ56,$AP$12:$AP$263,0))&gt;0,($AM56*INDEX(CX$12:CX$263,MATCH($AQ56,$AP$12:$AP$263,0)))/INDEX($AI$12:$AI$263,MATCH($AQ56,$AP$12:$AP$263,0)), "-"),     TRUE, "0")</f>
        <v>0</v>
      </c>
      <c r="CZ56" s="588">
        <f>IF(CY$9&gt;0, IF(OR(CY56="",CY56="-"), 0, CY56*$AT56), CX56*$AJ56)</f>
        <v>0</v>
      </c>
      <c r="DA56" s="587">
        <f>[1]COMMANDE!BA54</f>
        <v>0</v>
      </c>
      <c r="DB56" s="586" t="str">
        <f>_xlfn.IFS(AND($AI56=$AM56,$AI56&gt;0,$AM56&gt;0,DA56&gt;0), DA56,     AND(NOT($AI56=$AM56),$AI56&gt;0,$AM56&gt;0,DA56&gt;0), ($AM56*DA56)/$AI56,     AND($AI56=0,$AM56&gt;0,$AQ56&gt;0), IF(INDEX(DA$12:DA$263,MATCH($AQ56,$AP$12:$AP$263,0))&gt;0,($AM56*INDEX(DA$12:DA$263,MATCH($AQ56,$AP$12:$AP$263,0)))/INDEX($AI$12:$AI$263,MATCH($AQ56,$AP$12:$AP$263,0)), "-"),     TRUE, "0")</f>
        <v>0</v>
      </c>
      <c r="DC56" s="606">
        <f>IF(DB$9&gt;0, IF(OR(DB56="",DB56="-"), 0, DB56*$AT56), DA56*$AJ56)</f>
        <v>0</v>
      </c>
      <c r="DD56" s="584"/>
      <c r="DE56" s="583"/>
    </row>
    <row r="57" spans="1:109" ht="39.950000000000003" hidden="1" customHeight="1">
      <c r="A57" s="604">
        <f>IF(OR($AV57&gt;0, $AX57&gt;0), 1, 0)</f>
        <v>0</v>
      </c>
      <c r="B57" s="604">
        <f>IF(OR($AY57&gt;0, $BA57&gt;0), 1, 0)</f>
        <v>0</v>
      </c>
      <c r="C57" s="604">
        <f>IF(OR($BB57&gt;0, $BD57&gt;0), 1, 0)</f>
        <v>0</v>
      </c>
      <c r="D57" s="604">
        <f>IF(OR($BE57&gt;0, $BG57&gt;0), 1, 0)</f>
        <v>0</v>
      </c>
      <c r="E57" s="604">
        <f>IF(OR($BH57&gt;0, $BJ57&gt;0), 1, 0)</f>
        <v>0</v>
      </c>
      <c r="F57" s="604">
        <f>IF(OR($BK57&gt;0, $BM57&gt;0), 1, 0)</f>
        <v>0</v>
      </c>
      <c r="G57" s="604">
        <f>IF(OR($BN57&gt;0, $BP57&gt;0), 1, 0)</f>
        <v>0</v>
      </c>
      <c r="H57" s="604">
        <f>IF(OR($BQ57&gt;0, $BS57&gt;0), 1, 0)</f>
        <v>0</v>
      </c>
      <c r="I57" s="604">
        <f>IF(OR($BT57&gt;0, $BV57&gt;0), 1, 0)</f>
        <v>0</v>
      </c>
      <c r="J57" s="604">
        <f>IF(OR($BW57&gt;0, $BY57&gt;0), 1, 0)</f>
        <v>0</v>
      </c>
      <c r="K57" s="604">
        <f>IF(OR($BZ57&gt;0, $CB57&gt;0), 1, 0)</f>
        <v>0</v>
      </c>
      <c r="L57" s="604">
        <f>IF(OR($CC57&gt;0, $CE57&gt;0), 1, 0)</f>
        <v>0</v>
      </c>
      <c r="M57" s="604">
        <f>IF(OR($CF57&gt;0, $CH57&gt;0), 1, 0)</f>
        <v>0</v>
      </c>
      <c r="N57" s="604">
        <f>IF(OR($CI57&gt;0, $CK57&gt;0), 1, 0)</f>
        <v>0</v>
      </c>
      <c r="O57" s="604">
        <f>IF(OR($CL57&gt;0, $CN57&gt;0), 1, 0)</f>
        <v>0</v>
      </c>
      <c r="P57" s="604">
        <f>IF(OR($CO57&gt;0, $CQ57&gt;0), 1, 0)</f>
        <v>0</v>
      </c>
      <c r="Q57" s="604">
        <f>IF(OR($CR57&gt;0, $CT57&gt;0), 1, 0)</f>
        <v>0</v>
      </c>
      <c r="R57" s="604">
        <f>IF(OR($CU57&gt;0, $CW57&gt;0), 1, 0)</f>
        <v>0</v>
      </c>
      <c r="S57" s="604">
        <f>IF(OR($CX57&gt;0, $CZ57&gt;0), 1, 0)</f>
        <v>0</v>
      </c>
      <c r="T57" s="604">
        <f>IF(OR($DA57&gt;0, $DC57&gt;0), 1, 0)</f>
        <v>0</v>
      </c>
      <c r="U57" s="603">
        <f>IF(OR($AI57&gt;0,$AM57&gt;0,$AS57&gt;0), 1, 0)</f>
        <v>0</v>
      </c>
      <c r="V57" s="602">
        <f>[1]BDD!A47</f>
        <v>6099</v>
      </c>
      <c r="W57" s="601" t="str">
        <f>[1]BDD!B47</f>
        <v>Camu Camu en poudre BIO (env. 250g)</v>
      </c>
      <c r="X57" s="600" t="str">
        <f>IF([1]BDD!F47=0, "", [1]BDD!F47)</f>
        <v/>
      </c>
      <c r="Y57" s="542">
        <f>ROUND([1]BDD!G47+FDP_CMD_KG, 2)</f>
        <v>19.350000000000001</v>
      </c>
      <c r="Z57" s="542">
        <f>ROUND([1]BDD!G47+FDP_FACT_KG, 2)</f>
        <v>19.350000000000001</v>
      </c>
      <c r="AA57" s="543" t="str">
        <f>[1]BDD!H47</f>
        <v>Pièce</v>
      </c>
      <c r="AB57" s="544" t="str">
        <f>IF(NOT(ISBLANK([1]BDD!I47)), ROUND(SUM(([1]BDD!G47*reduc1),FDP_CMD_KG), 2), "")</f>
        <v/>
      </c>
      <c r="AC57" s="544" t="str">
        <f>IF(NOT(ISBLANK([1]BDD!J47)), ROUND(SUM(([1]BDD!G47*reduc2),FDP_CMD_KG), 2), "")</f>
        <v/>
      </c>
      <c r="AD57" s="544" t="str">
        <f>IF(NOT(ISBLANK([1]BDD!K47)), ROUND(SUM(([1]BDD!G47*reduc3),FDP_CMD_KG), 2), "")</f>
        <v/>
      </c>
      <c r="AE57" s="544" t="str">
        <f>IF(NOT(ISBLANK([1]BDD!I47)), ROUND(SUM(([1]BDD!G47*reduc1),FDP_FACT_KG), 2), "")</f>
        <v/>
      </c>
      <c r="AF57" s="544" t="str">
        <f>IF(NOT(ISBLANK([1]BDD!J47)), ROUND(SUM(([1]BDD!G47*reduc2),FDP_FACT_KG), 2), "")</f>
        <v/>
      </c>
      <c r="AG57" s="544" t="str">
        <f>IF(NOT(ISBLANK([1]BDD!K47)), ROUND(SUM(([1]BDD!G47*reduc3),FDP_FACT_KG), 2), "")</f>
        <v/>
      </c>
      <c r="AH57" s="599" t="str">
        <f>[1]BDD!C47</f>
        <v>Pérou</v>
      </c>
      <c r="AI57" s="598">
        <f>SUM(AV57,AY57,BB57,BE57,BH57,BK57,BN57,BQ57,BT57,BW57,BZ57,CC57,CF57,CI57,CL57,CO57,CR57,CU57,CX57,DA57)</f>
        <v>0</v>
      </c>
      <c r="AJ57" s="545">
        <f>_xlfn.IFS($AD57&lt;&gt;"", $AD57,    $AC57&lt;&gt;"", $AC57,    $AB57&lt;&gt;"", $AB57,    TRUE, $Y57)</f>
        <v>19.350000000000001</v>
      </c>
      <c r="AK57" s="592">
        <f>$AI57*$AJ57</f>
        <v>0</v>
      </c>
      <c r="AL57" s="594"/>
      <c r="AM57" s="597"/>
      <c r="AN57" s="545">
        <f>_xlfn.IFS(AND(AM57&gt;=60,$AG57&lt;&gt;""), $AG57,    AND(AM57&gt;=30,$AF57&lt;&gt;""), $AF57,    AND(AM57&gt;=10,$AE57&lt;&gt;""), $AE57,    TRUE, $Z57)</f>
        <v>19.350000000000001</v>
      </c>
      <c r="AO57" s="596">
        <f>AM57*AN57</f>
        <v>0</v>
      </c>
      <c r="AP57" s="595"/>
      <c r="AQ57" s="595"/>
      <c r="AR57" s="594"/>
      <c r="AS57" s="593">
        <f>SUM(AW57,AZ57,BC57,BF57,BI57,BL57,BO57,BR57,BU57,BX57,CA57,CD57,CG57,CJ57,CM57,CP57,CS57,CV57,CY57,DB57)</f>
        <v>0</v>
      </c>
      <c r="AT57" s="545">
        <f>_xlfn.IFS(AND(AS57&gt;=60,$AG57&lt;&gt;""), $AG57,    AND(AS57&gt;=30,$AF57&lt;&gt;""), $AF57,    AND(AS57&gt;=10,$AE57&lt;&gt;""), $AE57,    TRUE, $Z57)</f>
        <v>19.350000000000001</v>
      </c>
      <c r="AU57" s="592">
        <f>$AS57*$AT57</f>
        <v>0</v>
      </c>
      <c r="AV57" s="591">
        <f>[1]COMMANDE!O55</f>
        <v>0</v>
      </c>
      <c r="AW57" s="586" t="str">
        <f>_xlfn.IFS(AND($AI57=$AM57,$AI57&gt;0,$AM57&gt;0,AV57&gt;0), AV57,     AND(NOT($AI57=$AM57),$AI57&gt;0,$AM57&gt;0,AV57&gt;0), ($AM57*AV57)/$AI57,     AND($AI57=0,$AM57&gt;0,$AQ57&gt;0), IF(INDEX(AV$12:AV$263,MATCH($AQ57,$AP$12:$AP$263,0))&gt;0,($AM57*INDEX(AV$12:AV$263,MATCH($AQ57,$AP$12:$AP$263,0)))/INDEX($AI$12:$AI$263,MATCH($AQ57,$AP$12:$AP$263,0)), "-"),     TRUE, "0")</f>
        <v>0</v>
      </c>
      <c r="AX57" s="588">
        <f>IF(AW$9&gt;0, IF(OR(AW57="",AW57="-"), 0, AW57*$AT57), AV57*$AJ57)</f>
        <v>0</v>
      </c>
      <c r="AY57" s="587">
        <f>[1]COMMANDE!Q55</f>
        <v>0</v>
      </c>
      <c r="AZ57" s="586" t="str">
        <f>_xlfn.IFS(AND($AI57=$AM57,$AI57&gt;0,$AM57&gt;0,AY57&gt;0), AY57,     AND(NOT($AI57=$AM57),$AI57&gt;0,$AM57&gt;0,AY57&gt;0), ($AM57*AY57)/$AI57,     AND($AI57=0,$AM57&gt;0,$AQ57&gt;0), IF(INDEX(AY$12:AY$263,MATCH($AQ57,$AP$12:$AP$263,0))&gt;0,($AM57*INDEX(AY$12:AY$263,MATCH($AQ57,$AP$12:$AP$263,0)))/INDEX($AI$12:$AI$263,MATCH($AQ57,$AP$12:$AP$263,0)), "-"),     TRUE, "0")</f>
        <v>0</v>
      </c>
      <c r="BA57" s="607">
        <f>IF(AZ$9&gt;0, IF(OR(AZ57="",AZ57="-"), 0, AZ57*$AT57), AY57*$AJ57)</f>
        <v>0</v>
      </c>
      <c r="BB57" s="589">
        <f>[1]COMMANDE!S55</f>
        <v>0</v>
      </c>
      <c r="BC57" s="586" t="str">
        <f>_xlfn.IFS(AND($AI57=$AM57,$AI57&gt;0,$AM57&gt;0,BB57&gt;0), BB57,     AND(NOT($AI57=$AM57),$AI57&gt;0,$AM57&gt;0,BB57&gt;0), ($AM57*BB57)/$AI57,     AND($AI57=0,$AM57&gt;0,$AQ57&gt;0), IF(INDEX(BB$12:BB$263,MATCH($AQ57,$AP$12:$AP$263,0))&gt;0,($AM57*INDEX(BB$12:BB$263,MATCH($AQ57,$AP$12:$AP$263,0)))/INDEX($AI$12:$AI$263,MATCH($AQ57,$AP$12:$AP$263,0)), "-"),     TRUE, "0")</f>
        <v>0</v>
      </c>
      <c r="BD57" s="588">
        <f>IF(BC$9&gt;0, IF(OR(BC57="",BC57="-"), 0, BC57*$AT57), BB57*$AJ57)</f>
        <v>0</v>
      </c>
      <c r="BE57" s="587">
        <f>[1]COMMANDE!U55</f>
        <v>0</v>
      </c>
      <c r="BF57" s="586" t="str">
        <f>_xlfn.IFS(AND($AI57=$AM57,$AI57&gt;0,$AM57&gt;0,BE57&gt;0), BE57,     AND(NOT($AI57=$AM57),$AI57&gt;0,$AM57&gt;0,BE57&gt;0), ($AM57*BE57)/$AI57,     AND($AI57=0,$AM57&gt;0,$AQ57&gt;0), IF(INDEX(BE$12:BE$263,MATCH($AQ57,$AP$12:$AP$263,0))&gt;0,($AM57*INDEX(BE$12:BE$263,MATCH($AQ57,$AP$12:$AP$263,0)))/INDEX($AI$12:$AI$263,MATCH($AQ57,$AP$12:$AP$263,0)), "-"),     TRUE, "0")</f>
        <v>0</v>
      </c>
      <c r="BG57" s="607">
        <f>IF(BF$9&gt;0, IF(OR(BF57="",BF57="-"), 0, BF57*$AT57), BE57*$AJ57)</f>
        <v>0</v>
      </c>
      <c r="BH57" s="589">
        <f>[1]COMMANDE!W55</f>
        <v>0</v>
      </c>
      <c r="BI57" s="586" t="str">
        <f>_xlfn.IFS(AND($AI57=$AM57,$AI57&gt;0,$AM57&gt;0,BH57&gt;0), BH57,     AND(NOT($AI57=$AM57),$AI57&gt;0,$AM57&gt;0,BH57&gt;0), ($AM57*BH57)/$AI57,     AND($AI57=0,$AM57&gt;0,$AQ57&gt;0), IF(INDEX(BH$12:BH$263,MATCH($AQ57,$AP$12:$AP$263,0))&gt;0,($AM57*INDEX(BH$12:BH$263,MATCH($AQ57,$AP$12:$AP$263,0)))/INDEX($AI$12:$AI$263,MATCH($AQ57,$AP$12:$AP$263,0)), "-"),     TRUE, "0")</f>
        <v>0</v>
      </c>
      <c r="BJ57" s="588">
        <f>IF(BI$9&gt;0, IF(OR(BI57="",BI57="-"), 0, BI57*$AT57), BH57*$AJ57)</f>
        <v>0</v>
      </c>
      <c r="BK57" s="587">
        <f>[1]COMMANDE!Y55</f>
        <v>0</v>
      </c>
      <c r="BL57" s="586" t="str">
        <f>_xlfn.IFS(AND($AI57=$AM57,$AI57&gt;0,$AM57&gt;0,BK57&gt;0), BK57,     AND(NOT($AI57=$AM57),$AI57&gt;0,$AM57&gt;0,BK57&gt;0), ($AM57*BK57)/$AI57,     AND($AI57=0,$AM57&gt;0,$AQ57&gt;0), IF(INDEX(BK$12:BK$263,MATCH($AQ57,$AP$12:$AP$263,0))&gt;0,($AM57*INDEX(BK$12:BK$263,MATCH($AQ57,$AP$12:$AP$263,0)))/INDEX($AI$12:$AI$263,MATCH($AQ57,$AP$12:$AP$263,0)), "-"),     TRUE, "0")</f>
        <v>0</v>
      </c>
      <c r="BM57" s="607">
        <f>IF(BL$9&gt;0, IF(OR(BL57="",BL57="-"), 0, BL57*$AT57), BK57*$AJ57)</f>
        <v>0</v>
      </c>
      <c r="BN57" s="589">
        <f>[1]COMMANDE!AA55</f>
        <v>0</v>
      </c>
      <c r="BO57" s="586" t="str">
        <f>_xlfn.IFS(AND($AI57=$AM57,$AI57&gt;0,$AM57&gt;0,BN57&gt;0), BN57,     AND(NOT($AI57=$AM57),$AI57&gt;0,$AM57&gt;0,BN57&gt;0), ($AM57*BN57)/$AI57,     AND($AI57=0,$AM57&gt;0,$AQ57&gt;0), IF(INDEX(BN$12:BN$263,MATCH($AQ57,$AP$12:$AP$263,0))&gt;0,($AM57*INDEX(BN$12:BN$263,MATCH($AQ57,$AP$12:$AP$263,0)))/INDEX($AI$12:$AI$263,MATCH($AQ57,$AP$12:$AP$263,0)), "-"),     TRUE, "0")</f>
        <v>0</v>
      </c>
      <c r="BP57" s="588">
        <f>IF(BO$9&gt;0, IF(OR(BO57="",BO57="-"), 0, BO57*$AT57), BN57*$AJ57)</f>
        <v>0</v>
      </c>
      <c r="BQ57" s="587">
        <f>[1]COMMANDE!AC55</f>
        <v>0</v>
      </c>
      <c r="BR57" s="586" t="str">
        <f>_xlfn.IFS(AND($AI57=$AM57,$AI57&gt;0,$AM57&gt;0,BQ57&gt;0), BQ57,     AND(NOT($AI57=$AM57),$AI57&gt;0,$AM57&gt;0,BQ57&gt;0), ($AM57*BQ57)/$AI57,     AND($AI57=0,$AM57&gt;0,$AQ57&gt;0), IF(INDEX(BQ$12:BQ$263,MATCH($AQ57,$AP$12:$AP$263,0))&gt;0,($AM57*INDEX(BQ$12:BQ$263,MATCH($AQ57,$AP$12:$AP$263,0)))/INDEX($AI$12:$AI$263,MATCH($AQ57,$AP$12:$AP$263,0)), "-"),     TRUE, "0")</f>
        <v>0</v>
      </c>
      <c r="BS57" s="607">
        <f>IF(BR$9&gt;0, IF(OR(BR57="",BR57="-"), 0, BR57*$AT57), BQ57*$AJ57)</f>
        <v>0</v>
      </c>
      <c r="BT57" s="589">
        <f>[1]COMMANDE!AE55</f>
        <v>0</v>
      </c>
      <c r="BU57" s="586" t="str">
        <f>_xlfn.IFS(AND($AI57=$AM57,$AI57&gt;0,$AM57&gt;0,BT57&gt;0), BT57,     AND(NOT($AI57=$AM57),$AI57&gt;0,$AM57&gt;0,BT57&gt;0), ($AM57*BT57)/$AI57,     AND($AI57=0,$AM57&gt;0,$AQ57&gt;0), IF(INDEX(BT$12:BT$263,MATCH($AQ57,$AP$12:$AP$263,0))&gt;0,($AM57*INDEX(BT$12:BT$263,MATCH($AQ57,$AP$12:$AP$263,0)))/INDEX($AI$12:$AI$263,MATCH($AQ57,$AP$12:$AP$263,0)), "-"),     TRUE, "0")</f>
        <v>0</v>
      </c>
      <c r="BV57" s="588">
        <f>IF(BU$9&gt;0, IF(OR(BU57="",BU57="-"), 0, BU57*$AT57), BT57*$AJ57)</f>
        <v>0</v>
      </c>
      <c r="BW57" s="587">
        <f>[1]COMMANDE!AG55</f>
        <v>0</v>
      </c>
      <c r="BX57" s="586" t="str">
        <f>_xlfn.IFS(AND($AI57=$AM57,$AI57&gt;0,$AM57&gt;0,BW57&gt;0), BW57,     AND(NOT($AI57=$AM57),$AI57&gt;0,$AM57&gt;0,BW57&gt;0), ($AM57*BW57)/$AI57,     AND($AI57=0,$AM57&gt;0,$AQ57&gt;0), IF(INDEX(BW$12:BW$263,MATCH($AQ57,$AP$12:$AP$263,0))&gt;0,($AM57*INDEX(BW$12:BW$263,MATCH($AQ57,$AP$12:$AP$263,0)))/INDEX($AI$12:$AI$263,MATCH($AQ57,$AP$12:$AP$263,0)), "-"),     TRUE, "0")</f>
        <v>0</v>
      </c>
      <c r="BY57" s="607">
        <f>IF(BX$9&gt;0, IF(OR(BX57="",BX57="-"), 0, BX57*$AT57), BW57*$AJ57)</f>
        <v>0</v>
      </c>
      <c r="BZ57" s="589">
        <f>[1]COMMANDE!AI55</f>
        <v>0</v>
      </c>
      <c r="CA57" s="586" t="str">
        <f>_xlfn.IFS(AND($AI57=$AM57,$AI57&gt;0,$AM57&gt;0,BZ57&gt;0), BZ57,     AND(NOT($AI57=$AM57),$AI57&gt;0,$AM57&gt;0,BZ57&gt;0), ($AM57*BZ57)/$AI57,     AND($AI57=0,$AM57&gt;0,$AQ57&gt;0), IF(INDEX(BZ$12:BZ$263,MATCH($AQ57,$AP$12:$AP$263,0))&gt;0,($AM57*INDEX(BZ$12:BZ$263,MATCH($AQ57,$AP$12:$AP$263,0)))/INDEX($AI$12:$AI$263,MATCH($AQ57,$AP$12:$AP$263,0)), "-"),     TRUE, "0")</f>
        <v>0</v>
      </c>
      <c r="CB57" s="588">
        <f>IF(CA$9&gt;0, IF(OR(CA57="",CA57="-"), 0, CA57*$AT57), BZ57*$AJ57)</f>
        <v>0</v>
      </c>
      <c r="CC57" s="587">
        <f>[1]COMMANDE!AK55</f>
        <v>0</v>
      </c>
      <c r="CD57" s="586" t="str">
        <f>_xlfn.IFS(AND($AI57=$AM57,$AI57&gt;0,$AM57&gt;0,CC57&gt;0), CC57,     AND(NOT($AI57=$AM57),$AI57&gt;0,$AM57&gt;0,CC57&gt;0), ($AM57*CC57)/$AI57,     AND($AI57=0,$AM57&gt;0,$AQ57&gt;0), IF(INDEX(CC$12:CC$263,MATCH($AQ57,$AP$12:$AP$263,0))&gt;0,($AM57*INDEX(CC$12:CC$263,MATCH($AQ57,$AP$12:$AP$263,0)))/INDEX($AI$12:$AI$263,MATCH($AQ57,$AP$12:$AP$263,0)), "-"),     TRUE, "0")</f>
        <v>0</v>
      </c>
      <c r="CE57" s="607">
        <f>IF(CD$9&gt;0, IF(OR(CD57="",CD57="-"), 0, CD57*$AT57), CC57*$AJ57)</f>
        <v>0</v>
      </c>
      <c r="CF57" s="589">
        <f>[1]COMMANDE!AM55</f>
        <v>0</v>
      </c>
      <c r="CG57" s="586" t="str">
        <f>_xlfn.IFS(AND($AI57=$AM57,$AI57&gt;0,$AM57&gt;0,CF57&gt;0), CF57,     AND(NOT($AI57=$AM57),$AI57&gt;0,$AM57&gt;0,CF57&gt;0), ($AM57*CF57)/$AI57,     AND($AI57=0,$AM57&gt;0,$AQ57&gt;0), IF(INDEX(CF$12:CF$263,MATCH($AQ57,$AP$12:$AP$263,0))&gt;0,($AM57*INDEX(CF$12:CF$263,MATCH($AQ57,$AP$12:$AP$263,0)))/INDEX($AI$12:$AI$263,MATCH($AQ57,$AP$12:$AP$263,0)), "-"),     TRUE, "0")</f>
        <v>0</v>
      </c>
      <c r="CH57" s="588">
        <f>IF(CG$9&gt;0, IF(OR(CG57="",CG57="-"), 0, CG57*$AT57), CF57*$AJ57)</f>
        <v>0</v>
      </c>
      <c r="CI57" s="587">
        <f>[1]COMMANDE!AO55</f>
        <v>0</v>
      </c>
      <c r="CJ57" s="586" t="str">
        <f>_xlfn.IFS(AND($AI57=$AM57,$AI57&gt;0,$AM57&gt;0,CI57&gt;0), CI57,     AND(NOT($AI57=$AM57),$AI57&gt;0,$AM57&gt;0,CI57&gt;0), ($AM57*CI57)/$AI57,     AND($AI57=0,$AM57&gt;0,$AQ57&gt;0), IF(INDEX(CI$12:CI$263,MATCH($AQ57,$AP$12:$AP$263,0))&gt;0,($AM57*INDEX(CI$12:CI$263,MATCH($AQ57,$AP$12:$AP$263,0)))/INDEX($AI$12:$AI$263,MATCH($AQ57,$AP$12:$AP$263,0)), "-"),     TRUE, "0")</f>
        <v>0</v>
      </c>
      <c r="CK57" s="607">
        <f>IF(CJ$9&gt;0, IF(OR(CJ57="",CJ57="-"), 0, CJ57*$AT57), CI57*$AJ57)</f>
        <v>0</v>
      </c>
      <c r="CL57" s="589">
        <f>[1]COMMANDE!AQ55</f>
        <v>0</v>
      </c>
      <c r="CM57" s="586" t="str">
        <f>_xlfn.IFS(AND($AI57=$AM57,$AI57&gt;0,$AM57&gt;0,CL57&gt;0), CL57,     AND(NOT($AI57=$AM57),$AI57&gt;0,$AM57&gt;0,CL57&gt;0), ($AM57*CL57)/$AI57,     AND($AI57=0,$AM57&gt;0,$AQ57&gt;0), IF(INDEX(CL$12:CL$263,MATCH($AQ57,$AP$12:$AP$263,0))&gt;0,($AM57*INDEX(CL$12:CL$263,MATCH($AQ57,$AP$12:$AP$263,0)))/INDEX($AI$12:$AI$263,MATCH($AQ57,$AP$12:$AP$263,0)), "-"),     TRUE, "0")</f>
        <v>0</v>
      </c>
      <c r="CN57" s="588">
        <f>IF(CM$9&gt;0, IF(OR(CM57="",CM57="-"), 0, CM57*$AT57), CL57*$AJ57)</f>
        <v>0</v>
      </c>
      <c r="CO57" s="587">
        <f>[1]COMMANDE!AS55</f>
        <v>0</v>
      </c>
      <c r="CP57" s="586" t="str">
        <f>_xlfn.IFS(AND($AI57=$AM57,$AI57&gt;0,$AM57&gt;0,CO57&gt;0), CO57,     AND(NOT($AI57=$AM57),$AI57&gt;0,$AM57&gt;0,CO57&gt;0), ($AM57*CO57)/$AI57,     AND($AI57=0,$AM57&gt;0,$AQ57&gt;0), IF(INDEX(CO$12:CO$263,MATCH($AQ57,$AP$12:$AP$263,0))&gt;0,($AM57*INDEX(CO$12:CO$263,MATCH($AQ57,$AP$12:$AP$263,0)))/INDEX($AI$12:$AI$263,MATCH($AQ57,$AP$12:$AP$263,0)), "-"),     TRUE, "0")</f>
        <v>0</v>
      </c>
      <c r="CQ57" s="607">
        <f>IF(CP$9&gt;0, IF(OR(CP57="",CP57="-"), 0, CP57*$AT57), CO57*$AJ57)</f>
        <v>0</v>
      </c>
      <c r="CR57" s="589">
        <f>[1]COMMANDE!AU55</f>
        <v>0</v>
      </c>
      <c r="CS57" s="586" t="str">
        <f>_xlfn.IFS(AND($AI57=$AM57,$AI57&gt;0,$AM57&gt;0,CR57&gt;0), CR57,     AND(NOT($AI57=$AM57),$AI57&gt;0,$AM57&gt;0,CR57&gt;0), ($AM57*CR57)/$AI57,     AND($AI57=0,$AM57&gt;0,$AQ57&gt;0), IF(INDEX(CR$12:CR$263,MATCH($AQ57,$AP$12:$AP$263,0))&gt;0,($AM57*INDEX(CR$12:CR$263,MATCH($AQ57,$AP$12:$AP$263,0)))/INDEX($AI$12:$AI$263,MATCH($AQ57,$AP$12:$AP$263,0)), "-"),     TRUE, "0")</f>
        <v>0</v>
      </c>
      <c r="CT57" s="588">
        <f>IF(CS$9&gt;0, IF(OR(CS57="",CS57="-"), 0, CS57*$AT57), CR57*$AJ57)</f>
        <v>0</v>
      </c>
      <c r="CU57" s="587">
        <f>[1]COMMANDE!AW55</f>
        <v>0</v>
      </c>
      <c r="CV57" s="586" t="str">
        <f>_xlfn.IFS(AND($AI57=$AM57,$AI57&gt;0,$AM57&gt;0,CU57&gt;0), CU57,     AND(NOT($AI57=$AM57),$AI57&gt;0,$AM57&gt;0,CU57&gt;0), ($AM57*CU57)/$AI57,     AND($AI57=0,$AM57&gt;0,$AQ57&gt;0), IF(INDEX(CU$12:CU$263,MATCH($AQ57,$AP$12:$AP$263,0))&gt;0,($AM57*INDEX(CU$12:CU$263,MATCH($AQ57,$AP$12:$AP$263,0)))/INDEX($AI$12:$AI$263,MATCH($AQ57,$AP$12:$AP$263,0)), "-"),     TRUE, "0")</f>
        <v>0</v>
      </c>
      <c r="CW57" s="607">
        <f>IF(CV$9&gt;0, IF(OR(CV57="",CV57="-"), 0, CV57*$AT57), CU57*$AJ57)</f>
        <v>0</v>
      </c>
      <c r="CX57" s="589">
        <f>[1]COMMANDE!AY55</f>
        <v>0</v>
      </c>
      <c r="CY57" s="586" t="str">
        <f>_xlfn.IFS(AND($AI57=$AM57,$AI57&gt;0,$AM57&gt;0,CX57&gt;0), CX57,     AND(NOT($AI57=$AM57),$AI57&gt;0,$AM57&gt;0,CX57&gt;0), ($AM57*CX57)/$AI57,     AND($AI57=0,$AM57&gt;0,$AQ57&gt;0), IF(INDEX(CX$12:CX$263,MATCH($AQ57,$AP$12:$AP$263,0))&gt;0,($AM57*INDEX(CX$12:CX$263,MATCH($AQ57,$AP$12:$AP$263,0)))/INDEX($AI$12:$AI$263,MATCH($AQ57,$AP$12:$AP$263,0)), "-"),     TRUE, "0")</f>
        <v>0</v>
      </c>
      <c r="CZ57" s="588">
        <f>IF(CY$9&gt;0, IF(OR(CY57="",CY57="-"), 0, CY57*$AT57), CX57*$AJ57)</f>
        <v>0</v>
      </c>
      <c r="DA57" s="587">
        <f>[1]COMMANDE!BA55</f>
        <v>0</v>
      </c>
      <c r="DB57" s="586" t="str">
        <f>_xlfn.IFS(AND($AI57=$AM57,$AI57&gt;0,$AM57&gt;0,DA57&gt;0), DA57,     AND(NOT($AI57=$AM57),$AI57&gt;0,$AM57&gt;0,DA57&gt;0), ($AM57*DA57)/$AI57,     AND($AI57=0,$AM57&gt;0,$AQ57&gt;0), IF(INDEX(DA$12:DA$263,MATCH($AQ57,$AP$12:$AP$263,0))&gt;0,($AM57*INDEX(DA$12:DA$263,MATCH($AQ57,$AP$12:$AP$263,0)))/INDEX($AI$12:$AI$263,MATCH($AQ57,$AP$12:$AP$263,0)), "-"),     TRUE, "0")</f>
        <v>0</v>
      </c>
      <c r="DC57" s="606">
        <f>IF(DB$9&gt;0, IF(OR(DB57="",DB57="-"), 0, DB57*$AT57), DA57*$AJ57)</f>
        <v>0</v>
      </c>
      <c r="DD57" s="584"/>
      <c r="DE57" s="583"/>
    </row>
    <row r="58" spans="1:109" ht="39.950000000000003" hidden="1" customHeight="1">
      <c r="A58" s="604">
        <f>IF(OR($AV58&gt;0, $AX58&gt;0), 1, 0)</f>
        <v>0</v>
      </c>
      <c r="B58" s="604">
        <f>IF(OR($AY58&gt;0, $BA58&gt;0), 1, 0)</f>
        <v>0</v>
      </c>
      <c r="C58" s="604">
        <f>IF(OR($BB58&gt;0, $BD58&gt;0), 1, 0)</f>
        <v>0</v>
      </c>
      <c r="D58" s="604">
        <f>IF(OR($BE58&gt;0, $BG58&gt;0), 1, 0)</f>
        <v>0</v>
      </c>
      <c r="E58" s="604">
        <f>IF(OR($BH58&gt;0, $BJ58&gt;0), 1, 0)</f>
        <v>0</v>
      </c>
      <c r="F58" s="604">
        <f>IF(OR($BK58&gt;0, $BM58&gt;0), 1, 0)</f>
        <v>0</v>
      </c>
      <c r="G58" s="604">
        <f>IF(OR($BN58&gt;0, $BP58&gt;0), 1, 0)</f>
        <v>0</v>
      </c>
      <c r="H58" s="604">
        <f>IF(OR($BQ58&gt;0, $BS58&gt;0), 1, 0)</f>
        <v>0</v>
      </c>
      <c r="I58" s="604">
        <f>IF(OR($BT58&gt;0, $BV58&gt;0), 1, 0)</f>
        <v>0</v>
      </c>
      <c r="J58" s="604">
        <f>IF(OR($BW58&gt;0, $BY58&gt;0), 1, 0)</f>
        <v>0</v>
      </c>
      <c r="K58" s="604">
        <f>IF(OR($BZ58&gt;0, $CB58&gt;0), 1, 0)</f>
        <v>0</v>
      </c>
      <c r="L58" s="604">
        <f>IF(OR($CC58&gt;0, $CE58&gt;0), 1, 0)</f>
        <v>0</v>
      </c>
      <c r="M58" s="604">
        <f>IF(OR($CF58&gt;0, $CH58&gt;0), 1, 0)</f>
        <v>0</v>
      </c>
      <c r="N58" s="604">
        <f>IF(OR($CI58&gt;0, $CK58&gt;0), 1, 0)</f>
        <v>0</v>
      </c>
      <c r="O58" s="604">
        <f>IF(OR($CL58&gt;0, $CN58&gt;0), 1, 0)</f>
        <v>0</v>
      </c>
      <c r="P58" s="604">
        <f>IF(OR($CO58&gt;0, $CQ58&gt;0), 1, 0)</f>
        <v>0</v>
      </c>
      <c r="Q58" s="604">
        <f>IF(OR($CR58&gt;0, $CT58&gt;0), 1, 0)</f>
        <v>0</v>
      </c>
      <c r="R58" s="604">
        <f>IF(OR($CU58&gt;0, $CW58&gt;0), 1, 0)</f>
        <v>0</v>
      </c>
      <c r="S58" s="604">
        <f>IF(OR($CX58&gt;0, $CZ58&gt;0), 1, 0)</f>
        <v>0</v>
      </c>
      <c r="T58" s="604">
        <f>IF(OR($DA58&gt;0, $DC58&gt;0), 1, 0)</f>
        <v>0</v>
      </c>
      <c r="U58" s="603">
        <f>IF(OR($AI58&gt;0,$AM58&gt;0,$AS58&gt;0), 1, 0)</f>
        <v>0</v>
      </c>
      <c r="V58" s="602">
        <f>[1]BDD!A48</f>
        <v>3210</v>
      </c>
      <c r="W58" s="601" t="str">
        <f>[1]BDD!B48</f>
        <v>Carambole / fruit étoilé</v>
      </c>
      <c r="X58" s="600" t="str">
        <f>IF([1]BDD!F48=0, "", [1]BDD!F48)</f>
        <v/>
      </c>
      <c r="Y58" s="542">
        <f>ROUND([1]BDD!G48+FDP_CMD_KG, 2)</f>
        <v>5.65</v>
      </c>
      <c r="Z58" s="542">
        <f>ROUND([1]BDD!G48+FDP_FACT_KG, 2)</f>
        <v>5.65</v>
      </c>
      <c r="AA58" s="543" t="str">
        <f>[1]BDD!H48</f>
        <v>kg</v>
      </c>
      <c r="AB58" s="544">
        <f>IF(NOT(ISBLANK([1]BDD!I48)), ROUND(SUM(([1]BDD!G48*reduc1),FDP_CMD_KG), 2), "")</f>
        <v>5.18</v>
      </c>
      <c r="AC58" s="544">
        <f>IF(NOT(ISBLANK([1]BDD!J48)), ROUND(SUM(([1]BDD!G48*reduc2),FDP_CMD_KG), 2), "")</f>
        <v>4.7</v>
      </c>
      <c r="AD58" s="544">
        <f>IF(NOT(ISBLANK([1]BDD!K48)), ROUND(SUM(([1]BDD!G48*reduc3),FDP_CMD_KG), 2), "")</f>
        <v>4.22</v>
      </c>
      <c r="AE58" s="544">
        <f>IF(NOT(ISBLANK([1]BDD!I48)), ROUND(SUM(([1]BDD!G48*reduc1),FDP_FACT_KG), 2), "")</f>
        <v>5.17</v>
      </c>
      <c r="AF58" s="544">
        <f>IF(NOT(ISBLANK([1]BDD!J48)), ROUND(SUM(([1]BDD!G48*reduc2),FDP_FACT_KG), 2), "")</f>
        <v>4.6900000000000004</v>
      </c>
      <c r="AG58" s="544">
        <f>IF(NOT(ISBLANK([1]BDD!K48)), ROUND(SUM(([1]BDD!G48*reduc3),FDP_FACT_KG), 2), "")</f>
        <v>4.21</v>
      </c>
      <c r="AH58" s="599" t="str">
        <f>[1]BDD!C48</f>
        <v>Grenade</v>
      </c>
      <c r="AI58" s="598">
        <f>SUM(AV58,AY58,BB58,BE58,BH58,BK58,BN58,BQ58,BT58,BW58,BZ58,CC58,CF58,CI58,CL58,CO58,CR58,CU58,CX58,DA58)</f>
        <v>0</v>
      </c>
      <c r="AJ58" s="545">
        <f>_xlfn.IFS($AD58&lt;&gt;"", $AD58,    $AC58&lt;&gt;"", $AC58,    $AB58&lt;&gt;"", $AB58,    TRUE, $Y58)</f>
        <v>4.22</v>
      </c>
      <c r="AK58" s="592">
        <f>$AI58*$AJ58</f>
        <v>0</v>
      </c>
      <c r="AL58" s="594"/>
      <c r="AM58" s="597"/>
      <c r="AN58" s="545">
        <f>_xlfn.IFS(AND(AM58&gt;=60,$AG58&lt;&gt;""), $AG58,    AND(AM58&gt;=30,$AF58&lt;&gt;""), $AF58,    AND(AM58&gt;=10,$AE58&lt;&gt;""), $AE58,    TRUE, $Z58)</f>
        <v>5.65</v>
      </c>
      <c r="AO58" s="596">
        <f>AM58*AN58</f>
        <v>0</v>
      </c>
      <c r="AP58" s="595"/>
      <c r="AQ58" s="595"/>
      <c r="AR58" s="594"/>
      <c r="AS58" s="593">
        <f>SUM(AW58,AZ58,BC58,BF58,BI58,BL58,BO58,BR58,BU58,BX58,CA58,CD58,CG58,CJ58,CM58,CP58,CS58,CV58,CY58,DB58)</f>
        <v>0</v>
      </c>
      <c r="AT58" s="545">
        <f>_xlfn.IFS(AND(AS58&gt;=60,$AG58&lt;&gt;""), $AG58,    AND(AS58&gt;=30,$AF58&lt;&gt;""), $AF58,    AND(AS58&gt;=10,$AE58&lt;&gt;""), $AE58,    TRUE, $Z58)</f>
        <v>5.65</v>
      </c>
      <c r="AU58" s="592">
        <f>$AS58*$AT58</f>
        <v>0</v>
      </c>
      <c r="AV58" s="591">
        <f>[1]COMMANDE!O56</f>
        <v>0</v>
      </c>
      <c r="AW58" s="586" t="str">
        <f>_xlfn.IFS(AND($AI58=$AM58,$AI58&gt;0,$AM58&gt;0,AV58&gt;0), AV58,     AND(NOT($AI58=$AM58),$AI58&gt;0,$AM58&gt;0,AV58&gt;0), ($AM58*AV58)/$AI58,     AND($AI58=0,$AM58&gt;0,$AQ58&gt;0), IF(INDEX(AV$12:AV$263,MATCH($AQ58,$AP$12:$AP$263,0))&gt;0,($AM58*INDEX(AV$12:AV$263,MATCH($AQ58,$AP$12:$AP$263,0)))/INDEX($AI$12:$AI$263,MATCH($AQ58,$AP$12:$AP$263,0)), "-"),     TRUE, "0")</f>
        <v>0</v>
      </c>
      <c r="AX58" s="588">
        <f>IF(AW$9&gt;0, IF(OR(AW58="",AW58="-"), 0, AW58*$AT58), AV58*$AJ58)</f>
        <v>0</v>
      </c>
      <c r="AY58" s="587">
        <f>[1]COMMANDE!Q56</f>
        <v>0</v>
      </c>
      <c r="AZ58" s="586" t="str">
        <f>_xlfn.IFS(AND($AI58=$AM58,$AI58&gt;0,$AM58&gt;0,AY58&gt;0), AY58,     AND(NOT($AI58=$AM58),$AI58&gt;0,$AM58&gt;0,AY58&gt;0), ($AM58*AY58)/$AI58,     AND($AI58=0,$AM58&gt;0,$AQ58&gt;0), IF(INDEX(AY$12:AY$263,MATCH($AQ58,$AP$12:$AP$263,0))&gt;0,($AM58*INDEX(AY$12:AY$263,MATCH($AQ58,$AP$12:$AP$263,0)))/INDEX($AI$12:$AI$263,MATCH($AQ58,$AP$12:$AP$263,0)), "-"),     TRUE, "0")</f>
        <v>0</v>
      </c>
      <c r="BA58" s="607">
        <f>IF(AZ$9&gt;0, IF(OR(AZ58="",AZ58="-"), 0, AZ58*$AT58), AY58*$AJ58)</f>
        <v>0</v>
      </c>
      <c r="BB58" s="589">
        <f>[1]COMMANDE!S56</f>
        <v>0</v>
      </c>
      <c r="BC58" s="586" t="str">
        <f>_xlfn.IFS(AND($AI58=$AM58,$AI58&gt;0,$AM58&gt;0,BB58&gt;0), BB58,     AND(NOT($AI58=$AM58),$AI58&gt;0,$AM58&gt;0,BB58&gt;0), ($AM58*BB58)/$AI58,     AND($AI58=0,$AM58&gt;0,$AQ58&gt;0), IF(INDEX(BB$12:BB$263,MATCH($AQ58,$AP$12:$AP$263,0))&gt;0,($AM58*INDEX(BB$12:BB$263,MATCH($AQ58,$AP$12:$AP$263,0)))/INDEX($AI$12:$AI$263,MATCH($AQ58,$AP$12:$AP$263,0)), "-"),     TRUE, "0")</f>
        <v>0</v>
      </c>
      <c r="BD58" s="588">
        <f>IF(BC$9&gt;0, IF(OR(BC58="",BC58="-"), 0, BC58*$AT58), BB58*$AJ58)</f>
        <v>0</v>
      </c>
      <c r="BE58" s="587">
        <f>[1]COMMANDE!U56</f>
        <v>0</v>
      </c>
      <c r="BF58" s="586" t="str">
        <f>_xlfn.IFS(AND($AI58=$AM58,$AI58&gt;0,$AM58&gt;0,BE58&gt;0), BE58,     AND(NOT($AI58=$AM58),$AI58&gt;0,$AM58&gt;0,BE58&gt;0), ($AM58*BE58)/$AI58,     AND($AI58=0,$AM58&gt;0,$AQ58&gt;0), IF(INDEX(BE$12:BE$263,MATCH($AQ58,$AP$12:$AP$263,0))&gt;0,($AM58*INDEX(BE$12:BE$263,MATCH($AQ58,$AP$12:$AP$263,0)))/INDEX($AI$12:$AI$263,MATCH($AQ58,$AP$12:$AP$263,0)), "-"),     TRUE, "0")</f>
        <v>0</v>
      </c>
      <c r="BG58" s="607">
        <f>IF(BF$9&gt;0, IF(OR(BF58="",BF58="-"), 0, BF58*$AT58), BE58*$AJ58)</f>
        <v>0</v>
      </c>
      <c r="BH58" s="589">
        <f>[1]COMMANDE!W56</f>
        <v>0</v>
      </c>
      <c r="BI58" s="586" t="str">
        <f>_xlfn.IFS(AND($AI58=$AM58,$AI58&gt;0,$AM58&gt;0,BH58&gt;0), BH58,     AND(NOT($AI58=$AM58),$AI58&gt;0,$AM58&gt;0,BH58&gt;0), ($AM58*BH58)/$AI58,     AND($AI58=0,$AM58&gt;0,$AQ58&gt;0), IF(INDEX(BH$12:BH$263,MATCH($AQ58,$AP$12:$AP$263,0))&gt;0,($AM58*INDEX(BH$12:BH$263,MATCH($AQ58,$AP$12:$AP$263,0)))/INDEX($AI$12:$AI$263,MATCH($AQ58,$AP$12:$AP$263,0)), "-"),     TRUE, "0")</f>
        <v>0</v>
      </c>
      <c r="BJ58" s="588">
        <f>IF(BI$9&gt;0, IF(OR(BI58="",BI58="-"), 0, BI58*$AT58), BH58*$AJ58)</f>
        <v>0</v>
      </c>
      <c r="BK58" s="587">
        <f>[1]COMMANDE!Y56</f>
        <v>0</v>
      </c>
      <c r="BL58" s="586" t="str">
        <f>_xlfn.IFS(AND($AI58=$AM58,$AI58&gt;0,$AM58&gt;0,BK58&gt;0), BK58,     AND(NOT($AI58=$AM58),$AI58&gt;0,$AM58&gt;0,BK58&gt;0), ($AM58*BK58)/$AI58,     AND($AI58=0,$AM58&gt;0,$AQ58&gt;0), IF(INDEX(BK$12:BK$263,MATCH($AQ58,$AP$12:$AP$263,0))&gt;0,($AM58*INDEX(BK$12:BK$263,MATCH($AQ58,$AP$12:$AP$263,0)))/INDEX($AI$12:$AI$263,MATCH($AQ58,$AP$12:$AP$263,0)), "-"),     TRUE, "0")</f>
        <v>0</v>
      </c>
      <c r="BM58" s="607">
        <f>IF(BL$9&gt;0, IF(OR(BL58="",BL58="-"), 0, BL58*$AT58), BK58*$AJ58)</f>
        <v>0</v>
      </c>
      <c r="BN58" s="589">
        <f>[1]COMMANDE!AA56</f>
        <v>0</v>
      </c>
      <c r="BO58" s="586" t="str">
        <f>_xlfn.IFS(AND($AI58=$AM58,$AI58&gt;0,$AM58&gt;0,BN58&gt;0), BN58,     AND(NOT($AI58=$AM58),$AI58&gt;0,$AM58&gt;0,BN58&gt;0), ($AM58*BN58)/$AI58,     AND($AI58=0,$AM58&gt;0,$AQ58&gt;0), IF(INDEX(BN$12:BN$263,MATCH($AQ58,$AP$12:$AP$263,0))&gt;0,($AM58*INDEX(BN$12:BN$263,MATCH($AQ58,$AP$12:$AP$263,0)))/INDEX($AI$12:$AI$263,MATCH($AQ58,$AP$12:$AP$263,0)), "-"),     TRUE, "0")</f>
        <v>0</v>
      </c>
      <c r="BP58" s="588">
        <f>IF(BO$9&gt;0, IF(OR(BO58="",BO58="-"), 0, BO58*$AT58), BN58*$AJ58)</f>
        <v>0</v>
      </c>
      <c r="BQ58" s="587">
        <f>[1]COMMANDE!AC56</f>
        <v>0</v>
      </c>
      <c r="BR58" s="586" t="str">
        <f>_xlfn.IFS(AND($AI58=$AM58,$AI58&gt;0,$AM58&gt;0,BQ58&gt;0), BQ58,     AND(NOT($AI58=$AM58),$AI58&gt;0,$AM58&gt;0,BQ58&gt;0), ($AM58*BQ58)/$AI58,     AND($AI58=0,$AM58&gt;0,$AQ58&gt;0), IF(INDEX(BQ$12:BQ$263,MATCH($AQ58,$AP$12:$AP$263,0))&gt;0,($AM58*INDEX(BQ$12:BQ$263,MATCH($AQ58,$AP$12:$AP$263,0)))/INDEX($AI$12:$AI$263,MATCH($AQ58,$AP$12:$AP$263,0)), "-"),     TRUE, "0")</f>
        <v>0</v>
      </c>
      <c r="BS58" s="607">
        <f>IF(BR$9&gt;0, IF(OR(BR58="",BR58="-"), 0, BR58*$AT58), BQ58*$AJ58)</f>
        <v>0</v>
      </c>
      <c r="BT58" s="589">
        <f>[1]COMMANDE!AE56</f>
        <v>0</v>
      </c>
      <c r="BU58" s="586" t="str">
        <f>_xlfn.IFS(AND($AI58=$AM58,$AI58&gt;0,$AM58&gt;0,BT58&gt;0), BT58,     AND(NOT($AI58=$AM58),$AI58&gt;0,$AM58&gt;0,BT58&gt;0), ($AM58*BT58)/$AI58,     AND($AI58=0,$AM58&gt;0,$AQ58&gt;0), IF(INDEX(BT$12:BT$263,MATCH($AQ58,$AP$12:$AP$263,0))&gt;0,($AM58*INDEX(BT$12:BT$263,MATCH($AQ58,$AP$12:$AP$263,0)))/INDEX($AI$12:$AI$263,MATCH($AQ58,$AP$12:$AP$263,0)), "-"),     TRUE, "0")</f>
        <v>0</v>
      </c>
      <c r="BV58" s="588">
        <f>IF(BU$9&gt;0, IF(OR(BU58="",BU58="-"), 0, BU58*$AT58), BT58*$AJ58)</f>
        <v>0</v>
      </c>
      <c r="BW58" s="587">
        <f>[1]COMMANDE!AG56</f>
        <v>0</v>
      </c>
      <c r="BX58" s="586" t="str">
        <f>_xlfn.IFS(AND($AI58=$AM58,$AI58&gt;0,$AM58&gt;0,BW58&gt;0), BW58,     AND(NOT($AI58=$AM58),$AI58&gt;0,$AM58&gt;0,BW58&gt;0), ($AM58*BW58)/$AI58,     AND($AI58=0,$AM58&gt;0,$AQ58&gt;0), IF(INDEX(BW$12:BW$263,MATCH($AQ58,$AP$12:$AP$263,0))&gt;0,($AM58*INDEX(BW$12:BW$263,MATCH($AQ58,$AP$12:$AP$263,0)))/INDEX($AI$12:$AI$263,MATCH($AQ58,$AP$12:$AP$263,0)), "-"),     TRUE, "0")</f>
        <v>0</v>
      </c>
      <c r="BY58" s="607">
        <f>IF(BX$9&gt;0, IF(OR(BX58="",BX58="-"), 0, BX58*$AT58), BW58*$AJ58)</f>
        <v>0</v>
      </c>
      <c r="BZ58" s="589">
        <f>[1]COMMANDE!AI56</f>
        <v>0</v>
      </c>
      <c r="CA58" s="586" t="str">
        <f>_xlfn.IFS(AND($AI58=$AM58,$AI58&gt;0,$AM58&gt;0,BZ58&gt;0), BZ58,     AND(NOT($AI58=$AM58),$AI58&gt;0,$AM58&gt;0,BZ58&gt;0), ($AM58*BZ58)/$AI58,     AND($AI58=0,$AM58&gt;0,$AQ58&gt;0), IF(INDEX(BZ$12:BZ$263,MATCH($AQ58,$AP$12:$AP$263,0))&gt;0,($AM58*INDEX(BZ$12:BZ$263,MATCH($AQ58,$AP$12:$AP$263,0)))/INDEX($AI$12:$AI$263,MATCH($AQ58,$AP$12:$AP$263,0)), "-"),     TRUE, "0")</f>
        <v>0</v>
      </c>
      <c r="CB58" s="588">
        <f>IF(CA$9&gt;0, IF(OR(CA58="",CA58="-"), 0, CA58*$AT58), BZ58*$AJ58)</f>
        <v>0</v>
      </c>
      <c r="CC58" s="587">
        <f>[1]COMMANDE!AK56</f>
        <v>0</v>
      </c>
      <c r="CD58" s="586" t="str">
        <f>_xlfn.IFS(AND($AI58=$AM58,$AI58&gt;0,$AM58&gt;0,CC58&gt;0), CC58,     AND(NOT($AI58=$AM58),$AI58&gt;0,$AM58&gt;0,CC58&gt;0), ($AM58*CC58)/$AI58,     AND($AI58=0,$AM58&gt;0,$AQ58&gt;0), IF(INDEX(CC$12:CC$263,MATCH($AQ58,$AP$12:$AP$263,0))&gt;0,($AM58*INDEX(CC$12:CC$263,MATCH($AQ58,$AP$12:$AP$263,0)))/INDEX($AI$12:$AI$263,MATCH($AQ58,$AP$12:$AP$263,0)), "-"),     TRUE, "0")</f>
        <v>0</v>
      </c>
      <c r="CE58" s="607">
        <f>IF(CD$9&gt;0, IF(OR(CD58="",CD58="-"), 0, CD58*$AT58), CC58*$AJ58)</f>
        <v>0</v>
      </c>
      <c r="CF58" s="589">
        <f>[1]COMMANDE!AM56</f>
        <v>0</v>
      </c>
      <c r="CG58" s="586" t="str">
        <f>_xlfn.IFS(AND($AI58=$AM58,$AI58&gt;0,$AM58&gt;0,CF58&gt;0), CF58,     AND(NOT($AI58=$AM58),$AI58&gt;0,$AM58&gt;0,CF58&gt;0), ($AM58*CF58)/$AI58,     AND($AI58=0,$AM58&gt;0,$AQ58&gt;0), IF(INDEX(CF$12:CF$263,MATCH($AQ58,$AP$12:$AP$263,0))&gt;0,($AM58*INDEX(CF$12:CF$263,MATCH($AQ58,$AP$12:$AP$263,0)))/INDEX($AI$12:$AI$263,MATCH($AQ58,$AP$12:$AP$263,0)), "-"),     TRUE, "0")</f>
        <v>0</v>
      </c>
      <c r="CH58" s="588">
        <f>IF(CG$9&gt;0, IF(OR(CG58="",CG58="-"), 0, CG58*$AT58), CF58*$AJ58)</f>
        <v>0</v>
      </c>
      <c r="CI58" s="587">
        <f>[1]COMMANDE!AO56</f>
        <v>0</v>
      </c>
      <c r="CJ58" s="586" t="str">
        <f>_xlfn.IFS(AND($AI58=$AM58,$AI58&gt;0,$AM58&gt;0,CI58&gt;0), CI58,     AND(NOT($AI58=$AM58),$AI58&gt;0,$AM58&gt;0,CI58&gt;0), ($AM58*CI58)/$AI58,     AND($AI58=0,$AM58&gt;0,$AQ58&gt;0), IF(INDEX(CI$12:CI$263,MATCH($AQ58,$AP$12:$AP$263,0))&gt;0,($AM58*INDEX(CI$12:CI$263,MATCH($AQ58,$AP$12:$AP$263,0)))/INDEX($AI$12:$AI$263,MATCH($AQ58,$AP$12:$AP$263,0)), "-"),     TRUE, "0")</f>
        <v>0</v>
      </c>
      <c r="CK58" s="607">
        <f>IF(CJ$9&gt;0, IF(OR(CJ58="",CJ58="-"), 0, CJ58*$AT58), CI58*$AJ58)</f>
        <v>0</v>
      </c>
      <c r="CL58" s="589">
        <f>[1]COMMANDE!AQ56</f>
        <v>0</v>
      </c>
      <c r="CM58" s="586" t="str">
        <f>_xlfn.IFS(AND($AI58=$AM58,$AI58&gt;0,$AM58&gt;0,CL58&gt;0), CL58,     AND(NOT($AI58=$AM58),$AI58&gt;0,$AM58&gt;0,CL58&gt;0), ($AM58*CL58)/$AI58,     AND($AI58=0,$AM58&gt;0,$AQ58&gt;0), IF(INDEX(CL$12:CL$263,MATCH($AQ58,$AP$12:$AP$263,0))&gt;0,($AM58*INDEX(CL$12:CL$263,MATCH($AQ58,$AP$12:$AP$263,0)))/INDEX($AI$12:$AI$263,MATCH($AQ58,$AP$12:$AP$263,0)), "-"),     TRUE, "0")</f>
        <v>0</v>
      </c>
      <c r="CN58" s="588">
        <f>IF(CM$9&gt;0, IF(OR(CM58="",CM58="-"), 0, CM58*$AT58), CL58*$AJ58)</f>
        <v>0</v>
      </c>
      <c r="CO58" s="587">
        <f>[1]COMMANDE!AS56</f>
        <v>0</v>
      </c>
      <c r="CP58" s="586" t="str">
        <f>_xlfn.IFS(AND($AI58=$AM58,$AI58&gt;0,$AM58&gt;0,CO58&gt;0), CO58,     AND(NOT($AI58=$AM58),$AI58&gt;0,$AM58&gt;0,CO58&gt;0), ($AM58*CO58)/$AI58,     AND($AI58=0,$AM58&gt;0,$AQ58&gt;0), IF(INDEX(CO$12:CO$263,MATCH($AQ58,$AP$12:$AP$263,0))&gt;0,($AM58*INDEX(CO$12:CO$263,MATCH($AQ58,$AP$12:$AP$263,0)))/INDEX($AI$12:$AI$263,MATCH($AQ58,$AP$12:$AP$263,0)), "-"),     TRUE, "0")</f>
        <v>0</v>
      </c>
      <c r="CQ58" s="607">
        <f>IF(CP$9&gt;0, IF(OR(CP58="",CP58="-"), 0, CP58*$AT58), CO58*$AJ58)</f>
        <v>0</v>
      </c>
      <c r="CR58" s="589">
        <f>[1]COMMANDE!AU56</f>
        <v>0</v>
      </c>
      <c r="CS58" s="586" t="str">
        <f>_xlfn.IFS(AND($AI58=$AM58,$AI58&gt;0,$AM58&gt;0,CR58&gt;0), CR58,     AND(NOT($AI58=$AM58),$AI58&gt;0,$AM58&gt;0,CR58&gt;0), ($AM58*CR58)/$AI58,     AND($AI58=0,$AM58&gt;0,$AQ58&gt;0), IF(INDEX(CR$12:CR$263,MATCH($AQ58,$AP$12:$AP$263,0))&gt;0,($AM58*INDEX(CR$12:CR$263,MATCH($AQ58,$AP$12:$AP$263,0)))/INDEX($AI$12:$AI$263,MATCH($AQ58,$AP$12:$AP$263,0)), "-"),     TRUE, "0")</f>
        <v>0</v>
      </c>
      <c r="CT58" s="588">
        <f>IF(CS$9&gt;0, IF(OR(CS58="",CS58="-"), 0, CS58*$AT58), CR58*$AJ58)</f>
        <v>0</v>
      </c>
      <c r="CU58" s="587">
        <f>[1]COMMANDE!AW56</f>
        <v>0</v>
      </c>
      <c r="CV58" s="586" t="str">
        <f>_xlfn.IFS(AND($AI58=$AM58,$AI58&gt;0,$AM58&gt;0,CU58&gt;0), CU58,     AND(NOT($AI58=$AM58),$AI58&gt;0,$AM58&gt;0,CU58&gt;0), ($AM58*CU58)/$AI58,     AND($AI58=0,$AM58&gt;0,$AQ58&gt;0), IF(INDEX(CU$12:CU$263,MATCH($AQ58,$AP$12:$AP$263,0))&gt;0,($AM58*INDEX(CU$12:CU$263,MATCH($AQ58,$AP$12:$AP$263,0)))/INDEX($AI$12:$AI$263,MATCH($AQ58,$AP$12:$AP$263,0)), "-"),     TRUE, "0")</f>
        <v>0</v>
      </c>
      <c r="CW58" s="607">
        <f>IF(CV$9&gt;0, IF(OR(CV58="",CV58="-"), 0, CV58*$AT58), CU58*$AJ58)</f>
        <v>0</v>
      </c>
      <c r="CX58" s="589">
        <f>[1]COMMANDE!AY56</f>
        <v>0</v>
      </c>
      <c r="CY58" s="586" t="str">
        <f>_xlfn.IFS(AND($AI58=$AM58,$AI58&gt;0,$AM58&gt;0,CX58&gt;0), CX58,     AND(NOT($AI58=$AM58),$AI58&gt;0,$AM58&gt;0,CX58&gt;0), ($AM58*CX58)/$AI58,     AND($AI58=0,$AM58&gt;0,$AQ58&gt;0), IF(INDEX(CX$12:CX$263,MATCH($AQ58,$AP$12:$AP$263,0))&gt;0,($AM58*INDEX(CX$12:CX$263,MATCH($AQ58,$AP$12:$AP$263,0)))/INDEX($AI$12:$AI$263,MATCH($AQ58,$AP$12:$AP$263,0)), "-"),     TRUE, "0")</f>
        <v>0</v>
      </c>
      <c r="CZ58" s="588">
        <f>IF(CY$9&gt;0, IF(OR(CY58="",CY58="-"), 0, CY58*$AT58), CX58*$AJ58)</f>
        <v>0</v>
      </c>
      <c r="DA58" s="587">
        <f>[1]COMMANDE!BA56</f>
        <v>0</v>
      </c>
      <c r="DB58" s="586" t="str">
        <f>_xlfn.IFS(AND($AI58=$AM58,$AI58&gt;0,$AM58&gt;0,DA58&gt;0), DA58,     AND(NOT($AI58=$AM58),$AI58&gt;0,$AM58&gt;0,DA58&gt;0), ($AM58*DA58)/$AI58,     AND($AI58=0,$AM58&gt;0,$AQ58&gt;0), IF(INDEX(DA$12:DA$263,MATCH($AQ58,$AP$12:$AP$263,0))&gt;0,($AM58*INDEX(DA$12:DA$263,MATCH($AQ58,$AP$12:$AP$263,0)))/INDEX($AI$12:$AI$263,MATCH($AQ58,$AP$12:$AP$263,0)), "-"),     TRUE, "0")</f>
        <v>0</v>
      </c>
      <c r="DC58" s="606">
        <f>IF(DB$9&gt;0, IF(OR(DB58="",DB58="-"), 0, DB58*$AT58), DA58*$AJ58)</f>
        <v>0</v>
      </c>
      <c r="DD58" s="584"/>
      <c r="DE58" s="583"/>
    </row>
    <row r="59" spans="1:109" ht="39.950000000000003" hidden="1" customHeight="1">
      <c r="A59" s="604">
        <f>IF(OR($AV59&gt;0, $AX59&gt;0), 1, 0)</f>
        <v>0</v>
      </c>
      <c r="B59" s="604">
        <f>IF(OR($AY59&gt;0, $BA59&gt;0), 1, 0)</f>
        <v>0</v>
      </c>
      <c r="C59" s="604">
        <f>IF(OR($BB59&gt;0, $BD59&gt;0), 1, 0)</f>
        <v>0</v>
      </c>
      <c r="D59" s="604">
        <f>IF(OR($BE59&gt;0, $BG59&gt;0), 1, 0)</f>
        <v>0</v>
      </c>
      <c r="E59" s="604">
        <f>IF(OR($BH59&gt;0, $BJ59&gt;0), 1, 0)</f>
        <v>0</v>
      </c>
      <c r="F59" s="604">
        <f>IF(OR($BK59&gt;0, $BM59&gt;0), 1, 0)</f>
        <v>0</v>
      </c>
      <c r="G59" s="604">
        <f>IF(OR($BN59&gt;0, $BP59&gt;0), 1, 0)</f>
        <v>0</v>
      </c>
      <c r="H59" s="604">
        <f>IF(OR($BQ59&gt;0, $BS59&gt;0), 1, 0)</f>
        <v>0</v>
      </c>
      <c r="I59" s="604">
        <f>IF(OR($BT59&gt;0, $BV59&gt;0), 1, 0)</f>
        <v>0</v>
      </c>
      <c r="J59" s="604">
        <f>IF(OR($BW59&gt;0, $BY59&gt;0), 1, 0)</f>
        <v>0</v>
      </c>
      <c r="K59" s="604">
        <f>IF(OR($BZ59&gt;0, $CB59&gt;0), 1, 0)</f>
        <v>0</v>
      </c>
      <c r="L59" s="604">
        <f>IF(OR($CC59&gt;0, $CE59&gt;0), 1, 0)</f>
        <v>0</v>
      </c>
      <c r="M59" s="604">
        <f>IF(OR($CF59&gt;0, $CH59&gt;0), 1, 0)</f>
        <v>0</v>
      </c>
      <c r="N59" s="604">
        <f>IF(OR($CI59&gt;0, $CK59&gt;0), 1, 0)</f>
        <v>0</v>
      </c>
      <c r="O59" s="604">
        <f>IF(OR($CL59&gt;0, $CN59&gt;0), 1, 0)</f>
        <v>0</v>
      </c>
      <c r="P59" s="604">
        <f>IF(OR($CO59&gt;0, $CQ59&gt;0), 1, 0)</f>
        <v>0</v>
      </c>
      <c r="Q59" s="604">
        <f>IF(OR($CR59&gt;0, $CT59&gt;0), 1, 0)</f>
        <v>0</v>
      </c>
      <c r="R59" s="604">
        <f>IF(OR($CU59&gt;0, $CW59&gt;0), 1, 0)</f>
        <v>0</v>
      </c>
      <c r="S59" s="604">
        <f>IF(OR($CX59&gt;0, $CZ59&gt;0), 1, 0)</f>
        <v>0</v>
      </c>
      <c r="T59" s="604">
        <f>IF(OR($DA59&gt;0, $DC59&gt;0), 1, 0)</f>
        <v>0</v>
      </c>
      <c r="U59" s="603">
        <f>IF(OR($AI59&gt;0,$AM59&gt;0,$AS59&gt;0), 1, 0)</f>
        <v>0</v>
      </c>
      <c r="V59" s="602">
        <f>[1]BDD!A49</f>
        <v>5075</v>
      </c>
      <c r="W59" s="601" t="str">
        <f>[1]BDD!B49</f>
        <v>Carotte avec fane</v>
      </c>
      <c r="X59" s="600" t="str">
        <f>IF([1]BDD!F49=0, "", [1]BDD!F49)</f>
        <v/>
      </c>
      <c r="Y59" s="542">
        <f>ROUND([1]BDD!G49+FDP_CMD_KG, 2)</f>
        <v>4.01</v>
      </c>
      <c r="Z59" s="542">
        <f>ROUND([1]BDD!G49+FDP_FACT_KG, 2)</f>
        <v>4.01</v>
      </c>
      <c r="AA59" s="543" t="str">
        <f>[1]BDD!H49</f>
        <v>kg</v>
      </c>
      <c r="AB59" s="544">
        <f>IF(NOT(ISBLANK([1]BDD!I49)), ROUND(SUM(([1]BDD!G49*reduc1),FDP_CMD_KG), 2), "")</f>
        <v>3.7</v>
      </c>
      <c r="AC59" s="544" t="str">
        <f>IF(NOT(ISBLANK([1]BDD!J49)), ROUND(SUM(([1]BDD!G49*reduc2),FDP_CMD_KG), 2), "")</f>
        <v/>
      </c>
      <c r="AD59" s="544" t="str">
        <f>IF(NOT(ISBLANK([1]BDD!K49)), ROUND(SUM(([1]BDD!G49*reduc3),FDP_CMD_KG), 2), "")</f>
        <v/>
      </c>
      <c r="AE59" s="544">
        <f>IF(NOT(ISBLANK([1]BDD!I49)), ROUND(SUM(([1]BDD!G49*reduc1),FDP_FACT_KG), 2), "")</f>
        <v>3.69</v>
      </c>
      <c r="AF59" s="544" t="str">
        <f>IF(NOT(ISBLANK([1]BDD!J49)), ROUND(SUM(([1]BDD!G49*reduc2),FDP_FACT_KG), 2), "")</f>
        <v/>
      </c>
      <c r="AG59" s="544" t="str">
        <f>IF(NOT(ISBLANK([1]BDD!K49)), ROUND(SUM(([1]BDD!G49*reduc3),FDP_FACT_KG), 2), "")</f>
        <v/>
      </c>
      <c r="AH59" s="599" t="str">
        <f>[1]BDD!C49</f>
        <v>Grenade</v>
      </c>
      <c r="AI59" s="598">
        <f>SUM(AV59,AY59,BB59,BE59,BH59,BK59,BN59,BQ59,BT59,BW59,BZ59,CC59,CF59,CI59,CL59,CO59,CR59,CU59,CX59,DA59)</f>
        <v>0</v>
      </c>
      <c r="AJ59" s="545">
        <f>_xlfn.IFS($AD59&lt;&gt;"", $AD59,    $AC59&lt;&gt;"", $AC59,    $AB59&lt;&gt;"", $AB59,    TRUE, $Y59)</f>
        <v>3.7</v>
      </c>
      <c r="AK59" s="592">
        <f>$AI59*$AJ59</f>
        <v>0</v>
      </c>
      <c r="AL59" s="594"/>
      <c r="AM59" s="597"/>
      <c r="AN59" s="545">
        <f>_xlfn.IFS(AND(AM59&gt;=60,$AG59&lt;&gt;""), $AG59,    AND(AM59&gt;=30,$AF59&lt;&gt;""), $AF59,    AND(AM59&gt;=10,$AE59&lt;&gt;""), $AE59,    TRUE, $Z59)</f>
        <v>4.01</v>
      </c>
      <c r="AO59" s="596">
        <f>AM59*AN59</f>
        <v>0</v>
      </c>
      <c r="AP59" s="595"/>
      <c r="AQ59" s="595"/>
      <c r="AR59" s="594"/>
      <c r="AS59" s="593">
        <f>SUM(AW59,AZ59,BC59,BF59,BI59,BL59,BO59,BR59,BU59,BX59,CA59,CD59,CG59,CJ59,CM59,CP59,CS59,CV59,CY59,DB59)</f>
        <v>0</v>
      </c>
      <c r="AT59" s="545">
        <f>_xlfn.IFS(AND(AS59&gt;=60,$AG59&lt;&gt;""), $AG59,    AND(AS59&gt;=30,$AF59&lt;&gt;""), $AF59,    AND(AS59&gt;=10,$AE59&lt;&gt;""), $AE59,    TRUE, $Z59)</f>
        <v>4.01</v>
      </c>
      <c r="AU59" s="592">
        <f>$AS59*$AT59</f>
        <v>0</v>
      </c>
      <c r="AV59" s="591">
        <f>[1]COMMANDE!O57</f>
        <v>0</v>
      </c>
      <c r="AW59" s="586" t="str">
        <f>_xlfn.IFS(AND($AI59=$AM59,$AI59&gt;0,$AM59&gt;0,AV59&gt;0), AV59,     AND(NOT($AI59=$AM59),$AI59&gt;0,$AM59&gt;0,AV59&gt;0), ($AM59*AV59)/$AI59,     AND($AI59=0,$AM59&gt;0,$AQ59&gt;0), IF(INDEX(AV$12:AV$263,MATCH($AQ59,$AP$12:$AP$263,0))&gt;0,($AM59*INDEX(AV$12:AV$263,MATCH($AQ59,$AP$12:$AP$263,0)))/INDEX($AI$12:$AI$263,MATCH($AQ59,$AP$12:$AP$263,0)), "-"),     TRUE, "0")</f>
        <v>0</v>
      </c>
      <c r="AX59" s="588">
        <f>IF(AW$9&gt;0, IF(OR(AW59="",AW59="-"), 0, AW59*$AT59), AV59*$AJ59)</f>
        <v>0</v>
      </c>
      <c r="AY59" s="587">
        <f>[1]COMMANDE!Q57</f>
        <v>0</v>
      </c>
      <c r="AZ59" s="586" t="str">
        <f>_xlfn.IFS(AND($AI59=$AM59,$AI59&gt;0,$AM59&gt;0,AY59&gt;0), AY59,     AND(NOT($AI59=$AM59),$AI59&gt;0,$AM59&gt;0,AY59&gt;0), ($AM59*AY59)/$AI59,     AND($AI59=0,$AM59&gt;0,$AQ59&gt;0), IF(INDEX(AY$12:AY$263,MATCH($AQ59,$AP$12:$AP$263,0))&gt;0,($AM59*INDEX(AY$12:AY$263,MATCH($AQ59,$AP$12:$AP$263,0)))/INDEX($AI$12:$AI$263,MATCH($AQ59,$AP$12:$AP$263,0)), "-"),     TRUE, "0")</f>
        <v>0</v>
      </c>
      <c r="BA59" s="607">
        <f>IF(AZ$9&gt;0, IF(OR(AZ59="",AZ59="-"), 0, AZ59*$AT59), AY59*$AJ59)</f>
        <v>0</v>
      </c>
      <c r="BB59" s="589">
        <f>[1]COMMANDE!S57</f>
        <v>0</v>
      </c>
      <c r="BC59" s="586" t="str">
        <f>_xlfn.IFS(AND($AI59=$AM59,$AI59&gt;0,$AM59&gt;0,BB59&gt;0), BB59,     AND(NOT($AI59=$AM59),$AI59&gt;0,$AM59&gt;0,BB59&gt;0), ($AM59*BB59)/$AI59,     AND($AI59=0,$AM59&gt;0,$AQ59&gt;0), IF(INDEX(BB$12:BB$263,MATCH($AQ59,$AP$12:$AP$263,0))&gt;0,($AM59*INDEX(BB$12:BB$263,MATCH($AQ59,$AP$12:$AP$263,0)))/INDEX($AI$12:$AI$263,MATCH($AQ59,$AP$12:$AP$263,0)), "-"),     TRUE, "0")</f>
        <v>0</v>
      </c>
      <c r="BD59" s="588">
        <f>IF(BC$9&gt;0, IF(OR(BC59="",BC59="-"), 0, BC59*$AT59), BB59*$AJ59)</f>
        <v>0</v>
      </c>
      <c r="BE59" s="587">
        <f>[1]COMMANDE!U57</f>
        <v>0</v>
      </c>
      <c r="BF59" s="586" t="str">
        <f>_xlfn.IFS(AND($AI59=$AM59,$AI59&gt;0,$AM59&gt;0,BE59&gt;0), BE59,     AND(NOT($AI59=$AM59),$AI59&gt;0,$AM59&gt;0,BE59&gt;0), ($AM59*BE59)/$AI59,     AND($AI59=0,$AM59&gt;0,$AQ59&gt;0), IF(INDEX(BE$12:BE$263,MATCH($AQ59,$AP$12:$AP$263,0))&gt;0,($AM59*INDEX(BE$12:BE$263,MATCH($AQ59,$AP$12:$AP$263,0)))/INDEX($AI$12:$AI$263,MATCH($AQ59,$AP$12:$AP$263,0)), "-"),     TRUE, "0")</f>
        <v>0</v>
      </c>
      <c r="BG59" s="607">
        <f>IF(BF$9&gt;0, IF(OR(BF59="",BF59="-"), 0, BF59*$AT59), BE59*$AJ59)</f>
        <v>0</v>
      </c>
      <c r="BH59" s="589">
        <f>[1]COMMANDE!W57</f>
        <v>0</v>
      </c>
      <c r="BI59" s="586" t="str">
        <f>_xlfn.IFS(AND($AI59=$AM59,$AI59&gt;0,$AM59&gt;0,BH59&gt;0), BH59,     AND(NOT($AI59=$AM59),$AI59&gt;0,$AM59&gt;0,BH59&gt;0), ($AM59*BH59)/$AI59,     AND($AI59=0,$AM59&gt;0,$AQ59&gt;0), IF(INDEX(BH$12:BH$263,MATCH($AQ59,$AP$12:$AP$263,0))&gt;0,($AM59*INDEX(BH$12:BH$263,MATCH($AQ59,$AP$12:$AP$263,0)))/INDEX($AI$12:$AI$263,MATCH($AQ59,$AP$12:$AP$263,0)), "-"),     TRUE, "0")</f>
        <v>0</v>
      </c>
      <c r="BJ59" s="588">
        <f>IF(BI$9&gt;0, IF(OR(BI59="",BI59="-"), 0, BI59*$AT59), BH59*$AJ59)</f>
        <v>0</v>
      </c>
      <c r="BK59" s="587">
        <f>[1]COMMANDE!Y57</f>
        <v>0</v>
      </c>
      <c r="BL59" s="586" t="str">
        <f>_xlfn.IFS(AND($AI59=$AM59,$AI59&gt;0,$AM59&gt;0,BK59&gt;0), BK59,     AND(NOT($AI59=$AM59),$AI59&gt;0,$AM59&gt;0,BK59&gt;0), ($AM59*BK59)/$AI59,     AND($AI59=0,$AM59&gt;0,$AQ59&gt;0), IF(INDEX(BK$12:BK$263,MATCH($AQ59,$AP$12:$AP$263,0))&gt;0,($AM59*INDEX(BK$12:BK$263,MATCH($AQ59,$AP$12:$AP$263,0)))/INDEX($AI$12:$AI$263,MATCH($AQ59,$AP$12:$AP$263,0)), "-"),     TRUE, "0")</f>
        <v>0</v>
      </c>
      <c r="BM59" s="607">
        <f>IF(BL$9&gt;0, IF(OR(BL59="",BL59="-"), 0, BL59*$AT59), BK59*$AJ59)</f>
        <v>0</v>
      </c>
      <c r="BN59" s="589">
        <f>[1]COMMANDE!AA57</f>
        <v>0</v>
      </c>
      <c r="BO59" s="586" t="str">
        <f>_xlfn.IFS(AND($AI59=$AM59,$AI59&gt;0,$AM59&gt;0,BN59&gt;0), BN59,     AND(NOT($AI59=$AM59),$AI59&gt;0,$AM59&gt;0,BN59&gt;0), ($AM59*BN59)/$AI59,     AND($AI59=0,$AM59&gt;0,$AQ59&gt;0), IF(INDEX(BN$12:BN$263,MATCH($AQ59,$AP$12:$AP$263,0))&gt;0,($AM59*INDEX(BN$12:BN$263,MATCH($AQ59,$AP$12:$AP$263,0)))/INDEX($AI$12:$AI$263,MATCH($AQ59,$AP$12:$AP$263,0)), "-"),     TRUE, "0")</f>
        <v>0</v>
      </c>
      <c r="BP59" s="588">
        <f>IF(BO$9&gt;0, IF(OR(BO59="",BO59="-"), 0, BO59*$AT59), BN59*$AJ59)</f>
        <v>0</v>
      </c>
      <c r="BQ59" s="587">
        <f>[1]COMMANDE!AC57</f>
        <v>0</v>
      </c>
      <c r="BR59" s="586" t="str">
        <f>_xlfn.IFS(AND($AI59=$AM59,$AI59&gt;0,$AM59&gt;0,BQ59&gt;0), BQ59,     AND(NOT($AI59=$AM59),$AI59&gt;0,$AM59&gt;0,BQ59&gt;0), ($AM59*BQ59)/$AI59,     AND($AI59=0,$AM59&gt;0,$AQ59&gt;0), IF(INDEX(BQ$12:BQ$263,MATCH($AQ59,$AP$12:$AP$263,0))&gt;0,($AM59*INDEX(BQ$12:BQ$263,MATCH($AQ59,$AP$12:$AP$263,0)))/INDEX($AI$12:$AI$263,MATCH($AQ59,$AP$12:$AP$263,0)), "-"),     TRUE, "0")</f>
        <v>0</v>
      </c>
      <c r="BS59" s="607">
        <f>IF(BR$9&gt;0, IF(OR(BR59="",BR59="-"), 0, BR59*$AT59), BQ59*$AJ59)</f>
        <v>0</v>
      </c>
      <c r="BT59" s="589">
        <f>[1]COMMANDE!AE57</f>
        <v>0</v>
      </c>
      <c r="BU59" s="586" t="str">
        <f>_xlfn.IFS(AND($AI59=$AM59,$AI59&gt;0,$AM59&gt;0,BT59&gt;0), BT59,     AND(NOT($AI59=$AM59),$AI59&gt;0,$AM59&gt;0,BT59&gt;0), ($AM59*BT59)/$AI59,     AND($AI59=0,$AM59&gt;0,$AQ59&gt;0), IF(INDEX(BT$12:BT$263,MATCH($AQ59,$AP$12:$AP$263,0))&gt;0,($AM59*INDEX(BT$12:BT$263,MATCH($AQ59,$AP$12:$AP$263,0)))/INDEX($AI$12:$AI$263,MATCH($AQ59,$AP$12:$AP$263,0)), "-"),     TRUE, "0")</f>
        <v>0</v>
      </c>
      <c r="BV59" s="588">
        <f>IF(BU$9&gt;0, IF(OR(BU59="",BU59="-"), 0, BU59*$AT59), BT59*$AJ59)</f>
        <v>0</v>
      </c>
      <c r="BW59" s="587">
        <f>[1]COMMANDE!AG57</f>
        <v>0</v>
      </c>
      <c r="BX59" s="586" t="str">
        <f>_xlfn.IFS(AND($AI59=$AM59,$AI59&gt;0,$AM59&gt;0,BW59&gt;0), BW59,     AND(NOT($AI59=$AM59),$AI59&gt;0,$AM59&gt;0,BW59&gt;0), ($AM59*BW59)/$AI59,     AND($AI59=0,$AM59&gt;0,$AQ59&gt;0), IF(INDEX(BW$12:BW$263,MATCH($AQ59,$AP$12:$AP$263,0))&gt;0,($AM59*INDEX(BW$12:BW$263,MATCH($AQ59,$AP$12:$AP$263,0)))/INDEX($AI$12:$AI$263,MATCH($AQ59,$AP$12:$AP$263,0)), "-"),     TRUE, "0")</f>
        <v>0</v>
      </c>
      <c r="BY59" s="607">
        <f>IF(BX$9&gt;0, IF(OR(BX59="",BX59="-"), 0, BX59*$AT59), BW59*$AJ59)</f>
        <v>0</v>
      </c>
      <c r="BZ59" s="589">
        <f>[1]COMMANDE!AI57</f>
        <v>0</v>
      </c>
      <c r="CA59" s="586" t="str">
        <f>_xlfn.IFS(AND($AI59=$AM59,$AI59&gt;0,$AM59&gt;0,BZ59&gt;0), BZ59,     AND(NOT($AI59=$AM59),$AI59&gt;0,$AM59&gt;0,BZ59&gt;0), ($AM59*BZ59)/$AI59,     AND($AI59=0,$AM59&gt;0,$AQ59&gt;0), IF(INDEX(BZ$12:BZ$263,MATCH($AQ59,$AP$12:$AP$263,0))&gt;0,($AM59*INDEX(BZ$12:BZ$263,MATCH($AQ59,$AP$12:$AP$263,0)))/INDEX($AI$12:$AI$263,MATCH($AQ59,$AP$12:$AP$263,0)), "-"),     TRUE, "0")</f>
        <v>0</v>
      </c>
      <c r="CB59" s="588">
        <f>IF(CA$9&gt;0, IF(OR(CA59="",CA59="-"), 0, CA59*$AT59), BZ59*$AJ59)</f>
        <v>0</v>
      </c>
      <c r="CC59" s="587">
        <f>[1]COMMANDE!AK57</f>
        <v>0</v>
      </c>
      <c r="CD59" s="586" t="str">
        <f>_xlfn.IFS(AND($AI59=$AM59,$AI59&gt;0,$AM59&gt;0,CC59&gt;0), CC59,     AND(NOT($AI59=$AM59),$AI59&gt;0,$AM59&gt;0,CC59&gt;0), ($AM59*CC59)/$AI59,     AND($AI59=0,$AM59&gt;0,$AQ59&gt;0), IF(INDEX(CC$12:CC$263,MATCH($AQ59,$AP$12:$AP$263,0))&gt;0,($AM59*INDEX(CC$12:CC$263,MATCH($AQ59,$AP$12:$AP$263,0)))/INDEX($AI$12:$AI$263,MATCH($AQ59,$AP$12:$AP$263,0)), "-"),     TRUE, "0")</f>
        <v>0</v>
      </c>
      <c r="CE59" s="607">
        <f>IF(CD$9&gt;0, IF(OR(CD59="",CD59="-"), 0, CD59*$AT59), CC59*$AJ59)</f>
        <v>0</v>
      </c>
      <c r="CF59" s="589">
        <f>[1]COMMANDE!AM57</f>
        <v>0</v>
      </c>
      <c r="CG59" s="586" t="str">
        <f>_xlfn.IFS(AND($AI59=$AM59,$AI59&gt;0,$AM59&gt;0,CF59&gt;0), CF59,     AND(NOT($AI59=$AM59),$AI59&gt;0,$AM59&gt;0,CF59&gt;0), ($AM59*CF59)/$AI59,     AND($AI59=0,$AM59&gt;0,$AQ59&gt;0), IF(INDEX(CF$12:CF$263,MATCH($AQ59,$AP$12:$AP$263,0))&gt;0,($AM59*INDEX(CF$12:CF$263,MATCH($AQ59,$AP$12:$AP$263,0)))/INDEX($AI$12:$AI$263,MATCH($AQ59,$AP$12:$AP$263,0)), "-"),     TRUE, "0")</f>
        <v>0</v>
      </c>
      <c r="CH59" s="588">
        <f>IF(CG$9&gt;0, IF(OR(CG59="",CG59="-"), 0, CG59*$AT59), CF59*$AJ59)</f>
        <v>0</v>
      </c>
      <c r="CI59" s="587">
        <f>[1]COMMANDE!AO57</f>
        <v>0</v>
      </c>
      <c r="CJ59" s="586" t="str">
        <f>_xlfn.IFS(AND($AI59=$AM59,$AI59&gt;0,$AM59&gt;0,CI59&gt;0), CI59,     AND(NOT($AI59=$AM59),$AI59&gt;0,$AM59&gt;0,CI59&gt;0), ($AM59*CI59)/$AI59,     AND($AI59=0,$AM59&gt;0,$AQ59&gt;0), IF(INDEX(CI$12:CI$263,MATCH($AQ59,$AP$12:$AP$263,0))&gt;0,($AM59*INDEX(CI$12:CI$263,MATCH($AQ59,$AP$12:$AP$263,0)))/INDEX($AI$12:$AI$263,MATCH($AQ59,$AP$12:$AP$263,0)), "-"),     TRUE, "0")</f>
        <v>0</v>
      </c>
      <c r="CK59" s="607">
        <f>IF(CJ$9&gt;0, IF(OR(CJ59="",CJ59="-"), 0, CJ59*$AT59), CI59*$AJ59)</f>
        <v>0</v>
      </c>
      <c r="CL59" s="589">
        <f>[1]COMMANDE!AQ57</f>
        <v>0</v>
      </c>
      <c r="CM59" s="586" t="str">
        <f>_xlfn.IFS(AND($AI59=$AM59,$AI59&gt;0,$AM59&gt;0,CL59&gt;0), CL59,     AND(NOT($AI59=$AM59),$AI59&gt;0,$AM59&gt;0,CL59&gt;0), ($AM59*CL59)/$AI59,     AND($AI59=0,$AM59&gt;0,$AQ59&gt;0), IF(INDEX(CL$12:CL$263,MATCH($AQ59,$AP$12:$AP$263,0))&gt;0,($AM59*INDEX(CL$12:CL$263,MATCH($AQ59,$AP$12:$AP$263,0)))/INDEX($AI$12:$AI$263,MATCH($AQ59,$AP$12:$AP$263,0)), "-"),     TRUE, "0")</f>
        <v>0</v>
      </c>
      <c r="CN59" s="588">
        <f>IF(CM$9&gt;0, IF(OR(CM59="",CM59="-"), 0, CM59*$AT59), CL59*$AJ59)</f>
        <v>0</v>
      </c>
      <c r="CO59" s="587">
        <f>[1]COMMANDE!AS57</f>
        <v>0</v>
      </c>
      <c r="CP59" s="586" t="str">
        <f>_xlfn.IFS(AND($AI59=$AM59,$AI59&gt;0,$AM59&gt;0,CO59&gt;0), CO59,     AND(NOT($AI59=$AM59),$AI59&gt;0,$AM59&gt;0,CO59&gt;0), ($AM59*CO59)/$AI59,     AND($AI59=0,$AM59&gt;0,$AQ59&gt;0), IF(INDEX(CO$12:CO$263,MATCH($AQ59,$AP$12:$AP$263,0))&gt;0,($AM59*INDEX(CO$12:CO$263,MATCH($AQ59,$AP$12:$AP$263,0)))/INDEX($AI$12:$AI$263,MATCH($AQ59,$AP$12:$AP$263,0)), "-"),     TRUE, "0")</f>
        <v>0</v>
      </c>
      <c r="CQ59" s="607">
        <f>IF(CP$9&gt;0, IF(OR(CP59="",CP59="-"), 0, CP59*$AT59), CO59*$AJ59)</f>
        <v>0</v>
      </c>
      <c r="CR59" s="589">
        <f>[1]COMMANDE!AU57</f>
        <v>0</v>
      </c>
      <c r="CS59" s="586" t="str">
        <f>_xlfn.IFS(AND($AI59=$AM59,$AI59&gt;0,$AM59&gt;0,CR59&gt;0), CR59,     AND(NOT($AI59=$AM59),$AI59&gt;0,$AM59&gt;0,CR59&gt;0), ($AM59*CR59)/$AI59,     AND($AI59=0,$AM59&gt;0,$AQ59&gt;0), IF(INDEX(CR$12:CR$263,MATCH($AQ59,$AP$12:$AP$263,0))&gt;0,($AM59*INDEX(CR$12:CR$263,MATCH($AQ59,$AP$12:$AP$263,0)))/INDEX($AI$12:$AI$263,MATCH($AQ59,$AP$12:$AP$263,0)), "-"),     TRUE, "0")</f>
        <v>0</v>
      </c>
      <c r="CT59" s="588">
        <f>IF(CS$9&gt;0, IF(OR(CS59="",CS59="-"), 0, CS59*$AT59), CR59*$AJ59)</f>
        <v>0</v>
      </c>
      <c r="CU59" s="587">
        <f>[1]COMMANDE!AW57</f>
        <v>0</v>
      </c>
      <c r="CV59" s="586" t="str">
        <f>_xlfn.IFS(AND($AI59=$AM59,$AI59&gt;0,$AM59&gt;0,CU59&gt;0), CU59,     AND(NOT($AI59=$AM59),$AI59&gt;0,$AM59&gt;0,CU59&gt;0), ($AM59*CU59)/$AI59,     AND($AI59=0,$AM59&gt;0,$AQ59&gt;0), IF(INDEX(CU$12:CU$263,MATCH($AQ59,$AP$12:$AP$263,0))&gt;0,($AM59*INDEX(CU$12:CU$263,MATCH($AQ59,$AP$12:$AP$263,0)))/INDEX($AI$12:$AI$263,MATCH($AQ59,$AP$12:$AP$263,0)), "-"),     TRUE, "0")</f>
        <v>0</v>
      </c>
      <c r="CW59" s="607">
        <f>IF(CV$9&gt;0, IF(OR(CV59="",CV59="-"), 0, CV59*$AT59), CU59*$AJ59)</f>
        <v>0</v>
      </c>
      <c r="CX59" s="589">
        <f>[1]COMMANDE!AY57</f>
        <v>0</v>
      </c>
      <c r="CY59" s="586" t="str">
        <f>_xlfn.IFS(AND($AI59=$AM59,$AI59&gt;0,$AM59&gt;0,CX59&gt;0), CX59,     AND(NOT($AI59=$AM59),$AI59&gt;0,$AM59&gt;0,CX59&gt;0), ($AM59*CX59)/$AI59,     AND($AI59=0,$AM59&gt;0,$AQ59&gt;0), IF(INDEX(CX$12:CX$263,MATCH($AQ59,$AP$12:$AP$263,0))&gt;0,($AM59*INDEX(CX$12:CX$263,MATCH($AQ59,$AP$12:$AP$263,0)))/INDEX($AI$12:$AI$263,MATCH($AQ59,$AP$12:$AP$263,0)), "-"),     TRUE, "0")</f>
        <v>0</v>
      </c>
      <c r="CZ59" s="588">
        <f>IF(CY$9&gt;0, IF(OR(CY59="",CY59="-"), 0, CY59*$AT59), CX59*$AJ59)</f>
        <v>0</v>
      </c>
      <c r="DA59" s="587">
        <f>[1]COMMANDE!BA57</f>
        <v>0</v>
      </c>
      <c r="DB59" s="586" t="str">
        <f>_xlfn.IFS(AND($AI59=$AM59,$AI59&gt;0,$AM59&gt;0,DA59&gt;0), DA59,     AND(NOT($AI59=$AM59),$AI59&gt;0,$AM59&gt;0,DA59&gt;0), ($AM59*DA59)/$AI59,     AND($AI59=0,$AM59&gt;0,$AQ59&gt;0), IF(INDEX(DA$12:DA$263,MATCH($AQ59,$AP$12:$AP$263,0))&gt;0,($AM59*INDEX(DA$12:DA$263,MATCH($AQ59,$AP$12:$AP$263,0)))/INDEX($AI$12:$AI$263,MATCH($AQ59,$AP$12:$AP$263,0)), "-"),     TRUE, "0")</f>
        <v>0</v>
      </c>
      <c r="DC59" s="606">
        <f>IF(DB$9&gt;0, IF(OR(DB59="",DB59="-"), 0, DB59*$AT59), DA59*$AJ59)</f>
        <v>0</v>
      </c>
      <c r="DD59" s="584"/>
      <c r="DE59" s="583"/>
    </row>
    <row r="60" spans="1:109" ht="39.950000000000003" hidden="1" customHeight="1">
      <c r="A60" s="604">
        <f>IF(OR($AV60&gt;0, $AX60&gt;0), 1, 0)</f>
        <v>0</v>
      </c>
      <c r="B60" s="604">
        <f>IF(OR($AY60&gt;0, $BA60&gt;0), 1, 0)</f>
        <v>0</v>
      </c>
      <c r="C60" s="604">
        <f>IF(OR($BB60&gt;0, $BD60&gt;0), 1, 0)</f>
        <v>0</v>
      </c>
      <c r="D60" s="604">
        <f>IF(OR($BE60&gt;0, $BG60&gt;0), 1, 0)</f>
        <v>0</v>
      </c>
      <c r="E60" s="604">
        <f>IF(OR($BH60&gt;0, $BJ60&gt;0), 1, 0)</f>
        <v>0</v>
      </c>
      <c r="F60" s="604">
        <f>IF(OR($BK60&gt;0, $BM60&gt;0), 1, 0)</f>
        <v>0</v>
      </c>
      <c r="G60" s="604">
        <f>IF(OR($BN60&gt;0, $BP60&gt;0), 1, 0)</f>
        <v>0</v>
      </c>
      <c r="H60" s="604">
        <f>IF(OR($BQ60&gt;0, $BS60&gt;0), 1, 0)</f>
        <v>0</v>
      </c>
      <c r="I60" s="604">
        <f>IF(OR($BT60&gt;0, $BV60&gt;0), 1, 0)</f>
        <v>0</v>
      </c>
      <c r="J60" s="604">
        <f>IF(OR($BW60&gt;0, $BY60&gt;0), 1, 0)</f>
        <v>0</v>
      </c>
      <c r="K60" s="604">
        <f>IF(OR($BZ60&gt;0, $CB60&gt;0), 1, 0)</f>
        <v>0</v>
      </c>
      <c r="L60" s="604">
        <f>IF(OR($CC60&gt;0, $CE60&gt;0), 1, 0)</f>
        <v>0</v>
      </c>
      <c r="M60" s="604">
        <f>IF(OR($CF60&gt;0, $CH60&gt;0), 1, 0)</f>
        <v>0</v>
      </c>
      <c r="N60" s="604">
        <f>IF(OR($CI60&gt;0, $CK60&gt;0), 1, 0)</f>
        <v>0</v>
      </c>
      <c r="O60" s="604">
        <f>IF(OR($CL60&gt;0, $CN60&gt;0), 1, 0)</f>
        <v>0</v>
      </c>
      <c r="P60" s="604">
        <f>IF(OR($CO60&gt;0, $CQ60&gt;0), 1, 0)</f>
        <v>0</v>
      </c>
      <c r="Q60" s="604">
        <f>IF(OR($CR60&gt;0, $CT60&gt;0), 1, 0)</f>
        <v>0</v>
      </c>
      <c r="R60" s="604">
        <f>IF(OR($CU60&gt;0, $CW60&gt;0), 1, 0)</f>
        <v>0</v>
      </c>
      <c r="S60" s="604">
        <f>IF(OR($CX60&gt;0, $CZ60&gt;0), 1, 0)</f>
        <v>0</v>
      </c>
      <c r="T60" s="604">
        <f>IF(OR($DA60&gt;0, $DC60&gt;0), 1, 0)</f>
        <v>0</v>
      </c>
      <c r="U60" s="603">
        <f>IF(OR($AI60&gt;0,$AM60&gt;0,$AS60&gt;0), 1, 0)</f>
        <v>0</v>
      </c>
      <c r="V60" s="602">
        <f>[1]BDD!A50</f>
        <v>1537</v>
      </c>
      <c r="W60" s="601" t="str">
        <f>[1]BDD!B50</f>
        <v>Carotte déshydratée BIO</v>
      </c>
      <c r="X60" s="600" t="str">
        <f>IF([1]BDD!F50=0, "", [1]BDD!F50)</f>
        <v/>
      </c>
      <c r="Y60" s="542">
        <f>ROUND([1]BDD!G50+FDP_CMD_KG, 2)</f>
        <v>22.57</v>
      </c>
      <c r="Z60" s="542">
        <f>ROUND([1]BDD!G50+FDP_FACT_KG, 2)</f>
        <v>22.57</v>
      </c>
      <c r="AA60" s="543" t="str">
        <f>[1]BDD!H50</f>
        <v>kg</v>
      </c>
      <c r="AB60" s="544" t="str">
        <f>IF(NOT(ISBLANK([1]BDD!I50)), ROUND(SUM(([1]BDD!G50*reduc1),FDP_CMD_KG), 2), "")</f>
        <v/>
      </c>
      <c r="AC60" s="544" t="str">
        <f>IF(NOT(ISBLANK([1]BDD!J50)), ROUND(SUM(([1]BDD!G50*reduc2),FDP_CMD_KG), 2), "")</f>
        <v/>
      </c>
      <c r="AD60" s="544" t="str">
        <f>IF(NOT(ISBLANK([1]BDD!K50)), ROUND(SUM(([1]BDD!G50*reduc3),FDP_CMD_KG), 2), "")</f>
        <v/>
      </c>
      <c r="AE60" s="544" t="str">
        <f>IF(NOT(ISBLANK([1]BDD!I50)), ROUND(SUM(([1]BDD!G50*reduc1),FDP_FACT_KG), 2), "")</f>
        <v/>
      </c>
      <c r="AF60" s="544" t="str">
        <f>IF(NOT(ISBLANK([1]BDD!J50)), ROUND(SUM(([1]BDD!G50*reduc2),FDP_FACT_KG), 2), "")</f>
        <v/>
      </c>
      <c r="AG60" s="544" t="str">
        <f>IF(NOT(ISBLANK([1]BDD!K50)), ROUND(SUM(([1]BDD!G50*reduc3),FDP_FACT_KG), 2), "")</f>
        <v/>
      </c>
      <c r="AH60" s="599" t="str">
        <f>[1]BDD!C50</f>
        <v>Grenade</v>
      </c>
      <c r="AI60" s="598">
        <f>SUM(AV60,AY60,BB60,BE60,BH60,BK60,BN60,BQ60,BT60,BW60,BZ60,CC60,CF60,CI60,CL60,CO60,CR60,CU60,CX60,DA60)</f>
        <v>0</v>
      </c>
      <c r="AJ60" s="545">
        <f>_xlfn.IFS($AD60&lt;&gt;"", $AD60,    $AC60&lt;&gt;"", $AC60,    $AB60&lt;&gt;"", $AB60,    TRUE, $Y60)</f>
        <v>22.57</v>
      </c>
      <c r="AK60" s="592">
        <f>$AI60*$AJ60</f>
        <v>0</v>
      </c>
      <c r="AL60" s="594"/>
      <c r="AM60" s="597"/>
      <c r="AN60" s="545">
        <f>_xlfn.IFS(AND(AM60&gt;=60,$AG60&lt;&gt;""), $AG60,    AND(AM60&gt;=30,$AF60&lt;&gt;""), $AF60,    AND(AM60&gt;=10,$AE60&lt;&gt;""), $AE60,    TRUE, $Z60)</f>
        <v>22.57</v>
      </c>
      <c r="AO60" s="596">
        <f>AM60*AN60</f>
        <v>0</v>
      </c>
      <c r="AP60" s="595"/>
      <c r="AQ60" s="595"/>
      <c r="AR60" s="594"/>
      <c r="AS60" s="593">
        <f>SUM(AW60,AZ60,BC60,BF60,BI60,BL60,BO60,BR60,BU60,BX60,CA60,CD60,CG60,CJ60,CM60,CP60,CS60,CV60,CY60,DB60)</f>
        <v>0</v>
      </c>
      <c r="AT60" s="545">
        <f>_xlfn.IFS(AND(AS60&gt;=60,$AG60&lt;&gt;""), $AG60,    AND(AS60&gt;=30,$AF60&lt;&gt;""), $AF60,    AND(AS60&gt;=10,$AE60&lt;&gt;""), $AE60,    TRUE, $Z60)</f>
        <v>22.57</v>
      </c>
      <c r="AU60" s="592">
        <f>$AS60*$AT60</f>
        <v>0</v>
      </c>
      <c r="AV60" s="591">
        <f>[1]COMMANDE!O58</f>
        <v>0</v>
      </c>
      <c r="AW60" s="586" t="str">
        <f>_xlfn.IFS(AND($AI60=$AM60,$AI60&gt;0,$AM60&gt;0,AV60&gt;0), AV60,     AND(NOT($AI60=$AM60),$AI60&gt;0,$AM60&gt;0,AV60&gt;0), ($AM60*AV60)/$AI60,     AND($AI60=0,$AM60&gt;0,$AQ60&gt;0), IF(INDEX(AV$12:AV$263,MATCH($AQ60,$AP$12:$AP$263,0))&gt;0,($AM60*INDEX(AV$12:AV$263,MATCH($AQ60,$AP$12:$AP$263,0)))/INDEX($AI$12:$AI$263,MATCH($AQ60,$AP$12:$AP$263,0)), "-"),     TRUE, "0")</f>
        <v>0</v>
      </c>
      <c r="AX60" s="588">
        <f>IF(AW$9&gt;0, IF(OR(AW60="",AW60="-"), 0, AW60*$AT60), AV60*$AJ60)</f>
        <v>0</v>
      </c>
      <c r="AY60" s="587">
        <f>[1]COMMANDE!Q58</f>
        <v>0</v>
      </c>
      <c r="AZ60" s="586" t="str">
        <f>_xlfn.IFS(AND($AI60=$AM60,$AI60&gt;0,$AM60&gt;0,AY60&gt;0), AY60,     AND(NOT($AI60=$AM60),$AI60&gt;0,$AM60&gt;0,AY60&gt;0), ($AM60*AY60)/$AI60,     AND($AI60=0,$AM60&gt;0,$AQ60&gt;0), IF(INDEX(AY$12:AY$263,MATCH($AQ60,$AP$12:$AP$263,0))&gt;0,($AM60*INDEX(AY$12:AY$263,MATCH($AQ60,$AP$12:$AP$263,0)))/INDEX($AI$12:$AI$263,MATCH($AQ60,$AP$12:$AP$263,0)), "-"),     TRUE, "0")</f>
        <v>0</v>
      </c>
      <c r="BA60" s="607">
        <f>IF(AZ$9&gt;0, IF(OR(AZ60="",AZ60="-"), 0, AZ60*$AT60), AY60*$AJ60)</f>
        <v>0</v>
      </c>
      <c r="BB60" s="589">
        <f>[1]COMMANDE!S58</f>
        <v>0</v>
      </c>
      <c r="BC60" s="586" t="str">
        <f>_xlfn.IFS(AND($AI60=$AM60,$AI60&gt;0,$AM60&gt;0,BB60&gt;0), BB60,     AND(NOT($AI60=$AM60),$AI60&gt;0,$AM60&gt;0,BB60&gt;0), ($AM60*BB60)/$AI60,     AND($AI60=0,$AM60&gt;0,$AQ60&gt;0), IF(INDEX(BB$12:BB$263,MATCH($AQ60,$AP$12:$AP$263,0))&gt;0,($AM60*INDEX(BB$12:BB$263,MATCH($AQ60,$AP$12:$AP$263,0)))/INDEX($AI$12:$AI$263,MATCH($AQ60,$AP$12:$AP$263,0)), "-"),     TRUE, "0")</f>
        <v>0</v>
      </c>
      <c r="BD60" s="588">
        <f>IF(BC$9&gt;0, IF(OR(BC60="",BC60="-"), 0, BC60*$AT60), BB60*$AJ60)</f>
        <v>0</v>
      </c>
      <c r="BE60" s="587">
        <f>[1]COMMANDE!U58</f>
        <v>0</v>
      </c>
      <c r="BF60" s="586" t="str">
        <f>_xlfn.IFS(AND($AI60=$AM60,$AI60&gt;0,$AM60&gt;0,BE60&gt;0), BE60,     AND(NOT($AI60=$AM60),$AI60&gt;0,$AM60&gt;0,BE60&gt;0), ($AM60*BE60)/$AI60,     AND($AI60=0,$AM60&gt;0,$AQ60&gt;0), IF(INDEX(BE$12:BE$263,MATCH($AQ60,$AP$12:$AP$263,0))&gt;0,($AM60*INDEX(BE$12:BE$263,MATCH($AQ60,$AP$12:$AP$263,0)))/INDEX($AI$12:$AI$263,MATCH($AQ60,$AP$12:$AP$263,0)), "-"),     TRUE, "0")</f>
        <v>0</v>
      </c>
      <c r="BG60" s="607">
        <f>IF(BF$9&gt;0, IF(OR(BF60="",BF60="-"), 0, BF60*$AT60), BE60*$AJ60)</f>
        <v>0</v>
      </c>
      <c r="BH60" s="589">
        <f>[1]COMMANDE!W58</f>
        <v>0</v>
      </c>
      <c r="BI60" s="586" t="str">
        <f>_xlfn.IFS(AND($AI60=$AM60,$AI60&gt;0,$AM60&gt;0,BH60&gt;0), BH60,     AND(NOT($AI60=$AM60),$AI60&gt;0,$AM60&gt;0,BH60&gt;0), ($AM60*BH60)/$AI60,     AND($AI60=0,$AM60&gt;0,$AQ60&gt;0), IF(INDEX(BH$12:BH$263,MATCH($AQ60,$AP$12:$AP$263,0))&gt;0,($AM60*INDEX(BH$12:BH$263,MATCH($AQ60,$AP$12:$AP$263,0)))/INDEX($AI$12:$AI$263,MATCH($AQ60,$AP$12:$AP$263,0)), "-"),     TRUE, "0")</f>
        <v>0</v>
      </c>
      <c r="BJ60" s="588">
        <f>IF(BI$9&gt;0, IF(OR(BI60="",BI60="-"), 0, BI60*$AT60), BH60*$AJ60)</f>
        <v>0</v>
      </c>
      <c r="BK60" s="587">
        <f>[1]COMMANDE!Y58</f>
        <v>0</v>
      </c>
      <c r="BL60" s="586" t="str">
        <f>_xlfn.IFS(AND($AI60=$AM60,$AI60&gt;0,$AM60&gt;0,BK60&gt;0), BK60,     AND(NOT($AI60=$AM60),$AI60&gt;0,$AM60&gt;0,BK60&gt;0), ($AM60*BK60)/$AI60,     AND($AI60=0,$AM60&gt;0,$AQ60&gt;0), IF(INDEX(BK$12:BK$263,MATCH($AQ60,$AP$12:$AP$263,0))&gt;0,($AM60*INDEX(BK$12:BK$263,MATCH($AQ60,$AP$12:$AP$263,0)))/INDEX($AI$12:$AI$263,MATCH($AQ60,$AP$12:$AP$263,0)), "-"),     TRUE, "0")</f>
        <v>0</v>
      </c>
      <c r="BM60" s="607">
        <f>IF(BL$9&gt;0, IF(OR(BL60="",BL60="-"), 0, BL60*$AT60), BK60*$AJ60)</f>
        <v>0</v>
      </c>
      <c r="BN60" s="589">
        <f>[1]COMMANDE!AA58</f>
        <v>0</v>
      </c>
      <c r="BO60" s="586" t="str">
        <f>_xlfn.IFS(AND($AI60=$AM60,$AI60&gt;0,$AM60&gt;0,BN60&gt;0), BN60,     AND(NOT($AI60=$AM60),$AI60&gt;0,$AM60&gt;0,BN60&gt;0), ($AM60*BN60)/$AI60,     AND($AI60=0,$AM60&gt;0,$AQ60&gt;0), IF(INDEX(BN$12:BN$263,MATCH($AQ60,$AP$12:$AP$263,0))&gt;0,($AM60*INDEX(BN$12:BN$263,MATCH($AQ60,$AP$12:$AP$263,0)))/INDEX($AI$12:$AI$263,MATCH($AQ60,$AP$12:$AP$263,0)), "-"),     TRUE, "0")</f>
        <v>0</v>
      </c>
      <c r="BP60" s="588">
        <f>IF(BO$9&gt;0, IF(OR(BO60="",BO60="-"), 0, BO60*$AT60), BN60*$AJ60)</f>
        <v>0</v>
      </c>
      <c r="BQ60" s="587">
        <f>[1]COMMANDE!AC58</f>
        <v>0</v>
      </c>
      <c r="BR60" s="586" t="str">
        <f>_xlfn.IFS(AND($AI60=$AM60,$AI60&gt;0,$AM60&gt;0,BQ60&gt;0), BQ60,     AND(NOT($AI60=$AM60),$AI60&gt;0,$AM60&gt;0,BQ60&gt;0), ($AM60*BQ60)/$AI60,     AND($AI60=0,$AM60&gt;0,$AQ60&gt;0), IF(INDEX(BQ$12:BQ$263,MATCH($AQ60,$AP$12:$AP$263,0))&gt;0,($AM60*INDEX(BQ$12:BQ$263,MATCH($AQ60,$AP$12:$AP$263,0)))/INDEX($AI$12:$AI$263,MATCH($AQ60,$AP$12:$AP$263,0)), "-"),     TRUE, "0")</f>
        <v>0</v>
      </c>
      <c r="BS60" s="607">
        <f>IF(BR$9&gt;0, IF(OR(BR60="",BR60="-"), 0, BR60*$AT60), BQ60*$AJ60)</f>
        <v>0</v>
      </c>
      <c r="BT60" s="589">
        <f>[1]COMMANDE!AE58</f>
        <v>0</v>
      </c>
      <c r="BU60" s="586" t="str">
        <f>_xlfn.IFS(AND($AI60=$AM60,$AI60&gt;0,$AM60&gt;0,BT60&gt;0), BT60,     AND(NOT($AI60=$AM60),$AI60&gt;0,$AM60&gt;0,BT60&gt;0), ($AM60*BT60)/$AI60,     AND($AI60=0,$AM60&gt;0,$AQ60&gt;0), IF(INDEX(BT$12:BT$263,MATCH($AQ60,$AP$12:$AP$263,0))&gt;0,($AM60*INDEX(BT$12:BT$263,MATCH($AQ60,$AP$12:$AP$263,0)))/INDEX($AI$12:$AI$263,MATCH($AQ60,$AP$12:$AP$263,0)), "-"),     TRUE, "0")</f>
        <v>0</v>
      </c>
      <c r="BV60" s="588">
        <f>IF(BU$9&gt;0, IF(OR(BU60="",BU60="-"), 0, BU60*$AT60), BT60*$AJ60)</f>
        <v>0</v>
      </c>
      <c r="BW60" s="587">
        <f>[1]COMMANDE!AG58</f>
        <v>0</v>
      </c>
      <c r="BX60" s="586" t="str">
        <f>_xlfn.IFS(AND($AI60=$AM60,$AI60&gt;0,$AM60&gt;0,BW60&gt;0), BW60,     AND(NOT($AI60=$AM60),$AI60&gt;0,$AM60&gt;0,BW60&gt;0), ($AM60*BW60)/$AI60,     AND($AI60=0,$AM60&gt;0,$AQ60&gt;0), IF(INDEX(BW$12:BW$263,MATCH($AQ60,$AP$12:$AP$263,0))&gt;0,($AM60*INDEX(BW$12:BW$263,MATCH($AQ60,$AP$12:$AP$263,0)))/INDEX($AI$12:$AI$263,MATCH($AQ60,$AP$12:$AP$263,0)), "-"),     TRUE, "0")</f>
        <v>0</v>
      </c>
      <c r="BY60" s="607">
        <f>IF(BX$9&gt;0, IF(OR(BX60="",BX60="-"), 0, BX60*$AT60), BW60*$AJ60)</f>
        <v>0</v>
      </c>
      <c r="BZ60" s="589">
        <f>[1]COMMANDE!AI58</f>
        <v>0</v>
      </c>
      <c r="CA60" s="586" t="str">
        <f>_xlfn.IFS(AND($AI60=$AM60,$AI60&gt;0,$AM60&gt;0,BZ60&gt;0), BZ60,     AND(NOT($AI60=$AM60),$AI60&gt;0,$AM60&gt;0,BZ60&gt;0), ($AM60*BZ60)/$AI60,     AND($AI60=0,$AM60&gt;0,$AQ60&gt;0), IF(INDEX(BZ$12:BZ$263,MATCH($AQ60,$AP$12:$AP$263,0))&gt;0,($AM60*INDEX(BZ$12:BZ$263,MATCH($AQ60,$AP$12:$AP$263,0)))/INDEX($AI$12:$AI$263,MATCH($AQ60,$AP$12:$AP$263,0)), "-"),     TRUE, "0")</f>
        <v>0</v>
      </c>
      <c r="CB60" s="588">
        <f>IF(CA$9&gt;0, IF(OR(CA60="",CA60="-"), 0, CA60*$AT60), BZ60*$AJ60)</f>
        <v>0</v>
      </c>
      <c r="CC60" s="587">
        <f>[1]COMMANDE!AK58</f>
        <v>0</v>
      </c>
      <c r="CD60" s="586" t="str">
        <f>_xlfn.IFS(AND($AI60=$AM60,$AI60&gt;0,$AM60&gt;0,CC60&gt;0), CC60,     AND(NOT($AI60=$AM60),$AI60&gt;0,$AM60&gt;0,CC60&gt;0), ($AM60*CC60)/$AI60,     AND($AI60=0,$AM60&gt;0,$AQ60&gt;0), IF(INDEX(CC$12:CC$263,MATCH($AQ60,$AP$12:$AP$263,0))&gt;0,($AM60*INDEX(CC$12:CC$263,MATCH($AQ60,$AP$12:$AP$263,0)))/INDEX($AI$12:$AI$263,MATCH($AQ60,$AP$12:$AP$263,0)), "-"),     TRUE, "0")</f>
        <v>0</v>
      </c>
      <c r="CE60" s="607">
        <f>IF(CD$9&gt;0, IF(OR(CD60="",CD60="-"), 0, CD60*$AT60), CC60*$AJ60)</f>
        <v>0</v>
      </c>
      <c r="CF60" s="589">
        <f>[1]COMMANDE!AM58</f>
        <v>0</v>
      </c>
      <c r="CG60" s="586" t="str">
        <f>_xlfn.IFS(AND($AI60=$AM60,$AI60&gt;0,$AM60&gt;0,CF60&gt;0), CF60,     AND(NOT($AI60=$AM60),$AI60&gt;0,$AM60&gt;0,CF60&gt;0), ($AM60*CF60)/$AI60,     AND($AI60=0,$AM60&gt;0,$AQ60&gt;0), IF(INDEX(CF$12:CF$263,MATCH($AQ60,$AP$12:$AP$263,0))&gt;0,($AM60*INDEX(CF$12:CF$263,MATCH($AQ60,$AP$12:$AP$263,0)))/INDEX($AI$12:$AI$263,MATCH($AQ60,$AP$12:$AP$263,0)), "-"),     TRUE, "0")</f>
        <v>0</v>
      </c>
      <c r="CH60" s="588">
        <f>IF(CG$9&gt;0, IF(OR(CG60="",CG60="-"), 0, CG60*$AT60), CF60*$AJ60)</f>
        <v>0</v>
      </c>
      <c r="CI60" s="587">
        <f>[1]COMMANDE!AO58</f>
        <v>0</v>
      </c>
      <c r="CJ60" s="586" t="str">
        <f>_xlfn.IFS(AND($AI60=$AM60,$AI60&gt;0,$AM60&gt;0,CI60&gt;0), CI60,     AND(NOT($AI60=$AM60),$AI60&gt;0,$AM60&gt;0,CI60&gt;0), ($AM60*CI60)/$AI60,     AND($AI60=0,$AM60&gt;0,$AQ60&gt;0), IF(INDEX(CI$12:CI$263,MATCH($AQ60,$AP$12:$AP$263,0))&gt;0,($AM60*INDEX(CI$12:CI$263,MATCH($AQ60,$AP$12:$AP$263,0)))/INDEX($AI$12:$AI$263,MATCH($AQ60,$AP$12:$AP$263,0)), "-"),     TRUE, "0")</f>
        <v>0</v>
      </c>
      <c r="CK60" s="607">
        <f>IF(CJ$9&gt;0, IF(OR(CJ60="",CJ60="-"), 0, CJ60*$AT60), CI60*$AJ60)</f>
        <v>0</v>
      </c>
      <c r="CL60" s="589">
        <f>[1]COMMANDE!AQ58</f>
        <v>0</v>
      </c>
      <c r="CM60" s="586" t="str">
        <f>_xlfn.IFS(AND($AI60=$AM60,$AI60&gt;0,$AM60&gt;0,CL60&gt;0), CL60,     AND(NOT($AI60=$AM60),$AI60&gt;0,$AM60&gt;0,CL60&gt;0), ($AM60*CL60)/$AI60,     AND($AI60=0,$AM60&gt;0,$AQ60&gt;0), IF(INDEX(CL$12:CL$263,MATCH($AQ60,$AP$12:$AP$263,0))&gt;0,($AM60*INDEX(CL$12:CL$263,MATCH($AQ60,$AP$12:$AP$263,0)))/INDEX($AI$12:$AI$263,MATCH($AQ60,$AP$12:$AP$263,0)), "-"),     TRUE, "0")</f>
        <v>0</v>
      </c>
      <c r="CN60" s="588">
        <f>IF(CM$9&gt;0, IF(OR(CM60="",CM60="-"), 0, CM60*$AT60), CL60*$AJ60)</f>
        <v>0</v>
      </c>
      <c r="CO60" s="587">
        <f>[1]COMMANDE!AS58</f>
        <v>0</v>
      </c>
      <c r="CP60" s="586" t="str">
        <f>_xlfn.IFS(AND($AI60=$AM60,$AI60&gt;0,$AM60&gt;0,CO60&gt;0), CO60,     AND(NOT($AI60=$AM60),$AI60&gt;0,$AM60&gt;0,CO60&gt;0), ($AM60*CO60)/$AI60,     AND($AI60=0,$AM60&gt;0,$AQ60&gt;0), IF(INDEX(CO$12:CO$263,MATCH($AQ60,$AP$12:$AP$263,0))&gt;0,($AM60*INDEX(CO$12:CO$263,MATCH($AQ60,$AP$12:$AP$263,0)))/INDEX($AI$12:$AI$263,MATCH($AQ60,$AP$12:$AP$263,0)), "-"),     TRUE, "0")</f>
        <v>0</v>
      </c>
      <c r="CQ60" s="607">
        <f>IF(CP$9&gt;0, IF(OR(CP60="",CP60="-"), 0, CP60*$AT60), CO60*$AJ60)</f>
        <v>0</v>
      </c>
      <c r="CR60" s="589">
        <f>[1]COMMANDE!AU58</f>
        <v>0</v>
      </c>
      <c r="CS60" s="586" t="str">
        <f>_xlfn.IFS(AND($AI60=$AM60,$AI60&gt;0,$AM60&gt;0,CR60&gt;0), CR60,     AND(NOT($AI60=$AM60),$AI60&gt;0,$AM60&gt;0,CR60&gt;0), ($AM60*CR60)/$AI60,     AND($AI60=0,$AM60&gt;0,$AQ60&gt;0), IF(INDEX(CR$12:CR$263,MATCH($AQ60,$AP$12:$AP$263,0))&gt;0,($AM60*INDEX(CR$12:CR$263,MATCH($AQ60,$AP$12:$AP$263,0)))/INDEX($AI$12:$AI$263,MATCH($AQ60,$AP$12:$AP$263,0)), "-"),     TRUE, "0")</f>
        <v>0</v>
      </c>
      <c r="CT60" s="588">
        <f>IF(CS$9&gt;0, IF(OR(CS60="",CS60="-"), 0, CS60*$AT60), CR60*$AJ60)</f>
        <v>0</v>
      </c>
      <c r="CU60" s="587">
        <f>[1]COMMANDE!AW58</f>
        <v>0</v>
      </c>
      <c r="CV60" s="586" t="str">
        <f>_xlfn.IFS(AND($AI60=$AM60,$AI60&gt;0,$AM60&gt;0,CU60&gt;0), CU60,     AND(NOT($AI60=$AM60),$AI60&gt;0,$AM60&gt;0,CU60&gt;0), ($AM60*CU60)/$AI60,     AND($AI60=0,$AM60&gt;0,$AQ60&gt;0), IF(INDEX(CU$12:CU$263,MATCH($AQ60,$AP$12:$AP$263,0))&gt;0,($AM60*INDEX(CU$12:CU$263,MATCH($AQ60,$AP$12:$AP$263,0)))/INDEX($AI$12:$AI$263,MATCH($AQ60,$AP$12:$AP$263,0)), "-"),     TRUE, "0")</f>
        <v>0</v>
      </c>
      <c r="CW60" s="607">
        <f>IF(CV$9&gt;0, IF(OR(CV60="",CV60="-"), 0, CV60*$AT60), CU60*$AJ60)</f>
        <v>0</v>
      </c>
      <c r="CX60" s="589">
        <f>[1]COMMANDE!AY58</f>
        <v>0</v>
      </c>
      <c r="CY60" s="586" t="str">
        <f>_xlfn.IFS(AND($AI60=$AM60,$AI60&gt;0,$AM60&gt;0,CX60&gt;0), CX60,     AND(NOT($AI60=$AM60),$AI60&gt;0,$AM60&gt;0,CX60&gt;0), ($AM60*CX60)/$AI60,     AND($AI60=0,$AM60&gt;0,$AQ60&gt;0), IF(INDEX(CX$12:CX$263,MATCH($AQ60,$AP$12:$AP$263,0))&gt;0,($AM60*INDEX(CX$12:CX$263,MATCH($AQ60,$AP$12:$AP$263,0)))/INDEX($AI$12:$AI$263,MATCH($AQ60,$AP$12:$AP$263,0)), "-"),     TRUE, "0")</f>
        <v>0</v>
      </c>
      <c r="CZ60" s="588">
        <f>IF(CY$9&gt;0, IF(OR(CY60="",CY60="-"), 0, CY60*$AT60), CX60*$AJ60)</f>
        <v>0</v>
      </c>
      <c r="DA60" s="587">
        <f>[1]COMMANDE!BA58</f>
        <v>0</v>
      </c>
      <c r="DB60" s="586" t="str">
        <f>_xlfn.IFS(AND($AI60=$AM60,$AI60&gt;0,$AM60&gt;0,DA60&gt;0), DA60,     AND(NOT($AI60=$AM60),$AI60&gt;0,$AM60&gt;0,DA60&gt;0), ($AM60*DA60)/$AI60,     AND($AI60=0,$AM60&gt;0,$AQ60&gt;0), IF(INDEX(DA$12:DA$263,MATCH($AQ60,$AP$12:$AP$263,0))&gt;0,($AM60*INDEX(DA$12:DA$263,MATCH($AQ60,$AP$12:$AP$263,0)))/INDEX($AI$12:$AI$263,MATCH($AQ60,$AP$12:$AP$263,0)), "-"),     TRUE, "0")</f>
        <v>0</v>
      </c>
      <c r="DC60" s="606">
        <f>IF(DB$9&gt;0, IF(OR(DB60="",DB60="-"), 0, DB60*$AT60), DA60*$AJ60)</f>
        <v>0</v>
      </c>
      <c r="DD60" s="584"/>
      <c r="DE60" s="583"/>
    </row>
    <row r="61" spans="1:109" ht="39.950000000000003" customHeight="1">
      <c r="A61" s="604">
        <f>IF(OR($AV61&gt;0, $AX61&gt;0), 1, 0)</f>
        <v>1</v>
      </c>
      <c r="B61" s="604">
        <f>IF(OR($AY61&gt;0, $BA61&gt;0), 1, 0)</f>
        <v>0</v>
      </c>
      <c r="C61" s="604">
        <f>IF(OR($BB61&gt;0, $BD61&gt;0), 1, 0)</f>
        <v>0</v>
      </c>
      <c r="D61" s="604">
        <f>IF(OR($BE61&gt;0, $BG61&gt;0), 1, 0)</f>
        <v>0</v>
      </c>
      <c r="E61" s="604">
        <f>IF(OR($BH61&gt;0, $BJ61&gt;0), 1, 0)</f>
        <v>0</v>
      </c>
      <c r="F61" s="604">
        <f>IF(OR($BK61&gt;0, $BM61&gt;0), 1, 0)</f>
        <v>0</v>
      </c>
      <c r="G61" s="604">
        <f>IF(OR($BN61&gt;0, $BP61&gt;0), 1, 0)</f>
        <v>0</v>
      </c>
      <c r="H61" s="604">
        <f>IF(OR($BQ61&gt;0, $BS61&gt;0), 1, 0)</f>
        <v>0</v>
      </c>
      <c r="I61" s="604">
        <f>IF(OR($BT61&gt;0, $BV61&gt;0), 1, 0)</f>
        <v>0</v>
      </c>
      <c r="J61" s="604">
        <f>IF(OR($BW61&gt;0, $BY61&gt;0), 1, 0)</f>
        <v>0</v>
      </c>
      <c r="K61" s="604">
        <f>IF(OR($BZ61&gt;0, $CB61&gt;0), 1, 0)</f>
        <v>0</v>
      </c>
      <c r="L61" s="604">
        <f>IF(OR($CC61&gt;0, $CE61&gt;0), 1, 0)</f>
        <v>0</v>
      </c>
      <c r="M61" s="604">
        <f>IF(OR($CF61&gt;0, $CH61&gt;0), 1, 0)</f>
        <v>0</v>
      </c>
      <c r="N61" s="604">
        <f>IF(OR($CI61&gt;0, $CK61&gt;0), 1, 0)</f>
        <v>0</v>
      </c>
      <c r="O61" s="604">
        <f>IF(OR($CL61&gt;0, $CN61&gt;0), 1, 0)</f>
        <v>0</v>
      </c>
      <c r="P61" s="604">
        <f>IF(OR($CO61&gt;0, $CQ61&gt;0), 1, 0)</f>
        <v>0</v>
      </c>
      <c r="Q61" s="604">
        <f>IF(OR($CR61&gt;0, $CT61&gt;0), 1, 0)</f>
        <v>0</v>
      </c>
      <c r="R61" s="604">
        <f>IF(OR($CU61&gt;0, $CW61&gt;0), 1, 0)</f>
        <v>0</v>
      </c>
      <c r="S61" s="604">
        <f>IF(OR($CX61&gt;0, $CZ61&gt;0), 1, 0)</f>
        <v>0</v>
      </c>
      <c r="T61" s="604">
        <f>IF(OR($DA61&gt;0, $DC61&gt;0), 1, 0)</f>
        <v>0</v>
      </c>
      <c r="U61" s="603">
        <f>IF(OR($AI61&gt;0,$AM61&gt;0,$AS61&gt;0), 1, 0)</f>
        <v>1</v>
      </c>
      <c r="V61" s="602">
        <f>[1]BDD!A51</f>
        <v>3017</v>
      </c>
      <c r="W61" s="601" t="str">
        <f>[1]BDD!B51</f>
        <v>Carotte sans fane</v>
      </c>
      <c r="X61" s="600" t="str">
        <f>IF([1]BDD!F51=0, "", [1]BDD!F51)</f>
        <v/>
      </c>
      <c r="Y61" s="542">
        <f>ROUND([1]BDD!G51+FDP_CMD_KG, 2)</f>
        <v>2.77</v>
      </c>
      <c r="Z61" s="542">
        <f>ROUND([1]BDD!G51+FDP_FACT_KG, 2)</f>
        <v>2.77</v>
      </c>
      <c r="AA61" s="543" t="str">
        <f>[1]BDD!H51</f>
        <v>kg</v>
      </c>
      <c r="AB61" s="544">
        <f>IF(NOT(ISBLANK([1]BDD!I51)), ROUND(SUM(([1]BDD!G51*reduc1),FDP_CMD_KG), 2), "")</f>
        <v>2.58</v>
      </c>
      <c r="AC61" s="544">
        <f>IF(NOT(ISBLANK([1]BDD!J51)), ROUND(SUM(([1]BDD!G51*reduc2),FDP_CMD_KG), 2), "")</f>
        <v>2.39</v>
      </c>
      <c r="AD61" s="544">
        <f>IF(NOT(ISBLANK([1]BDD!K51)), ROUND(SUM(([1]BDD!G51*reduc3),FDP_CMD_KG), 2), "")</f>
        <v>2.2000000000000002</v>
      </c>
      <c r="AE61" s="544">
        <f>IF(NOT(ISBLANK([1]BDD!I51)), ROUND(SUM(([1]BDD!G51*reduc1),FDP_FACT_KG), 2), "")</f>
        <v>2.58</v>
      </c>
      <c r="AF61" s="544">
        <f>IF(NOT(ISBLANK([1]BDD!J51)), ROUND(SUM(([1]BDD!G51*reduc2),FDP_FACT_KG), 2), "")</f>
        <v>2.39</v>
      </c>
      <c r="AG61" s="544">
        <f>IF(NOT(ISBLANK([1]BDD!K51)), ROUND(SUM(([1]BDD!G51*reduc3),FDP_FACT_KG), 2), "")</f>
        <v>2.2000000000000002</v>
      </c>
      <c r="AH61" s="599" t="str">
        <f>[1]BDD!C51</f>
        <v>Grenade</v>
      </c>
      <c r="AI61" s="598">
        <f>SUM(AV61,AY61,BB61,BE61,BH61,BK61,BN61,BQ61,BT61,BW61,BZ61,CC61,CF61,CI61,CL61,CO61,CR61,CU61,CX61,DA61)</f>
        <v>10</v>
      </c>
      <c r="AJ61" s="545">
        <f>_xlfn.IFS($AD61&lt;&gt;"", $AD61,    $AC61&lt;&gt;"", $AC61,    $AB61&lt;&gt;"", $AB61,    TRUE, $Y61)</f>
        <v>2.2000000000000002</v>
      </c>
      <c r="AK61" s="592">
        <f>$AI61*$AJ61</f>
        <v>22</v>
      </c>
      <c r="AL61" s="594"/>
      <c r="AM61" s="597">
        <v>10</v>
      </c>
      <c r="AN61" s="545">
        <f>_xlfn.IFS(AND(AM61&gt;=60,$AG61&lt;&gt;""), $AG61,    AND(AM61&gt;=30,$AF61&lt;&gt;""), $AF61,    AND(AM61&gt;=10,$AE61&lt;&gt;""), $AE61,    TRUE, $Z61)</f>
        <v>2.58</v>
      </c>
      <c r="AO61" s="596">
        <f>AM61*AN61</f>
        <v>25.8</v>
      </c>
      <c r="AP61" s="595"/>
      <c r="AQ61" s="595"/>
      <c r="AR61" s="594"/>
      <c r="AS61" s="593">
        <f>SUM(AW61,AZ61,BC61,BF61,BI61,BL61,BO61,BR61,BU61,BX61,CA61,CD61,CG61,CJ61,CM61,CP61,CS61,CV61,CY61,DB61)</f>
        <v>10</v>
      </c>
      <c r="AT61" s="545">
        <f>_xlfn.IFS(AND(AS61&gt;=60,$AG61&lt;&gt;""), $AG61,    AND(AS61&gt;=30,$AF61&lt;&gt;""), $AF61,    AND(AS61&gt;=10,$AE61&lt;&gt;""), $AE61,    TRUE, $Z61)</f>
        <v>2.58</v>
      </c>
      <c r="AU61" s="592">
        <f>$AS61*$AT61</f>
        <v>25.8</v>
      </c>
      <c r="AV61" s="591">
        <f>[1]COMMANDE!O59</f>
        <v>10</v>
      </c>
      <c r="AW61" s="586">
        <f>_xlfn.IFS(AND($AI61=$AM61,$AI61&gt;0,$AM61&gt;0,AV61&gt;0), AV61,     AND(NOT($AI61=$AM61),$AI61&gt;0,$AM61&gt;0,AV61&gt;0), ($AM61*AV61)/$AI61,     AND($AI61=0,$AM61&gt;0,$AQ61&gt;0), IF(INDEX(AV$12:AV$263,MATCH($AQ61,$AP$12:$AP$263,0))&gt;0,($AM61*INDEX(AV$12:AV$263,MATCH($AQ61,$AP$12:$AP$263,0)))/INDEX($AI$12:$AI$263,MATCH($AQ61,$AP$12:$AP$263,0)), "-"),     TRUE, "0")</f>
        <v>10</v>
      </c>
      <c r="AX61" s="588">
        <f>IF(AW$9&gt;0, IF(OR(AW61="",AW61="-"), 0, AW61*$AT61), AV61*$AJ61)</f>
        <v>25.8</v>
      </c>
      <c r="AY61" s="587">
        <f>[1]COMMANDE!Q59</f>
        <v>0</v>
      </c>
      <c r="AZ61" s="586" t="str">
        <f>_xlfn.IFS(AND($AI61=$AM61,$AI61&gt;0,$AM61&gt;0,AY61&gt;0), AY61,     AND(NOT($AI61=$AM61),$AI61&gt;0,$AM61&gt;0,AY61&gt;0), ($AM61*AY61)/$AI61,     AND($AI61=0,$AM61&gt;0,$AQ61&gt;0), IF(INDEX(AY$12:AY$263,MATCH($AQ61,$AP$12:$AP$263,0))&gt;0,($AM61*INDEX(AY$12:AY$263,MATCH($AQ61,$AP$12:$AP$263,0)))/INDEX($AI$12:$AI$263,MATCH($AQ61,$AP$12:$AP$263,0)), "-"),     TRUE, "0")</f>
        <v>0</v>
      </c>
      <c r="BA61" s="607">
        <f>IF(AZ$9&gt;0, IF(OR(AZ61="",AZ61="-"), 0, AZ61*$AT61), AY61*$AJ61)</f>
        <v>0</v>
      </c>
      <c r="BB61" s="589">
        <f>[1]COMMANDE!S59</f>
        <v>0</v>
      </c>
      <c r="BC61" s="586" t="str">
        <f>_xlfn.IFS(AND($AI61=$AM61,$AI61&gt;0,$AM61&gt;0,BB61&gt;0), BB61,     AND(NOT($AI61=$AM61),$AI61&gt;0,$AM61&gt;0,BB61&gt;0), ($AM61*BB61)/$AI61,     AND($AI61=0,$AM61&gt;0,$AQ61&gt;0), IF(INDEX(BB$12:BB$263,MATCH($AQ61,$AP$12:$AP$263,0))&gt;0,($AM61*INDEX(BB$12:BB$263,MATCH($AQ61,$AP$12:$AP$263,0)))/INDEX($AI$12:$AI$263,MATCH($AQ61,$AP$12:$AP$263,0)), "-"),     TRUE, "0")</f>
        <v>0</v>
      </c>
      <c r="BD61" s="588">
        <f>IF(BC$9&gt;0, IF(OR(BC61="",BC61="-"), 0, BC61*$AT61), BB61*$AJ61)</f>
        <v>0</v>
      </c>
      <c r="BE61" s="587">
        <f>[1]COMMANDE!U59</f>
        <v>0</v>
      </c>
      <c r="BF61" s="586" t="str">
        <f>_xlfn.IFS(AND($AI61=$AM61,$AI61&gt;0,$AM61&gt;0,BE61&gt;0), BE61,     AND(NOT($AI61=$AM61),$AI61&gt;0,$AM61&gt;0,BE61&gt;0), ($AM61*BE61)/$AI61,     AND($AI61=0,$AM61&gt;0,$AQ61&gt;0), IF(INDEX(BE$12:BE$263,MATCH($AQ61,$AP$12:$AP$263,0))&gt;0,($AM61*INDEX(BE$12:BE$263,MATCH($AQ61,$AP$12:$AP$263,0)))/INDEX($AI$12:$AI$263,MATCH($AQ61,$AP$12:$AP$263,0)), "-"),     TRUE, "0")</f>
        <v>0</v>
      </c>
      <c r="BG61" s="607">
        <f>IF(BF$9&gt;0, IF(OR(BF61="",BF61="-"), 0, BF61*$AT61), BE61*$AJ61)</f>
        <v>0</v>
      </c>
      <c r="BH61" s="589">
        <f>[1]COMMANDE!W59</f>
        <v>0</v>
      </c>
      <c r="BI61" s="586" t="str">
        <f>_xlfn.IFS(AND($AI61=$AM61,$AI61&gt;0,$AM61&gt;0,BH61&gt;0), BH61,     AND(NOT($AI61=$AM61),$AI61&gt;0,$AM61&gt;0,BH61&gt;0), ($AM61*BH61)/$AI61,     AND($AI61=0,$AM61&gt;0,$AQ61&gt;0), IF(INDEX(BH$12:BH$263,MATCH($AQ61,$AP$12:$AP$263,0))&gt;0,($AM61*INDEX(BH$12:BH$263,MATCH($AQ61,$AP$12:$AP$263,0)))/INDEX($AI$12:$AI$263,MATCH($AQ61,$AP$12:$AP$263,0)), "-"),     TRUE, "0")</f>
        <v>0</v>
      </c>
      <c r="BJ61" s="588">
        <f>IF(BI$9&gt;0, IF(OR(BI61="",BI61="-"), 0, BI61*$AT61), BH61*$AJ61)</f>
        <v>0</v>
      </c>
      <c r="BK61" s="587">
        <f>[1]COMMANDE!Y59</f>
        <v>0</v>
      </c>
      <c r="BL61" s="586" t="str">
        <f>_xlfn.IFS(AND($AI61=$AM61,$AI61&gt;0,$AM61&gt;0,BK61&gt;0), BK61,     AND(NOT($AI61=$AM61),$AI61&gt;0,$AM61&gt;0,BK61&gt;0), ($AM61*BK61)/$AI61,     AND($AI61=0,$AM61&gt;0,$AQ61&gt;0), IF(INDEX(BK$12:BK$263,MATCH($AQ61,$AP$12:$AP$263,0))&gt;0,($AM61*INDEX(BK$12:BK$263,MATCH($AQ61,$AP$12:$AP$263,0)))/INDEX($AI$12:$AI$263,MATCH($AQ61,$AP$12:$AP$263,0)), "-"),     TRUE, "0")</f>
        <v>0</v>
      </c>
      <c r="BM61" s="607">
        <f>IF(BL$9&gt;0, IF(OR(BL61="",BL61="-"), 0, BL61*$AT61), BK61*$AJ61)</f>
        <v>0</v>
      </c>
      <c r="BN61" s="589">
        <f>[1]COMMANDE!AA59</f>
        <v>0</v>
      </c>
      <c r="BO61" s="586" t="str">
        <f>_xlfn.IFS(AND($AI61=$AM61,$AI61&gt;0,$AM61&gt;0,BN61&gt;0), BN61,     AND(NOT($AI61=$AM61),$AI61&gt;0,$AM61&gt;0,BN61&gt;0), ($AM61*BN61)/$AI61,     AND($AI61=0,$AM61&gt;0,$AQ61&gt;0), IF(INDEX(BN$12:BN$263,MATCH($AQ61,$AP$12:$AP$263,0))&gt;0,($AM61*INDEX(BN$12:BN$263,MATCH($AQ61,$AP$12:$AP$263,0)))/INDEX($AI$12:$AI$263,MATCH($AQ61,$AP$12:$AP$263,0)), "-"),     TRUE, "0")</f>
        <v>0</v>
      </c>
      <c r="BP61" s="588">
        <f>IF(BO$9&gt;0, IF(OR(BO61="",BO61="-"), 0, BO61*$AT61), BN61*$AJ61)</f>
        <v>0</v>
      </c>
      <c r="BQ61" s="587">
        <f>[1]COMMANDE!AC59</f>
        <v>0</v>
      </c>
      <c r="BR61" s="586" t="str">
        <f>_xlfn.IFS(AND($AI61=$AM61,$AI61&gt;0,$AM61&gt;0,BQ61&gt;0), BQ61,     AND(NOT($AI61=$AM61),$AI61&gt;0,$AM61&gt;0,BQ61&gt;0), ($AM61*BQ61)/$AI61,     AND($AI61=0,$AM61&gt;0,$AQ61&gt;0), IF(INDEX(BQ$12:BQ$263,MATCH($AQ61,$AP$12:$AP$263,0))&gt;0,($AM61*INDEX(BQ$12:BQ$263,MATCH($AQ61,$AP$12:$AP$263,0)))/INDEX($AI$12:$AI$263,MATCH($AQ61,$AP$12:$AP$263,0)), "-"),     TRUE, "0")</f>
        <v>0</v>
      </c>
      <c r="BS61" s="607">
        <f>IF(BR$9&gt;0, IF(OR(BR61="",BR61="-"), 0, BR61*$AT61), BQ61*$AJ61)</f>
        <v>0</v>
      </c>
      <c r="BT61" s="589">
        <f>[1]COMMANDE!AE59</f>
        <v>0</v>
      </c>
      <c r="BU61" s="586" t="str">
        <f>_xlfn.IFS(AND($AI61=$AM61,$AI61&gt;0,$AM61&gt;0,BT61&gt;0), BT61,     AND(NOT($AI61=$AM61),$AI61&gt;0,$AM61&gt;0,BT61&gt;0), ($AM61*BT61)/$AI61,     AND($AI61=0,$AM61&gt;0,$AQ61&gt;0), IF(INDEX(BT$12:BT$263,MATCH($AQ61,$AP$12:$AP$263,0))&gt;0,($AM61*INDEX(BT$12:BT$263,MATCH($AQ61,$AP$12:$AP$263,0)))/INDEX($AI$12:$AI$263,MATCH($AQ61,$AP$12:$AP$263,0)), "-"),     TRUE, "0")</f>
        <v>0</v>
      </c>
      <c r="BV61" s="588">
        <f>IF(BU$9&gt;0, IF(OR(BU61="",BU61="-"), 0, BU61*$AT61), BT61*$AJ61)</f>
        <v>0</v>
      </c>
      <c r="BW61" s="587">
        <f>[1]COMMANDE!AG59</f>
        <v>0</v>
      </c>
      <c r="BX61" s="586" t="str">
        <f>_xlfn.IFS(AND($AI61=$AM61,$AI61&gt;0,$AM61&gt;0,BW61&gt;0), BW61,     AND(NOT($AI61=$AM61),$AI61&gt;0,$AM61&gt;0,BW61&gt;0), ($AM61*BW61)/$AI61,     AND($AI61=0,$AM61&gt;0,$AQ61&gt;0), IF(INDEX(BW$12:BW$263,MATCH($AQ61,$AP$12:$AP$263,0))&gt;0,($AM61*INDEX(BW$12:BW$263,MATCH($AQ61,$AP$12:$AP$263,0)))/INDEX($AI$12:$AI$263,MATCH($AQ61,$AP$12:$AP$263,0)), "-"),     TRUE, "0")</f>
        <v>0</v>
      </c>
      <c r="BY61" s="607">
        <f>IF(BX$9&gt;0, IF(OR(BX61="",BX61="-"), 0, BX61*$AT61), BW61*$AJ61)</f>
        <v>0</v>
      </c>
      <c r="BZ61" s="589">
        <f>[1]COMMANDE!AI59</f>
        <v>0</v>
      </c>
      <c r="CA61" s="586" t="str">
        <f>_xlfn.IFS(AND($AI61=$AM61,$AI61&gt;0,$AM61&gt;0,BZ61&gt;0), BZ61,     AND(NOT($AI61=$AM61),$AI61&gt;0,$AM61&gt;0,BZ61&gt;0), ($AM61*BZ61)/$AI61,     AND($AI61=0,$AM61&gt;0,$AQ61&gt;0), IF(INDEX(BZ$12:BZ$263,MATCH($AQ61,$AP$12:$AP$263,0))&gt;0,($AM61*INDEX(BZ$12:BZ$263,MATCH($AQ61,$AP$12:$AP$263,0)))/INDEX($AI$12:$AI$263,MATCH($AQ61,$AP$12:$AP$263,0)), "-"),     TRUE, "0")</f>
        <v>0</v>
      </c>
      <c r="CB61" s="588">
        <f>IF(CA$9&gt;0, IF(OR(CA61="",CA61="-"), 0, CA61*$AT61), BZ61*$AJ61)</f>
        <v>0</v>
      </c>
      <c r="CC61" s="587">
        <f>[1]COMMANDE!AK59</f>
        <v>0</v>
      </c>
      <c r="CD61" s="586" t="str">
        <f>_xlfn.IFS(AND($AI61=$AM61,$AI61&gt;0,$AM61&gt;0,CC61&gt;0), CC61,     AND(NOT($AI61=$AM61),$AI61&gt;0,$AM61&gt;0,CC61&gt;0), ($AM61*CC61)/$AI61,     AND($AI61=0,$AM61&gt;0,$AQ61&gt;0), IF(INDEX(CC$12:CC$263,MATCH($AQ61,$AP$12:$AP$263,0))&gt;0,($AM61*INDEX(CC$12:CC$263,MATCH($AQ61,$AP$12:$AP$263,0)))/INDEX($AI$12:$AI$263,MATCH($AQ61,$AP$12:$AP$263,0)), "-"),     TRUE, "0")</f>
        <v>0</v>
      </c>
      <c r="CE61" s="607">
        <f>IF(CD$9&gt;0, IF(OR(CD61="",CD61="-"), 0, CD61*$AT61), CC61*$AJ61)</f>
        <v>0</v>
      </c>
      <c r="CF61" s="589">
        <f>[1]COMMANDE!AM59</f>
        <v>0</v>
      </c>
      <c r="CG61" s="586" t="str">
        <f>_xlfn.IFS(AND($AI61=$AM61,$AI61&gt;0,$AM61&gt;0,CF61&gt;0), CF61,     AND(NOT($AI61=$AM61),$AI61&gt;0,$AM61&gt;0,CF61&gt;0), ($AM61*CF61)/$AI61,     AND($AI61=0,$AM61&gt;0,$AQ61&gt;0), IF(INDEX(CF$12:CF$263,MATCH($AQ61,$AP$12:$AP$263,0))&gt;0,($AM61*INDEX(CF$12:CF$263,MATCH($AQ61,$AP$12:$AP$263,0)))/INDEX($AI$12:$AI$263,MATCH($AQ61,$AP$12:$AP$263,0)), "-"),     TRUE, "0")</f>
        <v>0</v>
      </c>
      <c r="CH61" s="588">
        <f>IF(CG$9&gt;0, IF(OR(CG61="",CG61="-"), 0, CG61*$AT61), CF61*$AJ61)</f>
        <v>0</v>
      </c>
      <c r="CI61" s="587">
        <f>[1]COMMANDE!AO59</f>
        <v>0</v>
      </c>
      <c r="CJ61" s="586" t="str">
        <f>_xlfn.IFS(AND($AI61=$AM61,$AI61&gt;0,$AM61&gt;0,CI61&gt;0), CI61,     AND(NOT($AI61=$AM61),$AI61&gt;0,$AM61&gt;0,CI61&gt;0), ($AM61*CI61)/$AI61,     AND($AI61=0,$AM61&gt;0,$AQ61&gt;0), IF(INDEX(CI$12:CI$263,MATCH($AQ61,$AP$12:$AP$263,0))&gt;0,($AM61*INDEX(CI$12:CI$263,MATCH($AQ61,$AP$12:$AP$263,0)))/INDEX($AI$12:$AI$263,MATCH($AQ61,$AP$12:$AP$263,0)), "-"),     TRUE, "0")</f>
        <v>0</v>
      </c>
      <c r="CK61" s="607">
        <f>IF(CJ$9&gt;0, IF(OR(CJ61="",CJ61="-"), 0, CJ61*$AT61), CI61*$AJ61)</f>
        <v>0</v>
      </c>
      <c r="CL61" s="589">
        <f>[1]COMMANDE!AQ59</f>
        <v>0</v>
      </c>
      <c r="CM61" s="586" t="str">
        <f>_xlfn.IFS(AND($AI61=$AM61,$AI61&gt;0,$AM61&gt;0,CL61&gt;0), CL61,     AND(NOT($AI61=$AM61),$AI61&gt;0,$AM61&gt;0,CL61&gt;0), ($AM61*CL61)/$AI61,     AND($AI61=0,$AM61&gt;0,$AQ61&gt;0), IF(INDEX(CL$12:CL$263,MATCH($AQ61,$AP$12:$AP$263,0))&gt;0,($AM61*INDEX(CL$12:CL$263,MATCH($AQ61,$AP$12:$AP$263,0)))/INDEX($AI$12:$AI$263,MATCH($AQ61,$AP$12:$AP$263,0)), "-"),     TRUE, "0")</f>
        <v>0</v>
      </c>
      <c r="CN61" s="588">
        <f>IF(CM$9&gt;0, IF(OR(CM61="",CM61="-"), 0, CM61*$AT61), CL61*$AJ61)</f>
        <v>0</v>
      </c>
      <c r="CO61" s="587">
        <f>[1]COMMANDE!AS59</f>
        <v>0</v>
      </c>
      <c r="CP61" s="586" t="str">
        <f>_xlfn.IFS(AND($AI61=$AM61,$AI61&gt;0,$AM61&gt;0,CO61&gt;0), CO61,     AND(NOT($AI61=$AM61),$AI61&gt;0,$AM61&gt;0,CO61&gt;0), ($AM61*CO61)/$AI61,     AND($AI61=0,$AM61&gt;0,$AQ61&gt;0), IF(INDEX(CO$12:CO$263,MATCH($AQ61,$AP$12:$AP$263,0))&gt;0,($AM61*INDEX(CO$12:CO$263,MATCH($AQ61,$AP$12:$AP$263,0)))/INDEX($AI$12:$AI$263,MATCH($AQ61,$AP$12:$AP$263,0)), "-"),     TRUE, "0")</f>
        <v>0</v>
      </c>
      <c r="CQ61" s="607">
        <f>IF(CP$9&gt;0, IF(OR(CP61="",CP61="-"), 0, CP61*$AT61), CO61*$AJ61)</f>
        <v>0</v>
      </c>
      <c r="CR61" s="589">
        <f>[1]COMMANDE!AU59</f>
        <v>0</v>
      </c>
      <c r="CS61" s="586" t="str">
        <f>_xlfn.IFS(AND($AI61=$AM61,$AI61&gt;0,$AM61&gt;0,CR61&gt;0), CR61,     AND(NOT($AI61=$AM61),$AI61&gt;0,$AM61&gt;0,CR61&gt;0), ($AM61*CR61)/$AI61,     AND($AI61=0,$AM61&gt;0,$AQ61&gt;0), IF(INDEX(CR$12:CR$263,MATCH($AQ61,$AP$12:$AP$263,0))&gt;0,($AM61*INDEX(CR$12:CR$263,MATCH($AQ61,$AP$12:$AP$263,0)))/INDEX($AI$12:$AI$263,MATCH($AQ61,$AP$12:$AP$263,0)), "-"),     TRUE, "0")</f>
        <v>0</v>
      </c>
      <c r="CT61" s="588">
        <f>IF(CS$9&gt;0, IF(OR(CS61="",CS61="-"), 0, CS61*$AT61), CR61*$AJ61)</f>
        <v>0</v>
      </c>
      <c r="CU61" s="587">
        <f>[1]COMMANDE!AW59</f>
        <v>0</v>
      </c>
      <c r="CV61" s="586" t="str">
        <f>_xlfn.IFS(AND($AI61=$AM61,$AI61&gt;0,$AM61&gt;0,CU61&gt;0), CU61,     AND(NOT($AI61=$AM61),$AI61&gt;0,$AM61&gt;0,CU61&gt;0), ($AM61*CU61)/$AI61,     AND($AI61=0,$AM61&gt;0,$AQ61&gt;0), IF(INDEX(CU$12:CU$263,MATCH($AQ61,$AP$12:$AP$263,0))&gt;0,($AM61*INDEX(CU$12:CU$263,MATCH($AQ61,$AP$12:$AP$263,0)))/INDEX($AI$12:$AI$263,MATCH($AQ61,$AP$12:$AP$263,0)), "-"),     TRUE, "0")</f>
        <v>0</v>
      </c>
      <c r="CW61" s="607">
        <f>IF(CV$9&gt;0, IF(OR(CV61="",CV61="-"), 0, CV61*$AT61), CU61*$AJ61)</f>
        <v>0</v>
      </c>
      <c r="CX61" s="589">
        <f>[1]COMMANDE!AY59</f>
        <v>0</v>
      </c>
      <c r="CY61" s="586" t="str">
        <f>_xlfn.IFS(AND($AI61=$AM61,$AI61&gt;0,$AM61&gt;0,CX61&gt;0), CX61,     AND(NOT($AI61=$AM61),$AI61&gt;0,$AM61&gt;0,CX61&gt;0), ($AM61*CX61)/$AI61,     AND($AI61=0,$AM61&gt;0,$AQ61&gt;0), IF(INDEX(CX$12:CX$263,MATCH($AQ61,$AP$12:$AP$263,0))&gt;0,($AM61*INDEX(CX$12:CX$263,MATCH($AQ61,$AP$12:$AP$263,0)))/INDEX($AI$12:$AI$263,MATCH($AQ61,$AP$12:$AP$263,0)), "-"),     TRUE, "0")</f>
        <v>0</v>
      </c>
      <c r="CZ61" s="588">
        <f>IF(CY$9&gt;0, IF(OR(CY61="",CY61="-"), 0, CY61*$AT61), CX61*$AJ61)</f>
        <v>0</v>
      </c>
      <c r="DA61" s="587">
        <f>[1]COMMANDE!BA59</f>
        <v>0</v>
      </c>
      <c r="DB61" s="586" t="str">
        <f>_xlfn.IFS(AND($AI61=$AM61,$AI61&gt;0,$AM61&gt;0,DA61&gt;0), DA61,     AND(NOT($AI61=$AM61),$AI61&gt;0,$AM61&gt;0,DA61&gt;0), ($AM61*DA61)/$AI61,     AND($AI61=0,$AM61&gt;0,$AQ61&gt;0), IF(INDEX(DA$12:DA$263,MATCH($AQ61,$AP$12:$AP$263,0))&gt;0,($AM61*INDEX(DA$12:DA$263,MATCH($AQ61,$AP$12:$AP$263,0)))/INDEX($AI$12:$AI$263,MATCH($AQ61,$AP$12:$AP$263,0)), "-"),     TRUE, "0")</f>
        <v>0</v>
      </c>
      <c r="DC61" s="606">
        <f>IF(DB$9&gt;0, IF(OR(DB61="",DB61="-"), 0, DB61*$AT61), DA61*$AJ61)</f>
        <v>0</v>
      </c>
      <c r="DD61" s="584"/>
      <c r="DE61" s="583"/>
    </row>
    <row r="62" spans="1:109" ht="39.950000000000003" hidden="1" customHeight="1">
      <c r="A62" s="604">
        <f>IF(OR($AV62&gt;0, $AX62&gt;0), 1, 0)</f>
        <v>0</v>
      </c>
      <c r="B62" s="604">
        <f>IF(OR($AY62&gt;0, $BA62&gt;0), 1, 0)</f>
        <v>0</v>
      </c>
      <c r="C62" s="604">
        <f>IF(OR($BB62&gt;0, $BD62&gt;0), 1, 0)</f>
        <v>0</v>
      </c>
      <c r="D62" s="604">
        <f>IF(OR($BE62&gt;0, $BG62&gt;0), 1, 0)</f>
        <v>0</v>
      </c>
      <c r="E62" s="604">
        <f>IF(OR($BH62&gt;0, $BJ62&gt;0), 1, 0)</f>
        <v>0</v>
      </c>
      <c r="F62" s="604">
        <f>IF(OR($BK62&gt;0, $BM62&gt;0), 1, 0)</f>
        <v>0</v>
      </c>
      <c r="G62" s="604">
        <f>IF(OR($BN62&gt;0, $BP62&gt;0), 1, 0)</f>
        <v>0</v>
      </c>
      <c r="H62" s="604">
        <f>IF(OR($BQ62&gt;0, $BS62&gt;0), 1, 0)</f>
        <v>0</v>
      </c>
      <c r="I62" s="604">
        <f>IF(OR($BT62&gt;0, $BV62&gt;0), 1, 0)</f>
        <v>0</v>
      </c>
      <c r="J62" s="604">
        <f>IF(OR($BW62&gt;0, $BY62&gt;0), 1, 0)</f>
        <v>0</v>
      </c>
      <c r="K62" s="604">
        <f>IF(OR($BZ62&gt;0, $CB62&gt;0), 1, 0)</f>
        <v>0</v>
      </c>
      <c r="L62" s="604">
        <f>IF(OR($CC62&gt;0, $CE62&gt;0), 1, 0)</f>
        <v>0</v>
      </c>
      <c r="M62" s="604">
        <f>IF(OR($CF62&gt;0, $CH62&gt;0), 1, 0)</f>
        <v>0</v>
      </c>
      <c r="N62" s="604">
        <f>IF(OR($CI62&gt;0, $CK62&gt;0), 1, 0)</f>
        <v>0</v>
      </c>
      <c r="O62" s="604">
        <f>IF(OR($CL62&gt;0, $CN62&gt;0), 1, 0)</f>
        <v>0</v>
      </c>
      <c r="P62" s="604">
        <f>IF(OR($CO62&gt;0, $CQ62&gt;0), 1, 0)</f>
        <v>0</v>
      </c>
      <c r="Q62" s="604">
        <f>IF(OR($CR62&gt;0, $CT62&gt;0), 1, 0)</f>
        <v>0</v>
      </c>
      <c r="R62" s="604">
        <f>IF(OR($CU62&gt;0, $CW62&gt;0), 1, 0)</f>
        <v>0</v>
      </c>
      <c r="S62" s="604">
        <f>IF(OR($CX62&gt;0, $CZ62&gt;0), 1, 0)</f>
        <v>0</v>
      </c>
      <c r="T62" s="604">
        <f>IF(OR($DA62&gt;0, $DC62&gt;0), 1, 0)</f>
        <v>0</v>
      </c>
      <c r="U62" s="603">
        <f>IF(OR($AI62&gt;0,$AM62&gt;0,$AS62&gt;0), 1, 0)</f>
        <v>0</v>
      </c>
      <c r="V62" s="602">
        <f>[1]BDD!A52</f>
        <v>1034</v>
      </c>
      <c r="W62" s="601" t="str">
        <f>[1]BDD!B52</f>
        <v>Carotte sans fane BIO</v>
      </c>
      <c r="X62" s="600" t="str">
        <f>IF([1]BDD!F52=0, "", [1]BDD!F52)</f>
        <v/>
      </c>
      <c r="Y62" s="542">
        <f>ROUND([1]BDD!G52+FDP_CMD_KG, 2)</f>
        <v>3.19</v>
      </c>
      <c r="Z62" s="542">
        <f>ROUND([1]BDD!G52+FDP_FACT_KG, 2)</f>
        <v>3.19</v>
      </c>
      <c r="AA62" s="543" t="str">
        <f>[1]BDD!H52</f>
        <v>kg</v>
      </c>
      <c r="AB62" s="544">
        <f>IF(NOT(ISBLANK([1]BDD!I52)), ROUND(SUM(([1]BDD!G52*reduc1),FDP_CMD_KG), 2), "")</f>
        <v>2.96</v>
      </c>
      <c r="AC62" s="544">
        <f>IF(NOT(ISBLANK([1]BDD!J52)), ROUND(SUM(([1]BDD!G52*reduc2),FDP_CMD_KG), 2), "")</f>
        <v>2.73</v>
      </c>
      <c r="AD62" s="544" t="str">
        <f>IF(NOT(ISBLANK([1]BDD!K52)), ROUND(SUM(([1]BDD!G52*reduc3),FDP_CMD_KG), 2), "")</f>
        <v/>
      </c>
      <c r="AE62" s="544">
        <f>IF(NOT(ISBLANK([1]BDD!I52)), ROUND(SUM(([1]BDD!G52*reduc1),FDP_FACT_KG), 2), "")</f>
        <v>2.95</v>
      </c>
      <c r="AF62" s="544">
        <f>IF(NOT(ISBLANK([1]BDD!J52)), ROUND(SUM(([1]BDD!G52*reduc2),FDP_FACT_KG), 2), "")</f>
        <v>2.72</v>
      </c>
      <c r="AG62" s="544" t="str">
        <f>IF(NOT(ISBLANK([1]BDD!K52)), ROUND(SUM(([1]BDD!G52*reduc3),FDP_FACT_KG), 2), "")</f>
        <v/>
      </c>
      <c r="AH62" s="599" t="str">
        <f>[1]BDD!C52</f>
        <v>Malaga</v>
      </c>
      <c r="AI62" s="598">
        <f>SUM(AV62,AY62,BB62,BE62,BH62,BK62,BN62,BQ62,BT62,BW62,BZ62,CC62,CF62,CI62,CL62,CO62,CR62,CU62,CX62,DA62)</f>
        <v>0</v>
      </c>
      <c r="AJ62" s="545">
        <f>_xlfn.IFS($AD62&lt;&gt;"", $AD62,    $AC62&lt;&gt;"", $AC62,    $AB62&lt;&gt;"", $AB62,    TRUE, $Y62)</f>
        <v>2.73</v>
      </c>
      <c r="AK62" s="592">
        <f>$AI62*$AJ62</f>
        <v>0</v>
      </c>
      <c r="AL62" s="594"/>
      <c r="AM62" s="597"/>
      <c r="AN62" s="545">
        <f>_xlfn.IFS(AND(AM62&gt;=60,$AG62&lt;&gt;""), $AG62,    AND(AM62&gt;=30,$AF62&lt;&gt;""), $AF62,    AND(AM62&gt;=10,$AE62&lt;&gt;""), $AE62,    TRUE, $Z62)</f>
        <v>3.19</v>
      </c>
      <c r="AO62" s="596">
        <f>AM62*AN62</f>
        <v>0</v>
      </c>
      <c r="AP62" s="595"/>
      <c r="AQ62" s="595"/>
      <c r="AR62" s="594"/>
      <c r="AS62" s="593">
        <f>SUM(AW62,AZ62,BC62,BF62,BI62,BL62,BO62,BR62,BU62,BX62,CA62,CD62,CG62,CJ62,CM62,CP62,CS62,CV62,CY62,DB62)</f>
        <v>0</v>
      </c>
      <c r="AT62" s="545">
        <f>_xlfn.IFS(AND(AS62&gt;=60,$AG62&lt;&gt;""), $AG62,    AND(AS62&gt;=30,$AF62&lt;&gt;""), $AF62,    AND(AS62&gt;=10,$AE62&lt;&gt;""), $AE62,    TRUE, $Z62)</f>
        <v>3.19</v>
      </c>
      <c r="AU62" s="592">
        <f>$AS62*$AT62</f>
        <v>0</v>
      </c>
      <c r="AV62" s="591">
        <f>[1]COMMANDE!O60</f>
        <v>0</v>
      </c>
      <c r="AW62" s="586" t="str">
        <f>_xlfn.IFS(AND($AI62=$AM62,$AI62&gt;0,$AM62&gt;0,AV62&gt;0), AV62,     AND(NOT($AI62=$AM62),$AI62&gt;0,$AM62&gt;0,AV62&gt;0), ($AM62*AV62)/$AI62,     AND($AI62=0,$AM62&gt;0,$AQ62&gt;0), IF(INDEX(AV$12:AV$263,MATCH($AQ62,$AP$12:$AP$263,0))&gt;0,($AM62*INDEX(AV$12:AV$263,MATCH($AQ62,$AP$12:$AP$263,0)))/INDEX($AI$12:$AI$263,MATCH($AQ62,$AP$12:$AP$263,0)), "-"),     TRUE, "0")</f>
        <v>0</v>
      </c>
      <c r="AX62" s="588">
        <f>IF(AW$9&gt;0, IF(OR(AW62="",AW62="-"), 0, AW62*$AT62), AV62*$AJ62)</f>
        <v>0</v>
      </c>
      <c r="AY62" s="587">
        <f>[1]COMMANDE!Q60</f>
        <v>0</v>
      </c>
      <c r="AZ62" s="586" t="str">
        <f>_xlfn.IFS(AND($AI62=$AM62,$AI62&gt;0,$AM62&gt;0,AY62&gt;0), AY62,     AND(NOT($AI62=$AM62),$AI62&gt;0,$AM62&gt;0,AY62&gt;0), ($AM62*AY62)/$AI62,     AND($AI62=0,$AM62&gt;0,$AQ62&gt;0), IF(INDEX(AY$12:AY$263,MATCH($AQ62,$AP$12:$AP$263,0))&gt;0,($AM62*INDEX(AY$12:AY$263,MATCH($AQ62,$AP$12:$AP$263,0)))/INDEX($AI$12:$AI$263,MATCH($AQ62,$AP$12:$AP$263,0)), "-"),     TRUE, "0")</f>
        <v>0</v>
      </c>
      <c r="BA62" s="607">
        <f>IF(AZ$9&gt;0, IF(OR(AZ62="",AZ62="-"), 0, AZ62*$AT62), AY62*$AJ62)</f>
        <v>0</v>
      </c>
      <c r="BB62" s="589">
        <f>[1]COMMANDE!S60</f>
        <v>0</v>
      </c>
      <c r="BC62" s="586" t="str">
        <f>_xlfn.IFS(AND($AI62=$AM62,$AI62&gt;0,$AM62&gt;0,BB62&gt;0), BB62,     AND(NOT($AI62=$AM62),$AI62&gt;0,$AM62&gt;0,BB62&gt;0), ($AM62*BB62)/$AI62,     AND($AI62=0,$AM62&gt;0,$AQ62&gt;0), IF(INDEX(BB$12:BB$263,MATCH($AQ62,$AP$12:$AP$263,0))&gt;0,($AM62*INDEX(BB$12:BB$263,MATCH($AQ62,$AP$12:$AP$263,0)))/INDEX($AI$12:$AI$263,MATCH($AQ62,$AP$12:$AP$263,0)), "-"),     TRUE, "0")</f>
        <v>0</v>
      </c>
      <c r="BD62" s="588">
        <f>IF(BC$9&gt;0, IF(OR(BC62="",BC62="-"), 0, BC62*$AT62), BB62*$AJ62)</f>
        <v>0</v>
      </c>
      <c r="BE62" s="587">
        <f>[1]COMMANDE!U60</f>
        <v>0</v>
      </c>
      <c r="BF62" s="586" t="str">
        <f>_xlfn.IFS(AND($AI62=$AM62,$AI62&gt;0,$AM62&gt;0,BE62&gt;0), BE62,     AND(NOT($AI62=$AM62),$AI62&gt;0,$AM62&gt;0,BE62&gt;0), ($AM62*BE62)/$AI62,     AND($AI62=0,$AM62&gt;0,$AQ62&gt;0), IF(INDEX(BE$12:BE$263,MATCH($AQ62,$AP$12:$AP$263,0))&gt;0,($AM62*INDEX(BE$12:BE$263,MATCH($AQ62,$AP$12:$AP$263,0)))/INDEX($AI$12:$AI$263,MATCH($AQ62,$AP$12:$AP$263,0)), "-"),     TRUE, "0")</f>
        <v>0</v>
      </c>
      <c r="BG62" s="607">
        <f>IF(BF$9&gt;0, IF(OR(BF62="",BF62="-"), 0, BF62*$AT62), BE62*$AJ62)</f>
        <v>0</v>
      </c>
      <c r="BH62" s="589">
        <f>[1]COMMANDE!W60</f>
        <v>0</v>
      </c>
      <c r="BI62" s="586" t="str">
        <f>_xlfn.IFS(AND($AI62=$AM62,$AI62&gt;0,$AM62&gt;0,BH62&gt;0), BH62,     AND(NOT($AI62=$AM62),$AI62&gt;0,$AM62&gt;0,BH62&gt;0), ($AM62*BH62)/$AI62,     AND($AI62=0,$AM62&gt;0,$AQ62&gt;0), IF(INDEX(BH$12:BH$263,MATCH($AQ62,$AP$12:$AP$263,0))&gt;0,($AM62*INDEX(BH$12:BH$263,MATCH($AQ62,$AP$12:$AP$263,0)))/INDEX($AI$12:$AI$263,MATCH($AQ62,$AP$12:$AP$263,0)), "-"),     TRUE, "0")</f>
        <v>0</v>
      </c>
      <c r="BJ62" s="588">
        <f>IF(BI$9&gt;0, IF(OR(BI62="",BI62="-"), 0, BI62*$AT62), BH62*$AJ62)</f>
        <v>0</v>
      </c>
      <c r="BK62" s="587">
        <f>[1]COMMANDE!Y60</f>
        <v>0</v>
      </c>
      <c r="BL62" s="586" t="str">
        <f>_xlfn.IFS(AND($AI62=$AM62,$AI62&gt;0,$AM62&gt;0,BK62&gt;0), BK62,     AND(NOT($AI62=$AM62),$AI62&gt;0,$AM62&gt;0,BK62&gt;0), ($AM62*BK62)/$AI62,     AND($AI62=0,$AM62&gt;0,$AQ62&gt;0), IF(INDEX(BK$12:BK$263,MATCH($AQ62,$AP$12:$AP$263,0))&gt;0,($AM62*INDEX(BK$12:BK$263,MATCH($AQ62,$AP$12:$AP$263,0)))/INDEX($AI$12:$AI$263,MATCH($AQ62,$AP$12:$AP$263,0)), "-"),     TRUE, "0")</f>
        <v>0</v>
      </c>
      <c r="BM62" s="607">
        <f>IF(BL$9&gt;0, IF(OR(BL62="",BL62="-"), 0, BL62*$AT62), BK62*$AJ62)</f>
        <v>0</v>
      </c>
      <c r="BN62" s="589">
        <f>[1]COMMANDE!AA60</f>
        <v>0</v>
      </c>
      <c r="BO62" s="586" t="str">
        <f>_xlfn.IFS(AND($AI62=$AM62,$AI62&gt;0,$AM62&gt;0,BN62&gt;0), BN62,     AND(NOT($AI62=$AM62),$AI62&gt;0,$AM62&gt;0,BN62&gt;0), ($AM62*BN62)/$AI62,     AND($AI62=0,$AM62&gt;0,$AQ62&gt;0), IF(INDEX(BN$12:BN$263,MATCH($AQ62,$AP$12:$AP$263,0))&gt;0,($AM62*INDEX(BN$12:BN$263,MATCH($AQ62,$AP$12:$AP$263,0)))/INDEX($AI$12:$AI$263,MATCH($AQ62,$AP$12:$AP$263,0)), "-"),     TRUE, "0")</f>
        <v>0</v>
      </c>
      <c r="BP62" s="588">
        <f>IF(BO$9&gt;0, IF(OR(BO62="",BO62="-"), 0, BO62*$AT62), BN62*$AJ62)</f>
        <v>0</v>
      </c>
      <c r="BQ62" s="587">
        <f>[1]COMMANDE!AC60</f>
        <v>0</v>
      </c>
      <c r="BR62" s="586" t="str">
        <f>_xlfn.IFS(AND($AI62=$AM62,$AI62&gt;0,$AM62&gt;0,BQ62&gt;0), BQ62,     AND(NOT($AI62=$AM62),$AI62&gt;0,$AM62&gt;0,BQ62&gt;0), ($AM62*BQ62)/$AI62,     AND($AI62=0,$AM62&gt;0,$AQ62&gt;0), IF(INDEX(BQ$12:BQ$263,MATCH($AQ62,$AP$12:$AP$263,0))&gt;0,($AM62*INDEX(BQ$12:BQ$263,MATCH($AQ62,$AP$12:$AP$263,0)))/INDEX($AI$12:$AI$263,MATCH($AQ62,$AP$12:$AP$263,0)), "-"),     TRUE, "0")</f>
        <v>0</v>
      </c>
      <c r="BS62" s="607">
        <f>IF(BR$9&gt;0, IF(OR(BR62="",BR62="-"), 0, BR62*$AT62), BQ62*$AJ62)</f>
        <v>0</v>
      </c>
      <c r="BT62" s="589">
        <f>[1]COMMANDE!AE60</f>
        <v>0</v>
      </c>
      <c r="BU62" s="586" t="str">
        <f>_xlfn.IFS(AND($AI62=$AM62,$AI62&gt;0,$AM62&gt;0,BT62&gt;0), BT62,     AND(NOT($AI62=$AM62),$AI62&gt;0,$AM62&gt;0,BT62&gt;0), ($AM62*BT62)/$AI62,     AND($AI62=0,$AM62&gt;0,$AQ62&gt;0), IF(INDEX(BT$12:BT$263,MATCH($AQ62,$AP$12:$AP$263,0))&gt;0,($AM62*INDEX(BT$12:BT$263,MATCH($AQ62,$AP$12:$AP$263,0)))/INDEX($AI$12:$AI$263,MATCH($AQ62,$AP$12:$AP$263,0)), "-"),     TRUE, "0")</f>
        <v>0</v>
      </c>
      <c r="BV62" s="588">
        <f>IF(BU$9&gt;0, IF(OR(BU62="",BU62="-"), 0, BU62*$AT62), BT62*$AJ62)</f>
        <v>0</v>
      </c>
      <c r="BW62" s="587">
        <f>[1]COMMANDE!AG60</f>
        <v>0</v>
      </c>
      <c r="BX62" s="586" t="str">
        <f>_xlfn.IFS(AND($AI62=$AM62,$AI62&gt;0,$AM62&gt;0,BW62&gt;0), BW62,     AND(NOT($AI62=$AM62),$AI62&gt;0,$AM62&gt;0,BW62&gt;0), ($AM62*BW62)/$AI62,     AND($AI62=0,$AM62&gt;0,$AQ62&gt;0), IF(INDEX(BW$12:BW$263,MATCH($AQ62,$AP$12:$AP$263,0))&gt;0,($AM62*INDEX(BW$12:BW$263,MATCH($AQ62,$AP$12:$AP$263,0)))/INDEX($AI$12:$AI$263,MATCH($AQ62,$AP$12:$AP$263,0)), "-"),     TRUE, "0")</f>
        <v>0</v>
      </c>
      <c r="BY62" s="607">
        <f>IF(BX$9&gt;0, IF(OR(BX62="",BX62="-"), 0, BX62*$AT62), BW62*$AJ62)</f>
        <v>0</v>
      </c>
      <c r="BZ62" s="589">
        <f>[1]COMMANDE!AI60</f>
        <v>0</v>
      </c>
      <c r="CA62" s="586" t="str">
        <f>_xlfn.IFS(AND($AI62=$AM62,$AI62&gt;0,$AM62&gt;0,BZ62&gt;0), BZ62,     AND(NOT($AI62=$AM62),$AI62&gt;0,$AM62&gt;0,BZ62&gt;0), ($AM62*BZ62)/$AI62,     AND($AI62=0,$AM62&gt;0,$AQ62&gt;0), IF(INDEX(BZ$12:BZ$263,MATCH($AQ62,$AP$12:$AP$263,0))&gt;0,($AM62*INDEX(BZ$12:BZ$263,MATCH($AQ62,$AP$12:$AP$263,0)))/INDEX($AI$12:$AI$263,MATCH($AQ62,$AP$12:$AP$263,0)), "-"),     TRUE, "0")</f>
        <v>0</v>
      </c>
      <c r="CB62" s="588">
        <f>IF(CA$9&gt;0, IF(OR(CA62="",CA62="-"), 0, CA62*$AT62), BZ62*$AJ62)</f>
        <v>0</v>
      </c>
      <c r="CC62" s="587">
        <f>[1]COMMANDE!AK60</f>
        <v>0</v>
      </c>
      <c r="CD62" s="586" t="str">
        <f>_xlfn.IFS(AND($AI62=$AM62,$AI62&gt;0,$AM62&gt;0,CC62&gt;0), CC62,     AND(NOT($AI62=$AM62),$AI62&gt;0,$AM62&gt;0,CC62&gt;0), ($AM62*CC62)/$AI62,     AND($AI62=0,$AM62&gt;0,$AQ62&gt;0), IF(INDEX(CC$12:CC$263,MATCH($AQ62,$AP$12:$AP$263,0))&gt;0,($AM62*INDEX(CC$12:CC$263,MATCH($AQ62,$AP$12:$AP$263,0)))/INDEX($AI$12:$AI$263,MATCH($AQ62,$AP$12:$AP$263,0)), "-"),     TRUE, "0")</f>
        <v>0</v>
      </c>
      <c r="CE62" s="607">
        <f>IF(CD$9&gt;0, IF(OR(CD62="",CD62="-"), 0, CD62*$AT62), CC62*$AJ62)</f>
        <v>0</v>
      </c>
      <c r="CF62" s="589">
        <f>[1]COMMANDE!AM60</f>
        <v>0</v>
      </c>
      <c r="CG62" s="586" t="str">
        <f>_xlfn.IFS(AND($AI62=$AM62,$AI62&gt;0,$AM62&gt;0,CF62&gt;0), CF62,     AND(NOT($AI62=$AM62),$AI62&gt;0,$AM62&gt;0,CF62&gt;0), ($AM62*CF62)/$AI62,     AND($AI62=0,$AM62&gt;0,$AQ62&gt;0), IF(INDEX(CF$12:CF$263,MATCH($AQ62,$AP$12:$AP$263,0))&gt;0,($AM62*INDEX(CF$12:CF$263,MATCH($AQ62,$AP$12:$AP$263,0)))/INDEX($AI$12:$AI$263,MATCH($AQ62,$AP$12:$AP$263,0)), "-"),     TRUE, "0")</f>
        <v>0</v>
      </c>
      <c r="CH62" s="588">
        <f>IF(CG$9&gt;0, IF(OR(CG62="",CG62="-"), 0, CG62*$AT62), CF62*$AJ62)</f>
        <v>0</v>
      </c>
      <c r="CI62" s="587">
        <f>[1]COMMANDE!AO60</f>
        <v>0</v>
      </c>
      <c r="CJ62" s="586" t="str">
        <f>_xlfn.IFS(AND($AI62=$AM62,$AI62&gt;0,$AM62&gt;0,CI62&gt;0), CI62,     AND(NOT($AI62=$AM62),$AI62&gt;0,$AM62&gt;0,CI62&gt;0), ($AM62*CI62)/$AI62,     AND($AI62=0,$AM62&gt;0,$AQ62&gt;0), IF(INDEX(CI$12:CI$263,MATCH($AQ62,$AP$12:$AP$263,0))&gt;0,($AM62*INDEX(CI$12:CI$263,MATCH($AQ62,$AP$12:$AP$263,0)))/INDEX($AI$12:$AI$263,MATCH($AQ62,$AP$12:$AP$263,0)), "-"),     TRUE, "0")</f>
        <v>0</v>
      </c>
      <c r="CK62" s="607">
        <f>IF(CJ$9&gt;0, IF(OR(CJ62="",CJ62="-"), 0, CJ62*$AT62), CI62*$AJ62)</f>
        <v>0</v>
      </c>
      <c r="CL62" s="589">
        <f>[1]COMMANDE!AQ60</f>
        <v>0</v>
      </c>
      <c r="CM62" s="586" t="str">
        <f>_xlfn.IFS(AND($AI62=$AM62,$AI62&gt;0,$AM62&gt;0,CL62&gt;0), CL62,     AND(NOT($AI62=$AM62),$AI62&gt;0,$AM62&gt;0,CL62&gt;0), ($AM62*CL62)/$AI62,     AND($AI62=0,$AM62&gt;0,$AQ62&gt;0), IF(INDEX(CL$12:CL$263,MATCH($AQ62,$AP$12:$AP$263,0))&gt;0,($AM62*INDEX(CL$12:CL$263,MATCH($AQ62,$AP$12:$AP$263,0)))/INDEX($AI$12:$AI$263,MATCH($AQ62,$AP$12:$AP$263,0)), "-"),     TRUE, "0")</f>
        <v>0</v>
      </c>
      <c r="CN62" s="588">
        <f>IF(CM$9&gt;0, IF(OR(CM62="",CM62="-"), 0, CM62*$AT62), CL62*$AJ62)</f>
        <v>0</v>
      </c>
      <c r="CO62" s="587">
        <f>[1]COMMANDE!AS60</f>
        <v>0</v>
      </c>
      <c r="CP62" s="586" t="str">
        <f>_xlfn.IFS(AND($AI62=$AM62,$AI62&gt;0,$AM62&gt;0,CO62&gt;0), CO62,     AND(NOT($AI62=$AM62),$AI62&gt;0,$AM62&gt;0,CO62&gt;0), ($AM62*CO62)/$AI62,     AND($AI62=0,$AM62&gt;0,$AQ62&gt;0), IF(INDEX(CO$12:CO$263,MATCH($AQ62,$AP$12:$AP$263,0))&gt;0,($AM62*INDEX(CO$12:CO$263,MATCH($AQ62,$AP$12:$AP$263,0)))/INDEX($AI$12:$AI$263,MATCH($AQ62,$AP$12:$AP$263,0)), "-"),     TRUE, "0")</f>
        <v>0</v>
      </c>
      <c r="CQ62" s="607">
        <f>IF(CP$9&gt;0, IF(OR(CP62="",CP62="-"), 0, CP62*$AT62), CO62*$AJ62)</f>
        <v>0</v>
      </c>
      <c r="CR62" s="589">
        <f>[1]COMMANDE!AU60</f>
        <v>0</v>
      </c>
      <c r="CS62" s="586" t="str">
        <f>_xlfn.IFS(AND($AI62=$AM62,$AI62&gt;0,$AM62&gt;0,CR62&gt;0), CR62,     AND(NOT($AI62=$AM62),$AI62&gt;0,$AM62&gt;0,CR62&gt;0), ($AM62*CR62)/$AI62,     AND($AI62=0,$AM62&gt;0,$AQ62&gt;0), IF(INDEX(CR$12:CR$263,MATCH($AQ62,$AP$12:$AP$263,0))&gt;0,($AM62*INDEX(CR$12:CR$263,MATCH($AQ62,$AP$12:$AP$263,0)))/INDEX($AI$12:$AI$263,MATCH($AQ62,$AP$12:$AP$263,0)), "-"),     TRUE, "0")</f>
        <v>0</v>
      </c>
      <c r="CT62" s="588">
        <f>IF(CS$9&gt;0, IF(OR(CS62="",CS62="-"), 0, CS62*$AT62), CR62*$AJ62)</f>
        <v>0</v>
      </c>
      <c r="CU62" s="587">
        <f>[1]COMMANDE!AW60</f>
        <v>0</v>
      </c>
      <c r="CV62" s="586" t="str">
        <f>_xlfn.IFS(AND($AI62=$AM62,$AI62&gt;0,$AM62&gt;0,CU62&gt;0), CU62,     AND(NOT($AI62=$AM62),$AI62&gt;0,$AM62&gt;0,CU62&gt;0), ($AM62*CU62)/$AI62,     AND($AI62=0,$AM62&gt;0,$AQ62&gt;0), IF(INDEX(CU$12:CU$263,MATCH($AQ62,$AP$12:$AP$263,0))&gt;0,($AM62*INDEX(CU$12:CU$263,MATCH($AQ62,$AP$12:$AP$263,0)))/INDEX($AI$12:$AI$263,MATCH($AQ62,$AP$12:$AP$263,0)), "-"),     TRUE, "0")</f>
        <v>0</v>
      </c>
      <c r="CW62" s="607">
        <f>IF(CV$9&gt;0, IF(OR(CV62="",CV62="-"), 0, CV62*$AT62), CU62*$AJ62)</f>
        <v>0</v>
      </c>
      <c r="CX62" s="589">
        <f>[1]COMMANDE!AY60</f>
        <v>0</v>
      </c>
      <c r="CY62" s="586" t="str">
        <f>_xlfn.IFS(AND($AI62=$AM62,$AI62&gt;0,$AM62&gt;0,CX62&gt;0), CX62,     AND(NOT($AI62=$AM62),$AI62&gt;0,$AM62&gt;0,CX62&gt;0), ($AM62*CX62)/$AI62,     AND($AI62=0,$AM62&gt;0,$AQ62&gt;0), IF(INDEX(CX$12:CX$263,MATCH($AQ62,$AP$12:$AP$263,0))&gt;0,($AM62*INDEX(CX$12:CX$263,MATCH($AQ62,$AP$12:$AP$263,0)))/INDEX($AI$12:$AI$263,MATCH($AQ62,$AP$12:$AP$263,0)), "-"),     TRUE, "0")</f>
        <v>0</v>
      </c>
      <c r="CZ62" s="588">
        <f>IF(CY$9&gt;0, IF(OR(CY62="",CY62="-"), 0, CY62*$AT62), CX62*$AJ62)</f>
        <v>0</v>
      </c>
      <c r="DA62" s="587">
        <f>[1]COMMANDE!BA60</f>
        <v>0</v>
      </c>
      <c r="DB62" s="586" t="str">
        <f>_xlfn.IFS(AND($AI62=$AM62,$AI62&gt;0,$AM62&gt;0,DA62&gt;0), DA62,     AND(NOT($AI62=$AM62),$AI62&gt;0,$AM62&gt;0,DA62&gt;0), ($AM62*DA62)/$AI62,     AND($AI62=0,$AM62&gt;0,$AQ62&gt;0), IF(INDEX(DA$12:DA$263,MATCH($AQ62,$AP$12:$AP$263,0))&gt;0,($AM62*INDEX(DA$12:DA$263,MATCH($AQ62,$AP$12:$AP$263,0)))/INDEX($AI$12:$AI$263,MATCH($AQ62,$AP$12:$AP$263,0)), "-"),     TRUE, "0")</f>
        <v>0</v>
      </c>
      <c r="DC62" s="606">
        <f>IF(DB$9&gt;0, IF(OR(DB62="",DB62="-"), 0, DB62*$AT62), DA62*$AJ62)</f>
        <v>0</v>
      </c>
      <c r="DD62" s="584"/>
      <c r="DE62" s="583"/>
    </row>
    <row r="63" spans="1:109" ht="39.950000000000003" hidden="1" customHeight="1">
      <c r="A63" s="604">
        <f>IF(OR($AV63&gt;0, $AX63&gt;0), 1, 0)</f>
        <v>0</v>
      </c>
      <c r="B63" s="604">
        <f>IF(OR($AY63&gt;0, $BA63&gt;0), 1, 0)</f>
        <v>0</v>
      </c>
      <c r="C63" s="604">
        <f>IF(OR($BB63&gt;0, $BD63&gt;0), 1, 0)</f>
        <v>0</v>
      </c>
      <c r="D63" s="604">
        <f>IF(OR($BE63&gt;0, $BG63&gt;0), 1, 0)</f>
        <v>0</v>
      </c>
      <c r="E63" s="604">
        <f>IF(OR($BH63&gt;0, $BJ63&gt;0), 1, 0)</f>
        <v>0</v>
      </c>
      <c r="F63" s="604">
        <f>IF(OR($BK63&gt;0, $BM63&gt;0), 1, 0)</f>
        <v>0</v>
      </c>
      <c r="G63" s="604">
        <f>IF(OR($BN63&gt;0, $BP63&gt;0), 1, 0)</f>
        <v>0</v>
      </c>
      <c r="H63" s="604">
        <f>IF(OR($BQ63&gt;0, $BS63&gt;0), 1, 0)</f>
        <v>0</v>
      </c>
      <c r="I63" s="604">
        <f>IF(OR($BT63&gt;0, $BV63&gt;0), 1, 0)</f>
        <v>0</v>
      </c>
      <c r="J63" s="604">
        <f>IF(OR($BW63&gt;0, $BY63&gt;0), 1, 0)</f>
        <v>0</v>
      </c>
      <c r="K63" s="604">
        <f>IF(OR($BZ63&gt;0, $CB63&gt;0), 1, 0)</f>
        <v>0</v>
      </c>
      <c r="L63" s="604">
        <f>IF(OR($CC63&gt;0, $CE63&gt;0), 1, 0)</f>
        <v>0</v>
      </c>
      <c r="M63" s="604">
        <f>IF(OR($CF63&gt;0, $CH63&gt;0), 1, 0)</f>
        <v>0</v>
      </c>
      <c r="N63" s="604">
        <f>IF(OR($CI63&gt;0, $CK63&gt;0), 1, 0)</f>
        <v>0</v>
      </c>
      <c r="O63" s="604">
        <f>IF(OR($CL63&gt;0, $CN63&gt;0), 1, 0)</f>
        <v>0</v>
      </c>
      <c r="P63" s="604">
        <f>IF(OR($CO63&gt;0, $CQ63&gt;0), 1, 0)</f>
        <v>0</v>
      </c>
      <c r="Q63" s="604">
        <f>IF(OR($CR63&gt;0, $CT63&gt;0), 1, 0)</f>
        <v>0</v>
      </c>
      <c r="R63" s="604">
        <f>IF(OR($CU63&gt;0, $CW63&gt;0), 1, 0)</f>
        <v>0</v>
      </c>
      <c r="S63" s="604">
        <f>IF(OR($CX63&gt;0, $CZ63&gt;0), 1, 0)</f>
        <v>0</v>
      </c>
      <c r="T63" s="604">
        <f>IF(OR($DA63&gt;0, $DC63&gt;0), 1, 0)</f>
        <v>0</v>
      </c>
      <c r="U63" s="603">
        <f>IF(OR($AI63&gt;0,$AM63&gt;0,$AS63&gt;0), 1, 0)</f>
        <v>0</v>
      </c>
      <c r="V63" s="602">
        <f>[1]BDD!A53</f>
        <v>6117</v>
      </c>
      <c r="W63" s="601" t="str">
        <f>[1]BDD!B53</f>
        <v>Caroube en gousse de l'Alpujarra BIO (env. 400g)</v>
      </c>
      <c r="X63" s="600" t="str">
        <f>IF([1]BDD!F53=0, "", [1]BDD!F53)</f>
        <v>❤️</v>
      </c>
      <c r="Y63" s="542">
        <f>ROUND([1]BDD!G53+FDP_CMD_KG, 2)</f>
        <v>2.21</v>
      </c>
      <c r="Z63" s="542">
        <f>ROUND([1]BDD!G53+FDP_FACT_KG, 2)</f>
        <v>2.21</v>
      </c>
      <c r="AA63" s="543" t="str">
        <f>[1]BDD!H53</f>
        <v>Pièce</v>
      </c>
      <c r="AB63" s="544" t="str">
        <f>IF(NOT(ISBLANK([1]BDD!I53)), ROUND(SUM(([1]BDD!G53*reduc1),FDP_CMD_KG), 2), "")</f>
        <v/>
      </c>
      <c r="AC63" s="544" t="str">
        <f>IF(NOT(ISBLANK([1]BDD!J53)), ROUND(SUM(([1]BDD!G53*reduc2),FDP_CMD_KG), 2), "")</f>
        <v/>
      </c>
      <c r="AD63" s="544" t="str">
        <f>IF(NOT(ISBLANK([1]BDD!K53)), ROUND(SUM(([1]BDD!G53*reduc3),FDP_CMD_KG), 2), "")</f>
        <v/>
      </c>
      <c r="AE63" s="544" t="str">
        <f>IF(NOT(ISBLANK([1]BDD!I53)), ROUND(SUM(([1]BDD!G53*reduc1),FDP_FACT_KG), 2), "")</f>
        <v/>
      </c>
      <c r="AF63" s="544" t="str">
        <f>IF(NOT(ISBLANK([1]BDD!J53)), ROUND(SUM(([1]BDD!G53*reduc2),FDP_FACT_KG), 2), "")</f>
        <v/>
      </c>
      <c r="AG63" s="544" t="str">
        <f>IF(NOT(ISBLANK([1]BDD!K53)), ROUND(SUM(([1]BDD!G53*reduc3),FDP_FACT_KG), 2), "")</f>
        <v/>
      </c>
      <c r="AH63" s="599" t="str">
        <f>[1]BDD!C53</f>
        <v>Grenade</v>
      </c>
      <c r="AI63" s="598">
        <f>SUM(AV63,AY63,BB63,BE63,BH63,BK63,BN63,BQ63,BT63,BW63,BZ63,CC63,CF63,CI63,CL63,CO63,CR63,CU63,CX63,DA63)</f>
        <v>0</v>
      </c>
      <c r="AJ63" s="545">
        <f>_xlfn.IFS($AD63&lt;&gt;"", $AD63,    $AC63&lt;&gt;"", $AC63,    $AB63&lt;&gt;"", $AB63,    TRUE, $Y63)</f>
        <v>2.21</v>
      </c>
      <c r="AK63" s="592">
        <f>$AI63*$AJ63</f>
        <v>0</v>
      </c>
      <c r="AL63" s="594"/>
      <c r="AM63" s="597"/>
      <c r="AN63" s="545">
        <f>_xlfn.IFS(AND(AM63&gt;=60,$AG63&lt;&gt;""), $AG63,    AND(AM63&gt;=30,$AF63&lt;&gt;""), $AF63,    AND(AM63&gt;=10,$AE63&lt;&gt;""), $AE63,    TRUE, $Z63)</f>
        <v>2.21</v>
      </c>
      <c r="AO63" s="596">
        <f>AM63*AN63</f>
        <v>0</v>
      </c>
      <c r="AP63" s="595"/>
      <c r="AQ63" s="595"/>
      <c r="AR63" s="594"/>
      <c r="AS63" s="593">
        <f>SUM(AW63,AZ63,BC63,BF63,BI63,BL63,BO63,BR63,BU63,BX63,CA63,CD63,CG63,CJ63,CM63,CP63,CS63,CV63,CY63,DB63)</f>
        <v>0</v>
      </c>
      <c r="AT63" s="545">
        <f>_xlfn.IFS(AND(AS63&gt;=60,$AG63&lt;&gt;""), $AG63,    AND(AS63&gt;=30,$AF63&lt;&gt;""), $AF63,    AND(AS63&gt;=10,$AE63&lt;&gt;""), $AE63,    TRUE, $Z63)</f>
        <v>2.21</v>
      </c>
      <c r="AU63" s="592">
        <f>$AS63*$AT63</f>
        <v>0</v>
      </c>
      <c r="AV63" s="591">
        <f>[1]COMMANDE!O61</f>
        <v>0</v>
      </c>
      <c r="AW63" s="586" t="str">
        <f>_xlfn.IFS(AND($AI63=$AM63,$AI63&gt;0,$AM63&gt;0,AV63&gt;0), AV63,     AND(NOT($AI63=$AM63),$AI63&gt;0,$AM63&gt;0,AV63&gt;0), ($AM63*AV63)/$AI63,     AND($AI63=0,$AM63&gt;0,$AQ63&gt;0), IF(INDEX(AV$12:AV$263,MATCH($AQ63,$AP$12:$AP$263,0))&gt;0,($AM63*INDEX(AV$12:AV$263,MATCH($AQ63,$AP$12:$AP$263,0)))/INDEX($AI$12:$AI$263,MATCH($AQ63,$AP$12:$AP$263,0)), "-"),     TRUE, "0")</f>
        <v>0</v>
      </c>
      <c r="AX63" s="588">
        <f>IF(AW$9&gt;0, IF(OR(AW63="",AW63="-"), 0, AW63*$AT63), AV63*$AJ63)</f>
        <v>0</v>
      </c>
      <c r="AY63" s="587">
        <f>[1]COMMANDE!Q61</f>
        <v>0</v>
      </c>
      <c r="AZ63" s="586" t="str">
        <f>_xlfn.IFS(AND($AI63=$AM63,$AI63&gt;0,$AM63&gt;0,AY63&gt;0), AY63,     AND(NOT($AI63=$AM63),$AI63&gt;0,$AM63&gt;0,AY63&gt;0), ($AM63*AY63)/$AI63,     AND($AI63=0,$AM63&gt;0,$AQ63&gt;0), IF(INDEX(AY$12:AY$263,MATCH($AQ63,$AP$12:$AP$263,0))&gt;0,($AM63*INDEX(AY$12:AY$263,MATCH($AQ63,$AP$12:$AP$263,0)))/INDEX($AI$12:$AI$263,MATCH($AQ63,$AP$12:$AP$263,0)), "-"),     TRUE, "0")</f>
        <v>0</v>
      </c>
      <c r="BA63" s="607">
        <f>IF(AZ$9&gt;0, IF(OR(AZ63="",AZ63="-"), 0, AZ63*$AT63), AY63*$AJ63)</f>
        <v>0</v>
      </c>
      <c r="BB63" s="589">
        <f>[1]COMMANDE!S61</f>
        <v>0</v>
      </c>
      <c r="BC63" s="586" t="str">
        <f>_xlfn.IFS(AND($AI63=$AM63,$AI63&gt;0,$AM63&gt;0,BB63&gt;0), BB63,     AND(NOT($AI63=$AM63),$AI63&gt;0,$AM63&gt;0,BB63&gt;0), ($AM63*BB63)/$AI63,     AND($AI63=0,$AM63&gt;0,$AQ63&gt;0), IF(INDEX(BB$12:BB$263,MATCH($AQ63,$AP$12:$AP$263,0))&gt;0,($AM63*INDEX(BB$12:BB$263,MATCH($AQ63,$AP$12:$AP$263,0)))/INDEX($AI$12:$AI$263,MATCH($AQ63,$AP$12:$AP$263,0)), "-"),     TRUE, "0")</f>
        <v>0</v>
      </c>
      <c r="BD63" s="588">
        <f>IF(BC$9&gt;0, IF(OR(BC63="",BC63="-"), 0, BC63*$AT63), BB63*$AJ63)</f>
        <v>0</v>
      </c>
      <c r="BE63" s="587">
        <f>[1]COMMANDE!U61</f>
        <v>0</v>
      </c>
      <c r="BF63" s="586" t="str">
        <f>_xlfn.IFS(AND($AI63=$AM63,$AI63&gt;0,$AM63&gt;0,BE63&gt;0), BE63,     AND(NOT($AI63=$AM63),$AI63&gt;0,$AM63&gt;0,BE63&gt;0), ($AM63*BE63)/$AI63,     AND($AI63=0,$AM63&gt;0,$AQ63&gt;0), IF(INDEX(BE$12:BE$263,MATCH($AQ63,$AP$12:$AP$263,0))&gt;0,($AM63*INDEX(BE$12:BE$263,MATCH($AQ63,$AP$12:$AP$263,0)))/INDEX($AI$12:$AI$263,MATCH($AQ63,$AP$12:$AP$263,0)), "-"),     TRUE, "0")</f>
        <v>0</v>
      </c>
      <c r="BG63" s="607">
        <f>IF(BF$9&gt;0, IF(OR(BF63="",BF63="-"), 0, BF63*$AT63), BE63*$AJ63)</f>
        <v>0</v>
      </c>
      <c r="BH63" s="589">
        <f>[1]COMMANDE!W61</f>
        <v>0</v>
      </c>
      <c r="BI63" s="586" t="str">
        <f>_xlfn.IFS(AND($AI63=$AM63,$AI63&gt;0,$AM63&gt;0,BH63&gt;0), BH63,     AND(NOT($AI63=$AM63),$AI63&gt;0,$AM63&gt;0,BH63&gt;0), ($AM63*BH63)/$AI63,     AND($AI63=0,$AM63&gt;0,$AQ63&gt;0), IF(INDEX(BH$12:BH$263,MATCH($AQ63,$AP$12:$AP$263,0))&gt;0,($AM63*INDEX(BH$12:BH$263,MATCH($AQ63,$AP$12:$AP$263,0)))/INDEX($AI$12:$AI$263,MATCH($AQ63,$AP$12:$AP$263,0)), "-"),     TRUE, "0")</f>
        <v>0</v>
      </c>
      <c r="BJ63" s="588">
        <f>IF(BI$9&gt;0, IF(OR(BI63="",BI63="-"), 0, BI63*$AT63), BH63*$AJ63)</f>
        <v>0</v>
      </c>
      <c r="BK63" s="587">
        <f>[1]COMMANDE!Y61</f>
        <v>0</v>
      </c>
      <c r="BL63" s="586" t="str">
        <f>_xlfn.IFS(AND($AI63=$AM63,$AI63&gt;0,$AM63&gt;0,BK63&gt;0), BK63,     AND(NOT($AI63=$AM63),$AI63&gt;0,$AM63&gt;0,BK63&gt;0), ($AM63*BK63)/$AI63,     AND($AI63=0,$AM63&gt;0,$AQ63&gt;0), IF(INDEX(BK$12:BK$263,MATCH($AQ63,$AP$12:$AP$263,0))&gt;0,($AM63*INDEX(BK$12:BK$263,MATCH($AQ63,$AP$12:$AP$263,0)))/INDEX($AI$12:$AI$263,MATCH($AQ63,$AP$12:$AP$263,0)), "-"),     TRUE, "0")</f>
        <v>0</v>
      </c>
      <c r="BM63" s="607">
        <f>IF(BL$9&gt;0, IF(OR(BL63="",BL63="-"), 0, BL63*$AT63), BK63*$AJ63)</f>
        <v>0</v>
      </c>
      <c r="BN63" s="589">
        <f>[1]COMMANDE!AA61</f>
        <v>0</v>
      </c>
      <c r="BO63" s="586" t="str">
        <f>_xlfn.IFS(AND($AI63=$AM63,$AI63&gt;0,$AM63&gt;0,BN63&gt;0), BN63,     AND(NOT($AI63=$AM63),$AI63&gt;0,$AM63&gt;0,BN63&gt;0), ($AM63*BN63)/$AI63,     AND($AI63=0,$AM63&gt;0,$AQ63&gt;0), IF(INDEX(BN$12:BN$263,MATCH($AQ63,$AP$12:$AP$263,0))&gt;0,($AM63*INDEX(BN$12:BN$263,MATCH($AQ63,$AP$12:$AP$263,0)))/INDEX($AI$12:$AI$263,MATCH($AQ63,$AP$12:$AP$263,0)), "-"),     TRUE, "0")</f>
        <v>0</v>
      </c>
      <c r="BP63" s="588">
        <f>IF(BO$9&gt;0, IF(OR(BO63="",BO63="-"), 0, BO63*$AT63), BN63*$AJ63)</f>
        <v>0</v>
      </c>
      <c r="BQ63" s="587">
        <f>[1]COMMANDE!AC61</f>
        <v>0</v>
      </c>
      <c r="BR63" s="586" t="str">
        <f>_xlfn.IFS(AND($AI63=$AM63,$AI63&gt;0,$AM63&gt;0,BQ63&gt;0), BQ63,     AND(NOT($AI63=$AM63),$AI63&gt;0,$AM63&gt;0,BQ63&gt;0), ($AM63*BQ63)/$AI63,     AND($AI63=0,$AM63&gt;0,$AQ63&gt;0), IF(INDEX(BQ$12:BQ$263,MATCH($AQ63,$AP$12:$AP$263,0))&gt;0,($AM63*INDEX(BQ$12:BQ$263,MATCH($AQ63,$AP$12:$AP$263,0)))/INDEX($AI$12:$AI$263,MATCH($AQ63,$AP$12:$AP$263,0)), "-"),     TRUE, "0")</f>
        <v>0</v>
      </c>
      <c r="BS63" s="607">
        <f>IF(BR$9&gt;0, IF(OR(BR63="",BR63="-"), 0, BR63*$AT63), BQ63*$AJ63)</f>
        <v>0</v>
      </c>
      <c r="BT63" s="589">
        <f>[1]COMMANDE!AE61</f>
        <v>0</v>
      </c>
      <c r="BU63" s="586" t="str">
        <f>_xlfn.IFS(AND($AI63=$AM63,$AI63&gt;0,$AM63&gt;0,BT63&gt;0), BT63,     AND(NOT($AI63=$AM63),$AI63&gt;0,$AM63&gt;0,BT63&gt;0), ($AM63*BT63)/$AI63,     AND($AI63=0,$AM63&gt;0,$AQ63&gt;0), IF(INDEX(BT$12:BT$263,MATCH($AQ63,$AP$12:$AP$263,0))&gt;0,($AM63*INDEX(BT$12:BT$263,MATCH($AQ63,$AP$12:$AP$263,0)))/INDEX($AI$12:$AI$263,MATCH($AQ63,$AP$12:$AP$263,0)), "-"),     TRUE, "0")</f>
        <v>0</v>
      </c>
      <c r="BV63" s="588">
        <f>IF(BU$9&gt;0, IF(OR(BU63="",BU63="-"), 0, BU63*$AT63), BT63*$AJ63)</f>
        <v>0</v>
      </c>
      <c r="BW63" s="587">
        <f>[1]COMMANDE!AG61</f>
        <v>0</v>
      </c>
      <c r="BX63" s="586" t="str">
        <f>_xlfn.IFS(AND($AI63=$AM63,$AI63&gt;0,$AM63&gt;0,BW63&gt;0), BW63,     AND(NOT($AI63=$AM63),$AI63&gt;0,$AM63&gt;0,BW63&gt;0), ($AM63*BW63)/$AI63,     AND($AI63=0,$AM63&gt;0,$AQ63&gt;0), IF(INDEX(BW$12:BW$263,MATCH($AQ63,$AP$12:$AP$263,0))&gt;0,($AM63*INDEX(BW$12:BW$263,MATCH($AQ63,$AP$12:$AP$263,0)))/INDEX($AI$12:$AI$263,MATCH($AQ63,$AP$12:$AP$263,0)), "-"),     TRUE, "0")</f>
        <v>0</v>
      </c>
      <c r="BY63" s="607">
        <f>IF(BX$9&gt;0, IF(OR(BX63="",BX63="-"), 0, BX63*$AT63), BW63*$AJ63)</f>
        <v>0</v>
      </c>
      <c r="BZ63" s="589">
        <f>[1]COMMANDE!AI61</f>
        <v>0</v>
      </c>
      <c r="CA63" s="586" t="str">
        <f>_xlfn.IFS(AND($AI63=$AM63,$AI63&gt;0,$AM63&gt;0,BZ63&gt;0), BZ63,     AND(NOT($AI63=$AM63),$AI63&gt;0,$AM63&gt;0,BZ63&gt;0), ($AM63*BZ63)/$AI63,     AND($AI63=0,$AM63&gt;0,$AQ63&gt;0), IF(INDEX(BZ$12:BZ$263,MATCH($AQ63,$AP$12:$AP$263,0))&gt;0,($AM63*INDEX(BZ$12:BZ$263,MATCH($AQ63,$AP$12:$AP$263,0)))/INDEX($AI$12:$AI$263,MATCH($AQ63,$AP$12:$AP$263,0)), "-"),     TRUE, "0")</f>
        <v>0</v>
      </c>
      <c r="CB63" s="588">
        <f>IF(CA$9&gt;0, IF(OR(CA63="",CA63="-"), 0, CA63*$AT63), BZ63*$AJ63)</f>
        <v>0</v>
      </c>
      <c r="CC63" s="587">
        <f>[1]COMMANDE!AK61</f>
        <v>0</v>
      </c>
      <c r="CD63" s="586" t="str">
        <f>_xlfn.IFS(AND($AI63=$AM63,$AI63&gt;0,$AM63&gt;0,CC63&gt;0), CC63,     AND(NOT($AI63=$AM63),$AI63&gt;0,$AM63&gt;0,CC63&gt;0), ($AM63*CC63)/$AI63,     AND($AI63=0,$AM63&gt;0,$AQ63&gt;0), IF(INDEX(CC$12:CC$263,MATCH($AQ63,$AP$12:$AP$263,0))&gt;0,($AM63*INDEX(CC$12:CC$263,MATCH($AQ63,$AP$12:$AP$263,0)))/INDEX($AI$12:$AI$263,MATCH($AQ63,$AP$12:$AP$263,0)), "-"),     TRUE, "0")</f>
        <v>0</v>
      </c>
      <c r="CE63" s="607">
        <f>IF(CD$9&gt;0, IF(OR(CD63="",CD63="-"), 0, CD63*$AT63), CC63*$AJ63)</f>
        <v>0</v>
      </c>
      <c r="CF63" s="589">
        <f>[1]COMMANDE!AM61</f>
        <v>0</v>
      </c>
      <c r="CG63" s="586" t="str">
        <f>_xlfn.IFS(AND($AI63=$AM63,$AI63&gt;0,$AM63&gt;0,CF63&gt;0), CF63,     AND(NOT($AI63=$AM63),$AI63&gt;0,$AM63&gt;0,CF63&gt;0), ($AM63*CF63)/$AI63,     AND($AI63=0,$AM63&gt;0,$AQ63&gt;0), IF(INDEX(CF$12:CF$263,MATCH($AQ63,$AP$12:$AP$263,0))&gt;0,($AM63*INDEX(CF$12:CF$263,MATCH($AQ63,$AP$12:$AP$263,0)))/INDEX($AI$12:$AI$263,MATCH($AQ63,$AP$12:$AP$263,0)), "-"),     TRUE, "0")</f>
        <v>0</v>
      </c>
      <c r="CH63" s="588">
        <f>IF(CG$9&gt;0, IF(OR(CG63="",CG63="-"), 0, CG63*$AT63), CF63*$AJ63)</f>
        <v>0</v>
      </c>
      <c r="CI63" s="587">
        <f>[1]COMMANDE!AO61</f>
        <v>0</v>
      </c>
      <c r="CJ63" s="586" t="str">
        <f>_xlfn.IFS(AND($AI63=$AM63,$AI63&gt;0,$AM63&gt;0,CI63&gt;0), CI63,     AND(NOT($AI63=$AM63),$AI63&gt;0,$AM63&gt;0,CI63&gt;0), ($AM63*CI63)/$AI63,     AND($AI63=0,$AM63&gt;0,$AQ63&gt;0), IF(INDEX(CI$12:CI$263,MATCH($AQ63,$AP$12:$AP$263,0))&gt;0,($AM63*INDEX(CI$12:CI$263,MATCH($AQ63,$AP$12:$AP$263,0)))/INDEX($AI$12:$AI$263,MATCH($AQ63,$AP$12:$AP$263,0)), "-"),     TRUE, "0")</f>
        <v>0</v>
      </c>
      <c r="CK63" s="607">
        <f>IF(CJ$9&gt;0, IF(OR(CJ63="",CJ63="-"), 0, CJ63*$AT63), CI63*$AJ63)</f>
        <v>0</v>
      </c>
      <c r="CL63" s="589">
        <f>[1]COMMANDE!AQ61</f>
        <v>0</v>
      </c>
      <c r="CM63" s="586" t="str">
        <f>_xlfn.IFS(AND($AI63=$AM63,$AI63&gt;0,$AM63&gt;0,CL63&gt;0), CL63,     AND(NOT($AI63=$AM63),$AI63&gt;0,$AM63&gt;0,CL63&gt;0), ($AM63*CL63)/$AI63,     AND($AI63=0,$AM63&gt;0,$AQ63&gt;0), IF(INDEX(CL$12:CL$263,MATCH($AQ63,$AP$12:$AP$263,0))&gt;0,($AM63*INDEX(CL$12:CL$263,MATCH($AQ63,$AP$12:$AP$263,0)))/INDEX($AI$12:$AI$263,MATCH($AQ63,$AP$12:$AP$263,0)), "-"),     TRUE, "0")</f>
        <v>0</v>
      </c>
      <c r="CN63" s="588">
        <f>IF(CM$9&gt;0, IF(OR(CM63="",CM63="-"), 0, CM63*$AT63), CL63*$AJ63)</f>
        <v>0</v>
      </c>
      <c r="CO63" s="587">
        <f>[1]COMMANDE!AS61</f>
        <v>0</v>
      </c>
      <c r="CP63" s="586" t="str">
        <f>_xlfn.IFS(AND($AI63=$AM63,$AI63&gt;0,$AM63&gt;0,CO63&gt;0), CO63,     AND(NOT($AI63=$AM63),$AI63&gt;0,$AM63&gt;0,CO63&gt;0), ($AM63*CO63)/$AI63,     AND($AI63=0,$AM63&gt;0,$AQ63&gt;0), IF(INDEX(CO$12:CO$263,MATCH($AQ63,$AP$12:$AP$263,0))&gt;0,($AM63*INDEX(CO$12:CO$263,MATCH($AQ63,$AP$12:$AP$263,0)))/INDEX($AI$12:$AI$263,MATCH($AQ63,$AP$12:$AP$263,0)), "-"),     TRUE, "0")</f>
        <v>0</v>
      </c>
      <c r="CQ63" s="607">
        <f>IF(CP$9&gt;0, IF(OR(CP63="",CP63="-"), 0, CP63*$AT63), CO63*$AJ63)</f>
        <v>0</v>
      </c>
      <c r="CR63" s="589">
        <f>[1]COMMANDE!AU61</f>
        <v>0</v>
      </c>
      <c r="CS63" s="586" t="str">
        <f>_xlfn.IFS(AND($AI63=$AM63,$AI63&gt;0,$AM63&gt;0,CR63&gt;0), CR63,     AND(NOT($AI63=$AM63),$AI63&gt;0,$AM63&gt;0,CR63&gt;0), ($AM63*CR63)/$AI63,     AND($AI63=0,$AM63&gt;0,$AQ63&gt;0), IF(INDEX(CR$12:CR$263,MATCH($AQ63,$AP$12:$AP$263,0))&gt;0,($AM63*INDEX(CR$12:CR$263,MATCH($AQ63,$AP$12:$AP$263,0)))/INDEX($AI$12:$AI$263,MATCH($AQ63,$AP$12:$AP$263,0)), "-"),     TRUE, "0")</f>
        <v>0</v>
      </c>
      <c r="CT63" s="588">
        <f>IF(CS$9&gt;0, IF(OR(CS63="",CS63="-"), 0, CS63*$AT63), CR63*$AJ63)</f>
        <v>0</v>
      </c>
      <c r="CU63" s="587">
        <f>[1]COMMANDE!AW61</f>
        <v>0</v>
      </c>
      <c r="CV63" s="586" t="str">
        <f>_xlfn.IFS(AND($AI63=$AM63,$AI63&gt;0,$AM63&gt;0,CU63&gt;0), CU63,     AND(NOT($AI63=$AM63),$AI63&gt;0,$AM63&gt;0,CU63&gt;0), ($AM63*CU63)/$AI63,     AND($AI63=0,$AM63&gt;0,$AQ63&gt;0), IF(INDEX(CU$12:CU$263,MATCH($AQ63,$AP$12:$AP$263,0))&gt;0,($AM63*INDEX(CU$12:CU$263,MATCH($AQ63,$AP$12:$AP$263,0)))/INDEX($AI$12:$AI$263,MATCH($AQ63,$AP$12:$AP$263,0)), "-"),     TRUE, "0")</f>
        <v>0</v>
      </c>
      <c r="CW63" s="607">
        <f>IF(CV$9&gt;0, IF(OR(CV63="",CV63="-"), 0, CV63*$AT63), CU63*$AJ63)</f>
        <v>0</v>
      </c>
      <c r="CX63" s="589">
        <f>[1]COMMANDE!AY61</f>
        <v>0</v>
      </c>
      <c r="CY63" s="586" t="str">
        <f>_xlfn.IFS(AND($AI63=$AM63,$AI63&gt;0,$AM63&gt;0,CX63&gt;0), CX63,     AND(NOT($AI63=$AM63),$AI63&gt;0,$AM63&gt;0,CX63&gt;0), ($AM63*CX63)/$AI63,     AND($AI63=0,$AM63&gt;0,$AQ63&gt;0), IF(INDEX(CX$12:CX$263,MATCH($AQ63,$AP$12:$AP$263,0))&gt;0,($AM63*INDEX(CX$12:CX$263,MATCH($AQ63,$AP$12:$AP$263,0)))/INDEX($AI$12:$AI$263,MATCH($AQ63,$AP$12:$AP$263,0)), "-"),     TRUE, "0")</f>
        <v>0</v>
      </c>
      <c r="CZ63" s="588">
        <f>IF(CY$9&gt;0, IF(OR(CY63="",CY63="-"), 0, CY63*$AT63), CX63*$AJ63)</f>
        <v>0</v>
      </c>
      <c r="DA63" s="587">
        <f>[1]COMMANDE!BA61</f>
        <v>0</v>
      </c>
      <c r="DB63" s="586" t="str">
        <f>_xlfn.IFS(AND($AI63=$AM63,$AI63&gt;0,$AM63&gt;0,DA63&gt;0), DA63,     AND(NOT($AI63=$AM63),$AI63&gt;0,$AM63&gt;0,DA63&gt;0), ($AM63*DA63)/$AI63,     AND($AI63=0,$AM63&gt;0,$AQ63&gt;0), IF(INDEX(DA$12:DA$263,MATCH($AQ63,$AP$12:$AP$263,0))&gt;0,($AM63*INDEX(DA$12:DA$263,MATCH($AQ63,$AP$12:$AP$263,0)))/INDEX($AI$12:$AI$263,MATCH($AQ63,$AP$12:$AP$263,0)), "-"),     TRUE, "0")</f>
        <v>0</v>
      </c>
      <c r="DC63" s="606">
        <f>IF(DB$9&gt;0, IF(OR(DB63="",DB63="-"), 0, DB63*$AT63), DA63*$AJ63)</f>
        <v>0</v>
      </c>
      <c r="DD63" s="584"/>
      <c r="DE63" s="583"/>
    </row>
    <row r="64" spans="1:109" ht="39.950000000000003" hidden="1" customHeight="1">
      <c r="A64" s="604">
        <f>IF(OR($AV64&gt;0, $AX64&gt;0), 1, 0)</f>
        <v>0</v>
      </c>
      <c r="B64" s="604">
        <f>IF(OR($AY64&gt;0, $BA64&gt;0), 1, 0)</f>
        <v>0</v>
      </c>
      <c r="C64" s="604">
        <f>IF(OR($BB64&gt;0, $BD64&gt;0), 1, 0)</f>
        <v>0</v>
      </c>
      <c r="D64" s="604">
        <f>IF(OR($BE64&gt;0, $BG64&gt;0), 1, 0)</f>
        <v>0</v>
      </c>
      <c r="E64" s="604">
        <f>IF(OR($BH64&gt;0, $BJ64&gt;0), 1, 0)</f>
        <v>0</v>
      </c>
      <c r="F64" s="604">
        <f>IF(OR($BK64&gt;0, $BM64&gt;0), 1, 0)</f>
        <v>0</v>
      </c>
      <c r="G64" s="604">
        <f>IF(OR($BN64&gt;0, $BP64&gt;0), 1, 0)</f>
        <v>0</v>
      </c>
      <c r="H64" s="604">
        <f>IF(OR($BQ64&gt;0, $BS64&gt;0), 1, 0)</f>
        <v>0</v>
      </c>
      <c r="I64" s="604">
        <f>IF(OR($BT64&gt;0, $BV64&gt;0), 1, 0)</f>
        <v>0</v>
      </c>
      <c r="J64" s="604">
        <f>IF(OR($BW64&gt;0, $BY64&gt;0), 1, 0)</f>
        <v>0</v>
      </c>
      <c r="K64" s="604">
        <f>IF(OR($BZ64&gt;0, $CB64&gt;0), 1, 0)</f>
        <v>0</v>
      </c>
      <c r="L64" s="604">
        <f>IF(OR($CC64&gt;0, $CE64&gt;0), 1, 0)</f>
        <v>0</v>
      </c>
      <c r="M64" s="604">
        <f>IF(OR($CF64&gt;0, $CH64&gt;0), 1, 0)</f>
        <v>0</v>
      </c>
      <c r="N64" s="604">
        <f>IF(OR($CI64&gt;0, $CK64&gt;0), 1, 0)</f>
        <v>0</v>
      </c>
      <c r="O64" s="604">
        <f>IF(OR($CL64&gt;0, $CN64&gt;0), 1, 0)</f>
        <v>0</v>
      </c>
      <c r="P64" s="604">
        <f>IF(OR($CO64&gt;0, $CQ64&gt;0), 1, 0)</f>
        <v>0</v>
      </c>
      <c r="Q64" s="604">
        <f>IF(OR($CR64&gt;0, $CT64&gt;0), 1, 0)</f>
        <v>0</v>
      </c>
      <c r="R64" s="604">
        <f>IF(OR($CU64&gt;0, $CW64&gt;0), 1, 0)</f>
        <v>0</v>
      </c>
      <c r="S64" s="604">
        <f>IF(OR($CX64&gt;0, $CZ64&gt;0), 1, 0)</f>
        <v>0</v>
      </c>
      <c r="T64" s="604">
        <f>IF(OR($DA64&gt;0, $DC64&gt;0), 1, 0)</f>
        <v>0</v>
      </c>
      <c r="U64" s="603">
        <f>IF(OR($AI64&gt;0,$AM64&gt;0,$AS64&gt;0), 1, 0)</f>
        <v>0</v>
      </c>
      <c r="V64" s="602">
        <f>[1]BDD!A54</f>
        <v>3023</v>
      </c>
      <c r="W64" s="601" t="str">
        <f>[1]BDD!B54</f>
        <v>Céleri vert</v>
      </c>
      <c r="X64" s="600" t="str">
        <f>IF([1]BDD!F54=0, "", [1]BDD!F54)</f>
        <v/>
      </c>
      <c r="Y64" s="542">
        <f>ROUND([1]BDD!G54+FDP_CMD_KG, 2)</f>
        <v>4.1399999999999997</v>
      </c>
      <c r="Z64" s="542">
        <f>ROUND([1]BDD!G54+FDP_FACT_KG, 2)</f>
        <v>4.1399999999999997</v>
      </c>
      <c r="AA64" s="543" t="str">
        <f>[1]BDD!H54</f>
        <v>kg</v>
      </c>
      <c r="AB64" s="544">
        <f>IF(NOT(ISBLANK([1]BDD!I54)), ROUND(SUM(([1]BDD!G54*reduc1),FDP_CMD_KG), 2), "")</f>
        <v>3.82</v>
      </c>
      <c r="AC64" s="544" t="str">
        <f>IF(NOT(ISBLANK([1]BDD!J54)), ROUND(SUM(([1]BDD!G54*reduc2),FDP_CMD_KG), 2), "")</f>
        <v/>
      </c>
      <c r="AD64" s="544" t="str">
        <f>IF(NOT(ISBLANK([1]BDD!K54)), ROUND(SUM(([1]BDD!G54*reduc3),FDP_CMD_KG), 2), "")</f>
        <v/>
      </c>
      <c r="AE64" s="544">
        <f>IF(NOT(ISBLANK([1]BDD!I54)), ROUND(SUM(([1]BDD!G54*reduc1),FDP_FACT_KG), 2), "")</f>
        <v>3.81</v>
      </c>
      <c r="AF64" s="544" t="str">
        <f>IF(NOT(ISBLANK([1]BDD!J54)), ROUND(SUM(([1]BDD!G54*reduc2),FDP_FACT_KG), 2), "")</f>
        <v/>
      </c>
      <c r="AG64" s="544" t="str">
        <f>IF(NOT(ISBLANK([1]BDD!K54)), ROUND(SUM(([1]BDD!G54*reduc3),FDP_FACT_KG), 2), "")</f>
        <v/>
      </c>
      <c r="AH64" s="599" t="str">
        <f>[1]BDD!C54</f>
        <v>Grenade</v>
      </c>
      <c r="AI64" s="598">
        <f>SUM(AV64,AY64,BB64,BE64,BH64,BK64,BN64,BQ64,BT64,BW64,BZ64,CC64,CF64,CI64,CL64,CO64,CR64,CU64,CX64,DA64)</f>
        <v>0</v>
      </c>
      <c r="AJ64" s="545">
        <f>_xlfn.IFS($AD64&lt;&gt;"", $AD64,    $AC64&lt;&gt;"", $AC64,    $AB64&lt;&gt;"", $AB64,    TRUE, $Y64)</f>
        <v>3.82</v>
      </c>
      <c r="AK64" s="592">
        <f>$AI64*$AJ64</f>
        <v>0</v>
      </c>
      <c r="AL64" s="594"/>
      <c r="AM64" s="597"/>
      <c r="AN64" s="545">
        <f>_xlfn.IFS(AND(AM64&gt;=60,$AG64&lt;&gt;""), $AG64,    AND(AM64&gt;=30,$AF64&lt;&gt;""), $AF64,    AND(AM64&gt;=10,$AE64&lt;&gt;""), $AE64,    TRUE, $Z64)</f>
        <v>4.1399999999999997</v>
      </c>
      <c r="AO64" s="596">
        <f>AM64*AN64</f>
        <v>0</v>
      </c>
      <c r="AP64" s="595"/>
      <c r="AQ64" s="595"/>
      <c r="AR64" s="594"/>
      <c r="AS64" s="593">
        <f>SUM(AW64,AZ64,BC64,BF64,BI64,BL64,BO64,BR64,BU64,BX64,CA64,CD64,CG64,CJ64,CM64,CP64,CS64,CV64,CY64,DB64)</f>
        <v>0</v>
      </c>
      <c r="AT64" s="545">
        <f>_xlfn.IFS(AND(AS64&gt;=60,$AG64&lt;&gt;""), $AG64,    AND(AS64&gt;=30,$AF64&lt;&gt;""), $AF64,    AND(AS64&gt;=10,$AE64&lt;&gt;""), $AE64,    TRUE, $Z64)</f>
        <v>4.1399999999999997</v>
      </c>
      <c r="AU64" s="592">
        <f>$AS64*$AT64</f>
        <v>0</v>
      </c>
      <c r="AV64" s="591">
        <f>[1]COMMANDE!O62</f>
        <v>0</v>
      </c>
      <c r="AW64" s="586" t="str">
        <f>_xlfn.IFS(AND($AI64=$AM64,$AI64&gt;0,$AM64&gt;0,AV64&gt;0), AV64,     AND(NOT($AI64=$AM64),$AI64&gt;0,$AM64&gt;0,AV64&gt;0), ($AM64*AV64)/$AI64,     AND($AI64=0,$AM64&gt;0,$AQ64&gt;0), IF(INDEX(AV$12:AV$263,MATCH($AQ64,$AP$12:$AP$263,0))&gt;0,($AM64*INDEX(AV$12:AV$263,MATCH($AQ64,$AP$12:$AP$263,0)))/INDEX($AI$12:$AI$263,MATCH($AQ64,$AP$12:$AP$263,0)), "-"),     TRUE, "0")</f>
        <v>0</v>
      </c>
      <c r="AX64" s="588">
        <f>IF(AW$9&gt;0, IF(OR(AW64="",AW64="-"), 0, AW64*$AT64), AV64*$AJ64)</f>
        <v>0</v>
      </c>
      <c r="AY64" s="587">
        <f>[1]COMMANDE!Q62</f>
        <v>0</v>
      </c>
      <c r="AZ64" s="586" t="str">
        <f>_xlfn.IFS(AND($AI64=$AM64,$AI64&gt;0,$AM64&gt;0,AY64&gt;0), AY64,     AND(NOT($AI64=$AM64),$AI64&gt;0,$AM64&gt;0,AY64&gt;0), ($AM64*AY64)/$AI64,     AND($AI64=0,$AM64&gt;0,$AQ64&gt;0), IF(INDEX(AY$12:AY$263,MATCH($AQ64,$AP$12:$AP$263,0))&gt;0,($AM64*INDEX(AY$12:AY$263,MATCH($AQ64,$AP$12:$AP$263,0)))/INDEX($AI$12:$AI$263,MATCH($AQ64,$AP$12:$AP$263,0)), "-"),     TRUE, "0")</f>
        <v>0</v>
      </c>
      <c r="BA64" s="607">
        <f>IF(AZ$9&gt;0, IF(OR(AZ64="",AZ64="-"), 0, AZ64*$AT64), AY64*$AJ64)</f>
        <v>0</v>
      </c>
      <c r="BB64" s="589">
        <f>[1]COMMANDE!S62</f>
        <v>0</v>
      </c>
      <c r="BC64" s="586" t="str">
        <f>_xlfn.IFS(AND($AI64=$AM64,$AI64&gt;0,$AM64&gt;0,BB64&gt;0), BB64,     AND(NOT($AI64=$AM64),$AI64&gt;0,$AM64&gt;0,BB64&gt;0), ($AM64*BB64)/$AI64,     AND($AI64=0,$AM64&gt;0,$AQ64&gt;0), IF(INDEX(BB$12:BB$263,MATCH($AQ64,$AP$12:$AP$263,0))&gt;0,($AM64*INDEX(BB$12:BB$263,MATCH($AQ64,$AP$12:$AP$263,0)))/INDEX($AI$12:$AI$263,MATCH($AQ64,$AP$12:$AP$263,0)), "-"),     TRUE, "0")</f>
        <v>0</v>
      </c>
      <c r="BD64" s="588">
        <f>IF(BC$9&gt;0, IF(OR(BC64="",BC64="-"), 0, BC64*$AT64), BB64*$AJ64)</f>
        <v>0</v>
      </c>
      <c r="BE64" s="587">
        <f>[1]COMMANDE!U62</f>
        <v>0</v>
      </c>
      <c r="BF64" s="586" t="str">
        <f>_xlfn.IFS(AND($AI64=$AM64,$AI64&gt;0,$AM64&gt;0,BE64&gt;0), BE64,     AND(NOT($AI64=$AM64),$AI64&gt;0,$AM64&gt;0,BE64&gt;0), ($AM64*BE64)/$AI64,     AND($AI64=0,$AM64&gt;0,$AQ64&gt;0), IF(INDEX(BE$12:BE$263,MATCH($AQ64,$AP$12:$AP$263,0))&gt;0,($AM64*INDEX(BE$12:BE$263,MATCH($AQ64,$AP$12:$AP$263,0)))/INDEX($AI$12:$AI$263,MATCH($AQ64,$AP$12:$AP$263,0)), "-"),     TRUE, "0")</f>
        <v>0</v>
      </c>
      <c r="BG64" s="607">
        <f>IF(BF$9&gt;0, IF(OR(BF64="",BF64="-"), 0, BF64*$AT64), BE64*$AJ64)</f>
        <v>0</v>
      </c>
      <c r="BH64" s="589">
        <f>[1]COMMANDE!W62</f>
        <v>0</v>
      </c>
      <c r="BI64" s="586" t="str">
        <f>_xlfn.IFS(AND($AI64=$AM64,$AI64&gt;0,$AM64&gt;0,BH64&gt;0), BH64,     AND(NOT($AI64=$AM64),$AI64&gt;0,$AM64&gt;0,BH64&gt;0), ($AM64*BH64)/$AI64,     AND($AI64=0,$AM64&gt;0,$AQ64&gt;0), IF(INDEX(BH$12:BH$263,MATCH($AQ64,$AP$12:$AP$263,0))&gt;0,($AM64*INDEX(BH$12:BH$263,MATCH($AQ64,$AP$12:$AP$263,0)))/INDEX($AI$12:$AI$263,MATCH($AQ64,$AP$12:$AP$263,0)), "-"),     TRUE, "0")</f>
        <v>0</v>
      </c>
      <c r="BJ64" s="588">
        <f>IF(BI$9&gt;0, IF(OR(BI64="",BI64="-"), 0, BI64*$AT64), BH64*$AJ64)</f>
        <v>0</v>
      </c>
      <c r="BK64" s="587">
        <f>[1]COMMANDE!Y62</f>
        <v>0</v>
      </c>
      <c r="BL64" s="586" t="str">
        <f>_xlfn.IFS(AND($AI64=$AM64,$AI64&gt;0,$AM64&gt;0,BK64&gt;0), BK64,     AND(NOT($AI64=$AM64),$AI64&gt;0,$AM64&gt;0,BK64&gt;0), ($AM64*BK64)/$AI64,     AND($AI64=0,$AM64&gt;0,$AQ64&gt;0), IF(INDEX(BK$12:BK$263,MATCH($AQ64,$AP$12:$AP$263,0))&gt;0,($AM64*INDEX(BK$12:BK$263,MATCH($AQ64,$AP$12:$AP$263,0)))/INDEX($AI$12:$AI$263,MATCH($AQ64,$AP$12:$AP$263,0)), "-"),     TRUE, "0")</f>
        <v>0</v>
      </c>
      <c r="BM64" s="607">
        <f>IF(BL$9&gt;0, IF(OR(BL64="",BL64="-"), 0, BL64*$AT64), BK64*$AJ64)</f>
        <v>0</v>
      </c>
      <c r="BN64" s="589">
        <f>[1]COMMANDE!AA62</f>
        <v>0</v>
      </c>
      <c r="BO64" s="586" t="str">
        <f>_xlfn.IFS(AND($AI64=$AM64,$AI64&gt;0,$AM64&gt;0,BN64&gt;0), BN64,     AND(NOT($AI64=$AM64),$AI64&gt;0,$AM64&gt;0,BN64&gt;0), ($AM64*BN64)/$AI64,     AND($AI64=0,$AM64&gt;0,$AQ64&gt;0), IF(INDEX(BN$12:BN$263,MATCH($AQ64,$AP$12:$AP$263,0))&gt;0,($AM64*INDEX(BN$12:BN$263,MATCH($AQ64,$AP$12:$AP$263,0)))/INDEX($AI$12:$AI$263,MATCH($AQ64,$AP$12:$AP$263,0)), "-"),     TRUE, "0")</f>
        <v>0</v>
      </c>
      <c r="BP64" s="588">
        <f>IF(BO$9&gt;0, IF(OR(BO64="",BO64="-"), 0, BO64*$AT64), BN64*$AJ64)</f>
        <v>0</v>
      </c>
      <c r="BQ64" s="587">
        <f>[1]COMMANDE!AC62</f>
        <v>0</v>
      </c>
      <c r="BR64" s="586" t="str">
        <f>_xlfn.IFS(AND($AI64=$AM64,$AI64&gt;0,$AM64&gt;0,BQ64&gt;0), BQ64,     AND(NOT($AI64=$AM64),$AI64&gt;0,$AM64&gt;0,BQ64&gt;0), ($AM64*BQ64)/$AI64,     AND($AI64=0,$AM64&gt;0,$AQ64&gt;0), IF(INDEX(BQ$12:BQ$263,MATCH($AQ64,$AP$12:$AP$263,0))&gt;0,($AM64*INDEX(BQ$12:BQ$263,MATCH($AQ64,$AP$12:$AP$263,0)))/INDEX($AI$12:$AI$263,MATCH($AQ64,$AP$12:$AP$263,0)), "-"),     TRUE, "0")</f>
        <v>0</v>
      </c>
      <c r="BS64" s="607">
        <f>IF(BR$9&gt;0, IF(OR(BR64="",BR64="-"), 0, BR64*$AT64), BQ64*$AJ64)</f>
        <v>0</v>
      </c>
      <c r="BT64" s="589">
        <f>[1]COMMANDE!AE62</f>
        <v>0</v>
      </c>
      <c r="BU64" s="586" t="str">
        <f>_xlfn.IFS(AND($AI64=$AM64,$AI64&gt;0,$AM64&gt;0,BT64&gt;0), BT64,     AND(NOT($AI64=$AM64),$AI64&gt;0,$AM64&gt;0,BT64&gt;0), ($AM64*BT64)/$AI64,     AND($AI64=0,$AM64&gt;0,$AQ64&gt;0), IF(INDEX(BT$12:BT$263,MATCH($AQ64,$AP$12:$AP$263,0))&gt;0,($AM64*INDEX(BT$12:BT$263,MATCH($AQ64,$AP$12:$AP$263,0)))/INDEX($AI$12:$AI$263,MATCH($AQ64,$AP$12:$AP$263,0)), "-"),     TRUE, "0")</f>
        <v>0</v>
      </c>
      <c r="BV64" s="588">
        <f>IF(BU$9&gt;0, IF(OR(BU64="",BU64="-"), 0, BU64*$AT64), BT64*$AJ64)</f>
        <v>0</v>
      </c>
      <c r="BW64" s="587">
        <f>[1]COMMANDE!AG62</f>
        <v>0</v>
      </c>
      <c r="BX64" s="586" t="str">
        <f>_xlfn.IFS(AND($AI64=$AM64,$AI64&gt;0,$AM64&gt;0,BW64&gt;0), BW64,     AND(NOT($AI64=$AM64),$AI64&gt;0,$AM64&gt;0,BW64&gt;0), ($AM64*BW64)/$AI64,     AND($AI64=0,$AM64&gt;0,$AQ64&gt;0), IF(INDEX(BW$12:BW$263,MATCH($AQ64,$AP$12:$AP$263,0))&gt;0,($AM64*INDEX(BW$12:BW$263,MATCH($AQ64,$AP$12:$AP$263,0)))/INDEX($AI$12:$AI$263,MATCH($AQ64,$AP$12:$AP$263,0)), "-"),     TRUE, "0")</f>
        <v>0</v>
      </c>
      <c r="BY64" s="607">
        <f>IF(BX$9&gt;0, IF(OR(BX64="",BX64="-"), 0, BX64*$AT64), BW64*$AJ64)</f>
        <v>0</v>
      </c>
      <c r="BZ64" s="589">
        <f>[1]COMMANDE!AI62</f>
        <v>0</v>
      </c>
      <c r="CA64" s="586" t="str">
        <f>_xlfn.IFS(AND($AI64=$AM64,$AI64&gt;0,$AM64&gt;0,BZ64&gt;0), BZ64,     AND(NOT($AI64=$AM64),$AI64&gt;0,$AM64&gt;0,BZ64&gt;0), ($AM64*BZ64)/$AI64,     AND($AI64=0,$AM64&gt;0,$AQ64&gt;0), IF(INDEX(BZ$12:BZ$263,MATCH($AQ64,$AP$12:$AP$263,0))&gt;0,($AM64*INDEX(BZ$12:BZ$263,MATCH($AQ64,$AP$12:$AP$263,0)))/INDEX($AI$12:$AI$263,MATCH($AQ64,$AP$12:$AP$263,0)), "-"),     TRUE, "0")</f>
        <v>0</v>
      </c>
      <c r="CB64" s="588">
        <f>IF(CA$9&gt;0, IF(OR(CA64="",CA64="-"), 0, CA64*$AT64), BZ64*$AJ64)</f>
        <v>0</v>
      </c>
      <c r="CC64" s="587">
        <f>[1]COMMANDE!AK62</f>
        <v>0</v>
      </c>
      <c r="CD64" s="586" t="str">
        <f>_xlfn.IFS(AND($AI64=$AM64,$AI64&gt;0,$AM64&gt;0,CC64&gt;0), CC64,     AND(NOT($AI64=$AM64),$AI64&gt;0,$AM64&gt;0,CC64&gt;0), ($AM64*CC64)/$AI64,     AND($AI64=0,$AM64&gt;0,$AQ64&gt;0), IF(INDEX(CC$12:CC$263,MATCH($AQ64,$AP$12:$AP$263,0))&gt;0,($AM64*INDEX(CC$12:CC$263,MATCH($AQ64,$AP$12:$AP$263,0)))/INDEX($AI$12:$AI$263,MATCH($AQ64,$AP$12:$AP$263,0)), "-"),     TRUE, "0")</f>
        <v>0</v>
      </c>
      <c r="CE64" s="607">
        <f>IF(CD$9&gt;0, IF(OR(CD64="",CD64="-"), 0, CD64*$AT64), CC64*$AJ64)</f>
        <v>0</v>
      </c>
      <c r="CF64" s="589">
        <f>[1]COMMANDE!AM62</f>
        <v>0</v>
      </c>
      <c r="CG64" s="586" t="str">
        <f>_xlfn.IFS(AND($AI64=$AM64,$AI64&gt;0,$AM64&gt;0,CF64&gt;0), CF64,     AND(NOT($AI64=$AM64),$AI64&gt;0,$AM64&gt;0,CF64&gt;0), ($AM64*CF64)/$AI64,     AND($AI64=0,$AM64&gt;0,$AQ64&gt;0), IF(INDEX(CF$12:CF$263,MATCH($AQ64,$AP$12:$AP$263,0))&gt;0,($AM64*INDEX(CF$12:CF$263,MATCH($AQ64,$AP$12:$AP$263,0)))/INDEX($AI$12:$AI$263,MATCH($AQ64,$AP$12:$AP$263,0)), "-"),     TRUE, "0")</f>
        <v>0</v>
      </c>
      <c r="CH64" s="588">
        <f>IF(CG$9&gt;0, IF(OR(CG64="",CG64="-"), 0, CG64*$AT64), CF64*$AJ64)</f>
        <v>0</v>
      </c>
      <c r="CI64" s="587">
        <f>[1]COMMANDE!AO62</f>
        <v>0</v>
      </c>
      <c r="CJ64" s="586" t="str">
        <f>_xlfn.IFS(AND($AI64=$AM64,$AI64&gt;0,$AM64&gt;0,CI64&gt;0), CI64,     AND(NOT($AI64=$AM64),$AI64&gt;0,$AM64&gt;0,CI64&gt;0), ($AM64*CI64)/$AI64,     AND($AI64=0,$AM64&gt;0,$AQ64&gt;0), IF(INDEX(CI$12:CI$263,MATCH($AQ64,$AP$12:$AP$263,0))&gt;0,($AM64*INDEX(CI$12:CI$263,MATCH($AQ64,$AP$12:$AP$263,0)))/INDEX($AI$12:$AI$263,MATCH($AQ64,$AP$12:$AP$263,0)), "-"),     TRUE, "0")</f>
        <v>0</v>
      </c>
      <c r="CK64" s="607">
        <f>IF(CJ$9&gt;0, IF(OR(CJ64="",CJ64="-"), 0, CJ64*$AT64), CI64*$AJ64)</f>
        <v>0</v>
      </c>
      <c r="CL64" s="589">
        <f>[1]COMMANDE!AQ62</f>
        <v>0</v>
      </c>
      <c r="CM64" s="586" t="str">
        <f>_xlfn.IFS(AND($AI64=$AM64,$AI64&gt;0,$AM64&gt;0,CL64&gt;0), CL64,     AND(NOT($AI64=$AM64),$AI64&gt;0,$AM64&gt;0,CL64&gt;0), ($AM64*CL64)/$AI64,     AND($AI64=0,$AM64&gt;0,$AQ64&gt;0), IF(INDEX(CL$12:CL$263,MATCH($AQ64,$AP$12:$AP$263,0))&gt;0,($AM64*INDEX(CL$12:CL$263,MATCH($AQ64,$AP$12:$AP$263,0)))/INDEX($AI$12:$AI$263,MATCH($AQ64,$AP$12:$AP$263,0)), "-"),     TRUE, "0")</f>
        <v>0</v>
      </c>
      <c r="CN64" s="588">
        <f>IF(CM$9&gt;0, IF(OR(CM64="",CM64="-"), 0, CM64*$AT64), CL64*$AJ64)</f>
        <v>0</v>
      </c>
      <c r="CO64" s="587">
        <f>[1]COMMANDE!AS62</f>
        <v>0</v>
      </c>
      <c r="CP64" s="586" t="str">
        <f>_xlfn.IFS(AND($AI64=$AM64,$AI64&gt;0,$AM64&gt;0,CO64&gt;0), CO64,     AND(NOT($AI64=$AM64),$AI64&gt;0,$AM64&gt;0,CO64&gt;0), ($AM64*CO64)/$AI64,     AND($AI64=0,$AM64&gt;0,$AQ64&gt;0), IF(INDEX(CO$12:CO$263,MATCH($AQ64,$AP$12:$AP$263,0))&gt;0,($AM64*INDEX(CO$12:CO$263,MATCH($AQ64,$AP$12:$AP$263,0)))/INDEX($AI$12:$AI$263,MATCH($AQ64,$AP$12:$AP$263,0)), "-"),     TRUE, "0")</f>
        <v>0</v>
      </c>
      <c r="CQ64" s="607">
        <f>IF(CP$9&gt;0, IF(OR(CP64="",CP64="-"), 0, CP64*$AT64), CO64*$AJ64)</f>
        <v>0</v>
      </c>
      <c r="CR64" s="589">
        <f>[1]COMMANDE!AU62</f>
        <v>0</v>
      </c>
      <c r="CS64" s="586" t="str">
        <f>_xlfn.IFS(AND($AI64=$AM64,$AI64&gt;0,$AM64&gt;0,CR64&gt;0), CR64,     AND(NOT($AI64=$AM64),$AI64&gt;0,$AM64&gt;0,CR64&gt;0), ($AM64*CR64)/$AI64,     AND($AI64=0,$AM64&gt;0,$AQ64&gt;0), IF(INDEX(CR$12:CR$263,MATCH($AQ64,$AP$12:$AP$263,0))&gt;0,($AM64*INDEX(CR$12:CR$263,MATCH($AQ64,$AP$12:$AP$263,0)))/INDEX($AI$12:$AI$263,MATCH($AQ64,$AP$12:$AP$263,0)), "-"),     TRUE, "0")</f>
        <v>0</v>
      </c>
      <c r="CT64" s="588">
        <f>IF(CS$9&gt;0, IF(OR(CS64="",CS64="-"), 0, CS64*$AT64), CR64*$AJ64)</f>
        <v>0</v>
      </c>
      <c r="CU64" s="587">
        <f>[1]COMMANDE!AW62</f>
        <v>0</v>
      </c>
      <c r="CV64" s="586" t="str">
        <f>_xlfn.IFS(AND($AI64=$AM64,$AI64&gt;0,$AM64&gt;0,CU64&gt;0), CU64,     AND(NOT($AI64=$AM64),$AI64&gt;0,$AM64&gt;0,CU64&gt;0), ($AM64*CU64)/$AI64,     AND($AI64=0,$AM64&gt;0,$AQ64&gt;0), IF(INDEX(CU$12:CU$263,MATCH($AQ64,$AP$12:$AP$263,0))&gt;0,($AM64*INDEX(CU$12:CU$263,MATCH($AQ64,$AP$12:$AP$263,0)))/INDEX($AI$12:$AI$263,MATCH($AQ64,$AP$12:$AP$263,0)), "-"),     TRUE, "0")</f>
        <v>0</v>
      </c>
      <c r="CW64" s="607">
        <f>IF(CV$9&gt;0, IF(OR(CV64="",CV64="-"), 0, CV64*$AT64), CU64*$AJ64)</f>
        <v>0</v>
      </c>
      <c r="CX64" s="589">
        <f>[1]COMMANDE!AY62</f>
        <v>0</v>
      </c>
      <c r="CY64" s="586" t="str">
        <f>_xlfn.IFS(AND($AI64=$AM64,$AI64&gt;0,$AM64&gt;0,CX64&gt;0), CX64,     AND(NOT($AI64=$AM64),$AI64&gt;0,$AM64&gt;0,CX64&gt;0), ($AM64*CX64)/$AI64,     AND($AI64=0,$AM64&gt;0,$AQ64&gt;0), IF(INDEX(CX$12:CX$263,MATCH($AQ64,$AP$12:$AP$263,0))&gt;0,($AM64*INDEX(CX$12:CX$263,MATCH($AQ64,$AP$12:$AP$263,0)))/INDEX($AI$12:$AI$263,MATCH($AQ64,$AP$12:$AP$263,0)), "-"),     TRUE, "0")</f>
        <v>0</v>
      </c>
      <c r="CZ64" s="588">
        <f>IF(CY$9&gt;0, IF(OR(CY64="",CY64="-"), 0, CY64*$AT64), CX64*$AJ64)</f>
        <v>0</v>
      </c>
      <c r="DA64" s="587">
        <f>[1]COMMANDE!BA62</f>
        <v>0</v>
      </c>
      <c r="DB64" s="586" t="str">
        <f>_xlfn.IFS(AND($AI64=$AM64,$AI64&gt;0,$AM64&gt;0,DA64&gt;0), DA64,     AND(NOT($AI64=$AM64),$AI64&gt;0,$AM64&gt;0,DA64&gt;0), ($AM64*DA64)/$AI64,     AND($AI64=0,$AM64&gt;0,$AQ64&gt;0), IF(INDEX(DA$12:DA$263,MATCH($AQ64,$AP$12:$AP$263,0))&gt;0,($AM64*INDEX(DA$12:DA$263,MATCH($AQ64,$AP$12:$AP$263,0)))/INDEX($AI$12:$AI$263,MATCH($AQ64,$AP$12:$AP$263,0)), "-"),     TRUE, "0")</f>
        <v>0</v>
      </c>
      <c r="DC64" s="606">
        <f>IF(DB$9&gt;0, IF(OR(DB64="",DB64="-"), 0, DB64*$AT64), DA64*$AJ64)</f>
        <v>0</v>
      </c>
      <c r="DD64" s="584"/>
      <c r="DE64" s="583"/>
    </row>
    <row r="65" spans="1:109" ht="39.950000000000003" hidden="1" customHeight="1">
      <c r="A65" s="604">
        <f>IF(OR($AV65&gt;0, $AX65&gt;0), 1, 0)</f>
        <v>0</v>
      </c>
      <c r="B65" s="604">
        <f>IF(OR($AY65&gt;0, $BA65&gt;0), 1, 0)</f>
        <v>0</v>
      </c>
      <c r="C65" s="604">
        <f>IF(OR($BB65&gt;0, $BD65&gt;0), 1, 0)</f>
        <v>0</v>
      </c>
      <c r="D65" s="604">
        <f>IF(OR($BE65&gt;0, $BG65&gt;0), 1, 0)</f>
        <v>0</v>
      </c>
      <c r="E65" s="604">
        <f>IF(OR($BH65&gt;0, $BJ65&gt;0), 1, 0)</f>
        <v>0</v>
      </c>
      <c r="F65" s="604">
        <f>IF(OR($BK65&gt;0, $BM65&gt;0), 1, 0)</f>
        <v>0</v>
      </c>
      <c r="G65" s="604">
        <f>IF(OR($BN65&gt;0, $BP65&gt;0), 1, 0)</f>
        <v>0</v>
      </c>
      <c r="H65" s="604">
        <f>IF(OR($BQ65&gt;0, $BS65&gt;0), 1, 0)</f>
        <v>0</v>
      </c>
      <c r="I65" s="604">
        <f>IF(OR($BT65&gt;0, $BV65&gt;0), 1, 0)</f>
        <v>0</v>
      </c>
      <c r="J65" s="604">
        <f>IF(OR($BW65&gt;0, $BY65&gt;0), 1, 0)</f>
        <v>0</v>
      </c>
      <c r="K65" s="604">
        <f>IF(OR($BZ65&gt;0, $CB65&gt;0), 1, 0)</f>
        <v>0</v>
      </c>
      <c r="L65" s="604">
        <f>IF(OR($CC65&gt;0, $CE65&gt;0), 1, 0)</f>
        <v>0</v>
      </c>
      <c r="M65" s="604">
        <f>IF(OR($CF65&gt;0, $CH65&gt;0), 1, 0)</f>
        <v>0</v>
      </c>
      <c r="N65" s="604">
        <f>IF(OR($CI65&gt;0, $CK65&gt;0), 1, 0)</f>
        <v>0</v>
      </c>
      <c r="O65" s="604">
        <f>IF(OR($CL65&gt;0, $CN65&gt;0), 1, 0)</f>
        <v>0</v>
      </c>
      <c r="P65" s="604">
        <f>IF(OR($CO65&gt;0, $CQ65&gt;0), 1, 0)</f>
        <v>0</v>
      </c>
      <c r="Q65" s="604">
        <f>IF(OR($CR65&gt;0, $CT65&gt;0), 1, 0)</f>
        <v>0</v>
      </c>
      <c r="R65" s="604">
        <f>IF(OR($CU65&gt;0, $CW65&gt;0), 1, 0)</f>
        <v>0</v>
      </c>
      <c r="S65" s="604">
        <f>IF(OR($CX65&gt;0, $CZ65&gt;0), 1, 0)</f>
        <v>0</v>
      </c>
      <c r="T65" s="604">
        <f>IF(OR($DA65&gt;0, $DC65&gt;0), 1, 0)</f>
        <v>0</v>
      </c>
      <c r="U65" s="603">
        <f>IF(OR($AI65&gt;0,$AM65&gt;0,$AS65&gt;0), 1, 0)</f>
        <v>0</v>
      </c>
      <c r="V65" s="602">
        <f>[1]BDD!A55</f>
        <v>1117</v>
      </c>
      <c r="W65" s="601" t="str">
        <f>[1]BDD!B55</f>
        <v>Céleri vert BIO</v>
      </c>
      <c r="X65" s="600" t="str">
        <f>IF([1]BDD!F55=0, "", [1]BDD!F55)</f>
        <v/>
      </c>
      <c r="Y65" s="542">
        <f>ROUND([1]BDD!G55+FDP_CMD_KG, 2)</f>
        <v>4.5599999999999996</v>
      </c>
      <c r="Z65" s="542">
        <f>ROUND([1]BDD!G55+FDP_FACT_KG, 2)</f>
        <v>4.5599999999999996</v>
      </c>
      <c r="AA65" s="543" t="str">
        <f>[1]BDD!H55</f>
        <v>kg</v>
      </c>
      <c r="AB65" s="544">
        <f>IF(NOT(ISBLANK([1]BDD!I55)), ROUND(SUM(([1]BDD!G55*reduc1),FDP_CMD_KG), 2), "")</f>
        <v>4.1900000000000004</v>
      </c>
      <c r="AC65" s="544" t="str">
        <f>IF(NOT(ISBLANK([1]BDD!J55)), ROUND(SUM(([1]BDD!G55*reduc2),FDP_CMD_KG), 2), "")</f>
        <v/>
      </c>
      <c r="AD65" s="544" t="str">
        <f>IF(NOT(ISBLANK([1]BDD!K55)), ROUND(SUM(([1]BDD!G55*reduc3),FDP_CMD_KG), 2), "")</f>
        <v/>
      </c>
      <c r="AE65" s="544">
        <f>IF(NOT(ISBLANK([1]BDD!I55)), ROUND(SUM(([1]BDD!G55*reduc1),FDP_FACT_KG), 2), "")</f>
        <v>4.1900000000000004</v>
      </c>
      <c r="AF65" s="544" t="str">
        <f>IF(NOT(ISBLANK([1]BDD!J55)), ROUND(SUM(([1]BDD!G55*reduc2),FDP_FACT_KG), 2), "")</f>
        <v/>
      </c>
      <c r="AG65" s="544" t="str">
        <f>IF(NOT(ISBLANK([1]BDD!K55)), ROUND(SUM(([1]BDD!G55*reduc3),FDP_FACT_KG), 2), "")</f>
        <v/>
      </c>
      <c r="AH65" s="599" t="str">
        <f>[1]BDD!C55</f>
        <v>Malaga</v>
      </c>
      <c r="AI65" s="598">
        <f>SUM(AV65,AY65,BB65,BE65,BH65,BK65,BN65,BQ65,BT65,BW65,BZ65,CC65,CF65,CI65,CL65,CO65,CR65,CU65,CX65,DA65)</f>
        <v>0</v>
      </c>
      <c r="AJ65" s="545">
        <f>_xlfn.IFS($AD65&lt;&gt;"", $AD65,    $AC65&lt;&gt;"", $AC65,    $AB65&lt;&gt;"", $AB65,    TRUE, $Y65)</f>
        <v>4.1900000000000004</v>
      </c>
      <c r="AK65" s="592">
        <f>$AI65*$AJ65</f>
        <v>0</v>
      </c>
      <c r="AL65" s="594"/>
      <c r="AM65" s="597"/>
      <c r="AN65" s="545">
        <f>_xlfn.IFS(AND(AM65&gt;=60,$AG65&lt;&gt;""), $AG65,    AND(AM65&gt;=30,$AF65&lt;&gt;""), $AF65,    AND(AM65&gt;=10,$AE65&lt;&gt;""), $AE65,    TRUE, $Z65)</f>
        <v>4.5599999999999996</v>
      </c>
      <c r="AO65" s="596">
        <f>AM65*AN65</f>
        <v>0</v>
      </c>
      <c r="AP65" s="595"/>
      <c r="AQ65" s="595"/>
      <c r="AR65" s="594"/>
      <c r="AS65" s="593">
        <f>SUM(AW65,AZ65,BC65,BF65,BI65,BL65,BO65,BR65,BU65,BX65,CA65,CD65,CG65,CJ65,CM65,CP65,CS65,CV65,CY65,DB65)</f>
        <v>0</v>
      </c>
      <c r="AT65" s="545">
        <f>_xlfn.IFS(AND(AS65&gt;=60,$AG65&lt;&gt;""), $AG65,    AND(AS65&gt;=30,$AF65&lt;&gt;""), $AF65,    AND(AS65&gt;=10,$AE65&lt;&gt;""), $AE65,    TRUE, $Z65)</f>
        <v>4.5599999999999996</v>
      </c>
      <c r="AU65" s="592">
        <f>$AS65*$AT65</f>
        <v>0</v>
      </c>
      <c r="AV65" s="591">
        <f>[1]COMMANDE!O63</f>
        <v>0</v>
      </c>
      <c r="AW65" s="586" t="str">
        <f>_xlfn.IFS(AND($AI65=$AM65,$AI65&gt;0,$AM65&gt;0,AV65&gt;0), AV65,     AND(NOT($AI65=$AM65),$AI65&gt;0,$AM65&gt;0,AV65&gt;0), ($AM65*AV65)/$AI65,     AND($AI65=0,$AM65&gt;0,$AQ65&gt;0), IF(INDEX(AV$12:AV$263,MATCH($AQ65,$AP$12:$AP$263,0))&gt;0,($AM65*INDEX(AV$12:AV$263,MATCH($AQ65,$AP$12:$AP$263,0)))/INDEX($AI$12:$AI$263,MATCH($AQ65,$AP$12:$AP$263,0)), "-"),     TRUE, "0")</f>
        <v>0</v>
      </c>
      <c r="AX65" s="588">
        <f>IF(AW$9&gt;0, IF(OR(AW65="",AW65="-"), 0, AW65*$AT65), AV65*$AJ65)</f>
        <v>0</v>
      </c>
      <c r="AY65" s="587">
        <f>[1]COMMANDE!Q63</f>
        <v>0</v>
      </c>
      <c r="AZ65" s="586" t="str">
        <f>_xlfn.IFS(AND($AI65=$AM65,$AI65&gt;0,$AM65&gt;0,AY65&gt;0), AY65,     AND(NOT($AI65=$AM65),$AI65&gt;0,$AM65&gt;0,AY65&gt;0), ($AM65*AY65)/$AI65,     AND($AI65=0,$AM65&gt;0,$AQ65&gt;0), IF(INDEX(AY$12:AY$263,MATCH($AQ65,$AP$12:$AP$263,0))&gt;0,($AM65*INDEX(AY$12:AY$263,MATCH($AQ65,$AP$12:$AP$263,0)))/INDEX($AI$12:$AI$263,MATCH($AQ65,$AP$12:$AP$263,0)), "-"),     TRUE, "0")</f>
        <v>0</v>
      </c>
      <c r="BA65" s="607">
        <f>IF(AZ$9&gt;0, IF(OR(AZ65="",AZ65="-"), 0, AZ65*$AT65), AY65*$AJ65)</f>
        <v>0</v>
      </c>
      <c r="BB65" s="589">
        <f>[1]COMMANDE!S63</f>
        <v>0</v>
      </c>
      <c r="BC65" s="586" t="str">
        <f>_xlfn.IFS(AND($AI65=$AM65,$AI65&gt;0,$AM65&gt;0,BB65&gt;0), BB65,     AND(NOT($AI65=$AM65),$AI65&gt;0,$AM65&gt;0,BB65&gt;0), ($AM65*BB65)/$AI65,     AND($AI65=0,$AM65&gt;0,$AQ65&gt;0), IF(INDEX(BB$12:BB$263,MATCH($AQ65,$AP$12:$AP$263,0))&gt;0,($AM65*INDEX(BB$12:BB$263,MATCH($AQ65,$AP$12:$AP$263,0)))/INDEX($AI$12:$AI$263,MATCH($AQ65,$AP$12:$AP$263,0)), "-"),     TRUE, "0")</f>
        <v>0</v>
      </c>
      <c r="BD65" s="588">
        <f>IF(BC$9&gt;0, IF(OR(BC65="",BC65="-"), 0, BC65*$AT65), BB65*$AJ65)</f>
        <v>0</v>
      </c>
      <c r="BE65" s="587">
        <f>[1]COMMANDE!U63</f>
        <v>0</v>
      </c>
      <c r="BF65" s="586" t="str">
        <f>_xlfn.IFS(AND($AI65=$AM65,$AI65&gt;0,$AM65&gt;0,BE65&gt;0), BE65,     AND(NOT($AI65=$AM65),$AI65&gt;0,$AM65&gt;0,BE65&gt;0), ($AM65*BE65)/$AI65,     AND($AI65=0,$AM65&gt;0,$AQ65&gt;0), IF(INDEX(BE$12:BE$263,MATCH($AQ65,$AP$12:$AP$263,0))&gt;0,($AM65*INDEX(BE$12:BE$263,MATCH($AQ65,$AP$12:$AP$263,0)))/INDEX($AI$12:$AI$263,MATCH($AQ65,$AP$12:$AP$263,0)), "-"),     TRUE, "0")</f>
        <v>0</v>
      </c>
      <c r="BG65" s="607">
        <f>IF(BF$9&gt;0, IF(OR(BF65="",BF65="-"), 0, BF65*$AT65), BE65*$AJ65)</f>
        <v>0</v>
      </c>
      <c r="BH65" s="589">
        <f>[1]COMMANDE!W63</f>
        <v>0</v>
      </c>
      <c r="BI65" s="586" t="str">
        <f>_xlfn.IFS(AND($AI65=$AM65,$AI65&gt;0,$AM65&gt;0,BH65&gt;0), BH65,     AND(NOT($AI65=$AM65),$AI65&gt;0,$AM65&gt;0,BH65&gt;0), ($AM65*BH65)/$AI65,     AND($AI65=0,$AM65&gt;0,$AQ65&gt;0), IF(INDEX(BH$12:BH$263,MATCH($AQ65,$AP$12:$AP$263,0))&gt;0,($AM65*INDEX(BH$12:BH$263,MATCH($AQ65,$AP$12:$AP$263,0)))/INDEX($AI$12:$AI$263,MATCH($AQ65,$AP$12:$AP$263,0)), "-"),     TRUE, "0")</f>
        <v>0</v>
      </c>
      <c r="BJ65" s="588">
        <f>IF(BI$9&gt;0, IF(OR(BI65="",BI65="-"), 0, BI65*$AT65), BH65*$AJ65)</f>
        <v>0</v>
      </c>
      <c r="BK65" s="587">
        <f>[1]COMMANDE!Y63</f>
        <v>0</v>
      </c>
      <c r="BL65" s="586" t="str">
        <f>_xlfn.IFS(AND($AI65=$AM65,$AI65&gt;0,$AM65&gt;0,BK65&gt;0), BK65,     AND(NOT($AI65=$AM65),$AI65&gt;0,$AM65&gt;0,BK65&gt;0), ($AM65*BK65)/$AI65,     AND($AI65=0,$AM65&gt;0,$AQ65&gt;0), IF(INDEX(BK$12:BK$263,MATCH($AQ65,$AP$12:$AP$263,0))&gt;0,($AM65*INDEX(BK$12:BK$263,MATCH($AQ65,$AP$12:$AP$263,0)))/INDEX($AI$12:$AI$263,MATCH($AQ65,$AP$12:$AP$263,0)), "-"),     TRUE, "0")</f>
        <v>0</v>
      </c>
      <c r="BM65" s="607">
        <f>IF(BL$9&gt;0, IF(OR(BL65="",BL65="-"), 0, BL65*$AT65), BK65*$AJ65)</f>
        <v>0</v>
      </c>
      <c r="BN65" s="589">
        <f>[1]COMMANDE!AA63</f>
        <v>0</v>
      </c>
      <c r="BO65" s="586" t="str">
        <f>_xlfn.IFS(AND($AI65=$AM65,$AI65&gt;0,$AM65&gt;0,BN65&gt;0), BN65,     AND(NOT($AI65=$AM65),$AI65&gt;0,$AM65&gt;0,BN65&gt;0), ($AM65*BN65)/$AI65,     AND($AI65=0,$AM65&gt;0,$AQ65&gt;0), IF(INDEX(BN$12:BN$263,MATCH($AQ65,$AP$12:$AP$263,0))&gt;0,($AM65*INDEX(BN$12:BN$263,MATCH($AQ65,$AP$12:$AP$263,0)))/INDEX($AI$12:$AI$263,MATCH($AQ65,$AP$12:$AP$263,0)), "-"),     TRUE, "0")</f>
        <v>0</v>
      </c>
      <c r="BP65" s="588">
        <f>IF(BO$9&gt;0, IF(OR(BO65="",BO65="-"), 0, BO65*$AT65), BN65*$AJ65)</f>
        <v>0</v>
      </c>
      <c r="BQ65" s="587">
        <f>[1]COMMANDE!AC63</f>
        <v>0</v>
      </c>
      <c r="BR65" s="586" t="str">
        <f>_xlfn.IFS(AND($AI65=$AM65,$AI65&gt;0,$AM65&gt;0,BQ65&gt;0), BQ65,     AND(NOT($AI65=$AM65),$AI65&gt;0,$AM65&gt;0,BQ65&gt;0), ($AM65*BQ65)/$AI65,     AND($AI65=0,$AM65&gt;0,$AQ65&gt;0), IF(INDEX(BQ$12:BQ$263,MATCH($AQ65,$AP$12:$AP$263,0))&gt;0,($AM65*INDEX(BQ$12:BQ$263,MATCH($AQ65,$AP$12:$AP$263,0)))/INDEX($AI$12:$AI$263,MATCH($AQ65,$AP$12:$AP$263,0)), "-"),     TRUE, "0")</f>
        <v>0</v>
      </c>
      <c r="BS65" s="607">
        <f>IF(BR$9&gt;0, IF(OR(BR65="",BR65="-"), 0, BR65*$AT65), BQ65*$AJ65)</f>
        <v>0</v>
      </c>
      <c r="BT65" s="589">
        <f>[1]COMMANDE!AE63</f>
        <v>0</v>
      </c>
      <c r="BU65" s="586" t="str">
        <f>_xlfn.IFS(AND($AI65=$AM65,$AI65&gt;0,$AM65&gt;0,BT65&gt;0), BT65,     AND(NOT($AI65=$AM65),$AI65&gt;0,$AM65&gt;0,BT65&gt;0), ($AM65*BT65)/$AI65,     AND($AI65=0,$AM65&gt;0,$AQ65&gt;0), IF(INDEX(BT$12:BT$263,MATCH($AQ65,$AP$12:$AP$263,0))&gt;0,($AM65*INDEX(BT$12:BT$263,MATCH($AQ65,$AP$12:$AP$263,0)))/INDEX($AI$12:$AI$263,MATCH($AQ65,$AP$12:$AP$263,0)), "-"),     TRUE, "0")</f>
        <v>0</v>
      </c>
      <c r="BV65" s="588">
        <f>IF(BU$9&gt;0, IF(OR(BU65="",BU65="-"), 0, BU65*$AT65), BT65*$AJ65)</f>
        <v>0</v>
      </c>
      <c r="BW65" s="587">
        <f>[1]COMMANDE!AG63</f>
        <v>0</v>
      </c>
      <c r="BX65" s="586" t="str">
        <f>_xlfn.IFS(AND($AI65=$AM65,$AI65&gt;0,$AM65&gt;0,BW65&gt;0), BW65,     AND(NOT($AI65=$AM65),$AI65&gt;0,$AM65&gt;0,BW65&gt;0), ($AM65*BW65)/$AI65,     AND($AI65=0,$AM65&gt;0,$AQ65&gt;0), IF(INDEX(BW$12:BW$263,MATCH($AQ65,$AP$12:$AP$263,0))&gt;0,($AM65*INDEX(BW$12:BW$263,MATCH($AQ65,$AP$12:$AP$263,0)))/INDEX($AI$12:$AI$263,MATCH($AQ65,$AP$12:$AP$263,0)), "-"),     TRUE, "0")</f>
        <v>0</v>
      </c>
      <c r="BY65" s="607">
        <f>IF(BX$9&gt;0, IF(OR(BX65="",BX65="-"), 0, BX65*$AT65), BW65*$AJ65)</f>
        <v>0</v>
      </c>
      <c r="BZ65" s="589">
        <f>[1]COMMANDE!AI63</f>
        <v>0</v>
      </c>
      <c r="CA65" s="586" t="str">
        <f>_xlfn.IFS(AND($AI65=$AM65,$AI65&gt;0,$AM65&gt;0,BZ65&gt;0), BZ65,     AND(NOT($AI65=$AM65),$AI65&gt;0,$AM65&gt;0,BZ65&gt;0), ($AM65*BZ65)/$AI65,     AND($AI65=0,$AM65&gt;0,$AQ65&gt;0), IF(INDEX(BZ$12:BZ$263,MATCH($AQ65,$AP$12:$AP$263,0))&gt;0,($AM65*INDEX(BZ$12:BZ$263,MATCH($AQ65,$AP$12:$AP$263,0)))/INDEX($AI$12:$AI$263,MATCH($AQ65,$AP$12:$AP$263,0)), "-"),     TRUE, "0")</f>
        <v>0</v>
      </c>
      <c r="CB65" s="588">
        <f>IF(CA$9&gt;0, IF(OR(CA65="",CA65="-"), 0, CA65*$AT65), BZ65*$AJ65)</f>
        <v>0</v>
      </c>
      <c r="CC65" s="587">
        <f>[1]COMMANDE!AK63</f>
        <v>0</v>
      </c>
      <c r="CD65" s="586" t="str">
        <f>_xlfn.IFS(AND($AI65=$AM65,$AI65&gt;0,$AM65&gt;0,CC65&gt;0), CC65,     AND(NOT($AI65=$AM65),$AI65&gt;0,$AM65&gt;0,CC65&gt;0), ($AM65*CC65)/$AI65,     AND($AI65=0,$AM65&gt;0,$AQ65&gt;0), IF(INDEX(CC$12:CC$263,MATCH($AQ65,$AP$12:$AP$263,0))&gt;0,($AM65*INDEX(CC$12:CC$263,MATCH($AQ65,$AP$12:$AP$263,0)))/INDEX($AI$12:$AI$263,MATCH($AQ65,$AP$12:$AP$263,0)), "-"),     TRUE, "0")</f>
        <v>0</v>
      </c>
      <c r="CE65" s="607">
        <f>IF(CD$9&gt;0, IF(OR(CD65="",CD65="-"), 0, CD65*$AT65), CC65*$AJ65)</f>
        <v>0</v>
      </c>
      <c r="CF65" s="589">
        <f>[1]COMMANDE!AM63</f>
        <v>0</v>
      </c>
      <c r="CG65" s="586" t="str">
        <f>_xlfn.IFS(AND($AI65=$AM65,$AI65&gt;0,$AM65&gt;0,CF65&gt;0), CF65,     AND(NOT($AI65=$AM65),$AI65&gt;0,$AM65&gt;0,CF65&gt;0), ($AM65*CF65)/$AI65,     AND($AI65=0,$AM65&gt;0,$AQ65&gt;0), IF(INDEX(CF$12:CF$263,MATCH($AQ65,$AP$12:$AP$263,0))&gt;0,($AM65*INDEX(CF$12:CF$263,MATCH($AQ65,$AP$12:$AP$263,0)))/INDEX($AI$12:$AI$263,MATCH($AQ65,$AP$12:$AP$263,0)), "-"),     TRUE, "0")</f>
        <v>0</v>
      </c>
      <c r="CH65" s="588">
        <f>IF(CG$9&gt;0, IF(OR(CG65="",CG65="-"), 0, CG65*$AT65), CF65*$AJ65)</f>
        <v>0</v>
      </c>
      <c r="CI65" s="587">
        <f>[1]COMMANDE!AO63</f>
        <v>0</v>
      </c>
      <c r="CJ65" s="586" t="str">
        <f>_xlfn.IFS(AND($AI65=$AM65,$AI65&gt;0,$AM65&gt;0,CI65&gt;0), CI65,     AND(NOT($AI65=$AM65),$AI65&gt;0,$AM65&gt;0,CI65&gt;0), ($AM65*CI65)/$AI65,     AND($AI65=0,$AM65&gt;0,$AQ65&gt;0), IF(INDEX(CI$12:CI$263,MATCH($AQ65,$AP$12:$AP$263,0))&gt;0,($AM65*INDEX(CI$12:CI$263,MATCH($AQ65,$AP$12:$AP$263,0)))/INDEX($AI$12:$AI$263,MATCH($AQ65,$AP$12:$AP$263,0)), "-"),     TRUE, "0")</f>
        <v>0</v>
      </c>
      <c r="CK65" s="607">
        <f>IF(CJ$9&gt;0, IF(OR(CJ65="",CJ65="-"), 0, CJ65*$AT65), CI65*$AJ65)</f>
        <v>0</v>
      </c>
      <c r="CL65" s="589">
        <f>[1]COMMANDE!AQ63</f>
        <v>0</v>
      </c>
      <c r="CM65" s="586" t="str">
        <f>_xlfn.IFS(AND($AI65=$AM65,$AI65&gt;0,$AM65&gt;0,CL65&gt;0), CL65,     AND(NOT($AI65=$AM65),$AI65&gt;0,$AM65&gt;0,CL65&gt;0), ($AM65*CL65)/$AI65,     AND($AI65=0,$AM65&gt;0,$AQ65&gt;0), IF(INDEX(CL$12:CL$263,MATCH($AQ65,$AP$12:$AP$263,0))&gt;0,($AM65*INDEX(CL$12:CL$263,MATCH($AQ65,$AP$12:$AP$263,0)))/INDEX($AI$12:$AI$263,MATCH($AQ65,$AP$12:$AP$263,0)), "-"),     TRUE, "0")</f>
        <v>0</v>
      </c>
      <c r="CN65" s="588">
        <f>IF(CM$9&gt;0, IF(OR(CM65="",CM65="-"), 0, CM65*$AT65), CL65*$AJ65)</f>
        <v>0</v>
      </c>
      <c r="CO65" s="587">
        <f>[1]COMMANDE!AS63</f>
        <v>0</v>
      </c>
      <c r="CP65" s="586" t="str">
        <f>_xlfn.IFS(AND($AI65=$AM65,$AI65&gt;0,$AM65&gt;0,CO65&gt;0), CO65,     AND(NOT($AI65=$AM65),$AI65&gt;0,$AM65&gt;0,CO65&gt;0), ($AM65*CO65)/$AI65,     AND($AI65=0,$AM65&gt;0,$AQ65&gt;0), IF(INDEX(CO$12:CO$263,MATCH($AQ65,$AP$12:$AP$263,0))&gt;0,($AM65*INDEX(CO$12:CO$263,MATCH($AQ65,$AP$12:$AP$263,0)))/INDEX($AI$12:$AI$263,MATCH($AQ65,$AP$12:$AP$263,0)), "-"),     TRUE, "0")</f>
        <v>0</v>
      </c>
      <c r="CQ65" s="607">
        <f>IF(CP$9&gt;0, IF(OR(CP65="",CP65="-"), 0, CP65*$AT65), CO65*$AJ65)</f>
        <v>0</v>
      </c>
      <c r="CR65" s="589">
        <f>[1]COMMANDE!AU63</f>
        <v>0</v>
      </c>
      <c r="CS65" s="586" t="str">
        <f>_xlfn.IFS(AND($AI65=$AM65,$AI65&gt;0,$AM65&gt;0,CR65&gt;0), CR65,     AND(NOT($AI65=$AM65),$AI65&gt;0,$AM65&gt;0,CR65&gt;0), ($AM65*CR65)/$AI65,     AND($AI65=0,$AM65&gt;0,$AQ65&gt;0), IF(INDEX(CR$12:CR$263,MATCH($AQ65,$AP$12:$AP$263,0))&gt;0,($AM65*INDEX(CR$12:CR$263,MATCH($AQ65,$AP$12:$AP$263,0)))/INDEX($AI$12:$AI$263,MATCH($AQ65,$AP$12:$AP$263,0)), "-"),     TRUE, "0")</f>
        <v>0</v>
      </c>
      <c r="CT65" s="588">
        <f>IF(CS$9&gt;0, IF(OR(CS65="",CS65="-"), 0, CS65*$AT65), CR65*$AJ65)</f>
        <v>0</v>
      </c>
      <c r="CU65" s="587">
        <f>[1]COMMANDE!AW63</f>
        <v>0</v>
      </c>
      <c r="CV65" s="586" t="str">
        <f>_xlfn.IFS(AND($AI65=$AM65,$AI65&gt;0,$AM65&gt;0,CU65&gt;0), CU65,     AND(NOT($AI65=$AM65),$AI65&gt;0,$AM65&gt;0,CU65&gt;0), ($AM65*CU65)/$AI65,     AND($AI65=0,$AM65&gt;0,$AQ65&gt;0), IF(INDEX(CU$12:CU$263,MATCH($AQ65,$AP$12:$AP$263,0))&gt;0,($AM65*INDEX(CU$12:CU$263,MATCH($AQ65,$AP$12:$AP$263,0)))/INDEX($AI$12:$AI$263,MATCH($AQ65,$AP$12:$AP$263,0)), "-"),     TRUE, "0")</f>
        <v>0</v>
      </c>
      <c r="CW65" s="607">
        <f>IF(CV$9&gt;0, IF(OR(CV65="",CV65="-"), 0, CV65*$AT65), CU65*$AJ65)</f>
        <v>0</v>
      </c>
      <c r="CX65" s="589">
        <f>[1]COMMANDE!AY63</f>
        <v>0</v>
      </c>
      <c r="CY65" s="586" t="str">
        <f>_xlfn.IFS(AND($AI65=$AM65,$AI65&gt;0,$AM65&gt;0,CX65&gt;0), CX65,     AND(NOT($AI65=$AM65),$AI65&gt;0,$AM65&gt;0,CX65&gt;0), ($AM65*CX65)/$AI65,     AND($AI65=0,$AM65&gt;0,$AQ65&gt;0), IF(INDEX(CX$12:CX$263,MATCH($AQ65,$AP$12:$AP$263,0))&gt;0,($AM65*INDEX(CX$12:CX$263,MATCH($AQ65,$AP$12:$AP$263,0)))/INDEX($AI$12:$AI$263,MATCH($AQ65,$AP$12:$AP$263,0)), "-"),     TRUE, "0")</f>
        <v>0</v>
      </c>
      <c r="CZ65" s="588">
        <f>IF(CY$9&gt;0, IF(OR(CY65="",CY65="-"), 0, CY65*$AT65), CX65*$AJ65)</f>
        <v>0</v>
      </c>
      <c r="DA65" s="587">
        <f>[1]COMMANDE!BA63</f>
        <v>0</v>
      </c>
      <c r="DB65" s="586" t="str">
        <f>_xlfn.IFS(AND($AI65=$AM65,$AI65&gt;0,$AM65&gt;0,DA65&gt;0), DA65,     AND(NOT($AI65=$AM65),$AI65&gt;0,$AM65&gt;0,DA65&gt;0), ($AM65*DA65)/$AI65,     AND($AI65=0,$AM65&gt;0,$AQ65&gt;0), IF(INDEX(DA$12:DA$263,MATCH($AQ65,$AP$12:$AP$263,0))&gt;0,($AM65*INDEX(DA$12:DA$263,MATCH($AQ65,$AP$12:$AP$263,0)))/INDEX($AI$12:$AI$263,MATCH($AQ65,$AP$12:$AP$263,0)), "-"),     TRUE, "0")</f>
        <v>0</v>
      </c>
      <c r="DC65" s="606">
        <f>IF(DB$9&gt;0, IF(OR(DB65="",DB65="-"), 0, DB65*$AT65), DA65*$AJ65)</f>
        <v>0</v>
      </c>
      <c r="DD65" s="584"/>
      <c r="DE65" s="583"/>
    </row>
    <row r="66" spans="1:109" ht="39.950000000000003" hidden="1" customHeight="1">
      <c r="A66" s="604">
        <f>IF(OR($AV66&gt;0, $AX66&gt;0), 1, 0)</f>
        <v>0</v>
      </c>
      <c r="B66" s="604">
        <f>IF(OR($AY66&gt;0, $BA66&gt;0), 1, 0)</f>
        <v>0</v>
      </c>
      <c r="C66" s="604">
        <f>IF(OR($BB66&gt;0, $BD66&gt;0), 1, 0)</f>
        <v>0</v>
      </c>
      <c r="D66" s="604">
        <f>IF(OR($BE66&gt;0, $BG66&gt;0), 1, 0)</f>
        <v>0</v>
      </c>
      <c r="E66" s="604">
        <f>IF(OR($BH66&gt;0, $BJ66&gt;0), 1, 0)</f>
        <v>0</v>
      </c>
      <c r="F66" s="604">
        <f>IF(OR($BK66&gt;0, $BM66&gt;0), 1, 0)</f>
        <v>0</v>
      </c>
      <c r="G66" s="604">
        <f>IF(OR($BN66&gt;0, $BP66&gt;0), 1, 0)</f>
        <v>0</v>
      </c>
      <c r="H66" s="604">
        <f>IF(OR($BQ66&gt;0, $BS66&gt;0), 1, 0)</f>
        <v>0</v>
      </c>
      <c r="I66" s="604">
        <f>IF(OR($BT66&gt;0, $BV66&gt;0), 1, 0)</f>
        <v>0</v>
      </c>
      <c r="J66" s="604">
        <f>IF(OR($BW66&gt;0, $BY66&gt;0), 1, 0)</f>
        <v>0</v>
      </c>
      <c r="K66" s="604">
        <f>IF(OR($BZ66&gt;0, $CB66&gt;0), 1, 0)</f>
        <v>0</v>
      </c>
      <c r="L66" s="604">
        <f>IF(OR($CC66&gt;0, $CE66&gt;0), 1, 0)</f>
        <v>0</v>
      </c>
      <c r="M66" s="604">
        <f>IF(OR($CF66&gt;0, $CH66&gt;0), 1, 0)</f>
        <v>0</v>
      </c>
      <c r="N66" s="604">
        <f>IF(OR($CI66&gt;0, $CK66&gt;0), 1, 0)</f>
        <v>0</v>
      </c>
      <c r="O66" s="604">
        <f>IF(OR($CL66&gt;0, $CN66&gt;0), 1, 0)</f>
        <v>0</v>
      </c>
      <c r="P66" s="604">
        <f>IF(OR($CO66&gt;0, $CQ66&gt;0), 1, 0)</f>
        <v>0</v>
      </c>
      <c r="Q66" s="604">
        <f>IF(OR($CR66&gt;0, $CT66&gt;0), 1, 0)</f>
        <v>0</v>
      </c>
      <c r="R66" s="604">
        <f>IF(OR($CU66&gt;0, $CW66&gt;0), 1, 0)</f>
        <v>0</v>
      </c>
      <c r="S66" s="604">
        <f>IF(OR($CX66&gt;0, $CZ66&gt;0), 1, 0)</f>
        <v>0</v>
      </c>
      <c r="T66" s="604">
        <f>IF(OR($DA66&gt;0, $DC66&gt;0), 1, 0)</f>
        <v>0</v>
      </c>
      <c r="U66" s="603">
        <f>IF(OR($AI66&gt;0,$AM66&gt;0,$AS66&gt;0), 1, 0)</f>
        <v>0</v>
      </c>
      <c r="V66" s="602">
        <f>[1]BDD!A56</f>
        <v>3241</v>
      </c>
      <c r="W66" s="601" t="str">
        <f>[1]BDD!B56</f>
        <v>Châtaigne</v>
      </c>
      <c r="X66" s="600" t="str">
        <f>IF([1]BDD!F56=0, "", [1]BDD!F56)</f>
        <v/>
      </c>
      <c r="Y66" s="542">
        <f>ROUND([1]BDD!G56+FDP_CMD_KG, 2)</f>
        <v>4.95</v>
      </c>
      <c r="Z66" s="542">
        <f>ROUND([1]BDD!G56+FDP_FACT_KG, 2)</f>
        <v>4.95</v>
      </c>
      <c r="AA66" s="543" t="str">
        <f>[1]BDD!H56</f>
        <v>kg</v>
      </c>
      <c r="AB66" s="544" t="str">
        <f>IF(NOT(ISBLANK([1]BDD!I56)), ROUND(SUM(([1]BDD!G56*reduc1),FDP_CMD_KG), 2), "")</f>
        <v/>
      </c>
      <c r="AC66" s="544" t="str">
        <f>IF(NOT(ISBLANK([1]BDD!J56)), ROUND(SUM(([1]BDD!G56*reduc2),FDP_CMD_KG), 2), "")</f>
        <v/>
      </c>
      <c r="AD66" s="544" t="str">
        <f>IF(NOT(ISBLANK([1]BDD!K56)), ROUND(SUM(([1]BDD!G56*reduc3),FDP_CMD_KG), 2), "")</f>
        <v/>
      </c>
      <c r="AE66" s="544" t="str">
        <f>IF(NOT(ISBLANK([1]BDD!I56)), ROUND(SUM(([1]BDD!G56*reduc1),FDP_FACT_KG), 2), "")</f>
        <v/>
      </c>
      <c r="AF66" s="544" t="str">
        <f>IF(NOT(ISBLANK([1]BDD!J56)), ROUND(SUM(([1]BDD!G56*reduc2),FDP_FACT_KG), 2), "")</f>
        <v/>
      </c>
      <c r="AG66" s="544" t="str">
        <f>IF(NOT(ISBLANK([1]BDD!K56)), ROUND(SUM(([1]BDD!G56*reduc3),FDP_FACT_KG), 2), "")</f>
        <v/>
      </c>
      <c r="AH66" s="599" t="str">
        <f>[1]BDD!C56</f>
        <v>Grenade</v>
      </c>
      <c r="AI66" s="598">
        <f>SUM(AV66,AY66,BB66,BE66,BH66,BK66,BN66,BQ66,BT66,BW66,BZ66,CC66,CF66,CI66,CL66,CO66,CR66,CU66,CX66,DA66)</f>
        <v>0</v>
      </c>
      <c r="AJ66" s="545">
        <f>_xlfn.IFS($AD66&lt;&gt;"", $AD66,    $AC66&lt;&gt;"", $AC66,    $AB66&lt;&gt;"", $AB66,    TRUE, $Y66)</f>
        <v>4.95</v>
      </c>
      <c r="AK66" s="592">
        <f>$AI66*$AJ66</f>
        <v>0</v>
      </c>
      <c r="AL66" s="594"/>
      <c r="AM66" s="597"/>
      <c r="AN66" s="545">
        <f>_xlfn.IFS(AND(AM66&gt;=60,$AG66&lt;&gt;""), $AG66,    AND(AM66&gt;=30,$AF66&lt;&gt;""), $AF66,    AND(AM66&gt;=10,$AE66&lt;&gt;""), $AE66,    TRUE, $Z66)</f>
        <v>4.95</v>
      </c>
      <c r="AO66" s="596">
        <f>AM66*AN66</f>
        <v>0</v>
      </c>
      <c r="AP66" s="595"/>
      <c r="AQ66" s="595"/>
      <c r="AR66" s="594"/>
      <c r="AS66" s="593">
        <f>SUM(AW66,AZ66,BC66,BF66,BI66,BL66,BO66,BR66,BU66,BX66,CA66,CD66,CG66,CJ66,CM66,CP66,CS66,CV66,CY66,DB66)</f>
        <v>0</v>
      </c>
      <c r="AT66" s="545">
        <f>_xlfn.IFS(AND(AS66&gt;=60,$AG66&lt;&gt;""), $AG66,    AND(AS66&gt;=30,$AF66&lt;&gt;""), $AF66,    AND(AS66&gt;=10,$AE66&lt;&gt;""), $AE66,    TRUE, $Z66)</f>
        <v>4.95</v>
      </c>
      <c r="AU66" s="592">
        <f>$AS66*$AT66</f>
        <v>0</v>
      </c>
      <c r="AV66" s="591">
        <f>[1]COMMANDE!O64</f>
        <v>0</v>
      </c>
      <c r="AW66" s="586" t="str">
        <f>_xlfn.IFS(AND($AI66=$AM66,$AI66&gt;0,$AM66&gt;0,AV66&gt;0), AV66,     AND(NOT($AI66=$AM66),$AI66&gt;0,$AM66&gt;0,AV66&gt;0), ($AM66*AV66)/$AI66,     AND($AI66=0,$AM66&gt;0,$AQ66&gt;0), IF(INDEX(AV$12:AV$263,MATCH($AQ66,$AP$12:$AP$263,0))&gt;0,($AM66*INDEX(AV$12:AV$263,MATCH($AQ66,$AP$12:$AP$263,0)))/INDEX($AI$12:$AI$263,MATCH($AQ66,$AP$12:$AP$263,0)), "-"),     TRUE, "0")</f>
        <v>0</v>
      </c>
      <c r="AX66" s="588">
        <f>IF(AW$9&gt;0, IF(OR(AW66="",AW66="-"), 0, AW66*$AT66), AV66*$AJ66)</f>
        <v>0</v>
      </c>
      <c r="AY66" s="587">
        <f>[1]COMMANDE!Q64</f>
        <v>0</v>
      </c>
      <c r="AZ66" s="586" t="str">
        <f>_xlfn.IFS(AND($AI66=$AM66,$AI66&gt;0,$AM66&gt;0,AY66&gt;0), AY66,     AND(NOT($AI66=$AM66),$AI66&gt;0,$AM66&gt;0,AY66&gt;0), ($AM66*AY66)/$AI66,     AND($AI66=0,$AM66&gt;0,$AQ66&gt;0), IF(INDEX(AY$12:AY$263,MATCH($AQ66,$AP$12:$AP$263,0))&gt;0,($AM66*INDEX(AY$12:AY$263,MATCH($AQ66,$AP$12:$AP$263,0)))/INDEX($AI$12:$AI$263,MATCH($AQ66,$AP$12:$AP$263,0)), "-"),     TRUE, "0")</f>
        <v>0</v>
      </c>
      <c r="BA66" s="607">
        <f>IF(AZ$9&gt;0, IF(OR(AZ66="",AZ66="-"), 0, AZ66*$AT66), AY66*$AJ66)</f>
        <v>0</v>
      </c>
      <c r="BB66" s="589">
        <f>[1]COMMANDE!S64</f>
        <v>0</v>
      </c>
      <c r="BC66" s="586" t="str">
        <f>_xlfn.IFS(AND($AI66=$AM66,$AI66&gt;0,$AM66&gt;0,BB66&gt;0), BB66,     AND(NOT($AI66=$AM66),$AI66&gt;0,$AM66&gt;0,BB66&gt;0), ($AM66*BB66)/$AI66,     AND($AI66=0,$AM66&gt;0,$AQ66&gt;0), IF(INDEX(BB$12:BB$263,MATCH($AQ66,$AP$12:$AP$263,0))&gt;0,($AM66*INDEX(BB$12:BB$263,MATCH($AQ66,$AP$12:$AP$263,0)))/INDEX($AI$12:$AI$263,MATCH($AQ66,$AP$12:$AP$263,0)), "-"),     TRUE, "0")</f>
        <v>0</v>
      </c>
      <c r="BD66" s="588">
        <f>IF(BC$9&gt;0, IF(OR(BC66="",BC66="-"), 0, BC66*$AT66), BB66*$AJ66)</f>
        <v>0</v>
      </c>
      <c r="BE66" s="587">
        <f>[1]COMMANDE!U64</f>
        <v>0</v>
      </c>
      <c r="BF66" s="586" t="str">
        <f>_xlfn.IFS(AND($AI66=$AM66,$AI66&gt;0,$AM66&gt;0,BE66&gt;0), BE66,     AND(NOT($AI66=$AM66),$AI66&gt;0,$AM66&gt;0,BE66&gt;0), ($AM66*BE66)/$AI66,     AND($AI66=0,$AM66&gt;0,$AQ66&gt;0), IF(INDEX(BE$12:BE$263,MATCH($AQ66,$AP$12:$AP$263,0))&gt;0,($AM66*INDEX(BE$12:BE$263,MATCH($AQ66,$AP$12:$AP$263,0)))/INDEX($AI$12:$AI$263,MATCH($AQ66,$AP$12:$AP$263,0)), "-"),     TRUE, "0")</f>
        <v>0</v>
      </c>
      <c r="BG66" s="607">
        <f>IF(BF$9&gt;0, IF(OR(BF66="",BF66="-"), 0, BF66*$AT66), BE66*$AJ66)</f>
        <v>0</v>
      </c>
      <c r="BH66" s="589">
        <f>[1]COMMANDE!W64</f>
        <v>0</v>
      </c>
      <c r="BI66" s="586" t="str">
        <f>_xlfn.IFS(AND($AI66=$AM66,$AI66&gt;0,$AM66&gt;0,BH66&gt;0), BH66,     AND(NOT($AI66=$AM66),$AI66&gt;0,$AM66&gt;0,BH66&gt;0), ($AM66*BH66)/$AI66,     AND($AI66=0,$AM66&gt;0,$AQ66&gt;0), IF(INDEX(BH$12:BH$263,MATCH($AQ66,$AP$12:$AP$263,0))&gt;0,($AM66*INDEX(BH$12:BH$263,MATCH($AQ66,$AP$12:$AP$263,0)))/INDEX($AI$12:$AI$263,MATCH($AQ66,$AP$12:$AP$263,0)), "-"),     TRUE, "0")</f>
        <v>0</v>
      </c>
      <c r="BJ66" s="588">
        <f>IF(BI$9&gt;0, IF(OR(BI66="",BI66="-"), 0, BI66*$AT66), BH66*$AJ66)</f>
        <v>0</v>
      </c>
      <c r="BK66" s="587">
        <f>[1]COMMANDE!Y64</f>
        <v>0</v>
      </c>
      <c r="BL66" s="586" t="str">
        <f>_xlfn.IFS(AND($AI66=$AM66,$AI66&gt;0,$AM66&gt;0,BK66&gt;0), BK66,     AND(NOT($AI66=$AM66),$AI66&gt;0,$AM66&gt;0,BK66&gt;0), ($AM66*BK66)/$AI66,     AND($AI66=0,$AM66&gt;0,$AQ66&gt;0), IF(INDEX(BK$12:BK$263,MATCH($AQ66,$AP$12:$AP$263,0))&gt;0,($AM66*INDEX(BK$12:BK$263,MATCH($AQ66,$AP$12:$AP$263,0)))/INDEX($AI$12:$AI$263,MATCH($AQ66,$AP$12:$AP$263,0)), "-"),     TRUE, "0")</f>
        <v>0</v>
      </c>
      <c r="BM66" s="607">
        <f>IF(BL$9&gt;0, IF(OR(BL66="",BL66="-"), 0, BL66*$AT66), BK66*$AJ66)</f>
        <v>0</v>
      </c>
      <c r="BN66" s="589">
        <f>[1]COMMANDE!AA64</f>
        <v>0</v>
      </c>
      <c r="BO66" s="586" t="str">
        <f>_xlfn.IFS(AND($AI66=$AM66,$AI66&gt;0,$AM66&gt;0,BN66&gt;0), BN66,     AND(NOT($AI66=$AM66),$AI66&gt;0,$AM66&gt;0,BN66&gt;0), ($AM66*BN66)/$AI66,     AND($AI66=0,$AM66&gt;0,$AQ66&gt;0), IF(INDEX(BN$12:BN$263,MATCH($AQ66,$AP$12:$AP$263,0))&gt;0,($AM66*INDEX(BN$12:BN$263,MATCH($AQ66,$AP$12:$AP$263,0)))/INDEX($AI$12:$AI$263,MATCH($AQ66,$AP$12:$AP$263,0)), "-"),     TRUE, "0")</f>
        <v>0</v>
      </c>
      <c r="BP66" s="588">
        <f>IF(BO$9&gt;0, IF(OR(BO66="",BO66="-"), 0, BO66*$AT66), BN66*$AJ66)</f>
        <v>0</v>
      </c>
      <c r="BQ66" s="587">
        <f>[1]COMMANDE!AC64</f>
        <v>0</v>
      </c>
      <c r="BR66" s="586" t="str">
        <f>_xlfn.IFS(AND($AI66=$AM66,$AI66&gt;0,$AM66&gt;0,BQ66&gt;0), BQ66,     AND(NOT($AI66=$AM66),$AI66&gt;0,$AM66&gt;0,BQ66&gt;0), ($AM66*BQ66)/$AI66,     AND($AI66=0,$AM66&gt;0,$AQ66&gt;0), IF(INDEX(BQ$12:BQ$263,MATCH($AQ66,$AP$12:$AP$263,0))&gt;0,($AM66*INDEX(BQ$12:BQ$263,MATCH($AQ66,$AP$12:$AP$263,0)))/INDEX($AI$12:$AI$263,MATCH($AQ66,$AP$12:$AP$263,0)), "-"),     TRUE, "0")</f>
        <v>0</v>
      </c>
      <c r="BS66" s="607">
        <f>IF(BR$9&gt;0, IF(OR(BR66="",BR66="-"), 0, BR66*$AT66), BQ66*$AJ66)</f>
        <v>0</v>
      </c>
      <c r="BT66" s="589">
        <f>[1]COMMANDE!AE64</f>
        <v>0</v>
      </c>
      <c r="BU66" s="586" t="str">
        <f>_xlfn.IFS(AND($AI66=$AM66,$AI66&gt;0,$AM66&gt;0,BT66&gt;0), BT66,     AND(NOT($AI66=$AM66),$AI66&gt;0,$AM66&gt;0,BT66&gt;0), ($AM66*BT66)/$AI66,     AND($AI66=0,$AM66&gt;0,$AQ66&gt;0), IF(INDEX(BT$12:BT$263,MATCH($AQ66,$AP$12:$AP$263,0))&gt;0,($AM66*INDEX(BT$12:BT$263,MATCH($AQ66,$AP$12:$AP$263,0)))/INDEX($AI$12:$AI$263,MATCH($AQ66,$AP$12:$AP$263,0)), "-"),     TRUE, "0")</f>
        <v>0</v>
      </c>
      <c r="BV66" s="588">
        <f>IF(BU$9&gt;0, IF(OR(BU66="",BU66="-"), 0, BU66*$AT66), BT66*$AJ66)</f>
        <v>0</v>
      </c>
      <c r="BW66" s="587">
        <f>[1]COMMANDE!AG64</f>
        <v>0</v>
      </c>
      <c r="BX66" s="586" t="str">
        <f>_xlfn.IFS(AND($AI66=$AM66,$AI66&gt;0,$AM66&gt;0,BW66&gt;0), BW66,     AND(NOT($AI66=$AM66),$AI66&gt;0,$AM66&gt;0,BW66&gt;0), ($AM66*BW66)/$AI66,     AND($AI66=0,$AM66&gt;0,$AQ66&gt;0), IF(INDEX(BW$12:BW$263,MATCH($AQ66,$AP$12:$AP$263,0))&gt;0,($AM66*INDEX(BW$12:BW$263,MATCH($AQ66,$AP$12:$AP$263,0)))/INDEX($AI$12:$AI$263,MATCH($AQ66,$AP$12:$AP$263,0)), "-"),     TRUE, "0")</f>
        <v>0</v>
      </c>
      <c r="BY66" s="607">
        <f>IF(BX$9&gt;0, IF(OR(BX66="",BX66="-"), 0, BX66*$AT66), BW66*$AJ66)</f>
        <v>0</v>
      </c>
      <c r="BZ66" s="589">
        <f>[1]COMMANDE!AI64</f>
        <v>0</v>
      </c>
      <c r="CA66" s="586" t="str">
        <f>_xlfn.IFS(AND($AI66=$AM66,$AI66&gt;0,$AM66&gt;0,BZ66&gt;0), BZ66,     AND(NOT($AI66=$AM66),$AI66&gt;0,$AM66&gt;0,BZ66&gt;0), ($AM66*BZ66)/$AI66,     AND($AI66=0,$AM66&gt;0,$AQ66&gt;0), IF(INDEX(BZ$12:BZ$263,MATCH($AQ66,$AP$12:$AP$263,0))&gt;0,($AM66*INDEX(BZ$12:BZ$263,MATCH($AQ66,$AP$12:$AP$263,0)))/INDEX($AI$12:$AI$263,MATCH($AQ66,$AP$12:$AP$263,0)), "-"),     TRUE, "0")</f>
        <v>0</v>
      </c>
      <c r="CB66" s="588">
        <f>IF(CA$9&gt;0, IF(OR(CA66="",CA66="-"), 0, CA66*$AT66), BZ66*$AJ66)</f>
        <v>0</v>
      </c>
      <c r="CC66" s="587">
        <f>[1]COMMANDE!AK64</f>
        <v>0</v>
      </c>
      <c r="CD66" s="586" t="str">
        <f>_xlfn.IFS(AND($AI66=$AM66,$AI66&gt;0,$AM66&gt;0,CC66&gt;0), CC66,     AND(NOT($AI66=$AM66),$AI66&gt;0,$AM66&gt;0,CC66&gt;0), ($AM66*CC66)/$AI66,     AND($AI66=0,$AM66&gt;0,$AQ66&gt;0), IF(INDEX(CC$12:CC$263,MATCH($AQ66,$AP$12:$AP$263,0))&gt;0,($AM66*INDEX(CC$12:CC$263,MATCH($AQ66,$AP$12:$AP$263,0)))/INDEX($AI$12:$AI$263,MATCH($AQ66,$AP$12:$AP$263,0)), "-"),     TRUE, "0")</f>
        <v>0</v>
      </c>
      <c r="CE66" s="607">
        <f>IF(CD$9&gt;0, IF(OR(CD66="",CD66="-"), 0, CD66*$AT66), CC66*$AJ66)</f>
        <v>0</v>
      </c>
      <c r="CF66" s="589">
        <f>[1]COMMANDE!AM64</f>
        <v>0</v>
      </c>
      <c r="CG66" s="586" t="str">
        <f>_xlfn.IFS(AND($AI66=$AM66,$AI66&gt;0,$AM66&gt;0,CF66&gt;0), CF66,     AND(NOT($AI66=$AM66),$AI66&gt;0,$AM66&gt;0,CF66&gt;0), ($AM66*CF66)/$AI66,     AND($AI66=0,$AM66&gt;0,$AQ66&gt;0), IF(INDEX(CF$12:CF$263,MATCH($AQ66,$AP$12:$AP$263,0))&gt;0,($AM66*INDEX(CF$12:CF$263,MATCH($AQ66,$AP$12:$AP$263,0)))/INDEX($AI$12:$AI$263,MATCH($AQ66,$AP$12:$AP$263,0)), "-"),     TRUE, "0")</f>
        <v>0</v>
      </c>
      <c r="CH66" s="588">
        <f>IF(CG$9&gt;0, IF(OR(CG66="",CG66="-"), 0, CG66*$AT66), CF66*$AJ66)</f>
        <v>0</v>
      </c>
      <c r="CI66" s="587">
        <f>[1]COMMANDE!AO64</f>
        <v>0</v>
      </c>
      <c r="CJ66" s="586" t="str">
        <f>_xlfn.IFS(AND($AI66=$AM66,$AI66&gt;0,$AM66&gt;0,CI66&gt;0), CI66,     AND(NOT($AI66=$AM66),$AI66&gt;0,$AM66&gt;0,CI66&gt;0), ($AM66*CI66)/$AI66,     AND($AI66=0,$AM66&gt;0,$AQ66&gt;0), IF(INDEX(CI$12:CI$263,MATCH($AQ66,$AP$12:$AP$263,0))&gt;0,($AM66*INDEX(CI$12:CI$263,MATCH($AQ66,$AP$12:$AP$263,0)))/INDEX($AI$12:$AI$263,MATCH($AQ66,$AP$12:$AP$263,0)), "-"),     TRUE, "0")</f>
        <v>0</v>
      </c>
      <c r="CK66" s="607">
        <f>IF(CJ$9&gt;0, IF(OR(CJ66="",CJ66="-"), 0, CJ66*$AT66), CI66*$AJ66)</f>
        <v>0</v>
      </c>
      <c r="CL66" s="589">
        <f>[1]COMMANDE!AQ64</f>
        <v>0</v>
      </c>
      <c r="CM66" s="586" t="str">
        <f>_xlfn.IFS(AND($AI66=$AM66,$AI66&gt;0,$AM66&gt;0,CL66&gt;0), CL66,     AND(NOT($AI66=$AM66),$AI66&gt;0,$AM66&gt;0,CL66&gt;0), ($AM66*CL66)/$AI66,     AND($AI66=0,$AM66&gt;0,$AQ66&gt;0), IF(INDEX(CL$12:CL$263,MATCH($AQ66,$AP$12:$AP$263,0))&gt;0,($AM66*INDEX(CL$12:CL$263,MATCH($AQ66,$AP$12:$AP$263,0)))/INDEX($AI$12:$AI$263,MATCH($AQ66,$AP$12:$AP$263,0)), "-"),     TRUE, "0")</f>
        <v>0</v>
      </c>
      <c r="CN66" s="588">
        <f>IF(CM$9&gt;0, IF(OR(CM66="",CM66="-"), 0, CM66*$AT66), CL66*$AJ66)</f>
        <v>0</v>
      </c>
      <c r="CO66" s="587">
        <f>[1]COMMANDE!AS64</f>
        <v>0</v>
      </c>
      <c r="CP66" s="586" t="str">
        <f>_xlfn.IFS(AND($AI66=$AM66,$AI66&gt;0,$AM66&gt;0,CO66&gt;0), CO66,     AND(NOT($AI66=$AM66),$AI66&gt;0,$AM66&gt;0,CO66&gt;0), ($AM66*CO66)/$AI66,     AND($AI66=0,$AM66&gt;0,$AQ66&gt;0), IF(INDEX(CO$12:CO$263,MATCH($AQ66,$AP$12:$AP$263,0))&gt;0,($AM66*INDEX(CO$12:CO$263,MATCH($AQ66,$AP$12:$AP$263,0)))/INDEX($AI$12:$AI$263,MATCH($AQ66,$AP$12:$AP$263,0)), "-"),     TRUE, "0")</f>
        <v>0</v>
      </c>
      <c r="CQ66" s="607">
        <f>IF(CP$9&gt;0, IF(OR(CP66="",CP66="-"), 0, CP66*$AT66), CO66*$AJ66)</f>
        <v>0</v>
      </c>
      <c r="CR66" s="589">
        <f>[1]COMMANDE!AU64</f>
        <v>0</v>
      </c>
      <c r="CS66" s="586" t="str">
        <f>_xlfn.IFS(AND($AI66=$AM66,$AI66&gt;0,$AM66&gt;0,CR66&gt;0), CR66,     AND(NOT($AI66=$AM66),$AI66&gt;0,$AM66&gt;0,CR66&gt;0), ($AM66*CR66)/$AI66,     AND($AI66=0,$AM66&gt;0,$AQ66&gt;0), IF(INDEX(CR$12:CR$263,MATCH($AQ66,$AP$12:$AP$263,0))&gt;0,($AM66*INDEX(CR$12:CR$263,MATCH($AQ66,$AP$12:$AP$263,0)))/INDEX($AI$12:$AI$263,MATCH($AQ66,$AP$12:$AP$263,0)), "-"),     TRUE, "0")</f>
        <v>0</v>
      </c>
      <c r="CT66" s="588">
        <f>IF(CS$9&gt;0, IF(OR(CS66="",CS66="-"), 0, CS66*$AT66), CR66*$AJ66)</f>
        <v>0</v>
      </c>
      <c r="CU66" s="587">
        <f>[1]COMMANDE!AW64</f>
        <v>0</v>
      </c>
      <c r="CV66" s="586" t="str">
        <f>_xlfn.IFS(AND($AI66=$AM66,$AI66&gt;0,$AM66&gt;0,CU66&gt;0), CU66,     AND(NOT($AI66=$AM66),$AI66&gt;0,$AM66&gt;0,CU66&gt;0), ($AM66*CU66)/$AI66,     AND($AI66=0,$AM66&gt;0,$AQ66&gt;0), IF(INDEX(CU$12:CU$263,MATCH($AQ66,$AP$12:$AP$263,0))&gt;0,($AM66*INDEX(CU$12:CU$263,MATCH($AQ66,$AP$12:$AP$263,0)))/INDEX($AI$12:$AI$263,MATCH($AQ66,$AP$12:$AP$263,0)), "-"),     TRUE, "0")</f>
        <v>0</v>
      </c>
      <c r="CW66" s="607">
        <f>IF(CV$9&gt;0, IF(OR(CV66="",CV66="-"), 0, CV66*$AT66), CU66*$AJ66)</f>
        <v>0</v>
      </c>
      <c r="CX66" s="589">
        <f>[1]COMMANDE!AY64</f>
        <v>0</v>
      </c>
      <c r="CY66" s="586" t="str">
        <f>_xlfn.IFS(AND($AI66=$AM66,$AI66&gt;0,$AM66&gt;0,CX66&gt;0), CX66,     AND(NOT($AI66=$AM66),$AI66&gt;0,$AM66&gt;0,CX66&gt;0), ($AM66*CX66)/$AI66,     AND($AI66=0,$AM66&gt;0,$AQ66&gt;0), IF(INDEX(CX$12:CX$263,MATCH($AQ66,$AP$12:$AP$263,0))&gt;0,($AM66*INDEX(CX$12:CX$263,MATCH($AQ66,$AP$12:$AP$263,0)))/INDEX($AI$12:$AI$263,MATCH($AQ66,$AP$12:$AP$263,0)), "-"),     TRUE, "0")</f>
        <v>0</v>
      </c>
      <c r="CZ66" s="588">
        <f>IF(CY$9&gt;0, IF(OR(CY66="",CY66="-"), 0, CY66*$AT66), CX66*$AJ66)</f>
        <v>0</v>
      </c>
      <c r="DA66" s="587">
        <f>[1]COMMANDE!BA64</f>
        <v>0</v>
      </c>
      <c r="DB66" s="586" t="str">
        <f>_xlfn.IFS(AND($AI66=$AM66,$AI66&gt;0,$AM66&gt;0,DA66&gt;0), DA66,     AND(NOT($AI66=$AM66),$AI66&gt;0,$AM66&gt;0,DA66&gt;0), ($AM66*DA66)/$AI66,     AND($AI66=0,$AM66&gt;0,$AQ66&gt;0), IF(INDEX(DA$12:DA$263,MATCH($AQ66,$AP$12:$AP$263,0))&gt;0,($AM66*INDEX(DA$12:DA$263,MATCH($AQ66,$AP$12:$AP$263,0)))/INDEX($AI$12:$AI$263,MATCH($AQ66,$AP$12:$AP$263,0)), "-"),     TRUE, "0")</f>
        <v>0</v>
      </c>
      <c r="DC66" s="606">
        <f>IF(DB$9&gt;0, IF(OR(DB66="",DB66="-"), 0, DB66*$AT66), DA66*$AJ66)</f>
        <v>0</v>
      </c>
      <c r="DD66" s="584"/>
      <c r="DE66" s="583"/>
    </row>
    <row r="67" spans="1:109" ht="39.950000000000003" hidden="1" customHeight="1">
      <c r="A67" s="604">
        <f>IF(OR($AV67&gt;0, $AX67&gt;0), 1, 0)</f>
        <v>0</v>
      </c>
      <c r="B67" s="604">
        <f>IF(OR($AY67&gt;0, $BA67&gt;0), 1, 0)</f>
        <v>0</v>
      </c>
      <c r="C67" s="604">
        <f>IF(OR($BB67&gt;0, $BD67&gt;0), 1, 0)</f>
        <v>0</v>
      </c>
      <c r="D67" s="604">
        <f>IF(OR($BE67&gt;0, $BG67&gt;0), 1, 0)</f>
        <v>0</v>
      </c>
      <c r="E67" s="604">
        <f>IF(OR($BH67&gt;0, $BJ67&gt;0), 1, 0)</f>
        <v>0</v>
      </c>
      <c r="F67" s="604">
        <f>IF(OR($BK67&gt;0, $BM67&gt;0), 1, 0)</f>
        <v>0</v>
      </c>
      <c r="G67" s="604">
        <f>IF(OR($BN67&gt;0, $BP67&gt;0), 1, 0)</f>
        <v>0</v>
      </c>
      <c r="H67" s="604">
        <f>IF(OR($BQ67&gt;0, $BS67&gt;0), 1, 0)</f>
        <v>0</v>
      </c>
      <c r="I67" s="604">
        <f>IF(OR($BT67&gt;0, $BV67&gt;0), 1, 0)</f>
        <v>0</v>
      </c>
      <c r="J67" s="604">
        <f>IF(OR($BW67&gt;0, $BY67&gt;0), 1, 0)</f>
        <v>0</v>
      </c>
      <c r="K67" s="604">
        <f>IF(OR($BZ67&gt;0, $CB67&gt;0), 1, 0)</f>
        <v>0</v>
      </c>
      <c r="L67" s="604">
        <f>IF(OR($CC67&gt;0, $CE67&gt;0), 1, 0)</f>
        <v>0</v>
      </c>
      <c r="M67" s="604">
        <f>IF(OR($CF67&gt;0, $CH67&gt;0), 1, 0)</f>
        <v>0</v>
      </c>
      <c r="N67" s="604">
        <f>IF(OR($CI67&gt;0, $CK67&gt;0), 1, 0)</f>
        <v>0</v>
      </c>
      <c r="O67" s="604">
        <f>IF(OR($CL67&gt;0, $CN67&gt;0), 1, 0)</f>
        <v>0</v>
      </c>
      <c r="P67" s="604">
        <f>IF(OR($CO67&gt;0, $CQ67&gt;0), 1, 0)</f>
        <v>0</v>
      </c>
      <c r="Q67" s="604">
        <f>IF(OR($CR67&gt;0, $CT67&gt;0), 1, 0)</f>
        <v>0</v>
      </c>
      <c r="R67" s="604">
        <f>IF(OR($CU67&gt;0, $CW67&gt;0), 1, 0)</f>
        <v>0</v>
      </c>
      <c r="S67" s="604">
        <f>IF(OR($CX67&gt;0, $CZ67&gt;0), 1, 0)</f>
        <v>0</v>
      </c>
      <c r="T67" s="604">
        <f>IF(OR($DA67&gt;0, $DC67&gt;0), 1, 0)</f>
        <v>0</v>
      </c>
      <c r="U67" s="603">
        <f>IF(OR($AI67&gt;0,$AM67&gt;0,$AS67&gt;0), 1, 0)</f>
        <v>0</v>
      </c>
      <c r="V67" s="602">
        <f>[1]BDD!A57</f>
        <v>1572</v>
      </c>
      <c r="W67" s="601" t="str">
        <f>[1]BDD!B57</f>
        <v>Chia BIO (env. 1kg)</v>
      </c>
      <c r="X67" s="600" t="str">
        <f>IF([1]BDD!F57=0, "", [1]BDD!F57)</f>
        <v>❤️</v>
      </c>
      <c r="Y67" s="542">
        <f>ROUND([1]BDD!G57+FDP_CMD_KG, 2)</f>
        <v>7.02</v>
      </c>
      <c r="Z67" s="542">
        <f>ROUND([1]BDD!G57+FDP_FACT_KG, 2)</f>
        <v>7.02</v>
      </c>
      <c r="AA67" s="543" t="str">
        <f>[1]BDD!H57</f>
        <v>Pièce</v>
      </c>
      <c r="AB67" s="544">
        <f>IF(NOT(ISBLANK([1]BDD!I57)), ROUND(SUM(([1]BDD!G57*reduc1),FDP_CMD_KG), 2), "")</f>
        <v>6.41</v>
      </c>
      <c r="AC67" s="544" t="str">
        <f>IF(NOT(ISBLANK([1]BDD!J57)), ROUND(SUM(([1]BDD!G57*reduc2),FDP_CMD_KG), 2), "")</f>
        <v/>
      </c>
      <c r="AD67" s="544" t="str">
        <f>IF(NOT(ISBLANK([1]BDD!K57)), ROUND(SUM(([1]BDD!G57*reduc3),FDP_CMD_KG), 2), "")</f>
        <v/>
      </c>
      <c r="AE67" s="544">
        <f>IF(NOT(ISBLANK([1]BDD!I57)), ROUND(SUM(([1]BDD!G57*reduc1),FDP_FACT_KG), 2), "")</f>
        <v>6.4</v>
      </c>
      <c r="AF67" s="544" t="str">
        <f>IF(NOT(ISBLANK([1]BDD!J57)), ROUND(SUM(([1]BDD!G57*reduc2),FDP_FACT_KG), 2), "")</f>
        <v/>
      </c>
      <c r="AG67" s="544" t="str">
        <f>IF(NOT(ISBLANK([1]BDD!K57)), ROUND(SUM(([1]BDD!G57*reduc3),FDP_FACT_KG), 2), "")</f>
        <v/>
      </c>
      <c r="AH67" s="599" t="str">
        <f>[1]BDD!C57</f>
        <v>Bolivie</v>
      </c>
      <c r="AI67" s="598">
        <f>SUM(AV67,AY67,BB67,BE67,BH67,BK67,BN67,BQ67,BT67,BW67,BZ67,CC67,CF67,CI67,CL67,CO67,CR67,CU67,CX67,DA67)</f>
        <v>0</v>
      </c>
      <c r="AJ67" s="545">
        <f>_xlfn.IFS($AD67&lt;&gt;"", $AD67,    $AC67&lt;&gt;"", $AC67,    $AB67&lt;&gt;"", $AB67,    TRUE, $Y67)</f>
        <v>6.41</v>
      </c>
      <c r="AK67" s="592">
        <f>$AI67*$AJ67</f>
        <v>0</v>
      </c>
      <c r="AL67" s="594"/>
      <c r="AM67" s="597"/>
      <c r="AN67" s="545">
        <f>_xlfn.IFS(AND(AM67&gt;=60,$AG67&lt;&gt;""), $AG67,    AND(AM67&gt;=30,$AF67&lt;&gt;""), $AF67,    AND(AM67&gt;=10,$AE67&lt;&gt;""), $AE67,    TRUE, $Z67)</f>
        <v>7.02</v>
      </c>
      <c r="AO67" s="596">
        <f>AM67*AN67</f>
        <v>0</v>
      </c>
      <c r="AP67" s="595"/>
      <c r="AQ67" s="595"/>
      <c r="AR67" s="594"/>
      <c r="AS67" s="593">
        <f>SUM(AW67,AZ67,BC67,BF67,BI67,BL67,BO67,BR67,BU67,BX67,CA67,CD67,CG67,CJ67,CM67,CP67,CS67,CV67,CY67,DB67)</f>
        <v>0</v>
      </c>
      <c r="AT67" s="545">
        <f>_xlfn.IFS(AND(AS67&gt;=60,$AG67&lt;&gt;""), $AG67,    AND(AS67&gt;=30,$AF67&lt;&gt;""), $AF67,    AND(AS67&gt;=10,$AE67&lt;&gt;""), $AE67,    TRUE, $Z67)</f>
        <v>7.02</v>
      </c>
      <c r="AU67" s="592">
        <f>$AS67*$AT67</f>
        <v>0</v>
      </c>
      <c r="AV67" s="591">
        <f>[1]COMMANDE!O65</f>
        <v>0</v>
      </c>
      <c r="AW67" s="586" t="str">
        <f>_xlfn.IFS(AND($AI67=$AM67,$AI67&gt;0,$AM67&gt;0,AV67&gt;0), AV67,     AND(NOT($AI67=$AM67),$AI67&gt;0,$AM67&gt;0,AV67&gt;0), ($AM67*AV67)/$AI67,     AND($AI67=0,$AM67&gt;0,$AQ67&gt;0), IF(INDEX(AV$12:AV$263,MATCH($AQ67,$AP$12:$AP$263,0))&gt;0,($AM67*INDEX(AV$12:AV$263,MATCH($AQ67,$AP$12:$AP$263,0)))/INDEX($AI$12:$AI$263,MATCH($AQ67,$AP$12:$AP$263,0)), "-"),     TRUE, "0")</f>
        <v>0</v>
      </c>
      <c r="AX67" s="588">
        <f>IF(AW$9&gt;0, IF(OR(AW67="",AW67="-"), 0, AW67*$AT67), AV67*$AJ67)</f>
        <v>0</v>
      </c>
      <c r="AY67" s="587">
        <f>[1]COMMANDE!Q65</f>
        <v>0</v>
      </c>
      <c r="AZ67" s="586" t="str">
        <f>_xlfn.IFS(AND($AI67=$AM67,$AI67&gt;0,$AM67&gt;0,AY67&gt;0), AY67,     AND(NOT($AI67=$AM67),$AI67&gt;0,$AM67&gt;0,AY67&gt;0), ($AM67*AY67)/$AI67,     AND($AI67=0,$AM67&gt;0,$AQ67&gt;0), IF(INDEX(AY$12:AY$263,MATCH($AQ67,$AP$12:$AP$263,0))&gt;0,($AM67*INDEX(AY$12:AY$263,MATCH($AQ67,$AP$12:$AP$263,0)))/INDEX($AI$12:$AI$263,MATCH($AQ67,$AP$12:$AP$263,0)), "-"),     TRUE, "0")</f>
        <v>0</v>
      </c>
      <c r="BA67" s="607">
        <f>IF(AZ$9&gt;0, IF(OR(AZ67="",AZ67="-"), 0, AZ67*$AT67), AY67*$AJ67)</f>
        <v>0</v>
      </c>
      <c r="BB67" s="589">
        <f>[1]COMMANDE!S65</f>
        <v>0</v>
      </c>
      <c r="BC67" s="586" t="str">
        <f>_xlfn.IFS(AND($AI67=$AM67,$AI67&gt;0,$AM67&gt;0,BB67&gt;0), BB67,     AND(NOT($AI67=$AM67),$AI67&gt;0,$AM67&gt;0,BB67&gt;0), ($AM67*BB67)/$AI67,     AND($AI67=0,$AM67&gt;0,$AQ67&gt;0), IF(INDEX(BB$12:BB$263,MATCH($AQ67,$AP$12:$AP$263,0))&gt;0,($AM67*INDEX(BB$12:BB$263,MATCH($AQ67,$AP$12:$AP$263,0)))/INDEX($AI$12:$AI$263,MATCH($AQ67,$AP$12:$AP$263,0)), "-"),     TRUE, "0")</f>
        <v>0</v>
      </c>
      <c r="BD67" s="588">
        <f>IF(BC$9&gt;0, IF(OR(BC67="",BC67="-"), 0, BC67*$AT67), BB67*$AJ67)</f>
        <v>0</v>
      </c>
      <c r="BE67" s="587">
        <f>[1]COMMANDE!U65</f>
        <v>0</v>
      </c>
      <c r="BF67" s="586" t="str">
        <f>_xlfn.IFS(AND($AI67=$AM67,$AI67&gt;0,$AM67&gt;0,BE67&gt;0), BE67,     AND(NOT($AI67=$AM67),$AI67&gt;0,$AM67&gt;0,BE67&gt;0), ($AM67*BE67)/$AI67,     AND($AI67=0,$AM67&gt;0,$AQ67&gt;0), IF(INDEX(BE$12:BE$263,MATCH($AQ67,$AP$12:$AP$263,0))&gt;0,($AM67*INDEX(BE$12:BE$263,MATCH($AQ67,$AP$12:$AP$263,0)))/INDEX($AI$12:$AI$263,MATCH($AQ67,$AP$12:$AP$263,0)), "-"),     TRUE, "0")</f>
        <v>0</v>
      </c>
      <c r="BG67" s="607">
        <f>IF(BF$9&gt;0, IF(OR(BF67="",BF67="-"), 0, BF67*$AT67), BE67*$AJ67)</f>
        <v>0</v>
      </c>
      <c r="BH67" s="589">
        <f>[1]COMMANDE!W65</f>
        <v>0</v>
      </c>
      <c r="BI67" s="586" t="str">
        <f>_xlfn.IFS(AND($AI67=$AM67,$AI67&gt;0,$AM67&gt;0,BH67&gt;0), BH67,     AND(NOT($AI67=$AM67),$AI67&gt;0,$AM67&gt;0,BH67&gt;0), ($AM67*BH67)/$AI67,     AND($AI67=0,$AM67&gt;0,$AQ67&gt;0), IF(INDEX(BH$12:BH$263,MATCH($AQ67,$AP$12:$AP$263,0))&gt;0,($AM67*INDEX(BH$12:BH$263,MATCH($AQ67,$AP$12:$AP$263,0)))/INDEX($AI$12:$AI$263,MATCH($AQ67,$AP$12:$AP$263,0)), "-"),     TRUE, "0")</f>
        <v>0</v>
      </c>
      <c r="BJ67" s="588">
        <f>IF(BI$9&gt;0, IF(OR(BI67="",BI67="-"), 0, BI67*$AT67), BH67*$AJ67)</f>
        <v>0</v>
      </c>
      <c r="BK67" s="587">
        <f>[1]COMMANDE!Y65</f>
        <v>0</v>
      </c>
      <c r="BL67" s="586" t="str">
        <f>_xlfn.IFS(AND($AI67=$AM67,$AI67&gt;0,$AM67&gt;0,BK67&gt;0), BK67,     AND(NOT($AI67=$AM67),$AI67&gt;0,$AM67&gt;0,BK67&gt;0), ($AM67*BK67)/$AI67,     AND($AI67=0,$AM67&gt;0,$AQ67&gt;0), IF(INDEX(BK$12:BK$263,MATCH($AQ67,$AP$12:$AP$263,0))&gt;0,($AM67*INDEX(BK$12:BK$263,MATCH($AQ67,$AP$12:$AP$263,0)))/INDEX($AI$12:$AI$263,MATCH($AQ67,$AP$12:$AP$263,0)), "-"),     TRUE, "0")</f>
        <v>0</v>
      </c>
      <c r="BM67" s="607">
        <f>IF(BL$9&gt;0, IF(OR(BL67="",BL67="-"), 0, BL67*$AT67), BK67*$AJ67)</f>
        <v>0</v>
      </c>
      <c r="BN67" s="589">
        <f>[1]COMMANDE!AA65</f>
        <v>0</v>
      </c>
      <c r="BO67" s="586" t="str">
        <f>_xlfn.IFS(AND($AI67=$AM67,$AI67&gt;0,$AM67&gt;0,BN67&gt;0), BN67,     AND(NOT($AI67=$AM67),$AI67&gt;0,$AM67&gt;0,BN67&gt;0), ($AM67*BN67)/$AI67,     AND($AI67=0,$AM67&gt;0,$AQ67&gt;0), IF(INDEX(BN$12:BN$263,MATCH($AQ67,$AP$12:$AP$263,0))&gt;0,($AM67*INDEX(BN$12:BN$263,MATCH($AQ67,$AP$12:$AP$263,0)))/INDEX($AI$12:$AI$263,MATCH($AQ67,$AP$12:$AP$263,0)), "-"),     TRUE, "0")</f>
        <v>0</v>
      </c>
      <c r="BP67" s="588">
        <f>IF(BO$9&gt;0, IF(OR(BO67="",BO67="-"), 0, BO67*$AT67), BN67*$AJ67)</f>
        <v>0</v>
      </c>
      <c r="BQ67" s="587">
        <f>[1]COMMANDE!AC65</f>
        <v>0</v>
      </c>
      <c r="BR67" s="586" t="str">
        <f>_xlfn.IFS(AND($AI67=$AM67,$AI67&gt;0,$AM67&gt;0,BQ67&gt;0), BQ67,     AND(NOT($AI67=$AM67),$AI67&gt;0,$AM67&gt;0,BQ67&gt;0), ($AM67*BQ67)/$AI67,     AND($AI67=0,$AM67&gt;0,$AQ67&gt;0), IF(INDEX(BQ$12:BQ$263,MATCH($AQ67,$AP$12:$AP$263,0))&gt;0,($AM67*INDEX(BQ$12:BQ$263,MATCH($AQ67,$AP$12:$AP$263,0)))/INDEX($AI$12:$AI$263,MATCH($AQ67,$AP$12:$AP$263,0)), "-"),     TRUE, "0")</f>
        <v>0</v>
      </c>
      <c r="BS67" s="607">
        <f>IF(BR$9&gt;0, IF(OR(BR67="",BR67="-"), 0, BR67*$AT67), BQ67*$AJ67)</f>
        <v>0</v>
      </c>
      <c r="BT67" s="589">
        <f>[1]COMMANDE!AE65</f>
        <v>0</v>
      </c>
      <c r="BU67" s="586" t="str">
        <f>_xlfn.IFS(AND($AI67=$AM67,$AI67&gt;0,$AM67&gt;0,BT67&gt;0), BT67,     AND(NOT($AI67=$AM67),$AI67&gt;0,$AM67&gt;0,BT67&gt;0), ($AM67*BT67)/$AI67,     AND($AI67=0,$AM67&gt;0,$AQ67&gt;0), IF(INDEX(BT$12:BT$263,MATCH($AQ67,$AP$12:$AP$263,0))&gt;0,($AM67*INDEX(BT$12:BT$263,MATCH($AQ67,$AP$12:$AP$263,0)))/INDEX($AI$12:$AI$263,MATCH($AQ67,$AP$12:$AP$263,0)), "-"),     TRUE, "0")</f>
        <v>0</v>
      </c>
      <c r="BV67" s="588">
        <f>IF(BU$9&gt;0, IF(OR(BU67="",BU67="-"), 0, BU67*$AT67), BT67*$AJ67)</f>
        <v>0</v>
      </c>
      <c r="BW67" s="587">
        <f>[1]COMMANDE!AG65</f>
        <v>0</v>
      </c>
      <c r="BX67" s="586" t="str">
        <f>_xlfn.IFS(AND($AI67=$AM67,$AI67&gt;0,$AM67&gt;0,BW67&gt;0), BW67,     AND(NOT($AI67=$AM67),$AI67&gt;0,$AM67&gt;0,BW67&gt;0), ($AM67*BW67)/$AI67,     AND($AI67=0,$AM67&gt;0,$AQ67&gt;0), IF(INDEX(BW$12:BW$263,MATCH($AQ67,$AP$12:$AP$263,0))&gt;0,($AM67*INDEX(BW$12:BW$263,MATCH($AQ67,$AP$12:$AP$263,0)))/INDEX($AI$12:$AI$263,MATCH($AQ67,$AP$12:$AP$263,0)), "-"),     TRUE, "0")</f>
        <v>0</v>
      </c>
      <c r="BY67" s="607">
        <f>IF(BX$9&gt;0, IF(OR(BX67="",BX67="-"), 0, BX67*$AT67), BW67*$AJ67)</f>
        <v>0</v>
      </c>
      <c r="BZ67" s="589">
        <f>[1]COMMANDE!AI65</f>
        <v>0</v>
      </c>
      <c r="CA67" s="586" t="str">
        <f>_xlfn.IFS(AND($AI67=$AM67,$AI67&gt;0,$AM67&gt;0,BZ67&gt;0), BZ67,     AND(NOT($AI67=$AM67),$AI67&gt;0,$AM67&gt;0,BZ67&gt;0), ($AM67*BZ67)/$AI67,     AND($AI67=0,$AM67&gt;0,$AQ67&gt;0), IF(INDEX(BZ$12:BZ$263,MATCH($AQ67,$AP$12:$AP$263,0))&gt;0,($AM67*INDEX(BZ$12:BZ$263,MATCH($AQ67,$AP$12:$AP$263,0)))/INDEX($AI$12:$AI$263,MATCH($AQ67,$AP$12:$AP$263,0)), "-"),     TRUE, "0")</f>
        <v>0</v>
      </c>
      <c r="CB67" s="588">
        <f>IF(CA$9&gt;0, IF(OR(CA67="",CA67="-"), 0, CA67*$AT67), BZ67*$AJ67)</f>
        <v>0</v>
      </c>
      <c r="CC67" s="587">
        <f>[1]COMMANDE!AK65</f>
        <v>0</v>
      </c>
      <c r="CD67" s="586" t="str">
        <f>_xlfn.IFS(AND($AI67=$AM67,$AI67&gt;0,$AM67&gt;0,CC67&gt;0), CC67,     AND(NOT($AI67=$AM67),$AI67&gt;0,$AM67&gt;0,CC67&gt;0), ($AM67*CC67)/$AI67,     AND($AI67=0,$AM67&gt;0,$AQ67&gt;0), IF(INDEX(CC$12:CC$263,MATCH($AQ67,$AP$12:$AP$263,0))&gt;0,($AM67*INDEX(CC$12:CC$263,MATCH($AQ67,$AP$12:$AP$263,0)))/INDEX($AI$12:$AI$263,MATCH($AQ67,$AP$12:$AP$263,0)), "-"),     TRUE, "0")</f>
        <v>0</v>
      </c>
      <c r="CE67" s="607">
        <f>IF(CD$9&gt;0, IF(OR(CD67="",CD67="-"), 0, CD67*$AT67), CC67*$AJ67)</f>
        <v>0</v>
      </c>
      <c r="CF67" s="589">
        <f>[1]COMMANDE!AM65</f>
        <v>0</v>
      </c>
      <c r="CG67" s="586" t="str">
        <f>_xlfn.IFS(AND($AI67=$AM67,$AI67&gt;0,$AM67&gt;0,CF67&gt;0), CF67,     AND(NOT($AI67=$AM67),$AI67&gt;0,$AM67&gt;0,CF67&gt;0), ($AM67*CF67)/$AI67,     AND($AI67=0,$AM67&gt;0,$AQ67&gt;0), IF(INDEX(CF$12:CF$263,MATCH($AQ67,$AP$12:$AP$263,0))&gt;0,($AM67*INDEX(CF$12:CF$263,MATCH($AQ67,$AP$12:$AP$263,0)))/INDEX($AI$12:$AI$263,MATCH($AQ67,$AP$12:$AP$263,0)), "-"),     TRUE, "0")</f>
        <v>0</v>
      </c>
      <c r="CH67" s="588">
        <f>IF(CG$9&gt;0, IF(OR(CG67="",CG67="-"), 0, CG67*$AT67), CF67*$AJ67)</f>
        <v>0</v>
      </c>
      <c r="CI67" s="587">
        <f>[1]COMMANDE!AO65</f>
        <v>0</v>
      </c>
      <c r="CJ67" s="586" t="str">
        <f>_xlfn.IFS(AND($AI67=$AM67,$AI67&gt;0,$AM67&gt;0,CI67&gt;0), CI67,     AND(NOT($AI67=$AM67),$AI67&gt;0,$AM67&gt;0,CI67&gt;0), ($AM67*CI67)/$AI67,     AND($AI67=0,$AM67&gt;0,$AQ67&gt;0), IF(INDEX(CI$12:CI$263,MATCH($AQ67,$AP$12:$AP$263,0))&gt;0,($AM67*INDEX(CI$12:CI$263,MATCH($AQ67,$AP$12:$AP$263,0)))/INDEX($AI$12:$AI$263,MATCH($AQ67,$AP$12:$AP$263,0)), "-"),     TRUE, "0")</f>
        <v>0</v>
      </c>
      <c r="CK67" s="607">
        <f>IF(CJ$9&gt;0, IF(OR(CJ67="",CJ67="-"), 0, CJ67*$AT67), CI67*$AJ67)</f>
        <v>0</v>
      </c>
      <c r="CL67" s="589">
        <f>[1]COMMANDE!AQ65</f>
        <v>0</v>
      </c>
      <c r="CM67" s="586" t="str">
        <f>_xlfn.IFS(AND($AI67=$AM67,$AI67&gt;0,$AM67&gt;0,CL67&gt;0), CL67,     AND(NOT($AI67=$AM67),$AI67&gt;0,$AM67&gt;0,CL67&gt;0), ($AM67*CL67)/$AI67,     AND($AI67=0,$AM67&gt;0,$AQ67&gt;0), IF(INDEX(CL$12:CL$263,MATCH($AQ67,$AP$12:$AP$263,0))&gt;0,($AM67*INDEX(CL$12:CL$263,MATCH($AQ67,$AP$12:$AP$263,0)))/INDEX($AI$12:$AI$263,MATCH($AQ67,$AP$12:$AP$263,0)), "-"),     TRUE, "0")</f>
        <v>0</v>
      </c>
      <c r="CN67" s="588">
        <f>IF(CM$9&gt;0, IF(OR(CM67="",CM67="-"), 0, CM67*$AT67), CL67*$AJ67)</f>
        <v>0</v>
      </c>
      <c r="CO67" s="587">
        <f>[1]COMMANDE!AS65</f>
        <v>0</v>
      </c>
      <c r="CP67" s="586" t="str">
        <f>_xlfn.IFS(AND($AI67=$AM67,$AI67&gt;0,$AM67&gt;0,CO67&gt;0), CO67,     AND(NOT($AI67=$AM67),$AI67&gt;0,$AM67&gt;0,CO67&gt;0), ($AM67*CO67)/$AI67,     AND($AI67=0,$AM67&gt;0,$AQ67&gt;0), IF(INDEX(CO$12:CO$263,MATCH($AQ67,$AP$12:$AP$263,0))&gt;0,($AM67*INDEX(CO$12:CO$263,MATCH($AQ67,$AP$12:$AP$263,0)))/INDEX($AI$12:$AI$263,MATCH($AQ67,$AP$12:$AP$263,0)), "-"),     TRUE, "0")</f>
        <v>0</v>
      </c>
      <c r="CQ67" s="607">
        <f>IF(CP$9&gt;0, IF(OR(CP67="",CP67="-"), 0, CP67*$AT67), CO67*$AJ67)</f>
        <v>0</v>
      </c>
      <c r="CR67" s="589">
        <f>[1]COMMANDE!AU65</f>
        <v>0</v>
      </c>
      <c r="CS67" s="586" t="str">
        <f>_xlfn.IFS(AND($AI67=$AM67,$AI67&gt;0,$AM67&gt;0,CR67&gt;0), CR67,     AND(NOT($AI67=$AM67),$AI67&gt;0,$AM67&gt;0,CR67&gt;0), ($AM67*CR67)/$AI67,     AND($AI67=0,$AM67&gt;0,$AQ67&gt;0), IF(INDEX(CR$12:CR$263,MATCH($AQ67,$AP$12:$AP$263,0))&gt;0,($AM67*INDEX(CR$12:CR$263,MATCH($AQ67,$AP$12:$AP$263,0)))/INDEX($AI$12:$AI$263,MATCH($AQ67,$AP$12:$AP$263,0)), "-"),     TRUE, "0")</f>
        <v>0</v>
      </c>
      <c r="CT67" s="588">
        <f>IF(CS$9&gt;0, IF(OR(CS67="",CS67="-"), 0, CS67*$AT67), CR67*$AJ67)</f>
        <v>0</v>
      </c>
      <c r="CU67" s="587">
        <f>[1]COMMANDE!AW65</f>
        <v>0</v>
      </c>
      <c r="CV67" s="586" t="str">
        <f>_xlfn.IFS(AND($AI67=$AM67,$AI67&gt;0,$AM67&gt;0,CU67&gt;0), CU67,     AND(NOT($AI67=$AM67),$AI67&gt;0,$AM67&gt;0,CU67&gt;0), ($AM67*CU67)/$AI67,     AND($AI67=0,$AM67&gt;0,$AQ67&gt;0), IF(INDEX(CU$12:CU$263,MATCH($AQ67,$AP$12:$AP$263,0))&gt;0,($AM67*INDEX(CU$12:CU$263,MATCH($AQ67,$AP$12:$AP$263,0)))/INDEX($AI$12:$AI$263,MATCH($AQ67,$AP$12:$AP$263,0)), "-"),     TRUE, "0")</f>
        <v>0</v>
      </c>
      <c r="CW67" s="607">
        <f>IF(CV$9&gt;0, IF(OR(CV67="",CV67="-"), 0, CV67*$AT67), CU67*$AJ67)</f>
        <v>0</v>
      </c>
      <c r="CX67" s="589">
        <f>[1]COMMANDE!AY65</f>
        <v>0</v>
      </c>
      <c r="CY67" s="586" t="str">
        <f>_xlfn.IFS(AND($AI67=$AM67,$AI67&gt;0,$AM67&gt;0,CX67&gt;0), CX67,     AND(NOT($AI67=$AM67),$AI67&gt;0,$AM67&gt;0,CX67&gt;0), ($AM67*CX67)/$AI67,     AND($AI67=0,$AM67&gt;0,$AQ67&gt;0), IF(INDEX(CX$12:CX$263,MATCH($AQ67,$AP$12:$AP$263,0))&gt;0,($AM67*INDEX(CX$12:CX$263,MATCH($AQ67,$AP$12:$AP$263,0)))/INDEX($AI$12:$AI$263,MATCH($AQ67,$AP$12:$AP$263,0)), "-"),     TRUE, "0")</f>
        <v>0</v>
      </c>
      <c r="CZ67" s="588">
        <f>IF(CY$9&gt;0, IF(OR(CY67="",CY67="-"), 0, CY67*$AT67), CX67*$AJ67)</f>
        <v>0</v>
      </c>
      <c r="DA67" s="587">
        <f>[1]COMMANDE!BA65</f>
        <v>0</v>
      </c>
      <c r="DB67" s="586" t="str">
        <f>_xlfn.IFS(AND($AI67=$AM67,$AI67&gt;0,$AM67&gt;0,DA67&gt;0), DA67,     AND(NOT($AI67=$AM67),$AI67&gt;0,$AM67&gt;0,DA67&gt;0), ($AM67*DA67)/$AI67,     AND($AI67=0,$AM67&gt;0,$AQ67&gt;0), IF(INDEX(DA$12:DA$263,MATCH($AQ67,$AP$12:$AP$263,0))&gt;0,($AM67*INDEX(DA$12:DA$263,MATCH($AQ67,$AP$12:$AP$263,0)))/INDEX($AI$12:$AI$263,MATCH($AQ67,$AP$12:$AP$263,0)), "-"),     TRUE, "0")</f>
        <v>0</v>
      </c>
      <c r="DC67" s="606">
        <f>IF(DB$9&gt;0, IF(OR(DB67="",DB67="-"), 0, DB67*$AT67), DA67*$AJ67)</f>
        <v>0</v>
      </c>
      <c r="DD67" s="584"/>
      <c r="DE67" s="583"/>
    </row>
    <row r="68" spans="1:109" ht="39.950000000000003" hidden="1" customHeight="1">
      <c r="A68" s="604">
        <f>IF(OR($AV68&gt;0, $AX68&gt;0), 1, 0)</f>
        <v>0</v>
      </c>
      <c r="B68" s="604">
        <f>IF(OR($AY68&gt;0, $BA68&gt;0), 1, 0)</f>
        <v>0</v>
      </c>
      <c r="C68" s="604">
        <f>IF(OR($BB68&gt;0, $BD68&gt;0), 1, 0)</f>
        <v>0</v>
      </c>
      <c r="D68" s="604">
        <f>IF(OR($BE68&gt;0, $BG68&gt;0), 1, 0)</f>
        <v>0</v>
      </c>
      <c r="E68" s="604">
        <f>IF(OR($BH68&gt;0, $BJ68&gt;0), 1, 0)</f>
        <v>0</v>
      </c>
      <c r="F68" s="604">
        <f>IF(OR($BK68&gt;0, $BM68&gt;0), 1, 0)</f>
        <v>0</v>
      </c>
      <c r="G68" s="604">
        <f>IF(OR($BN68&gt;0, $BP68&gt;0), 1, 0)</f>
        <v>0</v>
      </c>
      <c r="H68" s="604">
        <f>IF(OR($BQ68&gt;0, $BS68&gt;0), 1, 0)</f>
        <v>0</v>
      </c>
      <c r="I68" s="604">
        <f>IF(OR($BT68&gt;0, $BV68&gt;0), 1, 0)</f>
        <v>0</v>
      </c>
      <c r="J68" s="604">
        <f>IF(OR($BW68&gt;0, $BY68&gt;0), 1, 0)</f>
        <v>0</v>
      </c>
      <c r="K68" s="604">
        <f>IF(OR($BZ68&gt;0, $CB68&gt;0), 1, 0)</f>
        <v>0</v>
      </c>
      <c r="L68" s="604">
        <f>IF(OR($CC68&gt;0, $CE68&gt;0), 1, 0)</f>
        <v>0</v>
      </c>
      <c r="M68" s="604">
        <f>IF(OR($CF68&gt;0, $CH68&gt;0), 1, 0)</f>
        <v>0</v>
      </c>
      <c r="N68" s="604">
        <f>IF(OR($CI68&gt;0, $CK68&gt;0), 1, 0)</f>
        <v>0</v>
      </c>
      <c r="O68" s="604">
        <f>IF(OR($CL68&gt;0, $CN68&gt;0), 1, 0)</f>
        <v>0</v>
      </c>
      <c r="P68" s="604">
        <f>IF(OR($CO68&gt;0, $CQ68&gt;0), 1, 0)</f>
        <v>0</v>
      </c>
      <c r="Q68" s="604">
        <f>IF(OR($CR68&gt;0, $CT68&gt;0), 1, 0)</f>
        <v>0</v>
      </c>
      <c r="R68" s="604">
        <f>IF(OR($CU68&gt;0, $CW68&gt;0), 1, 0)</f>
        <v>0</v>
      </c>
      <c r="S68" s="604">
        <f>IF(OR($CX68&gt;0, $CZ68&gt;0), 1, 0)</f>
        <v>0</v>
      </c>
      <c r="T68" s="604">
        <f>IF(OR($DA68&gt;0, $DC68&gt;0), 1, 0)</f>
        <v>0</v>
      </c>
      <c r="U68" s="603">
        <f>IF(OR($AI68&gt;0,$AM68&gt;0,$AS68&gt;0), 1, 0)</f>
        <v>0</v>
      </c>
      <c r="V68" s="602">
        <f>[1]BDD!A58</f>
        <v>1611</v>
      </c>
      <c r="W68" s="601" t="str">
        <f>[1]BDD!B58</f>
        <v>Chips de coco CRU BIO (env. 1kg)</v>
      </c>
      <c r="X68" s="600" t="str">
        <f>IF([1]BDD!F58=0, "", [1]BDD!F58)</f>
        <v>❤️</v>
      </c>
      <c r="Y68" s="542">
        <f>ROUND([1]BDD!G58+FDP_CMD_KG, 2)</f>
        <v>10.17</v>
      </c>
      <c r="Z68" s="542">
        <f>ROUND([1]BDD!G58+FDP_FACT_KG, 2)</f>
        <v>10.17</v>
      </c>
      <c r="AA68" s="543" t="str">
        <f>[1]BDD!H58</f>
        <v>Pièce</v>
      </c>
      <c r="AB68" s="544">
        <f>IF(NOT(ISBLANK([1]BDD!I58)), ROUND(SUM(([1]BDD!G58*reduc1),FDP_CMD_KG), 2), "")</f>
        <v>9.24</v>
      </c>
      <c r="AC68" s="544">
        <f>IF(NOT(ISBLANK([1]BDD!J58)), ROUND(SUM(([1]BDD!G58*reduc2),FDP_CMD_KG), 2), "")</f>
        <v>8.31</v>
      </c>
      <c r="AD68" s="544" t="str">
        <f>IF(NOT(ISBLANK([1]BDD!K58)), ROUND(SUM(([1]BDD!G58*reduc3),FDP_CMD_KG), 2), "")</f>
        <v/>
      </c>
      <c r="AE68" s="544">
        <f>IF(NOT(ISBLANK([1]BDD!I58)), ROUND(SUM(([1]BDD!G58*reduc1),FDP_FACT_KG), 2), "")</f>
        <v>9.24</v>
      </c>
      <c r="AF68" s="544">
        <f>IF(NOT(ISBLANK([1]BDD!J58)), ROUND(SUM(([1]BDD!G58*reduc2),FDP_FACT_KG), 2), "")</f>
        <v>8.31</v>
      </c>
      <c r="AG68" s="544" t="str">
        <f>IF(NOT(ISBLANK([1]BDD!K58)), ROUND(SUM(([1]BDD!G58*reduc3),FDP_FACT_KG), 2), "")</f>
        <v/>
      </c>
      <c r="AH68" s="599" t="str">
        <f>[1]BDD!C58</f>
        <v>Sri Lanka</v>
      </c>
      <c r="AI68" s="598">
        <f>SUM(AV68,AY68,BB68,BE68,BH68,BK68,BN68,BQ68,BT68,BW68,BZ68,CC68,CF68,CI68,CL68,CO68,CR68,CU68,CX68,DA68)</f>
        <v>0</v>
      </c>
      <c r="AJ68" s="545">
        <f>_xlfn.IFS($AD68&lt;&gt;"", $AD68,    $AC68&lt;&gt;"", $AC68,    $AB68&lt;&gt;"", $AB68,    TRUE, $Y68)</f>
        <v>8.31</v>
      </c>
      <c r="AK68" s="592">
        <f>$AI68*$AJ68</f>
        <v>0</v>
      </c>
      <c r="AL68" s="594"/>
      <c r="AM68" s="597"/>
      <c r="AN68" s="545">
        <f>_xlfn.IFS(AND(AM68&gt;=60,$AG68&lt;&gt;""), $AG68,    AND(AM68&gt;=30,$AF68&lt;&gt;""), $AF68,    AND(AM68&gt;=10,$AE68&lt;&gt;""), $AE68,    TRUE, $Z68)</f>
        <v>10.17</v>
      </c>
      <c r="AO68" s="596">
        <f>AM68*AN68</f>
        <v>0</v>
      </c>
      <c r="AP68" s="595"/>
      <c r="AQ68" s="595"/>
      <c r="AR68" s="594"/>
      <c r="AS68" s="593">
        <f>SUM(AW68,AZ68,BC68,BF68,BI68,BL68,BO68,BR68,BU68,BX68,CA68,CD68,CG68,CJ68,CM68,CP68,CS68,CV68,CY68,DB68)</f>
        <v>0</v>
      </c>
      <c r="AT68" s="545">
        <f>_xlfn.IFS(AND(AS68&gt;=60,$AG68&lt;&gt;""), $AG68,    AND(AS68&gt;=30,$AF68&lt;&gt;""), $AF68,    AND(AS68&gt;=10,$AE68&lt;&gt;""), $AE68,    TRUE, $Z68)</f>
        <v>10.17</v>
      </c>
      <c r="AU68" s="592">
        <f>$AS68*$AT68</f>
        <v>0</v>
      </c>
      <c r="AV68" s="591">
        <f>[1]COMMANDE!O66</f>
        <v>0</v>
      </c>
      <c r="AW68" s="586" t="str">
        <f>_xlfn.IFS(AND($AI68=$AM68,$AI68&gt;0,$AM68&gt;0,AV68&gt;0), AV68,     AND(NOT($AI68=$AM68),$AI68&gt;0,$AM68&gt;0,AV68&gt;0), ($AM68*AV68)/$AI68,     AND($AI68=0,$AM68&gt;0,$AQ68&gt;0), IF(INDEX(AV$12:AV$263,MATCH($AQ68,$AP$12:$AP$263,0))&gt;0,($AM68*INDEX(AV$12:AV$263,MATCH($AQ68,$AP$12:$AP$263,0)))/INDEX($AI$12:$AI$263,MATCH($AQ68,$AP$12:$AP$263,0)), "-"),     TRUE, "0")</f>
        <v>0</v>
      </c>
      <c r="AX68" s="588">
        <f>IF(AW$9&gt;0, IF(OR(AW68="",AW68="-"), 0, AW68*$AT68), AV68*$AJ68)</f>
        <v>0</v>
      </c>
      <c r="AY68" s="587">
        <f>[1]COMMANDE!Q66</f>
        <v>0</v>
      </c>
      <c r="AZ68" s="586" t="str">
        <f>_xlfn.IFS(AND($AI68=$AM68,$AI68&gt;0,$AM68&gt;0,AY68&gt;0), AY68,     AND(NOT($AI68=$AM68),$AI68&gt;0,$AM68&gt;0,AY68&gt;0), ($AM68*AY68)/$AI68,     AND($AI68=0,$AM68&gt;0,$AQ68&gt;0), IF(INDEX(AY$12:AY$263,MATCH($AQ68,$AP$12:$AP$263,0))&gt;0,($AM68*INDEX(AY$12:AY$263,MATCH($AQ68,$AP$12:$AP$263,0)))/INDEX($AI$12:$AI$263,MATCH($AQ68,$AP$12:$AP$263,0)), "-"),     TRUE, "0")</f>
        <v>0</v>
      </c>
      <c r="BA68" s="607">
        <f>IF(AZ$9&gt;0, IF(OR(AZ68="",AZ68="-"), 0, AZ68*$AT68), AY68*$AJ68)</f>
        <v>0</v>
      </c>
      <c r="BB68" s="589">
        <f>[1]COMMANDE!S66</f>
        <v>0</v>
      </c>
      <c r="BC68" s="586" t="str">
        <f>_xlfn.IFS(AND($AI68=$AM68,$AI68&gt;0,$AM68&gt;0,BB68&gt;0), BB68,     AND(NOT($AI68=$AM68),$AI68&gt;0,$AM68&gt;0,BB68&gt;0), ($AM68*BB68)/$AI68,     AND($AI68=0,$AM68&gt;0,$AQ68&gt;0), IF(INDEX(BB$12:BB$263,MATCH($AQ68,$AP$12:$AP$263,0))&gt;0,($AM68*INDEX(BB$12:BB$263,MATCH($AQ68,$AP$12:$AP$263,0)))/INDEX($AI$12:$AI$263,MATCH($AQ68,$AP$12:$AP$263,0)), "-"),     TRUE, "0")</f>
        <v>0</v>
      </c>
      <c r="BD68" s="588">
        <f>IF(BC$9&gt;0, IF(OR(BC68="",BC68="-"), 0, BC68*$AT68), BB68*$AJ68)</f>
        <v>0</v>
      </c>
      <c r="BE68" s="587">
        <f>[1]COMMANDE!U66</f>
        <v>0</v>
      </c>
      <c r="BF68" s="586" t="str">
        <f>_xlfn.IFS(AND($AI68=$AM68,$AI68&gt;0,$AM68&gt;0,BE68&gt;0), BE68,     AND(NOT($AI68=$AM68),$AI68&gt;0,$AM68&gt;0,BE68&gt;0), ($AM68*BE68)/$AI68,     AND($AI68=0,$AM68&gt;0,$AQ68&gt;0), IF(INDEX(BE$12:BE$263,MATCH($AQ68,$AP$12:$AP$263,0))&gt;0,($AM68*INDEX(BE$12:BE$263,MATCH($AQ68,$AP$12:$AP$263,0)))/INDEX($AI$12:$AI$263,MATCH($AQ68,$AP$12:$AP$263,0)), "-"),     TRUE, "0")</f>
        <v>0</v>
      </c>
      <c r="BG68" s="607">
        <f>IF(BF$9&gt;0, IF(OR(BF68="",BF68="-"), 0, BF68*$AT68), BE68*$AJ68)</f>
        <v>0</v>
      </c>
      <c r="BH68" s="589">
        <f>[1]COMMANDE!W66</f>
        <v>0</v>
      </c>
      <c r="BI68" s="586" t="str">
        <f>_xlfn.IFS(AND($AI68=$AM68,$AI68&gt;0,$AM68&gt;0,BH68&gt;0), BH68,     AND(NOT($AI68=$AM68),$AI68&gt;0,$AM68&gt;0,BH68&gt;0), ($AM68*BH68)/$AI68,     AND($AI68=0,$AM68&gt;0,$AQ68&gt;0), IF(INDEX(BH$12:BH$263,MATCH($AQ68,$AP$12:$AP$263,0))&gt;0,($AM68*INDEX(BH$12:BH$263,MATCH($AQ68,$AP$12:$AP$263,0)))/INDEX($AI$12:$AI$263,MATCH($AQ68,$AP$12:$AP$263,0)), "-"),     TRUE, "0")</f>
        <v>0</v>
      </c>
      <c r="BJ68" s="588">
        <f>IF(BI$9&gt;0, IF(OR(BI68="",BI68="-"), 0, BI68*$AT68), BH68*$AJ68)</f>
        <v>0</v>
      </c>
      <c r="BK68" s="587">
        <f>[1]COMMANDE!Y66</f>
        <v>0</v>
      </c>
      <c r="BL68" s="586" t="str">
        <f>_xlfn.IFS(AND($AI68=$AM68,$AI68&gt;0,$AM68&gt;0,BK68&gt;0), BK68,     AND(NOT($AI68=$AM68),$AI68&gt;0,$AM68&gt;0,BK68&gt;0), ($AM68*BK68)/$AI68,     AND($AI68=0,$AM68&gt;0,$AQ68&gt;0), IF(INDEX(BK$12:BK$263,MATCH($AQ68,$AP$12:$AP$263,0))&gt;0,($AM68*INDEX(BK$12:BK$263,MATCH($AQ68,$AP$12:$AP$263,0)))/INDEX($AI$12:$AI$263,MATCH($AQ68,$AP$12:$AP$263,0)), "-"),     TRUE, "0")</f>
        <v>0</v>
      </c>
      <c r="BM68" s="607">
        <f>IF(BL$9&gt;0, IF(OR(BL68="",BL68="-"), 0, BL68*$AT68), BK68*$AJ68)</f>
        <v>0</v>
      </c>
      <c r="BN68" s="589">
        <f>[1]COMMANDE!AA66</f>
        <v>0</v>
      </c>
      <c r="BO68" s="586" t="str">
        <f>_xlfn.IFS(AND($AI68=$AM68,$AI68&gt;0,$AM68&gt;0,BN68&gt;0), BN68,     AND(NOT($AI68=$AM68),$AI68&gt;0,$AM68&gt;0,BN68&gt;0), ($AM68*BN68)/$AI68,     AND($AI68=0,$AM68&gt;0,$AQ68&gt;0), IF(INDEX(BN$12:BN$263,MATCH($AQ68,$AP$12:$AP$263,0))&gt;0,($AM68*INDEX(BN$12:BN$263,MATCH($AQ68,$AP$12:$AP$263,0)))/INDEX($AI$12:$AI$263,MATCH($AQ68,$AP$12:$AP$263,0)), "-"),     TRUE, "0")</f>
        <v>0</v>
      </c>
      <c r="BP68" s="588">
        <f>IF(BO$9&gt;0, IF(OR(BO68="",BO68="-"), 0, BO68*$AT68), BN68*$AJ68)</f>
        <v>0</v>
      </c>
      <c r="BQ68" s="587">
        <f>[1]COMMANDE!AC66</f>
        <v>0</v>
      </c>
      <c r="BR68" s="586" t="str">
        <f>_xlfn.IFS(AND($AI68=$AM68,$AI68&gt;0,$AM68&gt;0,BQ68&gt;0), BQ68,     AND(NOT($AI68=$AM68),$AI68&gt;0,$AM68&gt;0,BQ68&gt;0), ($AM68*BQ68)/$AI68,     AND($AI68=0,$AM68&gt;0,$AQ68&gt;0), IF(INDEX(BQ$12:BQ$263,MATCH($AQ68,$AP$12:$AP$263,0))&gt;0,($AM68*INDEX(BQ$12:BQ$263,MATCH($AQ68,$AP$12:$AP$263,0)))/INDEX($AI$12:$AI$263,MATCH($AQ68,$AP$12:$AP$263,0)), "-"),     TRUE, "0")</f>
        <v>0</v>
      </c>
      <c r="BS68" s="607">
        <f>IF(BR$9&gt;0, IF(OR(BR68="",BR68="-"), 0, BR68*$AT68), BQ68*$AJ68)</f>
        <v>0</v>
      </c>
      <c r="BT68" s="589">
        <f>[1]COMMANDE!AE66</f>
        <v>0</v>
      </c>
      <c r="BU68" s="586" t="str">
        <f>_xlfn.IFS(AND($AI68=$AM68,$AI68&gt;0,$AM68&gt;0,BT68&gt;0), BT68,     AND(NOT($AI68=$AM68),$AI68&gt;0,$AM68&gt;0,BT68&gt;0), ($AM68*BT68)/$AI68,     AND($AI68=0,$AM68&gt;0,$AQ68&gt;0), IF(INDEX(BT$12:BT$263,MATCH($AQ68,$AP$12:$AP$263,0))&gt;0,($AM68*INDEX(BT$12:BT$263,MATCH($AQ68,$AP$12:$AP$263,0)))/INDEX($AI$12:$AI$263,MATCH($AQ68,$AP$12:$AP$263,0)), "-"),     TRUE, "0")</f>
        <v>0</v>
      </c>
      <c r="BV68" s="588">
        <f>IF(BU$9&gt;0, IF(OR(BU68="",BU68="-"), 0, BU68*$AT68), BT68*$AJ68)</f>
        <v>0</v>
      </c>
      <c r="BW68" s="587">
        <f>[1]COMMANDE!AG66</f>
        <v>0</v>
      </c>
      <c r="BX68" s="586" t="str">
        <f>_xlfn.IFS(AND($AI68=$AM68,$AI68&gt;0,$AM68&gt;0,BW68&gt;0), BW68,     AND(NOT($AI68=$AM68),$AI68&gt;0,$AM68&gt;0,BW68&gt;0), ($AM68*BW68)/$AI68,     AND($AI68=0,$AM68&gt;0,$AQ68&gt;0), IF(INDEX(BW$12:BW$263,MATCH($AQ68,$AP$12:$AP$263,0))&gt;0,($AM68*INDEX(BW$12:BW$263,MATCH($AQ68,$AP$12:$AP$263,0)))/INDEX($AI$12:$AI$263,MATCH($AQ68,$AP$12:$AP$263,0)), "-"),     TRUE, "0")</f>
        <v>0</v>
      </c>
      <c r="BY68" s="607">
        <f>IF(BX$9&gt;0, IF(OR(BX68="",BX68="-"), 0, BX68*$AT68), BW68*$AJ68)</f>
        <v>0</v>
      </c>
      <c r="BZ68" s="589">
        <f>[1]COMMANDE!AI66</f>
        <v>0</v>
      </c>
      <c r="CA68" s="586" t="str">
        <f>_xlfn.IFS(AND($AI68=$AM68,$AI68&gt;0,$AM68&gt;0,BZ68&gt;0), BZ68,     AND(NOT($AI68=$AM68),$AI68&gt;0,$AM68&gt;0,BZ68&gt;0), ($AM68*BZ68)/$AI68,     AND($AI68=0,$AM68&gt;0,$AQ68&gt;0), IF(INDEX(BZ$12:BZ$263,MATCH($AQ68,$AP$12:$AP$263,0))&gt;0,($AM68*INDEX(BZ$12:BZ$263,MATCH($AQ68,$AP$12:$AP$263,0)))/INDEX($AI$12:$AI$263,MATCH($AQ68,$AP$12:$AP$263,0)), "-"),     TRUE, "0")</f>
        <v>0</v>
      </c>
      <c r="CB68" s="588">
        <f>IF(CA$9&gt;0, IF(OR(CA68="",CA68="-"), 0, CA68*$AT68), BZ68*$AJ68)</f>
        <v>0</v>
      </c>
      <c r="CC68" s="587">
        <f>[1]COMMANDE!AK66</f>
        <v>0</v>
      </c>
      <c r="CD68" s="586" t="str">
        <f>_xlfn.IFS(AND($AI68=$AM68,$AI68&gt;0,$AM68&gt;0,CC68&gt;0), CC68,     AND(NOT($AI68=$AM68),$AI68&gt;0,$AM68&gt;0,CC68&gt;0), ($AM68*CC68)/$AI68,     AND($AI68=0,$AM68&gt;0,$AQ68&gt;0), IF(INDEX(CC$12:CC$263,MATCH($AQ68,$AP$12:$AP$263,0))&gt;0,($AM68*INDEX(CC$12:CC$263,MATCH($AQ68,$AP$12:$AP$263,0)))/INDEX($AI$12:$AI$263,MATCH($AQ68,$AP$12:$AP$263,0)), "-"),     TRUE, "0")</f>
        <v>0</v>
      </c>
      <c r="CE68" s="607">
        <f>IF(CD$9&gt;0, IF(OR(CD68="",CD68="-"), 0, CD68*$AT68), CC68*$AJ68)</f>
        <v>0</v>
      </c>
      <c r="CF68" s="589">
        <f>[1]COMMANDE!AM66</f>
        <v>0</v>
      </c>
      <c r="CG68" s="586" t="str">
        <f>_xlfn.IFS(AND($AI68=$AM68,$AI68&gt;0,$AM68&gt;0,CF68&gt;0), CF68,     AND(NOT($AI68=$AM68),$AI68&gt;0,$AM68&gt;0,CF68&gt;0), ($AM68*CF68)/$AI68,     AND($AI68=0,$AM68&gt;0,$AQ68&gt;0), IF(INDEX(CF$12:CF$263,MATCH($AQ68,$AP$12:$AP$263,0))&gt;0,($AM68*INDEX(CF$12:CF$263,MATCH($AQ68,$AP$12:$AP$263,0)))/INDEX($AI$12:$AI$263,MATCH($AQ68,$AP$12:$AP$263,0)), "-"),     TRUE, "0")</f>
        <v>0</v>
      </c>
      <c r="CH68" s="588">
        <f>IF(CG$9&gt;0, IF(OR(CG68="",CG68="-"), 0, CG68*$AT68), CF68*$AJ68)</f>
        <v>0</v>
      </c>
      <c r="CI68" s="587">
        <f>[1]COMMANDE!AO66</f>
        <v>0</v>
      </c>
      <c r="CJ68" s="586" t="str">
        <f>_xlfn.IFS(AND($AI68=$AM68,$AI68&gt;0,$AM68&gt;0,CI68&gt;0), CI68,     AND(NOT($AI68=$AM68),$AI68&gt;0,$AM68&gt;0,CI68&gt;0), ($AM68*CI68)/$AI68,     AND($AI68=0,$AM68&gt;0,$AQ68&gt;0), IF(INDEX(CI$12:CI$263,MATCH($AQ68,$AP$12:$AP$263,0))&gt;0,($AM68*INDEX(CI$12:CI$263,MATCH($AQ68,$AP$12:$AP$263,0)))/INDEX($AI$12:$AI$263,MATCH($AQ68,$AP$12:$AP$263,0)), "-"),     TRUE, "0")</f>
        <v>0</v>
      </c>
      <c r="CK68" s="607">
        <f>IF(CJ$9&gt;0, IF(OR(CJ68="",CJ68="-"), 0, CJ68*$AT68), CI68*$AJ68)</f>
        <v>0</v>
      </c>
      <c r="CL68" s="589">
        <f>[1]COMMANDE!AQ66</f>
        <v>0</v>
      </c>
      <c r="CM68" s="586" t="str">
        <f>_xlfn.IFS(AND($AI68=$AM68,$AI68&gt;0,$AM68&gt;0,CL68&gt;0), CL68,     AND(NOT($AI68=$AM68),$AI68&gt;0,$AM68&gt;0,CL68&gt;0), ($AM68*CL68)/$AI68,     AND($AI68=0,$AM68&gt;0,$AQ68&gt;0), IF(INDEX(CL$12:CL$263,MATCH($AQ68,$AP$12:$AP$263,0))&gt;0,($AM68*INDEX(CL$12:CL$263,MATCH($AQ68,$AP$12:$AP$263,0)))/INDEX($AI$12:$AI$263,MATCH($AQ68,$AP$12:$AP$263,0)), "-"),     TRUE, "0")</f>
        <v>0</v>
      </c>
      <c r="CN68" s="588">
        <f>IF(CM$9&gt;0, IF(OR(CM68="",CM68="-"), 0, CM68*$AT68), CL68*$AJ68)</f>
        <v>0</v>
      </c>
      <c r="CO68" s="587">
        <f>[1]COMMANDE!AS66</f>
        <v>0</v>
      </c>
      <c r="CP68" s="586" t="str">
        <f>_xlfn.IFS(AND($AI68=$AM68,$AI68&gt;0,$AM68&gt;0,CO68&gt;0), CO68,     AND(NOT($AI68=$AM68),$AI68&gt;0,$AM68&gt;0,CO68&gt;0), ($AM68*CO68)/$AI68,     AND($AI68=0,$AM68&gt;0,$AQ68&gt;0), IF(INDEX(CO$12:CO$263,MATCH($AQ68,$AP$12:$AP$263,0))&gt;0,($AM68*INDEX(CO$12:CO$263,MATCH($AQ68,$AP$12:$AP$263,0)))/INDEX($AI$12:$AI$263,MATCH($AQ68,$AP$12:$AP$263,0)), "-"),     TRUE, "0")</f>
        <v>0</v>
      </c>
      <c r="CQ68" s="607">
        <f>IF(CP$9&gt;0, IF(OR(CP68="",CP68="-"), 0, CP68*$AT68), CO68*$AJ68)</f>
        <v>0</v>
      </c>
      <c r="CR68" s="589">
        <f>[1]COMMANDE!AU66</f>
        <v>0</v>
      </c>
      <c r="CS68" s="586" t="str">
        <f>_xlfn.IFS(AND($AI68=$AM68,$AI68&gt;0,$AM68&gt;0,CR68&gt;0), CR68,     AND(NOT($AI68=$AM68),$AI68&gt;0,$AM68&gt;0,CR68&gt;0), ($AM68*CR68)/$AI68,     AND($AI68=0,$AM68&gt;0,$AQ68&gt;0), IF(INDEX(CR$12:CR$263,MATCH($AQ68,$AP$12:$AP$263,0))&gt;0,($AM68*INDEX(CR$12:CR$263,MATCH($AQ68,$AP$12:$AP$263,0)))/INDEX($AI$12:$AI$263,MATCH($AQ68,$AP$12:$AP$263,0)), "-"),     TRUE, "0")</f>
        <v>0</v>
      </c>
      <c r="CT68" s="588">
        <f>IF(CS$9&gt;0, IF(OR(CS68="",CS68="-"), 0, CS68*$AT68), CR68*$AJ68)</f>
        <v>0</v>
      </c>
      <c r="CU68" s="587">
        <f>[1]COMMANDE!AW66</f>
        <v>0</v>
      </c>
      <c r="CV68" s="586" t="str">
        <f>_xlfn.IFS(AND($AI68=$AM68,$AI68&gt;0,$AM68&gt;0,CU68&gt;0), CU68,     AND(NOT($AI68=$AM68),$AI68&gt;0,$AM68&gt;0,CU68&gt;0), ($AM68*CU68)/$AI68,     AND($AI68=0,$AM68&gt;0,$AQ68&gt;0), IF(INDEX(CU$12:CU$263,MATCH($AQ68,$AP$12:$AP$263,0))&gt;0,($AM68*INDEX(CU$12:CU$263,MATCH($AQ68,$AP$12:$AP$263,0)))/INDEX($AI$12:$AI$263,MATCH($AQ68,$AP$12:$AP$263,0)), "-"),     TRUE, "0")</f>
        <v>0</v>
      </c>
      <c r="CW68" s="607">
        <f>IF(CV$9&gt;0, IF(OR(CV68="",CV68="-"), 0, CV68*$AT68), CU68*$AJ68)</f>
        <v>0</v>
      </c>
      <c r="CX68" s="589">
        <f>[1]COMMANDE!AY66</f>
        <v>0</v>
      </c>
      <c r="CY68" s="586" t="str">
        <f>_xlfn.IFS(AND($AI68=$AM68,$AI68&gt;0,$AM68&gt;0,CX68&gt;0), CX68,     AND(NOT($AI68=$AM68),$AI68&gt;0,$AM68&gt;0,CX68&gt;0), ($AM68*CX68)/$AI68,     AND($AI68=0,$AM68&gt;0,$AQ68&gt;0), IF(INDEX(CX$12:CX$263,MATCH($AQ68,$AP$12:$AP$263,0))&gt;0,($AM68*INDEX(CX$12:CX$263,MATCH($AQ68,$AP$12:$AP$263,0)))/INDEX($AI$12:$AI$263,MATCH($AQ68,$AP$12:$AP$263,0)), "-"),     TRUE, "0")</f>
        <v>0</v>
      </c>
      <c r="CZ68" s="588">
        <f>IF(CY$9&gt;0, IF(OR(CY68="",CY68="-"), 0, CY68*$AT68), CX68*$AJ68)</f>
        <v>0</v>
      </c>
      <c r="DA68" s="587">
        <f>[1]COMMANDE!BA66</f>
        <v>0</v>
      </c>
      <c r="DB68" s="586" t="str">
        <f>_xlfn.IFS(AND($AI68=$AM68,$AI68&gt;0,$AM68&gt;0,DA68&gt;0), DA68,     AND(NOT($AI68=$AM68),$AI68&gt;0,$AM68&gt;0,DA68&gt;0), ($AM68*DA68)/$AI68,     AND($AI68=0,$AM68&gt;0,$AQ68&gt;0), IF(INDEX(DA$12:DA$263,MATCH($AQ68,$AP$12:$AP$263,0))&gt;0,($AM68*INDEX(DA$12:DA$263,MATCH($AQ68,$AP$12:$AP$263,0)))/INDEX($AI$12:$AI$263,MATCH($AQ68,$AP$12:$AP$263,0)), "-"),     TRUE, "0")</f>
        <v>0</v>
      </c>
      <c r="DC68" s="606">
        <f>IF(DB$9&gt;0, IF(OR(DB68="",DB68="-"), 0, DB68*$AT68), DA68*$AJ68)</f>
        <v>0</v>
      </c>
      <c r="DD68" s="584"/>
      <c r="DE68" s="583"/>
    </row>
    <row r="69" spans="1:109" ht="39.950000000000003" hidden="1" customHeight="1">
      <c r="A69" s="604">
        <f>IF(OR($AV69&gt;0, $AX69&gt;0), 1, 0)</f>
        <v>0</v>
      </c>
      <c r="B69" s="604">
        <f>IF(OR($AY69&gt;0, $BA69&gt;0), 1, 0)</f>
        <v>0</v>
      </c>
      <c r="C69" s="604">
        <f>IF(OR($BB69&gt;0, $BD69&gt;0), 1, 0)</f>
        <v>0</v>
      </c>
      <c r="D69" s="604">
        <f>IF(OR($BE69&gt;0, $BG69&gt;0), 1, 0)</f>
        <v>0</v>
      </c>
      <c r="E69" s="604">
        <f>IF(OR($BH69&gt;0, $BJ69&gt;0), 1, 0)</f>
        <v>0</v>
      </c>
      <c r="F69" s="604">
        <f>IF(OR($BK69&gt;0, $BM69&gt;0), 1, 0)</f>
        <v>0</v>
      </c>
      <c r="G69" s="604">
        <f>IF(OR($BN69&gt;0, $BP69&gt;0), 1, 0)</f>
        <v>0</v>
      </c>
      <c r="H69" s="604">
        <f>IF(OR($BQ69&gt;0, $BS69&gt;0), 1, 0)</f>
        <v>0</v>
      </c>
      <c r="I69" s="604">
        <f>IF(OR($BT69&gt;0, $BV69&gt;0), 1, 0)</f>
        <v>0</v>
      </c>
      <c r="J69" s="604">
        <f>IF(OR($BW69&gt;0, $BY69&gt;0), 1, 0)</f>
        <v>0</v>
      </c>
      <c r="K69" s="604">
        <f>IF(OR($BZ69&gt;0, $CB69&gt;0), 1, 0)</f>
        <v>0</v>
      </c>
      <c r="L69" s="604">
        <f>IF(OR($CC69&gt;0, $CE69&gt;0), 1, 0)</f>
        <v>0</v>
      </c>
      <c r="M69" s="604">
        <f>IF(OR($CF69&gt;0, $CH69&gt;0), 1, 0)</f>
        <v>0</v>
      </c>
      <c r="N69" s="604">
        <f>IF(OR($CI69&gt;0, $CK69&gt;0), 1, 0)</f>
        <v>0</v>
      </c>
      <c r="O69" s="604">
        <f>IF(OR($CL69&gt;0, $CN69&gt;0), 1, 0)</f>
        <v>0</v>
      </c>
      <c r="P69" s="604">
        <f>IF(OR($CO69&gt;0, $CQ69&gt;0), 1, 0)</f>
        <v>0</v>
      </c>
      <c r="Q69" s="604">
        <f>IF(OR($CR69&gt;0, $CT69&gt;0), 1, 0)</f>
        <v>0</v>
      </c>
      <c r="R69" s="604">
        <f>IF(OR($CU69&gt;0, $CW69&gt;0), 1, 0)</f>
        <v>0</v>
      </c>
      <c r="S69" s="604">
        <f>IF(OR($CX69&gt;0, $CZ69&gt;0), 1, 0)</f>
        <v>0</v>
      </c>
      <c r="T69" s="604">
        <f>IF(OR($DA69&gt;0, $DC69&gt;0), 1, 0)</f>
        <v>0</v>
      </c>
      <c r="U69" s="603">
        <f>IF(OR($AI69&gt;0,$AM69&gt;0,$AS69&gt;0), 1, 0)</f>
        <v>0</v>
      </c>
      <c r="V69" s="602">
        <f>[1]BDD!A59</f>
        <v>1178</v>
      </c>
      <c r="W69" s="601" t="str">
        <f>[1]BDD!B59</f>
        <v>Chirimoya BIO (production Rufino)</v>
      </c>
      <c r="X69" s="600" t="str">
        <f>IF([1]BDD!F59=0, "", [1]BDD!F59)</f>
        <v/>
      </c>
      <c r="Y69" s="542">
        <f>ROUND([1]BDD!G59+FDP_CMD_KG, 2)</f>
        <v>5.65</v>
      </c>
      <c r="Z69" s="542">
        <f>ROUND([1]BDD!G59+FDP_FACT_KG, 2)</f>
        <v>5.65</v>
      </c>
      <c r="AA69" s="543" t="str">
        <f>[1]BDD!H59</f>
        <v>kg</v>
      </c>
      <c r="AB69" s="544">
        <f>IF(NOT(ISBLANK([1]BDD!I59)), ROUND(SUM(([1]BDD!G59*reduc1),FDP_CMD_KG), 2), "")</f>
        <v>5.18</v>
      </c>
      <c r="AC69" s="544">
        <f>IF(NOT(ISBLANK([1]BDD!J59)), ROUND(SUM(([1]BDD!G59*reduc2),FDP_CMD_KG), 2), "")</f>
        <v>4.7</v>
      </c>
      <c r="AD69" s="544">
        <f>IF(NOT(ISBLANK([1]BDD!K59)), ROUND(SUM(([1]BDD!G59*reduc3),FDP_CMD_KG), 2), "")</f>
        <v>4.22</v>
      </c>
      <c r="AE69" s="544">
        <f>IF(NOT(ISBLANK([1]BDD!I59)), ROUND(SUM(([1]BDD!G59*reduc1),FDP_FACT_KG), 2), "")</f>
        <v>5.17</v>
      </c>
      <c r="AF69" s="544">
        <f>IF(NOT(ISBLANK([1]BDD!J59)), ROUND(SUM(([1]BDD!G59*reduc2),FDP_FACT_KG), 2), "")</f>
        <v>4.6900000000000004</v>
      </c>
      <c r="AG69" s="544">
        <f>IF(NOT(ISBLANK([1]BDD!K59)), ROUND(SUM(([1]BDD!G59*reduc3),FDP_FACT_KG), 2), "")</f>
        <v>4.21</v>
      </c>
      <c r="AH69" s="599" t="str">
        <f>[1]BDD!C59</f>
        <v>Grenade</v>
      </c>
      <c r="AI69" s="598">
        <f>SUM(AV69,AY69,BB69,BE69,BH69,BK69,BN69,BQ69,BT69,BW69,BZ69,CC69,CF69,CI69,CL69,CO69,CR69,CU69,CX69,DA69)</f>
        <v>0</v>
      </c>
      <c r="AJ69" s="545">
        <f>_xlfn.IFS($AD69&lt;&gt;"", $AD69,    $AC69&lt;&gt;"", $AC69,    $AB69&lt;&gt;"", $AB69,    TRUE, $Y69)</f>
        <v>4.22</v>
      </c>
      <c r="AK69" s="592">
        <f>$AI69*$AJ69</f>
        <v>0</v>
      </c>
      <c r="AL69" s="594"/>
      <c r="AM69" s="597"/>
      <c r="AN69" s="545">
        <f>_xlfn.IFS(AND(AM69&gt;=60,$AG69&lt;&gt;""), $AG69,    AND(AM69&gt;=30,$AF69&lt;&gt;""), $AF69,    AND(AM69&gt;=10,$AE69&lt;&gt;""), $AE69,    TRUE, $Z69)</f>
        <v>5.65</v>
      </c>
      <c r="AO69" s="596">
        <f>AM69*AN69</f>
        <v>0</v>
      </c>
      <c r="AP69" s="595"/>
      <c r="AQ69" s="595"/>
      <c r="AR69" s="594"/>
      <c r="AS69" s="593">
        <f>SUM(AW69,AZ69,BC69,BF69,BI69,BL69,BO69,BR69,BU69,BX69,CA69,CD69,CG69,CJ69,CM69,CP69,CS69,CV69,CY69,DB69)</f>
        <v>0</v>
      </c>
      <c r="AT69" s="545">
        <f>_xlfn.IFS(AND(AS69&gt;=60,$AG69&lt;&gt;""), $AG69,    AND(AS69&gt;=30,$AF69&lt;&gt;""), $AF69,    AND(AS69&gt;=10,$AE69&lt;&gt;""), $AE69,    TRUE, $Z69)</f>
        <v>5.65</v>
      </c>
      <c r="AU69" s="592">
        <f>$AS69*$AT69</f>
        <v>0</v>
      </c>
      <c r="AV69" s="591">
        <f>[1]COMMANDE!O67</f>
        <v>0</v>
      </c>
      <c r="AW69" s="586" t="str">
        <f>_xlfn.IFS(AND($AI69=$AM69,$AI69&gt;0,$AM69&gt;0,AV69&gt;0), AV69,     AND(NOT($AI69=$AM69),$AI69&gt;0,$AM69&gt;0,AV69&gt;0), ($AM69*AV69)/$AI69,     AND($AI69=0,$AM69&gt;0,$AQ69&gt;0), IF(INDEX(AV$12:AV$263,MATCH($AQ69,$AP$12:$AP$263,0))&gt;0,($AM69*INDEX(AV$12:AV$263,MATCH($AQ69,$AP$12:$AP$263,0)))/INDEX($AI$12:$AI$263,MATCH($AQ69,$AP$12:$AP$263,0)), "-"),     TRUE, "0")</f>
        <v>0</v>
      </c>
      <c r="AX69" s="588">
        <f>IF(AW$9&gt;0, IF(OR(AW69="",AW69="-"), 0, AW69*$AT69), AV69*$AJ69)</f>
        <v>0</v>
      </c>
      <c r="AY69" s="587">
        <f>[1]COMMANDE!Q67</f>
        <v>0</v>
      </c>
      <c r="AZ69" s="586" t="str">
        <f>_xlfn.IFS(AND($AI69=$AM69,$AI69&gt;0,$AM69&gt;0,AY69&gt;0), AY69,     AND(NOT($AI69=$AM69),$AI69&gt;0,$AM69&gt;0,AY69&gt;0), ($AM69*AY69)/$AI69,     AND($AI69=0,$AM69&gt;0,$AQ69&gt;0), IF(INDEX(AY$12:AY$263,MATCH($AQ69,$AP$12:$AP$263,0))&gt;0,($AM69*INDEX(AY$12:AY$263,MATCH($AQ69,$AP$12:$AP$263,0)))/INDEX($AI$12:$AI$263,MATCH($AQ69,$AP$12:$AP$263,0)), "-"),     TRUE, "0")</f>
        <v>0</v>
      </c>
      <c r="BA69" s="607">
        <f>IF(AZ$9&gt;0, IF(OR(AZ69="",AZ69="-"), 0, AZ69*$AT69), AY69*$AJ69)</f>
        <v>0</v>
      </c>
      <c r="BB69" s="589">
        <f>[1]COMMANDE!S67</f>
        <v>0</v>
      </c>
      <c r="BC69" s="586" t="str">
        <f>_xlfn.IFS(AND($AI69=$AM69,$AI69&gt;0,$AM69&gt;0,BB69&gt;0), BB69,     AND(NOT($AI69=$AM69),$AI69&gt;0,$AM69&gt;0,BB69&gt;0), ($AM69*BB69)/$AI69,     AND($AI69=0,$AM69&gt;0,$AQ69&gt;0), IF(INDEX(BB$12:BB$263,MATCH($AQ69,$AP$12:$AP$263,0))&gt;0,($AM69*INDEX(BB$12:BB$263,MATCH($AQ69,$AP$12:$AP$263,0)))/INDEX($AI$12:$AI$263,MATCH($AQ69,$AP$12:$AP$263,0)), "-"),     TRUE, "0")</f>
        <v>0</v>
      </c>
      <c r="BD69" s="588">
        <f>IF(BC$9&gt;0, IF(OR(BC69="",BC69="-"), 0, BC69*$AT69), BB69*$AJ69)</f>
        <v>0</v>
      </c>
      <c r="BE69" s="587">
        <f>[1]COMMANDE!U67</f>
        <v>0</v>
      </c>
      <c r="BF69" s="586" t="str">
        <f>_xlfn.IFS(AND($AI69=$AM69,$AI69&gt;0,$AM69&gt;0,BE69&gt;0), BE69,     AND(NOT($AI69=$AM69),$AI69&gt;0,$AM69&gt;0,BE69&gt;0), ($AM69*BE69)/$AI69,     AND($AI69=0,$AM69&gt;0,$AQ69&gt;0), IF(INDEX(BE$12:BE$263,MATCH($AQ69,$AP$12:$AP$263,0))&gt;0,($AM69*INDEX(BE$12:BE$263,MATCH($AQ69,$AP$12:$AP$263,0)))/INDEX($AI$12:$AI$263,MATCH($AQ69,$AP$12:$AP$263,0)), "-"),     TRUE, "0")</f>
        <v>0</v>
      </c>
      <c r="BG69" s="607">
        <f>IF(BF$9&gt;0, IF(OR(BF69="",BF69="-"), 0, BF69*$AT69), BE69*$AJ69)</f>
        <v>0</v>
      </c>
      <c r="BH69" s="589">
        <f>[1]COMMANDE!W67</f>
        <v>0</v>
      </c>
      <c r="BI69" s="586" t="str">
        <f>_xlfn.IFS(AND($AI69=$AM69,$AI69&gt;0,$AM69&gt;0,BH69&gt;0), BH69,     AND(NOT($AI69=$AM69),$AI69&gt;0,$AM69&gt;0,BH69&gt;0), ($AM69*BH69)/$AI69,     AND($AI69=0,$AM69&gt;0,$AQ69&gt;0), IF(INDEX(BH$12:BH$263,MATCH($AQ69,$AP$12:$AP$263,0))&gt;0,($AM69*INDEX(BH$12:BH$263,MATCH($AQ69,$AP$12:$AP$263,0)))/INDEX($AI$12:$AI$263,MATCH($AQ69,$AP$12:$AP$263,0)), "-"),     TRUE, "0")</f>
        <v>0</v>
      </c>
      <c r="BJ69" s="588">
        <f>IF(BI$9&gt;0, IF(OR(BI69="",BI69="-"), 0, BI69*$AT69), BH69*$AJ69)</f>
        <v>0</v>
      </c>
      <c r="BK69" s="587">
        <f>[1]COMMANDE!Y67</f>
        <v>0</v>
      </c>
      <c r="BL69" s="586" t="str">
        <f>_xlfn.IFS(AND($AI69=$AM69,$AI69&gt;0,$AM69&gt;0,BK69&gt;0), BK69,     AND(NOT($AI69=$AM69),$AI69&gt;0,$AM69&gt;0,BK69&gt;0), ($AM69*BK69)/$AI69,     AND($AI69=0,$AM69&gt;0,$AQ69&gt;0), IF(INDEX(BK$12:BK$263,MATCH($AQ69,$AP$12:$AP$263,0))&gt;0,($AM69*INDEX(BK$12:BK$263,MATCH($AQ69,$AP$12:$AP$263,0)))/INDEX($AI$12:$AI$263,MATCH($AQ69,$AP$12:$AP$263,0)), "-"),     TRUE, "0")</f>
        <v>0</v>
      </c>
      <c r="BM69" s="607">
        <f>IF(BL$9&gt;0, IF(OR(BL69="",BL69="-"), 0, BL69*$AT69), BK69*$AJ69)</f>
        <v>0</v>
      </c>
      <c r="BN69" s="589">
        <f>[1]COMMANDE!AA67</f>
        <v>0</v>
      </c>
      <c r="BO69" s="586" t="str">
        <f>_xlfn.IFS(AND($AI69=$AM69,$AI69&gt;0,$AM69&gt;0,BN69&gt;0), BN69,     AND(NOT($AI69=$AM69),$AI69&gt;0,$AM69&gt;0,BN69&gt;0), ($AM69*BN69)/$AI69,     AND($AI69=0,$AM69&gt;0,$AQ69&gt;0), IF(INDEX(BN$12:BN$263,MATCH($AQ69,$AP$12:$AP$263,0))&gt;0,($AM69*INDEX(BN$12:BN$263,MATCH($AQ69,$AP$12:$AP$263,0)))/INDEX($AI$12:$AI$263,MATCH($AQ69,$AP$12:$AP$263,0)), "-"),     TRUE, "0")</f>
        <v>0</v>
      </c>
      <c r="BP69" s="588">
        <f>IF(BO$9&gt;0, IF(OR(BO69="",BO69="-"), 0, BO69*$AT69), BN69*$AJ69)</f>
        <v>0</v>
      </c>
      <c r="BQ69" s="587">
        <f>[1]COMMANDE!AC67</f>
        <v>0</v>
      </c>
      <c r="BR69" s="586" t="str">
        <f>_xlfn.IFS(AND($AI69=$AM69,$AI69&gt;0,$AM69&gt;0,BQ69&gt;0), BQ69,     AND(NOT($AI69=$AM69),$AI69&gt;0,$AM69&gt;0,BQ69&gt;0), ($AM69*BQ69)/$AI69,     AND($AI69=0,$AM69&gt;0,$AQ69&gt;0), IF(INDEX(BQ$12:BQ$263,MATCH($AQ69,$AP$12:$AP$263,0))&gt;0,($AM69*INDEX(BQ$12:BQ$263,MATCH($AQ69,$AP$12:$AP$263,0)))/INDEX($AI$12:$AI$263,MATCH($AQ69,$AP$12:$AP$263,0)), "-"),     TRUE, "0")</f>
        <v>0</v>
      </c>
      <c r="BS69" s="607">
        <f>IF(BR$9&gt;0, IF(OR(BR69="",BR69="-"), 0, BR69*$AT69), BQ69*$AJ69)</f>
        <v>0</v>
      </c>
      <c r="BT69" s="589">
        <f>[1]COMMANDE!AE67</f>
        <v>0</v>
      </c>
      <c r="BU69" s="586" t="str">
        <f>_xlfn.IFS(AND($AI69=$AM69,$AI69&gt;0,$AM69&gt;0,BT69&gt;0), BT69,     AND(NOT($AI69=$AM69),$AI69&gt;0,$AM69&gt;0,BT69&gt;0), ($AM69*BT69)/$AI69,     AND($AI69=0,$AM69&gt;0,$AQ69&gt;0), IF(INDEX(BT$12:BT$263,MATCH($AQ69,$AP$12:$AP$263,0))&gt;0,($AM69*INDEX(BT$12:BT$263,MATCH($AQ69,$AP$12:$AP$263,0)))/INDEX($AI$12:$AI$263,MATCH($AQ69,$AP$12:$AP$263,0)), "-"),     TRUE, "0")</f>
        <v>0</v>
      </c>
      <c r="BV69" s="588">
        <f>IF(BU$9&gt;0, IF(OR(BU69="",BU69="-"), 0, BU69*$AT69), BT69*$AJ69)</f>
        <v>0</v>
      </c>
      <c r="BW69" s="587">
        <f>[1]COMMANDE!AG67</f>
        <v>0</v>
      </c>
      <c r="BX69" s="586" t="str">
        <f>_xlfn.IFS(AND($AI69=$AM69,$AI69&gt;0,$AM69&gt;0,BW69&gt;0), BW69,     AND(NOT($AI69=$AM69),$AI69&gt;0,$AM69&gt;0,BW69&gt;0), ($AM69*BW69)/$AI69,     AND($AI69=0,$AM69&gt;0,$AQ69&gt;0), IF(INDEX(BW$12:BW$263,MATCH($AQ69,$AP$12:$AP$263,0))&gt;0,($AM69*INDEX(BW$12:BW$263,MATCH($AQ69,$AP$12:$AP$263,0)))/INDEX($AI$12:$AI$263,MATCH($AQ69,$AP$12:$AP$263,0)), "-"),     TRUE, "0")</f>
        <v>0</v>
      </c>
      <c r="BY69" s="607">
        <f>IF(BX$9&gt;0, IF(OR(BX69="",BX69="-"), 0, BX69*$AT69), BW69*$AJ69)</f>
        <v>0</v>
      </c>
      <c r="BZ69" s="589">
        <f>[1]COMMANDE!AI67</f>
        <v>0</v>
      </c>
      <c r="CA69" s="586" t="str">
        <f>_xlfn.IFS(AND($AI69=$AM69,$AI69&gt;0,$AM69&gt;0,BZ69&gt;0), BZ69,     AND(NOT($AI69=$AM69),$AI69&gt;0,$AM69&gt;0,BZ69&gt;0), ($AM69*BZ69)/$AI69,     AND($AI69=0,$AM69&gt;0,$AQ69&gt;0), IF(INDEX(BZ$12:BZ$263,MATCH($AQ69,$AP$12:$AP$263,0))&gt;0,($AM69*INDEX(BZ$12:BZ$263,MATCH($AQ69,$AP$12:$AP$263,0)))/INDEX($AI$12:$AI$263,MATCH($AQ69,$AP$12:$AP$263,0)), "-"),     TRUE, "0")</f>
        <v>0</v>
      </c>
      <c r="CB69" s="588">
        <f>IF(CA$9&gt;0, IF(OR(CA69="",CA69="-"), 0, CA69*$AT69), BZ69*$AJ69)</f>
        <v>0</v>
      </c>
      <c r="CC69" s="587">
        <f>[1]COMMANDE!AK67</f>
        <v>0</v>
      </c>
      <c r="CD69" s="586" t="str">
        <f>_xlfn.IFS(AND($AI69=$AM69,$AI69&gt;0,$AM69&gt;0,CC69&gt;0), CC69,     AND(NOT($AI69=$AM69),$AI69&gt;0,$AM69&gt;0,CC69&gt;0), ($AM69*CC69)/$AI69,     AND($AI69=0,$AM69&gt;0,$AQ69&gt;0), IF(INDEX(CC$12:CC$263,MATCH($AQ69,$AP$12:$AP$263,0))&gt;0,($AM69*INDEX(CC$12:CC$263,MATCH($AQ69,$AP$12:$AP$263,0)))/INDEX($AI$12:$AI$263,MATCH($AQ69,$AP$12:$AP$263,0)), "-"),     TRUE, "0")</f>
        <v>0</v>
      </c>
      <c r="CE69" s="607">
        <f>IF(CD$9&gt;0, IF(OR(CD69="",CD69="-"), 0, CD69*$AT69), CC69*$AJ69)</f>
        <v>0</v>
      </c>
      <c r="CF69" s="589">
        <f>[1]COMMANDE!AM67</f>
        <v>0</v>
      </c>
      <c r="CG69" s="586" t="str">
        <f>_xlfn.IFS(AND($AI69=$AM69,$AI69&gt;0,$AM69&gt;0,CF69&gt;0), CF69,     AND(NOT($AI69=$AM69),$AI69&gt;0,$AM69&gt;0,CF69&gt;0), ($AM69*CF69)/$AI69,     AND($AI69=0,$AM69&gt;0,$AQ69&gt;0), IF(INDEX(CF$12:CF$263,MATCH($AQ69,$AP$12:$AP$263,0))&gt;0,($AM69*INDEX(CF$12:CF$263,MATCH($AQ69,$AP$12:$AP$263,0)))/INDEX($AI$12:$AI$263,MATCH($AQ69,$AP$12:$AP$263,0)), "-"),     TRUE, "0")</f>
        <v>0</v>
      </c>
      <c r="CH69" s="588">
        <f>IF(CG$9&gt;0, IF(OR(CG69="",CG69="-"), 0, CG69*$AT69), CF69*$AJ69)</f>
        <v>0</v>
      </c>
      <c r="CI69" s="587">
        <f>[1]COMMANDE!AO67</f>
        <v>0</v>
      </c>
      <c r="CJ69" s="586" t="str">
        <f>_xlfn.IFS(AND($AI69=$AM69,$AI69&gt;0,$AM69&gt;0,CI69&gt;0), CI69,     AND(NOT($AI69=$AM69),$AI69&gt;0,$AM69&gt;0,CI69&gt;0), ($AM69*CI69)/$AI69,     AND($AI69=0,$AM69&gt;0,$AQ69&gt;0), IF(INDEX(CI$12:CI$263,MATCH($AQ69,$AP$12:$AP$263,0))&gt;0,($AM69*INDEX(CI$12:CI$263,MATCH($AQ69,$AP$12:$AP$263,0)))/INDEX($AI$12:$AI$263,MATCH($AQ69,$AP$12:$AP$263,0)), "-"),     TRUE, "0")</f>
        <v>0</v>
      </c>
      <c r="CK69" s="607">
        <f>IF(CJ$9&gt;0, IF(OR(CJ69="",CJ69="-"), 0, CJ69*$AT69), CI69*$AJ69)</f>
        <v>0</v>
      </c>
      <c r="CL69" s="589">
        <f>[1]COMMANDE!AQ67</f>
        <v>0</v>
      </c>
      <c r="CM69" s="586" t="str">
        <f>_xlfn.IFS(AND($AI69=$AM69,$AI69&gt;0,$AM69&gt;0,CL69&gt;0), CL69,     AND(NOT($AI69=$AM69),$AI69&gt;0,$AM69&gt;0,CL69&gt;0), ($AM69*CL69)/$AI69,     AND($AI69=0,$AM69&gt;0,$AQ69&gt;0), IF(INDEX(CL$12:CL$263,MATCH($AQ69,$AP$12:$AP$263,0))&gt;0,($AM69*INDEX(CL$12:CL$263,MATCH($AQ69,$AP$12:$AP$263,0)))/INDEX($AI$12:$AI$263,MATCH($AQ69,$AP$12:$AP$263,0)), "-"),     TRUE, "0")</f>
        <v>0</v>
      </c>
      <c r="CN69" s="588">
        <f>IF(CM$9&gt;0, IF(OR(CM69="",CM69="-"), 0, CM69*$AT69), CL69*$AJ69)</f>
        <v>0</v>
      </c>
      <c r="CO69" s="587">
        <f>[1]COMMANDE!AS67</f>
        <v>0</v>
      </c>
      <c r="CP69" s="586" t="str">
        <f>_xlfn.IFS(AND($AI69=$AM69,$AI69&gt;0,$AM69&gt;0,CO69&gt;0), CO69,     AND(NOT($AI69=$AM69),$AI69&gt;0,$AM69&gt;0,CO69&gt;0), ($AM69*CO69)/$AI69,     AND($AI69=0,$AM69&gt;0,$AQ69&gt;0), IF(INDEX(CO$12:CO$263,MATCH($AQ69,$AP$12:$AP$263,0))&gt;0,($AM69*INDEX(CO$12:CO$263,MATCH($AQ69,$AP$12:$AP$263,0)))/INDEX($AI$12:$AI$263,MATCH($AQ69,$AP$12:$AP$263,0)), "-"),     TRUE, "0")</f>
        <v>0</v>
      </c>
      <c r="CQ69" s="607">
        <f>IF(CP$9&gt;0, IF(OR(CP69="",CP69="-"), 0, CP69*$AT69), CO69*$AJ69)</f>
        <v>0</v>
      </c>
      <c r="CR69" s="589">
        <f>[1]COMMANDE!AU67</f>
        <v>0</v>
      </c>
      <c r="CS69" s="586" t="str">
        <f>_xlfn.IFS(AND($AI69=$AM69,$AI69&gt;0,$AM69&gt;0,CR69&gt;0), CR69,     AND(NOT($AI69=$AM69),$AI69&gt;0,$AM69&gt;0,CR69&gt;0), ($AM69*CR69)/$AI69,     AND($AI69=0,$AM69&gt;0,$AQ69&gt;0), IF(INDEX(CR$12:CR$263,MATCH($AQ69,$AP$12:$AP$263,0))&gt;0,($AM69*INDEX(CR$12:CR$263,MATCH($AQ69,$AP$12:$AP$263,0)))/INDEX($AI$12:$AI$263,MATCH($AQ69,$AP$12:$AP$263,0)), "-"),     TRUE, "0")</f>
        <v>0</v>
      </c>
      <c r="CT69" s="588">
        <f>IF(CS$9&gt;0, IF(OR(CS69="",CS69="-"), 0, CS69*$AT69), CR69*$AJ69)</f>
        <v>0</v>
      </c>
      <c r="CU69" s="587">
        <f>[1]COMMANDE!AW67</f>
        <v>0</v>
      </c>
      <c r="CV69" s="586" t="str">
        <f>_xlfn.IFS(AND($AI69=$AM69,$AI69&gt;0,$AM69&gt;0,CU69&gt;0), CU69,     AND(NOT($AI69=$AM69),$AI69&gt;0,$AM69&gt;0,CU69&gt;0), ($AM69*CU69)/$AI69,     AND($AI69=0,$AM69&gt;0,$AQ69&gt;0), IF(INDEX(CU$12:CU$263,MATCH($AQ69,$AP$12:$AP$263,0))&gt;0,($AM69*INDEX(CU$12:CU$263,MATCH($AQ69,$AP$12:$AP$263,0)))/INDEX($AI$12:$AI$263,MATCH($AQ69,$AP$12:$AP$263,0)), "-"),     TRUE, "0")</f>
        <v>0</v>
      </c>
      <c r="CW69" s="607">
        <f>IF(CV$9&gt;0, IF(OR(CV69="",CV69="-"), 0, CV69*$AT69), CU69*$AJ69)</f>
        <v>0</v>
      </c>
      <c r="CX69" s="589">
        <f>[1]COMMANDE!AY67</f>
        <v>0</v>
      </c>
      <c r="CY69" s="586" t="str">
        <f>_xlfn.IFS(AND($AI69=$AM69,$AI69&gt;0,$AM69&gt;0,CX69&gt;0), CX69,     AND(NOT($AI69=$AM69),$AI69&gt;0,$AM69&gt;0,CX69&gt;0), ($AM69*CX69)/$AI69,     AND($AI69=0,$AM69&gt;0,$AQ69&gt;0), IF(INDEX(CX$12:CX$263,MATCH($AQ69,$AP$12:$AP$263,0))&gt;0,($AM69*INDEX(CX$12:CX$263,MATCH($AQ69,$AP$12:$AP$263,0)))/INDEX($AI$12:$AI$263,MATCH($AQ69,$AP$12:$AP$263,0)), "-"),     TRUE, "0")</f>
        <v>0</v>
      </c>
      <c r="CZ69" s="588">
        <f>IF(CY$9&gt;0, IF(OR(CY69="",CY69="-"), 0, CY69*$AT69), CX69*$AJ69)</f>
        <v>0</v>
      </c>
      <c r="DA69" s="587">
        <f>[1]COMMANDE!BA67</f>
        <v>0</v>
      </c>
      <c r="DB69" s="586" t="str">
        <f>_xlfn.IFS(AND($AI69=$AM69,$AI69&gt;0,$AM69&gt;0,DA69&gt;0), DA69,     AND(NOT($AI69=$AM69),$AI69&gt;0,$AM69&gt;0,DA69&gt;0), ($AM69*DA69)/$AI69,     AND($AI69=0,$AM69&gt;0,$AQ69&gt;0), IF(INDEX(DA$12:DA$263,MATCH($AQ69,$AP$12:$AP$263,0))&gt;0,($AM69*INDEX(DA$12:DA$263,MATCH($AQ69,$AP$12:$AP$263,0)))/INDEX($AI$12:$AI$263,MATCH($AQ69,$AP$12:$AP$263,0)), "-"),     TRUE, "0")</f>
        <v>0</v>
      </c>
      <c r="DC69" s="606">
        <f>IF(DB$9&gt;0, IF(OR(DB69="",DB69="-"), 0, DB69*$AT69), DA69*$AJ69)</f>
        <v>0</v>
      </c>
      <c r="DD69" s="584"/>
      <c r="DE69" s="583"/>
    </row>
    <row r="70" spans="1:109" ht="39.950000000000003" hidden="1" customHeight="1">
      <c r="A70" s="604">
        <f>IF(OR($AV70&gt;0, $AX70&gt;0), 1, 0)</f>
        <v>0</v>
      </c>
      <c r="B70" s="604">
        <f>IF(OR($AY70&gt;0, $BA70&gt;0), 1, 0)</f>
        <v>0</v>
      </c>
      <c r="C70" s="604">
        <f>IF(OR($BB70&gt;0, $BD70&gt;0), 1, 0)</f>
        <v>0</v>
      </c>
      <c r="D70" s="604">
        <f>IF(OR($BE70&gt;0, $BG70&gt;0), 1, 0)</f>
        <v>0</v>
      </c>
      <c r="E70" s="604">
        <f>IF(OR($BH70&gt;0, $BJ70&gt;0), 1, 0)</f>
        <v>0</v>
      </c>
      <c r="F70" s="604">
        <f>IF(OR($BK70&gt;0, $BM70&gt;0), 1, 0)</f>
        <v>0</v>
      </c>
      <c r="G70" s="604">
        <f>IF(OR($BN70&gt;0, $BP70&gt;0), 1, 0)</f>
        <v>0</v>
      </c>
      <c r="H70" s="604">
        <f>IF(OR($BQ70&gt;0, $BS70&gt;0), 1, 0)</f>
        <v>0</v>
      </c>
      <c r="I70" s="604">
        <f>IF(OR($BT70&gt;0, $BV70&gt;0), 1, 0)</f>
        <v>0</v>
      </c>
      <c r="J70" s="604">
        <f>IF(OR($BW70&gt;0, $BY70&gt;0), 1, 0)</f>
        <v>0</v>
      </c>
      <c r="K70" s="604">
        <f>IF(OR($BZ70&gt;0, $CB70&gt;0), 1, 0)</f>
        <v>0</v>
      </c>
      <c r="L70" s="604">
        <f>IF(OR($CC70&gt;0, $CE70&gt;0), 1, 0)</f>
        <v>0</v>
      </c>
      <c r="M70" s="604">
        <f>IF(OR($CF70&gt;0, $CH70&gt;0), 1, 0)</f>
        <v>0</v>
      </c>
      <c r="N70" s="604">
        <f>IF(OR($CI70&gt;0, $CK70&gt;0), 1, 0)</f>
        <v>0</v>
      </c>
      <c r="O70" s="604">
        <f>IF(OR($CL70&gt;0, $CN70&gt;0), 1, 0)</f>
        <v>0</v>
      </c>
      <c r="P70" s="604">
        <f>IF(OR($CO70&gt;0, $CQ70&gt;0), 1, 0)</f>
        <v>0</v>
      </c>
      <c r="Q70" s="604">
        <f>IF(OR($CR70&gt;0, $CT70&gt;0), 1, 0)</f>
        <v>0</v>
      </c>
      <c r="R70" s="604">
        <f>IF(OR($CU70&gt;0, $CW70&gt;0), 1, 0)</f>
        <v>0</v>
      </c>
      <c r="S70" s="604">
        <f>IF(OR($CX70&gt;0, $CZ70&gt;0), 1, 0)</f>
        <v>0</v>
      </c>
      <c r="T70" s="604">
        <f>IF(OR($DA70&gt;0, $DC70&gt;0), 1, 0)</f>
        <v>0</v>
      </c>
      <c r="U70" s="603">
        <f>IF(OR($AI70&gt;0,$AM70&gt;0,$AS70&gt;0), 1, 0)</f>
        <v>0</v>
      </c>
      <c r="V70" s="602" t="str">
        <f>[1]BDD!A60</f>
        <v>3032-5034</v>
      </c>
      <c r="W70" s="601" t="str">
        <f>[1]BDD!B60</f>
        <v>Chirimoya en Reconversion agriculture BIO         (gros calibre - production Rufino)</v>
      </c>
      <c r="X70" s="600" t="str">
        <f>IF([1]BDD!F60=0, "", [1]BDD!F60)</f>
        <v/>
      </c>
      <c r="Y70" s="542">
        <f>ROUND([1]BDD!G60+FDP_CMD_KG, 2)</f>
        <v>5.24</v>
      </c>
      <c r="Z70" s="542">
        <f>ROUND([1]BDD!G60+FDP_FACT_KG, 2)</f>
        <v>5.24</v>
      </c>
      <c r="AA70" s="543" t="str">
        <f>[1]BDD!H60</f>
        <v>kg</v>
      </c>
      <c r="AB70" s="544">
        <f>IF(NOT(ISBLANK([1]BDD!I60)), ROUND(SUM(([1]BDD!G60*reduc1),FDP_CMD_KG), 2), "")</f>
        <v>4.8099999999999996</v>
      </c>
      <c r="AC70" s="544">
        <f>IF(NOT(ISBLANK([1]BDD!J60)), ROUND(SUM(([1]BDD!G60*reduc2),FDP_CMD_KG), 2), "")</f>
        <v>4.37</v>
      </c>
      <c r="AD70" s="544">
        <f>IF(NOT(ISBLANK([1]BDD!K60)), ROUND(SUM(([1]BDD!G60*reduc3),FDP_CMD_KG), 2), "")</f>
        <v>3.93</v>
      </c>
      <c r="AE70" s="544">
        <f>IF(NOT(ISBLANK([1]BDD!I60)), ROUND(SUM(([1]BDD!G60*reduc1),FDP_FACT_KG), 2), "")</f>
        <v>4.8</v>
      </c>
      <c r="AF70" s="544">
        <f>IF(NOT(ISBLANK([1]BDD!J60)), ROUND(SUM(([1]BDD!G60*reduc2),FDP_FACT_KG), 2), "")</f>
        <v>4.3600000000000003</v>
      </c>
      <c r="AG70" s="544">
        <f>IF(NOT(ISBLANK([1]BDD!K60)), ROUND(SUM(([1]BDD!G60*reduc3),FDP_FACT_KG), 2), "")</f>
        <v>3.93</v>
      </c>
      <c r="AH70" s="599" t="str">
        <f>[1]BDD!C60</f>
        <v>Salobrena</v>
      </c>
      <c r="AI70" s="598">
        <f>SUM(AV70,AY70,BB70,BE70,BH70,BK70,BN70,BQ70,BT70,BW70,BZ70,CC70,CF70,CI70,CL70,CO70,CR70,CU70,CX70,DA70)</f>
        <v>0</v>
      </c>
      <c r="AJ70" s="545">
        <f>_xlfn.IFS($AD70&lt;&gt;"", $AD70,    $AC70&lt;&gt;"", $AC70,    $AB70&lt;&gt;"", $AB70,    TRUE, $Y70)</f>
        <v>3.93</v>
      </c>
      <c r="AK70" s="592">
        <f>$AI70*$AJ70</f>
        <v>0</v>
      </c>
      <c r="AL70" s="594"/>
      <c r="AM70" s="597"/>
      <c r="AN70" s="545">
        <f>_xlfn.IFS(AND(AM70&gt;=60,$AG70&lt;&gt;""), $AG70,    AND(AM70&gt;=30,$AF70&lt;&gt;""), $AF70,    AND(AM70&gt;=10,$AE70&lt;&gt;""), $AE70,    TRUE, $Z70)</f>
        <v>5.24</v>
      </c>
      <c r="AO70" s="596">
        <f>AM70*AN70</f>
        <v>0</v>
      </c>
      <c r="AP70" s="595"/>
      <c r="AQ70" s="595"/>
      <c r="AR70" s="594"/>
      <c r="AS70" s="593">
        <f>SUM(AW70,AZ70,BC70,BF70,BI70,BL70,BO70,BR70,BU70,BX70,CA70,CD70,CG70,CJ70,CM70,CP70,CS70,CV70,CY70,DB70)</f>
        <v>0</v>
      </c>
      <c r="AT70" s="545">
        <f>_xlfn.IFS(AND(AS70&gt;=60,$AG70&lt;&gt;""), $AG70,    AND(AS70&gt;=30,$AF70&lt;&gt;""), $AF70,    AND(AS70&gt;=10,$AE70&lt;&gt;""), $AE70,    TRUE, $Z70)</f>
        <v>5.24</v>
      </c>
      <c r="AU70" s="592">
        <f>$AS70*$AT70</f>
        <v>0</v>
      </c>
      <c r="AV70" s="591">
        <f>[1]COMMANDE!O68</f>
        <v>0</v>
      </c>
      <c r="AW70" s="586" t="str">
        <f>_xlfn.IFS(AND($AI70=$AM70,$AI70&gt;0,$AM70&gt;0,AV70&gt;0), AV70,     AND(NOT($AI70=$AM70),$AI70&gt;0,$AM70&gt;0,AV70&gt;0), ($AM70*AV70)/$AI70,     AND($AI70=0,$AM70&gt;0,$AQ70&gt;0), IF(INDEX(AV$12:AV$263,MATCH($AQ70,$AP$12:$AP$263,0))&gt;0,($AM70*INDEX(AV$12:AV$263,MATCH($AQ70,$AP$12:$AP$263,0)))/INDEX($AI$12:$AI$263,MATCH($AQ70,$AP$12:$AP$263,0)), "-"),     TRUE, "0")</f>
        <v>0</v>
      </c>
      <c r="AX70" s="588">
        <f>IF(AW$9&gt;0, IF(OR(AW70="",AW70="-"), 0, AW70*$AT70), AV70*$AJ70)</f>
        <v>0</v>
      </c>
      <c r="AY70" s="587">
        <f>[1]COMMANDE!Q68</f>
        <v>0</v>
      </c>
      <c r="AZ70" s="586" t="str">
        <f>_xlfn.IFS(AND($AI70=$AM70,$AI70&gt;0,$AM70&gt;0,AY70&gt;0), AY70,     AND(NOT($AI70=$AM70),$AI70&gt;0,$AM70&gt;0,AY70&gt;0), ($AM70*AY70)/$AI70,     AND($AI70=0,$AM70&gt;0,$AQ70&gt;0), IF(INDEX(AY$12:AY$263,MATCH($AQ70,$AP$12:$AP$263,0))&gt;0,($AM70*INDEX(AY$12:AY$263,MATCH($AQ70,$AP$12:$AP$263,0)))/INDEX($AI$12:$AI$263,MATCH($AQ70,$AP$12:$AP$263,0)), "-"),     TRUE, "0")</f>
        <v>0</v>
      </c>
      <c r="BA70" s="607">
        <f>IF(AZ$9&gt;0, IF(OR(AZ70="",AZ70="-"), 0, AZ70*$AT70), AY70*$AJ70)</f>
        <v>0</v>
      </c>
      <c r="BB70" s="589">
        <f>[1]COMMANDE!S68</f>
        <v>0</v>
      </c>
      <c r="BC70" s="586" t="str">
        <f>_xlfn.IFS(AND($AI70=$AM70,$AI70&gt;0,$AM70&gt;0,BB70&gt;0), BB70,     AND(NOT($AI70=$AM70),$AI70&gt;0,$AM70&gt;0,BB70&gt;0), ($AM70*BB70)/$AI70,     AND($AI70=0,$AM70&gt;0,$AQ70&gt;0), IF(INDEX(BB$12:BB$263,MATCH($AQ70,$AP$12:$AP$263,0))&gt;0,($AM70*INDEX(BB$12:BB$263,MATCH($AQ70,$AP$12:$AP$263,0)))/INDEX($AI$12:$AI$263,MATCH($AQ70,$AP$12:$AP$263,0)), "-"),     TRUE, "0")</f>
        <v>0</v>
      </c>
      <c r="BD70" s="588">
        <f>IF(BC$9&gt;0, IF(OR(BC70="",BC70="-"), 0, BC70*$AT70), BB70*$AJ70)</f>
        <v>0</v>
      </c>
      <c r="BE70" s="587">
        <f>[1]COMMANDE!U68</f>
        <v>0</v>
      </c>
      <c r="BF70" s="586" t="str">
        <f>_xlfn.IFS(AND($AI70=$AM70,$AI70&gt;0,$AM70&gt;0,BE70&gt;0), BE70,     AND(NOT($AI70=$AM70),$AI70&gt;0,$AM70&gt;0,BE70&gt;0), ($AM70*BE70)/$AI70,     AND($AI70=0,$AM70&gt;0,$AQ70&gt;0), IF(INDEX(BE$12:BE$263,MATCH($AQ70,$AP$12:$AP$263,0))&gt;0,($AM70*INDEX(BE$12:BE$263,MATCH($AQ70,$AP$12:$AP$263,0)))/INDEX($AI$12:$AI$263,MATCH($AQ70,$AP$12:$AP$263,0)), "-"),     TRUE, "0")</f>
        <v>0</v>
      </c>
      <c r="BG70" s="607">
        <f>IF(BF$9&gt;0, IF(OR(BF70="",BF70="-"), 0, BF70*$AT70), BE70*$AJ70)</f>
        <v>0</v>
      </c>
      <c r="BH70" s="589">
        <f>[1]COMMANDE!W68</f>
        <v>0</v>
      </c>
      <c r="BI70" s="586" t="str">
        <f>_xlfn.IFS(AND($AI70=$AM70,$AI70&gt;0,$AM70&gt;0,BH70&gt;0), BH70,     AND(NOT($AI70=$AM70),$AI70&gt;0,$AM70&gt;0,BH70&gt;0), ($AM70*BH70)/$AI70,     AND($AI70=0,$AM70&gt;0,$AQ70&gt;0), IF(INDEX(BH$12:BH$263,MATCH($AQ70,$AP$12:$AP$263,0))&gt;0,($AM70*INDEX(BH$12:BH$263,MATCH($AQ70,$AP$12:$AP$263,0)))/INDEX($AI$12:$AI$263,MATCH($AQ70,$AP$12:$AP$263,0)), "-"),     TRUE, "0")</f>
        <v>0</v>
      </c>
      <c r="BJ70" s="588">
        <f>IF(BI$9&gt;0, IF(OR(BI70="",BI70="-"), 0, BI70*$AT70), BH70*$AJ70)</f>
        <v>0</v>
      </c>
      <c r="BK70" s="587">
        <f>[1]COMMANDE!Y68</f>
        <v>0</v>
      </c>
      <c r="BL70" s="586" t="str">
        <f>_xlfn.IFS(AND($AI70=$AM70,$AI70&gt;0,$AM70&gt;0,BK70&gt;0), BK70,     AND(NOT($AI70=$AM70),$AI70&gt;0,$AM70&gt;0,BK70&gt;0), ($AM70*BK70)/$AI70,     AND($AI70=0,$AM70&gt;0,$AQ70&gt;0), IF(INDEX(BK$12:BK$263,MATCH($AQ70,$AP$12:$AP$263,0))&gt;0,($AM70*INDEX(BK$12:BK$263,MATCH($AQ70,$AP$12:$AP$263,0)))/INDEX($AI$12:$AI$263,MATCH($AQ70,$AP$12:$AP$263,0)), "-"),     TRUE, "0")</f>
        <v>0</v>
      </c>
      <c r="BM70" s="607">
        <f>IF(BL$9&gt;0, IF(OR(BL70="",BL70="-"), 0, BL70*$AT70), BK70*$AJ70)</f>
        <v>0</v>
      </c>
      <c r="BN70" s="589">
        <f>[1]COMMANDE!AA68</f>
        <v>0</v>
      </c>
      <c r="BO70" s="586" t="str">
        <f>_xlfn.IFS(AND($AI70=$AM70,$AI70&gt;0,$AM70&gt;0,BN70&gt;0), BN70,     AND(NOT($AI70=$AM70),$AI70&gt;0,$AM70&gt;0,BN70&gt;0), ($AM70*BN70)/$AI70,     AND($AI70=0,$AM70&gt;0,$AQ70&gt;0), IF(INDEX(BN$12:BN$263,MATCH($AQ70,$AP$12:$AP$263,0))&gt;0,($AM70*INDEX(BN$12:BN$263,MATCH($AQ70,$AP$12:$AP$263,0)))/INDEX($AI$12:$AI$263,MATCH($AQ70,$AP$12:$AP$263,0)), "-"),     TRUE, "0")</f>
        <v>0</v>
      </c>
      <c r="BP70" s="588">
        <f>IF(BO$9&gt;0, IF(OR(BO70="",BO70="-"), 0, BO70*$AT70), BN70*$AJ70)</f>
        <v>0</v>
      </c>
      <c r="BQ70" s="587">
        <f>[1]COMMANDE!AC68</f>
        <v>0</v>
      </c>
      <c r="BR70" s="586" t="str">
        <f>_xlfn.IFS(AND($AI70=$AM70,$AI70&gt;0,$AM70&gt;0,BQ70&gt;0), BQ70,     AND(NOT($AI70=$AM70),$AI70&gt;0,$AM70&gt;0,BQ70&gt;0), ($AM70*BQ70)/$AI70,     AND($AI70=0,$AM70&gt;0,$AQ70&gt;0), IF(INDEX(BQ$12:BQ$263,MATCH($AQ70,$AP$12:$AP$263,0))&gt;0,($AM70*INDEX(BQ$12:BQ$263,MATCH($AQ70,$AP$12:$AP$263,0)))/INDEX($AI$12:$AI$263,MATCH($AQ70,$AP$12:$AP$263,0)), "-"),     TRUE, "0")</f>
        <v>0</v>
      </c>
      <c r="BS70" s="607">
        <f>IF(BR$9&gt;0, IF(OR(BR70="",BR70="-"), 0, BR70*$AT70), BQ70*$AJ70)</f>
        <v>0</v>
      </c>
      <c r="BT70" s="589">
        <f>[1]COMMANDE!AE68</f>
        <v>0</v>
      </c>
      <c r="BU70" s="586" t="str">
        <f>_xlfn.IFS(AND($AI70=$AM70,$AI70&gt;0,$AM70&gt;0,BT70&gt;0), BT70,     AND(NOT($AI70=$AM70),$AI70&gt;0,$AM70&gt;0,BT70&gt;0), ($AM70*BT70)/$AI70,     AND($AI70=0,$AM70&gt;0,$AQ70&gt;0), IF(INDEX(BT$12:BT$263,MATCH($AQ70,$AP$12:$AP$263,0))&gt;0,($AM70*INDEX(BT$12:BT$263,MATCH($AQ70,$AP$12:$AP$263,0)))/INDEX($AI$12:$AI$263,MATCH($AQ70,$AP$12:$AP$263,0)), "-"),     TRUE, "0")</f>
        <v>0</v>
      </c>
      <c r="BV70" s="588">
        <f>IF(BU$9&gt;0, IF(OR(BU70="",BU70="-"), 0, BU70*$AT70), BT70*$AJ70)</f>
        <v>0</v>
      </c>
      <c r="BW70" s="587">
        <f>[1]COMMANDE!AG68</f>
        <v>0</v>
      </c>
      <c r="BX70" s="586" t="str">
        <f>_xlfn.IFS(AND($AI70=$AM70,$AI70&gt;0,$AM70&gt;0,BW70&gt;0), BW70,     AND(NOT($AI70=$AM70),$AI70&gt;0,$AM70&gt;0,BW70&gt;0), ($AM70*BW70)/$AI70,     AND($AI70=0,$AM70&gt;0,$AQ70&gt;0), IF(INDEX(BW$12:BW$263,MATCH($AQ70,$AP$12:$AP$263,0))&gt;0,($AM70*INDEX(BW$12:BW$263,MATCH($AQ70,$AP$12:$AP$263,0)))/INDEX($AI$12:$AI$263,MATCH($AQ70,$AP$12:$AP$263,0)), "-"),     TRUE, "0")</f>
        <v>0</v>
      </c>
      <c r="BY70" s="607">
        <f>IF(BX$9&gt;0, IF(OR(BX70="",BX70="-"), 0, BX70*$AT70), BW70*$AJ70)</f>
        <v>0</v>
      </c>
      <c r="BZ70" s="589">
        <f>[1]COMMANDE!AI68</f>
        <v>0</v>
      </c>
      <c r="CA70" s="586" t="str">
        <f>_xlfn.IFS(AND($AI70=$AM70,$AI70&gt;0,$AM70&gt;0,BZ70&gt;0), BZ70,     AND(NOT($AI70=$AM70),$AI70&gt;0,$AM70&gt;0,BZ70&gt;0), ($AM70*BZ70)/$AI70,     AND($AI70=0,$AM70&gt;0,$AQ70&gt;0), IF(INDEX(BZ$12:BZ$263,MATCH($AQ70,$AP$12:$AP$263,0))&gt;0,($AM70*INDEX(BZ$12:BZ$263,MATCH($AQ70,$AP$12:$AP$263,0)))/INDEX($AI$12:$AI$263,MATCH($AQ70,$AP$12:$AP$263,0)), "-"),     TRUE, "0")</f>
        <v>0</v>
      </c>
      <c r="CB70" s="588">
        <f>IF(CA$9&gt;0, IF(OR(CA70="",CA70="-"), 0, CA70*$AT70), BZ70*$AJ70)</f>
        <v>0</v>
      </c>
      <c r="CC70" s="587">
        <f>[1]COMMANDE!AK68</f>
        <v>0</v>
      </c>
      <c r="CD70" s="586" t="str">
        <f>_xlfn.IFS(AND($AI70=$AM70,$AI70&gt;0,$AM70&gt;0,CC70&gt;0), CC70,     AND(NOT($AI70=$AM70),$AI70&gt;0,$AM70&gt;0,CC70&gt;0), ($AM70*CC70)/$AI70,     AND($AI70=0,$AM70&gt;0,$AQ70&gt;0), IF(INDEX(CC$12:CC$263,MATCH($AQ70,$AP$12:$AP$263,0))&gt;0,($AM70*INDEX(CC$12:CC$263,MATCH($AQ70,$AP$12:$AP$263,0)))/INDEX($AI$12:$AI$263,MATCH($AQ70,$AP$12:$AP$263,0)), "-"),     TRUE, "0")</f>
        <v>0</v>
      </c>
      <c r="CE70" s="607">
        <f>IF(CD$9&gt;0, IF(OR(CD70="",CD70="-"), 0, CD70*$AT70), CC70*$AJ70)</f>
        <v>0</v>
      </c>
      <c r="CF70" s="589">
        <f>[1]COMMANDE!AM68</f>
        <v>0</v>
      </c>
      <c r="CG70" s="586" t="str">
        <f>_xlfn.IFS(AND($AI70=$AM70,$AI70&gt;0,$AM70&gt;0,CF70&gt;0), CF70,     AND(NOT($AI70=$AM70),$AI70&gt;0,$AM70&gt;0,CF70&gt;0), ($AM70*CF70)/$AI70,     AND($AI70=0,$AM70&gt;0,$AQ70&gt;0), IF(INDEX(CF$12:CF$263,MATCH($AQ70,$AP$12:$AP$263,0))&gt;0,($AM70*INDEX(CF$12:CF$263,MATCH($AQ70,$AP$12:$AP$263,0)))/INDEX($AI$12:$AI$263,MATCH($AQ70,$AP$12:$AP$263,0)), "-"),     TRUE, "0")</f>
        <v>0</v>
      </c>
      <c r="CH70" s="588">
        <f>IF(CG$9&gt;0, IF(OR(CG70="",CG70="-"), 0, CG70*$AT70), CF70*$AJ70)</f>
        <v>0</v>
      </c>
      <c r="CI70" s="587">
        <f>[1]COMMANDE!AO68</f>
        <v>0</v>
      </c>
      <c r="CJ70" s="586" t="str">
        <f>_xlfn.IFS(AND($AI70=$AM70,$AI70&gt;0,$AM70&gt;0,CI70&gt;0), CI70,     AND(NOT($AI70=$AM70),$AI70&gt;0,$AM70&gt;0,CI70&gt;0), ($AM70*CI70)/$AI70,     AND($AI70=0,$AM70&gt;0,$AQ70&gt;0), IF(INDEX(CI$12:CI$263,MATCH($AQ70,$AP$12:$AP$263,0))&gt;0,($AM70*INDEX(CI$12:CI$263,MATCH($AQ70,$AP$12:$AP$263,0)))/INDEX($AI$12:$AI$263,MATCH($AQ70,$AP$12:$AP$263,0)), "-"),     TRUE, "0")</f>
        <v>0</v>
      </c>
      <c r="CK70" s="607">
        <f>IF(CJ$9&gt;0, IF(OR(CJ70="",CJ70="-"), 0, CJ70*$AT70), CI70*$AJ70)</f>
        <v>0</v>
      </c>
      <c r="CL70" s="589">
        <f>[1]COMMANDE!AQ68</f>
        <v>0</v>
      </c>
      <c r="CM70" s="586" t="str">
        <f>_xlfn.IFS(AND($AI70=$AM70,$AI70&gt;0,$AM70&gt;0,CL70&gt;0), CL70,     AND(NOT($AI70=$AM70),$AI70&gt;0,$AM70&gt;0,CL70&gt;0), ($AM70*CL70)/$AI70,     AND($AI70=0,$AM70&gt;0,$AQ70&gt;0), IF(INDEX(CL$12:CL$263,MATCH($AQ70,$AP$12:$AP$263,0))&gt;0,($AM70*INDEX(CL$12:CL$263,MATCH($AQ70,$AP$12:$AP$263,0)))/INDEX($AI$12:$AI$263,MATCH($AQ70,$AP$12:$AP$263,0)), "-"),     TRUE, "0")</f>
        <v>0</v>
      </c>
      <c r="CN70" s="588">
        <f>IF(CM$9&gt;0, IF(OR(CM70="",CM70="-"), 0, CM70*$AT70), CL70*$AJ70)</f>
        <v>0</v>
      </c>
      <c r="CO70" s="587">
        <f>[1]COMMANDE!AS68</f>
        <v>0</v>
      </c>
      <c r="CP70" s="586" t="str">
        <f>_xlfn.IFS(AND($AI70=$AM70,$AI70&gt;0,$AM70&gt;0,CO70&gt;0), CO70,     AND(NOT($AI70=$AM70),$AI70&gt;0,$AM70&gt;0,CO70&gt;0), ($AM70*CO70)/$AI70,     AND($AI70=0,$AM70&gt;0,$AQ70&gt;0), IF(INDEX(CO$12:CO$263,MATCH($AQ70,$AP$12:$AP$263,0))&gt;0,($AM70*INDEX(CO$12:CO$263,MATCH($AQ70,$AP$12:$AP$263,0)))/INDEX($AI$12:$AI$263,MATCH($AQ70,$AP$12:$AP$263,0)), "-"),     TRUE, "0")</f>
        <v>0</v>
      </c>
      <c r="CQ70" s="607">
        <f>IF(CP$9&gt;0, IF(OR(CP70="",CP70="-"), 0, CP70*$AT70), CO70*$AJ70)</f>
        <v>0</v>
      </c>
      <c r="CR70" s="589">
        <f>[1]COMMANDE!AU68</f>
        <v>0</v>
      </c>
      <c r="CS70" s="586" t="str">
        <f>_xlfn.IFS(AND($AI70=$AM70,$AI70&gt;0,$AM70&gt;0,CR70&gt;0), CR70,     AND(NOT($AI70=$AM70),$AI70&gt;0,$AM70&gt;0,CR70&gt;0), ($AM70*CR70)/$AI70,     AND($AI70=0,$AM70&gt;0,$AQ70&gt;0), IF(INDEX(CR$12:CR$263,MATCH($AQ70,$AP$12:$AP$263,0))&gt;0,($AM70*INDEX(CR$12:CR$263,MATCH($AQ70,$AP$12:$AP$263,0)))/INDEX($AI$12:$AI$263,MATCH($AQ70,$AP$12:$AP$263,0)), "-"),     TRUE, "0")</f>
        <v>0</v>
      </c>
      <c r="CT70" s="588">
        <f>IF(CS$9&gt;0, IF(OR(CS70="",CS70="-"), 0, CS70*$AT70), CR70*$AJ70)</f>
        <v>0</v>
      </c>
      <c r="CU70" s="587">
        <f>[1]COMMANDE!AW68</f>
        <v>0</v>
      </c>
      <c r="CV70" s="586" t="str">
        <f>_xlfn.IFS(AND($AI70=$AM70,$AI70&gt;0,$AM70&gt;0,CU70&gt;0), CU70,     AND(NOT($AI70=$AM70),$AI70&gt;0,$AM70&gt;0,CU70&gt;0), ($AM70*CU70)/$AI70,     AND($AI70=0,$AM70&gt;0,$AQ70&gt;0), IF(INDEX(CU$12:CU$263,MATCH($AQ70,$AP$12:$AP$263,0))&gt;0,($AM70*INDEX(CU$12:CU$263,MATCH($AQ70,$AP$12:$AP$263,0)))/INDEX($AI$12:$AI$263,MATCH($AQ70,$AP$12:$AP$263,0)), "-"),     TRUE, "0")</f>
        <v>0</v>
      </c>
      <c r="CW70" s="607">
        <f>IF(CV$9&gt;0, IF(OR(CV70="",CV70="-"), 0, CV70*$AT70), CU70*$AJ70)</f>
        <v>0</v>
      </c>
      <c r="CX70" s="589">
        <f>[1]COMMANDE!AY68</f>
        <v>0</v>
      </c>
      <c r="CY70" s="586" t="str">
        <f>_xlfn.IFS(AND($AI70=$AM70,$AI70&gt;0,$AM70&gt;0,CX70&gt;0), CX70,     AND(NOT($AI70=$AM70),$AI70&gt;0,$AM70&gt;0,CX70&gt;0), ($AM70*CX70)/$AI70,     AND($AI70=0,$AM70&gt;0,$AQ70&gt;0), IF(INDEX(CX$12:CX$263,MATCH($AQ70,$AP$12:$AP$263,0))&gt;0,($AM70*INDEX(CX$12:CX$263,MATCH($AQ70,$AP$12:$AP$263,0)))/INDEX($AI$12:$AI$263,MATCH($AQ70,$AP$12:$AP$263,0)), "-"),     TRUE, "0")</f>
        <v>0</v>
      </c>
      <c r="CZ70" s="588">
        <f>IF(CY$9&gt;0, IF(OR(CY70="",CY70="-"), 0, CY70*$AT70), CX70*$AJ70)</f>
        <v>0</v>
      </c>
      <c r="DA70" s="587">
        <f>[1]COMMANDE!BA68</f>
        <v>0</v>
      </c>
      <c r="DB70" s="586" t="str">
        <f>_xlfn.IFS(AND($AI70=$AM70,$AI70&gt;0,$AM70&gt;0,DA70&gt;0), DA70,     AND(NOT($AI70=$AM70),$AI70&gt;0,$AM70&gt;0,DA70&gt;0), ($AM70*DA70)/$AI70,     AND($AI70=0,$AM70&gt;0,$AQ70&gt;0), IF(INDEX(DA$12:DA$263,MATCH($AQ70,$AP$12:$AP$263,0))&gt;0,($AM70*INDEX(DA$12:DA$263,MATCH($AQ70,$AP$12:$AP$263,0)))/INDEX($AI$12:$AI$263,MATCH($AQ70,$AP$12:$AP$263,0)), "-"),     TRUE, "0")</f>
        <v>0</v>
      </c>
      <c r="DC70" s="606">
        <f>IF(DB$9&gt;0, IF(OR(DB70="",DB70="-"), 0, DB70*$AT70), DA70*$AJ70)</f>
        <v>0</v>
      </c>
      <c r="DD70" s="584"/>
      <c r="DE70" s="583"/>
    </row>
    <row r="71" spans="1:109" ht="39.950000000000003" hidden="1" customHeight="1">
      <c r="A71" s="604">
        <f>IF(OR($AV71&gt;0, $AX71&gt;0), 1, 0)</f>
        <v>0</v>
      </c>
      <c r="B71" s="604">
        <f>IF(OR($AY71&gt;0, $BA71&gt;0), 1, 0)</f>
        <v>0</v>
      </c>
      <c r="C71" s="604">
        <f>IF(OR($BB71&gt;0, $BD71&gt;0), 1, 0)</f>
        <v>0</v>
      </c>
      <c r="D71" s="604">
        <f>IF(OR($BE71&gt;0, $BG71&gt;0), 1, 0)</f>
        <v>0</v>
      </c>
      <c r="E71" s="604">
        <f>IF(OR($BH71&gt;0, $BJ71&gt;0), 1, 0)</f>
        <v>0</v>
      </c>
      <c r="F71" s="604">
        <f>IF(OR($BK71&gt;0, $BM71&gt;0), 1, 0)</f>
        <v>0</v>
      </c>
      <c r="G71" s="604">
        <f>IF(OR($BN71&gt;0, $BP71&gt;0), 1, 0)</f>
        <v>0</v>
      </c>
      <c r="H71" s="604">
        <f>IF(OR($BQ71&gt;0, $BS71&gt;0), 1, 0)</f>
        <v>0</v>
      </c>
      <c r="I71" s="604">
        <f>IF(OR($BT71&gt;0, $BV71&gt;0), 1, 0)</f>
        <v>0</v>
      </c>
      <c r="J71" s="604">
        <f>IF(OR($BW71&gt;0, $BY71&gt;0), 1, 0)</f>
        <v>0</v>
      </c>
      <c r="K71" s="604">
        <f>IF(OR($BZ71&gt;0, $CB71&gt;0), 1, 0)</f>
        <v>0</v>
      </c>
      <c r="L71" s="604">
        <f>IF(OR($CC71&gt;0, $CE71&gt;0), 1, 0)</f>
        <v>0</v>
      </c>
      <c r="M71" s="604">
        <f>IF(OR($CF71&gt;0, $CH71&gt;0), 1, 0)</f>
        <v>0</v>
      </c>
      <c r="N71" s="604">
        <f>IF(OR($CI71&gt;0, $CK71&gt;0), 1, 0)</f>
        <v>0</v>
      </c>
      <c r="O71" s="604">
        <f>IF(OR($CL71&gt;0, $CN71&gt;0), 1, 0)</f>
        <v>0</v>
      </c>
      <c r="P71" s="604">
        <f>IF(OR($CO71&gt;0, $CQ71&gt;0), 1, 0)</f>
        <v>0</v>
      </c>
      <c r="Q71" s="604">
        <f>IF(OR($CR71&gt;0, $CT71&gt;0), 1, 0)</f>
        <v>0</v>
      </c>
      <c r="R71" s="604">
        <f>IF(OR($CU71&gt;0, $CW71&gt;0), 1, 0)</f>
        <v>0</v>
      </c>
      <c r="S71" s="604">
        <f>IF(OR($CX71&gt;0, $CZ71&gt;0), 1, 0)</f>
        <v>0</v>
      </c>
      <c r="T71" s="604">
        <f>IF(OR($DA71&gt;0, $DC71&gt;0), 1, 0)</f>
        <v>0</v>
      </c>
      <c r="U71" s="603">
        <f>IF(OR($AI71&gt;0,$AM71&gt;0,$AS71&gt;0), 1, 0)</f>
        <v>0</v>
      </c>
      <c r="V71" s="602">
        <f>[1]BDD!A61</f>
        <v>6035</v>
      </c>
      <c r="W71" s="601" t="str">
        <f>[1]BDD!B61</f>
        <v>Chocolat de Algorroba BIO (tablette 100g)</v>
      </c>
      <c r="X71" s="600" t="str">
        <f>IF([1]BDD!F61=0, "", [1]BDD!F61)</f>
        <v/>
      </c>
      <c r="Y71" s="542">
        <f>ROUND([1]BDD!G61+FDP_CMD_KG, 2)</f>
        <v>5.51</v>
      </c>
      <c r="Z71" s="542">
        <f>ROUND([1]BDD!G61+FDP_FACT_KG, 2)</f>
        <v>5.51</v>
      </c>
      <c r="AA71" s="543" t="str">
        <f>[1]BDD!H61</f>
        <v>Pièce</v>
      </c>
      <c r="AB71" s="544">
        <f>IF(NOT(ISBLANK([1]BDD!I61)), ROUND(SUM(([1]BDD!G61*reduc1),FDP_CMD_KG), 2), "")</f>
        <v>5.05</v>
      </c>
      <c r="AC71" s="544" t="str">
        <f>IF(NOT(ISBLANK([1]BDD!J61)), ROUND(SUM(([1]BDD!G61*reduc2),FDP_CMD_KG), 2), "")</f>
        <v/>
      </c>
      <c r="AD71" s="544" t="str">
        <f>IF(NOT(ISBLANK([1]BDD!K61)), ROUND(SUM(([1]BDD!G61*reduc3),FDP_CMD_KG), 2), "")</f>
        <v/>
      </c>
      <c r="AE71" s="544">
        <f>IF(NOT(ISBLANK([1]BDD!I61)), ROUND(SUM(([1]BDD!G61*reduc1),FDP_FACT_KG), 2), "")</f>
        <v>5.04</v>
      </c>
      <c r="AF71" s="544" t="str">
        <f>IF(NOT(ISBLANK([1]BDD!J61)), ROUND(SUM(([1]BDD!G61*reduc2),FDP_FACT_KG), 2), "")</f>
        <v/>
      </c>
      <c r="AG71" s="544" t="str">
        <f>IF(NOT(ISBLANK([1]BDD!K61)), ROUND(SUM(([1]BDD!G61*reduc3),FDP_FACT_KG), 2), "")</f>
        <v/>
      </c>
      <c r="AH71" s="599" t="str">
        <f>[1]BDD!C61</f>
        <v>National</v>
      </c>
      <c r="AI71" s="598">
        <f>SUM(AV71,AY71,BB71,BE71,BH71,BK71,BN71,BQ71,BT71,BW71,BZ71,CC71,CF71,CI71,CL71,CO71,CR71,CU71,CX71,DA71)</f>
        <v>0</v>
      </c>
      <c r="AJ71" s="545">
        <f>_xlfn.IFS($AD71&lt;&gt;"", $AD71,    $AC71&lt;&gt;"", $AC71,    $AB71&lt;&gt;"", $AB71,    TRUE, $Y71)</f>
        <v>5.05</v>
      </c>
      <c r="AK71" s="592">
        <f>$AI71*$AJ71</f>
        <v>0</v>
      </c>
      <c r="AL71" s="594"/>
      <c r="AM71" s="597"/>
      <c r="AN71" s="545">
        <f>_xlfn.IFS(AND(AM71&gt;=60,$AG71&lt;&gt;""), $AG71,    AND(AM71&gt;=30,$AF71&lt;&gt;""), $AF71,    AND(AM71&gt;=10,$AE71&lt;&gt;""), $AE71,    TRUE, $Z71)</f>
        <v>5.51</v>
      </c>
      <c r="AO71" s="596">
        <f>AM71*AN71</f>
        <v>0</v>
      </c>
      <c r="AP71" s="595"/>
      <c r="AQ71" s="595"/>
      <c r="AR71" s="594"/>
      <c r="AS71" s="593">
        <f>SUM(AW71,AZ71,BC71,BF71,BI71,BL71,BO71,BR71,BU71,BX71,CA71,CD71,CG71,CJ71,CM71,CP71,CS71,CV71,CY71,DB71)</f>
        <v>0</v>
      </c>
      <c r="AT71" s="545">
        <f>_xlfn.IFS(AND(AS71&gt;=60,$AG71&lt;&gt;""), $AG71,    AND(AS71&gt;=30,$AF71&lt;&gt;""), $AF71,    AND(AS71&gt;=10,$AE71&lt;&gt;""), $AE71,    TRUE, $Z71)</f>
        <v>5.51</v>
      </c>
      <c r="AU71" s="592">
        <f>$AS71*$AT71</f>
        <v>0</v>
      </c>
      <c r="AV71" s="591">
        <f>[1]COMMANDE!O69</f>
        <v>0</v>
      </c>
      <c r="AW71" s="586" t="str">
        <f>_xlfn.IFS(AND($AI71=$AM71,$AI71&gt;0,$AM71&gt;0,AV71&gt;0), AV71,     AND(NOT($AI71=$AM71),$AI71&gt;0,$AM71&gt;0,AV71&gt;0), ($AM71*AV71)/$AI71,     AND($AI71=0,$AM71&gt;0,$AQ71&gt;0), IF(INDEX(AV$12:AV$263,MATCH($AQ71,$AP$12:$AP$263,0))&gt;0,($AM71*INDEX(AV$12:AV$263,MATCH($AQ71,$AP$12:$AP$263,0)))/INDEX($AI$12:$AI$263,MATCH($AQ71,$AP$12:$AP$263,0)), "-"),     TRUE, "0")</f>
        <v>0</v>
      </c>
      <c r="AX71" s="588">
        <f>IF(AW$9&gt;0, IF(OR(AW71="",AW71="-"), 0, AW71*$AT71), AV71*$AJ71)</f>
        <v>0</v>
      </c>
      <c r="AY71" s="587">
        <f>[1]COMMANDE!Q69</f>
        <v>0</v>
      </c>
      <c r="AZ71" s="586" t="str">
        <f>_xlfn.IFS(AND($AI71=$AM71,$AI71&gt;0,$AM71&gt;0,AY71&gt;0), AY71,     AND(NOT($AI71=$AM71),$AI71&gt;0,$AM71&gt;0,AY71&gt;0), ($AM71*AY71)/$AI71,     AND($AI71=0,$AM71&gt;0,$AQ71&gt;0), IF(INDEX(AY$12:AY$263,MATCH($AQ71,$AP$12:$AP$263,0))&gt;0,($AM71*INDEX(AY$12:AY$263,MATCH($AQ71,$AP$12:$AP$263,0)))/INDEX($AI$12:$AI$263,MATCH($AQ71,$AP$12:$AP$263,0)), "-"),     TRUE, "0")</f>
        <v>0</v>
      </c>
      <c r="BA71" s="607">
        <f>IF(AZ$9&gt;0, IF(OR(AZ71="",AZ71="-"), 0, AZ71*$AT71), AY71*$AJ71)</f>
        <v>0</v>
      </c>
      <c r="BB71" s="589">
        <f>[1]COMMANDE!S69</f>
        <v>0</v>
      </c>
      <c r="BC71" s="586" t="str">
        <f>_xlfn.IFS(AND($AI71=$AM71,$AI71&gt;0,$AM71&gt;0,BB71&gt;0), BB71,     AND(NOT($AI71=$AM71),$AI71&gt;0,$AM71&gt;0,BB71&gt;0), ($AM71*BB71)/$AI71,     AND($AI71=0,$AM71&gt;0,$AQ71&gt;0), IF(INDEX(BB$12:BB$263,MATCH($AQ71,$AP$12:$AP$263,0))&gt;0,($AM71*INDEX(BB$12:BB$263,MATCH($AQ71,$AP$12:$AP$263,0)))/INDEX($AI$12:$AI$263,MATCH($AQ71,$AP$12:$AP$263,0)), "-"),     TRUE, "0")</f>
        <v>0</v>
      </c>
      <c r="BD71" s="588">
        <f>IF(BC$9&gt;0, IF(OR(BC71="",BC71="-"), 0, BC71*$AT71), BB71*$AJ71)</f>
        <v>0</v>
      </c>
      <c r="BE71" s="587">
        <f>[1]COMMANDE!U69</f>
        <v>0</v>
      </c>
      <c r="BF71" s="586" t="str">
        <f>_xlfn.IFS(AND($AI71=$AM71,$AI71&gt;0,$AM71&gt;0,BE71&gt;0), BE71,     AND(NOT($AI71=$AM71),$AI71&gt;0,$AM71&gt;0,BE71&gt;0), ($AM71*BE71)/$AI71,     AND($AI71=0,$AM71&gt;0,$AQ71&gt;0), IF(INDEX(BE$12:BE$263,MATCH($AQ71,$AP$12:$AP$263,0))&gt;0,($AM71*INDEX(BE$12:BE$263,MATCH($AQ71,$AP$12:$AP$263,0)))/INDEX($AI$12:$AI$263,MATCH($AQ71,$AP$12:$AP$263,0)), "-"),     TRUE, "0")</f>
        <v>0</v>
      </c>
      <c r="BG71" s="607">
        <f>IF(BF$9&gt;0, IF(OR(BF71="",BF71="-"), 0, BF71*$AT71), BE71*$AJ71)</f>
        <v>0</v>
      </c>
      <c r="BH71" s="589">
        <f>[1]COMMANDE!W69</f>
        <v>0</v>
      </c>
      <c r="BI71" s="586" t="str">
        <f>_xlfn.IFS(AND($AI71=$AM71,$AI71&gt;0,$AM71&gt;0,BH71&gt;0), BH71,     AND(NOT($AI71=$AM71),$AI71&gt;0,$AM71&gt;0,BH71&gt;0), ($AM71*BH71)/$AI71,     AND($AI71=0,$AM71&gt;0,$AQ71&gt;0), IF(INDEX(BH$12:BH$263,MATCH($AQ71,$AP$12:$AP$263,0))&gt;0,($AM71*INDEX(BH$12:BH$263,MATCH($AQ71,$AP$12:$AP$263,0)))/INDEX($AI$12:$AI$263,MATCH($AQ71,$AP$12:$AP$263,0)), "-"),     TRUE, "0")</f>
        <v>0</v>
      </c>
      <c r="BJ71" s="588">
        <f>IF(BI$9&gt;0, IF(OR(BI71="",BI71="-"), 0, BI71*$AT71), BH71*$AJ71)</f>
        <v>0</v>
      </c>
      <c r="BK71" s="587">
        <f>[1]COMMANDE!Y69</f>
        <v>0</v>
      </c>
      <c r="BL71" s="586" t="str">
        <f>_xlfn.IFS(AND($AI71=$AM71,$AI71&gt;0,$AM71&gt;0,BK71&gt;0), BK71,     AND(NOT($AI71=$AM71),$AI71&gt;0,$AM71&gt;0,BK71&gt;0), ($AM71*BK71)/$AI71,     AND($AI71=0,$AM71&gt;0,$AQ71&gt;0), IF(INDEX(BK$12:BK$263,MATCH($AQ71,$AP$12:$AP$263,0))&gt;0,($AM71*INDEX(BK$12:BK$263,MATCH($AQ71,$AP$12:$AP$263,0)))/INDEX($AI$12:$AI$263,MATCH($AQ71,$AP$12:$AP$263,0)), "-"),     TRUE, "0")</f>
        <v>0</v>
      </c>
      <c r="BM71" s="607">
        <f>IF(BL$9&gt;0, IF(OR(BL71="",BL71="-"), 0, BL71*$AT71), BK71*$AJ71)</f>
        <v>0</v>
      </c>
      <c r="BN71" s="589">
        <f>[1]COMMANDE!AA69</f>
        <v>0</v>
      </c>
      <c r="BO71" s="586" t="str">
        <f>_xlfn.IFS(AND($AI71=$AM71,$AI71&gt;0,$AM71&gt;0,BN71&gt;0), BN71,     AND(NOT($AI71=$AM71),$AI71&gt;0,$AM71&gt;0,BN71&gt;0), ($AM71*BN71)/$AI71,     AND($AI71=0,$AM71&gt;0,$AQ71&gt;0), IF(INDEX(BN$12:BN$263,MATCH($AQ71,$AP$12:$AP$263,0))&gt;0,($AM71*INDEX(BN$12:BN$263,MATCH($AQ71,$AP$12:$AP$263,0)))/INDEX($AI$12:$AI$263,MATCH($AQ71,$AP$12:$AP$263,0)), "-"),     TRUE, "0")</f>
        <v>0</v>
      </c>
      <c r="BP71" s="588">
        <f>IF(BO$9&gt;0, IF(OR(BO71="",BO71="-"), 0, BO71*$AT71), BN71*$AJ71)</f>
        <v>0</v>
      </c>
      <c r="BQ71" s="587">
        <f>[1]COMMANDE!AC69</f>
        <v>0</v>
      </c>
      <c r="BR71" s="586" t="str">
        <f>_xlfn.IFS(AND($AI71=$AM71,$AI71&gt;0,$AM71&gt;0,BQ71&gt;0), BQ71,     AND(NOT($AI71=$AM71),$AI71&gt;0,$AM71&gt;0,BQ71&gt;0), ($AM71*BQ71)/$AI71,     AND($AI71=0,$AM71&gt;0,$AQ71&gt;0), IF(INDEX(BQ$12:BQ$263,MATCH($AQ71,$AP$12:$AP$263,0))&gt;0,($AM71*INDEX(BQ$12:BQ$263,MATCH($AQ71,$AP$12:$AP$263,0)))/INDEX($AI$12:$AI$263,MATCH($AQ71,$AP$12:$AP$263,0)), "-"),     TRUE, "0")</f>
        <v>0</v>
      </c>
      <c r="BS71" s="607">
        <f>IF(BR$9&gt;0, IF(OR(BR71="",BR71="-"), 0, BR71*$AT71), BQ71*$AJ71)</f>
        <v>0</v>
      </c>
      <c r="BT71" s="589">
        <f>[1]COMMANDE!AE69</f>
        <v>0</v>
      </c>
      <c r="BU71" s="586" t="str">
        <f>_xlfn.IFS(AND($AI71=$AM71,$AI71&gt;0,$AM71&gt;0,BT71&gt;0), BT71,     AND(NOT($AI71=$AM71),$AI71&gt;0,$AM71&gt;0,BT71&gt;0), ($AM71*BT71)/$AI71,     AND($AI71=0,$AM71&gt;0,$AQ71&gt;0), IF(INDEX(BT$12:BT$263,MATCH($AQ71,$AP$12:$AP$263,0))&gt;0,($AM71*INDEX(BT$12:BT$263,MATCH($AQ71,$AP$12:$AP$263,0)))/INDEX($AI$12:$AI$263,MATCH($AQ71,$AP$12:$AP$263,0)), "-"),     TRUE, "0")</f>
        <v>0</v>
      </c>
      <c r="BV71" s="588">
        <f>IF(BU$9&gt;0, IF(OR(BU71="",BU71="-"), 0, BU71*$AT71), BT71*$AJ71)</f>
        <v>0</v>
      </c>
      <c r="BW71" s="587">
        <f>[1]COMMANDE!AG69</f>
        <v>0</v>
      </c>
      <c r="BX71" s="586" t="str">
        <f>_xlfn.IFS(AND($AI71=$AM71,$AI71&gt;0,$AM71&gt;0,BW71&gt;0), BW71,     AND(NOT($AI71=$AM71),$AI71&gt;0,$AM71&gt;0,BW71&gt;0), ($AM71*BW71)/$AI71,     AND($AI71=0,$AM71&gt;0,$AQ71&gt;0), IF(INDEX(BW$12:BW$263,MATCH($AQ71,$AP$12:$AP$263,0))&gt;0,($AM71*INDEX(BW$12:BW$263,MATCH($AQ71,$AP$12:$AP$263,0)))/INDEX($AI$12:$AI$263,MATCH($AQ71,$AP$12:$AP$263,0)), "-"),     TRUE, "0")</f>
        <v>0</v>
      </c>
      <c r="BY71" s="607">
        <f>IF(BX$9&gt;0, IF(OR(BX71="",BX71="-"), 0, BX71*$AT71), BW71*$AJ71)</f>
        <v>0</v>
      </c>
      <c r="BZ71" s="589">
        <f>[1]COMMANDE!AI69</f>
        <v>0</v>
      </c>
      <c r="CA71" s="586" t="str">
        <f>_xlfn.IFS(AND($AI71=$AM71,$AI71&gt;0,$AM71&gt;0,BZ71&gt;0), BZ71,     AND(NOT($AI71=$AM71),$AI71&gt;0,$AM71&gt;0,BZ71&gt;0), ($AM71*BZ71)/$AI71,     AND($AI71=0,$AM71&gt;0,$AQ71&gt;0), IF(INDEX(BZ$12:BZ$263,MATCH($AQ71,$AP$12:$AP$263,0))&gt;0,($AM71*INDEX(BZ$12:BZ$263,MATCH($AQ71,$AP$12:$AP$263,0)))/INDEX($AI$12:$AI$263,MATCH($AQ71,$AP$12:$AP$263,0)), "-"),     TRUE, "0")</f>
        <v>0</v>
      </c>
      <c r="CB71" s="588">
        <f>IF(CA$9&gt;0, IF(OR(CA71="",CA71="-"), 0, CA71*$AT71), BZ71*$AJ71)</f>
        <v>0</v>
      </c>
      <c r="CC71" s="587">
        <f>[1]COMMANDE!AK69</f>
        <v>0</v>
      </c>
      <c r="CD71" s="586" t="str">
        <f>_xlfn.IFS(AND($AI71=$AM71,$AI71&gt;0,$AM71&gt;0,CC71&gt;0), CC71,     AND(NOT($AI71=$AM71),$AI71&gt;0,$AM71&gt;0,CC71&gt;0), ($AM71*CC71)/$AI71,     AND($AI71=0,$AM71&gt;0,$AQ71&gt;0), IF(INDEX(CC$12:CC$263,MATCH($AQ71,$AP$12:$AP$263,0))&gt;0,($AM71*INDEX(CC$12:CC$263,MATCH($AQ71,$AP$12:$AP$263,0)))/INDEX($AI$12:$AI$263,MATCH($AQ71,$AP$12:$AP$263,0)), "-"),     TRUE, "0")</f>
        <v>0</v>
      </c>
      <c r="CE71" s="607">
        <f>IF(CD$9&gt;0, IF(OR(CD71="",CD71="-"), 0, CD71*$AT71), CC71*$AJ71)</f>
        <v>0</v>
      </c>
      <c r="CF71" s="589">
        <f>[1]COMMANDE!AM69</f>
        <v>0</v>
      </c>
      <c r="CG71" s="586" t="str">
        <f>_xlfn.IFS(AND($AI71=$AM71,$AI71&gt;0,$AM71&gt;0,CF71&gt;0), CF71,     AND(NOT($AI71=$AM71),$AI71&gt;0,$AM71&gt;0,CF71&gt;0), ($AM71*CF71)/$AI71,     AND($AI71=0,$AM71&gt;0,$AQ71&gt;0), IF(INDEX(CF$12:CF$263,MATCH($AQ71,$AP$12:$AP$263,0))&gt;0,($AM71*INDEX(CF$12:CF$263,MATCH($AQ71,$AP$12:$AP$263,0)))/INDEX($AI$12:$AI$263,MATCH($AQ71,$AP$12:$AP$263,0)), "-"),     TRUE, "0")</f>
        <v>0</v>
      </c>
      <c r="CH71" s="588">
        <f>IF(CG$9&gt;0, IF(OR(CG71="",CG71="-"), 0, CG71*$AT71), CF71*$AJ71)</f>
        <v>0</v>
      </c>
      <c r="CI71" s="587">
        <f>[1]COMMANDE!AO69</f>
        <v>0</v>
      </c>
      <c r="CJ71" s="586" t="str">
        <f>_xlfn.IFS(AND($AI71=$AM71,$AI71&gt;0,$AM71&gt;0,CI71&gt;0), CI71,     AND(NOT($AI71=$AM71),$AI71&gt;0,$AM71&gt;0,CI71&gt;0), ($AM71*CI71)/$AI71,     AND($AI71=0,$AM71&gt;0,$AQ71&gt;0), IF(INDEX(CI$12:CI$263,MATCH($AQ71,$AP$12:$AP$263,0))&gt;0,($AM71*INDEX(CI$12:CI$263,MATCH($AQ71,$AP$12:$AP$263,0)))/INDEX($AI$12:$AI$263,MATCH($AQ71,$AP$12:$AP$263,0)), "-"),     TRUE, "0")</f>
        <v>0</v>
      </c>
      <c r="CK71" s="607">
        <f>IF(CJ$9&gt;0, IF(OR(CJ71="",CJ71="-"), 0, CJ71*$AT71), CI71*$AJ71)</f>
        <v>0</v>
      </c>
      <c r="CL71" s="589">
        <f>[1]COMMANDE!AQ69</f>
        <v>0</v>
      </c>
      <c r="CM71" s="586" t="str">
        <f>_xlfn.IFS(AND($AI71=$AM71,$AI71&gt;0,$AM71&gt;0,CL71&gt;0), CL71,     AND(NOT($AI71=$AM71),$AI71&gt;0,$AM71&gt;0,CL71&gt;0), ($AM71*CL71)/$AI71,     AND($AI71=0,$AM71&gt;0,$AQ71&gt;0), IF(INDEX(CL$12:CL$263,MATCH($AQ71,$AP$12:$AP$263,0))&gt;0,($AM71*INDEX(CL$12:CL$263,MATCH($AQ71,$AP$12:$AP$263,0)))/INDEX($AI$12:$AI$263,MATCH($AQ71,$AP$12:$AP$263,0)), "-"),     TRUE, "0")</f>
        <v>0</v>
      </c>
      <c r="CN71" s="588">
        <f>IF(CM$9&gt;0, IF(OR(CM71="",CM71="-"), 0, CM71*$AT71), CL71*$AJ71)</f>
        <v>0</v>
      </c>
      <c r="CO71" s="587">
        <f>[1]COMMANDE!AS69</f>
        <v>0</v>
      </c>
      <c r="CP71" s="586" t="str">
        <f>_xlfn.IFS(AND($AI71=$AM71,$AI71&gt;0,$AM71&gt;0,CO71&gt;0), CO71,     AND(NOT($AI71=$AM71),$AI71&gt;0,$AM71&gt;0,CO71&gt;0), ($AM71*CO71)/$AI71,     AND($AI71=0,$AM71&gt;0,$AQ71&gt;0), IF(INDEX(CO$12:CO$263,MATCH($AQ71,$AP$12:$AP$263,0))&gt;0,($AM71*INDEX(CO$12:CO$263,MATCH($AQ71,$AP$12:$AP$263,0)))/INDEX($AI$12:$AI$263,MATCH($AQ71,$AP$12:$AP$263,0)), "-"),     TRUE, "0")</f>
        <v>0</v>
      </c>
      <c r="CQ71" s="607">
        <f>IF(CP$9&gt;0, IF(OR(CP71="",CP71="-"), 0, CP71*$AT71), CO71*$AJ71)</f>
        <v>0</v>
      </c>
      <c r="CR71" s="589">
        <f>[1]COMMANDE!AU69</f>
        <v>0</v>
      </c>
      <c r="CS71" s="586" t="str">
        <f>_xlfn.IFS(AND($AI71=$AM71,$AI71&gt;0,$AM71&gt;0,CR71&gt;0), CR71,     AND(NOT($AI71=$AM71),$AI71&gt;0,$AM71&gt;0,CR71&gt;0), ($AM71*CR71)/$AI71,     AND($AI71=0,$AM71&gt;0,$AQ71&gt;0), IF(INDEX(CR$12:CR$263,MATCH($AQ71,$AP$12:$AP$263,0))&gt;0,($AM71*INDEX(CR$12:CR$263,MATCH($AQ71,$AP$12:$AP$263,0)))/INDEX($AI$12:$AI$263,MATCH($AQ71,$AP$12:$AP$263,0)), "-"),     TRUE, "0")</f>
        <v>0</v>
      </c>
      <c r="CT71" s="588">
        <f>IF(CS$9&gt;0, IF(OR(CS71="",CS71="-"), 0, CS71*$AT71), CR71*$AJ71)</f>
        <v>0</v>
      </c>
      <c r="CU71" s="587">
        <f>[1]COMMANDE!AW69</f>
        <v>0</v>
      </c>
      <c r="CV71" s="586" t="str">
        <f>_xlfn.IFS(AND($AI71=$AM71,$AI71&gt;0,$AM71&gt;0,CU71&gt;0), CU71,     AND(NOT($AI71=$AM71),$AI71&gt;0,$AM71&gt;0,CU71&gt;0), ($AM71*CU71)/$AI71,     AND($AI71=0,$AM71&gt;0,$AQ71&gt;0), IF(INDEX(CU$12:CU$263,MATCH($AQ71,$AP$12:$AP$263,0))&gt;0,($AM71*INDEX(CU$12:CU$263,MATCH($AQ71,$AP$12:$AP$263,0)))/INDEX($AI$12:$AI$263,MATCH($AQ71,$AP$12:$AP$263,0)), "-"),     TRUE, "0")</f>
        <v>0</v>
      </c>
      <c r="CW71" s="607">
        <f>IF(CV$9&gt;0, IF(OR(CV71="",CV71="-"), 0, CV71*$AT71), CU71*$AJ71)</f>
        <v>0</v>
      </c>
      <c r="CX71" s="589">
        <f>[1]COMMANDE!AY69</f>
        <v>0</v>
      </c>
      <c r="CY71" s="586" t="str">
        <f>_xlfn.IFS(AND($AI71=$AM71,$AI71&gt;0,$AM71&gt;0,CX71&gt;0), CX71,     AND(NOT($AI71=$AM71),$AI71&gt;0,$AM71&gt;0,CX71&gt;0), ($AM71*CX71)/$AI71,     AND($AI71=0,$AM71&gt;0,$AQ71&gt;0), IF(INDEX(CX$12:CX$263,MATCH($AQ71,$AP$12:$AP$263,0))&gt;0,($AM71*INDEX(CX$12:CX$263,MATCH($AQ71,$AP$12:$AP$263,0)))/INDEX($AI$12:$AI$263,MATCH($AQ71,$AP$12:$AP$263,0)), "-"),     TRUE, "0")</f>
        <v>0</v>
      </c>
      <c r="CZ71" s="588">
        <f>IF(CY$9&gt;0, IF(OR(CY71="",CY71="-"), 0, CY71*$AT71), CX71*$AJ71)</f>
        <v>0</v>
      </c>
      <c r="DA71" s="587">
        <f>[1]COMMANDE!BA69</f>
        <v>0</v>
      </c>
      <c r="DB71" s="586" t="str">
        <f>_xlfn.IFS(AND($AI71=$AM71,$AI71&gt;0,$AM71&gt;0,DA71&gt;0), DA71,     AND(NOT($AI71=$AM71),$AI71&gt;0,$AM71&gt;0,DA71&gt;0), ($AM71*DA71)/$AI71,     AND($AI71=0,$AM71&gt;0,$AQ71&gt;0), IF(INDEX(DA$12:DA$263,MATCH($AQ71,$AP$12:$AP$263,0))&gt;0,($AM71*INDEX(DA$12:DA$263,MATCH($AQ71,$AP$12:$AP$263,0)))/INDEX($AI$12:$AI$263,MATCH($AQ71,$AP$12:$AP$263,0)), "-"),     TRUE, "0")</f>
        <v>0</v>
      </c>
      <c r="DC71" s="606">
        <f>IF(DB$9&gt;0, IF(OR(DB71="",DB71="-"), 0, DB71*$AT71), DA71*$AJ71)</f>
        <v>0</v>
      </c>
      <c r="DD71" s="584"/>
      <c r="DE71" s="583"/>
    </row>
    <row r="72" spans="1:109" ht="39.950000000000003" hidden="1" customHeight="1">
      <c r="A72" s="604">
        <f>IF(OR($AV72&gt;0, $AX72&gt;0), 1, 0)</f>
        <v>0</v>
      </c>
      <c r="B72" s="604">
        <f>IF(OR($AY72&gt;0, $BA72&gt;0), 1, 0)</f>
        <v>0</v>
      </c>
      <c r="C72" s="604">
        <f>IF(OR($BB72&gt;0, $BD72&gt;0), 1, 0)</f>
        <v>0</v>
      </c>
      <c r="D72" s="604">
        <f>IF(OR($BE72&gt;0, $BG72&gt;0), 1, 0)</f>
        <v>0</v>
      </c>
      <c r="E72" s="604">
        <f>IF(OR($BH72&gt;0, $BJ72&gt;0), 1, 0)</f>
        <v>0</v>
      </c>
      <c r="F72" s="604">
        <f>IF(OR($BK72&gt;0, $BM72&gt;0), 1, 0)</f>
        <v>0</v>
      </c>
      <c r="G72" s="604">
        <f>IF(OR($BN72&gt;0, $BP72&gt;0), 1, 0)</f>
        <v>0</v>
      </c>
      <c r="H72" s="604">
        <f>IF(OR($BQ72&gt;0, $BS72&gt;0), 1, 0)</f>
        <v>0</v>
      </c>
      <c r="I72" s="604">
        <f>IF(OR($BT72&gt;0, $BV72&gt;0), 1, 0)</f>
        <v>0</v>
      </c>
      <c r="J72" s="604">
        <f>IF(OR($BW72&gt;0, $BY72&gt;0), 1, 0)</f>
        <v>0</v>
      </c>
      <c r="K72" s="604">
        <f>IF(OR($BZ72&gt;0, $CB72&gt;0), 1, 0)</f>
        <v>0</v>
      </c>
      <c r="L72" s="604">
        <f>IF(OR($CC72&gt;0, $CE72&gt;0), 1, 0)</f>
        <v>0</v>
      </c>
      <c r="M72" s="604">
        <f>IF(OR($CF72&gt;0, $CH72&gt;0), 1, 0)</f>
        <v>0</v>
      </c>
      <c r="N72" s="604">
        <f>IF(OR($CI72&gt;0, $CK72&gt;0), 1, 0)</f>
        <v>0</v>
      </c>
      <c r="O72" s="604">
        <f>IF(OR($CL72&gt;0, $CN72&gt;0), 1, 0)</f>
        <v>0</v>
      </c>
      <c r="P72" s="604">
        <f>IF(OR($CO72&gt;0, $CQ72&gt;0), 1, 0)</f>
        <v>0</v>
      </c>
      <c r="Q72" s="604">
        <f>IF(OR($CR72&gt;0, $CT72&gt;0), 1, 0)</f>
        <v>0</v>
      </c>
      <c r="R72" s="604">
        <f>IF(OR($CU72&gt;0, $CW72&gt;0), 1, 0)</f>
        <v>0</v>
      </c>
      <c r="S72" s="604">
        <f>IF(OR($CX72&gt;0, $CZ72&gt;0), 1, 0)</f>
        <v>0</v>
      </c>
      <c r="T72" s="604">
        <f>IF(OR($DA72&gt;0, $DC72&gt;0), 1, 0)</f>
        <v>0</v>
      </c>
      <c r="U72" s="603">
        <f>IF(OR($AI72&gt;0,$AM72&gt;0,$AS72&gt;0), 1, 0)</f>
        <v>0</v>
      </c>
      <c r="V72" s="602">
        <f>[1]BDD!A62</f>
        <v>1209</v>
      </c>
      <c r="W72" s="601" t="str">
        <f>[1]BDD!B62</f>
        <v>Chou Kale Lacitano/Cavolo baby BIO (production Rufino)</v>
      </c>
      <c r="X72" s="600" t="str">
        <f>IF([1]BDD!F62=0, "", [1]BDD!F62)</f>
        <v>OFFRE</v>
      </c>
      <c r="Y72" s="542">
        <f>ROUND([1]BDD!G62+FDP_CMD_KG, 2)</f>
        <v>5.65</v>
      </c>
      <c r="Z72" s="542">
        <f>ROUND([1]BDD!G62+FDP_FACT_KG, 2)</f>
        <v>5.65</v>
      </c>
      <c r="AA72" s="543" t="str">
        <f>[1]BDD!H62</f>
        <v>kg</v>
      </c>
      <c r="AB72" s="544">
        <f>IF(NOT(ISBLANK([1]BDD!I62)), ROUND(SUM(([1]BDD!G62*reduc1),FDP_CMD_KG), 2), "")</f>
        <v>5.18</v>
      </c>
      <c r="AC72" s="544">
        <f>IF(NOT(ISBLANK([1]BDD!J62)), ROUND(SUM(([1]BDD!G62*reduc2),FDP_CMD_KG), 2), "")</f>
        <v>4.7</v>
      </c>
      <c r="AD72" s="544" t="str">
        <f>IF(NOT(ISBLANK([1]BDD!K62)), ROUND(SUM(([1]BDD!G62*reduc3),FDP_CMD_KG), 2), "")</f>
        <v/>
      </c>
      <c r="AE72" s="544">
        <f>IF(NOT(ISBLANK([1]BDD!I62)), ROUND(SUM(([1]BDD!G62*reduc1),FDP_FACT_KG), 2), "")</f>
        <v>5.17</v>
      </c>
      <c r="AF72" s="544">
        <f>IF(NOT(ISBLANK([1]BDD!J62)), ROUND(SUM(([1]BDD!G62*reduc2),FDP_FACT_KG), 2), "")</f>
        <v>4.6900000000000004</v>
      </c>
      <c r="AG72" s="544" t="str">
        <f>IF(NOT(ISBLANK([1]BDD!K62)), ROUND(SUM(([1]BDD!G62*reduc3),FDP_FACT_KG), 2), "")</f>
        <v/>
      </c>
      <c r="AH72" s="599" t="str">
        <f>[1]BDD!C62</f>
        <v>Grenade</v>
      </c>
      <c r="AI72" s="598">
        <f>SUM(AV72,AY72,BB72,BE72,BH72,BK72,BN72,BQ72,BT72,BW72,BZ72,CC72,CF72,CI72,CL72,CO72,CR72,CU72,CX72,DA72)</f>
        <v>0</v>
      </c>
      <c r="AJ72" s="545">
        <f>_xlfn.IFS($AD72&lt;&gt;"", $AD72,    $AC72&lt;&gt;"", $AC72,    $AB72&lt;&gt;"", $AB72,    TRUE, $Y72)</f>
        <v>4.7</v>
      </c>
      <c r="AK72" s="592">
        <f>$AI72*$AJ72</f>
        <v>0</v>
      </c>
      <c r="AL72" s="594"/>
      <c r="AM72" s="597"/>
      <c r="AN72" s="545">
        <f>_xlfn.IFS(AND(AM72&gt;=60,$AG72&lt;&gt;""), $AG72,    AND(AM72&gt;=30,$AF72&lt;&gt;""), $AF72,    AND(AM72&gt;=10,$AE72&lt;&gt;""), $AE72,    TRUE, $Z72)</f>
        <v>5.65</v>
      </c>
      <c r="AO72" s="596">
        <f>AM72*AN72</f>
        <v>0</v>
      </c>
      <c r="AP72" s="595"/>
      <c r="AQ72" s="595"/>
      <c r="AR72" s="594"/>
      <c r="AS72" s="593">
        <f>SUM(AW72,AZ72,BC72,BF72,BI72,BL72,BO72,BR72,BU72,BX72,CA72,CD72,CG72,CJ72,CM72,CP72,CS72,CV72,CY72,DB72)</f>
        <v>0</v>
      </c>
      <c r="AT72" s="545">
        <f>_xlfn.IFS(AND(AS72&gt;=60,$AG72&lt;&gt;""), $AG72,    AND(AS72&gt;=30,$AF72&lt;&gt;""), $AF72,    AND(AS72&gt;=10,$AE72&lt;&gt;""), $AE72,    TRUE, $Z72)</f>
        <v>5.65</v>
      </c>
      <c r="AU72" s="592">
        <f>$AS72*$AT72</f>
        <v>0</v>
      </c>
      <c r="AV72" s="591">
        <f>[1]COMMANDE!O70</f>
        <v>0</v>
      </c>
      <c r="AW72" s="586" t="str">
        <f>_xlfn.IFS(AND($AI72=$AM72,$AI72&gt;0,$AM72&gt;0,AV72&gt;0), AV72,     AND(NOT($AI72=$AM72),$AI72&gt;0,$AM72&gt;0,AV72&gt;0), ($AM72*AV72)/$AI72,     AND($AI72=0,$AM72&gt;0,$AQ72&gt;0), IF(INDEX(AV$12:AV$263,MATCH($AQ72,$AP$12:$AP$263,0))&gt;0,($AM72*INDEX(AV$12:AV$263,MATCH($AQ72,$AP$12:$AP$263,0)))/INDEX($AI$12:$AI$263,MATCH($AQ72,$AP$12:$AP$263,0)), "-"),     TRUE, "0")</f>
        <v>0</v>
      </c>
      <c r="AX72" s="588">
        <f>IF(AW$9&gt;0, IF(OR(AW72="",AW72="-"), 0, AW72*$AT72), AV72*$AJ72)</f>
        <v>0</v>
      </c>
      <c r="AY72" s="587">
        <f>[1]COMMANDE!Q70</f>
        <v>0</v>
      </c>
      <c r="AZ72" s="586" t="str">
        <f>_xlfn.IFS(AND($AI72=$AM72,$AI72&gt;0,$AM72&gt;0,AY72&gt;0), AY72,     AND(NOT($AI72=$AM72),$AI72&gt;0,$AM72&gt;0,AY72&gt;0), ($AM72*AY72)/$AI72,     AND($AI72=0,$AM72&gt;0,$AQ72&gt;0), IF(INDEX(AY$12:AY$263,MATCH($AQ72,$AP$12:$AP$263,0))&gt;0,($AM72*INDEX(AY$12:AY$263,MATCH($AQ72,$AP$12:$AP$263,0)))/INDEX($AI$12:$AI$263,MATCH($AQ72,$AP$12:$AP$263,0)), "-"),     TRUE, "0")</f>
        <v>0</v>
      </c>
      <c r="BA72" s="607">
        <f>IF(AZ$9&gt;0, IF(OR(AZ72="",AZ72="-"), 0, AZ72*$AT72), AY72*$AJ72)</f>
        <v>0</v>
      </c>
      <c r="BB72" s="589">
        <f>[1]COMMANDE!S70</f>
        <v>0</v>
      </c>
      <c r="BC72" s="586" t="str">
        <f>_xlfn.IFS(AND($AI72=$AM72,$AI72&gt;0,$AM72&gt;0,BB72&gt;0), BB72,     AND(NOT($AI72=$AM72),$AI72&gt;0,$AM72&gt;0,BB72&gt;0), ($AM72*BB72)/$AI72,     AND($AI72=0,$AM72&gt;0,$AQ72&gt;0), IF(INDEX(BB$12:BB$263,MATCH($AQ72,$AP$12:$AP$263,0))&gt;0,($AM72*INDEX(BB$12:BB$263,MATCH($AQ72,$AP$12:$AP$263,0)))/INDEX($AI$12:$AI$263,MATCH($AQ72,$AP$12:$AP$263,0)), "-"),     TRUE, "0")</f>
        <v>0</v>
      </c>
      <c r="BD72" s="588">
        <f>IF(BC$9&gt;0, IF(OR(BC72="",BC72="-"), 0, BC72*$AT72), BB72*$AJ72)</f>
        <v>0</v>
      </c>
      <c r="BE72" s="587">
        <f>[1]COMMANDE!U70</f>
        <v>0</v>
      </c>
      <c r="BF72" s="586" t="str">
        <f>_xlfn.IFS(AND($AI72=$AM72,$AI72&gt;0,$AM72&gt;0,BE72&gt;0), BE72,     AND(NOT($AI72=$AM72),$AI72&gt;0,$AM72&gt;0,BE72&gt;0), ($AM72*BE72)/$AI72,     AND($AI72=0,$AM72&gt;0,$AQ72&gt;0), IF(INDEX(BE$12:BE$263,MATCH($AQ72,$AP$12:$AP$263,0))&gt;0,($AM72*INDEX(BE$12:BE$263,MATCH($AQ72,$AP$12:$AP$263,0)))/INDEX($AI$12:$AI$263,MATCH($AQ72,$AP$12:$AP$263,0)), "-"),     TRUE, "0")</f>
        <v>0</v>
      </c>
      <c r="BG72" s="607">
        <f>IF(BF$9&gt;0, IF(OR(BF72="",BF72="-"), 0, BF72*$AT72), BE72*$AJ72)</f>
        <v>0</v>
      </c>
      <c r="BH72" s="589">
        <f>[1]COMMANDE!W70</f>
        <v>0</v>
      </c>
      <c r="BI72" s="586" t="str">
        <f>_xlfn.IFS(AND($AI72=$AM72,$AI72&gt;0,$AM72&gt;0,BH72&gt;0), BH72,     AND(NOT($AI72=$AM72),$AI72&gt;0,$AM72&gt;0,BH72&gt;0), ($AM72*BH72)/$AI72,     AND($AI72=0,$AM72&gt;0,$AQ72&gt;0), IF(INDEX(BH$12:BH$263,MATCH($AQ72,$AP$12:$AP$263,0))&gt;0,($AM72*INDEX(BH$12:BH$263,MATCH($AQ72,$AP$12:$AP$263,0)))/INDEX($AI$12:$AI$263,MATCH($AQ72,$AP$12:$AP$263,0)), "-"),     TRUE, "0")</f>
        <v>0</v>
      </c>
      <c r="BJ72" s="588">
        <f>IF(BI$9&gt;0, IF(OR(BI72="",BI72="-"), 0, BI72*$AT72), BH72*$AJ72)</f>
        <v>0</v>
      </c>
      <c r="BK72" s="587">
        <f>[1]COMMANDE!Y70</f>
        <v>0</v>
      </c>
      <c r="BL72" s="586" t="str">
        <f>_xlfn.IFS(AND($AI72=$AM72,$AI72&gt;0,$AM72&gt;0,BK72&gt;0), BK72,     AND(NOT($AI72=$AM72),$AI72&gt;0,$AM72&gt;0,BK72&gt;0), ($AM72*BK72)/$AI72,     AND($AI72=0,$AM72&gt;0,$AQ72&gt;0), IF(INDEX(BK$12:BK$263,MATCH($AQ72,$AP$12:$AP$263,0))&gt;0,($AM72*INDEX(BK$12:BK$263,MATCH($AQ72,$AP$12:$AP$263,0)))/INDEX($AI$12:$AI$263,MATCH($AQ72,$AP$12:$AP$263,0)), "-"),     TRUE, "0")</f>
        <v>0</v>
      </c>
      <c r="BM72" s="607">
        <f>IF(BL$9&gt;0, IF(OR(BL72="",BL72="-"), 0, BL72*$AT72), BK72*$AJ72)</f>
        <v>0</v>
      </c>
      <c r="BN72" s="589">
        <f>[1]COMMANDE!AA70</f>
        <v>0</v>
      </c>
      <c r="BO72" s="586" t="str">
        <f>_xlfn.IFS(AND($AI72=$AM72,$AI72&gt;0,$AM72&gt;0,BN72&gt;0), BN72,     AND(NOT($AI72=$AM72),$AI72&gt;0,$AM72&gt;0,BN72&gt;0), ($AM72*BN72)/$AI72,     AND($AI72=0,$AM72&gt;0,$AQ72&gt;0), IF(INDEX(BN$12:BN$263,MATCH($AQ72,$AP$12:$AP$263,0))&gt;0,($AM72*INDEX(BN$12:BN$263,MATCH($AQ72,$AP$12:$AP$263,0)))/INDEX($AI$12:$AI$263,MATCH($AQ72,$AP$12:$AP$263,0)), "-"),     TRUE, "0")</f>
        <v>0</v>
      </c>
      <c r="BP72" s="588">
        <f>IF(BO$9&gt;0, IF(OR(BO72="",BO72="-"), 0, BO72*$AT72), BN72*$AJ72)</f>
        <v>0</v>
      </c>
      <c r="BQ72" s="587">
        <f>[1]COMMANDE!AC70</f>
        <v>0</v>
      </c>
      <c r="BR72" s="586" t="str">
        <f>_xlfn.IFS(AND($AI72=$AM72,$AI72&gt;0,$AM72&gt;0,BQ72&gt;0), BQ72,     AND(NOT($AI72=$AM72),$AI72&gt;0,$AM72&gt;0,BQ72&gt;0), ($AM72*BQ72)/$AI72,     AND($AI72=0,$AM72&gt;0,$AQ72&gt;0), IF(INDEX(BQ$12:BQ$263,MATCH($AQ72,$AP$12:$AP$263,0))&gt;0,($AM72*INDEX(BQ$12:BQ$263,MATCH($AQ72,$AP$12:$AP$263,0)))/INDEX($AI$12:$AI$263,MATCH($AQ72,$AP$12:$AP$263,0)), "-"),     TRUE, "0")</f>
        <v>0</v>
      </c>
      <c r="BS72" s="607">
        <f>IF(BR$9&gt;0, IF(OR(BR72="",BR72="-"), 0, BR72*$AT72), BQ72*$AJ72)</f>
        <v>0</v>
      </c>
      <c r="BT72" s="589">
        <f>[1]COMMANDE!AE70</f>
        <v>0</v>
      </c>
      <c r="BU72" s="586" t="str">
        <f>_xlfn.IFS(AND($AI72=$AM72,$AI72&gt;0,$AM72&gt;0,BT72&gt;0), BT72,     AND(NOT($AI72=$AM72),$AI72&gt;0,$AM72&gt;0,BT72&gt;0), ($AM72*BT72)/$AI72,     AND($AI72=0,$AM72&gt;0,$AQ72&gt;0), IF(INDEX(BT$12:BT$263,MATCH($AQ72,$AP$12:$AP$263,0))&gt;0,($AM72*INDEX(BT$12:BT$263,MATCH($AQ72,$AP$12:$AP$263,0)))/INDEX($AI$12:$AI$263,MATCH($AQ72,$AP$12:$AP$263,0)), "-"),     TRUE, "0")</f>
        <v>0</v>
      </c>
      <c r="BV72" s="588">
        <f>IF(BU$9&gt;0, IF(OR(BU72="",BU72="-"), 0, BU72*$AT72), BT72*$AJ72)</f>
        <v>0</v>
      </c>
      <c r="BW72" s="587">
        <f>[1]COMMANDE!AG70</f>
        <v>0</v>
      </c>
      <c r="BX72" s="586" t="str">
        <f>_xlfn.IFS(AND($AI72=$AM72,$AI72&gt;0,$AM72&gt;0,BW72&gt;0), BW72,     AND(NOT($AI72=$AM72),$AI72&gt;0,$AM72&gt;0,BW72&gt;0), ($AM72*BW72)/$AI72,     AND($AI72=0,$AM72&gt;0,$AQ72&gt;0), IF(INDEX(BW$12:BW$263,MATCH($AQ72,$AP$12:$AP$263,0))&gt;0,($AM72*INDEX(BW$12:BW$263,MATCH($AQ72,$AP$12:$AP$263,0)))/INDEX($AI$12:$AI$263,MATCH($AQ72,$AP$12:$AP$263,0)), "-"),     TRUE, "0")</f>
        <v>0</v>
      </c>
      <c r="BY72" s="607">
        <f>IF(BX$9&gt;0, IF(OR(BX72="",BX72="-"), 0, BX72*$AT72), BW72*$AJ72)</f>
        <v>0</v>
      </c>
      <c r="BZ72" s="589">
        <f>[1]COMMANDE!AI70</f>
        <v>0</v>
      </c>
      <c r="CA72" s="586" t="str">
        <f>_xlfn.IFS(AND($AI72=$AM72,$AI72&gt;0,$AM72&gt;0,BZ72&gt;0), BZ72,     AND(NOT($AI72=$AM72),$AI72&gt;0,$AM72&gt;0,BZ72&gt;0), ($AM72*BZ72)/$AI72,     AND($AI72=0,$AM72&gt;0,$AQ72&gt;0), IF(INDEX(BZ$12:BZ$263,MATCH($AQ72,$AP$12:$AP$263,0))&gt;0,($AM72*INDEX(BZ$12:BZ$263,MATCH($AQ72,$AP$12:$AP$263,0)))/INDEX($AI$12:$AI$263,MATCH($AQ72,$AP$12:$AP$263,0)), "-"),     TRUE, "0")</f>
        <v>0</v>
      </c>
      <c r="CB72" s="588">
        <f>IF(CA$9&gt;0, IF(OR(CA72="",CA72="-"), 0, CA72*$AT72), BZ72*$AJ72)</f>
        <v>0</v>
      </c>
      <c r="CC72" s="587">
        <f>[1]COMMANDE!AK70</f>
        <v>0</v>
      </c>
      <c r="CD72" s="586" t="str">
        <f>_xlfn.IFS(AND($AI72=$AM72,$AI72&gt;0,$AM72&gt;0,CC72&gt;0), CC72,     AND(NOT($AI72=$AM72),$AI72&gt;0,$AM72&gt;0,CC72&gt;0), ($AM72*CC72)/$AI72,     AND($AI72=0,$AM72&gt;0,$AQ72&gt;0), IF(INDEX(CC$12:CC$263,MATCH($AQ72,$AP$12:$AP$263,0))&gt;0,($AM72*INDEX(CC$12:CC$263,MATCH($AQ72,$AP$12:$AP$263,0)))/INDEX($AI$12:$AI$263,MATCH($AQ72,$AP$12:$AP$263,0)), "-"),     TRUE, "0")</f>
        <v>0</v>
      </c>
      <c r="CE72" s="607">
        <f>IF(CD$9&gt;0, IF(OR(CD72="",CD72="-"), 0, CD72*$AT72), CC72*$AJ72)</f>
        <v>0</v>
      </c>
      <c r="CF72" s="589">
        <f>[1]COMMANDE!AM70</f>
        <v>0</v>
      </c>
      <c r="CG72" s="586" t="str">
        <f>_xlfn.IFS(AND($AI72=$AM72,$AI72&gt;0,$AM72&gt;0,CF72&gt;0), CF72,     AND(NOT($AI72=$AM72),$AI72&gt;0,$AM72&gt;0,CF72&gt;0), ($AM72*CF72)/$AI72,     AND($AI72=0,$AM72&gt;0,$AQ72&gt;0), IF(INDEX(CF$12:CF$263,MATCH($AQ72,$AP$12:$AP$263,0))&gt;0,($AM72*INDEX(CF$12:CF$263,MATCH($AQ72,$AP$12:$AP$263,0)))/INDEX($AI$12:$AI$263,MATCH($AQ72,$AP$12:$AP$263,0)), "-"),     TRUE, "0")</f>
        <v>0</v>
      </c>
      <c r="CH72" s="588">
        <f>IF(CG$9&gt;0, IF(OR(CG72="",CG72="-"), 0, CG72*$AT72), CF72*$AJ72)</f>
        <v>0</v>
      </c>
      <c r="CI72" s="587">
        <f>[1]COMMANDE!AO70</f>
        <v>0</v>
      </c>
      <c r="CJ72" s="586" t="str">
        <f>_xlfn.IFS(AND($AI72=$AM72,$AI72&gt;0,$AM72&gt;0,CI72&gt;0), CI72,     AND(NOT($AI72=$AM72),$AI72&gt;0,$AM72&gt;0,CI72&gt;0), ($AM72*CI72)/$AI72,     AND($AI72=0,$AM72&gt;0,$AQ72&gt;0), IF(INDEX(CI$12:CI$263,MATCH($AQ72,$AP$12:$AP$263,0))&gt;0,($AM72*INDEX(CI$12:CI$263,MATCH($AQ72,$AP$12:$AP$263,0)))/INDEX($AI$12:$AI$263,MATCH($AQ72,$AP$12:$AP$263,0)), "-"),     TRUE, "0")</f>
        <v>0</v>
      </c>
      <c r="CK72" s="607">
        <f>IF(CJ$9&gt;0, IF(OR(CJ72="",CJ72="-"), 0, CJ72*$AT72), CI72*$AJ72)</f>
        <v>0</v>
      </c>
      <c r="CL72" s="589">
        <f>[1]COMMANDE!AQ70</f>
        <v>0</v>
      </c>
      <c r="CM72" s="586" t="str">
        <f>_xlfn.IFS(AND($AI72=$AM72,$AI72&gt;0,$AM72&gt;0,CL72&gt;0), CL72,     AND(NOT($AI72=$AM72),$AI72&gt;0,$AM72&gt;0,CL72&gt;0), ($AM72*CL72)/$AI72,     AND($AI72=0,$AM72&gt;0,$AQ72&gt;0), IF(INDEX(CL$12:CL$263,MATCH($AQ72,$AP$12:$AP$263,0))&gt;0,($AM72*INDEX(CL$12:CL$263,MATCH($AQ72,$AP$12:$AP$263,0)))/INDEX($AI$12:$AI$263,MATCH($AQ72,$AP$12:$AP$263,0)), "-"),     TRUE, "0")</f>
        <v>0</v>
      </c>
      <c r="CN72" s="588">
        <f>IF(CM$9&gt;0, IF(OR(CM72="",CM72="-"), 0, CM72*$AT72), CL72*$AJ72)</f>
        <v>0</v>
      </c>
      <c r="CO72" s="587">
        <f>[1]COMMANDE!AS70</f>
        <v>0</v>
      </c>
      <c r="CP72" s="586" t="str">
        <f>_xlfn.IFS(AND($AI72=$AM72,$AI72&gt;0,$AM72&gt;0,CO72&gt;0), CO72,     AND(NOT($AI72=$AM72),$AI72&gt;0,$AM72&gt;0,CO72&gt;0), ($AM72*CO72)/$AI72,     AND($AI72=0,$AM72&gt;0,$AQ72&gt;0), IF(INDEX(CO$12:CO$263,MATCH($AQ72,$AP$12:$AP$263,0))&gt;0,($AM72*INDEX(CO$12:CO$263,MATCH($AQ72,$AP$12:$AP$263,0)))/INDEX($AI$12:$AI$263,MATCH($AQ72,$AP$12:$AP$263,0)), "-"),     TRUE, "0")</f>
        <v>0</v>
      </c>
      <c r="CQ72" s="607">
        <f>IF(CP$9&gt;0, IF(OR(CP72="",CP72="-"), 0, CP72*$AT72), CO72*$AJ72)</f>
        <v>0</v>
      </c>
      <c r="CR72" s="589">
        <f>[1]COMMANDE!AU70</f>
        <v>0</v>
      </c>
      <c r="CS72" s="586" t="str">
        <f>_xlfn.IFS(AND($AI72=$AM72,$AI72&gt;0,$AM72&gt;0,CR72&gt;0), CR72,     AND(NOT($AI72=$AM72),$AI72&gt;0,$AM72&gt;0,CR72&gt;0), ($AM72*CR72)/$AI72,     AND($AI72=0,$AM72&gt;0,$AQ72&gt;0), IF(INDEX(CR$12:CR$263,MATCH($AQ72,$AP$12:$AP$263,0))&gt;0,($AM72*INDEX(CR$12:CR$263,MATCH($AQ72,$AP$12:$AP$263,0)))/INDEX($AI$12:$AI$263,MATCH($AQ72,$AP$12:$AP$263,0)), "-"),     TRUE, "0")</f>
        <v>0</v>
      </c>
      <c r="CT72" s="588">
        <f>IF(CS$9&gt;0, IF(OR(CS72="",CS72="-"), 0, CS72*$AT72), CR72*$AJ72)</f>
        <v>0</v>
      </c>
      <c r="CU72" s="587">
        <f>[1]COMMANDE!AW70</f>
        <v>0</v>
      </c>
      <c r="CV72" s="586" t="str">
        <f>_xlfn.IFS(AND($AI72=$AM72,$AI72&gt;0,$AM72&gt;0,CU72&gt;0), CU72,     AND(NOT($AI72=$AM72),$AI72&gt;0,$AM72&gt;0,CU72&gt;0), ($AM72*CU72)/$AI72,     AND($AI72=0,$AM72&gt;0,$AQ72&gt;0), IF(INDEX(CU$12:CU$263,MATCH($AQ72,$AP$12:$AP$263,0))&gt;0,($AM72*INDEX(CU$12:CU$263,MATCH($AQ72,$AP$12:$AP$263,0)))/INDEX($AI$12:$AI$263,MATCH($AQ72,$AP$12:$AP$263,0)), "-"),     TRUE, "0")</f>
        <v>0</v>
      </c>
      <c r="CW72" s="607">
        <f>IF(CV$9&gt;0, IF(OR(CV72="",CV72="-"), 0, CV72*$AT72), CU72*$AJ72)</f>
        <v>0</v>
      </c>
      <c r="CX72" s="589">
        <f>[1]COMMANDE!AY70</f>
        <v>0</v>
      </c>
      <c r="CY72" s="586" t="str">
        <f>_xlfn.IFS(AND($AI72=$AM72,$AI72&gt;0,$AM72&gt;0,CX72&gt;0), CX72,     AND(NOT($AI72=$AM72),$AI72&gt;0,$AM72&gt;0,CX72&gt;0), ($AM72*CX72)/$AI72,     AND($AI72=0,$AM72&gt;0,$AQ72&gt;0), IF(INDEX(CX$12:CX$263,MATCH($AQ72,$AP$12:$AP$263,0))&gt;0,($AM72*INDEX(CX$12:CX$263,MATCH($AQ72,$AP$12:$AP$263,0)))/INDEX($AI$12:$AI$263,MATCH($AQ72,$AP$12:$AP$263,0)), "-"),     TRUE, "0")</f>
        <v>0</v>
      </c>
      <c r="CZ72" s="588">
        <f>IF(CY$9&gt;0, IF(OR(CY72="",CY72="-"), 0, CY72*$AT72), CX72*$AJ72)</f>
        <v>0</v>
      </c>
      <c r="DA72" s="587">
        <f>[1]COMMANDE!BA70</f>
        <v>0</v>
      </c>
      <c r="DB72" s="586" t="str">
        <f>_xlfn.IFS(AND($AI72=$AM72,$AI72&gt;0,$AM72&gt;0,DA72&gt;0), DA72,     AND(NOT($AI72=$AM72),$AI72&gt;0,$AM72&gt;0,DA72&gt;0), ($AM72*DA72)/$AI72,     AND($AI72=0,$AM72&gt;0,$AQ72&gt;0), IF(INDEX(DA$12:DA$263,MATCH($AQ72,$AP$12:$AP$263,0))&gt;0,($AM72*INDEX(DA$12:DA$263,MATCH($AQ72,$AP$12:$AP$263,0)))/INDEX($AI$12:$AI$263,MATCH($AQ72,$AP$12:$AP$263,0)), "-"),     TRUE, "0")</f>
        <v>0</v>
      </c>
      <c r="DC72" s="606">
        <f>IF(DB$9&gt;0, IF(OR(DB72="",DB72="-"), 0, DB72*$AT72), DA72*$AJ72)</f>
        <v>0</v>
      </c>
      <c r="DD72" s="584"/>
      <c r="DE72" s="583"/>
    </row>
    <row r="73" spans="1:109" ht="39.950000000000003" hidden="1" customHeight="1">
      <c r="A73" s="604">
        <f>IF(OR($AV73&gt;0, $AX73&gt;0), 1, 0)</f>
        <v>0</v>
      </c>
      <c r="B73" s="604">
        <f>IF(OR($AY73&gt;0, $BA73&gt;0), 1, 0)</f>
        <v>0</v>
      </c>
      <c r="C73" s="604">
        <f>IF(OR($BB73&gt;0, $BD73&gt;0), 1, 0)</f>
        <v>0</v>
      </c>
      <c r="D73" s="604">
        <f>IF(OR($BE73&gt;0, $BG73&gt;0), 1, 0)</f>
        <v>0</v>
      </c>
      <c r="E73" s="604">
        <f>IF(OR($BH73&gt;0, $BJ73&gt;0), 1, 0)</f>
        <v>0</v>
      </c>
      <c r="F73" s="604">
        <f>IF(OR($BK73&gt;0, $BM73&gt;0), 1, 0)</f>
        <v>0</v>
      </c>
      <c r="G73" s="604">
        <f>IF(OR($BN73&gt;0, $BP73&gt;0), 1, 0)</f>
        <v>0</v>
      </c>
      <c r="H73" s="604">
        <f>IF(OR($BQ73&gt;0, $BS73&gt;0), 1, 0)</f>
        <v>0</v>
      </c>
      <c r="I73" s="604">
        <f>IF(OR($BT73&gt;0, $BV73&gt;0), 1, 0)</f>
        <v>0</v>
      </c>
      <c r="J73" s="604">
        <f>IF(OR($BW73&gt;0, $BY73&gt;0), 1, 0)</f>
        <v>0</v>
      </c>
      <c r="K73" s="604">
        <f>IF(OR($BZ73&gt;0, $CB73&gt;0), 1, 0)</f>
        <v>0</v>
      </c>
      <c r="L73" s="604">
        <f>IF(OR($CC73&gt;0, $CE73&gt;0), 1, 0)</f>
        <v>0</v>
      </c>
      <c r="M73" s="604">
        <f>IF(OR($CF73&gt;0, $CH73&gt;0), 1, 0)</f>
        <v>0</v>
      </c>
      <c r="N73" s="604">
        <f>IF(OR($CI73&gt;0, $CK73&gt;0), 1, 0)</f>
        <v>0</v>
      </c>
      <c r="O73" s="604">
        <f>IF(OR($CL73&gt;0, $CN73&gt;0), 1, 0)</f>
        <v>0</v>
      </c>
      <c r="P73" s="604">
        <f>IF(OR($CO73&gt;0, $CQ73&gt;0), 1, 0)</f>
        <v>0</v>
      </c>
      <c r="Q73" s="604">
        <f>IF(OR($CR73&gt;0, $CT73&gt;0), 1, 0)</f>
        <v>0</v>
      </c>
      <c r="R73" s="604">
        <f>IF(OR($CU73&gt;0, $CW73&gt;0), 1, 0)</f>
        <v>0</v>
      </c>
      <c r="S73" s="604">
        <f>IF(OR($CX73&gt;0, $CZ73&gt;0), 1, 0)</f>
        <v>0</v>
      </c>
      <c r="T73" s="604">
        <f>IF(OR($DA73&gt;0, $DC73&gt;0), 1, 0)</f>
        <v>0</v>
      </c>
      <c r="U73" s="603">
        <f>IF(OR($AI73&gt;0,$AM73&gt;0,$AS73&gt;0), 1, 0)</f>
        <v>0</v>
      </c>
      <c r="V73" s="602">
        <f>[1]BDD!A63</f>
        <v>1626</v>
      </c>
      <c r="W73" s="601" t="str">
        <f>[1]BDD!B63</f>
        <v>Chou Kale Winterbor Crespa baby BIO (production Rufino)</v>
      </c>
      <c r="X73" s="600" t="str">
        <f>IF([1]BDD!F63=0, "", [1]BDD!F63)</f>
        <v>OFFRE</v>
      </c>
      <c r="Y73" s="542">
        <f>ROUND([1]BDD!G63+FDP_CMD_KG, 2)</f>
        <v>5.65</v>
      </c>
      <c r="Z73" s="542">
        <f>ROUND([1]BDD!G63+FDP_FACT_KG, 2)</f>
        <v>5.65</v>
      </c>
      <c r="AA73" s="543" t="str">
        <f>[1]BDD!H63</f>
        <v>kg</v>
      </c>
      <c r="AB73" s="544">
        <f>IF(NOT(ISBLANK([1]BDD!I63)), ROUND(SUM(([1]BDD!G63*reduc1),FDP_CMD_KG), 2), "")</f>
        <v>5.18</v>
      </c>
      <c r="AC73" s="544">
        <f>IF(NOT(ISBLANK([1]BDD!J63)), ROUND(SUM(([1]BDD!G63*reduc2),FDP_CMD_KG), 2), "")</f>
        <v>4.7</v>
      </c>
      <c r="AD73" s="544" t="str">
        <f>IF(NOT(ISBLANK([1]BDD!K63)), ROUND(SUM(([1]BDD!G63*reduc3),FDP_CMD_KG), 2), "")</f>
        <v/>
      </c>
      <c r="AE73" s="544">
        <f>IF(NOT(ISBLANK([1]BDD!I63)), ROUND(SUM(([1]BDD!G63*reduc1),FDP_FACT_KG), 2), "")</f>
        <v>5.17</v>
      </c>
      <c r="AF73" s="544">
        <f>IF(NOT(ISBLANK([1]BDD!J63)), ROUND(SUM(([1]BDD!G63*reduc2),FDP_FACT_KG), 2), "")</f>
        <v>4.6900000000000004</v>
      </c>
      <c r="AG73" s="544" t="str">
        <f>IF(NOT(ISBLANK([1]BDD!K63)), ROUND(SUM(([1]BDD!G63*reduc3),FDP_FACT_KG), 2), "")</f>
        <v/>
      </c>
      <c r="AH73" s="599" t="str">
        <f>[1]BDD!C63</f>
        <v>Grenade</v>
      </c>
      <c r="AI73" s="598">
        <f>SUM(AV73,AY73,BB73,BE73,BH73,BK73,BN73,BQ73,BT73,BW73,BZ73,CC73,CF73,CI73,CL73,CO73,CR73,CU73,CX73,DA73)</f>
        <v>0</v>
      </c>
      <c r="AJ73" s="545">
        <f>_xlfn.IFS($AD73&lt;&gt;"", $AD73,    $AC73&lt;&gt;"", $AC73,    $AB73&lt;&gt;"", $AB73,    TRUE, $Y73)</f>
        <v>4.7</v>
      </c>
      <c r="AK73" s="592">
        <f>$AI73*$AJ73</f>
        <v>0</v>
      </c>
      <c r="AL73" s="594"/>
      <c r="AM73" s="597"/>
      <c r="AN73" s="545">
        <f>_xlfn.IFS(AND(AM73&gt;=60,$AG73&lt;&gt;""), $AG73,    AND(AM73&gt;=30,$AF73&lt;&gt;""), $AF73,    AND(AM73&gt;=10,$AE73&lt;&gt;""), $AE73,    TRUE, $Z73)</f>
        <v>5.65</v>
      </c>
      <c r="AO73" s="596">
        <f>AM73*AN73</f>
        <v>0</v>
      </c>
      <c r="AP73" s="595"/>
      <c r="AQ73" s="595"/>
      <c r="AR73" s="594"/>
      <c r="AS73" s="593">
        <f>SUM(AW73,AZ73,BC73,BF73,BI73,BL73,BO73,BR73,BU73,BX73,CA73,CD73,CG73,CJ73,CM73,CP73,CS73,CV73,CY73,DB73)</f>
        <v>0</v>
      </c>
      <c r="AT73" s="545">
        <f>_xlfn.IFS(AND(AS73&gt;=60,$AG73&lt;&gt;""), $AG73,    AND(AS73&gt;=30,$AF73&lt;&gt;""), $AF73,    AND(AS73&gt;=10,$AE73&lt;&gt;""), $AE73,    TRUE, $Z73)</f>
        <v>5.65</v>
      </c>
      <c r="AU73" s="592">
        <f>$AS73*$AT73</f>
        <v>0</v>
      </c>
      <c r="AV73" s="591">
        <f>[1]COMMANDE!O71</f>
        <v>0</v>
      </c>
      <c r="AW73" s="586" t="str">
        <f>_xlfn.IFS(AND($AI73=$AM73,$AI73&gt;0,$AM73&gt;0,AV73&gt;0), AV73,     AND(NOT($AI73=$AM73),$AI73&gt;0,$AM73&gt;0,AV73&gt;0), ($AM73*AV73)/$AI73,     AND($AI73=0,$AM73&gt;0,$AQ73&gt;0), IF(INDEX(AV$12:AV$263,MATCH($AQ73,$AP$12:$AP$263,0))&gt;0,($AM73*INDEX(AV$12:AV$263,MATCH($AQ73,$AP$12:$AP$263,0)))/INDEX($AI$12:$AI$263,MATCH($AQ73,$AP$12:$AP$263,0)), "-"),     TRUE, "0")</f>
        <v>0</v>
      </c>
      <c r="AX73" s="588">
        <f>IF(AW$9&gt;0, IF(OR(AW73="",AW73="-"), 0, AW73*$AT73), AV73*$AJ73)</f>
        <v>0</v>
      </c>
      <c r="AY73" s="587">
        <f>[1]COMMANDE!Q71</f>
        <v>0</v>
      </c>
      <c r="AZ73" s="586" t="str">
        <f>_xlfn.IFS(AND($AI73=$AM73,$AI73&gt;0,$AM73&gt;0,AY73&gt;0), AY73,     AND(NOT($AI73=$AM73),$AI73&gt;0,$AM73&gt;0,AY73&gt;0), ($AM73*AY73)/$AI73,     AND($AI73=0,$AM73&gt;0,$AQ73&gt;0), IF(INDEX(AY$12:AY$263,MATCH($AQ73,$AP$12:$AP$263,0))&gt;0,($AM73*INDEX(AY$12:AY$263,MATCH($AQ73,$AP$12:$AP$263,0)))/INDEX($AI$12:$AI$263,MATCH($AQ73,$AP$12:$AP$263,0)), "-"),     TRUE, "0")</f>
        <v>0</v>
      </c>
      <c r="BA73" s="607">
        <f>IF(AZ$9&gt;0, IF(OR(AZ73="",AZ73="-"), 0, AZ73*$AT73), AY73*$AJ73)</f>
        <v>0</v>
      </c>
      <c r="BB73" s="589">
        <f>[1]COMMANDE!S71</f>
        <v>0</v>
      </c>
      <c r="BC73" s="586" t="str">
        <f>_xlfn.IFS(AND($AI73=$AM73,$AI73&gt;0,$AM73&gt;0,BB73&gt;0), BB73,     AND(NOT($AI73=$AM73),$AI73&gt;0,$AM73&gt;0,BB73&gt;0), ($AM73*BB73)/$AI73,     AND($AI73=0,$AM73&gt;0,$AQ73&gt;0), IF(INDEX(BB$12:BB$263,MATCH($AQ73,$AP$12:$AP$263,0))&gt;0,($AM73*INDEX(BB$12:BB$263,MATCH($AQ73,$AP$12:$AP$263,0)))/INDEX($AI$12:$AI$263,MATCH($AQ73,$AP$12:$AP$263,0)), "-"),     TRUE, "0")</f>
        <v>0</v>
      </c>
      <c r="BD73" s="588">
        <f>IF(BC$9&gt;0, IF(OR(BC73="",BC73="-"), 0, BC73*$AT73), BB73*$AJ73)</f>
        <v>0</v>
      </c>
      <c r="BE73" s="587">
        <f>[1]COMMANDE!U71</f>
        <v>0</v>
      </c>
      <c r="BF73" s="586" t="str">
        <f>_xlfn.IFS(AND($AI73=$AM73,$AI73&gt;0,$AM73&gt;0,BE73&gt;0), BE73,     AND(NOT($AI73=$AM73),$AI73&gt;0,$AM73&gt;0,BE73&gt;0), ($AM73*BE73)/$AI73,     AND($AI73=0,$AM73&gt;0,$AQ73&gt;0), IF(INDEX(BE$12:BE$263,MATCH($AQ73,$AP$12:$AP$263,0))&gt;0,($AM73*INDEX(BE$12:BE$263,MATCH($AQ73,$AP$12:$AP$263,0)))/INDEX($AI$12:$AI$263,MATCH($AQ73,$AP$12:$AP$263,0)), "-"),     TRUE, "0")</f>
        <v>0</v>
      </c>
      <c r="BG73" s="607">
        <f>IF(BF$9&gt;0, IF(OR(BF73="",BF73="-"), 0, BF73*$AT73), BE73*$AJ73)</f>
        <v>0</v>
      </c>
      <c r="BH73" s="589">
        <f>[1]COMMANDE!W71</f>
        <v>0</v>
      </c>
      <c r="BI73" s="586" t="str">
        <f>_xlfn.IFS(AND($AI73=$AM73,$AI73&gt;0,$AM73&gt;0,BH73&gt;0), BH73,     AND(NOT($AI73=$AM73),$AI73&gt;0,$AM73&gt;0,BH73&gt;0), ($AM73*BH73)/$AI73,     AND($AI73=0,$AM73&gt;0,$AQ73&gt;0), IF(INDEX(BH$12:BH$263,MATCH($AQ73,$AP$12:$AP$263,0))&gt;0,($AM73*INDEX(BH$12:BH$263,MATCH($AQ73,$AP$12:$AP$263,0)))/INDEX($AI$12:$AI$263,MATCH($AQ73,$AP$12:$AP$263,0)), "-"),     TRUE, "0")</f>
        <v>0</v>
      </c>
      <c r="BJ73" s="588">
        <f>IF(BI$9&gt;0, IF(OR(BI73="",BI73="-"), 0, BI73*$AT73), BH73*$AJ73)</f>
        <v>0</v>
      </c>
      <c r="BK73" s="587">
        <f>[1]COMMANDE!Y71</f>
        <v>0</v>
      </c>
      <c r="BL73" s="586" t="str">
        <f>_xlfn.IFS(AND($AI73=$AM73,$AI73&gt;0,$AM73&gt;0,BK73&gt;0), BK73,     AND(NOT($AI73=$AM73),$AI73&gt;0,$AM73&gt;0,BK73&gt;0), ($AM73*BK73)/$AI73,     AND($AI73=0,$AM73&gt;0,$AQ73&gt;0), IF(INDEX(BK$12:BK$263,MATCH($AQ73,$AP$12:$AP$263,0))&gt;0,($AM73*INDEX(BK$12:BK$263,MATCH($AQ73,$AP$12:$AP$263,0)))/INDEX($AI$12:$AI$263,MATCH($AQ73,$AP$12:$AP$263,0)), "-"),     TRUE, "0")</f>
        <v>0</v>
      </c>
      <c r="BM73" s="607">
        <f>IF(BL$9&gt;0, IF(OR(BL73="",BL73="-"), 0, BL73*$AT73), BK73*$AJ73)</f>
        <v>0</v>
      </c>
      <c r="BN73" s="589">
        <f>[1]COMMANDE!AA71</f>
        <v>0</v>
      </c>
      <c r="BO73" s="586" t="str">
        <f>_xlfn.IFS(AND($AI73=$AM73,$AI73&gt;0,$AM73&gt;0,BN73&gt;0), BN73,     AND(NOT($AI73=$AM73),$AI73&gt;0,$AM73&gt;0,BN73&gt;0), ($AM73*BN73)/$AI73,     AND($AI73=0,$AM73&gt;0,$AQ73&gt;0), IF(INDEX(BN$12:BN$263,MATCH($AQ73,$AP$12:$AP$263,0))&gt;0,($AM73*INDEX(BN$12:BN$263,MATCH($AQ73,$AP$12:$AP$263,0)))/INDEX($AI$12:$AI$263,MATCH($AQ73,$AP$12:$AP$263,0)), "-"),     TRUE, "0")</f>
        <v>0</v>
      </c>
      <c r="BP73" s="588">
        <f>IF(BO$9&gt;0, IF(OR(BO73="",BO73="-"), 0, BO73*$AT73), BN73*$AJ73)</f>
        <v>0</v>
      </c>
      <c r="BQ73" s="587">
        <f>[1]COMMANDE!AC71</f>
        <v>0</v>
      </c>
      <c r="BR73" s="586" t="str">
        <f>_xlfn.IFS(AND($AI73=$AM73,$AI73&gt;0,$AM73&gt;0,BQ73&gt;0), BQ73,     AND(NOT($AI73=$AM73),$AI73&gt;0,$AM73&gt;0,BQ73&gt;0), ($AM73*BQ73)/$AI73,     AND($AI73=0,$AM73&gt;0,$AQ73&gt;0), IF(INDEX(BQ$12:BQ$263,MATCH($AQ73,$AP$12:$AP$263,0))&gt;0,($AM73*INDEX(BQ$12:BQ$263,MATCH($AQ73,$AP$12:$AP$263,0)))/INDEX($AI$12:$AI$263,MATCH($AQ73,$AP$12:$AP$263,0)), "-"),     TRUE, "0")</f>
        <v>0</v>
      </c>
      <c r="BS73" s="607">
        <f>IF(BR$9&gt;0, IF(OR(BR73="",BR73="-"), 0, BR73*$AT73), BQ73*$AJ73)</f>
        <v>0</v>
      </c>
      <c r="BT73" s="589">
        <f>[1]COMMANDE!AE71</f>
        <v>0</v>
      </c>
      <c r="BU73" s="586" t="str">
        <f>_xlfn.IFS(AND($AI73=$AM73,$AI73&gt;0,$AM73&gt;0,BT73&gt;0), BT73,     AND(NOT($AI73=$AM73),$AI73&gt;0,$AM73&gt;0,BT73&gt;0), ($AM73*BT73)/$AI73,     AND($AI73=0,$AM73&gt;0,$AQ73&gt;0), IF(INDEX(BT$12:BT$263,MATCH($AQ73,$AP$12:$AP$263,0))&gt;0,($AM73*INDEX(BT$12:BT$263,MATCH($AQ73,$AP$12:$AP$263,0)))/INDEX($AI$12:$AI$263,MATCH($AQ73,$AP$12:$AP$263,0)), "-"),     TRUE, "0")</f>
        <v>0</v>
      </c>
      <c r="BV73" s="588">
        <f>IF(BU$9&gt;0, IF(OR(BU73="",BU73="-"), 0, BU73*$AT73), BT73*$AJ73)</f>
        <v>0</v>
      </c>
      <c r="BW73" s="587">
        <f>[1]COMMANDE!AG71</f>
        <v>0</v>
      </c>
      <c r="BX73" s="586" t="str">
        <f>_xlfn.IFS(AND($AI73=$AM73,$AI73&gt;0,$AM73&gt;0,BW73&gt;0), BW73,     AND(NOT($AI73=$AM73),$AI73&gt;0,$AM73&gt;0,BW73&gt;0), ($AM73*BW73)/$AI73,     AND($AI73=0,$AM73&gt;0,$AQ73&gt;0), IF(INDEX(BW$12:BW$263,MATCH($AQ73,$AP$12:$AP$263,0))&gt;0,($AM73*INDEX(BW$12:BW$263,MATCH($AQ73,$AP$12:$AP$263,0)))/INDEX($AI$12:$AI$263,MATCH($AQ73,$AP$12:$AP$263,0)), "-"),     TRUE, "0")</f>
        <v>0</v>
      </c>
      <c r="BY73" s="607">
        <f>IF(BX$9&gt;0, IF(OR(BX73="",BX73="-"), 0, BX73*$AT73), BW73*$AJ73)</f>
        <v>0</v>
      </c>
      <c r="BZ73" s="589">
        <f>[1]COMMANDE!AI71</f>
        <v>0</v>
      </c>
      <c r="CA73" s="586" t="str">
        <f>_xlfn.IFS(AND($AI73=$AM73,$AI73&gt;0,$AM73&gt;0,BZ73&gt;0), BZ73,     AND(NOT($AI73=$AM73),$AI73&gt;0,$AM73&gt;0,BZ73&gt;0), ($AM73*BZ73)/$AI73,     AND($AI73=0,$AM73&gt;0,$AQ73&gt;0), IF(INDEX(BZ$12:BZ$263,MATCH($AQ73,$AP$12:$AP$263,0))&gt;0,($AM73*INDEX(BZ$12:BZ$263,MATCH($AQ73,$AP$12:$AP$263,0)))/INDEX($AI$12:$AI$263,MATCH($AQ73,$AP$12:$AP$263,0)), "-"),     TRUE, "0")</f>
        <v>0</v>
      </c>
      <c r="CB73" s="588">
        <f>IF(CA$9&gt;0, IF(OR(CA73="",CA73="-"), 0, CA73*$AT73), BZ73*$AJ73)</f>
        <v>0</v>
      </c>
      <c r="CC73" s="587">
        <f>[1]COMMANDE!AK71</f>
        <v>0</v>
      </c>
      <c r="CD73" s="586" t="str">
        <f>_xlfn.IFS(AND($AI73=$AM73,$AI73&gt;0,$AM73&gt;0,CC73&gt;0), CC73,     AND(NOT($AI73=$AM73),$AI73&gt;0,$AM73&gt;0,CC73&gt;0), ($AM73*CC73)/$AI73,     AND($AI73=0,$AM73&gt;0,$AQ73&gt;0), IF(INDEX(CC$12:CC$263,MATCH($AQ73,$AP$12:$AP$263,0))&gt;0,($AM73*INDEX(CC$12:CC$263,MATCH($AQ73,$AP$12:$AP$263,0)))/INDEX($AI$12:$AI$263,MATCH($AQ73,$AP$12:$AP$263,0)), "-"),     TRUE, "0")</f>
        <v>0</v>
      </c>
      <c r="CE73" s="607">
        <f>IF(CD$9&gt;0, IF(OR(CD73="",CD73="-"), 0, CD73*$AT73), CC73*$AJ73)</f>
        <v>0</v>
      </c>
      <c r="CF73" s="589">
        <f>[1]COMMANDE!AM71</f>
        <v>0</v>
      </c>
      <c r="CG73" s="586" t="str">
        <f>_xlfn.IFS(AND($AI73=$AM73,$AI73&gt;0,$AM73&gt;0,CF73&gt;0), CF73,     AND(NOT($AI73=$AM73),$AI73&gt;0,$AM73&gt;0,CF73&gt;0), ($AM73*CF73)/$AI73,     AND($AI73=0,$AM73&gt;0,$AQ73&gt;0), IF(INDEX(CF$12:CF$263,MATCH($AQ73,$AP$12:$AP$263,0))&gt;0,($AM73*INDEX(CF$12:CF$263,MATCH($AQ73,$AP$12:$AP$263,0)))/INDEX($AI$12:$AI$263,MATCH($AQ73,$AP$12:$AP$263,0)), "-"),     TRUE, "0")</f>
        <v>0</v>
      </c>
      <c r="CH73" s="588">
        <f>IF(CG$9&gt;0, IF(OR(CG73="",CG73="-"), 0, CG73*$AT73), CF73*$AJ73)</f>
        <v>0</v>
      </c>
      <c r="CI73" s="587">
        <f>[1]COMMANDE!AO71</f>
        <v>0</v>
      </c>
      <c r="CJ73" s="586" t="str">
        <f>_xlfn.IFS(AND($AI73=$AM73,$AI73&gt;0,$AM73&gt;0,CI73&gt;0), CI73,     AND(NOT($AI73=$AM73),$AI73&gt;0,$AM73&gt;0,CI73&gt;0), ($AM73*CI73)/$AI73,     AND($AI73=0,$AM73&gt;0,$AQ73&gt;0), IF(INDEX(CI$12:CI$263,MATCH($AQ73,$AP$12:$AP$263,0))&gt;0,($AM73*INDEX(CI$12:CI$263,MATCH($AQ73,$AP$12:$AP$263,0)))/INDEX($AI$12:$AI$263,MATCH($AQ73,$AP$12:$AP$263,0)), "-"),     TRUE, "0")</f>
        <v>0</v>
      </c>
      <c r="CK73" s="607">
        <f>IF(CJ$9&gt;0, IF(OR(CJ73="",CJ73="-"), 0, CJ73*$AT73), CI73*$AJ73)</f>
        <v>0</v>
      </c>
      <c r="CL73" s="589">
        <f>[1]COMMANDE!AQ71</f>
        <v>0</v>
      </c>
      <c r="CM73" s="586" t="str">
        <f>_xlfn.IFS(AND($AI73=$AM73,$AI73&gt;0,$AM73&gt;0,CL73&gt;0), CL73,     AND(NOT($AI73=$AM73),$AI73&gt;0,$AM73&gt;0,CL73&gt;0), ($AM73*CL73)/$AI73,     AND($AI73=0,$AM73&gt;0,$AQ73&gt;0), IF(INDEX(CL$12:CL$263,MATCH($AQ73,$AP$12:$AP$263,0))&gt;0,($AM73*INDEX(CL$12:CL$263,MATCH($AQ73,$AP$12:$AP$263,0)))/INDEX($AI$12:$AI$263,MATCH($AQ73,$AP$12:$AP$263,0)), "-"),     TRUE, "0")</f>
        <v>0</v>
      </c>
      <c r="CN73" s="588">
        <f>IF(CM$9&gt;0, IF(OR(CM73="",CM73="-"), 0, CM73*$AT73), CL73*$AJ73)</f>
        <v>0</v>
      </c>
      <c r="CO73" s="587">
        <f>[1]COMMANDE!AS71</f>
        <v>0</v>
      </c>
      <c r="CP73" s="586" t="str">
        <f>_xlfn.IFS(AND($AI73=$AM73,$AI73&gt;0,$AM73&gt;0,CO73&gt;0), CO73,     AND(NOT($AI73=$AM73),$AI73&gt;0,$AM73&gt;0,CO73&gt;0), ($AM73*CO73)/$AI73,     AND($AI73=0,$AM73&gt;0,$AQ73&gt;0), IF(INDEX(CO$12:CO$263,MATCH($AQ73,$AP$12:$AP$263,0))&gt;0,($AM73*INDEX(CO$12:CO$263,MATCH($AQ73,$AP$12:$AP$263,0)))/INDEX($AI$12:$AI$263,MATCH($AQ73,$AP$12:$AP$263,0)), "-"),     TRUE, "0")</f>
        <v>0</v>
      </c>
      <c r="CQ73" s="607">
        <f>IF(CP$9&gt;0, IF(OR(CP73="",CP73="-"), 0, CP73*$AT73), CO73*$AJ73)</f>
        <v>0</v>
      </c>
      <c r="CR73" s="589">
        <f>[1]COMMANDE!AU71</f>
        <v>0</v>
      </c>
      <c r="CS73" s="586" t="str">
        <f>_xlfn.IFS(AND($AI73=$AM73,$AI73&gt;0,$AM73&gt;0,CR73&gt;0), CR73,     AND(NOT($AI73=$AM73),$AI73&gt;0,$AM73&gt;0,CR73&gt;0), ($AM73*CR73)/$AI73,     AND($AI73=0,$AM73&gt;0,$AQ73&gt;0), IF(INDEX(CR$12:CR$263,MATCH($AQ73,$AP$12:$AP$263,0))&gt;0,($AM73*INDEX(CR$12:CR$263,MATCH($AQ73,$AP$12:$AP$263,0)))/INDEX($AI$12:$AI$263,MATCH($AQ73,$AP$12:$AP$263,0)), "-"),     TRUE, "0")</f>
        <v>0</v>
      </c>
      <c r="CT73" s="588">
        <f>IF(CS$9&gt;0, IF(OR(CS73="",CS73="-"), 0, CS73*$AT73), CR73*$AJ73)</f>
        <v>0</v>
      </c>
      <c r="CU73" s="587">
        <f>[1]COMMANDE!AW71</f>
        <v>0</v>
      </c>
      <c r="CV73" s="586" t="str">
        <f>_xlfn.IFS(AND($AI73=$AM73,$AI73&gt;0,$AM73&gt;0,CU73&gt;0), CU73,     AND(NOT($AI73=$AM73),$AI73&gt;0,$AM73&gt;0,CU73&gt;0), ($AM73*CU73)/$AI73,     AND($AI73=0,$AM73&gt;0,$AQ73&gt;0), IF(INDEX(CU$12:CU$263,MATCH($AQ73,$AP$12:$AP$263,0))&gt;0,($AM73*INDEX(CU$12:CU$263,MATCH($AQ73,$AP$12:$AP$263,0)))/INDEX($AI$12:$AI$263,MATCH($AQ73,$AP$12:$AP$263,0)), "-"),     TRUE, "0")</f>
        <v>0</v>
      </c>
      <c r="CW73" s="607">
        <f>IF(CV$9&gt;0, IF(OR(CV73="",CV73="-"), 0, CV73*$AT73), CU73*$AJ73)</f>
        <v>0</v>
      </c>
      <c r="CX73" s="589">
        <f>[1]COMMANDE!AY71</f>
        <v>0</v>
      </c>
      <c r="CY73" s="586" t="str">
        <f>_xlfn.IFS(AND($AI73=$AM73,$AI73&gt;0,$AM73&gt;0,CX73&gt;0), CX73,     AND(NOT($AI73=$AM73),$AI73&gt;0,$AM73&gt;0,CX73&gt;0), ($AM73*CX73)/$AI73,     AND($AI73=0,$AM73&gt;0,$AQ73&gt;0), IF(INDEX(CX$12:CX$263,MATCH($AQ73,$AP$12:$AP$263,0))&gt;0,($AM73*INDEX(CX$12:CX$263,MATCH($AQ73,$AP$12:$AP$263,0)))/INDEX($AI$12:$AI$263,MATCH($AQ73,$AP$12:$AP$263,0)), "-"),     TRUE, "0")</f>
        <v>0</v>
      </c>
      <c r="CZ73" s="588">
        <f>IF(CY$9&gt;0, IF(OR(CY73="",CY73="-"), 0, CY73*$AT73), CX73*$AJ73)</f>
        <v>0</v>
      </c>
      <c r="DA73" s="587">
        <f>[1]COMMANDE!BA71</f>
        <v>0</v>
      </c>
      <c r="DB73" s="586" t="str">
        <f>_xlfn.IFS(AND($AI73=$AM73,$AI73&gt;0,$AM73&gt;0,DA73&gt;0), DA73,     AND(NOT($AI73=$AM73),$AI73&gt;0,$AM73&gt;0,DA73&gt;0), ($AM73*DA73)/$AI73,     AND($AI73=0,$AM73&gt;0,$AQ73&gt;0), IF(INDEX(DA$12:DA$263,MATCH($AQ73,$AP$12:$AP$263,0))&gt;0,($AM73*INDEX(DA$12:DA$263,MATCH($AQ73,$AP$12:$AP$263,0)))/INDEX($AI$12:$AI$263,MATCH($AQ73,$AP$12:$AP$263,0)), "-"),     TRUE, "0")</f>
        <v>0</v>
      </c>
      <c r="DC73" s="606">
        <f>IF(DB$9&gt;0, IF(OR(DB73="",DB73="-"), 0, DB73*$AT73), DA73*$AJ73)</f>
        <v>0</v>
      </c>
      <c r="DD73" s="584"/>
      <c r="DE73" s="583"/>
    </row>
    <row r="74" spans="1:109" ht="39.950000000000003" hidden="1" customHeight="1">
      <c r="A74" s="604">
        <f>IF(OR($AV74&gt;0, $AX74&gt;0), 1, 0)</f>
        <v>0</v>
      </c>
      <c r="B74" s="604">
        <f>IF(OR($AY74&gt;0, $BA74&gt;0), 1, 0)</f>
        <v>0</v>
      </c>
      <c r="C74" s="604">
        <f>IF(OR($BB74&gt;0, $BD74&gt;0), 1, 0)</f>
        <v>0</v>
      </c>
      <c r="D74" s="604">
        <f>IF(OR($BE74&gt;0, $BG74&gt;0), 1, 0)</f>
        <v>0</v>
      </c>
      <c r="E74" s="604">
        <f>IF(OR($BH74&gt;0, $BJ74&gt;0), 1, 0)</f>
        <v>0</v>
      </c>
      <c r="F74" s="604">
        <f>IF(OR($BK74&gt;0, $BM74&gt;0), 1, 0)</f>
        <v>0</v>
      </c>
      <c r="G74" s="604">
        <f>IF(OR($BN74&gt;0, $BP74&gt;0), 1, 0)</f>
        <v>0</v>
      </c>
      <c r="H74" s="604">
        <f>IF(OR($BQ74&gt;0, $BS74&gt;0), 1, 0)</f>
        <v>0</v>
      </c>
      <c r="I74" s="604">
        <f>IF(OR($BT74&gt;0, $BV74&gt;0), 1, 0)</f>
        <v>0</v>
      </c>
      <c r="J74" s="604">
        <f>IF(OR($BW74&gt;0, $BY74&gt;0), 1, 0)</f>
        <v>0</v>
      </c>
      <c r="K74" s="604">
        <f>IF(OR($BZ74&gt;0, $CB74&gt;0), 1, 0)</f>
        <v>0</v>
      </c>
      <c r="L74" s="604">
        <f>IF(OR($CC74&gt;0, $CE74&gt;0), 1, 0)</f>
        <v>0</v>
      </c>
      <c r="M74" s="604">
        <f>IF(OR($CF74&gt;0, $CH74&gt;0), 1, 0)</f>
        <v>0</v>
      </c>
      <c r="N74" s="604">
        <f>IF(OR($CI74&gt;0, $CK74&gt;0), 1, 0)</f>
        <v>0</v>
      </c>
      <c r="O74" s="604">
        <f>IF(OR($CL74&gt;0, $CN74&gt;0), 1, 0)</f>
        <v>0</v>
      </c>
      <c r="P74" s="604">
        <f>IF(OR($CO74&gt;0, $CQ74&gt;0), 1, 0)</f>
        <v>0</v>
      </c>
      <c r="Q74" s="604">
        <f>IF(OR($CR74&gt;0, $CT74&gt;0), 1, 0)</f>
        <v>0</v>
      </c>
      <c r="R74" s="604">
        <f>IF(OR($CU74&gt;0, $CW74&gt;0), 1, 0)</f>
        <v>0</v>
      </c>
      <c r="S74" s="604">
        <f>IF(OR($CX74&gt;0, $CZ74&gt;0), 1, 0)</f>
        <v>0</v>
      </c>
      <c r="T74" s="604">
        <f>IF(OR($DA74&gt;0, $DC74&gt;0), 1, 0)</f>
        <v>0</v>
      </c>
      <c r="U74" s="603">
        <f>IF(OR($AI74&gt;0,$AM74&gt;0,$AS74&gt;0), 1, 0)</f>
        <v>0</v>
      </c>
      <c r="V74" s="602">
        <f>[1]BDD!A64</f>
        <v>1006</v>
      </c>
      <c r="W74" s="601" t="str">
        <f>[1]BDD!B64</f>
        <v>Chou vert BIO</v>
      </c>
      <c r="X74" s="600" t="str">
        <f>IF([1]BDD!F64=0, "", [1]BDD!F64)</f>
        <v/>
      </c>
      <c r="Y74" s="542">
        <f>ROUND([1]BDD!G64+FDP_CMD_KG, 2)</f>
        <v>4.01</v>
      </c>
      <c r="Z74" s="542">
        <f>ROUND([1]BDD!G64+FDP_FACT_KG, 2)</f>
        <v>4.01</v>
      </c>
      <c r="AA74" s="543" t="str">
        <f>[1]BDD!H64</f>
        <v>kg</v>
      </c>
      <c r="AB74" s="544">
        <f>IF(NOT(ISBLANK([1]BDD!I64)), ROUND(SUM(([1]BDD!G64*reduc1),FDP_CMD_KG), 2), "")</f>
        <v>3.7</v>
      </c>
      <c r="AC74" s="544" t="str">
        <f>IF(NOT(ISBLANK([1]BDD!J64)), ROUND(SUM(([1]BDD!G64*reduc2),FDP_CMD_KG), 2), "")</f>
        <v/>
      </c>
      <c r="AD74" s="544" t="str">
        <f>IF(NOT(ISBLANK([1]BDD!K64)), ROUND(SUM(([1]BDD!G64*reduc3),FDP_CMD_KG), 2), "")</f>
        <v/>
      </c>
      <c r="AE74" s="544">
        <f>IF(NOT(ISBLANK([1]BDD!I64)), ROUND(SUM(([1]BDD!G64*reduc1),FDP_FACT_KG), 2), "")</f>
        <v>3.69</v>
      </c>
      <c r="AF74" s="544" t="str">
        <f>IF(NOT(ISBLANK([1]BDD!J64)), ROUND(SUM(([1]BDD!G64*reduc2),FDP_FACT_KG), 2), "")</f>
        <v/>
      </c>
      <c r="AG74" s="544" t="str">
        <f>IF(NOT(ISBLANK([1]BDD!K64)), ROUND(SUM(([1]BDD!G64*reduc3),FDP_FACT_KG), 2), "")</f>
        <v/>
      </c>
      <c r="AH74" s="599" t="str">
        <f>[1]BDD!C64</f>
        <v>Malaga</v>
      </c>
      <c r="AI74" s="598">
        <f>SUM(AV74,AY74,BB74,BE74,BH74,BK74,BN74,BQ74,BT74,BW74,BZ74,CC74,CF74,CI74,CL74,CO74,CR74,CU74,CX74,DA74)</f>
        <v>0</v>
      </c>
      <c r="AJ74" s="545">
        <f>_xlfn.IFS($AD74&lt;&gt;"", $AD74,    $AC74&lt;&gt;"", $AC74,    $AB74&lt;&gt;"", $AB74,    TRUE, $Y74)</f>
        <v>3.7</v>
      </c>
      <c r="AK74" s="592">
        <f>$AI74*$AJ74</f>
        <v>0</v>
      </c>
      <c r="AL74" s="594"/>
      <c r="AM74" s="597"/>
      <c r="AN74" s="545">
        <f>_xlfn.IFS(AND(AM74&gt;=60,$AG74&lt;&gt;""), $AG74,    AND(AM74&gt;=30,$AF74&lt;&gt;""), $AF74,    AND(AM74&gt;=10,$AE74&lt;&gt;""), $AE74,    TRUE, $Z74)</f>
        <v>4.01</v>
      </c>
      <c r="AO74" s="596">
        <f>AM74*AN74</f>
        <v>0</v>
      </c>
      <c r="AP74" s="595"/>
      <c r="AQ74" s="595"/>
      <c r="AR74" s="594"/>
      <c r="AS74" s="593">
        <f>SUM(AW74,AZ74,BC74,BF74,BI74,BL74,BO74,BR74,BU74,BX74,CA74,CD74,CG74,CJ74,CM74,CP74,CS74,CV74,CY74,DB74)</f>
        <v>0</v>
      </c>
      <c r="AT74" s="545">
        <f>_xlfn.IFS(AND(AS74&gt;=60,$AG74&lt;&gt;""), $AG74,    AND(AS74&gt;=30,$AF74&lt;&gt;""), $AF74,    AND(AS74&gt;=10,$AE74&lt;&gt;""), $AE74,    TRUE, $Z74)</f>
        <v>4.01</v>
      </c>
      <c r="AU74" s="592">
        <f>$AS74*$AT74</f>
        <v>0</v>
      </c>
      <c r="AV74" s="591">
        <f>[1]COMMANDE!O72</f>
        <v>0</v>
      </c>
      <c r="AW74" s="586" t="str">
        <f>_xlfn.IFS(AND($AI74=$AM74,$AI74&gt;0,$AM74&gt;0,AV74&gt;0), AV74,     AND(NOT($AI74=$AM74),$AI74&gt;0,$AM74&gt;0,AV74&gt;0), ($AM74*AV74)/$AI74,     AND($AI74=0,$AM74&gt;0,$AQ74&gt;0), IF(INDEX(AV$12:AV$263,MATCH($AQ74,$AP$12:$AP$263,0))&gt;0,($AM74*INDEX(AV$12:AV$263,MATCH($AQ74,$AP$12:$AP$263,0)))/INDEX($AI$12:$AI$263,MATCH($AQ74,$AP$12:$AP$263,0)), "-"),     TRUE, "0")</f>
        <v>0</v>
      </c>
      <c r="AX74" s="588">
        <f>IF(AW$9&gt;0, IF(OR(AW74="",AW74="-"), 0, AW74*$AT74), AV74*$AJ74)</f>
        <v>0</v>
      </c>
      <c r="AY74" s="587">
        <f>[1]COMMANDE!Q72</f>
        <v>0</v>
      </c>
      <c r="AZ74" s="586" t="str">
        <f>_xlfn.IFS(AND($AI74=$AM74,$AI74&gt;0,$AM74&gt;0,AY74&gt;0), AY74,     AND(NOT($AI74=$AM74),$AI74&gt;0,$AM74&gt;0,AY74&gt;0), ($AM74*AY74)/$AI74,     AND($AI74=0,$AM74&gt;0,$AQ74&gt;0), IF(INDEX(AY$12:AY$263,MATCH($AQ74,$AP$12:$AP$263,0))&gt;0,($AM74*INDEX(AY$12:AY$263,MATCH($AQ74,$AP$12:$AP$263,0)))/INDEX($AI$12:$AI$263,MATCH($AQ74,$AP$12:$AP$263,0)), "-"),     TRUE, "0")</f>
        <v>0</v>
      </c>
      <c r="BA74" s="607">
        <f>IF(AZ$9&gt;0, IF(OR(AZ74="",AZ74="-"), 0, AZ74*$AT74), AY74*$AJ74)</f>
        <v>0</v>
      </c>
      <c r="BB74" s="589">
        <f>[1]COMMANDE!S72</f>
        <v>0</v>
      </c>
      <c r="BC74" s="586" t="str">
        <f>_xlfn.IFS(AND($AI74=$AM74,$AI74&gt;0,$AM74&gt;0,BB74&gt;0), BB74,     AND(NOT($AI74=$AM74),$AI74&gt;0,$AM74&gt;0,BB74&gt;0), ($AM74*BB74)/$AI74,     AND($AI74=0,$AM74&gt;0,$AQ74&gt;0), IF(INDEX(BB$12:BB$263,MATCH($AQ74,$AP$12:$AP$263,0))&gt;0,($AM74*INDEX(BB$12:BB$263,MATCH($AQ74,$AP$12:$AP$263,0)))/INDEX($AI$12:$AI$263,MATCH($AQ74,$AP$12:$AP$263,0)), "-"),     TRUE, "0")</f>
        <v>0</v>
      </c>
      <c r="BD74" s="588">
        <f>IF(BC$9&gt;0, IF(OR(BC74="",BC74="-"), 0, BC74*$AT74), BB74*$AJ74)</f>
        <v>0</v>
      </c>
      <c r="BE74" s="587">
        <f>[1]COMMANDE!U72</f>
        <v>0</v>
      </c>
      <c r="BF74" s="586" t="str">
        <f>_xlfn.IFS(AND($AI74=$AM74,$AI74&gt;0,$AM74&gt;0,BE74&gt;0), BE74,     AND(NOT($AI74=$AM74),$AI74&gt;0,$AM74&gt;0,BE74&gt;0), ($AM74*BE74)/$AI74,     AND($AI74=0,$AM74&gt;0,$AQ74&gt;0), IF(INDEX(BE$12:BE$263,MATCH($AQ74,$AP$12:$AP$263,0))&gt;0,($AM74*INDEX(BE$12:BE$263,MATCH($AQ74,$AP$12:$AP$263,0)))/INDEX($AI$12:$AI$263,MATCH($AQ74,$AP$12:$AP$263,0)), "-"),     TRUE, "0")</f>
        <v>0</v>
      </c>
      <c r="BG74" s="607">
        <f>IF(BF$9&gt;0, IF(OR(BF74="",BF74="-"), 0, BF74*$AT74), BE74*$AJ74)</f>
        <v>0</v>
      </c>
      <c r="BH74" s="589">
        <f>[1]COMMANDE!W72</f>
        <v>0</v>
      </c>
      <c r="BI74" s="586" t="str">
        <f>_xlfn.IFS(AND($AI74=$AM74,$AI74&gt;0,$AM74&gt;0,BH74&gt;0), BH74,     AND(NOT($AI74=$AM74),$AI74&gt;0,$AM74&gt;0,BH74&gt;0), ($AM74*BH74)/$AI74,     AND($AI74=0,$AM74&gt;0,$AQ74&gt;0), IF(INDEX(BH$12:BH$263,MATCH($AQ74,$AP$12:$AP$263,0))&gt;0,($AM74*INDEX(BH$12:BH$263,MATCH($AQ74,$AP$12:$AP$263,0)))/INDEX($AI$12:$AI$263,MATCH($AQ74,$AP$12:$AP$263,0)), "-"),     TRUE, "0")</f>
        <v>0</v>
      </c>
      <c r="BJ74" s="588">
        <f>IF(BI$9&gt;0, IF(OR(BI74="",BI74="-"), 0, BI74*$AT74), BH74*$AJ74)</f>
        <v>0</v>
      </c>
      <c r="BK74" s="587">
        <f>[1]COMMANDE!Y72</f>
        <v>0</v>
      </c>
      <c r="BL74" s="586" t="str">
        <f>_xlfn.IFS(AND($AI74=$AM74,$AI74&gt;0,$AM74&gt;0,BK74&gt;0), BK74,     AND(NOT($AI74=$AM74),$AI74&gt;0,$AM74&gt;0,BK74&gt;0), ($AM74*BK74)/$AI74,     AND($AI74=0,$AM74&gt;0,$AQ74&gt;0), IF(INDEX(BK$12:BK$263,MATCH($AQ74,$AP$12:$AP$263,0))&gt;0,($AM74*INDEX(BK$12:BK$263,MATCH($AQ74,$AP$12:$AP$263,0)))/INDEX($AI$12:$AI$263,MATCH($AQ74,$AP$12:$AP$263,0)), "-"),     TRUE, "0")</f>
        <v>0</v>
      </c>
      <c r="BM74" s="607">
        <f>IF(BL$9&gt;0, IF(OR(BL74="",BL74="-"), 0, BL74*$AT74), BK74*$AJ74)</f>
        <v>0</v>
      </c>
      <c r="BN74" s="589">
        <f>[1]COMMANDE!AA72</f>
        <v>0</v>
      </c>
      <c r="BO74" s="586" t="str">
        <f>_xlfn.IFS(AND($AI74=$AM74,$AI74&gt;0,$AM74&gt;0,BN74&gt;0), BN74,     AND(NOT($AI74=$AM74),$AI74&gt;0,$AM74&gt;0,BN74&gt;0), ($AM74*BN74)/$AI74,     AND($AI74=0,$AM74&gt;0,$AQ74&gt;0), IF(INDEX(BN$12:BN$263,MATCH($AQ74,$AP$12:$AP$263,0))&gt;0,($AM74*INDEX(BN$12:BN$263,MATCH($AQ74,$AP$12:$AP$263,0)))/INDEX($AI$12:$AI$263,MATCH($AQ74,$AP$12:$AP$263,0)), "-"),     TRUE, "0")</f>
        <v>0</v>
      </c>
      <c r="BP74" s="588">
        <f>IF(BO$9&gt;0, IF(OR(BO74="",BO74="-"), 0, BO74*$AT74), BN74*$AJ74)</f>
        <v>0</v>
      </c>
      <c r="BQ74" s="587">
        <f>[1]COMMANDE!AC72</f>
        <v>0</v>
      </c>
      <c r="BR74" s="586" t="str">
        <f>_xlfn.IFS(AND($AI74=$AM74,$AI74&gt;0,$AM74&gt;0,BQ74&gt;0), BQ74,     AND(NOT($AI74=$AM74),$AI74&gt;0,$AM74&gt;0,BQ74&gt;0), ($AM74*BQ74)/$AI74,     AND($AI74=0,$AM74&gt;0,$AQ74&gt;0), IF(INDEX(BQ$12:BQ$263,MATCH($AQ74,$AP$12:$AP$263,0))&gt;0,($AM74*INDEX(BQ$12:BQ$263,MATCH($AQ74,$AP$12:$AP$263,0)))/INDEX($AI$12:$AI$263,MATCH($AQ74,$AP$12:$AP$263,0)), "-"),     TRUE, "0")</f>
        <v>0</v>
      </c>
      <c r="BS74" s="607">
        <f>IF(BR$9&gt;0, IF(OR(BR74="",BR74="-"), 0, BR74*$AT74), BQ74*$AJ74)</f>
        <v>0</v>
      </c>
      <c r="BT74" s="589">
        <f>[1]COMMANDE!AE72</f>
        <v>0</v>
      </c>
      <c r="BU74" s="586" t="str">
        <f>_xlfn.IFS(AND($AI74=$AM74,$AI74&gt;0,$AM74&gt;0,BT74&gt;0), BT74,     AND(NOT($AI74=$AM74),$AI74&gt;0,$AM74&gt;0,BT74&gt;0), ($AM74*BT74)/$AI74,     AND($AI74=0,$AM74&gt;0,$AQ74&gt;0), IF(INDEX(BT$12:BT$263,MATCH($AQ74,$AP$12:$AP$263,0))&gt;0,($AM74*INDEX(BT$12:BT$263,MATCH($AQ74,$AP$12:$AP$263,0)))/INDEX($AI$12:$AI$263,MATCH($AQ74,$AP$12:$AP$263,0)), "-"),     TRUE, "0")</f>
        <v>0</v>
      </c>
      <c r="BV74" s="588">
        <f>IF(BU$9&gt;0, IF(OR(BU74="",BU74="-"), 0, BU74*$AT74), BT74*$AJ74)</f>
        <v>0</v>
      </c>
      <c r="BW74" s="587">
        <f>[1]COMMANDE!AG72</f>
        <v>0</v>
      </c>
      <c r="BX74" s="586" t="str">
        <f>_xlfn.IFS(AND($AI74=$AM74,$AI74&gt;0,$AM74&gt;0,BW74&gt;0), BW74,     AND(NOT($AI74=$AM74),$AI74&gt;0,$AM74&gt;0,BW74&gt;0), ($AM74*BW74)/$AI74,     AND($AI74=0,$AM74&gt;0,$AQ74&gt;0), IF(INDEX(BW$12:BW$263,MATCH($AQ74,$AP$12:$AP$263,0))&gt;0,($AM74*INDEX(BW$12:BW$263,MATCH($AQ74,$AP$12:$AP$263,0)))/INDEX($AI$12:$AI$263,MATCH($AQ74,$AP$12:$AP$263,0)), "-"),     TRUE, "0")</f>
        <v>0</v>
      </c>
      <c r="BY74" s="607">
        <f>IF(BX$9&gt;0, IF(OR(BX74="",BX74="-"), 0, BX74*$AT74), BW74*$AJ74)</f>
        <v>0</v>
      </c>
      <c r="BZ74" s="589">
        <f>[1]COMMANDE!AI72</f>
        <v>0</v>
      </c>
      <c r="CA74" s="586" t="str">
        <f>_xlfn.IFS(AND($AI74=$AM74,$AI74&gt;0,$AM74&gt;0,BZ74&gt;0), BZ74,     AND(NOT($AI74=$AM74),$AI74&gt;0,$AM74&gt;0,BZ74&gt;0), ($AM74*BZ74)/$AI74,     AND($AI74=0,$AM74&gt;0,$AQ74&gt;0), IF(INDEX(BZ$12:BZ$263,MATCH($AQ74,$AP$12:$AP$263,0))&gt;0,($AM74*INDEX(BZ$12:BZ$263,MATCH($AQ74,$AP$12:$AP$263,0)))/INDEX($AI$12:$AI$263,MATCH($AQ74,$AP$12:$AP$263,0)), "-"),     TRUE, "0")</f>
        <v>0</v>
      </c>
      <c r="CB74" s="588">
        <f>IF(CA$9&gt;0, IF(OR(CA74="",CA74="-"), 0, CA74*$AT74), BZ74*$AJ74)</f>
        <v>0</v>
      </c>
      <c r="CC74" s="587">
        <f>[1]COMMANDE!AK72</f>
        <v>0</v>
      </c>
      <c r="CD74" s="586" t="str">
        <f>_xlfn.IFS(AND($AI74=$AM74,$AI74&gt;0,$AM74&gt;0,CC74&gt;0), CC74,     AND(NOT($AI74=$AM74),$AI74&gt;0,$AM74&gt;0,CC74&gt;0), ($AM74*CC74)/$AI74,     AND($AI74=0,$AM74&gt;0,$AQ74&gt;0), IF(INDEX(CC$12:CC$263,MATCH($AQ74,$AP$12:$AP$263,0))&gt;0,($AM74*INDEX(CC$12:CC$263,MATCH($AQ74,$AP$12:$AP$263,0)))/INDEX($AI$12:$AI$263,MATCH($AQ74,$AP$12:$AP$263,0)), "-"),     TRUE, "0")</f>
        <v>0</v>
      </c>
      <c r="CE74" s="607">
        <f>IF(CD$9&gt;0, IF(OR(CD74="",CD74="-"), 0, CD74*$AT74), CC74*$AJ74)</f>
        <v>0</v>
      </c>
      <c r="CF74" s="589">
        <f>[1]COMMANDE!AM72</f>
        <v>0</v>
      </c>
      <c r="CG74" s="586" t="str">
        <f>_xlfn.IFS(AND($AI74=$AM74,$AI74&gt;0,$AM74&gt;0,CF74&gt;0), CF74,     AND(NOT($AI74=$AM74),$AI74&gt;0,$AM74&gt;0,CF74&gt;0), ($AM74*CF74)/$AI74,     AND($AI74=0,$AM74&gt;0,$AQ74&gt;0), IF(INDEX(CF$12:CF$263,MATCH($AQ74,$AP$12:$AP$263,0))&gt;0,($AM74*INDEX(CF$12:CF$263,MATCH($AQ74,$AP$12:$AP$263,0)))/INDEX($AI$12:$AI$263,MATCH($AQ74,$AP$12:$AP$263,0)), "-"),     TRUE, "0")</f>
        <v>0</v>
      </c>
      <c r="CH74" s="588">
        <f>IF(CG$9&gt;0, IF(OR(CG74="",CG74="-"), 0, CG74*$AT74), CF74*$AJ74)</f>
        <v>0</v>
      </c>
      <c r="CI74" s="587">
        <f>[1]COMMANDE!AO72</f>
        <v>0</v>
      </c>
      <c r="CJ74" s="586" t="str">
        <f>_xlfn.IFS(AND($AI74=$AM74,$AI74&gt;0,$AM74&gt;0,CI74&gt;0), CI74,     AND(NOT($AI74=$AM74),$AI74&gt;0,$AM74&gt;0,CI74&gt;0), ($AM74*CI74)/$AI74,     AND($AI74=0,$AM74&gt;0,$AQ74&gt;0), IF(INDEX(CI$12:CI$263,MATCH($AQ74,$AP$12:$AP$263,0))&gt;0,($AM74*INDEX(CI$12:CI$263,MATCH($AQ74,$AP$12:$AP$263,0)))/INDEX($AI$12:$AI$263,MATCH($AQ74,$AP$12:$AP$263,0)), "-"),     TRUE, "0")</f>
        <v>0</v>
      </c>
      <c r="CK74" s="607">
        <f>IF(CJ$9&gt;0, IF(OR(CJ74="",CJ74="-"), 0, CJ74*$AT74), CI74*$AJ74)</f>
        <v>0</v>
      </c>
      <c r="CL74" s="589">
        <f>[1]COMMANDE!AQ72</f>
        <v>0</v>
      </c>
      <c r="CM74" s="586" t="str">
        <f>_xlfn.IFS(AND($AI74=$AM74,$AI74&gt;0,$AM74&gt;0,CL74&gt;0), CL74,     AND(NOT($AI74=$AM74),$AI74&gt;0,$AM74&gt;0,CL74&gt;0), ($AM74*CL74)/$AI74,     AND($AI74=0,$AM74&gt;0,$AQ74&gt;0), IF(INDEX(CL$12:CL$263,MATCH($AQ74,$AP$12:$AP$263,0))&gt;0,($AM74*INDEX(CL$12:CL$263,MATCH($AQ74,$AP$12:$AP$263,0)))/INDEX($AI$12:$AI$263,MATCH($AQ74,$AP$12:$AP$263,0)), "-"),     TRUE, "0")</f>
        <v>0</v>
      </c>
      <c r="CN74" s="588">
        <f>IF(CM$9&gt;0, IF(OR(CM74="",CM74="-"), 0, CM74*$AT74), CL74*$AJ74)</f>
        <v>0</v>
      </c>
      <c r="CO74" s="587">
        <f>[1]COMMANDE!AS72</f>
        <v>0</v>
      </c>
      <c r="CP74" s="586" t="str">
        <f>_xlfn.IFS(AND($AI74=$AM74,$AI74&gt;0,$AM74&gt;0,CO74&gt;0), CO74,     AND(NOT($AI74=$AM74),$AI74&gt;0,$AM74&gt;0,CO74&gt;0), ($AM74*CO74)/$AI74,     AND($AI74=0,$AM74&gt;0,$AQ74&gt;0), IF(INDEX(CO$12:CO$263,MATCH($AQ74,$AP$12:$AP$263,0))&gt;0,($AM74*INDEX(CO$12:CO$263,MATCH($AQ74,$AP$12:$AP$263,0)))/INDEX($AI$12:$AI$263,MATCH($AQ74,$AP$12:$AP$263,0)), "-"),     TRUE, "0")</f>
        <v>0</v>
      </c>
      <c r="CQ74" s="607">
        <f>IF(CP$9&gt;0, IF(OR(CP74="",CP74="-"), 0, CP74*$AT74), CO74*$AJ74)</f>
        <v>0</v>
      </c>
      <c r="CR74" s="589">
        <f>[1]COMMANDE!AU72</f>
        <v>0</v>
      </c>
      <c r="CS74" s="586" t="str">
        <f>_xlfn.IFS(AND($AI74=$AM74,$AI74&gt;0,$AM74&gt;0,CR74&gt;0), CR74,     AND(NOT($AI74=$AM74),$AI74&gt;0,$AM74&gt;0,CR74&gt;0), ($AM74*CR74)/$AI74,     AND($AI74=0,$AM74&gt;0,$AQ74&gt;0), IF(INDEX(CR$12:CR$263,MATCH($AQ74,$AP$12:$AP$263,0))&gt;0,($AM74*INDEX(CR$12:CR$263,MATCH($AQ74,$AP$12:$AP$263,0)))/INDEX($AI$12:$AI$263,MATCH($AQ74,$AP$12:$AP$263,0)), "-"),     TRUE, "0")</f>
        <v>0</v>
      </c>
      <c r="CT74" s="588">
        <f>IF(CS$9&gt;0, IF(OR(CS74="",CS74="-"), 0, CS74*$AT74), CR74*$AJ74)</f>
        <v>0</v>
      </c>
      <c r="CU74" s="587">
        <f>[1]COMMANDE!AW72</f>
        <v>0</v>
      </c>
      <c r="CV74" s="586" t="str">
        <f>_xlfn.IFS(AND($AI74=$AM74,$AI74&gt;0,$AM74&gt;0,CU74&gt;0), CU74,     AND(NOT($AI74=$AM74),$AI74&gt;0,$AM74&gt;0,CU74&gt;0), ($AM74*CU74)/$AI74,     AND($AI74=0,$AM74&gt;0,$AQ74&gt;0), IF(INDEX(CU$12:CU$263,MATCH($AQ74,$AP$12:$AP$263,0))&gt;0,($AM74*INDEX(CU$12:CU$263,MATCH($AQ74,$AP$12:$AP$263,0)))/INDEX($AI$12:$AI$263,MATCH($AQ74,$AP$12:$AP$263,0)), "-"),     TRUE, "0")</f>
        <v>0</v>
      </c>
      <c r="CW74" s="607">
        <f>IF(CV$9&gt;0, IF(OR(CV74="",CV74="-"), 0, CV74*$AT74), CU74*$AJ74)</f>
        <v>0</v>
      </c>
      <c r="CX74" s="589">
        <f>[1]COMMANDE!AY72</f>
        <v>0</v>
      </c>
      <c r="CY74" s="586" t="str">
        <f>_xlfn.IFS(AND($AI74=$AM74,$AI74&gt;0,$AM74&gt;0,CX74&gt;0), CX74,     AND(NOT($AI74=$AM74),$AI74&gt;0,$AM74&gt;0,CX74&gt;0), ($AM74*CX74)/$AI74,     AND($AI74=0,$AM74&gt;0,$AQ74&gt;0), IF(INDEX(CX$12:CX$263,MATCH($AQ74,$AP$12:$AP$263,0))&gt;0,($AM74*INDEX(CX$12:CX$263,MATCH($AQ74,$AP$12:$AP$263,0)))/INDEX($AI$12:$AI$263,MATCH($AQ74,$AP$12:$AP$263,0)), "-"),     TRUE, "0")</f>
        <v>0</v>
      </c>
      <c r="CZ74" s="588">
        <f>IF(CY$9&gt;0, IF(OR(CY74="",CY74="-"), 0, CY74*$AT74), CX74*$AJ74)</f>
        <v>0</v>
      </c>
      <c r="DA74" s="587">
        <f>[1]COMMANDE!BA72</f>
        <v>0</v>
      </c>
      <c r="DB74" s="586" t="str">
        <f>_xlfn.IFS(AND($AI74=$AM74,$AI74&gt;0,$AM74&gt;0,DA74&gt;0), DA74,     AND(NOT($AI74=$AM74),$AI74&gt;0,$AM74&gt;0,DA74&gt;0), ($AM74*DA74)/$AI74,     AND($AI74=0,$AM74&gt;0,$AQ74&gt;0), IF(INDEX(DA$12:DA$263,MATCH($AQ74,$AP$12:$AP$263,0))&gt;0,($AM74*INDEX(DA$12:DA$263,MATCH($AQ74,$AP$12:$AP$263,0)))/INDEX($AI$12:$AI$263,MATCH($AQ74,$AP$12:$AP$263,0)), "-"),     TRUE, "0")</f>
        <v>0</v>
      </c>
      <c r="DC74" s="606">
        <f>IF(DB$9&gt;0, IF(OR(DB74="",DB74="-"), 0, DB74*$AT74), DA74*$AJ74)</f>
        <v>0</v>
      </c>
      <c r="DD74" s="584"/>
      <c r="DE74" s="583"/>
    </row>
    <row r="75" spans="1:109" ht="39.950000000000003" hidden="1" customHeight="1">
      <c r="A75" s="604">
        <f>IF(OR($AV75&gt;0, $AX75&gt;0), 1, 0)</f>
        <v>0</v>
      </c>
      <c r="B75" s="604">
        <f>IF(OR($AY75&gt;0, $BA75&gt;0), 1, 0)</f>
        <v>0</v>
      </c>
      <c r="C75" s="604">
        <f>IF(OR($BB75&gt;0, $BD75&gt;0), 1, 0)</f>
        <v>0</v>
      </c>
      <c r="D75" s="604">
        <f>IF(OR($BE75&gt;0, $BG75&gt;0), 1, 0)</f>
        <v>0</v>
      </c>
      <c r="E75" s="604">
        <f>IF(OR($BH75&gt;0, $BJ75&gt;0), 1, 0)</f>
        <v>0</v>
      </c>
      <c r="F75" s="604">
        <f>IF(OR($BK75&gt;0, $BM75&gt;0), 1, 0)</f>
        <v>0</v>
      </c>
      <c r="G75" s="604">
        <f>IF(OR($BN75&gt;0, $BP75&gt;0), 1, 0)</f>
        <v>0</v>
      </c>
      <c r="H75" s="604">
        <f>IF(OR($BQ75&gt;0, $BS75&gt;0), 1, 0)</f>
        <v>0</v>
      </c>
      <c r="I75" s="604">
        <f>IF(OR($BT75&gt;0, $BV75&gt;0), 1, 0)</f>
        <v>0</v>
      </c>
      <c r="J75" s="604">
        <f>IF(OR($BW75&gt;0, $BY75&gt;0), 1, 0)</f>
        <v>0</v>
      </c>
      <c r="K75" s="604">
        <f>IF(OR($BZ75&gt;0, $CB75&gt;0), 1, 0)</f>
        <v>0</v>
      </c>
      <c r="L75" s="604">
        <f>IF(OR($CC75&gt;0, $CE75&gt;0), 1, 0)</f>
        <v>0</v>
      </c>
      <c r="M75" s="604">
        <f>IF(OR($CF75&gt;0, $CH75&gt;0), 1, 0)</f>
        <v>0</v>
      </c>
      <c r="N75" s="604">
        <f>IF(OR($CI75&gt;0, $CK75&gt;0), 1, 0)</f>
        <v>0</v>
      </c>
      <c r="O75" s="604">
        <f>IF(OR($CL75&gt;0, $CN75&gt;0), 1, 0)</f>
        <v>0</v>
      </c>
      <c r="P75" s="604">
        <f>IF(OR($CO75&gt;0, $CQ75&gt;0), 1, 0)</f>
        <v>0</v>
      </c>
      <c r="Q75" s="604">
        <f>IF(OR($CR75&gt;0, $CT75&gt;0), 1, 0)</f>
        <v>0</v>
      </c>
      <c r="R75" s="604">
        <f>IF(OR($CU75&gt;0, $CW75&gt;0), 1, 0)</f>
        <v>0</v>
      </c>
      <c r="S75" s="604">
        <f>IF(OR($CX75&gt;0, $CZ75&gt;0), 1, 0)</f>
        <v>0</v>
      </c>
      <c r="T75" s="604">
        <f>IF(OR($DA75&gt;0, $DC75&gt;0), 1, 0)</f>
        <v>0</v>
      </c>
      <c r="U75" s="603">
        <f>IF(OR($AI75&gt;0,$AM75&gt;0,$AS75&gt;0), 1, 0)</f>
        <v>0</v>
      </c>
      <c r="V75" s="602">
        <f>[1]BDD!A65</f>
        <v>4125</v>
      </c>
      <c r="W75" s="601" t="str">
        <f>[1]BDD!B65</f>
        <v>Chufa mix Classic Vegan Milker (pour lait végétal)</v>
      </c>
      <c r="X75" s="600" t="str">
        <f>IF([1]BDD!F65=0, "", [1]BDD!F65)</f>
        <v/>
      </c>
      <c r="Y75" s="542">
        <f>ROUND([1]BDD!G65+FDP_CMD_KG, 2)</f>
        <v>41.52</v>
      </c>
      <c r="Z75" s="542">
        <f>ROUND([1]BDD!G65+FDP_FACT_KG, 2)</f>
        <v>41.52</v>
      </c>
      <c r="AA75" s="543" t="str">
        <f>[1]BDD!H65</f>
        <v>Pièce</v>
      </c>
      <c r="AB75" s="544" t="str">
        <f>IF(NOT(ISBLANK([1]BDD!I65)), ROUND(SUM(([1]BDD!G65*reduc1),FDP_CMD_KG), 2), "")</f>
        <v/>
      </c>
      <c r="AC75" s="544" t="str">
        <f>IF(NOT(ISBLANK([1]BDD!J65)), ROUND(SUM(([1]BDD!G65*reduc2),FDP_CMD_KG), 2), "")</f>
        <v/>
      </c>
      <c r="AD75" s="544" t="str">
        <f>IF(NOT(ISBLANK([1]BDD!K65)), ROUND(SUM(([1]BDD!G65*reduc3),FDP_CMD_KG), 2), "")</f>
        <v/>
      </c>
      <c r="AE75" s="544" t="str">
        <f>IF(NOT(ISBLANK([1]BDD!I65)), ROUND(SUM(([1]BDD!G65*reduc1),FDP_FACT_KG), 2), "")</f>
        <v/>
      </c>
      <c r="AF75" s="544" t="str">
        <f>IF(NOT(ISBLANK([1]BDD!J65)), ROUND(SUM(([1]BDD!G65*reduc2),FDP_FACT_KG), 2), "")</f>
        <v/>
      </c>
      <c r="AG75" s="544" t="str">
        <f>IF(NOT(ISBLANK([1]BDD!K65)), ROUND(SUM(([1]BDD!G65*reduc3),FDP_FACT_KG), 2), "")</f>
        <v/>
      </c>
      <c r="AH75" s="599" t="str">
        <f>[1]BDD!C65</f>
        <v>National</v>
      </c>
      <c r="AI75" s="598">
        <f>SUM(AV75,AY75,BB75,BE75,BH75,BK75,BN75,BQ75,BT75,BW75,BZ75,CC75,CF75,CI75,CL75,CO75,CR75,CU75,CX75,DA75)</f>
        <v>0</v>
      </c>
      <c r="AJ75" s="545">
        <f>_xlfn.IFS($AD75&lt;&gt;"", $AD75,    $AC75&lt;&gt;"", $AC75,    $AB75&lt;&gt;"", $AB75,    TRUE, $Y75)</f>
        <v>41.52</v>
      </c>
      <c r="AK75" s="592">
        <f>$AI75*$AJ75</f>
        <v>0</v>
      </c>
      <c r="AL75" s="594"/>
      <c r="AM75" s="597"/>
      <c r="AN75" s="545">
        <f>_xlfn.IFS(AND(AM75&gt;=60,$AG75&lt;&gt;""), $AG75,    AND(AM75&gt;=30,$AF75&lt;&gt;""), $AF75,    AND(AM75&gt;=10,$AE75&lt;&gt;""), $AE75,    TRUE, $Z75)</f>
        <v>41.52</v>
      </c>
      <c r="AO75" s="596">
        <f>AM75*AN75</f>
        <v>0</v>
      </c>
      <c r="AP75" s="595"/>
      <c r="AQ75" s="595"/>
      <c r="AR75" s="594"/>
      <c r="AS75" s="593">
        <f>SUM(AW75,AZ75,BC75,BF75,BI75,BL75,BO75,BR75,BU75,BX75,CA75,CD75,CG75,CJ75,CM75,CP75,CS75,CV75,CY75,DB75)</f>
        <v>0</v>
      </c>
      <c r="AT75" s="545">
        <f>_xlfn.IFS(AND(AS75&gt;=60,$AG75&lt;&gt;""), $AG75,    AND(AS75&gt;=30,$AF75&lt;&gt;""), $AF75,    AND(AS75&gt;=10,$AE75&lt;&gt;""), $AE75,    TRUE, $Z75)</f>
        <v>41.52</v>
      </c>
      <c r="AU75" s="592">
        <f>$AS75*$AT75</f>
        <v>0</v>
      </c>
      <c r="AV75" s="591">
        <f>[1]COMMANDE!O73</f>
        <v>0</v>
      </c>
      <c r="AW75" s="586" t="str">
        <f>_xlfn.IFS(AND($AI75=$AM75,$AI75&gt;0,$AM75&gt;0,AV75&gt;0), AV75,     AND(NOT($AI75=$AM75),$AI75&gt;0,$AM75&gt;0,AV75&gt;0), ($AM75*AV75)/$AI75,     AND($AI75=0,$AM75&gt;0,$AQ75&gt;0), IF(INDEX(AV$12:AV$263,MATCH($AQ75,$AP$12:$AP$263,0))&gt;0,($AM75*INDEX(AV$12:AV$263,MATCH($AQ75,$AP$12:$AP$263,0)))/INDEX($AI$12:$AI$263,MATCH($AQ75,$AP$12:$AP$263,0)), "-"),     TRUE, "0")</f>
        <v>0</v>
      </c>
      <c r="AX75" s="588">
        <f>IF(AW$9&gt;0, IF(OR(AW75="",AW75="-"), 0, AW75*$AT75), AV75*$AJ75)</f>
        <v>0</v>
      </c>
      <c r="AY75" s="587">
        <f>[1]COMMANDE!Q73</f>
        <v>0</v>
      </c>
      <c r="AZ75" s="586" t="str">
        <f>_xlfn.IFS(AND($AI75=$AM75,$AI75&gt;0,$AM75&gt;0,AY75&gt;0), AY75,     AND(NOT($AI75=$AM75),$AI75&gt;0,$AM75&gt;0,AY75&gt;0), ($AM75*AY75)/$AI75,     AND($AI75=0,$AM75&gt;0,$AQ75&gt;0), IF(INDEX(AY$12:AY$263,MATCH($AQ75,$AP$12:$AP$263,0))&gt;0,($AM75*INDEX(AY$12:AY$263,MATCH($AQ75,$AP$12:$AP$263,0)))/INDEX($AI$12:$AI$263,MATCH($AQ75,$AP$12:$AP$263,0)), "-"),     TRUE, "0")</f>
        <v>0</v>
      </c>
      <c r="BA75" s="607">
        <f>IF(AZ$9&gt;0, IF(OR(AZ75="",AZ75="-"), 0, AZ75*$AT75), AY75*$AJ75)</f>
        <v>0</v>
      </c>
      <c r="BB75" s="589">
        <f>[1]COMMANDE!S73</f>
        <v>0</v>
      </c>
      <c r="BC75" s="586" t="str">
        <f>_xlfn.IFS(AND($AI75=$AM75,$AI75&gt;0,$AM75&gt;0,BB75&gt;0), BB75,     AND(NOT($AI75=$AM75),$AI75&gt;0,$AM75&gt;0,BB75&gt;0), ($AM75*BB75)/$AI75,     AND($AI75=0,$AM75&gt;0,$AQ75&gt;0), IF(INDEX(BB$12:BB$263,MATCH($AQ75,$AP$12:$AP$263,0))&gt;0,($AM75*INDEX(BB$12:BB$263,MATCH($AQ75,$AP$12:$AP$263,0)))/INDEX($AI$12:$AI$263,MATCH($AQ75,$AP$12:$AP$263,0)), "-"),     TRUE, "0")</f>
        <v>0</v>
      </c>
      <c r="BD75" s="588">
        <f>IF(BC$9&gt;0, IF(OR(BC75="",BC75="-"), 0, BC75*$AT75), BB75*$AJ75)</f>
        <v>0</v>
      </c>
      <c r="BE75" s="587">
        <f>[1]COMMANDE!U73</f>
        <v>0</v>
      </c>
      <c r="BF75" s="586" t="str">
        <f>_xlfn.IFS(AND($AI75=$AM75,$AI75&gt;0,$AM75&gt;0,BE75&gt;0), BE75,     AND(NOT($AI75=$AM75),$AI75&gt;0,$AM75&gt;0,BE75&gt;0), ($AM75*BE75)/$AI75,     AND($AI75=0,$AM75&gt;0,$AQ75&gt;0), IF(INDEX(BE$12:BE$263,MATCH($AQ75,$AP$12:$AP$263,0))&gt;0,($AM75*INDEX(BE$12:BE$263,MATCH($AQ75,$AP$12:$AP$263,0)))/INDEX($AI$12:$AI$263,MATCH($AQ75,$AP$12:$AP$263,0)), "-"),     TRUE, "0")</f>
        <v>0</v>
      </c>
      <c r="BG75" s="607">
        <f>IF(BF$9&gt;0, IF(OR(BF75="",BF75="-"), 0, BF75*$AT75), BE75*$AJ75)</f>
        <v>0</v>
      </c>
      <c r="BH75" s="589">
        <f>[1]COMMANDE!W73</f>
        <v>0</v>
      </c>
      <c r="BI75" s="586" t="str">
        <f>_xlfn.IFS(AND($AI75=$AM75,$AI75&gt;0,$AM75&gt;0,BH75&gt;0), BH75,     AND(NOT($AI75=$AM75),$AI75&gt;0,$AM75&gt;0,BH75&gt;0), ($AM75*BH75)/$AI75,     AND($AI75=0,$AM75&gt;0,$AQ75&gt;0), IF(INDEX(BH$12:BH$263,MATCH($AQ75,$AP$12:$AP$263,0))&gt;0,($AM75*INDEX(BH$12:BH$263,MATCH($AQ75,$AP$12:$AP$263,0)))/INDEX($AI$12:$AI$263,MATCH($AQ75,$AP$12:$AP$263,0)), "-"),     TRUE, "0")</f>
        <v>0</v>
      </c>
      <c r="BJ75" s="588">
        <f>IF(BI$9&gt;0, IF(OR(BI75="",BI75="-"), 0, BI75*$AT75), BH75*$AJ75)</f>
        <v>0</v>
      </c>
      <c r="BK75" s="587">
        <f>[1]COMMANDE!Y73</f>
        <v>0</v>
      </c>
      <c r="BL75" s="586" t="str">
        <f>_xlfn.IFS(AND($AI75=$AM75,$AI75&gt;0,$AM75&gt;0,BK75&gt;0), BK75,     AND(NOT($AI75=$AM75),$AI75&gt;0,$AM75&gt;0,BK75&gt;0), ($AM75*BK75)/$AI75,     AND($AI75=0,$AM75&gt;0,$AQ75&gt;0), IF(INDEX(BK$12:BK$263,MATCH($AQ75,$AP$12:$AP$263,0))&gt;0,($AM75*INDEX(BK$12:BK$263,MATCH($AQ75,$AP$12:$AP$263,0)))/INDEX($AI$12:$AI$263,MATCH($AQ75,$AP$12:$AP$263,0)), "-"),     TRUE, "0")</f>
        <v>0</v>
      </c>
      <c r="BM75" s="607">
        <f>IF(BL$9&gt;0, IF(OR(BL75="",BL75="-"), 0, BL75*$AT75), BK75*$AJ75)</f>
        <v>0</v>
      </c>
      <c r="BN75" s="589">
        <f>[1]COMMANDE!AA73</f>
        <v>0</v>
      </c>
      <c r="BO75" s="586" t="str">
        <f>_xlfn.IFS(AND($AI75=$AM75,$AI75&gt;0,$AM75&gt;0,BN75&gt;0), BN75,     AND(NOT($AI75=$AM75),$AI75&gt;0,$AM75&gt;0,BN75&gt;0), ($AM75*BN75)/$AI75,     AND($AI75=0,$AM75&gt;0,$AQ75&gt;0), IF(INDEX(BN$12:BN$263,MATCH($AQ75,$AP$12:$AP$263,0))&gt;0,($AM75*INDEX(BN$12:BN$263,MATCH($AQ75,$AP$12:$AP$263,0)))/INDEX($AI$12:$AI$263,MATCH($AQ75,$AP$12:$AP$263,0)), "-"),     TRUE, "0")</f>
        <v>0</v>
      </c>
      <c r="BP75" s="588">
        <f>IF(BO$9&gt;0, IF(OR(BO75="",BO75="-"), 0, BO75*$AT75), BN75*$AJ75)</f>
        <v>0</v>
      </c>
      <c r="BQ75" s="587">
        <f>[1]COMMANDE!AC73</f>
        <v>0</v>
      </c>
      <c r="BR75" s="586" t="str">
        <f>_xlfn.IFS(AND($AI75=$AM75,$AI75&gt;0,$AM75&gt;0,BQ75&gt;0), BQ75,     AND(NOT($AI75=$AM75),$AI75&gt;0,$AM75&gt;0,BQ75&gt;0), ($AM75*BQ75)/$AI75,     AND($AI75=0,$AM75&gt;0,$AQ75&gt;0), IF(INDEX(BQ$12:BQ$263,MATCH($AQ75,$AP$12:$AP$263,0))&gt;0,($AM75*INDEX(BQ$12:BQ$263,MATCH($AQ75,$AP$12:$AP$263,0)))/INDEX($AI$12:$AI$263,MATCH($AQ75,$AP$12:$AP$263,0)), "-"),     TRUE, "0")</f>
        <v>0</v>
      </c>
      <c r="BS75" s="607">
        <f>IF(BR$9&gt;0, IF(OR(BR75="",BR75="-"), 0, BR75*$AT75), BQ75*$AJ75)</f>
        <v>0</v>
      </c>
      <c r="BT75" s="589">
        <f>[1]COMMANDE!AE73</f>
        <v>0</v>
      </c>
      <c r="BU75" s="586" t="str">
        <f>_xlfn.IFS(AND($AI75=$AM75,$AI75&gt;0,$AM75&gt;0,BT75&gt;0), BT75,     AND(NOT($AI75=$AM75),$AI75&gt;0,$AM75&gt;0,BT75&gt;0), ($AM75*BT75)/$AI75,     AND($AI75=0,$AM75&gt;0,$AQ75&gt;0), IF(INDEX(BT$12:BT$263,MATCH($AQ75,$AP$12:$AP$263,0))&gt;0,($AM75*INDEX(BT$12:BT$263,MATCH($AQ75,$AP$12:$AP$263,0)))/INDEX($AI$12:$AI$263,MATCH($AQ75,$AP$12:$AP$263,0)), "-"),     TRUE, "0")</f>
        <v>0</v>
      </c>
      <c r="BV75" s="588">
        <f>IF(BU$9&gt;0, IF(OR(BU75="",BU75="-"), 0, BU75*$AT75), BT75*$AJ75)</f>
        <v>0</v>
      </c>
      <c r="BW75" s="587">
        <f>[1]COMMANDE!AG73</f>
        <v>0</v>
      </c>
      <c r="BX75" s="586" t="str">
        <f>_xlfn.IFS(AND($AI75=$AM75,$AI75&gt;0,$AM75&gt;0,BW75&gt;0), BW75,     AND(NOT($AI75=$AM75),$AI75&gt;0,$AM75&gt;0,BW75&gt;0), ($AM75*BW75)/$AI75,     AND($AI75=0,$AM75&gt;0,$AQ75&gt;0), IF(INDEX(BW$12:BW$263,MATCH($AQ75,$AP$12:$AP$263,0))&gt;0,($AM75*INDEX(BW$12:BW$263,MATCH($AQ75,$AP$12:$AP$263,0)))/INDEX($AI$12:$AI$263,MATCH($AQ75,$AP$12:$AP$263,0)), "-"),     TRUE, "0")</f>
        <v>0</v>
      </c>
      <c r="BY75" s="607">
        <f>IF(BX$9&gt;0, IF(OR(BX75="",BX75="-"), 0, BX75*$AT75), BW75*$AJ75)</f>
        <v>0</v>
      </c>
      <c r="BZ75" s="589">
        <f>[1]COMMANDE!AI73</f>
        <v>0</v>
      </c>
      <c r="CA75" s="586" t="str">
        <f>_xlfn.IFS(AND($AI75=$AM75,$AI75&gt;0,$AM75&gt;0,BZ75&gt;0), BZ75,     AND(NOT($AI75=$AM75),$AI75&gt;0,$AM75&gt;0,BZ75&gt;0), ($AM75*BZ75)/$AI75,     AND($AI75=0,$AM75&gt;0,$AQ75&gt;0), IF(INDEX(BZ$12:BZ$263,MATCH($AQ75,$AP$12:$AP$263,0))&gt;0,($AM75*INDEX(BZ$12:BZ$263,MATCH($AQ75,$AP$12:$AP$263,0)))/INDEX($AI$12:$AI$263,MATCH($AQ75,$AP$12:$AP$263,0)), "-"),     TRUE, "0")</f>
        <v>0</v>
      </c>
      <c r="CB75" s="588">
        <f>IF(CA$9&gt;0, IF(OR(CA75="",CA75="-"), 0, CA75*$AT75), BZ75*$AJ75)</f>
        <v>0</v>
      </c>
      <c r="CC75" s="587">
        <f>[1]COMMANDE!AK73</f>
        <v>0</v>
      </c>
      <c r="CD75" s="586" t="str">
        <f>_xlfn.IFS(AND($AI75=$AM75,$AI75&gt;0,$AM75&gt;0,CC75&gt;0), CC75,     AND(NOT($AI75=$AM75),$AI75&gt;0,$AM75&gt;0,CC75&gt;0), ($AM75*CC75)/$AI75,     AND($AI75=0,$AM75&gt;0,$AQ75&gt;0), IF(INDEX(CC$12:CC$263,MATCH($AQ75,$AP$12:$AP$263,0))&gt;0,($AM75*INDEX(CC$12:CC$263,MATCH($AQ75,$AP$12:$AP$263,0)))/INDEX($AI$12:$AI$263,MATCH($AQ75,$AP$12:$AP$263,0)), "-"),     TRUE, "0")</f>
        <v>0</v>
      </c>
      <c r="CE75" s="607">
        <f>IF(CD$9&gt;0, IF(OR(CD75="",CD75="-"), 0, CD75*$AT75), CC75*$AJ75)</f>
        <v>0</v>
      </c>
      <c r="CF75" s="589">
        <f>[1]COMMANDE!AM73</f>
        <v>0</v>
      </c>
      <c r="CG75" s="586" t="str">
        <f>_xlfn.IFS(AND($AI75=$AM75,$AI75&gt;0,$AM75&gt;0,CF75&gt;0), CF75,     AND(NOT($AI75=$AM75),$AI75&gt;0,$AM75&gt;0,CF75&gt;0), ($AM75*CF75)/$AI75,     AND($AI75=0,$AM75&gt;0,$AQ75&gt;0), IF(INDEX(CF$12:CF$263,MATCH($AQ75,$AP$12:$AP$263,0))&gt;0,($AM75*INDEX(CF$12:CF$263,MATCH($AQ75,$AP$12:$AP$263,0)))/INDEX($AI$12:$AI$263,MATCH($AQ75,$AP$12:$AP$263,0)), "-"),     TRUE, "0")</f>
        <v>0</v>
      </c>
      <c r="CH75" s="588">
        <f>IF(CG$9&gt;0, IF(OR(CG75="",CG75="-"), 0, CG75*$AT75), CF75*$AJ75)</f>
        <v>0</v>
      </c>
      <c r="CI75" s="587">
        <f>[1]COMMANDE!AO73</f>
        <v>0</v>
      </c>
      <c r="CJ75" s="586" t="str">
        <f>_xlfn.IFS(AND($AI75=$AM75,$AI75&gt;0,$AM75&gt;0,CI75&gt;0), CI75,     AND(NOT($AI75=$AM75),$AI75&gt;0,$AM75&gt;0,CI75&gt;0), ($AM75*CI75)/$AI75,     AND($AI75=0,$AM75&gt;0,$AQ75&gt;0), IF(INDEX(CI$12:CI$263,MATCH($AQ75,$AP$12:$AP$263,0))&gt;0,($AM75*INDEX(CI$12:CI$263,MATCH($AQ75,$AP$12:$AP$263,0)))/INDEX($AI$12:$AI$263,MATCH($AQ75,$AP$12:$AP$263,0)), "-"),     TRUE, "0")</f>
        <v>0</v>
      </c>
      <c r="CK75" s="607">
        <f>IF(CJ$9&gt;0, IF(OR(CJ75="",CJ75="-"), 0, CJ75*$AT75), CI75*$AJ75)</f>
        <v>0</v>
      </c>
      <c r="CL75" s="589">
        <f>[1]COMMANDE!AQ73</f>
        <v>0</v>
      </c>
      <c r="CM75" s="586" t="str">
        <f>_xlfn.IFS(AND($AI75=$AM75,$AI75&gt;0,$AM75&gt;0,CL75&gt;0), CL75,     AND(NOT($AI75=$AM75),$AI75&gt;0,$AM75&gt;0,CL75&gt;0), ($AM75*CL75)/$AI75,     AND($AI75=0,$AM75&gt;0,$AQ75&gt;0), IF(INDEX(CL$12:CL$263,MATCH($AQ75,$AP$12:$AP$263,0))&gt;0,($AM75*INDEX(CL$12:CL$263,MATCH($AQ75,$AP$12:$AP$263,0)))/INDEX($AI$12:$AI$263,MATCH($AQ75,$AP$12:$AP$263,0)), "-"),     TRUE, "0")</f>
        <v>0</v>
      </c>
      <c r="CN75" s="588">
        <f>IF(CM$9&gt;0, IF(OR(CM75="",CM75="-"), 0, CM75*$AT75), CL75*$AJ75)</f>
        <v>0</v>
      </c>
      <c r="CO75" s="587">
        <f>[1]COMMANDE!AS73</f>
        <v>0</v>
      </c>
      <c r="CP75" s="586" t="str">
        <f>_xlfn.IFS(AND($AI75=$AM75,$AI75&gt;0,$AM75&gt;0,CO75&gt;0), CO75,     AND(NOT($AI75=$AM75),$AI75&gt;0,$AM75&gt;0,CO75&gt;0), ($AM75*CO75)/$AI75,     AND($AI75=0,$AM75&gt;0,$AQ75&gt;0), IF(INDEX(CO$12:CO$263,MATCH($AQ75,$AP$12:$AP$263,0))&gt;0,($AM75*INDEX(CO$12:CO$263,MATCH($AQ75,$AP$12:$AP$263,0)))/INDEX($AI$12:$AI$263,MATCH($AQ75,$AP$12:$AP$263,0)), "-"),     TRUE, "0")</f>
        <v>0</v>
      </c>
      <c r="CQ75" s="607">
        <f>IF(CP$9&gt;0, IF(OR(CP75="",CP75="-"), 0, CP75*$AT75), CO75*$AJ75)</f>
        <v>0</v>
      </c>
      <c r="CR75" s="589">
        <f>[1]COMMANDE!AU73</f>
        <v>0</v>
      </c>
      <c r="CS75" s="586" t="str">
        <f>_xlfn.IFS(AND($AI75=$AM75,$AI75&gt;0,$AM75&gt;0,CR75&gt;0), CR75,     AND(NOT($AI75=$AM75),$AI75&gt;0,$AM75&gt;0,CR75&gt;0), ($AM75*CR75)/$AI75,     AND($AI75=0,$AM75&gt;0,$AQ75&gt;0), IF(INDEX(CR$12:CR$263,MATCH($AQ75,$AP$12:$AP$263,0))&gt;0,($AM75*INDEX(CR$12:CR$263,MATCH($AQ75,$AP$12:$AP$263,0)))/INDEX($AI$12:$AI$263,MATCH($AQ75,$AP$12:$AP$263,0)), "-"),     TRUE, "0")</f>
        <v>0</v>
      </c>
      <c r="CT75" s="588">
        <f>IF(CS$9&gt;0, IF(OR(CS75="",CS75="-"), 0, CS75*$AT75), CR75*$AJ75)</f>
        <v>0</v>
      </c>
      <c r="CU75" s="587">
        <f>[1]COMMANDE!AW73</f>
        <v>0</v>
      </c>
      <c r="CV75" s="586" t="str">
        <f>_xlfn.IFS(AND($AI75=$AM75,$AI75&gt;0,$AM75&gt;0,CU75&gt;0), CU75,     AND(NOT($AI75=$AM75),$AI75&gt;0,$AM75&gt;0,CU75&gt;0), ($AM75*CU75)/$AI75,     AND($AI75=0,$AM75&gt;0,$AQ75&gt;0), IF(INDEX(CU$12:CU$263,MATCH($AQ75,$AP$12:$AP$263,0))&gt;0,($AM75*INDEX(CU$12:CU$263,MATCH($AQ75,$AP$12:$AP$263,0)))/INDEX($AI$12:$AI$263,MATCH($AQ75,$AP$12:$AP$263,0)), "-"),     TRUE, "0")</f>
        <v>0</v>
      </c>
      <c r="CW75" s="607">
        <f>IF(CV$9&gt;0, IF(OR(CV75="",CV75="-"), 0, CV75*$AT75), CU75*$AJ75)</f>
        <v>0</v>
      </c>
      <c r="CX75" s="589">
        <f>[1]COMMANDE!AY73</f>
        <v>0</v>
      </c>
      <c r="CY75" s="586" t="str">
        <f>_xlfn.IFS(AND($AI75=$AM75,$AI75&gt;0,$AM75&gt;0,CX75&gt;0), CX75,     AND(NOT($AI75=$AM75),$AI75&gt;0,$AM75&gt;0,CX75&gt;0), ($AM75*CX75)/$AI75,     AND($AI75=0,$AM75&gt;0,$AQ75&gt;0), IF(INDEX(CX$12:CX$263,MATCH($AQ75,$AP$12:$AP$263,0))&gt;0,($AM75*INDEX(CX$12:CX$263,MATCH($AQ75,$AP$12:$AP$263,0)))/INDEX($AI$12:$AI$263,MATCH($AQ75,$AP$12:$AP$263,0)), "-"),     TRUE, "0")</f>
        <v>0</v>
      </c>
      <c r="CZ75" s="588">
        <f>IF(CY$9&gt;0, IF(OR(CY75="",CY75="-"), 0, CY75*$AT75), CX75*$AJ75)</f>
        <v>0</v>
      </c>
      <c r="DA75" s="587">
        <f>[1]COMMANDE!BA73</f>
        <v>0</v>
      </c>
      <c r="DB75" s="586" t="str">
        <f>_xlfn.IFS(AND($AI75=$AM75,$AI75&gt;0,$AM75&gt;0,DA75&gt;0), DA75,     AND(NOT($AI75=$AM75),$AI75&gt;0,$AM75&gt;0,DA75&gt;0), ($AM75*DA75)/$AI75,     AND($AI75=0,$AM75&gt;0,$AQ75&gt;0), IF(INDEX(DA$12:DA$263,MATCH($AQ75,$AP$12:$AP$263,0))&gt;0,($AM75*INDEX(DA$12:DA$263,MATCH($AQ75,$AP$12:$AP$263,0)))/INDEX($AI$12:$AI$263,MATCH($AQ75,$AP$12:$AP$263,0)), "-"),     TRUE, "0")</f>
        <v>0</v>
      </c>
      <c r="DC75" s="606">
        <f>IF(DB$9&gt;0, IF(OR(DB75="",DB75="-"), 0, DB75*$AT75), DA75*$AJ75)</f>
        <v>0</v>
      </c>
      <c r="DD75" s="584"/>
      <c r="DE75" s="583"/>
    </row>
    <row r="76" spans="1:109" ht="39.950000000000003" hidden="1" customHeight="1">
      <c r="A76" s="604">
        <f>IF(OR($AV76&gt;0, $AX76&gt;0), 1, 0)</f>
        <v>0</v>
      </c>
      <c r="B76" s="604">
        <f>IF(OR($AY76&gt;0, $BA76&gt;0), 1, 0)</f>
        <v>0</v>
      </c>
      <c r="C76" s="604">
        <f>IF(OR($BB76&gt;0, $BD76&gt;0), 1, 0)</f>
        <v>0</v>
      </c>
      <c r="D76" s="604">
        <f>IF(OR($BE76&gt;0, $BG76&gt;0), 1, 0)</f>
        <v>0</v>
      </c>
      <c r="E76" s="604">
        <f>IF(OR($BH76&gt;0, $BJ76&gt;0), 1, 0)</f>
        <v>0</v>
      </c>
      <c r="F76" s="604">
        <f>IF(OR($BK76&gt;0, $BM76&gt;0), 1, 0)</f>
        <v>0</v>
      </c>
      <c r="G76" s="604">
        <f>IF(OR($BN76&gt;0, $BP76&gt;0), 1, 0)</f>
        <v>0</v>
      </c>
      <c r="H76" s="604">
        <f>IF(OR($BQ76&gt;0, $BS76&gt;0), 1, 0)</f>
        <v>0</v>
      </c>
      <c r="I76" s="604">
        <f>IF(OR($BT76&gt;0, $BV76&gt;0), 1, 0)</f>
        <v>0</v>
      </c>
      <c r="J76" s="604">
        <f>IF(OR($BW76&gt;0, $BY76&gt;0), 1, 0)</f>
        <v>0</v>
      </c>
      <c r="K76" s="604">
        <f>IF(OR($BZ76&gt;0, $CB76&gt;0), 1, 0)</f>
        <v>0</v>
      </c>
      <c r="L76" s="604">
        <f>IF(OR($CC76&gt;0, $CE76&gt;0), 1, 0)</f>
        <v>0</v>
      </c>
      <c r="M76" s="604">
        <f>IF(OR($CF76&gt;0, $CH76&gt;0), 1, 0)</f>
        <v>0</v>
      </c>
      <c r="N76" s="604">
        <f>IF(OR($CI76&gt;0, $CK76&gt;0), 1, 0)</f>
        <v>0</v>
      </c>
      <c r="O76" s="604">
        <f>IF(OR($CL76&gt;0, $CN76&gt;0), 1, 0)</f>
        <v>0</v>
      </c>
      <c r="P76" s="604">
        <f>IF(OR($CO76&gt;0, $CQ76&gt;0), 1, 0)</f>
        <v>0</v>
      </c>
      <c r="Q76" s="604">
        <f>IF(OR($CR76&gt;0, $CT76&gt;0), 1, 0)</f>
        <v>0</v>
      </c>
      <c r="R76" s="604">
        <f>IF(OR($CU76&gt;0, $CW76&gt;0), 1, 0)</f>
        <v>0</v>
      </c>
      <c r="S76" s="604">
        <f>IF(OR($CX76&gt;0, $CZ76&gt;0), 1, 0)</f>
        <v>0</v>
      </c>
      <c r="T76" s="604">
        <f>IF(OR($DA76&gt;0, $DC76&gt;0), 1, 0)</f>
        <v>0</v>
      </c>
      <c r="U76" s="603">
        <f>IF(OR($AI76&gt;0,$AM76&gt;0,$AS76&gt;0), 1, 0)</f>
        <v>0</v>
      </c>
      <c r="V76" s="602">
        <f>[1]BDD!A66</f>
        <v>5037</v>
      </c>
      <c r="W76" s="601" t="str">
        <f>[1]BDD!B66</f>
        <v>Citron Caviar (culture naturelle, plateau 200g)</v>
      </c>
      <c r="X76" s="600" t="str">
        <f>IF([1]BDD!F66=0, "", [1]BDD!F66)</f>
        <v>❤️ OFFRE</v>
      </c>
      <c r="Y76" s="542">
        <f>ROUND([1]BDD!G66+FDP_CMD_KG, 2)</f>
        <v>7.69</v>
      </c>
      <c r="Z76" s="542">
        <f>ROUND([1]BDD!G66+FDP_FACT_KG, 2)</f>
        <v>7.69</v>
      </c>
      <c r="AA76" s="543" t="str">
        <f>[1]BDD!H66</f>
        <v>Pièce</v>
      </c>
      <c r="AB76" s="544" t="str">
        <f>IF(NOT(ISBLANK([1]BDD!I66)), ROUND(SUM(([1]BDD!G66*reduc1),FDP_CMD_KG), 2), "")</f>
        <v/>
      </c>
      <c r="AC76" s="544" t="str">
        <f>IF(NOT(ISBLANK([1]BDD!J66)), ROUND(SUM(([1]BDD!G66*reduc2),FDP_CMD_KG), 2), "")</f>
        <v/>
      </c>
      <c r="AD76" s="544" t="str">
        <f>IF(NOT(ISBLANK([1]BDD!K66)), ROUND(SUM(([1]BDD!G66*reduc3),FDP_CMD_KG), 2), "")</f>
        <v/>
      </c>
      <c r="AE76" s="544" t="str">
        <f>IF(NOT(ISBLANK([1]BDD!I66)), ROUND(SUM(([1]BDD!G66*reduc1),FDP_FACT_KG), 2), "")</f>
        <v/>
      </c>
      <c r="AF76" s="544" t="str">
        <f>IF(NOT(ISBLANK([1]BDD!J66)), ROUND(SUM(([1]BDD!G66*reduc2),FDP_FACT_KG), 2), "")</f>
        <v/>
      </c>
      <c r="AG76" s="544" t="str">
        <f>IF(NOT(ISBLANK([1]BDD!K66)), ROUND(SUM(([1]BDD!G66*reduc3),FDP_FACT_KG), 2), "")</f>
        <v/>
      </c>
      <c r="AH76" s="599" t="str">
        <f>[1]BDD!C66</f>
        <v>Salobrena</v>
      </c>
      <c r="AI76" s="598">
        <f>SUM(AV76,AY76,BB76,BE76,BH76,BK76,BN76,BQ76,BT76,BW76,BZ76,CC76,CF76,CI76,CL76,CO76,CR76,CU76,CX76,DA76)</f>
        <v>0</v>
      </c>
      <c r="AJ76" s="545">
        <f>_xlfn.IFS($AD76&lt;&gt;"", $AD76,    $AC76&lt;&gt;"", $AC76,    $AB76&lt;&gt;"", $AB76,    TRUE, $Y76)</f>
        <v>7.69</v>
      </c>
      <c r="AK76" s="592">
        <f>$AI76*$AJ76</f>
        <v>0</v>
      </c>
      <c r="AL76" s="594"/>
      <c r="AM76" s="597"/>
      <c r="AN76" s="545">
        <f>_xlfn.IFS(AND(AM76&gt;=60,$AG76&lt;&gt;""), $AG76,    AND(AM76&gt;=30,$AF76&lt;&gt;""), $AF76,    AND(AM76&gt;=10,$AE76&lt;&gt;""), $AE76,    TRUE, $Z76)</f>
        <v>7.69</v>
      </c>
      <c r="AO76" s="596">
        <f>AM76*AN76</f>
        <v>0</v>
      </c>
      <c r="AP76" s="595"/>
      <c r="AQ76" s="595"/>
      <c r="AR76" s="594"/>
      <c r="AS76" s="593">
        <f>SUM(AW76,AZ76,BC76,BF76,BI76,BL76,BO76,BR76,BU76,BX76,CA76,CD76,CG76,CJ76,CM76,CP76,CS76,CV76,CY76,DB76)</f>
        <v>0</v>
      </c>
      <c r="AT76" s="545">
        <f>_xlfn.IFS(AND(AS76&gt;=60,$AG76&lt;&gt;""), $AG76,    AND(AS76&gt;=30,$AF76&lt;&gt;""), $AF76,    AND(AS76&gt;=10,$AE76&lt;&gt;""), $AE76,    TRUE, $Z76)</f>
        <v>7.69</v>
      </c>
      <c r="AU76" s="592">
        <f>$AS76*$AT76</f>
        <v>0</v>
      </c>
      <c r="AV76" s="591">
        <f>[1]COMMANDE!O74</f>
        <v>0</v>
      </c>
      <c r="AW76" s="586" t="str">
        <f>_xlfn.IFS(AND($AI76=$AM76,$AI76&gt;0,$AM76&gt;0,AV76&gt;0), AV76,     AND(NOT($AI76=$AM76),$AI76&gt;0,$AM76&gt;0,AV76&gt;0), ($AM76*AV76)/$AI76,     AND($AI76=0,$AM76&gt;0,$AQ76&gt;0), IF(INDEX(AV$12:AV$263,MATCH($AQ76,$AP$12:$AP$263,0))&gt;0,($AM76*INDEX(AV$12:AV$263,MATCH($AQ76,$AP$12:$AP$263,0)))/INDEX($AI$12:$AI$263,MATCH($AQ76,$AP$12:$AP$263,0)), "-"),     TRUE, "0")</f>
        <v>0</v>
      </c>
      <c r="AX76" s="588">
        <f>IF(AW$9&gt;0, IF(OR(AW76="",AW76="-"), 0, AW76*$AT76), AV76*$AJ76)</f>
        <v>0</v>
      </c>
      <c r="AY76" s="587">
        <f>[1]COMMANDE!Q74</f>
        <v>0</v>
      </c>
      <c r="AZ76" s="586" t="str">
        <f>_xlfn.IFS(AND($AI76=$AM76,$AI76&gt;0,$AM76&gt;0,AY76&gt;0), AY76,     AND(NOT($AI76=$AM76),$AI76&gt;0,$AM76&gt;0,AY76&gt;0), ($AM76*AY76)/$AI76,     AND($AI76=0,$AM76&gt;0,$AQ76&gt;0), IF(INDEX(AY$12:AY$263,MATCH($AQ76,$AP$12:$AP$263,0))&gt;0,($AM76*INDEX(AY$12:AY$263,MATCH($AQ76,$AP$12:$AP$263,0)))/INDEX($AI$12:$AI$263,MATCH($AQ76,$AP$12:$AP$263,0)), "-"),     TRUE, "0")</f>
        <v>0</v>
      </c>
      <c r="BA76" s="607">
        <f>IF(AZ$9&gt;0, IF(OR(AZ76="",AZ76="-"), 0, AZ76*$AT76), AY76*$AJ76)</f>
        <v>0</v>
      </c>
      <c r="BB76" s="589">
        <f>[1]COMMANDE!S74</f>
        <v>0</v>
      </c>
      <c r="BC76" s="586" t="str">
        <f>_xlfn.IFS(AND($AI76=$AM76,$AI76&gt;0,$AM76&gt;0,BB76&gt;0), BB76,     AND(NOT($AI76=$AM76),$AI76&gt;0,$AM76&gt;0,BB76&gt;0), ($AM76*BB76)/$AI76,     AND($AI76=0,$AM76&gt;0,$AQ76&gt;0), IF(INDEX(BB$12:BB$263,MATCH($AQ76,$AP$12:$AP$263,0))&gt;0,($AM76*INDEX(BB$12:BB$263,MATCH($AQ76,$AP$12:$AP$263,0)))/INDEX($AI$12:$AI$263,MATCH($AQ76,$AP$12:$AP$263,0)), "-"),     TRUE, "0")</f>
        <v>0</v>
      </c>
      <c r="BD76" s="588">
        <f>IF(BC$9&gt;0, IF(OR(BC76="",BC76="-"), 0, BC76*$AT76), BB76*$AJ76)</f>
        <v>0</v>
      </c>
      <c r="BE76" s="587">
        <f>[1]COMMANDE!U74</f>
        <v>0</v>
      </c>
      <c r="BF76" s="586" t="str">
        <f>_xlfn.IFS(AND($AI76=$AM76,$AI76&gt;0,$AM76&gt;0,BE76&gt;0), BE76,     AND(NOT($AI76=$AM76),$AI76&gt;0,$AM76&gt;0,BE76&gt;0), ($AM76*BE76)/$AI76,     AND($AI76=0,$AM76&gt;0,$AQ76&gt;0), IF(INDEX(BE$12:BE$263,MATCH($AQ76,$AP$12:$AP$263,0))&gt;0,($AM76*INDEX(BE$12:BE$263,MATCH($AQ76,$AP$12:$AP$263,0)))/INDEX($AI$12:$AI$263,MATCH($AQ76,$AP$12:$AP$263,0)), "-"),     TRUE, "0")</f>
        <v>0</v>
      </c>
      <c r="BG76" s="607">
        <f>IF(BF$9&gt;0, IF(OR(BF76="",BF76="-"), 0, BF76*$AT76), BE76*$AJ76)</f>
        <v>0</v>
      </c>
      <c r="BH76" s="589">
        <f>[1]COMMANDE!W74</f>
        <v>0</v>
      </c>
      <c r="BI76" s="586" t="str">
        <f>_xlfn.IFS(AND($AI76=$AM76,$AI76&gt;0,$AM76&gt;0,BH76&gt;0), BH76,     AND(NOT($AI76=$AM76),$AI76&gt;0,$AM76&gt;0,BH76&gt;0), ($AM76*BH76)/$AI76,     AND($AI76=0,$AM76&gt;0,$AQ76&gt;0), IF(INDEX(BH$12:BH$263,MATCH($AQ76,$AP$12:$AP$263,0))&gt;0,($AM76*INDEX(BH$12:BH$263,MATCH($AQ76,$AP$12:$AP$263,0)))/INDEX($AI$12:$AI$263,MATCH($AQ76,$AP$12:$AP$263,0)), "-"),     TRUE, "0")</f>
        <v>0</v>
      </c>
      <c r="BJ76" s="588">
        <f>IF(BI$9&gt;0, IF(OR(BI76="",BI76="-"), 0, BI76*$AT76), BH76*$AJ76)</f>
        <v>0</v>
      </c>
      <c r="BK76" s="587">
        <f>[1]COMMANDE!Y74</f>
        <v>0</v>
      </c>
      <c r="BL76" s="586" t="str">
        <f>_xlfn.IFS(AND($AI76=$AM76,$AI76&gt;0,$AM76&gt;0,BK76&gt;0), BK76,     AND(NOT($AI76=$AM76),$AI76&gt;0,$AM76&gt;0,BK76&gt;0), ($AM76*BK76)/$AI76,     AND($AI76=0,$AM76&gt;0,$AQ76&gt;0), IF(INDEX(BK$12:BK$263,MATCH($AQ76,$AP$12:$AP$263,0))&gt;0,($AM76*INDEX(BK$12:BK$263,MATCH($AQ76,$AP$12:$AP$263,0)))/INDEX($AI$12:$AI$263,MATCH($AQ76,$AP$12:$AP$263,0)), "-"),     TRUE, "0")</f>
        <v>0</v>
      </c>
      <c r="BM76" s="607">
        <f>IF(BL$9&gt;0, IF(OR(BL76="",BL76="-"), 0, BL76*$AT76), BK76*$AJ76)</f>
        <v>0</v>
      </c>
      <c r="BN76" s="589">
        <f>[1]COMMANDE!AA74</f>
        <v>0</v>
      </c>
      <c r="BO76" s="586" t="str">
        <f>_xlfn.IFS(AND($AI76=$AM76,$AI76&gt;0,$AM76&gt;0,BN76&gt;0), BN76,     AND(NOT($AI76=$AM76),$AI76&gt;0,$AM76&gt;0,BN76&gt;0), ($AM76*BN76)/$AI76,     AND($AI76=0,$AM76&gt;0,$AQ76&gt;0), IF(INDEX(BN$12:BN$263,MATCH($AQ76,$AP$12:$AP$263,0))&gt;0,($AM76*INDEX(BN$12:BN$263,MATCH($AQ76,$AP$12:$AP$263,0)))/INDEX($AI$12:$AI$263,MATCH($AQ76,$AP$12:$AP$263,0)), "-"),     TRUE, "0")</f>
        <v>0</v>
      </c>
      <c r="BP76" s="588">
        <f>IF(BO$9&gt;0, IF(OR(BO76="",BO76="-"), 0, BO76*$AT76), BN76*$AJ76)</f>
        <v>0</v>
      </c>
      <c r="BQ76" s="587">
        <f>[1]COMMANDE!AC74</f>
        <v>0</v>
      </c>
      <c r="BR76" s="586" t="str">
        <f>_xlfn.IFS(AND($AI76=$AM76,$AI76&gt;0,$AM76&gt;0,BQ76&gt;0), BQ76,     AND(NOT($AI76=$AM76),$AI76&gt;0,$AM76&gt;0,BQ76&gt;0), ($AM76*BQ76)/$AI76,     AND($AI76=0,$AM76&gt;0,$AQ76&gt;0), IF(INDEX(BQ$12:BQ$263,MATCH($AQ76,$AP$12:$AP$263,0))&gt;0,($AM76*INDEX(BQ$12:BQ$263,MATCH($AQ76,$AP$12:$AP$263,0)))/INDEX($AI$12:$AI$263,MATCH($AQ76,$AP$12:$AP$263,0)), "-"),     TRUE, "0")</f>
        <v>0</v>
      </c>
      <c r="BS76" s="607">
        <f>IF(BR$9&gt;0, IF(OR(BR76="",BR76="-"), 0, BR76*$AT76), BQ76*$AJ76)</f>
        <v>0</v>
      </c>
      <c r="BT76" s="589">
        <f>[1]COMMANDE!AE74</f>
        <v>0</v>
      </c>
      <c r="BU76" s="586" t="str">
        <f>_xlfn.IFS(AND($AI76=$AM76,$AI76&gt;0,$AM76&gt;0,BT76&gt;0), BT76,     AND(NOT($AI76=$AM76),$AI76&gt;0,$AM76&gt;0,BT76&gt;0), ($AM76*BT76)/$AI76,     AND($AI76=0,$AM76&gt;0,$AQ76&gt;0), IF(INDEX(BT$12:BT$263,MATCH($AQ76,$AP$12:$AP$263,0))&gt;0,($AM76*INDEX(BT$12:BT$263,MATCH($AQ76,$AP$12:$AP$263,0)))/INDEX($AI$12:$AI$263,MATCH($AQ76,$AP$12:$AP$263,0)), "-"),     TRUE, "0")</f>
        <v>0</v>
      </c>
      <c r="BV76" s="588">
        <f>IF(BU$9&gt;0, IF(OR(BU76="",BU76="-"), 0, BU76*$AT76), BT76*$AJ76)</f>
        <v>0</v>
      </c>
      <c r="BW76" s="587">
        <f>[1]COMMANDE!AG74</f>
        <v>0</v>
      </c>
      <c r="BX76" s="586" t="str">
        <f>_xlfn.IFS(AND($AI76=$AM76,$AI76&gt;0,$AM76&gt;0,BW76&gt;0), BW76,     AND(NOT($AI76=$AM76),$AI76&gt;0,$AM76&gt;0,BW76&gt;0), ($AM76*BW76)/$AI76,     AND($AI76=0,$AM76&gt;0,$AQ76&gt;0), IF(INDEX(BW$12:BW$263,MATCH($AQ76,$AP$12:$AP$263,0))&gt;0,($AM76*INDEX(BW$12:BW$263,MATCH($AQ76,$AP$12:$AP$263,0)))/INDEX($AI$12:$AI$263,MATCH($AQ76,$AP$12:$AP$263,0)), "-"),     TRUE, "0")</f>
        <v>0</v>
      </c>
      <c r="BY76" s="607">
        <f>IF(BX$9&gt;0, IF(OR(BX76="",BX76="-"), 0, BX76*$AT76), BW76*$AJ76)</f>
        <v>0</v>
      </c>
      <c r="BZ76" s="589">
        <f>[1]COMMANDE!AI74</f>
        <v>0</v>
      </c>
      <c r="CA76" s="586" t="str">
        <f>_xlfn.IFS(AND($AI76=$AM76,$AI76&gt;0,$AM76&gt;0,BZ76&gt;0), BZ76,     AND(NOT($AI76=$AM76),$AI76&gt;0,$AM76&gt;0,BZ76&gt;0), ($AM76*BZ76)/$AI76,     AND($AI76=0,$AM76&gt;0,$AQ76&gt;0), IF(INDEX(BZ$12:BZ$263,MATCH($AQ76,$AP$12:$AP$263,0))&gt;0,($AM76*INDEX(BZ$12:BZ$263,MATCH($AQ76,$AP$12:$AP$263,0)))/INDEX($AI$12:$AI$263,MATCH($AQ76,$AP$12:$AP$263,0)), "-"),     TRUE, "0")</f>
        <v>0</v>
      </c>
      <c r="CB76" s="588">
        <f>IF(CA$9&gt;0, IF(OR(CA76="",CA76="-"), 0, CA76*$AT76), BZ76*$AJ76)</f>
        <v>0</v>
      </c>
      <c r="CC76" s="587">
        <f>[1]COMMANDE!AK74</f>
        <v>0</v>
      </c>
      <c r="CD76" s="586" t="str">
        <f>_xlfn.IFS(AND($AI76=$AM76,$AI76&gt;0,$AM76&gt;0,CC76&gt;0), CC76,     AND(NOT($AI76=$AM76),$AI76&gt;0,$AM76&gt;0,CC76&gt;0), ($AM76*CC76)/$AI76,     AND($AI76=0,$AM76&gt;0,$AQ76&gt;0), IF(INDEX(CC$12:CC$263,MATCH($AQ76,$AP$12:$AP$263,0))&gt;0,($AM76*INDEX(CC$12:CC$263,MATCH($AQ76,$AP$12:$AP$263,0)))/INDEX($AI$12:$AI$263,MATCH($AQ76,$AP$12:$AP$263,0)), "-"),     TRUE, "0")</f>
        <v>0</v>
      </c>
      <c r="CE76" s="607">
        <f>IF(CD$9&gt;0, IF(OR(CD76="",CD76="-"), 0, CD76*$AT76), CC76*$AJ76)</f>
        <v>0</v>
      </c>
      <c r="CF76" s="589">
        <f>[1]COMMANDE!AM74</f>
        <v>0</v>
      </c>
      <c r="CG76" s="586" t="str">
        <f>_xlfn.IFS(AND($AI76=$AM76,$AI76&gt;0,$AM76&gt;0,CF76&gt;0), CF76,     AND(NOT($AI76=$AM76),$AI76&gt;0,$AM76&gt;0,CF76&gt;0), ($AM76*CF76)/$AI76,     AND($AI76=0,$AM76&gt;0,$AQ76&gt;0), IF(INDEX(CF$12:CF$263,MATCH($AQ76,$AP$12:$AP$263,0))&gt;0,($AM76*INDEX(CF$12:CF$263,MATCH($AQ76,$AP$12:$AP$263,0)))/INDEX($AI$12:$AI$263,MATCH($AQ76,$AP$12:$AP$263,0)), "-"),     TRUE, "0")</f>
        <v>0</v>
      </c>
      <c r="CH76" s="588">
        <f>IF(CG$9&gt;0, IF(OR(CG76="",CG76="-"), 0, CG76*$AT76), CF76*$AJ76)</f>
        <v>0</v>
      </c>
      <c r="CI76" s="587">
        <f>[1]COMMANDE!AO74</f>
        <v>0</v>
      </c>
      <c r="CJ76" s="586" t="str">
        <f>_xlfn.IFS(AND($AI76=$AM76,$AI76&gt;0,$AM76&gt;0,CI76&gt;0), CI76,     AND(NOT($AI76=$AM76),$AI76&gt;0,$AM76&gt;0,CI76&gt;0), ($AM76*CI76)/$AI76,     AND($AI76=0,$AM76&gt;0,$AQ76&gt;0), IF(INDEX(CI$12:CI$263,MATCH($AQ76,$AP$12:$AP$263,0))&gt;0,($AM76*INDEX(CI$12:CI$263,MATCH($AQ76,$AP$12:$AP$263,0)))/INDEX($AI$12:$AI$263,MATCH($AQ76,$AP$12:$AP$263,0)), "-"),     TRUE, "0")</f>
        <v>0</v>
      </c>
      <c r="CK76" s="607">
        <f>IF(CJ$9&gt;0, IF(OR(CJ76="",CJ76="-"), 0, CJ76*$AT76), CI76*$AJ76)</f>
        <v>0</v>
      </c>
      <c r="CL76" s="589">
        <f>[1]COMMANDE!AQ74</f>
        <v>0</v>
      </c>
      <c r="CM76" s="586" t="str">
        <f>_xlfn.IFS(AND($AI76=$AM76,$AI76&gt;0,$AM76&gt;0,CL76&gt;0), CL76,     AND(NOT($AI76=$AM76),$AI76&gt;0,$AM76&gt;0,CL76&gt;0), ($AM76*CL76)/$AI76,     AND($AI76=0,$AM76&gt;0,$AQ76&gt;0), IF(INDEX(CL$12:CL$263,MATCH($AQ76,$AP$12:$AP$263,0))&gt;0,($AM76*INDEX(CL$12:CL$263,MATCH($AQ76,$AP$12:$AP$263,0)))/INDEX($AI$12:$AI$263,MATCH($AQ76,$AP$12:$AP$263,0)), "-"),     TRUE, "0")</f>
        <v>0</v>
      </c>
      <c r="CN76" s="588">
        <f>IF(CM$9&gt;0, IF(OR(CM76="",CM76="-"), 0, CM76*$AT76), CL76*$AJ76)</f>
        <v>0</v>
      </c>
      <c r="CO76" s="587">
        <f>[1]COMMANDE!AS74</f>
        <v>0</v>
      </c>
      <c r="CP76" s="586" t="str">
        <f>_xlfn.IFS(AND($AI76=$AM76,$AI76&gt;0,$AM76&gt;0,CO76&gt;0), CO76,     AND(NOT($AI76=$AM76),$AI76&gt;0,$AM76&gt;0,CO76&gt;0), ($AM76*CO76)/$AI76,     AND($AI76=0,$AM76&gt;0,$AQ76&gt;0), IF(INDEX(CO$12:CO$263,MATCH($AQ76,$AP$12:$AP$263,0))&gt;0,($AM76*INDEX(CO$12:CO$263,MATCH($AQ76,$AP$12:$AP$263,0)))/INDEX($AI$12:$AI$263,MATCH($AQ76,$AP$12:$AP$263,0)), "-"),     TRUE, "0")</f>
        <v>0</v>
      </c>
      <c r="CQ76" s="607">
        <f>IF(CP$9&gt;0, IF(OR(CP76="",CP76="-"), 0, CP76*$AT76), CO76*$AJ76)</f>
        <v>0</v>
      </c>
      <c r="CR76" s="589">
        <f>[1]COMMANDE!AU74</f>
        <v>0</v>
      </c>
      <c r="CS76" s="586" t="str">
        <f>_xlfn.IFS(AND($AI76=$AM76,$AI76&gt;0,$AM76&gt;0,CR76&gt;0), CR76,     AND(NOT($AI76=$AM76),$AI76&gt;0,$AM76&gt;0,CR76&gt;0), ($AM76*CR76)/$AI76,     AND($AI76=0,$AM76&gt;0,$AQ76&gt;0), IF(INDEX(CR$12:CR$263,MATCH($AQ76,$AP$12:$AP$263,0))&gt;0,($AM76*INDEX(CR$12:CR$263,MATCH($AQ76,$AP$12:$AP$263,0)))/INDEX($AI$12:$AI$263,MATCH($AQ76,$AP$12:$AP$263,0)), "-"),     TRUE, "0")</f>
        <v>0</v>
      </c>
      <c r="CT76" s="588">
        <f>IF(CS$9&gt;0, IF(OR(CS76="",CS76="-"), 0, CS76*$AT76), CR76*$AJ76)</f>
        <v>0</v>
      </c>
      <c r="CU76" s="587">
        <f>[1]COMMANDE!AW74</f>
        <v>0</v>
      </c>
      <c r="CV76" s="586" t="str">
        <f>_xlfn.IFS(AND($AI76=$AM76,$AI76&gt;0,$AM76&gt;0,CU76&gt;0), CU76,     AND(NOT($AI76=$AM76),$AI76&gt;0,$AM76&gt;0,CU76&gt;0), ($AM76*CU76)/$AI76,     AND($AI76=0,$AM76&gt;0,$AQ76&gt;0), IF(INDEX(CU$12:CU$263,MATCH($AQ76,$AP$12:$AP$263,0))&gt;0,($AM76*INDEX(CU$12:CU$263,MATCH($AQ76,$AP$12:$AP$263,0)))/INDEX($AI$12:$AI$263,MATCH($AQ76,$AP$12:$AP$263,0)), "-"),     TRUE, "0")</f>
        <v>0</v>
      </c>
      <c r="CW76" s="607">
        <f>IF(CV$9&gt;0, IF(OR(CV76="",CV76="-"), 0, CV76*$AT76), CU76*$AJ76)</f>
        <v>0</v>
      </c>
      <c r="CX76" s="589">
        <f>[1]COMMANDE!AY74</f>
        <v>0</v>
      </c>
      <c r="CY76" s="586" t="str">
        <f>_xlfn.IFS(AND($AI76=$AM76,$AI76&gt;0,$AM76&gt;0,CX76&gt;0), CX76,     AND(NOT($AI76=$AM76),$AI76&gt;0,$AM76&gt;0,CX76&gt;0), ($AM76*CX76)/$AI76,     AND($AI76=0,$AM76&gt;0,$AQ76&gt;0), IF(INDEX(CX$12:CX$263,MATCH($AQ76,$AP$12:$AP$263,0))&gt;0,($AM76*INDEX(CX$12:CX$263,MATCH($AQ76,$AP$12:$AP$263,0)))/INDEX($AI$12:$AI$263,MATCH($AQ76,$AP$12:$AP$263,0)), "-"),     TRUE, "0")</f>
        <v>0</v>
      </c>
      <c r="CZ76" s="588">
        <f>IF(CY$9&gt;0, IF(OR(CY76="",CY76="-"), 0, CY76*$AT76), CX76*$AJ76)</f>
        <v>0</v>
      </c>
      <c r="DA76" s="587">
        <f>[1]COMMANDE!BA74</f>
        <v>0</v>
      </c>
      <c r="DB76" s="586" t="str">
        <f>_xlfn.IFS(AND($AI76=$AM76,$AI76&gt;0,$AM76&gt;0,DA76&gt;0), DA76,     AND(NOT($AI76=$AM76),$AI76&gt;0,$AM76&gt;0,DA76&gt;0), ($AM76*DA76)/$AI76,     AND($AI76=0,$AM76&gt;0,$AQ76&gt;0), IF(INDEX(DA$12:DA$263,MATCH($AQ76,$AP$12:$AP$263,0))&gt;0,($AM76*INDEX(DA$12:DA$263,MATCH($AQ76,$AP$12:$AP$263,0)))/INDEX($AI$12:$AI$263,MATCH($AQ76,$AP$12:$AP$263,0)), "-"),     TRUE, "0")</f>
        <v>0</v>
      </c>
      <c r="DC76" s="606">
        <f>IF(DB$9&gt;0, IF(OR(DB76="",DB76="-"), 0, DB76*$AT76), DA76*$AJ76)</f>
        <v>0</v>
      </c>
      <c r="DD76" s="584"/>
      <c r="DE76" s="583"/>
    </row>
    <row r="77" spans="1:109" ht="39.950000000000003" hidden="1" customHeight="1">
      <c r="A77" s="604">
        <f>IF(OR($AV77&gt;0, $AX77&gt;0), 1, 0)</f>
        <v>0</v>
      </c>
      <c r="B77" s="604">
        <f>IF(OR($AY77&gt;0, $BA77&gt;0), 1, 0)</f>
        <v>0</v>
      </c>
      <c r="C77" s="604">
        <f>IF(OR($BB77&gt;0, $BD77&gt;0), 1, 0)</f>
        <v>0</v>
      </c>
      <c r="D77" s="604">
        <f>IF(OR($BE77&gt;0, $BG77&gt;0), 1, 0)</f>
        <v>0</v>
      </c>
      <c r="E77" s="604">
        <f>IF(OR($BH77&gt;0, $BJ77&gt;0), 1, 0)</f>
        <v>0</v>
      </c>
      <c r="F77" s="604">
        <f>IF(OR($BK77&gt;0, $BM77&gt;0), 1, 0)</f>
        <v>0</v>
      </c>
      <c r="G77" s="604">
        <f>IF(OR($BN77&gt;0, $BP77&gt;0), 1, 0)</f>
        <v>0</v>
      </c>
      <c r="H77" s="604">
        <f>IF(OR($BQ77&gt;0, $BS77&gt;0), 1, 0)</f>
        <v>0</v>
      </c>
      <c r="I77" s="604">
        <f>IF(OR($BT77&gt;0, $BV77&gt;0), 1, 0)</f>
        <v>0</v>
      </c>
      <c r="J77" s="604">
        <f>IF(OR($BW77&gt;0, $BY77&gt;0), 1, 0)</f>
        <v>0</v>
      </c>
      <c r="K77" s="604">
        <f>IF(OR($BZ77&gt;0, $CB77&gt;0), 1, 0)</f>
        <v>0</v>
      </c>
      <c r="L77" s="604">
        <f>IF(OR($CC77&gt;0, $CE77&gt;0), 1, 0)</f>
        <v>0</v>
      </c>
      <c r="M77" s="604">
        <f>IF(OR($CF77&gt;0, $CH77&gt;0), 1, 0)</f>
        <v>0</v>
      </c>
      <c r="N77" s="604">
        <f>IF(OR($CI77&gt;0, $CK77&gt;0), 1, 0)</f>
        <v>0</v>
      </c>
      <c r="O77" s="604">
        <f>IF(OR($CL77&gt;0, $CN77&gt;0), 1, 0)</f>
        <v>0</v>
      </c>
      <c r="P77" s="604">
        <f>IF(OR($CO77&gt;0, $CQ77&gt;0), 1, 0)</f>
        <v>0</v>
      </c>
      <c r="Q77" s="604">
        <f>IF(OR($CR77&gt;0, $CT77&gt;0), 1, 0)</f>
        <v>0</v>
      </c>
      <c r="R77" s="604">
        <f>IF(OR($CU77&gt;0, $CW77&gt;0), 1, 0)</f>
        <v>0</v>
      </c>
      <c r="S77" s="604">
        <f>IF(OR($CX77&gt;0, $CZ77&gt;0), 1, 0)</f>
        <v>0</v>
      </c>
      <c r="T77" s="604">
        <f>IF(OR($DA77&gt;0, $DC77&gt;0), 1, 0)</f>
        <v>0</v>
      </c>
      <c r="U77" s="603">
        <f>IF(OR($AI77&gt;0,$AM77&gt;0,$AS77&gt;0), 1, 0)</f>
        <v>0</v>
      </c>
      <c r="V77" s="602">
        <f>[1]BDD!A67</f>
        <v>5037</v>
      </c>
      <c r="W77" s="601" t="str">
        <f>[1]BDD!B67</f>
        <v>Citron Caviar (culture naturelle, plateau 500g)</v>
      </c>
      <c r="X77" s="600" t="str">
        <f>IF([1]BDD!F67=0, "", [1]BDD!F67)</f>
        <v>❤️ OFFRE</v>
      </c>
      <c r="Y77" s="542">
        <f>ROUND([1]BDD!G67+FDP_CMD_KG, 2)</f>
        <v>17.71</v>
      </c>
      <c r="Z77" s="542">
        <f>ROUND([1]BDD!G67+FDP_FACT_KG, 2)</f>
        <v>17.71</v>
      </c>
      <c r="AA77" s="543" t="str">
        <f>[1]BDD!H67</f>
        <v>Pièce</v>
      </c>
      <c r="AB77" s="544" t="str">
        <f>IF(NOT(ISBLANK([1]BDD!I67)), ROUND(SUM(([1]BDD!G67*reduc1),FDP_CMD_KG), 2), "")</f>
        <v/>
      </c>
      <c r="AC77" s="544" t="str">
        <f>IF(NOT(ISBLANK([1]BDD!J67)), ROUND(SUM(([1]BDD!G67*reduc2),FDP_CMD_KG), 2), "")</f>
        <v/>
      </c>
      <c r="AD77" s="544" t="str">
        <f>IF(NOT(ISBLANK([1]BDD!K67)), ROUND(SUM(([1]BDD!G67*reduc3),FDP_CMD_KG), 2), "")</f>
        <v/>
      </c>
      <c r="AE77" s="544" t="str">
        <f>IF(NOT(ISBLANK([1]BDD!I67)), ROUND(SUM(([1]BDD!G67*reduc1),FDP_FACT_KG), 2), "")</f>
        <v/>
      </c>
      <c r="AF77" s="544" t="str">
        <f>IF(NOT(ISBLANK([1]BDD!J67)), ROUND(SUM(([1]BDD!G67*reduc2),FDP_FACT_KG), 2), "")</f>
        <v/>
      </c>
      <c r="AG77" s="544" t="str">
        <f>IF(NOT(ISBLANK([1]BDD!K67)), ROUND(SUM(([1]BDD!G67*reduc3),FDP_FACT_KG), 2), "")</f>
        <v/>
      </c>
      <c r="AH77" s="599" t="str">
        <f>[1]BDD!C67</f>
        <v>Salobrena</v>
      </c>
      <c r="AI77" s="598">
        <f>SUM(AV77,AY77,BB77,BE77,BH77,BK77,BN77,BQ77,BT77,BW77,BZ77,CC77,CF77,CI77,CL77,CO77,CR77,CU77,CX77,DA77)</f>
        <v>0</v>
      </c>
      <c r="AJ77" s="545">
        <f>_xlfn.IFS($AD77&lt;&gt;"", $AD77,    $AC77&lt;&gt;"", $AC77,    $AB77&lt;&gt;"", $AB77,    TRUE, $Y77)</f>
        <v>17.71</v>
      </c>
      <c r="AK77" s="592">
        <f>$AI77*$AJ77</f>
        <v>0</v>
      </c>
      <c r="AL77" s="594"/>
      <c r="AM77" s="597"/>
      <c r="AN77" s="545">
        <f>_xlfn.IFS(AND(AM77&gt;=60,$AG77&lt;&gt;""), $AG77,    AND(AM77&gt;=30,$AF77&lt;&gt;""), $AF77,    AND(AM77&gt;=10,$AE77&lt;&gt;""), $AE77,    TRUE, $Z77)</f>
        <v>17.71</v>
      </c>
      <c r="AO77" s="596">
        <f>AM77*AN77</f>
        <v>0</v>
      </c>
      <c r="AP77" s="595"/>
      <c r="AQ77" s="595"/>
      <c r="AR77" s="594"/>
      <c r="AS77" s="593">
        <f>SUM(AW77,AZ77,BC77,BF77,BI77,BL77,BO77,BR77,BU77,BX77,CA77,CD77,CG77,CJ77,CM77,CP77,CS77,CV77,CY77,DB77)</f>
        <v>0</v>
      </c>
      <c r="AT77" s="545">
        <f>_xlfn.IFS(AND(AS77&gt;=60,$AG77&lt;&gt;""), $AG77,    AND(AS77&gt;=30,$AF77&lt;&gt;""), $AF77,    AND(AS77&gt;=10,$AE77&lt;&gt;""), $AE77,    TRUE, $Z77)</f>
        <v>17.71</v>
      </c>
      <c r="AU77" s="592">
        <f>$AS77*$AT77</f>
        <v>0</v>
      </c>
      <c r="AV77" s="591">
        <f>[1]COMMANDE!O75</f>
        <v>0</v>
      </c>
      <c r="AW77" s="586" t="str">
        <f>_xlfn.IFS(AND($AI77=$AM77,$AI77&gt;0,$AM77&gt;0,AV77&gt;0), AV77,     AND(NOT($AI77=$AM77),$AI77&gt;0,$AM77&gt;0,AV77&gt;0), ($AM77*AV77)/$AI77,     AND($AI77=0,$AM77&gt;0,$AQ77&gt;0), IF(INDEX(AV$12:AV$263,MATCH($AQ77,$AP$12:$AP$263,0))&gt;0,($AM77*INDEX(AV$12:AV$263,MATCH($AQ77,$AP$12:$AP$263,0)))/INDEX($AI$12:$AI$263,MATCH($AQ77,$AP$12:$AP$263,0)), "-"),     TRUE, "0")</f>
        <v>0</v>
      </c>
      <c r="AX77" s="588">
        <f>IF(AW$9&gt;0, IF(OR(AW77="",AW77="-"), 0, AW77*$AT77), AV77*$AJ77)</f>
        <v>0</v>
      </c>
      <c r="AY77" s="587">
        <f>[1]COMMANDE!Q75</f>
        <v>0</v>
      </c>
      <c r="AZ77" s="586" t="str">
        <f>_xlfn.IFS(AND($AI77=$AM77,$AI77&gt;0,$AM77&gt;0,AY77&gt;0), AY77,     AND(NOT($AI77=$AM77),$AI77&gt;0,$AM77&gt;0,AY77&gt;0), ($AM77*AY77)/$AI77,     AND($AI77=0,$AM77&gt;0,$AQ77&gt;0), IF(INDEX(AY$12:AY$263,MATCH($AQ77,$AP$12:$AP$263,0))&gt;0,($AM77*INDEX(AY$12:AY$263,MATCH($AQ77,$AP$12:$AP$263,0)))/INDEX($AI$12:$AI$263,MATCH($AQ77,$AP$12:$AP$263,0)), "-"),     TRUE, "0")</f>
        <v>0</v>
      </c>
      <c r="BA77" s="607">
        <f>IF(AZ$9&gt;0, IF(OR(AZ77="",AZ77="-"), 0, AZ77*$AT77), AY77*$AJ77)</f>
        <v>0</v>
      </c>
      <c r="BB77" s="589">
        <f>[1]COMMANDE!S75</f>
        <v>0</v>
      </c>
      <c r="BC77" s="586" t="str">
        <f>_xlfn.IFS(AND($AI77=$AM77,$AI77&gt;0,$AM77&gt;0,BB77&gt;0), BB77,     AND(NOT($AI77=$AM77),$AI77&gt;0,$AM77&gt;0,BB77&gt;0), ($AM77*BB77)/$AI77,     AND($AI77=0,$AM77&gt;0,$AQ77&gt;0), IF(INDEX(BB$12:BB$263,MATCH($AQ77,$AP$12:$AP$263,0))&gt;0,($AM77*INDEX(BB$12:BB$263,MATCH($AQ77,$AP$12:$AP$263,0)))/INDEX($AI$12:$AI$263,MATCH($AQ77,$AP$12:$AP$263,0)), "-"),     TRUE, "0")</f>
        <v>0</v>
      </c>
      <c r="BD77" s="588">
        <f>IF(BC$9&gt;0, IF(OR(BC77="",BC77="-"), 0, BC77*$AT77), BB77*$AJ77)</f>
        <v>0</v>
      </c>
      <c r="BE77" s="587">
        <f>[1]COMMANDE!U75</f>
        <v>0</v>
      </c>
      <c r="BF77" s="586" t="str">
        <f>_xlfn.IFS(AND($AI77=$AM77,$AI77&gt;0,$AM77&gt;0,BE77&gt;0), BE77,     AND(NOT($AI77=$AM77),$AI77&gt;0,$AM77&gt;0,BE77&gt;0), ($AM77*BE77)/$AI77,     AND($AI77=0,$AM77&gt;0,$AQ77&gt;0), IF(INDEX(BE$12:BE$263,MATCH($AQ77,$AP$12:$AP$263,0))&gt;0,($AM77*INDEX(BE$12:BE$263,MATCH($AQ77,$AP$12:$AP$263,0)))/INDEX($AI$12:$AI$263,MATCH($AQ77,$AP$12:$AP$263,0)), "-"),     TRUE, "0")</f>
        <v>0</v>
      </c>
      <c r="BG77" s="607">
        <f>IF(BF$9&gt;0, IF(OR(BF77="",BF77="-"), 0, BF77*$AT77), BE77*$AJ77)</f>
        <v>0</v>
      </c>
      <c r="BH77" s="589">
        <f>[1]COMMANDE!W75</f>
        <v>0</v>
      </c>
      <c r="BI77" s="586" t="str">
        <f>_xlfn.IFS(AND($AI77=$AM77,$AI77&gt;0,$AM77&gt;0,BH77&gt;0), BH77,     AND(NOT($AI77=$AM77),$AI77&gt;0,$AM77&gt;0,BH77&gt;0), ($AM77*BH77)/$AI77,     AND($AI77=0,$AM77&gt;0,$AQ77&gt;0), IF(INDEX(BH$12:BH$263,MATCH($AQ77,$AP$12:$AP$263,0))&gt;0,($AM77*INDEX(BH$12:BH$263,MATCH($AQ77,$AP$12:$AP$263,0)))/INDEX($AI$12:$AI$263,MATCH($AQ77,$AP$12:$AP$263,0)), "-"),     TRUE, "0")</f>
        <v>0</v>
      </c>
      <c r="BJ77" s="588">
        <f>IF(BI$9&gt;0, IF(OR(BI77="",BI77="-"), 0, BI77*$AT77), BH77*$AJ77)</f>
        <v>0</v>
      </c>
      <c r="BK77" s="587">
        <f>[1]COMMANDE!Y75</f>
        <v>0</v>
      </c>
      <c r="BL77" s="586" t="str">
        <f>_xlfn.IFS(AND($AI77=$AM77,$AI77&gt;0,$AM77&gt;0,BK77&gt;0), BK77,     AND(NOT($AI77=$AM77),$AI77&gt;0,$AM77&gt;0,BK77&gt;0), ($AM77*BK77)/$AI77,     AND($AI77=0,$AM77&gt;0,$AQ77&gt;0), IF(INDEX(BK$12:BK$263,MATCH($AQ77,$AP$12:$AP$263,0))&gt;0,($AM77*INDEX(BK$12:BK$263,MATCH($AQ77,$AP$12:$AP$263,0)))/INDEX($AI$12:$AI$263,MATCH($AQ77,$AP$12:$AP$263,0)), "-"),     TRUE, "0")</f>
        <v>0</v>
      </c>
      <c r="BM77" s="607">
        <f>IF(BL$9&gt;0, IF(OR(BL77="",BL77="-"), 0, BL77*$AT77), BK77*$AJ77)</f>
        <v>0</v>
      </c>
      <c r="BN77" s="589">
        <f>[1]COMMANDE!AA75</f>
        <v>0</v>
      </c>
      <c r="BO77" s="586" t="str">
        <f>_xlfn.IFS(AND($AI77=$AM77,$AI77&gt;0,$AM77&gt;0,BN77&gt;0), BN77,     AND(NOT($AI77=$AM77),$AI77&gt;0,$AM77&gt;0,BN77&gt;0), ($AM77*BN77)/$AI77,     AND($AI77=0,$AM77&gt;0,$AQ77&gt;0), IF(INDEX(BN$12:BN$263,MATCH($AQ77,$AP$12:$AP$263,0))&gt;0,($AM77*INDEX(BN$12:BN$263,MATCH($AQ77,$AP$12:$AP$263,0)))/INDEX($AI$12:$AI$263,MATCH($AQ77,$AP$12:$AP$263,0)), "-"),     TRUE, "0")</f>
        <v>0</v>
      </c>
      <c r="BP77" s="588">
        <f>IF(BO$9&gt;0, IF(OR(BO77="",BO77="-"), 0, BO77*$AT77), BN77*$AJ77)</f>
        <v>0</v>
      </c>
      <c r="BQ77" s="587">
        <f>[1]COMMANDE!AC75</f>
        <v>0</v>
      </c>
      <c r="BR77" s="586" t="str">
        <f>_xlfn.IFS(AND($AI77=$AM77,$AI77&gt;0,$AM77&gt;0,BQ77&gt;0), BQ77,     AND(NOT($AI77=$AM77),$AI77&gt;0,$AM77&gt;0,BQ77&gt;0), ($AM77*BQ77)/$AI77,     AND($AI77=0,$AM77&gt;0,$AQ77&gt;0), IF(INDEX(BQ$12:BQ$263,MATCH($AQ77,$AP$12:$AP$263,0))&gt;0,($AM77*INDEX(BQ$12:BQ$263,MATCH($AQ77,$AP$12:$AP$263,0)))/INDEX($AI$12:$AI$263,MATCH($AQ77,$AP$12:$AP$263,0)), "-"),     TRUE, "0")</f>
        <v>0</v>
      </c>
      <c r="BS77" s="607">
        <f>IF(BR$9&gt;0, IF(OR(BR77="",BR77="-"), 0, BR77*$AT77), BQ77*$AJ77)</f>
        <v>0</v>
      </c>
      <c r="BT77" s="589">
        <f>[1]COMMANDE!AE75</f>
        <v>0</v>
      </c>
      <c r="BU77" s="586" t="str">
        <f>_xlfn.IFS(AND($AI77=$AM77,$AI77&gt;0,$AM77&gt;0,BT77&gt;0), BT77,     AND(NOT($AI77=$AM77),$AI77&gt;0,$AM77&gt;0,BT77&gt;0), ($AM77*BT77)/$AI77,     AND($AI77=0,$AM77&gt;0,$AQ77&gt;0), IF(INDEX(BT$12:BT$263,MATCH($AQ77,$AP$12:$AP$263,0))&gt;0,($AM77*INDEX(BT$12:BT$263,MATCH($AQ77,$AP$12:$AP$263,0)))/INDEX($AI$12:$AI$263,MATCH($AQ77,$AP$12:$AP$263,0)), "-"),     TRUE, "0")</f>
        <v>0</v>
      </c>
      <c r="BV77" s="588">
        <f>IF(BU$9&gt;0, IF(OR(BU77="",BU77="-"), 0, BU77*$AT77), BT77*$AJ77)</f>
        <v>0</v>
      </c>
      <c r="BW77" s="587">
        <f>[1]COMMANDE!AG75</f>
        <v>0</v>
      </c>
      <c r="BX77" s="586" t="str">
        <f>_xlfn.IFS(AND($AI77=$AM77,$AI77&gt;0,$AM77&gt;0,BW77&gt;0), BW77,     AND(NOT($AI77=$AM77),$AI77&gt;0,$AM77&gt;0,BW77&gt;0), ($AM77*BW77)/$AI77,     AND($AI77=0,$AM77&gt;0,$AQ77&gt;0), IF(INDEX(BW$12:BW$263,MATCH($AQ77,$AP$12:$AP$263,0))&gt;0,($AM77*INDEX(BW$12:BW$263,MATCH($AQ77,$AP$12:$AP$263,0)))/INDEX($AI$12:$AI$263,MATCH($AQ77,$AP$12:$AP$263,0)), "-"),     TRUE, "0")</f>
        <v>0</v>
      </c>
      <c r="BY77" s="607">
        <f>IF(BX$9&gt;0, IF(OR(BX77="",BX77="-"), 0, BX77*$AT77), BW77*$AJ77)</f>
        <v>0</v>
      </c>
      <c r="BZ77" s="589">
        <f>[1]COMMANDE!AI75</f>
        <v>0</v>
      </c>
      <c r="CA77" s="586" t="str">
        <f>_xlfn.IFS(AND($AI77=$AM77,$AI77&gt;0,$AM77&gt;0,BZ77&gt;0), BZ77,     AND(NOT($AI77=$AM77),$AI77&gt;0,$AM77&gt;0,BZ77&gt;0), ($AM77*BZ77)/$AI77,     AND($AI77=0,$AM77&gt;0,$AQ77&gt;0), IF(INDEX(BZ$12:BZ$263,MATCH($AQ77,$AP$12:$AP$263,0))&gt;0,($AM77*INDEX(BZ$12:BZ$263,MATCH($AQ77,$AP$12:$AP$263,0)))/INDEX($AI$12:$AI$263,MATCH($AQ77,$AP$12:$AP$263,0)), "-"),     TRUE, "0")</f>
        <v>0</v>
      </c>
      <c r="CB77" s="588">
        <f>IF(CA$9&gt;0, IF(OR(CA77="",CA77="-"), 0, CA77*$AT77), BZ77*$AJ77)</f>
        <v>0</v>
      </c>
      <c r="CC77" s="587">
        <f>[1]COMMANDE!AK75</f>
        <v>0</v>
      </c>
      <c r="CD77" s="586" t="str">
        <f>_xlfn.IFS(AND($AI77=$AM77,$AI77&gt;0,$AM77&gt;0,CC77&gt;0), CC77,     AND(NOT($AI77=$AM77),$AI77&gt;0,$AM77&gt;0,CC77&gt;0), ($AM77*CC77)/$AI77,     AND($AI77=0,$AM77&gt;0,$AQ77&gt;0), IF(INDEX(CC$12:CC$263,MATCH($AQ77,$AP$12:$AP$263,0))&gt;0,($AM77*INDEX(CC$12:CC$263,MATCH($AQ77,$AP$12:$AP$263,0)))/INDEX($AI$12:$AI$263,MATCH($AQ77,$AP$12:$AP$263,0)), "-"),     TRUE, "0")</f>
        <v>0</v>
      </c>
      <c r="CE77" s="607">
        <f>IF(CD$9&gt;0, IF(OR(CD77="",CD77="-"), 0, CD77*$AT77), CC77*$AJ77)</f>
        <v>0</v>
      </c>
      <c r="CF77" s="589">
        <f>[1]COMMANDE!AM75</f>
        <v>0</v>
      </c>
      <c r="CG77" s="586" t="str">
        <f>_xlfn.IFS(AND($AI77=$AM77,$AI77&gt;0,$AM77&gt;0,CF77&gt;0), CF77,     AND(NOT($AI77=$AM77),$AI77&gt;0,$AM77&gt;0,CF77&gt;0), ($AM77*CF77)/$AI77,     AND($AI77=0,$AM77&gt;0,$AQ77&gt;0), IF(INDEX(CF$12:CF$263,MATCH($AQ77,$AP$12:$AP$263,0))&gt;0,($AM77*INDEX(CF$12:CF$263,MATCH($AQ77,$AP$12:$AP$263,0)))/INDEX($AI$12:$AI$263,MATCH($AQ77,$AP$12:$AP$263,0)), "-"),     TRUE, "0")</f>
        <v>0</v>
      </c>
      <c r="CH77" s="588">
        <f>IF(CG$9&gt;0, IF(OR(CG77="",CG77="-"), 0, CG77*$AT77), CF77*$AJ77)</f>
        <v>0</v>
      </c>
      <c r="CI77" s="587">
        <f>[1]COMMANDE!AO75</f>
        <v>0</v>
      </c>
      <c r="CJ77" s="586" t="str">
        <f>_xlfn.IFS(AND($AI77=$AM77,$AI77&gt;0,$AM77&gt;0,CI77&gt;0), CI77,     AND(NOT($AI77=$AM77),$AI77&gt;0,$AM77&gt;0,CI77&gt;0), ($AM77*CI77)/$AI77,     AND($AI77=0,$AM77&gt;0,$AQ77&gt;0), IF(INDEX(CI$12:CI$263,MATCH($AQ77,$AP$12:$AP$263,0))&gt;0,($AM77*INDEX(CI$12:CI$263,MATCH($AQ77,$AP$12:$AP$263,0)))/INDEX($AI$12:$AI$263,MATCH($AQ77,$AP$12:$AP$263,0)), "-"),     TRUE, "0")</f>
        <v>0</v>
      </c>
      <c r="CK77" s="607">
        <f>IF(CJ$9&gt;0, IF(OR(CJ77="",CJ77="-"), 0, CJ77*$AT77), CI77*$AJ77)</f>
        <v>0</v>
      </c>
      <c r="CL77" s="589">
        <f>[1]COMMANDE!AQ75</f>
        <v>0</v>
      </c>
      <c r="CM77" s="586" t="str">
        <f>_xlfn.IFS(AND($AI77=$AM77,$AI77&gt;0,$AM77&gt;0,CL77&gt;0), CL77,     AND(NOT($AI77=$AM77),$AI77&gt;0,$AM77&gt;0,CL77&gt;0), ($AM77*CL77)/$AI77,     AND($AI77=0,$AM77&gt;0,$AQ77&gt;0), IF(INDEX(CL$12:CL$263,MATCH($AQ77,$AP$12:$AP$263,0))&gt;0,($AM77*INDEX(CL$12:CL$263,MATCH($AQ77,$AP$12:$AP$263,0)))/INDEX($AI$12:$AI$263,MATCH($AQ77,$AP$12:$AP$263,0)), "-"),     TRUE, "0")</f>
        <v>0</v>
      </c>
      <c r="CN77" s="588">
        <f>IF(CM$9&gt;0, IF(OR(CM77="",CM77="-"), 0, CM77*$AT77), CL77*$AJ77)</f>
        <v>0</v>
      </c>
      <c r="CO77" s="587">
        <f>[1]COMMANDE!AS75</f>
        <v>0</v>
      </c>
      <c r="CP77" s="586" t="str">
        <f>_xlfn.IFS(AND($AI77=$AM77,$AI77&gt;0,$AM77&gt;0,CO77&gt;0), CO77,     AND(NOT($AI77=$AM77),$AI77&gt;0,$AM77&gt;0,CO77&gt;0), ($AM77*CO77)/$AI77,     AND($AI77=0,$AM77&gt;0,$AQ77&gt;0), IF(INDEX(CO$12:CO$263,MATCH($AQ77,$AP$12:$AP$263,0))&gt;0,($AM77*INDEX(CO$12:CO$263,MATCH($AQ77,$AP$12:$AP$263,0)))/INDEX($AI$12:$AI$263,MATCH($AQ77,$AP$12:$AP$263,0)), "-"),     TRUE, "0")</f>
        <v>0</v>
      </c>
      <c r="CQ77" s="607">
        <f>IF(CP$9&gt;0, IF(OR(CP77="",CP77="-"), 0, CP77*$AT77), CO77*$AJ77)</f>
        <v>0</v>
      </c>
      <c r="CR77" s="589">
        <f>[1]COMMANDE!AU75</f>
        <v>0</v>
      </c>
      <c r="CS77" s="586" t="str">
        <f>_xlfn.IFS(AND($AI77=$AM77,$AI77&gt;0,$AM77&gt;0,CR77&gt;0), CR77,     AND(NOT($AI77=$AM77),$AI77&gt;0,$AM77&gt;0,CR77&gt;0), ($AM77*CR77)/$AI77,     AND($AI77=0,$AM77&gt;0,$AQ77&gt;0), IF(INDEX(CR$12:CR$263,MATCH($AQ77,$AP$12:$AP$263,0))&gt;0,($AM77*INDEX(CR$12:CR$263,MATCH($AQ77,$AP$12:$AP$263,0)))/INDEX($AI$12:$AI$263,MATCH($AQ77,$AP$12:$AP$263,0)), "-"),     TRUE, "0")</f>
        <v>0</v>
      </c>
      <c r="CT77" s="588">
        <f>IF(CS$9&gt;0, IF(OR(CS77="",CS77="-"), 0, CS77*$AT77), CR77*$AJ77)</f>
        <v>0</v>
      </c>
      <c r="CU77" s="587">
        <f>[1]COMMANDE!AW75</f>
        <v>0</v>
      </c>
      <c r="CV77" s="586" t="str">
        <f>_xlfn.IFS(AND($AI77=$AM77,$AI77&gt;0,$AM77&gt;0,CU77&gt;0), CU77,     AND(NOT($AI77=$AM77),$AI77&gt;0,$AM77&gt;0,CU77&gt;0), ($AM77*CU77)/$AI77,     AND($AI77=0,$AM77&gt;0,$AQ77&gt;0), IF(INDEX(CU$12:CU$263,MATCH($AQ77,$AP$12:$AP$263,0))&gt;0,($AM77*INDEX(CU$12:CU$263,MATCH($AQ77,$AP$12:$AP$263,0)))/INDEX($AI$12:$AI$263,MATCH($AQ77,$AP$12:$AP$263,0)), "-"),     TRUE, "0")</f>
        <v>0</v>
      </c>
      <c r="CW77" s="607">
        <f>IF(CV$9&gt;0, IF(OR(CV77="",CV77="-"), 0, CV77*$AT77), CU77*$AJ77)</f>
        <v>0</v>
      </c>
      <c r="CX77" s="589">
        <f>[1]COMMANDE!AY75</f>
        <v>0</v>
      </c>
      <c r="CY77" s="586" t="str">
        <f>_xlfn.IFS(AND($AI77=$AM77,$AI77&gt;0,$AM77&gt;0,CX77&gt;0), CX77,     AND(NOT($AI77=$AM77),$AI77&gt;0,$AM77&gt;0,CX77&gt;0), ($AM77*CX77)/$AI77,     AND($AI77=0,$AM77&gt;0,$AQ77&gt;0), IF(INDEX(CX$12:CX$263,MATCH($AQ77,$AP$12:$AP$263,0))&gt;0,($AM77*INDEX(CX$12:CX$263,MATCH($AQ77,$AP$12:$AP$263,0)))/INDEX($AI$12:$AI$263,MATCH($AQ77,$AP$12:$AP$263,0)), "-"),     TRUE, "0")</f>
        <v>0</v>
      </c>
      <c r="CZ77" s="588">
        <f>IF(CY$9&gt;0, IF(OR(CY77="",CY77="-"), 0, CY77*$AT77), CX77*$AJ77)</f>
        <v>0</v>
      </c>
      <c r="DA77" s="587">
        <f>[1]COMMANDE!BA75</f>
        <v>0</v>
      </c>
      <c r="DB77" s="586" t="str">
        <f>_xlfn.IFS(AND($AI77=$AM77,$AI77&gt;0,$AM77&gt;0,DA77&gt;0), DA77,     AND(NOT($AI77=$AM77),$AI77&gt;0,$AM77&gt;0,DA77&gt;0), ($AM77*DA77)/$AI77,     AND($AI77=0,$AM77&gt;0,$AQ77&gt;0), IF(INDEX(DA$12:DA$263,MATCH($AQ77,$AP$12:$AP$263,0))&gt;0,($AM77*INDEX(DA$12:DA$263,MATCH($AQ77,$AP$12:$AP$263,0)))/INDEX($AI$12:$AI$263,MATCH($AQ77,$AP$12:$AP$263,0)), "-"),     TRUE, "0")</f>
        <v>0</v>
      </c>
      <c r="DC77" s="606">
        <f>IF(DB$9&gt;0, IF(OR(DB77="",DB77="-"), 0, DB77*$AT77), DA77*$AJ77)</f>
        <v>0</v>
      </c>
      <c r="DD77" s="584"/>
      <c r="DE77" s="583"/>
    </row>
    <row r="78" spans="1:109" ht="39.950000000000003" hidden="1" customHeight="1">
      <c r="A78" s="604">
        <f>IF(OR($AV78&gt;0, $AX78&gt;0), 1, 0)</f>
        <v>0</v>
      </c>
      <c r="B78" s="604">
        <f>IF(OR($AY78&gt;0, $BA78&gt;0), 1, 0)</f>
        <v>0</v>
      </c>
      <c r="C78" s="604">
        <f>IF(OR($BB78&gt;0, $BD78&gt;0), 1, 0)</f>
        <v>0</v>
      </c>
      <c r="D78" s="604">
        <f>IF(OR($BE78&gt;0, $BG78&gt;0), 1, 0)</f>
        <v>0</v>
      </c>
      <c r="E78" s="604">
        <f>IF(OR($BH78&gt;0, $BJ78&gt;0), 1, 0)</f>
        <v>0</v>
      </c>
      <c r="F78" s="604">
        <f>IF(OR($BK78&gt;0, $BM78&gt;0), 1, 0)</f>
        <v>0</v>
      </c>
      <c r="G78" s="604">
        <f>IF(OR($BN78&gt;0, $BP78&gt;0), 1, 0)</f>
        <v>0</v>
      </c>
      <c r="H78" s="604">
        <f>IF(OR($BQ78&gt;0, $BS78&gt;0), 1, 0)</f>
        <v>0</v>
      </c>
      <c r="I78" s="604">
        <f>IF(OR($BT78&gt;0, $BV78&gt;0), 1, 0)</f>
        <v>0</v>
      </c>
      <c r="J78" s="604">
        <f>IF(OR($BW78&gt;0, $BY78&gt;0), 1, 0)</f>
        <v>0</v>
      </c>
      <c r="K78" s="604">
        <f>IF(OR($BZ78&gt;0, $CB78&gt;0), 1, 0)</f>
        <v>0</v>
      </c>
      <c r="L78" s="604">
        <f>IF(OR($CC78&gt;0, $CE78&gt;0), 1, 0)</f>
        <v>0</v>
      </c>
      <c r="M78" s="604">
        <f>IF(OR($CF78&gt;0, $CH78&gt;0), 1, 0)</f>
        <v>0</v>
      </c>
      <c r="N78" s="604">
        <f>IF(OR($CI78&gt;0, $CK78&gt;0), 1, 0)</f>
        <v>0</v>
      </c>
      <c r="O78" s="604">
        <f>IF(OR($CL78&gt;0, $CN78&gt;0), 1, 0)</f>
        <v>0</v>
      </c>
      <c r="P78" s="604">
        <f>IF(OR($CO78&gt;0, $CQ78&gt;0), 1, 0)</f>
        <v>0</v>
      </c>
      <c r="Q78" s="604">
        <f>IF(OR($CR78&gt;0, $CT78&gt;0), 1, 0)</f>
        <v>0</v>
      </c>
      <c r="R78" s="604">
        <f>IF(OR($CU78&gt;0, $CW78&gt;0), 1, 0)</f>
        <v>0</v>
      </c>
      <c r="S78" s="604">
        <f>IF(OR($CX78&gt;0, $CZ78&gt;0), 1, 0)</f>
        <v>0</v>
      </c>
      <c r="T78" s="604">
        <f>IF(OR($DA78&gt;0, $DC78&gt;0), 1, 0)</f>
        <v>0</v>
      </c>
      <c r="U78" s="603">
        <f>IF(OR($AI78&gt;0,$AM78&gt;0,$AS78&gt;0), 1, 0)</f>
        <v>0</v>
      </c>
      <c r="V78" s="602">
        <f>[1]BDD!A68</f>
        <v>6019</v>
      </c>
      <c r="W78" s="601" t="str">
        <f>[1]BDD!B68</f>
        <v>Citron Caviar BIO
    - (plateau de 200g)</v>
      </c>
      <c r="X78" s="600" t="str">
        <f>IF([1]BDD!F68=0, "", [1]BDD!F68)</f>
        <v>❤️</v>
      </c>
      <c r="Y78" s="542">
        <f>ROUND([1]BDD!G68+FDP_CMD_KG, 2)</f>
        <v>12.5</v>
      </c>
      <c r="Z78" s="542">
        <f>ROUND([1]BDD!G68+FDP_FACT_KG, 2)</f>
        <v>12.5</v>
      </c>
      <c r="AA78" s="543" t="str">
        <f>[1]BDD!H68</f>
        <v>200g</v>
      </c>
      <c r="AB78" s="544" t="str">
        <f>IF(NOT(ISBLANK([1]BDD!I68)), ROUND(SUM(([1]BDD!G68*reduc1),FDP_CMD_KG), 2), "")</f>
        <v/>
      </c>
      <c r="AC78" s="544" t="str">
        <f>IF(NOT(ISBLANK([1]BDD!J68)), ROUND(SUM(([1]BDD!G68*reduc2),FDP_CMD_KG), 2), "")</f>
        <v/>
      </c>
      <c r="AD78" s="544" t="str">
        <f>IF(NOT(ISBLANK([1]BDD!K68)), ROUND(SUM(([1]BDD!G68*reduc3),FDP_CMD_KG), 2), "")</f>
        <v/>
      </c>
      <c r="AE78" s="544" t="str">
        <f>IF(NOT(ISBLANK([1]BDD!I68)), ROUND(SUM(([1]BDD!G68*reduc1),FDP_FACT_KG), 2), "")</f>
        <v/>
      </c>
      <c r="AF78" s="544" t="str">
        <f>IF(NOT(ISBLANK([1]BDD!J68)), ROUND(SUM(([1]BDD!G68*reduc2),FDP_FACT_KG), 2), "")</f>
        <v/>
      </c>
      <c r="AG78" s="544" t="str">
        <f>IF(NOT(ISBLANK([1]BDD!K68)), ROUND(SUM(([1]BDD!G68*reduc3),FDP_FACT_KG), 2), "")</f>
        <v/>
      </c>
      <c r="AH78" s="599" t="str">
        <f>[1]BDD!C68</f>
        <v>Grenade</v>
      </c>
      <c r="AI78" s="598">
        <f>SUM(AV78,AY78,BB78,BE78,BH78,BK78,BN78,BQ78,BT78,BW78,BZ78,CC78,CF78,CI78,CL78,CO78,CR78,CU78,CX78,DA78)</f>
        <v>0</v>
      </c>
      <c r="AJ78" s="545">
        <f>_xlfn.IFS($AD78&lt;&gt;"", $AD78,    $AC78&lt;&gt;"", $AC78,    $AB78&lt;&gt;"", $AB78,    TRUE, $Y78)</f>
        <v>12.5</v>
      </c>
      <c r="AK78" s="592">
        <f>$AI78*$AJ78</f>
        <v>0</v>
      </c>
      <c r="AL78" s="594"/>
      <c r="AM78" s="597"/>
      <c r="AN78" s="545">
        <f>_xlfn.IFS(AND(AM78&gt;=60,$AG78&lt;&gt;""), $AG78,    AND(AM78&gt;=30,$AF78&lt;&gt;""), $AF78,    AND(AM78&gt;=10,$AE78&lt;&gt;""), $AE78,    TRUE, $Z78)</f>
        <v>12.5</v>
      </c>
      <c r="AO78" s="596">
        <f>AM78*AN78</f>
        <v>0</v>
      </c>
      <c r="AP78" s="595"/>
      <c r="AQ78" s="595"/>
      <c r="AR78" s="594"/>
      <c r="AS78" s="593">
        <f>SUM(AW78,AZ78,BC78,BF78,BI78,BL78,BO78,BR78,BU78,BX78,CA78,CD78,CG78,CJ78,CM78,CP78,CS78,CV78,CY78,DB78)</f>
        <v>0</v>
      </c>
      <c r="AT78" s="545">
        <f>_xlfn.IFS(AND(AS78&gt;=60,$AG78&lt;&gt;""), $AG78,    AND(AS78&gt;=30,$AF78&lt;&gt;""), $AF78,    AND(AS78&gt;=10,$AE78&lt;&gt;""), $AE78,    TRUE, $Z78)</f>
        <v>12.5</v>
      </c>
      <c r="AU78" s="592">
        <f>$AS78*$AT78</f>
        <v>0</v>
      </c>
      <c r="AV78" s="591">
        <f>[1]COMMANDE!O76</f>
        <v>0</v>
      </c>
      <c r="AW78" s="586" t="str">
        <f>_xlfn.IFS(AND($AI78=$AM78,$AI78&gt;0,$AM78&gt;0,AV78&gt;0), AV78,     AND(NOT($AI78=$AM78),$AI78&gt;0,$AM78&gt;0,AV78&gt;0), ($AM78*AV78)/$AI78,     AND($AI78=0,$AM78&gt;0,$AQ78&gt;0), IF(INDEX(AV$12:AV$263,MATCH($AQ78,$AP$12:$AP$263,0))&gt;0,($AM78*INDEX(AV$12:AV$263,MATCH($AQ78,$AP$12:$AP$263,0)))/INDEX($AI$12:$AI$263,MATCH($AQ78,$AP$12:$AP$263,0)), "-"),     TRUE, "0")</f>
        <v>0</v>
      </c>
      <c r="AX78" s="588">
        <f>IF(AW$9&gt;0, IF(OR(AW78="",AW78="-"), 0, AW78*$AT78), AV78*$AJ78)</f>
        <v>0</v>
      </c>
      <c r="AY78" s="587">
        <f>[1]COMMANDE!Q76</f>
        <v>0</v>
      </c>
      <c r="AZ78" s="586" t="str">
        <f>_xlfn.IFS(AND($AI78=$AM78,$AI78&gt;0,$AM78&gt;0,AY78&gt;0), AY78,     AND(NOT($AI78=$AM78),$AI78&gt;0,$AM78&gt;0,AY78&gt;0), ($AM78*AY78)/$AI78,     AND($AI78=0,$AM78&gt;0,$AQ78&gt;0), IF(INDEX(AY$12:AY$263,MATCH($AQ78,$AP$12:$AP$263,0))&gt;0,($AM78*INDEX(AY$12:AY$263,MATCH($AQ78,$AP$12:$AP$263,0)))/INDEX($AI$12:$AI$263,MATCH($AQ78,$AP$12:$AP$263,0)), "-"),     TRUE, "0")</f>
        <v>0</v>
      </c>
      <c r="BA78" s="607">
        <f>IF(AZ$9&gt;0, IF(OR(AZ78="",AZ78="-"), 0, AZ78*$AT78), AY78*$AJ78)</f>
        <v>0</v>
      </c>
      <c r="BB78" s="589">
        <f>[1]COMMANDE!S76</f>
        <v>0</v>
      </c>
      <c r="BC78" s="586" t="str">
        <f>_xlfn.IFS(AND($AI78=$AM78,$AI78&gt;0,$AM78&gt;0,BB78&gt;0), BB78,     AND(NOT($AI78=$AM78),$AI78&gt;0,$AM78&gt;0,BB78&gt;0), ($AM78*BB78)/$AI78,     AND($AI78=0,$AM78&gt;0,$AQ78&gt;0), IF(INDEX(BB$12:BB$263,MATCH($AQ78,$AP$12:$AP$263,0))&gt;0,($AM78*INDEX(BB$12:BB$263,MATCH($AQ78,$AP$12:$AP$263,0)))/INDEX($AI$12:$AI$263,MATCH($AQ78,$AP$12:$AP$263,0)), "-"),     TRUE, "0")</f>
        <v>0</v>
      </c>
      <c r="BD78" s="588">
        <f>IF(BC$9&gt;0, IF(OR(BC78="",BC78="-"), 0, BC78*$AT78), BB78*$AJ78)</f>
        <v>0</v>
      </c>
      <c r="BE78" s="587">
        <f>[1]COMMANDE!U76</f>
        <v>0</v>
      </c>
      <c r="BF78" s="586" t="str">
        <f>_xlfn.IFS(AND($AI78=$AM78,$AI78&gt;0,$AM78&gt;0,BE78&gt;0), BE78,     AND(NOT($AI78=$AM78),$AI78&gt;0,$AM78&gt;0,BE78&gt;0), ($AM78*BE78)/$AI78,     AND($AI78=0,$AM78&gt;0,$AQ78&gt;0), IF(INDEX(BE$12:BE$263,MATCH($AQ78,$AP$12:$AP$263,0))&gt;0,($AM78*INDEX(BE$12:BE$263,MATCH($AQ78,$AP$12:$AP$263,0)))/INDEX($AI$12:$AI$263,MATCH($AQ78,$AP$12:$AP$263,0)), "-"),     TRUE, "0")</f>
        <v>0</v>
      </c>
      <c r="BG78" s="607">
        <f>IF(BF$9&gt;0, IF(OR(BF78="",BF78="-"), 0, BF78*$AT78), BE78*$AJ78)</f>
        <v>0</v>
      </c>
      <c r="BH78" s="589">
        <f>[1]COMMANDE!W76</f>
        <v>0</v>
      </c>
      <c r="BI78" s="586" t="str">
        <f>_xlfn.IFS(AND($AI78=$AM78,$AI78&gt;0,$AM78&gt;0,BH78&gt;0), BH78,     AND(NOT($AI78=$AM78),$AI78&gt;0,$AM78&gt;0,BH78&gt;0), ($AM78*BH78)/$AI78,     AND($AI78=0,$AM78&gt;0,$AQ78&gt;0), IF(INDEX(BH$12:BH$263,MATCH($AQ78,$AP$12:$AP$263,0))&gt;0,($AM78*INDEX(BH$12:BH$263,MATCH($AQ78,$AP$12:$AP$263,0)))/INDEX($AI$12:$AI$263,MATCH($AQ78,$AP$12:$AP$263,0)), "-"),     TRUE, "0")</f>
        <v>0</v>
      </c>
      <c r="BJ78" s="588">
        <f>IF(BI$9&gt;0, IF(OR(BI78="",BI78="-"), 0, BI78*$AT78), BH78*$AJ78)</f>
        <v>0</v>
      </c>
      <c r="BK78" s="587">
        <f>[1]COMMANDE!Y76</f>
        <v>0</v>
      </c>
      <c r="BL78" s="586" t="str">
        <f>_xlfn.IFS(AND($AI78=$AM78,$AI78&gt;0,$AM78&gt;0,BK78&gt;0), BK78,     AND(NOT($AI78=$AM78),$AI78&gt;0,$AM78&gt;0,BK78&gt;0), ($AM78*BK78)/$AI78,     AND($AI78=0,$AM78&gt;0,$AQ78&gt;0), IF(INDEX(BK$12:BK$263,MATCH($AQ78,$AP$12:$AP$263,0))&gt;0,($AM78*INDEX(BK$12:BK$263,MATCH($AQ78,$AP$12:$AP$263,0)))/INDEX($AI$12:$AI$263,MATCH($AQ78,$AP$12:$AP$263,0)), "-"),     TRUE, "0")</f>
        <v>0</v>
      </c>
      <c r="BM78" s="607">
        <f>IF(BL$9&gt;0, IF(OR(BL78="",BL78="-"), 0, BL78*$AT78), BK78*$AJ78)</f>
        <v>0</v>
      </c>
      <c r="BN78" s="589">
        <f>[1]COMMANDE!AA76</f>
        <v>0</v>
      </c>
      <c r="BO78" s="586" t="str">
        <f>_xlfn.IFS(AND($AI78=$AM78,$AI78&gt;0,$AM78&gt;0,BN78&gt;0), BN78,     AND(NOT($AI78=$AM78),$AI78&gt;0,$AM78&gt;0,BN78&gt;0), ($AM78*BN78)/$AI78,     AND($AI78=0,$AM78&gt;0,$AQ78&gt;0), IF(INDEX(BN$12:BN$263,MATCH($AQ78,$AP$12:$AP$263,0))&gt;0,($AM78*INDEX(BN$12:BN$263,MATCH($AQ78,$AP$12:$AP$263,0)))/INDEX($AI$12:$AI$263,MATCH($AQ78,$AP$12:$AP$263,0)), "-"),     TRUE, "0")</f>
        <v>0</v>
      </c>
      <c r="BP78" s="588">
        <f>IF(BO$9&gt;0, IF(OR(BO78="",BO78="-"), 0, BO78*$AT78), BN78*$AJ78)</f>
        <v>0</v>
      </c>
      <c r="BQ78" s="587">
        <f>[1]COMMANDE!AC76</f>
        <v>0</v>
      </c>
      <c r="BR78" s="586" t="str">
        <f>_xlfn.IFS(AND($AI78=$AM78,$AI78&gt;0,$AM78&gt;0,BQ78&gt;0), BQ78,     AND(NOT($AI78=$AM78),$AI78&gt;0,$AM78&gt;0,BQ78&gt;0), ($AM78*BQ78)/$AI78,     AND($AI78=0,$AM78&gt;0,$AQ78&gt;0), IF(INDEX(BQ$12:BQ$263,MATCH($AQ78,$AP$12:$AP$263,0))&gt;0,($AM78*INDEX(BQ$12:BQ$263,MATCH($AQ78,$AP$12:$AP$263,0)))/INDEX($AI$12:$AI$263,MATCH($AQ78,$AP$12:$AP$263,0)), "-"),     TRUE, "0")</f>
        <v>0</v>
      </c>
      <c r="BS78" s="607">
        <f>IF(BR$9&gt;0, IF(OR(BR78="",BR78="-"), 0, BR78*$AT78), BQ78*$AJ78)</f>
        <v>0</v>
      </c>
      <c r="BT78" s="589">
        <f>[1]COMMANDE!AE76</f>
        <v>0</v>
      </c>
      <c r="BU78" s="586" t="str">
        <f>_xlfn.IFS(AND($AI78=$AM78,$AI78&gt;0,$AM78&gt;0,BT78&gt;0), BT78,     AND(NOT($AI78=$AM78),$AI78&gt;0,$AM78&gt;0,BT78&gt;0), ($AM78*BT78)/$AI78,     AND($AI78=0,$AM78&gt;0,$AQ78&gt;0), IF(INDEX(BT$12:BT$263,MATCH($AQ78,$AP$12:$AP$263,0))&gt;0,($AM78*INDEX(BT$12:BT$263,MATCH($AQ78,$AP$12:$AP$263,0)))/INDEX($AI$12:$AI$263,MATCH($AQ78,$AP$12:$AP$263,0)), "-"),     TRUE, "0")</f>
        <v>0</v>
      </c>
      <c r="BV78" s="588">
        <f>IF(BU$9&gt;0, IF(OR(BU78="",BU78="-"), 0, BU78*$AT78), BT78*$AJ78)</f>
        <v>0</v>
      </c>
      <c r="BW78" s="587">
        <f>[1]COMMANDE!AG76</f>
        <v>0</v>
      </c>
      <c r="BX78" s="586" t="str">
        <f>_xlfn.IFS(AND($AI78=$AM78,$AI78&gt;0,$AM78&gt;0,BW78&gt;0), BW78,     AND(NOT($AI78=$AM78),$AI78&gt;0,$AM78&gt;0,BW78&gt;0), ($AM78*BW78)/$AI78,     AND($AI78=0,$AM78&gt;0,$AQ78&gt;0), IF(INDEX(BW$12:BW$263,MATCH($AQ78,$AP$12:$AP$263,0))&gt;0,($AM78*INDEX(BW$12:BW$263,MATCH($AQ78,$AP$12:$AP$263,0)))/INDEX($AI$12:$AI$263,MATCH($AQ78,$AP$12:$AP$263,0)), "-"),     TRUE, "0")</f>
        <v>0</v>
      </c>
      <c r="BY78" s="607">
        <f>IF(BX$9&gt;0, IF(OR(BX78="",BX78="-"), 0, BX78*$AT78), BW78*$AJ78)</f>
        <v>0</v>
      </c>
      <c r="BZ78" s="589">
        <f>[1]COMMANDE!AI76</f>
        <v>0</v>
      </c>
      <c r="CA78" s="586" t="str">
        <f>_xlfn.IFS(AND($AI78=$AM78,$AI78&gt;0,$AM78&gt;0,BZ78&gt;0), BZ78,     AND(NOT($AI78=$AM78),$AI78&gt;0,$AM78&gt;0,BZ78&gt;0), ($AM78*BZ78)/$AI78,     AND($AI78=0,$AM78&gt;0,$AQ78&gt;0), IF(INDEX(BZ$12:BZ$263,MATCH($AQ78,$AP$12:$AP$263,0))&gt;0,($AM78*INDEX(BZ$12:BZ$263,MATCH($AQ78,$AP$12:$AP$263,0)))/INDEX($AI$12:$AI$263,MATCH($AQ78,$AP$12:$AP$263,0)), "-"),     TRUE, "0")</f>
        <v>0</v>
      </c>
      <c r="CB78" s="588">
        <f>IF(CA$9&gt;0, IF(OR(CA78="",CA78="-"), 0, CA78*$AT78), BZ78*$AJ78)</f>
        <v>0</v>
      </c>
      <c r="CC78" s="587">
        <f>[1]COMMANDE!AK76</f>
        <v>0</v>
      </c>
      <c r="CD78" s="586" t="str">
        <f>_xlfn.IFS(AND($AI78=$AM78,$AI78&gt;0,$AM78&gt;0,CC78&gt;0), CC78,     AND(NOT($AI78=$AM78),$AI78&gt;0,$AM78&gt;0,CC78&gt;0), ($AM78*CC78)/$AI78,     AND($AI78=0,$AM78&gt;0,$AQ78&gt;0), IF(INDEX(CC$12:CC$263,MATCH($AQ78,$AP$12:$AP$263,0))&gt;0,($AM78*INDEX(CC$12:CC$263,MATCH($AQ78,$AP$12:$AP$263,0)))/INDEX($AI$12:$AI$263,MATCH($AQ78,$AP$12:$AP$263,0)), "-"),     TRUE, "0")</f>
        <v>0</v>
      </c>
      <c r="CE78" s="607">
        <f>IF(CD$9&gt;0, IF(OR(CD78="",CD78="-"), 0, CD78*$AT78), CC78*$AJ78)</f>
        <v>0</v>
      </c>
      <c r="CF78" s="589">
        <f>[1]COMMANDE!AM76</f>
        <v>0</v>
      </c>
      <c r="CG78" s="586" t="str">
        <f>_xlfn.IFS(AND($AI78=$AM78,$AI78&gt;0,$AM78&gt;0,CF78&gt;0), CF78,     AND(NOT($AI78=$AM78),$AI78&gt;0,$AM78&gt;0,CF78&gt;0), ($AM78*CF78)/$AI78,     AND($AI78=0,$AM78&gt;0,$AQ78&gt;0), IF(INDEX(CF$12:CF$263,MATCH($AQ78,$AP$12:$AP$263,0))&gt;0,($AM78*INDEX(CF$12:CF$263,MATCH($AQ78,$AP$12:$AP$263,0)))/INDEX($AI$12:$AI$263,MATCH($AQ78,$AP$12:$AP$263,0)), "-"),     TRUE, "0")</f>
        <v>0</v>
      </c>
      <c r="CH78" s="588">
        <f>IF(CG$9&gt;0, IF(OR(CG78="",CG78="-"), 0, CG78*$AT78), CF78*$AJ78)</f>
        <v>0</v>
      </c>
      <c r="CI78" s="587">
        <f>[1]COMMANDE!AO76</f>
        <v>0</v>
      </c>
      <c r="CJ78" s="586" t="str">
        <f>_xlfn.IFS(AND($AI78=$AM78,$AI78&gt;0,$AM78&gt;0,CI78&gt;0), CI78,     AND(NOT($AI78=$AM78),$AI78&gt;0,$AM78&gt;0,CI78&gt;0), ($AM78*CI78)/$AI78,     AND($AI78=0,$AM78&gt;0,$AQ78&gt;0), IF(INDEX(CI$12:CI$263,MATCH($AQ78,$AP$12:$AP$263,0))&gt;0,($AM78*INDEX(CI$12:CI$263,MATCH($AQ78,$AP$12:$AP$263,0)))/INDEX($AI$12:$AI$263,MATCH($AQ78,$AP$12:$AP$263,0)), "-"),     TRUE, "0")</f>
        <v>0</v>
      </c>
      <c r="CK78" s="607">
        <f>IF(CJ$9&gt;0, IF(OR(CJ78="",CJ78="-"), 0, CJ78*$AT78), CI78*$AJ78)</f>
        <v>0</v>
      </c>
      <c r="CL78" s="589">
        <f>[1]COMMANDE!AQ76</f>
        <v>0</v>
      </c>
      <c r="CM78" s="586" t="str">
        <f>_xlfn.IFS(AND($AI78=$AM78,$AI78&gt;0,$AM78&gt;0,CL78&gt;0), CL78,     AND(NOT($AI78=$AM78),$AI78&gt;0,$AM78&gt;0,CL78&gt;0), ($AM78*CL78)/$AI78,     AND($AI78=0,$AM78&gt;0,$AQ78&gt;0), IF(INDEX(CL$12:CL$263,MATCH($AQ78,$AP$12:$AP$263,0))&gt;0,($AM78*INDEX(CL$12:CL$263,MATCH($AQ78,$AP$12:$AP$263,0)))/INDEX($AI$12:$AI$263,MATCH($AQ78,$AP$12:$AP$263,0)), "-"),     TRUE, "0")</f>
        <v>0</v>
      </c>
      <c r="CN78" s="588">
        <f>IF(CM$9&gt;0, IF(OR(CM78="",CM78="-"), 0, CM78*$AT78), CL78*$AJ78)</f>
        <v>0</v>
      </c>
      <c r="CO78" s="587">
        <f>[1]COMMANDE!AS76</f>
        <v>0</v>
      </c>
      <c r="CP78" s="586" t="str">
        <f>_xlfn.IFS(AND($AI78=$AM78,$AI78&gt;0,$AM78&gt;0,CO78&gt;0), CO78,     AND(NOT($AI78=$AM78),$AI78&gt;0,$AM78&gt;0,CO78&gt;0), ($AM78*CO78)/$AI78,     AND($AI78=0,$AM78&gt;0,$AQ78&gt;0), IF(INDEX(CO$12:CO$263,MATCH($AQ78,$AP$12:$AP$263,0))&gt;0,($AM78*INDEX(CO$12:CO$263,MATCH($AQ78,$AP$12:$AP$263,0)))/INDEX($AI$12:$AI$263,MATCH($AQ78,$AP$12:$AP$263,0)), "-"),     TRUE, "0")</f>
        <v>0</v>
      </c>
      <c r="CQ78" s="607">
        <f>IF(CP$9&gt;0, IF(OR(CP78="",CP78="-"), 0, CP78*$AT78), CO78*$AJ78)</f>
        <v>0</v>
      </c>
      <c r="CR78" s="589">
        <f>[1]COMMANDE!AU76</f>
        <v>0</v>
      </c>
      <c r="CS78" s="586" t="str">
        <f>_xlfn.IFS(AND($AI78=$AM78,$AI78&gt;0,$AM78&gt;0,CR78&gt;0), CR78,     AND(NOT($AI78=$AM78),$AI78&gt;0,$AM78&gt;0,CR78&gt;0), ($AM78*CR78)/$AI78,     AND($AI78=0,$AM78&gt;0,$AQ78&gt;0), IF(INDEX(CR$12:CR$263,MATCH($AQ78,$AP$12:$AP$263,0))&gt;0,($AM78*INDEX(CR$12:CR$263,MATCH($AQ78,$AP$12:$AP$263,0)))/INDEX($AI$12:$AI$263,MATCH($AQ78,$AP$12:$AP$263,0)), "-"),     TRUE, "0")</f>
        <v>0</v>
      </c>
      <c r="CT78" s="588">
        <f>IF(CS$9&gt;0, IF(OR(CS78="",CS78="-"), 0, CS78*$AT78), CR78*$AJ78)</f>
        <v>0</v>
      </c>
      <c r="CU78" s="587">
        <f>[1]COMMANDE!AW76</f>
        <v>0</v>
      </c>
      <c r="CV78" s="586" t="str">
        <f>_xlfn.IFS(AND($AI78=$AM78,$AI78&gt;0,$AM78&gt;0,CU78&gt;0), CU78,     AND(NOT($AI78=$AM78),$AI78&gt;0,$AM78&gt;0,CU78&gt;0), ($AM78*CU78)/$AI78,     AND($AI78=0,$AM78&gt;0,$AQ78&gt;0), IF(INDEX(CU$12:CU$263,MATCH($AQ78,$AP$12:$AP$263,0))&gt;0,($AM78*INDEX(CU$12:CU$263,MATCH($AQ78,$AP$12:$AP$263,0)))/INDEX($AI$12:$AI$263,MATCH($AQ78,$AP$12:$AP$263,0)), "-"),     TRUE, "0")</f>
        <v>0</v>
      </c>
      <c r="CW78" s="607">
        <f>IF(CV$9&gt;0, IF(OR(CV78="",CV78="-"), 0, CV78*$AT78), CU78*$AJ78)</f>
        <v>0</v>
      </c>
      <c r="CX78" s="589">
        <f>[1]COMMANDE!AY76</f>
        <v>0</v>
      </c>
      <c r="CY78" s="586" t="str">
        <f>_xlfn.IFS(AND($AI78=$AM78,$AI78&gt;0,$AM78&gt;0,CX78&gt;0), CX78,     AND(NOT($AI78=$AM78),$AI78&gt;0,$AM78&gt;0,CX78&gt;0), ($AM78*CX78)/$AI78,     AND($AI78=0,$AM78&gt;0,$AQ78&gt;0), IF(INDEX(CX$12:CX$263,MATCH($AQ78,$AP$12:$AP$263,0))&gt;0,($AM78*INDEX(CX$12:CX$263,MATCH($AQ78,$AP$12:$AP$263,0)))/INDEX($AI$12:$AI$263,MATCH($AQ78,$AP$12:$AP$263,0)), "-"),     TRUE, "0")</f>
        <v>0</v>
      </c>
      <c r="CZ78" s="588">
        <f>IF(CY$9&gt;0, IF(OR(CY78="",CY78="-"), 0, CY78*$AT78), CX78*$AJ78)</f>
        <v>0</v>
      </c>
      <c r="DA78" s="587">
        <f>[1]COMMANDE!BA76</f>
        <v>0</v>
      </c>
      <c r="DB78" s="586" t="str">
        <f>_xlfn.IFS(AND($AI78=$AM78,$AI78&gt;0,$AM78&gt;0,DA78&gt;0), DA78,     AND(NOT($AI78=$AM78),$AI78&gt;0,$AM78&gt;0,DA78&gt;0), ($AM78*DA78)/$AI78,     AND($AI78=0,$AM78&gt;0,$AQ78&gt;0), IF(INDEX(DA$12:DA$263,MATCH($AQ78,$AP$12:$AP$263,0))&gt;0,($AM78*INDEX(DA$12:DA$263,MATCH($AQ78,$AP$12:$AP$263,0)))/INDEX($AI$12:$AI$263,MATCH($AQ78,$AP$12:$AP$263,0)), "-"),     TRUE, "0")</f>
        <v>0</v>
      </c>
      <c r="DC78" s="606">
        <f>IF(DB$9&gt;0, IF(OR(DB78="",DB78="-"), 0, DB78*$AT78), DA78*$AJ78)</f>
        <v>0</v>
      </c>
      <c r="DD78" s="584"/>
      <c r="DE78" s="583"/>
    </row>
    <row r="79" spans="1:109" ht="39.950000000000003" hidden="1" customHeight="1">
      <c r="A79" s="604">
        <f>IF(OR($AV79&gt;0, $AX79&gt;0), 1, 0)</f>
        <v>0</v>
      </c>
      <c r="B79" s="604">
        <f>IF(OR($AY79&gt;0, $BA79&gt;0), 1, 0)</f>
        <v>0</v>
      </c>
      <c r="C79" s="604">
        <f>IF(OR($BB79&gt;0, $BD79&gt;0), 1, 0)</f>
        <v>0</v>
      </c>
      <c r="D79" s="604">
        <f>IF(OR($BE79&gt;0, $BG79&gt;0), 1, 0)</f>
        <v>0</v>
      </c>
      <c r="E79" s="604">
        <f>IF(OR($BH79&gt;0, $BJ79&gt;0), 1, 0)</f>
        <v>0</v>
      </c>
      <c r="F79" s="604">
        <f>IF(OR($BK79&gt;0, $BM79&gt;0), 1, 0)</f>
        <v>0</v>
      </c>
      <c r="G79" s="604">
        <f>IF(OR($BN79&gt;0, $BP79&gt;0), 1, 0)</f>
        <v>0</v>
      </c>
      <c r="H79" s="604">
        <f>IF(OR($BQ79&gt;0, $BS79&gt;0), 1, 0)</f>
        <v>0</v>
      </c>
      <c r="I79" s="604">
        <f>IF(OR($BT79&gt;0, $BV79&gt;0), 1, 0)</f>
        <v>0</v>
      </c>
      <c r="J79" s="604">
        <f>IF(OR($BW79&gt;0, $BY79&gt;0), 1, 0)</f>
        <v>0</v>
      </c>
      <c r="K79" s="604">
        <f>IF(OR($BZ79&gt;0, $CB79&gt;0), 1, 0)</f>
        <v>0</v>
      </c>
      <c r="L79" s="604">
        <f>IF(OR($CC79&gt;0, $CE79&gt;0), 1, 0)</f>
        <v>0</v>
      </c>
      <c r="M79" s="604">
        <f>IF(OR($CF79&gt;0, $CH79&gt;0), 1, 0)</f>
        <v>0</v>
      </c>
      <c r="N79" s="604">
        <f>IF(OR($CI79&gt;0, $CK79&gt;0), 1, 0)</f>
        <v>0</v>
      </c>
      <c r="O79" s="604">
        <f>IF(OR($CL79&gt;0, $CN79&gt;0), 1, 0)</f>
        <v>0</v>
      </c>
      <c r="P79" s="604">
        <f>IF(OR($CO79&gt;0, $CQ79&gt;0), 1, 0)</f>
        <v>0</v>
      </c>
      <c r="Q79" s="604">
        <f>IF(OR($CR79&gt;0, $CT79&gt;0), 1, 0)</f>
        <v>0</v>
      </c>
      <c r="R79" s="604">
        <f>IF(OR($CU79&gt;0, $CW79&gt;0), 1, 0)</f>
        <v>0</v>
      </c>
      <c r="S79" s="604">
        <f>IF(OR($CX79&gt;0, $CZ79&gt;0), 1, 0)</f>
        <v>0</v>
      </c>
      <c r="T79" s="604">
        <f>IF(OR($DA79&gt;0, $DC79&gt;0), 1, 0)</f>
        <v>0</v>
      </c>
      <c r="U79" s="603">
        <f>IF(OR($AI79&gt;0,$AM79&gt;0,$AS79&gt;0), 1, 0)</f>
        <v>0</v>
      </c>
      <c r="V79" s="602">
        <f>[1]BDD!A69</f>
        <v>6019</v>
      </c>
      <c r="W79" s="601" t="str">
        <f>[1]BDD!B69</f>
        <v>Citron Caviar BIO
    - (plateau de 500g)</v>
      </c>
      <c r="X79" s="600" t="str">
        <f>IF([1]BDD!F69=0, "", [1]BDD!F69)</f>
        <v>❤️</v>
      </c>
      <c r="Y79" s="542">
        <f>ROUND([1]BDD!G69+FDP_CMD_KG, 2)</f>
        <v>28.24</v>
      </c>
      <c r="Z79" s="542">
        <f>ROUND([1]BDD!G69+FDP_FACT_KG, 2)</f>
        <v>28.24</v>
      </c>
      <c r="AA79" s="543" t="str">
        <f>[1]BDD!H69</f>
        <v>500g</v>
      </c>
      <c r="AB79" s="544" t="str">
        <f>IF(NOT(ISBLANK([1]BDD!I69)), ROUND(SUM(([1]BDD!G69*reduc1),FDP_CMD_KG), 2), "")</f>
        <v/>
      </c>
      <c r="AC79" s="544" t="str">
        <f>IF(NOT(ISBLANK([1]BDD!J69)), ROUND(SUM(([1]BDD!G69*reduc2),FDP_CMD_KG), 2), "")</f>
        <v/>
      </c>
      <c r="AD79" s="544" t="str">
        <f>IF(NOT(ISBLANK([1]BDD!K69)), ROUND(SUM(([1]BDD!G69*reduc3),FDP_CMD_KG), 2), "")</f>
        <v/>
      </c>
      <c r="AE79" s="544" t="str">
        <f>IF(NOT(ISBLANK([1]BDD!I69)), ROUND(SUM(([1]BDD!G69*reduc1),FDP_FACT_KG), 2), "")</f>
        <v/>
      </c>
      <c r="AF79" s="544" t="str">
        <f>IF(NOT(ISBLANK([1]BDD!J69)), ROUND(SUM(([1]BDD!G69*reduc2),FDP_FACT_KG), 2), "")</f>
        <v/>
      </c>
      <c r="AG79" s="544" t="str">
        <f>IF(NOT(ISBLANK([1]BDD!K69)), ROUND(SUM(([1]BDD!G69*reduc3),FDP_FACT_KG), 2), "")</f>
        <v/>
      </c>
      <c r="AH79" s="599" t="str">
        <f>[1]BDD!C69</f>
        <v>Grenade</v>
      </c>
      <c r="AI79" s="598">
        <f>SUM(AV79,AY79,BB79,BE79,BH79,BK79,BN79,BQ79,BT79,BW79,BZ79,CC79,CF79,CI79,CL79,CO79,CR79,CU79,CX79,DA79)</f>
        <v>0</v>
      </c>
      <c r="AJ79" s="545">
        <f>_xlfn.IFS($AD79&lt;&gt;"", $AD79,    $AC79&lt;&gt;"", $AC79,    $AB79&lt;&gt;"", $AB79,    TRUE, $Y79)</f>
        <v>28.24</v>
      </c>
      <c r="AK79" s="592">
        <f>$AI79*$AJ79</f>
        <v>0</v>
      </c>
      <c r="AL79" s="594"/>
      <c r="AM79" s="597"/>
      <c r="AN79" s="545">
        <f>_xlfn.IFS(AND(AM79&gt;=60,$AG79&lt;&gt;""), $AG79,    AND(AM79&gt;=30,$AF79&lt;&gt;""), $AF79,    AND(AM79&gt;=10,$AE79&lt;&gt;""), $AE79,    TRUE, $Z79)</f>
        <v>28.24</v>
      </c>
      <c r="AO79" s="596">
        <f>AM79*AN79</f>
        <v>0</v>
      </c>
      <c r="AP79" s="595"/>
      <c r="AQ79" s="595"/>
      <c r="AR79" s="594"/>
      <c r="AS79" s="593">
        <f>SUM(AW79,AZ79,BC79,BF79,BI79,BL79,BO79,BR79,BU79,BX79,CA79,CD79,CG79,CJ79,CM79,CP79,CS79,CV79,CY79,DB79)</f>
        <v>0</v>
      </c>
      <c r="AT79" s="545">
        <f>_xlfn.IFS(AND(AS79&gt;=60,$AG79&lt;&gt;""), $AG79,    AND(AS79&gt;=30,$AF79&lt;&gt;""), $AF79,    AND(AS79&gt;=10,$AE79&lt;&gt;""), $AE79,    TRUE, $Z79)</f>
        <v>28.24</v>
      </c>
      <c r="AU79" s="592">
        <f>$AS79*$AT79</f>
        <v>0</v>
      </c>
      <c r="AV79" s="591">
        <f>[1]COMMANDE!O77</f>
        <v>0</v>
      </c>
      <c r="AW79" s="586" t="str">
        <f>_xlfn.IFS(AND($AI79=$AM79,$AI79&gt;0,$AM79&gt;0,AV79&gt;0), AV79,     AND(NOT($AI79=$AM79),$AI79&gt;0,$AM79&gt;0,AV79&gt;0), ($AM79*AV79)/$AI79,     AND($AI79=0,$AM79&gt;0,$AQ79&gt;0), IF(INDEX(AV$12:AV$263,MATCH($AQ79,$AP$12:$AP$263,0))&gt;0,($AM79*INDEX(AV$12:AV$263,MATCH($AQ79,$AP$12:$AP$263,0)))/INDEX($AI$12:$AI$263,MATCH($AQ79,$AP$12:$AP$263,0)), "-"),     TRUE, "0")</f>
        <v>0</v>
      </c>
      <c r="AX79" s="588">
        <f>IF(AW$9&gt;0, IF(OR(AW79="",AW79="-"), 0, AW79*$AT79), AV79*$AJ79)</f>
        <v>0</v>
      </c>
      <c r="AY79" s="587">
        <f>[1]COMMANDE!Q77</f>
        <v>0</v>
      </c>
      <c r="AZ79" s="586" t="str">
        <f>_xlfn.IFS(AND($AI79=$AM79,$AI79&gt;0,$AM79&gt;0,AY79&gt;0), AY79,     AND(NOT($AI79=$AM79),$AI79&gt;0,$AM79&gt;0,AY79&gt;0), ($AM79*AY79)/$AI79,     AND($AI79=0,$AM79&gt;0,$AQ79&gt;0), IF(INDEX(AY$12:AY$263,MATCH($AQ79,$AP$12:$AP$263,0))&gt;0,($AM79*INDEX(AY$12:AY$263,MATCH($AQ79,$AP$12:$AP$263,0)))/INDEX($AI$12:$AI$263,MATCH($AQ79,$AP$12:$AP$263,0)), "-"),     TRUE, "0")</f>
        <v>0</v>
      </c>
      <c r="BA79" s="607">
        <f>IF(AZ$9&gt;0, IF(OR(AZ79="",AZ79="-"), 0, AZ79*$AT79), AY79*$AJ79)</f>
        <v>0</v>
      </c>
      <c r="BB79" s="589">
        <f>[1]COMMANDE!S77</f>
        <v>0</v>
      </c>
      <c r="BC79" s="586" t="str">
        <f>_xlfn.IFS(AND($AI79=$AM79,$AI79&gt;0,$AM79&gt;0,BB79&gt;0), BB79,     AND(NOT($AI79=$AM79),$AI79&gt;0,$AM79&gt;0,BB79&gt;0), ($AM79*BB79)/$AI79,     AND($AI79=0,$AM79&gt;0,$AQ79&gt;0), IF(INDEX(BB$12:BB$263,MATCH($AQ79,$AP$12:$AP$263,0))&gt;0,($AM79*INDEX(BB$12:BB$263,MATCH($AQ79,$AP$12:$AP$263,0)))/INDEX($AI$12:$AI$263,MATCH($AQ79,$AP$12:$AP$263,0)), "-"),     TRUE, "0")</f>
        <v>0</v>
      </c>
      <c r="BD79" s="588">
        <f>IF(BC$9&gt;0, IF(OR(BC79="",BC79="-"), 0, BC79*$AT79), BB79*$AJ79)</f>
        <v>0</v>
      </c>
      <c r="BE79" s="587">
        <f>[1]COMMANDE!U77</f>
        <v>0</v>
      </c>
      <c r="BF79" s="586" t="str">
        <f>_xlfn.IFS(AND($AI79=$AM79,$AI79&gt;0,$AM79&gt;0,BE79&gt;0), BE79,     AND(NOT($AI79=$AM79),$AI79&gt;0,$AM79&gt;0,BE79&gt;0), ($AM79*BE79)/$AI79,     AND($AI79=0,$AM79&gt;0,$AQ79&gt;0), IF(INDEX(BE$12:BE$263,MATCH($AQ79,$AP$12:$AP$263,0))&gt;0,($AM79*INDEX(BE$12:BE$263,MATCH($AQ79,$AP$12:$AP$263,0)))/INDEX($AI$12:$AI$263,MATCH($AQ79,$AP$12:$AP$263,0)), "-"),     TRUE, "0")</f>
        <v>0</v>
      </c>
      <c r="BG79" s="607">
        <f>IF(BF$9&gt;0, IF(OR(BF79="",BF79="-"), 0, BF79*$AT79), BE79*$AJ79)</f>
        <v>0</v>
      </c>
      <c r="BH79" s="589">
        <f>[1]COMMANDE!W77</f>
        <v>0</v>
      </c>
      <c r="BI79" s="586" t="str">
        <f>_xlfn.IFS(AND($AI79=$AM79,$AI79&gt;0,$AM79&gt;0,BH79&gt;0), BH79,     AND(NOT($AI79=$AM79),$AI79&gt;0,$AM79&gt;0,BH79&gt;0), ($AM79*BH79)/$AI79,     AND($AI79=0,$AM79&gt;0,$AQ79&gt;0), IF(INDEX(BH$12:BH$263,MATCH($AQ79,$AP$12:$AP$263,0))&gt;0,($AM79*INDEX(BH$12:BH$263,MATCH($AQ79,$AP$12:$AP$263,0)))/INDEX($AI$12:$AI$263,MATCH($AQ79,$AP$12:$AP$263,0)), "-"),     TRUE, "0")</f>
        <v>0</v>
      </c>
      <c r="BJ79" s="588">
        <f>IF(BI$9&gt;0, IF(OR(BI79="",BI79="-"), 0, BI79*$AT79), BH79*$AJ79)</f>
        <v>0</v>
      </c>
      <c r="BK79" s="587">
        <f>[1]COMMANDE!Y77</f>
        <v>0</v>
      </c>
      <c r="BL79" s="586" t="str">
        <f>_xlfn.IFS(AND($AI79=$AM79,$AI79&gt;0,$AM79&gt;0,BK79&gt;0), BK79,     AND(NOT($AI79=$AM79),$AI79&gt;0,$AM79&gt;0,BK79&gt;0), ($AM79*BK79)/$AI79,     AND($AI79=0,$AM79&gt;0,$AQ79&gt;0), IF(INDEX(BK$12:BK$263,MATCH($AQ79,$AP$12:$AP$263,0))&gt;0,($AM79*INDEX(BK$12:BK$263,MATCH($AQ79,$AP$12:$AP$263,0)))/INDEX($AI$12:$AI$263,MATCH($AQ79,$AP$12:$AP$263,0)), "-"),     TRUE, "0")</f>
        <v>0</v>
      </c>
      <c r="BM79" s="607">
        <f>IF(BL$9&gt;0, IF(OR(BL79="",BL79="-"), 0, BL79*$AT79), BK79*$AJ79)</f>
        <v>0</v>
      </c>
      <c r="BN79" s="589">
        <f>[1]COMMANDE!AA77</f>
        <v>0</v>
      </c>
      <c r="BO79" s="586" t="str">
        <f>_xlfn.IFS(AND($AI79=$AM79,$AI79&gt;0,$AM79&gt;0,BN79&gt;0), BN79,     AND(NOT($AI79=$AM79),$AI79&gt;0,$AM79&gt;0,BN79&gt;0), ($AM79*BN79)/$AI79,     AND($AI79=0,$AM79&gt;0,$AQ79&gt;0), IF(INDEX(BN$12:BN$263,MATCH($AQ79,$AP$12:$AP$263,0))&gt;0,($AM79*INDEX(BN$12:BN$263,MATCH($AQ79,$AP$12:$AP$263,0)))/INDEX($AI$12:$AI$263,MATCH($AQ79,$AP$12:$AP$263,0)), "-"),     TRUE, "0")</f>
        <v>0</v>
      </c>
      <c r="BP79" s="588">
        <f>IF(BO$9&gt;0, IF(OR(BO79="",BO79="-"), 0, BO79*$AT79), BN79*$AJ79)</f>
        <v>0</v>
      </c>
      <c r="BQ79" s="587">
        <f>[1]COMMANDE!AC77</f>
        <v>0</v>
      </c>
      <c r="BR79" s="586" t="str">
        <f>_xlfn.IFS(AND($AI79=$AM79,$AI79&gt;0,$AM79&gt;0,BQ79&gt;0), BQ79,     AND(NOT($AI79=$AM79),$AI79&gt;0,$AM79&gt;0,BQ79&gt;0), ($AM79*BQ79)/$AI79,     AND($AI79=0,$AM79&gt;0,$AQ79&gt;0), IF(INDEX(BQ$12:BQ$263,MATCH($AQ79,$AP$12:$AP$263,0))&gt;0,($AM79*INDEX(BQ$12:BQ$263,MATCH($AQ79,$AP$12:$AP$263,0)))/INDEX($AI$12:$AI$263,MATCH($AQ79,$AP$12:$AP$263,0)), "-"),     TRUE, "0")</f>
        <v>0</v>
      </c>
      <c r="BS79" s="607">
        <f>IF(BR$9&gt;0, IF(OR(BR79="",BR79="-"), 0, BR79*$AT79), BQ79*$AJ79)</f>
        <v>0</v>
      </c>
      <c r="BT79" s="589">
        <f>[1]COMMANDE!AE77</f>
        <v>0</v>
      </c>
      <c r="BU79" s="586" t="str">
        <f>_xlfn.IFS(AND($AI79=$AM79,$AI79&gt;0,$AM79&gt;0,BT79&gt;0), BT79,     AND(NOT($AI79=$AM79),$AI79&gt;0,$AM79&gt;0,BT79&gt;0), ($AM79*BT79)/$AI79,     AND($AI79=0,$AM79&gt;0,$AQ79&gt;0), IF(INDEX(BT$12:BT$263,MATCH($AQ79,$AP$12:$AP$263,0))&gt;0,($AM79*INDEX(BT$12:BT$263,MATCH($AQ79,$AP$12:$AP$263,0)))/INDEX($AI$12:$AI$263,MATCH($AQ79,$AP$12:$AP$263,0)), "-"),     TRUE, "0")</f>
        <v>0</v>
      </c>
      <c r="BV79" s="588">
        <f>IF(BU$9&gt;0, IF(OR(BU79="",BU79="-"), 0, BU79*$AT79), BT79*$AJ79)</f>
        <v>0</v>
      </c>
      <c r="BW79" s="587">
        <f>[1]COMMANDE!AG77</f>
        <v>0</v>
      </c>
      <c r="BX79" s="586" t="str">
        <f>_xlfn.IFS(AND($AI79=$AM79,$AI79&gt;0,$AM79&gt;0,BW79&gt;0), BW79,     AND(NOT($AI79=$AM79),$AI79&gt;0,$AM79&gt;0,BW79&gt;0), ($AM79*BW79)/$AI79,     AND($AI79=0,$AM79&gt;0,$AQ79&gt;0), IF(INDEX(BW$12:BW$263,MATCH($AQ79,$AP$12:$AP$263,0))&gt;0,($AM79*INDEX(BW$12:BW$263,MATCH($AQ79,$AP$12:$AP$263,0)))/INDEX($AI$12:$AI$263,MATCH($AQ79,$AP$12:$AP$263,0)), "-"),     TRUE, "0")</f>
        <v>0</v>
      </c>
      <c r="BY79" s="607">
        <f>IF(BX$9&gt;0, IF(OR(BX79="",BX79="-"), 0, BX79*$AT79), BW79*$AJ79)</f>
        <v>0</v>
      </c>
      <c r="BZ79" s="589">
        <f>[1]COMMANDE!AI77</f>
        <v>0</v>
      </c>
      <c r="CA79" s="586" t="str">
        <f>_xlfn.IFS(AND($AI79=$AM79,$AI79&gt;0,$AM79&gt;0,BZ79&gt;0), BZ79,     AND(NOT($AI79=$AM79),$AI79&gt;0,$AM79&gt;0,BZ79&gt;0), ($AM79*BZ79)/$AI79,     AND($AI79=0,$AM79&gt;0,$AQ79&gt;0), IF(INDEX(BZ$12:BZ$263,MATCH($AQ79,$AP$12:$AP$263,0))&gt;0,($AM79*INDEX(BZ$12:BZ$263,MATCH($AQ79,$AP$12:$AP$263,0)))/INDEX($AI$12:$AI$263,MATCH($AQ79,$AP$12:$AP$263,0)), "-"),     TRUE, "0")</f>
        <v>0</v>
      </c>
      <c r="CB79" s="588">
        <f>IF(CA$9&gt;0, IF(OR(CA79="",CA79="-"), 0, CA79*$AT79), BZ79*$AJ79)</f>
        <v>0</v>
      </c>
      <c r="CC79" s="587">
        <f>[1]COMMANDE!AK77</f>
        <v>0</v>
      </c>
      <c r="CD79" s="586" t="str">
        <f>_xlfn.IFS(AND($AI79=$AM79,$AI79&gt;0,$AM79&gt;0,CC79&gt;0), CC79,     AND(NOT($AI79=$AM79),$AI79&gt;0,$AM79&gt;0,CC79&gt;0), ($AM79*CC79)/$AI79,     AND($AI79=0,$AM79&gt;0,$AQ79&gt;0), IF(INDEX(CC$12:CC$263,MATCH($AQ79,$AP$12:$AP$263,0))&gt;0,($AM79*INDEX(CC$12:CC$263,MATCH($AQ79,$AP$12:$AP$263,0)))/INDEX($AI$12:$AI$263,MATCH($AQ79,$AP$12:$AP$263,0)), "-"),     TRUE, "0")</f>
        <v>0</v>
      </c>
      <c r="CE79" s="607">
        <f>IF(CD$9&gt;0, IF(OR(CD79="",CD79="-"), 0, CD79*$AT79), CC79*$AJ79)</f>
        <v>0</v>
      </c>
      <c r="CF79" s="589">
        <f>[1]COMMANDE!AM77</f>
        <v>0</v>
      </c>
      <c r="CG79" s="586" t="str">
        <f>_xlfn.IFS(AND($AI79=$AM79,$AI79&gt;0,$AM79&gt;0,CF79&gt;0), CF79,     AND(NOT($AI79=$AM79),$AI79&gt;0,$AM79&gt;0,CF79&gt;0), ($AM79*CF79)/$AI79,     AND($AI79=0,$AM79&gt;0,$AQ79&gt;0), IF(INDEX(CF$12:CF$263,MATCH($AQ79,$AP$12:$AP$263,0))&gt;0,($AM79*INDEX(CF$12:CF$263,MATCH($AQ79,$AP$12:$AP$263,0)))/INDEX($AI$12:$AI$263,MATCH($AQ79,$AP$12:$AP$263,0)), "-"),     TRUE, "0")</f>
        <v>0</v>
      </c>
      <c r="CH79" s="588">
        <f>IF(CG$9&gt;0, IF(OR(CG79="",CG79="-"), 0, CG79*$AT79), CF79*$AJ79)</f>
        <v>0</v>
      </c>
      <c r="CI79" s="587">
        <f>[1]COMMANDE!AO77</f>
        <v>0</v>
      </c>
      <c r="CJ79" s="586" t="str">
        <f>_xlfn.IFS(AND($AI79=$AM79,$AI79&gt;0,$AM79&gt;0,CI79&gt;0), CI79,     AND(NOT($AI79=$AM79),$AI79&gt;0,$AM79&gt;0,CI79&gt;0), ($AM79*CI79)/$AI79,     AND($AI79=0,$AM79&gt;0,$AQ79&gt;0), IF(INDEX(CI$12:CI$263,MATCH($AQ79,$AP$12:$AP$263,0))&gt;0,($AM79*INDEX(CI$12:CI$263,MATCH($AQ79,$AP$12:$AP$263,0)))/INDEX($AI$12:$AI$263,MATCH($AQ79,$AP$12:$AP$263,0)), "-"),     TRUE, "0")</f>
        <v>0</v>
      </c>
      <c r="CK79" s="607">
        <f>IF(CJ$9&gt;0, IF(OR(CJ79="",CJ79="-"), 0, CJ79*$AT79), CI79*$AJ79)</f>
        <v>0</v>
      </c>
      <c r="CL79" s="589">
        <f>[1]COMMANDE!AQ77</f>
        <v>0</v>
      </c>
      <c r="CM79" s="586" t="str">
        <f>_xlfn.IFS(AND($AI79=$AM79,$AI79&gt;0,$AM79&gt;0,CL79&gt;0), CL79,     AND(NOT($AI79=$AM79),$AI79&gt;0,$AM79&gt;0,CL79&gt;0), ($AM79*CL79)/$AI79,     AND($AI79=0,$AM79&gt;0,$AQ79&gt;0), IF(INDEX(CL$12:CL$263,MATCH($AQ79,$AP$12:$AP$263,0))&gt;0,($AM79*INDEX(CL$12:CL$263,MATCH($AQ79,$AP$12:$AP$263,0)))/INDEX($AI$12:$AI$263,MATCH($AQ79,$AP$12:$AP$263,0)), "-"),     TRUE, "0")</f>
        <v>0</v>
      </c>
      <c r="CN79" s="588">
        <f>IF(CM$9&gt;0, IF(OR(CM79="",CM79="-"), 0, CM79*$AT79), CL79*$AJ79)</f>
        <v>0</v>
      </c>
      <c r="CO79" s="587">
        <f>[1]COMMANDE!AS77</f>
        <v>0</v>
      </c>
      <c r="CP79" s="586" t="str">
        <f>_xlfn.IFS(AND($AI79=$AM79,$AI79&gt;0,$AM79&gt;0,CO79&gt;0), CO79,     AND(NOT($AI79=$AM79),$AI79&gt;0,$AM79&gt;0,CO79&gt;0), ($AM79*CO79)/$AI79,     AND($AI79=0,$AM79&gt;0,$AQ79&gt;0), IF(INDEX(CO$12:CO$263,MATCH($AQ79,$AP$12:$AP$263,0))&gt;0,($AM79*INDEX(CO$12:CO$263,MATCH($AQ79,$AP$12:$AP$263,0)))/INDEX($AI$12:$AI$263,MATCH($AQ79,$AP$12:$AP$263,0)), "-"),     TRUE, "0")</f>
        <v>0</v>
      </c>
      <c r="CQ79" s="607">
        <f>IF(CP$9&gt;0, IF(OR(CP79="",CP79="-"), 0, CP79*$AT79), CO79*$AJ79)</f>
        <v>0</v>
      </c>
      <c r="CR79" s="589">
        <f>[1]COMMANDE!AU77</f>
        <v>0</v>
      </c>
      <c r="CS79" s="586" t="str">
        <f>_xlfn.IFS(AND($AI79=$AM79,$AI79&gt;0,$AM79&gt;0,CR79&gt;0), CR79,     AND(NOT($AI79=$AM79),$AI79&gt;0,$AM79&gt;0,CR79&gt;0), ($AM79*CR79)/$AI79,     AND($AI79=0,$AM79&gt;0,$AQ79&gt;0), IF(INDEX(CR$12:CR$263,MATCH($AQ79,$AP$12:$AP$263,0))&gt;0,($AM79*INDEX(CR$12:CR$263,MATCH($AQ79,$AP$12:$AP$263,0)))/INDEX($AI$12:$AI$263,MATCH($AQ79,$AP$12:$AP$263,0)), "-"),     TRUE, "0")</f>
        <v>0</v>
      </c>
      <c r="CT79" s="588">
        <f>IF(CS$9&gt;0, IF(OR(CS79="",CS79="-"), 0, CS79*$AT79), CR79*$AJ79)</f>
        <v>0</v>
      </c>
      <c r="CU79" s="587">
        <f>[1]COMMANDE!AW77</f>
        <v>0</v>
      </c>
      <c r="CV79" s="586" t="str">
        <f>_xlfn.IFS(AND($AI79=$AM79,$AI79&gt;0,$AM79&gt;0,CU79&gt;0), CU79,     AND(NOT($AI79=$AM79),$AI79&gt;0,$AM79&gt;0,CU79&gt;0), ($AM79*CU79)/$AI79,     AND($AI79=0,$AM79&gt;0,$AQ79&gt;0), IF(INDEX(CU$12:CU$263,MATCH($AQ79,$AP$12:$AP$263,0))&gt;0,($AM79*INDEX(CU$12:CU$263,MATCH($AQ79,$AP$12:$AP$263,0)))/INDEX($AI$12:$AI$263,MATCH($AQ79,$AP$12:$AP$263,0)), "-"),     TRUE, "0")</f>
        <v>0</v>
      </c>
      <c r="CW79" s="607">
        <f>IF(CV$9&gt;0, IF(OR(CV79="",CV79="-"), 0, CV79*$AT79), CU79*$AJ79)</f>
        <v>0</v>
      </c>
      <c r="CX79" s="589">
        <f>[1]COMMANDE!AY77</f>
        <v>0</v>
      </c>
      <c r="CY79" s="586" t="str">
        <f>_xlfn.IFS(AND($AI79=$AM79,$AI79&gt;0,$AM79&gt;0,CX79&gt;0), CX79,     AND(NOT($AI79=$AM79),$AI79&gt;0,$AM79&gt;0,CX79&gt;0), ($AM79*CX79)/$AI79,     AND($AI79=0,$AM79&gt;0,$AQ79&gt;0), IF(INDEX(CX$12:CX$263,MATCH($AQ79,$AP$12:$AP$263,0))&gt;0,($AM79*INDEX(CX$12:CX$263,MATCH($AQ79,$AP$12:$AP$263,0)))/INDEX($AI$12:$AI$263,MATCH($AQ79,$AP$12:$AP$263,0)), "-"),     TRUE, "0")</f>
        <v>0</v>
      </c>
      <c r="CZ79" s="588">
        <f>IF(CY$9&gt;0, IF(OR(CY79="",CY79="-"), 0, CY79*$AT79), CX79*$AJ79)</f>
        <v>0</v>
      </c>
      <c r="DA79" s="587">
        <f>[1]COMMANDE!BA77</f>
        <v>0</v>
      </c>
      <c r="DB79" s="586" t="str">
        <f>_xlfn.IFS(AND($AI79=$AM79,$AI79&gt;0,$AM79&gt;0,DA79&gt;0), DA79,     AND(NOT($AI79=$AM79),$AI79&gt;0,$AM79&gt;0,DA79&gt;0), ($AM79*DA79)/$AI79,     AND($AI79=0,$AM79&gt;0,$AQ79&gt;0), IF(INDEX(DA$12:DA$263,MATCH($AQ79,$AP$12:$AP$263,0))&gt;0,($AM79*INDEX(DA$12:DA$263,MATCH($AQ79,$AP$12:$AP$263,0)))/INDEX($AI$12:$AI$263,MATCH($AQ79,$AP$12:$AP$263,0)), "-"),     TRUE, "0")</f>
        <v>0</v>
      </c>
      <c r="DC79" s="606">
        <f>IF(DB$9&gt;0, IF(OR(DB79="",DB79="-"), 0, DB79*$AT79), DA79*$AJ79)</f>
        <v>0</v>
      </c>
      <c r="DD79" s="584"/>
      <c r="DE79" s="583"/>
    </row>
    <row r="80" spans="1:109" ht="39.950000000000003" hidden="1" customHeight="1">
      <c r="A80" s="604">
        <f>IF(OR($AV80&gt;0, $AX80&gt;0), 1, 0)</f>
        <v>0</v>
      </c>
      <c r="B80" s="604">
        <f>IF(OR($AY80&gt;0, $BA80&gt;0), 1, 0)</f>
        <v>0</v>
      </c>
      <c r="C80" s="604">
        <f>IF(OR($BB80&gt;0, $BD80&gt;0), 1, 0)</f>
        <v>0</v>
      </c>
      <c r="D80" s="604">
        <f>IF(OR($BE80&gt;0, $BG80&gt;0), 1, 0)</f>
        <v>0</v>
      </c>
      <c r="E80" s="604">
        <f>IF(OR($BH80&gt;0, $BJ80&gt;0), 1, 0)</f>
        <v>0</v>
      </c>
      <c r="F80" s="604">
        <f>IF(OR($BK80&gt;0, $BM80&gt;0), 1, 0)</f>
        <v>0</v>
      </c>
      <c r="G80" s="604">
        <f>IF(OR($BN80&gt;0, $BP80&gt;0), 1, 0)</f>
        <v>0</v>
      </c>
      <c r="H80" s="604">
        <f>IF(OR($BQ80&gt;0, $BS80&gt;0), 1, 0)</f>
        <v>0</v>
      </c>
      <c r="I80" s="604">
        <f>IF(OR($BT80&gt;0, $BV80&gt;0), 1, 0)</f>
        <v>0</v>
      </c>
      <c r="J80" s="604">
        <f>IF(OR($BW80&gt;0, $BY80&gt;0), 1, 0)</f>
        <v>0</v>
      </c>
      <c r="K80" s="604">
        <f>IF(OR($BZ80&gt;0, $CB80&gt;0), 1, 0)</f>
        <v>0</v>
      </c>
      <c r="L80" s="604">
        <f>IF(OR($CC80&gt;0, $CE80&gt;0), 1, 0)</f>
        <v>0</v>
      </c>
      <c r="M80" s="604">
        <f>IF(OR($CF80&gt;0, $CH80&gt;0), 1, 0)</f>
        <v>0</v>
      </c>
      <c r="N80" s="604">
        <f>IF(OR($CI80&gt;0, $CK80&gt;0), 1, 0)</f>
        <v>0</v>
      </c>
      <c r="O80" s="604">
        <f>IF(OR($CL80&gt;0, $CN80&gt;0), 1, 0)</f>
        <v>0</v>
      </c>
      <c r="P80" s="604">
        <f>IF(OR($CO80&gt;0, $CQ80&gt;0), 1, 0)</f>
        <v>0</v>
      </c>
      <c r="Q80" s="604">
        <f>IF(OR($CR80&gt;0, $CT80&gt;0), 1, 0)</f>
        <v>0</v>
      </c>
      <c r="R80" s="604">
        <f>IF(OR($CU80&gt;0, $CW80&gt;0), 1, 0)</f>
        <v>0</v>
      </c>
      <c r="S80" s="604">
        <f>IF(OR($CX80&gt;0, $CZ80&gt;0), 1, 0)</f>
        <v>0</v>
      </c>
      <c r="T80" s="604">
        <f>IF(OR($DA80&gt;0, $DC80&gt;0), 1, 0)</f>
        <v>0</v>
      </c>
      <c r="U80" s="603">
        <f>IF(OR($AI80&gt;0,$AM80&gt;0,$AS80&gt;0), 1, 0)</f>
        <v>0</v>
      </c>
      <c r="V80" s="602">
        <f>[1]BDD!A70</f>
        <v>3421</v>
      </c>
      <c r="W80" s="601" t="str">
        <f>[1]BDD!B70</f>
        <v>Citron jaune (mûri sur plante)</v>
      </c>
      <c r="X80" s="600" t="str">
        <f>IF([1]BDD!F70=0, "", [1]BDD!F70)</f>
        <v>❤️</v>
      </c>
      <c r="Y80" s="542">
        <f>ROUND([1]BDD!G70+FDP_CMD_KG, 2)</f>
        <v>3.73</v>
      </c>
      <c r="Z80" s="542">
        <f>ROUND([1]BDD!G70+FDP_FACT_KG, 2)</f>
        <v>3.73</v>
      </c>
      <c r="AA80" s="543" t="str">
        <f>[1]BDD!H70</f>
        <v>kg</v>
      </c>
      <c r="AB80" s="544">
        <f>IF(NOT(ISBLANK([1]BDD!I70)), ROUND(SUM(([1]BDD!G70*reduc1),FDP_CMD_KG), 2), "")</f>
        <v>3.45</v>
      </c>
      <c r="AC80" s="544">
        <f>IF(NOT(ISBLANK([1]BDD!J70)), ROUND(SUM(([1]BDD!G70*reduc2),FDP_CMD_KG), 2), "")</f>
        <v>3.16</v>
      </c>
      <c r="AD80" s="544">
        <f>IF(NOT(ISBLANK([1]BDD!K70)), ROUND(SUM(([1]BDD!G70*reduc3),FDP_CMD_KG), 2), "")</f>
        <v>2.88</v>
      </c>
      <c r="AE80" s="544">
        <f>IF(NOT(ISBLANK([1]BDD!I70)), ROUND(SUM(([1]BDD!G70*reduc1),FDP_FACT_KG), 2), "")</f>
        <v>3.44</v>
      </c>
      <c r="AF80" s="544">
        <f>IF(NOT(ISBLANK([1]BDD!J70)), ROUND(SUM(([1]BDD!G70*reduc2),FDP_FACT_KG), 2), "")</f>
        <v>3.15</v>
      </c>
      <c r="AG80" s="544">
        <f>IF(NOT(ISBLANK([1]BDD!K70)), ROUND(SUM(([1]BDD!G70*reduc3),FDP_FACT_KG), 2), "")</f>
        <v>2.87</v>
      </c>
      <c r="AH80" s="599" t="str">
        <f>[1]BDD!C70</f>
        <v>Grenade</v>
      </c>
      <c r="AI80" s="598">
        <f>SUM(AV80,AY80,BB80,BE80,BH80,BK80,BN80,BQ80,BT80,BW80,BZ80,CC80,CF80,CI80,CL80,CO80,CR80,CU80,CX80,DA80)</f>
        <v>0</v>
      </c>
      <c r="AJ80" s="545">
        <f>_xlfn.IFS($AD80&lt;&gt;"", $AD80,    $AC80&lt;&gt;"", $AC80,    $AB80&lt;&gt;"", $AB80,    TRUE, $Y80)</f>
        <v>2.88</v>
      </c>
      <c r="AK80" s="592">
        <f>$AI80*$AJ80</f>
        <v>0</v>
      </c>
      <c r="AL80" s="594"/>
      <c r="AM80" s="597"/>
      <c r="AN80" s="545">
        <f>_xlfn.IFS(AND(AM80&gt;=60,$AG80&lt;&gt;""), $AG80,    AND(AM80&gt;=30,$AF80&lt;&gt;""), $AF80,    AND(AM80&gt;=10,$AE80&lt;&gt;""), $AE80,    TRUE, $Z80)</f>
        <v>3.73</v>
      </c>
      <c r="AO80" s="596">
        <f>AM80*AN80</f>
        <v>0</v>
      </c>
      <c r="AP80" s="595"/>
      <c r="AQ80" s="595"/>
      <c r="AR80" s="594"/>
      <c r="AS80" s="593">
        <f>SUM(AW80,AZ80,BC80,BF80,BI80,BL80,BO80,BR80,BU80,BX80,CA80,CD80,CG80,CJ80,CM80,CP80,CS80,CV80,CY80,DB80)</f>
        <v>0</v>
      </c>
      <c r="AT80" s="545">
        <f>_xlfn.IFS(AND(AS80&gt;=60,$AG80&lt;&gt;""), $AG80,    AND(AS80&gt;=30,$AF80&lt;&gt;""), $AF80,    AND(AS80&gt;=10,$AE80&lt;&gt;""), $AE80,    TRUE, $Z80)</f>
        <v>3.73</v>
      </c>
      <c r="AU80" s="592">
        <f>$AS80*$AT80</f>
        <v>0</v>
      </c>
      <c r="AV80" s="591">
        <f>[1]COMMANDE!O78</f>
        <v>0</v>
      </c>
      <c r="AW80" s="586" t="str">
        <f>_xlfn.IFS(AND($AI80=$AM80,$AI80&gt;0,$AM80&gt;0,AV80&gt;0), AV80,     AND(NOT($AI80=$AM80),$AI80&gt;0,$AM80&gt;0,AV80&gt;0), ($AM80*AV80)/$AI80,     AND($AI80=0,$AM80&gt;0,$AQ80&gt;0), IF(INDEX(AV$12:AV$263,MATCH($AQ80,$AP$12:$AP$263,0))&gt;0,($AM80*INDEX(AV$12:AV$263,MATCH($AQ80,$AP$12:$AP$263,0)))/INDEX($AI$12:$AI$263,MATCH($AQ80,$AP$12:$AP$263,0)), "-"),     TRUE, "0")</f>
        <v>0</v>
      </c>
      <c r="AX80" s="588">
        <f>IF(AW$9&gt;0, IF(OR(AW80="",AW80="-"), 0, AW80*$AT80), AV80*$AJ80)</f>
        <v>0</v>
      </c>
      <c r="AY80" s="587">
        <f>[1]COMMANDE!Q78</f>
        <v>0</v>
      </c>
      <c r="AZ80" s="586" t="str">
        <f>_xlfn.IFS(AND($AI80=$AM80,$AI80&gt;0,$AM80&gt;0,AY80&gt;0), AY80,     AND(NOT($AI80=$AM80),$AI80&gt;0,$AM80&gt;0,AY80&gt;0), ($AM80*AY80)/$AI80,     AND($AI80=0,$AM80&gt;0,$AQ80&gt;0), IF(INDEX(AY$12:AY$263,MATCH($AQ80,$AP$12:$AP$263,0))&gt;0,($AM80*INDEX(AY$12:AY$263,MATCH($AQ80,$AP$12:$AP$263,0)))/INDEX($AI$12:$AI$263,MATCH($AQ80,$AP$12:$AP$263,0)), "-"),     TRUE, "0")</f>
        <v>0</v>
      </c>
      <c r="BA80" s="607">
        <f>IF(AZ$9&gt;0, IF(OR(AZ80="",AZ80="-"), 0, AZ80*$AT80), AY80*$AJ80)</f>
        <v>0</v>
      </c>
      <c r="BB80" s="589">
        <f>[1]COMMANDE!S78</f>
        <v>0</v>
      </c>
      <c r="BC80" s="586" t="str">
        <f>_xlfn.IFS(AND($AI80=$AM80,$AI80&gt;0,$AM80&gt;0,BB80&gt;0), BB80,     AND(NOT($AI80=$AM80),$AI80&gt;0,$AM80&gt;0,BB80&gt;0), ($AM80*BB80)/$AI80,     AND($AI80=0,$AM80&gt;0,$AQ80&gt;0), IF(INDEX(BB$12:BB$263,MATCH($AQ80,$AP$12:$AP$263,0))&gt;0,($AM80*INDEX(BB$12:BB$263,MATCH($AQ80,$AP$12:$AP$263,0)))/INDEX($AI$12:$AI$263,MATCH($AQ80,$AP$12:$AP$263,0)), "-"),     TRUE, "0")</f>
        <v>0</v>
      </c>
      <c r="BD80" s="588">
        <f>IF(BC$9&gt;0, IF(OR(BC80="",BC80="-"), 0, BC80*$AT80), BB80*$AJ80)</f>
        <v>0</v>
      </c>
      <c r="BE80" s="587">
        <f>[1]COMMANDE!U78</f>
        <v>0</v>
      </c>
      <c r="BF80" s="586" t="str">
        <f>_xlfn.IFS(AND($AI80=$AM80,$AI80&gt;0,$AM80&gt;0,BE80&gt;0), BE80,     AND(NOT($AI80=$AM80),$AI80&gt;0,$AM80&gt;0,BE80&gt;0), ($AM80*BE80)/$AI80,     AND($AI80=0,$AM80&gt;0,$AQ80&gt;0), IF(INDEX(BE$12:BE$263,MATCH($AQ80,$AP$12:$AP$263,0))&gt;0,($AM80*INDEX(BE$12:BE$263,MATCH($AQ80,$AP$12:$AP$263,0)))/INDEX($AI$12:$AI$263,MATCH($AQ80,$AP$12:$AP$263,0)), "-"),     TRUE, "0")</f>
        <v>0</v>
      </c>
      <c r="BG80" s="607">
        <f>IF(BF$9&gt;0, IF(OR(BF80="",BF80="-"), 0, BF80*$AT80), BE80*$AJ80)</f>
        <v>0</v>
      </c>
      <c r="BH80" s="589">
        <f>[1]COMMANDE!W78</f>
        <v>0</v>
      </c>
      <c r="BI80" s="586" t="str">
        <f>_xlfn.IFS(AND($AI80=$AM80,$AI80&gt;0,$AM80&gt;0,BH80&gt;0), BH80,     AND(NOT($AI80=$AM80),$AI80&gt;0,$AM80&gt;0,BH80&gt;0), ($AM80*BH80)/$AI80,     AND($AI80=0,$AM80&gt;0,$AQ80&gt;0), IF(INDEX(BH$12:BH$263,MATCH($AQ80,$AP$12:$AP$263,0))&gt;0,($AM80*INDEX(BH$12:BH$263,MATCH($AQ80,$AP$12:$AP$263,0)))/INDEX($AI$12:$AI$263,MATCH($AQ80,$AP$12:$AP$263,0)), "-"),     TRUE, "0")</f>
        <v>0</v>
      </c>
      <c r="BJ80" s="588">
        <f>IF(BI$9&gt;0, IF(OR(BI80="",BI80="-"), 0, BI80*$AT80), BH80*$AJ80)</f>
        <v>0</v>
      </c>
      <c r="BK80" s="587">
        <f>[1]COMMANDE!Y78</f>
        <v>0</v>
      </c>
      <c r="BL80" s="586" t="str">
        <f>_xlfn.IFS(AND($AI80=$AM80,$AI80&gt;0,$AM80&gt;0,BK80&gt;0), BK80,     AND(NOT($AI80=$AM80),$AI80&gt;0,$AM80&gt;0,BK80&gt;0), ($AM80*BK80)/$AI80,     AND($AI80=0,$AM80&gt;0,$AQ80&gt;0), IF(INDEX(BK$12:BK$263,MATCH($AQ80,$AP$12:$AP$263,0))&gt;0,($AM80*INDEX(BK$12:BK$263,MATCH($AQ80,$AP$12:$AP$263,0)))/INDEX($AI$12:$AI$263,MATCH($AQ80,$AP$12:$AP$263,0)), "-"),     TRUE, "0")</f>
        <v>0</v>
      </c>
      <c r="BM80" s="607">
        <f>IF(BL$9&gt;0, IF(OR(BL80="",BL80="-"), 0, BL80*$AT80), BK80*$AJ80)</f>
        <v>0</v>
      </c>
      <c r="BN80" s="589">
        <f>[1]COMMANDE!AA78</f>
        <v>0</v>
      </c>
      <c r="BO80" s="586" t="str">
        <f>_xlfn.IFS(AND($AI80=$AM80,$AI80&gt;0,$AM80&gt;0,BN80&gt;0), BN80,     AND(NOT($AI80=$AM80),$AI80&gt;0,$AM80&gt;0,BN80&gt;0), ($AM80*BN80)/$AI80,     AND($AI80=0,$AM80&gt;0,$AQ80&gt;0), IF(INDEX(BN$12:BN$263,MATCH($AQ80,$AP$12:$AP$263,0))&gt;0,($AM80*INDEX(BN$12:BN$263,MATCH($AQ80,$AP$12:$AP$263,0)))/INDEX($AI$12:$AI$263,MATCH($AQ80,$AP$12:$AP$263,0)), "-"),     TRUE, "0")</f>
        <v>0</v>
      </c>
      <c r="BP80" s="588">
        <f>IF(BO$9&gt;0, IF(OR(BO80="",BO80="-"), 0, BO80*$AT80), BN80*$AJ80)</f>
        <v>0</v>
      </c>
      <c r="BQ80" s="587">
        <f>[1]COMMANDE!AC78</f>
        <v>0</v>
      </c>
      <c r="BR80" s="586" t="str">
        <f>_xlfn.IFS(AND($AI80=$AM80,$AI80&gt;0,$AM80&gt;0,BQ80&gt;0), BQ80,     AND(NOT($AI80=$AM80),$AI80&gt;0,$AM80&gt;0,BQ80&gt;0), ($AM80*BQ80)/$AI80,     AND($AI80=0,$AM80&gt;0,$AQ80&gt;0), IF(INDEX(BQ$12:BQ$263,MATCH($AQ80,$AP$12:$AP$263,0))&gt;0,($AM80*INDEX(BQ$12:BQ$263,MATCH($AQ80,$AP$12:$AP$263,0)))/INDEX($AI$12:$AI$263,MATCH($AQ80,$AP$12:$AP$263,0)), "-"),     TRUE, "0")</f>
        <v>0</v>
      </c>
      <c r="BS80" s="607">
        <f>IF(BR$9&gt;0, IF(OR(BR80="",BR80="-"), 0, BR80*$AT80), BQ80*$AJ80)</f>
        <v>0</v>
      </c>
      <c r="BT80" s="589">
        <f>[1]COMMANDE!AE78</f>
        <v>0</v>
      </c>
      <c r="BU80" s="586" t="str">
        <f>_xlfn.IFS(AND($AI80=$AM80,$AI80&gt;0,$AM80&gt;0,BT80&gt;0), BT80,     AND(NOT($AI80=$AM80),$AI80&gt;0,$AM80&gt;0,BT80&gt;0), ($AM80*BT80)/$AI80,     AND($AI80=0,$AM80&gt;0,$AQ80&gt;0), IF(INDEX(BT$12:BT$263,MATCH($AQ80,$AP$12:$AP$263,0))&gt;0,($AM80*INDEX(BT$12:BT$263,MATCH($AQ80,$AP$12:$AP$263,0)))/INDEX($AI$12:$AI$263,MATCH($AQ80,$AP$12:$AP$263,0)), "-"),     TRUE, "0")</f>
        <v>0</v>
      </c>
      <c r="BV80" s="588">
        <f>IF(BU$9&gt;0, IF(OR(BU80="",BU80="-"), 0, BU80*$AT80), BT80*$AJ80)</f>
        <v>0</v>
      </c>
      <c r="BW80" s="587">
        <f>[1]COMMANDE!AG78</f>
        <v>0</v>
      </c>
      <c r="BX80" s="586" t="str">
        <f>_xlfn.IFS(AND($AI80=$AM80,$AI80&gt;0,$AM80&gt;0,BW80&gt;0), BW80,     AND(NOT($AI80=$AM80),$AI80&gt;0,$AM80&gt;0,BW80&gt;0), ($AM80*BW80)/$AI80,     AND($AI80=0,$AM80&gt;0,$AQ80&gt;0), IF(INDEX(BW$12:BW$263,MATCH($AQ80,$AP$12:$AP$263,0))&gt;0,($AM80*INDEX(BW$12:BW$263,MATCH($AQ80,$AP$12:$AP$263,0)))/INDEX($AI$12:$AI$263,MATCH($AQ80,$AP$12:$AP$263,0)), "-"),     TRUE, "0")</f>
        <v>0</v>
      </c>
      <c r="BY80" s="607">
        <f>IF(BX$9&gt;0, IF(OR(BX80="",BX80="-"), 0, BX80*$AT80), BW80*$AJ80)</f>
        <v>0</v>
      </c>
      <c r="BZ80" s="589">
        <f>[1]COMMANDE!AI78</f>
        <v>0</v>
      </c>
      <c r="CA80" s="586" t="str">
        <f>_xlfn.IFS(AND($AI80=$AM80,$AI80&gt;0,$AM80&gt;0,BZ80&gt;0), BZ80,     AND(NOT($AI80=$AM80),$AI80&gt;0,$AM80&gt;0,BZ80&gt;0), ($AM80*BZ80)/$AI80,     AND($AI80=0,$AM80&gt;0,$AQ80&gt;0), IF(INDEX(BZ$12:BZ$263,MATCH($AQ80,$AP$12:$AP$263,0))&gt;0,($AM80*INDEX(BZ$12:BZ$263,MATCH($AQ80,$AP$12:$AP$263,0)))/INDEX($AI$12:$AI$263,MATCH($AQ80,$AP$12:$AP$263,0)), "-"),     TRUE, "0")</f>
        <v>0</v>
      </c>
      <c r="CB80" s="588">
        <f>IF(CA$9&gt;0, IF(OR(CA80="",CA80="-"), 0, CA80*$AT80), BZ80*$AJ80)</f>
        <v>0</v>
      </c>
      <c r="CC80" s="587">
        <f>[1]COMMANDE!AK78</f>
        <v>0</v>
      </c>
      <c r="CD80" s="586" t="str">
        <f>_xlfn.IFS(AND($AI80=$AM80,$AI80&gt;0,$AM80&gt;0,CC80&gt;0), CC80,     AND(NOT($AI80=$AM80),$AI80&gt;0,$AM80&gt;0,CC80&gt;0), ($AM80*CC80)/$AI80,     AND($AI80=0,$AM80&gt;0,$AQ80&gt;0), IF(INDEX(CC$12:CC$263,MATCH($AQ80,$AP$12:$AP$263,0))&gt;0,($AM80*INDEX(CC$12:CC$263,MATCH($AQ80,$AP$12:$AP$263,0)))/INDEX($AI$12:$AI$263,MATCH($AQ80,$AP$12:$AP$263,0)), "-"),     TRUE, "0")</f>
        <v>0</v>
      </c>
      <c r="CE80" s="607">
        <f>IF(CD$9&gt;0, IF(OR(CD80="",CD80="-"), 0, CD80*$AT80), CC80*$AJ80)</f>
        <v>0</v>
      </c>
      <c r="CF80" s="589">
        <f>[1]COMMANDE!AM78</f>
        <v>0</v>
      </c>
      <c r="CG80" s="586" t="str">
        <f>_xlfn.IFS(AND($AI80=$AM80,$AI80&gt;0,$AM80&gt;0,CF80&gt;0), CF80,     AND(NOT($AI80=$AM80),$AI80&gt;0,$AM80&gt;0,CF80&gt;0), ($AM80*CF80)/$AI80,     AND($AI80=0,$AM80&gt;0,$AQ80&gt;0), IF(INDEX(CF$12:CF$263,MATCH($AQ80,$AP$12:$AP$263,0))&gt;0,($AM80*INDEX(CF$12:CF$263,MATCH($AQ80,$AP$12:$AP$263,0)))/INDEX($AI$12:$AI$263,MATCH($AQ80,$AP$12:$AP$263,0)), "-"),     TRUE, "0")</f>
        <v>0</v>
      </c>
      <c r="CH80" s="588">
        <f>IF(CG$9&gt;0, IF(OR(CG80="",CG80="-"), 0, CG80*$AT80), CF80*$AJ80)</f>
        <v>0</v>
      </c>
      <c r="CI80" s="587">
        <f>[1]COMMANDE!AO78</f>
        <v>0</v>
      </c>
      <c r="CJ80" s="586" t="str">
        <f>_xlfn.IFS(AND($AI80=$AM80,$AI80&gt;0,$AM80&gt;0,CI80&gt;0), CI80,     AND(NOT($AI80=$AM80),$AI80&gt;0,$AM80&gt;0,CI80&gt;0), ($AM80*CI80)/$AI80,     AND($AI80=0,$AM80&gt;0,$AQ80&gt;0), IF(INDEX(CI$12:CI$263,MATCH($AQ80,$AP$12:$AP$263,0))&gt;0,($AM80*INDEX(CI$12:CI$263,MATCH($AQ80,$AP$12:$AP$263,0)))/INDEX($AI$12:$AI$263,MATCH($AQ80,$AP$12:$AP$263,0)), "-"),     TRUE, "0")</f>
        <v>0</v>
      </c>
      <c r="CK80" s="607">
        <f>IF(CJ$9&gt;0, IF(OR(CJ80="",CJ80="-"), 0, CJ80*$AT80), CI80*$AJ80)</f>
        <v>0</v>
      </c>
      <c r="CL80" s="589">
        <f>[1]COMMANDE!AQ78</f>
        <v>0</v>
      </c>
      <c r="CM80" s="586" t="str">
        <f>_xlfn.IFS(AND($AI80=$AM80,$AI80&gt;0,$AM80&gt;0,CL80&gt;0), CL80,     AND(NOT($AI80=$AM80),$AI80&gt;0,$AM80&gt;0,CL80&gt;0), ($AM80*CL80)/$AI80,     AND($AI80=0,$AM80&gt;0,$AQ80&gt;0), IF(INDEX(CL$12:CL$263,MATCH($AQ80,$AP$12:$AP$263,0))&gt;0,($AM80*INDEX(CL$12:CL$263,MATCH($AQ80,$AP$12:$AP$263,0)))/INDEX($AI$12:$AI$263,MATCH($AQ80,$AP$12:$AP$263,0)), "-"),     TRUE, "0")</f>
        <v>0</v>
      </c>
      <c r="CN80" s="588">
        <f>IF(CM$9&gt;0, IF(OR(CM80="",CM80="-"), 0, CM80*$AT80), CL80*$AJ80)</f>
        <v>0</v>
      </c>
      <c r="CO80" s="587">
        <f>[1]COMMANDE!AS78</f>
        <v>0</v>
      </c>
      <c r="CP80" s="586" t="str">
        <f>_xlfn.IFS(AND($AI80=$AM80,$AI80&gt;0,$AM80&gt;0,CO80&gt;0), CO80,     AND(NOT($AI80=$AM80),$AI80&gt;0,$AM80&gt;0,CO80&gt;0), ($AM80*CO80)/$AI80,     AND($AI80=0,$AM80&gt;0,$AQ80&gt;0), IF(INDEX(CO$12:CO$263,MATCH($AQ80,$AP$12:$AP$263,0))&gt;0,($AM80*INDEX(CO$12:CO$263,MATCH($AQ80,$AP$12:$AP$263,0)))/INDEX($AI$12:$AI$263,MATCH($AQ80,$AP$12:$AP$263,0)), "-"),     TRUE, "0")</f>
        <v>0</v>
      </c>
      <c r="CQ80" s="607">
        <f>IF(CP$9&gt;0, IF(OR(CP80="",CP80="-"), 0, CP80*$AT80), CO80*$AJ80)</f>
        <v>0</v>
      </c>
      <c r="CR80" s="589">
        <f>[1]COMMANDE!AU78</f>
        <v>0</v>
      </c>
      <c r="CS80" s="586" t="str">
        <f>_xlfn.IFS(AND($AI80=$AM80,$AI80&gt;0,$AM80&gt;0,CR80&gt;0), CR80,     AND(NOT($AI80=$AM80),$AI80&gt;0,$AM80&gt;0,CR80&gt;0), ($AM80*CR80)/$AI80,     AND($AI80=0,$AM80&gt;0,$AQ80&gt;0), IF(INDEX(CR$12:CR$263,MATCH($AQ80,$AP$12:$AP$263,0))&gt;0,($AM80*INDEX(CR$12:CR$263,MATCH($AQ80,$AP$12:$AP$263,0)))/INDEX($AI$12:$AI$263,MATCH($AQ80,$AP$12:$AP$263,0)), "-"),     TRUE, "0")</f>
        <v>0</v>
      </c>
      <c r="CT80" s="588">
        <f>IF(CS$9&gt;0, IF(OR(CS80="",CS80="-"), 0, CS80*$AT80), CR80*$AJ80)</f>
        <v>0</v>
      </c>
      <c r="CU80" s="587">
        <f>[1]COMMANDE!AW78</f>
        <v>0</v>
      </c>
      <c r="CV80" s="586" t="str">
        <f>_xlfn.IFS(AND($AI80=$AM80,$AI80&gt;0,$AM80&gt;0,CU80&gt;0), CU80,     AND(NOT($AI80=$AM80),$AI80&gt;0,$AM80&gt;0,CU80&gt;0), ($AM80*CU80)/$AI80,     AND($AI80=0,$AM80&gt;0,$AQ80&gt;0), IF(INDEX(CU$12:CU$263,MATCH($AQ80,$AP$12:$AP$263,0))&gt;0,($AM80*INDEX(CU$12:CU$263,MATCH($AQ80,$AP$12:$AP$263,0)))/INDEX($AI$12:$AI$263,MATCH($AQ80,$AP$12:$AP$263,0)), "-"),     TRUE, "0")</f>
        <v>0</v>
      </c>
      <c r="CW80" s="607">
        <f>IF(CV$9&gt;0, IF(OR(CV80="",CV80="-"), 0, CV80*$AT80), CU80*$AJ80)</f>
        <v>0</v>
      </c>
      <c r="CX80" s="589">
        <f>[1]COMMANDE!AY78</f>
        <v>0</v>
      </c>
      <c r="CY80" s="586" t="str">
        <f>_xlfn.IFS(AND($AI80=$AM80,$AI80&gt;0,$AM80&gt;0,CX80&gt;0), CX80,     AND(NOT($AI80=$AM80),$AI80&gt;0,$AM80&gt;0,CX80&gt;0), ($AM80*CX80)/$AI80,     AND($AI80=0,$AM80&gt;0,$AQ80&gt;0), IF(INDEX(CX$12:CX$263,MATCH($AQ80,$AP$12:$AP$263,0))&gt;0,($AM80*INDEX(CX$12:CX$263,MATCH($AQ80,$AP$12:$AP$263,0)))/INDEX($AI$12:$AI$263,MATCH($AQ80,$AP$12:$AP$263,0)), "-"),     TRUE, "0")</f>
        <v>0</v>
      </c>
      <c r="CZ80" s="588">
        <f>IF(CY$9&gt;0, IF(OR(CY80="",CY80="-"), 0, CY80*$AT80), CX80*$AJ80)</f>
        <v>0</v>
      </c>
      <c r="DA80" s="587">
        <f>[1]COMMANDE!BA78</f>
        <v>0</v>
      </c>
      <c r="DB80" s="586" t="str">
        <f>_xlfn.IFS(AND($AI80=$AM80,$AI80&gt;0,$AM80&gt;0,DA80&gt;0), DA80,     AND(NOT($AI80=$AM80),$AI80&gt;0,$AM80&gt;0,DA80&gt;0), ($AM80*DA80)/$AI80,     AND($AI80=0,$AM80&gt;0,$AQ80&gt;0), IF(INDEX(DA$12:DA$263,MATCH($AQ80,$AP$12:$AP$263,0))&gt;0,($AM80*INDEX(DA$12:DA$263,MATCH($AQ80,$AP$12:$AP$263,0)))/INDEX($AI$12:$AI$263,MATCH($AQ80,$AP$12:$AP$263,0)), "-"),     TRUE, "0")</f>
        <v>0</v>
      </c>
      <c r="DC80" s="606">
        <f>IF(DB$9&gt;0, IF(OR(DB80="",DB80="-"), 0, DB80*$AT80), DA80*$AJ80)</f>
        <v>0</v>
      </c>
      <c r="DD80" s="584"/>
      <c r="DE80" s="583"/>
    </row>
    <row r="81" spans="1:109" ht="39.950000000000003" hidden="1" customHeight="1">
      <c r="A81" s="604">
        <f>IF(OR($AV81&gt;0, $AX81&gt;0), 1, 0)</f>
        <v>0</v>
      </c>
      <c r="B81" s="604">
        <f>IF(OR($AY81&gt;0, $BA81&gt;0), 1, 0)</f>
        <v>0</v>
      </c>
      <c r="C81" s="604">
        <f>IF(OR($BB81&gt;0, $BD81&gt;0), 1, 0)</f>
        <v>0</v>
      </c>
      <c r="D81" s="604">
        <f>IF(OR($BE81&gt;0, $BG81&gt;0), 1, 0)</f>
        <v>0</v>
      </c>
      <c r="E81" s="604">
        <f>IF(OR($BH81&gt;0, $BJ81&gt;0), 1, 0)</f>
        <v>0</v>
      </c>
      <c r="F81" s="604">
        <f>IF(OR($BK81&gt;0, $BM81&gt;0), 1, 0)</f>
        <v>0</v>
      </c>
      <c r="G81" s="604">
        <f>IF(OR($BN81&gt;0, $BP81&gt;0), 1, 0)</f>
        <v>0</v>
      </c>
      <c r="H81" s="604">
        <f>IF(OR($BQ81&gt;0, $BS81&gt;0), 1, 0)</f>
        <v>0</v>
      </c>
      <c r="I81" s="604">
        <f>IF(OR($BT81&gt;0, $BV81&gt;0), 1, 0)</f>
        <v>0</v>
      </c>
      <c r="J81" s="604">
        <f>IF(OR($BW81&gt;0, $BY81&gt;0), 1, 0)</f>
        <v>0</v>
      </c>
      <c r="K81" s="604">
        <f>IF(OR($BZ81&gt;0, $CB81&gt;0), 1, 0)</f>
        <v>0</v>
      </c>
      <c r="L81" s="604">
        <f>IF(OR($CC81&gt;0, $CE81&gt;0), 1, 0)</f>
        <v>0</v>
      </c>
      <c r="M81" s="604">
        <f>IF(OR($CF81&gt;0, $CH81&gt;0), 1, 0)</f>
        <v>0</v>
      </c>
      <c r="N81" s="604">
        <f>IF(OR($CI81&gt;0, $CK81&gt;0), 1, 0)</f>
        <v>0</v>
      </c>
      <c r="O81" s="604">
        <f>IF(OR($CL81&gt;0, $CN81&gt;0), 1, 0)</f>
        <v>0</v>
      </c>
      <c r="P81" s="604">
        <f>IF(OR($CO81&gt;0, $CQ81&gt;0), 1, 0)</f>
        <v>0</v>
      </c>
      <c r="Q81" s="604">
        <f>IF(OR($CR81&gt;0, $CT81&gt;0), 1, 0)</f>
        <v>0</v>
      </c>
      <c r="R81" s="604">
        <f>IF(OR($CU81&gt;0, $CW81&gt;0), 1, 0)</f>
        <v>0</v>
      </c>
      <c r="S81" s="604">
        <f>IF(OR($CX81&gt;0, $CZ81&gt;0), 1, 0)</f>
        <v>0</v>
      </c>
      <c r="T81" s="604">
        <f>IF(OR($DA81&gt;0, $DC81&gt;0), 1, 0)</f>
        <v>0</v>
      </c>
      <c r="U81" s="603">
        <f>IF(OR($AI81&gt;0,$AM81&gt;0,$AS81&gt;0), 1, 0)</f>
        <v>0</v>
      </c>
      <c r="V81" s="602">
        <f>[1]BDD!A71</f>
        <v>6094</v>
      </c>
      <c r="W81" s="601" t="str">
        <f>[1]BDD!B71</f>
        <v>Citron jaune BIO (seconde catégorie)</v>
      </c>
      <c r="X81" s="600" t="str">
        <f>IF([1]BDD!F71=0, "", [1]BDD!F71)</f>
        <v/>
      </c>
      <c r="Y81" s="542">
        <f>ROUND([1]BDD!G71+FDP_CMD_KG, 2)</f>
        <v>2.36</v>
      </c>
      <c r="Z81" s="542">
        <f>ROUND([1]BDD!G71+FDP_FACT_KG, 2)</f>
        <v>2.36</v>
      </c>
      <c r="AA81" s="543" t="str">
        <f>[1]BDD!H71</f>
        <v>kg</v>
      </c>
      <c r="AB81" s="544">
        <f>IF(NOT(ISBLANK([1]BDD!I71)), ROUND(SUM(([1]BDD!G71*reduc1),FDP_CMD_KG), 2), "")</f>
        <v>2.21</v>
      </c>
      <c r="AC81" s="544">
        <f>IF(NOT(ISBLANK([1]BDD!J71)), ROUND(SUM(([1]BDD!G71*reduc2),FDP_CMD_KG), 2), "")</f>
        <v>2.0699999999999998</v>
      </c>
      <c r="AD81" s="544">
        <f>IF(NOT(ISBLANK([1]BDD!K71)), ROUND(SUM(([1]BDD!G71*reduc3),FDP_CMD_KG), 2), "")</f>
        <v>1.92</v>
      </c>
      <c r="AE81" s="544">
        <f>IF(NOT(ISBLANK([1]BDD!I71)), ROUND(SUM(([1]BDD!G71*reduc1),FDP_FACT_KG), 2), "")</f>
        <v>2.21</v>
      </c>
      <c r="AF81" s="544">
        <f>IF(NOT(ISBLANK([1]BDD!J71)), ROUND(SUM(([1]BDD!G71*reduc2),FDP_FACT_KG), 2), "")</f>
        <v>2.06</v>
      </c>
      <c r="AG81" s="544">
        <f>IF(NOT(ISBLANK([1]BDD!K71)), ROUND(SUM(([1]BDD!G71*reduc3),FDP_FACT_KG), 2), "")</f>
        <v>1.91</v>
      </c>
      <c r="AH81" s="599" t="str">
        <f>[1]BDD!C71</f>
        <v>Malaga</v>
      </c>
      <c r="AI81" s="598">
        <f>SUM(AV81,AY81,BB81,BE81,BH81,BK81,BN81,BQ81,BT81,BW81,BZ81,CC81,CF81,CI81,CL81,CO81,CR81,CU81,CX81,DA81)</f>
        <v>0</v>
      </c>
      <c r="AJ81" s="545">
        <f>_xlfn.IFS($AD81&lt;&gt;"", $AD81,    $AC81&lt;&gt;"", $AC81,    $AB81&lt;&gt;"", $AB81,    TRUE, $Y81)</f>
        <v>1.92</v>
      </c>
      <c r="AK81" s="592">
        <f>$AI81*$AJ81</f>
        <v>0</v>
      </c>
      <c r="AL81" s="594"/>
      <c r="AM81" s="597"/>
      <c r="AN81" s="545">
        <f>_xlfn.IFS(AND(AM81&gt;=60,$AG81&lt;&gt;""), $AG81,    AND(AM81&gt;=30,$AF81&lt;&gt;""), $AF81,    AND(AM81&gt;=10,$AE81&lt;&gt;""), $AE81,    TRUE, $Z81)</f>
        <v>2.36</v>
      </c>
      <c r="AO81" s="596">
        <f>AM81*AN81</f>
        <v>0</v>
      </c>
      <c r="AP81" s="595"/>
      <c r="AQ81" s="595"/>
      <c r="AR81" s="594"/>
      <c r="AS81" s="593">
        <f>SUM(AW81,AZ81,BC81,BF81,BI81,BL81,BO81,BR81,BU81,BX81,CA81,CD81,CG81,CJ81,CM81,CP81,CS81,CV81,CY81,DB81)</f>
        <v>0</v>
      </c>
      <c r="AT81" s="545">
        <f>_xlfn.IFS(AND(AS81&gt;=60,$AG81&lt;&gt;""), $AG81,    AND(AS81&gt;=30,$AF81&lt;&gt;""), $AF81,    AND(AS81&gt;=10,$AE81&lt;&gt;""), $AE81,    TRUE, $Z81)</f>
        <v>2.36</v>
      </c>
      <c r="AU81" s="592">
        <f>$AS81*$AT81</f>
        <v>0</v>
      </c>
      <c r="AV81" s="591">
        <f>[1]COMMANDE!O79</f>
        <v>0</v>
      </c>
      <c r="AW81" s="586" t="str">
        <f>_xlfn.IFS(AND($AI81=$AM81,$AI81&gt;0,$AM81&gt;0,AV81&gt;0), AV81,     AND(NOT($AI81=$AM81),$AI81&gt;0,$AM81&gt;0,AV81&gt;0), ($AM81*AV81)/$AI81,     AND($AI81=0,$AM81&gt;0,$AQ81&gt;0), IF(INDEX(AV$12:AV$263,MATCH($AQ81,$AP$12:$AP$263,0))&gt;0,($AM81*INDEX(AV$12:AV$263,MATCH($AQ81,$AP$12:$AP$263,0)))/INDEX($AI$12:$AI$263,MATCH($AQ81,$AP$12:$AP$263,0)), "-"),     TRUE, "0")</f>
        <v>0</v>
      </c>
      <c r="AX81" s="588">
        <f>IF(AW$9&gt;0, IF(OR(AW81="",AW81="-"), 0, AW81*$AT81), AV81*$AJ81)</f>
        <v>0</v>
      </c>
      <c r="AY81" s="587">
        <f>[1]COMMANDE!Q79</f>
        <v>0</v>
      </c>
      <c r="AZ81" s="586" t="str">
        <f>_xlfn.IFS(AND($AI81=$AM81,$AI81&gt;0,$AM81&gt;0,AY81&gt;0), AY81,     AND(NOT($AI81=$AM81),$AI81&gt;0,$AM81&gt;0,AY81&gt;0), ($AM81*AY81)/$AI81,     AND($AI81=0,$AM81&gt;0,$AQ81&gt;0), IF(INDEX(AY$12:AY$263,MATCH($AQ81,$AP$12:$AP$263,0))&gt;0,($AM81*INDEX(AY$12:AY$263,MATCH($AQ81,$AP$12:$AP$263,0)))/INDEX($AI$12:$AI$263,MATCH($AQ81,$AP$12:$AP$263,0)), "-"),     TRUE, "0")</f>
        <v>0</v>
      </c>
      <c r="BA81" s="607">
        <f>IF(AZ$9&gt;0, IF(OR(AZ81="",AZ81="-"), 0, AZ81*$AT81), AY81*$AJ81)</f>
        <v>0</v>
      </c>
      <c r="BB81" s="589">
        <f>[1]COMMANDE!S79</f>
        <v>0</v>
      </c>
      <c r="BC81" s="586" t="str">
        <f>_xlfn.IFS(AND($AI81=$AM81,$AI81&gt;0,$AM81&gt;0,BB81&gt;0), BB81,     AND(NOT($AI81=$AM81),$AI81&gt;0,$AM81&gt;0,BB81&gt;0), ($AM81*BB81)/$AI81,     AND($AI81=0,$AM81&gt;0,$AQ81&gt;0), IF(INDEX(BB$12:BB$263,MATCH($AQ81,$AP$12:$AP$263,0))&gt;0,($AM81*INDEX(BB$12:BB$263,MATCH($AQ81,$AP$12:$AP$263,0)))/INDEX($AI$12:$AI$263,MATCH($AQ81,$AP$12:$AP$263,0)), "-"),     TRUE, "0")</f>
        <v>0</v>
      </c>
      <c r="BD81" s="588">
        <f>IF(BC$9&gt;0, IF(OR(BC81="",BC81="-"), 0, BC81*$AT81), BB81*$AJ81)</f>
        <v>0</v>
      </c>
      <c r="BE81" s="587">
        <f>[1]COMMANDE!U79</f>
        <v>0</v>
      </c>
      <c r="BF81" s="586" t="str">
        <f>_xlfn.IFS(AND($AI81=$AM81,$AI81&gt;0,$AM81&gt;0,BE81&gt;0), BE81,     AND(NOT($AI81=$AM81),$AI81&gt;0,$AM81&gt;0,BE81&gt;0), ($AM81*BE81)/$AI81,     AND($AI81=0,$AM81&gt;0,$AQ81&gt;0), IF(INDEX(BE$12:BE$263,MATCH($AQ81,$AP$12:$AP$263,0))&gt;0,($AM81*INDEX(BE$12:BE$263,MATCH($AQ81,$AP$12:$AP$263,0)))/INDEX($AI$12:$AI$263,MATCH($AQ81,$AP$12:$AP$263,0)), "-"),     TRUE, "0")</f>
        <v>0</v>
      </c>
      <c r="BG81" s="607">
        <f>IF(BF$9&gt;0, IF(OR(BF81="",BF81="-"), 0, BF81*$AT81), BE81*$AJ81)</f>
        <v>0</v>
      </c>
      <c r="BH81" s="589">
        <f>[1]COMMANDE!W79</f>
        <v>0</v>
      </c>
      <c r="BI81" s="586" t="str">
        <f>_xlfn.IFS(AND($AI81=$AM81,$AI81&gt;0,$AM81&gt;0,BH81&gt;0), BH81,     AND(NOT($AI81=$AM81),$AI81&gt;0,$AM81&gt;0,BH81&gt;0), ($AM81*BH81)/$AI81,     AND($AI81=0,$AM81&gt;0,$AQ81&gt;0), IF(INDEX(BH$12:BH$263,MATCH($AQ81,$AP$12:$AP$263,0))&gt;0,($AM81*INDEX(BH$12:BH$263,MATCH($AQ81,$AP$12:$AP$263,0)))/INDEX($AI$12:$AI$263,MATCH($AQ81,$AP$12:$AP$263,0)), "-"),     TRUE, "0")</f>
        <v>0</v>
      </c>
      <c r="BJ81" s="588">
        <f>IF(BI$9&gt;0, IF(OR(BI81="",BI81="-"), 0, BI81*$AT81), BH81*$AJ81)</f>
        <v>0</v>
      </c>
      <c r="BK81" s="587">
        <f>[1]COMMANDE!Y79</f>
        <v>0</v>
      </c>
      <c r="BL81" s="586" t="str">
        <f>_xlfn.IFS(AND($AI81=$AM81,$AI81&gt;0,$AM81&gt;0,BK81&gt;0), BK81,     AND(NOT($AI81=$AM81),$AI81&gt;0,$AM81&gt;0,BK81&gt;0), ($AM81*BK81)/$AI81,     AND($AI81=0,$AM81&gt;0,$AQ81&gt;0), IF(INDEX(BK$12:BK$263,MATCH($AQ81,$AP$12:$AP$263,0))&gt;0,($AM81*INDEX(BK$12:BK$263,MATCH($AQ81,$AP$12:$AP$263,0)))/INDEX($AI$12:$AI$263,MATCH($AQ81,$AP$12:$AP$263,0)), "-"),     TRUE, "0")</f>
        <v>0</v>
      </c>
      <c r="BM81" s="607">
        <f>IF(BL$9&gt;0, IF(OR(BL81="",BL81="-"), 0, BL81*$AT81), BK81*$AJ81)</f>
        <v>0</v>
      </c>
      <c r="BN81" s="589">
        <f>[1]COMMANDE!AA79</f>
        <v>0</v>
      </c>
      <c r="BO81" s="586" t="str">
        <f>_xlfn.IFS(AND($AI81=$AM81,$AI81&gt;0,$AM81&gt;0,BN81&gt;0), BN81,     AND(NOT($AI81=$AM81),$AI81&gt;0,$AM81&gt;0,BN81&gt;0), ($AM81*BN81)/$AI81,     AND($AI81=0,$AM81&gt;0,$AQ81&gt;0), IF(INDEX(BN$12:BN$263,MATCH($AQ81,$AP$12:$AP$263,0))&gt;0,($AM81*INDEX(BN$12:BN$263,MATCH($AQ81,$AP$12:$AP$263,0)))/INDEX($AI$12:$AI$263,MATCH($AQ81,$AP$12:$AP$263,0)), "-"),     TRUE, "0")</f>
        <v>0</v>
      </c>
      <c r="BP81" s="588">
        <f>IF(BO$9&gt;0, IF(OR(BO81="",BO81="-"), 0, BO81*$AT81), BN81*$AJ81)</f>
        <v>0</v>
      </c>
      <c r="BQ81" s="587">
        <f>[1]COMMANDE!AC79</f>
        <v>0</v>
      </c>
      <c r="BR81" s="586" t="str">
        <f>_xlfn.IFS(AND($AI81=$AM81,$AI81&gt;0,$AM81&gt;0,BQ81&gt;0), BQ81,     AND(NOT($AI81=$AM81),$AI81&gt;0,$AM81&gt;0,BQ81&gt;0), ($AM81*BQ81)/$AI81,     AND($AI81=0,$AM81&gt;0,$AQ81&gt;0), IF(INDEX(BQ$12:BQ$263,MATCH($AQ81,$AP$12:$AP$263,0))&gt;0,($AM81*INDEX(BQ$12:BQ$263,MATCH($AQ81,$AP$12:$AP$263,0)))/INDEX($AI$12:$AI$263,MATCH($AQ81,$AP$12:$AP$263,0)), "-"),     TRUE, "0")</f>
        <v>0</v>
      </c>
      <c r="BS81" s="607">
        <f>IF(BR$9&gt;0, IF(OR(BR81="",BR81="-"), 0, BR81*$AT81), BQ81*$AJ81)</f>
        <v>0</v>
      </c>
      <c r="BT81" s="589">
        <f>[1]COMMANDE!AE79</f>
        <v>0</v>
      </c>
      <c r="BU81" s="586" t="str">
        <f>_xlfn.IFS(AND($AI81=$AM81,$AI81&gt;0,$AM81&gt;0,BT81&gt;0), BT81,     AND(NOT($AI81=$AM81),$AI81&gt;0,$AM81&gt;0,BT81&gt;0), ($AM81*BT81)/$AI81,     AND($AI81=0,$AM81&gt;0,$AQ81&gt;0), IF(INDEX(BT$12:BT$263,MATCH($AQ81,$AP$12:$AP$263,0))&gt;0,($AM81*INDEX(BT$12:BT$263,MATCH($AQ81,$AP$12:$AP$263,0)))/INDEX($AI$12:$AI$263,MATCH($AQ81,$AP$12:$AP$263,0)), "-"),     TRUE, "0")</f>
        <v>0</v>
      </c>
      <c r="BV81" s="588">
        <f>IF(BU$9&gt;0, IF(OR(BU81="",BU81="-"), 0, BU81*$AT81), BT81*$AJ81)</f>
        <v>0</v>
      </c>
      <c r="BW81" s="587">
        <f>[1]COMMANDE!AG79</f>
        <v>0</v>
      </c>
      <c r="BX81" s="586" t="str">
        <f>_xlfn.IFS(AND($AI81=$AM81,$AI81&gt;0,$AM81&gt;0,BW81&gt;0), BW81,     AND(NOT($AI81=$AM81),$AI81&gt;0,$AM81&gt;0,BW81&gt;0), ($AM81*BW81)/$AI81,     AND($AI81=0,$AM81&gt;0,$AQ81&gt;0), IF(INDEX(BW$12:BW$263,MATCH($AQ81,$AP$12:$AP$263,0))&gt;0,($AM81*INDEX(BW$12:BW$263,MATCH($AQ81,$AP$12:$AP$263,0)))/INDEX($AI$12:$AI$263,MATCH($AQ81,$AP$12:$AP$263,0)), "-"),     TRUE, "0")</f>
        <v>0</v>
      </c>
      <c r="BY81" s="607">
        <f>IF(BX$9&gt;0, IF(OR(BX81="",BX81="-"), 0, BX81*$AT81), BW81*$AJ81)</f>
        <v>0</v>
      </c>
      <c r="BZ81" s="589">
        <f>[1]COMMANDE!AI79</f>
        <v>0</v>
      </c>
      <c r="CA81" s="586" t="str">
        <f>_xlfn.IFS(AND($AI81=$AM81,$AI81&gt;0,$AM81&gt;0,BZ81&gt;0), BZ81,     AND(NOT($AI81=$AM81),$AI81&gt;0,$AM81&gt;0,BZ81&gt;0), ($AM81*BZ81)/$AI81,     AND($AI81=0,$AM81&gt;0,$AQ81&gt;0), IF(INDEX(BZ$12:BZ$263,MATCH($AQ81,$AP$12:$AP$263,0))&gt;0,($AM81*INDEX(BZ$12:BZ$263,MATCH($AQ81,$AP$12:$AP$263,0)))/INDEX($AI$12:$AI$263,MATCH($AQ81,$AP$12:$AP$263,0)), "-"),     TRUE, "0")</f>
        <v>0</v>
      </c>
      <c r="CB81" s="588">
        <f>IF(CA$9&gt;0, IF(OR(CA81="",CA81="-"), 0, CA81*$AT81), BZ81*$AJ81)</f>
        <v>0</v>
      </c>
      <c r="CC81" s="587">
        <f>[1]COMMANDE!AK79</f>
        <v>0</v>
      </c>
      <c r="CD81" s="586" t="str">
        <f>_xlfn.IFS(AND($AI81=$AM81,$AI81&gt;0,$AM81&gt;0,CC81&gt;0), CC81,     AND(NOT($AI81=$AM81),$AI81&gt;0,$AM81&gt;0,CC81&gt;0), ($AM81*CC81)/$AI81,     AND($AI81=0,$AM81&gt;0,$AQ81&gt;0), IF(INDEX(CC$12:CC$263,MATCH($AQ81,$AP$12:$AP$263,0))&gt;0,($AM81*INDEX(CC$12:CC$263,MATCH($AQ81,$AP$12:$AP$263,0)))/INDEX($AI$12:$AI$263,MATCH($AQ81,$AP$12:$AP$263,0)), "-"),     TRUE, "0")</f>
        <v>0</v>
      </c>
      <c r="CE81" s="607">
        <f>IF(CD$9&gt;0, IF(OR(CD81="",CD81="-"), 0, CD81*$AT81), CC81*$AJ81)</f>
        <v>0</v>
      </c>
      <c r="CF81" s="589">
        <f>[1]COMMANDE!AM79</f>
        <v>0</v>
      </c>
      <c r="CG81" s="586" t="str">
        <f>_xlfn.IFS(AND($AI81=$AM81,$AI81&gt;0,$AM81&gt;0,CF81&gt;0), CF81,     AND(NOT($AI81=$AM81),$AI81&gt;0,$AM81&gt;0,CF81&gt;0), ($AM81*CF81)/$AI81,     AND($AI81=0,$AM81&gt;0,$AQ81&gt;0), IF(INDEX(CF$12:CF$263,MATCH($AQ81,$AP$12:$AP$263,0))&gt;0,($AM81*INDEX(CF$12:CF$263,MATCH($AQ81,$AP$12:$AP$263,0)))/INDEX($AI$12:$AI$263,MATCH($AQ81,$AP$12:$AP$263,0)), "-"),     TRUE, "0")</f>
        <v>0</v>
      </c>
      <c r="CH81" s="588">
        <f>IF(CG$9&gt;0, IF(OR(CG81="",CG81="-"), 0, CG81*$AT81), CF81*$AJ81)</f>
        <v>0</v>
      </c>
      <c r="CI81" s="587">
        <f>[1]COMMANDE!AO79</f>
        <v>0</v>
      </c>
      <c r="CJ81" s="586" t="str">
        <f>_xlfn.IFS(AND($AI81=$AM81,$AI81&gt;0,$AM81&gt;0,CI81&gt;0), CI81,     AND(NOT($AI81=$AM81),$AI81&gt;0,$AM81&gt;0,CI81&gt;0), ($AM81*CI81)/$AI81,     AND($AI81=0,$AM81&gt;0,$AQ81&gt;0), IF(INDEX(CI$12:CI$263,MATCH($AQ81,$AP$12:$AP$263,0))&gt;0,($AM81*INDEX(CI$12:CI$263,MATCH($AQ81,$AP$12:$AP$263,0)))/INDEX($AI$12:$AI$263,MATCH($AQ81,$AP$12:$AP$263,0)), "-"),     TRUE, "0")</f>
        <v>0</v>
      </c>
      <c r="CK81" s="607">
        <f>IF(CJ$9&gt;0, IF(OR(CJ81="",CJ81="-"), 0, CJ81*$AT81), CI81*$AJ81)</f>
        <v>0</v>
      </c>
      <c r="CL81" s="589">
        <f>[1]COMMANDE!AQ79</f>
        <v>0</v>
      </c>
      <c r="CM81" s="586" t="str">
        <f>_xlfn.IFS(AND($AI81=$AM81,$AI81&gt;0,$AM81&gt;0,CL81&gt;0), CL81,     AND(NOT($AI81=$AM81),$AI81&gt;0,$AM81&gt;0,CL81&gt;0), ($AM81*CL81)/$AI81,     AND($AI81=0,$AM81&gt;0,$AQ81&gt;0), IF(INDEX(CL$12:CL$263,MATCH($AQ81,$AP$12:$AP$263,0))&gt;0,($AM81*INDEX(CL$12:CL$263,MATCH($AQ81,$AP$12:$AP$263,0)))/INDEX($AI$12:$AI$263,MATCH($AQ81,$AP$12:$AP$263,0)), "-"),     TRUE, "0")</f>
        <v>0</v>
      </c>
      <c r="CN81" s="588">
        <f>IF(CM$9&gt;0, IF(OR(CM81="",CM81="-"), 0, CM81*$AT81), CL81*$AJ81)</f>
        <v>0</v>
      </c>
      <c r="CO81" s="587">
        <f>[1]COMMANDE!AS79</f>
        <v>0</v>
      </c>
      <c r="CP81" s="586" t="str">
        <f>_xlfn.IFS(AND($AI81=$AM81,$AI81&gt;0,$AM81&gt;0,CO81&gt;0), CO81,     AND(NOT($AI81=$AM81),$AI81&gt;0,$AM81&gt;0,CO81&gt;0), ($AM81*CO81)/$AI81,     AND($AI81=0,$AM81&gt;0,$AQ81&gt;0), IF(INDEX(CO$12:CO$263,MATCH($AQ81,$AP$12:$AP$263,0))&gt;0,($AM81*INDEX(CO$12:CO$263,MATCH($AQ81,$AP$12:$AP$263,0)))/INDEX($AI$12:$AI$263,MATCH($AQ81,$AP$12:$AP$263,0)), "-"),     TRUE, "0")</f>
        <v>0</v>
      </c>
      <c r="CQ81" s="607">
        <f>IF(CP$9&gt;0, IF(OR(CP81="",CP81="-"), 0, CP81*$AT81), CO81*$AJ81)</f>
        <v>0</v>
      </c>
      <c r="CR81" s="589">
        <f>[1]COMMANDE!AU79</f>
        <v>0</v>
      </c>
      <c r="CS81" s="586" t="str">
        <f>_xlfn.IFS(AND($AI81=$AM81,$AI81&gt;0,$AM81&gt;0,CR81&gt;0), CR81,     AND(NOT($AI81=$AM81),$AI81&gt;0,$AM81&gt;0,CR81&gt;0), ($AM81*CR81)/$AI81,     AND($AI81=0,$AM81&gt;0,$AQ81&gt;0), IF(INDEX(CR$12:CR$263,MATCH($AQ81,$AP$12:$AP$263,0))&gt;0,($AM81*INDEX(CR$12:CR$263,MATCH($AQ81,$AP$12:$AP$263,0)))/INDEX($AI$12:$AI$263,MATCH($AQ81,$AP$12:$AP$263,0)), "-"),     TRUE, "0")</f>
        <v>0</v>
      </c>
      <c r="CT81" s="588">
        <f>IF(CS$9&gt;0, IF(OR(CS81="",CS81="-"), 0, CS81*$AT81), CR81*$AJ81)</f>
        <v>0</v>
      </c>
      <c r="CU81" s="587">
        <f>[1]COMMANDE!AW79</f>
        <v>0</v>
      </c>
      <c r="CV81" s="586" t="str">
        <f>_xlfn.IFS(AND($AI81=$AM81,$AI81&gt;0,$AM81&gt;0,CU81&gt;0), CU81,     AND(NOT($AI81=$AM81),$AI81&gt;0,$AM81&gt;0,CU81&gt;0), ($AM81*CU81)/$AI81,     AND($AI81=0,$AM81&gt;0,$AQ81&gt;0), IF(INDEX(CU$12:CU$263,MATCH($AQ81,$AP$12:$AP$263,0))&gt;0,($AM81*INDEX(CU$12:CU$263,MATCH($AQ81,$AP$12:$AP$263,0)))/INDEX($AI$12:$AI$263,MATCH($AQ81,$AP$12:$AP$263,0)), "-"),     TRUE, "0")</f>
        <v>0</v>
      </c>
      <c r="CW81" s="607">
        <f>IF(CV$9&gt;0, IF(OR(CV81="",CV81="-"), 0, CV81*$AT81), CU81*$AJ81)</f>
        <v>0</v>
      </c>
      <c r="CX81" s="589">
        <f>[1]COMMANDE!AY79</f>
        <v>0</v>
      </c>
      <c r="CY81" s="586" t="str">
        <f>_xlfn.IFS(AND($AI81=$AM81,$AI81&gt;0,$AM81&gt;0,CX81&gt;0), CX81,     AND(NOT($AI81=$AM81),$AI81&gt;0,$AM81&gt;0,CX81&gt;0), ($AM81*CX81)/$AI81,     AND($AI81=0,$AM81&gt;0,$AQ81&gt;0), IF(INDEX(CX$12:CX$263,MATCH($AQ81,$AP$12:$AP$263,0))&gt;0,($AM81*INDEX(CX$12:CX$263,MATCH($AQ81,$AP$12:$AP$263,0)))/INDEX($AI$12:$AI$263,MATCH($AQ81,$AP$12:$AP$263,0)), "-"),     TRUE, "0")</f>
        <v>0</v>
      </c>
      <c r="CZ81" s="588">
        <f>IF(CY$9&gt;0, IF(OR(CY81="",CY81="-"), 0, CY81*$AT81), CX81*$AJ81)</f>
        <v>0</v>
      </c>
      <c r="DA81" s="587">
        <f>[1]COMMANDE!BA79</f>
        <v>0</v>
      </c>
      <c r="DB81" s="586" t="str">
        <f>_xlfn.IFS(AND($AI81=$AM81,$AI81&gt;0,$AM81&gt;0,DA81&gt;0), DA81,     AND(NOT($AI81=$AM81),$AI81&gt;0,$AM81&gt;0,DA81&gt;0), ($AM81*DA81)/$AI81,     AND($AI81=0,$AM81&gt;0,$AQ81&gt;0), IF(INDEX(DA$12:DA$263,MATCH($AQ81,$AP$12:$AP$263,0))&gt;0,($AM81*INDEX(DA$12:DA$263,MATCH($AQ81,$AP$12:$AP$263,0)))/INDEX($AI$12:$AI$263,MATCH($AQ81,$AP$12:$AP$263,0)), "-"),     TRUE, "0")</f>
        <v>0</v>
      </c>
      <c r="DC81" s="606">
        <f>IF(DB$9&gt;0, IF(OR(DB81="",DB81="-"), 0, DB81*$AT81), DA81*$AJ81)</f>
        <v>0</v>
      </c>
      <c r="DD81" s="584"/>
      <c r="DE81" s="583"/>
    </row>
    <row r="82" spans="1:109" ht="39.950000000000003" hidden="1" customHeight="1">
      <c r="A82" s="604">
        <f>IF(OR($AV82&gt;0, $AX82&gt;0), 1, 0)</f>
        <v>0</v>
      </c>
      <c r="B82" s="604">
        <f>IF(OR($AY82&gt;0, $BA82&gt;0), 1, 0)</f>
        <v>0</v>
      </c>
      <c r="C82" s="604">
        <f>IF(OR($BB82&gt;0, $BD82&gt;0), 1, 0)</f>
        <v>0</v>
      </c>
      <c r="D82" s="604">
        <f>IF(OR($BE82&gt;0, $BG82&gt;0), 1, 0)</f>
        <v>0</v>
      </c>
      <c r="E82" s="604">
        <f>IF(OR($BH82&gt;0, $BJ82&gt;0), 1, 0)</f>
        <v>0</v>
      </c>
      <c r="F82" s="604">
        <f>IF(OR($BK82&gt;0, $BM82&gt;0), 1, 0)</f>
        <v>0</v>
      </c>
      <c r="G82" s="604">
        <f>IF(OR($BN82&gt;0, $BP82&gt;0), 1, 0)</f>
        <v>0</v>
      </c>
      <c r="H82" s="604">
        <f>IF(OR($BQ82&gt;0, $BS82&gt;0), 1, 0)</f>
        <v>0</v>
      </c>
      <c r="I82" s="604">
        <f>IF(OR($BT82&gt;0, $BV82&gt;0), 1, 0)</f>
        <v>0</v>
      </c>
      <c r="J82" s="604">
        <f>IF(OR($BW82&gt;0, $BY82&gt;0), 1, 0)</f>
        <v>0</v>
      </c>
      <c r="K82" s="604">
        <f>IF(OR($BZ82&gt;0, $CB82&gt;0), 1, 0)</f>
        <v>0</v>
      </c>
      <c r="L82" s="604">
        <f>IF(OR($CC82&gt;0, $CE82&gt;0), 1, 0)</f>
        <v>0</v>
      </c>
      <c r="M82" s="604">
        <f>IF(OR($CF82&gt;0, $CH82&gt;0), 1, 0)</f>
        <v>0</v>
      </c>
      <c r="N82" s="604">
        <f>IF(OR($CI82&gt;0, $CK82&gt;0), 1, 0)</f>
        <v>0</v>
      </c>
      <c r="O82" s="604">
        <f>IF(OR($CL82&gt;0, $CN82&gt;0), 1, 0)</f>
        <v>0</v>
      </c>
      <c r="P82" s="604">
        <f>IF(OR($CO82&gt;0, $CQ82&gt;0), 1, 0)</f>
        <v>0</v>
      </c>
      <c r="Q82" s="604">
        <f>IF(OR($CR82&gt;0, $CT82&gt;0), 1, 0)</f>
        <v>0</v>
      </c>
      <c r="R82" s="604">
        <f>IF(OR($CU82&gt;0, $CW82&gt;0), 1, 0)</f>
        <v>0</v>
      </c>
      <c r="S82" s="604">
        <f>IF(OR($CX82&gt;0, $CZ82&gt;0), 1, 0)</f>
        <v>0</v>
      </c>
      <c r="T82" s="604">
        <f>IF(OR($DA82&gt;0, $DC82&gt;0), 1, 0)</f>
        <v>0</v>
      </c>
      <c r="U82" s="603">
        <f>IF(OR($AI82&gt;0,$AM82&gt;0,$AS82&gt;0), 1, 0)</f>
        <v>0</v>
      </c>
      <c r="V82" s="602">
        <f>[1]BDD!A72</f>
        <v>1023</v>
      </c>
      <c r="W82" s="601" t="str">
        <f>[1]BDD!B72</f>
        <v>Citron jaune Verna BIO (mûri sur plante) - grand</v>
      </c>
      <c r="X82" s="600" t="str">
        <f>IF([1]BDD!F72=0, "", [1]BDD!F72)</f>
        <v>❤️</v>
      </c>
      <c r="Y82" s="542">
        <f>ROUND([1]BDD!G72+FDP_CMD_KG, 2)</f>
        <v>4.01</v>
      </c>
      <c r="Z82" s="542">
        <f>ROUND([1]BDD!G72+FDP_FACT_KG, 2)</f>
        <v>4.01</v>
      </c>
      <c r="AA82" s="543" t="str">
        <f>[1]BDD!H72</f>
        <v>kg</v>
      </c>
      <c r="AB82" s="544">
        <f>IF(NOT(ISBLANK([1]BDD!I72)), ROUND(SUM(([1]BDD!G72*reduc1),FDP_CMD_KG), 2), "")</f>
        <v>3.7</v>
      </c>
      <c r="AC82" s="544">
        <f>IF(NOT(ISBLANK([1]BDD!J72)), ROUND(SUM(([1]BDD!G72*reduc2),FDP_CMD_KG), 2), "")</f>
        <v>3.39</v>
      </c>
      <c r="AD82" s="544">
        <f>IF(NOT(ISBLANK([1]BDD!K72)), ROUND(SUM(([1]BDD!G72*reduc3),FDP_CMD_KG), 2), "")</f>
        <v>3.07</v>
      </c>
      <c r="AE82" s="544">
        <f>IF(NOT(ISBLANK([1]BDD!I72)), ROUND(SUM(([1]BDD!G72*reduc1),FDP_FACT_KG), 2), "")</f>
        <v>3.69</v>
      </c>
      <c r="AF82" s="544">
        <f>IF(NOT(ISBLANK([1]BDD!J72)), ROUND(SUM(([1]BDD!G72*reduc2),FDP_FACT_KG), 2), "")</f>
        <v>3.38</v>
      </c>
      <c r="AG82" s="544">
        <f>IF(NOT(ISBLANK([1]BDD!K72)), ROUND(SUM(([1]BDD!G72*reduc3),FDP_FACT_KG), 2), "")</f>
        <v>3.06</v>
      </c>
      <c r="AH82" s="599" t="str">
        <f>[1]BDD!C72</f>
        <v>Malaga</v>
      </c>
      <c r="AI82" s="598">
        <f>SUM(AV82,AY82,BB82,BE82,BH82,BK82,BN82,BQ82,BT82,BW82,BZ82,CC82,CF82,CI82,CL82,CO82,CR82,CU82,CX82,DA82)</f>
        <v>0</v>
      </c>
      <c r="AJ82" s="545">
        <f>_xlfn.IFS($AD82&lt;&gt;"", $AD82,    $AC82&lt;&gt;"", $AC82,    $AB82&lt;&gt;"", $AB82,    TRUE, $Y82)</f>
        <v>3.07</v>
      </c>
      <c r="AK82" s="592">
        <f>$AI82*$AJ82</f>
        <v>0</v>
      </c>
      <c r="AL82" s="594"/>
      <c r="AM82" s="597"/>
      <c r="AN82" s="545">
        <f>_xlfn.IFS(AND(AM82&gt;=60,$AG82&lt;&gt;""), $AG82,    AND(AM82&gt;=30,$AF82&lt;&gt;""), $AF82,    AND(AM82&gt;=10,$AE82&lt;&gt;""), $AE82,    TRUE, $Z82)</f>
        <v>4.01</v>
      </c>
      <c r="AO82" s="596">
        <f>AM82*AN82</f>
        <v>0</v>
      </c>
      <c r="AP82" s="595"/>
      <c r="AQ82" s="595"/>
      <c r="AR82" s="594"/>
      <c r="AS82" s="593">
        <f>SUM(AW82,AZ82,BC82,BF82,BI82,BL82,BO82,BR82,BU82,BX82,CA82,CD82,CG82,CJ82,CM82,CP82,CS82,CV82,CY82,DB82)</f>
        <v>0</v>
      </c>
      <c r="AT82" s="545">
        <f>_xlfn.IFS(AND(AS82&gt;=60,$AG82&lt;&gt;""), $AG82,    AND(AS82&gt;=30,$AF82&lt;&gt;""), $AF82,    AND(AS82&gt;=10,$AE82&lt;&gt;""), $AE82,    TRUE, $Z82)</f>
        <v>4.01</v>
      </c>
      <c r="AU82" s="592">
        <f>$AS82*$AT82</f>
        <v>0</v>
      </c>
      <c r="AV82" s="591">
        <f>[1]COMMANDE!O80</f>
        <v>0</v>
      </c>
      <c r="AW82" s="586" t="str">
        <f>_xlfn.IFS(AND($AI82=$AM82,$AI82&gt;0,$AM82&gt;0,AV82&gt;0), AV82,     AND(NOT($AI82=$AM82),$AI82&gt;0,$AM82&gt;0,AV82&gt;0), ($AM82*AV82)/$AI82,     AND($AI82=0,$AM82&gt;0,$AQ82&gt;0), IF(INDEX(AV$12:AV$263,MATCH($AQ82,$AP$12:$AP$263,0))&gt;0,($AM82*INDEX(AV$12:AV$263,MATCH($AQ82,$AP$12:$AP$263,0)))/INDEX($AI$12:$AI$263,MATCH($AQ82,$AP$12:$AP$263,0)), "-"),     TRUE, "0")</f>
        <v>0</v>
      </c>
      <c r="AX82" s="588">
        <f>IF(AW$9&gt;0, IF(OR(AW82="",AW82="-"), 0, AW82*$AT82), AV82*$AJ82)</f>
        <v>0</v>
      </c>
      <c r="AY82" s="587">
        <f>[1]COMMANDE!Q80</f>
        <v>0</v>
      </c>
      <c r="AZ82" s="586" t="str">
        <f>_xlfn.IFS(AND($AI82=$AM82,$AI82&gt;0,$AM82&gt;0,AY82&gt;0), AY82,     AND(NOT($AI82=$AM82),$AI82&gt;0,$AM82&gt;0,AY82&gt;0), ($AM82*AY82)/$AI82,     AND($AI82=0,$AM82&gt;0,$AQ82&gt;0), IF(INDEX(AY$12:AY$263,MATCH($AQ82,$AP$12:$AP$263,0))&gt;0,($AM82*INDEX(AY$12:AY$263,MATCH($AQ82,$AP$12:$AP$263,0)))/INDEX($AI$12:$AI$263,MATCH($AQ82,$AP$12:$AP$263,0)), "-"),     TRUE, "0")</f>
        <v>0</v>
      </c>
      <c r="BA82" s="607">
        <f>IF(AZ$9&gt;0, IF(OR(AZ82="",AZ82="-"), 0, AZ82*$AT82), AY82*$AJ82)</f>
        <v>0</v>
      </c>
      <c r="BB82" s="589">
        <f>[1]COMMANDE!S80</f>
        <v>0</v>
      </c>
      <c r="BC82" s="586" t="str">
        <f>_xlfn.IFS(AND($AI82=$AM82,$AI82&gt;0,$AM82&gt;0,BB82&gt;0), BB82,     AND(NOT($AI82=$AM82),$AI82&gt;0,$AM82&gt;0,BB82&gt;0), ($AM82*BB82)/$AI82,     AND($AI82=0,$AM82&gt;0,$AQ82&gt;0), IF(INDEX(BB$12:BB$263,MATCH($AQ82,$AP$12:$AP$263,0))&gt;0,($AM82*INDEX(BB$12:BB$263,MATCH($AQ82,$AP$12:$AP$263,0)))/INDEX($AI$12:$AI$263,MATCH($AQ82,$AP$12:$AP$263,0)), "-"),     TRUE, "0")</f>
        <v>0</v>
      </c>
      <c r="BD82" s="588">
        <f>IF(BC$9&gt;0, IF(OR(BC82="",BC82="-"), 0, BC82*$AT82), BB82*$AJ82)</f>
        <v>0</v>
      </c>
      <c r="BE82" s="587">
        <f>[1]COMMANDE!U80</f>
        <v>0</v>
      </c>
      <c r="BF82" s="586" t="str">
        <f>_xlfn.IFS(AND($AI82=$AM82,$AI82&gt;0,$AM82&gt;0,BE82&gt;0), BE82,     AND(NOT($AI82=$AM82),$AI82&gt;0,$AM82&gt;0,BE82&gt;0), ($AM82*BE82)/$AI82,     AND($AI82=0,$AM82&gt;0,$AQ82&gt;0), IF(INDEX(BE$12:BE$263,MATCH($AQ82,$AP$12:$AP$263,0))&gt;0,($AM82*INDEX(BE$12:BE$263,MATCH($AQ82,$AP$12:$AP$263,0)))/INDEX($AI$12:$AI$263,MATCH($AQ82,$AP$12:$AP$263,0)), "-"),     TRUE, "0")</f>
        <v>0</v>
      </c>
      <c r="BG82" s="607">
        <f>IF(BF$9&gt;0, IF(OR(BF82="",BF82="-"), 0, BF82*$AT82), BE82*$AJ82)</f>
        <v>0</v>
      </c>
      <c r="BH82" s="589">
        <f>[1]COMMANDE!W80</f>
        <v>0</v>
      </c>
      <c r="BI82" s="586" t="str">
        <f>_xlfn.IFS(AND($AI82=$AM82,$AI82&gt;0,$AM82&gt;0,BH82&gt;0), BH82,     AND(NOT($AI82=$AM82),$AI82&gt;0,$AM82&gt;0,BH82&gt;0), ($AM82*BH82)/$AI82,     AND($AI82=0,$AM82&gt;0,$AQ82&gt;0), IF(INDEX(BH$12:BH$263,MATCH($AQ82,$AP$12:$AP$263,0))&gt;0,($AM82*INDEX(BH$12:BH$263,MATCH($AQ82,$AP$12:$AP$263,0)))/INDEX($AI$12:$AI$263,MATCH($AQ82,$AP$12:$AP$263,0)), "-"),     TRUE, "0")</f>
        <v>0</v>
      </c>
      <c r="BJ82" s="588">
        <f>IF(BI$9&gt;0, IF(OR(BI82="",BI82="-"), 0, BI82*$AT82), BH82*$AJ82)</f>
        <v>0</v>
      </c>
      <c r="BK82" s="587">
        <f>[1]COMMANDE!Y80</f>
        <v>0</v>
      </c>
      <c r="BL82" s="586" t="str">
        <f>_xlfn.IFS(AND($AI82=$AM82,$AI82&gt;0,$AM82&gt;0,BK82&gt;0), BK82,     AND(NOT($AI82=$AM82),$AI82&gt;0,$AM82&gt;0,BK82&gt;0), ($AM82*BK82)/$AI82,     AND($AI82=0,$AM82&gt;0,$AQ82&gt;0), IF(INDEX(BK$12:BK$263,MATCH($AQ82,$AP$12:$AP$263,0))&gt;0,($AM82*INDEX(BK$12:BK$263,MATCH($AQ82,$AP$12:$AP$263,0)))/INDEX($AI$12:$AI$263,MATCH($AQ82,$AP$12:$AP$263,0)), "-"),     TRUE, "0")</f>
        <v>0</v>
      </c>
      <c r="BM82" s="607">
        <f>IF(BL$9&gt;0, IF(OR(BL82="",BL82="-"), 0, BL82*$AT82), BK82*$AJ82)</f>
        <v>0</v>
      </c>
      <c r="BN82" s="589">
        <f>[1]COMMANDE!AA80</f>
        <v>0</v>
      </c>
      <c r="BO82" s="586" t="str">
        <f>_xlfn.IFS(AND($AI82=$AM82,$AI82&gt;0,$AM82&gt;0,BN82&gt;0), BN82,     AND(NOT($AI82=$AM82),$AI82&gt;0,$AM82&gt;0,BN82&gt;0), ($AM82*BN82)/$AI82,     AND($AI82=0,$AM82&gt;0,$AQ82&gt;0), IF(INDEX(BN$12:BN$263,MATCH($AQ82,$AP$12:$AP$263,0))&gt;0,($AM82*INDEX(BN$12:BN$263,MATCH($AQ82,$AP$12:$AP$263,0)))/INDEX($AI$12:$AI$263,MATCH($AQ82,$AP$12:$AP$263,0)), "-"),     TRUE, "0")</f>
        <v>0</v>
      </c>
      <c r="BP82" s="588">
        <f>IF(BO$9&gt;0, IF(OR(BO82="",BO82="-"), 0, BO82*$AT82), BN82*$AJ82)</f>
        <v>0</v>
      </c>
      <c r="BQ82" s="587">
        <f>[1]COMMANDE!AC80</f>
        <v>0</v>
      </c>
      <c r="BR82" s="586" t="str">
        <f>_xlfn.IFS(AND($AI82=$AM82,$AI82&gt;0,$AM82&gt;0,BQ82&gt;0), BQ82,     AND(NOT($AI82=$AM82),$AI82&gt;0,$AM82&gt;0,BQ82&gt;0), ($AM82*BQ82)/$AI82,     AND($AI82=0,$AM82&gt;0,$AQ82&gt;0), IF(INDEX(BQ$12:BQ$263,MATCH($AQ82,$AP$12:$AP$263,0))&gt;0,($AM82*INDEX(BQ$12:BQ$263,MATCH($AQ82,$AP$12:$AP$263,0)))/INDEX($AI$12:$AI$263,MATCH($AQ82,$AP$12:$AP$263,0)), "-"),     TRUE, "0")</f>
        <v>0</v>
      </c>
      <c r="BS82" s="607">
        <f>IF(BR$9&gt;0, IF(OR(BR82="",BR82="-"), 0, BR82*$AT82), BQ82*$AJ82)</f>
        <v>0</v>
      </c>
      <c r="BT82" s="589">
        <f>[1]COMMANDE!AE80</f>
        <v>0</v>
      </c>
      <c r="BU82" s="586" t="str">
        <f>_xlfn.IFS(AND($AI82=$AM82,$AI82&gt;0,$AM82&gt;0,BT82&gt;0), BT82,     AND(NOT($AI82=$AM82),$AI82&gt;0,$AM82&gt;0,BT82&gt;0), ($AM82*BT82)/$AI82,     AND($AI82=0,$AM82&gt;0,$AQ82&gt;0), IF(INDEX(BT$12:BT$263,MATCH($AQ82,$AP$12:$AP$263,0))&gt;0,($AM82*INDEX(BT$12:BT$263,MATCH($AQ82,$AP$12:$AP$263,0)))/INDEX($AI$12:$AI$263,MATCH($AQ82,$AP$12:$AP$263,0)), "-"),     TRUE, "0")</f>
        <v>0</v>
      </c>
      <c r="BV82" s="588">
        <f>IF(BU$9&gt;0, IF(OR(BU82="",BU82="-"), 0, BU82*$AT82), BT82*$AJ82)</f>
        <v>0</v>
      </c>
      <c r="BW82" s="587">
        <f>[1]COMMANDE!AG80</f>
        <v>0</v>
      </c>
      <c r="BX82" s="586" t="str">
        <f>_xlfn.IFS(AND($AI82=$AM82,$AI82&gt;0,$AM82&gt;0,BW82&gt;0), BW82,     AND(NOT($AI82=$AM82),$AI82&gt;0,$AM82&gt;0,BW82&gt;0), ($AM82*BW82)/$AI82,     AND($AI82=0,$AM82&gt;0,$AQ82&gt;0), IF(INDEX(BW$12:BW$263,MATCH($AQ82,$AP$12:$AP$263,0))&gt;0,($AM82*INDEX(BW$12:BW$263,MATCH($AQ82,$AP$12:$AP$263,0)))/INDEX($AI$12:$AI$263,MATCH($AQ82,$AP$12:$AP$263,0)), "-"),     TRUE, "0")</f>
        <v>0</v>
      </c>
      <c r="BY82" s="607">
        <f>IF(BX$9&gt;0, IF(OR(BX82="",BX82="-"), 0, BX82*$AT82), BW82*$AJ82)</f>
        <v>0</v>
      </c>
      <c r="BZ82" s="589">
        <f>[1]COMMANDE!AI80</f>
        <v>0</v>
      </c>
      <c r="CA82" s="586" t="str">
        <f>_xlfn.IFS(AND($AI82=$AM82,$AI82&gt;0,$AM82&gt;0,BZ82&gt;0), BZ82,     AND(NOT($AI82=$AM82),$AI82&gt;0,$AM82&gt;0,BZ82&gt;0), ($AM82*BZ82)/$AI82,     AND($AI82=0,$AM82&gt;0,$AQ82&gt;0), IF(INDEX(BZ$12:BZ$263,MATCH($AQ82,$AP$12:$AP$263,0))&gt;0,($AM82*INDEX(BZ$12:BZ$263,MATCH($AQ82,$AP$12:$AP$263,0)))/INDEX($AI$12:$AI$263,MATCH($AQ82,$AP$12:$AP$263,0)), "-"),     TRUE, "0")</f>
        <v>0</v>
      </c>
      <c r="CB82" s="588">
        <f>IF(CA$9&gt;0, IF(OR(CA82="",CA82="-"), 0, CA82*$AT82), BZ82*$AJ82)</f>
        <v>0</v>
      </c>
      <c r="CC82" s="587">
        <f>[1]COMMANDE!AK80</f>
        <v>0</v>
      </c>
      <c r="CD82" s="586" t="str">
        <f>_xlfn.IFS(AND($AI82=$AM82,$AI82&gt;0,$AM82&gt;0,CC82&gt;0), CC82,     AND(NOT($AI82=$AM82),$AI82&gt;0,$AM82&gt;0,CC82&gt;0), ($AM82*CC82)/$AI82,     AND($AI82=0,$AM82&gt;0,$AQ82&gt;0), IF(INDEX(CC$12:CC$263,MATCH($AQ82,$AP$12:$AP$263,0))&gt;0,($AM82*INDEX(CC$12:CC$263,MATCH($AQ82,$AP$12:$AP$263,0)))/INDEX($AI$12:$AI$263,MATCH($AQ82,$AP$12:$AP$263,0)), "-"),     TRUE, "0")</f>
        <v>0</v>
      </c>
      <c r="CE82" s="607">
        <f>IF(CD$9&gt;0, IF(OR(CD82="",CD82="-"), 0, CD82*$AT82), CC82*$AJ82)</f>
        <v>0</v>
      </c>
      <c r="CF82" s="589">
        <f>[1]COMMANDE!AM80</f>
        <v>0</v>
      </c>
      <c r="CG82" s="586" t="str">
        <f>_xlfn.IFS(AND($AI82=$AM82,$AI82&gt;0,$AM82&gt;0,CF82&gt;0), CF82,     AND(NOT($AI82=$AM82),$AI82&gt;0,$AM82&gt;0,CF82&gt;0), ($AM82*CF82)/$AI82,     AND($AI82=0,$AM82&gt;0,$AQ82&gt;0), IF(INDEX(CF$12:CF$263,MATCH($AQ82,$AP$12:$AP$263,0))&gt;0,($AM82*INDEX(CF$12:CF$263,MATCH($AQ82,$AP$12:$AP$263,0)))/INDEX($AI$12:$AI$263,MATCH($AQ82,$AP$12:$AP$263,0)), "-"),     TRUE, "0")</f>
        <v>0</v>
      </c>
      <c r="CH82" s="588">
        <f>IF(CG$9&gt;0, IF(OR(CG82="",CG82="-"), 0, CG82*$AT82), CF82*$AJ82)</f>
        <v>0</v>
      </c>
      <c r="CI82" s="587">
        <f>[1]COMMANDE!AO80</f>
        <v>0</v>
      </c>
      <c r="CJ82" s="586" t="str">
        <f>_xlfn.IFS(AND($AI82=$AM82,$AI82&gt;0,$AM82&gt;0,CI82&gt;0), CI82,     AND(NOT($AI82=$AM82),$AI82&gt;0,$AM82&gt;0,CI82&gt;0), ($AM82*CI82)/$AI82,     AND($AI82=0,$AM82&gt;0,$AQ82&gt;0), IF(INDEX(CI$12:CI$263,MATCH($AQ82,$AP$12:$AP$263,0))&gt;0,($AM82*INDEX(CI$12:CI$263,MATCH($AQ82,$AP$12:$AP$263,0)))/INDEX($AI$12:$AI$263,MATCH($AQ82,$AP$12:$AP$263,0)), "-"),     TRUE, "0")</f>
        <v>0</v>
      </c>
      <c r="CK82" s="607">
        <f>IF(CJ$9&gt;0, IF(OR(CJ82="",CJ82="-"), 0, CJ82*$AT82), CI82*$AJ82)</f>
        <v>0</v>
      </c>
      <c r="CL82" s="589">
        <f>[1]COMMANDE!AQ80</f>
        <v>0</v>
      </c>
      <c r="CM82" s="586" t="str">
        <f>_xlfn.IFS(AND($AI82=$AM82,$AI82&gt;0,$AM82&gt;0,CL82&gt;0), CL82,     AND(NOT($AI82=$AM82),$AI82&gt;0,$AM82&gt;0,CL82&gt;0), ($AM82*CL82)/$AI82,     AND($AI82=0,$AM82&gt;0,$AQ82&gt;0), IF(INDEX(CL$12:CL$263,MATCH($AQ82,$AP$12:$AP$263,0))&gt;0,($AM82*INDEX(CL$12:CL$263,MATCH($AQ82,$AP$12:$AP$263,0)))/INDEX($AI$12:$AI$263,MATCH($AQ82,$AP$12:$AP$263,0)), "-"),     TRUE, "0")</f>
        <v>0</v>
      </c>
      <c r="CN82" s="588">
        <f>IF(CM$9&gt;0, IF(OR(CM82="",CM82="-"), 0, CM82*$AT82), CL82*$AJ82)</f>
        <v>0</v>
      </c>
      <c r="CO82" s="587">
        <f>[1]COMMANDE!AS80</f>
        <v>0</v>
      </c>
      <c r="CP82" s="586" t="str">
        <f>_xlfn.IFS(AND($AI82=$AM82,$AI82&gt;0,$AM82&gt;0,CO82&gt;0), CO82,     AND(NOT($AI82=$AM82),$AI82&gt;0,$AM82&gt;0,CO82&gt;0), ($AM82*CO82)/$AI82,     AND($AI82=0,$AM82&gt;0,$AQ82&gt;0), IF(INDEX(CO$12:CO$263,MATCH($AQ82,$AP$12:$AP$263,0))&gt;0,($AM82*INDEX(CO$12:CO$263,MATCH($AQ82,$AP$12:$AP$263,0)))/INDEX($AI$12:$AI$263,MATCH($AQ82,$AP$12:$AP$263,0)), "-"),     TRUE, "0")</f>
        <v>0</v>
      </c>
      <c r="CQ82" s="607">
        <f>IF(CP$9&gt;0, IF(OR(CP82="",CP82="-"), 0, CP82*$AT82), CO82*$AJ82)</f>
        <v>0</v>
      </c>
      <c r="CR82" s="589">
        <f>[1]COMMANDE!AU80</f>
        <v>0</v>
      </c>
      <c r="CS82" s="586" t="str">
        <f>_xlfn.IFS(AND($AI82=$AM82,$AI82&gt;0,$AM82&gt;0,CR82&gt;0), CR82,     AND(NOT($AI82=$AM82),$AI82&gt;0,$AM82&gt;0,CR82&gt;0), ($AM82*CR82)/$AI82,     AND($AI82=0,$AM82&gt;0,$AQ82&gt;0), IF(INDEX(CR$12:CR$263,MATCH($AQ82,$AP$12:$AP$263,0))&gt;0,($AM82*INDEX(CR$12:CR$263,MATCH($AQ82,$AP$12:$AP$263,0)))/INDEX($AI$12:$AI$263,MATCH($AQ82,$AP$12:$AP$263,0)), "-"),     TRUE, "0")</f>
        <v>0</v>
      </c>
      <c r="CT82" s="588">
        <f>IF(CS$9&gt;0, IF(OR(CS82="",CS82="-"), 0, CS82*$AT82), CR82*$AJ82)</f>
        <v>0</v>
      </c>
      <c r="CU82" s="587">
        <f>[1]COMMANDE!AW80</f>
        <v>0</v>
      </c>
      <c r="CV82" s="586" t="str">
        <f>_xlfn.IFS(AND($AI82=$AM82,$AI82&gt;0,$AM82&gt;0,CU82&gt;0), CU82,     AND(NOT($AI82=$AM82),$AI82&gt;0,$AM82&gt;0,CU82&gt;0), ($AM82*CU82)/$AI82,     AND($AI82=0,$AM82&gt;0,$AQ82&gt;0), IF(INDEX(CU$12:CU$263,MATCH($AQ82,$AP$12:$AP$263,0))&gt;0,($AM82*INDEX(CU$12:CU$263,MATCH($AQ82,$AP$12:$AP$263,0)))/INDEX($AI$12:$AI$263,MATCH($AQ82,$AP$12:$AP$263,0)), "-"),     TRUE, "0")</f>
        <v>0</v>
      </c>
      <c r="CW82" s="607">
        <f>IF(CV$9&gt;0, IF(OR(CV82="",CV82="-"), 0, CV82*$AT82), CU82*$AJ82)</f>
        <v>0</v>
      </c>
      <c r="CX82" s="589">
        <f>[1]COMMANDE!AY80</f>
        <v>0</v>
      </c>
      <c r="CY82" s="586" t="str">
        <f>_xlfn.IFS(AND($AI82=$AM82,$AI82&gt;0,$AM82&gt;0,CX82&gt;0), CX82,     AND(NOT($AI82=$AM82),$AI82&gt;0,$AM82&gt;0,CX82&gt;0), ($AM82*CX82)/$AI82,     AND($AI82=0,$AM82&gt;0,$AQ82&gt;0), IF(INDEX(CX$12:CX$263,MATCH($AQ82,$AP$12:$AP$263,0))&gt;0,($AM82*INDEX(CX$12:CX$263,MATCH($AQ82,$AP$12:$AP$263,0)))/INDEX($AI$12:$AI$263,MATCH($AQ82,$AP$12:$AP$263,0)), "-"),     TRUE, "0")</f>
        <v>0</v>
      </c>
      <c r="CZ82" s="588">
        <f>IF(CY$9&gt;0, IF(OR(CY82="",CY82="-"), 0, CY82*$AT82), CX82*$AJ82)</f>
        <v>0</v>
      </c>
      <c r="DA82" s="587">
        <f>[1]COMMANDE!BA80</f>
        <v>0</v>
      </c>
      <c r="DB82" s="586" t="str">
        <f>_xlfn.IFS(AND($AI82=$AM82,$AI82&gt;0,$AM82&gt;0,DA82&gt;0), DA82,     AND(NOT($AI82=$AM82),$AI82&gt;0,$AM82&gt;0,DA82&gt;0), ($AM82*DA82)/$AI82,     AND($AI82=0,$AM82&gt;0,$AQ82&gt;0), IF(INDEX(DA$12:DA$263,MATCH($AQ82,$AP$12:$AP$263,0))&gt;0,($AM82*INDEX(DA$12:DA$263,MATCH($AQ82,$AP$12:$AP$263,0)))/INDEX($AI$12:$AI$263,MATCH($AQ82,$AP$12:$AP$263,0)), "-"),     TRUE, "0")</f>
        <v>0</v>
      </c>
      <c r="DC82" s="606">
        <f>IF(DB$9&gt;0, IF(OR(DB82="",DB82="-"), 0, DB82*$AT82), DA82*$AJ82)</f>
        <v>0</v>
      </c>
      <c r="DD82" s="584"/>
      <c r="DE82" s="583"/>
    </row>
    <row r="83" spans="1:109" ht="39.950000000000003" hidden="1" customHeight="1">
      <c r="A83" s="604">
        <f>IF(OR($AV83&gt;0, $AX83&gt;0), 1, 0)</f>
        <v>0</v>
      </c>
      <c r="B83" s="604">
        <f>IF(OR($AY83&gt;0, $BA83&gt;0), 1, 0)</f>
        <v>0</v>
      </c>
      <c r="C83" s="604">
        <f>IF(OR($BB83&gt;0, $BD83&gt;0), 1, 0)</f>
        <v>0</v>
      </c>
      <c r="D83" s="604">
        <f>IF(OR($BE83&gt;0, $BG83&gt;0), 1, 0)</f>
        <v>0</v>
      </c>
      <c r="E83" s="604">
        <f>IF(OR($BH83&gt;0, $BJ83&gt;0), 1, 0)</f>
        <v>0</v>
      </c>
      <c r="F83" s="604">
        <f>IF(OR($BK83&gt;0, $BM83&gt;0), 1, 0)</f>
        <v>0</v>
      </c>
      <c r="G83" s="604">
        <f>IF(OR($BN83&gt;0, $BP83&gt;0), 1, 0)</f>
        <v>0</v>
      </c>
      <c r="H83" s="604">
        <f>IF(OR($BQ83&gt;0, $BS83&gt;0), 1, 0)</f>
        <v>0</v>
      </c>
      <c r="I83" s="604">
        <f>IF(OR($BT83&gt;0, $BV83&gt;0), 1, 0)</f>
        <v>0</v>
      </c>
      <c r="J83" s="604">
        <f>IF(OR($BW83&gt;0, $BY83&gt;0), 1, 0)</f>
        <v>0</v>
      </c>
      <c r="K83" s="604">
        <f>IF(OR($BZ83&gt;0, $CB83&gt;0), 1, 0)</f>
        <v>0</v>
      </c>
      <c r="L83" s="604">
        <f>IF(OR($CC83&gt;0, $CE83&gt;0), 1, 0)</f>
        <v>0</v>
      </c>
      <c r="M83" s="604">
        <f>IF(OR($CF83&gt;0, $CH83&gt;0), 1, 0)</f>
        <v>0</v>
      </c>
      <c r="N83" s="604">
        <f>IF(OR($CI83&gt;0, $CK83&gt;0), 1, 0)</f>
        <v>0</v>
      </c>
      <c r="O83" s="604">
        <f>IF(OR($CL83&gt;0, $CN83&gt;0), 1, 0)</f>
        <v>0</v>
      </c>
      <c r="P83" s="604">
        <f>IF(OR($CO83&gt;0, $CQ83&gt;0), 1, 0)</f>
        <v>0</v>
      </c>
      <c r="Q83" s="604">
        <f>IF(OR($CR83&gt;0, $CT83&gt;0), 1, 0)</f>
        <v>0</v>
      </c>
      <c r="R83" s="604">
        <f>IF(OR($CU83&gt;0, $CW83&gt;0), 1, 0)</f>
        <v>0</v>
      </c>
      <c r="S83" s="604">
        <f>IF(OR($CX83&gt;0, $CZ83&gt;0), 1, 0)</f>
        <v>0</v>
      </c>
      <c r="T83" s="604">
        <f>IF(OR($DA83&gt;0, $DC83&gt;0), 1, 0)</f>
        <v>0</v>
      </c>
      <c r="U83" s="603">
        <f>IF(OR($AI83&gt;0,$AM83&gt;0,$AS83&gt;0), 1, 0)</f>
        <v>0</v>
      </c>
      <c r="V83" s="602">
        <f>[1]BDD!A73</f>
        <v>3169</v>
      </c>
      <c r="W83" s="601" t="str">
        <f>[1]BDD!B73</f>
        <v>Citron vert</v>
      </c>
      <c r="X83" s="600" t="str">
        <f>IF([1]BDD!F73=0, "", [1]BDD!F73)</f>
        <v>❤️</v>
      </c>
      <c r="Y83" s="542">
        <f>ROUND([1]BDD!G73+FDP_CMD_KG, 2)</f>
        <v>3.87</v>
      </c>
      <c r="Z83" s="542">
        <f>ROUND([1]BDD!G73+FDP_FACT_KG, 2)</f>
        <v>3.87</v>
      </c>
      <c r="AA83" s="543" t="str">
        <f>[1]BDD!H73</f>
        <v>kg</v>
      </c>
      <c r="AB83" s="544">
        <f>IF(NOT(ISBLANK([1]BDD!I73)), ROUND(SUM(([1]BDD!G73*reduc1),FDP_CMD_KG), 2), "")</f>
        <v>3.57</v>
      </c>
      <c r="AC83" s="544">
        <f>IF(NOT(ISBLANK([1]BDD!J73)), ROUND(SUM(([1]BDD!G73*reduc2),FDP_CMD_KG), 2), "")</f>
        <v>3.27</v>
      </c>
      <c r="AD83" s="544" t="str">
        <f>IF(NOT(ISBLANK([1]BDD!K73)), ROUND(SUM(([1]BDD!G73*reduc3),FDP_CMD_KG), 2), "")</f>
        <v/>
      </c>
      <c r="AE83" s="544">
        <f>IF(NOT(ISBLANK([1]BDD!I73)), ROUND(SUM(([1]BDD!G73*reduc1),FDP_FACT_KG), 2), "")</f>
        <v>3.57</v>
      </c>
      <c r="AF83" s="544">
        <f>IF(NOT(ISBLANK([1]BDD!J73)), ROUND(SUM(([1]BDD!G73*reduc2),FDP_FACT_KG), 2), "")</f>
        <v>3.27</v>
      </c>
      <c r="AG83" s="544" t="str">
        <f>IF(NOT(ISBLANK([1]BDD!K73)), ROUND(SUM(([1]BDD!G73*reduc3),FDP_FACT_KG), 2), "")</f>
        <v/>
      </c>
      <c r="AH83" s="599" t="str">
        <f>[1]BDD!C73</f>
        <v>Grenade</v>
      </c>
      <c r="AI83" s="598">
        <f>SUM(AV83,AY83,BB83,BE83,BH83,BK83,BN83,BQ83,BT83,BW83,BZ83,CC83,CF83,CI83,CL83,CO83,CR83,CU83,CX83,DA83)</f>
        <v>0</v>
      </c>
      <c r="AJ83" s="545">
        <f>_xlfn.IFS($AD83&lt;&gt;"", $AD83,    $AC83&lt;&gt;"", $AC83,    $AB83&lt;&gt;"", $AB83,    TRUE, $Y83)</f>
        <v>3.27</v>
      </c>
      <c r="AK83" s="592">
        <f>$AI83*$AJ83</f>
        <v>0</v>
      </c>
      <c r="AL83" s="594"/>
      <c r="AM83" s="597"/>
      <c r="AN83" s="545">
        <f>_xlfn.IFS(AND(AM83&gt;=60,$AG83&lt;&gt;""), $AG83,    AND(AM83&gt;=30,$AF83&lt;&gt;""), $AF83,    AND(AM83&gt;=10,$AE83&lt;&gt;""), $AE83,    TRUE, $Z83)</f>
        <v>3.87</v>
      </c>
      <c r="AO83" s="596">
        <f>AM83*AN83</f>
        <v>0</v>
      </c>
      <c r="AP83" s="595"/>
      <c r="AQ83" s="595"/>
      <c r="AR83" s="594"/>
      <c r="AS83" s="593">
        <f>SUM(AW83,AZ83,BC83,BF83,BI83,BL83,BO83,BR83,BU83,BX83,CA83,CD83,CG83,CJ83,CM83,CP83,CS83,CV83,CY83,DB83)</f>
        <v>0</v>
      </c>
      <c r="AT83" s="545">
        <f>_xlfn.IFS(AND(AS83&gt;=60,$AG83&lt;&gt;""), $AG83,    AND(AS83&gt;=30,$AF83&lt;&gt;""), $AF83,    AND(AS83&gt;=10,$AE83&lt;&gt;""), $AE83,    TRUE, $Z83)</f>
        <v>3.87</v>
      </c>
      <c r="AU83" s="592">
        <f>$AS83*$AT83</f>
        <v>0</v>
      </c>
      <c r="AV83" s="591">
        <f>[1]COMMANDE!O81</f>
        <v>0</v>
      </c>
      <c r="AW83" s="586" t="str">
        <f>_xlfn.IFS(AND($AI83=$AM83,$AI83&gt;0,$AM83&gt;0,AV83&gt;0), AV83,     AND(NOT($AI83=$AM83),$AI83&gt;0,$AM83&gt;0,AV83&gt;0), ($AM83*AV83)/$AI83,     AND($AI83=0,$AM83&gt;0,$AQ83&gt;0), IF(INDEX(AV$12:AV$263,MATCH($AQ83,$AP$12:$AP$263,0))&gt;0,($AM83*INDEX(AV$12:AV$263,MATCH($AQ83,$AP$12:$AP$263,0)))/INDEX($AI$12:$AI$263,MATCH($AQ83,$AP$12:$AP$263,0)), "-"),     TRUE, "0")</f>
        <v>0</v>
      </c>
      <c r="AX83" s="588">
        <f>IF(AW$9&gt;0, IF(OR(AW83="",AW83="-"), 0, AW83*$AT83), AV83*$AJ83)</f>
        <v>0</v>
      </c>
      <c r="AY83" s="587">
        <f>[1]COMMANDE!Q81</f>
        <v>0</v>
      </c>
      <c r="AZ83" s="586" t="str">
        <f>_xlfn.IFS(AND($AI83=$AM83,$AI83&gt;0,$AM83&gt;0,AY83&gt;0), AY83,     AND(NOT($AI83=$AM83),$AI83&gt;0,$AM83&gt;0,AY83&gt;0), ($AM83*AY83)/$AI83,     AND($AI83=0,$AM83&gt;0,$AQ83&gt;0), IF(INDEX(AY$12:AY$263,MATCH($AQ83,$AP$12:$AP$263,0))&gt;0,($AM83*INDEX(AY$12:AY$263,MATCH($AQ83,$AP$12:$AP$263,0)))/INDEX($AI$12:$AI$263,MATCH($AQ83,$AP$12:$AP$263,0)), "-"),     TRUE, "0")</f>
        <v>0</v>
      </c>
      <c r="BA83" s="607">
        <f>IF(AZ$9&gt;0, IF(OR(AZ83="",AZ83="-"), 0, AZ83*$AT83), AY83*$AJ83)</f>
        <v>0</v>
      </c>
      <c r="BB83" s="589">
        <f>[1]COMMANDE!S81</f>
        <v>0</v>
      </c>
      <c r="BC83" s="586" t="str">
        <f>_xlfn.IFS(AND($AI83=$AM83,$AI83&gt;0,$AM83&gt;0,BB83&gt;0), BB83,     AND(NOT($AI83=$AM83),$AI83&gt;0,$AM83&gt;0,BB83&gt;0), ($AM83*BB83)/$AI83,     AND($AI83=0,$AM83&gt;0,$AQ83&gt;0), IF(INDEX(BB$12:BB$263,MATCH($AQ83,$AP$12:$AP$263,0))&gt;0,($AM83*INDEX(BB$12:BB$263,MATCH($AQ83,$AP$12:$AP$263,0)))/INDEX($AI$12:$AI$263,MATCH($AQ83,$AP$12:$AP$263,0)), "-"),     TRUE, "0")</f>
        <v>0</v>
      </c>
      <c r="BD83" s="588">
        <f>IF(BC$9&gt;0, IF(OR(BC83="",BC83="-"), 0, BC83*$AT83), BB83*$AJ83)</f>
        <v>0</v>
      </c>
      <c r="BE83" s="587">
        <f>[1]COMMANDE!U81</f>
        <v>0</v>
      </c>
      <c r="BF83" s="586" t="str">
        <f>_xlfn.IFS(AND($AI83=$AM83,$AI83&gt;0,$AM83&gt;0,BE83&gt;0), BE83,     AND(NOT($AI83=$AM83),$AI83&gt;0,$AM83&gt;0,BE83&gt;0), ($AM83*BE83)/$AI83,     AND($AI83=0,$AM83&gt;0,$AQ83&gt;0), IF(INDEX(BE$12:BE$263,MATCH($AQ83,$AP$12:$AP$263,0))&gt;0,($AM83*INDEX(BE$12:BE$263,MATCH($AQ83,$AP$12:$AP$263,0)))/INDEX($AI$12:$AI$263,MATCH($AQ83,$AP$12:$AP$263,0)), "-"),     TRUE, "0")</f>
        <v>0</v>
      </c>
      <c r="BG83" s="607">
        <f>IF(BF$9&gt;0, IF(OR(BF83="",BF83="-"), 0, BF83*$AT83), BE83*$AJ83)</f>
        <v>0</v>
      </c>
      <c r="BH83" s="589">
        <f>[1]COMMANDE!W81</f>
        <v>0</v>
      </c>
      <c r="BI83" s="586" t="str">
        <f>_xlfn.IFS(AND($AI83=$AM83,$AI83&gt;0,$AM83&gt;0,BH83&gt;0), BH83,     AND(NOT($AI83=$AM83),$AI83&gt;0,$AM83&gt;0,BH83&gt;0), ($AM83*BH83)/$AI83,     AND($AI83=0,$AM83&gt;0,$AQ83&gt;0), IF(INDEX(BH$12:BH$263,MATCH($AQ83,$AP$12:$AP$263,0))&gt;0,($AM83*INDEX(BH$12:BH$263,MATCH($AQ83,$AP$12:$AP$263,0)))/INDEX($AI$12:$AI$263,MATCH($AQ83,$AP$12:$AP$263,0)), "-"),     TRUE, "0")</f>
        <v>0</v>
      </c>
      <c r="BJ83" s="588">
        <f>IF(BI$9&gt;0, IF(OR(BI83="",BI83="-"), 0, BI83*$AT83), BH83*$AJ83)</f>
        <v>0</v>
      </c>
      <c r="BK83" s="587">
        <f>[1]COMMANDE!Y81</f>
        <v>0</v>
      </c>
      <c r="BL83" s="586" t="str">
        <f>_xlfn.IFS(AND($AI83=$AM83,$AI83&gt;0,$AM83&gt;0,BK83&gt;0), BK83,     AND(NOT($AI83=$AM83),$AI83&gt;0,$AM83&gt;0,BK83&gt;0), ($AM83*BK83)/$AI83,     AND($AI83=0,$AM83&gt;0,$AQ83&gt;0), IF(INDEX(BK$12:BK$263,MATCH($AQ83,$AP$12:$AP$263,0))&gt;0,($AM83*INDEX(BK$12:BK$263,MATCH($AQ83,$AP$12:$AP$263,0)))/INDEX($AI$12:$AI$263,MATCH($AQ83,$AP$12:$AP$263,0)), "-"),     TRUE, "0")</f>
        <v>0</v>
      </c>
      <c r="BM83" s="607">
        <f>IF(BL$9&gt;0, IF(OR(BL83="",BL83="-"), 0, BL83*$AT83), BK83*$AJ83)</f>
        <v>0</v>
      </c>
      <c r="BN83" s="589">
        <f>[1]COMMANDE!AA81</f>
        <v>0</v>
      </c>
      <c r="BO83" s="586" t="str">
        <f>_xlfn.IFS(AND($AI83=$AM83,$AI83&gt;0,$AM83&gt;0,BN83&gt;0), BN83,     AND(NOT($AI83=$AM83),$AI83&gt;0,$AM83&gt;0,BN83&gt;0), ($AM83*BN83)/$AI83,     AND($AI83=0,$AM83&gt;0,$AQ83&gt;0), IF(INDEX(BN$12:BN$263,MATCH($AQ83,$AP$12:$AP$263,0))&gt;0,($AM83*INDEX(BN$12:BN$263,MATCH($AQ83,$AP$12:$AP$263,0)))/INDEX($AI$12:$AI$263,MATCH($AQ83,$AP$12:$AP$263,0)), "-"),     TRUE, "0")</f>
        <v>0</v>
      </c>
      <c r="BP83" s="588">
        <f>IF(BO$9&gt;0, IF(OR(BO83="",BO83="-"), 0, BO83*$AT83), BN83*$AJ83)</f>
        <v>0</v>
      </c>
      <c r="BQ83" s="587">
        <f>[1]COMMANDE!AC81</f>
        <v>0</v>
      </c>
      <c r="BR83" s="586" t="str">
        <f>_xlfn.IFS(AND($AI83=$AM83,$AI83&gt;0,$AM83&gt;0,BQ83&gt;0), BQ83,     AND(NOT($AI83=$AM83),$AI83&gt;0,$AM83&gt;0,BQ83&gt;0), ($AM83*BQ83)/$AI83,     AND($AI83=0,$AM83&gt;0,$AQ83&gt;0), IF(INDEX(BQ$12:BQ$263,MATCH($AQ83,$AP$12:$AP$263,0))&gt;0,($AM83*INDEX(BQ$12:BQ$263,MATCH($AQ83,$AP$12:$AP$263,0)))/INDEX($AI$12:$AI$263,MATCH($AQ83,$AP$12:$AP$263,0)), "-"),     TRUE, "0")</f>
        <v>0</v>
      </c>
      <c r="BS83" s="607">
        <f>IF(BR$9&gt;0, IF(OR(BR83="",BR83="-"), 0, BR83*$AT83), BQ83*$AJ83)</f>
        <v>0</v>
      </c>
      <c r="BT83" s="589">
        <f>[1]COMMANDE!AE81</f>
        <v>0</v>
      </c>
      <c r="BU83" s="586" t="str">
        <f>_xlfn.IFS(AND($AI83=$AM83,$AI83&gt;0,$AM83&gt;0,BT83&gt;0), BT83,     AND(NOT($AI83=$AM83),$AI83&gt;0,$AM83&gt;0,BT83&gt;0), ($AM83*BT83)/$AI83,     AND($AI83=0,$AM83&gt;0,$AQ83&gt;0), IF(INDEX(BT$12:BT$263,MATCH($AQ83,$AP$12:$AP$263,0))&gt;0,($AM83*INDEX(BT$12:BT$263,MATCH($AQ83,$AP$12:$AP$263,0)))/INDEX($AI$12:$AI$263,MATCH($AQ83,$AP$12:$AP$263,0)), "-"),     TRUE, "0")</f>
        <v>0</v>
      </c>
      <c r="BV83" s="588">
        <f>IF(BU$9&gt;0, IF(OR(BU83="",BU83="-"), 0, BU83*$AT83), BT83*$AJ83)</f>
        <v>0</v>
      </c>
      <c r="BW83" s="587">
        <f>[1]COMMANDE!AG81</f>
        <v>0</v>
      </c>
      <c r="BX83" s="586" t="str">
        <f>_xlfn.IFS(AND($AI83=$AM83,$AI83&gt;0,$AM83&gt;0,BW83&gt;0), BW83,     AND(NOT($AI83=$AM83),$AI83&gt;0,$AM83&gt;0,BW83&gt;0), ($AM83*BW83)/$AI83,     AND($AI83=0,$AM83&gt;0,$AQ83&gt;0), IF(INDEX(BW$12:BW$263,MATCH($AQ83,$AP$12:$AP$263,0))&gt;0,($AM83*INDEX(BW$12:BW$263,MATCH($AQ83,$AP$12:$AP$263,0)))/INDEX($AI$12:$AI$263,MATCH($AQ83,$AP$12:$AP$263,0)), "-"),     TRUE, "0")</f>
        <v>0</v>
      </c>
      <c r="BY83" s="607">
        <f>IF(BX$9&gt;0, IF(OR(BX83="",BX83="-"), 0, BX83*$AT83), BW83*$AJ83)</f>
        <v>0</v>
      </c>
      <c r="BZ83" s="589">
        <f>[1]COMMANDE!AI81</f>
        <v>0</v>
      </c>
      <c r="CA83" s="586" t="str">
        <f>_xlfn.IFS(AND($AI83=$AM83,$AI83&gt;0,$AM83&gt;0,BZ83&gt;0), BZ83,     AND(NOT($AI83=$AM83),$AI83&gt;0,$AM83&gt;0,BZ83&gt;0), ($AM83*BZ83)/$AI83,     AND($AI83=0,$AM83&gt;0,$AQ83&gt;0), IF(INDEX(BZ$12:BZ$263,MATCH($AQ83,$AP$12:$AP$263,0))&gt;0,($AM83*INDEX(BZ$12:BZ$263,MATCH($AQ83,$AP$12:$AP$263,0)))/INDEX($AI$12:$AI$263,MATCH($AQ83,$AP$12:$AP$263,0)), "-"),     TRUE, "0")</f>
        <v>0</v>
      </c>
      <c r="CB83" s="588">
        <f>IF(CA$9&gt;0, IF(OR(CA83="",CA83="-"), 0, CA83*$AT83), BZ83*$AJ83)</f>
        <v>0</v>
      </c>
      <c r="CC83" s="587">
        <f>[1]COMMANDE!AK81</f>
        <v>0</v>
      </c>
      <c r="CD83" s="586" t="str">
        <f>_xlfn.IFS(AND($AI83=$AM83,$AI83&gt;0,$AM83&gt;0,CC83&gt;0), CC83,     AND(NOT($AI83=$AM83),$AI83&gt;0,$AM83&gt;0,CC83&gt;0), ($AM83*CC83)/$AI83,     AND($AI83=0,$AM83&gt;0,$AQ83&gt;0), IF(INDEX(CC$12:CC$263,MATCH($AQ83,$AP$12:$AP$263,0))&gt;0,($AM83*INDEX(CC$12:CC$263,MATCH($AQ83,$AP$12:$AP$263,0)))/INDEX($AI$12:$AI$263,MATCH($AQ83,$AP$12:$AP$263,0)), "-"),     TRUE, "0")</f>
        <v>0</v>
      </c>
      <c r="CE83" s="607">
        <f>IF(CD$9&gt;0, IF(OR(CD83="",CD83="-"), 0, CD83*$AT83), CC83*$AJ83)</f>
        <v>0</v>
      </c>
      <c r="CF83" s="589">
        <f>[1]COMMANDE!AM81</f>
        <v>0</v>
      </c>
      <c r="CG83" s="586" t="str">
        <f>_xlfn.IFS(AND($AI83=$AM83,$AI83&gt;0,$AM83&gt;0,CF83&gt;0), CF83,     AND(NOT($AI83=$AM83),$AI83&gt;0,$AM83&gt;0,CF83&gt;0), ($AM83*CF83)/$AI83,     AND($AI83=0,$AM83&gt;0,$AQ83&gt;0), IF(INDEX(CF$12:CF$263,MATCH($AQ83,$AP$12:$AP$263,0))&gt;0,($AM83*INDEX(CF$12:CF$263,MATCH($AQ83,$AP$12:$AP$263,0)))/INDEX($AI$12:$AI$263,MATCH($AQ83,$AP$12:$AP$263,0)), "-"),     TRUE, "0")</f>
        <v>0</v>
      </c>
      <c r="CH83" s="588">
        <f>IF(CG$9&gt;0, IF(OR(CG83="",CG83="-"), 0, CG83*$AT83), CF83*$AJ83)</f>
        <v>0</v>
      </c>
      <c r="CI83" s="587">
        <f>[1]COMMANDE!AO81</f>
        <v>0</v>
      </c>
      <c r="CJ83" s="586" t="str">
        <f>_xlfn.IFS(AND($AI83=$AM83,$AI83&gt;0,$AM83&gt;0,CI83&gt;0), CI83,     AND(NOT($AI83=$AM83),$AI83&gt;0,$AM83&gt;0,CI83&gt;0), ($AM83*CI83)/$AI83,     AND($AI83=0,$AM83&gt;0,$AQ83&gt;0), IF(INDEX(CI$12:CI$263,MATCH($AQ83,$AP$12:$AP$263,0))&gt;0,($AM83*INDEX(CI$12:CI$263,MATCH($AQ83,$AP$12:$AP$263,0)))/INDEX($AI$12:$AI$263,MATCH($AQ83,$AP$12:$AP$263,0)), "-"),     TRUE, "0")</f>
        <v>0</v>
      </c>
      <c r="CK83" s="607">
        <f>IF(CJ$9&gt;0, IF(OR(CJ83="",CJ83="-"), 0, CJ83*$AT83), CI83*$AJ83)</f>
        <v>0</v>
      </c>
      <c r="CL83" s="589">
        <f>[1]COMMANDE!AQ81</f>
        <v>0</v>
      </c>
      <c r="CM83" s="586" t="str">
        <f>_xlfn.IFS(AND($AI83=$AM83,$AI83&gt;0,$AM83&gt;0,CL83&gt;0), CL83,     AND(NOT($AI83=$AM83),$AI83&gt;0,$AM83&gt;0,CL83&gt;0), ($AM83*CL83)/$AI83,     AND($AI83=0,$AM83&gt;0,$AQ83&gt;0), IF(INDEX(CL$12:CL$263,MATCH($AQ83,$AP$12:$AP$263,0))&gt;0,($AM83*INDEX(CL$12:CL$263,MATCH($AQ83,$AP$12:$AP$263,0)))/INDEX($AI$12:$AI$263,MATCH($AQ83,$AP$12:$AP$263,0)), "-"),     TRUE, "0")</f>
        <v>0</v>
      </c>
      <c r="CN83" s="588">
        <f>IF(CM$9&gt;0, IF(OR(CM83="",CM83="-"), 0, CM83*$AT83), CL83*$AJ83)</f>
        <v>0</v>
      </c>
      <c r="CO83" s="587">
        <f>[1]COMMANDE!AS81</f>
        <v>0</v>
      </c>
      <c r="CP83" s="586" t="str">
        <f>_xlfn.IFS(AND($AI83=$AM83,$AI83&gt;0,$AM83&gt;0,CO83&gt;0), CO83,     AND(NOT($AI83=$AM83),$AI83&gt;0,$AM83&gt;0,CO83&gt;0), ($AM83*CO83)/$AI83,     AND($AI83=0,$AM83&gt;0,$AQ83&gt;0), IF(INDEX(CO$12:CO$263,MATCH($AQ83,$AP$12:$AP$263,0))&gt;0,($AM83*INDEX(CO$12:CO$263,MATCH($AQ83,$AP$12:$AP$263,0)))/INDEX($AI$12:$AI$263,MATCH($AQ83,$AP$12:$AP$263,0)), "-"),     TRUE, "0")</f>
        <v>0</v>
      </c>
      <c r="CQ83" s="607">
        <f>IF(CP$9&gt;0, IF(OR(CP83="",CP83="-"), 0, CP83*$AT83), CO83*$AJ83)</f>
        <v>0</v>
      </c>
      <c r="CR83" s="589">
        <f>[1]COMMANDE!AU81</f>
        <v>0</v>
      </c>
      <c r="CS83" s="586" t="str">
        <f>_xlfn.IFS(AND($AI83=$AM83,$AI83&gt;0,$AM83&gt;0,CR83&gt;0), CR83,     AND(NOT($AI83=$AM83),$AI83&gt;0,$AM83&gt;0,CR83&gt;0), ($AM83*CR83)/$AI83,     AND($AI83=0,$AM83&gt;0,$AQ83&gt;0), IF(INDEX(CR$12:CR$263,MATCH($AQ83,$AP$12:$AP$263,0))&gt;0,($AM83*INDEX(CR$12:CR$263,MATCH($AQ83,$AP$12:$AP$263,0)))/INDEX($AI$12:$AI$263,MATCH($AQ83,$AP$12:$AP$263,0)), "-"),     TRUE, "0")</f>
        <v>0</v>
      </c>
      <c r="CT83" s="588">
        <f>IF(CS$9&gt;0, IF(OR(CS83="",CS83="-"), 0, CS83*$AT83), CR83*$AJ83)</f>
        <v>0</v>
      </c>
      <c r="CU83" s="587">
        <f>[1]COMMANDE!AW81</f>
        <v>0</v>
      </c>
      <c r="CV83" s="586" t="str">
        <f>_xlfn.IFS(AND($AI83=$AM83,$AI83&gt;0,$AM83&gt;0,CU83&gt;0), CU83,     AND(NOT($AI83=$AM83),$AI83&gt;0,$AM83&gt;0,CU83&gt;0), ($AM83*CU83)/$AI83,     AND($AI83=0,$AM83&gt;0,$AQ83&gt;0), IF(INDEX(CU$12:CU$263,MATCH($AQ83,$AP$12:$AP$263,0))&gt;0,($AM83*INDEX(CU$12:CU$263,MATCH($AQ83,$AP$12:$AP$263,0)))/INDEX($AI$12:$AI$263,MATCH($AQ83,$AP$12:$AP$263,0)), "-"),     TRUE, "0")</f>
        <v>0</v>
      </c>
      <c r="CW83" s="607">
        <f>IF(CV$9&gt;0, IF(OR(CV83="",CV83="-"), 0, CV83*$AT83), CU83*$AJ83)</f>
        <v>0</v>
      </c>
      <c r="CX83" s="589">
        <f>[1]COMMANDE!AY81</f>
        <v>0</v>
      </c>
      <c r="CY83" s="586" t="str">
        <f>_xlfn.IFS(AND($AI83=$AM83,$AI83&gt;0,$AM83&gt;0,CX83&gt;0), CX83,     AND(NOT($AI83=$AM83),$AI83&gt;0,$AM83&gt;0,CX83&gt;0), ($AM83*CX83)/$AI83,     AND($AI83=0,$AM83&gt;0,$AQ83&gt;0), IF(INDEX(CX$12:CX$263,MATCH($AQ83,$AP$12:$AP$263,0))&gt;0,($AM83*INDEX(CX$12:CX$263,MATCH($AQ83,$AP$12:$AP$263,0)))/INDEX($AI$12:$AI$263,MATCH($AQ83,$AP$12:$AP$263,0)), "-"),     TRUE, "0")</f>
        <v>0</v>
      </c>
      <c r="CZ83" s="588">
        <f>IF(CY$9&gt;0, IF(OR(CY83="",CY83="-"), 0, CY83*$AT83), CX83*$AJ83)</f>
        <v>0</v>
      </c>
      <c r="DA83" s="587">
        <f>[1]COMMANDE!BA81</f>
        <v>0</v>
      </c>
      <c r="DB83" s="586" t="str">
        <f>_xlfn.IFS(AND($AI83=$AM83,$AI83&gt;0,$AM83&gt;0,DA83&gt;0), DA83,     AND(NOT($AI83=$AM83),$AI83&gt;0,$AM83&gt;0,DA83&gt;0), ($AM83*DA83)/$AI83,     AND($AI83=0,$AM83&gt;0,$AQ83&gt;0), IF(INDEX(DA$12:DA$263,MATCH($AQ83,$AP$12:$AP$263,0))&gt;0,($AM83*INDEX(DA$12:DA$263,MATCH($AQ83,$AP$12:$AP$263,0)))/INDEX($AI$12:$AI$263,MATCH($AQ83,$AP$12:$AP$263,0)), "-"),     TRUE, "0")</f>
        <v>0</v>
      </c>
      <c r="DC83" s="606">
        <f>IF(DB$9&gt;0, IF(OR(DB83="",DB83="-"), 0, DB83*$AT83), DA83*$AJ83)</f>
        <v>0</v>
      </c>
      <c r="DD83" s="584"/>
      <c r="DE83" s="583"/>
    </row>
    <row r="84" spans="1:109" ht="39.950000000000003" hidden="1" customHeight="1">
      <c r="A84" s="604">
        <f>IF(OR($AV84&gt;0, $AX84&gt;0), 1, 0)</f>
        <v>0</v>
      </c>
      <c r="B84" s="604">
        <f>IF(OR($AY84&gt;0, $BA84&gt;0), 1, 0)</f>
        <v>0</v>
      </c>
      <c r="C84" s="604">
        <f>IF(OR($BB84&gt;0, $BD84&gt;0), 1, 0)</f>
        <v>0</v>
      </c>
      <c r="D84" s="604">
        <f>IF(OR($BE84&gt;0, $BG84&gt;0), 1, 0)</f>
        <v>0</v>
      </c>
      <c r="E84" s="604">
        <f>IF(OR($BH84&gt;0, $BJ84&gt;0), 1, 0)</f>
        <v>0</v>
      </c>
      <c r="F84" s="604">
        <f>IF(OR($BK84&gt;0, $BM84&gt;0), 1, 0)</f>
        <v>0</v>
      </c>
      <c r="G84" s="604">
        <f>IF(OR($BN84&gt;0, $BP84&gt;0), 1, 0)</f>
        <v>0</v>
      </c>
      <c r="H84" s="604">
        <f>IF(OR($BQ84&gt;0, $BS84&gt;0), 1, 0)</f>
        <v>0</v>
      </c>
      <c r="I84" s="604">
        <f>IF(OR($BT84&gt;0, $BV84&gt;0), 1, 0)</f>
        <v>0</v>
      </c>
      <c r="J84" s="604">
        <f>IF(OR($BW84&gt;0, $BY84&gt;0), 1, 0)</f>
        <v>0</v>
      </c>
      <c r="K84" s="604">
        <f>IF(OR($BZ84&gt;0, $CB84&gt;0), 1, 0)</f>
        <v>0</v>
      </c>
      <c r="L84" s="604">
        <f>IF(OR($CC84&gt;0, $CE84&gt;0), 1, 0)</f>
        <v>0</v>
      </c>
      <c r="M84" s="604">
        <f>IF(OR($CF84&gt;0, $CH84&gt;0), 1, 0)</f>
        <v>0</v>
      </c>
      <c r="N84" s="604">
        <f>IF(OR($CI84&gt;0, $CK84&gt;0), 1, 0)</f>
        <v>0</v>
      </c>
      <c r="O84" s="604">
        <f>IF(OR($CL84&gt;0, $CN84&gt;0), 1, 0)</f>
        <v>0</v>
      </c>
      <c r="P84" s="604">
        <f>IF(OR($CO84&gt;0, $CQ84&gt;0), 1, 0)</f>
        <v>0</v>
      </c>
      <c r="Q84" s="604">
        <f>IF(OR($CR84&gt;0, $CT84&gt;0), 1, 0)</f>
        <v>0</v>
      </c>
      <c r="R84" s="604">
        <f>IF(OR($CU84&gt;0, $CW84&gt;0), 1, 0)</f>
        <v>0</v>
      </c>
      <c r="S84" s="604">
        <f>IF(OR($CX84&gt;0, $CZ84&gt;0), 1, 0)</f>
        <v>0</v>
      </c>
      <c r="T84" s="604">
        <f>IF(OR($DA84&gt;0, $DC84&gt;0), 1, 0)</f>
        <v>0</v>
      </c>
      <c r="U84" s="603">
        <f>IF(OR($AI84&gt;0,$AM84&gt;0,$AS84&gt;0), 1, 0)</f>
        <v>0</v>
      </c>
      <c r="V84" s="602">
        <f>[1]BDD!A74</f>
        <v>3725</v>
      </c>
      <c r="W84" s="601" t="str">
        <f>[1]BDD!B74</f>
        <v xml:space="preserve">Citronnelle BIO (production Rufino)
    - (bouquet de 5 tiges) </v>
      </c>
      <c r="X84" s="600" t="str">
        <f>IF([1]BDD!F74=0, "", [1]BDD!F74)</f>
        <v/>
      </c>
      <c r="Y84" s="542">
        <f>ROUND([1]BDD!G74+FDP_CMD_KG, 2)</f>
        <v>3.46</v>
      </c>
      <c r="Z84" s="542">
        <f>ROUND([1]BDD!G74+FDP_FACT_KG, 2)</f>
        <v>3.46</v>
      </c>
      <c r="AA84" s="543" t="str">
        <f>[1]BDD!H74</f>
        <v>Pièce</v>
      </c>
      <c r="AB84" s="544" t="str">
        <f>IF(NOT(ISBLANK([1]BDD!I74)), ROUND(SUM(([1]BDD!G74*reduc1),FDP_CMD_KG), 2), "")</f>
        <v/>
      </c>
      <c r="AC84" s="544" t="str">
        <f>IF(NOT(ISBLANK([1]BDD!J74)), ROUND(SUM(([1]BDD!G74*reduc2),FDP_CMD_KG), 2), "")</f>
        <v/>
      </c>
      <c r="AD84" s="544" t="str">
        <f>IF(NOT(ISBLANK([1]BDD!K74)), ROUND(SUM(([1]BDD!G74*reduc3),FDP_CMD_KG), 2), "")</f>
        <v/>
      </c>
      <c r="AE84" s="544" t="str">
        <f>IF(NOT(ISBLANK([1]BDD!I74)), ROUND(SUM(([1]BDD!G74*reduc1),FDP_FACT_KG), 2), "")</f>
        <v/>
      </c>
      <c r="AF84" s="544" t="str">
        <f>IF(NOT(ISBLANK([1]BDD!J74)), ROUND(SUM(([1]BDD!G74*reduc2),FDP_FACT_KG), 2), "")</f>
        <v/>
      </c>
      <c r="AG84" s="544" t="str">
        <f>IF(NOT(ISBLANK([1]BDD!K74)), ROUND(SUM(([1]BDD!G74*reduc3),FDP_FACT_KG), 2), "")</f>
        <v/>
      </c>
      <c r="AH84" s="599" t="str">
        <f>[1]BDD!C74</f>
        <v>Grenade</v>
      </c>
      <c r="AI84" s="598">
        <f>SUM(AV84,AY84,BB84,BE84,BH84,BK84,BN84,BQ84,BT84,BW84,BZ84,CC84,CF84,CI84,CL84,CO84,CR84,CU84,CX84,DA84)</f>
        <v>0</v>
      </c>
      <c r="AJ84" s="545">
        <f>_xlfn.IFS($AD84&lt;&gt;"", $AD84,    $AC84&lt;&gt;"", $AC84,    $AB84&lt;&gt;"", $AB84,    TRUE, $Y84)</f>
        <v>3.46</v>
      </c>
      <c r="AK84" s="592">
        <f>$AI84*$AJ84</f>
        <v>0</v>
      </c>
      <c r="AL84" s="594"/>
      <c r="AM84" s="597"/>
      <c r="AN84" s="545">
        <f>_xlfn.IFS(AND(AM84&gt;=60,$AG84&lt;&gt;""), $AG84,    AND(AM84&gt;=30,$AF84&lt;&gt;""), $AF84,    AND(AM84&gt;=10,$AE84&lt;&gt;""), $AE84,    TRUE, $Z84)</f>
        <v>3.46</v>
      </c>
      <c r="AO84" s="596">
        <f>AM84*AN84</f>
        <v>0</v>
      </c>
      <c r="AP84" s="595"/>
      <c r="AQ84" s="595"/>
      <c r="AR84" s="594"/>
      <c r="AS84" s="593">
        <f>SUM(AW84,AZ84,BC84,BF84,BI84,BL84,BO84,BR84,BU84,BX84,CA84,CD84,CG84,CJ84,CM84,CP84,CS84,CV84,CY84,DB84)</f>
        <v>0</v>
      </c>
      <c r="AT84" s="545">
        <f>_xlfn.IFS(AND(AS84&gt;=60,$AG84&lt;&gt;""), $AG84,    AND(AS84&gt;=30,$AF84&lt;&gt;""), $AF84,    AND(AS84&gt;=10,$AE84&lt;&gt;""), $AE84,    TRUE, $Z84)</f>
        <v>3.46</v>
      </c>
      <c r="AU84" s="592">
        <f>$AS84*$AT84</f>
        <v>0</v>
      </c>
      <c r="AV84" s="591">
        <f>[1]COMMANDE!O82</f>
        <v>0</v>
      </c>
      <c r="AW84" s="586" t="str">
        <f>_xlfn.IFS(AND($AI84=$AM84,$AI84&gt;0,$AM84&gt;0,AV84&gt;0), AV84,     AND(NOT($AI84=$AM84),$AI84&gt;0,$AM84&gt;0,AV84&gt;0), ($AM84*AV84)/$AI84,     AND($AI84=0,$AM84&gt;0,$AQ84&gt;0), IF(INDEX(AV$12:AV$263,MATCH($AQ84,$AP$12:$AP$263,0))&gt;0,($AM84*INDEX(AV$12:AV$263,MATCH($AQ84,$AP$12:$AP$263,0)))/INDEX($AI$12:$AI$263,MATCH($AQ84,$AP$12:$AP$263,0)), "-"),     TRUE, "0")</f>
        <v>0</v>
      </c>
      <c r="AX84" s="588">
        <f>IF(AW$9&gt;0, IF(OR(AW84="",AW84="-"), 0, AW84*$AT84), AV84*$AJ84)</f>
        <v>0</v>
      </c>
      <c r="AY84" s="587">
        <f>[1]COMMANDE!Q82</f>
        <v>0</v>
      </c>
      <c r="AZ84" s="586" t="str">
        <f>_xlfn.IFS(AND($AI84=$AM84,$AI84&gt;0,$AM84&gt;0,AY84&gt;0), AY84,     AND(NOT($AI84=$AM84),$AI84&gt;0,$AM84&gt;0,AY84&gt;0), ($AM84*AY84)/$AI84,     AND($AI84=0,$AM84&gt;0,$AQ84&gt;0), IF(INDEX(AY$12:AY$263,MATCH($AQ84,$AP$12:$AP$263,0))&gt;0,($AM84*INDEX(AY$12:AY$263,MATCH($AQ84,$AP$12:$AP$263,0)))/INDEX($AI$12:$AI$263,MATCH($AQ84,$AP$12:$AP$263,0)), "-"),     TRUE, "0")</f>
        <v>0</v>
      </c>
      <c r="BA84" s="607">
        <f>IF(AZ$9&gt;0, IF(OR(AZ84="",AZ84="-"), 0, AZ84*$AT84), AY84*$AJ84)</f>
        <v>0</v>
      </c>
      <c r="BB84" s="589">
        <f>[1]COMMANDE!S82</f>
        <v>0</v>
      </c>
      <c r="BC84" s="586" t="str">
        <f>_xlfn.IFS(AND($AI84=$AM84,$AI84&gt;0,$AM84&gt;0,BB84&gt;0), BB84,     AND(NOT($AI84=$AM84),$AI84&gt;0,$AM84&gt;0,BB84&gt;0), ($AM84*BB84)/$AI84,     AND($AI84=0,$AM84&gt;0,$AQ84&gt;0), IF(INDEX(BB$12:BB$263,MATCH($AQ84,$AP$12:$AP$263,0))&gt;0,($AM84*INDEX(BB$12:BB$263,MATCH($AQ84,$AP$12:$AP$263,0)))/INDEX($AI$12:$AI$263,MATCH($AQ84,$AP$12:$AP$263,0)), "-"),     TRUE, "0")</f>
        <v>0</v>
      </c>
      <c r="BD84" s="588">
        <f>IF(BC$9&gt;0, IF(OR(BC84="",BC84="-"), 0, BC84*$AT84), BB84*$AJ84)</f>
        <v>0</v>
      </c>
      <c r="BE84" s="587">
        <f>[1]COMMANDE!U82</f>
        <v>0</v>
      </c>
      <c r="BF84" s="586" t="str">
        <f>_xlfn.IFS(AND($AI84=$AM84,$AI84&gt;0,$AM84&gt;0,BE84&gt;0), BE84,     AND(NOT($AI84=$AM84),$AI84&gt;0,$AM84&gt;0,BE84&gt;0), ($AM84*BE84)/$AI84,     AND($AI84=0,$AM84&gt;0,$AQ84&gt;0), IF(INDEX(BE$12:BE$263,MATCH($AQ84,$AP$12:$AP$263,0))&gt;0,($AM84*INDEX(BE$12:BE$263,MATCH($AQ84,$AP$12:$AP$263,0)))/INDEX($AI$12:$AI$263,MATCH($AQ84,$AP$12:$AP$263,0)), "-"),     TRUE, "0")</f>
        <v>0</v>
      </c>
      <c r="BG84" s="607">
        <f>IF(BF$9&gt;0, IF(OR(BF84="",BF84="-"), 0, BF84*$AT84), BE84*$AJ84)</f>
        <v>0</v>
      </c>
      <c r="BH84" s="589">
        <f>[1]COMMANDE!W82</f>
        <v>0</v>
      </c>
      <c r="BI84" s="586" t="str">
        <f>_xlfn.IFS(AND($AI84=$AM84,$AI84&gt;0,$AM84&gt;0,BH84&gt;0), BH84,     AND(NOT($AI84=$AM84),$AI84&gt;0,$AM84&gt;0,BH84&gt;0), ($AM84*BH84)/$AI84,     AND($AI84=0,$AM84&gt;0,$AQ84&gt;0), IF(INDEX(BH$12:BH$263,MATCH($AQ84,$AP$12:$AP$263,0))&gt;0,($AM84*INDEX(BH$12:BH$263,MATCH($AQ84,$AP$12:$AP$263,0)))/INDEX($AI$12:$AI$263,MATCH($AQ84,$AP$12:$AP$263,0)), "-"),     TRUE, "0")</f>
        <v>0</v>
      </c>
      <c r="BJ84" s="588">
        <f>IF(BI$9&gt;0, IF(OR(BI84="",BI84="-"), 0, BI84*$AT84), BH84*$AJ84)</f>
        <v>0</v>
      </c>
      <c r="BK84" s="587">
        <f>[1]COMMANDE!Y82</f>
        <v>0</v>
      </c>
      <c r="BL84" s="586" t="str">
        <f>_xlfn.IFS(AND($AI84=$AM84,$AI84&gt;0,$AM84&gt;0,BK84&gt;0), BK84,     AND(NOT($AI84=$AM84),$AI84&gt;0,$AM84&gt;0,BK84&gt;0), ($AM84*BK84)/$AI84,     AND($AI84=0,$AM84&gt;0,$AQ84&gt;0), IF(INDEX(BK$12:BK$263,MATCH($AQ84,$AP$12:$AP$263,0))&gt;0,($AM84*INDEX(BK$12:BK$263,MATCH($AQ84,$AP$12:$AP$263,0)))/INDEX($AI$12:$AI$263,MATCH($AQ84,$AP$12:$AP$263,0)), "-"),     TRUE, "0")</f>
        <v>0</v>
      </c>
      <c r="BM84" s="607">
        <f>IF(BL$9&gt;0, IF(OR(BL84="",BL84="-"), 0, BL84*$AT84), BK84*$AJ84)</f>
        <v>0</v>
      </c>
      <c r="BN84" s="589">
        <f>[1]COMMANDE!AA82</f>
        <v>0</v>
      </c>
      <c r="BO84" s="586" t="str">
        <f>_xlfn.IFS(AND($AI84=$AM84,$AI84&gt;0,$AM84&gt;0,BN84&gt;0), BN84,     AND(NOT($AI84=$AM84),$AI84&gt;0,$AM84&gt;0,BN84&gt;0), ($AM84*BN84)/$AI84,     AND($AI84=0,$AM84&gt;0,$AQ84&gt;0), IF(INDEX(BN$12:BN$263,MATCH($AQ84,$AP$12:$AP$263,0))&gt;0,($AM84*INDEX(BN$12:BN$263,MATCH($AQ84,$AP$12:$AP$263,0)))/INDEX($AI$12:$AI$263,MATCH($AQ84,$AP$12:$AP$263,0)), "-"),     TRUE, "0")</f>
        <v>0</v>
      </c>
      <c r="BP84" s="588">
        <f>IF(BO$9&gt;0, IF(OR(BO84="",BO84="-"), 0, BO84*$AT84), BN84*$AJ84)</f>
        <v>0</v>
      </c>
      <c r="BQ84" s="587">
        <f>[1]COMMANDE!AC82</f>
        <v>0</v>
      </c>
      <c r="BR84" s="586" t="str">
        <f>_xlfn.IFS(AND($AI84=$AM84,$AI84&gt;0,$AM84&gt;0,BQ84&gt;0), BQ84,     AND(NOT($AI84=$AM84),$AI84&gt;0,$AM84&gt;0,BQ84&gt;0), ($AM84*BQ84)/$AI84,     AND($AI84=0,$AM84&gt;0,$AQ84&gt;0), IF(INDEX(BQ$12:BQ$263,MATCH($AQ84,$AP$12:$AP$263,0))&gt;0,($AM84*INDEX(BQ$12:BQ$263,MATCH($AQ84,$AP$12:$AP$263,0)))/INDEX($AI$12:$AI$263,MATCH($AQ84,$AP$12:$AP$263,0)), "-"),     TRUE, "0")</f>
        <v>0</v>
      </c>
      <c r="BS84" s="607">
        <f>IF(BR$9&gt;0, IF(OR(BR84="",BR84="-"), 0, BR84*$AT84), BQ84*$AJ84)</f>
        <v>0</v>
      </c>
      <c r="BT84" s="589">
        <f>[1]COMMANDE!AE82</f>
        <v>0</v>
      </c>
      <c r="BU84" s="586" t="str">
        <f>_xlfn.IFS(AND($AI84=$AM84,$AI84&gt;0,$AM84&gt;0,BT84&gt;0), BT84,     AND(NOT($AI84=$AM84),$AI84&gt;0,$AM84&gt;0,BT84&gt;0), ($AM84*BT84)/$AI84,     AND($AI84=0,$AM84&gt;0,$AQ84&gt;0), IF(INDEX(BT$12:BT$263,MATCH($AQ84,$AP$12:$AP$263,0))&gt;0,($AM84*INDEX(BT$12:BT$263,MATCH($AQ84,$AP$12:$AP$263,0)))/INDEX($AI$12:$AI$263,MATCH($AQ84,$AP$12:$AP$263,0)), "-"),     TRUE, "0")</f>
        <v>0</v>
      </c>
      <c r="BV84" s="588">
        <f>IF(BU$9&gt;0, IF(OR(BU84="",BU84="-"), 0, BU84*$AT84), BT84*$AJ84)</f>
        <v>0</v>
      </c>
      <c r="BW84" s="587">
        <f>[1]COMMANDE!AG82</f>
        <v>0</v>
      </c>
      <c r="BX84" s="586" t="str">
        <f>_xlfn.IFS(AND($AI84=$AM84,$AI84&gt;0,$AM84&gt;0,BW84&gt;0), BW84,     AND(NOT($AI84=$AM84),$AI84&gt;0,$AM84&gt;0,BW84&gt;0), ($AM84*BW84)/$AI84,     AND($AI84=0,$AM84&gt;0,$AQ84&gt;0), IF(INDEX(BW$12:BW$263,MATCH($AQ84,$AP$12:$AP$263,0))&gt;0,($AM84*INDEX(BW$12:BW$263,MATCH($AQ84,$AP$12:$AP$263,0)))/INDEX($AI$12:$AI$263,MATCH($AQ84,$AP$12:$AP$263,0)), "-"),     TRUE, "0")</f>
        <v>0</v>
      </c>
      <c r="BY84" s="607">
        <f>IF(BX$9&gt;0, IF(OR(BX84="",BX84="-"), 0, BX84*$AT84), BW84*$AJ84)</f>
        <v>0</v>
      </c>
      <c r="BZ84" s="589">
        <f>[1]COMMANDE!AI82</f>
        <v>0</v>
      </c>
      <c r="CA84" s="586" t="str">
        <f>_xlfn.IFS(AND($AI84=$AM84,$AI84&gt;0,$AM84&gt;0,BZ84&gt;0), BZ84,     AND(NOT($AI84=$AM84),$AI84&gt;0,$AM84&gt;0,BZ84&gt;0), ($AM84*BZ84)/$AI84,     AND($AI84=0,$AM84&gt;0,$AQ84&gt;0), IF(INDEX(BZ$12:BZ$263,MATCH($AQ84,$AP$12:$AP$263,0))&gt;0,($AM84*INDEX(BZ$12:BZ$263,MATCH($AQ84,$AP$12:$AP$263,0)))/INDEX($AI$12:$AI$263,MATCH($AQ84,$AP$12:$AP$263,0)), "-"),     TRUE, "0")</f>
        <v>0</v>
      </c>
      <c r="CB84" s="588">
        <f>IF(CA$9&gt;0, IF(OR(CA84="",CA84="-"), 0, CA84*$AT84), BZ84*$AJ84)</f>
        <v>0</v>
      </c>
      <c r="CC84" s="587">
        <f>[1]COMMANDE!AK82</f>
        <v>0</v>
      </c>
      <c r="CD84" s="586" t="str">
        <f>_xlfn.IFS(AND($AI84=$AM84,$AI84&gt;0,$AM84&gt;0,CC84&gt;0), CC84,     AND(NOT($AI84=$AM84),$AI84&gt;0,$AM84&gt;0,CC84&gt;0), ($AM84*CC84)/$AI84,     AND($AI84=0,$AM84&gt;0,$AQ84&gt;0), IF(INDEX(CC$12:CC$263,MATCH($AQ84,$AP$12:$AP$263,0))&gt;0,($AM84*INDEX(CC$12:CC$263,MATCH($AQ84,$AP$12:$AP$263,0)))/INDEX($AI$12:$AI$263,MATCH($AQ84,$AP$12:$AP$263,0)), "-"),     TRUE, "0")</f>
        <v>0</v>
      </c>
      <c r="CE84" s="607">
        <f>IF(CD$9&gt;0, IF(OR(CD84="",CD84="-"), 0, CD84*$AT84), CC84*$AJ84)</f>
        <v>0</v>
      </c>
      <c r="CF84" s="589">
        <f>[1]COMMANDE!AM82</f>
        <v>0</v>
      </c>
      <c r="CG84" s="586" t="str">
        <f>_xlfn.IFS(AND($AI84=$AM84,$AI84&gt;0,$AM84&gt;0,CF84&gt;0), CF84,     AND(NOT($AI84=$AM84),$AI84&gt;0,$AM84&gt;0,CF84&gt;0), ($AM84*CF84)/$AI84,     AND($AI84=0,$AM84&gt;0,$AQ84&gt;0), IF(INDEX(CF$12:CF$263,MATCH($AQ84,$AP$12:$AP$263,0))&gt;0,($AM84*INDEX(CF$12:CF$263,MATCH($AQ84,$AP$12:$AP$263,0)))/INDEX($AI$12:$AI$263,MATCH($AQ84,$AP$12:$AP$263,0)), "-"),     TRUE, "0")</f>
        <v>0</v>
      </c>
      <c r="CH84" s="588">
        <f>IF(CG$9&gt;0, IF(OR(CG84="",CG84="-"), 0, CG84*$AT84), CF84*$AJ84)</f>
        <v>0</v>
      </c>
      <c r="CI84" s="587">
        <f>[1]COMMANDE!AO82</f>
        <v>0</v>
      </c>
      <c r="CJ84" s="586" t="str">
        <f>_xlfn.IFS(AND($AI84=$AM84,$AI84&gt;0,$AM84&gt;0,CI84&gt;0), CI84,     AND(NOT($AI84=$AM84),$AI84&gt;0,$AM84&gt;0,CI84&gt;0), ($AM84*CI84)/$AI84,     AND($AI84=0,$AM84&gt;0,$AQ84&gt;0), IF(INDEX(CI$12:CI$263,MATCH($AQ84,$AP$12:$AP$263,0))&gt;0,($AM84*INDEX(CI$12:CI$263,MATCH($AQ84,$AP$12:$AP$263,0)))/INDEX($AI$12:$AI$263,MATCH($AQ84,$AP$12:$AP$263,0)), "-"),     TRUE, "0")</f>
        <v>0</v>
      </c>
      <c r="CK84" s="607">
        <f>IF(CJ$9&gt;0, IF(OR(CJ84="",CJ84="-"), 0, CJ84*$AT84), CI84*$AJ84)</f>
        <v>0</v>
      </c>
      <c r="CL84" s="589">
        <f>[1]COMMANDE!AQ82</f>
        <v>0</v>
      </c>
      <c r="CM84" s="586" t="str">
        <f>_xlfn.IFS(AND($AI84=$AM84,$AI84&gt;0,$AM84&gt;0,CL84&gt;0), CL84,     AND(NOT($AI84=$AM84),$AI84&gt;0,$AM84&gt;0,CL84&gt;0), ($AM84*CL84)/$AI84,     AND($AI84=0,$AM84&gt;0,$AQ84&gt;0), IF(INDEX(CL$12:CL$263,MATCH($AQ84,$AP$12:$AP$263,0))&gt;0,($AM84*INDEX(CL$12:CL$263,MATCH($AQ84,$AP$12:$AP$263,0)))/INDEX($AI$12:$AI$263,MATCH($AQ84,$AP$12:$AP$263,0)), "-"),     TRUE, "0")</f>
        <v>0</v>
      </c>
      <c r="CN84" s="588">
        <f>IF(CM$9&gt;0, IF(OR(CM84="",CM84="-"), 0, CM84*$AT84), CL84*$AJ84)</f>
        <v>0</v>
      </c>
      <c r="CO84" s="587">
        <f>[1]COMMANDE!AS82</f>
        <v>0</v>
      </c>
      <c r="CP84" s="586" t="str">
        <f>_xlfn.IFS(AND($AI84=$AM84,$AI84&gt;0,$AM84&gt;0,CO84&gt;0), CO84,     AND(NOT($AI84=$AM84),$AI84&gt;0,$AM84&gt;0,CO84&gt;0), ($AM84*CO84)/$AI84,     AND($AI84=0,$AM84&gt;0,$AQ84&gt;0), IF(INDEX(CO$12:CO$263,MATCH($AQ84,$AP$12:$AP$263,0))&gt;0,($AM84*INDEX(CO$12:CO$263,MATCH($AQ84,$AP$12:$AP$263,0)))/INDEX($AI$12:$AI$263,MATCH($AQ84,$AP$12:$AP$263,0)), "-"),     TRUE, "0")</f>
        <v>0</v>
      </c>
      <c r="CQ84" s="607">
        <f>IF(CP$9&gt;0, IF(OR(CP84="",CP84="-"), 0, CP84*$AT84), CO84*$AJ84)</f>
        <v>0</v>
      </c>
      <c r="CR84" s="589">
        <f>[1]COMMANDE!AU82</f>
        <v>0</v>
      </c>
      <c r="CS84" s="586" t="str">
        <f>_xlfn.IFS(AND($AI84=$AM84,$AI84&gt;0,$AM84&gt;0,CR84&gt;0), CR84,     AND(NOT($AI84=$AM84),$AI84&gt;0,$AM84&gt;0,CR84&gt;0), ($AM84*CR84)/$AI84,     AND($AI84=0,$AM84&gt;0,$AQ84&gt;0), IF(INDEX(CR$12:CR$263,MATCH($AQ84,$AP$12:$AP$263,0))&gt;0,($AM84*INDEX(CR$12:CR$263,MATCH($AQ84,$AP$12:$AP$263,0)))/INDEX($AI$12:$AI$263,MATCH($AQ84,$AP$12:$AP$263,0)), "-"),     TRUE, "0")</f>
        <v>0</v>
      </c>
      <c r="CT84" s="588">
        <f>IF(CS$9&gt;0, IF(OR(CS84="",CS84="-"), 0, CS84*$AT84), CR84*$AJ84)</f>
        <v>0</v>
      </c>
      <c r="CU84" s="587">
        <f>[1]COMMANDE!AW82</f>
        <v>0</v>
      </c>
      <c r="CV84" s="586" t="str">
        <f>_xlfn.IFS(AND($AI84=$AM84,$AI84&gt;0,$AM84&gt;0,CU84&gt;0), CU84,     AND(NOT($AI84=$AM84),$AI84&gt;0,$AM84&gt;0,CU84&gt;0), ($AM84*CU84)/$AI84,     AND($AI84=0,$AM84&gt;0,$AQ84&gt;0), IF(INDEX(CU$12:CU$263,MATCH($AQ84,$AP$12:$AP$263,0))&gt;0,($AM84*INDEX(CU$12:CU$263,MATCH($AQ84,$AP$12:$AP$263,0)))/INDEX($AI$12:$AI$263,MATCH($AQ84,$AP$12:$AP$263,0)), "-"),     TRUE, "0")</f>
        <v>0</v>
      </c>
      <c r="CW84" s="607">
        <f>IF(CV$9&gt;0, IF(OR(CV84="",CV84="-"), 0, CV84*$AT84), CU84*$AJ84)</f>
        <v>0</v>
      </c>
      <c r="CX84" s="589">
        <f>[1]COMMANDE!AY82</f>
        <v>0</v>
      </c>
      <c r="CY84" s="586" t="str">
        <f>_xlfn.IFS(AND($AI84=$AM84,$AI84&gt;0,$AM84&gt;0,CX84&gt;0), CX84,     AND(NOT($AI84=$AM84),$AI84&gt;0,$AM84&gt;0,CX84&gt;0), ($AM84*CX84)/$AI84,     AND($AI84=0,$AM84&gt;0,$AQ84&gt;0), IF(INDEX(CX$12:CX$263,MATCH($AQ84,$AP$12:$AP$263,0))&gt;0,($AM84*INDEX(CX$12:CX$263,MATCH($AQ84,$AP$12:$AP$263,0)))/INDEX($AI$12:$AI$263,MATCH($AQ84,$AP$12:$AP$263,0)), "-"),     TRUE, "0")</f>
        <v>0</v>
      </c>
      <c r="CZ84" s="588">
        <f>IF(CY$9&gt;0, IF(OR(CY84="",CY84="-"), 0, CY84*$AT84), CX84*$AJ84)</f>
        <v>0</v>
      </c>
      <c r="DA84" s="587">
        <f>[1]COMMANDE!BA82</f>
        <v>0</v>
      </c>
      <c r="DB84" s="586" t="str">
        <f>_xlfn.IFS(AND($AI84=$AM84,$AI84&gt;0,$AM84&gt;0,DA84&gt;0), DA84,     AND(NOT($AI84=$AM84),$AI84&gt;0,$AM84&gt;0,DA84&gt;0), ($AM84*DA84)/$AI84,     AND($AI84=0,$AM84&gt;0,$AQ84&gt;0), IF(INDEX(DA$12:DA$263,MATCH($AQ84,$AP$12:$AP$263,0))&gt;0,($AM84*INDEX(DA$12:DA$263,MATCH($AQ84,$AP$12:$AP$263,0)))/INDEX($AI$12:$AI$263,MATCH($AQ84,$AP$12:$AP$263,0)), "-"),     TRUE, "0")</f>
        <v>0</v>
      </c>
      <c r="DC84" s="606">
        <f>IF(DB$9&gt;0, IF(OR(DB84="",DB84="-"), 0, DB84*$AT84), DA84*$AJ84)</f>
        <v>0</v>
      </c>
      <c r="DD84" s="584"/>
      <c r="DE84" s="583"/>
    </row>
    <row r="85" spans="1:109" ht="39.950000000000003" hidden="1" customHeight="1">
      <c r="A85" s="604">
        <f>IF(OR($AV85&gt;0, $AX85&gt;0), 1, 0)</f>
        <v>0</v>
      </c>
      <c r="B85" s="604">
        <f>IF(OR($AY85&gt;0, $BA85&gt;0), 1, 0)</f>
        <v>0</v>
      </c>
      <c r="C85" s="604">
        <f>IF(OR($BB85&gt;0, $BD85&gt;0), 1, 0)</f>
        <v>0</v>
      </c>
      <c r="D85" s="604">
        <f>IF(OR($BE85&gt;0, $BG85&gt;0), 1, 0)</f>
        <v>0</v>
      </c>
      <c r="E85" s="604">
        <f>IF(OR($BH85&gt;0, $BJ85&gt;0), 1, 0)</f>
        <v>0</v>
      </c>
      <c r="F85" s="604">
        <f>IF(OR($BK85&gt;0, $BM85&gt;0), 1, 0)</f>
        <v>0</v>
      </c>
      <c r="G85" s="604">
        <f>IF(OR($BN85&gt;0, $BP85&gt;0), 1, 0)</f>
        <v>0</v>
      </c>
      <c r="H85" s="604">
        <f>IF(OR($BQ85&gt;0, $BS85&gt;0), 1, 0)</f>
        <v>0</v>
      </c>
      <c r="I85" s="604">
        <f>IF(OR($BT85&gt;0, $BV85&gt;0), 1, 0)</f>
        <v>0</v>
      </c>
      <c r="J85" s="604">
        <f>IF(OR($BW85&gt;0, $BY85&gt;0), 1, 0)</f>
        <v>0</v>
      </c>
      <c r="K85" s="604">
        <f>IF(OR($BZ85&gt;0, $CB85&gt;0), 1, 0)</f>
        <v>0</v>
      </c>
      <c r="L85" s="604">
        <f>IF(OR($CC85&gt;0, $CE85&gt;0), 1, 0)</f>
        <v>0</v>
      </c>
      <c r="M85" s="604">
        <f>IF(OR($CF85&gt;0, $CH85&gt;0), 1, 0)</f>
        <v>0</v>
      </c>
      <c r="N85" s="604">
        <f>IF(OR($CI85&gt;0, $CK85&gt;0), 1, 0)</f>
        <v>0</v>
      </c>
      <c r="O85" s="604">
        <f>IF(OR($CL85&gt;0, $CN85&gt;0), 1, 0)</f>
        <v>0</v>
      </c>
      <c r="P85" s="604">
        <f>IF(OR($CO85&gt;0, $CQ85&gt;0), 1, 0)</f>
        <v>0</v>
      </c>
      <c r="Q85" s="604">
        <f>IF(OR($CR85&gt;0, $CT85&gt;0), 1, 0)</f>
        <v>0</v>
      </c>
      <c r="R85" s="604">
        <f>IF(OR($CU85&gt;0, $CW85&gt;0), 1, 0)</f>
        <v>0</v>
      </c>
      <c r="S85" s="604">
        <f>IF(OR($CX85&gt;0, $CZ85&gt;0), 1, 0)</f>
        <v>0</v>
      </c>
      <c r="T85" s="604">
        <f>IF(OR($DA85&gt;0, $DC85&gt;0), 1, 0)</f>
        <v>0</v>
      </c>
      <c r="U85" s="603">
        <f>IF(OR($AI85&gt;0,$AM85&gt;0,$AS85&gt;0), 1, 0)</f>
        <v>0</v>
      </c>
      <c r="V85" s="602">
        <f>[1]BDD!A75</f>
        <v>3391</v>
      </c>
      <c r="W85" s="601" t="str">
        <f>[1]BDD!B75</f>
        <v>Coco Pagode fraîche</v>
      </c>
      <c r="X85" s="600" t="str">
        <f>IF([1]BDD!F75=0, "", [1]BDD!F75)</f>
        <v>❤️</v>
      </c>
      <c r="Y85" s="542">
        <f>ROUND([1]BDD!G75+FDP_CMD_KG, 2)</f>
        <v>5.24</v>
      </c>
      <c r="Z85" s="542">
        <f>ROUND([1]BDD!G75+FDP_FACT_KG, 2)</f>
        <v>5.24</v>
      </c>
      <c r="AA85" s="543" t="str">
        <f>[1]BDD!H75</f>
        <v>Pièce</v>
      </c>
      <c r="AB85" s="544">
        <f>IF(NOT(ISBLANK([1]BDD!I75)), ROUND(SUM(([1]BDD!G75*reduc1),FDP_CMD_KG), 2), "")</f>
        <v>4.8099999999999996</v>
      </c>
      <c r="AC85" s="544">
        <f>IF(NOT(ISBLANK([1]BDD!J75)), ROUND(SUM(([1]BDD!G75*reduc2),FDP_CMD_KG), 2), "")</f>
        <v>4.37</v>
      </c>
      <c r="AD85" s="544" t="str">
        <f>IF(NOT(ISBLANK([1]BDD!K75)), ROUND(SUM(([1]BDD!G75*reduc3),FDP_CMD_KG), 2), "")</f>
        <v/>
      </c>
      <c r="AE85" s="544">
        <f>IF(NOT(ISBLANK([1]BDD!I75)), ROUND(SUM(([1]BDD!G75*reduc1),FDP_FACT_KG), 2), "")</f>
        <v>4.8</v>
      </c>
      <c r="AF85" s="544">
        <f>IF(NOT(ISBLANK([1]BDD!J75)), ROUND(SUM(([1]BDD!G75*reduc2),FDP_FACT_KG), 2), "")</f>
        <v>4.3600000000000003</v>
      </c>
      <c r="AG85" s="544" t="str">
        <f>IF(NOT(ISBLANK([1]BDD!K75)), ROUND(SUM(([1]BDD!G75*reduc3),FDP_FACT_KG), 2), "")</f>
        <v/>
      </c>
      <c r="AH85" s="599" t="str">
        <f>[1]BDD!C75</f>
        <v>Taîlande</v>
      </c>
      <c r="AI85" s="598">
        <f>SUM(AV85,AY85,BB85,BE85,BH85,BK85,BN85,BQ85,BT85,BW85,BZ85,CC85,CF85,CI85,CL85,CO85,CR85,CU85,CX85,DA85)</f>
        <v>0</v>
      </c>
      <c r="AJ85" s="545">
        <f>_xlfn.IFS($AD85&lt;&gt;"", $AD85,    $AC85&lt;&gt;"", $AC85,    $AB85&lt;&gt;"", $AB85,    TRUE, $Y85)</f>
        <v>4.37</v>
      </c>
      <c r="AK85" s="592">
        <f>$AI85*$AJ85</f>
        <v>0</v>
      </c>
      <c r="AL85" s="594"/>
      <c r="AM85" s="597"/>
      <c r="AN85" s="545">
        <f>_xlfn.IFS(AND(AM85&gt;=60,$AG85&lt;&gt;""), $AG85,    AND(AM85&gt;=30,$AF85&lt;&gt;""), $AF85,    AND(AM85&gt;=10,$AE85&lt;&gt;""), $AE85,    TRUE, $Z85)</f>
        <v>5.24</v>
      </c>
      <c r="AO85" s="596">
        <f>AM85*AN85</f>
        <v>0</v>
      </c>
      <c r="AP85" s="595"/>
      <c r="AQ85" s="595"/>
      <c r="AR85" s="594"/>
      <c r="AS85" s="593">
        <f>SUM(AW85,AZ85,BC85,BF85,BI85,BL85,BO85,BR85,BU85,BX85,CA85,CD85,CG85,CJ85,CM85,CP85,CS85,CV85,CY85,DB85)</f>
        <v>0</v>
      </c>
      <c r="AT85" s="545">
        <f>_xlfn.IFS(AND(AS85&gt;=60,$AG85&lt;&gt;""), $AG85,    AND(AS85&gt;=30,$AF85&lt;&gt;""), $AF85,    AND(AS85&gt;=10,$AE85&lt;&gt;""), $AE85,    TRUE, $Z85)</f>
        <v>5.24</v>
      </c>
      <c r="AU85" s="592">
        <f>$AS85*$AT85</f>
        <v>0</v>
      </c>
      <c r="AV85" s="591">
        <f>[1]COMMANDE!O83</f>
        <v>0</v>
      </c>
      <c r="AW85" s="586" t="str">
        <f>_xlfn.IFS(AND($AI85=$AM85,$AI85&gt;0,$AM85&gt;0,AV85&gt;0), AV85,     AND(NOT($AI85=$AM85),$AI85&gt;0,$AM85&gt;0,AV85&gt;0), ($AM85*AV85)/$AI85,     AND($AI85=0,$AM85&gt;0,$AQ85&gt;0), IF(INDEX(AV$12:AV$263,MATCH($AQ85,$AP$12:$AP$263,0))&gt;0,($AM85*INDEX(AV$12:AV$263,MATCH($AQ85,$AP$12:$AP$263,0)))/INDEX($AI$12:$AI$263,MATCH($AQ85,$AP$12:$AP$263,0)), "-"),     TRUE, "0")</f>
        <v>0</v>
      </c>
      <c r="AX85" s="588">
        <f>IF(AW$9&gt;0, IF(OR(AW85="",AW85="-"), 0, AW85*$AT85), AV85*$AJ85)</f>
        <v>0</v>
      </c>
      <c r="AY85" s="587">
        <f>[1]COMMANDE!Q83</f>
        <v>0</v>
      </c>
      <c r="AZ85" s="586" t="str">
        <f>_xlfn.IFS(AND($AI85=$AM85,$AI85&gt;0,$AM85&gt;0,AY85&gt;0), AY85,     AND(NOT($AI85=$AM85),$AI85&gt;0,$AM85&gt;0,AY85&gt;0), ($AM85*AY85)/$AI85,     AND($AI85=0,$AM85&gt;0,$AQ85&gt;0), IF(INDEX(AY$12:AY$263,MATCH($AQ85,$AP$12:$AP$263,0))&gt;0,($AM85*INDEX(AY$12:AY$263,MATCH($AQ85,$AP$12:$AP$263,0)))/INDEX($AI$12:$AI$263,MATCH($AQ85,$AP$12:$AP$263,0)), "-"),     TRUE, "0")</f>
        <v>0</v>
      </c>
      <c r="BA85" s="607">
        <f>IF(AZ$9&gt;0, IF(OR(AZ85="",AZ85="-"), 0, AZ85*$AT85), AY85*$AJ85)</f>
        <v>0</v>
      </c>
      <c r="BB85" s="589">
        <f>[1]COMMANDE!S83</f>
        <v>0</v>
      </c>
      <c r="BC85" s="586" t="str">
        <f>_xlfn.IFS(AND($AI85=$AM85,$AI85&gt;0,$AM85&gt;0,BB85&gt;0), BB85,     AND(NOT($AI85=$AM85),$AI85&gt;0,$AM85&gt;0,BB85&gt;0), ($AM85*BB85)/$AI85,     AND($AI85=0,$AM85&gt;0,$AQ85&gt;0), IF(INDEX(BB$12:BB$263,MATCH($AQ85,$AP$12:$AP$263,0))&gt;0,($AM85*INDEX(BB$12:BB$263,MATCH($AQ85,$AP$12:$AP$263,0)))/INDEX($AI$12:$AI$263,MATCH($AQ85,$AP$12:$AP$263,0)), "-"),     TRUE, "0")</f>
        <v>0</v>
      </c>
      <c r="BD85" s="588">
        <f>IF(BC$9&gt;0, IF(OR(BC85="",BC85="-"), 0, BC85*$AT85), BB85*$AJ85)</f>
        <v>0</v>
      </c>
      <c r="BE85" s="587">
        <f>[1]COMMANDE!U83</f>
        <v>0</v>
      </c>
      <c r="BF85" s="586" t="str">
        <f>_xlfn.IFS(AND($AI85=$AM85,$AI85&gt;0,$AM85&gt;0,BE85&gt;0), BE85,     AND(NOT($AI85=$AM85),$AI85&gt;0,$AM85&gt;0,BE85&gt;0), ($AM85*BE85)/$AI85,     AND($AI85=0,$AM85&gt;0,$AQ85&gt;0), IF(INDEX(BE$12:BE$263,MATCH($AQ85,$AP$12:$AP$263,0))&gt;0,($AM85*INDEX(BE$12:BE$263,MATCH($AQ85,$AP$12:$AP$263,0)))/INDEX($AI$12:$AI$263,MATCH($AQ85,$AP$12:$AP$263,0)), "-"),     TRUE, "0")</f>
        <v>0</v>
      </c>
      <c r="BG85" s="607">
        <f>IF(BF$9&gt;0, IF(OR(BF85="",BF85="-"), 0, BF85*$AT85), BE85*$AJ85)</f>
        <v>0</v>
      </c>
      <c r="BH85" s="589">
        <f>[1]COMMANDE!W83</f>
        <v>0</v>
      </c>
      <c r="BI85" s="586" t="str">
        <f>_xlfn.IFS(AND($AI85=$AM85,$AI85&gt;0,$AM85&gt;0,BH85&gt;0), BH85,     AND(NOT($AI85=$AM85),$AI85&gt;0,$AM85&gt;0,BH85&gt;0), ($AM85*BH85)/$AI85,     AND($AI85=0,$AM85&gt;0,$AQ85&gt;0), IF(INDEX(BH$12:BH$263,MATCH($AQ85,$AP$12:$AP$263,0))&gt;0,($AM85*INDEX(BH$12:BH$263,MATCH($AQ85,$AP$12:$AP$263,0)))/INDEX($AI$12:$AI$263,MATCH($AQ85,$AP$12:$AP$263,0)), "-"),     TRUE, "0")</f>
        <v>0</v>
      </c>
      <c r="BJ85" s="588">
        <f>IF(BI$9&gt;0, IF(OR(BI85="",BI85="-"), 0, BI85*$AT85), BH85*$AJ85)</f>
        <v>0</v>
      </c>
      <c r="BK85" s="587">
        <f>[1]COMMANDE!Y83</f>
        <v>0</v>
      </c>
      <c r="BL85" s="586" t="str">
        <f>_xlfn.IFS(AND($AI85=$AM85,$AI85&gt;0,$AM85&gt;0,BK85&gt;0), BK85,     AND(NOT($AI85=$AM85),$AI85&gt;0,$AM85&gt;0,BK85&gt;0), ($AM85*BK85)/$AI85,     AND($AI85=0,$AM85&gt;0,$AQ85&gt;0), IF(INDEX(BK$12:BK$263,MATCH($AQ85,$AP$12:$AP$263,0))&gt;0,($AM85*INDEX(BK$12:BK$263,MATCH($AQ85,$AP$12:$AP$263,0)))/INDEX($AI$12:$AI$263,MATCH($AQ85,$AP$12:$AP$263,0)), "-"),     TRUE, "0")</f>
        <v>0</v>
      </c>
      <c r="BM85" s="607">
        <f>IF(BL$9&gt;0, IF(OR(BL85="",BL85="-"), 0, BL85*$AT85), BK85*$AJ85)</f>
        <v>0</v>
      </c>
      <c r="BN85" s="589">
        <f>[1]COMMANDE!AA83</f>
        <v>0</v>
      </c>
      <c r="BO85" s="586" t="str">
        <f>_xlfn.IFS(AND($AI85=$AM85,$AI85&gt;0,$AM85&gt;0,BN85&gt;0), BN85,     AND(NOT($AI85=$AM85),$AI85&gt;0,$AM85&gt;0,BN85&gt;0), ($AM85*BN85)/$AI85,     AND($AI85=0,$AM85&gt;0,$AQ85&gt;0), IF(INDEX(BN$12:BN$263,MATCH($AQ85,$AP$12:$AP$263,0))&gt;0,($AM85*INDEX(BN$12:BN$263,MATCH($AQ85,$AP$12:$AP$263,0)))/INDEX($AI$12:$AI$263,MATCH($AQ85,$AP$12:$AP$263,0)), "-"),     TRUE, "0")</f>
        <v>0</v>
      </c>
      <c r="BP85" s="588">
        <f>IF(BO$9&gt;0, IF(OR(BO85="",BO85="-"), 0, BO85*$AT85), BN85*$AJ85)</f>
        <v>0</v>
      </c>
      <c r="BQ85" s="587">
        <f>[1]COMMANDE!AC83</f>
        <v>0</v>
      </c>
      <c r="BR85" s="586" t="str">
        <f>_xlfn.IFS(AND($AI85=$AM85,$AI85&gt;0,$AM85&gt;0,BQ85&gt;0), BQ85,     AND(NOT($AI85=$AM85),$AI85&gt;0,$AM85&gt;0,BQ85&gt;0), ($AM85*BQ85)/$AI85,     AND($AI85=0,$AM85&gt;0,$AQ85&gt;0), IF(INDEX(BQ$12:BQ$263,MATCH($AQ85,$AP$12:$AP$263,0))&gt;0,($AM85*INDEX(BQ$12:BQ$263,MATCH($AQ85,$AP$12:$AP$263,0)))/INDEX($AI$12:$AI$263,MATCH($AQ85,$AP$12:$AP$263,0)), "-"),     TRUE, "0")</f>
        <v>0</v>
      </c>
      <c r="BS85" s="607">
        <f>IF(BR$9&gt;0, IF(OR(BR85="",BR85="-"), 0, BR85*$AT85), BQ85*$AJ85)</f>
        <v>0</v>
      </c>
      <c r="BT85" s="589">
        <f>[1]COMMANDE!AE83</f>
        <v>0</v>
      </c>
      <c r="BU85" s="586" t="str">
        <f>_xlfn.IFS(AND($AI85=$AM85,$AI85&gt;0,$AM85&gt;0,BT85&gt;0), BT85,     AND(NOT($AI85=$AM85),$AI85&gt;0,$AM85&gt;0,BT85&gt;0), ($AM85*BT85)/$AI85,     AND($AI85=0,$AM85&gt;0,$AQ85&gt;0), IF(INDEX(BT$12:BT$263,MATCH($AQ85,$AP$12:$AP$263,0))&gt;0,($AM85*INDEX(BT$12:BT$263,MATCH($AQ85,$AP$12:$AP$263,0)))/INDEX($AI$12:$AI$263,MATCH($AQ85,$AP$12:$AP$263,0)), "-"),     TRUE, "0")</f>
        <v>0</v>
      </c>
      <c r="BV85" s="588">
        <f>IF(BU$9&gt;0, IF(OR(BU85="",BU85="-"), 0, BU85*$AT85), BT85*$AJ85)</f>
        <v>0</v>
      </c>
      <c r="BW85" s="587">
        <f>[1]COMMANDE!AG83</f>
        <v>0</v>
      </c>
      <c r="BX85" s="586" t="str">
        <f>_xlfn.IFS(AND($AI85=$AM85,$AI85&gt;0,$AM85&gt;0,BW85&gt;0), BW85,     AND(NOT($AI85=$AM85),$AI85&gt;0,$AM85&gt;0,BW85&gt;0), ($AM85*BW85)/$AI85,     AND($AI85=0,$AM85&gt;0,$AQ85&gt;0), IF(INDEX(BW$12:BW$263,MATCH($AQ85,$AP$12:$AP$263,0))&gt;0,($AM85*INDEX(BW$12:BW$263,MATCH($AQ85,$AP$12:$AP$263,0)))/INDEX($AI$12:$AI$263,MATCH($AQ85,$AP$12:$AP$263,0)), "-"),     TRUE, "0")</f>
        <v>0</v>
      </c>
      <c r="BY85" s="607">
        <f>IF(BX$9&gt;0, IF(OR(BX85="",BX85="-"), 0, BX85*$AT85), BW85*$AJ85)</f>
        <v>0</v>
      </c>
      <c r="BZ85" s="589">
        <f>[1]COMMANDE!AI83</f>
        <v>0</v>
      </c>
      <c r="CA85" s="586" t="str">
        <f>_xlfn.IFS(AND($AI85=$AM85,$AI85&gt;0,$AM85&gt;0,BZ85&gt;0), BZ85,     AND(NOT($AI85=$AM85),$AI85&gt;0,$AM85&gt;0,BZ85&gt;0), ($AM85*BZ85)/$AI85,     AND($AI85=0,$AM85&gt;0,$AQ85&gt;0), IF(INDEX(BZ$12:BZ$263,MATCH($AQ85,$AP$12:$AP$263,0))&gt;0,($AM85*INDEX(BZ$12:BZ$263,MATCH($AQ85,$AP$12:$AP$263,0)))/INDEX($AI$12:$AI$263,MATCH($AQ85,$AP$12:$AP$263,0)), "-"),     TRUE, "0")</f>
        <v>0</v>
      </c>
      <c r="CB85" s="588">
        <f>IF(CA$9&gt;0, IF(OR(CA85="",CA85="-"), 0, CA85*$AT85), BZ85*$AJ85)</f>
        <v>0</v>
      </c>
      <c r="CC85" s="587">
        <f>[1]COMMANDE!AK83</f>
        <v>0</v>
      </c>
      <c r="CD85" s="586" t="str">
        <f>_xlfn.IFS(AND($AI85=$AM85,$AI85&gt;0,$AM85&gt;0,CC85&gt;0), CC85,     AND(NOT($AI85=$AM85),$AI85&gt;0,$AM85&gt;0,CC85&gt;0), ($AM85*CC85)/$AI85,     AND($AI85=0,$AM85&gt;0,$AQ85&gt;0), IF(INDEX(CC$12:CC$263,MATCH($AQ85,$AP$12:$AP$263,0))&gt;0,($AM85*INDEX(CC$12:CC$263,MATCH($AQ85,$AP$12:$AP$263,0)))/INDEX($AI$12:$AI$263,MATCH($AQ85,$AP$12:$AP$263,0)), "-"),     TRUE, "0")</f>
        <v>0</v>
      </c>
      <c r="CE85" s="607">
        <f>IF(CD$9&gt;0, IF(OR(CD85="",CD85="-"), 0, CD85*$AT85), CC85*$AJ85)</f>
        <v>0</v>
      </c>
      <c r="CF85" s="589">
        <f>[1]COMMANDE!AM83</f>
        <v>0</v>
      </c>
      <c r="CG85" s="586" t="str">
        <f>_xlfn.IFS(AND($AI85=$AM85,$AI85&gt;0,$AM85&gt;0,CF85&gt;0), CF85,     AND(NOT($AI85=$AM85),$AI85&gt;0,$AM85&gt;0,CF85&gt;0), ($AM85*CF85)/$AI85,     AND($AI85=0,$AM85&gt;0,$AQ85&gt;0), IF(INDEX(CF$12:CF$263,MATCH($AQ85,$AP$12:$AP$263,0))&gt;0,($AM85*INDEX(CF$12:CF$263,MATCH($AQ85,$AP$12:$AP$263,0)))/INDEX($AI$12:$AI$263,MATCH($AQ85,$AP$12:$AP$263,0)), "-"),     TRUE, "0")</f>
        <v>0</v>
      </c>
      <c r="CH85" s="588">
        <f>IF(CG$9&gt;0, IF(OR(CG85="",CG85="-"), 0, CG85*$AT85), CF85*$AJ85)</f>
        <v>0</v>
      </c>
      <c r="CI85" s="587">
        <f>[1]COMMANDE!AO83</f>
        <v>0</v>
      </c>
      <c r="CJ85" s="586" t="str">
        <f>_xlfn.IFS(AND($AI85=$AM85,$AI85&gt;0,$AM85&gt;0,CI85&gt;0), CI85,     AND(NOT($AI85=$AM85),$AI85&gt;0,$AM85&gt;0,CI85&gt;0), ($AM85*CI85)/$AI85,     AND($AI85=0,$AM85&gt;0,$AQ85&gt;0), IF(INDEX(CI$12:CI$263,MATCH($AQ85,$AP$12:$AP$263,0))&gt;0,($AM85*INDEX(CI$12:CI$263,MATCH($AQ85,$AP$12:$AP$263,0)))/INDEX($AI$12:$AI$263,MATCH($AQ85,$AP$12:$AP$263,0)), "-"),     TRUE, "0")</f>
        <v>0</v>
      </c>
      <c r="CK85" s="607">
        <f>IF(CJ$9&gt;0, IF(OR(CJ85="",CJ85="-"), 0, CJ85*$AT85), CI85*$AJ85)</f>
        <v>0</v>
      </c>
      <c r="CL85" s="589">
        <f>[1]COMMANDE!AQ83</f>
        <v>0</v>
      </c>
      <c r="CM85" s="586" t="str">
        <f>_xlfn.IFS(AND($AI85=$AM85,$AI85&gt;0,$AM85&gt;0,CL85&gt;0), CL85,     AND(NOT($AI85=$AM85),$AI85&gt;0,$AM85&gt;0,CL85&gt;0), ($AM85*CL85)/$AI85,     AND($AI85=0,$AM85&gt;0,$AQ85&gt;0), IF(INDEX(CL$12:CL$263,MATCH($AQ85,$AP$12:$AP$263,0))&gt;0,($AM85*INDEX(CL$12:CL$263,MATCH($AQ85,$AP$12:$AP$263,0)))/INDEX($AI$12:$AI$263,MATCH($AQ85,$AP$12:$AP$263,0)), "-"),     TRUE, "0")</f>
        <v>0</v>
      </c>
      <c r="CN85" s="588">
        <f>IF(CM$9&gt;0, IF(OR(CM85="",CM85="-"), 0, CM85*$AT85), CL85*$AJ85)</f>
        <v>0</v>
      </c>
      <c r="CO85" s="587">
        <f>[1]COMMANDE!AS83</f>
        <v>0</v>
      </c>
      <c r="CP85" s="586" t="str">
        <f>_xlfn.IFS(AND($AI85=$AM85,$AI85&gt;0,$AM85&gt;0,CO85&gt;0), CO85,     AND(NOT($AI85=$AM85),$AI85&gt;0,$AM85&gt;0,CO85&gt;0), ($AM85*CO85)/$AI85,     AND($AI85=0,$AM85&gt;0,$AQ85&gt;0), IF(INDEX(CO$12:CO$263,MATCH($AQ85,$AP$12:$AP$263,0))&gt;0,($AM85*INDEX(CO$12:CO$263,MATCH($AQ85,$AP$12:$AP$263,0)))/INDEX($AI$12:$AI$263,MATCH($AQ85,$AP$12:$AP$263,0)), "-"),     TRUE, "0")</f>
        <v>0</v>
      </c>
      <c r="CQ85" s="607">
        <f>IF(CP$9&gt;0, IF(OR(CP85="",CP85="-"), 0, CP85*$AT85), CO85*$AJ85)</f>
        <v>0</v>
      </c>
      <c r="CR85" s="589">
        <f>[1]COMMANDE!AU83</f>
        <v>0</v>
      </c>
      <c r="CS85" s="586" t="str">
        <f>_xlfn.IFS(AND($AI85=$AM85,$AI85&gt;0,$AM85&gt;0,CR85&gt;0), CR85,     AND(NOT($AI85=$AM85),$AI85&gt;0,$AM85&gt;0,CR85&gt;0), ($AM85*CR85)/$AI85,     AND($AI85=0,$AM85&gt;0,$AQ85&gt;0), IF(INDEX(CR$12:CR$263,MATCH($AQ85,$AP$12:$AP$263,0))&gt;0,($AM85*INDEX(CR$12:CR$263,MATCH($AQ85,$AP$12:$AP$263,0)))/INDEX($AI$12:$AI$263,MATCH($AQ85,$AP$12:$AP$263,0)), "-"),     TRUE, "0")</f>
        <v>0</v>
      </c>
      <c r="CT85" s="588">
        <f>IF(CS$9&gt;0, IF(OR(CS85="",CS85="-"), 0, CS85*$AT85), CR85*$AJ85)</f>
        <v>0</v>
      </c>
      <c r="CU85" s="587">
        <f>[1]COMMANDE!AW83</f>
        <v>0</v>
      </c>
      <c r="CV85" s="586" t="str">
        <f>_xlfn.IFS(AND($AI85=$AM85,$AI85&gt;0,$AM85&gt;0,CU85&gt;0), CU85,     AND(NOT($AI85=$AM85),$AI85&gt;0,$AM85&gt;0,CU85&gt;0), ($AM85*CU85)/$AI85,     AND($AI85=0,$AM85&gt;0,$AQ85&gt;0), IF(INDEX(CU$12:CU$263,MATCH($AQ85,$AP$12:$AP$263,0))&gt;0,($AM85*INDEX(CU$12:CU$263,MATCH($AQ85,$AP$12:$AP$263,0)))/INDEX($AI$12:$AI$263,MATCH($AQ85,$AP$12:$AP$263,0)), "-"),     TRUE, "0")</f>
        <v>0</v>
      </c>
      <c r="CW85" s="607">
        <f>IF(CV$9&gt;0, IF(OR(CV85="",CV85="-"), 0, CV85*$AT85), CU85*$AJ85)</f>
        <v>0</v>
      </c>
      <c r="CX85" s="589">
        <f>[1]COMMANDE!AY83</f>
        <v>0</v>
      </c>
      <c r="CY85" s="586" t="str">
        <f>_xlfn.IFS(AND($AI85=$AM85,$AI85&gt;0,$AM85&gt;0,CX85&gt;0), CX85,     AND(NOT($AI85=$AM85),$AI85&gt;0,$AM85&gt;0,CX85&gt;0), ($AM85*CX85)/$AI85,     AND($AI85=0,$AM85&gt;0,$AQ85&gt;0), IF(INDEX(CX$12:CX$263,MATCH($AQ85,$AP$12:$AP$263,0))&gt;0,($AM85*INDEX(CX$12:CX$263,MATCH($AQ85,$AP$12:$AP$263,0)))/INDEX($AI$12:$AI$263,MATCH($AQ85,$AP$12:$AP$263,0)), "-"),     TRUE, "0")</f>
        <v>0</v>
      </c>
      <c r="CZ85" s="588">
        <f>IF(CY$9&gt;0, IF(OR(CY85="",CY85="-"), 0, CY85*$AT85), CX85*$AJ85)</f>
        <v>0</v>
      </c>
      <c r="DA85" s="587">
        <f>[1]COMMANDE!BA83</f>
        <v>0</v>
      </c>
      <c r="DB85" s="586" t="str">
        <f>_xlfn.IFS(AND($AI85=$AM85,$AI85&gt;0,$AM85&gt;0,DA85&gt;0), DA85,     AND(NOT($AI85=$AM85),$AI85&gt;0,$AM85&gt;0,DA85&gt;0), ($AM85*DA85)/$AI85,     AND($AI85=0,$AM85&gt;0,$AQ85&gt;0), IF(INDEX(DA$12:DA$263,MATCH($AQ85,$AP$12:$AP$263,0))&gt;0,($AM85*INDEX(DA$12:DA$263,MATCH($AQ85,$AP$12:$AP$263,0)))/INDEX($AI$12:$AI$263,MATCH($AQ85,$AP$12:$AP$263,0)), "-"),     TRUE, "0")</f>
        <v>0</v>
      </c>
      <c r="DC85" s="606">
        <f>IF(DB$9&gt;0, IF(OR(DB85="",DB85="-"), 0, DB85*$AT85), DA85*$AJ85)</f>
        <v>0</v>
      </c>
      <c r="DD85" s="584"/>
      <c r="DE85" s="583"/>
    </row>
    <row r="86" spans="1:109" ht="39.950000000000003" hidden="1" customHeight="1">
      <c r="A86" s="604">
        <f>IF(OR($AV86&gt;0, $AX86&gt;0), 1, 0)</f>
        <v>0</v>
      </c>
      <c r="B86" s="604">
        <f>IF(OR($AY86&gt;0, $BA86&gt;0), 1, 0)</f>
        <v>0</v>
      </c>
      <c r="C86" s="604">
        <f>IF(OR($BB86&gt;0, $BD86&gt;0), 1, 0)</f>
        <v>0</v>
      </c>
      <c r="D86" s="604">
        <f>IF(OR($BE86&gt;0, $BG86&gt;0), 1, 0)</f>
        <v>0</v>
      </c>
      <c r="E86" s="604">
        <f>IF(OR($BH86&gt;0, $BJ86&gt;0), 1, 0)</f>
        <v>0</v>
      </c>
      <c r="F86" s="604">
        <f>IF(OR($BK86&gt;0, $BM86&gt;0), 1, 0)</f>
        <v>0</v>
      </c>
      <c r="G86" s="604">
        <f>IF(OR($BN86&gt;0, $BP86&gt;0), 1, 0)</f>
        <v>0</v>
      </c>
      <c r="H86" s="604">
        <f>IF(OR($BQ86&gt;0, $BS86&gt;0), 1, 0)</f>
        <v>0</v>
      </c>
      <c r="I86" s="604">
        <f>IF(OR($BT86&gt;0, $BV86&gt;0), 1, 0)</f>
        <v>0</v>
      </c>
      <c r="J86" s="604">
        <f>IF(OR($BW86&gt;0, $BY86&gt;0), 1, 0)</f>
        <v>0</v>
      </c>
      <c r="K86" s="604">
        <f>IF(OR($BZ86&gt;0, $CB86&gt;0), 1, 0)</f>
        <v>0</v>
      </c>
      <c r="L86" s="604">
        <f>IF(OR($CC86&gt;0, $CE86&gt;0), 1, 0)</f>
        <v>0</v>
      </c>
      <c r="M86" s="604">
        <f>IF(OR($CF86&gt;0, $CH86&gt;0), 1, 0)</f>
        <v>0</v>
      </c>
      <c r="N86" s="604">
        <f>IF(OR($CI86&gt;0, $CK86&gt;0), 1, 0)</f>
        <v>0</v>
      </c>
      <c r="O86" s="604">
        <f>IF(OR($CL86&gt;0, $CN86&gt;0), 1, 0)</f>
        <v>0</v>
      </c>
      <c r="P86" s="604">
        <f>IF(OR($CO86&gt;0, $CQ86&gt;0), 1, 0)</f>
        <v>0</v>
      </c>
      <c r="Q86" s="604">
        <f>IF(OR($CR86&gt;0, $CT86&gt;0), 1, 0)</f>
        <v>0</v>
      </c>
      <c r="R86" s="604">
        <f>IF(OR($CU86&gt;0, $CW86&gt;0), 1, 0)</f>
        <v>0</v>
      </c>
      <c r="S86" s="604">
        <f>IF(OR($CX86&gt;0, $CZ86&gt;0), 1, 0)</f>
        <v>0</v>
      </c>
      <c r="T86" s="604">
        <f>IF(OR($DA86&gt;0, $DC86&gt;0), 1, 0)</f>
        <v>0</v>
      </c>
      <c r="U86" s="603">
        <f>IF(OR($AI86&gt;0,$AM86&gt;0,$AS86&gt;0), 1, 0)</f>
        <v>0</v>
      </c>
      <c r="V86" s="602">
        <f>[1]BDD!A76</f>
        <v>3678</v>
      </c>
      <c r="W86" s="601" t="str">
        <f>[1]BDD!B76</f>
        <v>Coing</v>
      </c>
      <c r="X86" s="600" t="str">
        <f>IF([1]BDD!F76=0, "", [1]BDD!F76)</f>
        <v/>
      </c>
      <c r="Y86" s="542">
        <f>ROUND([1]BDD!G76+FDP_CMD_KG, 2)</f>
        <v>2.77</v>
      </c>
      <c r="Z86" s="542">
        <f>ROUND([1]BDD!G76+FDP_FACT_KG, 2)</f>
        <v>2.77</v>
      </c>
      <c r="AA86" s="543" t="str">
        <f>[1]BDD!H76</f>
        <v>kg</v>
      </c>
      <c r="AB86" s="544">
        <f>IF(NOT(ISBLANK([1]BDD!I76)), ROUND(SUM(([1]BDD!G76*reduc1),FDP_CMD_KG), 2), "")</f>
        <v>2.58</v>
      </c>
      <c r="AC86" s="544">
        <f>IF(NOT(ISBLANK([1]BDD!J76)), ROUND(SUM(([1]BDD!G76*reduc2),FDP_CMD_KG), 2), "")</f>
        <v>2.39</v>
      </c>
      <c r="AD86" s="544" t="str">
        <f>IF(NOT(ISBLANK([1]BDD!K76)), ROUND(SUM(([1]BDD!G76*reduc3),FDP_CMD_KG), 2), "")</f>
        <v/>
      </c>
      <c r="AE86" s="544">
        <f>IF(NOT(ISBLANK([1]BDD!I76)), ROUND(SUM(([1]BDD!G76*reduc1),FDP_FACT_KG), 2), "")</f>
        <v>2.58</v>
      </c>
      <c r="AF86" s="544">
        <f>IF(NOT(ISBLANK([1]BDD!J76)), ROUND(SUM(([1]BDD!G76*reduc2),FDP_FACT_KG), 2), "")</f>
        <v>2.39</v>
      </c>
      <c r="AG86" s="544" t="str">
        <f>IF(NOT(ISBLANK([1]BDD!K76)), ROUND(SUM(([1]BDD!G76*reduc3),FDP_FACT_KG), 2), "")</f>
        <v/>
      </c>
      <c r="AH86" s="599" t="str">
        <f>[1]BDD!C76</f>
        <v>Malaga</v>
      </c>
      <c r="AI86" s="598">
        <f>SUM(AV86,AY86,BB86,BE86,BH86,BK86,BN86,BQ86,BT86,BW86,BZ86,CC86,CF86,CI86,CL86,CO86,CR86,CU86,CX86,DA86)</f>
        <v>0</v>
      </c>
      <c r="AJ86" s="545">
        <f>_xlfn.IFS($AD86&lt;&gt;"", $AD86,    $AC86&lt;&gt;"", $AC86,    $AB86&lt;&gt;"", $AB86,    TRUE, $Y86)</f>
        <v>2.39</v>
      </c>
      <c r="AK86" s="592">
        <f>$AI86*$AJ86</f>
        <v>0</v>
      </c>
      <c r="AL86" s="594"/>
      <c r="AM86" s="597"/>
      <c r="AN86" s="545">
        <f>_xlfn.IFS(AND(AM86&gt;=60,$AG86&lt;&gt;""), $AG86,    AND(AM86&gt;=30,$AF86&lt;&gt;""), $AF86,    AND(AM86&gt;=10,$AE86&lt;&gt;""), $AE86,    TRUE, $Z86)</f>
        <v>2.77</v>
      </c>
      <c r="AO86" s="596">
        <f>AM86*AN86</f>
        <v>0</v>
      </c>
      <c r="AP86" s="595"/>
      <c r="AQ86" s="595"/>
      <c r="AR86" s="594"/>
      <c r="AS86" s="593">
        <f>SUM(AW86,AZ86,BC86,BF86,BI86,BL86,BO86,BR86,BU86,BX86,CA86,CD86,CG86,CJ86,CM86,CP86,CS86,CV86,CY86,DB86)</f>
        <v>0</v>
      </c>
      <c r="AT86" s="545">
        <f>_xlfn.IFS(AND(AS86&gt;=60,$AG86&lt;&gt;""), $AG86,    AND(AS86&gt;=30,$AF86&lt;&gt;""), $AF86,    AND(AS86&gt;=10,$AE86&lt;&gt;""), $AE86,    TRUE, $Z86)</f>
        <v>2.77</v>
      </c>
      <c r="AU86" s="592">
        <f>$AS86*$AT86</f>
        <v>0</v>
      </c>
      <c r="AV86" s="591">
        <f>[1]COMMANDE!O84</f>
        <v>0</v>
      </c>
      <c r="AW86" s="586" t="str">
        <f>_xlfn.IFS(AND($AI86=$AM86,$AI86&gt;0,$AM86&gt;0,AV86&gt;0), AV86,     AND(NOT($AI86=$AM86),$AI86&gt;0,$AM86&gt;0,AV86&gt;0), ($AM86*AV86)/$AI86,     AND($AI86=0,$AM86&gt;0,$AQ86&gt;0), IF(INDEX(AV$12:AV$263,MATCH($AQ86,$AP$12:$AP$263,0))&gt;0,($AM86*INDEX(AV$12:AV$263,MATCH($AQ86,$AP$12:$AP$263,0)))/INDEX($AI$12:$AI$263,MATCH($AQ86,$AP$12:$AP$263,0)), "-"),     TRUE, "0")</f>
        <v>0</v>
      </c>
      <c r="AX86" s="588">
        <f>IF(AW$9&gt;0, IF(OR(AW86="",AW86="-"), 0, AW86*$AT86), AV86*$AJ86)</f>
        <v>0</v>
      </c>
      <c r="AY86" s="587">
        <f>[1]COMMANDE!Q84</f>
        <v>0</v>
      </c>
      <c r="AZ86" s="586" t="str">
        <f>_xlfn.IFS(AND($AI86=$AM86,$AI86&gt;0,$AM86&gt;0,AY86&gt;0), AY86,     AND(NOT($AI86=$AM86),$AI86&gt;0,$AM86&gt;0,AY86&gt;0), ($AM86*AY86)/$AI86,     AND($AI86=0,$AM86&gt;0,$AQ86&gt;0), IF(INDEX(AY$12:AY$263,MATCH($AQ86,$AP$12:$AP$263,0))&gt;0,($AM86*INDEX(AY$12:AY$263,MATCH($AQ86,$AP$12:$AP$263,0)))/INDEX($AI$12:$AI$263,MATCH($AQ86,$AP$12:$AP$263,0)), "-"),     TRUE, "0")</f>
        <v>0</v>
      </c>
      <c r="BA86" s="607">
        <f>IF(AZ$9&gt;0, IF(OR(AZ86="",AZ86="-"), 0, AZ86*$AT86), AY86*$AJ86)</f>
        <v>0</v>
      </c>
      <c r="BB86" s="589">
        <f>[1]COMMANDE!S84</f>
        <v>0</v>
      </c>
      <c r="BC86" s="586" t="str">
        <f>_xlfn.IFS(AND($AI86=$AM86,$AI86&gt;0,$AM86&gt;0,BB86&gt;0), BB86,     AND(NOT($AI86=$AM86),$AI86&gt;0,$AM86&gt;0,BB86&gt;0), ($AM86*BB86)/$AI86,     AND($AI86=0,$AM86&gt;0,$AQ86&gt;0), IF(INDEX(BB$12:BB$263,MATCH($AQ86,$AP$12:$AP$263,0))&gt;0,($AM86*INDEX(BB$12:BB$263,MATCH($AQ86,$AP$12:$AP$263,0)))/INDEX($AI$12:$AI$263,MATCH($AQ86,$AP$12:$AP$263,0)), "-"),     TRUE, "0")</f>
        <v>0</v>
      </c>
      <c r="BD86" s="588">
        <f>IF(BC$9&gt;0, IF(OR(BC86="",BC86="-"), 0, BC86*$AT86), BB86*$AJ86)</f>
        <v>0</v>
      </c>
      <c r="BE86" s="587">
        <f>[1]COMMANDE!U84</f>
        <v>0</v>
      </c>
      <c r="BF86" s="586" t="str">
        <f>_xlfn.IFS(AND($AI86=$AM86,$AI86&gt;0,$AM86&gt;0,BE86&gt;0), BE86,     AND(NOT($AI86=$AM86),$AI86&gt;0,$AM86&gt;0,BE86&gt;0), ($AM86*BE86)/$AI86,     AND($AI86=0,$AM86&gt;0,$AQ86&gt;0), IF(INDEX(BE$12:BE$263,MATCH($AQ86,$AP$12:$AP$263,0))&gt;0,($AM86*INDEX(BE$12:BE$263,MATCH($AQ86,$AP$12:$AP$263,0)))/INDEX($AI$12:$AI$263,MATCH($AQ86,$AP$12:$AP$263,0)), "-"),     TRUE, "0")</f>
        <v>0</v>
      </c>
      <c r="BG86" s="607">
        <f>IF(BF$9&gt;0, IF(OR(BF86="",BF86="-"), 0, BF86*$AT86), BE86*$AJ86)</f>
        <v>0</v>
      </c>
      <c r="BH86" s="589">
        <f>[1]COMMANDE!W84</f>
        <v>0</v>
      </c>
      <c r="BI86" s="586" t="str">
        <f>_xlfn.IFS(AND($AI86=$AM86,$AI86&gt;0,$AM86&gt;0,BH86&gt;0), BH86,     AND(NOT($AI86=$AM86),$AI86&gt;0,$AM86&gt;0,BH86&gt;0), ($AM86*BH86)/$AI86,     AND($AI86=0,$AM86&gt;0,$AQ86&gt;0), IF(INDEX(BH$12:BH$263,MATCH($AQ86,$AP$12:$AP$263,0))&gt;0,($AM86*INDEX(BH$12:BH$263,MATCH($AQ86,$AP$12:$AP$263,0)))/INDEX($AI$12:$AI$263,MATCH($AQ86,$AP$12:$AP$263,0)), "-"),     TRUE, "0")</f>
        <v>0</v>
      </c>
      <c r="BJ86" s="588">
        <f>IF(BI$9&gt;0, IF(OR(BI86="",BI86="-"), 0, BI86*$AT86), BH86*$AJ86)</f>
        <v>0</v>
      </c>
      <c r="BK86" s="587">
        <f>[1]COMMANDE!Y84</f>
        <v>0</v>
      </c>
      <c r="BL86" s="586" t="str">
        <f>_xlfn.IFS(AND($AI86=$AM86,$AI86&gt;0,$AM86&gt;0,BK86&gt;0), BK86,     AND(NOT($AI86=$AM86),$AI86&gt;0,$AM86&gt;0,BK86&gt;0), ($AM86*BK86)/$AI86,     AND($AI86=0,$AM86&gt;0,$AQ86&gt;0), IF(INDEX(BK$12:BK$263,MATCH($AQ86,$AP$12:$AP$263,0))&gt;0,($AM86*INDEX(BK$12:BK$263,MATCH($AQ86,$AP$12:$AP$263,0)))/INDEX($AI$12:$AI$263,MATCH($AQ86,$AP$12:$AP$263,0)), "-"),     TRUE, "0")</f>
        <v>0</v>
      </c>
      <c r="BM86" s="607">
        <f>IF(BL$9&gt;0, IF(OR(BL86="",BL86="-"), 0, BL86*$AT86), BK86*$AJ86)</f>
        <v>0</v>
      </c>
      <c r="BN86" s="589">
        <f>[1]COMMANDE!AA84</f>
        <v>0</v>
      </c>
      <c r="BO86" s="586" t="str">
        <f>_xlfn.IFS(AND($AI86=$AM86,$AI86&gt;0,$AM86&gt;0,BN86&gt;0), BN86,     AND(NOT($AI86=$AM86),$AI86&gt;0,$AM86&gt;0,BN86&gt;0), ($AM86*BN86)/$AI86,     AND($AI86=0,$AM86&gt;0,$AQ86&gt;0), IF(INDEX(BN$12:BN$263,MATCH($AQ86,$AP$12:$AP$263,0))&gt;0,($AM86*INDEX(BN$12:BN$263,MATCH($AQ86,$AP$12:$AP$263,0)))/INDEX($AI$12:$AI$263,MATCH($AQ86,$AP$12:$AP$263,0)), "-"),     TRUE, "0")</f>
        <v>0</v>
      </c>
      <c r="BP86" s="588">
        <f>IF(BO$9&gt;0, IF(OR(BO86="",BO86="-"), 0, BO86*$AT86), BN86*$AJ86)</f>
        <v>0</v>
      </c>
      <c r="BQ86" s="587">
        <f>[1]COMMANDE!AC84</f>
        <v>0</v>
      </c>
      <c r="BR86" s="586" t="str">
        <f>_xlfn.IFS(AND($AI86=$AM86,$AI86&gt;0,$AM86&gt;0,BQ86&gt;0), BQ86,     AND(NOT($AI86=$AM86),$AI86&gt;0,$AM86&gt;0,BQ86&gt;0), ($AM86*BQ86)/$AI86,     AND($AI86=0,$AM86&gt;0,$AQ86&gt;0), IF(INDEX(BQ$12:BQ$263,MATCH($AQ86,$AP$12:$AP$263,0))&gt;0,($AM86*INDEX(BQ$12:BQ$263,MATCH($AQ86,$AP$12:$AP$263,0)))/INDEX($AI$12:$AI$263,MATCH($AQ86,$AP$12:$AP$263,0)), "-"),     TRUE, "0")</f>
        <v>0</v>
      </c>
      <c r="BS86" s="607">
        <f>IF(BR$9&gt;0, IF(OR(BR86="",BR86="-"), 0, BR86*$AT86), BQ86*$AJ86)</f>
        <v>0</v>
      </c>
      <c r="BT86" s="589">
        <f>[1]COMMANDE!AE84</f>
        <v>0</v>
      </c>
      <c r="BU86" s="586" t="str">
        <f>_xlfn.IFS(AND($AI86=$AM86,$AI86&gt;0,$AM86&gt;0,BT86&gt;0), BT86,     AND(NOT($AI86=$AM86),$AI86&gt;0,$AM86&gt;0,BT86&gt;0), ($AM86*BT86)/$AI86,     AND($AI86=0,$AM86&gt;0,$AQ86&gt;0), IF(INDEX(BT$12:BT$263,MATCH($AQ86,$AP$12:$AP$263,0))&gt;0,($AM86*INDEX(BT$12:BT$263,MATCH($AQ86,$AP$12:$AP$263,0)))/INDEX($AI$12:$AI$263,MATCH($AQ86,$AP$12:$AP$263,0)), "-"),     TRUE, "0")</f>
        <v>0</v>
      </c>
      <c r="BV86" s="588">
        <f>IF(BU$9&gt;0, IF(OR(BU86="",BU86="-"), 0, BU86*$AT86), BT86*$AJ86)</f>
        <v>0</v>
      </c>
      <c r="BW86" s="587">
        <f>[1]COMMANDE!AG84</f>
        <v>0</v>
      </c>
      <c r="BX86" s="586" t="str">
        <f>_xlfn.IFS(AND($AI86=$AM86,$AI86&gt;0,$AM86&gt;0,BW86&gt;0), BW86,     AND(NOT($AI86=$AM86),$AI86&gt;0,$AM86&gt;0,BW86&gt;0), ($AM86*BW86)/$AI86,     AND($AI86=0,$AM86&gt;0,$AQ86&gt;0), IF(INDEX(BW$12:BW$263,MATCH($AQ86,$AP$12:$AP$263,0))&gt;0,($AM86*INDEX(BW$12:BW$263,MATCH($AQ86,$AP$12:$AP$263,0)))/INDEX($AI$12:$AI$263,MATCH($AQ86,$AP$12:$AP$263,0)), "-"),     TRUE, "0")</f>
        <v>0</v>
      </c>
      <c r="BY86" s="607">
        <f>IF(BX$9&gt;0, IF(OR(BX86="",BX86="-"), 0, BX86*$AT86), BW86*$AJ86)</f>
        <v>0</v>
      </c>
      <c r="BZ86" s="589">
        <f>[1]COMMANDE!AI84</f>
        <v>0</v>
      </c>
      <c r="CA86" s="586" t="str">
        <f>_xlfn.IFS(AND($AI86=$AM86,$AI86&gt;0,$AM86&gt;0,BZ86&gt;0), BZ86,     AND(NOT($AI86=$AM86),$AI86&gt;0,$AM86&gt;0,BZ86&gt;0), ($AM86*BZ86)/$AI86,     AND($AI86=0,$AM86&gt;0,$AQ86&gt;0), IF(INDEX(BZ$12:BZ$263,MATCH($AQ86,$AP$12:$AP$263,0))&gt;0,($AM86*INDEX(BZ$12:BZ$263,MATCH($AQ86,$AP$12:$AP$263,0)))/INDEX($AI$12:$AI$263,MATCH($AQ86,$AP$12:$AP$263,0)), "-"),     TRUE, "0")</f>
        <v>0</v>
      </c>
      <c r="CB86" s="588">
        <f>IF(CA$9&gt;0, IF(OR(CA86="",CA86="-"), 0, CA86*$AT86), BZ86*$AJ86)</f>
        <v>0</v>
      </c>
      <c r="CC86" s="587">
        <f>[1]COMMANDE!AK84</f>
        <v>0</v>
      </c>
      <c r="CD86" s="586" t="str">
        <f>_xlfn.IFS(AND($AI86=$AM86,$AI86&gt;0,$AM86&gt;0,CC86&gt;0), CC86,     AND(NOT($AI86=$AM86),$AI86&gt;0,$AM86&gt;0,CC86&gt;0), ($AM86*CC86)/$AI86,     AND($AI86=0,$AM86&gt;0,$AQ86&gt;0), IF(INDEX(CC$12:CC$263,MATCH($AQ86,$AP$12:$AP$263,0))&gt;0,($AM86*INDEX(CC$12:CC$263,MATCH($AQ86,$AP$12:$AP$263,0)))/INDEX($AI$12:$AI$263,MATCH($AQ86,$AP$12:$AP$263,0)), "-"),     TRUE, "0")</f>
        <v>0</v>
      </c>
      <c r="CE86" s="607">
        <f>IF(CD$9&gt;0, IF(OR(CD86="",CD86="-"), 0, CD86*$AT86), CC86*$AJ86)</f>
        <v>0</v>
      </c>
      <c r="CF86" s="589">
        <f>[1]COMMANDE!AM84</f>
        <v>0</v>
      </c>
      <c r="CG86" s="586" t="str">
        <f>_xlfn.IFS(AND($AI86=$AM86,$AI86&gt;0,$AM86&gt;0,CF86&gt;0), CF86,     AND(NOT($AI86=$AM86),$AI86&gt;0,$AM86&gt;0,CF86&gt;0), ($AM86*CF86)/$AI86,     AND($AI86=0,$AM86&gt;0,$AQ86&gt;0), IF(INDEX(CF$12:CF$263,MATCH($AQ86,$AP$12:$AP$263,0))&gt;0,($AM86*INDEX(CF$12:CF$263,MATCH($AQ86,$AP$12:$AP$263,0)))/INDEX($AI$12:$AI$263,MATCH($AQ86,$AP$12:$AP$263,0)), "-"),     TRUE, "0")</f>
        <v>0</v>
      </c>
      <c r="CH86" s="588">
        <f>IF(CG$9&gt;0, IF(OR(CG86="",CG86="-"), 0, CG86*$AT86), CF86*$AJ86)</f>
        <v>0</v>
      </c>
      <c r="CI86" s="587">
        <f>[1]COMMANDE!AO84</f>
        <v>0</v>
      </c>
      <c r="CJ86" s="586" t="str">
        <f>_xlfn.IFS(AND($AI86=$AM86,$AI86&gt;0,$AM86&gt;0,CI86&gt;0), CI86,     AND(NOT($AI86=$AM86),$AI86&gt;0,$AM86&gt;0,CI86&gt;0), ($AM86*CI86)/$AI86,     AND($AI86=0,$AM86&gt;0,$AQ86&gt;0), IF(INDEX(CI$12:CI$263,MATCH($AQ86,$AP$12:$AP$263,0))&gt;0,($AM86*INDEX(CI$12:CI$263,MATCH($AQ86,$AP$12:$AP$263,0)))/INDEX($AI$12:$AI$263,MATCH($AQ86,$AP$12:$AP$263,0)), "-"),     TRUE, "0")</f>
        <v>0</v>
      </c>
      <c r="CK86" s="607">
        <f>IF(CJ$9&gt;0, IF(OR(CJ86="",CJ86="-"), 0, CJ86*$AT86), CI86*$AJ86)</f>
        <v>0</v>
      </c>
      <c r="CL86" s="589">
        <f>[1]COMMANDE!AQ84</f>
        <v>0</v>
      </c>
      <c r="CM86" s="586" t="str">
        <f>_xlfn.IFS(AND($AI86=$AM86,$AI86&gt;0,$AM86&gt;0,CL86&gt;0), CL86,     AND(NOT($AI86=$AM86),$AI86&gt;0,$AM86&gt;0,CL86&gt;0), ($AM86*CL86)/$AI86,     AND($AI86=0,$AM86&gt;0,$AQ86&gt;0), IF(INDEX(CL$12:CL$263,MATCH($AQ86,$AP$12:$AP$263,0))&gt;0,($AM86*INDEX(CL$12:CL$263,MATCH($AQ86,$AP$12:$AP$263,0)))/INDEX($AI$12:$AI$263,MATCH($AQ86,$AP$12:$AP$263,0)), "-"),     TRUE, "0")</f>
        <v>0</v>
      </c>
      <c r="CN86" s="588">
        <f>IF(CM$9&gt;0, IF(OR(CM86="",CM86="-"), 0, CM86*$AT86), CL86*$AJ86)</f>
        <v>0</v>
      </c>
      <c r="CO86" s="587">
        <f>[1]COMMANDE!AS84</f>
        <v>0</v>
      </c>
      <c r="CP86" s="586" t="str">
        <f>_xlfn.IFS(AND($AI86=$AM86,$AI86&gt;0,$AM86&gt;0,CO86&gt;0), CO86,     AND(NOT($AI86=$AM86),$AI86&gt;0,$AM86&gt;0,CO86&gt;0), ($AM86*CO86)/$AI86,     AND($AI86=0,$AM86&gt;0,$AQ86&gt;0), IF(INDEX(CO$12:CO$263,MATCH($AQ86,$AP$12:$AP$263,0))&gt;0,($AM86*INDEX(CO$12:CO$263,MATCH($AQ86,$AP$12:$AP$263,0)))/INDEX($AI$12:$AI$263,MATCH($AQ86,$AP$12:$AP$263,0)), "-"),     TRUE, "0")</f>
        <v>0</v>
      </c>
      <c r="CQ86" s="607">
        <f>IF(CP$9&gt;0, IF(OR(CP86="",CP86="-"), 0, CP86*$AT86), CO86*$AJ86)</f>
        <v>0</v>
      </c>
      <c r="CR86" s="589">
        <f>[1]COMMANDE!AU84</f>
        <v>0</v>
      </c>
      <c r="CS86" s="586" t="str">
        <f>_xlfn.IFS(AND($AI86=$AM86,$AI86&gt;0,$AM86&gt;0,CR86&gt;0), CR86,     AND(NOT($AI86=$AM86),$AI86&gt;0,$AM86&gt;0,CR86&gt;0), ($AM86*CR86)/$AI86,     AND($AI86=0,$AM86&gt;0,$AQ86&gt;0), IF(INDEX(CR$12:CR$263,MATCH($AQ86,$AP$12:$AP$263,0))&gt;0,($AM86*INDEX(CR$12:CR$263,MATCH($AQ86,$AP$12:$AP$263,0)))/INDEX($AI$12:$AI$263,MATCH($AQ86,$AP$12:$AP$263,0)), "-"),     TRUE, "0")</f>
        <v>0</v>
      </c>
      <c r="CT86" s="588">
        <f>IF(CS$9&gt;0, IF(OR(CS86="",CS86="-"), 0, CS86*$AT86), CR86*$AJ86)</f>
        <v>0</v>
      </c>
      <c r="CU86" s="587">
        <f>[1]COMMANDE!AW84</f>
        <v>0</v>
      </c>
      <c r="CV86" s="586" t="str">
        <f>_xlfn.IFS(AND($AI86=$AM86,$AI86&gt;0,$AM86&gt;0,CU86&gt;0), CU86,     AND(NOT($AI86=$AM86),$AI86&gt;0,$AM86&gt;0,CU86&gt;0), ($AM86*CU86)/$AI86,     AND($AI86=0,$AM86&gt;0,$AQ86&gt;0), IF(INDEX(CU$12:CU$263,MATCH($AQ86,$AP$12:$AP$263,0))&gt;0,($AM86*INDEX(CU$12:CU$263,MATCH($AQ86,$AP$12:$AP$263,0)))/INDEX($AI$12:$AI$263,MATCH($AQ86,$AP$12:$AP$263,0)), "-"),     TRUE, "0")</f>
        <v>0</v>
      </c>
      <c r="CW86" s="607">
        <f>IF(CV$9&gt;0, IF(OR(CV86="",CV86="-"), 0, CV86*$AT86), CU86*$AJ86)</f>
        <v>0</v>
      </c>
      <c r="CX86" s="589">
        <f>[1]COMMANDE!AY84</f>
        <v>0</v>
      </c>
      <c r="CY86" s="586" t="str">
        <f>_xlfn.IFS(AND($AI86=$AM86,$AI86&gt;0,$AM86&gt;0,CX86&gt;0), CX86,     AND(NOT($AI86=$AM86),$AI86&gt;0,$AM86&gt;0,CX86&gt;0), ($AM86*CX86)/$AI86,     AND($AI86=0,$AM86&gt;0,$AQ86&gt;0), IF(INDEX(CX$12:CX$263,MATCH($AQ86,$AP$12:$AP$263,0))&gt;0,($AM86*INDEX(CX$12:CX$263,MATCH($AQ86,$AP$12:$AP$263,0)))/INDEX($AI$12:$AI$263,MATCH($AQ86,$AP$12:$AP$263,0)), "-"),     TRUE, "0")</f>
        <v>0</v>
      </c>
      <c r="CZ86" s="588">
        <f>IF(CY$9&gt;0, IF(OR(CY86="",CY86="-"), 0, CY86*$AT86), CX86*$AJ86)</f>
        <v>0</v>
      </c>
      <c r="DA86" s="587">
        <f>[1]COMMANDE!BA84</f>
        <v>0</v>
      </c>
      <c r="DB86" s="586" t="str">
        <f>_xlfn.IFS(AND($AI86=$AM86,$AI86&gt;0,$AM86&gt;0,DA86&gt;0), DA86,     AND(NOT($AI86=$AM86),$AI86&gt;0,$AM86&gt;0,DA86&gt;0), ($AM86*DA86)/$AI86,     AND($AI86=0,$AM86&gt;0,$AQ86&gt;0), IF(INDEX(DA$12:DA$263,MATCH($AQ86,$AP$12:$AP$263,0))&gt;0,($AM86*INDEX(DA$12:DA$263,MATCH($AQ86,$AP$12:$AP$263,0)))/INDEX($AI$12:$AI$263,MATCH($AQ86,$AP$12:$AP$263,0)), "-"),     TRUE, "0")</f>
        <v>0</v>
      </c>
      <c r="DC86" s="606">
        <f>IF(DB$9&gt;0, IF(OR(DB86="",DB86="-"), 0, DB86*$AT86), DA86*$AJ86)</f>
        <v>0</v>
      </c>
      <c r="DD86" s="584"/>
      <c r="DE86" s="583"/>
    </row>
    <row r="87" spans="1:109" ht="39.950000000000003" hidden="1" customHeight="1">
      <c r="A87" s="604">
        <f>IF(OR($AV87&gt;0, $AX87&gt;0), 1, 0)</f>
        <v>0</v>
      </c>
      <c r="B87" s="604">
        <f>IF(OR($AY87&gt;0, $BA87&gt;0), 1, 0)</f>
        <v>0</v>
      </c>
      <c r="C87" s="604">
        <f>IF(OR($BB87&gt;0, $BD87&gt;0), 1, 0)</f>
        <v>0</v>
      </c>
      <c r="D87" s="604">
        <f>IF(OR($BE87&gt;0, $BG87&gt;0), 1, 0)</f>
        <v>0</v>
      </c>
      <c r="E87" s="604">
        <f>IF(OR($BH87&gt;0, $BJ87&gt;0), 1, 0)</f>
        <v>0</v>
      </c>
      <c r="F87" s="604">
        <f>IF(OR($BK87&gt;0, $BM87&gt;0), 1, 0)</f>
        <v>0</v>
      </c>
      <c r="G87" s="604">
        <f>IF(OR($BN87&gt;0, $BP87&gt;0), 1, 0)</f>
        <v>0</v>
      </c>
      <c r="H87" s="604">
        <f>IF(OR($BQ87&gt;0, $BS87&gt;0), 1, 0)</f>
        <v>0</v>
      </c>
      <c r="I87" s="604">
        <f>IF(OR($BT87&gt;0, $BV87&gt;0), 1, 0)</f>
        <v>0</v>
      </c>
      <c r="J87" s="604">
        <f>IF(OR($BW87&gt;0, $BY87&gt;0), 1, 0)</f>
        <v>0</v>
      </c>
      <c r="K87" s="604">
        <f>IF(OR($BZ87&gt;0, $CB87&gt;0), 1, 0)</f>
        <v>0</v>
      </c>
      <c r="L87" s="604">
        <f>IF(OR($CC87&gt;0, $CE87&gt;0), 1, 0)</f>
        <v>0</v>
      </c>
      <c r="M87" s="604">
        <f>IF(OR($CF87&gt;0, $CH87&gt;0), 1, 0)</f>
        <v>0</v>
      </c>
      <c r="N87" s="604">
        <f>IF(OR($CI87&gt;0, $CK87&gt;0), 1, 0)</f>
        <v>0</v>
      </c>
      <c r="O87" s="604">
        <f>IF(OR($CL87&gt;0, $CN87&gt;0), 1, 0)</f>
        <v>0</v>
      </c>
      <c r="P87" s="604">
        <f>IF(OR($CO87&gt;0, $CQ87&gt;0), 1, 0)</f>
        <v>0</v>
      </c>
      <c r="Q87" s="604">
        <f>IF(OR($CR87&gt;0, $CT87&gt;0), 1, 0)</f>
        <v>0</v>
      </c>
      <c r="R87" s="604">
        <f>IF(OR($CU87&gt;0, $CW87&gt;0), 1, 0)</f>
        <v>0</v>
      </c>
      <c r="S87" s="604">
        <f>IF(OR($CX87&gt;0, $CZ87&gt;0), 1, 0)</f>
        <v>0</v>
      </c>
      <c r="T87" s="604">
        <f>IF(OR($DA87&gt;0, $DC87&gt;0), 1, 0)</f>
        <v>0</v>
      </c>
      <c r="U87" s="603">
        <f>IF(OR($AI87&gt;0,$AM87&gt;0,$AS87&gt;0), 1, 0)</f>
        <v>0</v>
      </c>
      <c r="V87" s="602">
        <f>[1]BDD!A77</f>
        <v>3100</v>
      </c>
      <c r="W87" s="601" t="str">
        <f>[1]BDD!B77</f>
        <v>Concombre Hollandais</v>
      </c>
      <c r="X87" s="600" t="str">
        <f>IF([1]BDD!F77=0, "", [1]BDD!F77)</f>
        <v/>
      </c>
      <c r="Y87" s="542">
        <f>ROUND([1]BDD!G77+FDP_CMD_KG, 2)</f>
        <v>2.77</v>
      </c>
      <c r="Z87" s="542">
        <f>ROUND([1]BDD!G77+FDP_FACT_KG, 2)</f>
        <v>2.77</v>
      </c>
      <c r="AA87" s="543" t="str">
        <f>[1]BDD!H77</f>
        <v>kg</v>
      </c>
      <c r="AB87" s="544">
        <f>IF(NOT(ISBLANK([1]BDD!I77)), ROUND(SUM(([1]BDD!G77*reduc1),FDP_CMD_KG), 2), "")</f>
        <v>2.58</v>
      </c>
      <c r="AC87" s="544">
        <f>IF(NOT(ISBLANK([1]BDD!J77)), ROUND(SUM(([1]BDD!G77*reduc2),FDP_CMD_KG), 2), "")</f>
        <v>2.39</v>
      </c>
      <c r="AD87" s="544" t="str">
        <f>IF(NOT(ISBLANK([1]BDD!K77)), ROUND(SUM(([1]BDD!G77*reduc3),FDP_CMD_KG), 2), "")</f>
        <v/>
      </c>
      <c r="AE87" s="544">
        <f>IF(NOT(ISBLANK([1]BDD!I77)), ROUND(SUM(([1]BDD!G77*reduc1),FDP_FACT_KG), 2), "")</f>
        <v>2.58</v>
      </c>
      <c r="AF87" s="544">
        <f>IF(NOT(ISBLANK([1]BDD!J77)), ROUND(SUM(([1]BDD!G77*reduc2),FDP_FACT_KG), 2), "")</f>
        <v>2.39</v>
      </c>
      <c r="AG87" s="544" t="str">
        <f>IF(NOT(ISBLANK([1]BDD!K77)), ROUND(SUM(([1]BDD!G77*reduc3),FDP_FACT_KG), 2), "")</f>
        <v/>
      </c>
      <c r="AH87" s="599" t="str">
        <f>[1]BDD!C77</f>
        <v>Grenade</v>
      </c>
      <c r="AI87" s="598">
        <f>SUM(AV87,AY87,BB87,BE87,BH87,BK87,BN87,BQ87,BT87,BW87,BZ87,CC87,CF87,CI87,CL87,CO87,CR87,CU87,CX87,DA87)</f>
        <v>0</v>
      </c>
      <c r="AJ87" s="545">
        <f>_xlfn.IFS($AD87&lt;&gt;"", $AD87,    $AC87&lt;&gt;"", $AC87,    $AB87&lt;&gt;"", $AB87,    TRUE, $Y87)</f>
        <v>2.39</v>
      </c>
      <c r="AK87" s="592">
        <f>$AI87*$AJ87</f>
        <v>0</v>
      </c>
      <c r="AL87" s="594"/>
      <c r="AM87" s="597"/>
      <c r="AN87" s="545">
        <f>_xlfn.IFS(AND(AM87&gt;=60,$AG87&lt;&gt;""), $AG87,    AND(AM87&gt;=30,$AF87&lt;&gt;""), $AF87,    AND(AM87&gt;=10,$AE87&lt;&gt;""), $AE87,    TRUE, $Z87)</f>
        <v>2.77</v>
      </c>
      <c r="AO87" s="596">
        <f>AM87*AN87</f>
        <v>0</v>
      </c>
      <c r="AP87" s="595"/>
      <c r="AQ87" s="595"/>
      <c r="AR87" s="594"/>
      <c r="AS87" s="593">
        <f>SUM(AW87,AZ87,BC87,BF87,BI87,BL87,BO87,BR87,BU87,BX87,CA87,CD87,CG87,CJ87,CM87,CP87,CS87,CV87,CY87,DB87)</f>
        <v>0</v>
      </c>
      <c r="AT87" s="545">
        <f>_xlfn.IFS(AND(AS87&gt;=60,$AG87&lt;&gt;""), $AG87,    AND(AS87&gt;=30,$AF87&lt;&gt;""), $AF87,    AND(AS87&gt;=10,$AE87&lt;&gt;""), $AE87,    TRUE, $Z87)</f>
        <v>2.77</v>
      </c>
      <c r="AU87" s="592">
        <f>$AS87*$AT87</f>
        <v>0</v>
      </c>
      <c r="AV87" s="591">
        <f>[1]COMMANDE!O85</f>
        <v>0</v>
      </c>
      <c r="AW87" s="586" t="str">
        <f>_xlfn.IFS(AND($AI87=$AM87,$AI87&gt;0,$AM87&gt;0,AV87&gt;0), AV87,     AND(NOT($AI87=$AM87),$AI87&gt;0,$AM87&gt;0,AV87&gt;0), ($AM87*AV87)/$AI87,     AND($AI87=0,$AM87&gt;0,$AQ87&gt;0), IF(INDEX(AV$12:AV$263,MATCH($AQ87,$AP$12:$AP$263,0))&gt;0,($AM87*INDEX(AV$12:AV$263,MATCH($AQ87,$AP$12:$AP$263,0)))/INDEX($AI$12:$AI$263,MATCH($AQ87,$AP$12:$AP$263,0)), "-"),     TRUE, "0")</f>
        <v>0</v>
      </c>
      <c r="AX87" s="588">
        <f>IF(AW$9&gt;0, IF(OR(AW87="",AW87="-"), 0, AW87*$AT87), AV87*$AJ87)</f>
        <v>0</v>
      </c>
      <c r="AY87" s="587">
        <f>[1]COMMANDE!Q85</f>
        <v>0</v>
      </c>
      <c r="AZ87" s="586" t="str">
        <f>_xlfn.IFS(AND($AI87=$AM87,$AI87&gt;0,$AM87&gt;0,AY87&gt;0), AY87,     AND(NOT($AI87=$AM87),$AI87&gt;0,$AM87&gt;0,AY87&gt;0), ($AM87*AY87)/$AI87,     AND($AI87=0,$AM87&gt;0,$AQ87&gt;0), IF(INDEX(AY$12:AY$263,MATCH($AQ87,$AP$12:$AP$263,0))&gt;0,($AM87*INDEX(AY$12:AY$263,MATCH($AQ87,$AP$12:$AP$263,0)))/INDEX($AI$12:$AI$263,MATCH($AQ87,$AP$12:$AP$263,0)), "-"),     TRUE, "0")</f>
        <v>0</v>
      </c>
      <c r="BA87" s="607">
        <f>IF(AZ$9&gt;0, IF(OR(AZ87="",AZ87="-"), 0, AZ87*$AT87), AY87*$AJ87)</f>
        <v>0</v>
      </c>
      <c r="BB87" s="589">
        <f>[1]COMMANDE!S85</f>
        <v>0</v>
      </c>
      <c r="BC87" s="586" t="str">
        <f>_xlfn.IFS(AND($AI87=$AM87,$AI87&gt;0,$AM87&gt;0,BB87&gt;0), BB87,     AND(NOT($AI87=$AM87),$AI87&gt;0,$AM87&gt;0,BB87&gt;0), ($AM87*BB87)/$AI87,     AND($AI87=0,$AM87&gt;0,$AQ87&gt;0), IF(INDEX(BB$12:BB$263,MATCH($AQ87,$AP$12:$AP$263,0))&gt;0,($AM87*INDEX(BB$12:BB$263,MATCH($AQ87,$AP$12:$AP$263,0)))/INDEX($AI$12:$AI$263,MATCH($AQ87,$AP$12:$AP$263,0)), "-"),     TRUE, "0")</f>
        <v>0</v>
      </c>
      <c r="BD87" s="588">
        <f>IF(BC$9&gt;0, IF(OR(BC87="",BC87="-"), 0, BC87*$AT87), BB87*$AJ87)</f>
        <v>0</v>
      </c>
      <c r="BE87" s="587">
        <f>[1]COMMANDE!U85</f>
        <v>0</v>
      </c>
      <c r="BF87" s="586" t="str">
        <f>_xlfn.IFS(AND($AI87=$AM87,$AI87&gt;0,$AM87&gt;0,BE87&gt;0), BE87,     AND(NOT($AI87=$AM87),$AI87&gt;0,$AM87&gt;0,BE87&gt;0), ($AM87*BE87)/$AI87,     AND($AI87=0,$AM87&gt;0,$AQ87&gt;0), IF(INDEX(BE$12:BE$263,MATCH($AQ87,$AP$12:$AP$263,0))&gt;0,($AM87*INDEX(BE$12:BE$263,MATCH($AQ87,$AP$12:$AP$263,0)))/INDEX($AI$12:$AI$263,MATCH($AQ87,$AP$12:$AP$263,0)), "-"),     TRUE, "0")</f>
        <v>0</v>
      </c>
      <c r="BG87" s="607">
        <f>IF(BF$9&gt;0, IF(OR(BF87="",BF87="-"), 0, BF87*$AT87), BE87*$AJ87)</f>
        <v>0</v>
      </c>
      <c r="BH87" s="589">
        <f>[1]COMMANDE!W85</f>
        <v>0</v>
      </c>
      <c r="BI87" s="586" t="str">
        <f>_xlfn.IFS(AND($AI87=$AM87,$AI87&gt;0,$AM87&gt;0,BH87&gt;0), BH87,     AND(NOT($AI87=$AM87),$AI87&gt;0,$AM87&gt;0,BH87&gt;0), ($AM87*BH87)/$AI87,     AND($AI87=0,$AM87&gt;0,$AQ87&gt;0), IF(INDEX(BH$12:BH$263,MATCH($AQ87,$AP$12:$AP$263,0))&gt;0,($AM87*INDEX(BH$12:BH$263,MATCH($AQ87,$AP$12:$AP$263,0)))/INDEX($AI$12:$AI$263,MATCH($AQ87,$AP$12:$AP$263,0)), "-"),     TRUE, "0")</f>
        <v>0</v>
      </c>
      <c r="BJ87" s="588">
        <f>IF(BI$9&gt;0, IF(OR(BI87="",BI87="-"), 0, BI87*$AT87), BH87*$AJ87)</f>
        <v>0</v>
      </c>
      <c r="BK87" s="587">
        <f>[1]COMMANDE!Y85</f>
        <v>0</v>
      </c>
      <c r="BL87" s="586" t="str">
        <f>_xlfn.IFS(AND($AI87=$AM87,$AI87&gt;0,$AM87&gt;0,BK87&gt;0), BK87,     AND(NOT($AI87=$AM87),$AI87&gt;0,$AM87&gt;0,BK87&gt;0), ($AM87*BK87)/$AI87,     AND($AI87=0,$AM87&gt;0,$AQ87&gt;0), IF(INDEX(BK$12:BK$263,MATCH($AQ87,$AP$12:$AP$263,0))&gt;0,($AM87*INDEX(BK$12:BK$263,MATCH($AQ87,$AP$12:$AP$263,0)))/INDEX($AI$12:$AI$263,MATCH($AQ87,$AP$12:$AP$263,0)), "-"),     TRUE, "0")</f>
        <v>0</v>
      </c>
      <c r="BM87" s="607">
        <f>IF(BL$9&gt;0, IF(OR(BL87="",BL87="-"), 0, BL87*$AT87), BK87*$AJ87)</f>
        <v>0</v>
      </c>
      <c r="BN87" s="589">
        <f>[1]COMMANDE!AA85</f>
        <v>0</v>
      </c>
      <c r="BO87" s="586" t="str">
        <f>_xlfn.IFS(AND($AI87=$AM87,$AI87&gt;0,$AM87&gt;0,BN87&gt;0), BN87,     AND(NOT($AI87=$AM87),$AI87&gt;0,$AM87&gt;0,BN87&gt;0), ($AM87*BN87)/$AI87,     AND($AI87=0,$AM87&gt;0,$AQ87&gt;0), IF(INDEX(BN$12:BN$263,MATCH($AQ87,$AP$12:$AP$263,0))&gt;0,($AM87*INDEX(BN$12:BN$263,MATCH($AQ87,$AP$12:$AP$263,0)))/INDEX($AI$12:$AI$263,MATCH($AQ87,$AP$12:$AP$263,0)), "-"),     TRUE, "0")</f>
        <v>0</v>
      </c>
      <c r="BP87" s="588">
        <f>IF(BO$9&gt;0, IF(OR(BO87="",BO87="-"), 0, BO87*$AT87), BN87*$AJ87)</f>
        <v>0</v>
      </c>
      <c r="BQ87" s="587">
        <f>[1]COMMANDE!AC85</f>
        <v>0</v>
      </c>
      <c r="BR87" s="586" t="str">
        <f>_xlfn.IFS(AND($AI87=$AM87,$AI87&gt;0,$AM87&gt;0,BQ87&gt;0), BQ87,     AND(NOT($AI87=$AM87),$AI87&gt;0,$AM87&gt;0,BQ87&gt;0), ($AM87*BQ87)/$AI87,     AND($AI87=0,$AM87&gt;0,$AQ87&gt;0), IF(INDEX(BQ$12:BQ$263,MATCH($AQ87,$AP$12:$AP$263,0))&gt;0,($AM87*INDEX(BQ$12:BQ$263,MATCH($AQ87,$AP$12:$AP$263,0)))/INDEX($AI$12:$AI$263,MATCH($AQ87,$AP$12:$AP$263,0)), "-"),     TRUE, "0")</f>
        <v>0</v>
      </c>
      <c r="BS87" s="607">
        <f>IF(BR$9&gt;0, IF(OR(BR87="",BR87="-"), 0, BR87*$AT87), BQ87*$AJ87)</f>
        <v>0</v>
      </c>
      <c r="BT87" s="589">
        <f>[1]COMMANDE!AE85</f>
        <v>0</v>
      </c>
      <c r="BU87" s="586" t="str">
        <f>_xlfn.IFS(AND($AI87=$AM87,$AI87&gt;0,$AM87&gt;0,BT87&gt;0), BT87,     AND(NOT($AI87=$AM87),$AI87&gt;0,$AM87&gt;0,BT87&gt;0), ($AM87*BT87)/$AI87,     AND($AI87=0,$AM87&gt;0,$AQ87&gt;0), IF(INDEX(BT$12:BT$263,MATCH($AQ87,$AP$12:$AP$263,0))&gt;0,($AM87*INDEX(BT$12:BT$263,MATCH($AQ87,$AP$12:$AP$263,0)))/INDEX($AI$12:$AI$263,MATCH($AQ87,$AP$12:$AP$263,0)), "-"),     TRUE, "0")</f>
        <v>0</v>
      </c>
      <c r="BV87" s="588">
        <f>IF(BU$9&gt;0, IF(OR(BU87="",BU87="-"), 0, BU87*$AT87), BT87*$AJ87)</f>
        <v>0</v>
      </c>
      <c r="BW87" s="587">
        <f>[1]COMMANDE!AG85</f>
        <v>0</v>
      </c>
      <c r="BX87" s="586" t="str">
        <f>_xlfn.IFS(AND($AI87=$AM87,$AI87&gt;0,$AM87&gt;0,BW87&gt;0), BW87,     AND(NOT($AI87=$AM87),$AI87&gt;0,$AM87&gt;0,BW87&gt;0), ($AM87*BW87)/$AI87,     AND($AI87=0,$AM87&gt;0,$AQ87&gt;0), IF(INDEX(BW$12:BW$263,MATCH($AQ87,$AP$12:$AP$263,0))&gt;0,($AM87*INDEX(BW$12:BW$263,MATCH($AQ87,$AP$12:$AP$263,0)))/INDEX($AI$12:$AI$263,MATCH($AQ87,$AP$12:$AP$263,0)), "-"),     TRUE, "0")</f>
        <v>0</v>
      </c>
      <c r="BY87" s="607">
        <f>IF(BX$9&gt;0, IF(OR(BX87="",BX87="-"), 0, BX87*$AT87), BW87*$AJ87)</f>
        <v>0</v>
      </c>
      <c r="BZ87" s="589">
        <f>[1]COMMANDE!AI85</f>
        <v>0</v>
      </c>
      <c r="CA87" s="586" t="str">
        <f>_xlfn.IFS(AND($AI87=$AM87,$AI87&gt;0,$AM87&gt;0,BZ87&gt;0), BZ87,     AND(NOT($AI87=$AM87),$AI87&gt;0,$AM87&gt;0,BZ87&gt;0), ($AM87*BZ87)/$AI87,     AND($AI87=0,$AM87&gt;0,$AQ87&gt;0), IF(INDEX(BZ$12:BZ$263,MATCH($AQ87,$AP$12:$AP$263,0))&gt;0,($AM87*INDEX(BZ$12:BZ$263,MATCH($AQ87,$AP$12:$AP$263,0)))/INDEX($AI$12:$AI$263,MATCH($AQ87,$AP$12:$AP$263,0)), "-"),     TRUE, "0")</f>
        <v>0</v>
      </c>
      <c r="CB87" s="588">
        <f>IF(CA$9&gt;0, IF(OR(CA87="",CA87="-"), 0, CA87*$AT87), BZ87*$AJ87)</f>
        <v>0</v>
      </c>
      <c r="CC87" s="587">
        <f>[1]COMMANDE!AK85</f>
        <v>0</v>
      </c>
      <c r="CD87" s="586" t="str">
        <f>_xlfn.IFS(AND($AI87=$AM87,$AI87&gt;0,$AM87&gt;0,CC87&gt;0), CC87,     AND(NOT($AI87=$AM87),$AI87&gt;0,$AM87&gt;0,CC87&gt;0), ($AM87*CC87)/$AI87,     AND($AI87=0,$AM87&gt;0,$AQ87&gt;0), IF(INDEX(CC$12:CC$263,MATCH($AQ87,$AP$12:$AP$263,0))&gt;0,($AM87*INDEX(CC$12:CC$263,MATCH($AQ87,$AP$12:$AP$263,0)))/INDEX($AI$12:$AI$263,MATCH($AQ87,$AP$12:$AP$263,0)), "-"),     TRUE, "0")</f>
        <v>0</v>
      </c>
      <c r="CE87" s="607">
        <f>IF(CD$9&gt;0, IF(OR(CD87="",CD87="-"), 0, CD87*$AT87), CC87*$AJ87)</f>
        <v>0</v>
      </c>
      <c r="CF87" s="589">
        <f>[1]COMMANDE!AM85</f>
        <v>0</v>
      </c>
      <c r="CG87" s="586" t="str">
        <f>_xlfn.IFS(AND($AI87=$AM87,$AI87&gt;0,$AM87&gt;0,CF87&gt;0), CF87,     AND(NOT($AI87=$AM87),$AI87&gt;0,$AM87&gt;0,CF87&gt;0), ($AM87*CF87)/$AI87,     AND($AI87=0,$AM87&gt;0,$AQ87&gt;0), IF(INDEX(CF$12:CF$263,MATCH($AQ87,$AP$12:$AP$263,0))&gt;0,($AM87*INDEX(CF$12:CF$263,MATCH($AQ87,$AP$12:$AP$263,0)))/INDEX($AI$12:$AI$263,MATCH($AQ87,$AP$12:$AP$263,0)), "-"),     TRUE, "0")</f>
        <v>0</v>
      </c>
      <c r="CH87" s="588">
        <f>IF(CG$9&gt;0, IF(OR(CG87="",CG87="-"), 0, CG87*$AT87), CF87*$AJ87)</f>
        <v>0</v>
      </c>
      <c r="CI87" s="587">
        <f>[1]COMMANDE!AO85</f>
        <v>0</v>
      </c>
      <c r="CJ87" s="586" t="str">
        <f>_xlfn.IFS(AND($AI87=$AM87,$AI87&gt;0,$AM87&gt;0,CI87&gt;0), CI87,     AND(NOT($AI87=$AM87),$AI87&gt;0,$AM87&gt;0,CI87&gt;0), ($AM87*CI87)/$AI87,     AND($AI87=0,$AM87&gt;0,$AQ87&gt;0), IF(INDEX(CI$12:CI$263,MATCH($AQ87,$AP$12:$AP$263,0))&gt;0,($AM87*INDEX(CI$12:CI$263,MATCH($AQ87,$AP$12:$AP$263,0)))/INDEX($AI$12:$AI$263,MATCH($AQ87,$AP$12:$AP$263,0)), "-"),     TRUE, "0")</f>
        <v>0</v>
      </c>
      <c r="CK87" s="607">
        <f>IF(CJ$9&gt;0, IF(OR(CJ87="",CJ87="-"), 0, CJ87*$AT87), CI87*$AJ87)</f>
        <v>0</v>
      </c>
      <c r="CL87" s="589">
        <f>[1]COMMANDE!AQ85</f>
        <v>0</v>
      </c>
      <c r="CM87" s="586" t="str">
        <f>_xlfn.IFS(AND($AI87=$AM87,$AI87&gt;0,$AM87&gt;0,CL87&gt;0), CL87,     AND(NOT($AI87=$AM87),$AI87&gt;0,$AM87&gt;0,CL87&gt;0), ($AM87*CL87)/$AI87,     AND($AI87=0,$AM87&gt;0,$AQ87&gt;0), IF(INDEX(CL$12:CL$263,MATCH($AQ87,$AP$12:$AP$263,0))&gt;0,($AM87*INDEX(CL$12:CL$263,MATCH($AQ87,$AP$12:$AP$263,0)))/INDEX($AI$12:$AI$263,MATCH($AQ87,$AP$12:$AP$263,0)), "-"),     TRUE, "0")</f>
        <v>0</v>
      </c>
      <c r="CN87" s="588">
        <f>IF(CM$9&gt;0, IF(OR(CM87="",CM87="-"), 0, CM87*$AT87), CL87*$AJ87)</f>
        <v>0</v>
      </c>
      <c r="CO87" s="587">
        <f>[1]COMMANDE!AS85</f>
        <v>0</v>
      </c>
      <c r="CP87" s="586" t="str">
        <f>_xlfn.IFS(AND($AI87=$AM87,$AI87&gt;0,$AM87&gt;0,CO87&gt;0), CO87,     AND(NOT($AI87=$AM87),$AI87&gt;0,$AM87&gt;0,CO87&gt;0), ($AM87*CO87)/$AI87,     AND($AI87=0,$AM87&gt;0,$AQ87&gt;0), IF(INDEX(CO$12:CO$263,MATCH($AQ87,$AP$12:$AP$263,0))&gt;0,($AM87*INDEX(CO$12:CO$263,MATCH($AQ87,$AP$12:$AP$263,0)))/INDEX($AI$12:$AI$263,MATCH($AQ87,$AP$12:$AP$263,0)), "-"),     TRUE, "0")</f>
        <v>0</v>
      </c>
      <c r="CQ87" s="607">
        <f>IF(CP$9&gt;0, IF(OR(CP87="",CP87="-"), 0, CP87*$AT87), CO87*$AJ87)</f>
        <v>0</v>
      </c>
      <c r="CR87" s="589">
        <f>[1]COMMANDE!AU85</f>
        <v>0</v>
      </c>
      <c r="CS87" s="586" t="str">
        <f>_xlfn.IFS(AND($AI87=$AM87,$AI87&gt;0,$AM87&gt;0,CR87&gt;0), CR87,     AND(NOT($AI87=$AM87),$AI87&gt;0,$AM87&gt;0,CR87&gt;0), ($AM87*CR87)/$AI87,     AND($AI87=0,$AM87&gt;0,$AQ87&gt;0), IF(INDEX(CR$12:CR$263,MATCH($AQ87,$AP$12:$AP$263,0))&gt;0,($AM87*INDEX(CR$12:CR$263,MATCH($AQ87,$AP$12:$AP$263,0)))/INDEX($AI$12:$AI$263,MATCH($AQ87,$AP$12:$AP$263,0)), "-"),     TRUE, "0")</f>
        <v>0</v>
      </c>
      <c r="CT87" s="588">
        <f>IF(CS$9&gt;0, IF(OR(CS87="",CS87="-"), 0, CS87*$AT87), CR87*$AJ87)</f>
        <v>0</v>
      </c>
      <c r="CU87" s="587">
        <f>[1]COMMANDE!AW85</f>
        <v>0</v>
      </c>
      <c r="CV87" s="586" t="str">
        <f>_xlfn.IFS(AND($AI87=$AM87,$AI87&gt;0,$AM87&gt;0,CU87&gt;0), CU87,     AND(NOT($AI87=$AM87),$AI87&gt;0,$AM87&gt;0,CU87&gt;0), ($AM87*CU87)/$AI87,     AND($AI87=0,$AM87&gt;0,$AQ87&gt;0), IF(INDEX(CU$12:CU$263,MATCH($AQ87,$AP$12:$AP$263,0))&gt;0,($AM87*INDEX(CU$12:CU$263,MATCH($AQ87,$AP$12:$AP$263,0)))/INDEX($AI$12:$AI$263,MATCH($AQ87,$AP$12:$AP$263,0)), "-"),     TRUE, "0")</f>
        <v>0</v>
      </c>
      <c r="CW87" s="607">
        <f>IF(CV$9&gt;0, IF(OR(CV87="",CV87="-"), 0, CV87*$AT87), CU87*$AJ87)</f>
        <v>0</v>
      </c>
      <c r="CX87" s="589">
        <f>[1]COMMANDE!AY85</f>
        <v>0</v>
      </c>
      <c r="CY87" s="586" t="str">
        <f>_xlfn.IFS(AND($AI87=$AM87,$AI87&gt;0,$AM87&gt;0,CX87&gt;0), CX87,     AND(NOT($AI87=$AM87),$AI87&gt;0,$AM87&gt;0,CX87&gt;0), ($AM87*CX87)/$AI87,     AND($AI87=0,$AM87&gt;0,$AQ87&gt;0), IF(INDEX(CX$12:CX$263,MATCH($AQ87,$AP$12:$AP$263,0))&gt;0,($AM87*INDEX(CX$12:CX$263,MATCH($AQ87,$AP$12:$AP$263,0)))/INDEX($AI$12:$AI$263,MATCH($AQ87,$AP$12:$AP$263,0)), "-"),     TRUE, "0")</f>
        <v>0</v>
      </c>
      <c r="CZ87" s="588">
        <f>IF(CY$9&gt;0, IF(OR(CY87="",CY87="-"), 0, CY87*$AT87), CX87*$AJ87)</f>
        <v>0</v>
      </c>
      <c r="DA87" s="587">
        <f>[1]COMMANDE!BA85</f>
        <v>0</v>
      </c>
      <c r="DB87" s="586" t="str">
        <f>_xlfn.IFS(AND($AI87=$AM87,$AI87&gt;0,$AM87&gt;0,DA87&gt;0), DA87,     AND(NOT($AI87=$AM87),$AI87&gt;0,$AM87&gt;0,DA87&gt;0), ($AM87*DA87)/$AI87,     AND($AI87=0,$AM87&gt;0,$AQ87&gt;0), IF(INDEX(DA$12:DA$263,MATCH($AQ87,$AP$12:$AP$263,0))&gt;0,($AM87*INDEX(DA$12:DA$263,MATCH($AQ87,$AP$12:$AP$263,0)))/INDEX($AI$12:$AI$263,MATCH($AQ87,$AP$12:$AP$263,0)), "-"),     TRUE, "0")</f>
        <v>0</v>
      </c>
      <c r="DC87" s="606">
        <f>IF(DB$9&gt;0, IF(OR(DB87="",DB87="-"), 0, DB87*$AT87), DA87*$AJ87)</f>
        <v>0</v>
      </c>
      <c r="DD87" s="584"/>
      <c r="DE87" s="583"/>
    </row>
    <row r="88" spans="1:109" ht="39.950000000000003" customHeight="1">
      <c r="A88" s="604">
        <f>IF(OR($AV88&gt;0, $AX88&gt;0), 1, 0)</f>
        <v>1</v>
      </c>
      <c r="B88" s="604">
        <f>IF(OR($AY88&gt;0, $BA88&gt;0), 1, 0)</f>
        <v>0</v>
      </c>
      <c r="C88" s="604">
        <f>IF(OR($BB88&gt;0, $BD88&gt;0), 1, 0)</f>
        <v>1</v>
      </c>
      <c r="D88" s="604">
        <f>IF(OR($BE88&gt;0, $BG88&gt;0), 1, 0)</f>
        <v>1</v>
      </c>
      <c r="E88" s="604">
        <f>IF(OR($BH88&gt;0, $BJ88&gt;0), 1, 0)</f>
        <v>0</v>
      </c>
      <c r="F88" s="604">
        <f>IF(OR($BK88&gt;0, $BM88&gt;0), 1, 0)</f>
        <v>0</v>
      </c>
      <c r="G88" s="604">
        <f>IF(OR($BN88&gt;0, $BP88&gt;0), 1, 0)</f>
        <v>0</v>
      </c>
      <c r="H88" s="604">
        <f>IF(OR($BQ88&gt;0, $BS88&gt;0), 1, 0)</f>
        <v>0</v>
      </c>
      <c r="I88" s="604">
        <f>IF(OR($BT88&gt;0, $BV88&gt;0), 1, 0)</f>
        <v>0</v>
      </c>
      <c r="J88" s="604">
        <f>IF(OR($BW88&gt;0, $BY88&gt;0), 1, 0)</f>
        <v>0</v>
      </c>
      <c r="K88" s="604">
        <f>IF(OR($BZ88&gt;0, $CB88&gt;0), 1, 0)</f>
        <v>0</v>
      </c>
      <c r="L88" s="604">
        <f>IF(OR($CC88&gt;0, $CE88&gt;0), 1, 0)</f>
        <v>0</v>
      </c>
      <c r="M88" s="604">
        <f>IF(OR($CF88&gt;0, $CH88&gt;0), 1, 0)</f>
        <v>0</v>
      </c>
      <c r="N88" s="604">
        <f>IF(OR($CI88&gt;0, $CK88&gt;0), 1, 0)</f>
        <v>0</v>
      </c>
      <c r="O88" s="604">
        <f>IF(OR($CL88&gt;0, $CN88&gt;0), 1, 0)</f>
        <v>0</v>
      </c>
      <c r="P88" s="604">
        <f>IF(OR($CO88&gt;0, $CQ88&gt;0), 1, 0)</f>
        <v>0</v>
      </c>
      <c r="Q88" s="604">
        <f>IF(OR($CR88&gt;0, $CT88&gt;0), 1, 0)</f>
        <v>0</v>
      </c>
      <c r="R88" s="604">
        <f>IF(OR($CU88&gt;0, $CW88&gt;0), 1, 0)</f>
        <v>0</v>
      </c>
      <c r="S88" s="604">
        <f>IF(OR($CX88&gt;0, $CZ88&gt;0), 1, 0)</f>
        <v>0</v>
      </c>
      <c r="T88" s="604">
        <f>IF(OR($DA88&gt;0, $DC88&gt;0), 1, 0)</f>
        <v>0</v>
      </c>
      <c r="U88" s="603">
        <f>IF(OR($AI88&gt;0,$AM88&gt;0,$AS88&gt;0), 1, 0)</f>
        <v>1</v>
      </c>
      <c r="V88" s="602">
        <f>[1]BDD!A78</f>
        <v>3924</v>
      </c>
      <c r="W88" s="601" t="str">
        <f>[1]BDD!B78</f>
        <v>Concombre mini gourmet</v>
      </c>
      <c r="X88" s="600" t="str">
        <f>IF([1]BDD!F78=0, "", [1]BDD!F78)</f>
        <v>❤️</v>
      </c>
      <c r="Y88" s="542">
        <f>ROUND([1]BDD!G78+FDP_CMD_KG, 2)</f>
        <v>3.46</v>
      </c>
      <c r="Z88" s="542">
        <f>ROUND([1]BDD!G78+FDP_FACT_KG, 2)</f>
        <v>3.46</v>
      </c>
      <c r="AA88" s="543" t="str">
        <f>[1]BDD!H78</f>
        <v>kg</v>
      </c>
      <c r="AB88" s="544">
        <f>IF(NOT(ISBLANK([1]BDD!I78)), ROUND(SUM(([1]BDD!G78*reduc1),FDP_CMD_KG), 2), "")</f>
        <v>3.2</v>
      </c>
      <c r="AC88" s="544">
        <f>IF(NOT(ISBLANK([1]BDD!J78)), ROUND(SUM(([1]BDD!G78*reduc2),FDP_CMD_KG), 2), "")</f>
        <v>2.95</v>
      </c>
      <c r="AD88" s="544" t="str">
        <f>IF(NOT(ISBLANK([1]BDD!K78)), ROUND(SUM(([1]BDD!G78*reduc3),FDP_CMD_KG), 2), "")</f>
        <v/>
      </c>
      <c r="AE88" s="544">
        <f>IF(NOT(ISBLANK([1]BDD!I78)), ROUND(SUM(([1]BDD!G78*reduc1),FDP_FACT_KG), 2), "")</f>
        <v>3.2</v>
      </c>
      <c r="AF88" s="544">
        <f>IF(NOT(ISBLANK([1]BDD!J78)), ROUND(SUM(([1]BDD!G78*reduc2),FDP_FACT_KG), 2), "")</f>
        <v>2.94</v>
      </c>
      <c r="AG88" s="544" t="str">
        <f>IF(NOT(ISBLANK([1]BDD!K78)), ROUND(SUM(([1]BDD!G78*reduc3),FDP_FACT_KG), 2), "")</f>
        <v/>
      </c>
      <c r="AH88" s="599" t="str">
        <f>[1]BDD!C78</f>
        <v>Grenade</v>
      </c>
      <c r="AI88" s="598">
        <f>SUM(AV88,AY88,BB88,BE88,BH88,BK88,BN88,BQ88,BT88,BW88,BZ88,CC88,CF88,CI88,CL88,CO88,CR88,CU88,CX88,DA88)</f>
        <v>5</v>
      </c>
      <c r="AJ88" s="545">
        <f>_xlfn.IFS($AD88&lt;&gt;"", $AD88,    $AC88&lt;&gt;"", $AC88,    $AB88&lt;&gt;"", $AB88,    TRUE, $Y88)</f>
        <v>2.95</v>
      </c>
      <c r="AK88" s="592">
        <f>$AI88*$AJ88</f>
        <v>14.75</v>
      </c>
      <c r="AL88" s="594"/>
      <c r="AM88" s="597">
        <v>5.0199999999999996</v>
      </c>
      <c r="AN88" s="545">
        <f>_xlfn.IFS(AND(AM88&gt;=60,$AG88&lt;&gt;""), $AG88,    AND(AM88&gt;=30,$AF88&lt;&gt;""), $AF88,    AND(AM88&gt;=10,$AE88&lt;&gt;""), $AE88,    TRUE, $Z88)</f>
        <v>3.46</v>
      </c>
      <c r="AO88" s="596">
        <f>AM88*AN88</f>
        <v>17.369199999999999</v>
      </c>
      <c r="AP88" s="595"/>
      <c r="AQ88" s="595"/>
      <c r="AR88" s="594"/>
      <c r="AS88" s="593">
        <f>SUM(AW88,AZ88,BC88,BF88,BI88,BL88,BO88,BR88,BU88,BX88,CA88,CD88,CG88,CJ88,CM88,CP88,CS88,CV88,CY88,DB88)</f>
        <v>5.0199999999999996</v>
      </c>
      <c r="AT88" s="545">
        <f>_xlfn.IFS(AND(AS88&gt;=60,$AG88&lt;&gt;""), $AG88,    AND(AS88&gt;=30,$AF88&lt;&gt;""), $AF88,    AND(AS88&gt;=10,$AE88&lt;&gt;""), $AE88,    TRUE, $Z88)</f>
        <v>3.46</v>
      </c>
      <c r="AU88" s="592">
        <f>$AS88*$AT88</f>
        <v>17.369199999999999</v>
      </c>
      <c r="AV88" s="591">
        <f>[1]COMMANDE!O86</f>
        <v>3</v>
      </c>
      <c r="AW88" s="586">
        <f>_xlfn.IFS(AND($AI88=$AM88,$AI88&gt;0,$AM88&gt;0,AV88&gt;0), AV88,     AND(NOT($AI88=$AM88),$AI88&gt;0,$AM88&gt;0,AV88&gt;0), ($AM88*AV88)/$AI88,     AND($AI88=0,$AM88&gt;0,$AQ88&gt;0), IF(INDEX(AV$12:AV$263,MATCH($AQ88,$AP$12:$AP$263,0))&gt;0,($AM88*INDEX(AV$12:AV$263,MATCH($AQ88,$AP$12:$AP$263,0)))/INDEX($AI$12:$AI$263,MATCH($AQ88,$AP$12:$AP$263,0)), "-"),     TRUE, "0")</f>
        <v>3.0119999999999996</v>
      </c>
      <c r="AX88" s="588">
        <f>IF(AW$9&gt;0, IF(OR(AW88="",AW88="-"), 0, AW88*$AT88), AV88*$AJ88)</f>
        <v>10.421519999999999</v>
      </c>
      <c r="AY88" s="587">
        <f>[1]COMMANDE!Q86</f>
        <v>0</v>
      </c>
      <c r="AZ88" s="586" t="str">
        <f>_xlfn.IFS(AND($AI88=$AM88,$AI88&gt;0,$AM88&gt;0,AY88&gt;0), AY88,     AND(NOT($AI88=$AM88),$AI88&gt;0,$AM88&gt;0,AY88&gt;0), ($AM88*AY88)/$AI88,     AND($AI88=0,$AM88&gt;0,$AQ88&gt;0), IF(INDEX(AY$12:AY$263,MATCH($AQ88,$AP$12:$AP$263,0))&gt;0,($AM88*INDEX(AY$12:AY$263,MATCH($AQ88,$AP$12:$AP$263,0)))/INDEX($AI$12:$AI$263,MATCH($AQ88,$AP$12:$AP$263,0)), "-"),     TRUE, "0")</f>
        <v>0</v>
      </c>
      <c r="BA88" s="607">
        <f>IF(AZ$9&gt;0, IF(OR(AZ88="",AZ88="-"), 0, AZ88*$AT88), AY88*$AJ88)</f>
        <v>0</v>
      </c>
      <c r="BB88" s="589">
        <f>[1]COMMANDE!S86</f>
        <v>1</v>
      </c>
      <c r="BC88" s="586">
        <f>_xlfn.IFS(AND($AI88=$AM88,$AI88&gt;0,$AM88&gt;0,BB88&gt;0), BB88,     AND(NOT($AI88=$AM88),$AI88&gt;0,$AM88&gt;0,BB88&gt;0), ($AM88*BB88)/$AI88,     AND($AI88=0,$AM88&gt;0,$AQ88&gt;0), IF(INDEX(BB$12:BB$263,MATCH($AQ88,$AP$12:$AP$263,0))&gt;0,($AM88*INDEX(BB$12:BB$263,MATCH($AQ88,$AP$12:$AP$263,0)))/INDEX($AI$12:$AI$263,MATCH($AQ88,$AP$12:$AP$263,0)), "-"),     TRUE, "0")</f>
        <v>1.004</v>
      </c>
      <c r="BD88" s="588">
        <f>IF(BC$9&gt;0, IF(OR(BC88="",BC88="-"), 0, BC88*$AT88), BB88*$AJ88)</f>
        <v>3.47384</v>
      </c>
      <c r="BE88" s="587">
        <f>[1]COMMANDE!U86</f>
        <v>1</v>
      </c>
      <c r="BF88" s="586">
        <f>_xlfn.IFS(AND($AI88=$AM88,$AI88&gt;0,$AM88&gt;0,BE88&gt;0), BE88,     AND(NOT($AI88=$AM88),$AI88&gt;0,$AM88&gt;0,BE88&gt;0), ($AM88*BE88)/$AI88,     AND($AI88=0,$AM88&gt;0,$AQ88&gt;0), IF(INDEX(BE$12:BE$263,MATCH($AQ88,$AP$12:$AP$263,0))&gt;0,($AM88*INDEX(BE$12:BE$263,MATCH($AQ88,$AP$12:$AP$263,0)))/INDEX($AI$12:$AI$263,MATCH($AQ88,$AP$12:$AP$263,0)), "-"),     TRUE, "0")</f>
        <v>1.004</v>
      </c>
      <c r="BG88" s="607">
        <f>IF(BF$9&gt;0, IF(OR(BF88="",BF88="-"), 0, BF88*$AT88), BE88*$AJ88)</f>
        <v>3.47384</v>
      </c>
      <c r="BH88" s="589">
        <f>[1]COMMANDE!W86</f>
        <v>0</v>
      </c>
      <c r="BI88" s="586" t="str">
        <f>_xlfn.IFS(AND($AI88=$AM88,$AI88&gt;0,$AM88&gt;0,BH88&gt;0), BH88,     AND(NOT($AI88=$AM88),$AI88&gt;0,$AM88&gt;0,BH88&gt;0), ($AM88*BH88)/$AI88,     AND($AI88=0,$AM88&gt;0,$AQ88&gt;0), IF(INDEX(BH$12:BH$263,MATCH($AQ88,$AP$12:$AP$263,0))&gt;0,($AM88*INDEX(BH$12:BH$263,MATCH($AQ88,$AP$12:$AP$263,0)))/INDEX($AI$12:$AI$263,MATCH($AQ88,$AP$12:$AP$263,0)), "-"),     TRUE, "0")</f>
        <v>0</v>
      </c>
      <c r="BJ88" s="588">
        <f>IF(BI$9&gt;0, IF(OR(BI88="",BI88="-"), 0, BI88*$AT88), BH88*$AJ88)</f>
        <v>0</v>
      </c>
      <c r="BK88" s="587">
        <f>[1]COMMANDE!Y86</f>
        <v>0</v>
      </c>
      <c r="BL88" s="586" t="str">
        <f>_xlfn.IFS(AND($AI88=$AM88,$AI88&gt;0,$AM88&gt;0,BK88&gt;0), BK88,     AND(NOT($AI88=$AM88),$AI88&gt;0,$AM88&gt;0,BK88&gt;0), ($AM88*BK88)/$AI88,     AND($AI88=0,$AM88&gt;0,$AQ88&gt;0), IF(INDEX(BK$12:BK$263,MATCH($AQ88,$AP$12:$AP$263,0))&gt;0,($AM88*INDEX(BK$12:BK$263,MATCH($AQ88,$AP$12:$AP$263,0)))/INDEX($AI$12:$AI$263,MATCH($AQ88,$AP$12:$AP$263,0)), "-"),     TRUE, "0")</f>
        <v>0</v>
      </c>
      <c r="BM88" s="607">
        <f>IF(BL$9&gt;0, IF(OR(BL88="",BL88="-"), 0, BL88*$AT88), BK88*$AJ88)</f>
        <v>0</v>
      </c>
      <c r="BN88" s="589">
        <f>[1]COMMANDE!AA86</f>
        <v>0</v>
      </c>
      <c r="BO88" s="586" t="str">
        <f>_xlfn.IFS(AND($AI88=$AM88,$AI88&gt;0,$AM88&gt;0,BN88&gt;0), BN88,     AND(NOT($AI88=$AM88),$AI88&gt;0,$AM88&gt;0,BN88&gt;0), ($AM88*BN88)/$AI88,     AND($AI88=0,$AM88&gt;0,$AQ88&gt;0), IF(INDEX(BN$12:BN$263,MATCH($AQ88,$AP$12:$AP$263,0))&gt;0,($AM88*INDEX(BN$12:BN$263,MATCH($AQ88,$AP$12:$AP$263,0)))/INDEX($AI$12:$AI$263,MATCH($AQ88,$AP$12:$AP$263,0)), "-"),     TRUE, "0")</f>
        <v>0</v>
      </c>
      <c r="BP88" s="588">
        <f>IF(BO$9&gt;0, IF(OR(BO88="",BO88="-"), 0, BO88*$AT88), BN88*$AJ88)</f>
        <v>0</v>
      </c>
      <c r="BQ88" s="587">
        <f>[1]COMMANDE!AC86</f>
        <v>0</v>
      </c>
      <c r="BR88" s="586" t="str">
        <f>_xlfn.IFS(AND($AI88=$AM88,$AI88&gt;0,$AM88&gt;0,BQ88&gt;0), BQ88,     AND(NOT($AI88=$AM88),$AI88&gt;0,$AM88&gt;0,BQ88&gt;0), ($AM88*BQ88)/$AI88,     AND($AI88=0,$AM88&gt;0,$AQ88&gt;0), IF(INDEX(BQ$12:BQ$263,MATCH($AQ88,$AP$12:$AP$263,0))&gt;0,($AM88*INDEX(BQ$12:BQ$263,MATCH($AQ88,$AP$12:$AP$263,0)))/INDEX($AI$12:$AI$263,MATCH($AQ88,$AP$12:$AP$263,0)), "-"),     TRUE, "0")</f>
        <v>0</v>
      </c>
      <c r="BS88" s="607">
        <f>IF(BR$9&gt;0, IF(OR(BR88="",BR88="-"), 0, BR88*$AT88), BQ88*$AJ88)</f>
        <v>0</v>
      </c>
      <c r="BT88" s="589">
        <f>[1]COMMANDE!AE86</f>
        <v>0</v>
      </c>
      <c r="BU88" s="586" t="str">
        <f>_xlfn.IFS(AND($AI88=$AM88,$AI88&gt;0,$AM88&gt;0,BT88&gt;0), BT88,     AND(NOT($AI88=$AM88),$AI88&gt;0,$AM88&gt;0,BT88&gt;0), ($AM88*BT88)/$AI88,     AND($AI88=0,$AM88&gt;0,$AQ88&gt;0), IF(INDEX(BT$12:BT$263,MATCH($AQ88,$AP$12:$AP$263,0))&gt;0,($AM88*INDEX(BT$12:BT$263,MATCH($AQ88,$AP$12:$AP$263,0)))/INDEX($AI$12:$AI$263,MATCH($AQ88,$AP$12:$AP$263,0)), "-"),     TRUE, "0")</f>
        <v>0</v>
      </c>
      <c r="BV88" s="588">
        <f>IF(BU$9&gt;0, IF(OR(BU88="",BU88="-"), 0, BU88*$AT88), BT88*$AJ88)</f>
        <v>0</v>
      </c>
      <c r="BW88" s="587">
        <f>[1]COMMANDE!AG86</f>
        <v>0</v>
      </c>
      <c r="BX88" s="586" t="str">
        <f>_xlfn.IFS(AND($AI88=$AM88,$AI88&gt;0,$AM88&gt;0,BW88&gt;0), BW88,     AND(NOT($AI88=$AM88),$AI88&gt;0,$AM88&gt;0,BW88&gt;0), ($AM88*BW88)/$AI88,     AND($AI88=0,$AM88&gt;0,$AQ88&gt;0), IF(INDEX(BW$12:BW$263,MATCH($AQ88,$AP$12:$AP$263,0))&gt;0,($AM88*INDEX(BW$12:BW$263,MATCH($AQ88,$AP$12:$AP$263,0)))/INDEX($AI$12:$AI$263,MATCH($AQ88,$AP$12:$AP$263,0)), "-"),     TRUE, "0")</f>
        <v>0</v>
      </c>
      <c r="BY88" s="607">
        <f>IF(BX$9&gt;0, IF(OR(BX88="",BX88="-"), 0, BX88*$AT88), BW88*$AJ88)</f>
        <v>0</v>
      </c>
      <c r="BZ88" s="589">
        <f>[1]COMMANDE!AI86</f>
        <v>0</v>
      </c>
      <c r="CA88" s="586" t="str">
        <f>_xlfn.IFS(AND($AI88=$AM88,$AI88&gt;0,$AM88&gt;0,BZ88&gt;0), BZ88,     AND(NOT($AI88=$AM88),$AI88&gt;0,$AM88&gt;0,BZ88&gt;0), ($AM88*BZ88)/$AI88,     AND($AI88=0,$AM88&gt;0,$AQ88&gt;0), IF(INDEX(BZ$12:BZ$263,MATCH($AQ88,$AP$12:$AP$263,0))&gt;0,($AM88*INDEX(BZ$12:BZ$263,MATCH($AQ88,$AP$12:$AP$263,0)))/INDEX($AI$12:$AI$263,MATCH($AQ88,$AP$12:$AP$263,0)), "-"),     TRUE, "0")</f>
        <v>0</v>
      </c>
      <c r="CB88" s="588">
        <f>IF(CA$9&gt;0, IF(OR(CA88="",CA88="-"), 0, CA88*$AT88), BZ88*$AJ88)</f>
        <v>0</v>
      </c>
      <c r="CC88" s="587">
        <f>[1]COMMANDE!AK86</f>
        <v>0</v>
      </c>
      <c r="CD88" s="586" t="str">
        <f>_xlfn.IFS(AND($AI88=$AM88,$AI88&gt;0,$AM88&gt;0,CC88&gt;0), CC88,     AND(NOT($AI88=$AM88),$AI88&gt;0,$AM88&gt;0,CC88&gt;0), ($AM88*CC88)/$AI88,     AND($AI88=0,$AM88&gt;0,$AQ88&gt;0), IF(INDEX(CC$12:CC$263,MATCH($AQ88,$AP$12:$AP$263,0))&gt;0,($AM88*INDEX(CC$12:CC$263,MATCH($AQ88,$AP$12:$AP$263,0)))/INDEX($AI$12:$AI$263,MATCH($AQ88,$AP$12:$AP$263,0)), "-"),     TRUE, "0")</f>
        <v>0</v>
      </c>
      <c r="CE88" s="607">
        <f>IF(CD$9&gt;0, IF(OR(CD88="",CD88="-"), 0, CD88*$AT88), CC88*$AJ88)</f>
        <v>0</v>
      </c>
      <c r="CF88" s="589">
        <f>[1]COMMANDE!AM86</f>
        <v>0</v>
      </c>
      <c r="CG88" s="586" t="str">
        <f>_xlfn.IFS(AND($AI88=$AM88,$AI88&gt;0,$AM88&gt;0,CF88&gt;0), CF88,     AND(NOT($AI88=$AM88),$AI88&gt;0,$AM88&gt;0,CF88&gt;0), ($AM88*CF88)/$AI88,     AND($AI88=0,$AM88&gt;0,$AQ88&gt;0), IF(INDEX(CF$12:CF$263,MATCH($AQ88,$AP$12:$AP$263,0))&gt;0,($AM88*INDEX(CF$12:CF$263,MATCH($AQ88,$AP$12:$AP$263,0)))/INDEX($AI$12:$AI$263,MATCH($AQ88,$AP$12:$AP$263,0)), "-"),     TRUE, "0")</f>
        <v>0</v>
      </c>
      <c r="CH88" s="588">
        <f>IF(CG$9&gt;0, IF(OR(CG88="",CG88="-"), 0, CG88*$AT88), CF88*$AJ88)</f>
        <v>0</v>
      </c>
      <c r="CI88" s="587">
        <f>[1]COMMANDE!AO86</f>
        <v>0</v>
      </c>
      <c r="CJ88" s="586" t="str">
        <f>_xlfn.IFS(AND($AI88=$AM88,$AI88&gt;0,$AM88&gt;0,CI88&gt;0), CI88,     AND(NOT($AI88=$AM88),$AI88&gt;0,$AM88&gt;0,CI88&gt;0), ($AM88*CI88)/$AI88,     AND($AI88=0,$AM88&gt;0,$AQ88&gt;0), IF(INDEX(CI$12:CI$263,MATCH($AQ88,$AP$12:$AP$263,0))&gt;0,($AM88*INDEX(CI$12:CI$263,MATCH($AQ88,$AP$12:$AP$263,0)))/INDEX($AI$12:$AI$263,MATCH($AQ88,$AP$12:$AP$263,0)), "-"),     TRUE, "0")</f>
        <v>0</v>
      </c>
      <c r="CK88" s="607">
        <f>IF(CJ$9&gt;0, IF(OR(CJ88="",CJ88="-"), 0, CJ88*$AT88), CI88*$AJ88)</f>
        <v>0</v>
      </c>
      <c r="CL88" s="589">
        <f>[1]COMMANDE!AQ86</f>
        <v>0</v>
      </c>
      <c r="CM88" s="586" t="str">
        <f>_xlfn.IFS(AND($AI88=$AM88,$AI88&gt;0,$AM88&gt;0,CL88&gt;0), CL88,     AND(NOT($AI88=$AM88),$AI88&gt;0,$AM88&gt;0,CL88&gt;0), ($AM88*CL88)/$AI88,     AND($AI88=0,$AM88&gt;0,$AQ88&gt;0), IF(INDEX(CL$12:CL$263,MATCH($AQ88,$AP$12:$AP$263,0))&gt;0,($AM88*INDEX(CL$12:CL$263,MATCH($AQ88,$AP$12:$AP$263,0)))/INDEX($AI$12:$AI$263,MATCH($AQ88,$AP$12:$AP$263,0)), "-"),     TRUE, "0")</f>
        <v>0</v>
      </c>
      <c r="CN88" s="588">
        <f>IF(CM$9&gt;0, IF(OR(CM88="",CM88="-"), 0, CM88*$AT88), CL88*$AJ88)</f>
        <v>0</v>
      </c>
      <c r="CO88" s="587">
        <f>[1]COMMANDE!AS86</f>
        <v>0</v>
      </c>
      <c r="CP88" s="586" t="str">
        <f>_xlfn.IFS(AND($AI88=$AM88,$AI88&gt;0,$AM88&gt;0,CO88&gt;0), CO88,     AND(NOT($AI88=$AM88),$AI88&gt;0,$AM88&gt;0,CO88&gt;0), ($AM88*CO88)/$AI88,     AND($AI88=0,$AM88&gt;0,$AQ88&gt;0), IF(INDEX(CO$12:CO$263,MATCH($AQ88,$AP$12:$AP$263,0))&gt;0,($AM88*INDEX(CO$12:CO$263,MATCH($AQ88,$AP$12:$AP$263,0)))/INDEX($AI$12:$AI$263,MATCH($AQ88,$AP$12:$AP$263,0)), "-"),     TRUE, "0")</f>
        <v>0</v>
      </c>
      <c r="CQ88" s="607">
        <f>IF(CP$9&gt;0, IF(OR(CP88="",CP88="-"), 0, CP88*$AT88), CO88*$AJ88)</f>
        <v>0</v>
      </c>
      <c r="CR88" s="589">
        <f>[1]COMMANDE!AU86</f>
        <v>0</v>
      </c>
      <c r="CS88" s="586" t="str">
        <f>_xlfn.IFS(AND($AI88=$AM88,$AI88&gt;0,$AM88&gt;0,CR88&gt;0), CR88,     AND(NOT($AI88=$AM88),$AI88&gt;0,$AM88&gt;0,CR88&gt;0), ($AM88*CR88)/$AI88,     AND($AI88=0,$AM88&gt;0,$AQ88&gt;0), IF(INDEX(CR$12:CR$263,MATCH($AQ88,$AP$12:$AP$263,0))&gt;0,($AM88*INDEX(CR$12:CR$263,MATCH($AQ88,$AP$12:$AP$263,0)))/INDEX($AI$12:$AI$263,MATCH($AQ88,$AP$12:$AP$263,0)), "-"),     TRUE, "0")</f>
        <v>0</v>
      </c>
      <c r="CT88" s="588">
        <f>IF(CS$9&gt;0, IF(OR(CS88="",CS88="-"), 0, CS88*$AT88), CR88*$AJ88)</f>
        <v>0</v>
      </c>
      <c r="CU88" s="587">
        <f>[1]COMMANDE!AW86</f>
        <v>0</v>
      </c>
      <c r="CV88" s="586" t="str">
        <f>_xlfn.IFS(AND($AI88=$AM88,$AI88&gt;0,$AM88&gt;0,CU88&gt;0), CU88,     AND(NOT($AI88=$AM88),$AI88&gt;0,$AM88&gt;0,CU88&gt;0), ($AM88*CU88)/$AI88,     AND($AI88=0,$AM88&gt;0,$AQ88&gt;0), IF(INDEX(CU$12:CU$263,MATCH($AQ88,$AP$12:$AP$263,0))&gt;0,($AM88*INDEX(CU$12:CU$263,MATCH($AQ88,$AP$12:$AP$263,0)))/INDEX($AI$12:$AI$263,MATCH($AQ88,$AP$12:$AP$263,0)), "-"),     TRUE, "0")</f>
        <v>0</v>
      </c>
      <c r="CW88" s="607">
        <f>IF(CV$9&gt;0, IF(OR(CV88="",CV88="-"), 0, CV88*$AT88), CU88*$AJ88)</f>
        <v>0</v>
      </c>
      <c r="CX88" s="589">
        <f>[1]COMMANDE!AY86</f>
        <v>0</v>
      </c>
      <c r="CY88" s="586" t="str">
        <f>_xlfn.IFS(AND($AI88=$AM88,$AI88&gt;0,$AM88&gt;0,CX88&gt;0), CX88,     AND(NOT($AI88=$AM88),$AI88&gt;0,$AM88&gt;0,CX88&gt;0), ($AM88*CX88)/$AI88,     AND($AI88=0,$AM88&gt;0,$AQ88&gt;0), IF(INDEX(CX$12:CX$263,MATCH($AQ88,$AP$12:$AP$263,0))&gt;0,($AM88*INDEX(CX$12:CX$263,MATCH($AQ88,$AP$12:$AP$263,0)))/INDEX($AI$12:$AI$263,MATCH($AQ88,$AP$12:$AP$263,0)), "-"),     TRUE, "0")</f>
        <v>0</v>
      </c>
      <c r="CZ88" s="588">
        <f>IF(CY$9&gt;0, IF(OR(CY88="",CY88="-"), 0, CY88*$AT88), CX88*$AJ88)</f>
        <v>0</v>
      </c>
      <c r="DA88" s="587">
        <f>[1]COMMANDE!BA86</f>
        <v>0</v>
      </c>
      <c r="DB88" s="586" t="str">
        <f>_xlfn.IFS(AND($AI88=$AM88,$AI88&gt;0,$AM88&gt;0,DA88&gt;0), DA88,     AND(NOT($AI88=$AM88),$AI88&gt;0,$AM88&gt;0,DA88&gt;0), ($AM88*DA88)/$AI88,     AND($AI88=0,$AM88&gt;0,$AQ88&gt;0), IF(INDEX(DA$12:DA$263,MATCH($AQ88,$AP$12:$AP$263,0))&gt;0,($AM88*INDEX(DA$12:DA$263,MATCH($AQ88,$AP$12:$AP$263,0)))/INDEX($AI$12:$AI$263,MATCH($AQ88,$AP$12:$AP$263,0)), "-"),     TRUE, "0")</f>
        <v>0</v>
      </c>
      <c r="DC88" s="606">
        <f>IF(DB$9&gt;0, IF(OR(DB88="",DB88="-"), 0, DB88*$AT88), DA88*$AJ88)</f>
        <v>0</v>
      </c>
      <c r="DD88" s="584"/>
      <c r="DE88" s="583"/>
    </row>
    <row r="89" spans="1:109" ht="39.950000000000003" hidden="1" customHeight="1">
      <c r="A89" s="604">
        <f>IF(OR($AV89&gt;0, $AX89&gt;0), 1, 0)</f>
        <v>0</v>
      </c>
      <c r="B89" s="604">
        <f>IF(OR($AY89&gt;0, $BA89&gt;0), 1, 0)</f>
        <v>0</v>
      </c>
      <c r="C89" s="604">
        <f>IF(OR($BB89&gt;0, $BD89&gt;0), 1, 0)</f>
        <v>0</v>
      </c>
      <c r="D89" s="604">
        <f>IF(OR($BE89&gt;0, $BG89&gt;0), 1, 0)</f>
        <v>0</v>
      </c>
      <c r="E89" s="604">
        <f>IF(OR($BH89&gt;0, $BJ89&gt;0), 1, 0)</f>
        <v>0</v>
      </c>
      <c r="F89" s="604">
        <f>IF(OR($BK89&gt;0, $BM89&gt;0), 1, 0)</f>
        <v>0</v>
      </c>
      <c r="G89" s="604">
        <f>IF(OR($BN89&gt;0, $BP89&gt;0), 1, 0)</f>
        <v>0</v>
      </c>
      <c r="H89" s="604">
        <f>IF(OR($BQ89&gt;0, $BS89&gt;0), 1, 0)</f>
        <v>0</v>
      </c>
      <c r="I89" s="604">
        <f>IF(OR($BT89&gt;0, $BV89&gt;0), 1, 0)</f>
        <v>0</v>
      </c>
      <c r="J89" s="604">
        <f>IF(OR($BW89&gt;0, $BY89&gt;0), 1, 0)</f>
        <v>0</v>
      </c>
      <c r="K89" s="604">
        <f>IF(OR($BZ89&gt;0, $CB89&gt;0), 1, 0)</f>
        <v>0</v>
      </c>
      <c r="L89" s="604">
        <f>IF(OR($CC89&gt;0, $CE89&gt;0), 1, 0)</f>
        <v>0</v>
      </c>
      <c r="M89" s="604">
        <f>IF(OR($CF89&gt;0, $CH89&gt;0), 1, 0)</f>
        <v>0</v>
      </c>
      <c r="N89" s="604">
        <f>IF(OR($CI89&gt;0, $CK89&gt;0), 1, 0)</f>
        <v>0</v>
      </c>
      <c r="O89" s="604">
        <f>IF(OR($CL89&gt;0, $CN89&gt;0), 1, 0)</f>
        <v>0</v>
      </c>
      <c r="P89" s="604">
        <f>IF(OR($CO89&gt;0, $CQ89&gt;0), 1, 0)</f>
        <v>0</v>
      </c>
      <c r="Q89" s="604">
        <f>IF(OR($CR89&gt;0, $CT89&gt;0), 1, 0)</f>
        <v>0</v>
      </c>
      <c r="R89" s="604">
        <f>IF(OR($CU89&gt;0, $CW89&gt;0), 1, 0)</f>
        <v>0</v>
      </c>
      <c r="S89" s="604">
        <f>IF(OR($CX89&gt;0, $CZ89&gt;0), 1, 0)</f>
        <v>0</v>
      </c>
      <c r="T89" s="604">
        <f>IF(OR($DA89&gt;0, $DC89&gt;0), 1, 0)</f>
        <v>0</v>
      </c>
      <c r="U89" s="603">
        <f>IF(OR($AI89&gt;0,$AM89&gt;0,$AS89&gt;0), 1, 0)</f>
        <v>0</v>
      </c>
      <c r="V89" s="602">
        <f>[1]BDD!A79</f>
        <v>3142</v>
      </c>
      <c r="W89" s="601" t="str">
        <f>[1]BDD!B79</f>
        <v>Courge Butternu</v>
      </c>
      <c r="X89" s="600" t="str">
        <f>IF([1]BDD!F79=0, "", [1]BDD!F79)</f>
        <v>OFFRE</v>
      </c>
      <c r="Y89" s="542">
        <f>ROUND([1]BDD!G79+FDP_CMD_KG, 2)</f>
        <v>2.21</v>
      </c>
      <c r="Z89" s="542">
        <f>ROUND([1]BDD!G79+FDP_FACT_KG, 2)</f>
        <v>2.21</v>
      </c>
      <c r="AA89" s="543" t="str">
        <f>[1]BDD!H79</f>
        <v>kg</v>
      </c>
      <c r="AB89" s="544">
        <f>IF(NOT(ISBLANK([1]BDD!I79)), ROUND(SUM(([1]BDD!G79*reduc1),FDP_CMD_KG), 2), "")</f>
        <v>2.08</v>
      </c>
      <c r="AC89" s="544" t="str">
        <f>IF(NOT(ISBLANK([1]BDD!J79)), ROUND(SUM(([1]BDD!G79*reduc2),FDP_CMD_KG), 2), "")</f>
        <v/>
      </c>
      <c r="AD89" s="544" t="str">
        <f>IF(NOT(ISBLANK([1]BDD!K79)), ROUND(SUM(([1]BDD!G79*reduc3),FDP_CMD_KG), 2), "")</f>
        <v/>
      </c>
      <c r="AE89" s="544">
        <f>IF(NOT(ISBLANK([1]BDD!I79)), ROUND(SUM(([1]BDD!G79*reduc1),FDP_FACT_KG), 2), "")</f>
        <v>2.0699999999999998</v>
      </c>
      <c r="AF89" s="544" t="str">
        <f>IF(NOT(ISBLANK([1]BDD!J79)), ROUND(SUM(([1]BDD!G79*reduc2),FDP_FACT_KG), 2), "")</f>
        <v/>
      </c>
      <c r="AG89" s="544" t="str">
        <f>IF(NOT(ISBLANK([1]BDD!K79)), ROUND(SUM(([1]BDD!G79*reduc3),FDP_FACT_KG), 2), "")</f>
        <v/>
      </c>
      <c r="AH89" s="599" t="str">
        <f>[1]BDD!C79</f>
        <v>Grenade</v>
      </c>
      <c r="AI89" s="598">
        <f>SUM(AV89,AY89,BB89,BE89,BH89,BK89,BN89,BQ89,BT89,BW89,BZ89,CC89,CF89,CI89,CL89,CO89,CR89,CU89,CX89,DA89)</f>
        <v>0</v>
      </c>
      <c r="AJ89" s="545">
        <f>_xlfn.IFS($AD89&lt;&gt;"", $AD89,    $AC89&lt;&gt;"", $AC89,    $AB89&lt;&gt;"", $AB89,    TRUE, $Y89)</f>
        <v>2.08</v>
      </c>
      <c r="AK89" s="592">
        <f>$AI89*$AJ89</f>
        <v>0</v>
      </c>
      <c r="AL89" s="594"/>
      <c r="AM89" s="597"/>
      <c r="AN89" s="545">
        <f>_xlfn.IFS(AND(AM89&gt;=60,$AG89&lt;&gt;""), $AG89,    AND(AM89&gt;=30,$AF89&lt;&gt;""), $AF89,    AND(AM89&gt;=10,$AE89&lt;&gt;""), $AE89,    TRUE, $Z89)</f>
        <v>2.21</v>
      </c>
      <c r="AO89" s="596">
        <f>AM89*AN89</f>
        <v>0</v>
      </c>
      <c r="AP89" s="595"/>
      <c r="AQ89" s="595"/>
      <c r="AR89" s="594"/>
      <c r="AS89" s="593">
        <f>SUM(AW89,AZ89,BC89,BF89,BI89,BL89,BO89,BR89,BU89,BX89,CA89,CD89,CG89,CJ89,CM89,CP89,CS89,CV89,CY89,DB89)</f>
        <v>0</v>
      </c>
      <c r="AT89" s="545">
        <f>_xlfn.IFS(AND(AS89&gt;=60,$AG89&lt;&gt;""), $AG89,    AND(AS89&gt;=30,$AF89&lt;&gt;""), $AF89,    AND(AS89&gt;=10,$AE89&lt;&gt;""), $AE89,    TRUE, $Z89)</f>
        <v>2.21</v>
      </c>
      <c r="AU89" s="592">
        <f>$AS89*$AT89</f>
        <v>0</v>
      </c>
      <c r="AV89" s="591">
        <f>[1]COMMANDE!O87</f>
        <v>0</v>
      </c>
      <c r="AW89" s="586" t="str">
        <f>_xlfn.IFS(AND($AI89=$AM89,$AI89&gt;0,$AM89&gt;0,AV89&gt;0), AV89,     AND(NOT($AI89=$AM89),$AI89&gt;0,$AM89&gt;0,AV89&gt;0), ($AM89*AV89)/$AI89,     AND($AI89=0,$AM89&gt;0,$AQ89&gt;0), IF(INDEX(AV$12:AV$263,MATCH($AQ89,$AP$12:$AP$263,0))&gt;0,($AM89*INDEX(AV$12:AV$263,MATCH($AQ89,$AP$12:$AP$263,0)))/INDEX($AI$12:$AI$263,MATCH($AQ89,$AP$12:$AP$263,0)), "-"),     TRUE, "0")</f>
        <v>0</v>
      </c>
      <c r="AX89" s="588">
        <f>IF(AW$9&gt;0, IF(OR(AW89="",AW89="-"), 0, AW89*$AT89), AV89*$AJ89)</f>
        <v>0</v>
      </c>
      <c r="AY89" s="587">
        <f>[1]COMMANDE!Q87</f>
        <v>0</v>
      </c>
      <c r="AZ89" s="586" t="str">
        <f>_xlfn.IFS(AND($AI89=$AM89,$AI89&gt;0,$AM89&gt;0,AY89&gt;0), AY89,     AND(NOT($AI89=$AM89),$AI89&gt;0,$AM89&gt;0,AY89&gt;0), ($AM89*AY89)/$AI89,     AND($AI89=0,$AM89&gt;0,$AQ89&gt;0), IF(INDEX(AY$12:AY$263,MATCH($AQ89,$AP$12:$AP$263,0))&gt;0,($AM89*INDEX(AY$12:AY$263,MATCH($AQ89,$AP$12:$AP$263,0)))/INDEX($AI$12:$AI$263,MATCH($AQ89,$AP$12:$AP$263,0)), "-"),     TRUE, "0")</f>
        <v>0</v>
      </c>
      <c r="BA89" s="607">
        <f>IF(AZ$9&gt;0, IF(OR(AZ89="",AZ89="-"), 0, AZ89*$AT89), AY89*$AJ89)</f>
        <v>0</v>
      </c>
      <c r="BB89" s="589">
        <f>[1]COMMANDE!S87</f>
        <v>0</v>
      </c>
      <c r="BC89" s="586" t="str">
        <f>_xlfn.IFS(AND($AI89=$AM89,$AI89&gt;0,$AM89&gt;0,BB89&gt;0), BB89,     AND(NOT($AI89=$AM89),$AI89&gt;0,$AM89&gt;0,BB89&gt;0), ($AM89*BB89)/$AI89,     AND($AI89=0,$AM89&gt;0,$AQ89&gt;0), IF(INDEX(BB$12:BB$263,MATCH($AQ89,$AP$12:$AP$263,0))&gt;0,($AM89*INDEX(BB$12:BB$263,MATCH($AQ89,$AP$12:$AP$263,0)))/INDEX($AI$12:$AI$263,MATCH($AQ89,$AP$12:$AP$263,0)), "-"),     TRUE, "0")</f>
        <v>0</v>
      </c>
      <c r="BD89" s="588">
        <f>IF(BC$9&gt;0, IF(OR(BC89="",BC89="-"), 0, BC89*$AT89), BB89*$AJ89)</f>
        <v>0</v>
      </c>
      <c r="BE89" s="587">
        <f>[1]COMMANDE!U87</f>
        <v>0</v>
      </c>
      <c r="BF89" s="586" t="str">
        <f>_xlfn.IFS(AND($AI89=$AM89,$AI89&gt;0,$AM89&gt;0,BE89&gt;0), BE89,     AND(NOT($AI89=$AM89),$AI89&gt;0,$AM89&gt;0,BE89&gt;0), ($AM89*BE89)/$AI89,     AND($AI89=0,$AM89&gt;0,$AQ89&gt;0), IF(INDEX(BE$12:BE$263,MATCH($AQ89,$AP$12:$AP$263,0))&gt;0,($AM89*INDEX(BE$12:BE$263,MATCH($AQ89,$AP$12:$AP$263,0)))/INDEX($AI$12:$AI$263,MATCH($AQ89,$AP$12:$AP$263,0)), "-"),     TRUE, "0")</f>
        <v>0</v>
      </c>
      <c r="BG89" s="607">
        <f>IF(BF$9&gt;0, IF(OR(BF89="",BF89="-"), 0, BF89*$AT89), BE89*$AJ89)</f>
        <v>0</v>
      </c>
      <c r="BH89" s="589">
        <f>[1]COMMANDE!W87</f>
        <v>0</v>
      </c>
      <c r="BI89" s="586" t="str">
        <f>_xlfn.IFS(AND($AI89=$AM89,$AI89&gt;0,$AM89&gt;0,BH89&gt;0), BH89,     AND(NOT($AI89=$AM89),$AI89&gt;0,$AM89&gt;0,BH89&gt;0), ($AM89*BH89)/$AI89,     AND($AI89=0,$AM89&gt;0,$AQ89&gt;0), IF(INDEX(BH$12:BH$263,MATCH($AQ89,$AP$12:$AP$263,0))&gt;0,($AM89*INDEX(BH$12:BH$263,MATCH($AQ89,$AP$12:$AP$263,0)))/INDEX($AI$12:$AI$263,MATCH($AQ89,$AP$12:$AP$263,0)), "-"),     TRUE, "0")</f>
        <v>0</v>
      </c>
      <c r="BJ89" s="588">
        <f>IF(BI$9&gt;0, IF(OR(BI89="",BI89="-"), 0, BI89*$AT89), BH89*$AJ89)</f>
        <v>0</v>
      </c>
      <c r="BK89" s="587">
        <f>[1]COMMANDE!Y87</f>
        <v>0</v>
      </c>
      <c r="BL89" s="586" t="str">
        <f>_xlfn.IFS(AND($AI89=$AM89,$AI89&gt;0,$AM89&gt;0,BK89&gt;0), BK89,     AND(NOT($AI89=$AM89),$AI89&gt;0,$AM89&gt;0,BK89&gt;0), ($AM89*BK89)/$AI89,     AND($AI89=0,$AM89&gt;0,$AQ89&gt;0), IF(INDEX(BK$12:BK$263,MATCH($AQ89,$AP$12:$AP$263,0))&gt;0,($AM89*INDEX(BK$12:BK$263,MATCH($AQ89,$AP$12:$AP$263,0)))/INDEX($AI$12:$AI$263,MATCH($AQ89,$AP$12:$AP$263,0)), "-"),     TRUE, "0")</f>
        <v>0</v>
      </c>
      <c r="BM89" s="607">
        <f>IF(BL$9&gt;0, IF(OR(BL89="",BL89="-"), 0, BL89*$AT89), BK89*$AJ89)</f>
        <v>0</v>
      </c>
      <c r="BN89" s="589">
        <f>[1]COMMANDE!AA87</f>
        <v>0</v>
      </c>
      <c r="BO89" s="586" t="str">
        <f>_xlfn.IFS(AND($AI89=$AM89,$AI89&gt;0,$AM89&gt;0,BN89&gt;0), BN89,     AND(NOT($AI89=$AM89),$AI89&gt;0,$AM89&gt;0,BN89&gt;0), ($AM89*BN89)/$AI89,     AND($AI89=0,$AM89&gt;0,$AQ89&gt;0), IF(INDEX(BN$12:BN$263,MATCH($AQ89,$AP$12:$AP$263,0))&gt;0,($AM89*INDEX(BN$12:BN$263,MATCH($AQ89,$AP$12:$AP$263,0)))/INDEX($AI$12:$AI$263,MATCH($AQ89,$AP$12:$AP$263,0)), "-"),     TRUE, "0")</f>
        <v>0</v>
      </c>
      <c r="BP89" s="588">
        <f>IF(BO$9&gt;0, IF(OR(BO89="",BO89="-"), 0, BO89*$AT89), BN89*$AJ89)</f>
        <v>0</v>
      </c>
      <c r="BQ89" s="587">
        <f>[1]COMMANDE!AC87</f>
        <v>0</v>
      </c>
      <c r="BR89" s="586" t="str">
        <f>_xlfn.IFS(AND($AI89=$AM89,$AI89&gt;0,$AM89&gt;0,BQ89&gt;0), BQ89,     AND(NOT($AI89=$AM89),$AI89&gt;0,$AM89&gt;0,BQ89&gt;0), ($AM89*BQ89)/$AI89,     AND($AI89=0,$AM89&gt;0,$AQ89&gt;0), IF(INDEX(BQ$12:BQ$263,MATCH($AQ89,$AP$12:$AP$263,0))&gt;0,($AM89*INDEX(BQ$12:BQ$263,MATCH($AQ89,$AP$12:$AP$263,0)))/INDEX($AI$12:$AI$263,MATCH($AQ89,$AP$12:$AP$263,0)), "-"),     TRUE, "0")</f>
        <v>0</v>
      </c>
      <c r="BS89" s="607">
        <f>IF(BR$9&gt;0, IF(OR(BR89="",BR89="-"), 0, BR89*$AT89), BQ89*$AJ89)</f>
        <v>0</v>
      </c>
      <c r="BT89" s="589">
        <f>[1]COMMANDE!AE87</f>
        <v>0</v>
      </c>
      <c r="BU89" s="586" t="str">
        <f>_xlfn.IFS(AND($AI89=$AM89,$AI89&gt;0,$AM89&gt;0,BT89&gt;0), BT89,     AND(NOT($AI89=$AM89),$AI89&gt;0,$AM89&gt;0,BT89&gt;0), ($AM89*BT89)/$AI89,     AND($AI89=0,$AM89&gt;0,$AQ89&gt;0), IF(INDEX(BT$12:BT$263,MATCH($AQ89,$AP$12:$AP$263,0))&gt;0,($AM89*INDEX(BT$12:BT$263,MATCH($AQ89,$AP$12:$AP$263,0)))/INDEX($AI$12:$AI$263,MATCH($AQ89,$AP$12:$AP$263,0)), "-"),     TRUE, "0")</f>
        <v>0</v>
      </c>
      <c r="BV89" s="588">
        <f>IF(BU$9&gt;0, IF(OR(BU89="",BU89="-"), 0, BU89*$AT89), BT89*$AJ89)</f>
        <v>0</v>
      </c>
      <c r="BW89" s="587">
        <f>[1]COMMANDE!AG87</f>
        <v>0</v>
      </c>
      <c r="BX89" s="586" t="str">
        <f>_xlfn.IFS(AND($AI89=$AM89,$AI89&gt;0,$AM89&gt;0,BW89&gt;0), BW89,     AND(NOT($AI89=$AM89),$AI89&gt;0,$AM89&gt;0,BW89&gt;0), ($AM89*BW89)/$AI89,     AND($AI89=0,$AM89&gt;0,$AQ89&gt;0), IF(INDEX(BW$12:BW$263,MATCH($AQ89,$AP$12:$AP$263,0))&gt;0,($AM89*INDEX(BW$12:BW$263,MATCH($AQ89,$AP$12:$AP$263,0)))/INDEX($AI$12:$AI$263,MATCH($AQ89,$AP$12:$AP$263,0)), "-"),     TRUE, "0")</f>
        <v>0</v>
      </c>
      <c r="BY89" s="607">
        <f>IF(BX$9&gt;0, IF(OR(BX89="",BX89="-"), 0, BX89*$AT89), BW89*$AJ89)</f>
        <v>0</v>
      </c>
      <c r="BZ89" s="589">
        <f>[1]COMMANDE!AI87</f>
        <v>0</v>
      </c>
      <c r="CA89" s="586" t="str">
        <f>_xlfn.IFS(AND($AI89=$AM89,$AI89&gt;0,$AM89&gt;0,BZ89&gt;0), BZ89,     AND(NOT($AI89=$AM89),$AI89&gt;0,$AM89&gt;0,BZ89&gt;0), ($AM89*BZ89)/$AI89,     AND($AI89=0,$AM89&gt;0,$AQ89&gt;0), IF(INDEX(BZ$12:BZ$263,MATCH($AQ89,$AP$12:$AP$263,0))&gt;0,($AM89*INDEX(BZ$12:BZ$263,MATCH($AQ89,$AP$12:$AP$263,0)))/INDEX($AI$12:$AI$263,MATCH($AQ89,$AP$12:$AP$263,0)), "-"),     TRUE, "0")</f>
        <v>0</v>
      </c>
      <c r="CB89" s="588">
        <f>IF(CA$9&gt;0, IF(OR(CA89="",CA89="-"), 0, CA89*$AT89), BZ89*$AJ89)</f>
        <v>0</v>
      </c>
      <c r="CC89" s="587">
        <f>[1]COMMANDE!AK87</f>
        <v>0</v>
      </c>
      <c r="CD89" s="586" t="str">
        <f>_xlfn.IFS(AND($AI89=$AM89,$AI89&gt;0,$AM89&gt;0,CC89&gt;0), CC89,     AND(NOT($AI89=$AM89),$AI89&gt;0,$AM89&gt;0,CC89&gt;0), ($AM89*CC89)/$AI89,     AND($AI89=0,$AM89&gt;0,$AQ89&gt;0), IF(INDEX(CC$12:CC$263,MATCH($AQ89,$AP$12:$AP$263,0))&gt;0,($AM89*INDEX(CC$12:CC$263,MATCH($AQ89,$AP$12:$AP$263,0)))/INDEX($AI$12:$AI$263,MATCH($AQ89,$AP$12:$AP$263,0)), "-"),     TRUE, "0")</f>
        <v>0</v>
      </c>
      <c r="CE89" s="607">
        <f>IF(CD$9&gt;0, IF(OR(CD89="",CD89="-"), 0, CD89*$AT89), CC89*$AJ89)</f>
        <v>0</v>
      </c>
      <c r="CF89" s="589">
        <f>[1]COMMANDE!AM87</f>
        <v>0</v>
      </c>
      <c r="CG89" s="586" t="str">
        <f>_xlfn.IFS(AND($AI89=$AM89,$AI89&gt;0,$AM89&gt;0,CF89&gt;0), CF89,     AND(NOT($AI89=$AM89),$AI89&gt;0,$AM89&gt;0,CF89&gt;0), ($AM89*CF89)/$AI89,     AND($AI89=0,$AM89&gt;0,$AQ89&gt;0), IF(INDEX(CF$12:CF$263,MATCH($AQ89,$AP$12:$AP$263,0))&gt;0,($AM89*INDEX(CF$12:CF$263,MATCH($AQ89,$AP$12:$AP$263,0)))/INDEX($AI$12:$AI$263,MATCH($AQ89,$AP$12:$AP$263,0)), "-"),     TRUE, "0")</f>
        <v>0</v>
      </c>
      <c r="CH89" s="588">
        <f>IF(CG$9&gt;0, IF(OR(CG89="",CG89="-"), 0, CG89*$AT89), CF89*$AJ89)</f>
        <v>0</v>
      </c>
      <c r="CI89" s="587">
        <f>[1]COMMANDE!AO87</f>
        <v>0</v>
      </c>
      <c r="CJ89" s="586" t="str">
        <f>_xlfn.IFS(AND($AI89=$AM89,$AI89&gt;0,$AM89&gt;0,CI89&gt;0), CI89,     AND(NOT($AI89=$AM89),$AI89&gt;0,$AM89&gt;0,CI89&gt;0), ($AM89*CI89)/$AI89,     AND($AI89=0,$AM89&gt;0,$AQ89&gt;0), IF(INDEX(CI$12:CI$263,MATCH($AQ89,$AP$12:$AP$263,0))&gt;0,($AM89*INDEX(CI$12:CI$263,MATCH($AQ89,$AP$12:$AP$263,0)))/INDEX($AI$12:$AI$263,MATCH($AQ89,$AP$12:$AP$263,0)), "-"),     TRUE, "0")</f>
        <v>0</v>
      </c>
      <c r="CK89" s="607">
        <f>IF(CJ$9&gt;0, IF(OR(CJ89="",CJ89="-"), 0, CJ89*$AT89), CI89*$AJ89)</f>
        <v>0</v>
      </c>
      <c r="CL89" s="589">
        <f>[1]COMMANDE!AQ87</f>
        <v>0</v>
      </c>
      <c r="CM89" s="586" t="str">
        <f>_xlfn.IFS(AND($AI89=$AM89,$AI89&gt;0,$AM89&gt;0,CL89&gt;0), CL89,     AND(NOT($AI89=$AM89),$AI89&gt;0,$AM89&gt;0,CL89&gt;0), ($AM89*CL89)/$AI89,     AND($AI89=0,$AM89&gt;0,$AQ89&gt;0), IF(INDEX(CL$12:CL$263,MATCH($AQ89,$AP$12:$AP$263,0))&gt;0,($AM89*INDEX(CL$12:CL$263,MATCH($AQ89,$AP$12:$AP$263,0)))/INDEX($AI$12:$AI$263,MATCH($AQ89,$AP$12:$AP$263,0)), "-"),     TRUE, "0")</f>
        <v>0</v>
      </c>
      <c r="CN89" s="588">
        <f>IF(CM$9&gt;0, IF(OR(CM89="",CM89="-"), 0, CM89*$AT89), CL89*$AJ89)</f>
        <v>0</v>
      </c>
      <c r="CO89" s="587">
        <f>[1]COMMANDE!AS87</f>
        <v>0</v>
      </c>
      <c r="CP89" s="586" t="str">
        <f>_xlfn.IFS(AND($AI89=$AM89,$AI89&gt;0,$AM89&gt;0,CO89&gt;0), CO89,     AND(NOT($AI89=$AM89),$AI89&gt;0,$AM89&gt;0,CO89&gt;0), ($AM89*CO89)/$AI89,     AND($AI89=0,$AM89&gt;0,$AQ89&gt;0), IF(INDEX(CO$12:CO$263,MATCH($AQ89,$AP$12:$AP$263,0))&gt;0,($AM89*INDEX(CO$12:CO$263,MATCH($AQ89,$AP$12:$AP$263,0)))/INDEX($AI$12:$AI$263,MATCH($AQ89,$AP$12:$AP$263,0)), "-"),     TRUE, "0")</f>
        <v>0</v>
      </c>
      <c r="CQ89" s="607">
        <f>IF(CP$9&gt;0, IF(OR(CP89="",CP89="-"), 0, CP89*$AT89), CO89*$AJ89)</f>
        <v>0</v>
      </c>
      <c r="CR89" s="589">
        <f>[1]COMMANDE!AU87</f>
        <v>0</v>
      </c>
      <c r="CS89" s="586" t="str">
        <f>_xlfn.IFS(AND($AI89=$AM89,$AI89&gt;0,$AM89&gt;0,CR89&gt;0), CR89,     AND(NOT($AI89=$AM89),$AI89&gt;0,$AM89&gt;0,CR89&gt;0), ($AM89*CR89)/$AI89,     AND($AI89=0,$AM89&gt;0,$AQ89&gt;0), IF(INDEX(CR$12:CR$263,MATCH($AQ89,$AP$12:$AP$263,0))&gt;0,($AM89*INDEX(CR$12:CR$263,MATCH($AQ89,$AP$12:$AP$263,0)))/INDEX($AI$12:$AI$263,MATCH($AQ89,$AP$12:$AP$263,0)), "-"),     TRUE, "0")</f>
        <v>0</v>
      </c>
      <c r="CT89" s="588">
        <f>IF(CS$9&gt;0, IF(OR(CS89="",CS89="-"), 0, CS89*$AT89), CR89*$AJ89)</f>
        <v>0</v>
      </c>
      <c r="CU89" s="587">
        <f>[1]COMMANDE!AW87</f>
        <v>0</v>
      </c>
      <c r="CV89" s="586" t="str">
        <f>_xlfn.IFS(AND($AI89=$AM89,$AI89&gt;0,$AM89&gt;0,CU89&gt;0), CU89,     AND(NOT($AI89=$AM89),$AI89&gt;0,$AM89&gt;0,CU89&gt;0), ($AM89*CU89)/$AI89,     AND($AI89=0,$AM89&gt;0,$AQ89&gt;0), IF(INDEX(CU$12:CU$263,MATCH($AQ89,$AP$12:$AP$263,0))&gt;0,($AM89*INDEX(CU$12:CU$263,MATCH($AQ89,$AP$12:$AP$263,0)))/INDEX($AI$12:$AI$263,MATCH($AQ89,$AP$12:$AP$263,0)), "-"),     TRUE, "0")</f>
        <v>0</v>
      </c>
      <c r="CW89" s="607">
        <f>IF(CV$9&gt;0, IF(OR(CV89="",CV89="-"), 0, CV89*$AT89), CU89*$AJ89)</f>
        <v>0</v>
      </c>
      <c r="CX89" s="589">
        <f>[1]COMMANDE!AY87</f>
        <v>0</v>
      </c>
      <c r="CY89" s="586" t="str">
        <f>_xlfn.IFS(AND($AI89=$AM89,$AI89&gt;0,$AM89&gt;0,CX89&gt;0), CX89,     AND(NOT($AI89=$AM89),$AI89&gt;0,$AM89&gt;0,CX89&gt;0), ($AM89*CX89)/$AI89,     AND($AI89=0,$AM89&gt;0,$AQ89&gt;0), IF(INDEX(CX$12:CX$263,MATCH($AQ89,$AP$12:$AP$263,0))&gt;0,($AM89*INDEX(CX$12:CX$263,MATCH($AQ89,$AP$12:$AP$263,0)))/INDEX($AI$12:$AI$263,MATCH($AQ89,$AP$12:$AP$263,0)), "-"),     TRUE, "0")</f>
        <v>0</v>
      </c>
      <c r="CZ89" s="588">
        <f>IF(CY$9&gt;0, IF(OR(CY89="",CY89="-"), 0, CY89*$AT89), CX89*$AJ89)</f>
        <v>0</v>
      </c>
      <c r="DA89" s="587">
        <f>[1]COMMANDE!BA87</f>
        <v>0</v>
      </c>
      <c r="DB89" s="586" t="str">
        <f>_xlfn.IFS(AND($AI89=$AM89,$AI89&gt;0,$AM89&gt;0,DA89&gt;0), DA89,     AND(NOT($AI89=$AM89),$AI89&gt;0,$AM89&gt;0,DA89&gt;0), ($AM89*DA89)/$AI89,     AND($AI89=0,$AM89&gt;0,$AQ89&gt;0), IF(INDEX(DA$12:DA$263,MATCH($AQ89,$AP$12:$AP$263,0))&gt;0,($AM89*INDEX(DA$12:DA$263,MATCH($AQ89,$AP$12:$AP$263,0)))/INDEX($AI$12:$AI$263,MATCH($AQ89,$AP$12:$AP$263,0)), "-"),     TRUE, "0")</f>
        <v>0</v>
      </c>
      <c r="DC89" s="606">
        <f>IF(DB$9&gt;0, IF(OR(DB89="",DB89="-"), 0, DB89*$AT89), DA89*$AJ89)</f>
        <v>0</v>
      </c>
      <c r="DD89" s="584"/>
      <c r="DE89" s="583"/>
    </row>
    <row r="90" spans="1:109" ht="39.950000000000003" hidden="1" customHeight="1">
      <c r="A90" s="604">
        <f>IF(OR($AV90&gt;0, $AX90&gt;0), 1, 0)</f>
        <v>0</v>
      </c>
      <c r="B90" s="604">
        <f>IF(OR($AY90&gt;0, $BA90&gt;0), 1, 0)</f>
        <v>0</v>
      </c>
      <c r="C90" s="604">
        <f>IF(OR($BB90&gt;0, $BD90&gt;0), 1, 0)</f>
        <v>0</v>
      </c>
      <c r="D90" s="604">
        <f>IF(OR($BE90&gt;0, $BG90&gt;0), 1, 0)</f>
        <v>0</v>
      </c>
      <c r="E90" s="604">
        <f>IF(OR($BH90&gt;0, $BJ90&gt;0), 1, 0)</f>
        <v>0</v>
      </c>
      <c r="F90" s="604">
        <f>IF(OR($BK90&gt;0, $BM90&gt;0), 1, 0)</f>
        <v>0</v>
      </c>
      <c r="G90" s="604">
        <f>IF(OR($BN90&gt;0, $BP90&gt;0), 1, 0)</f>
        <v>0</v>
      </c>
      <c r="H90" s="604">
        <f>IF(OR($BQ90&gt;0, $BS90&gt;0), 1, 0)</f>
        <v>0</v>
      </c>
      <c r="I90" s="604">
        <f>IF(OR($BT90&gt;0, $BV90&gt;0), 1, 0)</f>
        <v>0</v>
      </c>
      <c r="J90" s="604">
        <f>IF(OR($BW90&gt;0, $BY90&gt;0), 1, 0)</f>
        <v>0</v>
      </c>
      <c r="K90" s="604">
        <f>IF(OR($BZ90&gt;0, $CB90&gt;0), 1, 0)</f>
        <v>0</v>
      </c>
      <c r="L90" s="604">
        <f>IF(OR($CC90&gt;0, $CE90&gt;0), 1, 0)</f>
        <v>0</v>
      </c>
      <c r="M90" s="604">
        <f>IF(OR($CF90&gt;0, $CH90&gt;0), 1, 0)</f>
        <v>0</v>
      </c>
      <c r="N90" s="604">
        <f>IF(OR($CI90&gt;0, $CK90&gt;0), 1, 0)</f>
        <v>0</v>
      </c>
      <c r="O90" s="604">
        <f>IF(OR($CL90&gt;0, $CN90&gt;0), 1, 0)</f>
        <v>0</v>
      </c>
      <c r="P90" s="604">
        <f>IF(OR($CO90&gt;0, $CQ90&gt;0), 1, 0)</f>
        <v>0</v>
      </c>
      <c r="Q90" s="604">
        <f>IF(OR($CR90&gt;0, $CT90&gt;0), 1, 0)</f>
        <v>0</v>
      </c>
      <c r="R90" s="604">
        <f>IF(OR($CU90&gt;0, $CW90&gt;0), 1, 0)</f>
        <v>0</v>
      </c>
      <c r="S90" s="604">
        <f>IF(OR($CX90&gt;0, $CZ90&gt;0), 1, 0)</f>
        <v>0</v>
      </c>
      <c r="T90" s="604">
        <f>IF(OR($DA90&gt;0, $DC90&gt;0), 1, 0)</f>
        <v>0</v>
      </c>
      <c r="U90" s="603">
        <f>IF(OR($AI90&gt;0,$AM90&gt;0,$AS90&gt;0), 1, 0)</f>
        <v>0</v>
      </c>
      <c r="V90" s="602">
        <f>[1]BDD!A80</f>
        <v>6077</v>
      </c>
      <c r="W90" s="601" t="str">
        <f>[1]BDD!B80</f>
        <v>Courge Butternut BIO</v>
      </c>
      <c r="X90" s="600" t="str">
        <f>IF([1]BDD!F80=0, "", [1]BDD!F80)</f>
        <v/>
      </c>
      <c r="Y90" s="542">
        <f>ROUND([1]BDD!G80+FDP_CMD_KG, 2)</f>
        <v>2.5</v>
      </c>
      <c r="Z90" s="542">
        <f>ROUND([1]BDD!G80+FDP_FACT_KG, 2)</f>
        <v>2.5</v>
      </c>
      <c r="AA90" s="543" t="str">
        <f>[1]BDD!H80</f>
        <v>kg</v>
      </c>
      <c r="AB90" s="544">
        <f>IF(NOT(ISBLANK([1]BDD!I80)), ROUND(SUM(([1]BDD!G80*reduc1),FDP_CMD_KG), 2), "")</f>
        <v>2.34</v>
      </c>
      <c r="AC90" s="544" t="str">
        <f>IF(NOT(ISBLANK([1]BDD!J80)), ROUND(SUM(([1]BDD!G80*reduc2),FDP_CMD_KG), 2), "")</f>
        <v/>
      </c>
      <c r="AD90" s="544" t="str">
        <f>IF(NOT(ISBLANK([1]BDD!K80)), ROUND(SUM(([1]BDD!G80*reduc3),FDP_CMD_KG), 2), "")</f>
        <v/>
      </c>
      <c r="AE90" s="544">
        <f>IF(NOT(ISBLANK([1]BDD!I80)), ROUND(SUM(([1]BDD!G80*reduc1),FDP_FACT_KG), 2), "")</f>
        <v>2.33</v>
      </c>
      <c r="AF90" s="544" t="str">
        <f>IF(NOT(ISBLANK([1]BDD!J80)), ROUND(SUM(([1]BDD!G80*reduc2),FDP_FACT_KG), 2), "")</f>
        <v/>
      </c>
      <c r="AG90" s="544" t="str">
        <f>IF(NOT(ISBLANK([1]BDD!K80)), ROUND(SUM(([1]BDD!G80*reduc3),FDP_FACT_KG), 2), "")</f>
        <v/>
      </c>
      <c r="AH90" s="599" t="str">
        <f>[1]BDD!C80</f>
        <v>Malaga</v>
      </c>
      <c r="AI90" s="598">
        <f>SUM(AV90,AY90,BB90,BE90,BH90,BK90,BN90,BQ90,BT90,BW90,BZ90,CC90,CF90,CI90,CL90,CO90,CR90,CU90,CX90,DA90)</f>
        <v>0</v>
      </c>
      <c r="AJ90" s="545">
        <f>_xlfn.IFS($AD90&lt;&gt;"", $AD90,    $AC90&lt;&gt;"", $AC90,    $AB90&lt;&gt;"", $AB90,    TRUE, $Y90)</f>
        <v>2.34</v>
      </c>
      <c r="AK90" s="592">
        <f>$AI90*$AJ90</f>
        <v>0</v>
      </c>
      <c r="AL90" s="594"/>
      <c r="AM90" s="597"/>
      <c r="AN90" s="545">
        <f>_xlfn.IFS(AND(AM90&gt;=60,$AG90&lt;&gt;""), $AG90,    AND(AM90&gt;=30,$AF90&lt;&gt;""), $AF90,    AND(AM90&gt;=10,$AE90&lt;&gt;""), $AE90,    TRUE, $Z90)</f>
        <v>2.5</v>
      </c>
      <c r="AO90" s="596">
        <f>AM90*AN90</f>
        <v>0</v>
      </c>
      <c r="AP90" s="595"/>
      <c r="AQ90" s="595"/>
      <c r="AR90" s="594"/>
      <c r="AS90" s="593">
        <f>SUM(AW90,AZ90,BC90,BF90,BI90,BL90,BO90,BR90,BU90,BX90,CA90,CD90,CG90,CJ90,CM90,CP90,CS90,CV90,CY90,DB90)</f>
        <v>0</v>
      </c>
      <c r="AT90" s="545">
        <f>_xlfn.IFS(AND(AS90&gt;=60,$AG90&lt;&gt;""), $AG90,    AND(AS90&gt;=30,$AF90&lt;&gt;""), $AF90,    AND(AS90&gt;=10,$AE90&lt;&gt;""), $AE90,    TRUE, $Z90)</f>
        <v>2.5</v>
      </c>
      <c r="AU90" s="592">
        <f>$AS90*$AT90</f>
        <v>0</v>
      </c>
      <c r="AV90" s="591">
        <f>[1]COMMANDE!O88</f>
        <v>0</v>
      </c>
      <c r="AW90" s="586" t="str">
        <f>_xlfn.IFS(AND($AI90=$AM90,$AI90&gt;0,$AM90&gt;0,AV90&gt;0), AV90,     AND(NOT($AI90=$AM90),$AI90&gt;0,$AM90&gt;0,AV90&gt;0), ($AM90*AV90)/$AI90,     AND($AI90=0,$AM90&gt;0,$AQ90&gt;0), IF(INDEX(AV$12:AV$263,MATCH($AQ90,$AP$12:$AP$263,0))&gt;0,($AM90*INDEX(AV$12:AV$263,MATCH($AQ90,$AP$12:$AP$263,0)))/INDEX($AI$12:$AI$263,MATCH($AQ90,$AP$12:$AP$263,0)), "-"),     TRUE, "0")</f>
        <v>0</v>
      </c>
      <c r="AX90" s="588">
        <f>IF(AW$9&gt;0, IF(OR(AW90="",AW90="-"), 0, AW90*$AT90), AV90*$AJ90)</f>
        <v>0</v>
      </c>
      <c r="AY90" s="587">
        <f>[1]COMMANDE!Q88</f>
        <v>0</v>
      </c>
      <c r="AZ90" s="586" t="str">
        <f>_xlfn.IFS(AND($AI90=$AM90,$AI90&gt;0,$AM90&gt;0,AY90&gt;0), AY90,     AND(NOT($AI90=$AM90),$AI90&gt;0,$AM90&gt;0,AY90&gt;0), ($AM90*AY90)/$AI90,     AND($AI90=0,$AM90&gt;0,$AQ90&gt;0), IF(INDEX(AY$12:AY$263,MATCH($AQ90,$AP$12:$AP$263,0))&gt;0,($AM90*INDEX(AY$12:AY$263,MATCH($AQ90,$AP$12:$AP$263,0)))/INDEX($AI$12:$AI$263,MATCH($AQ90,$AP$12:$AP$263,0)), "-"),     TRUE, "0")</f>
        <v>0</v>
      </c>
      <c r="BA90" s="607">
        <f>IF(AZ$9&gt;0, IF(OR(AZ90="",AZ90="-"), 0, AZ90*$AT90), AY90*$AJ90)</f>
        <v>0</v>
      </c>
      <c r="BB90" s="589">
        <f>[1]COMMANDE!S88</f>
        <v>0</v>
      </c>
      <c r="BC90" s="586" t="str">
        <f>_xlfn.IFS(AND($AI90=$AM90,$AI90&gt;0,$AM90&gt;0,BB90&gt;0), BB90,     AND(NOT($AI90=$AM90),$AI90&gt;0,$AM90&gt;0,BB90&gt;0), ($AM90*BB90)/$AI90,     AND($AI90=0,$AM90&gt;0,$AQ90&gt;0), IF(INDEX(BB$12:BB$263,MATCH($AQ90,$AP$12:$AP$263,0))&gt;0,($AM90*INDEX(BB$12:BB$263,MATCH($AQ90,$AP$12:$AP$263,0)))/INDEX($AI$12:$AI$263,MATCH($AQ90,$AP$12:$AP$263,0)), "-"),     TRUE, "0")</f>
        <v>0</v>
      </c>
      <c r="BD90" s="588">
        <f>IF(BC$9&gt;0, IF(OR(BC90="",BC90="-"), 0, BC90*$AT90), BB90*$AJ90)</f>
        <v>0</v>
      </c>
      <c r="BE90" s="587">
        <f>[1]COMMANDE!U88</f>
        <v>0</v>
      </c>
      <c r="BF90" s="586" t="str">
        <f>_xlfn.IFS(AND($AI90=$AM90,$AI90&gt;0,$AM90&gt;0,BE90&gt;0), BE90,     AND(NOT($AI90=$AM90),$AI90&gt;0,$AM90&gt;0,BE90&gt;0), ($AM90*BE90)/$AI90,     AND($AI90=0,$AM90&gt;0,$AQ90&gt;0), IF(INDEX(BE$12:BE$263,MATCH($AQ90,$AP$12:$AP$263,0))&gt;0,($AM90*INDEX(BE$12:BE$263,MATCH($AQ90,$AP$12:$AP$263,0)))/INDEX($AI$12:$AI$263,MATCH($AQ90,$AP$12:$AP$263,0)), "-"),     TRUE, "0")</f>
        <v>0</v>
      </c>
      <c r="BG90" s="607">
        <f>IF(BF$9&gt;0, IF(OR(BF90="",BF90="-"), 0, BF90*$AT90), BE90*$AJ90)</f>
        <v>0</v>
      </c>
      <c r="BH90" s="589">
        <f>[1]COMMANDE!W88</f>
        <v>0</v>
      </c>
      <c r="BI90" s="586" t="str">
        <f>_xlfn.IFS(AND($AI90=$AM90,$AI90&gt;0,$AM90&gt;0,BH90&gt;0), BH90,     AND(NOT($AI90=$AM90),$AI90&gt;0,$AM90&gt;0,BH90&gt;0), ($AM90*BH90)/$AI90,     AND($AI90=0,$AM90&gt;0,$AQ90&gt;0), IF(INDEX(BH$12:BH$263,MATCH($AQ90,$AP$12:$AP$263,0))&gt;0,($AM90*INDEX(BH$12:BH$263,MATCH($AQ90,$AP$12:$AP$263,0)))/INDEX($AI$12:$AI$263,MATCH($AQ90,$AP$12:$AP$263,0)), "-"),     TRUE, "0")</f>
        <v>0</v>
      </c>
      <c r="BJ90" s="588">
        <f>IF(BI$9&gt;0, IF(OR(BI90="",BI90="-"), 0, BI90*$AT90), BH90*$AJ90)</f>
        <v>0</v>
      </c>
      <c r="BK90" s="587">
        <f>[1]COMMANDE!Y88</f>
        <v>0</v>
      </c>
      <c r="BL90" s="586" t="str">
        <f>_xlfn.IFS(AND($AI90=$AM90,$AI90&gt;0,$AM90&gt;0,BK90&gt;0), BK90,     AND(NOT($AI90=$AM90),$AI90&gt;0,$AM90&gt;0,BK90&gt;0), ($AM90*BK90)/$AI90,     AND($AI90=0,$AM90&gt;0,$AQ90&gt;0), IF(INDEX(BK$12:BK$263,MATCH($AQ90,$AP$12:$AP$263,0))&gt;0,($AM90*INDEX(BK$12:BK$263,MATCH($AQ90,$AP$12:$AP$263,0)))/INDEX($AI$12:$AI$263,MATCH($AQ90,$AP$12:$AP$263,0)), "-"),     TRUE, "0")</f>
        <v>0</v>
      </c>
      <c r="BM90" s="607">
        <f>IF(BL$9&gt;0, IF(OR(BL90="",BL90="-"), 0, BL90*$AT90), BK90*$AJ90)</f>
        <v>0</v>
      </c>
      <c r="BN90" s="589">
        <f>[1]COMMANDE!AA88</f>
        <v>0</v>
      </c>
      <c r="BO90" s="586" t="str">
        <f>_xlfn.IFS(AND($AI90=$AM90,$AI90&gt;0,$AM90&gt;0,BN90&gt;0), BN90,     AND(NOT($AI90=$AM90),$AI90&gt;0,$AM90&gt;0,BN90&gt;0), ($AM90*BN90)/$AI90,     AND($AI90=0,$AM90&gt;0,$AQ90&gt;0), IF(INDEX(BN$12:BN$263,MATCH($AQ90,$AP$12:$AP$263,0))&gt;0,($AM90*INDEX(BN$12:BN$263,MATCH($AQ90,$AP$12:$AP$263,0)))/INDEX($AI$12:$AI$263,MATCH($AQ90,$AP$12:$AP$263,0)), "-"),     TRUE, "0")</f>
        <v>0</v>
      </c>
      <c r="BP90" s="588">
        <f>IF(BO$9&gt;0, IF(OR(BO90="",BO90="-"), 0, BO90*$AT90), BN90*$AJ90)</f>
        <v>0</v>
      </c>
      <c r="BQ90" s="587">
        <f>[1]COMMANDE!AC88</f>
        <v>0</v>
      </c>
      <c r="BR90" s="586" t="str">
        <f>_xlfn.IFS(AND($AI90=$AM90,$AI90&gt;0,$AM90&gt;0,BQ90&gt;0), BQ90,     AND(NOT($AI90=$AM90),$AI90&gt;0,$AM90&gt;0,BQ90&gt;0), ($AM90*BQ90)/$AI90,     AND($AI90=0,$AM90&gt;0,$AQ90&gt;0), IF(INDEX(BQ$12:BQ$263,MATCH($AQ90,$AP$12:$AP$263,0))&gt;0,($AM90*INDEX(BQ$12:BQ$263,MATCH($AQ90,$AP$12:$AP$263,0)))/INDEX($AI$12:$AI$263,MATCH($AQ90,$AP$12:$AP$263,0)), "-"),     TRUE, "0")</f>
        <v>0</v>
      </c>
      <c r="BS90" s="607">
        <f>IF(BR$9&gt;0, IF(OR(BR90="",BR90="-"), 0, BR90*$AT90), BQ90*$AJ90)</f>
        <v>0</v>
      </c>
      <c r="BT90" s="589">
        <f>[1]COMMANDE!AE88</f>
        <v>0</v>
      </c>
      <c r="BU90" s="586" t="str">
        <f>_xlfn.IFS(AND($AI90=$AM90,$AI90&gt;0,$AM90&gt;0,BT90&gt;0), BT90,     AND(NOT($AI90=$AM90),$AI90&gt;0,$AM90&gt;0,BT90&gt;0), ($AM90*BT90)/$AI90,     AND($AI90=0,$AM90&gt;0,$AQ90&gt;0), IF(INDEX(BT$12:BT$263,MATCH($AQ90,$AP$12:$AP$263,0))&gt;0,($AM90*INDEX(BT$12:BT$263,MATCH($AQ90,$AP$12:$AP$263,0)))/INDEX($AI$12:$AI$263,MATCH($AQ90,$AP$12:$AP$263,0)), "-"),     TRUE, "0")</f>
        <v>0</v>
      </c>
      <c r="BV90" s="588">
        <f>IF(BU$9&gt;0, IF(OR(BU90="",BU90="-"), 0, BU90*$AT90), BT90*$AJ90)</f>
        <v>0</v>
      </c>
      <c r="BW90" s="587">
        <f>[1]COMMANDE!AG88</f>
        <v>0</v>
      </c>
      <c r="BX90" s="586" t="str">
        <f>_xlfn.IFS(AND($AI90=$AM90,$AI90&gt;0,$AM90&gt;0,BW90&gt;0), BW90,     AND(NOT($AI90=$AM90),$AI90&gt;0,$AM90&gt;0,BW90&gt;0), ($AM90*BW90)/$AI90,     AND($AI90=0,$AM90&gt;0,$AQ90&gt;0), IF(INDEX(BW$12:BW$263,MATCH($AQ90,$AP$12:$AP$263,0))&gt;0,($AM90*INDEX(BW$12:BW$263,MATCH($AQ90,$AP$12:$AP$263,0)))/INDEX($AI$12:$AI$263,MATCH($AQ90,$AP$12:$AP$263,0)), "-"),     TRUE, "0")</f>
        <v>0</v>
      </c>
      <c r="BY90" s="607">
        <f>IF(BX$9&gt;0, IF(OR(BX90="",BX90="-"), 0, BX90*$AT90), BW90*$AJ90)</f>
        <v>0</v>
      </c>
      <c r="BZ90" s="589">
        <f>[1]COMMANDE!AI88</f>
        <v>0</v>
      </c>
      <c r="CA90" s="586" t="str">
        <f>_xlfn.IFS(AND($AI90=$AM90,$AI90&gt;0,$AM90&gt;0,BZ90&gt;0), BZ90,     AND(NOT($AI90=$AM90),$AI90&gt;0,$AM90&gt;0,BZ90&gt;0), ($AM90*BZ90)/$AI90,     AND($AI90=0,$AM90&gt;0,$AQ90&gt;0), IF(INDEX(BZ$12:BZ$263,MATCH($AQ90,$AP$12:$AP$263,0))&gt;0,($AM90*INDEX(BZ$12:BZ$263,MATCH($AQ90,$AP$12:$AP$263,0)))/INDEX($AI$12:$AI$263,MATCH($AQ90,$AP$12:$AP$263,0)), "-"),     TRUE, "0")</f>
        <v>0</v>
      </c>
      <c r="CB90" s="588">
        <f>IF(CA$9&gt;0, IF(OR(CA90="",CA90="-"), 0, CA90*$AT90), BZ90*$AJ90)</f>
        <v>0</v>
      </c>
      <c r="CC90" s="587">
        <f>[1]COMMANDE!AK88</f>
        <v>0</v>
      </c>
      <c r="CD90" s="586" t="str">
        <f>_xlfn.IFS(AND($AI90=$AM90,$AI90&gt;0,$AM90&gt;0,CC90&gt;0), CC90,     AND(NOT($AI90=$AM90),$AI90&gt;0,$AM90&gt;0,CC90&gt;0), ($AM90*CC90)/$AI90,     AND($AI90=0,$AM90&gt;0,$AQ90&gt;0), IF(INDEX(CC$12:CC$263,MATCH($AQ90,$AP$12:$AP$263,0))&gt;0,($AM90*INDEX(CC$12:CC$263,MATCH($AQ90,$AP$12:$AP$263,0)))/INDEX($AI$12:$AI$263,MATCH($AQ90,$AP$12:$AP$263,0)), "-"),     TRUE, "0")</f>
        <v>0</v>
      </c>
      <c r="CE90" s="607">
        <f>IF(CD$9&gt;0, IF(OR(CD90="",CD90="-"), 0, CD90*$AT90), CC90*$AJ90)</f>
        <v>0</v>
      </c>
      <c r="CF90" s="589">
        <f>[1]COMMANDE!AM88</f>
        <v>0</v>
      </c>
      <c r="CG90" s="586" t="str">
        <f>_xlfn.IFS(AND($AI90=$AM90,$AI90&gt;0,$AM90&gt;0,CF90&gt;0), CF90,     AND(NOT($AI90=$AM90),$AI90&gt;0,$AM90&gt;0,CF90&gt;0), ($AM90*CF90)/$AI90,     AND($AI90=0,$AM90&gt;0,$AQ90&gt;0), IF(INDEX(CF$12:CF$263,MATCH($AQ90,$AP$12:$AP$263,0))&gt;0,($AM90*INDEX(CF$12:CF$263,MATCH($AQ90,$AP$12:$AP$263,0)))/INDEX($AI$12:$AI$263,MATCH($AQ90,$AP$12:$AP$263,0)), "-"),     TRUE, "0")</f>
        <v>0</v>
      </c>
      <c r="CH90" s="588">
        <f>IF(CG$9&gt;0, IF(OR(CG90="",CG90="-"), 0, CG90*$AT90), CF90*$AJ90)</f>
        <v>0</v>
      </c>
      <c r="CI90" s="587">
        <f>[1]COMMANDE!AO88</f>
        <v>0</v>
      </c>
      <c r="CJ90" s="586" t="str">
        <f>_xlfn.IFS(AND($AI90=$AM90,$AI90&gt;0,$AM90&gt;0,CI90&gt;0), CI90,     AND(NOT($AI90=$AM90),$AI90&gt;0,$AM90&gt;0,CI90&gt;0), ($AM90*CI90)/$AI90,     AND($AI90=0,$AM90&gt;0,$AQ90&gt;0), IF(INDEX(CI$12:CI$263,MATCH($AQ90,$AP$12:$AP$263,0))&gt;0,($AM90*INDEX(CI$12:CI$263,MATCH($AQ90,$AP$12:$AP$263,0)))/INDEX($AI$12:$AI$263,MATCH($AQ90,$AP$12:$AP$263,0)), "-"),     TRUE, "0")</f>
        <v>0</v>
      </c>
      <c r="CK90" s="607">
        <f>IF(CJ$9&gt;0, IF(OR(CJ90="",CJ90="-"), 0, CJ90*$AT90), CI90*$AJ90)</f>
        <v>0</v>
      </c>
      <c r="CL90" s="589">
        <f>[1]COMMANDE!AQ88</f>
        <v>0</v>
      </c>
      <c r="CM90" s="586" t="str">
        <f>_xlfn.IFS(AND($AI90=$AM90,$AI90&gt;0,$AM90&gt;0,CL90&gt;0), CL90,     AND(NOT($AI90=$AM90),$AI90&gt;0,$AM90&gt;0,CL90&gt;0), ($AM90*CL90)/$AI90,     AND($AI90=0,$AM90&gt;0,$AQ90&gt;0), IF(INDEX(CL$12:CL$263,MATCH($AQ90,$AP$12:$AP$263,0))&gt;0,($AM90*INDEX(CL$12:CL$263,MATCH($AQ90,$AP$12:$AP$263,0)))/INDEX($AI$12:$AI$263,MATCH($AQ90,$AP$12:$AP$263,0)), "-"),     TRUE, "0")</f>
        <v>0</v>
      </c>
      <c r="CN90" s="588">
        <f>IF(CM$9&gt;0, IF(OR(CM90="",CM90="-"), 0, CM90*$AT90), CL90*$AJ90)</f>
        <v>0</v>
      </c>
      <c r="CO90" s="587">
        <f>[1]COMMANDE!AS88</f>
        <v>0</v>
      </c>
      <c r="CP90" s="586" t="str">
        <f>_xlfn.IFS(AND($AI90=$AM90,$AI90&gt;0,$AM90&gt;0,CO90&gt;0), CO90,     AND(NOT($AI90=$AM90),$AI90&gt;0,$AM90&gt;0,CO90&gt;0), ($AM90*CO90)/$AI90,     AND($AI90=0,$AM90&gt;0,$AQ90&gt;0), IF(INDEX(CO$12:CO$263,MATCH($AQ90,$AP$12:$AP$263,0))&gt;0,($AM90*INDEX(CO$12:CO$263,MATCH($AQ90,$AP$12:$AP$263,0)))/INDEX($AI$12:$AI$263,MATCH($AQ90,$AP$12:$AP$263,0)), "-"),     TRUE, "0")</f>
        <v>0</v>
      </c>
      <c r="CQ90" s="607">
        <f>IF(CP$9&gt;0, IF(OR(CP90="",CP90="-"), 0, CP90*$AT90), CO90*$AJ90)</f>
        <v>0</v>
      </c>
      <c r="CR90" s="589">
        <f>[1]COMMANDE!AU88</f>
        <v>0</v>
      </c>
      <c r="CS90" s="586" t="str">
        <f>_xlfn.IFS(AND($AI90=$AM90,$AI90&gt;0,$AM90&gt;0,CR90&gt;0), CR90,     AND(NOT($AI90=$AM90),$AI90&gt;0,$AM90&gt;0,CR90&gt;0), ($AM90*CR90)/$AI90,     AND($AI90=0,$AM90&gt;0,$AQ90&gt;0), IF(INDEX(CR$12:CR$263,MATCH($AQ90,$AP$12:$AP$263,0))&gt;0,($AM90*INDEX(CR$12:CR$263,MATCH($AQ90,$AP$12:$AP$263,0)))/INDEX($AI$12:$AI$263,MATCH($AQ90,$AP$12:$AP$263,0)), "-"),     TRUE, "0")</f>
        <v>0</v>
      </c>
      <c r="CT90" s="588">
        <f>IF(CS$9&gt;0, IF(OR(CS90="",CS90="-"), 0, CS90*$AT90), CR90*$AJ90)</f>
        <v>0</v>
      </c>
      <c r="CU90" s="587">
        <f>[1]COMMANDE!AW88</f>
        <v>0</v>
      </c>
      <c r="CV90" s="586" t="str">
        <f>_xlfn.IFS(AND($AI90=$AM90,$AI90&gt;0,$AM90&gt;0,CU90&gt;0), CU90,     AND(NOT($AI90=$AM90),$AI90&gt;0,$AM90&gt;0,CU90&gt;0), ($AM90*CU90)/$AI90,     AND($AI90=0,$AM90&gt;0,$AQ90&gt;0), IF(INDEX(CU$12:CU$263,MATCH($AQ90,$AP$12:$AP$263,0))&gt;0,($AM90*INDEX(CU$12:CU$263,MATCH($AQ90,$AP$12:$AP$263,0)))/INDEX($AI$12:$AI$263,MATCH($AQ90,$AP$12:$AP$263,0)), "-"),     TRUE, "0")</f>
        <v>0</v>
      </c>
      <c r="CW90" s="607">
        <f>IF(CV$9&gt;0, IF(OR(CV90="",CV90="-"), 0, CV90*$AT90), CU90*$AJ90)</f>
        <v>0</v>
      </c>
      <c r="CX90" s="589">
        <f>[1]COMMANDE!AY88</f>
        <v>0</v>
      </c>
      <c r="CY90" s="586" t="str">
        <f>_xlfn.IFS(AND($AI90=$AM90,$AI90&gt;0,$AM90&gt;0,CX90&gt;0), CX90,     AND(NOT($AI90=$AM90),$AI90&gt;0,$AM90&gt;0,CX90&gt;0), ($AM90*CX90)/$AI90,     AND($AI90=0,$AM90&gt;0,$AQ90&gt;0), IF(INDEX(CX$12:CX$263,MATCH($AQ90,$AP$12:$AP$263,0))&gt;0,($AM90*INDEX(CX$12:CX$263,MATCH($AQ90,$AP$12:$AP$263,0)))/INDEX($AI$12:$AI$263,MATCH($AQ90,$AP$12:$AP$263,0)), "-"),     TRUE, "0")</f>
        <v>0</v>
      </c>
      <c r="CZ90" s="588">
        <f>IF(CY$9&gt;0, IF(OR(CY90="",CY90="-"), 0, CY90*$AT90), CX90*$AJ90)</f>
        <v>0</v>
      </c>
      <c r="DA90" s="587">
        <f>[1]COMMANDE!BA88</f>
        <v>0</v>
      </c>
      <c r="DB90" s="586" t="str">
        <f>_xlfn.IFS(AND($AI90=$AM90,$AI90&gt;0,$AM90&gt;0,DA90&gt;0), DA90,     AND(NOT($AI90=$AM90),$AI90&gt;0,$AM90&gt;0,DA90&gt;0), ($AM90*DA90)/$AI90,     AND($AI90=0,$AM90&gt;0,$AQ90&gt;0), IF(INDEX(DA$12:DA$263,MATCH($AQ90,$AP$12:$AP$263,0))&gt;0,($AM90*INDEX(DA$12:DA$263,MATCH($AQ90,$AP$12:$AP$263,0)))/INDEX($AI$12:$AI$263,MATCH($AQ90,$AP$12:$AP$263,0)), "-"),     TRUE, "0")</f>
        <v>0</v>
      </c>
      <c r="DC90" s="606">
        <f>IF(DB$9&gt;0, IF(OR(DB90="",DB90="-"), 0, DB90*$AT90), DA90*$AJ90)</f>
        <v>0</v>
      </c>
      <c r="DD90" s="584"/>
      <c r="DE90" s="583"/>
    </row>
    <row r="91" spans="1:109" ht="39.950000000000003" hidden="1" customHeight="1">
      <c r="A91" s="604">
        <f>IF(OR($AV91&gt;0, $AX91&gt;0), 1, 0)</f>
        <v>0</v>
      </c>
      <c r="B91" s="604">
        <f>IF(OR($AY91&gt;0, $BA91&gt;0), 1, 0)</f>
        <v>0</v>
      </c>
      <c r="C91" s="604">
        <f>IF(OR($BB91&gt;0, $BD91&gt;0), 1, 0)</f>
        <v>0</v>
      </c>
      <c r="D91" s="604">
        <f>IF(OR($BE91&gt;0, $BG91&gt;0), 1, 0)</f>
        <v>0</v>
      </c>
      <c r="E91" s="604">
        <f>IF(OR($BH91&gt;0, $BJ91&gt;0), 1, 0)</f>
        <v>0</v>
      </c>
      <c r="F91" s="604">
        <f>IF(OR($BK91&gt;0, $BM91&gt;0), 1, 0)</f>
        <v>0</v>
      </c>
      <c r="G91" s="604">
        <f>IF(OR($BN91&gt;0, $BP91&gt;0), 1, 0)</f>
        <v>0</v>
      </c>
      <c r="H91" s="604">
        <f>IF(OR($BQ91&gt;0, $BS91&gt;0), 1, 0)</f>
        <v>0</v>
      </c>
      <c r="I91" s="604">
        <f>IF(OR($BT91&gt;0, $BV91&gt;0), 1, 0)</f>
        <v>0</v>
      </c>
      <c r="J91" s="604">
        <f>IF(OR($BW91&gt;0, $BY91&gt;0), 1, 0)</f>
        <v>0</v>
      </c>
      <c r="K91" s="604">
        <f>IF(OR($BZ91&gt;0, $CB91&gt;0), 1, 0)</f>
        <v>0</v>
      </c>
      <c r="L91" s="604">
        <f>IF(OR($CC91&gt;0, $CE91&gt;0), 1, 0)</f>
        <v>0</v>
      </c>
      <c r="M91" s="604">
        <f>IF(OR($CF91&gt;0, $CH91&gt;0), 1, 0)</f>
        <v>0</v>
      </c>
      <c r="N91" s="604">
        <f>IF(OR($CI91&gt;0, $CK91&gt;0), 1, 0)</f>
        <v>0</v>
      </c>
      <c r="O91" s="604">
        <f>IF(OR($CL91&gt;0, $CN91&gt;0), 1, 0)</f>
        <v>0</v>
      </c>
      <c r="P91" s="604">
        <f>IF(OR($CO91&gt;0, $CQ91&gt;0), 1, 0)</f>
        <v>0</v>
      </c>
      <c r="Q91" s="604">
        <f>IF(OR($CR91&gt;0, $CT91&gt;0), 1, 0)</f>
        <v>0</v>
      </c>
      <c r="R91" s="604">
        <f>IF(OR($CU91&gt;0, $CW91&gt;0), 1, 0)</f>
        <v>0</v>
      </c>
      <c r="S91" s="604">
        <f>IF(OR($CX91&gt;0, $CZ91&gt;0), 1, 0)</f>
        <v>0</v>
      </c>
      <c r="T91" s="604">
        <f>IF(OR($DA91&gt;0, $DC91&gt;0), 1, 0)</f>
        <v>0</v>
      </c>
      <c r="U91" s="603">
        <f>IF(OR($AI91&gt;0,$AM91&gt;0,$AS91&gt;0), 1, 0)</f>
        <v>0</v>
      </c>
      <c r="V91" s="602">
        <f>[1]BDD!A81</f>
        <v>3893</v>
      </c>
      <c r="W91" s="601" t="str">
        <f>[1]BDD!B81</f>
        <v>Courge cabello de ángel</v>
      </c>
      <c r="X91" s="600" t="str">
        <f>IF([1]BDD!F81=0, "", [1]BDD!F81)</f>
        <v/>
      </c>
      <c r="Y91" s="542">
        <f>ROUND([1]BDD!G81+FDP_CMD_KG, 2)</f>
        <v>2.5</v>
      </c>
      <c r="Z91" s="542">
        <f>ROUND([1]BDD!G81+FDP_FACT_KG, 2)</f>
        <v>2.5</v>
      </c>
      <c r="AA91" s="543" t="str">
        <f>[1]BDD!H81</f>
        <v>kg</v>
      </c>
      <c r="AB91" s="544">
        <f>IF(NOT(ISBLANK([1]BDD!I81)), ROUND(SUM(([1]BDD!G81*reduc1),FDP_CMD_KG), 2), "")</f>
        <v>2.34</v>
      </c>
      <c r="AC91" s="544" t="str">
        <f>IF(NOT(ISBLANK([1]BDD!J81)), ROUND(SUM(([1]BDD!G81*reduc2),FDP_CMD_KG), 2), "")</f>
        <v/>
      </c>
      <c r="AD91" s="544" t="str">
        <f>IF(NOT(ISBLANK([1]BDD!K81)), ROUND(SUM(([1]BDD!G81*reduc3),FDP_CMD_KG), 2), "")</f>
        <v/>
      </c>
      <c r="AE91" s="544">
        <f>IF(NOT(ISBLANK([1]BDD!I81)), ROUND(SUM(([1]BDD!G81*reduc1),FDP_FACT_KG), 2), "")</f>
        <v>2.33</v>
      </c>
      <c r="AF91" s="544" t="str">
        <f>IF(NOT(ISBLANK([1]BDD!J81)), ROUND(SUM(([1]BDD!G81*reduc2),FDP_FACT_KG), 2), "")</f>
        <v/>
      </c>
      <c r="AG91" s="544" t="str">
        <f>IF(NOT(ISBLANK([1]BDD!K81)), ROUND(SUM(([1]BDD!G81*reduc3),FDP_FACT_KG), 2), "")</f>
        <v/>
      </c>
      <c r="AH91" s="599" t="str">
        <f>[1]BDD!C81</f>
        <v>Grenade</v>
      </c>
      <c r="AI91" s="598">
        <f>SUM(AV91,AY91,BB91,BE91,BH91,BK91,BN91,BQ91,BT91,BW91,BZ91,CC91,CF91,CI91,CL91,CO91,CR91,CU91,CX91,DA91)</f>
        <v>0</v>
      </c>
      <c r="AJ91" s="545">
        <f>_xlfn.IFS($AD91&lt;&gt;"", $AD91,    $AC91&lt;&gt;"", $AC91,    $AB91&lt;&gt;"", $AB91,    TRUE, $Y91)</f>
        <v>2.34</v>
      </c>
      <c r="AK91" s="592">
        <f>$AI91*$AJ91</f>
        <v>0</v>
      </c>
      <c r="AL91" s="594"/>
      <c r="AM91" s="597"/>
      <c r="AN91" s="545">
        <f>_xlfn.IFS(AND(AM91&gt;=60,$AG91&lt;&gt;""), $AG91,    AND(AM91&gt;=30,$AF91&lt;&gt;""), $AF91,    AND(AM91&gt;=10,$AE91&lt;&gt;""), $AE91,    TRUE, $Z91)</f>
        <v>2.5</v>
      </c>
      <c r="AO91" s="596">
        <f>AM91*AN91</f>
        <v>0</v>
      </c>
      <c r="AP91" s="595"/>
      <c r="AQ91" s="595"/>
      <c r="AR91" s="594"/>
      <c r="AS91" s="593">
        <f>SUM(AW91,AZ91,BC91,BF91,BI91,BL91,BO91,BR91,BU91,BX91,CA91,CD91,CG91,CJ91,CM91,CP91,CS91,CV91,CY91,DB91)</f>
        <v>0</v>
      </c>
      <c r="AT91" s="545">
        <f>_xlfn.IFS(AND(AS91&gt;=60,$AG91&lt;&gt;""), $AG91,    AND(AS91&gt;=30,$AF91&lt;&gt;""), $AF91,    AND(AS91&gt;=10,$AE91&lt;&gt;""), $AE91,    TRUE, $Z91)</f>
        <v>2.5</v>
      </c>
      <c r="AU91" s="592">
        <f>$AS91*$AT91</f>
        <v>0</v>
      </c>
      <c r="AV91" s="591">
        <f>[1]COMMANDE!O89</f>
        <v>0</v>
      </c>
      <c r="AW91" s="586" t="str">
        <f>_xlfn.IFS(AND($AI91=$AM91,$AI91&gt;0,$AM91&gt;0,AV91&gt;0), AV91,     AND(NOT($AI91=$AM91),$AI91&gt;0,$AM91&gt;0,AV91&gt;0), ($AM91*AV91)/$AI91,     AND($AI91=0,$AM91&gt;0,$AQ91&gt;0), IF(INDEX(AV$12:AV$263,MATCH($AQ91,$AP$12:$AP$263,0))&gt;0,($AM91*INDEX(AV$12:AV$263,MATCH($AQ91,$AP$12:$AP$263,0)))/INDEX($AI$12:$AI$263,MATCH($AQ91,$AP$12:$AP$263,0)), "-"),     TRUE, "0")</f>
        <v>0</v>
      </c>
      <c r="AX91" s="588">
        <f>IF(AW$9&gt;0, IF(OR(AW91="",AW91="-"), 0, AW91*$AT91), AV91*$AJ91)</f>
        <v>0</v>
      </c>
      <c r="AY91" s="587">
        <f>[1]COMMANDE!Q89</f>
        <v>0</v>
      </c>
      <c r="AZ91" s="586" t="str">
        <f>_xlfn.IFS(AND($AI91=$AM91,$AI91&gt;0,$AM91&gt;0,AY91&gt;0), AY91,     AND(NOT($AI91=$AM91),$AI91&gt;0,$AM91&gt;0,AY91&gt;0), ($AM91*AY91)/$AI91,     AND($AI91=0,$AM91&gt;0,$AQ91&gt;0), IF(INDEX(AY$12:AY$263,MATCH($AQ91,$AP$12:$AP$263,0))&gt;0,($AM91*INDEX(AY$12:AY$263,MATCH($AQ91,$AP$12:$AP$263,0)))/INDEX($AI$12:$AI$263,MATCH($AQ91,$AP$12:$AP$263,0)), "-"),     TRUE, "0")</f>
        <v>0</v>
      </c>
      <c r="BA91" s="607">
        <f>IF(AZ$9&gt;0, IF(OR(AZ91="",AZ91="-"), 0, AZ91*$AT91), AY91*$AJ91)</f>
        <v>0</v>
      </c>
      <c r="BB91" s="589">
        <f>[1]COMMANDE!S89</f>
        <v>0</v>
      </c>
      <c r="BC91" s="586" t="str">
        <f>_xlfn.IFS(AND($AI91=$AM91,$AI91&gt;0,$AM91&gt;0,BB91&gt;0), BB91,     AND(NOT($AI91=$AM91),$AI91&gt;0,$AM91&gt;0,BB91&gt;0), ($AM91*BB91)/$AI91,     AND($AI91=0,$AM91&gt;0,$AQ91&gt;0), IF(INDEX(BB$12:BB$263,MATCH($AQ91,$AP$12:$AP$263,0))&gt;0,($AM91*INDEX(BB$12:BB$263,MATCH($AQ91,$AP$12:$AP$263,0)))/INDEX($AI$12:$AI$263,MATCH($AQ91,$AP$12:$AP$263,0)), "-"),     TRUE, "0")</f>
        <v>0</v>
      </c>
      <c r="BD91" s="588">
        <f>IF(BC$9&gt;0, IF(OR(BC91="",BC91="-"), 0, BC91*$AT91), BB91*$AJ91)</f>
        <v>0</v>
      </c>
      <c r="BE91" s="587">
        <f>[1]COMMANDE!U89</f>
        <v>0</v>
      </c>
      <c r="BF91" s="586" t="str">
        <f>_xlfn.IFS(AND($AI91=$AM91,$AI91&gt;0,$AM91&gt;0,BE91&gt;0), BE91,     AND(NOT($AI91=$AM91),$AI91&gt;0,$AM91&gt;0,BE91&gt;0), ($AM91*BE91)/$AI91,     AND($AI91=0,$AM91&gt;0,$AQ91&gt;0), IF(INDEX(BE$12:BE$263,MATCH($AQ91,$AP$12:$AP$263,0))&gt;0,($AM91*INDEX(BE$12:BE$263,MATCH($AQ91,$AP$12:$AP$263,0)))/INDEX($AI$12:$AI$263,MATCH($AQ91,$AP$12:$AP$263,0)), "-"),     TRUE, "0")</f>
        <v>0</v>
      </c>
      <c r="BG91" s="607">
        <f>IF(BF$9&gt;0, IF(OR(BF91="",BF91="-"), 0, BF91*$AT91), BE91*$AJ91)</f>
        <v>0</v>
      </c>
      <c r="BH91" s="589">
        <f>[1]COMMANDE!W89</f>
        <v>0</v>
      </c>
      <c r="BI91" s="586" t="str">
        <f>_xlfn.IFS(AND($AI91=$AM91,$AI91&gt;0,$AM91&gt;0,BH91&gt;0), BH91,     AND(NOT($AI91=$AM91),$AI91&gt;0,$AM91&gt;0,BH91&gt;0), ($AM91*BH91)/$AI91,     AND($AI91=0,$AM91&gt;0,$AQ91&gt;0), IF(INDEX(BH$12:BH$263,MATCH($AQ91,$AP$12:$AP$263,0))&gt;0,($AM91*INDEX(BH$12:BH$263,MATCH($AQ91,$AP$12:$AP$263,0)))/INDEX($AI$12:$AI$263,MATCH($AQ91,$AP$12:$AP$263,0)), "-"),     TRUE, "0")</f>
        <v>0</v>
      </c>
      <c r="BJ91" s="588">
        <f>IF(BI$9&gt;0, IF(OR(BI91="",BI91="-"), 0, BI91*$AT91), BH91*$AJ91)</f>
        <v>0</v>
      </c>
      <c r="BK91" s="587">
        <f>[1]COMMANDE!Y89</f>
        <v>0</v>
      </c>
      <c r="BL91" s="586" t="str">
        <f>_xlfn.IFS(AND($AI91=$AM91,$AI91&gt;0,$AM91&gt;0,BK91&gt;0), BK91,     AND(NOT($AI91=$AM91),$AI91&gt;0,$AM91&gt;0,BK91&gt;0), ($AM91*BK91)/$AI91,     AND($AI91=0,$AM91&gt;0,$AQ91&gt;0), IF(INDEX(BK$12:BK$263,MATCH($AQ91,$AP$12:$AP$263,0))&gt;0,($AM91*INDEX(BK$12:BK$263,MATCH($AQ91,$AP$12:$AP$263,0)))/INDEX($AI$12:$AI$263,MATCH($AQ91,$AP$12:$AP$263,0)), "-"),     TRUE, "0")</f>
        <v>0</v>
      </c>
      <c r="BM91" s="607">
        <f>IF(BL$9&gt;0, IF(OR(BL91="",BL91="-"), 0, BL91*$AT91), BK91*$AJ91)</f>
        <v>0</v>
      </c>
      <c r="BN91" s="589">
        <f>[1]COMMANDE!AA89</f>
        <v>0</v>
      </c>
      <c r="BO91" s="586" t="str">
        <f>_xlfn.IFS(AND($AI91=$AM91,$AI91&gt;0,$AM91&gt;0,BN91&gt;0), BN91,     AND(NOT($AI91=$AM91),$AI91&gt;0,$AM91&gt;0,BN91&gt;0), ($AM91*BN91)/$AI91,     AND($AI91=0,$AM91&gt;0,$AQ91&gt;0), IF(INDEX(BN$12:BN$263,MATCH($AQ91,$AP$12:$AP$263,0))&gt;0,($AM91*INDEX(BN$12:BN$263,MATCH($AQ91,$AP$12:$AP$263,0)))/INDEX($AI$12:$AI$263,MATCH($AQ91,$AP$12:$AP$263,0)), "-"),     TRUE, "0")</f>
        <v>0</v>
      </c>
      <c r="BP91" s="588">
        <f>IF(BO$9&gt;0, IF(OR(BO91="",BO91="-"), 0, BO91*$AT91), BN91*$AJ91)</f>
        <v>0</v>
      </c>
      <c r="BQ91" s="587">
        <f>[1]COMMANDE!AC89</f>
        <v>0</v>
      </c>
      <c r="BR91" s="586" t="str">
        <f>_xlfn.IFS(AND($AI91=$AM91,$AI91&gt;0,$AM91&gt;0,BQ91&gt;0), BQ91,     AND(NOT($AI91=$AM91),$AI91&gt;0,$AM91&gt;0,BQ91&gt;0), ($AM91*BQ91)/$AI91,     AND($AI91=0,$AM91&gt;0,$AQ91&gt;0), IF(INDEX(BQ$12:BQ$263,MATCH($AQ91,$AP$12:$AP$263,0))&gt;0,($AM91*INDEX(BQ$12:BQ$263,MATCH($AQ91,$AP$12:$AP$263,0)))/INDEX($AI$12:$AI$263,MATCH($AQ91,$AP$12:$AP$263,0)), "-"),     TRUE, "0")</f>
        <v>0</v>
      </c>
      <c r="BS91" s="607">
        <f>IF(BR$9&gt;0, IF(OR(BR91="",BR91="-"), 0, BR91*$AT91), BQ91*$AJ91)</f>
        <v>0</v>
      </c>
      <c r="BT91" s="589">
        <f>[1]COMMANDE!AE89</f>
        <v>0</v>
      </c>
      <c r="BU91" s="586" t="str">
        <f>_xlfn.IFS(AND($AI91=$AM91,$AI91&gt;0,$AM91&gt;0,BT91&gt;0), BT91,     AND(NOT($AI91=$AM91),$AI91&gt;0,$AM91&gt;0,BT91&gt;0), ($AM91*BT91)/$AI91,     AND($AI91=0,$AM91&gt;0,$AQ91&gt;0), IF(INDEX(BT$12:BT$263,MATCH($AQ91,$AP$12:$AP$263,0))&gt;0,($AM91*INDEX(BT$12:BT$263,MATCH($AQ91,$AP$12:$AP$263,0)))/INDEX($AI$12:$AI$263,MATCH($AQ91,$AP$12:$AP$263,0)), "-"),     TRUE, "0")</f>
        <v>0</v>
      </c>
      <c r="BV91" s="588">
        <f>IF(BU$9&gt;0, IF(OR(BU91="",BU91="-"), 0, BU91*$AT91), BT91*$AJ91)</f>
        <v>0</v>
      </c>
      <c r="BW91" s="587">
        <f>[1]COMMANDE!AG89</f>
        <v>0</v>
      </c>
      <c r="BX91" s="586" t="str">
        <f>_xlfn.IFS(AND($AI91=$AM91,$AI91&gt;0,$AM91&gt;0,BW91&gt;0), BW91,     AND(NOT($AI91=$AM91),$AI91&gt;0,$AM91&gt;0,BW91&gt;0), ($AM91*BW91)/$AI91,     AND($AI91=0,$AM91&gt;0,$AQ91&gt;0), IF(INDEX(BW$12:BW$263,MATCH($AQ91,$AP$12:$AP$263,0))&gt;0,($AM91*INDEX(BW$12:BW$263,MATCH($AQ91,$AP$12:$AP$263,0)))/INDEX($AI$12:$AI$263,MATCH($AQ91,$AP$12:$AP$263,0)), "-"),     TRUE, "0")</f>
        <v>0</v>
      </c>
      <c r="BY91" s="607">
        <f>IF(BX$9&gt;0, IF(OR(BX91="",BX91="-"), 0, BX91*$AT91), BW91*$AJ91)</f>
        <v>0</v>
      </c>
      <c r="BZ91" s="589">
        <f>[1]COMMANDE!AI89</f>
        <v>0</v>
      </c>
      <c r="CA91" s="586" t="str">
        <f>_xlfn.IFS(AND($AI91=$AM91,$AI91&gt;0,$AM91&gt;0,BZ91&gt;0), BZ91,     AND(NOT($AI91=$AM91),$AI91&gt;0,$AM91&gt;0,BZ91&gt;0), ($AM91*BZ91)/$AI91,     AND($AI91=0,$AM91&gt;0,$AQ91&gt;0), IF(INDEX(BZ$12:BZ$263,MATCH($AQ91,$AP$12:$AP$263,0))&gt;0,($AM91*INDEX(BZ$12:BZ$263,MATCH($AQ91,$AP$12:$AP$263,0)))/INDEX($AI$12:$AI$263,MATCH($AQ91,$AP$12:$AP$263,0)), "-"),     TRUE, "0")</f>
        <v>0</v>
      </c>
      <c r="CB91" s="588">
        <f>IF(CA$9&gt;0, IF(OR(CA91="",CA91="-"), 0, CA91*$AT91), BZ91*$AJ91)</f>
        <v>0</v>
      </c>
      <c r="CC91" s="587">
        <f>[1]COMMANDE!AK89</f>
        <v>0</v>
      </c>
      <c r="CD91" s="586" t="str">
        <f>_xlfn.IFS(AND($AI91=$AM91,$AI91&gt;0,$AM91&gt;0,CC91&gt;0), CC91,     AND(NOT($AI91=$AM91),$AI91&gt;0,$AM91&gt;0,CC91&gt;0), ($AM91*CC91)/$AI91,     AND($AI91=0,$AM91&gt;0,$AQ91&gt;0), IF(INDEX(CC$12:CC$263,MATCH($AQ91,$AP$12:$AP$263,0))&gt;0,($AM91*INDEX(CC$12:CC$263,MATCH($AQ91,$AP$12:$AP$263,0)))/INDEX($AI$12:$AI$263,MATCH($AQ91,$AP$12:$AP$263,0)), "-"),     TRUE, "0")</f>
        <v>0</v>
      </c>
      <c r="CE91" s="607">
        <f>IF(CD$9&gt;0, IF(OR(CD91="",CD91="-"), 0, CD91*$AT91), CC91*$AJ91)</f>
        <v>0</v>
      </c>
      <c r="CF91" s="589">
        <f>[1]COMMANDE!AM89</f>
        <v>0</v>
      </c>
      <c r="CG91" s="586" t="str">
        <f>_xlfn.IFS(AND($AI91=$AM91,$AI91&gt;0,$AM91&gt;0,CF91&gt;0), CF91,     AND(NOT($AI91=$AM91),$AI91&gt;0,$AM91&gt;0,CF91&gt;0), ($AM91*CF91)/$AI91,     AND($AI91=0,$AM91&gt;0,$AQ91&gt;0), IF(INDEX(CF$12:CF$263,MATCH($AQ91,$AP$12:$AP$263,0))&gt;0,($AM91*INDEX(CF$12:CF$263,MATCH($AQ91,$AP$12:$AP$263,0)))/INDEX($AI$12:$AI$263,MATCH($AQ91,$AP$12:$AP$263,0)), "-"),     TRUE, "0")</f>
        <v>0</v>
      </c>
      <c r="CH91" s="588">
        <f>IF(CG$9&gt;0, IF(OR(CG91="",CG91="-"), 0, CG91*$AT91), CF91*$AJ91)</f>
        <v>0</v>
      </c>
      <c r="CI91" s="587">
        <f>[1]COMMANDE!AO89</f>
        <v>0</v>
      </c>
      <c r="CJ91" s="586" t="str">
        <f>_xlfn.IFS(AND($AI91=$AM91,$AI91&gt;0,$AM91&gt;0,CI91&gt;0), CI91,     AND(NOT($AI91=$AM91),$AI91&gt;0,$AM91&gt;0,CI91&gt;0), ($AM91*CI91)/$AI91,     AND($AI91=0,$AM91&gt;0,$AQ91&gt;0), IF(INDEX(CI$12:CI$263,MATCH($AQ91,$AP$12:$AP$263,0))&gt;0,($AM91*INDEX(CI$12:CI$263,MATCH($AQ91,$AP$12:$AP$263,0)))/INDEX($AI$12:$AI$263,MATCH($AQ91,$AP$12:$AP$263,0)), "-"),     TRUE, "0")</f>
        <v>0</v>
      </c>
      <c r="CK91" s="607">
        <f>IF(CJ$9&gt;0, IF(OR(CJ91="",CJ91="-"), 0, CJ91*$AT91), CI91*$AJ91)</f>
        <v>0</v>
      </c>
      <c r="CL91" s="589">
        <f>[1]COMMANDE!AQ89</f>
        <v>0</v>
      </c>
      <c r="CM91" s="586" t="str">
        <f>_xlfn.IFS(AND($AI91=$AM91,$AI91&gt;0,$AM91&gt;0,CL91&gt;0), CL91,     AND(NOT($AI91=$AM91),$AI91&gt;0,$AM91&gt;0,CL91&gt;0), ($AM91*CL91)/$AI91,     AND($AI91=0,$AM91&gt;0,$AQ91&gt;0), IF(INDEX(CL$12:CL$263,MATCH($AQ91,$AP$12:$AP$263,0))&gt;0,($AM91*INDEX(CL$12:CL$263,MATCH($AQ91,$AP$12:$AP$263,0)))/INDEX($AI$12:$AI$263,MATCH($AQ91,$AP$12:$AP$263,0)), "-"),     TRUE, "0")</f>
        <v>0</v>
      </c>
      <c r="CN91" s="588">
        <f>IF(CM$9&gt;0, IF(OR(CM91="",CM91="-"), 0, CM91*$AT91), CL91*$AJ91)</f>
        <v>0</v>
      </c>
      <c r="CO91" s="587">
        <f>[1]COMMANDE!AS89</f>
        <v>0</v>
      </c>
      <c r="CP91" s="586" t="str">
        <f>_xlfn.IFS(AND($AI91=$AM91,$AI91&gt;0,$AM91&gt;0,CO91&gt;0), CO91,     AND(NOT($AI91=$AM91),$AI91&gt;0,$AM91&gt;0,CO91&gt;0), ($AM91*CO91)/$AI91,     AND($AI91=0,$AM91&gt;0,$AQ91&gt;0), IF(INDEX(CO$12:CO$263,MATCH($AQ91,$AP$12:$AP$263,0))&gt;0,($AM91*INDEX(CO$12:CO$263,MATCH($AQ91,$AP$12:$AP$263,0)))/INDEX($AI$12:$AI$263,MATCH($AQ91,$AP$12:$AP$263,0)), "-"),     TRUE, "0")</f>
        <v>0</v>
      </c>
      <c r="CQ91" s="607">
        <f>IF(CP$9&gt;0, IF(OR(CP91="",CP91="-"), 0, CP91*$AT91), CO91*$AJ91)</f>
        <v>0</v>
      </c>
      <c r="CR91" s="589">
        <f>[1]COMMANDE!AU89</f>
        <v>0</v>
      </c>
      <c r="CS91" s="586" t="str">
        <f>_xlfn.IFS(AND($AI91=$AM91,$AI91&gt;0,$AM91&gt;0,CR91&gt;0), CR91,     AND(NOT($AI91=$AM91),$AI91&gt;0,$AM91&gt;0,CR91&gt;0), ($AM91*CR91)/$AI91,     AND($AI91=0,$AM91&gt;0,$AQ91&gt;0), IF(INDEX(CR$12:CR$263,MATCH($AQ91,$AP$12:$AP$263,0))&gt;0,($AM91*INDEX(CR$12:CR$263,MATCH($AQ91,$AP$12:$AP$263,0)))/INDEX($AI$12:$AI$263,MATCH($AQ91,$AP$12:$AP$263,0)), "-"),     TRUE, "0")</f>
        <v>0</v>
      </c>
      <c r="CT91" s="588">
        <f>IF(CS$9&gt;0, IF(OR(CS91="",CS91="-"), 0, CS91*$AT91), CR91*$AJ91)</f>
        <v>0</v>
      </c>
      <c r="CU91" s="587">
        <f>[1]COMMANDE!AW89</f>
        <v>0</v>
      </c>
      <c r="CV91" s="586" t="str">
        <f>_xlfn.IFS(AND($AI91=$AM91,$AI91&gt;0,$AM91&gt;0,CU91&gt;0), CU91,     AND(NOT($AI91=$AM91),$AI91&gt;0,$AM91&gt;0,CU91&gt;0), ($AM91*CU91)/$AI91,     AND($AI91=0,$AM91&gt;0,$AQ91&gt;0), IF(INDEX(CU$12:CU$263,MATCH($AQ91,$AP$12:$AP$263,0))&gt;0,($AM91*INDEX(CU$12:CU$263,MATCH($AQ91,$AP$12:$AP$263,0)))/INDEX($AI$12:$AI$263,MATCH($AQ91,$AP$12:$AP$263,0)), "-"),     TRUE, "0")</f>
        <v>0</v>
      </c>
      <c r="CW91" s="607">
        <f>IF(CV$9&gt;0, IF(OR(CV91="",CV91="-"), 0, CV91*$AT91), CU91*$AJ91)</f>
        <v>0</v>
      </c>
      <c r="CX91" s="589">
        <f>[1]COMMANDE!AY89</f>
        <v>0</v>
      </c>
      <c r="CY91" s="586" t="str">
        <f>_xlfn.IFS(AND($AI91=$AM91,$AI91&gt;0,$AM91&gt;0,CX91&gt;0), CX91,     AND(NOT($AI91=$AM91),$AI91&gt;0,$AM91&gt;0,CX91&gt;0), ($AM91*CX91)/$AI91,     AND($AI91=0,$AM91&gt;0,$AQ91&gt;0), IF(INDEX(CX$12:CX$263,MATCH($AQ91,$AP$12:$AP$263,0))&gt;0,($AM91*INDEX(CX$12:CX$263,MATCH($AQ91,$AP$12:$AP$263,0)))/INDEX($AI$12:$AI$263,MATCH($AQ91,$AP$12:$AP$263,0)), "-"),     TRUE, "0")</f>
        <v>0</v>
      </c>
      <c r="CZ91" s="588">
        <f>IF(CY$9&gt;0, IF(OR(CY91="",CY91="-"), 0, CY91*$AT91), CX91*$AJ91)</f>
        <v>0</v>
      </c>
      <c r="DA91" s="587">
        <f>[1]COMMANDE!BA89</f>
        <v>0</v>
      </c>
      <c r="DB91" s="586" t="str">
        <f>_xlfn.IFS(AND($AI91=$AM91,$AI91&gt;0,$AM91&gt;0,DA91&gt;0), DA91,     AND(NOT($AI91=$AM91),$AI91&gt;0,$AM91&gt;0,DA91&gt;0), ($AM91*DA91)/$AI91,     AND($AI91=0,$AM91&gt;0,$AQ91&gt;0), IF(INDEX(DA$12:DA$263,MATCH($AQ91,$AP$12:$AP$263,0))&gt;0,($AM91*INDEX(DA$12:DA$263,MATCH($AQ91,$AP$12:$AP$263,0)))/INDEX($AI$12:$AI$263,MATCH($AQ91,$AP$12:$AP$263,0)), "-"),     TRUE, "0")</f>
        <v>0</v>
      </c>
      <c r="DC91" s="606">
        <f>IF(DB$9&gt;0, IF(OR(DB91="",DB91="-"), 0, DB91*$AT91), DA91*$AJ91)</f>
        <v>0</v>
      </c>
      <c r="DD91" s="584"/>
      <c r="DE91" s="583"/>
    </row>
    <row r="92" spans="1:109" ht="39.950000000000003" customHeight="1">
      <c r="A92" s="604">
        <f>IF(OR($AV92&gt;0, $AX92&gt;0), 1, 0)</f>
        <v>1</v>
      </c>
      <c r="B92" s="604">
        <f>IF(OR($AY92&gt;0, $BA92&gt;0), 1, 0)</f>
        <v>0</v>
      </c>
      <c r="C92" s="604">
        <f>IF(OR($BB92&gt;0, $BD92&gt;0), 1, 0)</f>
        <v>1</v>
      </c>
      <c r="D92" s="604">
        <f>IF(OR($BE92&gt;0, $BG92&gt;0), 1, 0)</f>
        <v>1</v>
      </c>
      <c r="E92" s="604">
        <f>IF(OR($BH92&gt;0, $BJ92&gt;0), 1, 0)</f>
        <v>0</v>
      </c>
      <c r="F92" s="604">
        <f>IF(OR($BK92&gt;0, $BM92&gt;0), 1, 0)</f>
        <v>0</v>
      </c>
      <c r="G92" s="604">
        <f>IF(OR($BN92&gt;0, $BP92&gt;0), 1, 0)</f>
        <v>0</v>
      </c>
      <c r="H92" s="604">
        <f>IF(OR($BQ92&gt;0, $BS92&gt;0), 1, 0)</f>
        <v>0</v>
      </c>
      <c r="I92" s="604">
        <f>IF(OR($BT92&gt;0, $BV92&gt;0), 1, 0)</f>
        <v>0</v>
      </c>
      <c r="J92" s="604">
        <f>IF(OR($BW92&gt;0, $BY92&gt;0), 1, 0)</f>
        <v>0</v>
      </c>
      <c r="K92" s="604">
        <f>IF(OR($BZ92&gt;0, $CB92&gt;0), 1, 0)</f>
        <v>0</v>
      </c>
      <c r="L92" s="604">
        <f>IF(OR($CC92&gt;0, $CE92&gt;0), 1, 0)</f>
        <v>0</v>
      </c>
      <c r="M92" s="604">
        <f>IF(OR($CF92&gt;0, $CH92&gt;0), 1, 0)</f>
        <v>0</v>
      </c>
      <c r="N92" s="604">
        <f>IF(OR($CI92&gt;0, $CK92&gt;0), 1, 0)</f>
        <v>0</v>
      </c>
      <c r="O92" s="604">
        <f>IF(OR($CL92&gt;0, $CN92&gt;0), 1, 0)</f>
        <v>0</v>
      </c>
      <c r="P92" s="604">
        <f>IF(OR($CO92&gt;0, $CQ92&gt;0), 1, 0)</f>
        <v>0</v>
      </c>
      <c r="Q92" s="604">
        <f>IF(OR($CR92&gt;0, $CT92&gt;0), 1, 0)</f>
        <v>0</v>
      </c>
      <c r="R92" s="604">
        <f>IF(OR($CU92&gt;0, $CW92&gt;0), 1, 0)</f>
        <v>0</v>
      </c>
      <c r="S92" s="604">
        <f>IF(OR($CX92&gt;0, $CZ92&gt;0), 1, 0)</f>
        <v>0</v>
      </c>
      <c r="T92" s="604">
        <f>IF(OR($DA92&gt;0, $DC92&gt;0), 1, 0)</f>
        <v>0</v>
      </c>
      <c r="U92" s="603">
        <f>IF(OR($AI92&gt;0,$AM92&gt;0,$AS92&gt;0), 1, 0)</f>
        <v>1</v>
      </c>
      <c r="V92" s="602" t="str">
        <f>[1]BDD!A82</f>
        <v>1002. 932</v>
      </c>
      <c r="W92" s="601" t="str">
        <f>[1]BDD!B82</f>
        <v>Courgette BIO (1ère catégorie)</v>
      </c>
      <c r="X92" s="600" t="str">
        <f>IF([1]BDD!F82=0, "", [1]BDD!F82)</f>
        <v/>
      </c>
      <c r="Y92" s="542">
        <f>ROUND([1]BDD!G82+FDP_CMD_KG, 2)</f>
        <v>4.49</v>
      </c>
      <c r="Z92" s="542">
        <f>ROUND([1]BDD!G82+FDP_FACT_KG, 2)</f>
        <v>4.49</v>
      </c>
      <c r="AA92" s="543" t="str">
        <f>[1]BDD!H82</f>
        <v>kg</v>
      </c>
      <c r="AB92" s="544">
        <f>IF(NOT(ISBLANK([1]BDD!I82)), ROUND(SUM(([1]BDD!G82*reduc1),FDP_CMD_KG), 2), "")</f>
        <v>4.13</v>
      </c>
      <c r="AC92" s="544">
        <f>IF(NOT(ISBLANK([1]BDD!J82)), ROUND(SUM(([1]BDD!G82*reduc2),FDP_CMD_KG), 2), "")</f>
        <v>3.77</v>
      </c>
      <c r="AD92" s="544" t="str">
        <f>IF(NOT(ISBLANK([1]BDD!K82)), ROUND(SUM(([1]BDD!G82*reduc3),FDP_CMD_KG), 2), "")</f>
        <v/>
      </c>
      <c r="AE92" s="544">
        <f>IF(NOT(ISBLANK([1]BDD!I82)), ROUND(SUM(([1]BDD!G82*reduc1),FDP_FACT_KG), 2), "")</f>
        <v>4.12</v>
      </c>
      <c r="AF92" s="544">
        <f>IF(NOT(ISBLANK([1]BDD!J82)), ROUND(SUM(([1]BDD!G82*reduc2),FDP_FACT_KG), 2), "")</f>
        <v>3.76</v>
      </c>
      <c r="AG92" s="544" t="str">
        <f>IF(NOT(ISBLANK([1]BDD!K82)), ROUND(SUM(([1]BDD!G82*reduc3),FDP_FACT_KG), 2), "")</f>
        <v/>
      </c>
      <c r="AH92" s="599" t="str">
        <f>[1]BDD!C82</f>
        <v>Malaga</v>
      </c>
      <c r="AI92" s="598">
        <f>SUM(AV92,AY92,BB92,BE92,BH92,BK92,BN92,BQ92,BT92,BW92,BZ92,CC92,CF92,CI92,CL92,CO92,CR92,CU92,CX92,DA92)</f>
        <v>5</v>
      </c>
      <c r="AJ92" s="545">
        <f>_xlfn.IFS($AD92&lt;&gt;"", $AD92,    $AC92&lt;&gt;"", $AC92,    $AB92&lt;&gt;"", $AB92,    TRUE, $Y92)</f>
        <v>3.77</v>
      </c>
      <c r="AK92" s="592">
        <f>$AI92*$AJ92</f>
        <v>18.850000000000001</v>
      </c>
      <c r="AL92" s="594"/>
      <c r="AM92" s="597">
        <v>5</v>
      </c>
      <c r="AN92" s="545">
        <f>_xlfn.IFS(AND(AM92&gt;=60,$AG92&lt;&gt;""), $AG92,    AND(AM92&gt;=30,$AF92&lt;&gt;""), $AF92,    AND(AM92&gt;=10,$AE92&lt;&gt;""), $AE92,    TRUE, $Z92)</f>
        <v>4.49</v>
      </c>
      <c r="AO92" s="596">
        <f>AM92*AN92</f>
        <v>22.450000000000003</v>
      </c>
      <c r="AP92" s="595"/>
      <c r="AQ92" s="595"/>
      <c r="AR92" s="594"/>
      <c r="AS92" s="593">
        <f>SUM(AW92,AZ92,BC92,BF92,BI92,BL92,BO92,BR92,BU92,BX92,CA92,CD92,CG92,CJ92,CM92,CP92,CS92,CV92,CY92,DB92)</f>
        <v>5</v>
      </c>
      <c r="AT92" s="545">
        <f>_xlfn.IFS(AND(AS92&gt;=60,$AG92&lt;&gt;""), $AG92,    AND(AS92&gt;=30,$AF92&lt;&gt;""), $AF92,    AND(AS92&gt;=10,$AE92&lt;&gt;""), $AE92,    TRUE, $Z92)</f>
        <v>4.49</v>
      </c>
      <c r="AU92" s="592">
        <f>$AS92*$AT92</f>
        <v>22.450000000000003</v>
      </c>
      <c r="AV92" s="591">
        <f>[1]COMMANDE!O90</f>
        <v>3</v>
      </c>
      <c r="AW92" s="586">
        <f>_xlfn.IFS(AND($AI92=$AM92,$AI92&gt;0,$AM92&gt;0,AV92&gt;0), AV92,     AND(NOT($AI92=$AM92),$AI92&gt;0,$AM92&gt;0,AV92&gt;0), ($AM92*AV92)/$AI92,     AND($AI92=0,$AM92&gt;0,$AQ92&gt;0), IF(INDEX(AV$12:AV$263,MATCH($AQ92,$AP$12:$AP$263,0))&gt;0,($AM92*INDEX(AV$12:AV$263,MATCH($AQ92,$AP$12:$AP$263,0)))/INDEX($AI$12:$AI$263,MATCH($AQ92,$AP$12:$AP$263,0)), "-"),     TRUE, "0")</f>
        <v>3</v>
      </c>
      <c r="AX92" s="588">
        <f>IF(AW$9&gt;0, IF(OR(AW92="",AW92="-"), 0, AW92*$AT92), AV92*$AJ92)</f>
        <v>13.47</v>
      </c>
      <c r="AY92" s="587">
        <f>[1]COMMANDE!Q90</f>
        <v>0</v>
      </c>
      <c r="AZ92" s="586" t="str">
        <f>_xlfn.IFS(AND($AI92=$AM92,$AI92&gt;0,$AM92&gt;0,AY92&gt;0), AY92,     AND(NOT($AI92=$AM92),$AI92&gt;0,$AM92&gt;0,AY92&gt;0), ($AM92*AY92)/$AI92,     AND($AI92=0,$AM92&gt;0,$AQ92&gt;0), IF(INDEX(AY$12:AY$263,MATCH($AQ92,$AP$12:$AP$263,0))&gt;0,($AM92*INDEX(AY$12:AY$263,MATCH($AQ92,$AP$12:$AP$263,0)))/INDEX($AI$12:$AI$263,MATCH($AQ92,$AP$12:$AP$263,0)), "-"),     TRUE, "0")</f>
        <v>0</v>
      </c>
      <c r="BA92" s="607">
        <f>IF(AZ$9&gt;0, IF(OR(AZ92="",AZ92="-"), 0, AZ92*$AT92), AY92*$AJ92)</f>
        <v>0</v>
      </c>
      <c r="BB92" s="589">
        <f>[1]COMMANDE!S90</f>
        <v>1</v>
      </c>
      <c r="BC92" s="586">
        <f>_xlfn.IFS(AND($AI92=$AM92,$AI92&gt;0,$AM92&gt;0,BB92&gt;0), BB92,     AND(NOT($AI92=$AM92),$AI92&gt;0,$AM92&gt;0,BB92&gt;0), ($AM92*BB92)/$AI92,     AND($AI92=0,$AM92&gt;0,$AQ92&gt;0), IF(INDEX(BB$12:BB$263,MATCH($AQ92,$AP$12:$AP$263,0))&gt;0,($AM92*INDEX(BB$12:BB$263,MATCH($AQ92,$AP$12:$AP$263,0)))/INDEX($AI$12:$AI$263,MATCH($AQ92,$AP$12:$AP$263,0)), "-"),     TRUE, "0")</f>
        <v>1</v>
      </c>
      <c r="BD92" s="588">
        <f>IF(BC$9&gt;0, IF(OR(BC92="",BC92="-"), 0, BC92*$AT92), BB92*$AJ92)</f>
        <v>4.49</v>
      </c>
      <c r="BE92" s="587">
        <f>[1]COMMANDE!U90</f>
        <v>1</v>
      </c>
      <c r="BF92" s="586">
        <f>_xlfn.IFS(AND($AI92=$AM92,$AI92&gt;0,$AM92&gt;0,BE92&gt;0), BE92,     AND(NOT($AI92=$AM92),$AI92&gt;0,$AM92&gt;0,BE92&gt;0), ($AM92*BE92)/$AI92,     AND($AI92=0,$AM92&gt;0,$AQ92&gt;0), IF(INDEX(BE$12:BE$263,MATCH($AQ92,$AP$12:$AP$263,0))&gt;0,($AM92*INDEX(BE$12:BE$263,MATCH($AQ92,$AP$12:$AP$263,0)))/INDEX($AI$12:$AI$263,MATCH($AQ92,$AP$12:$AP$263,0)), "-"),     TRUE, "0")</f>
        <v>1</v>
      </c>
      <c r="BG92" s="607">
        <f>IF(BF$9&gt;0, IF(OR(BF92="",BF92="-"), 0, BF92*$AT92), BE92*$AJ92)</f>
        <v>4.49</v>
      </c>
      <c r="BH92" s="589">
        <f>[1]COMMANDE!W90</f>
        <v>0</v>
      </c>
      <c r="BI92" s="586" t="str">
        <f>_xlfn.IFS(AND($AI92=$AM92,$AI92&gt;0,$AM92&gt;0,BH92&gt;0), BH92,     AND(NOT($AI92=$AM92),$AI92&gt;0,$AM92&gt;0,BH92&gt;0), ($AM92*BH92)/$AI92,     AND($AI92=0,$AM92&gt;0,$AQ92&gt;0), IF(INDEX(BH$12:BH$263,MATCH($AQ92,$AP$12:$AP$263,0))&gt;0,($AM92*INDEX(BH$12:BH$263,MATCH($AQ92,$AP$12:$AP$263,0)))/INDEX($AI$12:$AI$263,MATCH($AQ92,$AP$12:$AP$263,0)), "-"),     TRUE, "0")</f>
        <v>0</v>
      </c>
      <c r="BJ92" s="588">
        <f>IF(BI$9&gt;0, IF(OR(BI92="",BI92="-"), 0, BI92*$AT92), BH92*$AJ92)</f>
        <v>0</v>
      </c>
      <c r="BK92" s="587">
        <f>[1]COMMANDE!Y90</f>
        <v>0</v>
      </c>
      <c r="BL92" s="586" t="str">
        <f>_xlfn.IFS(AND($AI92=$AM92,$AI92&gt;0,$AM92&gt;0,BK92&gt;0), BK92,     AND(NOT($AI92=$AM92),$AI92&gt;0,$AM92&gt;0,BK92&gt;0), ($AM92*BK92)/$AI92,     AND($AI92=0,$AM92&gt;0,$AQ92&gt;0), IF(INDEX(BK$12:BK$263,MATCH($AQ92,$AP$12:$AP$263,0))&gt;0,($AM92*INDEX(BK$12:BK$263,MATCH($AQ92,$AP$12:$AP$263,0)))/INDEX($AI$12:$AI$263,MATCH($AQ92,$AP$12:$AP$263,0)), "-"),     TRUE, "0")</f>
        <v>0</v>
      </c>
      <c r="BM92" s="607">
        <f>IF(BL$9&gt;0, IF(OR(BL92="",BL92="-"), 0, BL92*$AT92), BK92*$AJ92)</f>
        <v>0</v>
      </c>
      <c r="BN92" s="589">
        <f>[1]COMMANDE!AA90</f>
        <v>0</v>
      </c>
      <c r="BO92" s="586" t="str">
        <f>_xlfn.IFS(AND($AI92=$AM92,$AI92&gt;0,$AM92&gt;0,BN92&gt;0), BN92,     AND(NOT($AI92=$AM92),$AI92&gt;0,$AM92&gt;0,BN92&gt;0), ($AM92*BN92)/$AI92,     AND($AI92=0,$AM92&gt;0,$AQ92&gt;0), IF(INDEX(BN$12:BN$263,MATCH($AQ92,$AP$12:$AP$263,0))&gt;0,($AM92*INDEX(BN$12:BN$263,MATCH($AQ92,$AP$12:$AP$263,0)))/INDEX($AI$12:$AI$263,MATCH($AQ92,$AP$12:$AP$263,0)), "-"),     TRUE, "0")</f>
        <v>0</v>
      </c>
      <c r="BP92" s="588">
        <f>IF(BO$9&gt;0, IF(OR(BO92="",BO92="-"), 0, BO92*$AT92), BN92*$AJ92)</f>
        <v>0</v>
      </c>
      <c r="BQ92" s="587">
        <f>[1]COMMANDE!AC90</f>
        <v>0</v>
      </c>
      <c r="BR92" s="586" t="str">
        <f>_xlfn.IFS(AND($AI92=$AM92,$AI92&gt;0,$AM92&gt;0,BQ92&gt;0), BQ92,     AND(NOT($AI92=$AM92),$AI92&gt;0,$AM92&gt;0,BQ92&gt;0), ($AM92*BQ92)/$AI92,     AND($AI92=0,$AM92&gt;0,$AQ92&gt;0), IF(INDEX(BQ$12:BQ$263,MATCH($AQ92,$AP$12:$AP$263,0))&gt;0,($AM92*INDEX(BQ$12:BQ$263,MATCH($AQ92,$AP$12:$AP$263,0)))/INDEX($AI$12:$AI$263,MATCH($AQ92,$AP$12:$AP$263,0)), "-"),     TRUE, "0")</f>
        <v>0</v>
      </c>
      <c r="BS92" s="607">
        <f>IF(BR$9&gt;0, IF(OR(BR92="",BR92="-"), 0, BR92*$AT92), BQ92*$AJ92)</f>
        <v>0</v>
      </c>
      <c r="BT92" s="589">
        <f>[1]COMMANDE!AE90</f>
        <v>0</v>
      </c>
      <c r="BU92" s="586" t="str">
        <f>_xlfn.IFS(AND($AI92=$AM92,$AI92&gt;0,$AM92&gt;0,BT92&gt;0), BT92,     AND(NOT($AI92=$AM92),$AI92&gt;0,$AM92&gt;0,BT92&gt;0), ($AM92*BT92)/$AI92,     AND($AI92=0,$AM92&gt;0,$AQ92&gt;0), IF(INDEX(BT$12:BT$263,MATCH($AQ92,$AP$12:$AP$263,0))&gt;0,($AM92*INDEX(BT$12:BT$263,MATCH($AQ92,$AP$12:$AP$263,0)))/INDEX($AI$12:$AI$263,MATCH($AQ92,$AP$12:$AP$263,0)), "-"),     TRUE, "0")</f>
        <v>0</v>
      </c>
      <c r="BV92" s="588">
        <f>IF(BU$9&gt;0, IF(OR(BU92="",BU92="-"), 0, BU92*$AT92), BT92*$AJ92)</f>
        <v>0</v>
      </c>
      <c r="BW92" s="587">
        <f>[1]COMMANDE!AG90</f>
        <v>0</v>
      </c>
      <c r="BX92" s="586" t="str">
        <f>_xlfn.IFS(AND($AI92=$AM92,$AI92&gt;0,$AM92&gt;0,BW92&gt;0), BW92,     AND(NOT($AI92=$AM92),$AI92&gt;0,$AM92&gt;0,BW92&gt;0), ($AM92*BW92)/$AI92,     AND($AI92=0,$AM92&gt;0,$AQ92&gt;0), IF(INDEX(BW$12:BW$263,MATCH($AQ92,$AP$12:$AP$263,0))&gt;0,($AM92*INDEX(BW$12:BW$263,MATCH($AQ92,$AP$12:$AP$263,0)))/INDEX($AI$12:$AI$263,MATCH($AQ92,$AP$12:$AP$263,0)), "-"),     TRUE, "0")</f>
        <v>0</v>
      </c>
      <c r="BY92" s="607">
        <f>IF(BX$9&gt;0, IF(OR(BX92="",BX92="-"), 0, BX92*$AT92), BW92*$AJ92)</f>
        <v>0</v>
      </c>
      <c r="BZ92" s="589">
        <f>[1]COMMANDE!AI90</f>
        <v>0</v>
      </c>
      <c r="CA92" s="586" t="str">
        <f>_xlfn.IFS(AND($AI92=$AM92,$AI92&gt;0,$AM92&gt;0,BZ92&gt;0), BZ92,     AND(NOT($AI92=$AM92),$AI92&gt;0,$AM92&gt;0,BZ92&gt;0), ($AM92*BZ92)/$AI92,     AND($AI92=0,$AM92&gt;0,$AQ92&gt;0), IF(INDEX(BZ$12:BZ$263,MATCH($AQ92,$AP$12:$AP$263,0))&gt;0,($AM92*INDEX(BZ$12:BZ$263,MATCH($AQ92,$AP$12:$AP$263,0)))/INDEX($AI$12:$AI$263,MATCH($AQ92,$AP$12:$AP$263,0)), "-"),     TRUE, "0")</f>
        <v>0</v>
      </c>
      <c r="CB92" s="588">
        <f>IF(CA$9&gt;0, IF(OR(CA92="",CA92="-"), 0, CA92*$AT92), BZ92*$AJ92)</f>
        <v>0</v>
      </c>
      <c r="CC92" s="587">
        <f>[1]COMMANDE!AK90</f>
        <v>0</v>
      </c>
      <c r="CD92" s="586" t="str">
        <f>_xlfn.IFS(AND($AI92=$AM92,$AI92&gt;0,$AM92&gt;0,CC92&gt;0), CC92,     AND(NOT($AI92=$AM92),$AI92&gt;0,$AM92&gt;0,CC92&gt;0), ($AM92*CC92)/$AI92,     AND($AI92=0,$AM92&gt;0,$AQ92&gt;0), IF(INDEX(CC$12:CC$263,MATCH($AQ92,$AP$12:$AP$263,0))&gt;0,($AM92*INDEX(CC$12:CC$263,MATCH($AQ92,$AP$12:$AP$263,0)))/INDEX($AI$12:$AI$263,MATCH($AQ92,$AP$12:$AP$263,0)), "-"),     TRUE, "0")</f>
        <v>0</v>
      </c>
      <c r="CE92" s="607">
        <f>IF(CD$9&gt;0, IF(OR(CD92="",CD92="-"), 0, CD92*$AT92), CC92*$AJ92)</f>
        <v>0</v>
      </c>
      <c r="CF92" s="589">
        <f>[1]COMMANDE!AM90</f>
        <v>0</v>
      </c>
      <c r="CG92" s="586" t="str">
        <f>_xlfn.IFS(AND($AI92=$AM92,$AI92&gt;0,$AM92&gt;0,CF92&gt;0), CF92,     AND(NOT($AI92=$AM92),$AI92&gt;0,$AM92&gt;0,CF92&gt;0), ($AM92*CF92)/$AI92,     AND($AI92=0,$AM92&gt;0,$AQ92&gt;0), IF(INDEX(CF$12:CF$263,MATCH($AQ92,$AP$12:$AP$263,0))&gt;0,($AM92*INDEX(CF$12:CF$263,MATCH($AQ92,$AP$12:$AP$263,0)))/INDEX($AI$12:$AI$263,MATCH($AQ92,$AP$12:$AP$263,0)), "-"),     TRUE, "0")</f>
        <v>0</v>
      </c>
      <c r="CH92" s="588">
        <f>IF(CG$9&gt;0, IF(OR(CG92="",CG92="-"), 0, CG92*$AT92), CF92*$AJ92)</f>
        <v>0</v>
      </c>
      <c r="CI92" s="587">
        <f>[1]COMMANDE!AO90</f>
        <v>0</v>
      </c>
      <c r="CJ92" s="586" t="str">
        <f>_xlfn.IFS(AND($AI92=$AM92,$AI92&gt;0,$AM92&gt;0,CI92&gt;0), CI92,     AND(NOT($AI92=$AM92),$AI92&gt;0,$AM92&gt;0,CI92&gt;0), ($AM92*CI92)/$AI92,     AND($AI92=0,$AM92&gt;0,$AQ92&gt;0), IF(INDEX(CI$12:CI$263,MATCH($AQ92,$AP$12:$AP$263,0))&gt;0,($AM92*INDEX(CI$12:CI$263,MATCH($AQ92,$AP$12:$AP$263,0)))/INDEX($AI$12:$AI$263,MATCH($AQ92,$AP$12:$AP$263,0)), "-"),     TRUE, "0")</f>
        <v>0</v>
      </c>
      <c r="CK92" s="607">
        <f>IF(CJ$9&gt;0, IF(OR(CJ92="",CJ92="-"), 0, CJ92*$AT92), CI92*$AJ92)</f>
        <v>0</v>
      </c>
      <c r="CL92" s="589">
        <f>[1]COMMANDE!AQ90</f>
        <v>0</v>
      </c>
      <c r="CM92" s="586" t="str">
        <f>_xlfn.IFS(AND($AI92=$AM92,$AI92&gt;0,$AM92&gt;0,CL92&gt;0), CL92,     AND(NOT($AI92=$AM92),$AI92&gt;0,$AM92&gt;0,CL92&gt;0), ($AM92*CL92)/$AI92,     AND($AI92=0,$AM92&gt;0,$AQ92&gt;0), IF(INDEX(CL$12:CL$263,MATCH($AQ92,$AP$12:$AP$263,0))&gt;0,($AM92*INDEX(CL$12:CL$263,MATCH($AQ92,$AP$12:$AP$263,0)))/INDEX($AI$12:$AI$263,MATCH($AQ92,$AP$12:$AP$263,0)), "-"),     TRUE, "0")</f>
        <v>0</v>
      </c>
      <c r="CN92" s="588">
        <f>IF(CM$9&gt;0, IF(OR(CM92="",CM92="-"), 0, CM92*$AT92), CL92*$AJ92)</f>
        <v>0</v>
      </c>
      <c r="CO92" s="587">
        <f>[1]COMMANDE!AS90</f>
        <v>0</v>
      </c>
      <c r="CP92" s="586" t="str">
        <f>_xlfn.IFS(AND($AI92=$AM92,$AI92&gt;0,$AM92&gt;0,CO92&gt;0), CO92,     AND(NOT($AI92=$AM92),$AI92&gt;0,$AM92&gt;0,CO92&gt;0), ($AM92*CO92)/$AI92,     AND($AI92=0,$AM92&gt;0,$AQ92&gt;0), IF(INDEX(CO$12:CO$263,MATCH($AQ92,$AP$12:$AP$263,0))&gt;0,($AM92*INDEX(CO$12:CO$263,MATCH($AQ92,$AP$12:$AP$263,0)))/INDEX($AI$12:$AI$263,MATCH($AQ92,$AP$12:$AP$263,0)), "-"),     TRUE, "0")</f>
        <v>0</v>
      </c>
      <c r="CQ92" s="607">
        <f>IF(CP$9&gt;0, IF(OR(CP92="",CP92="-"), 0, CP92*$AT92), CO92*$AJ92)</f>
        <v>0</v>
      </c>
      <c r="CR92" s="589">
        <f>[1]COMMANDE!AU90</f>
        <v>0</v>
      </c>
      <c r="CS92" s="586" t="str">
        <f>_xlfn.IFS(AND($AI92=$AM92,$AI92&gt;0,$AM92&gt;0,CR92&gt;0), CR92,     AND(NOT($AI92=$AM92),$AI92&gt;0,$AM92&gt;0,CR92&gt;0), ($AM92*CR92)/$AI92,     AND($AI92=0,$AM92&gt;0,$AQ92&gt;0), IF(INDEX(CR$12:CR$263,MATCH($AQ92,$AP$12:$AP$263,0))&gt;0,($AM92*INDEX(CR$12:CR$263,MATCH($AQ92,$AP$12:$AP$263,0)))/INDEX($AI$12:$AI$263,MATCH($AQ92,$AP$12:$AP$263,0)), "-"),     TRUE, "0")</f>
        <v>0</v>
      </c>
      <c r="CT92" s="588">
        <f>IF(CS$9&gt;0, IF(OR(CS92="",CS92="-"), 0, CS92*$AT92), CR92*$AJ92)</f>
        <v>0</v>
      </c>
      <c r="CU92" s="587">
        <f>[1]COMMANDE!AW90</f>
        <v>0</v>
      </c>
      <c r="CV92" s="586" t="str">
        <f>_xlfn.IFS(AND($AI92=$AM92,$AI92&gt;0,$AM92&gt;0,CU92&gt;0), CU92,     AND(NOT($AI92=$AM92),$AI92&gt;0,$AM92&gt;0,CU92&gt;0), ($AM92*CU92)/$AI92,     AND($AI92=0,$AM92&gt;0,$AQ92&gt;0), IF(INDEX(CU$12:CU$263,MATCH($AQ92,$AP$12:$AP$263,0))&gt;0,($AM92*INDEX(CU$12:CU$263,MATCH($AQ92,$AP$12:$AP$263,0)))/INDEX($AI$12:$AI$263,MATCH($AQ92,$AP$12:$AP$263,0)), "-"),     TRUE, "0")</f>
        <v>0</v>
      </c>
      <c r="CW92" s="607">
        <f>IF(CV$9&gt;0, IF(OR(CV92="",CV92="-"), 0, CV92*$AT92), CU92*$AJ92)</f>
        <v>0</v>
      </c>
      <c r="CX92" s="589">
        <f>[1]COMMANDE!AY90</f>
        <v>0</v>
      </c>
      <c r="CY92" s="586" t="str">
        <f>_xlfn.IFS(AND($AI92=$AM92,$AI92&gt;0,$AM92&gt;0,CX92&gt;0), CX92,     AND(NOT($AI92=$AM92),$AI92&gt;0,$AM92&gt;0,CX92&gt;0), ($AM92*CX92)/$AI92,     AND($AI92=0,$AM92&gt;0,$AQ92&gt;0), IF(INDEX(CX$12:CX$263,MATCH($AQ92,$AP$12:$AP$263,0))&gt;0,($AM92*INDEX(CX$12:CX$263,MATCH($AQ92,$AP$12:$AP$263,0)))/INDEX($AI$12:$AI$263,MATCH($AQ92,$AP$12:$AP$263,0)), "-"),     TRUE, "0")</f>
        <v>0</v>
      </c>
      <c r="CZ92" s="588">
        <f>IF(CY$9&gt;0, IF(OR(CY92="",CY92="-"), 0, CY92*$AT92), CX92*$AJ92)</f>
        <v>0</v>
      </c>
      <c r="DA92" s="587">
        <f>[1]COMMANDE!BA90</f>
        <v>0</v>
      </c>
      <c r="DB92" s="586" t="str">
        <f>_xlfn.IFS(AND($AI92=$AM92,$AI92&gt;0,$AM92&gt;0,DA92&gt;0), DA92,     AND(NOT($AI92=$AM92),$AI92&gt;0,$AM92&gt;0,DA92&gt;0), ($AM92*DA92)/$AI92,     AND($AI92=0,$AM92&gt;0,$AQ92&gt;0), IF(INDEX(DA$12:DA$263,MATCH($AQ92,$AP$12:$AP$263,0))&gt;0,($AM92*INDEX(DA$12:DA$263,MATCH($AQ92,$AP$12:$AP$263,0)))/INDEX($AI$12:$AI$263,MATCH($AQ92,$AP$12:$AP$263,0)), "-"),     TRUE, "0")</f>
        <v>0</v>
      </c>
      <c r="DC92" s="606">
        <f>IF(DB$9&gt;0, IF(OR(DB92="",DB92="-"), 0, DB92*$AT92), DA92*$AJ92)</f>
        <v>0</v>
      </c>
      <c r="DD92" s="584"/>
      <c r="DE92" s="583"/>
    </row>
    <row r="93" spans="1:109" ht="39.950000000000003" hidden="1" customHeight="1">
      <c r="A93" s="604">
        <f>IF(OR($AV93&gt;0, $AX93&gt;0), 1, 0)</f>
        <v>0</v>
      </c>
      <c r="B93" s="604">
        <f>IF(OR($AY93&gt;0, $BA93&gt;0), 1, 0)</f>
        <v>0</v>
      </c>
      <c r="C93" s="604">
        <f>IF(OR($BB93&gt;0, $BD93&gt;0), 1, 0)</f>
        <v>0</v>
      </c>
      <c r="D93" s="604">
        <f>IF(OR($BE93&gt;0, $BG93&gt;0), 1, 0)</f>
        <v>0</v>
      </c>
      <c r="E93" s="604">
        <f>IF(OR($BH93&gt;0, $BJ93&gt;0), 1, 0)</f>
        <v>0</v>
      </c>
      <c r="F93" s="604">
        <f>IF(OR($BK93&gt;0, $BM93&gt;0), 1, 0)</f>
        <v>0</v>
      </c>
      <c r="G93" s="604">
        <f>IF(OR($BN93&gt;0, $BP93&gt;0), 1, 0)</f>
        <v>0</v>
      </c>
      <c r="H93" s="604">
        <f>IF(OR($BQ93&gt;0, $BS93&gt;0), 1, 0)</f>
        <v>0</v>
      </c>
      <c r="I93" s="604">
        <f>IF(OR($BT93&gt;0, $BV93&gt;0), 1, 0)</f>
        <v>0</v>
      </c>
      <c r="J93" s="604">
        <f>IF(OR($BW93&gt;0, $BY93&gt;0), 1, 0)</f>
        <v>0</v>
      </c>
      <c r="K93" s="604">
        <f>IF(OR($BZ93&gt;0, $CB93&gt;0), 1, 0)</f>
        <v>0</v>
      </c>
      <c r="L93" s="604">
        <f>IF(OR($CC93&gt;0, $CE93&gt;0), 1, 0)</f>
        <v>0</v>
      </c>
      <c r="M93" s="604">
        <f>IF(OR($CF93&gt;0, $CH93&gt;0), 1, 0)</f>
        <v>0</v>
      </c>
      <c r="N93" s="604">
        <f>IF(OR($CI93&gt;0, $CK93&gt;0), 1, 0)</f>
        <v>0</v>
      </c>
      <c r="O93" s="604">
        <f>IF(OR($CL93&gt;0, $CN93&gt;0), 1, 0)</f>
        <v>0</v>
      </c>
      <c r="P93" s="604">
        <f>IF(OR($CO93&gt;0, $CQ93&gt;0), 1, 0)</f>
        <v>0</v>
      </c>
      <c r="Q93" s="604">
        <f>IF(OR($CR93&gt;0, $CT93&gt;0), 1, 0)</f>
        <v>0</v>
      </c>
      <c r="R93" s="604">
        <f>IF(OR($CU93&gt;0, $CW93&gt;0), 1, 0)</f>
        <v>0</v>
      </c>
      <c r="S93" s="604">
        <f>IF(OR($CX93&gt;0, $CZ93&gt;0), 1, 0)</f>
        <v>0</v>
      </c>
      <c r="T93" s="604">
        <f>IF(OR($DA93&gt;0, $DC93&gt;0), 1, 0)</f>
        <v>0</v>
      </c>
      <c r="U93" s="603">
        <f>IF(OR($AI93&gt;0,$AM93&gt;0,$AS93&gt;0), 1, 0)</f>
        <v>0</v>
      </c>
      <c r="V93" s="602" t="str">
        <f>[1]BDD!A83</f>
        <v>1002.133</v>
      </c>
      <c r="W93" s="601" t="str">
        <f>[1]BDD!B83</f>
        <v>Courgette BIO (2nd catégorie)</v>
      </c>
      <c r="X93" s="600" t="str">
        <f>IF([1]BDD!F83=0, "", [1]BDD!F83)</f>
        <v/>
      </c>
      <c r="Y93" s="542">
        <f>ROUND([1]BDD!G83+FDP_CMD_KG, 2)</f>
        <v>2.21</v>
      </c>
      <c r="Z93" s="542">
        <f>ROUND([1]BDD!G83+FDP_FACT_KG, 2)</f>
        <v>2.21</v>
      </c>
      <c r="AA93" s="543" t="str">
        <f>[1]BDD!H83</f>
        <v>kg</v>
      </c>
      <c r="AB93" s="544" t="str">
        <f>IF(NOT(ISBLANK([1]BDD!I83)), ROUND(SUM(([1]BDD!G83*reduc1),FDP_CMD_KG), 2), "")</f>
        <v/>
      </c>
      <c r="AC93" s="544" t="str">
        <f>IF(NOT(ISBLANK([1]BDD!J83)), ROUND(SUM(([1]BDD!G83*reduc2),FDP_CMD_KG), 2), "")</f>
        <v/>
      </c>
      <c r="AD93" s="544" t="str">
        <f>IF(NOT(ISBLANK([1]BDD!K83)), ROUND(SUM(([1]BDD!G83*reduc3),FDP_CMD_KG), 2), "")</f>
        <v/>
      </c>
      <c r="AE93" s="544" t="str">
        <f>IF(NOT(ISBLANK([1]BDD!I83)), ROUND(SUM(([1]BDD!G83*reduc1),FDP_FACT_KG), 2), "")</f>
        <v/>
      </c>
      <c r="AF93" s="544" t="str">
        <f>IF(NOT(ISBLANK([1]BDD!J83)), ROUND(SUM(([1]BDD!G83*reduc2),FDP_FACT_KG), 2), "")</f>
        <v/>
      </c>
      <c r="AG93" s="544" t="str">
        <f>IF(NOT(ISBLANK([1]BDD!K83)), ROUND(SUM(([1]BDD!G83*reduc3),FDP_FACT_KG), 2), "")</f>
        <v/>
      </c>
      <c r="AH93" s="599" t="str">
        <f>[1]BDD!C83</f>
        <v>Malaga</v>
      </c>
      <c r="AI93" s="598">
        <f>SUM(AV93,AY93,BB93,BE93,BH93,BK93,BN93,BQ93,BT93,BW93,BZ93,CC93,CF93,CI93,CL93,CO93,CR93,CU93,CX93,DA93)</f>
        <v>0</v>
      </c>
      <c r="AJ93" s="545">
        <f>_xlfn.IFS($AD93&lt;&gt;"", $AD93,    $AC93&lt;&gt;"", $AC93,    $AB93&lt;&gt;"", $AB93,    TRUE, $Y93)</f>
        <v>2.21</v>
      </c>
      <c r="AK93" s="592">
        <f>$AI93*$AJ93</f>
        <v>0</v>
      </c>
      <c r="AL93" s="594"/>
      <c r="AM93" s="597"/>
      <c r="AN93" s="545">
        <f>_xlfn.IFS(AND(AM93&gt;=60,$AG93&lt;&gt;""), $AG93,    AND(AM93&gt;=30,$AF93&lt;&gt;""), $AF93,    AND(AM93&gt;=10,$AE93&lt;&gt;""), $AE93,    TRUE, $Z93)</f>
        <v>2.21</v>
      </c>
      <c r="AO93" s="596">
        <f>AM93*AN93</f>
        <v>0</v>
      </c>
      <c r="AP93" s="595"/>
      <c r="AQ93" s="595"/>
      <c r="AR93" s="594"/>
      <c r="AS93" s="593">
        <f>SUM(AW93,AZ93,BC93,BF93,BI93,BL93,BO93,BR93,BU93,BX93,CA93,CD93,CG93,CJ93,CM93,CP93,CS93,CV93,CY93,DB93)</f>
        <v>0</v>
      </c>
      <c r="AT93" s="545">
        <f>_xlfn.IFS(AND(AS93&gt;=60,$AG93&lt;&gt;""), $AG93,    AND(AS93&gt;=30,$AF93&lt;&gt;""), $AF93,    AND(AS93&gt;=10,$AE93&lt;&gt;""), $AE93,    TRUE, $Z93)</f>
        <v>2.21</v>
      </c>
      <c r="AU93" s="592">
        <f>$AS93*$AT93</f>
        <v>0</v>
      </c>
      <c r="AV93" s="591">
        <f>[1]COMMANDE!O91</f>
        <v>0</v>
      </c>
      <c r="AW93" s="586" t="str">
        <f>_xlfn.IFS(AND($AI93=$AM93,$AI93&gt;0,$AM93&gt;0,AV93&gt;0), AV93,     AND(NOT($AI93=$AM93),$AI93&gt;0,$AM93&gt;0,AV93&gt;0), ($AM93*AV93)/$AI93,     AND($AI93=0,$AM93&gt;0,$AQ93&gt;0), IF(INDEX(AV$12:AV$263,MATCH($AQ93,$AP$12:$AP$263,0))&gt;0,($AM93*INDEX(AV$12:AV$263,MATCH($AQ93,$AP$12:$AP$263,0)))/INDEX($AI$12:$AI$263,MATCH($AQ93,$AP$12:$AP$263,0)), "-"),     TRUE, "0")</f>
        <v>0</v>
      </c>
      <c r="AX93" s="588">
        <f>IF(AW$9&gt;0, IF(OR(AW93="",AW93="-"), 0, AW93*$AT93), AV93*$AJ93)</f>
        <v>0</v>
      </c>
      <c r="AY93" s="587">
        <f>[1]COMMANDE!Q91</f>
        <v>0</v>
      </c>
      <c r="AZ93" s="586" t="str">
        <f>_xlfn.IFS(AND($AI93=$AM93,$AI93&gt;0,$AM93&gt;0,AY93&gt;0), AY93,     AND(NOT($AI93=$AM93),$AI93&gt;0,$AM93&gt;0,AY93&gt;0), ($AM93*AY93)/$AI93,     AND($AI93=0,$AM93&gt;0,$AQ93&gt;0), IF(INDEX(AY$12:AY$263,MATCH($AQ93,$AP$12:$AP$263,0))&gt;0,($AM93*INDEX(AY$12:AY$263,MATCH($AQ93,$AP$12:$AP$263,0)))/INDEX($AI$12:$AI$263,MATCH($AQ93,$AP$12:$AP$263,0)), "-"),     TRUE, "0")</f>
        <v>0</v>
      </c>
      <c r="BA93" s="607">
        <f>IF(AZ$9&gt;0, IF(OR(AZ93="",AZ93="-"), 0, AZ93*$AT93), AY93*$AJ93)</f>
        <v>0</v>
      </c>
      <c r="BB93" s="589">
        <f>[1]COMMANDE!S91</f>
        <v>0</v>
      </c>
      <c r="BC93" s="586" t="str">
        <f>_xlfn.IFS(AND($AI93=$AM93,$AI93&gt;0,$AM93&gt;0,BB93&gt;0), BB93,     AND(NOT($AI93=$AM93),$AI93&gt;0,$AM93&gt;0,BB93&gt;0), ($AM93*BB93)/$AI93,     AND($AI93=0,$AM93&gt;0,$AQ93&gt;0), IF(INDEX(BB$12:BB$263,MATCH($AQ93,$AP$12:$AP$263,0))&gt;0,($AM93*INDEX(BB$12:BB$263,MATCH($AQ93,$AP$12:$AP$263,0)))/INDEX($AI$12:$AI$263,MATCH($AQ93,$AP$12:$AP$263,0)), "-"),     TRUE, "0")</f>
        <v>0</v>
      </c>
      <c r="BD93" s="588">
        <f>IF(BC$9&gt;0, IF(OR(BC93="",BC93="-"), 0, BC93*$AT93), BB93*$AJ93)</f>
        <v>0</v>
      </c>
      <c r="BE93" s="587">
        <f>[1]COMMANDE!U91</f>
        <v>0</v>
      </c>
      <c r="BF93" s="586" t="str">
        <f>_xlfn.IFS(AND($AI93=$AM93,$AI93&gt;0,$AM93&gt;0,BE93&gt;0), BE93,     AND(NOT($AI93=$AM93),$AI93&gt;0,$AM93&gt;0,BE93&gt;0), ($AM93*BE93)/$AI93,     AND($AI93=0,$AM93&gt;0,$AQ93&gt;0), IF(INDEX(BE$12:BE$263,MATCH($AQ93,$AP$12:$AP$263,0))&gt;0,($AM93*INDEX(BE$12:BE$263,MATCH($AQ93,$AP$12:$AP$263,0)))/INDEX($AI$12:$AI$263,MATCH($AQ93,$AP$12:$AP$263,0)), "-"),     TRUE, "0")</f>
        <v>0</v>
      </c>
      <c r="BG93" s="607">
        <f>IF(BF$9&gt;0, IF(OR(BF93="",BF93="-"), 0, BF93*$AT93), BE93*$AJ93)</f>
        <v>0</v>
      </c>
      <c r="BH93" s="589">
        <f>[1]COMMANDE!W91</f>
        <v>0</v>
      </c>
      <c r="BI93" s="586" t="str">
        <f>_xlfn.IFS(AND($AI93=$AM93,$AI93&gt;0,$AM93&gt;0,BH93&gt;0), BH93,     AND(NOT($AI93=$AM93),$AI93&gt;0,$AM93&gt;0,BH93&gt;0), ($AM93*BH93)/$AI93,     AND($AI93=0,$AM93&gt;0,$AQ93&gt;0), IF(INDEX(BH$12:BH$263,MATCH($AQ93,$AP$12:$AP$263,0))&gt;0,($AM93*INDEX(BH$12:BH$263,MATCH($AQ93,$AP$12:$AP$263,0)))/INDEX($AI$12:$AI$263,MATCH($AQ93,$AP$12:$AP$263,0)), "-"),     TRUE, "0")</f>
        <v>0</v>
      </c>
      <c r="BJ93" s="588">
        <f>IF(BI$9&gt;0, IF(OR(BI93="",BI93="-"), 0, BI93*$AT93), BH93*$AJ93)</f>
        <v>0</v>
      </c>
      <c r="BK93" s="587">
        <f>[1]COMMANDE!Y91</f>
        <v>0</v>
      </c>
      <c r="BL93" s="586" t="str">
        <f>_xlfn.IFS(AND($AI93=$AM93,$AI93&gt;0,$AM93&gt;0,BK93&gt;0), BK93,     AND(NOT($AI93=$AM93),$AI93&gt;0,$AM93&gt;0,BK93&gt;0), ($AM93*BK93)/$AI93,     AND($AI93=0,$AM93&gt;0,$AQ93&gt;0), IF(INDEX(BK$12:BK$263,MATCH($AQ93,$AP$12:$AP$263,0))&gt;0,($AM93*INDEX(BK$12:BK$263,MATCH($AQ93,$AP$12:$AP$263,0)))/INDEX($AI$12:$AI$263,MATCH($AQ93,$AP$12:$AP$263,0)), "-"),     TRUE, "0")</f>
        <v>0</v>
      </c>
      <c r="BM93" s="607">
        <f>IF(BL$9&gt;0, IF(OR(BL93="",BL93="-"), 0, BL93*$AT93), BK93*$AJ93)</f>
        <v>0</v>
      </c>
      <c r="BN93" s="589">
        <f>[1]COMMANDE!AA91</f>
        <v>0</v>
      </c>
      <c r="BO93" s="586" t="str">
        <f>_xlfn.IFS(AND($AI93=$AM93,$AI93&gt;0,$AM93&gt;0,BN93&gt;0), BN93,     AND(NOT($AI93=$AM93),$AI93&gt;0,$AM93&gt;0,BN93&gt;0), ($AM93*BN93)/$AI93,     AND($AI93=0,$AM93&gt;0,$AQ93&gt;0), IF(INDEX(BN$12:BN$263,MATCH($AQ93,$AP$12:$AP$263,0))&gt;0,($AM93*INDEX(BN$12:BN$263,MATCH($AQ93,$AP$12:$AP$263,0)))/INDEX($AI$12:$AI$263,MATCH($AQ93,$AP$12:$AP$263,0)), "-"),     TRUE, "0")</f>
        <v>0</v>
      </c>
      <c r="BP93" s="588">
        <f>IF(BO$9&gt;0, IF(OR(BO93="",BO93="-"), 0, BO93*$AT93), BN93*$AJ93)</f>
        <v>0</v>
      </c>
      <c r="BQ93" s="587">
        <f>[1]COMMANDE!AC91</f>
        <v>0</v>
      </c>
      <c r="BR93" s="586" t="str">
        <f>_xlfn.IFS(AND($AI93=$AM93,$AI93&gt;0,$AM93&gt;0,BQ93&gt;0), BQ93,     AND(NOT($AI93=$AM93),$AI93&gt;0,$AM93&gt;0,BQ93&gt;0), ($AM93*BQ93)/$AI93,     AND($AI93=0,$AM93&gt;0,$AQ93&gt;0), IF(INDEX(BQ$12:BQ$263,MATCH($AQ93,$AP$12:$AP$263,0))&gt;0,($AM93*INDEX(BQ$12:BQ$263,MATCH($AQ93,$AP$12:$AP$263,0)))/INDEX($AI$12:$AI$263,MATCH($AQ93,$AP$12:$AP$263,0)), "-"),     TRUE, "0")</f>
        <v>0</v>
      </c>
      <c r="BS93" s="607">
        <f>IF(BR$9&gt;0, IF(OR(BR93="",BR93="-"), 0, BR93*$AT93), BQ93*$AJ93)</f>
        <v>0</v>
      </c>
      <c r="BT93" s="589">
        <f>[1]COMMANDE!AE91</f>
        <v>0</v>
      </c>
      <c r="BU93" s="586" t="str">
        <f>_xlfn.IFS(AND($AI93=$AM93,$AI93&gt;0,$AM93&gt;0,BT93&gt;0), BT93,     AND(NOT($AI93=$AM93),$AI93&gt;0,$AM93&gt;0,BT93&gt;0), ($AM93*BT93)/$AI93,     AND($AI93=0,$AM93&gt;0,$AQ93&gt;0), IF(INDEX(BT$12:BT$263,MATCH($AQ93,$AP$12:$AP$263,0))&gt;0,($AM93*INDEX(BT$12:BT$263,MATCH($AQ93,$AP$12:$AP$263,0)))/INDEX($AI$12:$AI$263,MATCH($AQ93,$AP$12:$AP$263,0)), "-"),     TRUE, "0")</f>
        <v>0</v>
      </c>
      <c r="BV93" s="588">
        <f>IF(BU$9&gt;0, IF(OR(BU93="",BU93="-"), 0, BU93*$AT93), BT93*$AJ93)</f>
        <v>0</v>
      </c>
      <c r="BW93" s="587">
        <f>[1]COMMANDE!AG91</f>
        <v>0</v>
      </c>
      <c r="BX93" s="586" t="str">
        <f>_xlfn.IFS(AND($AI93=$AM93,$AI93&gt;0,$AM93&gt;0,BW93&gt;0), BW93,     AND(NOT($AI93=$AM93),$AI93&gt;0,$AM93&gt;0,BW93&gt;0), ($AM93*BW93)/$AI93,     AND($AI93=0,$AM93&gt;0,$AQ93&gt;0), IF(INDEX(BW$12:BW$263,MATCH($AQ93,$AP$12:$AP$263,0))&gt;0,($AM93*INDEX(BW$12:BW$263,MATCH($AQ93,$AP$12:$AP$263,0)))/INDEX($AI$12:$AI$263,MATCH($AQ93,$AP$12:$AP$263,0)), "-"),     TRUE, "0")</f>
        <v>0</v>
      </c>
      <c r="BY93" s="607">
        <f>IF(BX$9&gt;0, IF(OR(BX93="",BX93="-"), 0, BX93*$AT93), BW93*$AJ93)</f>
        <v>0</v>
      </c>
      <c r="BZ93" s="589">
        <f>[1]COMMANDE!AI91</f>
        <v>0</v>
      </c>
      <c r="CA93" s="586" t="str">
        <f>_xlfn.IFS(AND($AI93=$AM93,$AI93&gt;0,$AM93&gt;0,BZ93&gt;0), BZ93,     AND(NOT($AI93=$AM93),$AI93&gt;0,$AM93&gt;0,BZ93&gt;0), ($AM93*BZ93)/$AI93,     AND($AI93=0,$AM93&gt;0,$AQ93&gt;0), IF(INDEX(BZ$12:BZ$263,MATCH($AQ93,$AP$12:$AP$263,0))&gt;0,($AM93*INDEX(BZ$12:BZ$263,MATCH($AQ93,$AP$12:$AP$263,0)))/INDEX($AI$12:$AI$263,MATCH($AQ93,$AP$12:$AP$263,0)), "-"),     TRUE, "0")</f>
        <v>0</v>
      </c>
      <c r="CB93" s="588">
        <f>IF(CA$9&gt;0, IF(OR(CA93="",CA93="-"), 0, CA93*$AT93), BZ93*$AJ93)</f>
        <v>0</v>
      </c>
      <c r="CC93" s="587">
        <f>[1]COMMANDE!AK91</f>
        <v>0</v>
      </c>
      <c r="CD93" s="586" t="str">
        <f>_xlfn.IFS(AND($AI93=$AM93,$AI93&gt;0,$AM93&gt;0,CC93&gt;0), CC93,     AND(NOT($AI93=$AM93),$AI93&gt;0,$AM93&gt;0,CC93&gt;0), ($AM93*CC93)/$AI93,     AND($AI93=0,$AM93&gt;0,$AQ93&gt;0), IF(INDEX(CC$12:CC$263,MATCH($AQ93,$AP$12:$AP$263,0))&gt;0,($AM93*INDEX(CC$12:CC$263,MATCH($AQ93,$AP$12:$AP$263,0)))/INDEX($AI$12:$AI$263,MATCH($AQ93,$AP$12:$AP$263,0)), "-"),     TRUE, "0")</f>
        <v>0</v>
      </c>
      <c r="CE93" s="607">
        <f>IF(CD$9&gt;0, IF(OR(CD93="",CD93="-"), 0, CD93*$AT93), CC93*$AJ93)</f>
        <v>0</v>
      </c>
      <c r="CF93" s="589">
        <f>[1]COMMANDE!AM91</f>
        <v>0</v>
      </c>
      <c r="CG93" s="586" t="str">
        <f>_xlfn.IFS(AND($AI93=$AM93,$AI93&gt;0,$AM93&gt;0,CF93&gt;0), CF93,     AND(NOT($AI93=$AM93),$AI93&gt;0,$AM93&gt;0,CF93&gt;0), ($AM93*CF93)/$AI93,     AND($AI93=0,$AM93&gt;0,$AQ93&gt;0), IF(INDEX(CF$12:CF$263,MATCH($AQ93,$AP$12:$AP$263,0))&gt;0,($AM93*INDEX(CF$12:CF$263,MATCH($AQ93,$AP$12:$AP$263,0)))/INDEX($AI$12:$AI$263,MATCH($AQ93,$AP$12:$AP$263,0)), "-"),     TRUE, "0")</f>
        <v>0</v>
      </c>
      <c r="CH93" s="588">
        <f>IF(CG$9&gt;0, IF(OR(CG93="",CG93="-"), 0, CG93*$AT93), CF93*$AJ93)</f>
        <v>0</v>
      </c>
      <c r="CI93" s="587">
        <f>[1]COMMANDE!AO91</f>
        <v>0</v>
      </c>
      <c r="CJ93" s="586" t="str">
        <f>_xlfn.IFS(AND($AI93=$AM93,$AI93&gt;0,$AM93&gt;0,CI93&gt;0), CI93,     AND(NOT($AI93=$AM93),$AI93&gt;0,$AM93&gt;0,CI93&gt;0), ($AM93*CI93)/$AI93,     AND($AI93=0,$AM93&gt;0,$AQ93&gt;0), IF(INDEX(CI$12:CI$263,MATCH($AQ93,$AP$12:$AP$263,0))&gt;0,($AM93*INDEX(CI$12:CI$263,MATCH($AQ93,$AP$12:$AP$263,0)))/INDEX($AI$12:$AI$263,MATCH($AQ93,$AP$12:$AP$263,0)), "-"),     TRUE, "0")</f>
        <v>0</v>
      </c>
      <c r="CK93" s="607">
        <f>IF(CJ$9&gt;0, IF(OR(CJ93="",CJ93="-"), 0, CJ93*$AT93), CI93*$AJ93)</f>
        <v>0</v>
      </c>
      <c r="CL93" s="589">
        <f>[1]COMMANDE!AQ91</f>
        <v>0</v>
      </c>
      <c r="CM93" s="586" t="str">
        <f>_xlfn.IFS(AND($AI93=$AM93,$AI93&gt;0,$AM93&gt;0,CL93&gt;0), CL93,     AND(NOT($AI93=$AM93),$AI93&gt;0,$AM93&gt;0,CL93&gt;0), ($AM93*CL93)/$AI93,     AND($AI93=0,$AM93&gt;0,$AQ93&gt;0), IF(INDEX(CL$12:CL$263,MATCH($AQ93,$AP$12:$AP$263,0))&gt;0,($AM93*INDEX(CL$12:CL$263,MATCH($AQ93,$AP$12:$AP$263,0)))/INDEX($AI$12:$AI$263,MATCH($AQ93,$AP$12:$AP$263,0)), "-"),     TRUE, "0")</f>
        <v>0</v>
      </c>
      <c r="CN93" s="588">
        <f>IF(CM$9&gt;0, IF(OR(CM93="",CM93="-"), 0, CM93*$AT93), CL93*$AJ93)</f>
        <v>0</v>
      </c>
      <c r="CO93" s="587">
        <f>[1]COMMANDE!AS91</f>
        <v>0</v>
      </c>
      <c r="CP93" s="586" t="str">
        <f>_xlfn.IFS(AND($AI93=$AM93,$AI93&gt;0,$AM93&gt;0,CO93&gt;0), CO93,     AND(NOT($AI93=$AM93),$AI93&gt;0,$AM93&gt;0,CO93&gt;0), ($AM93*CO93)/$AI93,     AND($AI93=0,$AM93&gt;0,$AQ93&gt;0), IF(INDEX(CO$12:CO$263,MATCH($AQ93,$AP$12:$AP$263,0))&gt;0,($AM93*INDEX(CO$12:CO$263,MATCH($AQ93,$AP$12:$AP$263,0)))/INDEX($AI$12:$AI$263,MATCH($AQ93,$AP$12:$AP$263,0)), "-"),     TRUE, "0")</f>
        <v>0</v>
      </c>
      <c r="CQ93" s="607">
        <f>IF(CP$9&gt;0, IF(OR(CP93="",CP93="-"), 0, CP93*$AT93), CO93*$AJ93)</f>
        <v>0</v>
      </c>
      <c r="CR93" s="589">
        <f>[1]COMMANDE!AU91</f>
        <v>0</v>
      </c>
      <c r="CS93" s="586" t="str">
        <f>_xlfn.IFS(AND($AI93=$AM93,$AI93&gt;0,$AM93&gt;0,CR93&gt;0), CR93,     AND(NOT($AI93=$AM93),$AI93&gt;0,$AM93&gt;0,CR93&gt;0), ($AM93*CR93)/$AI93,     AND($AI93=0,$AM93&gt;0,$AQ93&gt;0), IF(INDEX(CR$12:CR$263,MATCH($AQ93,$AP$12:$AP$263,0))&gt;0,($AM93*INDEX(CR$12:CR$263,MATCH($AQ93,$AP$12:$AP$263,0)))/INDEX($AI$12:$AI$263,MATCH($AQ93,$AP$12:$AP$263,0)), "-"),     TRUE, "0")</f>
        <v>0</v>
      </c>
      <c r="CT93" s="588">
        <f>IF(CS$9&gt;0, IF(OR(CS93="",CS93="-"), 0, CS93*$AT93), CR93*$AJ93)</f>
        <v>0</v>
      </c>
      <c r="CU93" s="587">
        <f>[1]COMMANDE!AW91</f>
        <v>0</v>
      </c>
      <c r="CV93" s="586" t="str">
        <f>_xlfn.IFS(AND($AI93=$AM93,$AI93&gt;0,$AM93&gt;0,CU93&gt;0), CU93,     AND(NOT($AI93=$AM93),$AI93&gt;0,$AM93&gt;0,CU93&gt;0), ($AM93*CU93)/$AI93,     AND($AI93=0,$AM93&gt;0,$AQ93&gt;0), IF(INDEX(CU$12:CU$263,MATCH($AQ93,$AP$12:$AP$263,0))&gt;0,($AM93*INDEX(CU$12:CU$263,MATCH($AQ93,$AP$12:$AP$263,0)))/INDEX($AI$12:$AI$263,MATCH($AQ93,$AP$12:$AP$263,0)), "-"),     TRUE, "0")</f>
        <v>0</v>
      </c>
      <c r="CW93" s="607">
        <f>IF(CV$9&gt;0, IF(OR(CV93="",CV93="-"), 0, CV93*$AT93), CU93*$AJ93)</f>
        <v>0</v>
      </c>
      <c r="CX93" s="589">
        <f>[1]COMMANDE!AY91</f>
        <v>0</v>
      </c>
      <c r="CY93" s="586" t="str">
        <f>_xlfn.IFS(AND($AI93=$AM93,$AI93&gt;0,$AM93&gt;0,CX93&gt;0), CX93,     AND(NOT($AI93=$AM93),$AI93&gt;0,$AM93&gt;0,CX93&gt;0), ($AM93*CX93)/$AI93,     AND($AI93=0,$AM93&gt;0,$AQ93&gt;0), IF(INDEX(CX$12:CX$263,MATCH($AQ93,$AP$12:$AP$263,0))&gt;0,($AM93*INDEX(CX$12:CX$263,MATCH($AQ93,$AP$12:$AP$263,0)))/INDEX($AI$12:$AI$263,MATCH($AQ93,$AP$12:$AP$263,0)), "-"),     TRUE, "0")</f>
        <v>0</v>
      </c>
      <c r="CZ93" s="588">
        <f>IF(CY$9&gt;0, IF(OR(CY93="",CY93="-"), 0, CY93*$AT93), CX93*$AJ93)</f>
        <v>0</v>
      </c>
      <c r="DA93" s="587">
        <f>[1]COMMANDE!BA91</f>
        <v>0</v>
      </c>
      <c r="DB93" s="586" t="str">
        <f>_xlfn.IFS(AND($AI93=$AM93,$AI93&gt;0,$AM93&gt;0,DA93&gt;0), DA93,     AND(NOT($AI93=$AM93),$AI93&gt;0,$AM93&gt;0,DA93&gt;0), ($AM93*DA93)/$AI93,     AND($AI93=0,$AM93&gt;0,$AQ93&gt;0), IF(INDEX(DA$12:DA$263,MATCH($AQ93,$AP$12:$AP$263,0))&gt;0,($AM93*INDEX(DA$12:DA$263,MATCH($AQ93,$AP$12:$AP$263,0)))/INDEX($AI$12:$AI$263,MATCH($AQ93,$AP$12:$AP$263,0)), "-"),     TRUE, "0")</f>
        <v>0</v>
      </c>
      <c r="DC93" s="606">
        <f>IF(DB$9&gt;0, IF(OR(DB93="",DB93="-"), 0, DB93*$AT93), DA93*$AJ93)</f>
        <v>0</v>
      </c>
      <c r="DD93" s="584"/>
      <c r="DE93" s="583"/>
    </row>
    <row r="94" spans="1:109" ht="39.950000000000003" hidden="1" customHeight="1">
      <c r="A94" s="604">
        <f>IF(OR($AV94&gt;0, $AX94&gt;0), 1, 0)</f>
        <v>0</v>
      </c>
      <c r="B94" s="604">
        <f>IF(OR($AY94&gt;0, $BA94&gt;0), 1, 0)</f>
        <v>0</v>
      </c>
      <c r="C94" s="604">
        <f>IF(OR($BB94&gt;0, $BD94&gt;0), 1, 0)</f>
        <v>0</v>
      </c>
      <c r="D94" s="604">
        <f>IF(OR($BE94&gt;0, $BG94&gt;0), 1, 0)</f>
        <v>0</v>
      </c>
      <c r="E94" s="604">
        <f>IF(OR($BH94&gt;0, $BJ94&gt;0), 1, 0)</f>
        <v>0</v>
      </c>
      <c r="F94" s="604">
        <f>IF(OR($BK94&gt;0, $BM94&gt;0), 1, 0)</f>
        <v>0</v>
      </c>
      <c r="G94" s="604">
        <f>IF(OR($BN94&gt;0, $BP94&gt;0), 1, 0)</f>
        <v>0</v>
      </c>
      <c r="H94" s="604">
        <f>IF(OR($BQ94&gt;0, $BS94&gt;0), 1, 0)</f>
        <v>0</v>
      </c>
      <c r="I94" s="604">
        <f>IF(OR($BT94&gt;0, $BV94&gt;0), 1, 0)</f>
        <v>0</v>
      </c>
      <c r="J94" s="604">
        <f>IF(OR($BW94&gt;0, $BY94&gt;0), 1, 0)</f>
        <v>0</v>
      </c>
      <c r="K94" s="604">
        <f>IF(OR($BZ94&gt;0, $CB94&gt;0), 1, 0)</f>
        <v>0</v>
      </c>
      <c r="L94" s="604">
        <f>IF(OR($CC94&gt;0, $CE94&gt;0), 1, 0)</f>
        <v>0</v>
      </c>
      <c r="M94" s="604">
        <f>IF(OR($CF94&gt;0, $CH94&gt;0), 1, 0)</f>
        <v>0</v>
      </c>
      <c r="N94" s="604">
        <f>IF(OR($CI94&gt;0, $CK94&gt;0), 1, 0)</f>
        <v>0</v>
      </c>
      <c r="O94" s="604">
        <f>IF(OR($CL94&gt;0, $CN94&gt;0), 1, 0)</f>
        <v>0</v>
      </c>
      <c r="P94" s="604">
        <f>IF(OR($CO94&gt;0, $CQ94&gt;0), 1, 0)</f>
        <v>0</v>
      </c>
      <c r="Q94" s="604">
        <f>IF(OR($CR94&gt;0, $CT94&gt;0), 1, 0)</f>
        <v>0</v>
      </c>
      <c r="R94" s="604">
        <f>IF(OR($CU94&gt;0, $CW94&gt;0), 1, 0)</f>
        <v>0</v>
      </c>
      <c r="S94" s="604">
        <f>IF(OR($CX94&gt;0, $CZ94&gt;0), 1, 0)</f>
        <v>0</v>
      </c>
      <c r="T94" s="604">
        <f>IF(OR($DA94&gt;0, $DC94&gt;0), 1, 0)</f>
        <v>0</v>
      </c>
      <c r="U94" s="603">
        <f>IF(OR($AI94&gt;0,$AM94&gt;0,$AS94&gt;0), 1, 0)</f>
        <v>0</v>
      </c>
      <c r="V94" s="602" t="str">
        <f>[1]BDD!A84</f>
        <v>3894</v>
      </c>
      <c r="W94" s="601" t="str">
        <f>[1]BDD!B84</f>
        <v>Courgette déshydratée
    - (production Rufino - env. 100g)</v>
      </c>
      <c r="X94" s="600" t="str">
        <f>IF([1]BDD!F84=0, "", [1]BDD!F84)</f>
        <v/>
      </c>
      <c r="Y94" s="542">
        <f>ROUND([1]BDD!G84+FDP_CMD_KG, 2)</f>
        <v>3.46</v>
      </c>
      <c r="Z94" s="542">
        <f>ROUND([1]BDD!G84+FDP_FACT_KG, 2)</f>
        <v>3.46</v>
      </c>
      <c r="AA94" s="543" t="str">
        <f>[1]BDD!H84</f>
        <v>Pièce</v>
      </c>
      <c r="AB94" s="544" t="str">
        <f>IF(NOT(ISBLANK([1]BDD!I84)), ROUND(SUM(([1]BDD!G84*reduc1),FDP_CMD_KG), 2), "")</f>
        <v/>
      </c>
      <c r="AC94" s="544" t="str">
        <f>IF(NOT(ISBLANK([1]BDD!J84)), ROUND(SUM(([1]BDD!G84*reduc2),FDP_CMD_KG), 2), "")</f>
        <v/>
      </c>
      <c r="AD94" s="544" t="str">
        <f>IF(NOT(ISBLANK([1]BDD!K84)), ROUND(SUM(([1]BDD!G84*reduc3),FDP_CMD_KG), 2), "")</f>
        <v/>
      </c>
      <c r="AE94" s="544" t="str">
        <f>IF(NOT(ISBLANK([1]BDD!I84)), ROUND(SUM(([1]BDD!G84*reduc1),FDP_FACT_KG), 2), "")</f>
        <v/>
      </c>
      <c r="AF94" s="544" t="str">
        <f>IF(NOT(ISBLANK([1]BDD!J84)), ROUND(SUM(([1]BDD!G84*reduc2),FDP_FACT_KG), 2), "")</f>
        <v/>
      </c>
      <c r="AG94" s="544" t="str">
        <f>IF(NOT(ISBLANK([1]BDD!K84)), ROUND(SUM(([1]BDD!G84*reduc3),FDP_FACT_KG), 2), "")</f>
        <v/>
      </c>
      <c r="AH94" s="599" t="str">
        <f>[1]BDD!C84</f>
        <v>Grenade</v>
      </c>
      <c r="AI94" s="598">
        <f>SUM(AV94,AY94,BB94,BE94,BH94,BK94,BN94,BQ94,BT94,BW94,BZ94,CC94,CF94,CI94,CL94,CO94,CR94,CU94,CX94,DA94)</f>
        <v>0</v>
      </c>
      <c r="AJ94" s="545">
        <f>_xlfn.IFS($AD94&lt;&gt;"", $AD94,    $AC94&lt;&gt;"", $AC94,    $AB94&lt;&gt;"", $AB94,    TRUE, $Y94)</f>
        <v>3.46</v>
      </c>
      <c r="AK94" s="592">
        <f>$AI94*$AJ94</f>
        <v>0</v>
      </c>
      <c r="AL94" s="594"/>
      <c r="AM94" s="597"/>
      <c r="AN94" s="545">
        <f>_xlfn.IFS(AND(AM94&gt;=60,$AG94&lt;&gt;""), $AG94,    AND(AM94&gt;=30,$AF94&lt;&gt;""), $AF94,    AND(AM94&gt;=10,$AE94&lt;&gt;""), $AE94,    TRUE, $Z94)</f>
        <v>3.46</v>
      </c>
      <c r="AO94" s="596">
        <f>AM94*AN94</f>
        <v>0</v>
      </c>
      <c r="AP94" s="595"/>
      <c r="AQ94" s="595"/>
      <c r="AR94" s="594"/>
      <c r="AS94" s="593">
        <f>SUM(AW94,AZ94,BC94,BF94,BI94,BL94,BO94,BR94,BU94,BX94,CA94,CD94,CG94,CJ94,CM94,CP94,CS94,CV94,CY94,DB94)</f>
        <v>0</v>
      </c>
      <c r="AT94" s="545">
        <f>_xlfn.IFS(AND(AS94&gt;=60,$AG94&lt;&gt;""), $AG94,    AND(AS94&gt;=30,$AF94&lt;&gt;""), $AF94,    AND(AS94&gt;=10,$AE94&lt;&gt;""), $AE94,    TRUE, $Z94)</f>
        <v>3.46</v>
      </c>
      <c r="AU94" s="592">
        <f>$AS94*$AT94</f>
        <v>0</v>
      </c>
      <c r="AV94" s="591">
        <f>[1]COMMANDE!O92</f>
        <v>0</v>
      </c>
      <c r="AW94" s="586" t="str">
        <f>_xlfn.IFS(AND($AI94=$AM94,$AI94&gt;0,$AM94&gt;0,AV94&gt;0), AV94,     AND(NOT($AI94=$AM94),$AI94&gt;0,$AM94&gt;0,AV94&gt;0), ($AM94*AV94)/$AI94,     AND($AI94=0,$AM94&gt;0,$AQ94&gt;0), IF(INDEX(AV$12:AV$263,MATCH($AQ94,$AP$12:$AP$263,0))&gt;0,($AM94*INDEX(AV$12:AV$263,MATCH($AQ94,$AP$12:$AP$263,0)))/INDEX($AI$12:$AI$263,MATCH($AQ94,$AP$12:$AP$263,0)), "-"),     TRUE, "0")</f>
        <v>0</v>
      </c>
      <c r="AX94" s="588">
        <f>IF(AW$9&gt;0, IF(OR(AW94="",AW94="-"), 0, AW94*$AT94), AV94*$AJ94)</f>
        <v>0</v>
      </c>
      <c r="AY94" s="587">
        <f>[1]COMMANDE!Q92</f>
        <v>0</v>
      </c>
      <c r="AZ94" s="586" t="str">
        <f>_xlfn.IFS(AND($AI94=$AM94,$AI94&gt;0,$AM94&gt;0,AY94&gt;0), AY94,     AND(NOT($AI94=$AM94),$AI94&gt;0,$AM94&gt;0,AY94&gt;0), ($AM94*AY94)/$AI94,     AND($AI94=0,$AM94&gt;0,$AQ94&gt;0), IF(INDEX(AY$12:AY$263,MATCH($AQ94,$AP$12:$AP$263,0))&gt;0,($AM94*INDEX(AY$12:AY$263,MATCH($AQ94,$AP$12:$AP$263,0)))/INDEX($AI$12:$AI$263,MATCH($AQ94,$AP$12:$AP$263,0)), "-"),     TRUE, "0")</f>
        <v>0</v>
      </c>
      <c r="BA94" s="607">
        <f>IF(AZ$9&gt;0, IF(OR(AZ94="",AZ94="-"), 0, AZ94*$AT94), AY94*$AJ94)</f>
        <v>0</v>
      </c>
      <c r="BB94" s="589">
        <f>[1]COMMANDE!S92</f>
        <v>0</v>
      </c>
      <c r="BC94" s="586" t="str">
        <f>_xlfn.IFS(AND($AI94=$AM94,$AI94&gt;0,$AM94&gt;0,BB94&gt;0), BB94,     AND(NOT($AI94=$AM94),$AI94&gt;0,$AM94&gt;0,BB94&gt;0), ($AM94*BB94)/$AI94,     AND($AI94=0,$AM94&gt;0,$AQ94&gt;0), IF(INDEX(BB$12:BB$263,MATCH($AQ94,$AP$12:$AP$263,0))&gt;0,($AM94*INDEX(BB$12:BB$263,MATCH($AQ94,$AP$12:$AP$263,0)))/INDEX($AI$12:$AI$263,MATCH($AQ94,$AP$12:$AP$263,0)), "-"),     TRUE, "0")</f>
        <v>0</v>
      </c>
      <c r="BD94" s="588">
        <f>IF(BC$9&gt;0, IF(OR(BC94="",BC94="-"), 0, BC94*$AT94), BB94*$AJ94)</f>
        <v>0</v>
      </c>
      <c r="BE94" s="587">
        <f>[1]COMMANDE!U92</f>
        <v>0</v>
      </c>
      <c r="BF94" s="586" t="str">
        <f>_xlfn.IFS(AND($AI94=$AM94,$AI94&gt;0,$AM94&gt;0,BE94&gt;0), BE94,     AND(NOT($AI94=$AM94),$AI94&gt;0,$AM94&gt;0,BE94&gt;0), ($AM94*BE94)/$AI94,     AND($AI94=0,$AM94&gt;0,$AQ94&gt;0), IF(INDEX(BE$12:BE$263,MATCH($AQ94,$AP$12:$AP$263,0))&gt;0,($AM94*INDEX(BE$12:BE$263,MATCH($AQ94,$AP$12:$AP$263,0)))/INDEX($AI$12:$AI$263,MATCH($AQ94,$AP$12:$AP$263,0)), "-"),     TRUE, "0")</f>
        <v>0</v>
      </c>
      <c r="BG94" s="607">
        <f>IF(BF$9&gt;0, IF(OR(BF94="",BF94="-"), 0, BF94*$AT94), BE94*$AJ94)</f>
        <v>0</v>
      </c>
      <c r="BH94" s="589">
        <f>[1]COMMANDE!W92</f>
        <v>0</v>
      </c>
      <c r="BI94" s="586" t="str">
        <f>_xlfn.IFS(AND($AI94=$AM94,$AI94&gt;0,$AM94&gt;0,BH94&gt;0), BH94,     AND(NOT($AI94=$AM94),$AI94&gt;0,$AM94&gt;0,BH94&gt;0), ($AM94*BH94)/$AI94,     AND($AI94=0,$AM94&gt;0,$AQ94&gt;0), IF(INDEX(BH$12:BH$263,MATCH($AQ94,$AP$12:$AP$263,0))&gt;0,($AM94*INDEX(BH$12:BH$263,MATCH($AQ94,$AP$12:$AP$263,0)))/INDEX($AI$12:$AI$263,MATCH($AQ94,$AP$12:$AP$263,0)), "-"),     TRUE, "0")</f>
        <v>0</v>
      </c>
      <c r="BJ94" s="588">
        <f>IF(BI$9&gt;0, IF(OR(BI94="",BI94="-"), 0, BI94*$AT94), BH94*$AJ94)</f>
        <v>0</v>
      </c>
      <c r="BK94" s="587">
        <f>[1]COMMANDE!Y92</f>
        <v>0</v>
      </c>
      <c r="BL94" s="586" t="str">
        <f>_xlfn.IFS(AND($AI94=$AM94,$AI94&gt;0,$AM94&gt;0,BK94&gt;0), BK94,     AND(NOT($AI94=$AM94),$AI94&gt;0,$AM94&gt;0,BK94&gt;0), ($AM94*BK94)/$AI94,     AND($AI94=0,$AM94&gt;0,$AQ94&gt;0), IF(INDEX(BK$12:BK$263,MATCH($AQ94,$AP$12:$AP$263,0))&gt;0,($AM94*INDEX(BK$12:BK$263,MATCH($AQ94,$AP$12:$AP$263,0)))/INDEX($AI$12:$AI$263,MATCH($AQ94,$AP$12:$AP$263,0)), "-"),     TRUE, "0")</f>
        <v>0</v>
      </c>
      <c r="BM94" s="607">
        <f>IF(BL$9&gt;0, IF(OR(BL94="",BL94="-"), 0, BL94*$AT94), BK94*$AJ94)</f>
        <v>0</v>
      </c>
      <c r="BN94" s="589">
        <f>[1]COMMANDE!AA92</f>
        <v>0</v>
      </c>
      <c r="BO94" s="586" t="str">
        <f>_xlfn.IFS(AND($AI94=$AM94,$AI94&gt;0,$AM94&gt;0,BN94&gt;0), BN94,     AND(NOT($AI94=$AM94),$AI94&gt;0,$AM94&gt;0,BN94&gt;0), ($AM94*BN94)/$AI94,     AND($AI94=0,$AM94&gt;0,$AQ94&gt;0), IF(INDEX(BN$12:BN$263,MATCH($AQ94,$AP$12:$AP$263,0))&gt;0,($AM94*INDEX(BN$12:BN$263,MATCH($AQ94,$AP$12:$AP$263,0)))/INDEX($AI$12:$AI$263,MATCH($AQ94,$AP$12:$AP$263,0)), "-"),     TRUE, "0")</f>
        <v>0</v>
      </c>
      <c r="BP94" s="588">
        <f>IF(BO$9&gt;0, IF(OR(BO94="",BO94="-"), 0, BO94*$AT94), BN94*$AJ94)</f>
        <v>0</v>
      </c>
      <c r="BQ94" s="587">
        <f>[1]COMMANDE!AC92</f>
        <v>0</v>
      </c>
      <c r="BR94" s="586" t="str">
        <f>_xlfn.IFS(AND($AI94=$AM94,$AI94&gt;0,$AM94&gt;0,BQ94&gt;0), BQ94,     AND(NOT($AI94=$AM94),$AI94&gt;0,$AM94&gt;0,BQ94&gt;0), ($AM94*BQ94)/$AI94,     AND($AI94=0,$AM94&gt;0,$AQ94&gt;0), IF(INDEX(BQ$12:BQ$263,MATCH($AQ94,$AP$12:$AP$263,0))&gt;0,($AM94*INDEX(BQ$12:BQ$263,MATCH($AQ94,$AP$12:$AP$263,0)))/INDEX($AI$12:$AI$263,MATCH($AQ94,$AP$12:$AP$263,0)), "-"),     TRUE, "0")</f>
        <v>0</v>
      </c>
      <c r="BS94" s="607">
        <f>IF(BR$9&gt;0, IF(OR(BR94="",BR94="-"), 0, BR94*$AT94), BQ94*$AJ94)</f>
        <v>0</v>
      </c>
      <c r="BT94" s="589">
        <f>[1]COMMANDE!AE92</f>
        <v>0</v>
      </c>
      <c r="BU94" s="586" t="str">
        <f>_xlfn.IFS(AND($AI94=$AM94,$AI94&gt;0,$AM94&gt;0,BT94&gt;0), BT94,     AND(NOT($AI94=$AM94),$AI94&gt;0,$AM94&gt;0,BT94&gt;0), ($AM94*BT94)/$AI94,     AND($AI94=0,$AM94&gt;0,$AQ94&gt;0), IF(INDEX(BT$12:BT$263,MATCH($AQ94,$AP$12:$AP$263,0))&gt;0,($AM94*INDEX(BT$12:BT$263,MATCH($AQ94,$AP$12:$AP$263,0)))/INDEX($AI$12:$AI$263,MATCH($AQ94,$AP$12:$AP$263,0)), "-"),     TRUE, "0")</f>
        <v>0</v>
      </c>
      <c r="BV94" s="588">
        <f>IF(BU$9&gt;0, IF(OR(BU94="",BU94="-"), 0, BU94*$AT94), BT94*$AJ94)</f>
        <v>0</v>
      </c>
      <c r="BW94" s="587">
        <f>[1]COMMANDE!AG92</f>
        <v>0</v>
      </c>
      <c r="BX94" s="586" t="str">
        <f>_xlfn.IFS(AND($AI94=$AM94,$AI94&gt;0,$AM94&gt;0,BW94&gt;0), BW94,     AND(NOT($AI94=$AM94),$AI94&gt;0,$AM94&gt;0,BW94&gt;0), ($AM94*BW94)/$AI94,     AND($AI94=0,$AM94&gt;0,$AQ94&gt;0), IF(INDEX(BW$12:BW$263,MATCH($AQ94,$AP$12:$AP$263,0))&gt;0,($AM94*INDEX(BW$12:BW$263,MATCH($AQ94,$AP$12:$AP$263,0)))/INDEX($AI$12:$AI$263,MATCH($AQ94,$AP$12:$AP$263,0)), "-"),     TRUE, "0")</f>
        <v>0</v>
      </c>
      <c r="BY94" s="607">
        <f>IF(BX$9&gt;0, IF(OR(BX94="",BX94="-"), 0, BX94*$AT94), BW94*$AJ94)</f>
        <v>0</v>
      </c>
      <c r="BZ94" s="589">
        <f>[1]COMMANDE!AI92</f>
        <v>0</v>
      </c>
      <c r="CA94" s="586" t="str">
        <f>_xlfn.IFS(AND($AI94=$AM94,$AI94&gt;0,$AM94&gt;0,BZ94&gt;0), BZ94,     AND(NOT($AI94=$AM94),$AI94&gt;0,$AM94&gt;0,BZ94&gt;0), ($AM94*BZ94)/$AI94,     AND($AI94=0,$AM94&gt;0,$AQ94&gt;0), IF(INDEX(BZ$12:BZ$263,MATCH($AQ94,$AP$12:$AP$263,0))&gt;0,($AM94*INDEX(BZ$12:BZ$263,MATCH($AQ94,$AP$12:$AP$263,0)))/INDEX($AI$12:$AI$263,MATCH($AQ94,$AP$12:$AP$263,0)), "-"),     TRUE, "0")</f>
        <v>0</v>
      </c>
      <c r="CB94" s="588">
        <f>IF(CA$9&gt;0, IF(OR(CA94="",CA94="-"), 0, CA94*$AT94), BZ94*$AJ94)</f>
        <v>0</v>
      </c>
      <c r="CC94" s="587">
        <f>[1]COMMANDE!AK92</f>
        <v>0</v>
      </c>
      <c r="CD94" s="586" t="str">
        <f>_xlfn.IFS(AND($AI94=$AM94,$AI94&gt;0,$AM94&gt;0,CC94&gt;0), CC94,     AND(NOT($AI94=$AM94),$AI94&gt;0,$AM94&gt;0,CC94&gt;0), ($AM94*CC94)/$AI94,     AND($AI94=0,$AM94&gt;0,$AQ94&gt;0), IF(INDEX(CC$12:CC$263,MATCH($AQ94,$AP$12:$AP$263,0))&gt;0,($AM94*INDEX(CC$12:CC$263,MATCH($AQ94,$AP$12:$AP$263,0)))/INDEX($AI$12:$AI$263,MATCH($AQ94,$AP$12:$AP$263,0)), "-"),     TRUE, "0")</f>
        <v>0</v>
      </c>
      <c r="CE94" s="607">
        <f>IF(CD$9&gt;0, IF(OR(CD94="",CD94="-"), 0, CD94*$AT94), CC94*$AJ94)</f>
        <v>0</v>
      </c>
      <c r="CF94" s="589">
        <f>[1]COMMANDE!AM92</f>
        <v>0</v>
      </c>
      <c r="CG94" s="586" t="str">
        <f>_xlfn.IFS(AND($AI94=$AM94,$AI94&gt;0,$AM94&gt;0,CF94&gt;0), CF94,     AND(NOT($AI94=$AM94),$AI94&gt;0,$AM94&gt;0,CF94&gt;0), ($AM94*CF94)/$AI94,     AND($AI94=0,$AM94&gt;0,$AQ94&gt;0), IF(INDEX(CF$12:CF$263,MATCH($AQ94,$AP$12:$AP$263,0))&gt;0,($AM94*INDEX(CF$12:CF$263,MATCH($AQ94,$AP$12:$AP$263,0)))/INDEX($AI$12:$AI$263,MATCH($AQ94,$AP$12:$AP$263,0)), "-"),     TRUE, "0")</f>
        <v>0</v>
      </c>
      <c r="CH94" s="588">
        <f>IF(CG$9&gt;0, IF(OR(CG94="",CG94="-"), 0, CG94*$AT94), CF94*$AJ94)</f>
        <v>0</v>
      </c>
      <c r="CI94" s="587">
        <f>[1]COMMANDE!AO92</f>
        <v>0</v>
      </c>
      <c r="CJ94" s="586" t="str">
        <f>_xlfn.IFS(AND($AI94=$AM94,$AI94&gt;0,$AM94&gt;0,CI94&gt;0), CI94,     AND(NOT($AI94=$AM94),$AI94&gt;0,$AM94&gt;0,CI94&gt;0), ($AM94*CI94)/$AI94,     AND($AI94=0,$AM94&gt;0,$AQ94&gt;0), IF(INDEX(CI$12:CI$263,MATCH($AQ94,$AP$12:$AP$263,0))&gt;0,($AM94*INDEX(CI$12:CI$263,MATCH($AQ94,$AP$12:$AP$263,0)))/INDEX($AI$12:$AI$263,MATCH($AQ94,$AP$12:$AP$263,0)), "-"),     TRUE, "0")</f>
        <v>0</v>
      </c>
      <c r="CK94" s="607">
        <f>IF(CJ$9&gt;0, IF(OR(CJ94="",CJ94="-"), 0, CJ94*$AT94), CI94*$AJ94)</f>
        <v>0</v>
      </c>
      <c r="CL94" s="589">
        <f>[1]COMMANDE!AQ92</f>
        <v>0</v>
      </c>
      <c r="CM94" s="586" t="str">
        <f>_xlfn.IFS(AND($AI94=$AM94,$AI94&gt;0,$AM94&gt;0,CL94&gt;0), CL94,     AND(NOT($AI94=$AM94),$AI94&gt;0,$AM94&gt;0,CL94&gt;0), ($AM94*CL94)/$AI94,     AND($AI94=0,$AM94&gt;0,$AQ94&gt;0), IF(INDEX(CL$12:CL$263,MATCH($AQ94,$AP$12:$AP$263,0))&gt;0,($AM94*INDEX(CL$12:CL$263,MATCH($AQ94,$AP$12:$AP$263,0)))/INDEX($AI$12:$AI$263,MATCH($AQ94,$AP$12:$AP$263,0)), "-"),     TRUE, "0")</f>
        <v>0</v>
      </c>
      <c r="CN94" s="588">
        <f>IF(CM$9&gt;0, IF(OR(CM94="",CM94="-"), 0, CM94*$AT94), CL94*$AJ94)</f>
        <v>0</v>
      </c>
      <c r="CO94" s="587">
        <f>[1]COMMANDE!AS92</f>
        <v>0</v>
      </c>
      <c r="CP94" s="586" t="str">
        <f>_xlfn.IFS(AND($AI94=$AM94,$AI94&gt;0,$AM94&gt;0,CO94&gt;0), CO94,     AND(NOT($AI94=$AM94),$AI94&gt;0,$AM94&gt;0,CO94&gt;0), ($AM94*CO94)/$AI94,     AND($AI94=0,$AM94&gt;0,$AQ94&gt;0), IF(INDEX(CO$12:CO$263,MATCH($AQ94,$AP$12:$AP$263,0))&gt;0,($AM94*INDEX(CO$12:CO$263,MATCH($AQ94,$AP$12:$AP$263,0)))/INDEX($AI$12:$AI$263,MATCH($AQ94,$AP$12:$AP$263,0)), "-"),     TRUE, "0")</f>
        <v>0</v>
      </c>
      <c r="CQ94" s="607">
        <f>IF(CP$9&gt;0, IF(OR(CP94="",CP94="-"), 0, CP94*$AT94), CO94*$AJ94)</f>
        <v>0</v>
      </c>
      <c r="CR94" s="589">
        <f>[1]COMMANDE!AU92</f>
        <v>0</v>
      </c>
      <c r="CS94" s="586" t="str">
        <f>_xlfn.IFS(AND($AI94=$AM94,$AI94&gt;0,$AM94&gt;0,CR94&gt;0), CR94,     AND(NOT($AI94=$AM94),$AI94&gt;0,$AM94&gt;0,CR94&gt;0), ($AM94*CR94)/$AI94,     AND($AI94=0,$AM94&gt;0,$AQ94&gt;0), IF(INDEX(CR$12:CR$263,MATCH($AQ94,$AP$12:$AP$263,0))&gt;0,($AM94*INDEX(CR$12:CR$263,MATCH($AQ94,$AP$12:$AP$263,0)))/INDEX($AI$12:$AI$263,MATCH($AQ94,$AP$12:$AP$263,0)), "-"),     TRUE, "0")</f>
        <v>0</v>
      </c>
      <c r="CT94" s="588">
        <f>IF(CS$9&gt;0, IF(OR(CS94="",CS94="-"), 0, CS94*$AT94), CR94*$AJ94)</f>
        <v>0</v>
      </c>
      <c r="CU94" s="587">
        <f>[1]COMMANDE!AW92</f>
        <v>0</v>
      </c>
      <c r="CV94" s="586" t="str">
        <f>_xlfn.IFS(AND($AI94=$AM94,$AI94&gt;0,$AM94&gt;0,CU94&gt;0), CU94,     AND(NOT($AI94=$AM94),$AI94&gt;0,$AM94&gt;0,CU94&gt;0), ($AM94*CU94)/$AI94,     AND($AI94=0,$AM94&gt;0,$AQ94&gt;0), IF(INDEX(CU$12:CU$263,MATCH($AQ94,$AP$12:$AP$263,0))&gt;0,($AM94*INDEX(CU$12:CU$263,MATCH($AQ94,$AP$12:$AP$263,0)))/INDEX($AI$12:$AI$263,MATCH($AQ94,$AP$12:$AP$263,0)), "-"),     TRUE, "0")</f>
        <v>0</v>
      </c>
      <c r="CW94" s="607">
        <f>IF(CV$9&gt;0, IF(OR(CV94="",CV94="-"), 0, CV94*$AT94), CU94*$AJ94)</f>
        <v>0</v>
      </c>
      <c r="CX94" s="589">
        <f>[1]COMMANDE!AY92</f>
        <v>0</v>
      </c>
      <c r="CY94" s="586" t="str">
        <f>_xlfn.IFS(AND($AI94=$AM94,$AI94&gt;0,$AM94&gt;0,CX94&gt;0), CX94,     AND(NOT($AI94=$AM94),$AI94&gt;0,$AM94&gt;0,CX94&gt;0), ($AM94*CX94)/$AI94,     AND($AI94=0,$AM94&gt;0,$AQ94&gt;0), IF(INDEX(CX$12:CX$263,MATCH($AQ94,$AP$12:$AP$263,0))&gt;0,($AM94*INDEX(CX$12:CX$263,MATCH($AQ94,$AP$12:$AP$263,0)))/INDEX($AI$12:$AI$263,MATCH($AQ94,$AP$12:$AP$263,0)), "-"),     TRUE, "0")</f>
        <v>0</v>
      </c>
      <c r="CZ94" s="588">
        <f>IF(CY$9&gt;0, IF(OR(CY94="",CY94="-"), 0, CY94*$AT94), CX94*$AJ94)</f>
        <v>0</v>
      </c>
      <c r="DA94" s="587">
        <f>[1]COMMANDE!BA92</f>
        <v>0</v>
      </c>
      <c r="DB94" s="586" t="str">
        <f>_xlfn.IFS(AND($AI94=$AM94,$AI94&gt;0,$AM94&gt;0,DA94&gt;0), DA94,     AND(NOT($AI94=$AM94),$AI94&gt;0,$AM94&gt;0,DA94&gt;0), ($AM94*DA94)/$AI94,     AND($AI94=0,$AM94&gt;0,$AQ94&gt;0), IF(INDEX(DA$12:DA$263,MATCH($AQ94,$AP$12:$AP$263,0))&gt;0,($AM94*INDEX(DA$12:DA$263,MATCH($AQ94,$AP$12:$AP$263,0)))/INDEX($AI$12:$AI$263,MATCH($AQ94,$AP$12:$AP$263,0)), "-"),     TRUE, "0")</f>
        <v>0</v>
      </c>
      <c r="DC94" s="606">
        <f>IF(DB$9&gt;0, IF(OR(DB94="",DB94="-"), 0, DB94*$AT94), DA94*$AJ94)</f>
        <v>0</v>
      </c>
      <c r="DD94" s="584"/>
      <c r="DE94" s="583"/>
    </row>
    <row r="95" spans="1:109" ht="39.950000000000003" hidden="1" customHeight="1">
      <c r="A95" s="604">
        <f>IF(OR($AV95&gt;0, $AX95&gt;0), 1, 0)</f>
        <v>0</v>
      </c>
      <c r="B95" s="604">
        <f>IF(OR($AY95&gt;0, $BA95&gt;0), 1, 0)</f>
        <v>0</v>
      </c>
      <c r="C95" s="604">
        <f>IF(OR($BB95&gt;0, $BD95&gt;0), 1, 0)</f>
        <v>0</v>
      </c>
      <c r="D95" s="604">
        <f>IF(OR($BE95&gt;0, $BG95&gt;0), 1, 0)</f>
        <v>0</v>
      </c>
      <c r="E95" s="604">
        <f>IF(OR($BH95&gt;0, $BJ95&gt;0), 1, 0)</f>
        <v>0</v>
      </c>
      <c r="F95" s="604">
        <f>IF(OR($BK95&gt;0, $BM95&gt;0), 1, 0)</f>
        <v>0</v>
      </c>
      <c r="G95" s="604">
        <f>IF(OR($BN95&gt;0, $BP95&gt;0), 1, 0)</f>
        <v>0</v>
      </c>
      <c r="H95" s="604">
        <f>IF(OR($BQ95&gt;0, $BS95&gt;0), 1, 0)</f>
        <v>0</v>
      </c>
      <c r="I95" s="604">
        <f>IF(OR($BT95&gt;0, $BV95&gt;0), 1, 0)</f>
        <v>0</v>
      </c>
      <c r="J95" s="604">
        <f>IF(OR($BW95&gt;0, $BY95&gt;0), 1, 0)</f>
        <v>0</v>
      </c>
      <c r="K95" s="604">
        <f>IF(OR($BZ95&gt;0, $CB95&gt;0), 1, 0)</f>
        <v>0</v>
      </c>
      <c r="L95" s="604">
        <f>IF(OR($CC95&gt;0, $CE95&gt;0), 1, 0)</f>
        <v>0</v>
      </c>
      <c r="M95" s="604">
        <f>IF(OR($CF95&gt;0, $CH95&gt;0), 1, 0)</f>
        <v>0</v>
      </c>
      <c r="N95" s="604">
        <f>IF(OR($CI95&gt;0, $CK95&gt;0), 1, 0)</f>
        <v>0</v>
      </c>
      <c r="O95" s="604">
        <f>IF(OR($CL95&gt;0, $CN95&gt;0), 1, 0)</f>
        <v>0</v>
      </c>
      <c r="P95" s="604">
        <f>IF(OR($CO95&gt;0, $CQ95&gt;0), 1, 0)</f>
        <v>0</v>
      </c>
      <c r="Q95" s="604">
        <f>IF(OR($CR95&gt;0, $CT95&gt;0), 1, 0)</f>
        <v>0</v>
      </c>
      <c r="R95" s="604">
        <f>IF(OR($CU95&gt;0, $CW95&gt;0), 1, 0)</f>
        <v>0</v>
      </c>
      <c r="S95" s="604">
        <f>IF(OR($CX95&gt;0, $CZ95&gt;0), 1, 0)</f>
        <v>0</v>
      </c>
      <c r="T95" s="604">
        <f>IF(OR($DA95&gt;0, $DC95&gt;0), 1, 0)</f>
        <v>0</v>
      </c>
      <c r="U95" s="603">
        <f>IF(OR($AI95&gt;0,$AM95&gt;0,$AS95&gt;0), 1, 0)</f>
        <v>0</v>
      </c>
      <c r="V95" s="602">
        <f>[1]BDD!A85</f>
        <v>6111</v>
      </c>
      <c r="W95" s="601" t="str">
        <f>[1]BDD!B85</f>
        <v>Crackers déshydratés CRU BIO (env. 200g)
    - (tomate, tournesol, sarrasin, lin, oignons, ...)</v>
      </c>
      <c r="X95" s="600" t="str">
        <f>IF([1]BDD!F85=0, "", [1]BDD!F85)</f>
        <v/>
      </c>
      <c r="Y95" s="542">
        <f>ROUND([1]BDD!G85+FDP_CMD_KG, 2)</f>
        <v>8.25</v>
      </c>
      <c r="Z95" s="542">
        <f>ROUND([1]BDD!G85+FDP_FACT_KG, 2)</f>
        <v>8.25</v>
      </c>
      <c r="AA95" s="543" t="str">
        <f>[1]BDD!H85</f>
        <v>Pièce</v>
      </c>
      <c r="AB95" s="544" t="str">
        <f>IF(NOT(ISBLANK([1]BDD!I85)), ROUND(SUM(([1]BDD!G85*reduc1),FDP_CMD_KG), 2), "")</f>
        <v/>
      </c>
      <c r="AC95" s="544" t="str">
        <f>IF(NOT(ISBLANK([1]BDD!J85)), ROUND(SUM(([1]BDD!G85*reduc2),FDP_CMD_KG), 2), "")</f>
        <v/>
      </c>
      <c r="AD95" s="544" t="str">
        <f>IF(NOT(ISBLANK([1]BDD!K85)), ROUND(SUM(([1]BDD!G85*reduc3),FDP_CMD_KG), 2), "")</f>
        <v/>
      </c>
      <c r="AE95" s="544" t="str">
        <f>IF(NOT(ISBLANK([1]BDD!I85)), ROUND(SUM(([1]BDD!G85*reduc1),FDP_FACT_KG), 2), "")</f>
        <v/>
      </c>
      <c r="AF95" s="544" t="str">
        <f>IF(NOT(ISBLANK([1]BDD!J85)), ROUND(SUM(([1]BDD!G85*reduc2),FDP_FACT_KG), 2), "")</f>
        <v/>
      </c>
      <c r="AG95" s="544" t="str">
        <f>IF(NOT(ISBLANK([1]BDD!K85)), ROUND(SUM(([1]BDD!G85*reduc3),FDP_FACT_KG), 2), "")</f>
        <v/>
      </c>
      <c r="AH95" s="599" t="str">
        <f>[1]BDD!C85</f>
        <v>Espagne</v>
      </c>
      <c r="AI95" s="598">
        <f>SUM(AV95,AY95,BB95,BE95,BH95,BK95,BN95,BQ95,BT95,BW95,BZ95,CC95,CF95,CI95,CL95,CO95,CR95,CU95,CX95,DA95)</f>
        <v>0</v>
      </c>
      <c r="AJ95" s="545">
        <f>_xlfn.IFS($AD95&lt;&gt;"", $AD95,    $AC95&lt;&gt;"", $AC95,    $AB95&lt;&gt;"", $AB95,    TRUE, $Y95)</f>
        <v>8.25</v>
      </c>
      <c r="AK95" s="592">
        <f>$AI95*$AJ95</f>
        <v>0</v>
      </c>
      <c r="AL95" s="594"/>
      <c r="AM95" s="597"/>
      <c r="AN95" s="545">
        <f>_xlfn.IFS(AND(AM95&gt;=60,$AG95&lt;&gt;""), $AG95,    AND(AM95&gt;=30,$AF95&lt;&gt;""), $AF95,    AND(AM95&gt;=10,$AE95&lt;&gt;""), $AE95,    TRUE, $Z95)</f>
        <v>8.25</v>
      </c>
      <c r="AO95" s="596">
        <f>AM95*AN95</f>
        <v>0</v>
      </c>
      <c r="AP95" s="595"/>
      <c r="AQ95" s="595"/>
      <c r="AR95" s="594"/>
      <c r="AS95" s="593">
        <f>SUM(AW95,AZ95,BC95,BF95,BI95,BL95,BO95,BR95,BU95,BX95,CA95,CD95,CG95,CJ95,CM95,CP95,CS95,CV95,CY95,DB95)</f>
        <v>0</v>
      </c>
      <c r="AT95" s="545">
        <f>_xlfn.IFS(AND(AS95&gt;=60,$AG95&lt;&gt;""), $AG95,    AND(AS95&gt;=30,$AF95&lt;&gt;""), $AF95,    AND(AS95&gt;=10,$AE95&lt;&gt;""), $AE95,    TRUE, $Z95)</f>
        <v>8.25</v>
      </c>
      <c r="AU95" s="592">
        <f>$AS95*$AT95</f>
        <v>0</v>
      </c>
      <c r="AV95" s="591">
        <f>[1]COMMANDE!O93</f>
        <v>0</v>
      </c>
      <c r="AW95" s="586" t="str">
        <f>_xlfn.IFS(AND($AI95=$AM95,$AI95&gt;0,$AM95&gt;0,AV95&gt;0), AV95,     AND(NOT($AI95=$AM95),$AI95&gt;0,$AM95&gt;0,AV95&gt;0), ($AM95*AV95)/$AI95,     AND($AI95=0,$AM95&gt;0,$AQ95&gt;0), IF(INDEX(AV$12:AV$263,MATCH($AQ95,$AP$12:$AP$263,0))&gt;0,($AM95*INDEX(AV$12:AV$263,MATCH($AQ95,$AP$12:$AP$263,0)))/INDEX($AI$12:$AI$263,MATCH($AQ95,$AP$12:$AP$263,0)), "-"),     TRUE, "0")</f>
        <v>0</v>
      </c>
      <c r="AX95" s="588">
        <f>IF(AW$9&gt;0, IF(OR(AW95="",AW95="-"), 0, AW95*$AT95), AV95*$AJ95)</f>
        <v>0</v>
      </c>
      <c r="AY95" s="587">
        <f>[1]COMMANDE!Q93</f>
        <v>0</v>
      </c>
      <c r="AZ95" s="586" t="str">
        <f>_xlfn.IFS(AND($AI95=$AM95,$AI95&gt;0,$AM95&gt;0,AY95&gt;0), AY95,     AND(NOT($AI95=$AM95),$AI95&gt;0,$AM95&gt;0,AY95&gt;0), ($AM95*AY95)/$AI95,     AND($AI95=0,$AM95&gt;0,$AQ95&gt;0), IF(INDEX(AY$12:AY$263,MATCH($AQ95,$AP$12:$AP$263,0))&gt;0,($AM95*INDEX(AY$12:AY$263,MATCH($AQ95,$AP$12:$AP$263,0)))/INDEX($AI$12:$AI$263,MATCH($AQ95,$AP$12:$AP$263,0)), "-"),     TRUE, "0")</f>
        <v>0</v>
      </c>
      <c r="BA95" s="607">
        <f>IF(AZ$9&gt;0, IF(OR(AZ95="",AZ95="-"), 0, AZ95*$AT95), AY95*$AJ95)</f>
        <v>0</v>
      </c>
      <c r="BB95" s="589">
        <f>[1]COMMANDE!S93</f>
        <v>0</v>
      </c>
      <c r="BC95" s="586" t="str">
        <f>_xlfn.IFS(AND($AI95=$AM95,$AI95&gt;0,$AM95&gt;0,BB95&gt;0), BB95,     AND(NOT($AI95=$AM95),$AI95&gt;0,$AM95&gt;0,BB95&gt;0), ($AM95*BB95)/$AI95,     AND($AI95=0,$AM95&gt;0,$AQ95&gt;0), IF(INDEX(BB$12:BB$263,MATCH($AQ95,$AP$12:$AP$263,0))&gt;0,($AM95*INDEX(BB$12:BB$263,MATCH($AQ95,$AP$12:$AP$263,0)))/INDEX($AI$12:$AI$263,MATCH($AQ95,$AP$12:$AP$263,0)), "-"),     TRUE, "0")</f>
        <v>0</v>
      </c>
      <c r="BD95" s="588">
        <f>IF(BC$9&gt;0, IF(OR(BC95="",BC95="-"), 0, BC95*$AT95), BB95*$AJ95)</f>
        <v>0</v>
      </c>
      <c r="BE95" s="587">
        <f>[1]COMMANDE!U93</f>
        <v>0</v>
      </c>
      <c r="BF95" s="586" t="str">
        <f>_xlfn.IFS(AND($AI95=$AM95,$AI95&gt;0,$AM95&gt;0,BE95&gt;0), BE95,     AND(NOT($AI95=$AM95),$AI95&gt;0,$AM95&gt;0,BE95&gt;0), ($AM95*BE95)/$AI95,     AND($AI95=0,$AM95&gt;0,$AQ95&gt;0), IF(INDEX(BE$12:BE$263,MATCH($AQ95,$AP$12:$AP$263,0))&gt;0,($AM95*INDEX(BE$12:BE$263,MATCH($AQ95,$AP$12:$AP$263,0)))/INDEX($AI$12:$AI$263,MATCH($AQ95,$AP$12:$AP$263,0)), "-"),     TRUE, "0")</f>
        <v>0</v>
      </c>
      <c r="BG95" s="607">
        <f>IF(BF$9&gt;0, IF(OR(BF95="",BF95="-"), 0, BF95*$AT95), BE95*$AJ95)</f>
        <v>0</v>
      </c>
      <c r="BH95" s="589">
        <f>[1]COMMANDE!W93</f>
        <v>0</v>
      </c>
      <c r="BI95" s="586" t="str">
        <f>_xlfn.IFS(AND($AI95=$AM95,$AI95&gt;0,$AM95&gt;0,BH95&gt;0), BH95,     AND(NOT($AI95=$AM95),$AI95&gt;0,$AM95&gt;0,BH95&gt;0), ($AM95*BH95)/$AI95,     AND($AI95=0,$AM95&gt;0,$AQ95&gt;0), IF(INDEX(BH$12:BH$263,MATCH($AQ95,$AP$12:$AP$263,0))&gt;0,($AM95*INDEX(BH$12:BH$263,MATCH($AQ95,$AP$12:$AP$263,0)))/INDEX($AI$12:$AI$263,MATCH($AQ95,$AP$12:$AP$263,0)), "-"),     TRUE, "0")</f>
        <v>0</v>
      </c>
      <c r="BJ95" s="588">
        <f>IF(BI$9&gt;0, IF(OR(BI95="",BI95="-"), 0, BI95*$AT95), BH95*$AJ95)</f>
        <v>0</v>
      </c>
      <c r="BK95" s="587">
        <f>[1]COMMANDE!Y93</f>
        <v>0</v>
      </c>
      <c r="BL95" s="586" t="str">
        <f>_xlfn.IFS(AND($AI95=$AM95,$AI95&gt;0,$AM95&gt;0,BK95&gt;0), BK95,     AND(NOT($AI95=$AM95),$AI95&gt;0,$AM95&gt;0,BK95&gt;0), ($AM95*BK95)/$AI95,     AND($AI95=0,$AM95&gt;0,$AQ95&gt;0), IF(INDEX(BK$12:BK$263,MATCH($AQ95,$AP$12:$AP$263,0))&gt;0,($AM95*INDEX(BK$12:BK$263,MATCH($AQ95,$AP$12:$AP$263,0)))/INDEX($AI$12:$AI$263,MATCH($AQ95,$AP$12:$AP$263,0)), "-"),     TRUE, "0")</f>
        <v>0</v>
      </c>
      <c r="BM95" s="607">
        <f>IF(BL$9&gt;0, IF(OR(BL95="",BL95="-"), 0, BL95*$AT95), BK95*$AJ95)</f>
        <v>0</v>
      </c>
      <c r="BN95" s="589">
        <f>[1]COMMANDE!AA93</f>
        <v>0</v>
      </c>
      <c r="BO95" s="586" t="str">
        <f>_xlfn.IFS(AND($AI95=$AM95,$AI95&gt;0,$AM95&gt;0,BN95&gt;0), BN95,     AND(NOT($AI95=$AM95),$AI95&gt;0,$AM95&gt;0,BN95&gt;0), ($AM95*BN95)/$AI95,     AND($AI95=0,$AM95&gt;0,$AQ95&gt;0), IF(INDEX(BN$12:BN$263,MATCH($AQ95,$AP$12:$AP$263,0))&gt;0,($AM95*INDEX(BN$12:BN$263,MATCH($AQ95,$AP$12:$AP$263,0)))/INDEX($AI$12:$AI$263,MATCH($AQ95,$AP$12:$AP$263,0)), "-"),     TRUE, "0")</f>
        <v>0</v>
      </c>
      <c r="BP95" s="588">
        <f>IF(BO$9&gt;0, IF(OR(BO95="",BO95="-"), 0, BO95*$AT95), BN95*$AJ95)</f>
        <v>0</v>
      </c>
      <c r="BQ95" s="587">
        <f>[1]COMMANDE!AC93</f>
        <v>0</v>
      </c>
      <c r="BR95" s="586" t="str">
        <f>_xlfn.IFS(AND($AI95=$AM95,$AI95&gt;0,$AM95&gt;0,BQ95&gt;0), BQ95,     AND(NOT($AI95=$AM95),$AI95&gt;0,$AM95&gt;0,BQ95&gt;0), ($AM95*BQ95)/$AI95,     AND($AI95=0,$AM95&gt;0,$AQ95&gt;0), IF(INDEX(BQ$12:BQ$263,MATCH($AQ95,$AP$12:$AP$263,0))&gt;0,($AM95*INDEX(BQ$12:BQ$263,MATCH($AQ95,$AP$12:$AP$263,0)))/INDEX($AI$12:$AI$263,MATCH($AQ95,$AP$12:$AP$263,0)), "-"),     TRUE, "0")</f>
        <v>0</v>
      </c>
      <c r="BS95" s="607">
        <f>IF(BR$9&gt;0, IF(OR(BR95="",BR95="-"), 0, BR95*$AT95), BQ95*$AJ95)</f>
        <v>0</v>
      </c>
      <c r="BT95" s="589">
        <f>[1]COMMANDE!AE93</f>
        <v>0</v>
      </c>
      <c r="BU95" s="586" t="str">
        <f>_xlfn.IFS(AND($AI95=$AM95,$AI95&gt;0,$AM95&gt;0,BT95&gt;0), BT95,     AND(NOT($AI95=$AM95),$AI95&gt;0,$AM95&gt;0,BT95&gt;0), ($AM95*BT95)/$AI95,     AND($AI95=0,$AM95&gt;0,$AQ95&gt;0), IF(INDEX(BT$12:BT$263,MATCH($AQ95,$AP$12:$AP$263,0))&gt;0,($AM95*INDEX(BT$12:BT$263,MATCH($AQ95,$AP$12:$AP$263,0)))/INDEX($AI$12:$AI$263,MATCH($AQ95,$AP$12:$AP$263,0)), "-"),     TRUE, "0")</f>
        <v>0</v>
      </c>
      <c r="BV95" s="588">
        <f>IF(BU$9&gt;0, IF(OR(BU95="",BU95="-"), 0, BU95*$AT95), BT95*$AJ95)</f>
        <v>0</v>
      </c>
      <c r="BW95" s="587">
        <f>[1]COMMANDE!AG93</f>
        <v>0</v>
      </c>
      <c r="BX95" s="586" t="str">
        <f>_xlfn.IFS(AND($AI95=$AM95,$AI95&gt;0,$AM95&gt;0,BW95&gt;0), BW95,     AND(NOT($AI95=$AM95),$AI95&gt;0,$AM95&gt;0,BW95&gt;0), ($AM95*BW95)/$AI95,     AND($AI95=0,$AM95&gt;0,$AQ95&gt;0), IF(INDEX(BW$12:BW$263,MATCH($AQ95,$AP$12:$AP$263,0))&gt;0,($AM95*INDEX(BW$12:BW$263,MATCH($AQ95,$AP$12:$AP$263,0)))/INDEX($AI$12:$AI$263,MATCH($AQ95,$AP$12:$AP$263,0)), "-"),     TRUE, "0")</f>
        <v>0</v>
      </c>
      <c r="BY95" s="607">
        <f>IF(BX$9&gt;0, IF(OR(BX95="",BX95="-"), 0, BX95*$AT95), BW95*$AJ95)</f>
        <v>0</v>
      </c>
      <c r="BZ95" s="589">
        <f>[1]COMMANDE!AI93</f>
        <v>0</v>
      </c>
      <c r="CA95" s="586" t="str">
        <f>_xlfn.IFS(AND($AI95=$AM95,$AI95&gt;0,$AM95&gt;0,BZ95&gt;0), BZ95,     AND(NOT($AI95=$AM95),$AI95&gt;0,$AM95&gt;0,BZ95&gt;0), ($AM95*BZ95)/$AI95,     AND($AI95=0,$AM95&gt;0,$AQ95&gt;0), IF(INDEX(BZ$12:BZ$263,MATCH($AQ95,$AP$12:$AP$263,0))&gt;0,($AM95*INDEX(BZ$12:BZ$263,MATCH($AQ95,$AP$12:$AP$263,0)))/INDEX($AI$12:$AI$263,MATCH($AQ95,$AP$12:$AP$263,0)), "-"),     TRUE, "0")</f>
        <v>0</v>
      </c>
      <c r="CB95" s="588">
        <f>IF(CA$9&gt;0, IF(OR(CA95="",CA95="-"), 0, CA95*$AT95), BZ95*$AJ95)</f>
        <v>0</v>
      </c>
      <c r="CC95" s="587">
        <f>[1]COMMANDE!AK93</f>
        <v>0</v>
      </c>
      <c r="CD95" s="586" t="str">
        <f>_xlfn.IFS(AND($AI95=$AM95,$AI95&gt;0,$AM95&gt;0,CC95&gt;0), CC95,     AND(NOT($AI95=$AM95),$AI95&gt;0,$AM95&gt;0,CC95&gt;0), ($AM95*CC95)/$AI95,     AND($AI95=0,$AM95&gt;0,$AQ95&gt;0), IF(INDEX(CC$12:CC$263,MATCH($AQ95,$AP$12:$AP$263,0))&gt;0,($AM95*INDEX(CC$12:CC$263,MATCH($AQ95,$AP$12:$AP$263,0)))/INDEX($AI$12:$AI$263,MATCH($AQ95,$AP$12:$AP$263,0)), "-"),     TRUE, "0")</f>
        <v>0</v>
      </c>
      <c r="CE95" s="607">
        <f>IF(CD$9&gt;0, IF(OR(CD95="",CD95="-"), 0, CD95*$AT95), CC95*$AJ95)</f>
        <v>0</v>
      </c>
      <c r="CF95" s="589">
        <f>[1]COMMANDE!AM93</f>
        <v>0</v>
      </c>
      <c r="CG95" s="586" t="str">
        <f>_xlfn.IFS(AND($AI95=$AM95,$AI95&gt;0,$AM95&gt;0,CF95&gt;0), CF95,     AND(NOT($AI95=$AM95),$AI95&gt;0,$AM95&gt;0,CF95&gt;0), ($AM95*CF95)/$AI95,     AND($AI95=0,$AM95&gt;0,$AQ95&gt;0), IF(INDEX(CF$12:CF$263,MATCH($AQ95,$AP$12:$AP$263,0))&gt;0,($AM95*INDEX(CF$12:CF$263,MATCH($AQ95,$AP$12:$AP$263,0)))/INDEX($AI$12:$AI$263,MATCH($AQ95,$AP$12:$AP$263,0)), "-"),     TRUE, "0")</f>
        <v>0</v>
      </c>
      <c r="CH95" s="588">
        <f>IF(CG$9&gt;0, IF(OR(CG95="",CG95="-"), 0, CG95*$AT95), CF95*$AJ95)</f>
        <v>0</v>
      </c>
      <c r="CI95" s="587">
        <f>[1]COMMANDE!AO93</f>
        <v>0</v>
      </c>
      <c r="CJ95" s="586" t="str">
        <f>_xlfn.IFS(AND($AI95=$AM95,$AI95&gt;0,$AM95&gt;0,CI95&gt;0), CI95,     AND(NOT($AI95=$AM95),$AI95&gt;0,$AM95&gt;0,CI95&gt;0), ($AM95*CI95)/$AI95,     AND($AI95=0,$AM95&gt;0,$AQ95&gt;0), IF(INDEX(CI$12:CI$263,MATCH($AQ95,$AP$12:$AP$263,0))&gt;0,($AM95*INDEX(CI$12:CI$263,MATCH($AQ95,$AP$12:$AP$263,0)))/INDEX($AI$12:$AI$263,MATCH($AQ95,$AP$12:$AP$263,0)), "-"),     TRUE, "0")</f>
        <v>0</v>
      </c>
      <c r="CK95" s="607">
        <f>IF(CJ$9&gt;0, IF(OR(CJ95="",CJ95="-"), 0, CJ95*$AT95), CI95*$AJ95)</f>
        <v>0</v>
      </c>
      <c r="CL95" s="589">
        <f>[1]COMMANDE!AQ93</f>
        <v>0</v>
      </c>
      <c r="CM95" s="586" t="str">
        <f>_xlfn.IFS(AND($AI95=$AM95,$AI95&gt;0,$AM95&gt;0,CL95&gt;0), CL95,     AND(NOT($AI95=$AM95),$AI95&gt;0,$AM95&gt;0,CL95&gt;0), ($AM95*CL95)/$AI95,     AND($AI95=0,$AM95&gt;0,$AQ95&gt;0), IF(INDEX(CL$12:CL$263,MATCH($AQ95,$AP$12:$AP$263,0))&gt;0,($AM95*INDEX(CL$12:CL$263,MATCH($AQ95,$AP$12:$AP$263,0)))/INDEX($AI$12:$AI$263,MATCH($AQ95,$AP$12:$AP$263,0)), "-"),     TRUE, "0")</f>
        <v>0</v>
      </c>
      <c r="CN95" s="588">
        <f>IF(CM$9&gt;0, IF(OR(CM95="",CM95="-"), 0, CM95*$AT95), CL95*$AJ95)</f>
        <v>0</v>
      </c>
      <c r="CO95" s="587">
        <f>[1]COMMANDE!AS93</f>
        <v>0</v>
      </c>
      <c r="CP95" s="586" t="str">
        <f>_xlfn.IFS(AND($AI95=$AM95,$AI95&gt;0,$AM95&gt;0,CO95&gt;0), CO95,     AND(NOT($AI95=$AM95),$AI95&gt;0,$AM95&gt;0,CO95&gt;0), ($AM95*CO95)/$AI95,     AND($AI95=0,$AM95&gt;0,$AQ95&gt;0), IF(INDEX(CO$12:CO$263,MATCH($AQ95,$AP$12:$AP$263,0))&gt;0,($AM95*INDEX(CO$12:CO$263,MATCH($AQ95,$AP$12:$AP$263,0)))/INDEX($AI$12:$AI$263,MATCH($AQ95,$AP$12:$AP$263,0)), "-"),     TRUE, "0")</f>
        <v>0</v>
      </c>
      <c r="CQ95" s="607">
        <f>IF(CP$9&gt;0, IF(OR(CP95="",CP95="-"), 0, CP95*$AT95), CO95*$AJ95)</f>
        <v>0</v>
      </c>
      <c r="CR95" s="589">
        <f>[1]COMMANDE!AU93</f>
        <v>0</v>
      </c>
      <c r="CS95" s="586" t="str">
        <f>_xlfn.IFS(AND($AI95=$AM95,$AI95&gt;0,$AM95&gt;0,CR95&gt;0), CR95,     AND(NOT($AI95=$AM95),$AI95&gt;0,$AM95&gt;0,CR95&gt;0), ($AM95*CR95)/$AI95,     AND($AI95=0,$AM95&gt;0,$AQ95&gt;0), IF(INDEX(CR$12:CR$263,MATCH($AQ95,$AP$12:$AP$263,0))&gt;0,($AM95*INDEX(CR$12:CR$263,MATCH($AQ95,$AP$12:$AP$263,0)))/INDEX($AI$12:$AI$263,MATCH($AQ95,$AP$12:$AP$263,0)), "-"),     TRUE, "0")</f>
        <v>0</v>
      </c>
      <c r="CT95" s="588">
        <f>IF(CS$9&gt;0, IF(OR(CS95="",CS95="-"), 0, CS95*$AT95), CR95*$AJ95)</f>
        <v>0</v>
      </c>
      <c r="CU95" s="587">
        <f>[1]COMMANDE!AW93</f>
        <v>0</v>
      </c>
      <c r="CV95" s="586" t="str">
        <f>_xlfn.IFS(AND($AI95=$AM95,$AI95&gt;0,$AM95&gt;0,CU95&gt;0), CU95,     AND(NOT($AI95=$AM95),$AI95&gt;0,$AM95&gt;0,CU95&gt;0), ($AM95*CU95)/$AI95,     AND($AI95=0,$AM95&gt;0,$AQ95&gt;0), IF(INDEX(CU$12:CU$263,MATCH($AQ95,$AP$12:$AP$263,0))&gt;0,($AM95*INDEX(CU$12:CU$263,MATCH($AQ95,$AP$12:$AP$263,0)))/INDEX($AI$12:$AI$263,MATCH($AQ95,$AP$12:$AP$263,0)), "-"),     TRUE, "0")</f>
        <v>0</v>
      </c>
      <c r="CW95" s="607">
        <f>IF(CV$9&gt;0, IF(OR(CV95="",CV95="-"), 0, CV95*$AT95), CU95*$AJ95)</f>
        <v>0</v>
      </c>
      <c r="CX95" s="589">
        <f>[1]COMMANDE!AY93</f>
        <v>0</v>
      </c>
      <c r="CY95" s="586" t="str">
        <f>_xlfn.IFS(AND($AI95=$AM95,$AI95&gt;0,$AM95&gt;0,CX95&gt;0), CX95,     AND(NOT($AI95=$AM95),$AI95&gt;0,$AM95&gt;0,CX95&gt;0), ($AM95*CX95)/$AI95,     AND($AI95=0,$AM95&gt;0,$AQ95&gt;0), IF(INDEX(CX$12:CX$263,MATCH($AQ95,$AP$12:$AP$263,0))&gt;0,($AM95*INDEX(CX$12:CX$263,MATCH($AQ95,$AP$12:$AP$263,0)))/INDEX($AI$12:$AI$263,MATCH($AQ95,$AP$12:$AP$263,0)), "-"),     TRUE, "0")</f>
        <v>0</v>
      </c>
      <c r="CZ95" s="588">
        <f>IF(CY$9&gt;0, IF(OR(CY95="",CY95="-"), 0, CY95*$AT95), CX95*$AJ95)</f>
        <v>0</v>
      </c>
      <c r="DA95" s="587">
        <f>[1]COMMANDE!BA93</f>
        <v>0</v>
      </c>
      <c r="DB95" s="586" t="str">
        <f>_xlfn.IFS(AND($AI95=$AM95,$AI95&gt;0,$AM95&gt;0,DA95&gt;0), DA95,     AND(NOT($AI95=$AM95),$AI95&gt;0,$AM95&gt;0,DA95&gt;0), ($AM95*DA95)/$AI95,     AND($AI95=0,$AM95&gt;0,$AQ95&gt;0), IF(INDEX(DA$12:DA$263,MATCH($AQ95,$AP$12:$AP$263,0))&gt;0,($AM95*INDEX(DA$12:DA$263,MATCH($AQ95,$AP$12:$AP$263,0)))/INDEX($AI$12:$AI$263,MATCH($AQ95,$AP$12:$AP$263,0)), "-"),     TRUE, "0")</f>
        <v>0</v>
      </c>
      <c r="DC95" s="606">
        <f>IF(DB$9&gt;0, IF(OR(DB95="",DB95="-"), 0, DB95*$AT95), DA95*$AJ95)</f>
        <v>0</v>
      </c>
      <c r="DD95" s="584"/>
      <c r="DE95" s="583"/>
    </row>
    <row r="96" spans="1:109" ht="39.950000000000003" hidden="1" customHeight="1">
      <c r="A96" s="604">
        <f>IF(OR($AV96&gt;0, $AX96&gt;0), 1, 0)</f>
        <v>0</v>
      </c>
      <c r="B96" s="604">
        <f>IF(OR($AY96&gt;0, $BA96&gt;0), 1, 0)</f>
        <v>0</v>
      </c>
      <c r="C96" s="604">
        <f>IF(OR($BB96&gt;0, $BD96&gt;0), 1, 0)</f>
        <v>0</v>
      </c>
      <c r="D96" s="604">
        <f>IF(OR($BE96&gt;0, $BG96&gt;0), 1, 0)</f>
        <v>0</v>
      </c>
      <c r="E96" s="604">
        <f>IF(OR($BH96&gt;0, $BJ96&gt;0), 1, 0)</f>
        <v>0</v>
      </c>
      <c r="F96" s="604">
        <f>IF(OR($BK96&gt;0, $BM96&gt;0), 1, 0)</f>
        <v>0</v>
      </c>
      <c r="G96" s="604">
        <f>IF(OR($BN96&gt;0, $BP96&gt;0), 1, 0)</f>
        <v>0</v>
      </c>
      <c r="H96" s="604">
        <f>IF(OR($BQ96&gt;0, $BS96&gt;0), 1, 0)</f>
        <v>0</v>
      </c>
      <c r="I96" s="604">
        <f>IF(OR($BT96&gt;0, $BV96&gt;0), 1, 0)</f>
        <v>0</v>
      </c>
      <c r="J96" s="604">
        <f>IF(OR($BW96&gt;0, $BY96&gt;0), 1, 0)</f>
        <v>0</v>
      </c>
      <c r="K96" s="604">
        <f>IF(OR($BZ96&gt;0, $CB96&gt;0), 1, 0)</f>
        <v>0</v>
      </c>
      <c r="L96" s="604">
        <f>IF(OR($CC96&gt;0, $CE96&gt;0), 1, 0)</f>
        <v>0</v>
      </c>
      <c r="M96" s="604">
        <f>IF(OR($CF96&gt;0, $CH96&gt;0), 1, 0)</f>
        <v>0</v>
      </c>
      <c r="N96" s="604">
        <f>IF(OR($CI96&gt;0, $CK96&gt;0), 1, 0)</f>
        <v>0</v>
      </c>
      <c r="O96" s="604">
        <f>IF(OR($CL96&gt;0, $CN96&gt;0), 1, 0)</f>
        <v>0</v>
      </c>
      <c r="P96" s="604">
        <f>IF(OR($CO96&gt;0, $CQ96&gt;0), 1, 0)</f>
        <v>0</v>
      </c>
      <c r="Q96" s="604">
        <f>IF(OR($CR96&gt;0, $CT96&gt;0), 1, 0)</f>
        <v>0</v>
      </c>
      <c r="R96" s="604">
        <f>IF(OR($CU96&gt;0, $CW96&gt;0), 1, 0)</f>
        <v>0</v>
      </c>
      <c r="S96" s="604">
        <f>IF(OR($CX96&gt;0, $CZ96&gt;0), 1, 0)</f>
        <v>0</v>
      </c>
      <c r="T96" s="604">
        <f>IF(OR($DA96&gt;0, $DC96&gt;0), 1, 0)</f>
        <v>0</v>
      </c>
      <c r="U96" s="603">
        <f>IF(OR($AI96&gt;0,$AM96&gt;0,$AS96&gt;0), 1, 0)</f>
        <v>0</v>
      </c>
      <c r="V96" s="602">
        <f>[1]BDD!A86</f>
        <v>1702</v>
      </c>
      <c r="W96" s="601" t="str">
        <f>[1]BDD!B86</f>
        <v>Crème de courgette BIO
    - (bocal en verre, env. 500g)</v>
      </c>
      <c r="X96" s="600" t="str">
        <f>IF([1]BDD!F86=0, "", [1]BDD!F86)</f>
        <v/>
      </c>
      <c r="Y96" s="542">
        <f>ROUND([1]BDD!G86+FDP_CMD_KG, 2)</f>
        <v>3.25</v>
      </c>
      <c r="Z96" s="542">
        <f>ROUND([1]BDD!G86+FDP_FACT_KG, 2)</f>
        <v>3.25</v>
      </c>
      <c r="AA96" s="543" t="str">
        <f>[1]BDD!H86</f>
        <v>Pièce</v>
      </c>
      <c r="AB96" s="544" t="str">
        <f>IF(NOT(ISBLANK([1]BDD!I86)), ROUND(SUM(([1]BDD!G86*reduc1),FDP_CMD_KG), 2), "")</f>
        <v/>
      </c>
      <c r="AC96" s="544" t="str">
        <f>IF(NOT(ISBLANK([1]BDD!J86)), ROUND(SUM(([1]BDD!G86*reduc2),FDP_CMD_KG), 2), "")</f>
        <v/>
      </c>
      <c r="AD96" s="544" t="str">
        <f>IF(NOT(ISBLANK([1]BDD!K86)), ROUND(SUM(([1]BDD!G86*reduc3),FDP_CMD_KG), 2), "")</f>
        <v/>
      </c>
      <c r="AE96" s="544" t="str">
        <f>IF(NOT(ISBLANK([1]BDD!I86)), ROUND(SUM(([1]BDD!G86*reduc1),FDP_FACT_KG), 2), "")</f>
        <v/>
      </c>
      <c r="AF96" s="544" t="str">
        <f>IF(NOT(ISBLANK([1]BDD!J86)), ROUND(SUM(([1]BDD!G86*reduc2),FDP_FACT_KG), 2), "")</f>
        <v/>
      </c>
      <c r="AG96" s="544" t="str">
        <f>IF(NOT(ISBLANK([1]BDD!K86)), ROUND(SUM(([1]BDD!G86*reduc3),FDP_FACT_KG), 2), "")</f>
        <v/>
      </c>
      <c r="AH96" s="599" t="str">
        <f>[1]BDD!C86</f>
        <v>National</v>
      </c>
      <c r="AI96" s="598">
        <f>SUM(AV96,AY96,BB96,BE96,BH96,BK96,BN96,BQ96,BT96,BW96,BZ96,CC96,CF96,CI96,CL96,CO96,CR96,CU96,CX96,DA96)</f>
        <v>0</v>
      </c>
      <c r="AJ96" s="545">
        <f>_xlfn.IFS($AD96&lt;&gt;"", $AD96,    $AC96&lt;&gt;"", $AC96,    $AB96&lt;&gt;"", $AB96,    TRUE, $Y96)</f>
        <v>3.25</v>
      </c>
      <c r="AK96" s="592">
        <f>$AI96*$AJ96</f>
        <v>0</v>
      </c>
      <c r="AL96" s="594"/>
      <c r="AM96" s="597"/>
      <c r="AN96" s="545">
        <f>_xlfn.IFS(AND(AM96&gt;=60,$AG96&lt;&gt;""), $AG96,    AND(AM96&gt;=30,$AF96&lt;&gt;""), $AF96,    AND(AM96&gt;=10,$AE96&lt;&gt;""), $AE96,    TRUE, $Z96)</f>
        <v>3.25</v>
      </c>
      <c r="AO96" s="596">
        <f>AM96*AN96</f>
        <v>0</v>
      </c>
      <c r="AP96" s="595"/>
      <c r="AQ96" s="595"/>
      <c r="AR96" s="594"/>
      <c r="AS96" s="593">
        <f>SUM(AW96,AZ96,BC96,BF96,BI96,BL96,BO96,BR96,BU96,BX96,CA96,CD96,CG96,CJ96,CM96,CP96,CS96,CV96,CY96,DB96)</f>
        <v>0</v>
      </c>
      <c r="AT96" s="545">
        <f>_xlfn.IFS(AND(AS96&gt;=60,$AG96&lt;&gt;""), $AG96,    AND(AS96&gt;=30,$AF96&lt;&gt;""), $AF96,    AND(AS96&gt;=10,$AE96&lt;&gt;""), $AE96,    TRUE, $Z96)</f>
        <v>3.25</v>
      </c>
      <c r="AU96" s="592">
        <f>$AS96*$AT96</f>
        <v>0</v>
      </c>
      <c r="AV96" s="591">
        <f>[1]COMMANDE!O94</f>
        <v>0</v>
      </c>
      <c r="AW96" s="586" t="str">
        <f>_xlfn.IFS(AND($AI96=$AM96,$AI96&gt;0,$AM96&gt;0,AV96&gt;0), AV96,     AND(NOT($AI96=$AM96),$AI96&gt;0,$AM96&gt;0,AV96&gt;0), ($AM96*AV96)/$AI96,     AND($AI96=0,$AM96&gt;0,$AQ96&gt;0), IF(INDEX(AV$12:AV$263,MATCH($AQ96,$AP$12:$AP$263,0))&gt;0,($AM96*INDEX(AV$12:AV$263,MATCH($AQ96,$AP$12:$AP$263,0)))/INDEX($AI$12:$AI$263,MATCH($AQ96,$AP$12:$AP$263,0)), "-"),     TRUE, "0")</f>
        <v>0</v>
      </c>
      <c r="AX96" s="588">
        <f>IF(AW$9&gt;0, IF(OR(AW96="",AW96="-"), 0, AW96*$AT96), AV96*$AJ96)</f>
        <v>0</v>
      </c>
      <c r="AY96" s="587">
        <f>[1]COMMANDE!Q94</f>
        <v>0</v>
      </c>
      <c r="AZ96" s="586" t="str">
        <f>_xlfn.IFS(AND($AI96=$AM96,$AI96&gt;0,$AM96&gt;0,AY96&gt;0), AY96,     AND(NOT($AI96=$AM96),$AI96&gt;0,$AM96&gt;0,AY96&gt;0), ($AM96*AY96)/$AI96,     AND($AI96=0,$AM96&gt;0,$AQ96&gt;0), IF(INDEX(AY$12:AY$263,MATCH($AQ96,$AP$12:$AP$263,0))&gt;0,($AM96*INDEX(AY$12:AY$263,MATCH($AQ96,$AP$12:$AP$263,0)))/INDEX($AI$12:$AI$263,MATCH($AQ96,$AP$12:$AP$263,0)), "-"),     TRUE, "0")</f>
        <v>0</v>
      </c>
      <c r="BA96" s="607">
        <f>IF(AZ$9&gt;0, IF(OR(AZ96="",AZ96="-"), 0, AZ96*$AT96), AY96*$AJ96)</f>
        <v>0</v>
      </c>
      <c r="BB96" s="589">
        <f>[1]COMMANDE!S94</f>
        <v>0</v>
      </c>
      <c r="BC96" s="586" t="str">
        <f>_xlfn.IFS(AND($AI96=$AM96,$AI96&gt;0,$AM96&gt;0,BB96&gt;0), BB96,     AND(NOT($AI96=$AM96),$AI96&gt;0,$AM96&gt;0,BB96&gt;0), ($AM96*BB96)/$AI96,     AND($AI96=0,$AM96&gt;0,$AQ96&gt;0), IF(INDEX(BB$12:BB$263,MATCH($AQ96,$AP$12:$AP$263,0))&gt;0,($AM96*INDEX(BB$12:BB$263,MATCH($AQ96,$AP$12:$AP$263,0)))/INDEX($AI$12:$AI$263,MATCH($AQ96,$AP$12:$AP$263,0)), "-"),     TRUE, "0")</f>
        <v>0</v>
      </c>
      <c r="BD96" s="588">
        <f>IF(BC$9&gt;0, IF(OR(BC96="",BC96="-"), 0, BC96*$AT96), BB96*$AJ96)</f>
        <v>0</v>
      </c>
      <c r="BE96" s="587">
        <f>[1]COMMANDE!U94</f>
        <v>0</v>
      </c>
      <c r="BF96" s="586" t="str">
        <f>_xlfn.IFS(AND($AI96=$AM96,$AI96&gt;0,$AM96&gt;0,BE96&gt;0), BE96,     AND(NOT($AI96=$AM96),$AI96&gt;0,$AM96&gt;0,BE96&gt;0), ($AM96*BE96)/$AI96,     AND($AI96=0,$AM96&gt;0,$AQ96&gt;0), IF(INDEX(BE$12:BE$263,MATCH($AQ96,$AP$12:$AP$263,0))&gt;0,($AM96*INDEX(BE$12:BE$263,MATCH($AQ96,$AP$12:$AP$263,0)))/INDEX($AI$12:$AI$263,MATCH($AQ96,$AP$12:$AP$263,0)), "-"),     TRUE, "0")</f>
        <v>0</v>
      </c>
      <c r="BG96" s="607">
        <f>IF(BF$9&gt;0, IF(OR(BF96="",BF96="-"), 0, BF96*$AT96), BE96*$AJ96)</f>
        <v>0</v>
      </c>
      <c r="BH96" s="589">
        <f>[1]COMMANDE!W94</f>
        <v>0</v>
      </c>
      <c r="BI96" s="586" t="str">
        <f>_xlfn.IFS(AND($AI96=$AM96,$AI96&gt;0,$AM96&gt;0,BH96&gt;0), BH96,     AND(NOT($AI96=$AM96),$AI96&gt;0,$AM96&gt;0,BH96&gt;0), ($AM96*BH96)/$AI96,     AND($AI96=0,$AM96&gt;0,$AQ96&gt;0), IF(INDEX(BH$12:BH$263,MATCH($AQ96,$AP$12:$AP$263,0))&gt;0,($AM96*INDEX(BH$12:BH$263,MATCH($AQ96,$AP$12:$AP$263,0)))/INDEX($AI$12:$AI$263,MATCH($AQ96,$AP$12:$AP$263,0)), "-"),     TRUE, "0")</f>
        <v>0</v>
      </c>
      <c r="BJ96" s="588">
        <f>IF(BI$9&gt;0, IF(OR(BI96="",BI96="-"), 0, BI96*$AT96), BH96*$AJ96)</f>
        <v>0</v>
      </c>
      <c r="BK96" s="587">
        <f>[1]COMMANDE!Y94</f>
        <v>0</v>
      </c>
      <c r="BL96" s="586" t="str">
        <f>_xlfn.IFS(AND($AI96=$AM96,$AI96&gt;0,$AM96&gt;0,BK96&gt;0), BK96,     AND(NOT($AI96=$AM96),$AI96&gt;0,$AM96&gt;0,BK96&gt;0), ($AM96*BK96)/$AI96,     AND($AI96=0,$AM96&gt;0,$AQ96&gt;0), IF(INDEX(BK$12:BK$263,MATCH($AQ96,$AP$12:$AP$263,0))&gt;0,($AM96*INDEX(BK$12:BK$263,MATCH($AQ96,$AP$12:$AP$263,0)))/INDEX($AI$12:$AI$263,MATCH($AQ96,$AP$12:$AP$263,0)), "-"),     TRUE, "0")</f>
        <v>0</v>
      </c>
      <c r="BM96" s="607">
        <f>IF(BL$9&gt;0, IF(OR(BL96="",BL96="-"), 0, BL96*$AT96), BK96*$AJ96)</f>
        <v>0</v>
      </c>
      <c r="BN96" s="589">
        <f>[1]COMMANDE!AA94</f>
        <v>0</v>
      </c>
      <c r="BO96" s="586" t="str">
        <f>_xlfn.IFS(AND($AI96=$AM96,$AI96&gt;0,$AM96&gt;0,BN96&gt;0), BN96,     AND(NOT($AI96=$AM96),$AI96&gt;0,$AM96&gt;0,BN96&gt;0), ($AM96*BN96)/$AI96,     AND($AI96=0,$AM96&gt;0,$AQ96&gt;0), IF(INDEX(BN$12:BN$263,MATCH($AQ96,$AP$12:$AP$263,0))&gt;0,($AM96*INDEX(BN$12:BN$263,MATCH($AQ96,$AP$12:$AP$263,0)))/INDEX($AI$12:$AI$263,MATCH($AQ96,$AP$12:$AP$263,0)), "-"),     TRUE, "0")</f>
        <v>0</v>
      </c>
      <c r="BP96" s="588">
        <f>IF(BO$9&gt;0, IF(OR(BO96="",BO96="-"), 0, BO96*$AT96), BN96*$AJ96)</f>
        <v>0</v>
      </c>
      <c r="BQ96" s="587">
        <f>[1]COMMANDE!AC94</f>
        <v>0</v>
      </c>
      <c r="BR96" s="586" t="str">
        <f>_xlfn.IFS(AND($AI96=$AM96,$AI96&gt;0,$AM96&gt;0,BQ96&gt;0), BQ96,     AND(NOT($AI96=$AM96),$AI96&gt;0,$AM96&gt;0,BQ96&gt;0), ($AM96*BQ96)/$AI96,     AND($AI96=0,$AM96&gt;0,$AQ96&gt;0), IF(INDEX(BQ$12:BQ$263,MATCH($AQ96,$AP$12:$AP$263,0))&gt;0,($AM96*INDEX(BQ$12:BQ$263,MATCH($AQ96,$AP$12:$AP$263,0)))/INDEX($AI$12:$AI$263,MATCH($AQ96,$AP$12:$AP$263,0)), "-"),     TRUE, "0")</f>
        <v>0</v>
      </c>
      <c r="BS96" s="607">
        <f>IF(BR$9&gt;0, IF(OR(BR96="",BR96="-"), 0, BR96*$AT96), BQ96*$AJ96)</f>
        <v>0</v>
      </c>
      <c r="BT96" s="589">
        <f>[1]COMMANDE!AE94</f>
        <v>0</v>
      </c>
      <c r="BU96" s="586" t="str">
        <f>_xlfn.IFS(AND($AI96=$AM96,$AI96&gt;0,$AM96&gt;0,BT96&gt;0), BT96,     AND(NOT($AI96=$AM96),$AI96&gt;0,$AM96&gt;0,BT96&gt;0), ($AM96*BT96)/$AI96,     AND($AI96=0,$AM96&gt;0,$AQ96&gt;0), IF(INDEX(BT$12:BT$263,MATCH($AQ96,$AP$12:$AP$263,0))&gt;0,($AM96*INDEX(BT$12:BT$263,MATCH($AQ96,$AP$12:$AP$263,0)))/INDEX($AI$12:$AI$263,MATCH($AQ96,$AP$12:$AP$263,0)), "-"),     TRUE, "0")</f>
        <v>0</v>
      </c>
      <c r="BV96" s="588">
        <f>IF(BU$9&gt;0, IF(OR(BU96="",BU96="-"), 0, BU96*$AT96), BT96*$AJ96)</f>
        <v>0</v>
      </c>
      <c r="BW96" s="587">
        <f>[1]COMMANDE!AG94</f>
        <v>0</v>
      </c>
      <c r="BX96" s="586" t="str">
        <f>_xlfn.IFS(AND($AI96=$AM96,$AI96&gt;0,$AM96&gt;0,BW96&gt;0), BW96,     AND(NOT($AI96=$AM96),$AI96&gt;0,$AM96&gt;0,BW96&gt;0), ($AM96*BW96)/$AI96,     AND($AI96=0,$AM96&gt;0,$AQ96&gt;0), IF(INDEX(BW$12:BW$263,MATCH($AQ96,$AP$12:$AP$263,0))&gt;0,($AM96*INDEX(BW$12:BW$263,MATCH($AQ96,$AP$12:$AP$263,0)))/INDEX($AI$12:$AI$263,MATCH($AQ96,$AP$12:$AP$263,0)), "-"),     TRUE, "0")</f>
        <v>0</v>
      </c>
      <c r="BY96" s="607">
        <f>IF(BX$9&gt;0, IF(OR(BX96="",BX96="-"), 0, BX96*$AT96), BW96*$AJ96)</f>
        <v>0</v>
      </c>
      <c r="BZ96" s="589">
        <f>[1]COMMANDE!AI94</f>
        <v>0</v>
      </c>
      <c r="CA96" s="586" t="str">
        <f>_xlfn.IFS(AND($AI96=$AM96,$AI96&gt;0,$AM96&gt;0,BZ96&gt;0), BZ96,     AND(NOT($AI96=$AM96),$AI96&gt;0,$AM96&gt;0,BZ96&gt;0), ($AM96*BZ96)/$AI96,     AND($AI96=0,$AM96&gt;0,$AQ96&gt;0), IF(INDEX(BZ$12:BZ$263,MATCH($AQ96,$AP$12:$AP$263,0))&gt;0,($AM96*INDEX(BZ$12:BZ$263,MATCH($AQ96,$AP$12:$AP$263,0)))/INDEX($AI$12:$AI$263,MATCH($AQ96,$AP$12:$AP$263,0)), "-"),     TRUE, "0")</f>
        <v>0</v>
      </c>
      <c r="CB96" s="588">
        <f>IF(CA$9&gt;0, IF(OR(CA96="",CA96="-"), 0, CA96*$AT96), BZ96*$AJ96)</f>
        <v>0</v>
      </c>
      <c r="CC96" s="587">
        <f>[1]COMMANDE!AK94</f>
        <v>0</v>
      </c>
      <c r="CD96" s="586" t="str">
        <f>_xlfn.IFS(AND($AI96=$AM96,$AI96&gt;0,$AM96&gt;0,CC96&gt;0), CC96,     AND(NOT($AI96=$AM96),$AI96&gt;0,$AM96&gt;0,CC96&gt;0), ($AM96*CC96)/$AI96,     AND($AI96=0,$AM96&gt;0,$AQ96&gt;0), IF(INDEX(CC$12:CC$263,MATCH($AQ96,$AP$12:$AP$263,0))&gt;0,($AM96*INDEX(CC$12:CC$263,MATCH($AQ96,$AP$12:$AP$263,0)))/INDEX($AI$12:$AI$263,MATCH($AQ96,$AP$12:$AP$263,0)), "-"),     TRUE, "0")</f>
        <v>0</v>
      </c>
      <c r="CE96" s="607">
        <f>IF(CD$9&gt;0, IF(OR(CD96="",CD96="-"), 0, CD96*$AT96), CC96*$AJ96)</f>
        <v>0</v>
      </c>
      <c r="CF96" s="589">
        <f>[1]COMMANDE!AM94</f>
        <v>0</v>
      </c>
      <c r="CG96" s="586" t="str">
        <f>_xlfn.IFS(AND($AI96=$AM96,$AI96&gt;0,$AM96&gt;0,CF96&gt;0), CF96,     AND(NOT($AI96=$AM96),$AI96&gt;0,$AM96&gt;0,CF96&gt;0), ($AM96*CF96)/$AI96,     AND($AI96=0,$AM96&gt;0,$AQ96&gt;0), IF(INDEX(CF$12:CF$263,MATCH($AQ96,$AP$12:$AP$263,0))&gt;0,($AM96*INDEX(CF$12:CF$263,MATCH($AQ96,$AP$12:$AP$263,0)))/INDEX($AI$12:$AI$263,MATCH($AQ96,$AP$12:$AP$263,0)), "-"),     TRUE, "0")</f>
        <v>0</v>
      </c>
      <c r="CH96" s="588">
        <f>IF(CG$9&gt;0, IF(OR(CG96="",CG96="-"), 0, CG96*$AT96), CF96*$AJ96)</f>
        <v>0</v>
      </c>
      <c r="CI96" s="587">
        <f>[1]COMMANDE!AO94</f>
        <v>0</v>
      </c>
      <c r="CJ96" s="586" t="str">
        <f>_xlfn.IFS(AND($AI96=$AM96,$AI96&gt;0,$AM96&gt;0,CI96&gt;0), CI96,     AND(NOT($AI96=$AM96),$AI96&gt;0,$AM96&gt;0,CI96&gt;0), ($AM96*CI96)/$AI96,     AND($AI96=0,$AM96&gt;0,$AQ96&gt;0), IF(INDEX(CI$12:CI$263,MATCH($AQ96,$AP$12:$AP$263,0))&gt;0,($AM96*INDEX(CI$12:CI$263,MATCH($AQ96,$AP$12:$AP$263,0)))/INDEX($AI$12:$AI$263,MATCH($AQ96,$AP$12:$AP$263,0)), "-"),     TRUE, "0")</f>
        <v>0</v>
      </c>
      <c r="CK96" s="607">
        <f>IF(CJ$9&gt;0, IF(OR(CJ96="",CJ96="-"), 0, CJ96*$AT96), CI96*$AJ96)</f>
        <v>0</v>
      </c>
      <c r="CL96" s="589">
        <f>[1]COMMANDE!AQ94</f>
        <v>0</v>
      </c>
      <c r="CM96" s="586" t="str">
        <f>_xlfn.IFS(AND($AI96=$AM96,$AI96&gt;0,$AM96&gt;0,CL96&gt;0), CL96,     AND(NOT($AI96=$AM96),$AI96&gt;0,$AM96&gt;0,CL96&gt;0), ($AM96*CL96)/$AI96,     AND($AI96=0,$AM96&gt;0,$AQ96&gt;0), IF(INDEX(CL$12:CL$263,MATCH($AQ96,$AP$12:$AP$263,0))&gt;0,($AM96*INDEX(CL$12:CL$263,MATCH($AQ96,$AP$12:$AP$263,0)))/INDEX($AI$12:$AI$263,MATCH($AQ96,$AP$12:$AP$263,0)), "-"),     TRUE, "0")</f>
        <v>0</v>
      </c>
      <c r="CN96" s="588">
        <f>IF(CM$9&gt;0, IF(OR(CM96="",CM96="-"), 0, CM96*$AT96), CL96*$AJ96)</f>
        <v>0</v>
      </c>
      <c r="CO96" s="587">
        <f>[1]COMMANDE!AS94</f>
        <v>0</v>
      </c>
      <c r="CP96" s="586" t="str">
        <f>_xlfn.IFS(AND($AI96=$AM96,$AI96&gt;0,$AM96&gt;0,CO96&gt;0), CO96,     AND(NOT($AI96=$AM96),$AI96&gt;0,$AM96&gt;0,CO96&gt;0), ($AM96*CO96)/$AI96,     AND($AI96=0,$AM96&gt;0,$AQ96&gt;0), IF(INDEX(CO$12:CO$263,MATCH($AQ96,$AP$12:$AP$263,0))&gt;0,($AM96*INDEX(CO$12:CO$263,MATCH($AQ96,$AP$12:$AP$263,0)))/INDEX($AI$12:$AI$263,MATCH($AQ96,$AP$12:$AP$263,0)), "-"),     TRUE, "0")</f>
        <v>0</v>
      </c>
      <c r="CQ96" s="607">
        <f>IF(CP$9&gt;0, IF(OR(CP96="",CP96="-"), 0, CP96*$AT96), CO96*$AJ96)</f>
        <v>0</v>
      </c>
      <c r="CR96" s="589">
        <f>[1]COMMANDE!AU94</f>
        <v>0</v>
      </c>
      <c r="CS96" s="586" t="str">
        <f>_xlfn.IFS(AND($AI96=$AM96,$AI96&gt;0,$AM96&gt;0,CR96&gt;0), CR96,     AND(NOT($AI96=$AM96),$AI96&gt;0,$AM96&gt;0,CR96&gt;0), ($AM96*CR96)/$AI96,     AND($AI96=0,$AM96&gt;0,$AQ96&gt;0), IF(INDEX(CR$12:CR$263,MATCH($AQ96,$AP$12:$AP$263,0))&gt;0,($AM96*INDEX(CR$12:CR$263,MATCH($AQ96,$AP$12:$AP$263,0)))/INDEX($AI$12:$AI$263,MATCH($AQ96,$AP$12:$AP$263,0)), "-"),     TRUE, "0")</f>
        <v>0</v>
      </c>
      <c r="CT96" s="588">
        <f>IF(CS$9&gt;0, IF(OR(CS96="",CS96="-"), 0, CS96*$AT96), CR96*$AJ96)</f>
        <v>0</v>
      </c>
      <c r="CU96" s="587">
        <f>[1]COMMANDE!AW94</f>
        <v>0</v>
      </c>
      <c r="CV96" s="586" t="str">
        <f>_xlfn.IFS(AND($AI96=$AM96,$AI96&gt;0,$AM96&gt;0,CU96&gt;0), CU96,     AND(NOT($AI96=$AM96),$AI96&gt;0,$AM96&gt;0,CU96&gt;0), ($AM96*CU96)/$AI96,     AND($AI96=0,$AM96&gt;0,$AQ96&gt;0), IF(INDEX(CU$12:CU$263,MATCH($AQ96,$AP$12:$AP$263,0))&gt;0,($AM96*INDEX(CU$12:CU$263,MATCH($AQ96,$AP$12:$AP$263,0)))/INDEX($AI$12:$AI$263,MATCH($AQ96,$AP$12:$AP$263,0)), "-"),     TRUE, "0")</f>
        <v>0</v>
      </c>
      <c r="CW96" s="607">
        <f>IF(CV$9&gt;0, IF(OR(CV96="",CV96="-"), 0, CV96*$AT96), CU96*$AJ96)</f>
        <v>0</v>
      </c>
      <c r="CX96" s="589">
        <f>[1]COMMANDE!AY94</f>
        <v>0</v>
      </c>
      <c r="CY96" s="586" t="str">
        <f>_xlfn.IFS(AND($AI96=$AM96,$AI96&gt;0,$AM96&gt;0,CX96&gt;0), CX96,     AND(NOT($AI96=$AM96),$AI96&gt;0,$AM96&gt;0,CX96&gt;0), ($AM96*CX96)/$AI96,     AND($AI96=0,$AM96&gt;0,$AQ96&gt;0), IF(INDEX(CX$12:CX$263,MATCH($AQ96,$AP$12:$AP$263,0))&gt;0,($AM96*INDEX(CX$12:CX$263,MATCH($AQ96,$AP$12:$AP$263,0)))/INDEX($AI$12:$AI$263,MATCH($AQ96,$AP$12:$AP$263,0)), "-"),     TRUE, "0")</f>
        <v>0</v>
      </c>
      <c r="CZ96" s="588">
        <f>IF(CY$9&gt;0, IF(OR(CY96="",CY96="-"), 0, CY96*$AT96), CX96*$AJ96)</f>
        <v>0</v>
      </c>
      <c r="DA96" s="587">
        <f>[1]COMMANDE!BA94</f>
        <v>0</v>
      </c>
      <c r="DB96" s="586" t="str">
        <f>_xlfn.IFS(AND($AI96=$AM96,$AI96&gt;0,$AM96&gt;0,DA96&gt;0), DA96,     AND(NOT($AI96=$AM96),$AI96&gt;0,$AM96&gt;0,DA96&gt;0), ($AM96*DA96)/$AI96,     AND($AI96=0,$AM96&gt;0,$AQ96&gt;0), IF(INDEX(DA$12:DA$263,MATCH($AQ96,$AP$12:$AP$263,0))&gt;0,($AM96*INDEX(DA$12:DA$263,MATCH($AQ96,$AP$12:$AP$263,0)))/INDEX($AI$12:$AI$263,MATCH($AQ96,$AP$12:$AP$263,0)), "-"),     TRUE, "0")</f>
        <v>0</v>
      </c>
      <c r="DC96" s="606">
        <f>IF(DB$9&gt;0, IF(OR(DB96="",DB96="-"), 0, DB96*$AT96), DA96*$AJ96)</f>
        <v>0</v>
      </c>
      <c r="DD96" s="584"/>
      <c r="DE96" s="583"/>
    </row>
    <row r="97" spans="1:109" ht="39.950000000000003" hidden="1" customHeight="1">
      <c r="A97" s="604">
        <f>IF(OR($AV97&gt;0, $AX97&gt;0), 1, 0)</f>
        <v>0</v>
      </c>
      <c r="B97" s="604">
        <f>IF(OR($AY97&gt;0, $BA97&gt;0), 1, 0)</f>
        <v>0</v>
      </c>
      <c r="C97" s="604">
        <f>IF(OR($BB97&gt;0, $BD97&gt;0), 1, 0)</f>
        <v>0</v>
      </c>
      <c r="D97" s="604">
        <f>IF(OR($BE97&gt;0, $BG97&gt;0), 1, 0)</f>
        <v>0</v>
      </c>
      <c r="E97" s="604">
        <f>IF(OR($BH97&gt;0, $BJ97&gt;0), 1, 0)</f>
        <v>0</v>
      </c>
      <c r="F97" s="604">
        <f>IF(OR($BK97&gt;0, $BM97&gt;0), 1, 0)</f>
        <v>0</v>
      </c>
      <c r="G97" s="604">
        <f>IF(OR($BN97&gt;0, $BP97&gt;0), 1, 0)</f>
        <v>0</v>
      </c>
      <c r="H97" s="604">
        <f>IF(OR($BQ97&gt;0, $BS97&gt;0), 1, 0)</f>
        <v>0</v>
      </c>
      <c r="I97" s="604">
        <f>IF(OR($BT97&gt;0, $BV97&gt;0), 1, 0)</f>
        <v>0</v>
      </c>
      <c r="J97" s="604">
        <f>IF(OR($BW97&gt;0, $BY97&gt;0), 1, 0)</f>
        <v>0</v>
      </c>
      <c r="K97" s="604">
        <f>IF(OR($BZ97&gt;0, $CB97&gt;0), 1, 0)</f>
        <v>0</v>
      </c>
      <c r="L97" s="604">
        <f>IF(OR($CC97&gt;0, $CE97&gt;0), 1, 0)</f>
        <v>0</v>
      </c>
      <c r="M97" s="604">
        <f>IF(OR($CF97&gt;0, $CH97&gt;0), 1, 0)</f>
        <v>0</v>
      </c>
      <c r="N97" s="604">
        <f>IF(OR($CI97&gt;0, $CK97&gt;0), 1, 0)</f>
        <v>0</v>
      </c>
      <c r="O97" s="604">
        <f>IF(OR($CL97&gt;0, $CN97&gt;0), 1, 0)</f>
        <v>0</v>
      </c>
      <c r="P97" s="604">
        <f>IF(OR($CO97&gt;0, $CQ97&gt;0), 1, 0)</f>
        <v>0</v>
      </c>
      <c r="Q97" s="604">
        <f>IF(OR($CR97&gt;0, $CT97&gt;0), 1, 0)</f>
        <v>0</v>
      </c>
      <c r="R97" s="604">
        <f>IF(OR($CU97&gt;0, $CW97&gt;0), 1, 0)</f>
        <v>0</v>
      </c>
      <c r="S97" s="604">
        <f>IF(OR($CX97&gt;0, $CZ97&gt;0), 1, 0)</f>
        <v>0</v>
      </c>
      <c r="T97" s="604">
        <f>IF(OR($DA97&gt;0, $DC97&gt;0), 1, 0)</f>
        <v>0</v>
      </c>
      <c r="U97" s="603">
        <f>IF(OR($AI97&gt;0,$AM97&gt;0,$AS97&gt;0), 1, 0)</f>
        <v>0</v>
      </c>
      <c r="V97" s="602">
        <f>[1]BDD!A87</f>
        <v>1393</v>
      </c>
      <c r="W97" s="601" t="str">
        <f>[1]BDD!B87</f>
        <v>Curcuma frais BIO (paquet 500g)</v>
      </c>
      <c r="X97" s="600" t="str">
        <f>IF([1]BDD!F87=0, "", [1]BDD!F87)</f>
        <v>❤️</v>
      </c>
      <c r="Y97" s="542">
        <f>ROUND([1]BDD!G87+FDP_CMD_KG, 2)</f>
        <v>10.43</v>
      </c>
      <c r="Z97" s="542">
        <f>ROUND([1]BDD!G87+FDP_FACT_KG, 2)</f>
        <v>10.43</v>
      </c>
      <c r="AA97" s="543" t="str">
        <f>[1]BDD!H87</f>
        <v>Pièce</v>
      </c>
      <c r="AB97" s="544">
        <f>IF(NOT(ISBLANK([1]BDD!I87)), ROUND(SUM(([1]BDD!G87*reduc1),FDP_CMD_KG), 2), "")</f>
        <v>9.48</v>
      </c>
      <c r="AC97" s="544" t="str">
        <f>IF(NOT(ISBLANK([1]BDD!J87)), ROUND(SUM(([1]BDD!G87*reduc2),FDP_CMD_KG), 2), "")</f>
        <v/>
      </c>
      <c r="AD97" s="544" t="str">
        <f>IF(NOT(ISBLANK([1]BDD!K87)), ROUND(SUM(([1]BDD!G87*reduc3),FDP_CMD_KG), 2), "")</f>
        <v/>
      </c>
      <c r="AE97" s="544">
        <f>IF(NOT(ISBLANK([1]BDD!I87)), ROUND(SUM(([1]BDD!G87*reduc1),FDP_FACT_KG), 2), "")</f>
        <v>9.4700000000000006</v>
      </c>
      <c r="AF97" s="544" t="str">
        <f>IF(NOT(ISBLANK([1]BDD!J87)), ROUND(SUM(([1]BDD!G87*reduc2),FDP_FACT_KG), 2), "")</f>
        <v/>
      </c>
      <c r="AG97" s="544" t="str">
        <f>IF(NOT(ISBLANK([1]BDD!K87)), ROUND(SUM(([1]BDD!G87*reduc3),FDP_FACT_KG), 2), "")</f>
        <v/>
      </c>
      <c r="AH97" s="599" t="str">
        <f>[1]BDD!C87</f>
        <v>Pérou</v>
      </c>
      <c r="AI97" s="598">
        <f>SUM(AV97,AY97,BB97,BE97,BH97,BK97,BN97,BQ97,BT97,BW97,BZ97,CC97,CF97,CI97,CL97,CO97,CR97,CU97,CX97,DA97)</f>
        <v>0</v>
      </c>
      <c r="AJ97" s="545">
        <f>_xlfn.IFS($AD97&lt;&gt;"", $AD97,    $AC97&lt;&gt;"", $AC97,    $AB97&lt;&gt;"", $AB97,    TRUE, $Y97)</f>
        <v>9.48</v>
      </c>
      <c r="AK97" s="592">
        <f>$AI97*$AJ97</f>
        <v>0</v>
      </c>
      <c r="AL97" s="594"/>
      <c r="AM97" s="597"/>
      <c r="AN97" s="545">
        <f>_xlfn.IFS(AND(AM97&gt;=60,$AG97&lt;&gt;""), $AG97,    AND(AM97&gt;=30,$AF97&lt;&gt;""), $AF97,    AND(AM97&gt;=10,$AE97&lt;&gt;""), $AE97,    TRUE, $Z97)</f>
        <v>10.43</v>
      </c>
      <c r="AO97" s="596">
        <f>AM97*AN97</f>
        <v>0</v>
      </c>
      <c r="AP97" s="595"/>
      <c r="AQ97" s="595"/>
      <c r="AR97" s="594"/>
      <c r="AS97" s="593">
        <f>SUM(AW97,AZ97,BC97,BF97,BI97,BL97,BO97,BR97,BU97,BX97,CA97,CD97,CG97,CJ97,CM97,CP97,CS97,CV97,CY97,DB97)</f>
        <v>0</v>
      </c>
      <c r="AT97" s="545">
        <f>_xlfn.IFS(AND(AS97&gt;=60,$AG97&lt;&gt;""), $AG97,    AND(AS97&gt;=30,$AF97&lt;&gt;""), $AF97,    AND(AS97&gt;=10,$AE97&lt;&gt;""), $AE97,    TRUE, $Z97)</f>
        <v>10.43</v>
      </c>
      <c r="AU97" s="592">
        <f>$AS97*$AT97</f>
        <v>0</v>
      </c>
      <c r="AV97" s="591">
        <f>[1]COMMANDE!O95</f>
        <v>0</v>
      </c>
      <c r="AW97" s="586" t="str">
        <f>_xlfn.IFS(AND($AI97=$AM97,$AI97&gt;0,$AM97&gt;0,AV97&gt;0), AV97,     AND(NOT($AI97=$AM97),$AI97&gt;0,$AM97&gt;0,AV97&gt;0), ($AM97*AV97)/$AI97,     AND($AI97=0,$AM97&gt;0,$AQ97&gt;0), IF(INDEX(AV$12:AV$263,MATCH($AQ97,$AP$12:$AP$263,0))&gt;0,($AM97*INDEX(AV$12:AV$263,MATCH($AQ97,$AP$12:$AP$263,0)))/INDEX($AI$12:$AI$263,MATCH($AQ97,$AP$12:$AP$263,0)), "-"),     TRUE, "0")</f>
        <v>0</v>
      </c>
      <c r="AX97" s="588">
        <f>IF(AW$9&gt;0, IF(OR(AW97="",AW97="-"), 0, AW97*$AT97), AV97*$AJ97)</f>
        <v>0</v>
      </c>
      <c r="AY97" s="587">
        <f>[1]COMMANDE!Q95</f>
        <v>0</v>
      </c>
      <c r="AZ97" s="586" t="str">
        <f>_xlfn.IFS(AND($AI97=$AM97,$AI97&gt;0,$AM97&gt;0,AY97&gt;0), AY97,     AND(NOT($AI97=$AM97),$AI97&gt;0,$AM97&gt;0,AY97&gt;0), ($AM97*AY97)/$AI97,     AND($AI97=0,$AM97&gt;0,$AQ97&gt;0), IF(INDEX(AY$12:AY$263,MATCH($AQ97,$AP$12:$AP$263,0))&gt;0,($AM97*INDEX(AY$12:AY$263,MATCH($AQ97,$AP$12:$AP$263,0)))/INDEX($AI$12:$AI$263,MATCH($AQ97,$AP$12:$AP$263,0)), "-"),     TRUE, "0")</f>
        <v>0</v>
      </c>
      <c r="BA97" s="607">
        <f>IF(AZ$9&gt;0, IF(OR(AZ97="",AZ97="-"), 0, AZ97*$AT97), AY97*$AJ97)</f>
        <v>0</v>
      </c>
      <c r="BB97" s="589">
        <f>[1]COMMANDE!S95</f>
        <v>0</v>
      </c>
      <c r="BC97" s="586" t="str">
        <f>_xlfn.IFS(AND($AI97=$AM97,$AI97&gt;0,$AM97&gt;0,BB97&gt;0), BB97,     AND(NOT($AI97=$AM97),$AI97&gt;0,$AM97&gt;0,BB97&gt;0), ($AM97*BB97)/$AI97,     AND($AI97=0,$AM97&gt;0,$AQ97&gt;0), IF(INDEX(BB$12:BB$263,MATCH($AQ97,$AP$12:$AP$263,0))&gt;0,($AM97*INDEX(BB$12:BB$263,MATCH($AQ97,$AP$12:$AP$263,0)))/INDEX($AI$12:$AI$263,MATCH($AQ97,$AP$12:$AP$263,0)), "-"),     TRUE, "0")</f>
        <v>0</v>
      </c>
      <c r="BD97" s="588">
        <f>IF(BC$9&gt;0, IF(OR(BC97="",BC97="-"), 0, BC97*$AT97), BB97*$AJ97)</f>
        <v>0</v>
      </c>
      <c r="BE97" s="587">
        <f>[1]COMMANDE!U95</f>
        <v>0</v>
      </c>
      <c r="BF97" s="586" t="str">
        <f>_xlfn.IFS(AND($AI97=$AM97,$AI97&gt;0,$AM97&gt;0,BE97&gt;0), BE97,     AND(NOT($AI97=$AM97),$AI97&gt;0,$AM97&gt;0,BE97&gt;0), ($AM97*BE97)/$AI97,     AND($AI97=0,$AM97&gt;0,$AQ97&gt;0), IF(INDEX(BE$12:BE$263,MATCH($AQ97,$AP$12:$AP$263,0))&gt;0,($AM97*INDEX(BE$12:BE$263,MATCH($AQ97,$AP$12:$AP$263,0)))/INDEX($AI$12:$AI$263,MATCH($AQ97,$AP$12:$AP$263,0)), "-"),     TRUE, "0")</f>
        <v>0</v>
      </c>
      <c r="BG97" s="607">
        <f>IF(BF$9&gt;0, IF(OR(BF97="",BF97="-"), 0, BF97*$AT97), BE97*$AJ97)</f>
        <v>0</v>
      </c>
      <c r="BH97" s="589">
        <f>[1]COMMANDE!W95</f>
        <v>0</v>
      </c>
      <c r="BI97" s="586" t="str">
        <f>_xlfn.IFS(AND($AI97=$AM97,$AI97&gt;0,$AM97&gt;0,BH97&gt;0), BH97,     AND(NOT($AI97=$AM97),$AI97&gt;0,$AM97&gt;0,BH97&gt;0), ($AM97*BH97)/$AI97,     AND($AI97=0,$AM97&gt;0,$AQ97&gt;0), IF(INDEX(BH$12:BH$263,MATCH($AQ97,$AP$12:$AP$263,0))&gt;0,($AM97*INDEX(BH$12:BH$263,MATCH($AQ97,$AP$12:$AP$263,0)))/INDEX($AI$12:$AI$263,MATCH($AQ97,$AP$12:$AP$263,0)), "-"),     TRUE, "0")</f>
        <v>0</v>
      </c>
      <c r="BJ97" s="588">
        <f>IF(BI$9&gt;0, IF(OR(BI97="",BI97="-"), 0, BI97*$AT97), BH97*$AJ97)</f>
        <v>0</v>
      </c>
      <c r="BK97" s="587">
        <f>[1]COMMANDE!Y95</f>
        <v>0</v>
      </c>
      <c r="BL97" s="586" t="str">
        <f>_xlfn.IFS(AND($AI97=$AM97,$AI97&gt;0,$AM97&gt;0,BK97&gt;0), BK97,     AND(NOT($AI97=$AM97),$AI97&gt;0,$AM97&gt;0,BK97&gt;0), ($AM97*BK97)/$AI97,     AND($AI97=0,$AM97&gt;0,$AQ97&gt;0), IF(INDEX(BK$12:BK$263,MATCH($AQ97,$AP$12:$AP$263,0))&gt;0,($AM97*INDEX(BK$12:BK$263,MATCH($AQ97,$AP$12:$AP$263,0)))/INDEX($AI$12:$AI$263,MATCH($AQ97,$AP$12:$AP$263,0)), "-"),     TRUE, "0")</f>
        <v>0</v>
      </c>
      <c r="BM97" s="607">
        <f>IF(BL$9&gt;0, IF(OR(BL97="",BL97="-"), 0, BL97*$AT97), BK97*$AJ97)</f>
        <v>0</v>
      </c>
      <c r="BN97" s="589">
        <f>[1]COMMANDE!AA95</f>
        <v>0</v>
      </c>
      <c r="BO97" s="586" t="str">
        <f>_xlfn.IFS(AND($AI97=$AM97,$AI97&gt;0,$AM97&gt;0,BN97&gt;0), BN97,     AND(NOT($AI97=$AM97),$AI97&gt;0,$AM97&gt;0,BN97&gt;0), ($AM97*BN97)/$AI97,     AND($AI97=0,$AM97&gt;0,$AQ97&gt;0), IF(INDEX(BN$12:BN$263,MATCH($AQ97,$AP$12:$AP$263,0))&gt;0,($AM97*INDEX(BN$12:BN$263,MATCH($AQ97,$AP$12:$AP$263,0)))/INDEX($AI$12:$AI$263,MATCH($AQ97,$AP$12:$AP$263,0)), "-"),     TRUE, "0")</f>
        <v>0</v>
      </c>
      <c r="BP97" s="588">
        <f>IF(BO$9&gt;0, IF(OR(BO97="",BO97="-"), 0, BO97*$AT97), BN97*$AJ97)</f>
        <v>0</v>
      </c>
      <c r="BQ97" s="587">
        <f>[1]COMMANDE!AC95</f>
        <v>0</v>
      </c>
      <c r="BR97" s="586" t="str">
        <f>_xlfn.IFS(AND($AI97=$AM97,$AI97&gt;0,$AM97&gt;0,BQ97&gt;0), BQ97,     AND(NOT($AI97=$AM97),$AI97&gt;0,$AM97&gt;0,BQ97&gt;0), ($AM97*BQ97)/$AI97,     AND($AI97=0,$AM97&gt;0,$AQ97&gt;0), IF(INDEX(BQ$12:BQ$263,MATCH($AQ97,$AP$12:$AP$263,0))&gt;0,($AM97*INDEX(BQ$12:BQ$263,MATCH($AQ97,$AP$12:$AP$263,0)))/INDEX($AI$12:$AI$263,MATCH($AQ97,$AP$12:$AP$263,0)), "-"),     TRUE, "0")</f>
        <v>0</v>
      </c>
      <c r="BS97" s="607">
        <f>IF(BR$9&gt;0, IF(OR(BR97="",BR97="-"), 0, BR97*$AT97), BQ97*$AJ97)</f>
        <v>0</v>
      </c>
      <c r="BT97" s="589">
        <f>[1]COMMANDE!AE95</f>
        <v>0</v>
      </c>
      <c r="BU97" s="586" t="str">
        <f>_xlfn.IFS(AND($AI97=$AM97,$AI97&gt;0,$AM97&gt;0,BT97&gt;0), BT97,     AND(NOT($AI97=$AM97),$AI97&gt;0,$AM97&gt;0,BT97&gt;0), ($AM97*BT97)/$AI97,     AND($AI97=0,$AM97&gt;0,$AQ97&gt;0), IF(INDEX(BT$12:BT$263,MATCH($AQ97,$AP$12:$AP$263,0))&gt;0,($AM97*INDEX(BT$12:BT$263,MATCH($AQ97,$AP$12:$AP$263,0)))/INDEX($AI$12:$AI$263,MATCH($AQ97,$AP$12:$AP$263,0)), "-"),     TRUE, "0")</f>
        <v>0</v>
      </c>
      <c r="BV97" s="588">
        <f>IF(BU$9&gt;0, IF(OR(BU97="",BU97="-"), 0, BU97*$AT97), BT97*$AJ97)</f>
        <v>0</v>
      </c>
      <c r="BW97" s="587">
        <f>[1]COMMANDE!AG95</f>
        <v>0</v>
      </c>
      <c r="BX97" s="586" t="str">
        <f>_xlfn.IFS(AND($AI97=$AM97,$AI97&gt;0,$AM97&gt;0,BW97&gt;0), BW97,     AND(NOT($AI97=$AM97),$AI97&gt;0,$AM97&gt;0,BW97&gt;0), ($AM97*BW97)/$AI97,     AND($AI97=0,$AM97&gt;0,$AQ97&gt;0), IF(INDEX(BW$12:BW$263,MATCH($AQ97,$AP$12:$AP$263,0))&gt;0,($AM97*INDEX(BW$12:BW$263,MATCH($AQ97,$AP$12:$AP$263,0)))/INDEX($AI$12:$AI$263,MATCH($AQ97,$AP$12:$AP$263,0)), "-"),     TRUE, "0")</f>
        <v>0</v>
      </c>
      <c r="BY97" s="607">
        <f>IF(BX$9&gt;0, IF(OR(BX97="",BX97="-"), 0, BX97*$AT97), BW97*$AJ97)</f>
        <v>0</v>
      </c>
      <c r="BZ97" s="589">
        <f>[1]COMMANDE!AI95</f>
        <v>0</v>
      </c>
      <c r="CA97" s="586" t="str">
        <f>_xlfn.IFS(AND($AI97=$AM97,$AI97&gt;0,$AM97&gt;0,BZ97&gt;0), BZ97,     AND(NOT($AI97=$AM97),$AI97&gt;0,$AM97&gt;0,BZ97&gt;0), ($AM97*BZ97)/$AI97,     AND($AI97=0,$AM97&gt;0,$AQ97&gt;0), IF(INDEX(BZ$12:BZ$263,MATCH($AQ97,$AP$12:$AP$263,0))&gt;0,($AM97*INDEX(BZ$12:BZ$263,MATCH($AQ97,$AP$12:$AP$263,0)))/INDEX($AI$12:$AI$263,MATCH($AQ97,$AP$12:$AP$263,0)), "-"),     TRUE, "0")</f>
        <v>0</v>
      </c>
      <c r="CB97" s="588">
        <f>IF(CA$9&gt;0, IF(OR(CA97="",CA97="-"), 0, CA97*$AT97), BZ97*$AJ97)</f>
        <v>0</v>
      </c>
      <c r="CC97" s="587">
        <f>[1]COMMANDE!AK95</f>
        <v>0</v>
      </c>
      <c r="CD97" s="586" t="str">
        <f>_xlfn.IFS(AND($AI97=$AM97,$AI97&gt;0,$AM97&gt;0,CC97&gt;0), CC97,     AND(NOT($AI97=$AM97),$AI97&gt;0,$AM97&gt;0,CC97&gt;0), ($AM97*CC97)/$AI97,     AND($AI97=0,$AM97&gt;0,$AQ97&gt;0), IF(INDEX(CC$12:CC$263,MATCH($AQ97,$AP$12:$AP$263,0))&gt;0,($AM97*INDEX(CC$12:CC$263,MATCH($AQ97,$AP$12:$AP$263,0)))/INDEX($AI$12:$AI$263,MATCH($AQ97,$AP$12:$AP$263,0)), "-"),     TRUE, "0")</f>
        <v>0</v>
      </c>
      <c r="CE97" s="607">
        <f>IF(CD$9&gt;0, IF(OR(CD97="",CD97="-"), 0, CD97*$AT97), CC97*$AJ97)</f>
        <v>0</v>
      </c>
      <c r="CF97" s="589">
        <f>[1]COMMANDE!AM95</f>
        <v>0</v>
      </c>
      <c r="CG97" s="586" t="str">
        <f>_xlfn.IFS(AND($AI97=$AM97,$AI97&gt;0,$AM97&gt;0,CF97&gt;0), CF97,     AND(NOT($AI97=$AM97),$AI97&gt;0,$AM97&gt;0,CF97&gt;0), ($AM97*CF97)/$AI97,     AND($AI97=0,$AM97&gt;0,$AQ97&gt;0), IF(INDEX(CF$12:CF$263,MATCH($AQ97,$AP$12:$AP$263,0))&gt;0,($AM97*INDEX(CF$12:CF$263,MATCH($AQ97,$AP$12:$AP$263,0)))/INDEX($AI$12:$AI$263,MATCH($AQ97,$AP$12:$AP$263,0)), "-"),     TRUE, "0")</f>
        <v>0</v>
      </c>
      <c r="CH97" s="588">
        <f>IF(CG$9&gt;0, IF(OR(CG97="",CG97="-"), 0, CG97*$AT97), CF97*$AJ97)</f>
        <v>0</v>
      </c>
      <c r="CI97" s="587">
        <f>[1]COMMANDE!AO95</f>
        <v>0</v>
      </c>
      <c r="CJ97" s="586" t="str">
        <f>_xlfn.IFS(AND($AI97=$AM97,$AI97&gt;0,$AM97&gt;0,CI97&gt;0), CI97,     AND(NOT($AI97=$AM97),$AI97&gt;0,$AM97&gt;0,CI97&gt;0), ($AM97*CI97)/$AI97,     AND($AI97=0,$AM97&gt;0,$AQ97&gt;0), IF(INDEX(CI$12:CI$263,MATCH($AQ97,$AP$12:$AP$263,0))&gt;0,($AM97*INDEX(CI$12:CI$263,MATCH($AQ97,$AP$12:$AP$263,0)))/INDEX($AI$12:$AI$263,MATCH($AQ97,$AP$12:$AP$263,0)), "-"),     TRUE, "0")</f>
        <v>0</v>
      </c>
      <c r="CK97" s="607">
        <f>IF(CJ$9&gt;0, IF(OR(CJ97="",CJ97="-"), 0, CJ97*$AT97), CI97*$AJ97)</f>
        <v>0</v>
      </c>
      <c r="CL97" s="589">
        <f>[1]COMMANDE!AQ95</f>
        <v>0</v>
      </c>
      <c r="CM97" s="586" t="str">
        <f>_xlfn.IFS(AND($AI97=$AM97,$AI97&gt;0,$AM97&gt;0,CL97&gt;0), CL97,     AND(NOT($AI97=$AM97),$AI97&gt;0,$AM97&gt;0,CL97&gt;0), ($AM97*CL97)/$AI97,     AND($AI97=0,$AM97&gt;0,$AQ97&gt;0), IF(INDEX(CL$12:CL$263,MATCH($AQ97,$AP$12:$AP$263,0))&gt;0,($AM97*INDEX(CL$12:CL$263,MATCH($AQ97,$AP$12:$AP$263,0)))/INDEX($AI$12:$AI$263,MATCH($AQ97,$AP$12:$AP$263,0)), "-"),     TRUE, "0")</f>
        <v>0</v>
      </c>
      <c r="CN97" s="588">
        <f>IF(CM$9&gt;0, IF(OR(CM97="",CM97="-"), 0, CM97*$AT97), CL97*$AJ97)</f>
        <v>0</v>
      </c>
      <c r="CO97" s="587">
        <f>[1]COMMANDE!AS95</f>
        <v>0</v>
      </c>
      <c r="CP97" s="586" t="str">
        <f>_xlfn.IFS(AND($AI97=$AM97,$AI97&gt;0,$AM97&gt;0,CO97&gt;0), CO97,     AND(NOT($AI97=$AM97),$AI97&gt;0,$AM97&gt;0,CO97&gt;0), ($AM97*CO97)/$AI97,     AND($AI97=0,$AM97&gt;0,$AQ97&gt;0), IF(INDEX(CO$12:CO$263,MATCH($AQ97,$AP$12:$AP$263,0))&gt;0,($AM97*INDEX(CO$12:CO$263,MATCH($AQ97,$AP$12:$AP$263,0)))/INDEX($AI$12:$AI$263,MATCH($AQ97,$AP$12:$AP$263,0)), "-"),     TRUE, "0")</f>
        <v>0</v>
      </c>
      <c r="CQ97" s="607">
        <f>IF(CP$9&gt;0, IF(OR(CP97="",CP97="-"), 0, CP97*$AT97), CO97*$AJ97)</f>
        <v>0</v>
      </c>
      <c r="CR97" s="589">
        <f>[1]COMMANDE!AU95</f>
        <v>0</v>
      </c>
      <c r="CS97" s="586" t="str">
        <f>_xlfn.IFS(AND($AI97=$AM97,$AI97&gt;0,$AM97&gt;0,CR97&gt;0), CR97,     AND(NOT($AI97=$AM97),$AI97&gt;0,$AM97&gt;0,CR97&gt;0), ($AM97*CR97)/$AI97,     AND($AI97=0,$AM97&gt;0,$AQ97&gt;0), IF(INDEX(CR$12:CR$263,MATCH($AQ97,$AP$12:$AP$263,0))&gt;0,($AM97*INDEX(CR$12:CR$263,MATCH($AQ97,$AP$12:$AP$263,0)))/INDEX($AI$12:$AI$263,MATCH($AQ97,$AP$12:$AP$263,0)), "-"),     TRUE, "0")</f>
        <v>0</v>
      </c>
      <c r="CT97" s="588">
        <f>IF(CS$9&gt;0, IF(OR(CS97="",CS97="-"), 0, CS97*$AT97), CR97*$AJ97)</f>
        <v>0</v>
      </c>
      <c r="CU97" s="587">
        <f>[1]COMMANDE!AW95</f>
        <v>0</v>
      </c>
      <c r="CV97" s="586" t="str">
        <f>_xlfn.IFS(AND($AI97=$AM97,$AI97&gt;0,$AM97&gt;0,CU97&gt;0), CU97,     AND(NOT($AI97=$AM97),$AI97&gt;0,$AM97&gt;0,CU97&gt;0), ($AM97*CU97)/$AI97,     AND($AI97=0,$AM97&gt;0,$AQ97&gt;0), IF(INDEX(CU$12:CU$263,MATCH($AQ97,$AP$12:$AP$263,0))&gt;0,($AM97*INDEX(CU$12:CU$263,MATCH($AQ97,$AP$12:$AP$263,0)))/INDEX($AI$12:$AI$263,MATCH($AQ97,$AP$12:$AP$263,0)), "-"),     TRUE, "0")</f>
        <v>0</v>
      </c>
      <c r="CW97" s="607">
        <f>IF(CV$9&gt;0, IF(OR(CV97="",CV97="-"), 0, CV97*$AT97), CU97*$AJ97)</f>
        <v>0</v>
      </c>
      <c r="CX97" s="589">
        <f>[1]COMMANDE!AY95</f>
        <v>0</v>
      </c>
      <c r="CY97" s="586" t="str">
        <f>_xlfn.IFS(AND($AI97=$AM97,$AI97&gt;0,$AM97&gt;0,CX97&gt;0), CX97,     AND(NOT($AI97=$AM97),$AI97&gt;0,$AM97&gt;0,CX97&gt;0), ($AM97*CX97)/$AI97,     AND($AI97=0,$AM97&gt;0,$AQ97&gt;0), IF(INDEX(CX$12:CX$263,MATCH($AQ97,$AP$12:$AP$263,0))&gt;0,($AM97*INDEX(CX$12:CX$263,MATCH($AQ97,$AP$12:$AP$263,0)))/INDEX($AI$12:$AI$263,MATCH($AQ97,$AP$12:$AP$263,0)), "-"),     TRUE, "0")</f>
        <v>0</v>
      </c>
      <c r="CZ97" s="588">
        <f>IF(CY$9&gt;0, IF(OR(CY97="",CY97="-"), 0, CY97*$AT97), CX97*$AJ97)</f>
        <v>0</v>
      </c>
      <c r="DA97" s="587">
        <f>[1]COMMANDE!BA95</f>
        <v>0</v>
      </c>
      <c r="DB97" s="586" t="str">
        <f>_xlfn.IFS(AND($AI97=$AM97,$AI97&gt;0,$AM97&gt;0,DA97&gt;0), DA97,     AND(NOT($AI97=$AM97),$AI97&gt;0,$AM97&gt;0,DA97&gt;0), ($AM97*DA97)/$AI97,     AND($AI97=0,$AM97&gt;0,$AQ97&gt;0), IF(INDEX(DA$12:DA$263,MATCH($AQ97,$AP$12:$AP$263,0))&gt;0,($AM97*INDEX(DA$12:DA$263,MATCH($AQ97,$AP$12:$AP$263,0)))/INDEX($AI$12:$AI$263,MATCH($AQ97,$AP$12:$AP$263,0)), "-"),     TRUE, "0")</f>
        <v>0</v>
      </c>
      <c r="DC97" s="606">
        <f>IF(DB$9&gt;0, IF(OR(DB97="",DB97="-"), 0, DB97*$AT97), DA97*$AJ97)</f>
        <v>0</v>
      </c>
      <c r="DD97" s="584"/>
      <c r="DE97" s="583"/>
    </row>
    <row r="98" spans="1:109" ht="39.950000000000003" hidden="1" customHeight="1">
      <c r="A98" s="604">
        <f>IF(OR($AV98&gt;0, $AX98&gt;0), 1, 0)</f>
        <v>0</v>
      </c>
      <c r="B98" s="604">
        <f>IF(OR($AY98&gt;0, $BA98&gt;0), 1, 0)</f>
        <v>0</v>
      </c>
      <c r="C98" s="604">
        <f>IF(OR($BB98&gt;0, $BD98&gt;0), 1, 0)</f>
        <v>0</v>
      </c>
      <c r="D98" s="604">
        <f>IF(OR($BE98&gt;0, $BG98&gt;0), 1, 0)</f>
        <v>0</v>
      </c>
      <c r="E98" s="604">
        <f>IF(OR($BH98&gt;0, $BJ98&gt;0), 1, 0)</f>
        <v>0</v>
      </c>
      <c r="F98" s="604">
        <f>IF(OR($BK98&gt;0, $BM98&gt;0), 1, 0)</f>
        <v>0</v>
      </c>
      <c r="G98" s="604">
        <f>IF(OR($BN98&gt;0, $BP98&gt;0), 1, 0)</f>
        <v>0</v>
      </c>
      <c r="H98" s="604">
        <f>IF(OR($BQ98&gt;0, $BS98&gt;0), 1, 0)</f>
        <v>0</v>
      </c>
      <c r="I98" s="604">
        <f>IF(OR($BT98&gt;0, $BV98&gt;0), 1, 0)</f>
        <v>0</v>
      </c>
      <c r="J98" s="604">
        <f>IF(OR($BW98&gt;0, $BY98&gt;0), 1, 0)</f>
        <v>0</v>
      </c>
      <c r="K98" s="604">
        <f>IF(OR($BZ98&gt;0, $CB98&gt;0), 1, 0)</f>
        <v>0</v>
      </c>
      <c r="L98" s="604">
        <f>IF(OR($CC98&gt;0, $CE98&gt;0), 1, 0)</f>
        <v>0</v>
      </c>
      <c r="M98" s="604">
        <f>IF(OR($CF98&gt;0, $CH98&gt;0), 1, 0)</f>
        <v>0</v>
      </c>
      <c r="N98" s="604">
        <f>IF(OR($CI98&gt;0, $CK98&gt;0), 1, 0)</f>
        <v>0</v>
      </c>
      <c r="O98" s="604">
        <f>IF(OR($CL98&gt;0, $CN98&gt;0), 1, 0)</f>
        <v>0</v>
      </c>
      <c r="P98" s="604">
        <f>IF(OR($CO98&gt;0, $CQ98&gt;0), 1, 0)</f>
        <v>0</v>
      </c>
      <c r="Q98" s="604">
        <f>IF(OR($CR98&gt;0, $CT98&gt;0), 1, 0)</f>
        <v>0</v>
      </c>
      <c r="R98" s="604">
        <f>IF(OR($CU98&gt;0, $CW98&gt;0), 1, 0)</f>
        <v>0</v>
      </c>
      <c r="S98" s="604">
        <f>IF(OR($CX98&gt;0, $CZ98&gt;0), 1, 0)</f>
        <v>0</v>
      </c>
      <c r="T98" s="604">
        <f>IF(OR($DA98&gt;0, $DC98&gt;0), 1, 0)</f>
        <v>0</v>
      </c>
      <c r="U98" s="603">
        <f>IF(OR($AI98&gt;0,$AM98&gt;0,$AS98&gt;0), 1, 0)</f>
        <v>0</v>
      </c>
      <c r="V98" s="602">
        <f>[1]BDD!A88</f>
        <v>5004</v>
      </c>
      <c r="W98" s="601" t="str">
        <f>[1]BDD!B88</f>
        <v>Datte Deglet Nour en rame</v>
      </c>
      <c r="X98" s="600" t="str">
        <f>IF([1]BDD!F88=0, "", [1]BDD!F88)</f>
        <v/>
      </c>
      <c r="Y98" s="542">
        <f>ROUND([1]BDD!G88+FDP_CMD_KG, 2)</f>
        <v>11.13</v>
      </c>
      <c r="Z98" s="542">
        <f>ROUND([1]BDD!G88+FDP_FACT_KG, 2)</f>
        <v>11.13</v>
      </c>
      <c r="AA98" s="543" t="str">
        <f>[1]BDD!H88</f>
        <v>kg</v>
      </c>
      <c r="AB98" s="544">
        <f>IF(NOT(ISBLANK([1]BDD!I88)), ROUND(SUM(([1]BDD!G88*reduc1),FDP_CMD_KG), 2), "")</f>
        <v>10.11</v>
      </c>
      <c r="AC98" s="544" t="str">
        <f>IF(NOT(ISBLANK([1]BDD!J88)), ROUND(SUM(([1]BDD!G88*reduc2),FDP_CMD_KG), 2), "")</f>
        <v/>
      </c>
      <c r="AD98" s="544" t="str">
        <f>IF(NOT(ISBLANK([1]BDD!K88)), ROUND(SUM(([1]BDD!G88*reduc3),FDP_CMD_KG), 2), "")</f>
        <v/>
      </c>
      <c r="AE98" s="544">
        <f>IF(NOT(ISBLANK([1]BDD!I88)), ROUND(SUM(([1]BDD!G88*reduc1),FDP_FACT_KG), 2), "")</f>
        <v>10.1</v>
      </c>
      <c r="AF98" s="544" t="str">
        <f>IF(NOT(ISBLANK([1]BDD!J88)), ROUND(SUM(([1]BDD!G88*reduc2),FDP_FACT_KG), 2), "")</f>
        <v/>
      </c>
      <c r="AG98" s="544" t="str">
        <f>IF(NOT(ISBLANK([1]BDD!K88)), ROUND(SUM(([1]BDD!G88*reduc3),FDP_FACT_KG), 2), "")</f>
        <v/>
      </c>
      <c r="AH98" s="599" t="str">
        <f>[1]BDD!C88</f>
        <v>Jordanie</v>
      </c>
      <c r="AI98" s="598">
        <f>SUM(AV98,AY98,BB98,BE98,BH98,BK98,BN98,BQ98,BT98,BW98,BZ98,CC98,CF98,CI98,CL98,CO98,CR98,CU98,CX98,DA98)</f>
        <v>0</v>
      </c>
      <c r="AJ98" s="545">
        <f>_xlfn.IFS($AD98&lt;&gt;"", $AD98,    $AC98&lt;&gt;"", $AC98,    $AB98&lt;&gt;"", $AB98,    TRUE, $Y98)</f>
        <v>10.11</v>
      </c>
      <c r="AK98" s="592">
        <f>$AI98*$AJ98</f>
        <v>0</v>
      </c>
      <c r="AL98" s="594"/>
      <c r="AM98" s="597"/>
      <c r="AN98" s="545">
        <f>_xlfn.IFS(AND(AM98&gt;=60,$AG98&lt;&gt;""), $AG98,    AND(AM98&gt;=30,$AF98&lt;&gt;""), $AF98,    AND(AM98&gt;=10,$AE98&lt;&gt;""), $AE98,    TRUE, $Z98)</f>
        <v>11.13</v>
      </c>
      <c r="AO98" s="596">
        <f>AM98*AN98</f>
        <v>0</v>
      </c>
      <c r="AP98" s="595"/>
      <c r="AQ98" s="595"/>
      <c r="AR98" s="594"/>
      <c r="AS98" s="593">
        <f>SUM(AW98,AZ98,BC98,BF98,BI98,BL98,BO98,BR98,BU98,BX98,CA98,CD98,CG98,CJ98,CM98,CP98,CS98,CV98,CY98,DB98)</f>
        <v>0</v>
      </c>
      <c r="AT98" s="545">
        <f>_xlfn.IFS(AND(AS98&gt;=60,$AG98&lt;&gt;""), $AG98,    AND(AS98&gt;=30,$AF98&lt;&gt;""), $AF98,    AND(AS98&gt;=10,$AE98&lt;&gt;""), $AE98,    TRUE, $Z98)</f>
        <v>11.13</v>
      </c>
      <c r="AU98" s="592">
        <f>$AS98*$AT98</f>
        <v>0</v>
      </c>
      <c r="AV98" s="591">
        <f>[1]COMMANDE!O96</f>
        <v>0</v>
      </c>
      <c r="AW98" s="586" t="str">
        <f>_xlfn.IFS(AND($AI98=$AM98,$AI98&gt;0,$AM98&gt;0,AV98&gt;0), AV98,     AND(NOT($AI98=$AM98),$AI98&gt;0,$AM98&gt;0,AV98&gt;0), ($AM98*AV98)/$AI98,     AND($AI98=0,$AM98&gt;0,$AQ98&gt;0), IF(INDEX(AV$12:AV$263,MATCH($AQ98,$AP$12:$AP$263,0))&gt;0,($AM98*INDEX(AV$12:AV$263,MATCH($AQ98,$AP$12:$AP$263,0)))/INDEX($AI$12:$AI$263,MATCH($AQ98,$AP$12:$AP$263,0)), "-"),     TRUE, "0")</f>
        <v>0</v>
      </c>
      <c r="AX98" s="588">
        <f>IF(AW$9&gt;0, IF(OR(AW98="",AW98="-"), 0, AW98*$AT98), AV98*$AJ98)</f>
        <v>0</v>
      </c>
      <c r="AY98" s="587">
        <f>[1]COMMANDE!Q96</f>
        <v>0</v>
      </c>
      <c r="AZ98" s="586" t="str">
        <f>_xlfn.IFS(AND($AI98=$AM98,$AI98&gt;0,$AM98&gt;0,AY98&gt;0), AY98,     AND(NOT($AI98=$AM98),$AI98&gt;0,$AM98&gt;0,AY98&gt;0), ($AM98*AY98)/$AI98,     AND($AI98=0,$AM98&gt;0,$AQ98&gt;0), IF(INDEX(AY$12:AY$263,MATCH($AQ98,$AP$12:$AP$263,0))&gt;0,($AM98*INDEX(AY$12:AY$263,MATCH($AQ98,$AP$12:$AP$263,0)))/INDEX($AI$12:$AI$263,MATCH($AQ98,$AP$12:$AP$263,0)), "-"),     TRUE, "0")</f>
        <v>0</v>
      </c>
      <c r="BA98" s="607">
        <f>IF(AZ$9&gt;0, IF(OR(AZ98="",AZ98="-"), 0, AZ98*$AT98), AY98*$AJ98)</f>
        <v>0</v>
      </c>
      <c r="BB98" s="589">
        <f>[1]COMMANDE!S96</f>
        <v>0</v>
      </c>
      <c r="BC98" s="586" t="str">
        <f>_xlfn.IFS(AND($AI98=$AM98,$AI98&gt;0,$AM98&gt;0,BB98&gt;0), BB98,     AND(NOT($AI98=$AM98),$AI98&gt;0,$AM98&gt;0,BB98&gt;0), ($AM98*BB98)/$AI98,     AND($AI98=0,$AM98&gt;0,$AQ98&gt;0), IF(INDEX(BB$12:BB$263,MATCH($AQ98,$AP$12:$AP$263,0))&gt;0,($AM98*INDEX(BB$12:BB$263,MATCH($AQ98,$AP$12:$AP$263,0)))/INDEX($AI$12:$AI$263,MATCH($AQ98,$AP$12:$AP$263,0)), "-"),     TRUE, "0")</f>
        <v>0</v>
      </c>
      <c r="BD98" s="588">
        <f>IF(BC$9&gt;0, IF(OR(BC98="",BC98="-"), 0, BC98*$AT98), BB98*$AJ98)</f>
        <v>0</v>
      </c>
      <c r="BE98" s="587">
        <f>[1]COMMANDE!U96</f>
        <v>0</v>
      </c>
      <c r="BF98" s="586" t="str">
        <f>_xlfn.IFS(AND($AI98=$AM98,$AI98&gt;0,$AM98&gt;0,BE98&gt;0), BE98,     AND(NOT($AI98=$AM98),$AI98&gt;0,$AM98&gt;0,BE98&gt;0), ($AM98*BE98)/$AI98,     AND($AI98=0,$AM98&gt;0,$AQ98&gt;0), IF(INDEX(BE$12:BE$263,MATCH($AQ98,$AP$12:$AP$263,0))&gt;0,($AM98*INDEX(BE$12:BE$263,MATCH($AQ98,$AP$12:$AP$263,0)))/INDEX($AI$12:$AI$263,MATCH($AQ98,$AP$12:$AP$263,0)), "-"),     TRUE, "0")</f>
        <v>0</v>
      </c>
      <c r="BG98" s="607">
        <f>IF(BF$9&gt;0, IF(OR(BF98="",BF98="-"), 0, BF98*$AT98), BE98*$AJ98)</f>
        <v>0</v>
      </c>
      <c r="BH98" s="589">
        <f>[1]COMMANDE!W96</f>
        <v>0</v>
      </c>
      <c r="BI98" s="586" t="str">
        <f>_xlfn.IFS(AND($AI98=$AM98,$AI98&gt;0,$AM98&gt;0,BH98&gt;0), BH98,     AND(NOT($AI98=$AM98),$AI98&gt;0,$AM98&gt;0,BH98&gt;0), ($AM98*BH98)/$AI98,     AND($AI98=0,$AM98&gt;0,$AQ98&gt;0), IF(INDEX(BH$12:BH$263,MATCH($AQ98,$AP$12:$AP$263,0))&gt;0,($AM98*INDEX(BH$12:BH$263,MATCH($AQ98,$AP$12:$AP$263,0)))/INDEX($AI$12:$AI$263,MATCH($AQ98,$AP$12:$AP$263,0)), "-"),     TRUE, "0")</f>
        <v>0</v>
      </c>
      <c r="BJ98" s="588">
        <f>IF(BI$9&gt;0, IF(OR(BI98="",BI98="-"), 0, BI98*$AT98), BH98*$AJ98)</f>
        <v>0</v>
      </c>
      <c r="BK98" s="587">
        <f>[1]COMMANDE!Y96</f>
        <v>0</v>
      </c>
      <c r="BL98" s="586" t="str">
        <f>_xlfn.IFS(AND($AI98=$AM98,$AI98&gt;0,$AM98&gt;0,BK98&gt;0), BK98,     AND(NOT($AI98=$AM98),$AI98&gt;0,$AM98&gt;0,BK98&gt;0), ($AM98*BK98)/$AI98,     AND($AI98=0,$AM98&gt;0,$AQ98&gt;0), IF(INDEX(BK$12:BK$263,MATCH($AQ98,$AP$12:$AP$263,0))&gt;0,($AM98*INDEX(BK$12:BK$263,MATCH($AQ98,$AP$12:$AP$263,0)))/INDEX($AI$12:$AI$263,MATCH($AQ98,$AP$12:$AP$263,0)), "-"),     TRUE, "0")</f>
        <v>0</v>
      </c>
      <c r="BM98" s="607">
        <f>IF(BL$9&gt;0, IF(OR(BL98="",BL98="-"), 0, BL98*$AT98), BK98*$AJ98)</f>
        <v>0</v>
      </c>
      <c r="BN98" s="589">
        <f>[1]COMMANDE!AA96</f>
        <v>0</v>
      </c>
      <c r="BO98" s="586" t="str">
        <f>_xlfn.IFS(AND($AI98=$AM98,$AI98&gt;0,$AM98&gt;0,BN98&gt;0), BN98,     AND(NOT($AI98=$AM98),$AI98&gt;0,$AM98&gt;0,BN98&gt;0), ($AM98*BN98)/$AI98,     AND($AI98=0,$AM98&gt;0,$AQ98&gt;0), IF(INDEX(BN$12:BN$263,MATCH($AQ98,$AP$12:$AP$263,0))&gt;0,($AM98*INDEX(BN$12:BN$263,MATCH($AQ98,$AP$12:$AP$263,0)))/INDEX($AI$12:$AI$263,MATCH($AQ98,$AP$12:$AP$263,0)), "-"),     TRUE, "0")</f>
        <v>0</v>
      </c>
      <c r="BP98" s="588">
        <f>IF(BO$9&gt;0, IF(OR(BO98="",BO98="-"), 0, BO98*$AT98), BN98*$AJ98)</f>
        <v>0</v>
      </c>
      <c r="BQ98" s="587">
        <f>[1]COMMANDE!AC96</f>
        <v>0</v>
      </c>
      <c r="BR98" s="586" t="str">
        <f>_xlfn.IFS(AND($AI98=$AM98,$AI98&gt;0,$AM98&gt;0,BQ98&gt;0), BQ98,     AND(NOT($AI98=$AM98),$AI98&gt;0,$AM98&gt;0,BQ98&gt;0), ($AM98*BQ98)/$AI98,     AND($AI98=0,$AM98&gt;0,$AQ98&gt;0), IF(INDEX(BQ$12:BQ$263,MATCH($AQ98,$AP$12:$AP$263,0))&gt;0,($AM98*INDEX(BQ$12:BQ$263,MATCH($AQ98,$AP$12:$AP$263,0)))/INDEX($AI$12:$AI$263,MATCH($AQ98,$AP$12:$AP$263,0)), "-"),     TRUE, "0")</f>
        <v>0</v>
      </c>
      <c r="BS98" s="607">
        <f>IF(BR$9&gt;0, IF(OR(BR98="",BR98="-"), 0, BR98*$AT98), BQ98*$AJ98)</f>
        <v>0</v>
      </c>
      <c r="BT98" s="589">
        <f>[1]COMMANDE!AE96</f>
        <v>0</v>
      </c>
      <c r="BU98" s="586" t="str">
        <f>_xlfn.IFS(AND($AI98=$AM98,$AI98&gt;0,$AM98&gt;0,BT98&gt;0), BT98,     AND(NOT($AI98=$AM98),$AI98&gt;0,$AM98&gt;0,BT98&gt;0), ($AM98*BT98)/$AI98,     AND($AI98=0,$AM98&gt;0,$AQ98&gt;0), IF(INDEX(BT$12:BT$263,MATCH($AQ98,$AP$12:$AP$263,0))&gt;0,($AM98*INDEX(BT$12:BT$263,MATCH($AQ98,$AP$12:$AP$263,0)))/INDEX($AI$12:$AI$263,MATCH($AQ98,$AP$12:$AP$263,0)), "-"),     TRUE, "0")</f>
        <v>0</v>
      </c>
      <c r="BV98" s="588">
        <f>IF(BU$9&gt;0, IF(OR(BU98="",BU98="-"), 0, BU98*$AT98), BT98*$AJ98)</f>
        <v>0</v>
      </c>
      <c r="BW98" s="587">
        <f>[1]COMMANDE!AG96</f>
        <v>0</v>
      </c>
      <c r="BX98" s="586" t="str">
        <f>_xlfn.IFS(AND($AI98=$AM98,$AI98&gt;0,$AM98&gt;0,BW98&gt;0), BW98,     AND(NOT($AI98=$AM98),$AI98&gt;0,$AM98&gt;0,BW98&gt;0), ($AM98*BW98)/$AI98,     AND($AI98=0,$AM98&gt;0,$AQ98&gt;0), IF(INDEX(BW$12:BW$263,MATCH($AQ98,$AP$12:$AP$263,0))&gt;0,($AM98*INDEX(BW$12:BW$263,MATCH($AQ98,$AP$12:$AP$263,0)))/INDEX($AI$12:$AI$263,MATCH($AQ98,$AP$12:$AP$263,0)), "-"),     TRUE, "0")</f>
        <v>0</v>
      </c>
      <c r="BY98" s="607">
        <f>IF(BX$9&gt;0, IF(OR(BX98="",BX98="-"), 0, BX98*$AT98), BW98*$AJ98)</f>
        <v>0</v>
      </c>
      <c r="BZ98" s="589">
        <f>[1]COMMANDE!AI96</f>
        <v>0</v>
      </c>
      <c r="CA98" s="586" t="str">
        <f>_xlfn.IFS(AND($AI98=$AM98,$AI98&gt;0,$AM98&gt;0,BZ98&gt;0), BZ98,     AND(NOT($AI98=$AM98),$AI98&gt;0,$AM98&gt;0,BZ98&gt;0), ($AM98*BZ98)/$AI98,     AND($AI98=0,$AM98&gt;0,$AQ98&gt;0), IF(INDEX(BZ$12:BZ$263,MATCH($AQ98,$AP$12:$AP$263,0))&gt;0,($AM98*INDEX(BZ$12:BZ$263,MATCH($AQ98,$AP$12:$AP$263,0)))/INDEX($AI$12:$AI$263,MATCH($AQ98,$AP$12:$AP$263,0)), "-"),     TRUE, "0")</f>
        <v>0</v>
      </c>
      <c r="CB98" s="588">
        <f>IF(CA$9&gt;0, IF(OR(CA98="",CA98="-"), 0, CA98*$AT98), BZ98*$AJ98)</f>
        <v>0</v>
      </c>
      <c r="CC98" s="587">
        <f>[1]COMMANDE!AK96</f>
        <v>0</v>
      </c>
      <c r="CD98" s="586" t="str">
        <f>_xlfn.IFS(AND($AI98=$AM98,$AI98&gt;0,$AM98&gt;0,CC98&gt;0), CC98,     AND(NOT($AI98=$AM98),$AI98&gt;0,$AM98&gt;0,CC98&gt;0), ($AM98*CC98)/$AI98,     AND($AI98=0,$AM98&gt;0,$AQ98&gt;0), IF(INDEX(CC$12:CC$263,MATCH($AQ98,$AP$12:$AP$263,0))&gt;0,($AM98*INDEX(CC$12:CC$263,MATCH($AQ98,$AP$12:$AP$263,0)))/INDEX($AI$12:$AI$263,MATCH($AQ98,$AP$12:$AP$263,0)), "-"),     TRUE, "0")</f>
        <v>0</v>
      </c>
      <c r="CE98" s="607">
        <f>IF(CD$9&gt;0, IF(OR(CD98="",CD98="-"), 0, CD98*$AT98), CC98*$AJ98)</f>
        <v>0</v>
      </c>
      <c r="CF98" s="589">
        <f>[1]COMMANDE!AM96</f>
        <v>0</v>
      </c>
      <c r="CG98" s="586" t="str">
        <f>_xlfn.IFS(AND($AI98=$AM98,$AI98&gt;0,$AM98&gt;0,CF98&gt;0), CF98,     AND(NOT($AI98=$AM98),$AI98&gt;0,$AM98&gt;0,CF98&gt;0), ($AM98*CF98)/$AI98,     AND($AI98=0,$AM98&gt;0,$AQ98&gt;0), IF(INDEX(CF$12:CF$263,MATCH($AQ98,$AP$12:$AP$263,0))&gt;0,($AM98*INDEX(CF$12:CF$263,MATCH($AQ98,$AP$12:$AP$263,0)))/INDEX($AI$12:$AI$263,MATCH($AQ98,$AP$12:$AP$263,0)), "-"),     TRUE, "0")</f>
        <v>0</v>
      </c>
      <c r="CH98" s="588">
        <f>IF(CG$9&gt;0, IF(OR(CG98="",CG98="-"), 0, CG98*$AT98), CF98*$AJ98)</f>
        <v>0</v>
      </c>
      <c r="CI98" s="587">
        <f>[1]COMMANDE!AO96</f>
        <v>0</v>
      </c>
      <c r="CJ98" s="586" t="str">
        <f>_xlfn.IFS(AND($AI98=$AM98,$AI98&gt;0,$AM98&gt;0,CI98&gt;0), CI98,     AND(NOT($AI98=$AM98),$AI98&gt;0,$AM98&gt;0,CI98&gt;0), ($AM98*CI98)/$AI98,     AND($AI98=0,$AM98&gt;0,$AQ98&gt;0), IF(INDEX(CI$12:CI$263,MATCH($AQ98,$AP$12:$AP$263,0))&gt;0,($AM98*INDEX(CI$12:CI$263,MATCH($AQ98,$AP$12:$AP$263,0)))/INDEX($AI$12:$AI$263,MATCH($AQ98,$AP$12:$AP$263,0)), "-"),     TRUE, "0")</f>
        <v>0</v>
      </c>
      <c r="CK98" s="607">
        <f>IF(CJ$9&gt;0, IF(OR(CJ98="",CJ98="-"), 0, CJ98*$AT98), CI98*$AJ98)</f>
        <v>0</v>
      </c>
      <c r="CL98" s="589">
        <f>[1]COMMANDE!AQ96</f>
        <v>0</v>
      </c>
      <c r="CM98" s="586" t="str">
        <f>_xlfn.IFS(AND($AI98=$AM98,$AI98&gt;0,$AM98&gt;0,CL98&gt;0), CL98,     AND(NOT($AI98=$AM98),$AI98&gt;0,$AM98&gt;0,CL98&gt;0), ($AM98*CL98)/$AI98,     AND($AI98=0,$AM98&gt;0,$AQ98&gt;0), IF(INDEX(CL$12:CL$263,MATCH($AQ98,$AP$12:$AP$263,0))&gt;0,($AM98*INDEX(CL$12:CL$263,MATCH($AQ98,$AP$12:$AP$263,0)))/INDEX($AI$12:$AI$263,MATCH($AQ98,$AP$12:$AP$263,0)), "-"),     TRUE, "0")</f>
        <v>0</v>
      </c>
      <c r="CN98" s="588">
        <f>IF(CM$9&gt;0, IF(OR(CM98="",CM98="-"), 0, CM98*$AT98), CL98*$AJ98)</f>
        <v>0</v>
      </c>
      <c r="CO98" s="587">
        <f>[1]COMMANDE!AS96</f>
        <v>0</v>
      </c>
      <c r="CP98" s="586" t="str">
        <f>_xlfn.IFS(AND($AI98=$AM98,$AI98&gt;0,$AM98&gt;0,CO98&gt;0), CO98,     AND(NOT($AI98=$AM98),$AI98&gt;0,$AM98&gt;0,CO98&gt;0), ($AM98*CO98)/$AI98,     AND($AI98=0,$AM98&gt;0,$AQ98&gt;0), IF(INDEX(CO$12:CO$263,MATCH($AQ98,$AP$12:$AP$263,0))&gt;0,($AM98*INDEX(CO$12:CO$263,MATCH($AQ98,$AP$12:$AP$263,0)))/INDEX($AI$12:$AI$263,MATCH($AQ98,$AP$12:$AP$263,0)), "-"),     TRUE, "0")</f>
        <v>0</v>
      </c>
      <c r="CQ98" s="607">
        <f>IF(CP$9&gt;0, IF(OR(CP98="",CP98="-"), 0, CP98*$AT98), CO98*$AJ98)</f>
        <v>0</v>
      </c>
      <c r="CR98" s="589">
        <f>[1]COMMANDE!AU96</f>
        <v>0</v>
      </c>
      <c r="CS98" s="586" t="str">
        <f>_xlfn.IFS(AND($AI98=$AM98,$AI98&gt;0,$AM98&gt;0,CR98&gt;0), CR98,     AND(NOT($AI98=$AM98),$AI98&gt;0,$AM98&gt;0,CR98&gt;0), ($AM98*CR98)/$AI98,     AND($AI98=0,$AM98&gt;0,$AQ98&gt;0), IF(INDEX(CR$12:CR$263,MATCH($AQ98,$AP$12:$AP$263,0))&gt;0,($AM98*INDEX(CR$12:CR$263,MATCH($AQ98,$AP$12:$AP$263,0)))/INDEX($AI$12:$AI$263,MATCH($AQ98,$AP$12:$AP$263,0)), "-"),     TRUE, "0")</f>
        <v>0</v>
      </c>
      <c r="CT98" s="588">
        <f>IF(CS$9&gt;0, IF(OR(CS98="",CS98="-"), 0, CS98*$AT98), CR98*$AJ98)</f>
        <v>0</v>
      </c>
      <c r="CU98" s="587">
        <f>[1]COMMANDE!AW96</f>
        <v>0</v>
      </c>
      <c r="CV98" s="586" t="str">
        <f>_xlfn.IFS(AND($AI98=$AM98,$AI98&gt;0,$AM98&gt;0,CU98&gt;0), CU98,     AND(NOT($AI98=$AM98),$AI98&gt;0,$AM98&gt;0,CU98&gt;0), ($AM98*CU98)/$AI98,     AND($AI98=0,$AM98&gt;0,$AQ98&gt;0), IF(INDEX(CU$12:CU$263,MATCH($AQ98,$AP$12:$AP$263,0))&gt;0,($AM98*INDEX(CU$12:CU$263,MATCH($AQ98,$AP$12:$AP$263,0)))/INDEX($AI$12:$AI$263,MATCH($AQ98,$AP$12:$AP$263,0)), "-"),     TRUE, "0")</f>
        <v>0</v>
      </c>
      <c r="CW98" s="607">
        <f>IF(CV$9&gt;0, IF(OR(CV98="",CV98="-"), 0, CV98*$AT98), CU98*$AJ98)</f>
        <v>0</v>
      </c>
      <c r="CX98" s="589">
        <f>[1]COMMANDE!AY96</f>
        <v>0</v>
      </c>
      <c r="CY98" s="586" t="str">
        <f>_xlfn.IFS(AND($AI98=$AM98,$AI98&gt;0,$AM98&gt;0,CX98&gt;0), CX98,     AND(NOT($AI98=$AM98),$AI98&gt;0,$AM98&gt;0,CX98&gt;0), ($AM98*CX98)/$AI98,     AND($AI98=0,$AM98&gt;0,$AQ98&gt;0), IF(INDEX(CX$12:CX$263,MATCH($AQ98,$AP$12:$AP$263,0))&gt;0,($AM98*INDEX(CX$12:CX$263,MATCH($AQ98,$AP$12:$AP$263,0)))/INDEX($AI$12:$AI$263,MATCH($AQ98,$AP$12:$AP$263,0)), "-"),     TRUE, "0")</f>
        <v>0</v>
      </c>
      <c r="CZ98" s="588">
        <f>IF(CY$9&gt;0, IF(OR(CY98="",CY98="-"), 0, CY98*$AT98), CX98*$AJ98)</f>
        <v>0</v>
      </c>
      <c r="DA98" s="587">
        <f>[1]COMMANDE!BA96</f>
        <v>0</v>
      </c>
      <c r="DB98" s="586" t="str">
        <f>_xlfn.IFS(AND($AI98=$AM98,$AI98&gt;0,$AM98&gt;0,DA98&gt;0), DA98,     AND(NOT($AI98=$AM98),$AI98&gt;0,$AM98&gt;0,DA98&gt;0), ($AM98*DA98)/$AI98,     AND($AI98=0,$AM98&gt;0,$AQ98&gt;0), IF(INDEX(DA$12:DA$263,MATCH($AQ98,$AP$12:$AP$263,0))&gt;0,($AM98*INDEX(DA$12:DA$263,MATCH($AQ98,$AP$12:$AP$263,0)))/INDEX($AI$12:$AI$263,MATCH($AQ98,$AP$12:$AP$263,0)), "-"),     TRUE, "0")</f>
        <v>0</v>
      </c>
      <c r="DC98" s="606">
        <f>IF(DB$9&gt;0, IF(OR(DB98="",DB98="-"), 0, DB98*$AT98), DA98*$AJ98)</f>
        <v>0</v>
      </c>
      <c r="DD98" s="584"/>
      <c r="DE98" s="583"/>
    </row>
    <row r="99" spans="1:109" ht="39.950000000000003" hidden="1" customHeight="1">
      <c r="A99" s="604">
        <f>IF(OR($AV99&gt;0, $AX99&gt;0), 1, 0)</f>
        <v>0</v>
      </c>
      <c r="B99" s="604">
        <f>IF(OR($AY99&gt;0, $BA99&gt;0), 1, 0)</f>
        <v>0</v>
      </c>
      <c r="C99" s="604">
        <f>IF(OR($BB99&gt;0, $BD99&gt;0), 1, 0)</f>
        <v>0</v>
      </c>
      <c r="D99" s="604">
        <f>IF(OR($BE99&gt;0, $BG99&gt;0), 1, 0)</f>
        <v>0</v>
      </c>
      <c r="E99" s="604">
        <f>IF(OR($BH99&gt;0, $BJ99&gt;0), 1, 0)</f>
        <v>0</v>
      </c>
      <c r="F99" s="604">
        <f>IF(OR($BK99&gt;0, $BM99&gt;0), 1, 0)</f>
        <v>0</v>
      </c>
      <c r="G99" s="604">
        <f>IF(OR($BN99&gt;0, $BP99&gt;0), 1, 0)</f>
        <v>0</v>
      </c>
      <c r="H99" s="604">
        <f>IF(OR($BQ99&gt;0, $BS99&gt;0), 1, 0)</f>
        <v>0</v>
      </c>
      <c r="I99" s="604">
        <f>IF(OR($BT99&gt;0, $BV99&gt;0), 1, 0)</f>
        <v>0</v>
      </c>
      <c r="J99" s="604">
        <f>IF(OR($BW99&gt;0, $BY99&gt;0), 1, 0)</f>
        <v>0</v>
      </c>
      <c r="K99" s="604">
        <f>IF(OR($BZ99&gt;0, $CB99&gt;0), 1, 0)</f>
        <v>0</v>
      </c>
      <c r="L99" s="604">
        <f>IF(OR($CC99&gt;0, $CE99&gt;0), 1, 0)</f>
        <v>0</v>
      </c>
      <c r="M99" s="604">
        <f>IF(OR($CF99&gt;0, $CH99&gt;0), 1, 0)</f>
        <v>0</v>
      </c>
      <c r="N99" s="604">
        <f>IF(OR($CI99&gt;0, $CK99&gt;0), 1, 0)</f>
        <v>0</v>
      </c>
      <c r="O99" s="604">
        <f>IF(OR($CL99&gt;0, $CN99&gt;0), 1, 0)</f>
        <v>0</v>
      </c>
      <c r="P99" s="604">
        <f>IF(OR($CO99&gt;0, $CQ99&gt;0), 1, 0)</f>
        <v>0</v>
      </c>
      <c r="Q99" s="604">
        <f>IF(OR($CR99&gt;0, $CT99&gt;0), 1, 0)</f>
        <v>0</v>
      </c>
      <c r="R99" s="604">
        <f>IF(OR($CU99&gt;0, $CW99&gt;0), 1, 0)</f>
        <v>0</v>
      </c>
      <c r="S99" s="604">
        <f>IF(OR($CX99&gt;0, $CZ99&gt;0), 1, 0)</f>
        <v>0</v>
      </c>
      <c r="T99" s="604">
        <f>IF(OR($DA99&gt;0, $DC99&gt;0), 1, 0)</f>
        <v>0</v>
      </c>
      <c r="U99" s="603">
        <f>IF(OR($AI99&gt;0,$AM99&gt;0,$AS99&gt;0), 1, 0)</f>
        <v>0</v>
      </c>
      <c r="V99" s="602">
        <f>[1]BDD!A89</f>
        <v>1320</v>
      </c>
      <c r="W99" s="601" t="str">
        <f>[1]BDD!B89</f>
        <v>Dattes Deglet dénoyautées BIO</v>
      </c>
      <c r="X99" s="600" t="str">
        <f>IF([1]BDD!F89=0, "", [1]BDD!F89)</f>
        <v>❤️</v>
      </c>
      <c r="Y99" s="542">
        <f>ROUND([1]BDD!G89+FDP_CMD_KG, 2)</f>
        <v>11.8</v>
      </c>
      <c r="Z99" s="542">
        <f>ROUND([1]BDD!G89+FDP_FACT_KG, 2)</f>
        <v>11.8</v>
      </c>
      <c r="AA99" s="543" t="str">
        <f>[1]BDD!H89</f>
        <v>kg</v>
      </c>
      <c r="AB99" s="544">
        <f>IF(NOT(ISBLANK([1]BDD!I89)), ROUND(SUM(([1]BDD!G89*reduc1),FDP_CMD_KG), 2), "")</f>
        <v>10.71</v>
      </c>
      <c r="AC99" s="544" t="str">
        <f>IF(NOT(ISBLANK([1]BDD!J89)), ROUND(SUM(([1]BDD!G89*reduc2),FDP_CMD_KG), 2), "")</f>
        <v/>
      </c>
      <c r="AD99" s="544" t="str">
        <f>IF(NOT(ISBLANK([1]BDD!K89)), ROUND(SUM(([1]BDD!G89*reduc3),FDP_CMD_KG), 2), "")</f>
        <v/>
      </c>
      <c r="AE99" s="544">
        <f>IF(NOT(ISBLANK([1]BDD!I89)), ROUND(SUM(([1]BDD!G89*reduc1),FDP_FACT_KG), 2), "")</f>
        <v>10.7</v>
      </c>
      <c r="AF99" s="544" t="str">
        <f>IF(NOT(ISBLANK([1]BDD!J89)), ROUND(SUM(([1]BDD!G89*reduc2),FDP_FACT_KG), 2), "")</f>
        <v/>
      </c>
      <c r="AG99" s="544" t="str">
        <f>IF(NOT(ISBLANK([1]BDD!K89)), ROUND(SUM(([1]BDD!G89*reduc3),FDP_FACT_KG), 2), "")</f>
        <v/>
      </c>
      <c r="AH99" s="599" t="str">
        <f>[1]BDD!C89</f>
        <v>Tunisie</v>
      </c>
      <c r="AI99" s="598">
        <f>SUM(AV99,AY99,BB99,BE99,BH99,BK99,BN99,BQ99,BT99,BW99,BZ99,CC99,CF99,CI99,CL99,CO99,CR99,CU99,CX99,DA99)</f>
        <v>0</v>
      </c>
      <c r="AJ99" s="545">
        <f>_xlfn.IFS($AD99&lt;&gt;"", $AD99,    $AC99&lt;&gt;"", $AC99,    $AB99&lt;&gt;"", $AB99,    TRUE, $Y99)</f>
        <v>10.71</v>
      </c>
      <c r="AK99" s="592">
        <f>$AI99*$AJ99</f>
        <v>0</v>
      </c>
      <c r="AL99" s="594"/>
      <c r="AM99" s="597"/>
      <c r="AN99" s="545">
        <f>_xlfn.IFS(AND(AM99&gt;=60,$AG99&lt;&gt;""), $AG99,    AND(AM99&gt;=30,$AF99&lt;&gt;""), $AF99,    AND(AM99&gt;=10,$AE99&lt;&gt;""), $AE99,    TRUE, $Z99)</f>
        <v>11.8</v>
      </c>
      <c r="AO99" s="596">
        <f>AM99*AN99</f>
        <v>0</v>
      </c>
      <c r="AP99" s="595"/>
      <c r="AQ99" s="595"/>
      <c r="AR99" s="594"/>
      <c r="AS99" s="593">
        <f>SUM(AW99,AZ99,BC99,BF99,BI99,BL99,BO99,BR99,BU99,BX99,CA99,CD99,CG99,CJ99,CM99,CP99,CS99,CV99,CY99,DB99)</f>
        <v>0</v>
      </c>
      <c r="AT99" s="545">
        <f>_xlfn.IFS(AND(AS99&gt;=60,$AG99&lt;&gt;""), $AG99,    AND(AS99&gt;=30,$AF99&lt;&gt;""), $AF99,    AND(AS99&gt;=10,$AE99&lt;&gt;""), $AE99,    TRUE, $Z99)</f>
        <v>11.8</v>
      </c>
      <c r="AU99" s="592">
        <f>$AS99*$AT99</f>
        <v>0</v>
      </c>
      <c r="AV99" s="591">
        <f>[1]COMMANDE!O97</f>
        <v>0</v>
      </c>
      <c r="AW99" s="586" t="str">
        <f>_xlfn.IFS(AND($AI99=$AM99,$AI99&gt;0,$AM99&gt;0,AV99&gt;0), AV99,     AND(NOT($AI99=$AM99),$AI99&gt;0,$AM99&gt;0,AV99&gt;0), ($AM99*AV99)/$AI99,     AND($AI99=0,$AM99&gt;0,$AQ99&gt;0), IF(INDEX(AV$12:AV$263,MATCH($AQ99,$AP$12:$AP$263,0))&gt;0,($AM99*INDEX(AV$12:AV$263,MATCH($AQ99,$AP$12:$AP$263,0)))/INDEX($AI$12:$AI$263,MATCH($AQ99,$AP$12:$AP$263,0)), "-"),     TRUE, "0")</f>
        <v>0</v>
      </c>
      <c r="AX99" s="588">
        <f>IF(AW$9&gt;0, IF(OR(AW99="",AW99="-"), 0, AW99*$AT99), AV99*$AJ99)</f>
        <v>0</v>
      </c>
      <c r="AY99" s="587">
        <f>[1]COMMANDE!Q97</f>
        <v>0</v>
      </c>
      <c r="AZ99" s="586" t="str">
        <f>_xlfn.IFS(AND($AI99=$AM99,$AI99&gt;0,$AM99&gt;0,AY99&gt;0), AY99,     AND(NOT($AI99=$AM99),$AI99&gt;0,$AM99&gt;0,AY99&gt;0), ($AM99*AY99)/$AI99,     AND($AI99=0,$AM99&gt;0,$AQ99&gt;0), IF(INDEX(AY$12:AY$263,MATCH($AQ99,$AP$12:$AP$263,0))&gt;0,($AM99*INDEX(AY$12:AY$263,MATCH($AQ99,$AP$12:$AP$263,0)))/INDEX($AI$12:$AI$263,MATCH($AQ99,$AP$12:$AP$263,0)), "-"),     TRUE, "0")</f>
        <v>0</v>
      </c>
      <c r="BA99" s="607">
        <f>IF(AZ$9&gt;0, IF(OR(AZ99="",AZ99="-"), 0, AZ99*$AT99), AY99*$AJ99)</f>
        <v>0</v>
      </c>
      <c r="BB99" s="589">
        <f>[1]COMMANDE!S97</f>
        <v>0</v>
      </c>
      <c r="BC99" s="586" t="str">
        <f>_xlfn.IFS(AND($AI99=$AM99,$AI99&gt;0,$AM99&gt;0,BB99&gt;0), BB99,     AND(NOT($AI99=$AM99),$AI99&gt;0,$AM99&gt;0,BB99&gt;0), ($AM99*BB99)/$AI99,     AND($AI99=0,$AM99&gt;0,$AQ99&gt;0), IF(INDEX(BB$12:BB$263,MATCH($AQ99,$AP$12:$AP$263,0))&gt;0,($AM99*INDEX(BB$12:BB$263,MATCH($AQ99,$AP$12:$AP$263,0)))/INDEX($AI$12:$AI$263,MATCH($AQ99,$AP$12:$AP$263,0)), "-"),     TRUE, "0")</f>
        <v>0</v>
      </c>
      <c r="BD99" s="588">
        <f>IF(BC$9&gt;0, IF(OR(BC99="",BC99="-"), 0, BC99*$AT99), BB99*$AJ99)</f>
        <v>0</v>
      </c>
      <c r="BE99" s="587">
        <f>[1]COMMANDE!U97</f>
        <v>0</v>
      </c>
      <c r="BF99" s="586" t="str">
        <f>_xlfn.IFS(AND($AI99=$AM99,$AI99&gt;0,$AM99&gt;0,BE99&gt;0), BE99,     AND(NOT($AI99=$AM99),$AI99&gt;0,$AM99&gt;0,BE99&gt;0), ($AM99*BE99)/$AI99,     AND($AI99=0,$AM99&gt;0,$AQ99&gt;0), IF(INDEX(BE$12:BE$263,MATCH($AQ99,$AP$12:$AP$263,0))&gt;0,($AM99*INDEX(BE$12:BE$263,MATCH($AQ99,$AP$12:$AP$263,0)))/INDEX($AI$12:$AI$263,MATCH($AQ99,$AP$12:$AP$263,0)), "-"),     TRUE, "0")</f>
        <v>0</v>
      </c>
      <c r="BG99" s="607">
        <f>IF(BF$9&gt;0, IF(OR(BF99="",BF99="-"), 0, BF99*$AT99), BE99*$AJ99)</f>
        <v>0</v>
      </c>
      <c r="BH99" s="589">
        <f>[1]COMMANDE!W97</f>
        <v>0</v>
      </c>
      <c r="BI99" s="586" t="str">
        <f>_xlfn.IFS(AND($AI99=$AM99,$AI99&gt;0,$AM99&gt;0,BH99&gt;0), BH99,     AND(NOT($AI99=$AM99),$AI99&gt;0,$AM99&gt;0,BH99&gt;0), ($AM99*BH99)/$AI99,     AND($AI99=0,$AM99&gt;0,$AQ99&gt;0), IF(INDEX(BH$12:BH$263,MATCH($AQ99,$AP$12:$AP$263,0))&gt;0,($AM99*INDEX(BH$12:BH$263,MATCH($AQ99,$AP$12:$AP$263,0)))/INDEX($AI$12:$AI$263,MATCH($AQ99,$AP$12:$AP$263,0)), "-"),     TRUE, "0")</f>
        <v>0</v>
      </c>
      <c r="BJ99" s="588">
        <f>IF(BI$9&gt;0, IF(OR(BI99="",BI99="-"), 0, BI99*$AT99), BH99*$AJ99)</f>
        <v>0</v>
      </c>
      <c r="BK99" s="587">
        <f>[1]COMMANDE!Y97</f>
        <v>0</v>
      </c>
      <c r="BL99" s="586" t="str">
        <f>_xlfn.IFS(AND($AI99=$AM99,$AI99&gt;0,$AM99&gt;0,BK99&gt;0), BK99,     AND(NOT($AI99=$AM99),$AI99&gt;0,$AM99&gt;0,BK99&gt;0), ($AM99*BK99)/$AI99,     AND($AI99=0,$AM99&gt;0,$AQ99&gt;0), IF(INDEX(BK$12:BK$263,MATCH($AQ99,$AP$12:$AP$263,0))&gt;0,($AM99*INDEX(BK$12:BK$263,MATCH($AQ99,$AP$12:$AP$263,0)))/INDEX($AI$12:$AI$263,MATCH($AQ99,$AP$12:$AP$263,0)), "-"),     TRUE, "0")</f>
        <v>0</v>
      </c>
      <c r="BM99" s="607">
        <f>IF(BL$9&gt;0, IF(OR(BL99="",BL99="-"), 0, BL99*$AT99), BK99*$AJ99)</f>
        <v>0</v>
      </c>
      <c r="BN99" s="589">
        <f>[1]COMMANDE!AA97</f>
        <v>0</v>
      </c>
      <c r="BO99" s="586" t="str">
        <f>_xlfn.IFS(AND($AI99=$AM99,$AI99&gt;0,$AM99&gt;0,BN99&gt;0), BN99,     AND(NOT($AI99=$AM99),$AI99&gt;0,$AM99&gt;0,BN99&gt;0), ($AM99*BN99)/$AI99,     AND($AI99=0,$AM99&gt;0,$AQ99&gt;0), IF(INDEX(BN$12:BN$263,MATCH($AQ99,$AP$12:$AP$263,0))&gt;0,($AM99*INDEX(BN$12:BN$263,MATCH($AQ99,$AP$12:$AP$263,0)))/INDEX($AI$12:$AI$263,MATCH($AQ99,$AP$12:$AP$263,0)), "-"),     TRUE, "0")</f>
        <v>0</v>
      </c>
      <c r="BP99" s="588">
        <f>IF(BO$9&gt;0, IF(OR(BO99="",BO99="-"), 0, BO99*$AT99), BN99*$AJ99)</f>
        <v>0</v>
      </c>
      <c r="BQ99" s="587">
        <f>[1]COMMANDE!AC97</f>
        <v>0</v>
      </c>
      <c r="BR99" s="586" t="str">
        <f>_xlfn.IFS(AND($AI99=$AM99,$AI99&gt;0,$AM99&gt;0,BQ99&gt;0), BQ99,     AND(NOT($AI99=$AM99),$AI99&gt;0,$AM99&gt;0,BQ99&gt;0), ($AM99*BQ99)/$AI99,     AND($AI99=0,$AM99&gt;0,$AQ99&gt;0), IF(INDEX(BQ$12:BQ$263,MATCH($AQ99,$AP$12:$AP$263,0))&gt;0,($AM99*INDEX(BQ$12:BQ$263,MATCH($AQ99,$AP$12:$AP$263,0)))/INDEX($AI$12:$AI$263,MATCH($AQ99,$AP$12:$AP$263,0)), "-"),     TRUE, "0")</f>
        <v>0</v>
      </c>
      <c r="BS99" s="607">
        <f>IF(BR$9&gt;0, IF(OR(BR99="",BR99="-"), 0, BR99*$AT99), BQ99*$AJ99)</f>
        <v>0</v>
      </c>
      <c r="BT99" s="589">
        <f>[1]COMMANDE!AE97</f>
        <v>0</v>
      </c>
      <c r="BU99" s="586" t="str">
        <f>_xlfn.IFS(AND($AI99=$AM99,$AI99&gt;0,$AM99&gt;0,BT99&gt;0), BT99,     AND(NOT($AI99=$AM99),$AI99&gt;0,$AM99&gt;0,BT99&gt;0), ($AM99*BT99)/$AI99,     AND($AI99=0,$AM99&gt;0,$AQ99&gt;0), IF(INDEX(BT$12:BT$263,MATCH($AQ99,$AP$12:$AP$263,0))&gt;0,($AM99*INDEX(BT$12:BT$263,MATCH($AQ99,$AP$12:$AP$263,0)))/INDEX($AI$12:$AI$263,MATCH($AQ99,$AP$12:$AP$263,0)), "-"),     TRUE, "0")</f>
        <v>0</v>
      </c>
      <c r="BV99" s="588">
        <f>IF(BU$9&gt;0, IF(OR(BU99="",BU99="-"), 0, BU99*$AT99), BT99*$AJ99)</f>
        <v>0</v>
      </c>
      <c r="BW99" s="587">
        <f>[1]COMMANDE!AG97</f>
        <v>0</v>
      </c>
      <c r="BX99" s="586" t="str">
        <f>_xlfn.IFS(AND($AI99=$AM99,$AI99&gt;0,$AM99&gt;0,BW99&gt;0), BW99,     AND(NOT($AI99=$AM99),$AI99&gt;0,$AM99&gt;0,BW99&gt;0), ($AM99*BW99)/$AI99,     AND($AI99=0,$AM99&gt;0,$AQ99&gt;0), IF(INDEX(BW$12:BW$263,MATCH($AQ99,$AP$12:$AP$263,0))&gt;0,($AM99*INDEX(BW$12:BW$263,MATCH($AQ99,$AP$12:$AP$263,0)))/INDEX($AI$12:$AI$263,MATCH($AQ99,$AP$12:$AP$263,0)), "-"),     TRUE, "0")</f>
        <v>0</v>
      </c>
      <c r="BY99" s="607">
        <f>IF(BX$9&gt;0, IF(OR(BX99="",BX99="-"), 0, BX99*$AT99), BW99*$AJ99)</f>
        <v>0</v>
      </c>
      <c r="BZ99" s="589">
        <f>[1]COMMANDE!AI97</f>
        <v>0</v>
      </c>
      <c r="CA99" s="586" t="str">
        <f>_xlfn.IFS(AND($AI99=$AM99,$AI99&gt;0,$AM99&gt;0,BZ99&gt;0), BZ99,     AND(NOT($AI99=$AM99),$AI99&gt;0,$AM99&gt;0,BZ99&gt;0), ($AM99*BZ99)/$AI99,     AND($AI99=0,$AM99&gt;0,$AQ99&gt;0), IF(INDEX(BZ$12:BZ$263,MATCH($AQ99,$AP$12:$AP$263,0))&gt;0,($AM99*INDEX(BZ$12:BZ$263,MATCH($AQ99,$AP$12:$AP$263,0)))/INDEX($AI$12:$AI$263,MATCH($AQ99,$AP$12:$AP$263,0)), "-"),     TRUE, "0")</f>
        <v>0</v>
      </c>
      <c r="CB99" s="588">
        <f>IF(CA$9&gt;0, IF(OR(CA99="",CA99="-"), 0, CA99*$AT99), BZ99*$AJ99)</f>
        <v>0</v>
      </c>
      <c r="CC99" s="587">
        <f>[1]COMMANDE!AK97</f>
        <v>0</v>
      </c>
      <c r="CD99" s="586" t="str">
        <f>_xlfn.IFS(AND($AI99=$AM99,$AI99&gt;0,$AM99&gt;0,CC99&gt;0), CC99,     AND(NOT($AI99=$AM99),$AI99&gt;0,$AM99&gt;0,CC99&gt;0), ($AM99*CC99)/$AI99,     AND($AI99=0,$AM99&gt;0,$AQ99&gt;0), IF(INDEX(CC$12:CC$263,MATCH($AQ99,$AP$12:$AP$263,0))&gt;0,($AM99*INDEX(CC$12:CC$263,MATCH($AQ99,$AP$12:$AP$263,0)))/INDEX($AI$12:$AI$263,MATCH($AQ99,$AP$12:$AP$263,0)), "-"),     TRUE, "0")</f>
        <v>0</v>
      </c>
      <c r="CE99" s="607">
        <f>IF(CD$9&gt;0, IF(OR(CD99="",CD99="-"), 0, CD99*$AT99), CC99*$AJ99)</f>
        <v>0</v>
      </c>
      <c r="CF99" s="589">
        <f>[1]COMMANDE!AM97</f>
        <v>0</v>
      </c>
      <c r="CG99" s="586" t="str">
        <f>_xlfn.IFS(AND($AI99=$AM99,$AI99&gt;0,$AM99&gt;0,CF99&gt;0), CF99,     AND(NOT($AI99=$AM99),$AI99&gt;0,$AM99&gt;0,CF99&gt;0), ($AM99*CF99)/$AI99,     AND($AI99=0,$AM99&gt;0,$AQ99&gt;0), IF(INDEX(CF$12:CF$263,MATCH($AQ99,$AP$12:$AP$263,0))&gt;0,($AM99*INDEX(CF$12:CF$263,MATCH($AQ99,$AP$12:$AP$263,0)))/INDEX($AI$12:$AI$263,MATCH($AQ99,$AP$12:$AP$263,0)), "-"),     TRUE, "0")</f>
        <v>0</v>
      </c>
      <c r="CH99" s="588">
        <f>IF(CG$9&gt;0, IF(OR(CG99="",CG99="-"), 0, CG99*$AT99), CF99*$AJ99)</f>
        <v>0</v>
      </c>
      <c r="CI99" s="587">
        <f>[1]COMMANDE!AO97</f>
        <v>0</v>
      </c>
      <c r="CJ99" s="586" t="str">
        <f>_xlfn.IFS(AND($AI99=$AM99,$AI99&gt;0,$AM99&gt;0,CI99&gt;0), CI99,     AND(NOT($AI99=$AM99),$AI99&gt;0,$AM99&gt;0,CI99&gt;0), ($AM99*CI99)/$AI99,     AND($AI99=0,$AM99&gt;0,$AQ99&gt;0), IF(INDEX(CI$12:CI$263,MATCH($AQ99,$AP$12:$AP$263,0))&gt;0,($AM99*INDEX(CI$12:CI$263,MATCH($AQ99,$AP$12:$AP$263,0)))/INDEX($AI$12:$AI$263,MATCH($AQ99,$AP$12:$AP$263,0)), "-"),     TRUE, "0")</f>
        <v>0</v>
      </c>
      <c r="CK99" s="607">
        <f>IF(CJ$9&gt;0, IF(OR(CJ99="",CJ99="-"), 0, CJ99*$AT99), CI99*$AJ99)</f>
        <v>0</v>
      </c>
      <c r="CL99" s="589">
        <f>[1]COMMANDE!AQ97</f>
        <v>0</v>
      </c>
      <c r="CM99" s="586" t="str">
        <f>_xlfn.IFS(AND($AI99=$AM99,$AI99&gt;0,$AM99&gt;0,CL99&gt;0), CL99,     AND(NOT($AI99=$AM99),$AI99&gt;0,$AM99&gt;0,CL99&gt;0), ($AM99*CL99)/$AI99,     AND($AI99=0,$AM99&gt;0,$AQ99&gt;0), IF(INDEX(CL$12:CL$263,MATCH($AQ99,$AP$12:$AP$263,0))&gt;0,($AM99*INDEX(CL$12:CL$263,MATCH($AQ99,$AP$12:$AP$263,0)))/INDEX($AI$12:$AI$263,MATCH($AQ99,$AP$12:$AP$263,0)), "-"),     TRUE, "0")</f>
        <v>0</v>
      </c>
      <c r="CN99" s="588">
        <f>IF(CM$9&gt;0, IF(OR(CM99="",CM99="-"), 0, CM99*$AT99), CL99*$AJ99)</f>
        <v>0</v>
      </c>
      <c r="CO99" s="587">
        <f>[1]COMMANDE!AS97</f>
        <v>0</v>
      </c>
      <c r="CP99" s="586" t="str">
        <f>_xlfn.IFS(AND($AI99=$AM99,$AI99&gt;0,$AM99&gt;0,CO99&gt;0), CO99,     AND(NOT($AI99=$AM99),$AI99&gt;0,$AM99&gt;0,CO99&gt;0), ($AM99*CO99)/$AI99,     AND($AI99=0,$AM99&gt;0,$AQ99&gt;0), IF(INDEX(CO$12:CO$263,MATCH($AQ99,$AP$12:$AP$263,0))&gt;0,($AM99*INDEX(CO$12:CO$263,MATCH($AQ99,$AP$12:$AP$263,0)))/INDEX($AI$12:$AI$263,MATCH($AQ99,$AP$12:$AP$263,0)), "-"),     TRUE, "0")</f>
        <v>0</v>
      </c>
      <c r="CQ99" s="607">
        <f>IF(CP$9&gt;0, IF(OR(CP99="",CP99="-"), 0, CP99*$AT99), CO99*$AJ99)</f>
        <v>0</v>
      </c>
      <c r="CR99" s="589">
        <f>[1]COMMANDE!AU97</f>
        <v>0</v>
      </c>
      <c r="CS99" s="586" t="str">
        <f>_xlfn.IFS(AND($AI99=$AM99,$AI99&gt;0,$AM99&gt;0,CR99&gt;0), CR99,     AND(NOT($AI99=$AM99),$AI99&gt;0,$AM99&gt;0,CR99&gt;0), ($AM99*CR99)/$AI99,     AND($AI99=0,$AM99&gt;0,$AQ99&gt;0), IF(INDEX(CR$12:CR$263,MATCH($AQ99,$AP$12:$AP$263,0))&gt;0,($AM99*INDEX(CR$12:CR$263,MATCH($AQ99,$AP$12:$AP$263,0)))/INDEX($AI$12:$AI$263,MATCH($AQ99,$AP$12:$AP$263,0)), "-"),     TRUE, "0")</f>
        <v>0</v>
      </c>
      <c r="CT99" s="588">
        <f>IF(CS$9&gt;0, IF(OR(CS99="",CS99="-"), 0, CS99*$AT99), CR99*$AJ99)</f>
        <v>0</v>
      </c>
      <c r="CU99" s="587">
        <f>[1]COMMANDE!AW97</f>
        <v>0</v>
      </c>
      <c r="CV99" s="586" t="str">
        <f>_xlfn.IFS(AND($AI99=$AM99,$AI99&gt;0,$AM99&gt;0,CU99&gt;0), CU99,     AND(NOT($AI99=$AM99),$AI99&gt;0,$AM99&gt;0,CU99&gt;0), ($AM99*CU99)/$AI99,     AND($AI99=0,$AM99&gt;0,$AQ99&gt;0), IF(INDEX(CU$12:CU$263,MATCH($AQ99,$AP$12:$AP$263,0))&gt;0,($AM99*INDEX(CU$12:CU$263,MATCH($AQ99,$AP$12:$AP$263,0)))/INDEX($AI$12:$AI$263,MATCH($AQ99,$AP$12:$AP$263,0)), "-"),     TRUE, "0")</f>
        <v>0</v>
      </c>
      <c r="CW99" s="607">
        <f>IF(CV$9&gt;0, IF(OR(CV99="",CV99="-"), 0, CV99*$AT99), CU99*$AJ99)</f>
        <v>0</v>
      </c>
      <c r="CX99" s="589">
        <f>[1]COMMANDE!AY97</f>
        <v>0</v>
      </c>
      <c r="CY99" s="586" t="str">
        <f>_xlfn.IFS(AND($AI99=$AM99,$AI99&gt;0,$AM99&gt;0,CX99&gt;0), CX99,     AND(NOT($AI99=$AM99),$AI99&gt;0,$AM99&gt;0,CX99&gt;0), ($AM99*CX99)/$AI99,     AND($AI99=0,$AM99&gt;0,$AQ99&gt;0), IF(INDEX(CX$12:CX$263,MATCH($AQ99,$AP$12:$AP$263,0))&gt;0,($AM99*INDEX(CX$12:CX$263,MATCH($AQ99,$AP$12:$AP$263,0)))/INDEX($AI$12:$AI$263,MATCH($AQ99,$AP$12:$AP$263,0)), "-"),     TRUE, "0")</f>
        <v>0</v>
      </c>
      <c r="CZ99" s="588">
        <f>IF(CY$9&gt;0, IF(OR(CY99="",CY99="-"), 0, CY99*$AT99), CX99*$AJ99)</f>
        <v>0</v>
      </c>
      <c r="DA99" s="587">
        <f>[1]COMMANDE!BA97</f>
        <v>0</v>
      </c>
      <c r="DB99" s="586" t="str">
        <f>_xlfn.IFS(AND($AI99=$AM99,$AI99&gt;0,$AM99&gt;0,DA99&gt;0), DA99,     AND(NOT($AI99=$AM99),$AI99&gt;0,$AM99&gt;0,DA99&gt;0), ($AM99*DA99)/$AI99,     AND($AI99=0,$AM99&gt;0,$AQ99&gt;0), IF(INDEX(DA$12:DA$263,MATCH($AQ99,$AP$12:$AP$263,0))&gt;0,($AM99*INDEX(DA$12:DA$263,MATCH($AQ99,$AP$12:$AP$263,0)))/INDEX($AI$12:$AI$263,MATCH($AQ99,$AP$12:$AP$263,0)), "-"),     TRUE, "0")</f>
        <v>0</v>
      </c>
      <c r="DC99" s="606">
        <f>IF(DB$9&gt;0, IF(OR(DB99="",DB99="-"), 0, DB99*$AT99), DA99*$AJ99)</f>
        <v>0</v>
      </c>
      <c r="DD99" s="584"/>
      <c r="DE99" s="583"/>
    </row>
    <row r="100" spans="1:109" ht="39.950000000000003" hidden="1" customHeight="1">
      <c r="A100" s="604">
        <f>IF(OR($AV100&gt;0, $AX100&gt;0), 1, 0)</f>
        <v>0</v>
      </c>
      <c r="B100" s="604">
        <f>IF(OR($AY100&gt;0, $BA100&gt;0), 1, 0)</f>
        <v>0</v>
      </c>
      <c r="C100" s="604">
        <f>IF(OR($BB100&gt;0, $BD100&gt;0), 1, 0)</f>
        <v>0</v>
      </c>
      <c r="D100" s="604">
        <f>IF(OR($BE100&gt;0, $BG100&gt;0), 1, 0)</f>
        <v>0</v>
      </c>
      <c r="E100" s="604">
        <f>IF(OR($BH100&gt;0, $BJ100&gt;0), 1, 0)</f>
        <v>0</v>
      </c>
      <c r="F100" s="604">
        <f>IF(OR($BK100&gt;0, $BM100&gt;0), 1, 0)</f>
        <v>0</v>
      </c>
      <c r="G100" s="604">
        <f>IF(OR($BN100&gt;0, $BP100&gt;0), 1, 0)</f>
        <v>0</v>
      </c>
      <c r="H100" s="604">
        <f>IF(OR($BQ100&gt;0, $BS100&gt;0), 1, 0)</f>
        <v>0</v>
      </c>
      <c r="I100" s="604">
        <f>IF(OR($BT100&gt;0, $BV100&gt;0), 1, 0)</f>
        <v>0</v>
      </c>
      <c r="J100" s="604">
        <f>IF(OR($BW100&gt;0, $BY100&gt;0), 1, 0)</f>
        <v>0</v>
      </c>
      <c r="K100" s="604">
        <f>IF(OR($BZ100&gt;0, $CB100&gt;0), 1, 0)</f>
        <v>0</v>
      </c>
      <c r="L100" s="604">
        <f>IF(OR($CC100&gt;0, $CE100&gt;0), 1, 0)</f>
        <v>0</v>
      </c>
      <c r="M100" s="604">
        <f>IF(OR($CF100&gt;0, $CH100&gt;0), 1, 0)</f>
        <v>0</v>
      </c>
      <c r="N100" s="604">
        <f>IF(OR($CI100&gt;0, $CK100&gt;0), 1, 0)</f>
        <v>0</v>
      </c>
      <c r="O100" s="604">
        <f>IF(OR($CL100&gt;0, $CN100&gt;0), 1, 0)</f>
        <v>0</v>
      </c>
      <c r="P100" s="604">
        <f>IF(OR($CO100&gt;0, $CQ100&gt;0), 1, 0)</f>
        <v>0</v>
      </c>
      <c r="Q100" s="604">
        <f>IF(OR($CR100&gt;0, $CT100&gt;0), 1, 0)</f>
        <v>0</v>
      </c>
      <c r="R100" s="604">
        <f>IF(OR($CU100&gt;0, $CW100&gt;0), 1, 0)</f>
        <v>0</v>
      </c>
      <c r="S100" s="604">
        <f>IF(OR($CX100&gt;0, $CZ100&gt;0), 1, 0)</f>
        <v>0</v>
      </c>
      <c r="T100" s="604">
        <f>IF(OR($DA100&gt;0, $DC100&gt;0), 1, 0)</f>
        <v>0</v>
      </c>
      <c r="U100" s="603">
        <f>IF(OR($AI100&gt;0,$AM100&gt;0,$AS100&gt;0), 1, 0)</f>
        <v>0</v>
      </c>
      <c r="V100" s="602">
        <f>[1]BDD!A90</f>
        <v>1485</v>
      </c>
      <c r="W100" s="601" t="str">
        <f>[1]BDD!B90</f>
        <v>Dattes Deglet Nour sans rame BIO</v>
      </c>
      <c r="X100" s="600" t="str">
        <f>IF([1]BDD!F90=0, "", [1]BDD!F90)</f>
        <v/>
      </c>
      <c r="Y100" s="542">
        <f>ROUND([1]BDD!G90+FDP_CMD_KG, 2)</f>
        <v>10.43</v>
      </c>
      <c r="Z100" s="542">
        <f>ROUND([1]BDD!G90+FDP_FACT_KG, 2)</f>
        <v>10.43</v>
      </c>
      <c r="AA100" s="543" t="str">
        <f>[1]BDD!H90</f>
        <v>kg</v>
      </c>
      <c r="AB100" s="544">
        <f>IF(NOT(ISBLANK([1]BDD!I90)), ROUND(SUM(([1]BDD!G90*reduc1),FDP_CMD_KG), 2), "")</f>
        <v>9.48</v>
      </c>
      <c r="AC100" s="544">
        <f>IF(NOT(ISBLANK([1]BDD!J90)), ROUND(SUM(([1]BDD!G90*reduc2),FDP_CMD_KG), 2), "")</f>
        <v>8.52</v>
      </c>
      <c r="AD100" s="544" t="str">
        <f>IF(NOT(ISBLANK([1]BDD!K90)), ROUND(SUM(([1]BDD!G90*reduc3),FDP_CMD_KG), 2), "")</f>
        <v/>
      </c>
      <c r="AE100" s="544">
        <f>IF(NOT(ISBLANK([1]BDD!I90)), ROUND(SUM(([1]BDD!G90*reduc1),FDP_FACT_KG), 2), "")</f>
        <v>9.4700000000000006</v>
      </c>
      <c r="AF100" s="544">
        <f>IF(NOT(ISBLANK([1]BDD!J90)), ROUND(SUM(([1]BDD!G90*reduc2),FDP_FACT_KG), 2), "")</f>
        <v>8.51</v>
      </c>
      <c r="AG100" s="544" t="str">
        <f>IF(NOT(ISBLANK([1]BDD!K90)), ROUND(SUM(([1]BDD!G90*reduc3),FDP_FACT_KG), 2), "")</f>
        <v/>
      </c>
      <c r="AH100" s="599" t="str">
        <f>[1]BDD!C90</f>
        <v>Tunisie</v>
      </c>
      <c r="AI100" s="598">
        <f>SUM(AV100,AY100,BB100,BE100,BH100,BK100,BN100,BQ100,BT100,BW100,BZ100,CC100,CF100,CI100,CL100,CO100,CR100,CU100,CX100,DA100)</f>
        <v>0</v>
      </c>
      <c r="AJ100" s="545">
        <f>_xlfn.IFS($AD100&lt;&gt;"", $AD100,    $AC100&lt;&gt;"", $AC100,    $AB100&lt;&gt;"", $AB100,    TRUE, $Y100)</f>
        <v>8.52</v>
      </c>
      <c r="AK100" s="592">
        <f>$AI100*$AJ100</f>
        <v>0</v>
      </c>
      <c r="AL100" s="594"/>
      <c r="AM100" s="597"/>
      <c r="AN100" s="545">
        <f>_xlfn.IFS(AND(AM100&gt;=60,$AG100&lt;&gt;""), $AG100,    AND(AM100&gt;=30,$AF100&lt;&gt;""), $AF100,    AND(AM100&gt;=10,$AE100&lt;&gt;""), $AE100,    TRUE, $Z100)</f>
        <v>10.43</v>
      </c>
      <c r="AO100" s="596">
        <f>AM100*AN100</f>
        <v>0</v>
      </c>
      <c r="AP100" s="595"/>
      <c r="AQ100" s="595"/>
      <c r="AR100" s="594"/>
      <c r="AS100" s="593">
        <f>SUM(AW100,AZ100,BC100,BF100,BI100,BL100,BO100,BR100,BU100,BX100,CA100,CD100,CG100,CJ100,CM100,CP100,CS100,CV100,CY100,DB100)</f>
        <v>0</v>
      </c>
      <c r="AT100" s="545">
        <f>_xlfn.IFS(AND(AS100&gt;=60,$AG100&lt;&gt;""), $AG100,    AND(AS100&gt;=30,$AF100&lt;&gt;""), $AF100,    AND(AS100&gt;=10,$AE100&lt;&gt;""), $AE100,    TRUE, $Z100)</f>
        <v>10.43</v>
      </c>
      <c r="AU100" s="592">
        <f>$AS100*$AT100</f>
        <v>0</v>
      </c>
      <c r="AV100" s="591">
        <f>[1]COMMANDE!O98</f>
        <v>0</v>
      </c>
      <c r="AW100" s="586" t="str">
        <f>_xlfn.IFS(AND($AI100=$AM100,$AI100&gt;0,$AM100&gt;0,AV100&gt;0), AV100,     AND(NOT($AI100=$AM100),$AI100&gt;0,$AM100&gt;0,AV100&gt;0), ($AM100*AV100)/$AI100,     AND($AI100=0,$AM100&gt;0,$AQ100&gt;0), IF(INDEX(AV$12:AV$263,MATCH($AQ100,$AP$12:$AP$263,0))&gt;0,($AM100*INDEX(AV$12:AV$263,MATCH($AQ100,$AP$12:$AP$263,0)))/INDEX($AI$12:$AI$263,MATCH($AQ100,$AP$12:$AP$263,0)), "-"),     TRUE, "0")</f>
        <v>0</v>
      </c>
      <c r="AX100" s="588">
        <f>IF(AW$9&gt;0, IF(OR(AW100="",AW100="-"), 0, AW100*$AT100), AV100*$AJ100)</f>
        <v>0</v>
      </c>
      <c r="AY100" s="587">
        <f>[1]COMMANDE!Q98</f>
        <v>0</v>
      </c>
      <c r="AZ100" s="586" t="str">
        <f>_xlfn.IFS(AND($AI100=$AM100,$AI100&gt;0,$AM100&gt;0,AY100&gt;0), AY100,     AND(NOT($AI100=$AM100),$AI100&gt;0,$AM100&gt;0,AY100&gt;0), ($AM100*AY100)/$AI100,     AND($AI100=0,$AM100&gt;0,$AQ100&gt;0), IF(INDEX(AY$12:AY$263,MATCH($AQ100,$AP$12:$AP$263,0))&gt;0,($AM100*INDEX(AY$12:AY$263,MATCH($AQ100,$AP$12:$AP$263,0)))/INDEX($AI$12:$AI$263,MATCH($AQ100,$AP$12:$AP$263,0)), "-"),     TRUE, "0")</f>
        <v>0</v>
      </c>
      <c r="BA100" s="607">
        <f>IF(AZ$9&gt;0, IF(OR(AZ100="",AZ100="-"), 0, AZ100*$AT100), AY100*$AJ100)</f>
        <v>0</v>
      </c>
      <c r="BB100" s="589">
        <f>[1]COMMANDE!S98</f>
        <v>0</v>
      </c>
      <c r="BC100" s="586" t="str">
        <f>_xlfn.IFS(AND($AI100=$AM100,$AI100&gt;0,$AM100&gt;0,BB100&gt;0), BB100,     AND(NOT($AI100=$AM100),$AI100&gt;0,$AM100&gt;0,BB100&gt;0), ($AM100*BB100)/$AI100,     AND($AI100=0,$AM100&gt;0,$AQ100&gt;0), IF(INDEX(BB$12:BB$263,MATCH($AQ100,$AP$12:$AP$263,0))&gt;0,($AM100*INDEX(BB$12:BB$263,MATCH($AQ100,$AP$12:$AP$263,0)))/INDEX($AI$12:$AI$263,MATCH($AQ100,$AP$12:$AP$263,0)), "-"),     TRUE, "0")</f>
        <v>0</v>
      </c>
      <c r="BD100" s="588">
        <f>IF(BC$9&gt;0, IF(OR(BC100="",BC100="-"), 0, BC100*$AT100), BB100*$AJ100)</f>
        <v>0</v>
      </c>
      <c r="BE100" s="587">
        <f>[1]COMMANDE!U98</f>
        <v>0</v>
      </c>
      <c r="BF100" s="586" t="str">
        <f>_xlfn.IFS(AND($AI100=$AM100,$AI100&gt;0,$AM100&gt;0,BE100&gt;0), BE100,     AND(NOT($AI100=$AM100),$AI100&gt;0,$AM100&gt;0,BE100&gt;0), ($AM100*BE100)/$AI100,     AND($AI100=0,$AM100&gt;0,$AQ100&gt;0), IF(INDEX(BE$12:BE$263,MATCH($AQ100,$AP$12:$AP$263,0))&gt;0,($AM100*INDEX(BE$12:BE$263,MATCH($AQ100,$AP$12:$AP$263,0)))/INDEX($AI$12:$AI$263,MATCH($AQ100,$AP$12:$AP$263,0)), "-"),     TRUE, "0")</f>
        <v>0</v>
      </c>
      <c r="BG100" s="607">
        <f>IF(BF$9&gt;0, IF(OR(BF100="",BF100="-"), 0, BF100*$AT100), BE100*$AJ100)</f>
        <v>0</v>
      </c>
      <c r="BH100" s="589">
        <f>[1]COMMANDE!W98</f>
        <v>0</v>
      </c>
      <c r="BI100" s="586" t="str">
        <f>_xlfn.IFS(AND($AI100=$AM100,$AI100&gt;0,$AM100&gt;0,BH100&gt;0), BH100,     AND(NOT($AI100=$AM100),$AI100&gt;0,$AM100&gt;0,BH100&gt;0), ($AM100*BH100)/$AI100,     AND($AI100=0,$AM100&gt;0,$AQ100&gt;0), IF(INDEX(BH$12:BH$263,MATCH($AQ100,$AP$12:$AP$263,0))&gt;0,($AM100*INDEX(BH$12:BH$263,MATCH($AQ100,$AP$12:$AP$263,0)))/INDEX($AI$12:$AI$263,MATCH($AQ100,$AP$12:$AP$263,0)), "-"),     TRUE, "0")</f>
        <v>0</v>
      </c>
      <c r="BJ100" s="588">
        <f>IF(BI$9&gt;0, IF(OR(BI100="",BI100="-"), 0, BI100*$AT100), BH100*$AJ100)</f>
        <v>0</v>
      </c>
      <c r="BK100" s="587">
        <f>[1]COMMANDE!Y98</f>
        <v>0</v>
      </c>
      <c r="BL100" s="586" t="str">
        <f>_xlfn.IFS(AND($AI100=$AM100,$AI100&gt;0,$AM100&gt;0,BK100&gt;0), BK100,     AND(NOT($AI100=$AM100),$AI100&gt;0,$AM100&gt;0,BK100&gt;0), ($AM100*BK100)/$AI100,     AND($AI100=0,$AM100&gt;0,$AQ100&gt;0), IF(INDEX(BK$12:BK$263,MATCH($AQ100,$AP$12:$AP$263,0))&gt;0,($AM100*INDEX(BK$12:BK$263,MATCH($AQ100,$AP$12:$AP$263,0)))/INDEX($AI$12:$AI$263,MATCH($AQ100,$AP$12:$AP$263,0)), "-"),     TRUE, "0")</f>
        <v>0</v>
      </c>
      <c r="BM100" s="607">
        <f>IF(BL$9&gt;0, IF(OR(BL100="",BL100="-"), 0, BL100*$AT100), BK100*$AJ100)</f>
        <v>0</v>
      </c>
      <c r="BN100" s="589">
        <f>[1]COMMANDE!AA98</f>
        <v>0</v>
      </c>
      <c r="BO100" s="586" t="str">
        <f>_xlfn.IFS(AND($AI100=$AM100,$AI100&gt;0,$AM100&gt;0,BN100&gt;0), BN100,     AND(NOT($AI100=$AM100),$AI100&gt;0,$AM100&gt;0,BN100&gt;0), ($AM100*BN100)/$AI100,     AND($AI100=0,$AM100&gt;0,$AQ100&gt;0), IF(INDEX(BN$12:BN$263,MATCH($AQ100,$AP$12:$AP$263,0))&gt;0,($AM100*INDEX(BN$12:BN$263,MATCH($AQ100,$AP$12:$AP$263,0)))/INDEX($AI$12:$AI$263,MATCH($AQ100,$AP$12:$AP$263,0)), "-"),     TRUE, "0")</f>
        <v>0</v>
      </c>
      <c r="BP100" s="588">
        <f>IF(BO$9&gt;0, IF(OR(BO100="",BO100="-"), 0, BO100*$AT100), BN100*$AJ100)</f>
        <v>0</v>
      </c>
      <c r="BQ100" s="587">
        <f>[1]COMMANDE!AC98</f>
        <v>0</v>
      </c>
      <c r="BR100" s="586" t="str">
        <f>_xlfn.IFS(AND($AI100=$AM100,$AI100&gt;0,$AM100&gt;0,BQ100&gt;0), BQ100,     AND(NOT($AI100=$AM100),$AI100&gt;0,$AM100&gt;0,BQ100&gt;0), ($AM100*BQ100)/$AI100,     AND($AI100=0,$AM100&gt;0,$AQ100&gt;0), IF(INDEX(BQ$12:BQ$263,MATCH($AQ100,$AP$12:$AP$263,0))&gt;0,($AM100*INDEX(BQ$12:BQ$263,MATCH($AQ100,$AP$12:$AP$263,0)))/INDEX($AI$12:$AI$263,MATCH($AQ100,$AP$12:$AP$263,0)), "-"),     TRUE, "0")</f>
        <v>0</v>
      </c>
      <c r="BS100" s="607">
        <f>IF(BR$9&gt;0, IF(OR(BR100="",BR100="-"), 0, BR100*$AT100), BQ100*$AJ100)</f>
        <v>0</v>
      </c>
      <c r="BT100" s="589">
        <f>[1]COMMANDE!AE98</f>
        <v>0</v>
      </c>
      <c r="BU100" s="586" t="str">
        <f>_xlfn.IFS(AND($AI100=$AM100,$AI100&gt;0,$AM100&gt;0,BT100&gt;0), BT100,     AND(NOT($AI100=$AM100),$AI100&gt;0,$AM100&gt;0,BT100&gt;0), ($AM100*BT100)/$AI100,     AND($AI100=0,$AM100&gt;0,$AQ100&gt;0), IF(INDEX(BT$12:BT$263,MATCH($AQ100,$AP$12:$AP$263,0))&gt;0,($AM100*INDEX(BT$12:BT$263,MATCH($AQ100,$AP$12:$AP$263,0)))/INDEX($AI$12:$AI$263,MATCH($AQ100,$AP$12:$AP$263,0)), "-"),     TRUE, "0")</f>
        <v>0</v>
      </c>
      <c r="BV100" s="588">
        <f>IF(BU$9&gt;0, IF(OR(BU100="",BU100="-"), 0, BU100*$AT100), BT100*$AJ100)</f>
        <v>0</v>
      </c>
      <c r="BW100" s="587">
        <f>[1]COMMANDE!AG98</f>
        <v>0</v>
      </c>
      <c r="BX100" s="586" t="str">
        <f>_xlfn.IFS(AND($AI100=$AM100,$AI100&gt;0,$AM100&gt;0,BW100&gt;0), BW100,     AND(NOT($AI100=$AM100),$AI100&gt;0,$AM100&gt;0,BW100&gt;0), ($AM100*BW100)/$AI100,     AND($AI100=0,$AM100&gt;0,$AQ100&gt;0), IF(INDEX(BW$12:BW$263,MATCH($AQ100,$AP$12:$AP$263,0))&gt;0,($AM100*INDEX(BW$12:BW$263,MATCH($AQ100,$AP$12:$AP$263,0)))/INDEX($AI$12:$AI$263,MATCH($AQ100,$AP$12:$AP$263,0)), "-"),     TRUE, "0")</f>
        <v>0</v>
      </c>
      <c r="BY100" s="607">
        <f>IF(BX$9&gt;0, IF(OR(BX100="",BX100="-"), 0, BX100*$AT100), BW100*$AJ100)</f>
        <v>0</v>
      </c>
      <c r="BZ100" s="589">
        <f>[1]COMMANDE!AI98</f>
        <v>0</v>
      </c>
      <c r="CA100" s="586" t="str">
        <f>_xlfn.IFS(AND($AI100=$AM100,$AI100&gt;0,$AM100&gt;0,BZ100&gt;0), BZ100,     AND(NOT($AI100=$AM100),$AI100&gt;0,$AM100&gt;0,BZ100&gt;0), ($AM100*BZ100)/$AI100,     AND($AI100=0,$AM100&gt;0,$AQ100&gt;0), IF(INDEX(BZ$12:BZ$263,MATCH($AQ100,$AP$12:$AP$263,0))&gt;0,($AM100*INDEX(BZ$12:BZ$263,MATCH($AQ100,$AP$12:$AP$263,0)))/INDEX($AI$12:$AI$263,MATCH($AQ100,$AP$12:$AP$263,0)), "-"),     TRUE, "0")</f>
        <v>0</v>
      </c>
      <c r="CB100" s="588">
        <f>IF(CA$9&gt;0, IF(OR(CA100="",CA100="-"), 0, CA100*$AT100), BZ100*$AJ100)</f>
        <v>0</v>
      </c>
      <c r="CC100" s="587">
        <f>[1]COMMANDE!AK98</f>
        <v>0</v>
      </c>
      <c r="CD100" s="586" t="str">
        <f>_xlfn.IFS(AND($AI100=$AM100,$AI100&gt;0,$AM100&gt;0,CC100&gt;0), CC100,     AND(NOT($AI100=$AM100),$AI100&gt;0,$AM100&gt;0,CC100&gt;0), ($AM100*CC100)/$AI100,     AND($AI100=0,$AM100&gt;0,$AQ100&gt;0), IF(INDEX(CC$12:CC$263,MATCH($AQ100,$AP$12:$AP$263,0))&gt;0,($AM100*INDEX(CC$12:CC$263,MATCH($AQ100,$AP$12:$AP$263,0)))/INDEX($AI$12:$AI$263,MATCH($AQ100,$AP$12:$AP$263,0)), "-"),     TRUE, "0")</f>
        <v>0</v>
      </c>
      <c r="CE100" s="607">
        <f>IF(CD$9&gt;0, IF(OR(CD100="",CD100="-"), 0, CD100*$AT100), CC100*$AJ100)</f>
        <v>0</v>
      </c>
      <c r="CF100" s="589">
        <f>[1]COMMANDE!AM98</f>
        <v>0</v>
      </c>
      <c r="CG100" s="586" t="str">
        <f>_xlfn.IFS(AND($AI100=$AM100,$AI100&gt;0,$AM100&gt;0,CF100&gt;0), CF100,     AND(NOT($AI100=$AM100),$AI100&gt;0,$AM100&gt;0,CF100&gt;0), ($AM100*CF100)/$AI100,     AND($AI100=0,$AM100&gt;0,$AQ100&gt;0), IF(INDEX(CF$12:CF$263,MATCH($AQ100,$AP$12:$AP$263,0))&gt;0,($AM100*INDEX(CF$12:CF$263,MATCH($AQ100,$AP$12:$AP$263,0)))/INDEX($AI$12:$AI$263,MATCH($AQ100,$AP$12:$AP$263,0)), "-"),     TRUE, "0")</f>
        <v>0</v>
      </c>
      <c r="CH100" s="588">
        <f>IF(CG$9&gt;0, IF(OR(CG100="",CG100="-"), 0, CG100*$AT100), CF100*$AJ100)</f>
        <v>0</v>
      </c>
      <c r="CI100" s="587">
        <f>[1]COMMANDE!AO98</f>
        <v>0</v>
      </c>
      <c r="CJ100" s="586" t="str">
        <f>_xlfn.IFS(AND($AI100=$AM100,$AI100&gt;0,$AM100&gt;0,CI100&gt;0), CI100,     AND(NOT($AI100=$AM100),$AI100&gt;0,$AM100&gt;0,CI100&gt;0), ($AM100*CI100)/$AI100,     AND($AI100=0,$AM100&gt;0,$AQ100&gt;0), IF(INDEX(CI$12:CI$263,MATCH($AQ100,$AP$12:$AP$263,0))&gt;0,($AM100*INDEX(CI$12:CI$263,MATCH($AQ100,$AP$12:$AP$263,0)))/INDEX($AI$12:$AI$263,MATCH($AQ100,$AP$12:$AP$263,0)), "-"),     TRUE, "0")</f>
        <v>0</v>
      </c>
      <c r="CK100" s="607">
        <f>IF(CJ$9&gt;0, IF(OR(CJ100="",CJ100="-"), 0, CJ100*$AT100), CI100*$AJ100)</f>
        <v>0</v>
      </c>
      <c r="CL100" s="589">
        <f>[1]COMMANDE!AQ98</f>
        <v>0</v>
      </c>
      <c r="CM100" s="586" t="str">
        <f>_xlfn.IFS(AND($AI100=$AM100,$AI100&gt;0,$AM100&gt;0,CL100&gt;0), CL100,     AND(NOT($AI100=$AM100),$AI100&gt;0,$AM100&gt;0,CL100&gt;0), ($AM100*CL100)/$AI100,     AND($AI100=0,$AM100&gt;0,$AQ100&gt;0), IF(INDEX(CL$12:CL$263,MATCH($AQ100,$AP$12:$AP$263,0))&gt;0,($AM100*INDEX(CL$12:CL$263,MATCH($AQ100,$AP$12:$AP$263,0)))/INDEX($AI$12:$AI$263,MATCH($AQ100,$AP$12:$AP$263,0)), "-"),     TRUE, "0")</f>
        <v>0</v>
      </c>
      <c r="CN100" s="588">
        <f>IF(CM$9&gt;0, IF(OR(CM100="",CM100="-"), 0, CM100*$AT100), CL100*$AJ100)</f>
        <v>0</v>
      </c>
      <c r="CO100" s="587">
        <f>[1]COMMANDE!AS98</f>
        <v>0</v>
      </c>
      <c r="CP100" s="586" t="str">
        <f>_xlfn.IFS(AND($AI100=$AM100,$AI100&gt;0,$AM100&gt;0,CO100&gt;0), CO100,     AND(NOT($AI100=$AM100),$AI100&gt;0,$AM100&gt;0,CO100&gt;0), ($AM100*CO100)/$AI100,     AND($AI100=0,$AM100&gt;0,$AQ100&gt;0), IF(INDEX(CO$12:CO$263,MATCH($AQ100,$AP$12:$AP$263,0))&gt;0,($AM100*INDEX(CO$12:CO$263,MATCH($AQ100,$AP$12:$AP$263,0)))/INDEX($AI$12:$AI$263,MATCH($AQ100,$AP$12:$AP$263,0)), "-"),     TRUE, "0")</f>
        <v>0</v>
      </c>
      <c r="CQ100" s="607">
        <f>IF(CP$9&gt;0, IF(OR(CP100="",CP100="-"), 0, CP100*$AT100), CO100*$AJ100)</f>
        <v>0</v>
      </c>
      <c r="CR100" s="589">
        <f>[1]COMMANDE!AU98</f>
        <v>0</v>
      </c>
      <c r="CS100" s="586" t="str">
        <f>_xlfn.IFS(AND($AI100=$AM100,$AI100&gt;0,$AM100&gt;0,CR100&gt;0), CR100,     AND(NOT($AI100=$AM100),$AI100&gt;0,$AM100&gt;0,CR100&gt;0), ($AM100*CR100)/$AI100,     AND($AI100=0,$AM100&gt;0,$AQ100&gt;0), IF(INDEX(CR$12:CR$263,MATCH($AQ100,$AP$12:$AP$263,0))&gt;0,($AM100*INDEX(CR$12:CR$263,MATCH($AQ100,$AP$12:$AP$263,0)))/INDEX($AI$12:$AI$263,MATCH($AQ100,$AP$12:$AP$263,0)), "-"),     TRUE, "0")</f>
        <v>0</v>
      </c>
      <c r="CT100" s="588">
        <f>IF(CS$9&gt;0, IF(OR(CS100="",CS100="-"), 0, CS100*$AT100), CR100*$AJ100)</f>
        <v>0</v>
      </c>
      <c r="CU100" s="587">
        <f>[1]COMMANDE!AW98</f>
        <v>0</v>
      </c>
      <c r="CV100" s="586" t="str">
        <f>_xlfn.IFS(AND($AI100=$AM100,$AI100&gt;0,$AM100&gt;0,CU100&gt;0), CU100,     AND(NOT($AI100=$AM100),$AI100&gt;0,$AM100&gt;0,CU100&gt;0), ($AM100*CU100)/$AI100,     AND($AI100=0,$AM100&gt;0,$AQ100&gt;0), IF(INDEX(CU$12:CU$263,MATCH($AQ100,$AP$12:$AP$263,0))&gt;0,($AM100*INDEX(CU$12:CU$263,MATCH($AQ100,$AP$12:$AP$263,0)))/INDEX($AI$12:$AI$263,MATCH($AQ100,$AP$12:$AP$263,0)), "-"),     TRUE, "0")</f>
        <v>0</v>
      </c>
      <c r="CW100" s="607">
        <f>IF(CV$9&gt;0, IF(OR(CV100="",CV100="-"), 0, CV100*$AT100), CU100*$AJ100)</f>
        <v>0</v>
      </c>
      <c r="CX100" s="589">
        <f>[1]COMMANDE!AY98</f>
        <v>0</v>
      </c>
      <c r="CY100" s="586" t="str">
        <f>_xlfn.IFS(AND($AI100=$AM100,$AI100&gt;0,$AM100&gt;0,CX100&gt;0), CX100,     AND(NOT($AI100=$AM100),$AI100&gt;0,$AM100&gt;0,CX100&gt;0), ($AM100*CX100)/$AI100,     AND($AI100=0,$AM100&gt;0,$AQ100&gt;0), IF(INDEX(CX$12:CX$263,MATCH($AQ100,$AP$12:$AP$263,0))&gt;0,($AM100*INDEX(CX$12:CX$263,MATCH($AQ100,$AP$12:$AP$263,0)))/INDEX($AI$12:$AI$263,MATCH($AQ100,$AP$12:$AP$263,0)), "-"),     TRUE, "0")</f>
        <v>0</v>
      </c>
      <c r="CZ100" s="588">
        <f>IF(CY$9&gt;0, IF(OR(CY100="",CY100="-"), 0, CY100*$AT100), CX100*$AJ100)</f>
        <v>0</v>
      </c>
      <c r="DA100" s="587">
        <f>[1]COMMANDE!BA98</f>
        <v>0</v>
      </c>
      <c r="DB100" s="586" t="str">
        <f>_xlfn.IFS(AND($AI100=$AM100,$AI100&gt;0,$AM100&gt;0,DA100&gt;0), DA100,     AND(NOT($AI100=$AM100),$AI100&gt;0,$AM100&gt;0,DA100&gt;0), ($AM100*DA100)/$AI100,     AND($AI100=0,$AM100&gt;0,$AQ100&gt;0), IF(INDEX(DA$12:DA$263,MATCH($AQ100,$AP$12:$AP$263,0))&gt;0,($AM100*INDEX(DA$12:DA$263,MATCH($AQ100,$AP$12:$AP$263,0)))/INDEX($AI$12:$AI$263,MATCH($AQ100,$AP$12:$AP$263,0)), "-"),     TRUE, "0")</f>
        <v>0</v>
      </c>
      <c r="DC100" s="606">
        <f>IF(DB$9&gt;0, IF(OR(DB100="",DB100="-"), 0, DB100*$AT100), DA100*$AJ100)</f>
        <v>0</v>
      </c>
      <c r="DD100" s="584"/>
      <c r="DE100" s="583"/>
    </row>
    <row r="101" spans="1:109" ht="39.950000000000003" hidden="1" customHeight="1">
      <c r="A101" s="604">
        <f>IF(OR($AV101&gt;0, $AX101&gt;0), 1, 0)</f>
        <v>0</v>
      </c>
      <c r="B101" s="604">
        <f>IF(OR($AY101&gt;0, $BA101&gt;0), 1, 0)</f>
        <v>0</v>
      </c>
      <c r="C101" s="604">
        <f>IF(OR($BB101&gt;0, $BD101&gt;0), 1, 0)</f>
        <v>0</v>
      </c>
      <c r="D101" s="604">
        <f>IF(OR($BE101&gt;0, $BG101&gt;0), 1, 0)</f>
        <v>0</v>
      </c>
      <c r="E101" s="604">
        <f>IF(OR($BH101&gt;0, $BJ101&gt;0), 1, 0)</f>
        <v>0</v>
      </c>
      <c r="F101" s="604">
        <f>IF(OR($BK101&gt;0, $BM101&gt;0), 1, 0)</f>
        <v>0</v>
      </c>
      <c r="G101" s="604">
        <f>IF(OR($BN101&gt;0, $BP101&gt;0), 1, 0)</f>
        <v>0</v>
      </c>
      <c r="H101" s="604">
        <f>IF(OR($BQ101&gt;0, $BS101&gt;0), 1, 0)</f>
        <v>0</v>
      </c>
      <c r="I101" s="604">
        <f>IF(OR($BT101&gt;0, $BV101&gt;0), 1, 0)</f>
        <v>0</v>
      </c>
      <c r="J101" s="604">
        <f>IF(OR($BW101&gt;0, $BY101&gt;0), 1, 0)</f>
        <v>0</v>
      </c>
      <c r="K101" s="604">
        <f>IF(OR($BZ101&gt;0, $CB101&gt;0), 1, 0)</f>
        <v>0</v>
      </c>
      <c r="L101" s="604">
        <f>IF(OR($CC101&gt;0, $CE101&gt;0), 1, 0)</f>
        <v>0</v>
      </c>
      <c r="M101" s="604">
        <f>IF(OR($CF101&gt;0, $CH101&gt;0), 1, 0)</f>
        <v>0</v>
      </c>
      <c r="N101" s="604">
        <f>IF(OR($CI101&gt;0, $CK101&gt;0), 1, 0)</f>
        <v>0</v>
      </c>
      <c r="O101" s="604">
        <f>IF(OR($CL101&gt;0, $CN101&gt;0), 1, 0)</f>
        <v>0</v>
      </c>
      <c r="P101" s="604">
        <f>IF(OR($CO101&gt;0, $CQ101&gt;0), 1, 0)</f>
        <v>0</v>
      </c>
      <c r="Q101" s="604">
        <f>IF(OR($CR101&gt;0, $CT101&gt;0), 1, 0)</f>
        <v>0</v>
      </c>
      <c r="R101" s="604">
        <f>IF(OR($CU101&gt;0, $CW101&gt;0), 1, 0)</f>
        <v>0</v>
      </c>
      <c r="S101" s="604">
        <f>IF(OR($CX101&gt;0, $CZ101&gt;0), 1, 0)</f>
        <v>0</v>
      </c>
      <c r="T101" s="604">
        <f>IF(OR($DA101&gt;0, $DC101&gt;0), 1, 0)</f>
        <v>0</v>
      </c>
      <c r="U101" s="603">
        <f>IF(OR($AI101&gt;0,$AM101&gt;0,$AS101&gt;0), 1, 0)</f>
        <v>0</v>
      </c>
      <c r="V101" s="602">
        <f>[1]BDD!A91</f>
        <v>1399</v>
      </c>
      <c r="W101" s="601" t="str">
        <f>[1]BDD!B91</f>
        <v>Dattes Mazafati de Bam BIO (env. 250g)</v>
      </c>
      <c r="X101" s="600" t="str">
        <f>IF([1]BDD!F91=0, "", [1]BDD!F91)</f>
        <v>❤️</v>
      </c>
      <c r="Y101" s="542">
        <f>ROUND([1]BDD!G91+FDP_CMD_KG, 2)</f>
        <v>5.51</v>
      </c>
      <c r="Z101" s="542">
        <f>ROUND([1]BDD!G91+FDP_FACT_KG, 2)</f>
        <v>5.51</v>
      </c>
      <c r="AA101" s="543" t="str">
        <f>[1]BDD!H91</f>
        <v>Pièce</v>
      </c>
      <c r="AB101" s="544">
        <f>IF(NOT(ISBLANK([1]BDD!I91)), ROUND(SUM(([1]BDD!G91*reduc1),FDP_CMD_KG), 2), "")</f>
        <v>5.05</v>
      </c>
      <c r="AC101" s="544">
        <f>IF(NOT(ISBLANK([1]BDD!J91)), ROUND(SUM(([1]BDD!G91*reduc2),FDP_CMD_KG), 2), "")</f>
        <v>4.59</v>
      </c>
      <c r="AD101" s="544">
        <f>IF(NOT(ISBLANK([1]BDD!K91)), ROUND(SUM(([1]BDD!G91*reduc3),FDP_CMD_KG), 2), "")</f>
        <v>4.12</v>
      </c>
      <c r="AE101" s="544">
        <f>IF(NOT(ISBLANK([1]BDD!I91)), ROUND(SUM(([1]BDD!G91*reduc1),FDP_FACT_KG), 2), "")</f>
        <v>5.04</v>
      </c>
      <c r="AF101" s="544">
        <f>IF(NOT(ISBLANK([1]BDD!J91)), ROUND(SUM(([1]BDD!G91*reduc2),FDP_FACT_KG), 2), "")</f>
        <v>4.58</v>
      </c>
      <c r="AG101" s="544">
        <f>IF(NOT(ISBLANK([1]BDD!K91)), ROUND(SUM(([1]BDD!G91*reduc3),FDP_FACT_KG), 2), "")</f>
        <v>4.1100000000000003</v>
      </c>
      <c r="AH101" s="599" t="str">
        <f>[1]BDD!C91</f>
        <v>Iran</v>
      </c>
      <c r="AI101" s="598">
        <f>SUM(AV101,AY101,BB101,BE101,BH101,BK101,BN101,BQ101,BT101,BW101,BZ101,CC101,CF101,CI101,CL101,CO101,CR101,CU101,CX101,DA101)</f>
        <v>0</v>
      </c>
      <c r="AJ101" s="545">
        <f>_xlfn.IFS($AD101&lt;&gt;"", $AD101,    $AC101&lt;&gt;"", $AC101,    $AB101&lt;&gt;"", $AB101,    TRUE, $Y101)</f>
        <v>4.12</v>
      </c>
      <c r="AK101" s="592">
        <f>$AI101*$AJ101</f>
        <v>0</v>
      </c>
      <c r="AL101" s="594"/>
      <c r="AM101" s="597"/>
      <c r="AN101" s="545">
        <f>_xlfn.IFS(AND(AM101&gt;=60,$AG101&lt;&gt;""), $AG101,    AND(AM101&gt;=30,$AF101&lt;&gt;""), $AF101,    AND(AM101&gt;=10,$AE101&lt;&gt;""), $AE101,    TRUE, $Z101)</f>
        <v>5.51</v>
      </c>
      <c r="AO101" s="596">
        <f>AM101*AN101</f>
        <v>0</v>
      </c>
      <c r="AP101" s="595"/>
      <c r="AQ101" s="595"/>
      <c r="AR101" s="594"/>
      <c r="AS101" s="593">
        <f>SUM(AW101,AZ101,BC101,BF101,BI101,BL101,BO101,BR101,BU101,BX101,CA101,CD101,CG101,CJ101,CM101,CP101,CS101,CV101,CY101,DB101)</f>
        <v>0</v>
      </c>
      <c r="AT101" s="545">
        <f>_xlfn.IFS(AND(AS101&gt;=60,$AG101&lt;&gt;""), $AG101,    AND(AS101&gt;=30,$AF101&lt;&gt;""), $AF101,    AND(AS101&gt;=10,$AE101&lt;&gt;""), $AE101,    TRUE, $Z101)</f>
        <v>5.51</v>
      </c>
      <c r="AU101" s="592">
        <f>$AS101*$AT101</f>
        <v>0</v>
      </c>
      <c r="AV101" s="591">
        <f>[1]COMMANDE!O99</f>
        <v>0</v>
      </c>
      <c r="AW101" s="586" t="str">
        <f>_xlfn.IFS(AND($AI101=$AM101,$AI101&gt;0,$AM101&gt;0,AV101&gt;0), AV101,     AND(NOT($AI101=$AM101),$AI101&gt;0,$AM101&gt;0,AV101&gt;0), ($AM101*AV101)/$AI101,     AND($AI101=0,$AM101&gt;0,$AQ101&gt;0), IF(INDEX(AV$12:AV$263,MATCH($AQ101,$AP$12:$AP$263,0))&gt;0,($AM101*INDEX(AV$12:AV$263,MATCH($AQ101,$AP$12:$AP$263,0)))/INDEX($AI$12:$AI$263,MATCH($AQ101,$AP$12:$AP$263,0)), "-"),     TRUE, "0")</f>
        <v>0</v>
      </c>
      <c r="AX101" s="588">
        <f>IF(AW$9&gt;0, IF(OR(AW101="",AW101="-"), 0, AW101*$AT101), AV101*$AJ101)</f>
        <v>0</v>
      </c>
      <c r="AY101" s="587">
        <f>[1]COMMANDE!Q99</f>
        <v>0</v>
      </c>
      <c r="AZ101" s="586" t="str">
        <f>_xlfn.IFS(AND($AI101=$AM101,$AI101&gt;0,$AM101&gt;0,AY101&gt;0), AY101,     AND(NOT($AI101=$AM101),$AI101&gt;0,$AM101&gt;0,AY101&gt;0), ($AM101*AY101)/$AI101,     AND($AI101=0,$AM101&gt;0,$AQ101&gt;0), IF(INDEX(AY$12:AY$263,MATCH($AQ101,$AP$12:$AP$263,0))&gt;0,($AM101*INDEX(AY$12:AY$263,MATCH($AQ101,$AP$12:$AP$263,0)))/INDEX($AI$12:$AI$263,MATCH($AQ101,$AP$12:$AP$263,0)), "-"),     TRUE, "0")</f>
        <v>0</v>
      </c>
      <c r="BA101" s="607">
        <f>IF(AZ$9&gt;0, IF(OR(AZ101="",AZ101="-"), 0, AZ101*$AT101), AY101*$AJ101)</f>
        <v>0</v>
      </c>
      <c r="BB101" s="589">
        <f>[1]COMMANDE!S99</f>
        <v>0</v>
      </c>
      <c r="BC101" s="586" t="str">
        <f>_xlfn.IFS(AND($AI101=$AM101,$AI101&gt;0,$AM101&gt;0,BB101&gt;0), BB101,     AND(NOT($AI101=$AM101),$AI101&gt;0,$AM101&gt;0,BB101&gt;0), ($AM101*BB101)/$AI101,     AND($AI101=0,$AM101&gt;0,$AQ101&gt;0), IF(INDEX(BB$12:BB$263,MATCH($AQ101,$AP$12:$AP$263,0))&gt;0,($AM101*INDEX(BB$12:BB$263,MATCH($AQ101,$AP$12:$AP$263,0)))/INDEX($AI$12:$AI$263,MATCH($AQ101,$AP$12:$AP$263,0)), "-"),     TRUE, "0")</f>
        <v>0</v>
      </c>
      <c r="BD101" s="588">
        <f>IF(BC$9&gt;0, IF(OR(BC101="",BC101="-"), 0, BC101*$AT101), BB101*$AJ101)</f>
        <v>0</v>
      </c>
      <c r="BE101" s="587">
        <f>[1]COMMANDE!U99</f>
        <v>0</v>
      </c>
      <c r="BF101" s="586" t="str">
        <f>_xlfn.IFS(AND($AI101=$AM101,$AI101&gt;0,$AM101&gt;0,BE101&gt;0), BE101,     AND(NOT($AI101=$AM101),$AI101&gt;0,$AM101&gt;0,BE101&gt;0), ($AM101*BE101)/$AI101,     AND($AI101=0,$AM101&gt;0,$AQ101&gt;0), IF(INDEX(BE$12:BE$263,MATCH($AQ101,$AP$12:$AP$263,0))&gt;0,($AM101*INDEX(BE$12:BE$263,MATCH($AQ101,$AP$12:$AP$263,0)))/INDEX($AI$12:$AI$263,MATCH($AQ101,$AP$12:$AP$263,0)), "-"),     TRUE, "0")</f>
        <v>0</v>
      </c>
      <c r="BG101" s="607">
        <f>IF(BF$9&gt;0, IF(OR(BF101="",BF101="-"), 0, BF101*$AT101), BE101*$AJ101)</f>
        <v>0</v>
      </c>
      <c r="BH101" s="589">
        <f>[1]COMMANDE!W99</f>
        <v>0</v>
      </c>
      <c r="BI101" s="586" t="str">
        <f>_xlfn.IFS(AND($AI101=$AM101,$AI101&gt;0,$AM101&gt;0,BH101&gt;0), BH101,     AND(NOT($AI101=$AM101),$AI101&gt;0,$AM101&gt;0,BH101&gt;0), ($AM101*BH101)/$AI101,     AND($AI101=0,$AM101&gt;0,$AQ101&gt;0), IF(INDEX(BH$12:BH$263,MATCH($AQ101,$AP$12:$AP$263,0))&gt;0,($AM101*INDEX(BH$12:BH$263,MATCH($AQ101,$AP$12:$AP$263,0)))/INDEX($AI$12:$AI$263,MATCH($AQ101,$AP$12:$AP$263,0)), "-"),     TRUE, "0")</f>
        <v>0</v>
      </c>
      <c r="BJ101" s="588">
        <f>IF(BI$9&gt;0, IF(OR(BI101="",BI101="-"), 0, BI101*$AT101), BH101*$AJ101)</f>
        <v>0</v>
      </c>
      <c r="BK101" s="587">
        <f>[1]COMMANDE!Y99</f>
        <v>0</v>
      </c>
      <c r="BL101" s="586" t="str">
        <f>_xlfn.IFS(AND($AI101=$AM101,$AI101&gt;0,$AM101&gt;0,BK101&gt;0), BK101,     AND(NOT($AI101=$AM101),$AI101&gt;0,$AM101&gt;0,BK101&gt;0), ($AM101*BK101)/$AI101,     AND($AI101=0,$AM101&gt;0,$AQ101&gt;0), IF(INDEX(BK$12:BK$263,MATCH($AQ101,$AP$12:$AP$263,0))&gt;0,($AM101*INDEX(BK$12:BK$263,MATCH($AQ101,$AP$12:$AP$263,0)))/INDEX($AI$12:$AI$263,MATCH($AQ101,$AP$12:$AP$263,0)), "-"),     TRUE, "0")</f>
        <v>0</v>
      </c>
      <c r="BM101" s="607">
        <f>IF(BL$9&gt;0, IF(OR(BL101="",BL101="-"), 0, BL101*$AT101), BK101*$AJ101)</f>
        <v>0</v>
      </c>
      <c r="BN101" s="589">
        <f>[1]COMMANDE!AA99</f>
        <v>0</v>
      </c>
      <c r="BO101" s="586" t="str">
        <f>_xlfn.IFS(AND($AI101=$AM101,$AI101&gt;0,$AM101&gt;0,BN101&gt;0), BN101,     AND(NOT($AI101=$AM101),$AI101&gt;0,$AM101&gt;0,BN101&gt;0), ($AM101*BN101)/$AI101,     AND($AI101=0,$AM101&gt;0,$AQ101&gt;0), IF(INDEX(BN$12:BN$263,MATCH($AQ101,$AP$12:$AP$263,0))&gt;0,($AM101*INDEX(BN$12:BN$263,MATCH($AQ101,$AP$12:$AP$263,0)))/INDEX($AI$12:$AI$263,MATCH($AQ101,$AP$12:$AP$263,0)), "-"),     TRUE, "0")</f>
        <v>0</v>
      </c>
      <c r="BP101" s="588">
        <f>IF(BO$9&gt;0, IF(OR(BO101="",BO101="-"), 0, BO101*$AT101), BN101*$AJ101)</f>
        <v>0</v>
      </c>
      <c r="BQ101" s="587">
        <f>[1]COMMANDE!AC99</f>
        <v>0</v>
      </c>
      <c r="BR101" s="586" t="str">
        <f>_xlfn.IFS(AND($AI101=$AM101,$AI101&gt;0,$AM101&gt;0,BQ101&gt;0), BQ101,     AND(NOT($AI101=$AM101),$AI101&gt;0,$AM101&gt;0,BQ101&gt;0), ($AM101*BQ101)/$AI101,     AND($AI101=0,$AM101&gt;0,$AQ101&gt;0), IF(INDEX(BQ$12:BQ$263,MATCH($AQ101,$AP$12:$AP$263,0))&gt;0,($AM101*INDEX(BQ$12:BQ$263,MATCH($AQ101,$AP$12:$AP$263,0)))/INDEX($AI$12:$AI$263,MATCH($AQ101,$AP$12:$AP$263,0)), "-"),     TRUE, "0")</f>
        <v>0</v>
      </c>
      <c r="BS101" s="607">
        <f>IF(BR$9&gt;0, IF(OR(BR101="",BR101="-"), 0, BR101*$AT101), BQ101*$AJ101)</f>
        <v>0</v>
      </c>
      <c r="BT101" s="589">
        <f>[1]COMMANDE!AE99</f>
        <v>0</v>
      </c>
      <c r="BU101" s="586" t="str">
        <f>_xlfn.IFS(AND($AI101=$AM101,$AI101&gt;0,$AM101&gt;0,BT101&gt;0), BT101,     AND(NOT($AI101=$AM101),$AI101&gt;0,$AM101&gt;0,BT101&gt;0), ($AM101*BT101)/$AI101,     AND($AI101=0,$AM101&gt;0,$AQ101&gt;0), IF(INDEX(BT$12:BT$263,MATCH($AQ101,$AP$12:$AP$263,0))&gt;0,($AM101*INDEX(BT$12:BT$263,MATCH($AQ101,$AP$12:$AP$263,0)))/INDEX($AI$12:$AI$263,MATCH($AQ101,$AP$12:$AP$263,0)), "-"),     TRUE, "0")</f>
        <v>0</v>
      </c>
      <c r="BV101" s="588">
        <f>IF(BU$9&gt;0, IF(OR(BU101="",BU101="-"), 0, BU101*$AT101), BT101*$AJ101)</f>
        <v>0</v>
      </c>
      <c r="BW101" s="587">
        <f>[1]COMMANDE!AG99</f>
        <v>0</v>
      </c>
      <c r="BX101" s="586" t="str">
        <f>_xlfn.IFS(AND($AI101=$AM101,$AI101&gt;0,$AM101&gt;0,BW101&gt;0), BW101,     AND(NOT($AI101=$AM101),$AI101&gt;0,$AM101&gt;0,BW101&gt;0), ($AM101*BW101)/$AI101,     AND($AI101=0,$AM101&gt;0,$AQ101&gt;0), IF(INDEX(BW$12:BW$263,MATCH($AQ101,$AP$12:$AP$263,0))&gt;0,($AM101*INDEX(BW$12:BW$263,MATCH($AQ101,$AP$12:$AP$263,0)))/INDEX($AI$12:$AI$263,MATCH($AQ101,$AP$12:$AP$263,0)), "-"),     TRUE, "0")</f>
        <v>0</v>
      </c>
      <c r="BY101" s="607">
        <f>IF(BX$9&gt;0, IF(OR(BX101="",BX101="-"), 0, BX101*$AT101), BW101*$AJ101)</f>
        <v>0</v>
      </c>
      <c r="BZ101" s="589">
        <f>[1]COMMANDE!AI99</f>
        <v>0</v>
      </c>
      <c r="CA101" s="586" t="str">
        <f>_xlfn.IFS(AND($AI101=$AM101,$AI101&gt;0,$AM101&gt;0,BZ101&gt;0), BZ101,     AND(NOT($AI101=$AM101),$AI101&gt;0,$AM101&gt;0,BZ101&gt;0), ($AM101*BZ101)/$AI101,     AND($AI101=0,$AM101&gt;0,$AQ101&gt;0), IF(INDEX(BZ$12:BZ$263,MATCH($AQ101,$AP$12:$AP$263,0))&gt;0,($AM101*INDEX(BZ$12:BZ$263,MATCH($AQ101,$AP$12:$AP$263,0)))/INDEX($AI$12:$AI$263,MATCH($AQ101,$AP$12:$AP$263,0)), "-"),     TRUE, "0")</f>
        <v>0</v>
      </c>
      <c r="CB101" s="588">
        <f>IF(CA$9&gt;0, IF(OR(CA101="",CA101="-"), 0, CA101*$AT101), BZ101*$AJ101)</f>
        <v>0</v>
      </c>
      <c r="CC101" s="587">
        <f>[1]COMMANDE!AK99</f>
        <v>0</v>
      </c>
      <c r="CD101" s="586" t="str">
        <f>_xlfn.IFS(AND($AI101=$AM101,$AI101&gt;0,$AM101&gt;0,CC101&gt;0), CC101,     AND(NOT($AI101=$AM101),$AI101&gt;0,$AM101&gt;0,CC101&gt;0), ($AM101*CC101)/$AI101,     AND($AI101=0,$AM101&gt;0,$AQ101&gt;0), IF(INDEX(CC$12:CC$263,MATCH($AQ101,$AP$12:$AP$263,0))&gt;0,($AM101*INDEX(CC$12:CC$263,MATCH($AQ101,$AP$12:$AP$263,0)))/INDEX($AI$12:$AI$263,MATCH($AQ101,$AP$12:$AP$263,0)), "-"),     TRUE, "0")</f>
        <v>0</v>
      </c>
      <c r="CE101" s="607">
        <f>IF(CD$9&gt;0, IF(OR(CD101="",CD101="-"), 0, CD101*$AT101), CC101*$AJ101)</f>
        <v>0</v>
      </c>
      <c r="CF101" s="589">
        <f>[1]COMMANDE!AM99</f>
        <v>0</v>
      </c>
      <c r="CG101" s="586" t="str">
        <f>_xlfn.IFS(AND($AI101=$AM101,$AI101&gt;0,$AM101&gt;0,CF101&gt;0), CF101,     AND(NOT($AI101=$AM101),$AI101&gt;0,$AM101&gt;0,CF101&gt;0), ($AM101*CF101)/$AI101,     AND($AI101=0,$AM101&gt;0,$AQ101&gt;0), IF(INDEX(CF$12:CF$263,MATCH($AQ101,$AP$12:$AP$263,0))&gt;0,($AM101*INDEX(CF$12:CF$263,MATCH($AQ101,$AP$12:$AP$263,0)))/INDEX($AI$12:$AI$263,MATCH($AQ101,$AP$12:$AP$263,0)), "-"),     TRUE, "0")</f>
        <v>0</v>
      </c>
      <c r="CH101" s="588">
        <f>IF(CG$9&gt;0, IF(OR(CG101="",CG101="-"), 0, CG101*$AT101), CF101*$AJ101)</f>
        <v>0</v>
      </c>
      <c r="CI101" s="587">
        <f>[1]COMMANDE!AO99</f>
        <v>0</v>
      </c>
      <c r="CJ101" s="586" t="str">
        <f>_xlfn.IFS(AND($AI101=$AM101,$AI101&gt;0,$AM101&gt;0,CI101&gt;0), CI101,     AND(NOT($AI101=$AM101),$AI101&gt;0,$AM101&gt;0,CI101&gt;0), ($AM101*CI101)/$AI101,     AND($AI101=0,$AM101&gt;0,$AQ101&gt;0), IF(INDEX(CI$12:CI$263,MATCH($AQ101,$AP$12:$AP$263,0))&gt;0,($AM101*INDEX(CI$12:CI$263,MATCH($AQ101,$AP$12:$AP$263,0)))/INDEX($AI$12:$AI$263,MATCH($AQ101,$AP$12:$AP$263,0)), "-"),     TRUE, "0")</f>
        <v>0</v>
      </c>
      <c r="CK101" s="607">
        <f>IF(CJ$9&gt;0, IF(OR(CJ101="",CJ101="-"), 0, CJ101*$AT101), CI101*$AJ101)</f>
        <v>0</v>
      </c>
      <c r="CL101" s="589">
        <f>[1]COMMANDE!AQ99</f>
        <v>0</v>
      </c>
      <c r="CM101" s="586" t="str">
        <f>_xlfn.IFS(AND($AI101=$AM101,$AI101&gt;0,$AM101&gt;0,CL101&gt;0), CL101,     AND(NOT($AI101=$AM101),$AI101&gt;0,$AM101&gt;0,CL101&gt;0), ($AM101*CL101)/$AI101,     AND($AI101=0,$AM101&gt;0,$AQ101&gt;0), IF(INDEX(CL$12:CL$263,MATCH($AQ101,$AP$12:$AP$263,0))&gt;0,($AM101*INDEX(CL$12:CL$263,MATCH($AQ101,$AP$12:$AP$263,0)))/INDEX($AI$12:$AI$263,MATCH($AQ101,$AP$12:$AP$263,0)), "-"),     TRUE, "0")</f>
        <v>0</v>
      </c>
      <c r="CN101" s="588">
        <f>IF(CM$9&gt;0, IF(OR(CM101="",CM101="-"), 0, CM101*$AT101), CL101*$AJ101)</f>
        <v>0</v>
      </c>
      <c r="CO101" s="587">
        <f>[1]COMMANDE!AS99</f>
        <v>0</v>
      </c>
      <c r="CP101" s="586" t="str">
        <f>_xlfn.IFS(AND($AI101=$AM101,$AI101&gt;0,$AM101&gt;0,CO101&gt;0), CO101,     AND(NOT($AI101=$AM101),$AI101&gt;0,$AM101&gt;0,CO101&gt;0), ($AM101*CO101)/$AI101,     AND($AI101=0,$AM101&gt;0,$AQ101&gt;0), IF(INDEX(CO$12:CO$263,MATCH($AQ101,$AP$12:$AP$263,0))&gt;0,($AM101*INDEX(CO$12:CO$263,MATCH($AQ101,$AP$12:$AP$263,0)))/INDEX($AI$12:$AI$263,MATCH($AQ101,$AP$12:$AP$263,0)), "-"),     TRUE, "0")</f>
        <v>0</v>
      </c>
      <c r="CQ101" s="607">
        <f>IF(CP$9&gt;0, IF(OR(CP101="",CP101="-"), 0, CP101*$AT101), CO101*$AJ101)</f>
        <v>0</v>
      </c>
      <c r="CR101" s="589">
        <f>[1]COMMANDE!AU99</f>
        <v>0</v>
      </c>
      <c r="CS101" s="586" t="str">
        <f>_xlfn.IFS(AND($AI101=$AM101,$AI101&gt;0,$AM101&gt;0,CR101&gt;0), CR101,     AND(NOT($AI101=$AM101),$AI101&gt;0,$AM101&gt;0,CR101&gt;0), ($AM101*CR101)/$AI101,     AND($AI101=0,$AM101&gt;0,$AQ101&gt;0), IF(INDEX(CR$12:CR$263,MATCH($AQ101,$AP$12:$AP$263,0))&gt;0,($AM101*INDEX(CR$12:CR$263,MATCH($AQ101,$AP$12:$AP$263,0)))/INDEX($AI$12:$AI$263,MATCH($AQ101,$AP$12:$AP$263,0)), "-"),     TRUE, "0")</f>
        <v>0</v>
      </c>
      <c r="CT101" s="588">
        <f>IF(CS$9&gt;0, IF(OR(CS101="",CS101="-"), 0, CS101*$AT101), CR101*$AJ101)</f>
        <v>0</v>
      </c>
      <c r="CU101" s="587">
        <f>[1]COMMANDE!AW99</f>
        <v>0</v>
      </c>
      <c r="CV101" s="586" t="str">
        <f>_xlfn.IFS(AND($AI101=$AM101,$AI101&gt;0,$AM101&gt;0,CU101&gt;0), CU101,     AND(NOT($AI101=$AM101),$AI101&gt;0,$AM101&gt;0,CU101&gt;0), ($AM101*CU101)/$AI101,     AND($AI101=0,$AM101&gt;0,$AQ101&gt;0), IF(INDEX(CU$12:CU$263,MATCH($AQ101,$AP$12:$AP$263,0))&gt;0,($AM101*INDEX(CU$12:CU$263,MATCH($AQ101,$AP$12:$AP$263,0)))/INDEX($AI$12:$AI$263,MATCH($AQ101,$AP$12:$AP$263,0)), "-"),     TRUE, "0")</f>
        <v>0</v>
      </c>
      <c r="CW101" s="607">
        <f>IF(CV$9&gt;0, IF(OR(CV101="",CV101="-"), 0, CV101*$AT101), CU101*$AJ101)</f>
        <v>0</v>
      </c>
      <c r="CX101" s="589">
        <f>[1]COMMANDE!AY99</f>
        <v>0</v>
      </c>
      <c r="CY101" s="586" t="str">
        <f>_xlfn.IFS(AND($AI101=$AM101,$AI101&gt;0,$AM101&gt;0,CX101&gt;0), CX101,     AND(NOT($AI101=$AM101),$AI101&gt;0,$AM101&gt;0,CX101&gt;0), ($AM101*CX101)/$AI101,     AND($AI101=0,$AM101&gt;0,$AQ101&gt;0), IF(INDEX(CX$12:CX$263,MATCH($AQ101,$AP$12:$AP$263,0))&gt;0,($AM101*INDEX(CX$12:CX$263,MATCH($AQ101,$AP$12:$AP$263,0)))/INDEX($AI$12:$AI$263,MATCH($AQ101,$AP$12:$AP$263,0)), "-"),     TRUE, "0")</f>
        <v>0</v>
      </c>
      <c r="CZ101" s="588">
        <f>IF(CY$9&gt;0, IF(OR(CY101="",CY101="-"), 0, CY101*$AT101), CX101*$AJ101)</f>
        <v>0</v>
      </c>
      <c r="DA101" s="587">
        <f>[1]COMMANDE!BA99</f>
        <v>0</v>
      </c>
      <c r="DB101" s="586" t="str">
        <f>_xlfn.IFS(AND($AI101=$AM101,$AI101&gt;0,$AM101&gt;0,DA101&gt;0), DA101,     AND(NOT($AI101=$AM101),$AI101&gt;0,$AM101&gt;0,DA101&gt;0), ($AM101*DA101)/$AI101,     AND($AI101=0,$AM101&gt;0,$AQ101&gt;0), IF(INDEX(DA$12:DA$263,MATCH($AQ101,$AP$12:$AP$263,0))&gt;0,($AM101*INDEX(DA$12:DA$263,MATCH($AQ101,$AP$12:$AP$263,0)))/INDEX($AI$12:$AI$263,MATCH($AQ101,$AP$12:$AP$263,0)), "-"),     TRUE, "0")</f>
        <v>0</v>
      </c>
      <c r="DC101" s="606">
        <f>IF(DB$9&gt;0, IF(OR(DB101="",DB101="-"), 0, DB101*$AT101), DA101*$AJ101)</f>
        <v>0</v>
      </c>
      <c r="DD101" s="584"/>
      <c r="DE101" s="583"/>
    </row>
    <row r="102" spans="1:109" ht="39.950000000000003" hidden="1" customHeight="1">
      <c r="A102" s="604">
        <f>IF(OR($AV102&gt;0, $AX102&gt;0), 1, 0)</f>
        <v>0</v>
      </c>
      <c r="B102" s="604">
        <f>IF(OR($AY102&gt;0, $BA102&gt;0), 1, 0)</f>
        <v>0</v>
      </c>
      <c r="C102" s="604">
        <f>IF(OR($BB102&gt;0, $BD102&gt;0), 1, 0)</f>
        <v>0</v>
      </c>
      <c r="D102" s="604">
        <f>IF(OR($BE102&gt;0, $BG102&gt;0), 1, 0)</f>
        <v>0</v>
      </c>
      <c r="E102" s="604">
        <f>IF(OR($BH102&gt;0, $BJ102&gt;0), 1, 0)</f>
        <v>0</v>
      </c>
      <c r="F102" s="604">
        <f>IF(OR($BK102&gt;0, $BM102&gt;0), 1, 0)</f>
        <v>0</v>
      </c>
      <c r="G102" s="604">
        <f>IF(OR($BN102&gt;0, $BP102&gt;0), 1, 0)</f>
        <v>0</v>
      </c>
      <c r="H102" s="604">
        <f>IF(OR($BQ102&gt;0, $BS102&gt;0), 1, 0)</f>
        <v>0</v>
      </c>
      <c r="I102" s="604">
        <f>IF(OR($BT102&gt;0, $BV102&gt;0), 1, 0)</f>
        <v>0</v>
      </c>
      <c r="J102" s="604">
        <f>IF(OR($BW102&gt;0, $BY102&gt;0), 1, 0)</f>
        <v>0</v>
      </c>
      <c r="K102" s="604">
        <f>IF(OR($BZ102&gt;0, $CB102&gt;0), 1, 0)</f>
        <v>0</v>
      </c>
      <c r="L102" s="604">
        <f>IF(OR($CC102&gt;0, $CE102&gt;0), 1, 0)</f>
        <v>0</v>
      </c>
      <c r="M102" s="604">
        <f>IF(OR($CF102&gt;0, $CH102&gt;0), 1, 0)</f>
        <v>0</v>
      </c>
      <c r="N102" s="604">
        <f>IF(OR($CI102&gt;0, $CK102&gt;0), 1, 0)</f>
        <v>0</v>
      </c>
      <c r="O102" s="604">
        <f>IF(OR($CL102&gt;0, $CN102&gt;0), 1, 0)</f>
        <v>0</v>
      </c>
      <c r="P102" s="604">
        <f>IF(OR($CO102&gt;0, $CQ102&gt;0), 1, 0)</f>
        <v>0</v>
      </c>
      <c r="Q102" s="604">
        <f>IF(OR($CR102&gt;0, $CT102&gt;0), 1, 0)</f>
        <v>0</v>
      </c>
      <c r="R102" s="604">
        <f>IF(OR($CU102&gt;0, $CW102&gt;0), 1, 0)</f>
        <v>0</v>
      </c>
      <c r="S102" s="604">
        <f>IF(OR($CX102&gt;0, $CZ102&gt;0), 1, 0)</f>
        <v>0</v>
      </c>
      <c r="T102" s="604">
        <f>IF(OR($DA102&gt;0, $DC102&gt;0), 1, 0)</f>
        <v>0</v>
      </c>
      <c r="U102" s="603">
        <f>IF(OR($AI102&gt;0,$AM102&gt;0,$AS102&gt;0), 1, 0)</f>
        <v>0</v>
      </c>
      <c r="V102" s="602" t="str">
        <f>[1]BDD!A92</f>
        <v>1997</v>
      </c>
      <c r="W102" s="601" t="str">
        <f>[1]BDD!B92</f>
        <v>Dattes Medjool Jumbo semi-sèche BIO</v>
      </c>
      <c r="X102" s="600" t="str">
        <f>IF([1]BDD!F92=0, "", [1]BDD!F92)</f>
        <v>❤️</v>
      </c>
      <c r="Y102" s="542">
        <f>ROUND([1]BDD!G92+FDP_CMD_KG, 2)</f>
        <v>26.06</v>
      </c>
      <c r="Z102" s="542">
        <f>ROUND([1]BDD!G92+FDP_FACT_KG, 2)</f>
        <v>26.06</v>
      </c>
      <c r="AA102" s="543" t="str">
        <f>[1]BDD!H92</f>
        <v>kg</v>
      </c>
      <c r="AB102" s="544">
        <f>IF(NOT(ISBLANK([1]BDD!I92)), ROUND(SUM(([1]BDD!G92*reduc1),FDP_CMD_KG), 2), "")</f>
        <v>23.54</v>
      </c>
      <c r="AC102" s="544" t="str">
        <f>IF(NOT(ISBLANK([1]BDD!J92)), ROUND(SUM(([1]BDD!G92*reduc2),FDP_CMD_KG), 2), "")</f>
        <v/>
      </c>
      <c r="AD102" s="544" t="str">
        <f>IF(NOT(ISBLANK([1]BDD!K92)), ROUND(SUM(([1]BDD!G92*reduc3),FDP_CMD_KG), 2), "")</f>
        <v/>
      </c>
      <c r="AE102" s="544">
        <f>IF(NOT(ISBLANK([1]BDD!I92)), ROUND(SUM(([1]BDD!G92*reduc1),FDP_FACT_KG), 2), "")</f>
        <v>23.54</v>
      </c>
      <c r="AF102" s="544" t="str">
        <f>IF(NOT(ISBLANK([1]BDD!J92)), ROUND(SUM(([1]BDD!G92*reduc2),FDP_FACT_KG), 2), "")</f>
        <v/>
      </c>
      <c r="AG102" s="544" t="str">
        <f>IF(NOT(ISBLANK([1]BDD!K92)), ROUND(SUM(([1]BDD!G92*reduc3),FDP_FACT_KG), 2), "")</f>
        <v/>
      </c>
      <c r="AH102" s="599" t="str">
        <f>[1]BDD!C92</f>
        <v>Israël</v>
      </c>
      <c r="AI102" s="598">
        <f>SUM(AV102,AY102,BB102,BE102,BH102,BK102,BN102,BQ102,BT102,BW102,BZ102,CC102,CF102,CI102,CL102,CO102,CR102,CU102,CX102,DA102)</f>
        <v>0</v>
      </c>
      <c r="AJ102" s="545">
        <f>_xlfn.IFS($AD102&lt;&gt;"", $AD102,    $AC102&lt;&gt;"", $AC102,    $AB102&lt;&gt;"", $AB102,    TRUE, $Y102)</f>
        <v>23.54</v>
      </c>
      <c r="AK102" s="592">
        <f>$AI102*$AJ102</f>
        <v>0</v>
      </c>
      <c r="AL102" s="594"/>
      <c r="AM102" s="597"/>
      <c r="AN102" s="545">
        <f>_xlfn.IFS(AND(AM102&gt;=60,$AG102&lt;&gt;""), $AG102,    AND(AM102&gt;=30,$AF102&lt;&gt;""), $AF102,    AND(AM102&gt;=10,$AE102&lt;&gt;""), $AE102,    TRUE, $Z102)</f>
        <v>26.06</v>
      </c>
      <c r="AO102" s="596">
        <f>AM102*AN102</f>
        <v>0</v>
      </c>
      <c r="AP102" s="595"/>
      <c r="AQ102" s="595"/>
      <c r="AR102" s="594"/>
      <c r="AS102" s="593">
        <f>SUM(AW102,AZ102,BC102,BF102,BI102,BL102,BO102,BR102,BU102,BX102,CA102,CD102,CG102,CJ102,CM102,CP102,CS102,CV102,CY102,DB102)</f>
        <v>0</v>
      </c>
      <c r="AT102" s="545">
        <f>_xlfn.IFS(AND(AS102&gt;=60,$AG102&lt;&gt;""), $AG102,    AND(AS102&gt;=30,$AF102&lt;&gt;""), $AF102,    AND(AS102&gt;=10,$AE102&lt;&gt;""), $AE102,    TRUE, $Z102)</f>
        <v>26.06</v>
      </c>
      <c r="AU102" s="592">
        <f>$AS102*$AT102</f>
        <v>0</v>
      </c>
      <c r="AV102" s="591">
        <f>[1]COMMANDE!O100</f>
        <v>0</v>
      </c>
      <c r="AW102" s="586" t="str">
        <f>_xlfn.IFS(AND($AI102=$AM102,$AI102&gt;0,$AM102&gt;0,AV102&gt;0), AV102,     AND(NOT($AI102=$AM102),$AI102&gt;0,$AM102&gt;0,AV102&gt;0), ($AM102*AV102)/$AI102,     AND($AI102=0,$AM102&gt;0,$AQ102&gt;0), IF(INDEX(AV$12:AV$263,MATCH($AQ102,$AP$12:$AP$263,0))&gt;0,($AM102*INDEX(AV$12:AV$263,MATCH($AQ102,$AP$12:$AP$263,0)))/INDEX($AI$12:$AI$263,MATCH($AQ102,$AP$12:$AP$263,0)), "-"),     TRUE, "0")</f>
        <v>0</v>
      </c>
      <c r="AX102" s="588">
        <f>IF(AW$9&gt;0, IF(OR(AW102="",AW102="-"), 0, AW102*$AT102), AV102*$AJ102)</f>
        <v>0</v>
      </c>
      <c r="AY102" s="587">
        <f>[1]COMMANDE!Q100</f>
        <v>0</v>
      </c>
      <c r="AZ102" s="586" t="str">
        <f>_xlfn.IFS(AND($AI102=$AM102,$AI102&gt;0,$AM102&gt;0,AY102&gt;0), AY102,     AND(NOT($AI102=$AM102),$AI102&gt;0,$AM102&gt;0,AY102&gt;0), ($AM102*AY102)/$AI102,     AND($AI102=0,$AM102&gt;0,$AQ102&gt;0), IF(INDEX(AY$12:AY$263,MATCH($AQ102,$AP$12:$AP$263,0))&gt;0,($AM102*INDEX(AY$12:AY$263,MATCH($AQ102,$AP$12:$AP$263,0)))/INDEX($AI$12:$AI$263,MATCH($AQ102,$AP$12:$AP$263,0)), "-"),     TRUE, "0")</f>
        <v>0</v>
      </c>
      <c r="BA102" s="607">
        <f>IF(AZ$9&gt;0, IF(OR(AZ102="",AZ102="-"), 0, AZ102*$AT102), AY102*$AJ102)</f>
        <v>0</v>
      </c>
      <c r="BB102" s="589">
        <f>[1]COMMANDE!S100</f>
        <v>0</v>
      </c>
      <c r="BC102" s="586" t="str">
        <f>_xlfn.IFS(AND($AI102=$AM102,$AI102&gt;0,$AM102&gt;0,BB102&gt;0), BB102,     AND(NOT($AI102=$AM102),$AI102&gt;0,$AM102&gt;0,BB102&gt;0), ($AM102*BB102)/$AI102,     AND($AI102=0,$AM102&gt;0,$AQ102&gt;0), IF(INDEX(BB$12:BB$263,MATCH($AQ102,$AP$12:$AP$263,0))&gt;0,($AM102*INDEX(BB$12:BB$263,MATCH($AQ102,$AP$12:$AP$263,0)))/INDEX($AI$12:$AI$263,MATCH($AQ102,$AP$12:$AP$263,0)), "-"),     TRUE, "0")</f>
        <v>0</v>
      </c>
      <c r="BD102" s="588">
        <f>IF(BC$9&gt;0, IF(OR(BC102="",BC102="-"), 0, BC102*$AT102), BB102*$AJ102)</f>
        <v>0</v>
      </c>
      <c r="BE102" s="587">
        <f>[1]COMMANDE!U100</f>
        <v>0</v>
      </c>
      <c r="BF102" s="586" t="str">
        <f>_xlfn.IFS(AND($AI102=$AM102,$AI102&gt;0,$AM102&gt;0,BE102&gt;0), BE102,     AND(NOT($AI102=$AM102),$AI102&gt;0,$AM102&gt;0,BE102&gt;0), ($AM102*BE102)/$AI102,     AND($AI102=0,$AM102&gt;0,$AQ102&gt;0), IF(INDEX(BE$12:BE$263,MATCH($AQ102,$AP$12:$AP$263,0))&gt;0,($AM102*INDEX(BE$12:BE$263,MATCH($AQ102,$AP$12:$AP$263,0)))/INDEX($AI$12:$AI$263,MATCH($AQ102,$AP$12:$AP$263,0)), "-"),     TRUE, "0")</f>
        <v>0</v>
      </c>
      <c r="BG102" s="607">
        <f>IF(BF$9&gt;0, IF(OR(BF102="",BF102="-"), 0, BF102*$AT102), BE102*$AJ102)</f>
        <v>0</v>
      </c>
      <c r="BH102" s="589">
        <f>[1]COMMANDE!W100</f>
        <v>0</v>
      </c>
      <c r="BI102" s="586" t="str">
        <f>_xlfn.IFS(AND($AI102=$AM102,$AI102&gt;0,$AM102&gt;0,BH102&gt;0), BH102,     AND(NOT($AI102=$AM102),$AI102&gt;0,$AM102&gt;0,BH102&gt;0), ($AM102*BH102)/$AI102,     AND($AI102=0,$AM102&gt;0,$AQ102&gt;0), IF(INDEX(BH$12:BH$263,MATCH($AQ102,$AP$12:$AP$263,0))&gt;0,($AM102*INDEX(BH$12:BH$263,MATCH($AQ102,$AP$12:$AP$263,0)))/INDEX($AI$12:$AI$263,MATCH($AQ102,$AP$12:$AP$263,0)), "-"),     TRUE, "0")</f>
        <v>0</v>
      </c>
      <c r="BJ102" s="588">
        <f>IF(BI$9&gt;0, IF(OR(BI102="",BI102="-"), 0, BI102*$AT102), BH102*$AJ102)</f>
        <v>0</v>
      </c>
      <c r="BK102" s="587">
        <f>[1]COMMANDE!Y100</f>
        <v>0</v>
      </c>
      <c r="BL102" s="586" t="str">
        <f>_xlfn.IFS(AND($AI102=$AM102,$AI102&gt;0,$AM102&gt;0,BK102&gt;0), BK102,     AND(NOT($AI102=$AM102),$AI102&gt;0,$AM102&gt;0,BK102&gt;0), ($AM102*BK102)/$AI102,     AND($AI102=0,$AM102&gt;0,$AQ102&gt;0), IF(INDEX(BK$12:BK$263,MATCH($AQ102,$AP$12:$AP$263,0))&gt;0,($AM102*INDEX(BK$12:BK$263,MATCH($AQ102,$AP$12:$AP$263,0)))/INDEX($AI$12:$AI$263,MATCH($AQ102,$AP$12:$AP$263,0)), "-"),     TRUE, "0")</f>
        <v>0</v>
      </c>
      <c r="BM102" s="607">
        <f>IF(BL$9&gt;0, IF(OR(BL102="",BL102="-"), 0, BL102*$AT102), BK102*$AJ102)</f>
        <v>0</v>
      </c>
      <c r="BN102" s="589">
        <f>[1]COMMANDE!AA100</f>
        <v>0</v>
      </c>
      <c r="BO102" s="586" t="str">
        <f>_xlfn.IFS(AND($AI102=$AM102,$AI102&gt;0,$AM102&gt;0,BN102&gt;0), BN102,     AND(NOT($AI102=$AM102),$AI102&gt;0,$AM102&gt;0,BN102&gt;0), ($AM102*BN102)/$AI102,     AND($AI102=0,$AM102&gt;0,$AQ102&gt;0), IF(INDEX(BN$12:BN$263,MATCH($AQ102,$AP$12:$AP$263,0))&gt;0,($AM102*INDEX(BN$12:BN$263,MATCH($AQ102,$AP$12:$AP$263,0)))/INDEX($AI$12:$AI$263,MATCH($AQ102,$AP$12:$AP$263,0)), "-"),     TRUE, "0")</f>
        <v>0</v>
      </c>
      <c r="BP102" s="588">
        <f>IF(BO$9&gt;0, IF(OR(BO102="",BO102="-"), 0, BO102*$AT102), BN102*$AJ102)</f>
        <v>0</v>
      </c>
      <c r="BQ102" s="587">
        <f>[1]COMMANDE!AC100</f>
        <v>0</v>
      </c>
      <c r="BR102" s="586" t="str">
        <f>_xlfn.IFS(AND($AI102=$AM102,$AI102&gt;0,$AM102&gt;0,BQ102&gt;0), BQ102,     AND(NOT($AI102=$AM102),$AI102&gt;0,$AM102&gt;0,BQ102&gt;0), ($AM102*BQ102)/$AI102,     AND($AI102=0,$AM102&gt;0,$AQ102&gt;0), IF(INDEX(BQ$12:BQ$263,MATCH($AQ102,$AP$12:$AP$263,0))&gt;0,($AM102*INDEX(BQ$12:BQ$263,MATCH($AQ102,$AP$12:$AP$263,0)))/INDEX($AI$12:$AI$263,MATCH($AQ102,$AP$12:$AP$263,0)), "-"),     TRUE, "0")</f>
        <v>0</v>
      </c>
      <c r="BS102" s="607">
        <f>IF(BR$9&gt;0, IF(OR(BR102="",BR102="-"), 0, BR102*$AT102), BQ102*$AJ102)</f>
        <v>0</v>
      </c>
      <c r="BT102" s="589">
        <f>[1]COMMANDE!AE100</f>
        <v>0</v>
      </c>
      <c r="BU102" s="586" t="str">
        <f>_xlfn.IFS(AND($AI102=$AM102,$AI102&gt;0,$AM102&gt;0,BT102&gt;0), BT102,     AND(NOT($AI102=$AM102),$AI102&gt;0,$AM102&gt;0,BT102&gt;0), ($AM102*BT102)/$AI102,     AND($AI102=0,$AM102&gt;0,$AQ102&gt;0), IF(INDEX(BT$12:BT$263,MATCH($AQ102,$AP$12:$AP$263,0))&gt;0,($AM102*INDEX(BT$12:BT$263,MATCH($AQ102,$AP$12:$AP$263,0)))/INDEX($AI$12:$AI$263,MATCH($AQ102,$AP$12:$AP$263,0)), "-"),     TRUE, "0")</f>
        <v>0</v>
      </c>
      <c r="BV102" s="588">
        <f>IF(BU$9&gt;0, IF(OR(BU102="",BU102="-"), 0, BU102*$AT102), BT102*$AJ102)</f>
        <v>0</v>
      </c>
      <c r="BW102" s="587">
        <f>[1]COMMANDE!AG100</f>
        <v>0</v>
      </c>
      <c r="BX102" s="586" t="str">
        <f>_xlfn.IFS(AND($AI102=$AM102,$AI102&gt;0,$AM102&gt;0,BW102&gt;0), BW102,     AND(NOT($AI102=$AM102),$AI102&gt;0,$AM102&gt;0,BW102&gt;0), ($AM102*BW102)/$AI102,     AND($AI102=0,$AM102&gt;0,$AQ102&gt;0), IF(INDEX(BW$12:BW$263,MATCH($AQ102,$AP$12:$AP$263,0))&gt;0,($AM102*INDEX(BW$12:BW$263,MATCH($AQ102,$AP$12:$AP$263,0)))/INDEX($AI$12:$AI$263,MATCH($AQ102,$AP$12:$AP$263,0)), "-"),     TRUE, "0")</f>
        <v>0</v>
      </c>
      <c r="BY102" s="607">
        <f>IF(BX$9&gt;0, IF(OR(BX102="",BX102="-"), 0, BX102*$AT102), BW102*$AJ102)</f>
        <v>0</v>
      </c>
      <c r="BZ102" s="589">
        <f>[1]COMMANDE!AI100</f>
        <v>0</v>
      </c>
      <c r="CA102" s="586" t="str">
        <f>_xlfn.IFS(AND($AI102=$AM102,$AI102&gt;0,$AM102&gt;0,BZ102&gt;0), BZ102,     AND(NOT($AI102=$AM102),$AI102&gt;0,$AM102&gt;0,BZ102&gt;0), ($AM102*BZ102)/$AI102,     AND($AI102=0,$AM102&gt;0,$AQ102&gt;0), IF(INDEX(BZ$12:BZ$263,MATCH($AQ102,$AP$12:$AP$263,0))&gt;0,($AM102*INDEX(BZ$12:BZ$263,MATCH($AQ102,$AP$12:$AP$263,0)))/INDEX($AI$12:$AI$263,MATCH($AQ102,$AP$12:$AP$263,0)), "-"),     TRUE, "0")</f>
        <v>0</v>
      </c>
      <c r="CB102" s="588">
        <f>IF(CA$9&gt;0, IF(OR(CA102="",CA102="-"), 0, CA102*$AT102), BZ102*$AJ102)</f>
        <v>0</v>
      </c>
      <c r="CC102" s="587">
        <f>[1]COMMANDE!AK100</f>
        <v>0</v>
      </c>
      <c r="CD102" s="586" t="str">
        <f>_xlfn.IFS(AND($AI102=$AM102,$AI102&gt;0,$AM102&gt;0,CC102&gt;0), CC102,     AND(NOT($AI102=$AM102),$AI102&gt;0,$AM102&gt;0,CC102&gt;0), ($AM102*CC102)/$AI102,     AND($AI102=0,$AM102&gt;0,$AQ102&gt;0), IF(INDEX(CC$12:CC$263,MATCH($AQ102,$AP$12:$AP$263,0))&gt;0,($AM102*INDEX(CC$12:CC$263,MATCH($AQ102,$AP$12:$AP$263,0)))/INDEX($AI$12:$AI$263,MATCH($AQ102,$AP$12:$AP$263,0)), "-"),     TRUE, "0")</f>
        <v>0</v>
      </c>
      <c r="CE102" s="607">
        <f>IF(CD$9&gt;0, IF(OR(CD102="",CD102="-"), 0, CD102*$AT102), CC102*$AJ102)</f>
        <v>0</v>
      </c>
      <c r="CF102" s="589">
        <f>[1]COMMANDE!AM100</f>
        <v>0</v>
      </c>
      <c r="CG102" s="586" t="str">
        <f>_xlfn.IFS(AND($AI102=$AM102,$AI102&gt;0,$AM102&gt;0,CF102&gt;0), CF102,     AND(NOT($AI102=$AM102),$AI102&gt;0,$AM102&gt;0,CF102&gt;0), ($AM102*CF102)/$AI102,     AND($AI102=0,$AM102&gt;0,$AQ102&gt;0), IF(INDEX(CF$12:CF$263,MATCH($AQ102,$AP$12:$AP$263,0))&gt;0,($AM102*INDEX(CF$12:CF$263,MATCH($AQ102,$AP$12:$AP$263,0)))/INDEX($AI$12:$AI$263,MATCH($AQ102,$AP$12:$AP$263,0)), "-"),     TRUE, "0")</f>
        <v>0</v>
      </c>
      <c r="CH102" s="588">
        <f>IF(CG$9&gt;0, IF(OR(CG102="",CG102="-"), 0, CG102*$AT102), CF102*$AJ102)</f>
        <v>0</v>
      </c>
      <c r="CI102" s="587">
        <f>[1]COMMANDE!AO100</f>
        <v>0</v>
      </c>
      <c r="CJ102" s="586" t="str">
        <f>_xlfn.IFS(AND($AI102=$AM102,$AI102&gt;0,$AM102&gt;0,CI102&gt;0), CI102,     AND(NOT($AI102=$AM102),$AI102&gt;0,$AM102&gt;0,CI102&gt;0), ($AM102*CI102)/$AI102,     AND($AI102=0,$AM102&gt;0,$AQ102&gt;0), IF(INDEX(CI$12:CI$263,MATCH($AQ102,$AP$12:$AP$263,0))&gt;0,($AM102*INDEX(CI$12:CI$263,MATCH($AQ102,$AP$12:$AP$263,0)))/INDEX($AI$12:$AI$263,MATCH($AQ102,$AP$12:$AP$263,0)), "-"),     TRUE, "0")</f>
        <v>0</v>
      </c>
      <c r="CK102" s="607">
        <f>IF(CJ$9&gt;0, IF(OR(CJ102="",CJ102="-"), 0, CJ102*$AT102), CI102*$AJ102)</f>
        <v>0</v>
      </c>
      <c r="CL102" s="589">
        <f>[1]COMMANDE!AQ100</f>
        <v>0</v>
      </c>
      <c r="CM102" s="586" t="str">
        <f>_xlfn.IFS(AND($AI102=$AM102,$AI102&gt;0,$AM102&gt;0,CL102&gt;0), CL102,     AND(NOT($AI102=$AM102),$AI102&gt;0,$AM102&gt;0,CL102&gt;0), ($AM102*CL102)/$AI102,     AND($AI102=0,$AM102&gt;0,$AQ102&gt;0), IF(INDEX(CL$12:CL$263,MATCH($AQ102,$AP$12:$AP$263,0))&gt;0,($AM102*INDEX(CL$12:CL$263,MATCH($AQ102,$AP$12:$AP$263,0)))/INDEX($AI$12:$AI$263,MATCH($AQ102,$AP$12:$AP$263,0)), "-"),     TRUE, "0")</f>
        <v>0</v>
      </c>
      <c r="CN102" s="588">
        <f>IF(CM$9&gt;0, IF(OR(CM102="",CM102="-"), 0, CM102*$AT102), CL102*$AJ102)</f>
        <v>0</v>
      </c>
      <c r="CO102" s="587">
        <f>[1]COMMANDE!AS100</f>
        <v>0</v>
      </c>
      <c r="CP102" s="586" t="str">
        <f>_xlfn.IFS(AND($AI102=$AM102,$AI102&gt;0,$AM102&gt;0,CO102&gt;0), CO102,     AND(NOT($AI102=$AM102),$AI102&gt;0,$AM102&gt;0,CO102&gt;0), ($AM102*CO102)/$AI102,     AND($AI102=0,$AM102&gt;0,$AQ102&gt;0), IF(INDEX(CO$12:CO$263,MATCH($AQ102,$AP$12:$AP$263,0))&gt;0,($AM102*INDEX(CO$12:CO$263,MATCH($AQ102,$AP$12:$AP$263,0)))/INDEX($AI$12:$AI$263,MATCH($AQ102,$AP$12:$AP$263,0)), "-"),     TRUE, "0")</f>
        <v>0</v>
      </c>
      <c r="CQ102" s="607">
        <f>IF(CP$9&gt;0, IF(OR(CP102="",CP102="-"), 0, CP102*$AT102), CO102*$AJ102)</f>
        <v>0</v>
      </c>
      <c r="CR102" s="589">
        <f>[1]COMMANDE!AU100</f>
        <v>0</v>
      </c>
      <c r="CS102" s="586" t="str">
        <f>_xlfn.IFS(AND($AI102=$AM102,$AI102&gt;0,$AM102&gt;0,CR102&gt;0), CR102,     AND(NOT($AI102=$AM102),$AI102&gt;0,$AM102&gt;0,CR102&gt;0), ($AM102*CR102)/$AI102,     AND($AI102=0,$AM102&gt;0,$AQ102&gt;0), IF(INDEX(CR$12:CR$263,MATCH($AQ102,$AP$12:$AP$263,0))&gt;0,($AM102*INDEX(CR$12:CR$263,MATCH($AQ102,$AP$12:$AP$263,0)))/INDEX($AI$12:$AI$263,MATCH($AQ102,$AP$12:$AP$263,0)), "-"),     TRUE, "0")</f>
        <v>0</v>
      </c>
      <c r="CT102" s="588">
        <f>IF(CS$9&gt;0, IF(OR(CS102="",CS102="-"), 0, CS102*$AT102), CR102*$AJ102)</f>
        <v>0</v>
      </c>
      <c r="CU102" s="587">
        <f>[1]COMMANDE!AW100</f>
        <v>0</v>
      </c>
      <c r="CV102" s="586" t="str">
        <f>_xlfn.IFS(AND($AI102=$AM102,$AI102&gt;0,$AM102&gt;0,CU102&gt;0), CU102,     AND(NOT($AI102=$AM102),$AI102&gt;0,$AM102&gt;0,CU102&gt;0), ($AM102*CU102)/$AI102,     AND($AI102=0,$AM102&gt;0,$AQ102&gt;0), IF(INDEX(CU$12:CU$263,MATCH($AQ102,$AP$12:$AP$263,0))&gt;0,($AM102*INDEX(CU$12:CU$263,MATCH($AQ102,$AP$12:$AP$263,0)))/INDEX($AI$12:$AI$263,MATCH($AQ102,$AP$12:$AP$263,0)), "-"),     TRUE, "0")</f>
        <v>0</v>
      </c>
      <c r="CW102" s="607">
        <f>IF(CV$9&gt;0, IF(OR(CV102="",CV102="-"), 0, CV102*$AT102), CU102*$AJ102)</f>
        <v>0</v>
      </c>
      <c r="CX102" s="589">
        <f>[1]COMMANDE!AY100</f>
        <v>0</v>
      </c>
      <c r="CY102" s="586" t="str">
        <f>_xlfn.IFS(AND($AI102=$AM102,$AI102&gt;0,$AM102&gt;0,CX102&gt;0), CX102,     AND(NOT($AI102=$AM102),$AI102&gt;0,$AM102&gt;0,CX102&gt;0), ($AM102*CX102)/$AI102,     AND($AI102=0,$AM102&gt;0,$AQ102&gt;0), IF(INDEX(CX$12:CX$263,MATCH($AQ102,$AP$12:$AP$263,0))&gt;0,($AM102*INDEX(CX$12:CX$263,MATCH($AQ102,$AP$12:$AP$263,0)))/INDEX($AI$12:$AI$263,MATCH($AQ102,$AP$12:$AP$263,0)), "-"),     TRUE, "0")</f>
        <v>0</v>
      </c>
      <c r="CZ102" s="588">
        <f>IF(CY$9&gt;0, IF(OR(CY102="",CY102="-"), 0, CY102*$AT102), CX102*$AJ102)</f>
        <v>0</v>
      </c>
      <c r="DA102" s="587">
        <f>[1]COMMANDE!BA100</f>
        <v>0</v>
      </c>
      <c r="DB102" s="586" t="str">
        <f>_xlfn.IFS(AND($AI102=$AM102,$AI102&gt;0,$AM102&gt;0,DA102&gt;0), DA102,     AND(NOT($AI102=$AM102),$AI102&gt;0,$AM102&gt;0,DA102&gt;0), ($AM102*DA102)/$AI102,     AND($AI102=0,$AM102&gt;0,$AQ102&gt;0), IF(INDEX(DA$12:DA$263,MATCH($AQ102,$AP$12:$AP$263,0))&gt;0,($AM102*INDEX(DA$12:DA$263,MATCH($AQ102,$AP$12:$AP$263,0)))/INDEX($AI$12:$AI$263,MATCH($AQ102,$AP$12:$AP$263,0)), "-"),     TRUE, "0")</f>
        <v>0</v>
      </c>
      <c r="DC102" s="606">
        <f>IF(DB$9&gt;0, IF(OR(DB102="",DB102="-"), 0, DB102*$AT102), DA102*$AJ102)</f>
        <v>0</v>
      </c>
      <c r="DD102" s="584"/>
      <c r="DE102" s="583"/>
    </row>
    <row r="103" spans="1:109" ht="39.950000000000003" hidden="1" customHeight="1">
      <c r="A103" s="604">
        <f>IF(OR($AV103&gt;0, $AX103&gt;0), 1, 0)</f>
        <v>0</v>
      </c>
      <c r="B103" s="604">
        <f>IF(OR($AY103&gt;0, $BA103&gt;0), 1, 0)</f>
        <v>0</v>
      </c>
      <c r="C103" s="604">
        <f>IF(OR($BB103&gt;0, $BD103&gt;0), 1, 0)</f>
        <v>0</v>
      </c>
      <c r="D103" s="604">
        <f>IF(OR($BE103&gt;0, $BG103&gt;0), 1, 0)</f>
        <v>0</v>
      </c>
      <c r="E103" s="604">
        <f>IF(OR($BH103&gt;0, $BJ103&gt;0), 1, 0)</f>
        <v>0</v>
      </c>
      <c r="F103" s="604">
        <f>IF(OR($BK103&gt;0, $BM103&gt;0), 1, 0)</f>
        <v>0</v>
      </c>
      <c r="G103" s="604">
        <f>IF(OR($BN103&gt;0, $BP103&gt;0), 1, 0)</f>
        <v>0</v>
      </c>
      <c r="H103" s="604">
        <f>IF(OR($BQ103&gt;0, $BS103&gt;0), 1, 0)</f>
        <v>0</v>
      </c>
      <c r="I103" s="604">
        <f>IF(OR($BT103&gt;0, $BV103&gt;0), 1, 0)</f>
        <v>0</v>
      </c>
      <c r="J103" s="604">
        <f>IF(OR($BW103&gt;0, $BY103&gt;0), 1, 0)</f>
        <v>0</v>
      </c>
      <c r="K103" s="604">
        <f>IF(OR($BZ103&gt;0, $CB103&gt;0), 1, 0)</f>
        <v>0</v>
      </c>
      <c r="L103" s="604">
        <f>IF(OR($CC103&gt;0, $CE103&gt;0), 1, 0)</f>
        <v>0</v>
      </c>
      <c r="M103" s="604">
        <f>IF(OR($CF103&gt;0, $CH103&gt;0), 1, 0)</f>
        <v>0</v>
      </c>
      <c r="N103" s="604">
        <f>IF(OR($CI103&gt;0, $CK103&gt;0), 1, 0)</f>
        <v>0</v>
      </c>
      <c r="O103" s="604">
        <f>IF(OR($CL103&gt;0, $CN103&gt;0), 1, 0)</f>
        <v>0</v>
      </c>
      <c r="P103" s="604">
        <f>IF(OR($CO103&gt;0, $CQ103&gt;0), 1, 0)</f>
        <v>0</v>
      </c>
      <c r="Q103" s="604">
        <f>IF(OR($CR103&gt;0, $CT103&gt;0), 1, 0)</f>
        <v>0</v>
      </c>
      <c r="R103" s="604">
        <f>IF(OR($CU103&gt;0, $CW103&gt;0), 1, 0)</f>
        <v>0</v>
      </c>
      <c r="S103" s="604">
        <f>IF(OR($CX103&gt;0, $CZ103&gt;0), 1, 0)</f>
        <v>0</v>
      </c>
      <c r="T103" s="604">
        <f>IF(OR($DA103&gt;0, $DC103&gt;0), 1, 0)</f>
        <v>0</v>
      </c>
      <c r="U103" s="603">
        <f>IF(OR($AI103&gt;0,$AM103&gt;0,$AS103&gt;0), 1, 0)</f>
        <v>0</v>
      </c>
      <c r="V103" s="602">
        <f>[1]BDD!A93</f>
        <v>3377</v>
      </c>
      <c r="W103" s="601" t="str">
        <f>[1]BDD!B93</f>
        <v>Eau de mer micro-filtrée hypertonique
    - (n°1 : box 3L)</v>
      </c>
      <c r="X103" s="600" t="str">
        <f>IF([1]BDD!F93=0, "", [1]BDD!F93)</f>
        <v>❤️</v>
      </c>
      <c r="Y103" s="542">
        <f>ROUND([1]BDD!G93+FDP_CMD_KG, 2)</f>
        <v>10.87</v>
      </c>
      <c r="Z103" s="542">
        <f>ROUND([1]BDD!G93+FDP_FACT_KG, 2)</f>
        <v>10.87</v>
      </c>
      <c r="AA103" s="543" t="str">
        <f>[1]BDD!H93</f>
        <v>Pièce</v>
      </c>
      <c r="AB103" s="544" t="str">
        <f>IF(NOT(ISBLANK([1]BDD!I93)), ROUND(SUM(([1]BDD!G93*reduc1),FDP_CMD_KG), 2), "")</f>
        <v/>
      </c>
      <c r="AC103" s="544" t="str">
        <f>IF(NOT(ISBLANK([1]BDD!J93)), ROUND(SUM(([1]BDD!G93*reduc2),FDP_CMD_KG), 2), "")</f>
        <v/>
      </c>
      <c r="AD103" s="544" t="str">
        <f>IF(NOT(ISBLANK([1]BDD!K93)), ROUND(SUM(([1]BDD!G93*reduc3),FDP_CMD_KG), 2), "")</f>
        <v/>
      </c>
      <c r="AE103" s="544" t="str">
        <f>IF(NOT(ISBLANK([1]BDD!I93)), ROUND(SUM(([1]BDD!G93*reduc1),FDP_FACT_KG), 2), "")</f>
        <v/>
      </c>
      <c r="AF103" s="544" t="str">
        <f>IF(NOT(ISBLANK([1]BDD!J93)), ROUND(SUM(([1]BDD!G93*reduc2),FDP_FACT_KG), 2), "")</f>
        <v/>
      </c>
      <c r="AG103" s="544" t="str">
        <f>IF(NOT(ISBLANK([1]BDD!K93)), ROUND(SUM(([1]BDD!G93*reduc3),FDP_FACT_KG), 2), "")</f>
        <v/>
      </c>
      <c r="AH103" s="599" t="str">
        <f>[1]BDD!C93</f>
        <v>Ibiza</v>
      </c>
      <c r="AI103" s="598">
        <f>SUM(AV103,AY103,BB103,BE103,BH103,BK103,BN103,BQ103,BT103,BW103,BZ103,CC103,CF103,CI103,CL103,CO103,CR103,CU103,CX103,DA103)</f>
        <v>0</v>
      </c>
      <c r="AJ103" s="545">
        <f>_xlfn.IFS($AD103&lt;&gt;"", $AD103,    $AC103&lt;&gt;"", $AC103,    $AB103&lt;&gt;"", $AB103,    TRUE, $Y103)</f>
        <v>10.87</v>
      </c>
      <c r="AK103" s="592">
        <f>$AI103*$AJ103</f>
        <v>0</v>
      </c>
      <c r="AL103" s="594"/>
      <c r="AM103" s="597"/>
      <c r="AN103" s="545">
        <f>_xlfn.IFS(AND(AM103&gt;=60,$AG103&lt;&gt;""), $AG103,    AND(AM103&gt;=30,$AF103&lt;&gt;""), $AF103,    AND(AM103&gt;=10,$AE103&lt;&gt;""), $AE103,    TRUE, $Z103)</f>
        <v>10.87</v>
      </c>
      <c r="AO103" s="596">
        <f>AM103*AN103</f>
        <v>0</v>
      </c>
      <c r="AP103" s="595"/>
      <c r="AQ103" s="595"/>
      <c r="AR103" s="594"/>
      <c r="AS103" s="593">
        <f>SUM(AW103,AZ103,BC103,BF103,BI103,BL103,BO103,BR103,BU103,BX103,CA103,CD103,CG103,CJ103,CM103,CP103,CS103,CV103,CY103,DB103)</f>
        <v>0</v>
      </c>
      <c r="AT103" s="545">
        <f>_xlfn.IFS(AND(AS103&gt;=60,$AG103&lt;&gt;""), $AG103,    AND(AS103&gt;=30,$AF103&lt;&gt;""), $AF103,    AND(AS103&gt;=10,$AE103&lt;&gt;""), $AE103,    TRUE, $Z103)</f>
        <v>10.87</v>
      </c>
      <c r="AU103" s="592">
        <f>$AS103*$AT103</f>
        <v>0</v>
      </c>
      <c r="AV103" s="591">
        <f>[1]COMMANDE!O101</f>
        <v>0</v>
      </c>
      <c r="AW103" s="586" t="str">
        <f>_xlfn.IFS(AND($AI103=$AM103,$AI103&gt;0,$AM103&gt;0,AV103&gt;0), AV103,     AND(NOT($AI103=$AM103),$AI103&gt;0,$AM103&gt;0,AV103&gt;0), ($AM103*AV103)/$AI103,     AND($AI103=0,$AM103&gt;0,$AQ103&gt;0), IF(INDEX(AV$12:AV$263,MATCH($AQ103,$AP$12:$AP$263,0))&gt;0,($AM103*INDEX(AV$12:AV$263,MATCH($AQ103,$AP$12:$AP$263,0)))/INDEX($AI$12:$AI$263,MATCH($AQ103,$AP$12:$AP$263,0)), "-"),     TRUE, "0")</f>
        <v>0</v>
      </c>
      <c r="AX103" s="588">
        <f>IF(AW$9&gt;0, IF(OR(AW103="",AW103="-"), 0, AW103*$AT103), AV103*$AJ103)</f>
        <v>0</v>
      </c>
      <c r="AY103" s="587">
        <f>[1]COMMANDE!Q101</f>
        <v>0</v>
      </c>
      <c r="AZ103" s="586" t="str">
        <f>_xlfn.IFS(AND($AI103=$AM103,$AI103&gt;0,$AM103&gt;0,AY103&gt;0), AY103,     AND(NOT($AI103=$AM103),$AI103&gt;0,$AM103&gt;0,AY103&gt;0), ($AM103*AY103)/$AI103,     AND($AI103=0,$AM103&gt;0,$AQ103&gt;0), IF(INDEX(AY$12:AY$263,MATCH($AQ103,$AP$12:$AP$263,0))&gt;0,($AM103*INDEX(AY$12:AY$263,MATCH($AQ103,$AP$12:$AP$263,0)))/INDEX($AI$12:$AI$263,MATCH($AQ103,$AP$12:$AP$263,0)), "-"),     TRUE, "0")</f>
        <v>0</v>
      </c>
      <c r="BA103" s="607">
        <f>IF(AZ$9&gt;0, IF(OR(AZ103="",AZ103="-"), 0, AZ103*$AT103), AY103*$AJ103)</f>
        <v>0</v>
      </c>
      <c r="BB103" s="589">
        <f>[1]COMMANDE!S101</f>
        <v>0</v>
      </c>
      <c r="BC103" s="586" t="str">
        <f>_xlfn.IFS(AND($AI103=$AM103,$AI103&gt;0,$AM103&gt;0,BB103&gt;0), BB103,     AND(NOT($AI103=$AM103),$AI103&gt;0,$AM103&gt;0,BB103&gt;0), ($AM103*BB103)/$AI103,     AND($AI103=0,$AM103&gt;0,$AQ103&gt;0), IF(INDEX(BB$12:BB$263,MATCH($AQ103,$AP$12:$AP$263,0))&gt;0,($AM103*INDEX(BB$12:BB$263,MATCH($AQ103,$AP$12:$AP$263,0)))/INDEX($AI$12:$AI$263,MATCH($AQ103,$AP$12:$AP$263,0)), "-"),     TRUE, "0")</f>
        <v>0</v>
      </c>
      <c r="BD103" s="588">
        <f>IF(BC$9&gt;0, IF(OR(BC103="",BC103="-"), 0, BC103*$AT103), BB103*$AJ103)</f>
        <v>0</v>
      </c>
      <c r="BE103" s="587">
        <f>[1]COMMANDE!U101</f>
        <v>0</v>
      </c>
      <c r="BF103" s="586" t="str">
        <f>_xlfn.IFS(AND($AI103=$AM103,$AI103&gt;0,$AM103&gt;0,BE103&gt;0), BE103,     AND(NOT($AI103=$AM103),$AI103&gt;0,$AM103&gt;0,BE103&gt;0), ($AM103*BE103)/$AI103,     AND($AI103=0,$AM103&gt;0,$AQ103&gt;0), IF(INDEX(BE$12:BE$263,MATCH($AQ103,$AP$12:$AP$263,0))&gt;0,($AM103*INDEX(BE$12:BE$263,MATCH($AQ103,$AP$12:$AP$263,0)))/INDEX($AI$12:$AI$263,MATCH($AQ103,$AP$12:$AP$263,0)), "-"),     TRUE, "0")</f>
        <v>0</v>
      </c>
      <c r="BG103" s="607">
        <f>IF(BF$9&gt;0, IF(OR(BF103="",BF103="-"), 0, BF103*$AT103), BE103*$AJ103)</f>
        <v>0</v>
      </c>
      <c r="BH103" s="589">
        <f>[1]COMMANDE!W101</f>
        <v>0</v>
      </c>
      <c r="BI103" s="586" t="str">
        <f>_xlfn.IFS(AND($AI103=$AM103,$AI103&gt;0,$AM103&gt;0,BH103&gt;0), BH103,     AND(NOT($AI103=$AM103),$AI103&gt;0,$AM103&gt;0,BH103&gt;0), ($AM103*BH103)/$AI103,     AND($AI103=0,$AM103&gt;0,$AQ103&gt;0), IF(INDEX(BH$12:BH$263,MATCH($AQ103,$AP$12:$AP$263,0))&gt;0,($AM103*INDEX(BH$12:BH$263,MATCH($AQ103,$AP$12:$AP$263,0)))/INDEX($AI$12:$AI$263,MATCH($AQ103,$AP$12:$AP$263,0)), "-"),     TRUE, "0")</f>
        <v>0</v>
      </c>
      <c r="BJ103" s="588">
        <f>IF(BI$9&gt;0, IF(OR(BI103="",BI103="-"), 0, BI103*$AT103), BH103*$AJ103)</f>
        <v>0</v>
      </c>
      <c r="BK103" s="587">
        <f>[1]COMMANDE!Y101</f>
        <v>0</v>
      </c>
      <c r="BL103" s="586" t="str">
        <f>_xlfn.IFS(AND($AI103=$AM103,$AI103&gt;0,$AM103&gt;0,BK103&gt;0), BK103,     AND(NOT($AI103=$AM103),$AI103&gt;0,$AM103&gt;0,BK103&gt;0), ($AM103*BK103)/$AI103,     AND($AI103=0,$AM103&gt;0,$AQ103&gt;0), IF(INDEX(BK$12:BK$263,MATCH($AQ103,$AP$12:$AP$263,0))&gt;0,($AM103*INDEX(BK$12:BK$263,MATCH($AQ103,$AP$12:$AP$263,0)))/INDEX($AI$12:$AI$263,MATCH($AQ103,$AP$12:$AP$263,0)), "-"),     TRUE, "0")</f>
        <v>0</v>
      </c>
      <c r="BM103" s="607">
        <f>IF(BL$9&gt;0, IF(OR(BL103="",BL103="-"), 0, BL103*$AT103), BK103*$AJ103)</f>
        <v>0</v>
      </c>
      <c r="BN103" s="589">
        <f>[1]COMMANDE!AA101</f>
        <v>0</v>
      </c>
      <c r="BO103" s="586" t="str">
        <f>_xlfn.IFS(AND($AI103=$AM103,$AI103&gt;0,$AM103&gt;0,BN103&gt;0), BN103,     AND(NOT($AI103=$AM103),$AI103&gt;0,$AM103&gt;0,BN103&gt;0), ($AM103*BN103)/$AI103,     AND($AI103=0,$AM103&gt;0,$AQ103&gt;0), IF(INDEX(BN$12:BN$263,MATCH($AQ103,$AP$12:$AP$263,0))&gt;0,($AM103*INDEX(BN$12:BN$263,MATCH($AQ103,$AP$12:$AP$263,0)))/INDEX($AI$12:$AI$263,MATCH($AQ103,$AP$12:$AP$263,0)), "-"),     TRUE, "0")</f>
        <v>0</v>
      </c>
      <c r="BP103" s="588">
        <f>IF(BO$9&gt;0, IF(OR(BO103="",BO103="-"), 0, BO103*$AT103), BN103*$AJ103)</f>
        <v>0</v>
      </c>
      <c r="BQ103" s="587">
        <f>[1]COMMANDE!AC101</f>
        <v>0</v>
      </c>
      <c r="BR103" s="586" t="str">
        <f>_xlfn.IFS(AND($AI103=$AM103,$AI103&gt;0,$AM103&gt;0,BQ103&gt;0), BQ103,     AND(NOT($AI103=$AM103),$AI103&gt;0,$AM103&gt;0,BQ103&gt;0), ($AM103*BQ103)/$AI103,     AND($AI103=0,$AM103&gt;0,$AQ103&gt;0), IF(INDEX(BQ$12:BQ$263,MATCH($AQ103,$AP$12:$AP$263,0))&gt;0,($AM103*INDEX(BQ$12:BQ$263,MATCH($AQ103,$AP$12:$AP$263,0)))/INDEX($AI$12:$AI$263,MATCH($AQ103,$AP$12:$AP$263,0)), "-"),     TRUE, "0")</f>
        <v>0</v>
      </c>
      <c r="BS103" s="607">
        <f>IF(BR$9&gt;0, IF(OR(BR103="",BR103="-"), 0, BR103*$AT103), BQ103*$AJ103)</f>
        <v>0</v>
      </c>
      <c r="BT103" s="589">
        <f>[1]COMMANDE!AE101</f>
        <v>0</v>
      </c>
      <c r="BU103" s="586" t="str">
        <f>_xlfn.IFS(AND($AI103=$AM103,$AI103&gt;0,$AM103&gt;0,BT103&gt;0), BT103,     AND(NOT($AI103=$AM103),$AI103&gt;0,$AM103&gt;0,BT103&gt;0), ($AM103*BT103)/$AI103,     AND($AI103=0,$AM103&gt;0,$AQ103&gt;0), IF(INDEX(BT$12:BT$263,MATCH($AQ103,$AP$12:$AP$263,0))&gt;0,($AM103*INDEX(BT$12:BT$263,MATCH($AQ103,$AP$12:$AP$263,0)))/INDEX($AI$12:$AI$263,MATCH($AQ103,$AP$12:$AP$263,0)), "-"),     TRUE, "0")</f>
        <v>0</v>
      </c>
      <c r="BV103" s="588">
        <f>IF(BU$9&gt;0, IF(OR(BU103="",BU103="-"), 0, BU103*$AT103), BT103*$AJ103)</f>
        <v>0</v>
      </c>
      <c r="BW103" s="587">
        <f>[1]COMMANDE!AG101</f>
        <v>0</v>
      </c>
      <c r="BX103" s="586" t="str">
        <f>_xlfn.IFS(AND($AI103=$AM103,$AI103&gt;0,$AM103&gt;0,BW103&gt;0), BW103,     AND(NOT($AI103=$AM103),$AI103&gt;0,$AM103&gt;0,BW103&gt;0), ($AM103*BW103)/$AI103,     AND($AI103=0,$AM103&gt;0,$AQ103&gt;0), IF(INDEX(BW$12:BW$263,MATCH($AQ103,$AP$12:$AP$263,0))&gt;0,($AM103*INDEX(BW$12:BW$263,MATCH($AQ103,$AP$12:$AP$263,0)))/INDEX($AI$12:$AI$263,MATCH($AQ103,$AP$12:$AP$263,0)), "-"),     TRUE, "0")</f>
        <v>0</v>
      </c>
      <c r="BY103" s="607">
        <f>IF(BX$9&gt;0, IF(OR(BX103="",BX103="-"), 0, BX103*$AT103), BW103*$AJ103)</f>
        <v>0</v>
      </c>
      <c r="BZ103" s="589">
        <f>[1]COMMANDE!AI101</f>
        <v>0</v>
      </c>
      <c r="CA103" s="586" t="str">
        <f>_xlfn.IFS(AND($AI103=$AM103,$AI103&gt;0,$AM103&gt;0,BZ103&gt;0), BZ103,     AND(NOT($AI103=$AM103),$AI103&gt;0,$AM103&gt;0,BZ103&gt;0), ($AM103*BZ103)/$AI103,     AND($AI103=0,$AM103&gt;0,$AQ103&gt;0), IF(INDEX(BZ$12:BZ$263,MATCH($AQ103,$AP$12:$AP$263,0))&gt;0,($AM103*INDEX(BZ$12:BZ$263,MATCH($AQ103,$AP$12:$AP$263,0)))/INDEX($AI$12:$AI$263,MATCH($AQ103,$AP$12:$AP$263,0)), "-"),     TRUE, "0")</f>
        <v>0</v>
      </c>
      <c r="CB103" s="588">
        <f>IF(CA$9&gt;0, IF(OR(CA103="",CA103="-"), 0, CA103*$AT103), BZ103*$AJ103)</f>
        <v>0</v>
      </c>
      <c r="CC103" s="587">
        <f>[1]COMMANDE!AK101</f>
        <v>0</v>
      </c>
      <c r="CD103" s="586" t="str">
        <f>_xlfn.IFS(AND($AI103=$AM103,$AI103&gt;0,$AM103&gt;0,CC103&gt;0), CC103,     AND(NOT($AI103=$AM103),$AI103&gt;0,$AM103&gt;0,CC103&gt;0), ($AM103*CC103)/$AI103,     AND($AI103=0,$AM103&gt;0,$AQ103&gt;0), IF(INDEX(CC$12:CC$263,MATCH($AQ103,$AP$12:$AP$263,0))&gt;0,($AM103*INDEX(CC$12:CC$263,MATCH($AQ103,$AP$12:$AP$263,0)))/INDEX($AI$12:$AI$263,MATCH($AQ103,$AP$12:$AP$263,0)), "-"),     TRUE, "0")</f>
        <v>0</v>
      </c>
      <c r="CE103" s="607">
        <f>IF(CD$9&gt;0, IF(OR(CD103="",CD103="-"), 0, CD103*$AT103), CC103*$AJ103)</f>
        <v>0</v>
      </c>
      <c r="CF103" s="589">
        <f>[1]COMMANDE!AM101</f>
        <v>0</v>
      </c>
      <c r="CG103" s="586" t="str">
        <f>_xlfn.IFS(AND($AI103=$AM103,$AI103&gt;0,$AM103&gt;0,CF103&gt;0), CF103,     AND(NOT($AI103=$AM103),$AI103&gt;0,$AM103&gt;0,CF103&gt;0), ($AM103*CF103)/$AI103,     AND($AI103=0,$AM103&gt;0,$AQ103&gt;0), IF(INDEX(CF$12:CF$263,MATCH($AQ103,$AP$12:$AP$263,0))&gt;0,($AM103*INDEX(CF$12:CF$263,MATCH($AQ103,$AP$12:$AP$263,0)))/INDEX($AI$12:$AI$263,MATCH($AQ103,$AP$12:$AP$263,0)), "-"),     TRUE, "0")</f>
        <v>0</v>
      </c>
      <c r="CH103" s="588">
        <f>IF(CG$9&gt;0, IF(OR(CG103="",CG103="-"), 0, CG103*$AT103), CF103*$AJ103)</f>
        <v>0</v>
      </c>
      <c r="CI103" s="587">
        <f>[1]COMMANDE!AO101</f>
        <v>0</v>
      </c>
      <c r="CJ103" s="586" t="str">
        <f>_xlfn.IFS(AND($AI103=$AM103,$AI103&gt;0,$AM103&gt;0,CI103&gt;0), CI103,     AND(NOT($AI103=$AM103),$AI103&gt;0,$AM103&gt;0,CI103&gt;0), ($AM103*CI103)/$AI103,     AND($AI103=0,$AM103&gt;0,$AQ103&gt;0), IF(INDEX(CI$12:CI$263,MATCH($AQ103,$AP$12:$AP$263,0))&gt;0,($AM103*INDEX(CI$12:CI$263,MATCH($AQ103,$AP$12:$AP$263,0)))/INDEX($AI$12:$AI$263,MATCH($AQ103,$AP$12:$AP$263,0)), "-"),     TRUE, "0")</f>
        <v>0</v>
      </c>
      <c r="CK103" s="607">
        <f>IF(CJ$9&gt;0, IF(OR(CJ103="",CJ103="-"), 0, CJ103*$AT103), CI103*$AJ103)</f>
        <v>0</v>
      </c>
      <c r="CL103" s="589">
        <f>[1]COMMANDE!AQ101</f>
        <v>0</v>
      </c>
      <c r="CM103" s="586" t="str">
        <f>_xlfn.IFS(AND($AI103=$AM103,$AI103&gt;0,$AM103&gt;0,CL103&gt;0), CL103,     AND(NOT($AI103=$AM103),$AI103&gt;0,$AM103&gt;0,CL103&gt;0), ($AM103*CL103)/$AI103,     AND($AI103=0,$AM103&gt;0,$AQ103&gt;0), IF(INDEX(CL$12:CL$263,MATCH($AQ103,$AP$12:$AP$263,0))&gt;0,($AM103*INDEX(CL$12:CL$263,MATCH($AQ103,$AP$12:$AP$263,0)))/INDEX($AI$12:$AI$263,MATCH($AQ103,$AP$12:$AP$263,0)), "-"),     TRUE, "0")</f>
        <v>0</v>
      </c>
      <c r="CN103" s="588">
        <f>IF(CM$9&gt;0, IF(OR(CM103="",CM103="-"), 0, CM103*$AT103), CL103*$AJ103)</f>
        <v>0</v>
      </c>
      <c r="CO103" s="587">
        <f>[1]COMMANDE!AS101</f>
        <v>0</v>
      </c>
      <c r="CP103" s="586" t="str">
        <f>_xlfn.IFS(AND($AI103=$AM103,$AI103&gt;0,$AM103&gt;0,CO103&gt;0), CO103,     AND(NOT($AI103=$AM103),$AI103&gt;0,$AM103&gt;0,CO103&gt;0), ($AM103*CO103)/$AI103,     AND($AI103=0,$AM103&gt;0,$AQ103&gt;0), IF(INDEX(CO$12:CO$263,MATCH($AQ103,$AP$12:$AP$263,0))&gt;0,($AM103*INDEX(CO$12:CO$263,MATCH($AQ103,$AP$12:$AP$263,0)))/INDEX($AI$12:$AI$263,MATCH($AQ103,$AP$12:$AP$263,0)), "-"),     TRUE, "0")</f>
        <v>0</v>
      </c>
      <c r="CQ103" s="607">
        <f>IF(CP$9&gt;0, IF(OR(CP103="",CP103="-"), 0, CP103*$AT103), CO103*$AJ103)</f>
        <v>0</v>
      </c>
      <c r="CR103" s="589">
        <f>[1]COMMANDE!AU101</f>
        <v>0</v>
      </c>
      <c r="CS103" s="586" t="str">
        <f>_xlfn.IFS(AND($AI103=$AM103,$AI103&gt;0,$AM103&gt;0,CR103&gt;0), CR103,     AND(NOT($AI103=$AM103),$AI103&gt;0,$AM103&gt;0,CR103&gt;0), ($AM103*CR103)/$AI103,     AND($AI103=0,$AM103&gt;0,$AQ103&gt;0), IF(INDEX(CR$12:CR$263,MATCH($AQ103,$AP$12:$AP$263,0))&gt;0,($AM103*INDEX(CR$12:CR$263,MATCH($AQ103,$AP$12:$AP$263,0)))/INDEX($AI$12:$AI$263,MATCH($AQ103,$AP$12:$AP$263,0)), "-"),     TRUE, "0")</f>
        <v>0</v>
      </c>
      <c r="CT103" s="588">
        <f>IF(CS$9&gt;0, IF(OR(CS103="",CS103="-"), 0, CS103*$AT103), CR103*$AJ103)</f>
        <v>0</v>
      </c>
      <c r="CU103" s="587">
        <f>[1]COMMANDE!AW101</f>
        <v>0</v>
      </c>
      <c r="CV103" s="586" t="str">
        <f>_xlfn.IFS(AND($AI103=$AM103,$AI103&gt;0,$AM103&gt;0,CU103&gt;0), CU103,     AND(NOT($AI103=$AM103),$AI103&gt;0,$AM103&gt;0,CU103&gt;0), ($AM103*CU103)/$AI103,     AND($AI103=0,$AM103&gt;0,$AQ103&gt;0), IF(INDEX(CU$12:CU$263,MATCH($AQ103,$AP$12:$AP$263,0))&gt;0,($AM103*INDEX(CU$12:CU$263,MATCH($AQ103,$AP$12:$AP$263,0)))/INDEX($AI$12:$AI$263,MATCH($AQ103,$AP$12:$AP$263,0)), "-"),     TRUE, "0")</f>
        <v>0</v>
      </c>
      <c r="CW103" s="607">
        <f>IF(CV$9&gt;0, IF(OR(CV103="",CV103="-"), 0, CV103*$AT103), CU103*$AJ103)</f>
        <v>0</v>
      </c>
      <c r="CX103" s="589">
        <f>[1]COMMANDE!AY101</f>
        <v>0</v>
      </c>
      <c r="CY103" s="586" t="str">
        <f>_xlfn.IFS(AND($AI103=$AM103,$AI103&gt;0,$AM103&gt;0,CX103&gt;0), CX103,     AND(NOT($AI103=$AM103),$AI103&gt;0,$AM103&gt;0,CX103&gt;0), ($AM103*CX103)/$AI103,     AND($AI103=0,$AM103&gt;0,$AQ103&gt;0), IF(INDEX(CX$12:CX$263,MATCH($AQ103,$AP$12:$AP$263,0))&gt;0,($AM103*INDEX(CX$12:CX$263,MATCH($AQ103,$AP$12:$AP$263,0)))/INDEX($AI$12:$AI$263,MATCH($AQ103,$AP$12:$AP$263,0)), "-"),     TRUE, "0")</f>
        <v>0</v>
      </c>
      <c r="CZ103" s="588">
        <f>IF(CY$9&gt;0, IF(OR(CY103="",CY103="-"), 0, CY103*$AT103), CX103*$AJ103)</f>
        <v>0</v>
      </c>
      <c r="DA103" s="587">
        <f>[1]COMMANDE!BA101</f>
        <v>0</v>
      </c>
      <c r="DB103" s="586" t="str">
        <f>_xlfn.IFS(AND($AI103=$AM103,$AI103&gt;0,$AM103&gt;0,DA103&gt;0), DA103,     AND(NOT($AI103=$AM103),$AI103&gt;0,$AM103&gt;0,DA103&gt;0), ($AM103*DA103)/$AI103,     AND($AI103=0,$AM103&gt;0,$AQ103&gt;0), IF(INDEX(DA$12:DA$263,MATCH($AQ103,$AP$12:$AP$263,0))&gt;0,($AM103*INDEX(DA$12:DA$263,MATCH($AQ103,$AP$12:$AP$263,0)))/INDEX($AI$12:$AI$263,MATCH($AQ103,$AP$12:$AP$263,0)), "-"),     TRUE, "0")</f>
        <v>0</v>
      </c>
      <c r="DC103" s="606">
        <f>IF(DB$9&gt;0, IF(OR(DB103="",DB103="-"), 0, DB103*$AT103), DA103*$AJ103)</f>
        <v>0</v>
      </c>
      <c r="DD103" s="584"/>
      <c r="DE103" s="583"/>
    </row>
    <row r="104" spans="1:109" ht="39.950000000000003" hidden="1" customHeight="1">
      <c r="A104" s="604">
        <f>IF(OR($AV104&gt;0, $AX104&gt;0), 1, 0)</f>
        <v>0</v>
      </c>
      <c r="B104" s="604">
        <f>IF(OR($AY104&gt;0, $BA104&gt;0), 1, 0)</f>
        <v>0</v>
      </c>
      <c r="C104" s="604">
        <f>IF(OR($BB104&gt;0, $BD104&gt;0), 1, 0)</f>
        <v>0</v>
      </c>
      <c r="D104" s="604">
        <f>IF(OR($BE104&gt;0, $BG104&gt;0), 1, 0)</f>
        <v>0</v>
      </c>
      <c r="E104" s="604">
        <f>IF(OR($BH104&gt;0, $BJ104&gt;0), 1, 0)</f>
        <v>0</v>
      </c>
      <c r="F104" s="604">
        <f>IF(OR($BK104&gt;0, $BM104&gt;0), 1, 0)</f>
        <v>0</v>
      </c>
      <c r="G104" s="604">
        <f>IF(OR($BN104&gt;0, $BP104&gt;0), 1, 0)</f>
        <v>0</v>
      </c>
      <c r="H104" s="604">
        <f>IF(OR($BQ104&gt;0, $BS104&gt;0), 1, 0)</f>
        <v>0</v>
      </c>
      <c r="I104" s="604">
        <f>IF(OR($BT104&gt;0, $BV104&gt;0), 1, 0)</f>
        <v>0</v>
      </c>
      <c r="J104" s="604">
        <f>IF(OR($BW104&gt;0, $BY104&gt;0), 1, 0)</f>
        <v>0</v>
      </c>
      <c r="K104" s="604">
        <f>IF(OR($BZ104&gt;0, $CB104&gt;0), 1, 0)</f>
        <v>0</v>
      </c>
      <c r="L104" s="604">
        <f>IF(OR($CC104&gt;0, $CE104&gt;0), 1, 0)</f>
        <v>0</v>
      </c>
      <c r="M104" s="604">
        <f>IF(OR($CF104&gt;0, $CH104&gt;0), 1, 0)</f>
        <v>0</v>
      </c>
      <c r="N104" s="604">
        <f>IF(OR($CI104&gt;0, $CK104&gt;0), 1, 0)</f>
        <v>0</v>
      </c>
      <c r="O104" s="604">
        <f>IF(OR($CL104&gt;0, $CN104&gt;0), 1, 0)</f>
        <v>0</v>
      </c>
      <c r="P104" s="604">
        <f>IF(OR($CO104&gt;0, $CQ104&gt;0), 1, 0)</f>
        <v>0</v>
      </c>
      <c r="Q104" s="604">
        <f>IF(OR($CR104&gt;0, $CT104&gt;0), 1, 0)</f>
        <v>0</v>
      </c>
      <c r="R104" s="604">
        <f>IF(OR($CU104&gt;0, $CW104&gt;0), 1, 0)</f>
        <v>0</v>
      </c>
      <c r="S104" s="604">
        <f>IF(OR($CX104&gt;0, $CZ104&gt;0), 1, 0)</f>
        <v>0</v>
      </c>
      <c r="T104" s="604">
        <f>IF(OR($DA104&gt;0, $DC104&gt;0), 1, 0)</f>
        <v>0</v>
      </c>
      <c r="U104" s="603">
        <f>IF(OR($AI104&gt;0,$AM104&gt;0,$AS104&gt;0), 1, 0)</f>
        <v>0</v>
      </c>
      <c r="V104" s="602">
        <f>[1]BDD!A94</f>
        <v>3720</v>
      </c>
      <c r="W104" s="601" t="str">
        <f>[1]BDD!B94</f>
        <v>Eau de mer micro-filtrée hypertonique
    - (n°2 : box 11L)</v>
      </c>
      <c r="X104" s="600" t="str">
        <f>IF([1]BDD!F94=0, "", [1]BDD!F94)</f>
        <v>❤️</v>
      </c>
      <c r="Y104" s="542">
        <f>ROUND([1]BDD!G94+FDP_CMD_KG, 2)</f>
        <v>30.87</v>
      </c>
      <c r="Z104" s="542">
        <f>ROUND([1]BDD!G94+FDP_FACT_KG, 2)</f>
        <v>30.87</v>
      </c>
      <c r="AA104" s="543" t="str">
        <f>[1]BDD!H94</f>
        <v>Pièce</v>
      </c>
      <c r="AB104" s="544" t="str">
        <f>IF(NOT(ISBLANK([1]BDD!I94)), ROUND(SUM(([1]BDD!G94*reduc1),FDP_CMD_KG), 2), "")</f>
        <v/>
      </c>
      <c r="AC104" s="544" t="str">
        <f>IF(NOT(ISBLANK([1]BDD!J94)), ROUND(SUM(([1]BDD!G94*reduc2),FDP_CMD_KG), 2), "")</f>
        <v/>
      </c>
      <c r="AD104" s="544" t="str">
        <f>IF(NOT(ISBLANK([1]BDD!K94)), ROUND(SUM(([1]BDD!G94*reduc3),FDP_CMD_KG), 2), "")</f>
        <v/>
      </c>
      <c r="AE104" s="544" t="str">
        <f>IF(NOT(ISBLANK([1]BDD!I94)), ROUND(SUM(([1]BDD!G94*reduc1),FDP_FACT_KG), 2), "")</f>
        <v/>
      </c>
      <c r="AF104" s="544" t="str">
        <f>IF(NOT(ISBLANK([1]BDD!J94)), ROUND(SUM(([1]BDD!G94*reduc2),FDP_FACT_KG), 2), "")</f>
        <v/>
      </c>
      <c r="AG104" s="544" t="str">
        <f>IF(NOT(ISBLANK([1]BDD!K94)), ROUND(SUM(([1]BDD!G94*reduc3),FDP_FACT_KG), 2), "")</f>
        <v/>
      </c>
      <c r="AH104" s="599" t="str">
        <f>[1]BDD!C94</f>
        <v>Ibiza</v>
      </c>
      <c r="AI104" s="598">
        <f>SUM(AV104,AY104,BB104,BE104,BH104,BK104,BN104,BQ104,BT104,BW104,BZ104,CC104,CF104,CI104,CL104,CO104,CR104,CU104,CX104,DA104)</f>
        <v>0</v>
      </c>
      <c r="AJ104" s="545">
        <f>_xlfn.IFS($AD104&lt;&gt;"", $AD104,    $AC104&lt;&gt;"", $AC104,    $AB104&lt;&gt;"", $AB104,    TRUE, $Y104)</f>
        <v>30.87</v>
      </c>
      <c r="AK104" s="592">
        <f>$AI104*$AJ104</f>
        <v>0</v>
      </c>
      <c r="AL104" s="594"/>
      <c r="AM104" s="597"/>
      <c r="AN104" s="545">
        <f>_xlfn.IFS(AND(AM104&gt;=60,$AG104&lt;&gt;""), $AG104,    AND(AM104&gt;=30,$AF104&lt;&gt;""), $AF104,    AND(AM104&gt;=10,$AE104&lt;&gt;""), $AE104,    TRUE, $Z104)</f>
        <v>30.87</v>
      </c>
      <c r="AO104" s="596">
        <f>AM104*AN104</f>
        <v>0</v>
      </c>
      <c r="AP104" s="595"/>
      <c r="AQ104" s="595"/>
      <c r="AR104" s="594"/>
      <c r="AS104" s="593">
        <f>SUM(AW104,AZ104,BC104,BF104,BI104,BL104,BO104,BR104,BU104,BX104,CA104,CD104,CG104,CJ104,CM104,CP104,CS104,CV104,CY104,DB104)</f>
        <v>0</v>
      </c>
      <c r="AT104" s="545">
        <f>_xlfn.IFS(AND(AS104&gt;=60,$AG104&lt;&gt;""), $AG104,    AND(AS104&gt;=30,$AF104&lt;&gt;""), $AF104,    AND(AS104&gt;=10,$AE104&lt;&gt;""), $AE104,    TRUE, $Z104)</f>
        <v>30.87</v>
      </c>
      <c r="AU104" s="592">
        <f>$AS104*$AT104</f>
        <v>0</v>
      </c>
      <c r="AV104" s="591">
        <f>[1]COMMANDE!O102</f>
        <v>0</v>
      </c>
      <c r="AW104" s="586" t="str">
        <f>_xlfn.IFS(AND($AI104=$AM104,$AI104&gt;0,$AM104&gt;0,AV104&gt;0), AV104,     AND(NOT($AI104=$AM104),$AI104&gt;0,$AM104&gt;0,AV104&gt;0), ($AM104*AV104)/$AI104,     AND($AI104=0,$AM104&gt;0,$AQ104&gt;0), IF(INDEX(AV$12:AV$263,MATCH($AQ104,$AP$12:$AP$263,0))&gt;0,($AM104*INDEX(AV$12:AV$263,MATCH($AQ104,$AP$12:$AP$263,0)))/INDEX($AI$12:$AI$263,MATCH($AQ104,$AP$12:$AP$263,0)), "-"),     TRUE, "0")</f>
        <v>0</v>
      </c>
      <c r="AX104" s="588">
        <f>IF(AW$9&gt;0, IF(OR(AW104="",AW104="-"), 0, AW104*$AT104), AV104*$AJ104)</f>
        <v>0</v>
      </c>
      <c r="AY104" s="587">
        <f>[1]COMMANDE!Q102</f>
        <v>0</v>
      </c>
      <c r="AZ104" s="586" t="str">
        <f>_xlfn.IFS(AND($AI104=$AM104,$AI104&gt;0,$AM104&gt;0,AY104&gt;0), AY104,     AND(NOT($AI104=$AM104),$AI104&gt;0,$AM104&gt;0,AY104&gt;0), ($AM104*AY104)/$AI104,     AND($AI104=0,$AM104&gt;0,$AQ104&gt;0), IF(INDEX(AY$12:AY$263,MATCH($AQ104,$AP$12:$AP$263,0))&gt;0,($AM104*INDEX(AY$12:AY$263,MATCH($AQ104,$AP$12:$AP$263,0)))/INDEX($AI$12:$AI$263,MATCH($AQ104,$AP$12:$AP$263,0)), "-"),     TRUE, "0")</f>
        <v>0</v>
      </c>
      <c r="BA104" s="607">
        <f>IF(AZ$9&gt;0, IF(OR(AZ104="",AZ104="-"), 0, AZ104*$AT104), AY104*$AJ104)</f>
        <v>0</v>
      </c>
      <c r="BB104" s="589">
        <f>[1]COMMANDE!S102</f>
        <v>0</v>
      </c>
      <c r="BC104" s="586" t="str">
        <f>_xlfn.IFS(AND($AI104=$AM104,$AI104&gt;0,$AM104&gt;0,BB104&gt;0), BB104,     AND(NOT($AI104=$AM104),$AI104&gt;0,$AM104&gt;0,BB104&gt;0), ($AM104*BB104)/$AI104,     AND($AI104=0,$AM104&gt;0,$AQ104&gt;0), IF(INDEX(BB$12:BB$263,MATCH($AQ104,$AP$12:$AP$263,0))&gt;0,($AM104*INDEX(BB$12:BB$263,MATCH($AQ104,$AP$12:$AP$263,0)))/INDEX($AI$12:$AI$263,MATCH($AQ104,$AP$12:$AP$263,0)), "-"),     TRUE, "0")</f>
        <v>0</v>
      </c>
      <c r="BD104" s="588">
        <f>IF(BC$9&gt;0, IF(OR(BC104="",BC104="-"), 0, BC104*$AT104), BB104*$AJ104)</f>
        <v>0</v>
      </c>
      <c r="BE104" s="587">
        <f>[1]COMMANDE!U102</f>
        <v>0</v>
      </c>
      <c r="BF104" s="586" t="str">
        <f>_xlfn.IFS(AND($AI104=$AM104,$AI104&gt;0,$AM104&gt;0,BE104&gt;0), BE104,     AND(NOT($AI104=$AM104),$AI104&gt;0,$AM104&gt;0,BE104&gt;0), ($AM104*BE104)/$AI104,     AND($AI104=0,$AM104&gt;0,$AQ104&gt;0), IF(INDEX(BE$12:BE$263,MATCH($AQ104,$AP$12:$AP$263,0))&gt;0,($AM104*INDEX(BE$12:BE$263,MATCH($AQ104,$AP$12:$AP$263,0)))/INDEX($AI$12:$AI$263,MATCH($AQ104,$AP$12:$AP$263,0)), "-"),     TRUE, "0")</f>
        <v>0</v>
      </c>
      <c r="BG104" s="607">
        <f>IF(BF$9&gt;0, IF(OR(BF104="",BF104="-"), 0, BF104*$AT104), BE104*$AJ104)</f>
        <v>0</v>
      </c>
      <c r="BH104" s="589">
        <f>[1]COMMANDE!W102</f>
        <v>0</v>
      </c>
      <c r="BI104" s="586" t="str">
        <f>_xlfn.IFS(AND($AI104=$AM104,$AI104&gt;0,$AM104&gt;0,BH104&gt;0), BH104,     AND(NOT($AI104=$AM104),$AI104&gt;0,$AM104&gt;0,BH104&gt;0), ($AM104*BH104)/$AI104,     AND($AI104=0,$AM104&gt;0,$AQ104&gt;0), IF(INDEX(BH$12:BH$263,MATCH($AQ104,$AP$12:$AP$263,0))&gt;0,($AM104*INDEX(BH$12:BH$263,MATCH($AQ104,$AP$12:$AP$263,0)))/INDEX($AI$12:$AI$263,MATCH($AQ104,$AP$12:$AP$263,0)), "-"),     TRUE, "0")</f>
        <v>0</v>
      </c>
      <c r="BJ104" s="588">
        <f>IF(BI$9&gt;0, IF(OR(BI104="",BI104="-"), 0, BI104*$AT104), BH104*$AJ104)</f>
        <v>0</v>
      </c>
      <c r="BK104" s="587">
        <f>[1]COMMANDE!Y102</f>
        <v>0</v>
      </c>
      <c r="BL104" s="586" t="str">
        <f>_xlfn.IFS(AND($AI104=$AM104,$AI104&gt;0,$AM104&gt;0,BK104&gt;0), BK104,     AND(NOT($AI104=$AM104),$AI104&gt;0,$AM104&gt;0,BK104&gt;0), ($AM104*BK104)/$AI104,     AND($AI104=0,$AM104&gt;0,$AQ104&gt;0), IF(INDEX(BK$12:BK$263,MATCH($AQ104,$AP$12:$AP$263,0))&gt;0,($AM104*INDEX(BK$12:BK$263,MATCH($AQ104,$AP$12:$AP$263,0)))/INDEX($AI$12:$AI$263,MATCH($AQ104,$AP$12:$AP$263,0)), "-"),     TRUE, "0")</f>
        <v>0</v>
      </c>
      <c r="BM104" s="607">
        <f>IF(BL$9&gt;0, IF(OR(BL104="",BL104="-"), 0, BL104*$AT104), BK104*$AJ104)</f>
        <v>0</v>
      </c>
      <c r="BN104" s="589">
        <f>[1]COMMANDE!AA102</f>
        <v>0</v>
      </c>
      <c r="BO104" s="586" t="str">
        <f>_xlfn.IFS(AND($AI104=$AM104,$AI104&gt;0,$AM104&gt;0,BN104&gt;0), BN104,     AND(NOT($AI104=$AM104),$AI104&gt;0,$AM104&gt;0,BN104&gt;0), ($AM104*BN104)/$AI104,     AND($AI104=0,$AM104&gt;0,$AQ104&gt;0), IF(INDEX(BN$12:BN$263,MATCH($AQ104,$AP$12:$AP$263,0))&gt;0,($AM104*INDEX(BN$12:BN$263,MATCH($AQ104,$AP$12:$AP$263,0)))/INDEX($AI$12:$AI$263,MATCH($AQ104,$AP$12:$AP$263,0)), "-"),     TRUE, "0")</f>
        <v>0</v>
      </c>
      <c r="BP104" s="588">
        <f>IF(BO$9&gt;0, IF(OR(BO104="",BO104="-"), 0, BO104*$AT104), BN104*$AJ104)</f>
        <v>0</v>
      </c>
      <c r="BQ104" s="587">
        <f>[1]COMMANDE!AC102</f>
        <v>0</v>
      </c>
      <c r="BR104" s="586" t="str">
        <f>_xlfn.IFS(AND($AI104=$AM104,$AI104&gt;0,$AM104&gt;0,BQ104&gt;0), BQ104,     AND(NOT($AI104=$AM104),$AI104&gt;0,$AM104&gt;0,BQ104&gt;0), ($AM104*BQ104)/$AI104,     AND($AI104=0,$AM104&gt;0,$AQ104&gt;0), IF(INDEX(BQ$12:BQ$263,MATCH($AQ104,$AP$12:$AP$263,0))&gt;0,($AM104*INDEX(BQ$12:BQ$263,MATCH($AQ104,$AP$12:$AP$263,0)))/INDEX($AI$12:$AI$263,MATCH($AQ104,$AP$12:$AP$263,0)), "-"),     TRUE, "0")</f>
        <v>0</v>
      </c>
      <c r="BS104" s="607">
        <f>IF(BR$9&gt;0, IF(OR(BR104="",BR104="-"), 0, BR104*$AT104), BQ104*$AJ104)</f>
        <v>0</v>
      </c>
      <c r="BT104" s="589">
        <f>[1]COMMANDE!AE102</f>
        <v>0</v>
      </c>
      <c r="BU104" s="586" t="str">
        <f>_xlfn.IFS(AND($AI104=$AM104,$AI104&gt;0,$AM104&gt;0,BT104&gt;0), BT104,     AND(NOT($AI104=$AM104),$AI104&gt;0,$AM104&gt;0,BT104&gt;0), ($AM104*BT104)/$AI104,     AND($AI104=0,$AM104&gt;0,$AQ104&gt;0), IF(INDEX(BT$12:BT$263,MATCH($AQ104,$AP$12:$AP$263,0))&gt;0,($AM104*INDEX(BT$12:BT$263,MATCH($AQ104,$AP$12:$AP$263,0)))/INDEX($AI$12:$AI$263,MATCH($AQ104,$AP$12:$AP$263,0)), "-"),     TRUE, "0")</f>
        <v>0</v>
      </c>
      <c r="BV104" s="588">
        <f>IF(BU$9&gt;0, IF(OR(BU104="",BU104="-"), 0, BU104*$AT104), BT104*$AJ104)</f>
        <v>0</v>
      </c>
      <c r="BW104" s="587">
        <f>[1]COMMANDE!AG102</f>
        <v>0</v>
      </c>
      <c r="BX104" s="586" t="str">
        <f>_xlfn.IFS(AND($AI104=$AM104,$AI104&gt;0,$AM104&gt;0,BW104&gt;0), BW104,     AND(NOT($AI104=$AM104),$AI104&gt;0,$AM104&gt;0,BW104&gt;0), ($AM104*BW104)/$AI104,     AND($AI104=0,$AM104&gt;0,$AQ104&gt;0), IF(INDEX(BW$12:BW$263,MATCH($AQ104,$AP$12:$AP$263,0))&gt;0,($AM104*INDEX(BW$12:BW$263,MATCH($AQ104,$AP$12:$AP$263,0)))/INDEX($AI$12:$AI$263,MATCH($AQ104,$AP$12:$AP$263,0)), "-"),     TRUE, "0")</f>
        <v>0</v>
      </c>
      <c r="BY104" s="607">
        <f>IF(BX$9&gt;0, IF(OR(BX104="",BX104="-"), 0, BX104*$AT104), BW104*$AJ104)</f>
        <v>0</v>
      </c>
      <c r="BZ104" s="589">
        <f>[1]COMMANDE!AI102</f>
        <v>0</v>
      </c>
      <c r="CA104" s="586" t="str">
        <f>_xlfn.IFS(AND($AI104=$AM104,$AI104&gt;0,$AM104&gt;0,BZ104&gt;0), BZ104,     AND(NOT($AI104=$AM104),$AI104&gt;0,$AM104&gt;0,BZ104&gt;0), ($AM104*BZ104)/$AI104,     AND($AI104=0,$AM104&gt;0,$AQ104&gt;0), IF(INDEX(BZ$12:BZ$263,MATCH($AQ104,$AP$12:$AP$263,0))&gt;0,($AM104*INDEX(BZ$12:BZ$263,MATCH($AQ104,$AP$12:$AP$263,0)))/INDEX($AI$12:$AI$263,MATCH($AQ104,$AP$12:$AP$263,0)), "-"),     TRUE, "0")</f>
        <v>0</v>
      </c>
      <c r="CB104" s="588">
        <f>IF(CA$9&gt;0, IF(OR(CA104="",CA104="-"), 0, CA104*$AT104), BZ104*$AJ104)</f>
        <v>0</v>
      </c>
      <c r="CC104" s="587">
        <f>[1]COMMANDE!AK102</f>
        <v>0</v>
      </c>
      <c r="CD104" s="586" t="str">
        <f>_xlfn.IFS(AND($AI104=$AM104,$AI104&gt;0,$AM104&gt;0,CC104&gt;0), CC104,     AND(NOT($AI104=$AM104),$AI104&gt;0,$AM104&gt;0,CC104&gt;0), ($AM104*CC104)/$AI104,     AND($AI104=0,$AM104&gt;0,$AQ104&gt;0), IF(INDEX(CC$12:CC$263,MATCH($AQ104,$AP$12:$AP$263,0))&gt;0,($AM104*INDEX(CC$12:CC$263,MATCH($AQ104,$AP$12:$AP$263,0)))/INDEX($AI$12:$AI$263,MATCH($AQ104,$AP$12:$AP$263,0)), "-"),     TRUE, "0")</f>
        <v>0</v>
      </c>
      <c r="CE104" s="607">
        <f>IF(CD$9&gt;0, IF(OR(CD104="",CD104="-"), 0, CD104*$AT104), CC104*$AJ104)</f>
        <v>0</v>
      </c>
      <c r="CF104" s="589">
        <f>[1]COMMANDE!AM102</f>
        <v>0</v>
      </c>
      <c r="CG104" s="586" t="str">
        <f>_xlfn.IFS(AND($AI104=$AM104,$AI104&gt;0,$AM104&gt;0,CF104&gt;0), CF104,     AND(NOT($AI104=$AM104),$AI104&gt;0,$AM104&gt;0,CF104&gt;0), ($AM104*CF104)/$AI104,     AND($AI104=0,$AM104&gt;0,$AQ104&gt;0), IF(INDEX(CF$12:CF$263,MATCH($AQ104,$AP$12:$AP$263,0))&gt;0,($AM104*INDEX(CF$12:CF$263,MATCH($AQ104,$AP$12:$AP$263,0)))/INDEX($AI$12:$AI$263,MATCH($AQ104,$AP$12:$AP$263,0)), "-"),     TRUE, "0")</f>
        <v>0</v>
      </c>
      <c r="CH104" s="588">
        <f>IF(CG$9&gt;0, IF(OR(CG104="",CG104="-"), 0, CG104*$AT104), CF104*$AJ104)</f>
        <v>0</v>
      </c>
      <c r="CI104" s="587">
        <f>[1]COMMANDE!AO102</f>
        <v>0</v>
      </c>
      <c r="CJ104" s="586" t="str">
        <f>_xlfn.IFS(AND($AI104=$AM104,$AI104&gt;0,$AM104&gt;0,CI104&gt;0), CI104,     AND(NOT($AI104=$AM104),$AI104&gt;0,$AM104&gt;0,CI104&gt;0), ($AM104*CI104)/$AI104,     AND($AI104=0,$AM104&gt;0,$AQ104&gt;0), IF(INDEX(CI$12:CI$263,MATCH($AQ104,$AP$12:$AP$263,0))&gt;0,($AM104*INDEX(CI$12:CI$263,MATCH($AQ104,$AP$12:$AP$263,0)))/INDEX($AI$12:$AI$263,MATCH($AQ104,$AP$12:$AP$263,0)), "-"),     TRUE, "0")</f>
        <v>0</v>
      </c>
      <c r="CK104" s="607">
        <f>IF(CJ$9&gt;0, IF(OR(CJ104="",CJ104="-"), 0, CJ104*$AT104), CI104*$AJ104)</f>
        <v>0</v>
      </c>
      <c r="CL104" s="589">
        <f>[1]COMMANDE!AQ102</f>
        <v>0</v>
      </c>
      <c r="CM104" s="586" t="str">
        <f>_xlfn.IFS(AND($AI104=$AM104,$AI104&gt;0,$AM104&gt;0,CL104&gt;0), CL104,     AND(NOT($AI104=$AM104),$AI104&gt;0,$AM104&gt;0,CL104&gt;0), ($AM104*CL104)/$AI104,     AND($AI104=0,$AM104&gt;0,$AQ104&gt;0), IF(INDEX(CL$12:CL$263,MATCH($AQ104,$AP$12:$AP$263,0))&gt;0,($AM104*INDEX(CL$12:CL$263,MATCH($AQ104,$AP$12:$AP$263,0)))/INDEX($AI$12:$AI$263,MATCH($AQ104,$AP$12:$AP$263,0)), "-"),     TRUE, "0")</f>
        <v>0</v>
      </c>
      <c r="CN104" s="588">
        <f>IF(CM$9&gt;0, IF(OR(CM104="",CM104="-"), 0, CM104*$AT104), CL104*$AJ104)</f>
        <v>0</v>
      </c>
      <c r="CO104" s="587">
        <f>[1]COMMANDE!AS102</f>
        <v>0</v>
      </c>
      <c r="CP104" s="586" t="str">
        <f>_xlfn.IFS(AND($AI104=$AM104,$AI104&gt;0,$AM104&gt;0,CO104&gt;0), CO104,     AND(NOT($AI104=$AM104),$AI104&gt;0,$AM104&gt;0,CO104&gt;0), ($AM104*CO104)/$AI104,     AND($AI104=0,$AM104&gt;0,$AQ104&gt;0), IF(INDEX(CO$12:CO$263,MATCH($AQ104,$AP$12:$AP$263,0))&gt;0,($AM104*INDEX(CO$12:CO$263,MATCH($AQ104,$AP$12:$AP$263,0)))/INDEX($AI$12:$AI$263,MATCH($AQ104,$AP$12:$AP$263,0)), "-"),     TRUE, "0")</f>
        <v>0</v>
      </c>
      <c r="CQ104" s="607">
        <f>IF(CP$9&gt;0, IF(OR(CP104="",CP104="-"), 0, CP104*$AT104), CO104*$AJ104)</f>
        <v>0</v>
      </c>
      <c r="CR104" s="589">
        <f>[1]COMMANDE!AU102</f>
        <v>0</v>
      </c>
      <c r="CS104" s="586" t="str">
        <f>_xlfn.IFS(AND($AI104=$AM104,$AI104&gt;0,$AM104&gt;0,CR104&gt;0), CR104,     AND(NOT($AI104=$AM104),$AI104&gt;0,$AM104&gt;0,CR104&gt;0), ($AM104*CR104)/$AI104,     AND($AI104=0,$AM104&gt;0,$AQ104&gt;0), IF(INDEX(CR$12:CR$263,MATCH($AQ104,$AP$12:$AP$263,0))&gt;0,($AM104*INDEX(CR$12:CR$263,MATCH($AQ104,$AP$12:$AP$263,0)))/INDEX($AI$12:$AI$263,MATCH($AQ104,$AP$12:$AP$263,0)), "-"),     TRUE, "0")</f>
        <v>0</v>
      </c>
      <c r="CT104" s="588">
        <f>IF(CS$9&gt;0, IF(OR(CS104="",CS104="-"), 0, CS104*$AT104), CR104*$AJ104)</f>
        <v>0</v>
      </c>
      <c r="CU104" s="587">
        <f>[1]COMMANDE!AW102</f>
        <v>0</v>
      </c>
      <c r="CV104" s="586" t="str">
        <f>_xlfn.IFS(AND($AI104=$AM104,$AI104&gt;0,$AM104&gt;0,CU104&gt;0), CU104,     AND(NOT($AI104=$AM104),$AI104&gt;0,$AM104&gt;0,CU104&gt;0), ($AM104*CU104)/$AI104,     AND($AI104=0,$AM104&gt;0,$AQ104&gt;0), IF(INDEX(CU$12:CU$263,MATCH($AQ104,$AP$12:$AP$263,0))&gt;0,($AM104*INDEX(CU$12:CU$263,MATCH($AQ104,$AP$12:$AP$263,0)))/INDEX($AI$12:$AI$263,MATCH($AQ104,$AP$12:$AP$263,0)), "-"),     TRUE, "0")</f>
        <v>0</v>
      </c>
      <c r="CW104" s="607">
        <f>IF(CV$9&gt;0, IF(OR(CV104="",CV104="-"), 0, CV104*$AT104), CU104*$AJ104)</f>
        <v>0</v>
      </c>
      <c r="CX104" s="589">
        <f>[1]COMMANDE!AY102</f>
        <v>0</v>
      </c>
      <c r="CY104" s="586" t="str">
        <f>_xlfn.IFS(AND($AI104=$AM104,$AI104&gt;0,$AM104&gt;0,CX104&gt;0), CX104,     AND(NOT($AI104=$AM104),$AI104&gt;0,$AM104&gt;0,CX104&gt;0), ($AM104*CX104)/$AI104,     AND($AI104=0,$AM104&gt;0,$AQ104&gt;0), IF(INDEX(CX$12:CX$263,MATCH($AQ104,$AP$12:$AP$263,0))&gt;0,($AM104*INDEX(CX$12:CX$263,MATCH($AQ104,$AP$12:$AP$263,0)))/INDEX($AI$12:$AI$263,MATCH($AQ104,$AP$12:$AP$263,0)), "-"),     TRUE, "0")</f>
        <v>0</v>
      </c>
      <c r="CZ104" s="588">
        <f>IF(CY$9&gt;0, IF(OR(CY104="",CY104="-"), 0, CY104*$AT104), CX104*$AJ104)</f>
        <v>0</v>
      </c>
      <c r="DA104" s="587">
        <f>[1]COMMANDE!BA102</f>
        <v>0</v>
      </c>
      <c r="DB104" s="586" t="str">
        <f>_xlfn.IFS(AND($AI104=$AM104,$AI104&gt;0,$AM104&gt;0,DA104&gt;0), DA104,     AND(NOT($AI104=$AM104),$AI104&gt;0,$AM104&gt;0,DA104&gt;0), ($AM104*DA104)/$AI104,     AND($AI104=0,$AM104&gt;0,$AQ104&gt;0), IF(INDEX(DA$12:DA$263,MATCH($AQ104,$AP$12:$AP$263,0))&gt;0,($AM104*INDEX(DA$12:DA$263,MATCH($AQ104,$AP$12:$AP$263,0)))/INDEX($AI$12:$AI$263,MATCH($AQ104,$AP$12:$AP$263,0)), "-"),     TRUE, "0")</f>
        <v>0</v>
      </c>
      <c r="DC104" s="606">
        <f>IF(DB$9&gt;0, IF(OR(DB104="",DB104="-"), 0, DB104*$AT104), DA104*$AJ104)</f>
        <v>0</v>
      </c>
      <c r="DD104" s="584"/>
      <c r="DE104" s="583"/>
    </row>
    <row r="105" spans="1:109" ht="39.950000000000003" hidden="1" customHeight="1">
      <c r="A105" s="604">
        <f>IF(OR($AV105&gt;0, $AX105&gt;0), 1, 0)</f>
        <v>0</v>
      </c>
      <c r="B105" s="604">
        <f>IF(OR($AY105&gt;0, $BA105&gt;0), 1, 0)</f>
        <v>0</v>
      </c>
      <c r="C105" s="604">
        <f>IF(OR($BB105&gt;0, $BD105&gt;0), 1, 0)</f>
        <v>0</v>
      </c>
      <c r="D105" s="604">
        <f>IF(OR($BE105&gt;0, $BG105&gt;0), 1, 0)</f>
        <v>0</v>
      </c>
      <c r="E105" s="604">
        <f>IF(OR($BH105&gt;0, $BJ105&gt;0), 1, 0)</f>
        <v>0</v>
      </c>
      <c r="F105" s="604">
        <f>IF(OR($BK105&gt;0, $BM105&gt;0), 1, 0)</f>
        <v>0</v>
      </c>
      <c r="G105" s="604">
        <f>IF(OR($BN105&gt;0, $BP105&gt;0), 1, 0)</f>
        <v>0</v>
      </c>
      <c r="H105" s="604">
        <f>IF(OR($BQ105&gt;0, $BS105&gt;0), 1, 0)</f>
        <v>0</v>
      </c>
      <c r="I105" s="604">
        <f>IF(OR($BT105&gt;0, $BV105&gt;0), 1, 0)</f>
        <v>0</v>
      </c>
      <c r="J105" s="604">
        <f>IF(OR($BW105&gt;0, $BY105&gt;0), 1, 0)</f>
        <v>0</v>
      </c>
      <c r="K105" s="604">
        <f>IF(OR($BZ105&gt;0, $CB105&gt;0), 1, 0)</f>
        <v>0</v>
      </c>
      <c r="L105" s="604">
        <f>IF(OR($CC105&gt;0, $CE105&gt;0), 1, 0)</f>
        <v>0</v>
      </c>
      <c r="M105" s="604">
        <f>IF(OR($CF105&gt;0, $CH105&gt;0), 1, 0)</f>
        <v>0</v>
      </c>
      <c r="N105" s="604">
        <f>IF(OR($CI105&gt;0, $CK105&gt;0), 1, 0)</f>
        <v>0</v>
      </c>
      <c r="O105" s="604">
        <f>IF(OR($CL105&gt;0, $CN105&gt;0), 1, 0)</f>
        <v>0</v>
      </c>
      <c r="P105" s="604">
        <f>IF(OR($CO105&gt;0, $CQ105&gt;0), 1, 0)</f>
        <v>0</v>
      </c>
      <c r="Q105" s="604">
        <f>IF(OR($CR105&gt;0, $CT105&gt;0), 1, 0)</f>
        <v>0</v>
      </c>
      <c r="R105" s="604">
        <f>IF(OR($CU105&gt;0, $CW105&gt;0), 1, 0)</f>
        <v>0</v>
      </c>
      <c r="S105" s="604">
        <f>IF(OR($CX105&gt;0, $CZ105&gt;0), 1, 0)</f>
        <v>0</v>
      </c>
      <c r="T105" s="604">
        <f>IF(OR($DA105&gt;0, $DC105&gt;0), 1, 0)</f>
        <v>0</v>
      </c>
      <c r="U105" s="603">
        <f>IF(OR($AI105&gt;0,$AM105&gt;0,$AS105&gt;0), 1, 0)</f>
        <v>0</v>
      </c>
      <c r="V105" s="602">
        <f>[1]BDD!A95</f>
        <v>3379</v>
      </c>
      <c r="W105" s="601" t="str">
        <f>[1]BDD!B95</f>
        <v>Eau de mer micro-filtrée hypertonique
    - (n°3 : box 20L)</v>
      </c>
      <c r="X105" s="600" t="str">
        <f>IF([1]BDD!F95=0, "", [1]BDD!F95)</f>
        <v>❤️</v>
      </c>
      <c r="Y105" s="542">
        <f>ROUND([1]BDD!G95+FDP_CMD_KG, 2)</f>
        <v>45.87</v>
      </c>
      <c r="Z105" s="542">
        <f>ROUND([1]BDD!G95+FDP_FACT_KG, 2)</f>
        <v>45.87</v>
      </c>
      <c r="AA105" s="543" t="str">
        <f>[1]BDD!H95</f>
        <v>Pièce</v>
      </c>
      <c r="AB105" s="544" t="str">
        <f>IF(NOT(ISBLANK([1]BDD!I95)), ROUND(SUM(([1]BDD!G95*reduc1),FDP_CMD_KG), 2), "")</f>
        <v/>
      </c>
      <c r="AC105" s="544" t="str">
        <f>IF(NOT(ISBLANK([1]BDD!J95)), ROUND(SUM(([1]BDD!G95*reduc2),FDP_CMD_KG), 2), "")</f>
        <v/>
      </c>
      <c r="AD105" s="544" t="str">
        <f>IF(NOT(ISBLANK([1]BDD!K95)), ROUND(SUM(([1]BDD!G95*reduc3),FDP_CMD_KG), 2), "")</f>
        <v/>
      </c>
      <c r="AE105" s="544" t="str">
        <f>IF(NOT(ISBLANK([1]BDD!I95)), ROUND(SUM(([1]BDD!G95*reduc1),FDP_FACT_KG), 2), "")</f>
        <v/>
      </c>
      <c r="AF105" s="544" t="str">
        <f>IF(NOT(ISBLANK([1]BDD!J95)), ROUND(SUM(([1]BDD!G95*reduc2),FDP_FACT_KG), 2), "")</f>
        <v/>
      </c>
      <c r="AG105" s="544" t="str">
        <f>IF(NOT(ISBLANK([1]BDD!K95)), ROUND(SUM(([1]BDD!G95*reduc3),FDP_FACT_KG), 2), "")</f>
        <v/>
      </c>
      <c r="AH105" s="599" t="str">
        <f>[1]BDD!C95</f>
        <v>Ibiza</v>
      </c>
      <c r="AI105" s="598">
        <f>SUM(AV105,AY105,BB105,BE105,BH105,BK105,BN105,BQ105,BT105,BW105,BZ105,CC105,CF105,CI105,CL105,CO105,CR105,CU105,CX105,DA105)</f>
        <v>0</v>
      </c>
      <c r="AJ105" s="545">
        <f>_xlfn.IFS($AD105&lt;&gt;"", $AD105,    $AC105&lt;&gt;"", $AC105,    $AB105&lt;&gt;"", $AB105,    TRUE, $Y105)</f>
        <v>45.87</v>
      </c>
      <c r="AK105" s="592">
        <f>$AI105*$AJ105</f>
        <v>0</v>
      </c>
      <c r="AL105" s="594"/>
      <c r="AM105" s="597"/>
      <c r="AN105" s="545">
        <f>_xlfn.IFS(AND(AM105&gt;=60,$AG105&lt;&gt;""), $AG105,    AND(AM105&gt;=30,$AF105&lt;&gt;""), $AF105,    AND(AM105&gt;=10,$AE105&lt;&gt;""), $AE105,    TRUE, $Z105)</f>
        <v>45.87</v>
      </c>
      <c r="AO105" s="596">
        <f>AM105*AN105</f>
        <v>0</v>
      </c>
      <c r="AP105" s="595"/>
      <c r="AQ105" s="595"/>
      <c r="AR105" s="594"/>
      <c r="AS105" s="593">
        <f>SUM(AW105,AZ105,BC105,BF105,BI105,BL105,BO105,BR105,BU105,BX105,CA105,CD105,CG105,CJ105,CM105,CP105,CS105,CV105,CY105,DB105)</f>
        <v>0</v>
      </c>
      <c r="AT105" s="545">
        <f>_xlfn.IFS(AND(AS105&gt;=60,$AG105&lt;&gt;""), $AG105,    AND(AS105&gt;=30,$AF105&lt;&gt;""), $AF105,    AND(AS105&gt;=10,$AE105&lt;&gt;""), $AE105,    TRUE, $Z105)</f>
        <v>45.87</v>
      </c>
      <c r="AU105" s="592">
        <f>$AS105*$AT105</f>
        <v>0</v>
      </c>
      <c r="AV105" s="591">
        <f>[1]COMMANDE!O103</f>
        <v>0</v>
      </c>
      <c r="AW105" s="586" t="str">
        <f>_xlfn.IFS(AND($AI105=$AM105,$AI105&gt;0,$AM105&gt;0,AV105&gt;0), AV105,     AND(NOT($AI105=$AM105),$AI105&gt;0,$AM105&gt;0,AV105&gt;0), ($AM105*AV105)/$AI105,     AND($AI105=0,$AM105&gt;0,$AQ105&gt;0), IF(INDEX(AV$12:AV$263,MATCH($AQ105,$AP$12:$AP$263,0))&gt;0,($AM105*INDEX(AV$12:AV$263,MATCH($AQ105,$AP$12:$AP$263,0)))/INDEX($AI$12:$AI$263,MATCH($AQ105,$AP$12:$AP$263,0)), "-"),     TRUE, "0")</f>
        <v>0</v>
      </c>
      <c r="AX105" s="588">
        <f>IF(AW$9&gt;0, IF(OR(AW105="",AW105="-"), 0, AW105*$AT105), AV105*$AJ105)</f>
        <v>0</v>
      </c>
      <c r="AY105" s="587">
        <f>[1]COMMANDE!Q103</f>
        <v>0</v>
      </c>
      <c r="AZ105" s="586" t="str">
        <f>_xlfn.IFS(AND($AI105=$AM105,$AI105&gt;0,$AM105&gt;0,AY105&gt;0), AY105,     AND(NOT($AI105=$AM105),$AI105&gt;0,$AM105&gt;0,AY105&gt;0), ($AM105*AY105)/$AI105,     AND($AI105=0,$AM105&gt;0,$AQ105&gt;0), IF(INDEX(AY$12:AY$263,MATCH($AQ105,$AP$12:$AP$263,0))&gt;0,($AM105*INDEX(AY$12:AY$263,MATCH($AQ105,$AP$12:$AP$263,0)))/INDEX($AI$12:$AI$263,MATCH($AQ105,$AP$12:$AP$263,0)), "-"),     TRUE, "0")</f>
        <v>0</v>
      </c>
      <c r="BA105" s="607">
        <f>IF(AZ$9&gt;0, IF(OR(AZ105="",AZ105="-"), 0, AZ105*$AT105), AY105*$AJ105)</f>
        <v>0</v>
      </c>
      <c r="BB105" s="589">
        <f>[1]COMMANDE!S103</f>
        <v>0</v>
      </c>
      <c r="BC105" s="586" t="str">
        <f>_xlfn.IFS(AND($AI105=$AM105,$AI105&gt;0,$AM105&gt;0,BB105&gt;0), BB105,     AND(NOT($AI105=$AM105),$AI105&gt;0,$AM105&gt;0,BB105&gt;0), ($AM105*BB105)/$AI105,     AND($AI105=0,$AM105&gt;0,$AQ105&gt;0), IF(INDEX(BB$12:BB$263,MATCH($AQ105,$AP$12:$AP$263,0))&gt;0,($AM105*INDEX(BB$12:BB$263,MATCH($AQ105,$AP$12:$AP$263,0)))/INDEX($AI$12:$AI$263,MATCH($AQ105,$AP$12:$AP$263,0)), "-"),     TRUE, "0")</f>
        <v>0</v>
      </c>
      <c r="BD105" s="588">
        <f>IF(BC$9&gt;0, IF(OR(BC105="",BC105="-"), 0, BC105*$AT105), BB105*$AJ105)</f>
        <v>0</v>
      </c>
      <c r="BE105" s="587">
        <f>[1]COMMANDE!U103</f>
        <v>0</v>
      </c>
      <c r="BF105" s="586" t="str">
        <f>_xlfn.IFS(AND($AI105=$AM105,$AI105&gt;0,$AM105&gt;0,BE105&gt;0), BE105,     AND(NOT($AI105=$AM105),$AI105&gt;0,$AM105&gt;0,BE105&gt;0), ($AM105*BE105)/$AI105,     AND($AI105=0,$AM105&gt;0,$AQ105&gt;0), IF(INDEX(BE$12:BE$263,MATCH($AQ105,$AP$12:$AP$263,0))&gt;0,($AM105*INDEX(BE$12:BE$263,MATCH($AQ105,$AP$12:$AP$263,0)))/INDEX($AI$12:$AI$263,MATCH($AQ105,$AP$12:$AP$263,0)), "-"),     TRUE, "0")</f>
        <v>0</v>
      </c>
      <c r="BG105" s="607">
        <f>IF(BF$9&gt;0, IF(OR(BF105="",BF105="-"), 0, BF105*$AT105), BE105*$AJ105)</f>
        <v>0</v>
      </c>
      <c r="BH105" s="589">
        <f>[1]COMMANDE!W103</f>
        <v>0</v>
      </c>
      <c r="BI105" s="586" t="str">
        <f>_xlfn.IFS(AND($AI105=$AM105,$AI105&gt;0,$AM105&gt;0,BH105&gt;0), BH105,     AND(NOT($AI105=$AM105),$AI105&gt;0,$AM105&gt;0,BH105&gt;0), ($AM105*BH105)/$AI105,     AND($AI105=0,$AM105&gt;0,$AQ105&gt;0), IF(INDEX(BH$12:BH$263,MATCH($AQ105,$AP$12:$AP$263,0))&gt;0,($AM105*INDEX(BH$12:BH$263,MATCH($AQ105,$AP$12:$AP$263,0)))/INDEX($AI$12:$AI$263,MATCH($AQ105,$AP$12:$AP$263,0)), "-"),     TRUE, "0")</f>
        <v>0</v>
      </c>
      <c r="BJ105" s="588">
        <f>IF(BI$9&gt;0, IF(OR(BI105="",BI105="-"), 0, BI105*$AT105), BH105*$AJ105)</f>
        <v>0</v>
      </c>
      <c r="BK105" s="587">
        <f>[1]COMMANDE!Y103</f>
        <v>0</v>
      </c>
      <c r="BL105" s="586" t="str">
        <f>_xlfn.IFS(AND($AI105=$AM105,$AI105&gt;0,$AM105&gt;0,BK105&gt;0), BK105,     AND(NOT($AI105=$AM105),$AI105&gt;0,$AM105&gt;0,BK105&gt;0), ($AM105*BK105)/$AI105,     AND($AI105=0,$AM105&gt;0,$AQ105&gt;0), IF(INDEX(BK$12:BK$263,MATCH($AQ105,$AP$12:$AP$263,0))&gt;0,($AM105*INDEX(BK$12:BK$263,MATCH($AQ105,$AP$12:$AP$263,0)))/INDEX($AI$12:$AI$263,MATCH($AQ105,$AP$12:$AP$263,0)), "-"),     TRUE, "0")</f>
        <v>0</v>
      </c>
      <c r="BM105" s="607">
        <f>IF(BL$9&gt;0, IF(OR(BL105="",BL105="-"), 0, BL105*$AT105), BK105*$AJ105)</f>
        <v>0</v>
      </c>
      <c r="BN105" s="589">
        <f>[1]COMMANDE!AA103</f>
        <v>0</v>
      </c>
      <c r="BO105" s="586" t="str">
        <f>_xlfn.IFS(AND($AI105=$AM105,$AI105&gt;0,$AM105&gt;0,BN105&gt;0), BN105,     AND(NOT($AI105=$AM105),$AI105&gt;0,$AM105&gt;0,BN105&gt;0), ($AM105*BN105)/$AI105,     AND($AI105=0,$AM105&gt;0,$AQ105&gt;0), IF(INDEX(BN$12:BN$263,MATCH($AQ105,$AP$12:$AP$263,0))&gt;0,($AM105*INDEX(BN$12:BN$263,MATCH($AQ105,$AP$12:$AP$263,0)))/INDEX($AI$12:$AI$263,MATCH($AQ105,$AP$12:$AP$263,0)), "-"),     TRUE, "0")</f>
        <v>0</v>
      </c>
      <c r="BP105" s="588">
        <f>IF(BO$9&gt;0, IF(OR(BO105="",BO105="-"), 0, BO105*$AT105), BN105*$AJ105)</f>
        <v>0</v>
      </c>
      <c r="BQ105" s="587">
        <f>[1]COMMANDE!AC103</f>
        <v>0</v>
      </c>
      <c r="BR105" s="586" t="str">
        <f>_xlfn.IFS(AND($AI105=$AM105,$AI105&gt;0,$AM105&gt;0,BQ105&gt;0), BQ105,     AND(NOT($AI105=$AM105),$AI105&gt;0,$AM105&gt;0,BQ105&gt;0), ($AM105*BQ105)/$AI105,     AND($AI105=0,$AM105&gt;0,$AQ105&gt;0), IF(INDEX(BQ$12:BQ$263,MATCH($AQ105,$AP$12:$AP$263,0))&gt;0,($AM105*INDEX(BQ$12:BQ$263,MATCH($AQ105,$AP$12:$AP$263,0)))/INDEX($AI$12:$AI$263,MATCH($AQ105,$AP$12:$AP$263,0)), "-"),     TRUE, "0")</f>
        <v>0</v>
      </c>
      <c r="BS105" s="607">
        <f>IF(BR$9&gt;0, IF(OR(BR105="",BR105="-"), 0, BR105*$AT105), BQ105*$AJ105)</f>
        <v>0</v>
      </c>
      <c r="BT105" s="589">
        <f>[1]COMMANDE!AE103</f>
        <v>0</v>
      </c>
      <c r="BU105" s="586" t="str">
        <f>_xlfn.IFS(AND($AI105=$AM105,$AI105&gt;0,$AM105&gt;0,BT105&gt;0), BT105,     AND(NOT($AI105=$AM105),$AI105&gt;0,$AM105&gt;0,BT105&gt;0), ($AM105*BT105)/$AI105,     AND($AI105=0,$AM105&gt;0,$AQ105&gt;0), IF(INDEX(BT$12:BT$263,MATCH($AQ105,$AP$12:$AP$263,0))&gt;0,($AM105*INDEX(BT$12:BT$263,MATCH($AQ105,$AP$12:$AP$263,0)))/INDEX($AI$12:$AI$263,MATCH($AQ105,$AP$12:$AP$263,0)), "-"),     TRUE, "0")</f>
        <v>0</v>
      </c>
      <c r="BV105" s="588">
        <f>IF(BU$9&gt;0, IF(OR(BU105="",BU105="-"), 0, BU105*$AT105), BT105*$AJ105)</f>
        <v>0</v>
      </c>
      <c r="BW105" s="587">
        <f>[1]COMMANDE!AG103</f>
        <v>0</v>
      </c>
      <c r="BX105" s="586" t="str">
        <f>_xlfn.IFS(AND($AI105=$AM105,$AI105&gt;0,$AM105&gt;0,BW105&gt;0), BW105,     AND(NOT($AI105=$AM105),$AI105&gt;0,$AM105&gt;0,BW105&gt;0), ($AM105*BW105)/$AI105,     AND($AI105=0,$AM105&gt;0,$AQ105&gt;0), IF(INDEX(BW$12:BW$263,MATCH($AQ105,$AP$12:$AP$263,0))&gt;0,($AM105*INDEX(BW$12:BW$263,MATCH($AQ105,$AP$12:$AP$263,0)))/INDEX($AI$12:$AI$263,MATCH($AQ105,$AP$12:$AP$263,0)), "-"),     TRUE, "0")</f>
        <v>0</v>
      </c>
      <c r="BY105" s="607">
        <f>IF(BX$9&gt;0, IF(OR(BX105="",BX105="-"), 0, BX105*$AT105), BW105*$AJ105)</f>
        <v>0</v>
      </c>
      <c r="BZ105" s="589">
        <f>[1]COMMANDE!AI103</f>
        <v>0</v>
      </c>
      <c r="CA105" s="586" t="str">
        <f>_xlfn.IFS(AND($AI105=$AM105,$AI105&gt;0,$AM105&gt;0,BZ105&gt;0), BZ105,     AND(NOT($AI105=$AM105),$AI105&gt;0,$AM105&gt;0,BZ105&gt;0), ($AM105*BZ105)/$AI105,     AND($AI105=0,$AM105&gt;0,$AQ105&gt;0), IF(INDEX(BZ$12:BZ$263,MATCH($AQ105,$AP$12:$AP$263,0))&gt;0,($AM105*INDEX(BZ$12:BZ$263,MATCH($AQ105,$AP$12:$AP$263,0)))/INDEX($AI$12:$AI$263,MATCH($AQ105,$AP$12:$AP$263,0)), "-"),     TRUE, "0")</f>
        <v>0</v>
      </c>
      <c r="CB105" s="588">
        <f>IF(CA$9&gt;0, IF(OR(CA105="",CA105="-"), 0, CA105*$AT105), BZ105*$AJ105)</f>
        <v>0</v>
      </c>
      <c r="CC105" s="587">
        <f>[1]COMMANDE!AK103</f>
        <v>0</v>
      </c>
      <c r="CD105" s="586" t="str">
        <f>_xlfn.IFS(AND($AI105=$AM105,$AI105&gt;0,$AM105&gt;0,CC105&gt;0), CC105,     AND(NOT($AI105=$AM105),$AI105&gt;0,$AM105&gt;0,CC105&gt;0), ($AM105*CC105)/$AI105,     AND($AI105=0,$AM105&gt;0,$AQ105&gt;0), IF(INDEX(CC$12:CC$263,MATCH($AQ105,$AP$12:$AP$263,0))&gt;0,($AM105*INDEX(CC$12:CC$263,MATCH($AQ105,$AP$12:$AP$263,0)))/INDEX($AI$12:$AI$263,MATCH($AQ105,$AP$12:$AP$263,0)), "-"),     TRUE, "0")</f>
        <v>0</v>
      </c>
      <c r="CE105" s="607">
        <f>IF(CD$9&gt;0, IF(OR(CD105="",CD105="-"), 0, CD105*$AT105), CC105*$AJ105)</f>
        <v>0</v>
      </c>
      <c r="CF105" s="589">
        <f>[1]COMMANDE!AM103</f>
        <v>0</v>
      </c>
      <c r="CG105" s="586" t="str">
        <f>_xlfn.IFS(AND($AI105=$AM105,$AI105&gt;0,$AM105&gt;0,CF105&gt;0), CF105,     AND(NOT($AI105=$AM105),$AI105&gt;0,$AM105&gt;0,CF105&gt;0), ($AM105*CF105)/$AI105,     AND($AI105=0,$AM105&gt;0,$AQ105&gt;0), IF(INDEX(CF$12:CF$263,MATCH($AQ105,$AP$12:$AP$263,0))&gt;0,($AM105*INDEX(CF$12:CF$263,MATCH($AQ105,$AP$12:$AP$263,0)))/INDEX($AI$12:$AI$263,MATCH($AQ105,$AP$12:$AP$263,0)), "-"),     TRUE, "0")</f>
        <v>0</v>
      </c>
      <c r="CH105" s="588">
        <f>IF(CG$9&gt;0, IF(OR(CG105="",CG105="-"), 0, CG105*$AT105), CF105*$AJ105)</f>
        <v>0</v>
      </c>
      <c r="CI105" s="587">
        <f>[1]COMMANDE!AO103</f>
        <v>0</v>
      </c>
      <c r="CJ105" s="586" t="str">
        <f>_xlfn.IFS(AND($AI105=$AM105,$AI105&gt;0,$AM105&gt;0,CI105&gt;0), CI105,     AND(NOT($AI105=$AM105),$AI105&gt;0,$AM105&gt;0,CI105&gt;0), ($AM105*CI105)/$AI105,     AND($AI105=0,$AM105&gt;0,$AQ105&gt;0), IF(INDEX(CI$12:CI$263,MATCH($AQ105,$AP$12:$AP$263,0))&gt;0,($AM105*INDEX(CI$12:CI$263,MATCH($AQ105,$AP$12:$AP$263,0)))/INDEX($AI$12:$AI$263,MATCH($AQ105,$AP$12:$AP$263,0)), "-"),     TRUE, "0")</f>
        <v>0</v>
      </c>
      <c r="CK105" s="607">
        <f>IF(CJ$9&gt;0, IF(OR(CJ105="",CJ105="-"), 0, CJ105*$AT105), CI105*$AJ105)</f>
        <v>0</v>
      </c>
      <c r="CL105" s="589">
        <f>[1]COMMANDE!AQ103</f>
        <v>0</v>
      </c>
      <c r="CM105" s="586" t="str">
        <f>_xlfn.IFS(AND($AI105=$AM105,$AI105&gt;0,$AM105&gt;0,CL105&gt;0), CL105,     AND(NOT($AI105=$AM105),$AI105&gt;0,$AM105&gt;0,CL105&gt;0), ($AM105*CL105)/$AI105,     AND($AI105=0,$AM105&gt;0,$AQ105&gt;0), IF(INDEX(CL$12:CL$263,MATCH($AQ105,$AP$12:$AP$263,0))&gt;0,($AM105*INDEX(CL$12:CL$263,MATCH($AQ105,$AP$12:$AP$263,0)))/INDEX($AI$12:$AI$263,MATCH($AQ105,$AP$12:$AP$263,0)), "-"),     TRUE, "0")</f>
        <v>0</v>
      </c>
      <c r="CN105" s="588">
        <f>IF(CM$9&gt;0, IF(OR(CM105="",CM105="-"), 0, CM105*$AT105), CL105*$AJ105)</f>
        <v>0</v>
      </c>
      <c r="CO105" s="587">
        <f>[1]COMMANDE!AS103</f>
        <v>0</v>
      </c>
      <c r="CP105" s="586" t="str">
        <f>_xlfn.IFS(AND($AI105=$AM105,$AI105&gt;0,$AM105&gt;0,CO105&gt;0), CO105,     AND(NOT($AI105=$AM105),$AI105&gt;0,$AM105&gt;0,CO105&gt;0), ($AM105*CO105)/$AI105,     AND($AI105=0,$AM105&gt;0,$AQ105&gt;0), IF(INDEX(CO$12:CO$263,MATCH($AQ105,$AP$12:$AP$263,0))&gt;0,($AM105*INDEX(CO$12:CO$263,MATCH($AQ105,$AP$12:$AP$263,0)))/INDEX($AI$12:$AI$263,MATCH($AQ105,$AP$12:$AP$263,0)), "-"),     TRUE, "0")</f>
        <v>0</v>
      </c>
      <c r="CQ105" s="607">
        <f>IF(CP$9&gt;0, IF(OR(CP105="",CP105="-"), 0, CP105*$AT105), CO105*$AJ105)</f>
        <v>0</v>
      </c>
      <c r="CR105" s="589">
        <f>[1]COMMANDE!AU103</f>
        <v>0</v>
      </c>
      <c r="CS105" s="586" t="str">
        <f>_xlfn.IFS(AND($AI105=$AM105,$AI105&gt;0,$AM105&gt;0,CR105&gt;0), CR105,     AND(NOT($AI105=$AM105),$AI105&gt;0,$AM105&gt;0,CR105&gt;0), ($AM105*CR105)/$AI105,     AND($AI105=0,$AM105&gt;0,$AQ105&gt;0), IF(INDEX(CR$12:CR$263,MATCH($AQ105,$AP$12:$AP$263,0))&gt;0,($AM105*INDEX(CR$12:CR$263,MATCH($AQ105,$AP$12:$AP$263,0)))/INDEX($AI$12:$AI$263,MATCH($AQ105,$AP$12:$AP$263,0)), "-"),     TRUE, "0")</f>
        <v>0</v>
      </c>
      <c r="CT105" s="588">
        <f>IF(CS$9&gt;0, IF(OR(CS105="",CS105="-"), 0, CS105*$AT105), CR105*$AJ105)</f>
        <v>0</v>
      </c>
      <c r="CU105" s="587">
        <f>[1]COMMANDE!AW103</f>
        <v>0</v>
      </c>
      <c r="CV105" s="586" t="str">
        <f>_xlfn.IFS(AND($AI105=$AM105,$AI105&gt;0,$AM105&gt;0,CU105&gt;0), CU105,     AND(NOT($AI105=$AM105),$AI105&gt;0,$AM105&gt;0,CU105&gt;0), ($AM105*CU105)/$AI105,     AND($AI105=0,$AM105&gt;0,$AQ105&gt;0), IF(INDEX(CU$12:CU$263,MATCH($AQ105,$AP$12:$AP$263,0))&gt;0,($AM105*INDEX(CU$12:CU$263,MATCH($AQ105,$AP$12:$AP$263,0)))/INDEX($AI$12:$AI$263,MATCH($AQ105,$AP$12:$AP$263,0)), "-"),     TRUE, "0")</f>
        <v>0</v>
      </c>
      <c r="CW105" s="607">
        <f>IF(CV$9&gt;0, IF(OR(CV105="",CV105="-"), 0, CV105*$AT105), CU105*$AJ105)</f>
        <v>0</v>
      </c>
      <c r="CX105" s="589">
        <f>[1]COMMANDE!AY103</f>
        <v>0</v>
      </c>
      <c r="CY105" s="586" t="str">
        <f>_xlfn.IFS(AND($AI105=$AM105,$AI105&gt;0,$AM105&gt;0,CX105&gt;0), CX105,     AND(NOT($AI105=$AM105),$AI105&gt;0,$AM105&gt;0,CX105&gt;0), ($AM105*CX105)/$AI105,     AND($AI105=0,$AM105&gt;0,$AQ105&gt;0), IF(INDEX(CX$12:CX$263,MATCH($AQ105,$AP$12:$AP$263,0))&gt;0,($AM105*INDEX(CX$12:CX$263,MATCH($AQ105,$AP$12:$AP$263,0)))/INDEX($AI$12:$AI$263,MATCH($AQ105,$AP$12:$AP$263,0)), "-"),     TRUE, "0")</f>
        <v>0</v>
      </c>
      <c r="CZ105" s="588">
        <f>IF(CY$9&gt;0, IF(OR(CY105="",CY105="-"), 0, CY105*$AT105), CX105*$AJ105)</f>
        <v>0</v>
      </c>
      <c r="DA105" s="587">
        <f>[1]COMMANDE!BA103</f>
        <v>0</v>
      </c>
      <c r="DB105" s="586" t="str">
        <f>_xlfn.IFS(AND($AI105=$AM105,$AI105&gt;0,$AM105&gt;0,DA105&gt;0), DA105,     AND(NOT($AI105=$AM105),$AI105&gt;0,$AM105&gt;0,DA105&gt;0), ($AM105*DA105)/$AI105,     AND($AI105=0,$AM105&gt;0,$AQ105&gt;0), IF(INDEX(DA$12:DA$263,MATCH($AQ105,$AP$12:$AP$263,0))&gt;0,($AM105*INDEX(DA$12:DA$263,MATCH($AQ105,$AP$12:$AP$263,0)))/INDEX($AI$12:$AI$263,MATCH($AQ105,$AP$12:$AP$263,0)), "-"),     TRUE, "0")</f>
        <v>0</v>
      </c>
      <c r="DC105" s="606">
        <f>IF(DB$9&gt;0, IF(OR(DB105="",DB105="-"), 0, DB105*$AT105), DA105*$AJ105)</f>
        <v>0</v>
      </c>
      <c r="DD105" s="584"/>
      <c r="DE105" s="583"/>
    </row>
    <row r="106" spans="1:109" ht="39.950000000000003" hidden="1" customHeight="1">
      <c r="A106" s="604">
        <f>IF(OR($AV106&gt;0, $AX106&gt;0), 1, 0)</f>
        <v>0</v>
      </c>
      <c r="B106" s="604">
        <f>IF(OR($AY106&gt;0, $BA106&gt;0), 1, 0)</f>
        <v>0</v>
      </c>
      <c r="C106" s="604">
        <f>IF(OR($BB106&gt;0, $BD106&gt;0), 1, 0)</f>
        <v>0</v>
      </c>
      <c r="D106" s="604">
        <f>IF(OR($BE106&gt;0, $BG106&gt;0), 1, 0)</f>
        <v>0</v>
      </c>
      <c r="E106" s="604">
        <f>IF(OR($BH106&gt;0, $BJ106&gt;0), 1, 0)</f>
        <v>0</v>
      </c>
      <c r="F106" s="604">
        <f>IF(OR($BK106&gt;0, $BM106&gt;0), 1, 0)</f>
        <v>0</v>
      </c>
      <c r="G106" s="604">
        <f>IF(OR($BN106&gt;0, $BP106&gt;0), 1, 0)</f>
        <v>0</v>
      </c>
      <c r="H106" s="604">
        <f>IF(OR($BQ106&gt;0, $BS106&gt;0), 1, 0)</f>
        <v>0</v>
      </c>
      <c r="I106" s="604">
        <f>IF(OR($BT106&gt;0, $BV106&gt;0), 1, 0)</f>
        <v>0</v>
      </c>
      <c r="J106" s="604">
        <f>IF(OR($BW106&gt;0, $BY106&gt;0), 1, 0)</f>
        <v>0</v>
      </c>
      <c r="K106" s="604">
        <f>IF(OR($BZ106&gt;0, $CB106&gt;0), 1, 0)</f>
        <v>0</v>
      </c>
      <c r="L106" s="604">
        <f>IF(OR($CC106&gt;0, $CE106&gt;0), 1, 0)</f>
        <v>0</v>
      </c>
      <c r="M106" s="604">
        <f>IF(OR($CF106&gt;0, $CH106&gt;0), 1, 0)</f>
        <v>0</v>
      </c>
      <c r="N106" s="604">
        <f>IF(OR($CI106&gt;0, $CK106&gt;0), 1, 0)</f>
        <v>0</v>
      </c>
      <c r="O106" s="604">
        <f>IF(OR($CL106&gt;0, $CN106&gt;0), 1, 0)</f>
        <v>0</v>
      </c>
      <c r="P106" s="604">
        <f>IF(OR($CO106&gt;0, $CQ106&gt;0), 1, 0)</f>
        <v>0</v>
      </c>
      <c r="Q106" s="604">
        <f>IF(OR($CR106&gt;0, $CT106&gt;0), 1, 0)</f>
        <v>0</v>
      </c>
      <c r="R106" s="604">
        <f>IF(OR($CU106&gt;0, $CW106&gt;0), 1, 0)</f>
        <v>0</v>
      </c>
      <c r="S106" s="604">
        <f>IF(OR($CX106&gt;0, $CZ106&gt;0), 1, 0)</f>
        <v>0</v>
      </c>
      <c r="T106" s="604">
        <f>IF(OR($DA106&gt;0, $DC106&gt;0), 1, 0)</f>
        <v>0</v>
      </c>
      <c r="U106" s="603">
        <f>IF(OR($AI106&gt;0,$AM106&gt;0,$AS106&gt;0), 1, 0)</f>
        <v>0</v>
      </c>
      <c r="V106" s="602">
        <f>[1]BDD!A96</f>
        <v>3550</v>
      </c>
      <c r="W106" s="601" t="str">
        <f>[1]BDD!B96</f>
        <v>Epi de maïs doux frais (avec feuille autour)</v>
      </c>
      <c r="X106" s="600" t="str">
        <f>IF([1]BDD!F96=0, "", [1]BDD!F96)</f>
        <v/>
      </c>
      <c r="Y106" s="542">
        <f>ROUND([1]BDD!G96+FDP_CMD_KG, 2)</f>
        <v>2.5</v>
      </c>
      <c r="Z106" s="542">
        <f>ROUND([1]BDD!G96+FDP_FACT_KG, 2)</f>
        <v>2.5</v>
      </c>
      <c r="AA106" s="543" t="str">
        <f>[1]BDD!H96</f>
        <v>Pièce</v>
      </c>
      <c r="AB106" s="544" t="str">
        <f>IF(NOT(ISBLANK([1]BDD!I96)), ROUND(SUM(([1]BDD!G96*reduc1),FDP_CMD_KG), 2), "")</f>
        <v/>
      </c>
      <c r="AC106" s="544" t="str">
        <f>IF(NOT(ISBLANK([1]BDD!J96)), ROUND(SUM(([1]BDD!G96*reduc2),FDP_CMD_KG), 2), "")</f>
        <v/>
      </c>
      <c r="AD106" s="544" t="str">
        <f>IF(NOT(ISBLANK([1]BDD!K96)), ROUND(SUM(([1]BDD!G96*reduc3),FDP_CMD_KG), 2), "")</f>
        <v/>
      </c>
      <c r="AE106" s="544" t="str">
        <f>IF(NOT(ISBLANK([1]BDD!I96)), ROUND(SUM(([1]BDD!G96*reduc1),FDP_FACT_KG), 2), "")</f>
        <v/>
      </c>
      <c r="AF106" s="544" t="str">
        <f>IF(NOT(ISBLANK([1]BDD!J96)), ROUND(SUM(([1]BDD!G96*reduc2),FDP_FACT_KG), 2), "")</f>
        <v/>
      </c>
      <c r="AG106" s="544" t="str">
        <f>IF(NOT(ISBLANK([1]BDD!K96)), ROUND(SUM(([1]BDD!G96*reduc3),FDP_FACT_KG), 2), "")</f>
        <v/>
      </c>
      <c r="AH106" s="599" t="str">
        <f>[1]BDD!C96</f>
        <v>Malaga</v>
      </c>
      <c r="AI106" s="598">
        <f>SUM(AV106,AY106,BB106,BE106,BH106,BK106,BN106,BQ106,BT106,BW106,BZ106,CC106,CF106,CI106,CL106,CO106,CR106,CU106,CX106,DA106)</f>
        <v>0</v>
      </c>
      <c r="AJ106" s="545">
        <f>_xlfn.IFS($AD106&lt;&gt;"", $AD106,    $AC106&lt;&gt;"", $AC106,    $AB106&lt;&gt;"", $AB106,    TRUE, $Y106)</f>
        <v>2.5</v>
      </c>
      <c r="AK106" s="592">
        <f>$AI106*$AJ106</f>
        <v>0</v>
      </c>
      <c r="AL106" s="594"/>
      <c r="AM106" s="597"/>
      <c r="AN106" s="545">
        <f>_xlfn.IFS(AND(AM106&gt;=60,$AG106&lt;&gt;""), $AG106,    AND(AM106&gt;=30,$AF106&lt;&gt;""), $AF106,    AND(AM106&gt;=10,$AE106&lt;&gt;""), $AE106,    TRUE, $Z106)</f>
        <v>2.5</v>
      </c>
      <c r="AO106" s="596">
        <f>AM106*AN106</f>
        <v>0</v>
      </c>
      <c r="AP106" s="595"/>
      <c r="AQ106" s="595"/>
      <c r="AR106" s="594"/>
      <c r="AS106" s="593">
        <f>SUM(AW106,AZ106,BC106,BF106,BI106,BL106,BO106,BR106,BU106,BX106,CA106,CD106,CG106,CJ106,CM106,CP106,CS106,CV106,CY106,DB106)</f>
        <v>0</v>
      </c>
      <c r="AT106" s="545">
        <f>_xlfn.IFS(AND(AS106&gt;=60,$AG106&lt;&gt;""), $AG106,    AND(AS106&gt;=30,$AF106&lt;&gt;""), $AF106,    AND(AS106&gt;=10,$AE106&lt;&gt;""), $AE106,    TRUE, $Z106)</f>
        <v>2.5</v>
      </c>
      <c r="AU106" s="592">
        <f>$AS106*$AT106</f>
        <v>0</v>
      </c>
      <c r="AV106" s="591">
        <f>[1]COMMANDE!O104</f>
        <v>0</v>
      </c>
      <c r="AW106" s="586" t="str">
        <f>_xlfn.IFS(AND($AI106=$AM106,$AI106&gt;0,$AM106&gt;0,AV106&gt;0), AV106,     AND(NOT($AI106=$AM106),$AI106&gt;0,$AM106&gt;0,AV106&gt;0), ($AM106*AV106)/$AI106,     AND($AI106=0,$AM106&gt;0,$AQ106&gt;0), IF(INDEX(AV$12:AV$263,MATCH($AQ106,$AP$12:$AP$263,0))&gt;0,($AM106*INDEX(AV$12:AV$263,MATCH($AQ106,$AP$12:$AP$263,0)))/INDEX($AI$12:$AI$263,MATCH($AQ106,$AP$12:$AP$263,0)), "-"),     TRUE, "0")</f>
        <v>0</v>
      </c>
      <c r="AX106" s="588">
        <f>IF(AW$9&gt;0, IF(OR(AW106="",AW106="-"), 0, AW106*$AT106), AV106*$AJ106)</f>
        <v>0</v>
      </c>
      <c r="AY106" s="587">
        <f>[1]COMMANDE!Q104</f>
        <v>0</v>
      </c>
      <c r="AZ106" s="586" t="str">
        <f>_xlfn.IFS(AND($AI106=$AM106,$AI106&gt;0,$AM106&gt;0,AY106&gt;0), AY106,     AND(NOT($AI106=$AM106),$AI106&gt;0,$AM106&gt;0,AY106&gt;0), ($AM106*AY106)/$AI106,     AND($AI106=0,$AM106&gt;0,$AQ106&gt;0), IF(INDEX(AY$12:AY$263,MATCH($AQ106,$AP$12:$AP$263,0))&gt;0,($AM106*INDEX(AY$12:AY$263,MATCH($AQ106,$AP$12:$AP$263,0)))/INDEX($AI$12:$AI$263,MATCH($AQ106,$AP$12:$AP$263,0)), "-"),     TRUE, "0")</f>
        <v>0</v>
      </c>
      <c r="BA106" s="607">
        <f>IF(AZ$9&gt;0, IF(OR(AZ106="",AZ106="-"), 0, AZ106*$AT106), AY106*$AJ106)</f>
        <v>0</v>
      </c>
      <c r="BB106" s="589">
        <f>[1]COMMANDE!S104</f>
        <v>0</v>
      </c>
      <c r="BC106" s="586" t="str">
        <f>_xlfn.IFS(AND($AI106=$AM106,$AI106&gt;0,$AM106&gt;0,BB106&gt;0), BB106,     AND(NOT($AI106=$AM106),$AI106&gt;0,$AM106&gt;0,BB106&gt;0), ($AM106*BB106)/$AI106,     AND($AI106=0,$AM106&gt;0,$AQ106&gt;0), IF(INDEX(BB$12:BB$263,MATCH($AQ106,$AP$12:$AP$263,0))&gt;0,($AM106*INDEX(BB$12:BB$263,MATCH($AQ106,$AP$12:$AP$263,0)))/INDEX($AI$12:$AI$263,MATCH($AQ106,$AP$12:$AP$263,0)), "-"),     TRUE, "0")</f>
        <v>0</v>
      </c>
      <c r="BD106" s="588">
        <f>IF(BC$9&gt;0, IF(OR(BC106="",BC106="-"), 0, BC106*$AT106), BB106*$AJ106)</f>
        <v>0</v>
      </c>
      <c r="BE106" s="587">
        <f>[1]COMMANDE!U104</f>
        <v>0</v>
      </c>
      <c r="BF106" s="586" t="str">
        <f>_xlfn.IFS(AND($AI106=$AM106,$AI106&gt;0,$AM106&gt;0,BE106&gt;0), BE106,     AND(NOT($AI106=$AM106),$AI106&gt;0,$AM106&gt;0,BE106&gt;0), ($AM106*BE106)/$AI106,     AND($AI106=0,$AM106&gt;0,$AQ106&gt;0), IF(INDEX(BE$12:BE$263,MATCH($AQ106,$AP$12:$AP$263,0))&gt;0,($AM106*INDEX(BE$12:BE$263,MATCH($AQ106,$AP$12:$AP$263,0)))/INDEX($AI$12:$AI$263,MATCH($AQ106,$AP$12:$AP$263,0)), "-"),     TRUE, "0")</f>
        <v>0</v>
      </c>
      <c r="BG106" s="607">
        <f>IF(BF$9&gt;0, IF(OR(BF106="",BF106="-"), 0, BF106*$AT106), BE106*$AJ106)</f>
        <v>0</v>
      </c>
      <c r="BH106" s="589">
        <f>[1]COMMANDE!W104</f>
        <v>0</v>
      </c>
      <c r="BI106" s="586" t="str">
        <f>_xlfn.IFS(AND($AI106=$AM106,$AI106&gt;0,$AM106&gt;0,BH106&gt;0), BH106,     AND(NOT($AI106=$AM106),$AI106&gt;0,$AM106&gt;0,BH106&gt;0), ($AM106*BH106)/$AI106,     AND($AI106=0,$AM106&gt;0,$AQ106&gt;0), IF(INDEX(BH$12:BH$263,MATCH($AQ106,$AP$12:$AP$263,0))&gt;0,($AM106*INDEX(BH$12:BH$263,MATCH($AQ106,$AP$12:$AP$263,0)))/INDEX($AI$12:$AI$263,MATCH($AQ106,$AP$12:$AP$263,0)), "-"),     TRUE, "0")</f>
        <v>0</v>
      </c>
      <c r="BJ106" s="588">
        <f>IF(BI$9&gt;0, IF(OR(BI106="",BI106="-"), 0, BI106*$AT106), BH106*$AJ106)</f>
        <v>0</v>
      </c>
      <c r="BK106" s="587">
        <f>[1]COMMANDE!Y104</f>
        <v>0</v>
      </c>
      <c r="BL106" s="586" t="str">
        <f>_xlfn.IFS(AND($AI106=$AM106,$AI106&gt;0,$AM106&gt;0,BK106&gt;0), BK106,     AND(NOT($AI106=$AM106),$AI106&gt;0,$AM106&gt;0,BK106&gt;0), ($AM106*BK106)/$AI106,     AND($AI106=0,$AM106&gt;0,$AQ106&gt;0), IF(INDEX(BK$12:BK$263,MATCH($AQ106,$AP$12:$AP$263,0))&gt;0,($AM106*INDEX(BK$12:BK$263,MATCH($AQ106,$AP$12:$AP$263,0)))/INDEX($AI$12:$AI$263,MATCH($AQ106,$AP$12:$AP$263,0)), "-"),     TRUE, "0")</f>
        <v>0</v>
      </c>
      <c r="BM106" s="607">
        <f>IF(BL$9&gt;0, IF(OR(BL106="",BL106="-"), 0, BL106*$AT106), BK106*$AJ106)</f>
        <v>0</v>
      </c>
      <c r="BN106" s="589">
        <f>[1]COMMANDE!AA104</f>
        <v>0</v>
      </c>
      <c r="BO106" s="586" t="str">
        <f>_xlfn.IFS(AND($AI106=$AM106,$AI106&gt;0,$AM106&gt;0,BN106&gt;0), BN106,     AND(NOT($AI106=$AM106),$AI106&gt;0,$AM106&gt;0,BN106&gt;0), ($AM106*BN106)/$AI106,     AND($AI106=0,$AM106&gt;0,$AQ106&gt;0), IF(INDEX(BN$12:BN$263,MATCH($AQ106,$AP$12:$AP$263,0))&gt;0,($AM106*INDEX(BN$12:BN$263,MATCH($AQ106,$AP$12:$AP$263,0)))/INDEX($AI$12:$AI$263,MATCH($AQ106,$AP$12:$AP$263,0)), "-"),     TRUE, "0")</f>
        <v>0</v>
      </c>
      <c r="BP106" s="588">
        <f>IF(BO$9&gt;0, IF(OR(BO106="",BO106="-"), 0, BO106*$AT106), BN106*$AJ106)</f>
        <v>0</v>
      </c>
      <c r="BQ106" s="587">
        <f>[1]COMMANDE!AC104</f>
        <v>0</v>
      </c>
      <c r="BR106" s="586" t="str">
        <f>_xlfn.IFS(AND($AI106=$AM106,$AI106&gt;0,$AM106&gt;0,BQ106&gt;0), BQ106,     AND(NOT($AI106=$AM106),$AI106&gt;0,$AM106&gt;0,BQ106&gt;0), ($AM106*BQ106)/$AI106,     AND($AI106=0,$AM106&gt;0,$AQ106&gt;0), IF(INDEX(BQ$12:BQ$263,MATCH($AQ106,$AP$12:$AP$263,0))&gt;0,($AM106*INDEX(BQ$12:BQ$263,MATCH($AQ106,$AP$12:$AP$263,0)))/INDEX($AI$12:$AI$263,MATCH($AQ106,$AP$12:$AP$263,0)), "-"),     TRUE, "0")</f>
        <v>0</v>
      </c>
      <c r="BS106" s="607">
        <f>IF(BR$9&gt;0, IF(OR(BR106="",BR106="-"), 0, BR106*$AT106), BQ106*$AJ106)</f>
        <v>0</v>
      </c>
      <c r="BT106" s="589">
        <f>[1]COMMANDE!AE104</f>
        <v>0</v>
      </c>
      <c r="BU106" s="586" t="str">
        <f>_xlfn.IFS(AND($AI106=$AM106,$AI106&gt;0,$AM106&gt;0,BT106&gt;0), BT106,     AND(NOT($AI106=$AM106),$AI106&gt;0,$AM106&gt;0,BT106&gt;0), ($AM106*BT106)/$AI106,     AND($AI106=0,$AM106&gt;0,$AQ106&gt;0), IF(INDEX(BT$12:BT$263,MATCH($AQ106,$AP$12:$AP$263,0))&gt;0,($AM106*INDEX(BT$12:BT$263,MATCH($AQ106,$AP$12:$AP$263,0)))/INDEX($AI$12:$AI$263,MATCH($AQ106,$AP$12:$AP$263,0)), "-"),     TRUE, "0")</f>
        <v>0</v>
      </c>
      <c r="BV106" s="588">
        <f>IF(BU$9&gt;0, IF(OR(BU106="",BU106="-"), 0, BU106*$AT106), BT106*$AJ106)</f>
        <v>0</v>
      </c>
      <c r="BW106" s="587">
        <f>[1]COMMANDE!AG104</f>
        <v>0</v>
      </c>
      <c r="BX106" s="586" t="str">
        <f>_xlfn.IFS(AND($AI106=$AM106,$AI106&gt;0,$AM106&gt;0,BW106&gt;0), BW106,     AND(NOT($AI106=$AM106),$AI106&gt;0,$AM106&gt;0,BW106&gt;0), ($AM106*BW106)/$AI106,     AND($AI106=0,$AM106&gt;0,$AQ106&gt;0), IF(INDEX(BW$12:BW$263,MATCH($AQ106,$AP$12:$AP$263,0))&gt;0,($AM106*INDEX(BW$12:BW$263,MATCH($AQ106,$AP$12:$AP$263,0)))/INDEX($AI$12:$AI$263,MATCH($AQ106,$AP$12:$AP$263,0)), "-"),     TRUE, "0")</f>
        <v>0</v>
      </c>
      <c r="BY106" s="607">
        <f>IF(BX$9&gt;0, IF(OR(BX106="",BX106="-"), 0, BX106*$AT106), BW106*$AJ106)</f>
        <v>0</v>
      </c>
      <c r="BZ106" s="589">
        <f>[1]COMMANDE!AI104</f>
        <v>0</v>
      </c>
      <c r="CA106" s="586" t="str">
        <f>_xlfn.IFS(AND($AI106=$AM106,$AI106&gt;0,$AM106&gt;0,BZ106&gt;0), BZ106,     AND(NOT($AI106=$AM106),$AI106&gt;0,$AM106&gt;0,BZ106&gt;0), ($AM106*BZ106)/$AI106,     AND($AI106=0,$AM106&gt;0,$AQ106&gt;0), IF(INDEX(BZ$12:BZ$263,MATCH($AQ106,$AP$12:$AP$263,0))&gt;0,($AM106*INDEX(BZ$12:BZ$263,MATCH($AQ106,$AP$12:$AP$263,0)))/INDEX($AI$12:$AI$263,MATCH($AQ106,$AP$12:$AP$263,0)), "-"),     TRUE, "0")</f>
        <v>0</v>
      </c>
      <c r="CB106" s="588">
        <f>IF(CA$9&gt;0, IF(OR(CA106="",CA106="-"), 0, CA106*$AT106), BZ106*$AJ106)</f>
        <v>0</v>
      </c>
      <c r="CC106" s="587">
        <f>[1]COMMANDE!AK104</f>
        <v>0</v>
      </c>
      <c r="CD106" s="586" t="str">
        <f>_xlfn.IFS(AND($AI106=$AM106,$AI106&gt;0,$AM106&gt;0,CC106&gt;0), CC106,     AND(NOT($AI106=$AM106),$AI106&gt;0,$AM106&gt;0,CC106&gt;0), ($AM106*CC106)/$AI106,     AND($AI106=0,$AM106&gt;0,$AQ106&gt;0), IF(INDEX(CC$12:CC$263,MATCH($AQ106,$AP$12:$AP$263,0))&gt;0,($AM106*INDEX(CC$12:CC$263,MATCH($AQ106,$AP$12:$AP$263,0)))/INDEX($AI$12:$AI$263,MATCH($AQ106,$AP$12:$AP$263,0)), "-"),     TRUE, "0")</f>
        <v>0</v>
      </c>
      <c r="CE106" s="607">
        <f>IF(CD$9&gt;0, IF(OR(CD106="",CD106="-"), 0, CD106*$AT106), CC106*$AJ106)</f>
        <v>0</v>
      </c>
      <c r="CF106" s="589">
        <f>[1]COMMANDE!AM104</f>
        <v>0</v>
      </c>
      <c r="CG106" s="586" t="str">
        <f>_xlfn.IFS(AND($AI106=$AM106,$AI106&gt;0,$AM106&gt;0,CF106&gt;0), CF106,     AND(NOT($AI106=$AM106),$AI106&gt;0,$AM106&gt;0,CF106&gt;0), ($AM106*CF106)/$AI106,     AND($AI106=0,$AM106&gt;0,$AQ106&gt;0), IF(INDEX(CF$12:CF$263,MATCH($AQ106,$AP$12:$AP$263,0))&gt;0,($AM106*INDEX(CF$12:CF$263,MATCH($AQ106,$AP$12:$AP$263,0)))/INDEX($AI$12:$AI$263,MATCH($AQ106,$AP$12:$AP$263,0)), "-"),     TRUE, "0")</f>
        <v>0</v>
      </c>
      <c r="CH106" s="588">
        <f>IF(CG$9&gt;0, IF(OR(CG106="",CG106="-"), 0, CG106*$AT106), CF106*$AJ106)</f>
        <v>0</v>
      </c>
      <c r="CI106" s="587">
        <f>[1]COMMANDE!AO104</f>
        <v>0</v>
      </c>
      <c r="CJ106" s="586" t="str">
        <f>_xlfn.IFS(AND($AI106=$AM106,$AI106&gt;0,$AM106&gt;0,CI106&gt;0), CI106,     AND(NOT($AI106=$AM106),$AI106&gt;0,$AM106&gt;0,CI106&gt;0), ($AM106*CI106)/$AI106,     AND($AI106=0,$AM106&gt;0,$AQ106&gt;0), IF(INDEX(CI$12:CI$263,MATCH($AQ106,$AP$12:$AP$263,0))&gt;0,($AM106*INDEX(CI$12:CI$263,MATCH($AQ106,$AP$12:$AP$263,0)))/INDEX($AI$12:$AI$263,MATCH($AQ106,$AP$12:$AP$263,0)), "-"),     TRUE, "0")</f>
        <v>0</v>
      </c>
      <c r="CK106" s="607">
        <f>IF(CJ$9&gt;0, IF(OR(CJ106="",CJ106="-"), 0, CJ106*$AT106), CI106*$AJ106)</f>
        <v>0</v>
      </c>
      <c r="CL106" s="589">
        <f>[1]COMMANDE!AQ104</f>
        <v>0</v>
      </c>
      <c r="CM106" s="586" t="str">
        <f>_xlfn.IFS(AND($AI106=$AM106,$AI106&gt;0,$AM106&gt;0,CL106&gt;0), CL106,     AND(NOT($AI106=$AM106),$AI106&gt;0,$AM106&gt;0,CL106&gt;0), ($AM106*CL106)/$AI106,     AND($AI106=0,$AM106&gt;0,$AQ106&gt;0), IF(INDEX(CL$12:CL$263,MATCH($AQ106,$AP$12:$AP$263,0))&gt;0,($AM106*INDEX(CL$12:CL$263,MATCH($AQ106,$AP$12:$AP$263,0)))/INDEX($AI$12:$AI$263,MATCH($AQ106,$AP$12:$AP$263,0)), "-"),     TRUE, "0")</f>
        <v>0</v>
      </c>
      <c r="CN106" s="588">
        <f>IF(CM$9&gt;0, IF(OR(CM106="",CM106="-"), 0, CM106*$AT106), CL106*$AJ106)</f>
        <v>0</v>
      </c>
      <c r="CO106" s="587">
        <f>[1]COMMANDE!AS104</f>
        <v>0</v>
      </c>
      <c r="CP106" s="586" t="str">
        <f>_xlfn.IFS(AND($AI106=$AM106,$AI106&gt;0,$AM106&gt;0,CO106&gt;0), CO106,     AND(NOT($AI106=$AM106),$AI106&gt;0,$AM106&gt;0,CO106&gt;0), ($AM106*CO106)/$AI106,     AND($AI106=0,$AM106&gt;0,$AQ106&gt;0), IF(INDEX(CO$12:CO$263,MATCH($AQ106,$AP$12:$AP$263,0))&gt;0,($AM106*INDEX(CO$12:CO$263,MATCH($AQ106,$AP$12:$AP$263,0)))/INDEX($AI$12:$AI$263,MATCH($AQ106,$AP$12:$AP$263,0)), "-"),     TRUE, "0")</f>
        <v>0</v>
      </c>
      <c r="CQ106" s="607">
        <f>IF(CP$9&gt;0, IF(OR(CP106="",CP106="-"), 0, CP106*$AT106), CO106*$AJ106)</f>
        <v>0</v>
      </c>
      <c r="CR106" s="589">
        <f>[1]COMMANDE!AU104</f>
        <v>0</v>
      </c>
      <c r="CS106" s="586" t="str">
        <f>_xlfn.IFS(AND($AI106=$AM106,$AI106&gt;0,$AM106&gt;0,CR106&gt;0), CR106,     AND(NOT($AI106=$AM106),$AI106&gt;0,$AM106&gt;0,CR106&gt;0), ($AM106*CR106)/$AI106,     AND($AI106=0,$AM106&gt;0,$AQ106&gt;0), IF(INDEX(CR$12:CR$263,MATCH($AQ106,$AP$12:$AP$263,0))&gt;0,($AM106*INDEX(CR$12:CR$263,MATCH($AQ106,$AP$12:$AP$263,0)))/INDEX($AI$12:$AI$263,MATCH($AQ106,$AP$12:$AP$263,0)), "-"),     TRUE, "0")</f>
        <v>0</v>
      </c>
      <c r="CT106" s="588">
        <f>IF(CS$9&gt;0, IF(OR(CS106="",CS106="-"), 0, CS106*$AT106), CR106*$AJ106)</f>
        <v>0</v>
      </c>
      <c r="CU106" s="587">
        <f>[1]COMMANDE!AW104</f>
        <v>0</v>
      </c>
      <c r="CV106" s="586" t="str">
        <f>_xlfn.IFS(AND($AI106=$AM106,$AI106&gt;0,$AM106&gt;0,CU106&gt;0), CU106,     AND(NOT($AI106=$AM106),$AI106&gt;0,$AM106&gt;0,CU106&gt;0), ($AM106*CU106)/$AI106,     AND($AI106=0,$AM106&gt;0,$AQ106&gt;0), IF(INDEX(CU$12:CU$263,MATCH($AQ106,$AP$12:$AP$263,0))&gt;0,($AM106*INDEX(CU$12:CU$263,MATCH($AQ106,$AP$12:$AP$263,0)))/INDEX($AI$12:$AI$263,MATCH($AQ106,$AP$12:$AP$263,0)), "-"),     TRUE, "0")</f>
        <v>0</v>
      </c>
      <c r="CW106" s="607">
        <f>IF(CV$9&gt;0, IF(OR(CV106="",CV106="-"), 0, CV106*$AT106), CU106*$AJ106)</f>
        <v>0</v>
      </c>
      <c r="CX106" s="589">
        <f>[1]COMMANDE!AY104</f>
        <v>0</v>
      </c>
      <c r="CY106" s="586" t="str">
        <f>_xlfn.IFS(AND($AI106=$AM106,$AI106&gt;0,$AM106&gt;0,CX106&gt;0), CX106,     AND(NOT($AI106=$AM106),$AI106&gt;0,$AM106&gt;0,CX106&gt;0), ($AM106*CX106)/$AI106,     AND($AI106=0,$AM106&gt;0,$AQ106&gt;0), IF(INDEX(CX$12:CX$263,MATCH($AQ106,$AP$12:$AP$263,0))&gt;0,($AM106*INDEX(CX$12:CX$263,MATCH($AQ106,$AP$12:$AP$263,0)))/INDEX($AI$12:$AI$263,MATCH($AQ106,$AP$12:$AP$263,0)), "-"),     TRUE, "0")</f>
        <v>0</v>
      </c>
      <c r="CZ106" s="588">
        <f>IF(CY$9&gt;0, IF(OR(CY106="",CY106="-"), 0, CY106*$AT106), CX106*$AJ106)</f>
        <v>0</v>
      </c>
      <c r="DA106" s="587">
        <f>[1]COMMANDE!BA104</f>
        <v>0</v>
      </c>
      <c r="DB106" s="586" t="str">
        <f>_xlfn.IFS(AND($AI106=$AM106,$AI106&gt;0,$AM106&gt;0,DA106&gt;0), DA106,     AND(NOT($AI106=$AM106),$AI106&gt;0,$AM106&gt;0,DA106&gt;0), ($AM106*DA106)/$AI106,     AND($AI106=0,$AM106&gt;0,$AQ106&gt;0), IF(INDEX(DA$12:DA$263,MATCH($AQ106,$AP$12:$AP$263,0))&gt;0,($AM106*INDEX(DA$12:DA$263,MATCH($AQ106,$AP$12:$AP$263,0)))/INDEX($AI$12:$AI$263,MATCH($AQ106,$AP$12:$AP$263,0)), "-"),     TRUE, "0")</f>
        <v>0</v>
      </c>
      <c r="DC106" s="606">
        <f>IF(DB$9&gt;0, IF(OR(DB106="",DB106="-"), 0, DB106*$AT106), DA106*$AJ106)</f>
        <v>0</v>
      </c>
      <c r="DD106" s="584"/>
      <c r="DE106" s="583"/>
    </row>
    <row r="107" spans="1:109" ht="39.950000000000003" hidden="1" customHeight="1">
      <c r="A107" s="604">
        <f>IF(OR($AV107&gt;0, $AX107&gt;0), 1, 0)</f>
        <v>0</v>
      </c>
      <c r="B107" s="604">
        <f>IF(OR($AY107&gt;0, $BA107&gt;0), 1, 0)</f>
        <v>0</v>
      </c>
      <c r="C107" s="604">
        <f>IF(OR($BB107&gt;0, $BD107&gt;0), 1, 0)</f>
        <v>0</v>
      </c>
      <c r="D107" s="604">
        <f>IF(OR($BE107&gt;0, $BG107&gt;0), 1, 0)</f>
        <v>0</v>
      </c>
      <c r="E107" s="604">
        <f>IF(OR($BH107&gt;0, $BJ107&gt;0), 1, 0)</f>
        <v>0</v>
      </c>
      <c r="F107" s="604">
        <f>IF(OR($BK107&gt;0, $BM107&gt;0), 1, 0)</f>
        <v>0</v>
      </c>
      <c r="G107" s="604">
        <f>IF(OR($BN107&gt;0, $BP107&gt;0), 1, 0)</f>
        <v>0</v>
      </c>
      <c r="H107" s="604">
        <f>IF(OR($BQ107&gt;0, $BS107&gt;0), 1, 0)</f>
        <v>0</v>
      </c>
      <c r="I107" s="604">
        <f>IF(OR($BT107&gt;0, $BV107&gt;0), 1, 0)</f>
        <v>0</v>
      </c>
      <c r="J107" s="604">
        <f>IF(OR($BW107&gt;0, $BY107&gt;0), 1, 0)</f>
        <v>0</v>
      </c>
      <c r="K107" s="604">
        <f>IF(OR($BZ107&gt;0, $CB107&gt;0), 1, 0)</f>
        <v>0</v>
      </c>
      <c r="L107" s="604">
        <f>IF(OR($CC107&gt;0, $CE107&gt;0), 1, 0)</f>
        <v>0</v>
      </c>
      <c r="M107" s="604">
        <f>IF(OR($CF107&gt;0, $CH107&gt;0), 1, 0)</f>
        <v>0</v>
      </c>
      <c r="N107" s="604">
        <f>IF(OR($CI107&gt;0, $CK107&gt;0), 1, 0)</f>
        <v>0</v>
      </c>
      <c r="O107" s="604">
        <f>IF(OR($CL107&gt;0, $CN107&gt;0), 1, 0)</f>
        <v>0</v>
      </c>
      <c r="P107" s="604">
        <f>IF(OR($CO107&gt;0, $CQ107&gt;0), 1, 0)</f>
        <v>0</v>
      </c>
      <c r="Q107" s="604">
        <f>IF(OR($CR107&gt;0, $CT107&gt;0), 1, 0)</f>
        <v>0</v>
      </c>
      <c r="R107" s="604">
        <f>IF(OR($CU107&gt;0, $CW107&gt;0), 1, 0)</f>
        <v>0</v>
      </c>
      <c r="S107" s="604">
        <f>IF(OR($CX107&gt;0, $CZ107&gt;0), 1, 0)</f>
        <v>0</v>
      </c>
      <c r="T107" s="604">
        <f>IF(OR($DA107&gt;0, $DC107&gt;0), 1, 0)</f>
        <v>0</v>
      </c>
      <c r="U107" s="603">
        <f>IF(OR($AI107&gt;0,$AM107&gt;0,$AS107&gt;0), 1, 0)</f>
        <v>0</v>
      </c>
      <c r="V107" s="602">
        <f>[1]BDD!A97</f>
        <v>3146</v>
      </c>
      <c r="W107" s="601" t="str">
        <f>[1]BDD!B97</f>
        <v>Epi de maïs doux frais (plateau de 2 pièces)</v>
      </c>
      <c r="X107" s="600" t="str">
        <f>IF([1]BDD!F97=0, "", [1]BDD!F97)</f>
        <v/>
      </c>
      <c r="Y107" s="542">
        <f>ROUND([1]BDD!G97+FDP_CMD_KG, 2)</f>
        <v>4.01</v>
      </c>
      <c r="Z107" s="542">
        <f>ROUND([1]BDD!G97+FDP_FACT_KG, 2)</f>
        <v>4.01</v>
      </c>
      <c r="AA107" s="543" t="str">
        <f>[1]BDD!H97</f>
        <v>Pièce</v>
      </c>
      <c r="AB107" s="544" t="str">
        <f>IF(NOT(ISBLANK([1]BDD!I97)), ROUND(SUM(([1]BDD!G97*reduc1),FDP_CMD_KG), 2), "")</f>
        <v/>
      </c>
      <c r="AC107" s="544" t="str">
        <f>IF(NOT(ISBLANK([1]BDD!J97)), ROUND(SUM(([1]BDD!G97*reduc2),FDP_CMD_KG), 2), "")</f>
        <v/>
      </c>
      <c r="AD107" s="544" t="str">
        <f>IF(NOT(ISBLANK([1]BDD!K97)), ROUND(SUM(([1]BDD!G97*reduc3),FDP_CMD_KG), 2), "")</f>
        <v/>
      </c>
      <c r="AE107" s="544" t="str">
        <f>IF(NOT(ISBLANK([1]BDD!I97)), ROUND(SUM(([1]BDD!G97*reduc1),FDP_FACT_KG), 2), "")</f>
        <v/>
      </c>
      <c r="AF107" s="544" t="str">
        <f>IF(NOT(ISBLANK([1]BDD!J97)), ROUND(SUM(([1]BDD!G97*reduc2),FDP_FACT_KG), 2), "")</f>
        <v/>
      </c>
      <c r="AG107" s="544" t="str">
        <f>IF(NOT(ISBLANK([1]BDD!K97)), ROUND(SUM(([1]BDD!G97*reduc3),FDP_FACT_KG), 2), "")</f>
        <v/>
      </c>
      <c r="AH107" s="599" t="str">
        <f>[1]BDD!C97</f>
        <v>Malaga</v>
      </c>
      <c r="AI107" s="598">
        <f>SUM(AV107,AY107,BB107,BE107,BH107,BK107,BN107,BQ107,BT107,BW107,BZ107,CC107,CF107,CI107,CL107,CO107,CR107,CU107,CX107,DA107)</f>
        <v>0</v>
      </c>
      <c r="AJ107" s="545">
        <f>_xlfn.IFS($AD107&lt;&gt;"", $AD107,    $AC107&lt;&gt;"", $AC107,    $AB107&lt;&gt;"", $AB107,    TRUE, $Y107)</f>
        <v>4.01</v>
      </c>
      <c r="AK107" s="592">
        <f>$AI107*$AJ107</f>
        <v>0</v>
      </c>
      <c r="AL107" s="594"/>
      <c r="AM107" s="597"/>
      <c r="AN107" s="545">
        <f>_xlfn.IFS(AND(AM107&gt;=60,$AG107&lt;&gt;""), $AG107,    AND(AM107&gt;=30,$AF107&lt;&gt;""), $AF107,    AND(AM107&gt;=10,$AE107&lt;&gt;""), $AE107,    TRUE, $Z107)</f>
        <v>4.01</v>
      </c>
      <c r="AO107" s="596">
        <f>AM107*AN107</f>
        <v>0</v>
      </c>
      <c r="AP107" s="595"/>
      <c r="AQ107" s="595"/>
      <c r="AR107" s="594"/>
      <c r="AS107" s="593">
        <f>SUM(AW107,AZ107,BC107,BF107,BI107,BL107,BO107,BR107,BU107,BX107,CA107,CD107,CG107,CJ107,CM107,CP107,CS107,CV107,CY107,DB107)</f>
        <v>0</v>
      </c>
      <c r="AT107" s="545">
        <f>_xlfn.IFS(AND(AS107&gt;=60,$AG107&lt;&gt;""), $AG107,    AND(AS107&gt;=30,$AF107&lt;&gt;""), $AF107,    AND(AS107&gt;=10,$AE107&lt;&gt;""), $AE107,    TRUE, $Z107)</f>
        <v>4.01</v>
      </c>
      <c r="AU107" s="592">
        <f>$AS107*$AT107</f>
        <v>0</v>
      </c>
      <c r="AV107" s="591">
        <f>[1]COMMANDE!O105</f>
        <v>0</v>
      </c>
      <c r="AW107" s="586" t="str">
        <f>_xlfn.IFS(AND($AI107=$AM107,$AI107&gt;0,$AM107&gt;0,AV107&gt;0), AV107,     AND(NOT($AI107=$AM107),$AI107&gt;0,$AM107&gt;0,AV107&gt;0), ($AM107*AV107)/$AI107,     AND($AI107=0,$AM107&gt;0,$AQ107&gt;0), IF(INDEX(AV$12:AV$263,MATCH($AQ107,$AP$12:$AP$263,0))&gt;0,($AM107*INDEX(AV$12:AV$263,MATCH($AQ107,$AP$12:$AP$263,0)))/INDEX($AI$12:$AI$263,MATCH($AQ107,$AP$12:$AP$263,0)), "-"),     TRUE, "0")</f>
        <v>0</v>
      </c>
      <c r="AX107" s="588">
        <f>IF(AW$9&gt;0, IF(OR(AW107="",AW107="-"), 0, AW107*$AT107), AV107*$AJ107)</f>
        <v>0</v>
      </c>
      <c r="AY107" s="587">
        <f>[1]COMMANDE!Q105</f>
        <v>0</v>
      </c>
      <c r="AZ107" s="586" t="str">
        <f>_xlfn.IFS(AND($AI107=$AM107,$AI107&gt;0,$AM107&gt;0,AY107&gt;0), AY107,     AND(NOT($AI107=$AM107),$AI107&gt;0,$AM107&gt;0,AY107&gt;0), ($AM107*AY107)/$AI107,     AND($AI107=0,$AM107&gt;0,$AQ107&gt;0), IF(INDEX(AY$12:AY$263,MATCH($AQ107,$AP$12:$AP$263,0))&gt;0,($AM107*INDEX(AY$12:AY$263,MATCH($AQ107,$AP$12:$AP$263,0)))/INDEX($AI$12:$AI$263,MATCH($AQ107,$AP$12:$AP$263,0)), "-"),     TRUE, "0")</f>
        <v>0</v>
      </c>
      <c r="BA107" s="607">
        <f>IF(AZ$9&gt;0, IF(OR(AZ107="",AZ107="-"), 0, AZ107*$AT107), AY107*$AJ107)</f>
        <v>0</v>
      </c>
      <c r="BB107" s="589">
        <f>[1]COMMANDE!S105</f>
        <v>0</v>
      </c>
      <c r="BC107" s="586" t="str">
        <f>_xlfn.IFS(AND($AI107=$AM107,$AI107&gt;0,$AM107&gt;0,BB107&gt;0), BB107,     AND(NOT($AI107=$AM107),$AI107&gt;0,$AM107&gt;0,BB107&gt;0), ($AM107*BB107)/$AI107,     AND($AI107=0,$AM107&gt;0,$AQ107&gt;0), IF(INDEX(BB$12:BB$263,MATCH($AQ107,$AP$12:$AP$263,0))&gt;0,($AM107*INDEX(BB$12:BB$263,MATCH($AQ107,$AP$12:$AP$263,0)))/INDEX($AI$12:$AI$263,MATCH($AQ107,$AP$12:$AP$263,0)), "-"),     TRUE, "0")</f>
        <v>0</v>
      </c>
      <c r="BD107" s="588">
        <f>IF(BC$9&gt;0, IF(OR(BC107="",BC107="-"), 0, BC107*$AT107), BB107*$AJ107)</f>
        <v>0</v>
      </c>
      <c r="BE107" s="587">
        <f>[1]COMMANDE!U105</f>
        <v>0</v>
      </c>
      <c r="BF107" s="586" t="str">
        <f>_xlfn.IFS(AND($AI107=$AM107,$AI107&gt;0,$AM107&gt;0,BE107&gt;0), BE107,     AND(NOT($AI107=$AM107),$AI107&gt;0,$AM107&gt;0,BE107&gt;0), ($AM107*BE107)/$AI107,     AND($AI107=0,$AM107&gt;0,$AQ107&gt;0), IF(INDEX(BE$12:BE$263,MATCH($AQ107,$AP$12:$AP$263,0))&gt;0,($AM107*INDEX(BE$12:BE$263,MATCH($AQ107,$AP$12:$AP$263,0)))/INDEX($AI$12:$AI$263,MATCH($AQ107,$AP$12:$AP$263,0)), "-"),     TRUE, "0")</f>
        <v>0</v>
      </c>
      <c r="BG107" s="607">
        <f>IF(BF$9&gt;0, IF(OR(BF107="",BF107="-"), 0, BF107*$AT107), BE107*$AJ107)</f>
        <v>0</v>
      </c>
      <c r="BH107" s="589">
        <f>[1]COMMANDE!W105</f>
        <v>0</v>
      </c>
      <c r="BI107" s="586" t="str">
        <f>_xlfn.IFS(AND($AI107=$AM107,$AI107&gt;0,$AM107&gt;0,BH107&gt;0), BH107,     AND(NOT($AI107=$AM107),$AI107&gt;0,$AM107&gt;0,BH107&gt;0), ($AM107*BH107)/$AI107,     AND($AI107=0,$AM107&gt;0,$AQ107&gt;0), IF(INDEX(BH$12:BH$263,MATCH($AQ107,$AP$12:$AP$263,0))&gt;0,($AM107*INDEX(BH$12:BH$263,MATCH($AQ107,$AP$12:$AP$263,0)))/INDEX($AI$12:$AI$263,MATCH($AQ107,$AP$12:$AP$263,0)), "-"),     TRUE, "0")</f>
        <v>0</v>
      </c>
      <c r="BJ107" s="588">
        <f>IF(BI$9&gt;0, IF(OR(BI107="",BI107="-"), 0, BI107*$AT107), BH107*$AJ107)</f>
        <v>0</v>
      </c>
      <c r="BK107" s="587">
        <f>[1]COMMANDE!Y105</f>
        <v>0</v>
      </c>
      <c r="BL107" s="586" t="str">
        <f>_xlfn.IFS(AND($AI107=$AM107,$AI107&gt;0,$AM107&gt;0,BK107&gt;0), BK107,     AND(NOT($AI107=$AM107),$AI107&gt;0,$AM107&gt;0,BK107&gt;0), ($AM107*BK107)/$AI107,     AND($AI107=0,$AM107&gt;0,$AQ107&gt;0), IF(INDEX(BK$12:BK$263,MATCH($AQ107,$AP$12:$AP$263,0))&gt;0,($AM107*INDEX(BK$12:BK$263,MATCH($AQ107,$AP$12:$AP$263,0)))/INDEX($AI$12:$AI$263,MATCH($AQ107,$AP$12:$AP$263,0)), "-"),     TRUE, "0")</f>
        <v>0</v>
      </c>
      <c r="BM107" s="607">
        <f>IF(BL$9&gt;0, IF(OR(BL107="",BL107="-"), 0, BL107*$AT107), BK107*$AJ107)</f>
        <v>0</v>
      </c>
      <c r="BN107" s="589">
        <f>[1]COMMANDE!AA105</f>
        <v>0</v>
      </c>
      <c r="BO107" s="586" t="str">
        <f>_xlfn.IFS(AND($AI107=$AM107,$AI107&gt;0,$AM107&gt;0,BN107&gt;0), BN107,     AND(NOT($AI107=$AM107),$AI107&gt;0,$AM107&gt;0,BN107&gt;0), ($AM107*BN107)/$AI107,     AND($AI107=0,$AM107&gt;0,$AQ107&gt;0), IF(INDEX(BN$12:BN$263,MATCH($AQ107,$AP$12:$AP$263,0))&gt;0,($AM107*INDEX(BN$12:BN$263,MATCH($AQ107,$AP$12:$AP$263,0)))/INDEX($AI$12:$AI$263,MATCH($AQ107,$AP$12:$AP$263,0)), "-"),     TRUE, "0")</f>
        <v>0</v>
      </c>
      <c r="BP107" s="588">
        <f>IF(BO$9&gt;0, IF(OR(BO107="",BO107="-"), 0, BO107*$AT107), BN107*$AJ107)</f>
        <v>0</v>
      </c>
      <c r="BQ107" s="587">
        <f>[1]COMMANDE!AC105</f>
        <v>0</v>
      </c>
      <c r="BR107" s="586" t="str">
        <f>_xlfn.IFS(AND($AI107=$AM107,$AI107&gt;0,$AM107&gt;0,BQ107&gt;0), BQ107,     AND(NOT($AI107=$AM107),$AI107&gt;0,$AM107&gt;0,BQ107&gt;0), ($AM107*BQ107)/$AI107,     AND($AI107=0,$AM107&gt;0,$AQ107&gt;0), IF(INDEX(BQ$12:BQ$263,MATCH($AQ107,$AP$12:$AP$263,0))&gt;0,($AM107*INDEX(BQ$12:BQ$263,MATCH($AQ107,$AP$12:$AP$263,0)))/INDEX($AI$12:$AI$263,MATCH($AQ107,$AP$12:$AP$263,0)), "-"),     TRUE, "0")</f>
        <v>0</v>
      </c>
      <c r="BS107" s="607">
        <f>IF(BR$9&gt;0, IF(OR(BR107="",BR107="-"), 0, BR107*$AT107), BQ107*$AJ107)</f>
        <v>0</v>
      </c>
      <c r="BT107" s="589">
        <f>[1]COMMANDE!AE105</f>
        <v>0</v>
      </c>
      <c r="BU107" s="586" t="str">
        <f>_xlfn.IFS(AND($AI107=$AM107,$AI107&gt;0,$AM107&gt;0,BT107&gt;0), BT107,     AND(NOT($AI107=$AM107),$AI107&gt;0,$AM107&gt;0,BT107&gt;0), ($AM107*BT107)/$AI107,     AND($AI107=0,$AM107&gt;0,$AQ107&gt;0), IF(INDEX(BT$12:BT$263,MATCH($AQ107,$AP$12:$AP$263,0))&gt;0,($AM107*INDEX(BT$12:BT$263,MATCH($AQ107,$AP$12:$AP$263,0)))/INDEX($AI$12:$AI$263,MATCH($AQ107,$AP$12:$AP$263,0)), "-"),     TRUE, "0")</f>
        <v>0</v>
      </c>
      <c r="BV107" s="588">
        <f>IF(BU$9&gt;0, IF(OR(BU107="",BU107="-"), 0, BU107*$AT107), BT107*$AJ107)</f>
        <v>0</v>
      </c>
      <c r="BW107" s="587">
        <f>[1]COMMANDE!AG105</f>
        <v>0</v>
      </c>
      <c r="BX107" s="586" t="str">
        <f>_xlfn.IFS(AND($AI107=$AM107,$AI107&gt;0,$AM107&gt;0,BW107&gt;0), BW107,     AND(NOT($AI107=$AM107),$AI107&gt;0,$AM107&gt;0,BW107&gt;0), ($AM107*BW107)/$AI107,     AND($AI107=0,$AM107&gt;0,$AQ107&gt;0), IF(INDEX(BW$12:BW$263,MATCH($AQ107,$AP$12:$AP$263,0))&gt;0,($AM107*INDEX(BW$12:BW$263,MATCH($AQ107,$AP$12:$AP$263,0)))/INDEX($AI$12:$AI$263,MATCH($AQ107,$AP$12:$AP$263,0)), "-"),     TRUE, "0")</f>
        <v>0</v>
      </c>
      <c r="BY107" s="607">
        <f>IF(BX$9&gt;0, IF(OR(BX107="",BX107="-"), 0, BX107*$AT107), BW107*$AJ107)</f>
        <v>0</v>
      </c>
      <c r="BZ107" s="589">
        <f>[1]COMMANDE!AI105</f>
        <v>0</v>
      </c>
      <c r="CA107" s="586" t="str">
        <f>_xlfn.IFS(AND($AI107=$AM107,$AI107&gt;0,$AM107&gt;0,BZ107&gt;0), BZ107,     AND(NOT($AI107=$AM107),$AI107&gt;0,$AM107&gt;0,BZ107&gt;0), ($AM107*BZ107)/$AI107,     AND($AI107=0,$AM107&gt;0,$AQ107&gt;0), IF(INDEX(BZ$12:BZ$263,MATCH($AQ107,$AP$12:$AP$263,0))&gt;0,($AM107*INDEX(BZ$12:BZ$263,MATCH($AQ107,$AP$12:$AP$263,0)))/INDEX($AI$12:$AI$263,MATCH($AQ107,$AP$12:$AP$263,0)), "-"),     TRUE, "0")</f>
        <v>0</v>
      </c>
      <c r="CB107" s="588">
        <f>IF(CA$9&gt;0, IF(OR(CA107="",CA107="-"), 0, CA107*$AT107), BZ107*$AJ107)</f>
        <v>0</v>
      </c>
      <c r="CC107" s="587">
        <f>[1]COMMANDE!AK105</f>
        <v>0</v>
      </c>
      <c r="CD107" s="586" t="str">
        <f>_xlfn.IFS(AND($AI107=$AM107,$AI107&gt;0,$AM107&gt;0,CC107&gt;0), CC107,     AND(NOT($AI107=$AM107),$AI107&gt;0,$AM107&gt;0,CC107&gt;0), ($AM107*CC107)/$AI107,     AND($AI107=0,$AM107&gt;0,$AQ107&gt;0), IF(INDEX(CC$12:CC$263,MATCH($AQ107,$AP$12:$AP$263,0))&gt;0,($AM107*INDEX(CC$12:CC$263,MATCH($AQ107,$AP$12:$AP$263,0)))/INDEX($AI$12:$AI$263,MATCH($AQ107,$AP$12:$AP$263,0)), "-"),     TRUE, "0")</f>
        <v>0</v>
      </c>
      <c r="CE107" s="607">
        <f>IF(CD$9&gt;0, IF(OR(CD107="",CD107="-"), 0, CD107*$AT107), CC107*$AJ107)</f>
        <v>0</v>
      </c>
      <c r="CF107" s="589">
        <f>[1]COMMANDE!AM105</f>
        <v>0</v>
      </c>
      <c r="CG107" s="586" t="str">
        <f>_xlfn.IFS(AND($AI107=$AM107,$AI107&gt;0,$AM107&gt;0,CF107&gt;0), CF107,     AND(NOT($AI107=$AM107),$AI107&gt;0,$AM107&gt;0,CF107&gt;0), ($AM107*CF107)/$AI107,     AND($AI107=0,$AM107&gt;0,$AQ107&gt;0), IF(INDEX(CF$12:CF$263,MATCH($AQ107,$AP$12:$AP$263,0))&gt;0,($AM107*INDEX(CF$12:CF$263,MATCH($AQ107,$AP$12:$AP$263,0)))/INDEX($AI$12:$AI$263,MATCH($AQ107,$AP$12:$AP$263,0)), "-"),     TRUE, "0")</f>
        <v>0</v>
      </c>
      <c r="CH107" s="588">
        <f>IF(CG$9&gt;0, IF(OR(CG107="",CG107="-"), 0, CG107*$AT107), CF107*$AJ107)</f>
        <v>0</v>
      </c>
      <c r="CI107" s="587">
        <f>[1]COMMANDE!AO105</f>
        <v>0</v>
      </c>
      <c r="CJ107" s="586" t="str">
        <f>_xlfn.IFS(AND($AI107=$AM107,$AI107&gt;0,$AM107&gt;0,CI107&gt;0), CI107,     AND(NOT($AI107=$AM107),$AI107&gt;0,$AM107&gt;0,CI107&gt;0), ($AM107*CI107)/$AI107,     AND($AI107=0,$AM107&gt;0,$AQ107&gt;0), IF(INDEX(CI$12:CI$263,MATCH($AQ107,$AP$12:$AP$263,0))&gt;0,($AM107*INDEX(CI$12:CI$263,MATCH($AQ107,$AP$12:$AP$263,0)))/INDEX($AI$12:$AI$263,MATCH($AQ107,$AP$12:$AP$263,0)), "-"),     TRUE, "0")</f>
        <v>0</v>
      </c>
      <c r="CK107" s="607">
        <f>IF(CJ$9&gt;0, IF(OR(CJ107="",CJ107="-"), 0, CJ107*$AT107), CI107*$AJ107)</f>
        <v>0</v>
      </c>
      <c r="CL107" s="589">
        <f>[1]COMMANDE!AQ105</f>
        <v>0</v>
      </c>
      <c r="CM107" s="586" t="str">
        <f>_xlfn.IFS(AND($AI107=$AM107,$AI107&gt;0,$AM107&gt;0,CL107&gt;0), CL107,     AND(NOT($AI107=$AM107),$AI107&gt;0,$AM107&gt;0,CL107&gt;0), ($AM107*CL107)/$AI107,     AND($AI107=0,$AM107&gt;0,$AQ107&gt;0), IF(INDEX(CL$12:CL$263,MATCH($AQ107,$AP$12:$AP$263,0))&gt;0,($AM107*INDEX(CL$12:CL$263,MATCH($AQ107,$AP$12:$AP$263,0)))/INDEX($AI$12:$AI$263,MATCH($AQ107,$AP$12:$AP$263,0)), "-"),     TRUE, "0")</f>
        <v>0</v>
      </c>
      <c r="CN107" s="588">
        <f>IF(CM$9&gt;0, IF(OR(CM107="",CM107="-"), 0, CM107*$AT107), CL107*$AJ107)</f>
        <v>0</v>
      </c>
      <c r="CO107" s="587">
        <f>[1]COMMANDE!AS105</f>
        <v>0</v>
      </c>
      <c r="CP107" s="586" t="str">
        <f>_xlfn.IFS(AND($AI107=$AM107,$AI107&gt;0,$AM107&gt;0,CO107&gt;0), CO107,     AND(NOT($AI107=$AM107),$AI107&gt;0,$AM107&gt;0,CO107&gt;0), ($AM107*CO107)/$AI107,     AND($AI107=0,$AM107&gt;0,$AQ107&gt;0), IF(INDEX(CO$12:CO$263,MATCH($AQ107,$AP$12:$AP$263,0))&gt;0,($AM107*INDEX(CO$12:CO$263,MATCH($AQ107,$AP$12:$AP$263,0)))/INDEX($AI$12:$AI$263,MATCH($AQ107,$AP$12:$AP$263,0)), "-"),     TRUE, "0")</f>
        <v>0</v>
      </c>
      <c r="CQ107" s="607">
        <f>IF(CP$9&gt;0, IF(OR(CP107="",CP107="-"), 0, CP107*$AT107), CO107*$AJ107)</f>
        <v>0</v>
      </c>
      <c r="CR107" s="589">
        <f>[1]COMMANDE!AU105</f>
        <v>0</v>
      </c>
      <c r="CS107" s="586" t="str">
        <f>_xlfn.IFS(AND($AI107=$AM107,$AI107&gt;0,$AM107&gt;0,CR107&gt;0), CR107,     AND(NOT($AI107=$AM107),$AI107&gt;0,$AM107&gt;0,CR107&gt;0), ($AM107*CR107)/$AI107,     AND($AI107=0,$AM107&gt;0,$AQ107&gt;0), IF(INDEX(CR$12:CR$263,MATCH($AQ107,$AP$12:$AP$263,0))&gt;0,($AM107*INDEX(CR$12:CR$263,MATCH($AQ107,$AP$12:$AP$263,0)))/INDEX($AI$12:$AI$263,MATCH($AQ107,$AP$12:$AP$263,0)), "-"),     TRUE, "0")</f>
        <v>0</v>
      </c>
      <c r="CT107" s="588">
        <f>IF(CS$9&gt;0, IF(OR(CS107="",CS107="-"), 0, CS107*$AT107), CR107*$AJ107)</f>
        <v>0</v>
      </c>
      <c r="CU107" s="587">
        <f>[1]COMMANDE!AW105</f>
        <v>0</v>
      </c>
      <c r="CV107" s="586" t="str">
        <f>_xlfn.IFS(AND($AI107=$AM107,$AI107&gt;0,$AM107&gt;0,CU107&gt;0), CU107,     AND(NOT($AI107=$AM107),$AI107&gt;0,$AM107&gt;0,CU107&gt;0), ($AM107*CU107)/$AI107,     AND($AI107=0,$AM107&gt;0,$AQ107&gt;0), IF(INDEX(CU$12:CU$263,MATCH($AQ107,$AP$12:$AP$263,0))&gt;0,($AM107*INDEX(CU$12:CU$263,MATCH($AQ107,$AP$12:$AP$263,0)))/INDEX($AI$12:$AI$263,MATCH($AQ107,$AP$12:$AP$263,0)), "-"),     TRUE, "0")</f>
        <v>0</v>
      </c>
      <c r="CW107" s="607">
        <f>IF(CV$9&gt;0, IF(OR(CV107="",CV107="-"), 0, CV107*$AT107), CU107*$AJ107)</f>
        <v>0</v>
      </c>
      <c r="CX107" s="589">
        <f>[1]COMMANDE!AY105</f>
        <v>0</v>
      </c>
      <c r="CY107" s="586" t="str">
        <f>_xlfn.IFS(AND($AI107=$AM107,$AI107&gt;0,$AM107&gt;0,CX107&gt;0), CX107,     AND(NOT($AI107=$AM107),$AI107&gt;0,$AM107&gt;0,CX107&gt;0), ($AM107*CX107)/$AI107,     AND($AI107=0,$AM107&gt;0,$AQ107&gt;0), IF(INDEX(CX$12:CX$263,MATCH($AQ107,$AP$12:$AP$263,0))&gt;0,($AM107*INDEX(CX$12:CX$263,MATCH($AQ107,$AP$12:$AP$263,0)))/INDEX($AI$12:$AI$263,MATCH($AQ107,$AP$12:$AP$263,0)), "-"),     TRUE, "0")</f>
        <v>0</v>
      </c>
      <c r="CZ107" s="588">
        <f>IF(CY$9&gt;0, IF(OR(CY107="",CY107="-"), 0, CY107*$AT107), CX107*$AJ107)</f>
        <v>0</v>
      </c>
      <c r="DA107" s="587">
        <f>[1]COMMANDE!BA105</f>
        <v>0</v>
      </c>
      <c r="DB107" s="586" t="str">
        <f>_xlfn.IFS(AND($AI107=$AM107,$AI107&gt;0,$AM107&gt;0,DA107&gt;0), DA107,     AND(NOT($AI107=$AM107),$AI107&gt;0,$AM107&gt;0,DA107&gt;0), ($AM107*DA107)/$AI107,     AND($AI107=0,$AM107&gt;0,$AQ107&gt;0), IF(INDEX(DA$12:DA$263,MATCH($AQ107,$AP$12:$AP$263,0))&gt;0,($AM107*INDEX(DA$12:DA$263,MATCH($AQ107,$AP$12:$AP$263,0)))/INDEX($AI$12:$AI$263,MATCH($AQ107,$AP$12:$AP$263,0)), "-"),     TRUE, "0")</f>
        <v>0</v>
      </c>
      <c r="DC107" s="606">
        <f>IF(DB$9&gt;0, IF(OR(DB107="",DB107="-"), 0, DB107*$AT107), DA107*$AJ107)</f>
        <v>0</v>
      </c>
      <c r="DD107" s="584"/>
      <c r="DE107" s="583"/>
    </row>
    <row r="108" spans="1:109" ht="39.950000000000003" hidden="1" customHeight="1">
      <c r="A108" s="604">
        <f>IF(OR($AV108&gt;0, $AX108&gt;0), 1, 0)</f>
        <v>0</v>
      </c>
      <c r="B108" s="604">
        <f>IF(OR($AY108&gt;0, $BA108&gt;0), 1, 0)</f>
        <v>0</v>
      </c>
      <c r="C108" s="604">
        <f>IF(OR($BB108&gt;0, $BD108&gt;0), 1, 0)</f>
        <v>0</v>
      </c>
      <c r="D108" s="604">
        <f>IF(OR($BE108&gt;0, $BG108&gt;0), 1, 0)</f>
        <v>0</v>
      </c>
      <c r="E108" s="604">
        <f>IF(OR($BH108&gt;0, $BJ108&gt;0), 1, 0)</f>
        <v>0</v>
      </c>
      <c r="F108" s="604">
        <f>IF(OR($BK108&gt;0, $BM108&gt;0), 1, 0)</f>
        <v>0</v>
      </c>
      <c r="G108" s="604">
        <f>IF(OR($BN108&gt;0, $BP108&gt;0), 1, 0)</f>
        <v>0</v>
      </c>
      <c r="H108" s="604">
        <f>IF(OR($BQ108&gt;0, $BS108&gt;0), 1, 0)</f>
        <v>0</v>
      </c>
      <c r="I108" s="604">
        <f>IF(OR($BT108&gt;0, $BV108&gt;0), 1, 0)</f>
        <v>0</v>
      </c>
      <c r="J108" s="604">
        <f>IF(OR($BW108&gt;0, $BY108&gt;0), 1, 0)</f>
        <v>0</v>
      </c>
      <c r="K108" s="604">
        <f>IF(OR($BZ108&gt;0, $CB108&gt;0), 1, 0)</f>
        <v>0</v>
      </c>
      <c r="L108" s="604">
        <f>IF(OR($CC108&gt;0, $CE108&gt;0), 1, 0)</f>
        <v>0</v>
      </c>
      <c r="M108" s="604">
        <f>IF(OR($CF108&gt;0, $CH108&gt;0), 1, 0)</f>
        <v>0</v>
      </c>
      <c r="N108" s="604">
        <f>IF(OR($CI108&gt;0, $CK108&gt;0), 1, 0)</f>
        <v>0</v>
      </c>
      <c r="O108" s="604">
        <f>IF(OR($CL108&gt;0, $CN108&gt;0), 1, 0)</f>
        <v>0</v>
      </c>
      <c r="P108" s="604">
        <f>IF(OR($CO108&gt;0, $CQ108&gt;0), 1, 0)</f>
        <v>0</v>
      </c>
      <c r="Q108" s="604">
        <f>IF(OR($CR108&gt;0, $CT108&gt;0), 1, 0)</f>
        <v>0</v>
      </c>
      <c r="R108" s="604">
        <f>IF(OR($CU108&gt;0, $CW108&gt;0), 1, 0)</f>
        <v>0</v>
      </c>
      <c r="S108" s="604">
        <f>IF(OR($CX108&gt;0, $CZ108&gt;0), 1, 0)</f>
        <v>0</v>
      </c>
      <c r="T108" s="604">
        <f>IF(OR($DA108&gt;0, $DC108&gt;0), 1, 0)</f>
        <v>0</v>
      </c>
      <c r="U108" s="603">
        <f>IF(OR($AI108&gt;0,$AM108&gt;0,$AS108&gt;0), 1, 0)</f>
        <v>0</v>
      </c>
      <c r="V108" s="602">
        <f>[1]BDD!A98</f>
        <v>4025</v>
      </c>
      <c r="W108" s="601" t="str">
        <f>[1]BDD!B98</f>
        <v>Extracteur de jus ANGEL 5500                              (à commander au moins 7 jours à l'avance)</v>
      </c>
      <c r="X108" s="600" t="str">
        <f>IF([1]BDD!F98=0, "", [1]BDD!F98)</f>
        <v>❤️</v>
      </c>
      <c r="Y108" s="542">
        <f>ROUND([1]BDD!G98+FDP_CMD_KG, 2)</f>
        <v>1000.87</v>
      </c>
      <c r="Z108" s="542">
        <f>ROUND([1]BDD!G98+FDP_FACT_KG, 2)</f>
        <v>1000.87</v>
      </c>
      <c r="AA108" s="543" t="str">
        <f>[1]BDD!H98</f>
        <v>Pièce</v>
      </c>
      <c r="AB108" s="544" t="str">
        <f>IF(NOT(ISBLANK([1]BDD!I98)), ROUND(SUM(([1]BDD!G98*reduc1),FDP_CMD_KG), 2), "")</f>
        <v/>
      </c>
      <c r="AC108" s="544" t="str">
        <f>IF(NOT(ISBLANK([1]BDD!J98)), ROUND(SUM(([1]BDD!G98*reduc2),FDP_CMD_KG), 2), "")</f>
        <v/>
      </c>
      <c r="AD108" s="544" t="str">
        <f>IF(NOT(ISBLANK([1]BDD!K98)), ROUND(SUM(([1]BDD!G98*reduc3),FDP_CMD_KG), 2), "")</f>
        <v/>
      </c>
      <c r="AE108" s="544" t="str">
        <f>IF(NOT(ISBLANK([1]BDD!I98)), ROUND(SUM(([1]BDD!G98*reduc1),FDP_FACT_KG), 2), "")</f>
        <v/>
      </c>
      <c r="AF108" s="544" t="str">
        <f>IF(NOT(ISBLANK([1]BDD!J98)), ROUND(SUM(([1]BDD!G98*reduc2),FDP_FACT_KG), 2), "")</f>
        <v/>
      </c>
      <c r="AG108" s="544" t="str">
        <f>IF(NOT(ISBLANK([1]BDD!K98)), ROUND(SUM(([1]BDD!G98*reduc3),FDP_FACT_KG), 2), "")</f>
        <v/>
      </c>
      <c r="AH108" s="599" t="str">
        <f>[1]BDD!C98</f>
        <v>Union européenne</v>
      </c>
      <c r="AI108" s="598">
        <f>SUM(AV108,AY108,BB108,BE108,BH108,BK108,BN108,BQ108,BT108,BW108,BZ108,CC108,CF108,CI108,CL108,CO108,CR108,CU108,CX108,DA108)</f>
        <v>0</v>
      </c>
      <c r="AJ108" s="545">
        <f>_xlfn.IFS($AD108&lt;&gt;"", $AD108,    $AC108&lt;&gt;"", $AC108,    $AB108&lt;&gt;"", $AB108,    TRUE, $Y108)</f>
        <v>1000.87</v>
      </c>
      <c r="AK108" s="592">
        <f>$AI108*$AJ108</f>
        <v>0</v>
      </c>
      <c r="AL108" s="594"/>
      <c r="AM108" s="597"/>
      <c r="AN108" s="545">
        <f>_xlfn.IFS(AND(AM108&gt;=60,$AG108&lt;&gt;""), $AG108,    AND(AM108&gt;=30,$AF108&lt;&gt;""), $AF108,    AND(AM108&gt;=10,$AE108&lt;&gt;""), $AE108,    TRUE, $Z108)</f>
        <v>1000.87</v>
      </c>
      <c r="AO108" s="596">
        <f>AM108*AN108</f>
        <v>0</v>
      </c>
      <c r="AP108" s="595"/>
      <c r="AQ108" s="595"/>
      <c r="AR108" s="594"/>
      <c r="AS108" s="593">
        <f>SUM(AW108,AZ108,BC108,BF108,BI108,BL108,BO108,BR108,BU108,BX108,CA108,CD108,CG108,CJ108,CM108,CP108,CS108,CV108,CY108,DB108)</f>
        <v>0</v>
      </c>
      <c r="AT108" s="545">
        <f>_xlfn.IFS(AND(AS108&gt;=60,$AG108&lt;&gt;""), $AG108,    AND(AS108&gt;=30,$AF108&lt;&gt;""), $AF108,    AND(AS108&gt;=10,$AE108&lt;&gt;""), $AE108,    TRUE, $Z108)</f>
        <v>1000.87</v>
      </c>
      <c r="AU108" s="592">
        <f>$AS108*$AT108</f>
        <v>0</v>
      </c>
      <c r="AV108" s="591">
        <f>[1]COMMANDE!O106</f>
        <v>0</v>
      </c>
      <c r="AW108" s="586" t="str">
        <f>_xlfn.IFS(AND($AI108=$AM108,$AI108&gt;0,$AM108&gt;0,AV108&gt;0), AV108,     AND(NOT($AI108=$AM108),$AI108&gt;0,$AM108&gt;0,AV108&gt;0), ($AM108*AV108)/$AI108,     AND($AI108=0,$AM108&gt;0,$AQ108&gt;0), IF(INDEX(AV$12:AV$263,MATCH($AQ108,$AP$12:$AP$263,0))&gt;0,($AM108*INDEX(AV$12:AV$263,MATCH($AQ108,$AP$12:$AP$263,0)))/INDEX($AI$12:$AI$263,MATCH($AQ108,$AP$12:$AP$263,0)), "-"),     TRUE, "0")</f>
        <v>0</v>
      </c>
      <c r="AX108" s="588">
        <f>IF(AW$9&gt;0, IF(OR(AW108="",AW108="-"), 0, AW108*$AT108), AV108*$AJ108)</f>
        <v>0</v>
      </c>
      <c r="AY108" s="587">
        <f>[1]COMMANDE!Q106</f>
        <v>0</v>
      </c>
      <c r="AZ108" s="586" t="str">
        <f>_xlfn.IFS(AND($AI108=$AM108,$AI108&gt;0,$AM108&gt;0,AY108&gt;0), AY108,     AND(NOT($AI108=$AM108),$AI108&gt;0,$AM108&gt;0,AY108&gt;0), ($AM108*AY108)/$AI108,     AND($AI108=0,$AM108&gt;0,$AQ108&gt;0), IF(INDEX(AY$12:AY$263,MATCH($AQ108,$AP$12:$AP$263,0))&gt;0,($AM108*INDEX(AY$12:AY$263,MATCH($AQ108,$AP$12:$AP$263,0)))/INDEX($AI$12:$AI$263,MATCH($AQ108,$AP$12:$AP$263,0)), "-"),     TRUE, "0")</f>
        <v>0</v>
      </c>
      <c r="BA108" s="607">
        <f>IF(AZ$9&gt;0, IF(OR(AZ108="",AZ108="-"), 0, AZ108*$AT108), AY108*$AJ108)</f>
        <v>0</v>
      </c>
      <c r="BB108" s="589">
        <f>[1]COMMANDE!S106</f>
        <v>0</v>
      </c>
      <c r="BC108" s="586" t="str">
        <f>_xlfn.IFS(AND($AI108=$AM108,$AI108&gt;0,$AM108&gt;0,BB108&gt;0), BB108,     AND(NOT($AI108=$AM108),$AI108&gt;0,$AM108&gt;0,BB108&gt;0), ($AM108*BB108)/$AI108,     AND($AI108=0,$AM108&gt;0,$AQ108&gt;0), IF(INDEX(BB$12:BB$263,MATCH($AQ108,$AP$12:$AP$263,0))&gt;0,($AM108*INDEX(BB$12:BB$263,MATCH($AQ108,$AP$12:$AP$263,0)))/INDEX($AI$12:$AI$263,MATCH($AQ108,$AP$12:$AP$263,0)), "-"),     TRUE, "0")</f>
        <v>0</v>
      </c>
      <c r="BD108" s="588">
        <f>IF(BC$9&gt;0, IF(OR(BC108="",BC108="-"), 0, BC108*$AT108), BB108*$AJ108)</f>
        <v>0</v>
      </c>
      <c r="BE108" s="587">
        <f>[1]COMMANDE!U106</f>
        <v>0</v>
      </c>
      <c r="BF108" s="586" t="str">
        <f>_xlfn.IFS(AND($AI108=$AM108,$AI108&gt;0,$AM108&gt;0,BE108&gt;0), BE108,     AND(NOT($AI108=$AM108),$AI108&gt;0,$AM108&gt;0,BE108&gt;0), ($AM108*BE108)/$AI108,     AND($AI108=0,$AM108&gt;0,$AQ108&gt;0), IF(INDEX(BE$12:BE$263,MATCH($AQ108,$AP$12:$AP$263,0))&gt;0,($AM108*INDEX(BE$12:BE$263,MATCH($AQ108,$AP$12:$AP$263,0)))/INDEX($AI$12:$AI$263,MATCH($AQ108,$AP$12:$AP$263,0)), "-"),     TRUE, "0")</f>
        <v>0</v>
      </c>
      <c r="BG108" s="607">
        <f>IF(BF$9&gt;0, IF(OR(BF108="",BF108="-"), 0, BF108*$AT108), BE108*$AJ108)</f>
        <v>0</v>
      </c>
      <c r="BH108" s="589">
        <f>[1]COMMANDE!W106</f>
        <v>0</v>
      </c>
      <c r="BI108" s="586" t="str">
        <f>_xlfn.IFS(AND($AI108=$AM108,$AI108&gt;0,$AM108&gt;0,BH108&gt;0), BH108,     AND(NOT($AI108=$AM108),$AI108&gt;0,$AM108&gt;0,BH108&gt;0), ($AM108*BH108)/$AI108,     AND($AI108=0,$AM108&gt;0,$AQ108&gt;0), IF(INDEX(BH$12:BH$263,MATCH($AQ108,$AP$12:$AP$263,0))&gt;0,($AM108*INDEX(BH$12:BH$263,MATCH($AQ108,$AP$12:$AP$263,0)))/INDEX($AI$12:$AI$263,MATCH($AQ108,$AP$12:$AP$263,0)), "-"),     TRUE, "0")</f>
        <v>0</v>
      </c>
      <c r="BJ108" s="588">
        <f>IF(BI$9&gt;0, IF(OR(BI108="",BI108="-"), 0, BI108*$AT108), BH108*$AJ108)</f>
        <v>0</v>
      </c>
      <c r="BK108" s="587">
        <f>[1]COMMANDE!Y106</f>
        <v>0</v>
      </c>
      <c r="BL108" s="586" t="str">
        <f>_xlfn.IFS(AND($AI108=$AM108,$AI108&gt;0,$AM108&gt;0,BK108&gt;0), BK108,     AND(NOT($AI108=$AM108),$AI108&gt;0,$AM108&gt;0,BK108&gt;0), ($AM108*BK108)/$AI108,     AND($AI108=0,$AM108&gt;0,$AQ108&gt;0), IF(INDEX(BK$12:BK$263,MATCH($AQ108,$AP$12:$AP$263,0))&gt;0,($AM108*INDEX(BK$12:BK$263,MATCH($AQ108,$AP$12:$AP$263,0)))/INDEX($AI$12:$AI$263,MATCH($AQ108,$AP$12:$AP$263,0)), "-"),     TRUE, "0")</f>
        <v>0</v>
      </c>
      <c r="BM108" s="607">
        <f>IF(BL$9&gt;0, IF(OR(BL108="",BL108="-"), 0, BL108*$AT108), BK108*$AJ108)</f>
        <v>0</v>
      </c>
      <c r="BN108" s="589">
        <f>[1]COMMANDE!AA106</f>
        <v>0</v>
      </c>
      <c r="BO108" s="586" t="str">
        <f>_xlfn.IFS(AND($AI108=$AM108,$AI108&gt;0,$AM108&gt;0,BN108&gt;0), BN108,     AND(NOT($AI108=$AM108),$AI108&gt;0,$AM108&gt;0,BN108&gt;0), ($AM108*BN108)/$AI108,     AND($AI108=0,$AM108&gt;0,$AQ108&gt;0), IF(INDEX(BN$12:BN$263,MATCH($AQ108,$AP$12:$AP$263,0))&gt;0,($AM108*INDEX(BN$12:BN$263,MATCH($AQ108,$AP$12:$AP$263,0)))/INDEX($AI$12:$AI$263,MATCH($AQ108,$AP$12:$AP$263,0)), "-"),     TRUE, "0")</f>
        <v>0</v>
      </c>
      <c r="BP108" s="588">
        <f>IF(BO$9&gt;0, IF(OR(BO108="",BO108="-"), 0, BO108*$AT108), BN108*$AJ108)</f>
        <v>0</v>
      </c>
      <c r="BQ108" s="587">
        <f>[1]COMMANDE!AC106</f>
        <v>0</v>
      </c>
      <c r="BR108" s="586" t="str">
        <f>_xlfn.IFS(AND($AI108=$AM108,$AI108&gt;0,$AM108&gt;0,BQ108&gt;0), BQ108,     AND(NOT($AI108=$AM108),$AI108&gt;0,$AM108&gt;0,BQ108&gt;0), ($AM108*BQ108)/$AI108,     AND($AI108=0,$AM108&gt;0,$AQ108&gt;0), IF(INDEX(BQ$12:BQ$263,MATCH($AQ108,$AP$12:$AP$263,0))&gt;0,($AM108*INDEX(BQ$12:BQ$263,MATCH($AQ108,$AP$12:$AP$263,0)))/INDEX($AI$12:$AI$263,MATCH($AQ108,$AP$12:$AP$263,0)), "-"),     TRUE, "0")</f>
        <v>0</v>
      </c>
      <c r="BS108" s="607">
        <f>IF(BR$9&gt;0, IF(OR(BR108="",BR108="-"), 0, BR108*$AT108), BQ108*$AJ108)</f>
        <v>0</v>
      </c>
      <c r="BT108" s="589">
        <f>[1]COMMANDE!AE106</f>
        <v>0</v>
      </c>
      <c r="BU108" s="586" t="str">
        <f>_xlfn.IFS(AND($AI108=$AM108,$AI108&gt;0,$AM108&gt;0,BT108&gt;0), BT108,     AND(NOT($AI108=$AM108),$AI108&gt;0,$AM108&gt;0,BT108&gt;0), ($AM108*BT108)/$AI108,     AND($AI108=0,$AM108&gt;0,$AQ108&gt;0), IF(INDEX(BT$12:BT$263,MATCH($AQ108,$AP$12:$AP$263,0))&gt;0,($AM108*INDEX(BT$12:BT$263,MATCH($AQ108,$AP$12:$AP$263,0)))/INDEX($AI$12:$AI$263,MATCH($AQ108,$AP$12:$AP$263,0)), "-"),     TRUE, "0")</f>
        <v>0</v>
      </c>
      <c r="BV108" s="588">
        <f>IF(BU$9&gt;0, IF(OR(BU108="",BU108="-"), 0, BU108*$AT108), BT108*$AJ108)</f>
        <v>0</v>
      </c>
      <c r="BW108" s="587">
        <f>[1]COMMANDE!AG106</f>
        <v>0</v>
      </c>
      <c r="BX108" s="586" t="str">
        <f>_xlfn.IFS(AND($AI108=$AM108,$AI108&gt;0,$AM108&gt;0,BW108&gt;0), BW108,     AND(NOT($AI108=$AM108),$AI108&gt;0,$AM108&gt;0,BW108&gt;0), ($AM108*BW108)/$AI108,     AND($AI108=0,$AM108&gt;0,$AQ108&gt;0), IF(INDEX(BW$12:BW$263,MATCH($AQ108,$AP$12:$AP$263,0))&gt;0,($AM108*INDEX(BW$12:BW$263,MATCH($AQ108,$AP$12:$AP$263,0)))/INDEX($AI$12:$AI$263,MATCH($AQ108,$AP$12:$AP$263,0)), "-"),     TRUE, "0")</f>
        <v>0</v>
      </c>
      <c r="BY108" s="607">
        <f>IF(BX$9&gt;0, IF(OR(BX108="",BX108="-"), 0, BX108*$AT108), BW108*$AJ108)</f>
        <v>0</v>
      </c>
      <c r="BZ108" s="589">
        <f>[1]COMMANDE!AI106</f>
        <v>0</v>
      </c>
      <c r="CA108" s="586" t="str">
        <f>_xlfn.IFS(AND($AI108=$AM108,$AI108&gt;0,$AM108&gt;0,BZ108&gt;0), BZ108,     AND(NOT($AI108=$AM108),$AI108&gt;0,$AM108&gt;0,BZ108&gt;0), ($AM108*BZ108)/$AI108,     AND($AI108=0,$AM108&gt;0,$AQ108&gt;0), IF(INDEX(BZ$12:BZ$263,MATCH($AQ108,$AP$12:$AP$263,0))&gt;0,($AM108*INDEX(BZ$12:BZ$263,MATCH($AQ108,$AP$12:$AP$263,0)))/INDEX($AI$12:$AI$263,MATCH($AQ108,$AP$12:$AP$263,0)), "-"),     TRUE, "0")</f>
        <v>0</v>
      </c>
      <c r="CB108" s="588">
        <f>IF(CA$9&gt;0, IF(OR(CA108="",CA108="-"), 0, CA108*$AT108), BZ108*$AJ108)</f>
        <v>0</v>
      </c>
      <c r="CC108" s="587">
        <f>[1]COMMANDE!AK106</f>
        <v>0</v>
      </c>
      <c r="CD108" s="586" t="str">
        <f>_xlfn.IFS(AND($AI108=$AM108,$AI108&gt;0,$AM108&gt;0,CC108&gt;0), CC108,     AND(NOT($AI108=$AM108),$AI108&gt;0,$AM108&gt;0,CC108&gt;0), ($AM108*CC108)/$AI108,     AND($AI108=0,$AM108&gt;0,$AQ108&gt;0), IF(INDEX(CC$12:CC$263,MATCH($AQ108,$AP$12:$AP$263,0))&gt;0,($AM108*INDEX(CC$12:CC$263,MATCH($AQ108,$AP$12:$AP$263,0)))/INDEX($AI$12:$AI$263,MATCH($AQ108,$AP$12:$AP$263,0)), "-"),     TRUE, "0")</f>
        <v>0</v>
      </c>
      <c r="CE108" s="607">
        <f>IF(CD$9&gt;0, IF(OR(CD108="",CD108="-"), 0, CD108*$AT108), CC108*$AJ108)</f>
        <v>0</v>
      </c>
      <c r="CF108" s="589">
        <f>[1]COMMANDE!AM106</f>
        <v>0</v>
      </c>
      <c r="CG108" s="586" t="str">
        <f>_xlfn.IFS(AND($AI108=$AM108,$AI108&gt;0,$AM108&gt;0,CF108&gt;0), CF108,     AND(NOT($AI108=$AM108),$AI108&gt;0,$AM108&gt;0,CF108&gt;0), ($AM108*CF108)/$AI108,     AND($AI108=0,$AM108&gt;0,$AQ108&gt;0), IF(INDEX(CF$12:CF$263,MATCH($AQ108,$AP$12:$AP$263,0))&gt;0,($AM108*INDEX(CF$12:CF$263,MATCH($AQ108,$AP$12:$AP$263,0)))/INDEX($AI$12:$AI$263,MATCH($AQ108,$AP$12:$AP$263,0)), "-"),     TRUE, "0")</f>
        <v>0</v>
      </c>
      <c r="CH108" s="588">
        <f>IF(CG$9&gt;0, IF(OR(CG108="",CG108="-"), 0, CG108*$AT108), CF108*$AJ108)</f>
        <v>0</v>
      </c>
      <c r="CI108" s="587">
        <f>[1]COMMANDE!AO106</f>
        <v>0</v>
      </c>
      <c r="CJ108" s="586" t="str">
        <f>_xlfn.IFS(AND($AI108=$AM108,$AI108&gt;0,$AM108&gt;0,CI108&gt;0), CI108,     AND(NOT($AI108=$AM108),$AI108&gt;0,$AM108&gt;0,CI108&gt;0), ($AM108*CI108)/$AI108,     AND($AI108=0,$AM108&gt;0,$AQ108&gt;0), IF(INDEX(CI$12:CI$263,MATCH($AQ108,$AP$12:$AP$263,0))&gt;0,($AM108*INDEX(CI$12:CI$263,MATCH($AQ108,$AP$12:$AP$263,0)))/INDEX($AI$12:$AI$263,MATCH($AQ108,$AP$12:$AP$263,0)), "-"),     TRUE, "0")</f>
        <v>0</v>
      </c>
      <c r="CK108" s="607">
        <f>IF(CJ$9&gt;0, IF(OR(CJ108="",CJ108="-"), 0, CJ108*$AT108), CI108*$AJ108)</f>
        <v>0</v>
      </c>
      <c r="CL108" s="589">
        <f>[1]COMMANDE!AQ106</f>
        <v>0</v>
      </c>
      <c r="CM108" s="586" t="str">
        <f>_xlfn.IFS(AND($AI108=$AM108,$AI108&gt;0,$AM108&gt;0,CL108&gt;0), CL108,     AND(NOT($AI108=$AM108),$AI108&gt;0,$AM108&gt;0,CL108&gt;0), ($AM108*CL108)/$AI108,     AND($AI108=0,$AM108&gt;0,$AQ108&gt;0), IF(INDEX(CL$12:CL$263,MATCH($AQ108,$AP$12:$AP$263,0))&gt;0,($AM108*INDEX(CL$12:CL$263,MATCH($AQ108,$AP$12:$AP$263,0)))/INDEX($AI$12:$AI$263,MATCH($AQ108,$AP$12:$AP$263,0)), "-"),     TRUE, "0")</f>
        <v>0</v>
      </c>
      <c r="CN108" s="588">
        <f>IF(CM$9&gt;0, IF(OR(CM108="",CM108="-"), 0, CM108*$AT108), CL108*$AJ108)</f>
        <v>0</v>
      </c>
      <c r="CO108" s="587">
        <f>[1]COMMANDE!AS106</f>
        <v>0</v>
      </c>
      <c r="CP108" s="586" t="str">
        <f>_xlfn.IFS(AND($AI108=$AM108,$AI108&gt;0,$AM108&gt;0,CO108&gt;0), CO108,     AND(NOT($AI108=$AM108),$AI108&gt;0,$AM108&gt;0,CO108&gt;0), ($AM108*CO108)/$AI108,     AND($AI108=0,$AM108&gt;0,$AQ108&gt;0), IF(INDEX(CO$12:CO$263,MATCH($AQ108,$AP$12:$AP$263,0))&gt;0,($AM108*INDEX(CO$12:CO$263,MATCH($AQ108,$AP$12:$AP$263,0)))/INDEX($AI$12:$AI$263,MATCH($AQ108,$AP$12:$AP$263,0)), "-"),     TRUE, "0")</f>
        <v>0</v>
      </c>
      <c r="CQ108" s="607">
        <f>IF(CP$9&gt;0, IF(OR(CP108="",CP108="-"), 0, CP108*$AT108), CO108*$AJ108)</f>
        <v>0</v>
      </c>
      <c r="CR108" s="589">
        <f>[1]COMMANDE!AU106</f>
        <v>0</v>
      </c>
      <c r="CS108" s="586" t="str">
        <f>_xlfn.IFS(AND($AI108=$AM108,$AI108&gt;0,$AM108&gt;0,CR108&gt;0), CR108,     AND(NOT($AI108=$AM108),$AI108&gt;0,$AM108&gt;0,CR108&gt;0), ($AM108*CR108)/$AI108,     AND($AI108=0,$AM108&gt;0,$AQ108&gt;0), IF(INDEX(CR$12:CR$263,MATCH($AQ108,$AP$12:$AP$263,0))&gt;0,($AM108*INDEX(CR$12:CR$263,MATCH($AQ108,$AP$12:$AP$263,0)))/INDEX($AI$12:$AI$263,MATCH($AQ108,$AP$12:$AP$263,0)), "-"),     TRUE, "0")</f>
        <v>0</v>
      </c>
      <c r="CT108" s="588">
        <f>IF(CS$9&gt;0, IF(OR(CS108="",CS108="-"), 0, CS108*$AT108), CR108*$AJ108)</f>
        <v>0</v>
      </c>
      <c r="CU108" s="587">
        <f>[1]COMMANDE!AW106</f>
        <v>0</v>
      </c>
      <c r="CV108" s="586" t="str">
        <f>_xlfn.IFS(AND($AI108=$AM108,$AI108&gt;0,$AM108&gt;0,CU108&gt;0), CU108,     AND(NOT($AI108=$AM108),$AI108&gt;0,$AM108&gt;0,CU108&gt;0), ($AM108*CU108)/$AI108,     AND($AI108=0,$AM108&gt;0,$AQ108&gt;0), IF(INDEX(CU$12:CU$263,MATCH($AQ108,$AP$12:$AP$263,0))&gt;0,($AM108*INDEX(CU$12:CU$263,MATCH($AQ108,$AP$12:$AP$263,0)))/INDEX($AI$12:$AI$263,MATCH($AQ108,$AP$12:$AP$263,0)), "-"),     TRUE, "0")</f>
        <v>0</v>
      </c>
      <c r="CW108" s="607">
        <f>IF(CV$9&gt;0, IF(OR(CV108="",CV108="-"), 0, CV108*$AT108), CU108*$AJ108)</f>
        <v>0</v>
      </c>
      <c r="CX108" s="589">
        <f>[1]COMMANDE!AY106</f>
        <v>0</v>
      </c>
      <c r="CY108" s="586" t="str">
        <f>_xlfn.IFS(AND($AI108=$AM108,$AI108&gt;0,$AM108&gt;0,CX108&gt;0), CX108,     AND(NOT($AI108=$AM108),$AI108&gt;0,$AM108&gt;0,CX108&gt;0), ($AM108*CX108)/$AI108,     AND($AI108=0,$AM108&gt;0,$AQ108&gt;0), IF(INDEX(CX$12:CX$263,MATCH($AQ108,$AP$12:$AP$263,0))&gt;0,($AM108*INDEX(CX$12:CX$263,MATCH($AQ108,$AP$12:$AP$263,0)))/INDEX($AI$12:$AI$263,MATCH($AQ108,$AP$12:$AP$263,0)), "-"),     TRUE, "0")</f>
        <v>0</v>
      </c>
      <c r="CZ108" s="588">
        <f>IF(CY$9&gt;0, IF(OR(CY108="",CY108="-"), 0, CY108*$AT108), CX108*$AJ108)</f>
        <v>0</v>
      </c>
      <c r="DA108" s="587">
        <f>[1]COMMANDE!BA106</f>
        <v>0</v>
      </c>
      <c r="DB108" s="586" t="str">
        <f>_xlfn.IFS(AND($AI108=$AM108,$AI108&gt;0,$AM108&gt;0,DA108&gt;0), DA108,     AND(NOT($AI108=$AM108),$AI108&gt;0,$AM108&gt;0,DA108&gt;0), ($AM108*DA108)/$AI108,     AND($AI108=0,$AM108&gt;0,$AQ108&gt;0), IF(INDEX(DA$12:DA$263,MATCH($AQ108,$AP$12:$AP$263,0))&gt;0,($AM108*INDEX(DA$12:DA$263,MATCH($AQ108,$AP$12:$AP$263,0)))/INDEX($AI$12:$AI$263,MATCH($AQ108,$AP$12:$AP$263,0)), "-"),     TRUE, "0")</f>
        <v>0</v>
      </c>
      <c r="DC108" s="606">
        <f>IF(DB$9&gt;0, IF(OR(DB108="",DB108="-"), 0, DB108*$AT108), DA108*$AJ108)</f>
        <v>0</v>
      </c>
      <c r="DD108" s="584"/>
      <c r="DE108" s="583"/>
    </row>
    <row r="109" spans="1:109" ht="39.950000000000003" hidden="1" customHeight="1">
      <c r="A109" s="604">
        <f>IF(OR($AV109&gt;0, $AX109&gt;0), 1, 0)</f>
        <v>0</v>
      </c>
      <c r="B109" s="604">
        <f>IF(OR($AY109&gt;0, $BA109&gt;0), 1, 0)</f>
        <v>0</v>
      </c>
      <c r="C109" s="604">
        <f>IF(OR($BB109&gt;0, $BD109&gt;0), 1, 0)</f>
        <v>0</v>
      </c>
      <c r="D109" s="604">
        <f>IF(OR($BE109&gt;0, $BG109&gt;0), 1, 0)</f>
        <v>0</v>
      </c>
      <c r="E109" s="604">
        <f>IF(OR($BH109&gt;0, $BJ109&gt;0), 1, 0)</f>
        <v>0</v>
      </c>
      <c r="F109" s="604">
        <f>IF(OR($BK109&gt;0, $BM109&gt;0), 1, 0)</f>
        <v>0</v>
      </c>
      <c r="G109" s="604">
        <f>IF(OR($BN109&gt;0, $BP109&gt;0), 1, 0)</f>
        <v>0</v>
      </c>
      <c r="H109" s="604">
        <f>IF(OR($BQ109&gt;0, $BS109&gt;0), 1, 0)</f>
        <v>0</v>
      </c>
      <c r="I109" s="604">
        <f>IF(OR($BT109&gt;0, $BV109&gt;0), 1, 0)</f>
        <v>0</v>
      </c>
      <c r="J109" s="604">
        <f>IF(OR($BW109&gt;0, $BY109&gt;0), 1, 0)</f>
        <v>0</v>
      </c>
      <c r="K109" s="604">
        <f>IF(OR($BZ109&gt;0, $CB109&gt;0), 1, 0)</f>
        <v>0</v>
      </c>
      <c r="L109" s="604">
        <f>IF(OR($CC109&gt;0, $CE109&gt;0), 1, 0)</f>
        <v>0</v>
      </c>
      <c r="M109" s="604">
        <f>IF(OR($CF109&gt;0, $CH109&gt;0), 1, 0)</f>
        <v>0</v>
      </c>
      <c r="N109" s="604">
        <f>IF(OR($CI109&gt;0, $CK109&gt;0), 1, 0)</f>
        <v>0</v>
      </c>
      <c r="O109" s="604">
        <f>IF(OR($CL109&gt;0, $CN109&gt;0), 1, 0)</f>
        <v>0</v>
      </c>
      <c r="P109" s="604">
        <f>IF(OR($CO109&gt;0, $CQ109&gt;0), 1, 0)</f>
        <v>0</v>
      </c>
      <c r="Q109" s="604">
        <f>IF(OR($CR109&gt;0, $CT109&gt;0), 1, 0)</f>
        <v>0</v>
      </c>
      <c r="R109" s="604">
        <f>IF(OR($CU109&gt;0, $CW109&gt;0), 1, 0)</f>
        <v>0</v>
      </c>
      <c r="S109" s="604">
        <f>IF(OR($CX109&gt;0, $CZ109&gt;0), 1, 0)</f>
        <v>0</v>
      </c>
      <c r="T109" s="604">
        <f>IF(OR($DA109&gt;0, $DC109&gt;0), 1, 0)</f>
        <v>0</v>
      </c>
      <c r="U109" s="603">
        <f>IF(OR($AI109&gt;0,$AM109&gt;0,$AS109&gt;0), 1, 0)</f>
        <v>0</v>
      </c>
      <c r="V109" s="602">
        <f>[1]BDD!A99</f>
        <v>1647</v>
      </c>
      <c r="W109" s="601" t="str">
        <f>[1]BDD!B99</f>
        <v>Farine de coco (env. 1kg)</v>
      </c>
      <c r="X109" s="600" t="str">
        <f>IF([1]BDD!F99=0, "", [1]BDD!F99)</f>
        <v/>
      </c>
      <c r="Y109" s="542">
        <f>ROUND([1]BDD!G99+FDP_CMD_KG, 2)</f>
        <v>9.35</v>
      </c>
      <c r="Z109" s="542">
        <f>ROUND([1]BDD!G99+FDP_FACT_KG, 2)</f>
        <v>9.35</v>
      </c>
      <c r="AA109" s="543" t="str">
        <f>[1]BDD!H99</f>
        <v>Pièce</v>
      </c>
      <c r="AB109" s="544">
        <f>IF(NOT(ISBLANK([1]BDD!I99)), ROUND(SUM(([1]BDD!G99*reduc1),FDP_CMD_KG), 2), "")</f>
        <v>8.51</v>
      </c>
      <c r="AC109" s="544" t="str">
        <f>IF(NOT(ISBLANK([1]BDD!J99)), ROUND(SUM(([1]BDD!G99*reduc2),FDP_CMD_KG), 2), "")</f>
        <v/>
      </c>
      <c r="AD109" s="544" t="str">
        <f>IF(NOT(ISBLANK([1]BDD!K99)), ROUND(SUM(([1]BDD!G99*reduc3),FDP_CMD_KG), 2), "")</f>
        <v/>
      </c>
      <c r="AE109" s="544">
        <f>IF(NOT(ISBLANK([1]BDD!I99)), ROUND(SUM(([1]BDD!G99*reduc1),FDP_FACT_KG), 2), "")</f>
        <v>8.5</v>
      </c>
      <c r="AF109" s="544" t="str">
        <f>IF(NOT(ISBLANK([1]BDD!J99)), ROUND(SUM(([1]BDD!G99*reduc2),FDP_FACT_KG), 2), "")</f>
        <v/>
      </c>
      <c r="AG109" s="544" t="str">
        <f>IF(NOT(ISBLANK([1]BDD!K99)), ROUND(SUM(([1]BDD!G99*reduc3),FDP_FACT_KG), 2), "")</f>
        <v/>
      </c>
      <c r="AH109" s="599" t="str">
        <f>[1]BDD!C99</f>
        <v>Sri Lanka</v>
      </c>
      <c r="AI109" s="598">
        <f>SUM(AV109,AY109,BB109,BE109,BH109,BK109,BN109,BQ109,BT109,BW109,BZ109,CC109,CF109,CI109,CL109,CO109,CR109,CU109,CX109,DA109)</f>
        <v>0</v>
      </c>
      <c r="AJ109" s="545">
        <f>_xlfn.IFS($AD109&lt;&gt;"", $AD109,    $AC109&lt;&gt;"", $AC109,    $AB109&lt;&gt;"", $AB109,    TRUE, $Y109)</f>
        <v>8.51</v>
      </c>
      <c r="AK109" s="592">
        <f>$AI109*$AJ109</f>
        <v>0</v>
      </c>
      <c r="AL109" s="594"/>
      <c r="AM109" s="597"/>
      <c r="AN109" s="545">
        <f>_xlfn.IFS(AND(AM109&gt;=60,$AG109&lt;&gt;""), $AG109,    AND(AM109&gt;=30,$AF109&lt;&gt;""), $AF109,    AND(AM109&gt;=10,$AE109&lt;&gt;""), $AE109,    TRUE, $Z109)</f>
        <v>9.35</v>
      </c>
      <c r="AO109" s="596">
        <f>AM109*AN109</f>
        <v>0</v>
      </c>
      <c r="AP109" s="595"/>
      <c r="AQ109" s="595"/>
      <c r="AR109" s="594"/>
      <c r="AS109" s="593">
        <f>SUM(AW109,AZ109,BC109,BF109,BI109,BL109,BO109,BR109,BU109,BX109,CA109,CD109,CG109,CJ109,CM109,CP109,CS109,CV109,CY109,DB109)</f>
        <v>0</v>
      </c>
      <c r="AT109" s="545">
        <f>_xlfn.IFS(AND(AS109&gt;=60,$AG109&lt;&gt;""), $AG109,    AND(AS109&gt;=30,$AF109&lt;&gt;""), $AF109,    AND(AS109&gt;=10,$AE109&lt;&gt;""), $AE109,    TRUE, $Z109)</f>
        <v>9.35</v>
      </c>
      <c r="AU109" s="592">
        <f>$AS109*$AT109</f>
        <v>0</v>
      </c>
      <c r="AV109" s="591">
        <f>[1]COMMANDE!O107</f>
        <v>0</v>
      </c>
      <c r="AW109" s="586" t="str">
        <f>_xlfn.IFS(AND($AI109=$AM109,$AI109&gt;0,$AM109&gt;0,AV109&gt;0), AV109,     AND(NOT($AI109=$AM109),$AI109&gt;0,$AM109&gt;0,AV109&gt;0), ($AM109*AV109)/$AI109,     AND($AI109=0,$AM109&gt;0,$AQ109&gt;0), IF(INDEX(AV$12:AV$263,MATCH($AQ109,$AP$12:$AP$263,0))&gt;0,($AM109*INDEX(AV$12:AV$263,MATCH($AQ109,$AP$12:$AP$263,0)))/INDEX($AI$12:$AI$263,MATCH($AQ109,$AP$12:$AP$263,0)), "-"),     TRUE, "0")</f>
        <v>0</v>
      </c>
      <c r="AX109" s="588">
        <f>IF(AW$9&gt;0, IF(OR(AW109="",AW109="-"), 0, AW109*$AT109), AV109*$AJ109)</f>
        <v>0</v>
      </c>
      <c r="AY109" s="587">
        <f>[1]COMMANDE!Q107</f>
        <v>0</v>
      </c>
      <c r="AZ109" s="586" t="str">
        <f>_xlfn.IFS(AND($AI109=$AM109,$AI109&gt;0,$AM109&gt;0,AY109&gt;0), AY109,     AND(NOT($AI109=$AM109),$AI109&gt;0,$AM109&gt;0,AY109&gt;0), ($AM109*AY109)/$AI109,     AND($AI109=0,$AM109&gt;0,$AQ109&gt;0), IF(INDEX(AY$12:AY$263,MATCH($AQ109,$AP$12:$AP$263,0))&gt;0,($AM109*INDEX(AY$12:AY$263,MATCH($AQ109,$AP$12:$AP$263,0)))/INDEX($AI$12:$AI$263,MATCH($AQ109,$AP$12:$AP$263,0)), "-"),     TRUE, "0")</f>
        <v>0</v>
      </c>
      <c r="BA109" s="607">
        <f>IF(AZ$9&gt;0, IF(OR(AZ109="",AZ109="-"), 0, AZ109*$AT109), AY109*$AJ109)</f>
        <v>0</v>
      </c>
      <c r="BB109" s="589">
        <f>[1]COMMANDE!S107</f>
        <v>0</v>
      </c>
      <c r="BC109" s="586" t="str">
        <f>_xlfn.IFS(AND($AI109=$AM109,$AI109&gt;0,$AM109&gt;0,BB109&gt;0), BB109,     AND(NOT($AI109=$AM109),$AI109&gt;0,$AM109&gt;0,BB109&gt;0), ($AM109*BB109)/$AI109,     AND($AI109=0,$AM109&gt;0,$AQ109&gt;0), IF(INDEX(BB$12:BB$263,MATCH($AQ109,$AP$12:$AP$263,0))&gt;0,($AM109*INDEX(BB$12:BB$263,MATCH($AQ109,$AP$12:$AP$263,0)))/INDEX($AI$12:$AI$263,MATCH($AQ109,$AP$12:$AP$263,0)), "-"),     TRUE, "0")</f>
        <v>0</v>
      </c>
      <c r="BD109" s="588">
        <f>IF(BC$9&gt;0, IF(OR(BC109="",BC109="-"), 0, BC109*$AT109), BB109*$AJ109)</f>
        <v>0</v>
      </c>
      <c r="BE109" s="587">
        <f>[1]COMMANDE!U107</f>
        <v>0</v>
      </c>
      <c r="BF109" s="586" t="str">
        <f>_xlfn.IFS(AND($AI109=$AM109,$AI109&gt;0,$AM109&gt;0,BE109&gt;0), BE109,     AND(NOT($AI109=$AM109),$AI109&gt;0,$AM109&gt;0,BE109&gt;0), ($AM109*BE109)/$AI109,     AND($AI109=0,$AM109&gt;0,$AQ109&gt;0), IF(INDEX(BE$12:BE$263,MATCH($AQ109,$AP$12:$AP$263,0))&gt;0,($AM109*INDEX(BE$12:BE$263,MATCH($AQ109,$AP$12:$AP$263,0)))/INDEX($AI$12:$AI$263,MATCH($AQ109,$AP$12:$AP$263,0)), "-"),     TRUE, "0")</f>
        <v>0</v>
      </c>
      <c r="BG109" s="607">
        <f>IF(BF$9&gt;0, IF(OR(BF109="",BF109="-"), 0, BF109*$AT109), BE109*$AJ109)</f>
        <v>0</v>
      </c>
      <c r="BH109" s="589">
        <f>[1]COMMANDE!W107</f>
        <v>0</v>
      </c>
      <c r="BI109" s="586" t="str">
        <f>_xlfn.IFS(AND($AI109=$AM109,$AI109&gt;0,$AM109&gt;0,BH109&gt;0), BH109,     AND(NOT($AI109=$AM109),$AI109&gt;0,$AM109&gt;0,BH109&gt;0), ($AM109*BH109)/$AI109,     AND($AI109=0,$AM109&gt;0,$AQ109&gt;0), IF(INDEX(BH$12:BH$263,MATCH($AQ109,$AP$12:$AP$263,0))&gt;0,($AM109*INDEX(BH$12:BH$263,MATCH($AQ109,$AP$12:$AP$263,0)))/INDEX($AI$12:$AI$263,MATCH($AQ109,$AP$12:$AP$263,0)), "-"),     TRUE, "0")</f>
        <v>0</v>
      </c>
      <c r="BJ109" s="588">
        <f>IF(BI$9&gt;0, IF(OR(BI109="",BI109="-"), 0, BI109*$AT109), BH109*$AJ109)</f>
        <v>0</v>
      </c>
      <c r="BK109" s="587">
        <f>[1]COMMANDE!Y107</f>
        <v>0</v>
      </c>
      <c r="BL109" s="586" t="str">
        <f>_xlfn.IFS(AND($AI109=$AM109,$AI109&gt;0,$AM109&gt;0,BK109&gt;0), BK109,     AND(NOT($AI109=$AM109),$AI109&gt;0,$AM109&gt;0,BK109&gt;0), ($AM109*BK109)/$AI109,     AND($AI109=0,$AM109&gt;0,$AQ109&gt;0), IF(INDEX(BK$12:BK$263,MATCH($AQ109,$AP$12:$AP$263,0))&gt;0,($AM109*INDEX(BK$12:BK$263,MATCH($AQ109,$AP$12:$AP$263,0)))/INDEX($AI$12:$AI$263,MATCH($AQ109,$AP$12:$AP$263,0)), "-"),     TRUE, "0")</f>
        <v>0</v>
      </c>
      <c r="BM109" s="607">
        <f>IF(BL$9&gt;0, IF(OR(BL109="",BL109="-"), 0, BL109*$AT109), BK109*$AJ109)</f>
        <v>0</v>
      </c>
      <c r="BN109" s="589">
        <f>[1]COMMANDE!AA107</f>
        <v>0</v>
      </c>
      <c r="BO109" s="586" t="str">
        <f>_xlfn.IFS(AND($AI109=$AM109,$AI109&gt;0,$AM109&gt;0,BN109&gt;0), BN109,     AND(NOT($AI109=$AM109),$AI109&gt;0,$AM109&gt;0,BN109&gt;0), ($AM109*BN109)/$AI109,     AND($AI109=0,$AM109&gt;0,$AQ109&gt;0), IF(INDEX(BN$12:BN$263,MATCH($AQ109,$AP$12:$AP$263,0))&gt;0,($AM109*INDEX(BN$12:BN$263,MATCH($AQ109,$AP$12:$AP$263,0)))/INDEX($AI$12:$AI$263,MATCH($AQ109,$AP$12:$AP$263,0)), "-"),     TRUE, "0")</f>
        <v>0</v>
      </c>
      <c r="BP109" s="588">
        <f>IF(BO$9&gt;0, IF(OR(BO109="",BO109="-"), 0, BO109*$AT109), BN109*$AJ109)</f>
        <v>0</v>
      </c>
      <c r="BQ109" s="587">
        <f>[1]COMMANDE!AC107</f>
        <v>0</v>
      </c>
      <c r="BR109" s="586" t="str">
        <f>_xlfn.IFS(AND($AI109=$AM109,$AI109&gt;0,$AM109&gt;0,BQ109&gt;0), BQ109,     AND(NOT($AI109=$AM109),$AI109&gt;0,$AM109&gt;0,BQ109&gt;0), ($AM109*BQ109)/$AI109,     AND($AI109=0,$AM109&gt;0,$AQ109&gt;0), IF(INDEX(BQ$12:BQ$263,MATCH($AQ109,$AP$12:$AP$263,0))&gt;0,($AM109*INDEX(BQ$12:BQ$263,MATCH($AQ109,$AP$12:$AP$263,0)))/INDEX($AI$12:$AI$263,MATCH($AQ109,$AP$12:$AP$263,0)), "-"),     TRUE, "0")</f>
        <v>0</v>
      </c>
      <c r="BS109" s="607">
        <f>IF(BR$9&gt;0, IF(OR(BR109="",BR109="-"), 0, BR109*$AT109), BQ109*$AJ109)</f>
        <v>0</v>
      </c>
      <c r="BT109" s="589">
        <f>[1]COMMANDE!AE107</f>
        <v>0</v>
      </c>
      <c r="BU109" s="586" t="str">
        <f>_xlfn.IFS(AND($AI109=$AM109,$AI109&gt;0,$AM109&gt;0,BT109&gt;0), BT109,     AND(NOT($AI109=$AM109),$AI109&gt;0,$AM109&gt;0,BT109&gt;0), ($AM109*BT109)/$AI109,     AND($AI109=0,$AM109&gt;0,$AQ109&gt;0), IF(INDEX(BT$12:BT$263,MATCH($AQ109,$AP$12:$AP$263,0))&gt;0,($AM109*INDEX(BT$12:BT$263,MATCH($AQ109,$AP$12:$AP$263,0)))/INDEX($AI$12:$AI$263,MATCH($AQ109,$AP$12:$AP$263,0)), "-"),     TRUE, "0")</f>
        <v>0</v>
      </c>
      <c r="BV109" s="588">
        <f>IF(BU$9&gt;0, IF(OR(BU109="",BU109="-"), 0, BU109*$AT109), BT109*$AJ109)</f>
        <v>0</v>
      </c>
      <c r="BW109" s="587">
        <f>[1]COMMANDE!AG107</f>
        <v>0</v>
      </c>
      <c r="BX109" s="586" t="str">
        <f>_xlfn.IFS(AND($AI109=$AM109,$AI109&gt;0,$AM109&gt;0,BW109&gt;0), BW109,     AND(NOT($AI109=$AM109),$AI109&gt;0,$AM109&gt;0,BW109&gt;0), ($AM109*BW109)/$AI109,     AND($AI109=0,$AM109&gt;0,$AQ109&gt;0), IF(INDEX(BW$12:BW$263,MATCH($AQ109,$AP$12:$AP$263,0))&gt;0,($AM109*INDEX(BW$12:BW$263,MATCH($AQ109,$AP$12:$AP$263,0)))/INDEX($AI$12:$AI$263,MATCH($AQ109,$AP$12:$AP$263,0)), "-"),     TRUE, "0")</f>
        <v>0</v>
      </c>
      <c r="BY109" s="607">
        <f>IF(BX$9&gt;0, IF(OR(BX109="",BX109="-"), 0, BX109*$AT109), BW109*$AJ109)</f>
        <v>0</v>
      </c>
      <c r="BZ109" s="589">
        <f>[1]COMMANDE!AI107</f>
        <v>0</v>
      </c>
      <c r="CA109" s="586" t="str">
        <f>_xlfn.IFS(AND($AI109=$AM109,$AI109&gt;0,$AM109&gt;0,BZ109&gt;0), BZ109,     AND(NOT($AI109=$AM109),$AI109&gt;0,$AM109&gt;0,BZ109&gt;0), ($AM109*BZ109)/$AI109,     AND($AI109=0,$AM109&gt;0,$AQ109&gt;0), IF(INDEX(BZ$12:BZ$263,MATCH($AQ109,$AP$12:$AP$263,0))&gt;0,($AM109*INDEX(BZ$12:BZ$263,MATCH($AQ109,$AP$12:$AP$263,0)))/INDEX($AI$12:$AI$263,MATCH($AQ109,$AP$12:$AP$263,0)), "-"),     TRUE, "0")</f>
        <v>0</v>
      </c>
      <c r="CB109" s="588">
        <f>IF(CA$9&gt;0, IF(OR(CA109="",CA109="-"), 0, CA109*$AT109), BZ109*$AJ109)</f>
        <v>0</v>
      </c>
      <c r="CC109" s="587">
        <f>[1]COMMANDE!AK107</f>
        <v>0</v>
      </c>
      <c r="CD109" s="586" t="str">
        <f>_xlfn.IFS(AND($AI109=$AM109,$AI109&gt;0,$AM109&gt;0,CC109&gt;0), CC109,     AND(NOT($AI109=$AM109),$AI109&gt;0,$AM109&gt;0,CC109&gt;0), ($AM109*CC109)/$AI109,     AND($AI109=0,$AM109&gt;0,$AQ109&gt;0), IF(INDEX(CC$12:CC$263,MATCH($AQ109,$AP$12:$AP$263,0))&gt;0,($AM109*INDEX(CC$12:CC$263,MATCH($AQ109,$AP$12:$AP$263,0)))/INDEX($AI$12:$AI$263,MATCH($AQ109,$AP$12:$AP$263,0)), "-"),     TRUE, "0")</f>
        <v>0</v>
      </c>
      <c r="CE109" s="607">
        <f>IF(CD$9&gt;0, IF(OR(CD109="",CD109="-"), 0, CD109*$AT109), CC109*$AJ109)</f>
        <v>0</v>
      </c>
      <c r="CF109" s="589">
        <f>[1]COMMANDE!AM107</f>
        <v>0</v>
      </c>
      <c r="CG109" s="586" t="str">
        <f>_xlfn.IFS(AND($AI109=$AM109,$AI109&gt;0,$AM109&gt;0,CF109&gt;0), CF109,     AND(NOT($AI109=$AM109),$AI109&gt;0,$AM109&gt;0,CF109&gt;0), ($AM109*CF109)/$AI109,     AND($AI109=0,$AM109&gt;0,$AQ109&gt;0), IF(INDEX(CF$12:CF$263,MATCH($AQ109,$AP$12:$AP$263,0))&gt;0,($AM109*INDEX(CF$12:CF$263,MATCH($AQ109,$AP$12:$AP$263,0)))/INDEX($AI$12:$AI$263,MATCH($AQ109,$AP$12:$AP$263,0)), "-"),     TRUE, "0")</f>
        <v>0</v>
      </c>
      <c r="CH109" s="588">
        <f>IF(CG$9&gt;0, IF(OR(CG109="",CG109="-"), 0, CG109*$AT109), CF109*$AJ109)</f>
        <v>0</v>
      </c>
      <c r="CI109" s="587">
        <f>[1]COMMANDE!AO107</f>
        <v>0</v>
      </c>
      <c r="CJ109" s="586" t="str">
        <f>_xlfn.IFS(AND($AI109=$AM109,$AI109&gt;0,$AM109&gt;0,CI109&gt;0), CI109,     AND(NOT($AI109=$AM109),$AI109&gt;0,$AM109&gt;0,CI109&gt;0), ($AM109*CI109)/$AI109,     AND($AI109=0,$AM109&gt;0,$AQ109&gt;0), IF(INDEX(CI$12:CI$263,MATCH($AQ109,$AP$12:$AP$263,0))&gt;0,($AM109*INDEX(CI$12:CI$263,MATCH($AQ109,$AP$12:$AP$263,0)))/INDEX($AI$12:$AI$263,MATCH($AQ109,$AP$12:$AP$263,0)), "-"),     TRUE, "0")</f>
        <v>0</v>
      </c>
      <c r="CK109" s="607">
        <f>IF(CJ$9&gt;0, IF(OR(CJ109="",CJ109="-"), 0, CJ109*$AT109), CI109*$AJ109)</f>
        <v>0</v>
      </c>
      <c r="CL109" s="589">
        <f>[1]COMMANDE!AQ107</f>
        <v>0</v>
      </c>
      <c r="CM109" s="586" t="str">
        <f>_xlfn.IFS(AND($AI109=$AM109,$AI109&gt;0,$AM109&gt;0,CL109&gt;0), CL109,     AND(NOT($AI109=$AM109),$AI109&gt;0,$AM109&gt;0,CL109&gt;0), ($AM109*CL109)/$AI109,     AND($AI109=0,$AM109&gt;0,$AQ109&gt;0), IF(INDEX(CL$12:CL$263,MATCH($AQ109,$AP$12:$AP$263,0))&gt;0,($AM109*INDEX(CL$12:CL$263,MATCH($AQ109,$AP$12:$AP$263,0)))/INDEX($AI$12:$AI$263,MATCH($AQ109,$AP$12:$AP$263,0)), "-"),     TRUE, "0")</f>
        <v>0</v>
      </c>
      <c r="CN109" s="588">
        <f>IF(CM$9&gt;0, IF(OR(CM109="",CM109="-"), 0, CM109*$AT109), CL109*$AJ109)</f>
        <v>0</v>
      </c>
      <c r="CO109" s="587">
        <f>[1]COMMANDE!AS107</f>
        <v>0</v>
      </c>
      <c r="CP109" s="586" t="str">
        <f>_xlfn.IFS(AND($AI109=$AM109,$AI109&gt;0,$AM109&gt;0,CO109&gt;0), CO109,     AND(NOT($AI109=$AM109),$AI109&gt;0,$AM109&gt;0,CO109&gt;0), ($AM109*CO109)/$AI109,     AND($AI109=0,$AM109&gt;0,$AQ109&gt;0), IF(INDEX(CO$12:CO$263,MATCH($AQ109,$AP$12:$AP$263,0))&gt;0,($AM109*INDEX(CO$12:CO$263,MATCH($AQ109,$AP$12:$AP$263,0)))/INDEX($AI$12:$AI$263,MATCH($AQ109,$AP$12:$AP$263,0)), "-"),     TRUE, "0")</f>
        <v>0</v>
      </c>
      <c r="CQ109" s="607">
        <f>IF(CP$9&gt;0, IF(OR(CP109="",CP109="-"), 0, CP109*$AT109), CO109*$AJ109)</f>
        <v>0</v>
      </c>
      <c r="CR109" s="589">
        <f>[1]COMMANDE!AU107</f>
        <v>0</v>
      </c>
      <c r="CS109" s="586" t="str">
        <f>_xlfn.IFS(AND($AI109=$AM109,$AI109&gt;0,$AM109&gt;0,CR109&gt;0), CR109,     AND(NOT($AI109=$AM109),$AI109&gt;0,$AM109&gt;0,CR109&gt;0), ($AM109*CR109)/$AI109,     AND($AI109=0,$AM109&gt;0,$AQ109&gt;0), IF(INDEX(CR$12:CR$263,MATCH($AQ109,$AP$12:$AP$263,0))&gt;0,($AM109*INDEX(CR$12:CR$263,MATCH($AQ109,$AP$12:$AP$263,0)))/INDEX($AI$12:$AI$263,MATCH($AQ109,$AP$12:$AP$263,0)), "-"),     TRUE, "0")</f>
        <v>0</v>
      </c>
      <c r="CT109" s="588">
        <f>IF(CS$9&gt;0, IF(OR(CS109="",CS109="-"), 0, CS109*$AT109), CR109*$AJ109)</f>
        <v>0</v>
      </c>
      <c r="CU109" s="587">
        <f>[1]COMMANDE!AW107</f>
        <v>0</v>
      </c>
      <c r="CV109" s="586" t="str">
        <f>_xlfn.IFS(AND($AI109=$AM109,$AI109&gt;0,$AM109&gt;0,CU109&gt;0), CU109,     AND(NOT($AI109=$AM109),$AI109&gt;0,$AM109&gt;0,CU109&gt;0), ($AM109*CU109)/$AI109,     AND($AI109=0,$AM109&gt;0,$AQ109&gt;0), IF(INDEX(CU$12:CU$263,MATCH($AQ109,$AP$12:$AP$263,0))&gt;0,($AM109*INDEX(CU$12:CU$263,MATCH($AQ109,$AP$12:$AP$263,0)))/INDEX($AI$12:$AI$263,MATCH($AQ109,$AP$12:$AP$263,0)), "-"),     TRUE, "0")</f>
        <v>0</v>
      </c>
      <c r="CW109" s="607">
        <f>IF(CV$9&gt;0, IF(OR(CV109="",CV109="-"), 0, CV109*$AT109), CU109*$AJ109)</f>
        <v>0</v>
      </c>
      <c r="CX109" s="589">
        <f>[1]COMMANDE!AY107</f>
        <v>0</v>
      </c>
      <c r="CY109" s="586" t="str">
        <f>_xlfn.IFS(AND($AI109=$AM109,$AI109&gt;0,$AM109&gt;0,CX109&gt;0), CX109,     AND(NOT($AI109=$AM109),$AI109&gt;0,$AM109&gt;0,CX109&gt;0), ($AM109*CX109)/$AI109,     AND($AI109=0,$AM109&gt;0,$AQ109&gt;0), IF(INDEX(CX$12:CX$263,MATCH($AQ109,$AP$12:$AP$263,0))&gt;0,($AM109*INDEX(CX$12:CX$263,MATCH($AQ109,$AP$12:$AP$263,0)))/INDEX($AI$12:$AI$263,MATCH($AQ109,$AP$12:$AP$263,0)), "-"),     TRUE, "0")</f>
        <v>0</v>
      </c>
      <c r="CZ109" s="588">
        <f>IF(CY$9&gt;0, IF(OR(CY109="",CY109="-"), 0, CY109*$AT109), CX109*$AJ109)</f>
        <v>0</v>
      </c>
      <c r="DA109" s="587">
        <f>[1]COMMANDE!BA107</f>
        <v>0</v>
      </c>
      <c r="DB109" s="586" t="str">
        <f>_xlfn.IFS(AND($AI109=$AM109,$AI109&gt;0,$AM109&gt;0,DA109&gt;0), DA109,     AND(NOT($AI109=$AM109),$AI109&gt;0,$AM109&gt;0,DA109&gt;0), ($AM109*DA109)/$AI109,     AND($AI109=0,$AM109&gt;0,$AQ109&gt;0), IF(INDEX(DA$12:DA$263,MATCH($AQ109,$AP$12:$AP$263,0))&gt;0,($AM109*INDEX(DA$12:DA$263,MATCH($AQ109,$AP$12:$AP$263,0)))/INDEX($AI$12:$AI$263,MATCH($AQ109,$AP$12:$AP$263,0)), "-"),     TRUE, "0")</f>
        <v>0</v>
      </c>
      <c r="DC109" s="606">
        <f>IF(DB$9&gt;0, IF(OR(DB109="",DB109="-"), 0, DB109*$AT109), DA109*$AJ109)</f>
        <v>0</v>
      </c>
      <c r="DD109" s="584"/>
      <c r="DE109" s="583"/>
    </row>
    <row r="110" spans="1:109" ht="39.950000000000003" customHeight="1">
      <c r="A110" s="604">
        <f>IF(OR($AV110&gt;0, $AX110&gt;0), 1, 0)</f>
        <v>1</v>
      </c>
      <c r="B110" s="604">
        <f>IF(OR($AY110&gt;0, $BA110&gt;0), 1, 0)</f>
        <v>0</v>
      </c>
      <c r="C110" s="604">
        <f>IF(OR($BB110&gt;0, $BD110&gt;0), 1, 0)</f>
        <v>1</v>
      </c>
      <c r="D110" s="604">
        <f>IF(OR($BE110&gt;0, $BG110&gt;0), 1, 0)</f>
        <v>1</v>
      </c>
      <c r="E110" s="604">
        <f>IF(OR($BH110&gt;0, $BJ110&gt;0), 1, 0)</f>
        <v>0</v>
      </c>
      <c r="F110" s="604">
        <f>IF(OR($BK110&gt;0, $BM110&gt;0), 1, 0)</f>
        <v>0</v>
      </c>
      <c r="G110" s="604">
        <f>IF(OR($BN110&gt;0, $BP110&gt;0), 1, 0)</f>
        <v>0</v>
      </c>
      <c r="H110" s="604">
        <f>IF(OR($BQ110&gt;0, $BS110&gt;0), 1, 0)</f>
        <v>0</v>
      </c>
      <c r="I110" s="604">
        <f>IF(OR($BT110&gt;0, $BV110&gt;0), 1, 0)</f>
        <v>0</v>
      </c>
      <c r="J110" s="604">
        <f>IF(OR($BW110&gt;0, $BY110&gt;0), 1, 0)</f>
        <v>0</v>
      </c>
      <c r="K110" s="604">
        <f>IF(OR($BZ110&gt;0, $CB110&gt;0), 1, 0)</f>
        <v>0</v>
      </c>
      <c r="L110" s="604">
        <f>IF(OR($CC110&gt;0, $CE110&gt;0), 1, 0)</f>
        <v>0</v>
      </c>
      <c r="M110" s="604">
        <f>IF(OR($CF110&gt;0, $CH110&gt;0), 1, 0)</f>
        <v>0</v>
      </c>
      <c r="N110" s="604">
        <f>IF(OR($CI110&gt;0, $CK110&gt;0), 1, 0)</f>
        <v>0</v>
      </c>
      <c r="O110" s="604">
        <f>IF(OR($CL110&gt;0, $CN110&gt;0), 1, 0)</f>
        <v>0</v>
      </c>
      <c r="P110" s="604">
        <f>IF(OR($CO110&gt;0, $CQ110&gt;0), 1, 0)</f>
        <v>0</v>
      </c>
      <c r="Q110" s="604">
        <f>IF(OR($CR110&gt;0, $CT110&gt;0), 1, 0)</f>
        <v>0</v>
      </c>
      <c r="R110" s="604">
        <f>IF(OR($CU110&gt;0, $CW110&gt;0), 1, 0)</f>
        <v>0</v>
      </c>
      <c r="S110" s="604">
        <f>IF(OR($CX110&gt;0, $CZ110&gt;0), 1, 0)</f>
        <v>0</v>
      </c>
      <c r="T110" s="604">
        <f>IF(OR($DA110&gt;0, $DC110&gt;0), 1, 0)</f>
        <v>0</v>
      </c>
      <c r="U110" s="603">
        <f>IF(OR($AI110&gt;0,$AM110&gt;0,$AS110&gt;0), 1, 0)</f>
        <v>1</v>
      </c>
      <c r="V110" s="602">
        <f>[1]BDD!A100</f>
        <v>3273</v>
      </c>
      <c r="W110" s="601" t="str">
        <f>[1]BDD!B100</f>
        <v>Feijoa (produit rare - saison courte)</v>
      </c>
      <c r="X110" s="600" t="str">
        <f>IF([1]BDD!F100=0, "", [1]BDD!F100)</f>
        <v>OFFRE</v>
      </c>
      <c r="Y110" s="542">
        <f>ROUND([1]BDD!G100+FDP_CMD_KG, 2)</f>
        <v>4.95</v>
      </c>
      <c r="Z110" s="542">
        <f>ROUND([1]BDD!G100+FDP_FACT_KG, 2)</f>
        <v>4.95</v>
      </c>
      <c r="AA110" s="543" t="str">
        <f>[1]BDD!H100</f>
        <v>kg</v>
      </c>
      <c r="AB110" s="544">
        <f>IF(NOT(ISBLANK([1]BDD!I100)), ROUND(SUM(([1]BDD!G100*reduc1),FDP_CMD_KG), 2), "")</f>
        <v>4.55</v>
      </c>
      <c r="AC110" s="544">
        <f>IF(NOT(ISBLANK([1]BDD!J100)), ROUND(SUM(([1]BDD!G100*reduc2),FDP_CMD_KG), 2), "")</f>
        <v>4.1399999999999997</v>
      </c>
      <c r="AD110" s="544">
        <f>IF(NOT(ISBLANK([1]BDD!K100)), ROUND(SUM(([1]BDD!G100*reduc3),FDP_CMD_KG), 2), "")</f>
        <v>3.73</v>
      </c>
      <c r="AE110" s="544">
        <f>IF(NOT(ISBLANK([1]BDD!I100)), ROUND(SUM(([1]BDD!G100*reduc1),FDP_FACT_KG), 2), "")</f>
        <v>4.54</v>
      </c>
      <c r="AF110" s="544">
        <f>IF(NOT(ISBLANK([1]BDD!J100)), ROUND(SUM(([1]BDD!G100*reduc2),FDP_FACT_KG), 2), "")</f>
        <v>4.13</v>
      </c>
      <c r="AG110" s="544">
        <f>IF(NOT(ISBLANK([1]BDD!K100)), ROUND(SUM(([1]BDD!G100*reduc3),FDP_FACT_KG), 2), "")</f>
        <v>3.72</v>
      </c>
      <c r="AH110" s="599" t="str">
        <f>[1]BDD!C100</f>
        <v>Grenade</v>
      </c>
      <c r="AI110" s="598">
        <f>SUM(AV110,AY110,BB110,BE110,BH110,BK110,BN110,BQ110,BT110,BW110,BZ110,CC110,CF110,CI110,CL110,CO110,CR110,CU110,CX110,DA110)</f>
        <v>5</v>
      </c>
      <c r="AJ110" s="545">
        <f>_xlfn.IFS($AD110&lt;&gt;"", $AD110,    $AC110&lt;&gt;"", $AC110,    $AB110&lt;&gt;"", $AB110,    TRUE, $Y110)</f>
        <v>3.73</v>
      </c>
      <c r="AK110" s="592">
        <f>$AI110*$AJ110</f>
        <v>18.649999999999999</v>
      </c>
      <c r="AL110" s="594"/>
      <c r="AM110" s="597">
        <v>5</v>
      </c>
      <c r="AN110" s="545">
        <f>_xlfn.IFS(AND(AM110&gt;=60,$AG110&lt;&gt;""), $AG110,    AND(AM110&gt;=30,$AF110&lt;&gt;""), $AF110,    AND(AM110&gt;=10,$AE110&lt;&gt;""), $AE110,    TRUE, $Z110)</f>
        <v>4.95</v>
      </c>
      <c r="AO110" s="596">
        <f>AM110*AN110</f>
        <v>24.75</v>
      </c>
      <c r="AP110" s="595"/>
      <c r="AQ110" s="595"/>
      <c r="AR110" s="594"/>
      <c r="AS110" s="593">
        <f>SUM(AW110,AZ110,BC110,BF110,BI110,BL110,BO110,BR110,BU110,BX110,CA110,CD110,CG110,CJ110,CM110,CP110,CS110,CV110,CY110,DB110)</f>
        <v>5</v>
      </c>
      <c r="AT110" s="545">
        <f>_xlfn.IFS(AND(AS110&gt;=60,$AG110&lt;&gt;""), $AG110,    AND(AS110&gt;=30,$AF110&lt;&gt;""), $AF110,    AND(AS110&gt;=10,$AE110&lt;&gt;""), $AE110,    TRUE, $Z110)</f>
        <v>4.95</v>
      </c>
      <c r="AU110" s="592">
        <f>$AS110*$AT110</f>
        <v>24.75</v>
      </c>
      <c r="AV110" s="591">
        <f>[1]COMMANDE!O108</f>
        <v>1</v>
      </c>
      <c r="AW110" s="586">
        <f>_xlfn.IFS(AND($AI110=$AM110,$AI110&gt;0,$AM110&gt;0,AV110&gt;0), AV110,     AND(NOT($AI110=$AM110),$AI110&gt;0,$AM110&gt;0,AV110&gt;0), ($AM110*AV110)/$AI110,     AND($AI110=0,$AM110&gt;0,$AQ110&gt;0), IF(INDEX(AV$12:AV$263,MATCH($AQ110,$AP$12:$AP$263,0))&gt;0,($AM110*INDEX(AV$12:AV$263,MATCH($AQ110,$AP$12:$AP$263,0)))/INDEX($AI$12:$AI$263,MATCH($AQ110,$AP$12:$AP$263,0)), "-"),     TRUE, "0")</f>
        <v>1</v>
      </c>
      <c r="AX110" s="588">
        <f>IF(AW$9&gt;0, IF(OR(AW110="",AW110="-"), 0, AW110*$AT110), AV110*$AJ110)</f>
        <v>4.95</v>
      </c>
      <c r="AY110" s="587">
        <f>[1]COMMANDE!Q108</f>
        <v>0</v>
      </c>
      <c r="AZ110" s="586" t="str">
        <f>_xlfn.IFS(AND($AI110=$AM110,$AI110&gt;0,$AM110&gt;0,AY110&gt;0), AY110,     AND(NOT($AI110=$AM110),$AI110&gt;0,$AM110&gt;0,AY110&gt;0), ($AM110*AY110)/$AI110,     AND($AI110=0,$AM110&gt;0,$AQ110&gt;0), IF(INDEX(AY$12:AY$263,MATCH($AQ110,$AP$12:$AP$263,0))&gt;0,($AM110*INDEX(AY$12:AY$263,MATCH($AQ110,$AP$12:$AP$263,0)))/INDEX($AI$12:$AI$263,MATCH($AQ110,$AP$12:$AP$263,0)), "-"),     TRUE, "0")</f>
        <v>0</v>
      </c>
      <c r="BA110" s="607">
        <f>IF(AZ$9&gt;0, IF(OR(AZ110="",AZ110="-"), 0, AZ110*$AT110), AY110*$AJ110)</f>
        <v>0</v>
      </c>
      <c r="BB110" s="589">
        <f>[1]COMMANDE!S108</f>
        <v>1</v>
      </c>
      <c r="BC110" s="586">
        <f>_xlfn.IFS(AND($AI110=$AM110,$AI110&gt;0,$AM110&gt;0,BB110&gt;0), BB110,     AND(NOT($AI110=$AM110),$AI110&gt;0,$AM110&gt;0,BB110&gt;0), ($AM110*BB110)/$AI110,     AND($AI110=0,$AM110&gt;0,$AQ110&gt;0), IF(INDEX(BB$12:BB$263,MATCH($AQ110,$AP$12:$AP$263,0))&gt;0,($AM110*INDEX(BB$12:BB$263,MATCH($AQ110,$AP$12:$AP$263,0)))/INDEX($AI$12:$AI$263,MATCH($AQ110,$AP$12:$AP$263,0)), "-"),     TRUE, "0")</f>
        <v>1</v>
      </c>
      <c r="BD110" s="588">
        <f>IF(BC$9&gt;0, IF(OR(BC110="",BC110="-"), 0, BC110*$AT110), BB110*$AJ110)</f>
        <v>4.95</v>
      </c>
      <c r="BE110" s="587">
        <f>[1]COMMANDE!U108</f>
        <v>3</v>
      </c>
      <c r="BF110" s="586">
        <f>_xlfn.IFS(AND($AI110=$AM110,$AI110&gt;0,$AM110&gt;0,BE110&gt;0), BE110,     AND(NOT($AI110=$AM110),$AI110&gt;0,$AM110&gt;0,BE110&gt;0), ($AM110*BE110)/$AI110,     AND($AI110=0,$AM110&gt;0,$AQ110&gt;0), IF(INDEX(BE$12:BE$263,MATCH($AQ110,$AP$12:$AP$263,0))&gt;0,($AM110*INDEX(BE$12:BE$263,MATCH($AQ110,$AP$12:$AP$263,0)))/INDEX($AI$12:$AI$263,MATCH($AQ110,$AP$12:$AP$263,0)), "-"),     TRUE, "0")</f>
        <v>3</v>
      </c>
      <c r="BG110" s="607">
        <f>IF(BF$9&gt;0, IF(OR(BF110="",BF110="-"), 0, BF110*$AT110), BE110*$AJ110)</f>
        <v>14.850000000000001</v>
      </c>
      <c r="BH110" s="589">
        <f>[1]COMMANDE!W108</f>
        <v>0</v>
      </c>
      <c r="BI110" s="586" t="str">
        <f>_xlfn.IFS(AND($AI110=$AM110,$AI110&gt;0,$AM110&gt;0,BH110&gt;0), BH110,     AND(NOT($AI110=$AM110),$AI110&gt;0,$AM110&gt;0,BH110&gt;0), ($AM110*BH110)/$AI110,     AND($AI110=0,$AM110&gt;0,$AQ110&gt;0), IF(INDEX(BH$12:BH$263,MATCH($AQ110,$AP$12:$AP$263,0))&gt;0,($AM110*INDEX(BH$12:BH$263,MATCH($AQ110,$AP$12:$AP$263,0)))/INDEX($AI$12:$AI$263,MATCH($AQ110,$AP$12:$AP$263,0)), "-"),     TRUE, "0")</f>
        <v>0</v>
      </c>
      <c r="BJ110" s="588">
        <f>IF(BI$9&gt;0, IF(OR(BI110="",BI110="-"), 0, BI110*$AT110), BH110*$AJ110)</f>
        <v>0</v>
      </c>
      <c r="BK110" s="587">
        <f>[1]COMMANDE!Y108</f>
        <v>0</v>
      </c>
      <c r="BL110" s="586" t="str">
        <f>_xlfn.IFS(AND($AI110=$AM110,$AI110&gt;0,$AM110&gt;0,BK110&gt;0), BK110,     AND(NOT($AI110=$AM110),$AI110&gt;0,$AM110&gt;0,BK110&gt;0), ($AM110*BK110)/$AI110,     AND($AI110=0,$AM110&gt;0,$AQ110&gt;0), IF(INDEX(BK$12:BK$263,MATCH($AQ110,$AP$12:$AP$263,0))&gt;0,($AM110*INDEX(BK$12:BK$263,MATCH($AQ110,$AP$12:$AP$263,0)))/INDEX($AI$12:$AI$263,MATCH($AQ110,$AP$12:$AP$263,0)), "-"),     TRUE, "0")</f>
        <v>0</v>
      </c>
      <c r="BM110" s="607">
        <f>IF(BL$9&gt;0, IF(OR(BL110="",BL110="-"), 0, BL110*$AT110), BK110*$AJ110)</f>
        <v>0</v>
      </c>
      <c r="BN110" s="589">
        <f>[1]COMMANDE!AA108</f>
        <v>0</v>
      </c>
      <c r="BO110" s="586" t="str">
        <f>_xlfn.IFS(AND($AI110=$AM110,$AI110&gt;0,$AM110&gt;0,BN110&gt;0), BN110,     AND(NOT($AI110=$AM110),$AI110&gt;0,$AM110&gt;0,BN110&gt;0), ($AM110*BN110)/$AI110,     AND($AI110=0,$AM110&gt;0,$AQ110&gt;0), IF(INDEX(BN$12:BN$263,MATCH($AQ110,$AP$12:$AP$263,0))&gt;0,($AM110*INDEX(BN$12:BN$263,MATCH($AQ110,$AP$12:$AP$263,0)))/INDEX($AI$12:$AI$263,MATCH($AQ110,$AP$12:$AP$263,0)), "-"),     TRUE, "0")</f>
        <v>0</v>
      </c>
      <c r="BP110" s="588">
        <f>IF(BO$9&gt;0, IF(OR(BO110="",BO110="-"), 0, BO110*$AT110), BN110*$AJ110)</f>
        <v>0</v>
      </c>
      <c r="BQ110" s="587">
        <f>[1]COMMANDE!AC108</f>
        <v>0</v>
      </c>
      <c r="BR110" s="586" t="str">
        <f>_xlfn.IFS(AND($AI110=$AM110,$AI110&gt;0,$AM110&gt;0,BQ110&gt;0), BQ110,     AND(NOT($AI110=$AM110),$AI110&gt;0,$AM110&gt;0,BQ110&gt;0), ($AM110*BQ110)/$AI110,     AND($AI110=0,$AM110&gt;0,$AQ110&gt;0), IF(INDEX(BQ$12:BQ$263,MATCH($AQ110,$AP$12:$AP$263,0))&gt;0,($AM110*INDEX(BQ$12:BQ$263,MATCH($AQ110,$AP$12:$AP$263,0)))/INDEX($AI$12:$AI$263,MATCH($AQ110,$AP$12:$AP$263,0)), "-"),     TRUE, "0")</f>
        <v>0</v>
      </c>
      <c r="BS110" s="607">
        <f>IF(BR$9&gt;0, IF(OR(BR110="",BR110="-"), 0, BR110*$AT110), BQ110*$AJ110)</f>
        <v>0</v>
      </c>
      <c r="BT110" s="589">
        <f>[1]COMMANDE!AE108</f>
        <v>0</v>
      </c>
      <c r="BU110" s="586" t="str">
        <f>_xlfn.IFS(AND($AI110=$AM110,$AI110&gt;0,$AM110&gt;0,BT110&gt;0), BT110,     AND(NOT($AI110=$AM110),$AI110&gt;0,$AM110&gt;0,BT110&gt;0), ($AM110*BT110)/$AI110,     AND($AI110=0,$AM110&gt;0,$AQ110&gt;0), IF(INDEX(BT$12:BT$263,MATCH($AQ110,$AP$12:$AP$263,0))&gt;0,($AM110*INDEX(BT$12:BT$263,MATCH($AQ110,$AP$12:$AP$263,0)))/INDEX($AI$12:$AI$263,MATCH($AQ110,$AP$12:$AP$263,0)), "-"),     TRUE, "0")</f>
        <v>0</v>
      </c>
      <c r="BV110" s="588">
        <f>IF(BU$9&gt;0, IF(OR(BU110="",BU110="-"), 0, BU110*$AT110), BT110*$AJ110)</f>
        <v>0</v>
      </c>
      <c r="BW110" s="587">
        <f>[1]COMMANDE!AG108</f>
        <v>0</v>
      </c>
      <c r="BX110" s="586" t="str">
        <f>_xlfn.IFS(AND($AI110=$AM110,$AI110&gt;0,$AM110&gt;0,BW110&gt;0), BW110,     AND(NOT($AI110=$AM110),$AI110&gt;0,$AM110&gt;0,BW110&gt;0), ($AM110*BW110)/$AI110,     AND($AI110=0,$AM110&gt;0,$AQ110&gt;0), IF(INDEX(BW$12:BW$263,MATCH($AQ110,$AP$12:$AP$263,0))&gt;0,($AM110*INDEX(BW$12:BW$263,MATCH($AQ110,$AP$12:$AP$263,0)))/INDEX($AI$12:$AI$263,MATCH($AQ110,$AP$12:$AP$263,0)), "-"),     TRUE, "0")</f>
        <v>0</v>
      </c>
      <c r="BY110" s="607">
        <f>IF(BX$9&gt;0, IF(OR(BX110="",BX110="-"), 0, BX110*$AT110), BW110*$AJ110)</f>
        <v>0</v>
      </c>
      <c r="BZ110" s="589">
        <f>[1]COMMANDE!AI108</f>
        <v>0</v>
      </c>
      <c r="CA110" s="586" t="str">
        <f>_xlfn.IFS(AND($AI110=$AM110,$AI110&gt;0,$AM110&gt;0,BZ110&gt;0), BZ110,     AND(NOT($AI110=$AM110),$AI110&gt;0,$AM110&gt;0,BZ110&gt;0), ($AM110*BZ110)/$AI110,     AND($AI110=0,$AM110&gt;0,$AQ110&gt;0), IF(INDEX(BZ$12:BZ$263,MATCH($AQ110,$AP$12:$AP$263,0))&gt;0,($AM110*INDEX(BZ$12:BZ$263,MATCH($AQ110,$AP$12:$AP$263,0)))/INDEX($AI$12:$AI$263,MATCH($AQ110,$AP$12:$AP$263,0)), "-"),     TRUE, "0")</f>
        <v>0</v>
      </c>
      <c r="CB110" s="588">
        <f>IF(CA$9&gt;0, IF(OR(CA110="",CA110="-"), 0, CA110*$AT110), BZ110*$AJ110)</f>
        <v>0</v>
      </c>
      <c r="CC110" s="587">
        <f>[1]COMMANDE!AK108</f>
        <v>0</v>
      </c>
      <c r="CD110" s="586" t="str">
        <f>_xlfn.IFS(AND($AI110=$AM110,$AI110&gt;0,$AM110&gt;0,CC110&gt;0), CC110,     AND(NOT($AI110=$AM110),$AI110&gt;0,$AM110&gt;0,CC110&gt;0), ($AM110*CC110)/$AI110,     AND($AI110=0,$AM110&gt;0,$AQ110&gt;0), IF(INDEX(CC$12:CC$263,MATCH($AQ110,$AP$12:$AP$263,0))&gt;0,($AM110*INDEX(CC$12:CC$263,MATCH($AQ110,$AP$12:$AP$263,0)))/INDEX($AI$12:$AI$263,MATCH($AQ110,$AP$12:$AP$263,0)), "-"),     TRUE, "0")</f>
        <v>0</v>
      </c>
      <c r="CE110" s="607">
        <f>IF(CD$9&gt;0, IF(OR(CD110="",CD110="-"), 0, CD110*$AT110), CC110*$AJ110)</f>
        <v>0</v>
      </c>
      <c r="CF110" s="589">
        <f>[1]COMMANDE!AM108</f>
        <v>0</v>
      </c>
      <c r="CG110" s="586" t="str">
        <f>_xlfn.IFS(AND($AI110=$AM110,$AI110&gt;0,$AM110&gt;0,CF110&gt;0), CF110,     AND(NOT($AI110=$AM110),$AI110&gt;0,$AM110&gt;0,CF110&gt;0), ($AM110*CF110)/$AI110,     AND($AI110=0,$AM110&gt;0,$AQ110&gt;0), IF(INDEX(CF$12:CF$263,MATCH($AQ110,$AP$12:$AP$263,0))&gt;0,($AM110*INDEX(CF$12:CF$263,MATCH($AQ110,$AP$12:$AP$263,0)))/INDEX($AI$12:$AI$263,MATCH($AQ110,$AP$12:$AP$263,0)), "-"),     TRUE, "0")</f>
        <v>0</v>
      </c>
      <c r="CH110" s="588">
        <f>IF(CG$9&gt;0, IF(OR(CG110="",CG110="-"), 0, CG110*$AT110), CF110*$AJ110)</f>
        <v>0</v>
      </c>
      <c r="CI110" s="587">
        <f>[1]COMMANDE!AO108</f>
        <v>0</v>
      </c>
      <c r="CJ110" s="586" t="str">
        <f>_xlfn.IFS(AND($AI110=$AM110,$AI110&gt;0,$AM110&gt;0,CI110&gt;0), CI110,     AND(NOT($AI110=$AM110),$AI110&gt;0,$AM110&gt;0,CI110&gt;0), ($AM110*CI110)/$AI110,     AND($AI110=0,$AM110&gt;0,$AQ110&gt;0), IF(INDEX(CI$12:CI$263,MATCH($AQ110,$AP$12:$AP$263,0))&gt;0,($AM110*INDEX(CI$12:CI$263,MATCH($AQ110,$AP$12:$AP$263,0)))/INDEX($AI$12:$AI$263,MATCH($AQ110,$AP$12:$AP$263,0)), "-"),     TRUE, "0")</f>
        <v>0</v>
      </c>
      <c r="CK110" s="607">
        <f>IF(CJ$9&gt;0, IF(OR(CJ110="",CJ110="-"), 0, CJ110*$AT110), CI110*$AJ110)</f>
        <v>0</v>
      </c>
      <c r="CL110" s="589">
        <f>[1]COMMANDE!AQ108</f>
        <v>0</v>
      </c>
      <c r="CM110" s="586" t="str">
        <f>_xlfn.IFS(AND($AI110=$AM110,$AI110&gt;0,$AM110&gt;0,CL110&gt;0), CL110,     AND(NOT($AI110=$AM110),$AI110&gt;0,$AM110&gt;0,CL110&gt;0), ($AM110*CL110)/$AI110,     AND($AI110=0,$AM110&gt;0,$AQ110&gt;0), IF(INDEX(CL$12:CL$263,MATCH($AQ110,$AP$12:$AP$263,0))&gt;0,($AM110*INDEX(CL$12:CL$263,MATCH($AQ110,$AP$12:$AP$263,0)))/INDEX($AI$12:$AI$263,MATCH($AQ110,$AP$12:$AP$263,0)), "-"),     TRUE, "0")</f>
        <v>0</v>
      </c>
      <c r="CN110" s="588">
        <f>IF(CM$9&gt;0, IF(OR(CM110="",CM110="-"), 0, CM110*$AT110), CL110*$AJ110)</f>
        <v>0</v>
      </c>
      <c r="CO110" s="587">
        <f>[1]COMMANDE!AS108</f>
        <v>0</v>
      </c>
      <c r="CP110" s="586" t="str">
        <f>_xlfn.IFS(AND($AI110=$AM110,$AI110&gt;0,$AM110&gt;0,CO110&gt;0), CO110,     AND(NOT($AI110=$AM110),$AI110&gt;0,$AM110&gt;0,CO110&gt;0), ($AM110*CO110)/$AI110,     AND($AI110=0,$AM110&gt;0,$AQ110&gt;0), IF(INDEX(CO$12:CO$263,MATCH($AQ110,$AP$12:$AP$263,0))&gt;0,($AM110*INDEX(CO$12:CO$263,MATCH($AQ110,$AP$12:$AP$263,0)))/INDEX($AI$12:$AI$263,MATCH($AQ110,$AP$12:$AP$263,0)), "-"),     TRUE, "0")</f>
        <v>0</v>
      </c>
      <c r="CQ110" s="607">
        <f>IF(CP$9&gt;0, IF(OR(CP110="",CP110="-"), 0, CP110*$AT110), CO110*$AJ110)</f>
        <v>0</v>
      </c>
      <c r="CR110" s="589">
        <f>[1]COMMANDE!AU108</f>
        <v>0</v>
      </c>
      <c r="CS110" s="586" t="str">
        <f>_xlfn.IFS(AND($AI110=$AM110,$AI110&gt;0,$AM110&gt;0,CR110&gt;0), CR110,     AND(NOT($AI110=$AM110),$AI110&gt;0,$AM110&gt;0,CR110&gt;0), ($AM110*CR110)/$AI110,     AND($AI110=0,$AM110&gt;0,$AQ110&gt;0), IF(INDEX(CR$12:CR$263,MATCH($AQ110,$AP$12:$AP$263,0))&gt;0,($AM110*INDEX(CR$12:CR$263,MATCH($AQ110,$AP$12:$AP$263,0)))/INDEX($AI$12:$AI$263,MATCH($AQ110,$AP$12:$AP$263,0)), "-"),     TRUE, "0")</f>
        <v>0</v>
      </c>
      <c r="CT110" s="588">
        <f>IF(CS$9&gt;0, IF(OR(CS110="",CS110="-"), 0, CS110*$AT110), CR110*$AJ110)</f>
        <v>0</v>
      </c>
      <c r="CU110" s="587">
        <f>[1]COMMANDE!AW108</f>
        <v>0</v>
      </c>
      <c r="CV110" s="586" t="str">
        <f>_xlfn.IFS(AND($AI110=$AM110,$AI110&gt;0,$AM110&gt;0,CU110&gt;0), CU110,     AND(NOT($AI110=$AM110),$AI110&gt;0,$AM110&gt;0,CU110&gt;0), ($AM110*CU110)/$AI110,     AND($AI110=0,$AM110&gt;0,$AQ110&gt;0), IF(INDEX(CU$12:CU$263,MATCH($AQ110,$AP$12:$AP$263,0))&gt;0,($AM110*INDEX(CU$12:CU$263,MATCH($AQ110,$AP$12:$AP$263,0)))/INDEX($AI$12:$AI$263,MATCH($AQ110,$AP$12:$AP$263,0)), "-"),     TRUE, "0")</f>
        <v>0</v>
      </c>
      <c r="CW110" s="607">
        <f>IF(CV$9&gt;0, IF(OR(CV110="",CV110="-"), 0, CV110*$AT110), CU110*$AJ110)</f>
        <v>0</v>
      </c>
      <c r="CX110" s="589">
        <f>[1]COMMANDE!AY108</f>
        <v>0</v>
      </c>
      <c r="CY110" s="586" t="str">
        <f>_xlfn.IFS(AND($AI110=$AM110,$AI110&gt;0,$AM110&gt;0,CX110&gt;0), CX110,     AND(NOT($AI110=$AM110),$AI110&gt;0,$AM110&gt;0,CX110&gt;0), ($AM110*CX110)/$AI110,     AND($AI110=0,$AM110&gt;0,$AQ110&gt;0), IF(INDEX(CX$12:CX$263,MATCH($AQ110,$AP$12:$AP$263,0))&gt;0,($AM110*INDEX(CX$12:CX$263,MATCH($AQ110,$AP$12:$AP$263,0)))/INDEX($AI$12:$AI$263,MATCH($AQ110,$AP$12:$AP$263,0)), "-"),     TRUE, "0")</f>
        <v>0</v>
      </c>
      <c r="CZ110" s="588">
        <f>IF(CY$9&gt;0, IF(OR(CY110="",CY110="-"), 0, CY110*$AT110), CX110*$AJ110)</f>
        <v>0</v>
      </c>
      <c r="DA110" s="587">
        <f>[1]COMMANDE!BA108</f>
        <v>0</v>
      </c>
      <c r="DB110" s="586" t="str">
        <f>_xlfn.IFS(AND($AI110=$AM110,$AI110&gt;0,$AM110&gt;0,DA110&gt;0), DA110,     AND(NOT($AI110=$AM110),$AI110&gt;0,$AM110&gt;0,DA110&gt;0), ($AM110*DA110)/$AI110,     AND($AI110=0,$AM110&gt;0,$AQ110&gt;0), IF(INDEX(DA$12:DA$263,MATCH($AQ110,$AP$12:$AP$263,0))&gt;0,($AM110*INDEX(DA$12:DA$263,MATCH($AQ110,$AP$12:$AP$263,0)))/INDEX($AI$12:$AI$263,MATCH($AQ110,$AP$12:$AP$263,0)), "-"),     TRUE, "0")</f>
        <v>0</v>
      </c>
      <c r="DC110" s="606">
        <f>IF(DB$9&gt;0, IF(OR(DB110="",DB110="-"), 0, DB110*$AT110), DA110*$AJ110)</f>
        <v>0</v>
      </c>
      <c r="DD110" s="584"/>
      <c r="DE110" s="583"/>
    </row>
    <row r="111" spans="1:109" ht="39.950000000000003" hidden="1" customHeight="1">
      <c r="A111" s="604">
        <f>IF(OR($AV111&gt;0, $AX111&gt;0), 1, 0)</f>
        <v>0</v>
      </c>
      <c r="B111" s="604">
        <f>IF(OR($AY111&gt;0, $BA111&gt;0), 1, 0)</f>
        <v>0</v>
      </c>
      <c r="C111" s="604">
        <f>IF(OR($BB111&gt;0, $BD111&gt;0), 1, 0)</f>
        <v>0</v>
      </c>
      <c r="D111" s="604">
        <f>IF(OR($BE111&gt;0, $BG111&gt;0), 1, 0)</f>
        <v>0</v>
      </c>
      <c r="E111" s="604">
        <f>IF(OR($BH111&gt;0, $BJ111&gt;0), 1, 0)</f>
        <v>0</v>
      </c>
      <c r="F111" s="604">
        <f>IF(OR($BK111&gt;0, $BM111&gt;0), 1, 0)</f>
        <v>0</v>
      </c>
      <c r="G111" s="604">
        <f>IF(OR($BN111&gt;0, $BP111&gt;0), 1, 0)</f>
        <v>0</v>
      </c>
      <c r="H111" s="604">
        <f>IF(OR($BQ111&gt;0, $BS111&gt;0), 1, 0)</f>
        <v>0</v>
      </c>
      <c r="I111" s="604">
        <f>IF(OR($BT111&gt;0, $BV111&gt;0), 1, 0)</f>
        <v>0</v>
      </c>
      <c r="J111" s="604">
        <f>IF(OR($BW111&gt;0, $BY111&gt;0), 1, 0)</f>
        <v>0</v>
      </c>
      <c r="K111" s="604">
        <f>IF(OR($BZ111&gt;0, $CB111&gt;0), 1, 0)</f>
        <v>0</v>
      </c>
      <c r="L111" s="604">
        <f>IF(OR($CC111&gt;0, $CE111&gt;0), 1, 0)</f>
        <v>0</v>
      </c>
      <c r="M111" s="604">
        <f>IF(OR($CF111&gt;0, $CH111&gt;0), 1, 0)</f>
        <v>0</v>
      </c>
      <c r="N111" s="604">
        <f>IF(OR($CI111&gt;0, $CK111&gt;0), 1, 0)</f>
        <v>0</v>
      </c>
      <c r="O111" s="604">
        <f>IF(OR($CL111&gt;0, $CN111&gt;0), 1, 0)</f>
        <v>0</v>
      </c>
      <c r="P111" s="604">
        <f>IF(OR($CO111&gt;0, $CQ111&gt;0), 1, 0)</f>
        <v>0</v>
      </c>
      <c r="Q111" s="604">
        <f>IF(OR($CR111&gt;0, $CT111&gt;0), 1, 0)</f>
        <v>0</v>
      </c>
      <c r="R111" s="604">
        <f>IF(OR($CU111&gt;0, $CW111&gt;0), 1, 0)</f>
        <v>0</v>
      </c>
      <c r="S111" s="604">
        <f>IF(OR($CX111&gt;0, $CZ111&gt;0), 1, 0)</f>
        <v>0</v>
      </c>
      <c r="T111" s="604">
        <f>IF(OR($DA111&gt;0, $DC111&gt;0), 1, 0)</f>
        <v>0</v>
      </c>
      <c r="U111" s="603">
        <f>IF(OR($AI111&gt;0,$AM111&gt;0,$AS111&gt;0), 1, 0)</f>
        <v>0</v>
      </c>
      <c r="V111" s="602">
        <f>[1]BDD!A101</f>
        <v>6106</v>
      </c>
      <c r="W111" s="601" t="str">
        <f>[1]BDD!B101</f>
        <v>Fenugrec en graines BIO (env. 500g)</v>
      </c>
      <c r="X111" s="600" t="str">
        <f>IF([1]BDD!F101=0, "", [1]BDD!F101)</f>
        <v>❤️</v>
      </c>
      <c r="Y111" s="542">
        <f>ROUND([1]BDD!G101+FDP_CMD_KG, 2)</f>
        <v>13.17</v>
      </c>
      <c r="Z111" s="542">
        <f>ROUND([1]BDD!G101+FDP_FACT_KG, 2)</f>
        <v>13.17</v>
      </c>
      <c r="AA111" s="543" t="str">
        <f>[1]BDD!H101</f>
        <v>Pièce</v>
      </c>
      <c r="AB111" s="544" t="str">
        <f>IF(NOT(ISBLANK([1]BDD!I101)), ROUND(SUM(([1]BDD!G101*reduc1),FDP_CMD_KG), 2), "")</f>
        <v/>
      </c>
      <c r="AC111" s="544" t="str">
        <f>IF(NOT(ISBLANK([1]BDD!J101)), ROUND(SUM(([1]BDD!G101*reduc2),FDP_CMD_KG), 2), "")</f>
        <v/>
      </c>
      <c r="AD111" s="544" t="str">
        <f>IF(NOT(ISBLANK([1]BDD!K101)), ROUND(SUM(([1]BDD!G101*reduc3),FDP_CMD_KG), 2), "")</f>
        <v/>
      </c>
      <c r="AE111" s="544" t="str">
        <f>IF(NOT(ISBLANK([1]BDD!I101)), ROUND(SUM(([1]BDD!G101*reduc1),FDP_FACT_KG), 2), "")</f>
        <v/>
      </c>
      <c r="AF111" s="544" t="str">
        <f>IF(NOT(ISBLANK([1]BDD!J101)), ROUND(SUM(([1]BDD!G101*reduc2),FDP_FACT_KG), 2), "")</f>
        <v/>
      </c>
      <c r="AG111" s="544" t="str">
        <f>IF(NOT(ISBLANK([1]BDD!K101)), ROUND(SUM(([1]BDD!G101*reduc3),FDP_FACT_KG), 2), "")</f>
        <v/>
      </c>
      <c r="AH111" s="599" t="str">
        <f>[1]BDD!C101</f>
        <v>Égypte</v>
      </c>
      <c r="AI111" s="598">
        <f>SUM(AV111,AY111,BB111,BE111,BH111,BK111,BN111,BQ111,BT111,BW111,BZ111,CC111,CF111,CI111,CL111,CO111,CR111,CU111,CX111,DA111)</f>
        <v>0</v>
      </c>
      <c r="AJ111" s="545">
        <f>_xlfn.IFS($AD111&lt;&gt;"", $AD111,    $AC111&lt;&gt;"", $AC111,    $AB111&lt;&gt;"", $AB111,    TRUE, $Y111)</f>
        <v>13.17</v>
      </c>
      <c r="AK111" s="592">
        <f>$AI111*$AJ111</f>
        <v>0</v>
      </c>
      <c r="AL111" s="594"/>
      <c r="AM111" s="597"/>
      <c r="AN111" s="545">
        <f>_xlfn.IFS(AND(AM111&gt;=60,$AG111&lt;&gt;""), $AG111,    AND(AM111&gt;=30,$AF111&lt;&gt;""), $AF111,    AND(AM111&gt;=10,$AE111&lt;&gt;""), $AE111,    TRUE, $Z111)</f>
        <v>13.17</v>
      </c>
      <c r="AO111" s="596">
        <f>AM111*AN111</f>
        <v>0</v>
      </c>
      <c r="AP111" s="595"/>
      <c r="AQ111" s="595"/>
      <c r="AR111" s="594"/>
      <c r="AS111" s="593">
        <f>SUM(AW111,AZ111,BC111,BF111,BI111,BL111,BO111,BR111,BU111,BX111,CA111,CD111,CG111,CJ111,CM111,CP111,CS111,CV111,CY111,DB111)</f>
        <v>0</v>
      </c>
      <c r="AT111" s="545">
        <f>_xlfn.IFS(AND(AS111&gt;=60,$AG111&lt;&gt;""), $AG111,    AND(AS111&gt;=30,$AF111&lt;&gt;""), $AF111,    AND(AS111&gt;=10,$AE111&lt;&gt;""), $AE111,    TRUE, $Z111)</f>
        <v>13.17</v>
      </c>
      <c r="AU111" s="592">
        <f>$AS111*$AT111</f>
        <v>0</v>
      </c>
      <c r="AV111" s="591">
        <f>[1]COMMANDE!O109</f>
        <v>0</v>
      </c>
      <c r="AW111" s="586" t="str">
        <f>_xlfn.IFS(AND($AI111=$AM111,$AI111&gt;0,$AM111&gt;0,AV111&gt;0), AV111,     AND(NOT($AI111=$AM111),$AI111&gt;0,$AM111&gt;0,AV111&gt;0), ($AM111*AV111)/$AI111,     AND($AI111=0,$AM111&gt;0,$AQ111&gt;0), IF(INDEX(AV$12:AV$263,MATCH($AQ111,$AP$12:$AP$263,0))&gt;0,($AM111*INDEX(AV$12:AV$263,MATCH($AQ111,$AP$12:$AP$263,0)))/INDEX($AI$12:$AI$263,MATCH($AQ111,$AP$12:$AP$263,0)), "-"),     TRUE, "0")</f>
        <v>0</v>
      </c>
      <c r="AX111" s="588">
        <f>IF(AW$9&gt;0, IF(OR(AW111="",AW111="-"), 0, AW111*$AT111), AV111*$AJ111)</f>
        <v>0</v>
      </c>
      <c r="AY111" s="587">
        <f>[1]COMMANDE!Q109</f>
        <v>0</v>
      </c>
      <c r="AZ111" s="586" t="str">
        <f>_xlfn.IFS(AND($AI111=$AM111,$AI111&gt;0,$AM111&gt;0,AY111&gt;0), AY111,     AND(NOT($AI111=$AM111),$AI111&gt;0,$AM111&gt;0,AY111&gt;0), ($AM111*AY111)/$AI111,     AND($AI111=0,$AM111&gt;0,$AQ111&gt;0), IF(INDEX(AY$12:AY$263,MATCH($AQ111,$AP$12:$AP$263,0))&gt;0,($AM111*INDEX(AY$12:AY$263,MATCH($AQ111,$AP$12:$AP$263,0)))/INDEX($AI$12:$AI$263,MATCH($AQ111,$AP$12:$AP$263,0)), "-"),     TRUE, "0")</f>
        <v>0</v>
      </c>
      <c r="BA111" s="607">
        <f>IF(AZ$9&gt;0, IF(OR(AZ111="",AZ111="-"), 0, AZ111*$AT111), AY111*$AJ111)</f>
        <v>0</v>
      </c>
      <c r="BB111" s="589">
        <f>[1]COMMANDE!S109</f>
        <v>0</v>
      </c>
      <c r="BC111" s="586" t="str">
        <f>_xlfn.IFS(AND($AI111=$AM111,$AI111&gt;0,$AM111&gt;0,BB111&gt;0), BB111,     AND(NOT($AI111=$AM111),$AI111&gt;0,$AM111&gt;0,BB111&gt;0), ($AM111*BB111)/$AI111,     AND($AI111=0,$AM111&gt;0,$AQ111&gt;0), IF(INDEX(BB$12:BB$263,MATCH($AQ111,$AP$12:$AP$263,0))&gt;0,($AM111*INDEX(BB$12:BB$263,MATCH($AQ111,$AP$12:$AP$263,0)))/INDEX($AI$12:$AI$263,MATCH($AQ111,$AP$12:$AP$263,0)), "-"),     TRUE, "0")</f>
        <v>0</v>
      </c>
      <c r="BD111" s="588">
        <f>IF(BC$9&gt;0, IF(OR(BC111="",BC111="-"), 0, BC111*$AT111), BB111*$AJ111)</f>
        <v>0</v>
      </c>
      <c r="BE111" s="587">
        <f>[1]COMMANDE!U109</f>
        <v>0</v>
      </c>
      <c r="BF111" s="586" t="str">
        <f>_xlfn.IFS(AND($AI111=$AM111,$AI111&gt;0,$AM111&gt;0,BE111&gt;0), BE111,     AND(NOT($AI111=$AM111),$AI111&gt;0,$AM111&gt;0,BE111&gt;0), ($AM111*BE111)/$AI111,     AND($AI111=0,$AM111&gt;0,$AQ111&gt;0), IF(INDEX(BE$12:BE$263,MATCH($AQ111,$AP$12:$AP$263,0))&gt;0,($AM111*INDEX(BE$12:BE$263,MATCH($AQ111,$AP$12:$AP$263,0)))/INDEX($AI$12:$AI$263,MATCH($AQ111,$AP$12:$AP$263,0)), "-"),     TRUE, "0")</f>
        <v>0</v>
      </c>
      <c r="BG111" s="607">
        <f>IF(BF$9&gt;0, IF(OR(BF111="",BF111="-"), 0, BF111*$AT111), BE111*$AJ111)</f>
        <v>0</v>
      </c>
      <c r="BH111" s="589">
        <f>[1]COMMANDE!W109</f>
        <v>0</v>
      </c>
      <c r="BI111" s="586" t="str">
        <f>_xlfn.IFS(AND($AI111=$AM111,$AI111&gt;0,$AM111&gt;0,BH111&gt;0), BH111,     AND(NOT($AI111=$AM111),$AI111&gt;0,$AM111&gt;0,BH111&gt;0), ($AM111*BH111)/$AI111,     AND($AI111=0,$AM111&gt;0,$AQ111&gt;0), IF(INDEX(BH$12:BH$263,MATCH($AQ111,$AP$12:$AP$263,0))&gt;0,($AM111*INDEX(BH$12:BH$263,MATCH($AQ111,$AP$12:$AP$263,0)))/INDEX($AI$12:$AI$263,MATCH($AQ111,$AP$12:$AP$263,0)), "-"),     TRUE, "0")</f>
        <v>0</v>
      </c>
      <c r="BJ111" s="588">
        <f>IF(BI$9&gt;0, IF(OR(BI111="",BI111="-"), 0, BI111*$AT111), BH111*$AJ111)</f>
        <v>0</v>
      </c>
      <c r="BK111" s="587">
        <f>[1]COMMANDE!Y109</f>
        <v>0</v>
      </c>
      <c r="BL111" s="586" t="str">
        <f>_xlfn.IFS(AND($AI111=$AM111,$AI111&gt;0,$AM111&gt;0,BK111&gt;0), BK111,     AND(NOT($AI111=$AM111),$AI111&gt;0,$AM111&gt;0,BK111&gt;0), ($AM111*BK111)/$AI111,     AND($AI111=0,$AM111&gt;0,$AQ111&gt;0), IF(INDEX(BK$12:BK$263,MATCH($AQ111,$AP$12:$AP$263,0))&gt;0,($AM111*INDEX(BK$12:BK$263,MATCH($AQ111,$AP$12:$AP$263,0)))/INDEX($AI$12:$AI$263,MATCH($AQ111,$AP$12:$AP$263,0)), "-"),     TRUE, "0")</f>
        <v>0</v>
      </c>
      <c r="BM111" s="607">
        <f>IF(BL$9&gt;0, IF(OR(BL111="",BL111="-"), 0, BL111*$AT111), BK111*$AJ111)</f>
        <v>0</v>
      </c>
      <c r="BN111" s="589">
        <f>[1]COMMANDE!AA109</f>
        <v>0</v>
      </c>
      <c r="BO111" s="586" t="str">
        <f>_xlfn.IFS(AND($AI111=$AM111,$AI111&gt;0,$AM111&gt;0,BN111&gt;0), BN111,     AND(NOT($AI111=$AM111),$AI111&gt;0,$AM111&gt;0,BN111&gt;0), ($AM111*BN111)/$AI111,     AND($AI111=0,$AM111&gt;0,$AQ111&gt;0), IF(INDEX(BN$12:BN$263,MATCH($AQ111,$AP$12:$AP$263,0))&gt;0,($AM111*INDEX(BN$12:BN$263,MATCH($AQ111,$AP$12:$AP$263,0)))/INDEX($AI$12:$AI$263,MATCH($AQ111,$AP$12:$AP$263,0)), "-"),     TRUE, "0")</f>
        <v>0</v>
      </c>
      <c r="BP111" s="588">
        <f>IF(BO$9&gt;0, IF(OR(BO111="",BO111="-"), 0, BO111*$AT111), BN111*$AJ111)</f>
        <v>0</v>
      </c>
      <c r="BQ111" s="587">
        <f>[1]COMMANDE!AC109</f>
        <v>0</v>
      </c>
      <c r="BR111" s="586" t="str">
        <f>_xlfn.IFS(AND($AI111=$AM111,$AI111&gt;0,$AM111&gt;0,BQ111&gt;0), BQ111,     AND(NOT($AI111=$AM111),$AI111&gt;0,$AM111&gt;0,BQ111&gt;0), ($AM111*BQ111)/$AI111,     AND($AI111=0,$AM111&gt;0,$AQ111&gt;0), IF(INDEX(BQ$12:BQ$263,MATCH($AQ111,$AP$12:$AP$263,0))&gt;0,($AM111*INDEX(BQ$12:BQ$263,MATCH($AQ111,$AP$12:$AP$263,0)))/INDEX($AI$12:$AI$263,MATCH($AQ111,$AP$12:$AP$263,0)), "-"),     TRUE, "0")</f>
        <v>0</v>
      </c>
      <c r="BS111" s="607">
        <f>IF(BR$9&gt;0, IF(OR(BR111="",BR111="-"), 0, BR111*$AT111), BQ111*$AJ111)</f>
        <v>0</v>
      </c>
      <c r="BT111" s="589">
        <f>[1]COMMANDE!AE109</f>
        <v>0</v>
      </c>
      <c r="BU111" s="586" t="str">
        <f>_xlfn.IFS(AND($AI111=$AM111,$AI111&gt;0,$AM111&gt;0,BT111&gt;0), BT111,     AND(NOT($AI111=$AM111),$AI111&gt;0,$AM111&gt;0,BT111&gt;0), ($AM111*BT111)/$AI111,     AND($AI111=0,$AM111&gt;0,$AQ111&gt;0), IF(INDEX(BT$12:BT$263,MATCH($AQ111,$AP$12:$AP$263,0))&gt;0,($AM111*INDEX(BT$12:BT$263,MATCH($AQ111,$AP$12:$AP$263,0)))/INDEX($AI$12:$AI$263,MATCH($AQ111,$AP$12:$AP$263,0)), "-"),     TRUE, "0")</f>
        <v>0</v>
      </c>
      <c r="BV111" s="588">
        <f>IF(BU$9&gt;0, IF(OR(BU111="",BU111="-"), 0, BU111*$AT111), BT111*$AJ111)</f>
        <v>0</v>
      </c>
      <c r="BW111" s="587">
        <f>[1]COMMANDE!AG109</f>
        <v>0</v>
      </c>
      <c r="BX111" s="586" t="str">
        <f>_xlfn.IFS(AND($AI111=$AM111,$AI111&gt;0,$AM111&gt;0,BW111&gt;0), BW111,     AND(NOT($AI111=$AM111),$AI111&gt;0,$AM111&gt;0,BW111&gt;0), ($AM111*BW111)/$AI111,     AND($AI111=0,$AM111&gt;0,$AQ111&gt;0), IF(INDEX(BW$12:BW$263,MATCH($AQ111,$AP$12:$AP$263,0))&gt;0,($AM111*INDEX(BW$12:BW$263,MATCH($AQ111,$AP$12:$AP$263,0)))/INDEX($AI$12:$AI$263,MATCH($AQ111,$AP$12:$AP$263,0)), "-"),     TRUE, "0")</f>
        <v>0</v>
      </c>
      <c r="BY111" s="607">
        <f>IF(BX$9&gt;0, IF(OR(BX111="",BX111="-"), 0, BX111*$AT111), BW111*$AJ111)</f>
        <v>0</v>
      </c>
      <c r="BZ111" s="589">
        <f>[1]COMMANDE!AI109</f>
        <v>0</v>
      </c>
      <c r="CA111" s="586" t="str">
        <f>_xlfn.IFS(AND($AI111=$AM111,$AI111&gt;0,$AM111&gt;0,BZ111&gt;0), BZ111,     AND(NOT($AI111=$AM111),$AI111&gt;0,$AM111&gt;0,BZ111&gt;0), ($AM111*BZ111)/$AI111,     AND($AI111=0,$AM111&gt;0,$AQ111&gt;0), IF(INDEX(BZ$12:BZ$263,MATCH($AQ111,$AP$12:$AP$263,0))&gt;0,($AM111*INDEX(BZ$12:BZ$263,MATCH($AQ111,$AP$12:$AP$263,0)))/INDEX($AI$12:$AI$263,MATCH($AQ111,$AP$12:$AP$263,0)), "-"),     TRUE, "0")</f>
        <v>0</v>
      </c>
      <c r="CB111" s="588">
        <f>IF(CA$9&gt;0, IF(OR(CA111="",CA111="-"), 0, CA111*$AT111), BZ111*$AJ111)</f>
        <v>0</v>
      </c>
      <c r="CC111" s="587">
        <f>[1]COMMANDE!AK109</f>
        <v>0</v>
      </c>
      <c r="CD111" s="586" t="str">
        <f>_xlfn.IFS(AND($AI111=$AM111,$AI111&gt;0,$AM111&gt;0,CC111&gt;0), CC111,     AND(NOT($AI111=$AM111),$AI111&gt;0,$AM111&gt;0,CC111&gt;0), ($AM111*CC111)/$AI111,     AND($AI111=0,$AM111&gt;0,$AQ111&gt;0), IF(INDEX(CC$12:CC$263,MATCH($AQ111,$AP$12:$AP$263,0))&gt;0,($AM111*INDEX(CC$12:CC$263,MATCH($AQ111,$AP$12:$AP$263,0)))/INDEX($AI$12:$AI$263,MATCH($AQ111,$AP$12:$AP$263,0)), "-"),     TRUE, "0")</f>
        <v>0</v>
      </c>
      <c r="CE111" s="607">
        <f>IF(CD$9&gt;0, IF(OR(CD111="",CD111="-"), 0, CD111*$AT111), CC111*$AJ111)</f>
        <v>0</v>
      </c>
      <c r="CF111" s="589">
        <f>[1]COMMANDE!AM109</f>
        <v>0</v>
      </c>
      <c r="CG111" s="586" t="str">
        <f>_xlfn.IFS(AND($AI111=$AM111,$AI111&gt;0,$AM111&gt;0,CF111&gt;0), CF111,     AND(NOT($AI111=$AM111),$AI111&gt;0,$AM111&gt;0,CF111&gt;0), ($AM111*CF111)/$AI111,     AND($AI111=0,$AM111&gt;0,$AQ111&gt;0), IF(INDEX(CF$12:CF$263,MATCH($AQ111,$AP$12:$AP$263,0))&gt;0,($AM111*INDEX(CF$12:CF$263,MATCH($AQ111,$AP$12:$AP$263,0)))/INDEX($AI$12:$AI$263,MATCH($AQ111,$AP$12:$AP$263,0)), "-"),     TRUE, "0")</f>
        <v>0</v>
      </c>
      <c r="CH111" s="588">
        <f>IF(CG$9&gt;0, IF(OR(CG111="",CG111="-"), 0, CG111*$AT111), CF111*$AJ111)</f>
        <v>0</v>
      </c>
      <c r="CI111" s="587">
        <f>[1]COMMANDE!AO109</f>
        <v>0</v>
      </c>
      <c r="CJ111" s="586" t="str">
        <f>_xlfn.IFS(AND($AI111=$AM111,$AI111&gt;0,$AM111&gt;0,CI111&gt;0), CI111,     AND(NOT($AI111=$AM111),$AI111&gt;0,$AM111&gt;0,CI111&gt;0), ($AM111*CI111)/$AI111,     AND($AI111=0,$AM111&gt;0,$AQ111&gt;0), IF(INDEX(CI$12:CI$263,MATCH($AQ111,$AP$12:$AP$263,0))&gt;0,($AM111*INDEX(CI$12:CI$263,MATCH($AQ111,$AP$12:$AP$263,0)))/INDEX($AI$12:$AI$263,MATCH($AQ111,$AP$12:$AP$263,0)), "-"),     TRUE, "0")</f>
        <v>0</v>
      </c>
      <c r="CK111" s="607">
        <f>IF(CJ$9&gt;0, IF(OR(CJ111="",CJ111="-"), 0, CJ111*$AT111), CI111*$AJ111)</f>
        <v>0</v>
      </c>
      <c r="CL111" s="589">
        <f>[1]COMMANDE!AQ109</f>
        <v>0</v>
      </c>
      <c r="CM111" s="586" t="str">
        <f>_xlfn.IFS(AND($AI111=$AM111,$AI111&gt;0,$AM111&gt;0,CL111&gt;0), CL111,     AND(NOT($AI111=$AM111),$AI111&gt;0,$AM111&gt;0,CL111&gt;0), ($AM111*CL111)/$AI111,     AND($AI111=0,$AM111&gt;0,$AQ111&gt;0), IF(INDEX(CL$12:CL$263,MATCH($AQ111,$AP$12:$AP$263,0))&gt;0,($AM111*INDEX(CL$12:CL$263,MATCH($AQ111,$AP$12:$AP$263,0)))/INDEX($AI$12:$AI$263,MATCH($AQ111,$AP$12:$AP$263,0)), "-"),     TRUE, "0")</f>
        <v>0</v>
      </c>
      <c r="CN111" s="588">
        <f>IF(CM$9&gt;0, IF(OR(CM111="",CM111="-"), 0, CM111*$AT111), CL111*$AJ111)</f>
        <v>0</v>
      </c>
      <c r="CO111" s="587">
        <f>[1]COMMANDE!AS109</f>
        <v>0</v>
      </c>
      <c r="CP111" s="586" t="str">
        <f>_xlfn.IFS(AND($AI111=$AM111,$AI111&gt;0,$AM111&gt;0,CO111&gt;0), CO111,     AND(NOT($AI111=$AM111),$AI111&gt;0,$AM111&gt;0,CO111&gt;0), ($AM111*CO111)/$AI111,     AND($AI111=0,$AM111&gt;0,$AQ111&gt;0), IF(INDEX(CO$12:CO$263,MATCH($AQ111,$AP$12:$AP$263,0))&gt;0,($AM111*INDEX(CO$12:CO$263,MATCH($AQ111,$AP$12:$AP$263,0)))/INDEX($AI$12:$AI$263,MATCH($AQ111,$AP$12:$AP$263,0)), "-"),     TRUE, "0")</f>
        <v>0</v>
      </c>
      <c r="CQ111" s="607">
        <f>IF(CP$9&gt;0, IF(OR(CP111="",CP111="-"), 0, CP111*$AT111), CO111*$AJ111)</f>
        <v>0</v>
      </c>
      <c r="CR111" s="589">
        <f>[1]COMMANDE!AU109</f>
        <v>0</v>
      </c>
      <c r="CS111" s="586" t="str">
        <f>_xlfn.IFS(AND($AI111=$AM111,$AI111&gt;0,$AM111&gt;0,CR111&gt;0), CR111,     AND(NOT($AI111=$AM111),$AI111&gt;0,$AM111&gt;0,CR111&gt;0), ($AM111*CR111)/$AI111,     AND($AI111=0,$AM111&gt;0,$AQ111&gt;0), IF(INDEX(CR$12:CR$263,MATCH($AQ111,$AP$12:$AP$263,0))&gt;0,($AM111*INDEX(CR$12:CR$263,MATCH($AQ111,$AP$12:$AP$263,0)))/INDEX($AI$12:$AI$263,MATCH($AQ111,$AP$12:$AP$263,0)), "-"),     TRUE, "0")</f>
        <v>0</v>
      </c>
      <c r="CT111" s="588">
        <f>IF(CS$9&gt;0, IF(OR(CS111="",CS111="-"), 0, CS111*$AT111), CR111*$AJ111)</f>
        <v>0</v>
      </c>
      <c r="CU111" s="587">
        <f>[1]COMMANDE!AW109</f>
        <v>0</v>
      </c>
      <c r="CV111" s="586" t="str">
        <f>_xlfn.IFS(AND($AI111=$AM111,$AI111&gt;0,$AM111&gt;0,CU111&gt;0), CU111,     AND(NOT($AI111=$AM111),$AI111&gt;0,$AM111&gt;0,CU111&gt;0), ($AM111*CU111)/$AI111,     AND($AI111=0,$AM111&gt;0,$AQ111&gt;0), IF(INDEX(CU$12:CU$263,MATCH($AQ111,$AP$12:$AP$263,0))&gt;0,($AM111*INDEX(CU$12:CU$263,MATCH($AQ111,$AP$12:$AP$263,0)))/INDEX($AI$12:$AI$263,MATCH($AQ111,$AP$12:$AP$263,0)), "-"),     TRUE, "0")</f>
        <v>0</v>
      </c>
      <c r="CW111" s="607">
        <f>IF(CV$9&gt;0, IF(OR(CV111="",CV111="-"), 0, CV111*$AT111), CU111*$AJ111)</f>
        <v>0</v>
      </c>
      <c r="CX111" s="589">
        <f>[1]COMMANDE!AY109</f>
        <v>0</v>
      </c>
      <c r="CY111" s="586" t="str">
        <f>_xlfn.IFS(AND($AI111=$AM111,$AI111&gt;0,$AM111&gt;0,CX111&gt;0), CX111,     AND(NOT($AI111=$AM111),$AI111&gt;0,$AM111&gt;0,CX111&gt;0), ($AM111*CX111)/$AI111,     AND($AI111=0,$AM111&gt;0,$AQ111&gt;0), IF(INDEX(CX$12:CX$263,MATCH($AQ111,$AP$12:$AP$263,0))&gt;0,($AM111*INDEX(CX$12:CX$263,MATCH($AQ111,$AP$12:$AP$263,0)))/INDEX($AI$12:$AI$263,MATCH($AQ111,$AP$12:$AP$263,0)), "-"),     TRUE, "0")</f>
        <v>0</v>
      </c>
      <c r="CZ111" s="588">
        <f>IF(CY$9&gt;0, IF(OR(CY111="",CY111="-"), 0, CY111*$AT111), CX111*$AJ111)</f>
        <v>0</v>
      </c>
      <c r="DA111" s="587">
        <f>[1]COMMANDE!BA109</f>
        <v>0</v>
      </c>
      <c r="DB111" s="586" t="str">
        <f>_xlfn.IFS(AND($AI111=$AM111,$AI111&gt;0,$AM111&gt;0,DA111&gt;0), DA111,     AND(NOT($AI111=$AM111),$AI111&gt;0,$AM111&gt;0,DA111&gt;0), ($AM111*DA111)/$AI111,     AND($AI111=0,$AM111&gt;0,$AQ111&gt;0), IF(INDEX(DA$12:DA$263,MATCH($AQ111,$AP$12:$AP$263,0))&gt;0,($AM111*INDEX(DA$12:DA$263,MATCH($AQ111,$AP$12:$AP$263,0)))/INDEX($AI$12:$AI$263,MATCH($AQ111,$AP$12:$AP$263,0)), "-"),     TRUE, "0")</f>
        <v>0</v>
      </c>
      <c r="DC111" s="606">
        <f>IF(DB$9&gt;0, IF(OR(DB111="",DB111="-"), 0, DB111*$AT111), DA111*$AJ111)</f>
        <v>0</v>
      </c>
      <c r="DD111" s="584"/>
      <c r="DE111" s="583"/>
    </row>
    <row r="112" spans="1:109" ht="39.950000000000003" hidden="1" customHeight="1">
      <c r="A112" s="604">
        <f>IF(OR($AV112&gt;0, $AX112&gt;0), 1, 0)</f>
        <v>0</v>
      </c>
      <c r="B112" s="604">
        <f>IF(OR($AY112&gt;0, $BA112&gt;0), 1, 0)</f>
        <v>0</v>
      </c>
      <c r="C112" s="604">
        <f>IF(OR($BB112&gt;0, $BD112&gt;0), 1, 0)</f>
        <v>0</v>
      </c>
      <c r="D112" s="604">
        <f>IF(OR($BE112&gt;0, $BG112&gt;0), 1, 0)</f>
        <v>0</v>
      </c>
      <c r="E112" s="604">
        <f>IF(OR($BH112&gt;0, $BJ112&gt;0), 1, 0)</f>
        <v>0</v>
      </c>
      <c r="F112" s="604">
        <f>IF(OR($BK112&gt;0, $BM112&gt;0), 1, 0)</f>
        <v>0</v>
      </c>
      <c r="G112" s="604">
        <f>IF(OR($BN112&gt;0, $BP112&gt;0), 1, 0)</f>
        <v>0</v>
      </c>
      <c r="H112" s="604">
        <f>IF(OR($BQ112&gt;0, $BS112&gt;0), 1, 0)</f>
        <v>0</v>
      </c>
      <c r="I112" s="604">
        <f>IF(OR($BT112&gt;0, $BV112&gt;0), 1, 0)</f>
        <v>0</v>
      </c>
      <c r="J112" s="604">
        <f>IF(OR($BW112&gt;0, $BY112&gt;0), 1, 0)</f>
        <v>0</v>
      </c>
      <c r="K112" s="604">
        <f>IF(OR($BZ112&gt;0, $CB112&gt;0), 1, 0)</f>
        <v>0</v>
      </c>
      <c r="L112" s="604">
        <f>IF(OR($CC112&gt;0, $CE112&gt;0), 1, 0)</f>
        <v>0</v>
      </c>
      <c r="M112" s="604">
        <f>IF(OR($CF112&gt;0, $CH112&gt;0), 1, 0)</f>
        <v>0</v>
      </c>
      <c r="N112" s="604">
        <f>IF(OR($CI112&gt;0, $CK112&gt;0), 1, 0)</f>
        <v>0</v>
      </c>
      <c r="O112" s="604">
        <f>IF(OR($CL112&gt;0, $CN112&gt;0), 1, 0)</f>
        <v>0</v>
      </c>
      <c r="P112" s="604">
        <f>IF(OR($CO112&gt;0, $CQ112&gt;0), 1, 0)</f>
        <v>0</v>
      </c>
      <c r="Q112" s="604">
        <f>IF(OR($CR112&gt;0, $CT112&gt;0), 1, 0)</f>
        <v>0</v>
      </c>
      <c r="R112" s="604">
        <f>IF(OR($CU112&gt;0, $CW112&gt;0), 1, 0)</f>
        <v>0</v>
      </c>
      <c r="S112" s="604">
        <f>IF(OR($CX112&gt;0, $CZ112&gt;0), 1, 0)</f>
        <v>0</v>
      </c>
      <c r="T112" s="604">
        <f>IF(OR($DA112&gt;0, $DC112&gt;0), 1, 0)</f>
        <v>0</v>
      </c>
      <c r="U112" s="603">
        <f>IF(OR($AI112&gt;0,$AM112&gt;0,$AS112&gt;0), 1, 0)</f>
        <v>0</v>
      </c>
      <c r="V112" s="602">
        <f>[1]BDD!A102</f>
        <v>1937</v>
      </c>
      <c r="W112" s="601" t="str">
        <f>[1]BDD!B102</f>
        <v>Fève de Cacao entière CRU BIO (env. 1kg)</v>
      </c>
      <c r="X112" s="600" t="str">
        <f>IF([1]BDD!F102=0, "", [1]BDD!F102)</f>
        <v>❤️</v>
      </c>
      <c r="Y112" s="542">
        <f>ROUND([1]BDD!G102+FDP_CMD_KG, 2)</f>
        <v>22.76</v>
      </c>
      <c r="Z112" s="542">
        <f>ROUND([1]BDD!G102+FDP_FACT_KG, 2)</f>
        <v>22.76</v>
      </c>
      <c r="AA112" s="543" t="str">
        <f>[1]BDD!H102</f>
        <v>Pièce</v>
      </c>
      <c r="AB112" s="544">
        <f>IF(NOT(ISBLANK([1]BDD!I102)), ROUND(SUM(([1]BDD!G102*reduc1),FDP_CMD_KG), 2), "")</f>
        <v>20.57</v>
      </c>
      <c r="AC112" s="544" t="str">
        <f>IF(NOT(ISBLANK([1]BDD!J102)), ROUND(SUM(([1]BDD!G102*reduc2),FDP_CMD_KG), 2), "")</f>
        <v/>
      </c>
      <c r="AD112" s="544" t="str">
        <f>IF(NOT(ISBLANK([1]BDD!K102)), ROUND(SUM(([1]BDD!G102*reduc3),FDP_CMD_KG), 2), "")</f>
        <v/>
      </c>
      <c r="AE112" s="544">
        <f>IF(NOT(ISBLANK([1]BDD!I102)), ROUND(SUM(([1]BDD!G102*reduc1),FDP_FACT_KG), 2), "")</f>
        <v>20.57</v>
      </c>
      <c r="AF112" s="544" t="str">
        <f>IF(NOT(ISBLANK([1]BDD!J102)), ROUND(SUM(([1]BDD!G102*reduc2),FDP_FACT_KG), 2), "")</f>
        <v/>
      </c>
      <c r="AG112" s="544" t="str">
        <f>IF(NOT(ISBLANK([1]BDD!K102)), ROUND(SUM(([1]BDD!G102*reduc3),FDP_FACT_KG), 2), "")</f>
        <v/>
      </c>
      <c r="AH112" s="599" t="str">
        <f>[1]BDD!C102</f>
        <v>Pérou</v>
      </c>
      <c r="AI112" s="598">
        <f>SUM(AV112,AY112,BB112,BE112,BH112,BK112,BN112,BQ112,BT112,BW112,BZ112,CC112,CF112,CI112,CL112,CO112,CR112,CU112,CX112,DA112)</f>
        <v>0</v>
      </c>
      <c r="AJ112" s="545">
        <f>_xlfn.IFS($AD112&lt;&gt;"", $AD112,    $AC112&lt;&gt;"", $AC112,    $AB112&lt;&gt;"", $AB112,    TRUE, $Y112)</f>
        <v>20.57</v>
      </c>
      <c r="AK112" s="592">
        <f>$AI112*$AJ112</f>
        <v>0</v>
      </c>
      <c r="AL112" s="594"/>
      <c r="AM112" s="597"/>
      <c r="AN112" s="545">
        <f>_xlfn.IFS(AND(AM112&gt;=60,$AG112&lt;&gt;""), $AG112,    AND(AM112&gt;=30,$AF112&lt;&gt;""), $AF112,    AND(AM112&gt;=10,$AE112&lt;&gt;""), $AE112,    TRUE, $Z112)</f>
        <v>22.76</v>
      </c>
      <c r="AO112" s="596">
        <f>AM112*AN112</f>
        <v>0</v>
      </c>
      <c r="AP112" s="595"/>
      <c r="AQ112" s="595"/>
      <c r="AR112" s="594"/>
      <c r="AS112" s="593">
        <f>SUM(AW112,AZ112,BC112,BF112,BI112,BL112,BO112,BR112,BU112,BX112,CA112,CD112,CG112,CJ112,CM112,CP112,CS112,CV112,CY112,DB112)</f>
        <v>0</v>
      </c>
      <c r="AT112" s="545">
        <f>_xlfn.IFS(AND(AS112&gt;=60,$AG112&lt;&gt;""), $AG112,    AND(AS112&gt;=30,$AF112&lt;&gt;""), $AF112,    AND(AS112&gt;=10,$AE112&lt;&gt;""), $AE112,    TRUE, $Z112)</f>
        <v>22.76</v>
      </c>
      <c r="AU112" s="592">
        <f>$AS112*$AT112</f>
        <v>0</v>
      </c>
      <c r="AV112" s="591">
        <f>[1]COMMANDE!O110</f>
        <v>0</v>
      </c>
      <c r="AW112" s="586" t="str">
        <f>_xlfn.IFS(AND($AI112=$AM112,$AI112&gt;0,$AM112&gt;0,AV112&gt;0), AV112,     AND(NOT($AI112=$AM112),$AI112&gt;0,$AM112&gt;0,AV112&gt;0), ($AM112*AV112)/$AI112,     AND($AI112=0,$AM112&gt;0,$AQ112&gt;0), IF(INDEX(AV$12:AV$263,MATCH($AQ112,$AP$12:$AP$263,0))&gt;0,($AM112*INDEX(AV$12:AV$263,MATCH($AQ112,$AP$12:$AP$263,0)))/INDEX($AI$12:$AI$263,MATCH($AQ112,$AP$12:$AP$263,0)), "-"),     TRUE, "0")</f>
        <v>0</v>
      </c>
      <c r="AX112" s="588">
        <f>IF(AW$9&gt;0, IF(OR(AW112="",AW112="-"), 0, AW112*$AT112), AV112*$AJ112)</f>
        <v>0</v>
      </c>
      <c r="AY112" s="587">
        <f>[1]COMMANDE!Q110</f>
        <v>0</v>
      </c>
      <c r="AZ112" s="586" t="str">
        <f>_xlfn.IFS(AND($AI112=$AM112,$AI112&gt;0,$AM112&gt;0,AY112&gt;0), AY112,     AND(NOT($AI112=$AM112),$AI112&gt;0,$AM112&gt;0,AY112&gt;0), ($AM112*AY112)/$AI112,     AND($AI112=0,$AM112&gt;0,$AQ112&gt;0), IF(INDEX(AY$12:AY$263,MATCH($AQ112,$AP$12:$AP$263,0))&gt;0,($AM112*INDEX(AY$12:AY$263,MATCH($AQ112,$AP$12:$AP$263,0)))/INDEX($AI$12:$AI$263,MATCH($AQ112,$AP$12:$AP$263,0)), "-"),     TRUE, "0")</f>
        <v>0</v>
      </c>
      <c r="BA112" s="607">
        <f>IF(AZ$9&gt;0, IF(OR(AZ112="",AZ112="-"), 0, AZ112*$AT112), AY112*$AJ112)</f>
        <v>0</v>
      </c>
      <c r="BB112" s="589">
        <f>[1]COMMANDE!S110</f>
        <v>0</v>
      </c>
      <c r="BC112" s="586" t="str">
        <f>_xlfn.IFS(AND($AI112=$AM112,$AI112&gt;0,$AM112&gt;0,BB112&gt;0), BB112,     AND(NOT($AI112=$AM112),$AI112&gt;0,$AM112&gt;0,BB112&gt;0), ($AM112*BB112)/$AI112,     AND($AI112=0,$AM112&gt;0,$AQ112&gt;0), IF(INDEX(BB$12:BB$263,MATCH($AQ112,$AP$12:$AP$263,0))&gt;0,($AM112*INDEX(BB$12:BB$263,MATCH($AQ112,$AP$12:$AP$263,0)))/INDEX($AI$12:$AI$263,MATCH($AQ112,$AP$12:$AP$263,0)), "-"),     TRUE, "0")</f>
        <v>0</v>
      </c>
      <c r="BD112" s="588">
        <f>IF(BC$9&gt;0, IF(OR(BC112="",BC112="-"), 0, BC112*$AT112), BB112*$AJ112)</f>
        <v>0</v>
      </c>
      <c r="BE112" s="587">
        <f>[1]COMMANDE!U110</f>
        <v>0</v>
      </c>
      <c r="BF112" s="586" t="str">
        <f>_xlfn.IFS(AND($AI112=$AM112,$AI112&gt;0,$AM112&gt;0,BE112&gt;0), BE112,     AND(NOT($AI112=$AM112),$AI112&gt;0,$AM112&gt;0,BE112&gt;0), ($AM112*BE112)/$AI112,     AND($AI112=0,$AM112&gt;0,$AQ112&gt;0), IF(INDEX(BE$12:BE$263,MATCH($AQ112,$AP$12:$AP$263,0))&gt;0,($AM112*INDEX(BE$12:BE$263,MATCH($AQ112,$AP$12:$AP$263,0)))/INDEX($AI$12:$AI$263,MATCH($AQ112,$AP$12:$AP$263,0)), "-"),     TRUE, "0")</f>
        <v>0</v>
      </c>
      <c r="BG112" s="607">
        <f>IF(BF$9&gt;0, IF(OR(BF112="",BF112="-"), 0, BF112*$AT112), BE112*$AJ112)</f>
        <v>0</v>
      </c>
      <c r="BH112" s="589">
        <f>[1]COMMANDE!W110</f>
        <v>0</v>
      </c>
      <c r="BI112" s="586" t="str">
        <f>_xlfn.IFS(AND($AI112=$AM112,$AI112&gt;0,$AM112&gt;0,BH112&gt;0), BH112,     AND(NOT($AI112=$AM112),$AI112&gt;0,$AM112&gt;0,BH112&gt;0), ($AM112*BH112)/$AI112,     AND($AI112=0,$AM112&gt;0,$AQ112&gt;0), IF(INDEX(BH$12:BH$263,MATCH($AQ112,$AP$12:$AP$263,0))&gt;0,($AM112*INDEX(BH$12:BH$263,MATCH($AQ112,$AP$12:$AP$263,0)))/INDEX($AI$12:$AI$263,MATCH($AQ112,$AP$12:$AP$263,0)), "-"),     TRUE, "0")</f>
        <v>0</v>
      </c>
      <c r="BJ112" s="588">
        <f>IF(BI$9&gt;0, IF(OR(BI112="",BI112="-"), 0, BI112*$AT112), BH112*$AJ112)</f>
        <v>0</v>
      </c>
      <c r="BK112" s="587">
        <f>[1]COMMANDE!Y110</f>
        <v>0</v>
      </c>
      <c r="BL112" s="586" t="str">
        <f>_xlfn.IFS(AND($AI112=$AM112,$AI112&gt;0,$AM112&gt;0,BK112&gt;0), BK112,     AND(NOT($AI112=$AM112),$AI112&gt;0,$AM112&gt;0,BK112&gt;0), ($AM112*BK112)/$AI112,     AND($AI112=0,$AM112&gt;0,$AQ112&gt;0), IF(INDEX(BK$12:BK$263,MATCH($AQ112,$AP$12:$AP$263,0))&gt;0,($AM112*INDEX(BK$12:BK$263,MATCH($AQ112,$AP$12:$AP$263,0)))/INDEX($AI$12:$AI$263,MATCH($AQ112,$AP$12:$AP$263,0)), "-"),     TRUE, "0")</f>
        <v>0</v>
      </c>
      <c r="BM112" s="607">
        <f>IF(BL$9&gt;0, IF(OR(BL112="",BL112="-"), 0, BL112*$AT112), BK112*$AJ112)</f>
        <v>0</v>
      </c>
      <c r="BN112" s="589">
        <f>[1]COMMANDE!AA110</f>
        <v>0</v>
      </c>
      <c r="BO112" s="586" t="str">
        <f>_xlfn.IFS(AND($AI112=$AM112,$AI112&gt;0,$AM112&gt;0,BN112&gt;0), BN112,     AND(NOT($AI112=$AM112),$AI112&gt;0,$AM112&gt;0,BN112&gt;0), ($AM112*BN112)/$AI112,     AND($AI112=0,$AM112&gt;0,$AQ112&gt;0), IF(INDEX(BN$12:BN$263,MATCH($AQ112,$AP$12:$AP$263,0))&gt;0,($AM112*INDEX(BN$12:BN$263,MATCH($AQ112,$AP$12:$AP$263,0)))/INDEX($AI$12:$AI$263,MATCH($AQ112,$AP$12:$AP$263,0)), "-"),     TRUE, "0")</f>
        <v>0</v>
      </c>
      <c r="BP112" s="588">
        <f>IF(BO$9&gt;0, IF(OR(BO112="",BO112="-"), 0, BO112*$AT112), BN112*$AJ112)</f>
        <v>0</v>
      </c>
      <c r="BQ112" s="587">
        <f>[1]COMMANDE!AC110</f>
        <v>0</v>
      </c>
      <c r="BR112" s="586" t="str">
        <f>_xlfn.IFS(AND($AI112=$AM112,$AI112&gt;0,$AM112&gt;0,BQ112&gt;0), BQ112,     AND(NOT($AI112=$AM112),$AI112&gt;0,$AM112&gt;0,BQ112&gt;0), ($AM112*BQ112)/$AI112,     AND($AI112=0,$AM112&gt;0,$AQ112&gt;0), IF(INDEX(BQ$12:BQ$263,MATCH($AQ112,$AP$12:$AP$263,0))&gt;0,($AM112*INDEX(BQ$12:BQ$263,MATCH($AQ112,$AP$12:$AP$263,0)))/INDEX($AI$12:$AI$263,MATCH($AQ112,$AP$12:$AP$263,0)), "-"),     TRUE, "0")</f>
        <v>0</v>
      </c>
      <c r="BS112" s="607">
        <f>IF(BR$9&gt;0, IF(OR(BR112="",BR112="-"), 0, BR112*$AT112), BQ112*$AJ112)</f>
        <v>0</v>
      </c>
      <c r="BT112" s="589">
        <f>[1]COMMANDE!AE110</f>
        <v>0</v>
      </c>
      <c r="BU112" s="586" t="str">
        <f>_xlfn.IFS(AND($AI112=$AM112,$AI112&gt;0,$AM112&gt;0,BT112&gt;0), BT112,     AND(NOT($AI112=$AM112),$AI112&gt;0,$AM112&gt;0,BT112&gt;0), ($AM112*BT112)/$AI112,     AND($AI112=0,$AM112&gt;0,$AQ112&gt;0), IF(INDEX(BT$12:BT$263,MATCH($AQ112,$AP$12:$AP$263,0))&gt;0,($AM112*INDEX(BT$12:BT$263,MATCH($AQ112,$AP$12:$AP$263,0)))/INDEX($AI$12:$AI$263,MATCH($AQ112,$AP$12:$AP$263,0)), "-"),     TRUE, "0")</f>
        <v>0</v>
      </c>
      <c r="BV112" s="588">
        <f>IF(BU$9&gt;0, IF(OR(BU112="",BU112="-"), 0, BU112*$AT112), BT112*$AJ112)</f>
        <v>0</v>
      </c>
      <c r="BW112" s="587">
        <f>[1]COMMANDE!AG110</f>
        <v>0</v>
      </c>
      <c r="BX112" s="586" t="str">
        <f>_xlfn.IFS(AND($AI112=$AM112,$AI112&gt;0,$AM112&gt;0,BW112&gt;0), BW112,     AND(NOT($AI112=$AM112),$AI112&gt;0,$AM112&gt;0,BW112&gt;0), ($AM112*BW112)/$AI112,     AND($AI112=0,$AM112&gt;0,$AQ112&gt;0), IF(INDEX(BW$12:BW$263,MATCH($AQ112,$AP$12:$AP$263,0))&gt;0,($AM112*INDEX(BW$12:BW$263,MATCH($AQ112,$AP$12:$AP$263,0)))/INDEX($AI$12:$AI$263,MATCH($AQ112,$AP$12:$AP$263,0)), "-"),     TRUE, "0")</f>
        <v>0</v>
      </c>
      <c r="BY112" s="607">
        <f>IF(BX$9&gt;0, IF(OR(BX112="",BX112="-"), 0, BX112*$AT112), BW112*$AJ112)</f>
        <v>0</v>
      </c>
      <c r="BZ112" s="589">
        <f>[1]COMMANDE!AI110</f>
        <v>0</v>
      </c>
      <c r="CA112" s="586" t="str">
        <f>_xlfn.IFS(AND($AI112=$AM112,$AI112&gt;0,$AM112&gt;0,BZ112&gt;0), BZ112,     AND(NOT($AI112=$AM112),$AI112&gt;0,$AM112&gt;0,BZ112&gt;0), ($AM112*BZ112)/$AI112,     AND($AI112=0,$AM112&gt;0,$AQ112&gt;0), IF(INDEX(BZ$12:BZ$263,MATCH($AQ112,$AP$12:$AP$263,0))&gt;0,($AM112*INDEX(BZ$12:BZ$263,MATCH($AQ112,$AP$12:$AP$263,0)))/INDEX($AI$12:$AI$263,MATCH($AQ112,$AP$12:$AP$263,0)), "-"),     TRUE, "0")</f>
        <v>0</v>
      </c>
      <c r="CB112" s="588">
        <f>IF(CA$9&gt;0, IF(OR(CA112="",CA112="-"), 0, CA112*$AT112), BZ112*$AJ112)</f>
        <v>0</v>
      </c>
      <c r="CC112" s="587">
        <f>[1]COMMANDE!AK110</f>
        <v>0</v>
      </c>
      <c r="CD112" s="586" t="str">
        <f>_xlfn.IFS(AND($AI112=$AM112,$AI112&gt;0,$AM112&gt;0,CC112&gt;0), CC112,     AND(NOT($AI112=$AM112),$AI112&gt;0,$AM112&gt;0,CC112&gt;0), ($AM112*CC112)/$AI112,     AND($AI112=0,$AM112&gt;0,$AQ112&gt;0), IF(INDEX(CC$12:CC$263,MATCH($AQ112,$AP$12:$AP$263,0))&gt;0,($AM112*INDEX(CC$12:CC$263,MATCH($AQ112,$AP$12:$AP$263,0)))/INDEX($AI$12:$AI$263,MATCH($AQ112,$AP$12:$AP$263,0)), "-"),     TRUE, "0")</f>
        <v>0</v>
      </c>
      <c r="CE112" s="607">
        <f>IF(CD$9&gt;0, IF(OR(CD112="",CD112="-"), 0, CD112*$AT112), CC112*$AJ112)</f>
        <v>0</v>
      </c>
      <c r="CF112" s="589">
        <f>[1]COMMANDE!AM110</f>
        <v>0</v>
      </c>
      <c r="CG112" s="586" t="str">
        <f>_xlfn.IFS(AND($AI112=$AM112,$AI112&gt;0,$AM112&gt;0,CF112&gt;0), CF112,     AND(NOT($AI112=$AM112),$AI112&gt;0,$AM112&gt;0,CF112&gt;0), ($AM112*CF112)/$AI112,     AND($AI112=0,$AM112&gt;0,$AQ112&gt;0), IF(INDEX(CF$12:CF$263,MATCH($AQ112,$AP$12:$AP$263,0))&gt;0,($AM112*INDEX(CF$12:CF$263,MATCH($AQ112,$AP$12:$AP$263,0)))/INDEX($AI$12:$AI$263,MATCH($AQ112,$AP$12:$AP$263,0)), "-"),     TRUE, "0")</f>
        <v>0</v>
      </c>
      <c r="CH112" s="588">
        <f>IF(CG$9&gt;0, IF(OR(CG112="",CG112="-"), 0, CG112*$AT112), CF112*$AJ112)</f>
        <v>0</v>
      </c>
      <c r="CI112" s="587">
        <f>[1]COMMANDE!AO110</f>
        <v>0</v>
      </c>
      <c r="CJ112" s="586" t="str">
        <f>_xlfn.IFS(AND($AI112=$AM112,$AI112&gt;0,$AM112&gt;0,CI112&gt;0), CI112,     AND(NOT($AI112=$AM112),$AI112&gt;0,$AM112&gt;0,CI112&gt;0), ($AM112*CI112)/$AI112,     AND($AI112=0,$AM112&gt;0,$AQ112&gt;0), IF(INDEX(CI$12:CI$263,MATCH($AQ112,$AP$12:$AP$263,0))&gt;0,($AM112*INDEX(CI$12:CI$263,MATCH($AQ112,$AP$12:$AP$263,0)))/INDEX($AI$12:$AI$263,MATCH($AQ112,$AP$12:$AP$263,0)), "-"),     TRUE, "0")</f>
        <v>0</v>
      </c>
      <c r="CK112" s="607">
        <f>IF(CJ$9&gt;0, IF(OR(CJ112="",CJ112="-"), 0, CJ112*$AT112), CI112*$AJ112)</f>
        <v>0</v>
      </c>
      <c r="CL112" s="589">
        <f>[1]COMMANDE!AQ110</f>
        <v>0</v>
      </c>
      <c r="CM112" s="586" t="str">
        <f>_xlfn.IFS(AND($AI112=$AM112,$AI112&gt;0,$AM112&gt;0,CL112&gt;0), CL112,     AND(NOT($AI112=$AM112),$AI112&gt;0,$AM112&gt;0,CL112&gt;0), ($AM112*CL112)/$AI112,     AND($AI112=0,$AM112&gt;0,$AQ112&gt;0), IF(INDEX(CL$12:CL$263,MATCH($AQ112,$AP$12:$AP$263,0))&gt;0,($AM112*INDEX(CL$12:CL$263,MATCH($AQ112,$AP$12:$AP$263,0)))/INDEX($AI$12:$AI$263,MATCH($AQ112,$AP$12:$AP$263,0)), "-"),     TRUE, "0")</f>
        <v>0</v>
      </c>
      <c r="CN112" s="588">
        <f>IF(CM$9&gt;0, IF(OR(CM112="",CM112="-"), 0, CM112*$AT112), CL112*$AJ112)</f>
        <v>0</v>
      </c>
      <c r="CO112" s="587">
        <f>[1]COMMANDE!AS110</f>
        <v>0</v>
      </c>
      <c r="CP112" s="586" t="str">
        <f>_xlfn.IFS(AND($AI112=$AM112,$AI112&gt;0,$AM112&gt;0,CO112&gt;0), CO112,     AND(NOT($AI112=$AM112),$AI112&gt;0,$AM112&gt;0,CO112&gt;0), ($AM112*CO112)/$AI112,     AND($AI112=0,$AM112&gt;0,$AQ112&gt;0), IF(INDEX(CO$12:CO$263,MATCH($AQ112,$AP$12:$AP$263,0))&gt;0,($AM112*INDEX(CO$12:CO$263,MATCH($AQ112,$AP$12:$AP$263,0)))/INDEX($AI$12:$AI$263,MATCH($AQ112,$AP$12:$AP$263,0)), "-"),     TRUE, "0")</f>
        <v>0</v>
      </c>
      <c r="CQ112" s="607">
        <f>IF(CP$9&gt;0, IF(OR(CP112="",CP112="-"), 0, CP112*$AT112), CO112*$AJ112)</f>
        <v>0</v>
      </c>
      <c r="CR112" s="589">
        <f>[1]COMMANDE!AU110</f>
        <v>0</v>
      </c>
      <c r="CS112" s="586" t="str">
        <f>_xlfn.IFS(AND($AI112=$AM112,$AI112&gt;0,$AM112&gt;0,CR112&gt;0), CR112,     AND(NOT($AI112=$AM112),$AI112&gt;0,$AM112&gt;0,CR112&gt;0), ($AM112*CR112)/$AI112,     AND($AI112=0,$AM112&gt;0,$AQ112&gt;0), IF(INDEX(CR$12:CR$263,MATCH($AQ112,$AP$12:$AP$263,0))&gt;0,($AM112*INDEX(CR$12:CR$263,MATCH($AQ112,$AP$12:$AP$263,0)))/INDEX($AI$12:$AI$263,MATCH($AQ112,$AP$12:$AP$263,0)), "-"),     TRUE, "0")</f>
        <v>0</v>
      </c>
      <c r="CT112" s="588">
        <f>IF(CS$9&gt;0, IF(OR(CS112="",CS112="-"), 0, CS112*$AT112), CR112*$AJ112)</f>
        <v>0</v>
      </c>
      <c r="CU112" s="587">
        <f>[1]COMMANDE!AW110</f>
        <v>0</v>
      </c>
      <c r="CV112" s="586" t="str">
        <f>_xlfn.IFS(AND($AI112=$AM112,$AI112&gt;0,$AM112&gt;0,CU112&gt;0), CU112,     AND(NOT($AI112=$AM112),$AI112&gt;0,$AM112&gt;0,CU112&gt;0), ($AM112*CU112)/$AI112,     AND($AI112=0,$AM112&gt;0,$AQ112&gt;0), IF(INDEX(CU$12:CU$263,MATCH($AQ112,$AP$12:$AP$263,0))&gt;0,($AM112*INDEX(CU$12:CU$263,MATCH($AQ112,$AP$12:$AP$263,0)))/INDEX($AI$12:$AI$263,MATCH($AQ112,$AP$12:$AP$263,0)), "-"),     TRUE, "0")</f>
        <v>0</v>
      </c>
      <c r="CW112" s="607">
        <f>IF(CV$9&gt;0, IF(OR(CV112="",CV112="-"), 0, CV112*$AT112), CU112*$AJ112)</f>
        <v>0</v>
      </c>
      <c r="CX112" s="589">
        <f>[1]COMMANDE!AY110</f>
        <v>0</v>
      </c>
      <c r="CY112" s="586" t="str">
        <f>_xlfn.IFS(AND($AI112=$AM112,$AI112&gt;0,$AM112&gt;0,CX112&gt;0), CX112,     AND(NOT($AI112=$AM112),$AI112&gt;0,$AM112&gt;0,CX112&gt;0), ($AM112*CX112)/$AI112,     AND($AI112=0,$AM112&gt;0,$AQ112&gt;0), IF(INDEX(CX$12:CX$263,MATCH($AQ112,$AP$12:$AP$263,0))&gt;0,($AM112*INDEX(CX$12:CX$263,MATCH($AQ112,$AP$12:$AP$263,0)))/INDEX($AI$12:$AI$263,MATCH($AQ112,$AP$12:$AP$263,0)), "-"),     TRUE, "0")</f>
        <v>0</v>
      </c>
      <c r="CZ112" s="588">
        <f>IF(CY$9&gt;0, IF(OR(CY112="",CY112="-"), 0, CY112*$AT112), CX112*$AJ112)</f>
        <v>0</v>
      </c>
      <c r="DA112" s="587">
        <f>[1]COMMANDE!BA110</f>
        <v>0</v>
      </c>
      <c r="DB112" s="586" t="str">
        <f>_xlfn.IFS(AND($AI112=$AM112,$AI112&gt;0,$AM112&gt;0,DA112&gt;0), DA112,     AND(NOT($AI112=$AM112),$AI112&gt;0,$AM112&gt;0,DA112&gt;0), ($AM112*DA112)/$AI112,     AND($AI112=0,$AM112&gt;0,$AQ112&gt;0), IF(INDEX(DA$12:DA$263,MATCH($AQ112,$AP$12:$AP$263,0))&gt;0,($AM112*INDEX(DA$12:DA$263,MATCH($AQ112,$AP$12:$AP$263,0)))/INDEX($AI$12:$AI$263,MATCH($AQ112,$AP$12:$AP$263,0)), "-"),     TRUE, "0")</f>
        <v>0</v>
      </c>
      <c r="DC112" s="606">
        <f>IF(DB$9&gt;0, IF(OR(DB112="",DB112="-"), 0, DB112*$AT112), DA112*$AJ112)</f>
        <v>0</v>
      </c>
      <c r="DD112" s="584"/>
      <c r="DE112" s="583"/>
    </row>
    <row r="113" spans="1:128" ht="39.950000000000003" hidden="1" customHeight="1">
      <c r="A113" s="604">
        <f>IF(OR($AV113&gt;0, $AX113&gt;0), 1, 0)</f>
        <v>0</v>
      </c>
      <c r="B113" s="604">
        <f>IF(OR($AY113&gt;0, $BA113&gt;0), 1, 0)</f>
        <v>0</v>
      </c>
      <c r="C113" s="604">
        <f>IF(OR($BB113&gt;0, $BD113&gt;0), 1, 0)</f>
        <v>0</v>
      </c>
      <c r="D113" s="604">
        <f>IF(OR($BE113&gt;0, $BG113&gt;0), 1, 0)</f>
        <v>0</v>
      </c>
      <c r="E113" s="604">
        <f>IF(OR($BH113&gt;0, $BJ113&gt;0), 1, 0)</f>
        <v>0</v>
      </c>
      <c r="F113" s="604">
        <f>IF(OR($BK113&gt;0, $BM113&gt;0), 1, 0)</f>
        <v>0</v>
      </c>
      <c r="G113" s="604">
        <f>IF(OR($BN113&gt;0, $BP113&gt;0), 1, 0)</f>
        <v>0</v>
      </c>
      <c r="H113" s="604">
        <f>IF(OR($BQ113&gt;0, $BS113&gt;0), 1, 0)</f>
        <v>0</v>
      </c>
      <c r="I113" s="604">
        <f>IF(OR($BT113&gt;0, $BV113&gt;0), 1, 0)</f>
        <v>0</v>
      </c>
      <c r="J113" s="604">
        <f>IF(OR($BW113&gt;0, $BY113&gt;0), 1, 0)</f>
        <v>0</v>
      </c>
      <c r="K113" s="604">
        <f>IF(OR($BZ113&gt;0, $CB113&gt;0), 1, 0)</f>
        <v>0</v>
      </c>
      <c r="L113" s="604">
        <f>IF(OR($CC113&gt;0, $CE113&gt;0), 1, 0)</f>
        <v>0</v>
      </c>
      <c r="M113" s="604">
        <f>IF(OR($CF113&gt;0, $CH113&gt;0), 1, 0)</f>
        <v>0</v>
      </c>
      <c r="N113" s="604">
        <f>IF(OR($CI113&gt;0, $CK113&gt;0), 1, 0)</f>
        <v>0</v>
      </c>
      <c r="O113" s="604">
        <f>IF(OR($CL113&gt;0, $CN113&gt;0), 1, 0)</f>
        <v>0</v>
      </c>
      <c r="P113" s="604">
        <f>IF(OR($CO113&gt;0, $CQ113&gt;0), 1, 0)</f>
        <v>0</v>
      </c>
      <c r="Q113" s="604">
        <f>IF(OR($CR113&gt;0, $CT113&gt;0), 1, 0)</f>
        <v>0</v>
      </c>
      <c r="R113" s="604">
        <f>IF(OR($CU113&gt;0, $CW113&gt;0), 1, 0)</f>
        <v>0</v>
      </c>
      <c r="S113" s="604">
        <f>IF(OR($CX113&gt;0, $CZ113&gt;0), 1, 0)</f>
        <v>0</v>
      </c>
      <c r="T113" s="604">
        <f>IF(OR($DA113&gt;0, $DC113&gt;0), 1, 0)</f>
        <v>0</v>
      </c>
      <c r="U113" s="603">
        <f>IF(OR($AI113&gt;0,$AM113&gt;0,$AS113&gt;0), 1, 0)</f>
        <v>0</v>
      </c>
      <c r="V113" s="602">
        <f>[1]BDD!A103</f>
        <v>5128</v>
      </c>
      <c r="W113" s="601" t="str">
        <f>[1]BDD!B103</f>
        <v>Figue cou dame demi-sèche petite (nouvelle récolte 2020)</v>
      </c>
      <c r="X113" s="600" t="str">
        <f>IF([1]BDD!F103=0, "", [1]BDD!F103)</f>
        <v>❤️</v>
      </c>
      <c r="Y113" s="542">
        <f>ROUND([1]BDD!G103+FDP_CMD_KG, 2)</f>
        <v>7.02</v>
      </c>
      <c r="Z113" s="542">
        <f>ROUND([1]BDD!G103+FDP_FACT_KG, 2)</f>
        <v>7.02</v>
      </c>
      <c r="AA113" s="543" t="str">
        <f>[1]BDD!H103</f>
        <v>kg</v>
      </c>
      <c r="AB113" s="544">
        <f>IF(NOT(ISBLANK([1]BDD!I103)), ROUND(SUM(([1]BDD!G103*reduc1),FDP_CMD_KG), 2), "")</f>
        <v>6.41</v>
      </c>
      <c r="AC113" s="544" t="str">
        <f>IF(NOT(ISBLANK([1]BDD!J103)), ROUND(SUM(([1]BDD!G103*reduc2),FDP_CMD_KG), 2), "")</f>
        <v/>
      </c>
      <c r="AD113" s="544" t="str">
        <f>IF(NOT(ISBLANK([1]BDD!K103)), ROUND(SUM(([1]BDD!G103*reduc3),FDP_CMD_KG), 2), "")</f>
        <v/>
      </c>
      <c r="AE113" s="544">
        <f>IF(NOT(ISBLANK([1]BDD!I103)), ROUND(SUM(([1]BDD!G103*reduc1),FDP_FACT_KG), 2), "")</f>
        <v>6.4</v>
      </c>
      <c r="AF113" s="544" t="str">
        <f>IF(NOT(ISBLANK([1]BDD!J103)), ROUND(SUM(([1]BDD!G103*reduc2),FDP_FACT_KG), 2), "")</f>
        <v/>
      </c>
      <c r="AG113" s="544" t="str">
        <f>IF(NOT(ISBLANK([1]BDD!K103)), ROUND(SUM(([1]BDD!G103*reduc3),FDP_FACT_KG), 2), "")</f>
        <v/>
      </c>
      <c r="AH113" s="599" t="str">
        <f>[1]BDD!C103</f>
        <v>Ávila</v>
      </c>
      <c r="AI113" s="598">
        <f>SUM(AV113,AY113,BB113,BE113,BH113,BK113,BN113,BQ113,BT113,BW113,BZ113,CC113,CF113,CI113,CL113,CO113,CR113,CU113,CX113,DA113)</f>
        <v>0</v>
      </c>
      <c r="AJ113" s="545">
        <f>_xlfn.IFS($AD113&lt;&gt;"", $AD113,    $AC113&lt;&gt;"", $AC113,    $AB113&lt;&gt;"", $AB113,    TRUE, $Y113)</f>
        <v>6.41</v>
      </c>
      <c r="AK113" s="592">
        <f>$AI113*$AJ113</f>
        <v>0</v>
      </c>
      <c r="AL113" s="594"/>
      <c r="AM113" s="597"/>
      <c r="AN113" s="545">
        <f>_xlfn.IFS(AND(AM113&gt;=60,$AG113&lt;&gt;""), $AG113,    AND(AM113&gt;=30,$AF113&lt;&gt;""), $AF113,    AND(AM113&gt;=10,$AE113&lt;&gt;""), $AE113,    TRUE, $Z113)</f>
        <v>7.02</v>
      </c>
      <c r="AO113" s="596">
        <f>AM113*AN113</f>
        <v>0</v>
      </c>
      <c r="AP113" s="595"/>
      <c r="AQ113" s="595"/>
      <c r="AR113" s="594"/>
      <c r="AS113" s="593">
        <f>SUM(AW113,AZ113,BC113,BF113,BI113,BL113,BO113,BR113,BU113,BX113,CA113,CD113,CG113,CJ113,CM113,CP113,CS113,CV113,CY113,DB113)</f>
        <v>0</v>
      </c>
      <c r="AT113" s="545">
        <f>_xlfn.IFS(AND(AS113&gt;=60,$AG113&lt;&gt;""), $AG113,    AND(AS113&gt;=30,$AF113&lt;&gt;""), $AF113,    AND(AS113&gt;=10,$AE113&lt;&gt;""), $AE113,    TRUE, $Z113)</f>
        <v>7.02</v>
      </c>
      <c r="AU113" s="592">
        <f>$AS113*$AT113</f>
        <v>0</v>
      </c>
      <c r="AV113" s="591">
        <f>[1]COMMANDE!O111</f>
        <v>0</v>
      </c>
      <c r="AW113" s="586" t="str">
        <f>_xlfn.IFS(AND($AI113=$AM113,$AI113&gt;0,$AM113&gt;0,AV113&gt;0), AV113,     AND(NOT($AI113=$AM113),$AI113&gt;0,$AM113&gt;0,AV113&gt;0), ($AM113*AV113)/$AI113,     AND($AI113=0,$AM113&gt;0,$AQ113&gt;0), IF(INDEX(AV$12:AV$263,MATCH($AQ113,$AP$12:$AP$263,0))&gt;0,($AM113*INDEX(AV$12:AV$263,MATCH($AQ113,$AP$12:$AP$263,0)))/INDEX($AI$12:$AI$263,MATCH($AQ113,$AP$12:$AP$263,0)), "-"),     TRUE, "0")</f>
        <v>0</v>
      </c>
      <c r="AX113" s="588">
        <f>IF(AW$9&gt;0, IF(OR(AW113="",AW113="-"), 0, AW113*$AT113), AV113*$AJ113)</f>
        <v>0</v>
      </c>
      <c r="AY113" s="587">
        <f>[1]COMMANDE!Q111</f>
        <v>0</v>
      </c>
      <c r="AZ113" s="586" t="str">
        <f>_xlfn.IFS(AND($AI113=$AM113,$AI113&gt;0,$AM113&gt;0,AY113&gt;0), AY113,     AND(NOT($AI113=$AM113),$AI113&gt;0,$AM113&gt;0,AY113&gt;0), ($AM113*AY113)/$AI113,     AND($AI113=0,$AM113&gt;0,$AQ113&gt;0), IF(INDEX(AY$12:AY$263,MATCH($AQ113,$AP$12:$AP$263,0))&gt;0,($AM113*INDEX(AY$12:AY$263,MATCH($AQ113,$AP$12:$AP$263,0)))/INDEX($AI$12:$AI$263,MATCH($AQ113,$AP$12:$AP$263,0)), "-"),     TRUE, "0")</f>
        <v>0</v>
      </c>
      <c r="BA113" s="607">
        <f>IF(AZ$9&gt;0, IF(OR(AZ113="",AZ113="-"), 0, AZ113*$AT113), AY113*$AJ113)</f>
        <v>0</v>
      </c>
      <c r="BB113" s="589">
        <f>[1]COMMANDE!S111</f>
        <v>0</v>
      </c>
      <c r="BC113" s="586" t="str">
        <f>_xlfn.IFS(AND($AI113=$AM113,$AI113&gt;0,$AM113&gt;0,BB113&gt;0), BB113,     AND(NOT($AI113=$AM113),$AI113&gt;0,$AM113&gt;0,BB113&gt;0), ($AM113*BB113)/$AI113,     AND($AI113=0,$AM113&gt;0,$AQ113&gt;0), IF(INDEX(BB$12:BB$263,MATCH($AQ113,$AP$12:$AP$263,0))&gt;0,($AM113*INDEX(BB$12:BB$263,MATCH($AQ113,$AP$12:$AP$263,0)))/INDEX($AI$12:$AI$263,MATCH($AQ113,$AP$12:$AP$263,0)), "-"),     TRUE, "0")</f>
        <v>0</v>
      </c>
      <c r="BD113" s="588">
        <f>IF(BC$9&gt;0, IF(OR(BC113="",BC113="-"), 0, BC113*$AT113), BB113*$AJ113)</f>
        <v>0</v>
      </c>
      <c r="BE113" s="587">
        <f>[1]COMMANDE!U111</f>
        <v>0</v>
      </c>
      <c r="BF113" s="586" t="str">
        <f>_xlfn.IFS(AND($AI113=$AM113,$AI113&gt;0,$AM113&gt;0,BE113&gt;0), BE113,     AND(NOT($AI113=$AM113),$AI113&gt;0,$AM113&gt;0,BE113&gt;0), ($AM113*BE113)/$AI113,     AND($AI113=0,$AM113&gt;0,$AQ113&gt;0), IF(INDEX(BE$12:BE$263,MATCH($AQ113,$AP$12:$AP$263,0))&gt;0,($AM113*INDEX(BE$12:BE$263,MATCH($AQ113,$AP$12:$AP$263,0)))/INDEX($AI$12:$AI$263,MATCH($AQ113,$AP$12:$AP$263,0)), "-"),     TRUE, "0")</f>
        <v>0</v>
      </c>
      <c r="BG113" s="607">
        <f>IF(BF$9&gt;0, IF(OR(BF113="",BF113="-"), 0, BF113*$AT113), BE113*$AJ113)</f>
        <v>0</v>
      </c>
      <c r="BH113" s="589">
        <f>[1]COMMANDE!W111</f>
        <v>0</v>
      </c>
      <c r="BI113" s="586" t="str">
        <f>_xlfn.IFS(AND($AI113=$AM113,$AI113&gt;0,$AM113&gt;0,BH113&gt;0), BH113,     AND(NOT($AI113=$AM113),$AI113&gt;0,$AM113&gt;0,BH113&gt;0), ($AM113*BH113)/$AI113,     AND($AI113=0,$AM113&gt;0,$AQ113&gt;0), IF(INDEX(BH$12:BH$263,MATCH($AQ113,$AP$12:$AP$263,0))&gt;0,($AM113*INDEX(BH$12:BH$263,MATCH($AQ113,$AP$12:$AP$263,0)))/INDEX($AI$12:$AI$263,MATCH($AQ113,$AP$12:$AP$263,0)), "-"),     TRUE, "0")</f>
        <v>0</v>
      </c>
      <c r="BJ113" s="588">
        <f>IF(BI$9&gt;0, IF(OR(BI113="",BI113="-"), 0, BI113*$AT113), BH113*$AJ113)</f>
        <v>0</v>
      </c>
      <c r="BK113" s="587">
        <f>[1]COMMANDE!Y111</f>
        <v>0</v>
      </c>
      <c r="BL113" s="586" t="str">
        <f>_xlfn.IFS(AND($AI113=$AM113,$AI113&gt;0,$AM113&gt;0,BK113&gt;0), BK113,     AND(NOT($AI113=$AM113),$AI113&gt;0,$AM113&gt;0,BK113&gt;0), ($AM113*BK113)/$AI113,     AND($AI113=0,$AM113&gt;0,$AQ113&gt;0), IF(INDEX(BK$12:BK$263,MATCH($AQ113,$AP$12:$AP$263,0))&gt;0,($AM113*INDEX(BK$12:BK$263,MATCH($AQ113,$AP$12:$AP$263,0)))/INDEX($AI$12:$AI$263,MATCH($AQ113,$AP$12:$AP$263,0)), "-"),     TRUE, "0")</f>
        <v>0</v>
      </c>
      <c r="BM113" s="607">
        <f>IF(BL$9&gt;0, IF(OR(BL113="",BL113="-"), 0, BL113*$AT113), BK113*$AJ113)</f>
        <v>0</v>
      </c>
      <c r="BN113" s="589">
        <f>[1]COMMANDE!AA111</f>
        <v>0</v>
      </c>
      <c r="BO113" s="586" t="str">
        <f>_xlfn.IFS(AND($AI113=$AM113,$AI113&gt;0,$AM113&gt;0,BN113&gt;0), BN113,     AND(NOT($AI113=$AM113),$AI113&gt;0,$AM113&gt;0,BN113&gt;0), ($AM113*BN113)/$AI113,     AND($AI113=0,$AM113&gt;0,$AQ113&gt;0), IF(INDEX(BN$12:BN$263,MATCH($AQ113,$AP$12:$AP$263,0))&gt;0,($AM113*INDEX(BN$12:BN$263,MATCH($AQ113,$AP$12:$AP$263,0)))/INDEX($AI$12:$AI$263,MATCH($AQ113,$AP$12:$AP$263,0)), "-"),     TRUE, "0")</f>
        <v>0</v>
      </c>
      <c r="BP113" s="588">
        <f>IF(BO$9&gt;0, IF(OR(BO113="",BO113="-"), 0, BO113*$AT113), BN113*$AJ113)</f>
        <v>0</v>
      </c>
      <c r="BQ113" s="587">
        <f>[1]COMMANDE!AC111</f>
        <v>0</v>
      </c>
      <c r="BR113" s="586" t="str">
        <f>_xlfn.IFS(AND($AI113=$AM113,$AI113&gt;0,$AM113&gt;0,BQ113&gt;0), BQ113,     AND(NOT($AI113=$AM113),$AI113&gt;0,$AM113&gt;0,BQ113&gt;0), ($AM113*BQ113)/$AI113,     AND($AI113=0,$AM113&gt;0,$AQ113&gt;0), IF(INDEX(BQ$12:BQ$263,MATCH($AQ113,$AP$12:$AP$263,0))&gt;0,($AM113*INDEX(BQ$12:BQ$263,MATCH($AQ113,$AP$12:$AP$263,0)))/INDEX($AI$12:$AI$263,MATCH($AQ113,$AP$12:$AP$263,0)), "-"),     TRUE, "0")</f>
        <v>0</v>
      </c>
      <c r="BS113" s="607">
        <f>IF(BR$9&gt;0, IF(OR(BR113="",BR113="-"), 0, BR113*$AT113), BQ113*$AJ113)</f>
        <v>0</v>
      </c>
      <c r="BT113" s="589">
        <f>[1]COMMANDE!AE111</f>
        <v>0</v>
      </c>
      <c r="BU113" s="586" t="str">
        <f>_xlfn.IFS(AND($AI113=$AM113,$AI113&gt;0,$AM113&gt;0,BT113&gt;0), BT113,     AND(NOT($AI113=$AM113),$AI113&gt;0,$AM113&gt;0,BT113&gt;0), ($AM113*BT113)/$AI113,     AND($AI113=0,$AM113&gt;0,$AQ113&gt;0), IF(INDEX(BT$12:BT$263,MATCH($AQ113,$AP$12:$AP$263,0))&gt;0,($AM113*INDEX(BT$12:BT$263,MATCH($AQ113,$AP$12:$AP$263,0)))/INDEX($AI$12:$AI$263,MATCH($AQ113,$AP$12:$AP$263,0)), "-"),     TRUE, "0")</f>
        <v>0</v>
      </c>
      <c r="BV113" s="588">
        <f>IF(BU$9&gt;0, IF(OR(BU113="",BU113="-"), 0, BU113*$AT113), BT113*$AJ113)</f>
        <v>0</v>
      </c>
      <c r="BW113" s="587">
        <f>[1]COMMANDE!AG111</f>
        <v>0</v>
      </c>
      <c r="BX113" s="586" t="str">
        <f>_xlfn.IFS(AND($AI113=$AM113,$AI113&gt;0,$AM113&gt;0,BW113&gt;0), BW113,     AND(NOT($AI113=$AM113),$AI113&gt;0,$AM113&gt;0,BW113&gt;0), ($AM113*BW113)/$AI113,     AND($AI113=0,$AM113&gt;0,$AQ113&gt;0), IF(INDEX(BW$12:BW$263,MATCH($AQ113,$AP$12:$AP$263,0))&gt;0,($AM113*INDEX(BW$12:BW$263,MATCH($AQ113,$AP$12:$AP$263,0)))/INDEX($AI$12:$AI$263,MATCH($AQ113,$AP$12:$AP$263,0)), "-"),     TRUE, "0")</f>
        <v>0</v>
      </c>
      <c r="BY113" s="607">
        <f>IF(BX$9&gt;0, IF(OR(BX113="",BX113="-"), 0, BX113*$AT113), BW113*$AJ113)</f>
        <v>0</v>
      </c>
      <c r="BZ113" s="589">
        <f>[1]COMMANDE!AI111</f>
        <v>0</v>
      </c>
      <c r="CA113" s="586" t="str">
        <f>_xlfn.IFS(AND($AI113=$AM113,$AI113&gt;0,$AM113&gt;0,BZ113&gt;0), BZ113,     AND(NOT($AI113=$AM113),$AI113&gt;0,$AM113&gt;0,BZ113&gt;0), ($AM113*BZ113)/$AI113,     AND($AI113=0,$AM113&gt;0,$AQ113&gt;0), IF(INDEX(BZ$12:BZ$263,MATCH($AQ113,$AP$12:$AP$263,0))&gt;0,($AM113*INDEX(BZ$12:BZ$263,MATCH($AQ113,$AP$12:$AP$263,0)))/INDEX($AI$12:$AI$263,MATCH($AQ113,$AP$12:$AP$263,0)), "-"),     TRUE, "0")</f>
        <v>0</v>
      </c>
      <c r="CB113" s="588">
        <f>IF(CA$9&gt;0, IF(OR(CA113="",CA113="-"), 0, CA113*$AT113), BZ113*$AJ113)</f>
        <v>0</v>
      </c>
      <c r="CC113" s="587">
        <f>[1]COMMANDE!AK111</f>
        <v>0</v>
      </c>
      <c r="CD113" s="586" t="str">
        <f>_xlfn.IFS(AND($AI113=$AM113,$AI113&gt;0,$AM113&gt;0,CC113&gt;0), CC113,     AND(NOT($AI113=$AM113),$AI113&gt;0,$AM113&gt;0,CC113&gt;0), ($AM113*CC113)/$AI113,     AND($AI113=0,$AM113&gt;0,$AQ113&gt;0), IF(INDEX(CC$12:CC$263,MATCH($AQ113,$AP$12:$AP$263,0))&gt;0,($AM113*INDEX(CC$12:CC$263,MATCH($AQ113,$AP$12:$AP$263,0)))/INDEX($AI$12:$AI$263,MATCH($AQ113,$AP$12:$AP$263,0)), "-"),     TRUE, "0")</f>
        <v>0</v>
      </c>
      <c r="CE113" s="607">
        <f>IF(CD$9&gt;0, IF(OR(CD113="",CD113="-"), 0, CD113*$AT113), CC113*$AJ113)</f>
        <v>0</v>
      </c>
      <c r="CF113" s="589">
        <f>[1]COMMANDE!AM111</f>
        <v>0</v>
      </c>
      <c r="CG113" s="586" t="str">
        <f>_xlfn.IFS(AND($AI113=$AM113,$AI113&gt;0,$AM113&gt;0,CF113&gt;0), CF113,     AND(NOT($AI113=$AM113),$AI113&gt;0,$AM113&gt;0,CF113&gt;0), ($AM113*CF113)/$AI113,     AND($AI113=0,$AM113&gt;0,$AQ113&gt;0), IF(INDEX(CF$12:CF$263,MATCH($AQ113,$AP$12:$AP$263,0))&gt;0,($AM113*INDEX(CF$12:CF$263,MATCH($AQ113,$AP$12:$AP$263,0)))/INDEX($AI$12:$AI$263,MATCH($AQ113,$AP$12:$AP$263,0)), "-"),     TRUE, "0")</f>
        <v>0</v>
      </c>
      <c r="CH113" s="588">
        <f>IF(CG$9&gt;0, IF(OR(CG113="",CG113="-"), 0, CG113*$AT113), CF113*$AJ113)</f>
        <v>0</v>
      </c>
      <c r="CI113" s="587">
        <f>[1]COMMANDE!AO111</f>
        <v>0</v>
      </c>
      <c r="CJ113" s="586" t="str">
        <f>_xlfn.IFS(AND($AI113=$AM113,$AI113&gt;0,$AM113&gt;0,CI113&gt;0), CI113,     AND(NOT($AI113=$AM113),$AI113&gt;0,$AM113&gt;0,CI113&gt;0), ($AM113*CI113)/$AI113,     AND($AI113=0,$AM113&gt;0,$AQ113&gt;0), IF(INDEX(CI$12:CI$263,MATCH($AQ113,$AP$12:$AP$263,0))&gt;0,($AM113*INDEX(CI$12:CI$263,MATCH($AQ113,$AP$12:$AP$263,0)))/INDEX($AI$12:$AI$263,MATCH($AQ113,$AP$12:$AP$263,0)), "-"),     TRUE, "0")</f>
        <v>0</v>
      </c>
      <c r="CK113" s="607">
        <f>IF(CJ$9&gt;0, IF(OR(CJ113="",CJ113="-"), 0, CJ113*$AT113), CI113*$AJ113)</f>
        <v>0</v>
      </c>
      <c r="CL113" s="589">
        <f>[1]COMMANDE!AQ111</f>
        <v>0</v>
      </c>
      <c r="CM113" s="586" t="str">
        <f>_xlfn.IFS(AND($AI113=$AM113,$AI113&gt;0,$AM113&gt;0,CL113&gt;0), CL113,     AND(NOT($AI113=$AM113),$AI113&gt;0,$AM113&gt;0,CL113&gt;0), ($AM113*CL113)/$AI113,     AND($AI113=0,$AM113&gt;0,$AQ113&gt;0), IF(INDEX(CL$12:CL$263,MATCH($AQ113,$AP$12:$AP$263,0))&gt;0,($AM113*INDEX(CL$12:CL$263,MATCH($AQ113,$AP$12:$AP$263,0)))/INDEX($AI$12:$AI$263,MATCH($AQ113,$AP$12:$AP$263,0)), "-"),     TRUE, "0")</f>
        <v>0</v>
      </c>
      <c r="CN113" s="588">
        <f>IF(CM$9&gt;0, IF(OR(CM113="",CM113="-"), 0, CM113*$AT113), CL113*$AJ113)</f>
        <v>0</v>
      </c>
      <c r="CO113" s="587">
        <f>[1]COMMANDE!AS111</f>
        <v>0</v>
      </c>
      <c r="CP113" s="586" t="str">
        <f>_xlfn.IFS(AND($AI113=$AM113,$AI113&gt;0,$AM113&gt;0,CO113&gt;0), CO113,     AND(NOT($AI113=$AM113),$AI113&gt;0,$AM113&gt;0,CO113&gt;0), ($AM113*CO113)/$AI113,     AND($AI113=0,$AM113&gt;0,$AQ113&gt;0), IF(INDEX(CO$12:CO$263,MATCH($AQ113,$AP$12:$AP$263,0))&gt;0,($AM113*INDEX(CO$12:CO$263,MATCH($AQ113,$AP$12:$AP$263,0)))/INDEX($AI$12:$AI$263,MATCH($AQ113,$AP$12:$AP$263,0)), "-"),     TRUE, "0")</f>
        <v>0</v>
      </c>
      <c r="CQ113" s="607">
        <f>IF(CP$9&gt;0, IF(OR(CP113="",CP113="-"), 0, CP113*$AT113), CO113*$AJ113)</f>
        <v>0</v>
      </c>
      <c r="CR113" s="589">
        <f>[1]COMMANDE!AU111</f>
        <v>0</v>
      </c>
      <c r="CS113" s="586" t="str">
        <f>_xlfn.IFS(AND($AI113=$AM113,$AI113&gt;0,$AM113&gt;0,CR113&gt;0), CR113,     AND(NOT($AI113=$AM113),$AI113&gt;0,$AM113&gt;0,CR113&gt;0), ($AM113*CR113)/$AI113,     AND($AI113=0,$AM113&gt;0,$AQ113&gt;0), IF(INDEX(CR$12:CR$263,MATCH($AQ113,$AP$12:$AP$263,0))&gt;0,($AM113*INDEX(CR$12:CR$263,MATCH($AQ113,$AP$12:$AP$263,0)))/INDEX($AI$12:$AI$263,MATCH($AQ113,$AP$12:$AP$263,0)), "-"),     TRUE, "0")</f>
        <v>0</v>
      </c>
      <c r="CT113" s="588">
        <f>IF(CS$9&gt;0, IF(OR(CS113="",CS113="-"), 0, CS113*$AT113), CR113*$AJ113)</f>
        <v>0</v>
      </c>
      <c r="CU113" s="587">
        <f>[1]COMMANDE!AW111</f>
        <v>0</v>
      </c>
      <c r="CV113" s="586" t="str">
        <f>_xlfn.IFS(AND($AI113=$AM113,$AI113&gt;0,$AM113&gt;0,CU113&gt;0), CU113,     AND(NOT($AI113=$AM113),$AI113&gt;0,$AM113&gt;0,CU113&gt;0), ($AM113*CU113)/$AI113,     AND($AI113=0,$AM113&gt;0,$AQ113&gt;0), IF(INDEX(CU$12:CU$263,MATCH($AQ113,$AP$12:$AP$263,0))&gt;0,($AM113*INDEX(CU$12:CU$263,MATCH($AQ113,$AP$12:$AP$263,0)))/INDEX($AI$12:$AI$263,MATCH($AQ113,$AP$12:$AP$263,0)), "-"),     TRUE, "0")</f>
        <v>0</v>
      </c>
      <c r="CW113" s="607">
        <f>IF(CV$9&gt;0, IF(OR(CV113="",CV113="-"), 0, CV113*$AT113), CU113*$AJ113)</f>
        <v>0</v>
      </c>
      <c r="CX113" s="589">
        <f>[1]COMMANDE!AY111</f>
        <v>0</v>
      </c>
      <c r="CY113" s="586" t="str">
        <f>_xlfn.IFS(AND($AI113=$AM113,$AI113&gt;0,$AM113&gt;0,CX113&gt;0), CX113,     AND(NOT($AI113=$AM113),$AI113&gt;0,$AM113&gt;0,CX113&gt;0), ($AM113*CX113)/$AI113,     AND($AI113=0,$AM113&gt;0,$AQ113&gt;0), IF(INDEX(CX$12:CX$263,MATCH($AQ113,$AP$12:$AP$263,0))&gt;0,($AM113*INDEX(CX$12:CX$263,MATCH($AQ113,$AP$12:$AP$263,0)))/INDEX($AI$12:$AI$263,MATCH($AQ113,$AP$12:$AP$263,0)), "-"),     TRUE, "0")</f>
        <v>0</v>
      </c>
      <c r="CZ113" s="588">
        <f>IF(CY$9&gt;0, IF(OR(CY113="",CY113="-"), 0, CY113*$AT113), CX113*$AJ113)</f>
        <v>0</v>
      </c>
      <c r="DA113" s="587">
        <f>[1]COMMANDE!BA111</f>
        <v>0</v>
      </c>
      <c r="DB113" s="586" t="str">
        <f>_xlfn.IFS(AND($AI113=$AM113,$AI113&gt;0,$AM113&gt;0,DA113&gt;0), DA113,     AND(NOT($AI113=$AM113),$AI113&gt;0,$AM113&gt;0,DA113&gt;0), ($AM113*DA113)/$AI113,     AND($AI113=0,$AM113&gt;0,$AQ113&gt;0), IF(INDEX(DA$12:DA$263,MATCH($AQ113,$AP$12:$AP$263,0))&gt;0,($AM113*INDEX(DA$12:DA$263,MATCH($AQ113,$AP$12:$AP$263,0)))/INDEX($AI$12:$AI$263,MATCH($AQ113,$AP$12:$AP$263,0)), "-"),     TRUE, "0")</f>
        <v>0</v>
      </c>
      <c r="DC113" s="606">
        <f>IF(DB$9&gt;0, IF(OR(DB113="",DB113="-"), 0, DB113*$AT113), DA113*$AJ113)</f>
        <v>0</v>
      </c>
      <c r="DD113" s="584"/>
      <c r="DE113" s="583"/>
    </row>
    <row r="114" spans="1:128" ht="39.950000000000003" hidden="1" customHeight="1">
      <c r="A114" s="604">
        <f>IF(OR($AV114&gt;0, $AX114&gt;0), 1, 0)</f>
        <v>0</v>
      </c>
      <c r="B114" s="604">
        <f>IF(OR($AY114&gt;0, $BA114&gt;0), 1, 0)</f>
        <v>0</v>
      </c>
      <c r="C114" s="604">
        <f>IF(OR($BB114&gt;0, $BD114&gt;0), 1, 0)</f>
        <v>0</v>
      </c>
      <c r="D114" s="604">
        <f>IF(OR($BE114&gt;0, $BG114&gt;0), 1, 0)</f>
        <v>0</v>
      </c>
      <c r="E114" s="604">
        <f>IF(OR($BH114&gt;0, $BJ114&gt;0), 1, 0)</f>
        <v>0</v>
      </c>
      <c r="F114" s="604">
        <f>IF(OR($BK114&gt;0, $BM114&gt;0), 1, 0)</f>
        <v>0</v>
      </c>
      <c r="G114" s="604">
        <f>IF(OR($BN114&gt;0, $BP114&gt;0), 1, 0)</f>
        <v>0</v>
      </c>
      <c r="H114" s="604">
        <f>IF(OR($BQ114&gt;0, $BS114&gt;0), 1, 0)</f>
        <v>0</v>
      </c>
      <c r="I114" s="604">
        <f>IF(OR($BT114&gt;0, $BV114&gt;0), 1, 0)</f>
        <v>0</v>
      </c>
      <c r="J114" s="604">
        <f>IF(OR($BW114&gt;0, $BY114&gt;0), 1, 0)</f>
        <v>0</v>
      </c>
      <c r="K114" s="604">
        <f>IF(OR($BZ114&gt;0, $CB114&gt;0), 1, 0)</f>
        <v>0</v>
      </c>
      <c r="L114" s="604">
        <f>IF(OR($CC114&gt;0, $CE114&gt;0), 1, 0)</f>
        <v>0</v>
      </c>
      <c r="M114" s="604">
        <f>IF(OR($CF114&gt;0, $CH114&gt;0), 1, 0)</f>
        <v>0</v>
      </c>
      <c r="N114" s="604">
        <f>IF(OR($CI114&gt;0, $CK114&gt;0), 1, 0)</f>
        <v>0</v>
      </c>
      <c r="O114" s="604">
        <f>IF(OR($CL114&gt;0, $CN114&gt;0), 1, 0)</f>
        <v>0</v>
      </c>
      <c r="P114" s="604">
        <f>IF(OR($CO114&gt;0, $CQ114&gt;0), 1, 0)</f>
        <v>0</v>
      </c>
      <c r="Q114" s="604">
        <f>IF(OR($CR114&gt;0, $CT114&gt;0), 1, 0)</f>
        <v>0</v>
      </c>
      <c r="R114" s="604">
        <f>IF(OR($CU114&gt;0, $CW114&gt;0), 1, 0)</f>
        <v>0</v>
      </c>
      <c r="S114" s="604">
        <f>IF(OR($CX114&gt;0, $CZ114&gt;0), 1, 0)</f>
        <v>0</v>
      </c>
      <c r="T114" s="604">
        <f>IF(OR($DA114&gt;0, $DC114&gt;0), 1, 0)</f>
        <v>0</v>
      </c>
      <c r="U114" s="603">
        <f>IF(OR($AI114&gt;0,$AM114&gt;0,$AS114&gt;0), 1, 0)</f>
        <v>0</v>
      </c>
      <c r="V114" s="602">
        <f>[1]BDD!A104</f>
        <v>5129</v>
      </c>
      <c r="W114" s="601" t="str">
        <f>[1]BDD!B104</f>
        <v>Figue cou dame semi-sec noire (nouvelle récolte 2020)</v>
      </c>
      <c r="X114" s="600" t="str">
        <f>IF([1]BDD!F104=0, "", [1]BDD!F104)</f>
        <v>❤️</v>
      </c>
      <c r="Y114" s="542">
        <f>ROUND([1]BDD!G104+FDP_CMD_KG, 2)</f>
        <v>7.69</v>
      </c>
      <c r="Z114" s="542">
        <f>ROUND([1]BDD!G104+FDP_FACT_KG, 2)</f>
        <v>7.69</v>
      </c>
      <c r="AA114" s="543" t="str">
        <f>[1]BDD!H104</f>
        <v>kg</v>
      </c>
      <c r="AB114" s="544">
        <f>IF(NOT(ISBLANK([1]BDD!I104)), ROUND(SUM(([1]BDD!G104*reduc1),FDP_CMD_KG), 2), "")</f>
        <v>7.01</v>
      </c>
      <c r="AC114" s="544" t="str">
        <f>IF(NOT(ISBLANK([1]BDD!J104)), ROUND(SUM(([1]BDD!G104*reduc2),FDP_CMD_KG), 2), "")</f>
        <v/>
      </c>
      <c r="AD114" s="544" t="str">
        <f>IF(NOT(ISBLANK([1]BDD!K104)), ROUND(SUM(([1]BDD!G104*reduc3),FDP_CMD_KG), 2), "")</f>
        <v/>
      </c>
      <c r="AE114" s="544">
        <f>IF(NOT(ISBLANK([1]BDD!I104)), ROUND(SUM(([1]BDD!G104*reduc1),FDP_FACT_KG), 2), "")</f>
        <v>7</v>
      </c>
      <c r="AF114" s="544" t="str">
        <f>IF(NOT(ISBLANK([1]BDD!J104)), ROUND(SUM(([1]BDD!G104*reduc2),FDP_FACT_KG), 2), "")</f>
        <v/>
      </c>
      <c r="AG114" s="544" t="str">
        <f>IF(NOT(ISBLANK([1]BDD!K104)), ROUND(SUM(([1]BDD!G104*reduc3),FDP_FACT_KG), 2), "")</f>
        <v/>
      </c>
      <c r="AH114" s="599" t="str">
        <f>[1]BDD!C104</f>
        <v>Ávila</v>
      </c>
      <c r="AI114" s="598">
        <f>SUM(AV114,AY114,BB114,BE114,BH114,BK114,BN114,BQ114,BT114,BW114,BZ114,CC114,CF114,CI114,CL114,CO114,CR114,CU114,CX114,DA114)</f>
        <v>0</v>
      </c>
      <c r="AJ114" s="545">
        <f>_xlfn.IFS($AD114&lt;&gt;"", $AD114,    $AC114&lt;&gt;"", $AC114,    $AB114&lt;&gt;"", $AB114,    TRUE, $Y114)</f>
        <v>7.01</v>
      </c>
      <c r="AK114" s="592">
        <f>$AI114*$AJ114</f>
        <v>0</v>
      </c>
      <c r="AL114" s="594"/>
      <c r="AM114" s="597"/>
      <c r="AN114" s="545">
        <f>_xlfn.IFS(AND(AM114&gt;=60,$AG114&lt;&gt;""), $AG114,    AND(AM114&gt;=30,$AF114&lt;&gt;""), $AF114,    AND(AM114&gt;=10,$AE114&lt;&gt;""), $AE114,    TRUE, $Z114)</f>
        <v>7.69</v>
      </c>
      <c r="AO114" s="596">
        <f>AM114*AN114</f>
        <v>0</v>
      </c>
      <c r="AP114" s="595"/>
      <c r="AQ114" s="595"/>
      <c r="AR114" s="594"/>
      <c r="AS114" s="593">
        <f>SUM(AW114,AZ114,BC114,BF114,BI114,BL114,BO114,BR114,BU114,BX114,CA114,CD114,CG114,CJ114,CM114,CP114,CS114,CV114,CY114,DB114)</f>
        <v>0</v>
      </c>
      <c r="AT114" s="545">
        <f>_xlfn.IFS(AND(AS114&gt;=60,$AG114&lt;&gt;""), $AG114,    AND(AS114&gt;=30,$AF114&lt;&gt;""), $AF114,    AND(AS114&gt;=10,$AE114&lt;&gt;""), $AE114,    TRUE, $Z114)</f>
        <v>7.69</v>
      </c>
      <c r="AU114" s="592">
        <f>$AS114*$AT114</f>
        <v>0</v>
      </c>
      <c r="AV114" s="591">
        <f>[1]COMMANDE!O112</f>
        <v>0</v>
      </c>
      <c r="AW114" s="586" t="str">
        <f>_xlfn.IFS(AND($AI114=$AM114,$AI114&gt;0,$AM114&gt;0,AV114&gt;0), AV114,     AND(NOT($AI114=$AM114),$AI114&gt;0,$AM114&gt;0,AV114&gt;0), ($AM114*AV114)/$AI114,     AND($AI114=0,$AM114&gt;0,$AQ114&gt;0), IF(INDEX(AV$12:AV$263,MATCH($AQ114,$AP$12:$AP$263,0))&gt;0,($AM114*INDEX(AV$12:AV$263,MATCH($AQ114,$AP$12:$AP$263,0)))/INDEX($AI$12:$AI$263,MATCH($AQ114,$AP$12:$AP$263,0)), "-"),     TRUE, "0")</f>
        <v>0</v>
      </c>
      <c r="AX114" s="588">
        <f>IF(AW$9&gt;0, IF(OR(AW114="",AW114="-"), 0, AW114*$AT114), AV114*$AJ114)</f>
        <v>0</v>
      </c>
      <c r="AY114" s="587">
        <f>[1]COMMANDE!Q112</f>
        <v>0</v>
      </c>
      <c r="AZ114" s="586" t="str">
        <f>_xlfn.IFS(AND($AI114=$AM114,$AI114&gt;0,$AM114&gt;0,AY114&gt;0), AY114,     AND(NOT($AI114=$AM114),$AI114&gt;0,$AM114&gt;0,AY114&gt;0), ($AM114*AY114)/$AI114,     AND($AI114=0,$AM114&gt;0,$AQ114&gt;0), IF(INDEX(AY$12:AY$263,MATCH($AQ114,$AP$12:$AP$263,0))&gt;0,($AM114*INDEX(AY$12:AY$263,MATCH($AQ114,$AP$12:$AP$263,0)))/INDEX($AI$12:$AI$263,MATCH($AQ114,$AP$12:$AP$263,0)), "-"),     TRUE, "0")</f>
        <v>0</v>
      </c>
      <c r="BA114" s="607">
        <f>IF(AZ$9&gt;0, IF(OR(AZ114="",AZ114="-"), 0, AZ114*$AT114), AY114*$AJ114)</f>
        <v>0</v>
      </c>
      <c r="BB114" s="589">
        <f>[1]COMMANDE!S112</f>
        <v>0</v>
      </c>
      <c r="BC114" s="586" t="str">
        <f>_xlfn.IFS(AND($AI114=$AM114,$AI114&gt;0,$AM114&gt;0,BB114&gt;0), BB114,     AND(NOT($AI114=$AM114),$AI114&gt;0,$AM114&gt;0,BB114&gt;0), ($AM114*BB114)/$AI114,     AND($AI114=0,$AM114&gt;0,$AQ114&gt;0), IF(INDEX(BB$12:BB$263,MATCH($AQ114,$AP$12:$AP$263,0))&gt;0,($AM114*INDEX(BB$12:BB$263,MATCH($AQ114,$AP$12:$AP$263,0)))/INDEX($AI$12:$AI$263,MATCH($AQ114,$AP$12:$AP$263,0)), "-"),     TRUE, "0")</f>
        <v>0</v>
      </c>
      <c r="BD114" s="588">
        <f>IF(BC$9&gt;0, IF(OR(BC114="",BC114="-"), 0, BC114*$AT114), BB114*$AJ114)</f>
        <v>0</v>
      </c>
      <c r="BE114" s="587">
        <f>[1]COMMANDE!U112</f>
        <v>0</v>
      </c>
      <c r="BF114" s="586" t="str">
        <f>_xlfn.IFS(AND($AI114=$AM114,$AI114&gt;0,$AM114&gt;0,BE114&gt;0), BE114,     AND(NOT($AI114=$AM114),$AI114&gt;0,$AM114&gt;0,BE114&gt;0), ($AM114*BE114)/$AI114,     AND($AI114=0,$AM114&gt;0,$AQ114&gt;0), IF(INDEX(BE$12:BE$263,MATCH($AQ114,$AP$12:$AP$263,0))&gt;0,($AM114*INDEX(BE$12:BE$263,MATCH($AQ114,$AP$12:$AP$263,0)))/INDEX($AI$12:$AI$263,MATCH($AQ114,$AP$12:$AP$263,0)), "-"),     TRUE, "0")</f>
        <v>0</v>
      </c>
      <c r="BG114" s="607">
        <f>IF(BF$9&gt;0, IF(OR(BF114="",BF114="-"), 0, BF114*$AT114), BE114*$AJ114)</f>
        <v>0</v>
      </c>
      <c r="BH114" s="589">
        <f>[1]COMMANDE!W112</f>
        <v>0</v>
      </c>
      <c r="BI114" s="586" t="str">
        <f>_xlfn.IFS(AND($AI114=$AM114,$AI114&gt;0,$AM114&gt;0,BH114&gt;0), BH114,     AND(NOT($AI114=$AM114),$AI114&gt;0,$AM114&gt;0,BH114&gt;0), ($AM114*BH114)/$AI114,     AND($AI114=0,$AM114&gt;0,$AQ114&gt;0), IF(INDEX(BH$12:BH$263,MATCH($AQ114,$AP$12:$AP$263,0))&gt;0,($AM114*INDEX(BH$12:BH$263,MATCH($AQ114,$AP$12:$AP$263,0)))/INDEX($AI$12:$AI$263,MATCH($AQ114,$AP$12:$AP$263,0)), "-"),     TRUE, "0")</f>
        <v>0</v>
      </c>
      <c r="BJ114" s="588">
        <f>IF(BI$9&gt;0, IF(OR(BI114="",BI114="-"), 0, BI114*$AT114), BH114*$AJ114)</f>
        <v>0</v>
      </c>
      <c r="BK114" s="587">
        <f>[1]COMMANDE!Y112</f>
        <v>0</v>
      </c>
      <c r="BL114" s="586" t="str">
        <f>_xlfn.IFS(AND($AI114=$AM114,$AI114&gt;0,$AM114&gt;0,BK114&gt;0), BK114,     AND(NOT($AI114=$AM114),$AI114&gt;0,$AM114&gt;0,BK114&gt;0), ($AM114*BK114)/$AI114,     AND($AI114=0,$AM114&gt;0,$AQ114&gt;0), IF(INDEX(BK$12:BK$263,MATCH($AQ114,$AP$12:$AP$263,0))&gt;0,($AM114*INDEX(BK$12:BK$263,MATCH($AQ114,$AP$12:$AP$263,0)))/INDEX($AI$12:$AI$263,MATCH($AQ114,$AP$12:$AP$263,0)), "-"),     TRUE, "0")</f>
        <v>0</v>
      </c>
      <c r="BM114" s="607">
        <f>IF(BL$9&gt;0, IF(OR(BL114="",BL114="-"), 0, BL114*$AT114), BK114*$AJ114)</f>
        <v>0</v>
      </c>
      <c r="BN114" s="589">
        <f>[1]COMMANDE!AA112</f>
        <v>0</v>
      </c>
      <c r="BO114" s="586" t="str">
        <f>_xlfn.IFS(AND($AI114=$AM114,$AI114&gt;0,$AM114&gt;0,BN114&gt;0), BN114,     AND(NOT($AI114=$AM114),$AI114&gt;0,$AM114&gt;0,BN114&gt;0), ($AM114*BN114)/$AI114,     AND($AI114=0,$AM114&gt;0,$AQ114&gt;0), IF(INDEX(BN$12:BN$263,MATCH($AQ114,$AP$12:$AP$263,0))&gt;0,($AM114*INDEX(BN$12:BN$263,MATCH($AQ114,$AP$12:$AP$263,0)))/INDEX($AI$12:$AI$263,MATCH($AQ114,$AP$12:$AP$263,0)), "-"),     TRUE, "0")</f>
        <v>0</v>
      </c>
      <c r="BP114" s="588">
        <f>IF(BO$9&gt;0, IF(OR(BO114="",BO114="-"), 0, BO114*$AT114), BN114*$AJ114)</f>
        <v>0</v>
      </c>
      <c r="BQ114" s="587">
        <f>[1]COMMANDE!AC112</f>
        <v>0</v>
      </c>
      <c r="BR114" s="586" t="str">
        <f>_xlfn.IFS(AND($AI114=$AM114,$AI114&gt;0,$AM114&gt;0,BQ114&gt;0), BQ114,     AND(NOT($AI114=$AM114),$AI114&gt;0,$AM114&gt;0,BQ114&gt;0), ($AM114*BQ114)/$AI114,     AND($AI114=0,$AM114&gt;0,$AQ114&gt;0), IF(INDEX(BQ$12:BQ$263,MATCH($AQ114,$AP$12:$AP$263,0))&gt;0,($AM114*INDEX(BQ$12:BQ$263,MATCH($AQ114,$AP$12:$AP$263,0)))/INDEX($AI$12:$AI$263,MATCH($AQ114,$AP$12:$AP$263,0)), "-"),     TRUE, "0")</f>
        <v>0</v>
      </c>
      <c r="BS114" s="607">
        <f>IF(BR$9&gt;0, IF(OR(BR114="",BR114="-"), 0, BR114*$AT114), BQ114*$AJ114)</f>
        <v>0</v>
      </c>
      <c r="BT114" s="589">
        <f>[1]COMMANDE!AE112</f>
        <v>0</v>
      </c>
      <c r="BU114" s="586" t="str">
        <f>_xlfn.IFS(AND($AI114=$AM114,$AI114&gt;0,$AM114&gt;0,BT114&gt;0), BT114,     AND(NOT($AI114=$AM114),$AI114&gt;0,$AM114&gt;0,BT114&gt;0), ($AM114*BT114)/$AI114,     AND($AI114=0,$AM114&gt;0,$AQ114&gt;0), IF(INDEX(BT$12:BT$263,MATCH($AQ114,$AP$12:$AP$263,0))&gt;0,($AM114*INDEX(BT$12:BT$263,MATCH($AQ114,$AP$12:$AP$263,0)))/INDEX($AI$12:$AI$263,MATCH($AQ114,$AP$12:$AP$263,0)), "-"),     TRUE, "0")</f>
        <v>0</v>
      </c>
      <c r="BV114" s="588">
        <f>IF(BU$9&gt;0, IF(OR(BU114="",BU114="-"), 0, BU114*$AT114), BT114*$AJ114)</f>
        <v>0</v>
      </c>
      <c r="BW114" s="587">
        <f>[1]COMMANDE!AG112</f>
        <v>0</v>
      </c>
      <c r="BX114" s="586" t="str">
        <f>_xlfn.IFS(AND($AI114=$AM114,$AI114&gt;0,$AM114&gt;0,BW114&gt;0), BW114,     AND(NOT($AI114=$AM114),$AI114&gt;0,$AM114&gt;0,BW114&gt;0), ($AM114*BW114)/$AI114,     AND($AI114=0,$AM114&gt;0,$AQ114&gt;0), IF(INDEX(BW$12:BW$263,MATCH($AQ114,$AP$12:$AP$263,0))&gt;0,($AM114*INDEX(BW$12:BW$263,MATCH($AQ114,$AP$12:$AP$263,0)))/INDEX($AI$12:$AI$263,MATCH($AQ114,$AP$12:$AP$263,0)), "-"),     TRUE, "0")</f>
        <v>0</v>
      </c>
      <c r="BY114" s="607">
        <f>IF(BX$9&gt;0, IF(OR(BX114="",BX114="-"), 0, BX114*$AT114), BW114*$AJ114)</f>
        <v>0</v>
      </c>
      <c r="BZ114" s="589">
        <f>[1]COMMANDE!AI112</f>
        <v>0</v>
      </c>
      <c r="CA114" s="586" t="str">
        <f>_xlfn.IFS(AND($AI114=$AM114,$AI114&gt;0,$AM114&gt;0,BZ114&gt;0), BZ114,     AND(NOT($AI114=$AM114),$AI114&gt;0,$AM114&gt;0,BZ114&gt;0), ($AM114*BZ114)/$AI114,     AND($AI114=0,$AM114&gt;0,$AQ114&gt;0), IF(INDEX(BZ$12:BZ$263,MATCH($AQ114,$AP$12:$AP$263,0))&gt;0,($AM114*INDEX(BZ$12:BZ$263,MATCH($AQ114,$AP$12:$AP$263,0)))/INDEX($AI$12:$AI$263,MATCH($AQ114,$AP$12:$AP$263,0)), "-"),     TRUE, "0")</f>
        <v>0</v>
      </c>
      <c r="CB114" s="588">
        <f>IF(CA$9&gt;0, IF(OR(CA114="",CA114="-"), 0, CA114*$AT114), BZ114*$AJ114)</f>
        <v>0</v>
      </c>
      <c r="CC114" s="587">
        <f>[1]COMMANDE!AK112</f>
        <v>0</v>
      </c>
      <c r="CD114" s="586" t="str">
        <f>_xlfn.IFS(AND($AI114=$AM114,$AI114&gt;0,$AM114&gt;0,CC114&gt;0), CC114,     AND(NOT($AI114=$AM114),$AI114&gt;0,$AM114&gt;0,CC114&gt;0), ($AM114*CC114)/$AI114,     AND($AI114=0,$AM114&gt;0,$AQ114&gt;0), IF(INDEX(CC$12:CC$263,MATCH($AQ114,$AP$12:$AP$263,0))&gt;0,($AM114*INDEX(CC$12:CC$263,MATCH($AQ114,$AP$12:$AP$263,0)))/INDEX($AI$12:$AI$263,MATCH($AQ114,$AP$12:$AP$263,0)), "-"),     TRUE, "0")</f>
        <v>0</v>
      </c>
      <c r="CE114" s="607">
        <f>IF(CD$9&gt;0, IF(OR(CD114="",CD114="-"), 0, CD114*$AT114), CC114*$AJ114)</f>
        <v>0</v>
      </c>
      <c r="CF114" s="589">
        <f>[1]COMMANDE!AM112</f>
        <v>0</v>
      </c>
      <c r="CG114" s="586" t="str">
        <f>_xlfn.IFS(AND($AI114=$AM114,$AI114&gt;0,$AM114&gt;0,CF114&gt;0), CF114,     AND(NOT($AI114=$AM114),$AI114&gt;0,$AM114&gt;0,CF114&gt;0), ($AM114*CF114)/$AI114,     AND($AI114=0,$AM114&gt;0,$AQ114&gt;0), IF(INDEX(CF$12:CF$263,MATCH($AQ114,$AP$12:$AP$263,0))&gt;0,($AM114*INDEX(CF$12:CF$263,MATCH($AQ114,$AP$12:$AP$263,0)))/INDEX($AI$12:$AI$263,MATCH($AQ114,$AP$12:$AP$263,0)), "-"),     TRUE, "0")</f>
        <v>0</v>
      </c>
      <c r="CH114" s="588">
        <f>IF(CG$9&gt;0, IF(OR(CG114="",CG114="-"), 0, CG114*$AT114), CF114*$AJ114)</f>
        <v>0</v>
      </c>
      <c r="CI114" s="587">
        <f>[1]COMMANDE!AO112</f>
        <v>0</v>
      </c>
      <c r="CJ114" s="586" t="str">
        <f>_xlfn.IFS(AND($AI114=$AM114,$AI114&gt;0,$AM114&gt;0,CI114&gt;0), CI114,     AND(NOT($AI114=$AM114),$AI114&gt;0,$AM114&gt;0,CI114&gt;0), ($AM114*CI114)/$AI114,     AND($AI114=0,$AM114&gt;0,$AQ114&gt;0), IF(INDEX(CI$12:CI$263,MATCH($AQ114,$AP$12:$AP$263,0))&gt;0,($AM114*INDEX(CI$12:CI$263,MATCH($AQ114,$AP$12:$AP$263,0)))/INDEX($AI$12:$AI$263,MATCH($AQ114,$AP$12:$AP$263,0)), "-"),     TRUE, "0")</f>
        <v>0</v>
      </c>
      <c r="CK114" s="607">
        <f>IF(CJ$9&gt;0, IF(OR(CJ114="",CJ114="-"), 0, CJ114*$AT114), CI114*$AJ114)</f>
        <v>0</v>
      </c>
      <c r="CL114" s="589">
        <f>[1]COMMANDE!AQ112</f>
        <v>0</v>
      </c>
      <c r="CM114" s="586" t="str">
        <f>_xlfn.IFS(AND($AI114=$AM114,$AI114&gt;0,$AM114&gt;0,CL114&gt;0), CL114,     AND(NOT($AI114=$AM114),$AI114&gt;0,$AM114&gt;0,CL114&gt;0), ($AM114*CL114)/$AI114,     AND($AI114=0,$AM114&gt;0,$AQ114&gt;0), IF(INDEX(CL$12:CL$263,MATCH($AQ114,$AP$12:$AP$263,0))&gt;0,($AM114*INDEX(CL$12:CL$263,MATCH($AQ114,$AP$12:$AP$263,0)))/INDEX($AI$12:$AI$263,MATCH($AQ114,$AP$12:$AP$263,0)), "-"),     TRUE, "0")</f>
        <v>0</v>
      </c>
      <c r="CN114" s="588">
        <f>IF(CM$9&gt;0, IF(OR(CM114="",CM114="-"), 0, CM114*$AT114), CL114*$AJ114)</f>
        <v>0</v>
      </c>
      <c r="CO114" s="587">
        <f>[1]COMMANDE!AS112</f>
        <v>0</v>
      </c>
      <c r="CP114" s="586" t="str">
        <f>_xlfn.IFS(AND($AI114=$AM114,$AI114&gt;0,$AM114&gt;0,CO114&gt;0), CO114,     AND(NOT($AI114=$AM114),$AI114&gt;0,$AM114&gt;0,CO114&gt;0), ($AM114*CO114)/$AI114,     AND($AI114=0,$AM114&gt;0,$AQ114&gt;0), IF(INDEX(CO$12:CO$263,MATCH($AQ114,$AP$12:$AP$263,0))&gt;0,($AM114*INDEX(CO$12:CO$263,MATCH($AQ114,$AP$12:$AP$263,0)))/INDEX($AI$12:$AI$263,MATCH($AQ114,$AP$12:$AP$263,0)), "-"),     TRUE, "0")</f>
        <v>0</v>
      </c>
      <c r="CQ114" s="607">
        <f>IF(CP$9&gt;0, IF(OR(CP114="",CP114="-"), 0, CP114*$AT114), CO114*$AJ114)</f>
        <v>0</v>
      </c>
      <c r="CR114" s="589">
        <f>[1]COMMANDE!AU112</f>
        <v>0</v>
      </c>
      <c r="CS114" s="586" t="str">
        <f>_xlfn.IFS(AND($AI114=$AM114,$AI114&gt;0,$AM114&gt;0,CR114&gt;0), CR114,     AND(NOT($AI114=$AM114),$AI114&gt;0,$AM114&gt;0,CR114&gt;0), ($AM114*CR114)/$AI114,     AND($AI114=0,$AM114&gt;0,$AQ114&gt;0), IF(INDEX(CR$12:CR$263,MATCH($AQ114,$AP$12:$AP$263,0))&gt;0,($AM114*INDEX(CR$12:CR$263,MATCH($AQ114,$AP$12:$AP$263,0)))/INDEX($AI$12:$AI$263,MATCH($AQ114,$AP$12:$AP$263,0)), "-"),     TRUE, "0")</f>
        <v>0</v>
      </c>
      <c r="CT114" s="588">
        <f>IF(CS$9&gt;0, IF(OR(CS114="",CS114="-"), 0, CS114*$AT114), CR114*$AJ114)</f>
        <v>0</v>
      </c>
      <c r="CU114" s="587">
        <f>[1]COMMANDE!AW112</f>
        <v>0</v>
      </c>
      <c r="CV114" s="586" t="str">
        <f>_xlfn.IFS(AND($AI114=$AM114,$AI114&gt;0,$AM114&gt;0,CU114&gt;0), CU114,     AND(NOT($AI114=$AM114),$AI114&gt;0,$AM114&gt;0,CU114&gt;0), ($AM114*CU114)/$AI114,     AND($AI114=0,$AM114&gt;0,$AQ114&gt;0), IF(INDEX(CU$12:CU$263,MATCH($AQ114,$AP$12:$AP$263,0))&gt;0,($AM114*INDEX(CU$12:CU$263,MATCH($AQ114,$AP$12:$AP$263,0)))/INDEX($AI$12:$AI$263,MATCH($AQ114,$AP$12:$AP$263,0)), "-"),     TRUE, "0")</f>
        <v>0</v>
      </c>
      <c r="CW114" s="607">
        <f>IF(CV$9&gt;0, IF(OR(CV114="",CV114="-"), 0, CV114*$AT114), CU114*$AJ114)</f>
        <v>0</v>
      </c>
      <c r="CX114" s="589">
        <f>[1]COMMANDE!AY112</f>
        <v>0</v>
      </c>
      <c r="CY114" s="586" t="str">
        <f>_xlfn.IFS(AND($AI114=$AM114,$AI114&gt;0,$AM114&gt;0,CX114&gt;0), CX114,     AND(NOT($AI114=$AM114),$AI114&gt;0,$AM114&gt;0,CX114&gt;0), ($AM114*CX114)/$AI114,     AND($AI114=0,$AM114&gt;0,$AQ114&gt;0), IF(INDEX(CX$12:CX$263,MATCH($AQ114,$AP$12:$AP$263,0))&gt;0,($AM114*INDEX(CX$12:CX$263,MATCH($AQ114,$AP$12:$AP$263,0)))/INDEX($AI$12:$AI$263,MATCH($AQ114,$AP$12:$AP$263,0)), "-"),     TRUE, "0")</f>
        <v>0</v>
      </c>
      <c r="CZ114" s="588">
        <f>IF(CY$9&gt;0, IF(OR(CY114="",CY114="-"), 0, CY114*$AT114), CX114*$AJ114)</f>
        <v>0</v>
      </c>
      <c r="DA114" s="587">
        <f>[1]COMMANDE!BA112</f>
        <v>0</v>
      </c>
      <c r="DB114" s="586" t="str">
        <f>_xlfn.IFS(AND($AI114=$AM114,$AI114&gt;0,$AM114&gt;0,DA114&gt;0), DA114,     AND(NOT($AI114=$AM114),$AI114&gt;0,$AM114&gt;0,DA114&gt;0), ($AM114*DA114)/$AI114,     AND($AI114=0,$AM114&gt;0,$AQ114&gt;0), IF(INDEX(DA$12:DA$263,MATCH($AQ114,$AP$12:$AP$263,0))&gt;0,($AM114*INDEX(DA$12:DA$263,MATCH($AQ114,$AP$12:$AP$263,0)))/INDEX($AI$12:$AI$263,MATCH($AQ114,$AP$12:$AP$263,0)), "-"),     TRUE, "0")</f>
        <v>0</v>
      </c>
      <c r="DC114" s="606">
        <f>IF(DB$9&gt;0, IF(OR(DB114="",DB114="-"), 0, DB114*$AT114), DA114*$AJ114)</f>
        <v>0</v>
      </c>
      <c r="DD114" s="584"/>
      <c r="DE114" s="583"/>
    </row>
    <row r="115" spans="1:128" ht="39.950000000000003" hidden="1" customHeight="1">
      <c r="A115" s="604">
        <f>IF(OR($AV115&gt;0, $AX115&gt;0), 1, 0)</f>
        <v>0</v>
      </c>
      <c r="B115" s="604">
        <f>IF(OR($AY115&gt;0, $BA115&gt;0), 1, 0)</f>
        <v>0</v>
      </c>
      <c r="C115" s="604">
        <f>IF(OR($BB115&gt;0, $BD115&gt;0), 1, 0)</f>
        <v>0</v>
      </c>
      <c r="D115" s="604">
        <f>IF(OR($BE115&gt;0, $BG115&gt;0), 1, 0)</f>
        <v>0</v>
      </c>
      <c r="E115" s="604">
        <f>IF(OR($BH115&gt;0, $BJ115&gt;0), 1, 0)</f>
        <v>0</v>
      </c>
      <c r="F115" s="604">
        <f>IF(OR($BK115&gt;0, $BM115&gt;0), 1, 0)</f>
        <v>0</v>
      </c>
      <c r="G115" s="604">
        <f>IF(OR($BN115&gt;0, $BP115&gt;0), 1, 0)</f>
        <v>0</v>
      </c>
      <c r="H115" s="604">
        <f>IF(OR($BQ115&gt;0, $BS115&gt;0), 1, 0)</f>
        <v>0</v>
      </c>
      <c r="I115" s="604">
        <f>IF(OR($BT115&gt;0, $BV115&gt;0), 1, 0)</f>
        <v>0</v>
      </c>
      <c r="J115" s="604">
        <f>IF(OR($BW115&gt;0, $BY115&gt;0), 1, 0)</f>
        <v>0</v>
      </c>
      <c r="K115" s="604">
        <f>IF(OR($BZ115&gt;0, $CB115&gt;0), 1, 0)</f>
        <v>0</v>
      </c>
      <c r="L115" s="604">
        <f>IF(OR($CC115&gt;0, $CE115&gt;0), 1, 0)</f>
        <v>0</v>
      </c>
      <c r="M115" s="604">
        <f>IF(OR($CF115&gt;0, $CH115&gt;0), 1, 0)</f>
        <v>0</v>
      </c>
      <c r="N115" s="604">
        <f>IF(OR($CI115&gt;0, $CK115&gt;0), 1, 0)</f>
        <v>0</v>
      </c>
      <c r="O115" s="604">
        <f>IF(OR($CL115&gt;0, $CN115&gt;0), 1, 0)</f>
        <v>0</v>
      </c>
      <c r="P115" s="604">
        <f>IF(OR($CO115&gt;0, $CQ115&gt;0), 1, 0)</f>
        <v>0</v>
      </c>
      <c r="Q115" s="604">
        <f>IF(OR($CR115&gt;0, $CT115&gt;0), 1, 0)</f>
        <v>0</v>
      </c>
      <c r="R115" s="604">
        <f>IF(OR($CU115&gt;0, $CW115&gt;0), 1, 0)</f>
        <v>0</v>
      </c>
      <c r="S115" s="604">
        <f>IF(OR($CX115&gt;0, $CZ115&gt;0), 1, 0)</f>
        <v>0</v>
      </c>
      <c r="T115" s="604">
        <f>IF(OR($DA115&gt;0, $DC115&gt;0), 1, 0)</f>
        <v>0</v>
      </c>
      <c r="U115" s="603">
        <f>IF(OR($AI115&gt;0,$AM115&gt;0,$AS115&gt;0), 1, 0)</f>
        <v>0</v>
      </c>
      <c r="V115" s="602">
        <f>[1]BDD!A105</f>
        <v>3177</v>
      </c>
      <c r="W115" s="601" t="str">
        <f>[1]BDD!B105</f>
        <v>Figue cou dame semi-sèche (nouvelle récolte 2020)</v>
      </c>
      <c r="X115" s="600" t="str">
        <f>IF([1]BDD!F105=0, "", [1]BDD!F105)</f>
        <v>❤️</v>
      </c>
      <c r="Y115" s="542">
        <f>ROUND([1]BDD!G105+FDP_CMD_KG, 2)</f>
        <v>9.06</v>
      </c>
      <c r="Z115" s="542">
        <f>ROUND([1]BDD!G105+FDP_FACT_KG, 2)</f>
        <v>9.06</v>
      </c>
      <c r="AA115" s="543" t="str">
        <f>[1]BDD!H105</f>
        <v>kg</v>
      </c>
      <c r="AB115" s="544">
        <f>IF(NOT(ISBLANK([1]BDD!I105)), ROUND(SUM(([1]BDD!G105*reduc1),FDP_CMD_KG), 2), "")</f>
        <v>8.24</v>
      </c>
      <c r="AC115" s="544" t="str">
        <f>IF(NOT(ISBLANK([1]BDD!J105)), ROUND(SUM(([1]BDD!G105*reduc2),FDP_CMD_KG), 2), "")</f>
        <v/>
      </c>
      <c r="AD115" s="544" t="str">
        <f>IF(NOT(ISBLANK([1]BDD!K105)), ROUND(SUM(([1]BDD!G105*reduc3),FDP_CMD_KG), 2), "")</f>
        <v/>
      </c>
      <c r="AE115" s="544">
        <f>IF(NOT(ISBLANK([1]BDD!I105)), ROUND(SUM(([1]BDD!G105*reduc1),FDP_FACT_KG), 2), "")</f>
        <v>8.24</v>
      </c>
      <c r="AF115" s="544" t="str">
        <f>IF(NOT(ISBLANK([1]BDD!J105)), ROUND(SUM(([1]BDD!G105*reduc2),FDP_FACT_KG), 2), "")</f>
        <v/>
      </c>
      <c r="AG115" s="544" t="str">
        <f>IF(NOT(ISBLANK([1]BDD!K105)), ROUND(SUM(([1]BDD!G105*reduc3),FDP_FACT_KG), 2), "")</f>
        <v/>
      </c>
      <c r="AH115" s="599" t="str">
        <f>[1]BDD!C105</f>
        <v>Ávila</v>
      </c>
      <c r="AI115" s="598">
        <f>SUM(AV115,AY115,BB115,BE115,BH115,BK115,BN115,BQ115,BT115,BW115,BZ115,CC115,CF115,CI115,CL115,CO115,CR115,CU115,CX115,DA115)</f>
        <v>0</v>
      </c>
      <c r="AJ115" s="545">
        <f>_xlfn.IFS($AD115&lt;&gt;"", $AD115,    $AC115&lt;&gt;"", $AC115,    $AB115&lt;&gt;"", $AB115,    TRUE, $Y115)</f>
        <v>8.24</v>
      </c>
      <c r="AK115" s="592">
        <f>$AI115*$AJ115</f>
        <v>0</v>
      </c>
      <c r="AL115" s="594"/>
      <c r="AM115" s="597"/>
      <c r="AN115" s="545">
        <f>_xlfn.IFS(AND(AM115&gt;=60,$AG115&lt;&gt;""), $AG115,    AND(AM115&gt;=30,$AF115&lt;&gt;""), $AF115,    AND(AM115&gt;=10,$AE115&lt;&gt;""), $AE115,    TRUE, $Z115)</f>
        <v>9.06</v>
      </c>
      <c r="AO115" s="596">
        <f>AM115*AN115</f>
        <v>0</v>
      </c>
      <c r="AP115" s="595"/>
      <c r="AQ115" s="595"/>
      <c r="AR115" s="594"/>
      <c r="AS115" s="593">
        <f>SUM(AW115,AZ115,BC115,BF115,BI115,BL115,BO115,BR115,BU115,BX115,CA115,CD115,CG115,CJ115,CM115,CP115,CS115,CV115,CY115,DB115)</f>
        <v>0</v>
      </c>
      <c r="AT115" s="545">
        <f>_xlfn.IFS(AND(AS115&gt;=60,$AG115&lt;&gt;""), $AG115,    AND(AS115&gt;=30,$AF115&lt;&gt;""), $AF115,    AND(AS115&gt;=10,$AE115&lt;&gt;""), $AE115,    TRUE, $Z115)</f>
        <v>9.06</v>
      </c>
      <c r="AU115" s="592">
        <f>$AS115*$AT115</f>
        <v>0</v>
      </c>
      <c r="AV115" s="591">
        <f>[1]COMMANDE!O113</f>
        <v>0</v>
      </c>
      <c r="AW115" s="586" t="str">
        <f>_xlfn.IFS(AND($AI115=$AM115,$AI115&gt;0,$AM115&gt;0,AV115&gt;0), AV115,     AND(NOT($AI115=$AM115),$AI115&gt;0,$AM115&gt;0,AV115&gt;0), ($AM115*AV115)/$AI115,     AND($AI115=0,$AM115&gt;0,$AQ115&gt;0), IF(INDEX(AV$12:AV$263,MATCH($AQ115,$AP$12:$AP$263,0))&gt;0,($AM115*INDEX(AV$12:AV$263,MATCH($AQ115,$AP$12:$AP$263,0)))/INDEX($AI$12:$AI$263,MATCH($AQ115,$AP$12:$AP$263,0)), "-"),     TRUE, "0")</f>
        <v>0</v>
      </c>
      <c r="AX115" s="588">
        <f>IF(AW$9&gt;0, IF(OR(AW115="",AW115="-"), 0, AW115*$AT115), AV115*$AJ115)</f>
        <v>0</v>
      </c>
      <c r="AY115" s="587">
        <f>[1]COMMANDE!Q113</f>
        <v>0</v>
      </c>
      <c r="AZ115" s="586" t="str">
        <f>_xlfn.IFS(AND($AI115=$AM115,$AI115&gt;0,$AM115&gt;0,AY115&gt;0), AY115,     AND(NOT($AI115=$AM115),$AI115&gt;0,$AM115&gt;0,AY115&gt;0), ($AM115*AY115)/$AI115,     AND($AI115=0,$AM115&gt;0,$AQ115&gt;0), IF(INDEX(AY$12:AY$263,MATCH($AQ115,$AP$12:$AP$263,0))&gt;0,($AM115*INDEX(AY$12:AY$263,MATCH($AQ115,$AP$12:$AP$263,0)))/INDEX($AI$12:$AI$263,MATCH($AQ115,$AP$12:$AP$263,0)), "-"),     TRUE, "0")</f>
        <v>0</v>
      </c>
      <c r="BA115" s="607">
        <f>IF(AZ$9&gt;0, IF(OR(AZ115="",AZ115="-"), 0, AZ115*$AT115), AY115*$AJ115)</f>
        <v>0</v>
      </c>
      <c r="BB115" s="589">
        <f>[1]COMMANDE!S113</f>
        <v>0</v>
      </c>
      <c r="BC115" s="586" t="str">
        <f>_xlfn.IFS(AND($AI115=$AM115,$AI115&gt;0,$AM115&gt;0,BB115&gt;0), BB115,     AND(NOT($AI115=$AM115),$AI115&gt;0,$AM115&gt;0,BB115&gt;0), ($AM115*BB115)/$AI115,     AND($AI115=0,$AM115&gt;0,$AQ115&gt;0), IF(INDEX(BB$12:BB$263,MATCH($AQ115,$AP$12:$AP$263,0))&gt;0,($AM115*INDEX(BB$12:BB$263,MATCH($AQ115,$AP$12:$AP$263,0)))/INDEX($AI$12:$AI$263,MATCH($AQ115,$AP$12:$AP$263,0)), "-"),     TRUE, "0")</f>
        <v>0</v>
      </c>
      <c r="BD115" s="588">
        <f>IF(BC$9&gt;0, IF(OR(BC115="",BC115="-"), 0, BC115*$AT115), BB115*$AJ115)</f>
        <v>0</v>
      </c>
      <c r="BE115" s="587">
        <f>[1]COMMANDE!U113</f>
        <v>0</v>
      </c>
      <c r="BF115" s="586" t="str">
        <f>_xlfn.IFS(AND($AI115=$AM115,$AI115&gt;0,$AM115&gt;0,BE115&gt;0), BE115,     AND(NOT($AI115=$AM115),$AI115&gt;0,$AM115&gt;0,BE115&gt;0), ($AM115*BE115)/$AI115,     AND($AI115=0,$AM115&gt;0,$AQ115&gt;0), IF(INDEX(BE$12:BE$263,MATCH($AQ115,$AP$12:$AP$263,0))&gt;0,($AM115*INDEX(BE$12:BE$263,MATCH($AQ115,$AP$12:$AP$263,0)))/INDEX($AI$12:$AI$263,MATCH($AQ115,$AP$12:$AP$263,0)), "-"),     TRUE, "0")</f>
        <v>0</v>
      </c>
      <c r="BG115" s="607">
        <f>IF(BF$9&gt;0, IF(OR(BF115="",BF115="-"), 0, BF115*$AT115), BE115*$AJ115)</f>
        <v>0</v>
      </c>
      <c r="BH115" s="589">
        <f>[1]COMMANDE!W113</f>
        <v>0</v>
      </c>
      <c r="BI115" s="586" t="str">
        <f>_xlfn.IFS(AND($AI115=$AM115,$AI115&gt;0,$AM115&gt;0,BH115&gt;0), BH115,     AND(NOT($AI115=$AM115),$AI115&gt;0,$AM115&gt;0,BH115&gt;0), ($AM115*BH115)/$AI115,     AND($AI115=0,$AM115&gt;0,$AQ115&gt;0), IF(INDEX(BH$12:BH$263,MATCH($AQ115,$AP$12:$AP$263,0))&gt;0,($AM115*INDEX(BH$12:BH$263,MATCH($AQ115,$AP$12:$AP$263,0)))/INDEX($AI$12:$AI$263,MATCH($AQ115,$AP$12:$AP$263,0)), "-"),     TRUE, "0")</f>
        <v>0</v>
      </c>
      <c r="BJ115" s="588">
        <f>IF(BI$9&gt;0, IF(OR(BI115="",BI115="-"), 0, BI115*$AT115), BH115*$AJ115)</f>
        <v>0</v>
      </c>
      <c r="BK115" s="587">
        <f>[1]COMMANDE!Y113</f>
        <v>0</v>
      </c>
      <c r="BL115" s="586" t="str">
        <f>_xlfn.IFS(AND($AI115=$AM115,$AI115&gt;0,$AM115&gt;0,BK115&gt;0), BK115,     AND(NOT($AI115=$AM115),$AI115&gt;0,$AM115&gt;0,BK115&gt;0), ($AM115*BK115)/$AI115,     AND($AI115=0,$AM115&gt;0,$AQ115&gt;0), IF(INDEX(BK$12:BK$263,MATCH($AQ115,$AP$12:$AP$263,0))&gt;0,($AM115*INDEX(BK$12:BK$263,MATCH($AQ115,$AP$12:$AP$263,0)))/INDEX($AI$12:$AI$263,MATCH($AQ115,$AP$12:$AP$263,0)), "-"),     TRUE, "0")</f>
        <v>0</v>
      </c>
      <c r="BM115" s="607">
        <f>IF(BL$9&gt;0, IF(OR(BL115="",BL115="-"), 0, BL115*$AT115), BK115*$AJ115)</f>
        <v>0</v>
      </c>
      <c r="BN115" s="589">
        <f>[1]COMMANDE!AA113</f>
        <v>0</v>
      </c>
      <c r="BO115" s="586" t="str">
        <f>_xlfn.IFS(AND($AI115=$AM115,$AI115&gt;0,$AM115&gt;0,BN115&gt;0), BN115,     AND(NOT($AI115=$AM115),$AI115&gt;0,$AM115&gt;0,BN115&gt;0), ($AM115*BN115)/$AI115,     AND($AI115=0,$AM115&gt;0,$AQ115&gt;0), IF(INDEX(BN$12:BN$263,MATCH($AQ115,$AP$12:$AP$263,0))&gt;0,($AM115*INDEX(BN$12:BN$263,MATCH($AQ115,$AP$12:$AP$263,0)))/INDEX($AI$12:$AI$263,MATCH($AQ115,$AP$12:$AP$263,0)), "-"),     TRUE, "0")</f>
        <v>0</v>
      </c>
      <c r="BP115" s="588">
        <f>IF(BO$9&gt;0, IF(OR(BO115="",BO115="-"), 0, BO115*$AT115), BN115*$AJ115)</f>
        <v>0</v>
      </c>
      <c r="BQ115" s="587">
        <f>[1]COMMANDE!AC113</f>
        <v>0</v>
      </c>
      <c r="BR115" s="586" t="str">
        <f>_xlfn.IFS(AND($AI115=$AM115,$AI115&gt;0,$AM115&gt;0,BQ115&gt;0), BQ115,     AND(NOT($AI115=$AM115),$AI115&gt;0,$AM115&gt;0,BQ115&gt;0), ($AM115*BQ115)/$AI115,     AND($AI115=0,$AM115&gt;0,$AQ115&gt;0), IF(INDEX(BQ$12:BQ$263,MATCH($AQ115,$AP$12:$AP$263,0))&gt;0,($AM115*INDEX(BQ$12:BQ$263,MATCH($AQ115,$AP$12:$AP$263,0)))/INDEX($AI$12:$AI$263,MATCH($AQ115,$AP$12:$AP$263,0)), "-"),     TRUE, "0")</f>
        <v>0</v>
      </c>
      <c r="BS115" s="607">
        <f>IF(BR$9&gt;0, IF(OR(BR115="",BR115="-"), 0, BR115*$AT115), BQ115*$AJ115)</f>
        <v>0</v>
      </c>
      <c r="BT115" s="589">
        <f>[1]COMMANDE!AE113</f>
        <v>0</v>
      </c>
      <c r="BU115" s="586" t="str">
        <f>_xlfn.IFS(AND($AI115=$AM115,$AI115&gt;0,$AM115&gt;0,BT115&gt;0), BT115,     AND(NOT($AI115=$AM115),$AI115&gt;0,$AM115&gt;0,BT115&gt;0), ($AM115*BT115)/$AI115,     AND($AI115=0,$AM115&gt;0,$AQ115&gt;0), IF(INDEX(BT$12:BT$263,MATCH($AQ115,$AP$12:$AP$263,0))&gt;0,($AM115*INDEX(BT$12:BT$263,MATCH($AQ115,$AP$12:$AP$263,0)))/INDEX($AI$12:$AI$263,MATCH($AQ115,$AP$12:$AP$263,0)), "-"),     TRUE, "0")</f>
        <v>0</v>
      </c>
      <c r="BV115" s="588">
        <f>IF(BU$9&gt;0, IF(OR(BU115="",BU115="-"), 0, BU115*$AT115), BT115*$AJ115)</f>
        <v>0</v>
      </c>
      <c r="BW115" s="587">
        <f>[1]COMMANDE!AG113</f>
        <v>0</v>
      </c>
      <c r="BX115" s="586" t="str">
        <f>_xlfn.IFS(AND($AI115=$AM115,$AI115&gt;0,$AM115&gt;0,BW115&gt;0), BW115,     AND(NOT($AI115=$AM115),$AI115&gt;0,$AM115&gt;0,BW115&gt;0), ($AM115*BW115)/$AI115,     AND($AI115=0,$AM115&gt;0,$AQ115&gt;0), IF(INDEX(BW$12:BW$263,MATCH($AQ115,$AP$12:$AP$263,0))&gt;0,($AM115*INDEX(BW$12:BW$263,MATCH($AQ115,$AP$12:$AP$263,0)))/INDEX($AI$12:$AI$263,MATCH($AQ115,$AP$12:$AP$263,0)), "-"),     TRUE, "0")</f>
        <v>0</v>
      </c>
      <c r="BY115" s="607">
        <f>IF(BX$9&gt;0, IF(OR(BX115="",BX115="-"), 0, BX115*$AT115), BW115*$AJ115)</f>
        <v>0</v>
      </c>
      <c r="BZ115" s="589">
        <f>[1]COMMANDE!AI113</f>
        <v>0</v>
      </c>
      <c r="CA115" s="586" t="str">
        <f>_xlfn.IFS(AND($AI115=$AM115,$AI115&gt;0,$AM115&gt;0,BZ115&gt;0), BZ115,     AND(NOT($AI115=$AM115),$AI115&gt;0,$AM115&gt;0,BZ115&gt;0), ($AM115*BZ115)/$AI115,     AND($AI115=0,$AM115&gt;0,$AQ115&gt;0), IF(INDEX(BZ$12:BZ$263,MATCH($AQ115,$AP$12:$AP$263,0))&gt;0,($AM115*INDEX(BZ$12:BZ$263,MATCH($AQ115,$AP$12:$AP$263,0)))/INDEX($AI$12:$AI$263,MATCH($AQ115,$AP$12:$AP$263,0)), "-"),     TRUE, "0")</f>
        <v>0</v>
      </c>
      <c r="CB115" s="588">
        <f>IF(CA$9&gt;0, IF(OR(CA115="",CA115="-"), 0, CA115*$AT115), BZ115*$AJ115)</f>
        <v>0</v>
      </c>
      <c r="CC115" s="587">
        <f>[1]COMMANDE!AK113</f>
        <v>0</v>
      </c>
      <c r="CD115" s="586" t="str">
        <f>_xlfn.IFS(AND($AI115=$AM115,$AI115&gt;0,$AM115&gt;0,CC115&gt;0), CC115,     AND(NOT($AI115=$AM115),$AI115&gt;0,$AM115&gt;0,CC115&gt;0), ($AM115*CC115)/$AI115,     AND($AI115=0,$AM115&gt;0,$AQ115&gt;0), IF(INDEX(CC$12:CC$263,MATCH($AQ115,$AP$12:$AP$263,0))&gt;0,($AM115*INDEX(CC$12:CC$263,MATCH($AQ115,$AP$12:$AP$263,0)))/INDEX($AI$12:$AI$263,MATCH($AQ115,$AP$12:$AP$263,0)), "-"),     TRUE, "0")</f>
        <v>0</v>
      </c>
      <c r="CE115" s="607">
        <f>IF(CD$9&gt;0, IF(OR(CD115="",CD115="-"), 0, CD115*$AT115), CC115*$AJ115)</f>
        <v>0</v>
      </c>
      <c r="CF115" s="589">
        <f>[1]COMMANDE!AM113</f>
        <v>0</v>
      </c>
      <c r="CG115" s="586" t="str">
        <f>_xlfn.IFS(AND($AI115=$AM115,$AI115&gt;0,$AM115&gt;0,CF115&gt;0), CF115,     AND(NOT($AI115=$AM115),$AI115&gt;0,$AM115&gt;0,CF115&gt;0), ($AM115*CF115)/$AI115,     AND($AI115=0,$AM115&gt;0,$AQ115&gt;0), IF(INDEX(CF$12:CF$263,MATCH($AQ115,$AP$12:$AP$263,0))&gt;0,($AM115*INDEX(CF$12:CF$263,MATCH($AQ115,$AP$12:$AP$263,0)))/INDEX($AI$12:$AI$263,MATCH($AQ115,$AP$12:$AP$263,0)), "-"),     TRUE, "0")</f>
        <v>0</v>
      </c>
      <c r="CH115" s="588">
        <f>IF(CG$9&gt;0, IF(OR(CG115="",CG115="-"), 0, CG115*$AT115), CF115*$AJ115)</f>
        <v>0</v>
      </c>
      <c r="CI115" s="587">
        <f>[1]COMMANDE!AO113</f>
        <v>0</v>
      </c>
      <c r="CJ115" s="586" t="str">
        <f>_xlfn.IFS(AND($AI115=$AM115,$AI115&gt;0,$AM115&gt;0,CI115&gt;0), CI115,     AND(NOT($AI115=$AM115),$AI115&gt;0,$AM115&gt;0,CI115&gt;0), ($AM115*CI115)/$AI115,     AND($AI115=0,$AM115&gt;0,$AQ115&gt;0), IF(INDEX(CI$12:CI$263,MATCH($AQ115,$AP$12:$AP$263,0))&gt;0,($AM115*INDEX(CI$12:CI$263,MATCH($AQ115,$AP$12:$AP$263,0)))/INDEX($AI$12:$AI$263,MATCH($AQ115,$AP$12:$AP$263,0)), "-"),     TRUE, "0")</f>
        <v>0</v>
      </c>
      <c r="CK115" s="607">
        <f>IF(CJ$9&gt;0, IF(OR(CJ115="",CJ115="-"), 0, CJ115*$AT115), CI115*$AJ115)</f>
        <v>0</v>
      </c>
      <c r="CL115" s="589">
        <f>[1]COMMANDE!AQ113</f>
        <v>0</v>
      </c>
      <c r="CM115" s="586" t="str">
        <f>_xlfn.IFS(AND($AI115=$AM115,$AI115&gt;0,$AM115&gt;0,CL115&gt;0), CL115,     AND(NOT($AI115=$AM115),$AI115&gt;0,$AM115&gt;0,CL115&gt;0), ($AM115*CL115)/$AI115,     AND($AI115=0,$AM115&gt;0,$AQ115&gt;0), IF(INDEX(CL$12:CL$263,MATCH($AQ115,$AP$12:$AP$263,0))&gt;0,($AM115*INDEX(CL$12:CL$263,MATCH($AQ115,$AP$12:$AP$263,0)))/INDEX($AI$12:$AI$263,MATCH($AQ115,$AP$12:$AP$263,0)), "-"),     TRUE, "0")</f>
        <v>0</v>
      </c>
      <c r="CN115" s="588">
        <f>IF(CM$9&gt;0, IF(OR(CM115="",CM115="-"), 0, CM115*$AT115), CL115*$AJ115)</f>
        <v>0</v>
      </c>
      <c r="CO115" s="587">
        <f>[1]COMMANDE!AS113</f>
        <v>0</v>
      </c>
      <c r="CP115" s="586" t="str">
        <f>_xlfn.IFS(AND($AI115=$AM115,$AI115&gt;0,$AM115&gt;0,CO115&gt;0), CO115,     AND(NOT($AI115=$AM115),$AI115&gt;0,$AM115&gt;0,CO115&gt;0), ($AM115*CO115)/$AI115,     AND($AI115=0,$AM115&gt;0,$AQ115&gt;0), IF(INDEX(CO$12:CO$263,MATCH($AQ115,$AP$12:$AP$263,0))&gt;0,($AM115*INDEX(CO$12:CO$263,MATCH($AQ115,$AP$12:$AP$263,0)))/INDEX($AI$12:$AI$263,MATCH($AQ115,$AP$12:$AP$263,0)), "-"),     TRUE, "0")</f>
        <v>0</v>
      </c>
      <c r="CQ115" s="607">
        <f>IF(CP$9&gt;0, IF(OR(CP115="",CP115="-"), 0, CP115*$AT115), CO115*$AJ115)</f>
        <v>0</v>
      </c>
      <c r="CR115" s="589">
        <f>[1]COMMANDE!AU113</f>
        <v>0</v>
      </c>
      <c r="CS115" s="586" t="str">
        <f>_xlfn.IFS(AND($AI115=$AM115,$AI115&gt;0,$AM115&gt;0,CR115&gt;0), CR115,     AND(NOT($AI115=$AM115),$AI115&gt;0,$AM115&gt;0,CR115&gt;0), ($AM115*CR115)/$AI115,     AND($AI115=0,$AM115&gt;0,$AQ115&gt;0), IF(INDEX(CR$12:CR$263,MATCH($AQ115,$AP$12:$AP$263,0))&gt;0,($AM115*INDEX(CR$12:CR$263,MATCH($AQ115,$AP$12:$AP$263,0)))/INDEX($AI$12:$AI$263,MATCH($AQ115,$AP$12:$AP$263,0)), "-"),     TRUE, "0")</f>
        <v>0</v>
      </c>
      <c r="CT115" s="588">
        <f>IF(CS$9&gt;0, IF(OR(CS115="",CS115="-"), 0, CS115*$AT115), CR115*$AJ115)</f>
        <v>0</v>
      </c>
      <c r="CU115" s="587">
        <f>[1]COMMANDE!AW113</f>
        <v>0</v>
      </c>
      <c r="CV115" s="586" t="str">
        <f>_xlfn.IFS(AND($AI115=$AM115,$AI115&gt;0,$AM115&gt;0,CU115&gt;0), CU115,     AND(NOT($AI115=$AM115),$AI115&gt;0,$AM115&gt;0,CU115&gt;0), ($AM115*CU115)/$AI115,     AND($AI115=0,$AM115&gt;0,$AQ115&gt;0), IF(INDEX(CU$12:CU$263,MATCH($AQ115,$AP$12:$AP$263,0))&gt;0,($AM115*INDEX(CU$12:CU$263,MATCH($AQ115,$AP$12:$AP$263,0)))/INDEX($AI$12:$AI$263,MATCH($AQ115,$AP$12:$AP$263,0)), "-"),     TRUE, "0")</f>
        <v>0</v>
      </c>
      <c r="CW115" s="607">
        <f>IF(CV$9&gt;0, IF(OR(CV115="",CV115="-"), 0, CV115*$AT115), CU115*$AJ115)</f>
        <v>0</v>
      </c>
      <c r="CX115" s="589">
        <f>[1]COMMANDE!AY113</f>
        <v>0</v>
      </c>
      <c r="CY115" s="586" t="str">
        <f>_xlfn.IFS(AND($AI115=$AM115,$AI115&gt;0,$AM115&gt;0,CX115&gt;0), CX115,     AND(NOT($AI115=$AM115),$AI115&gt;0,$AM115&gt;0,CX115&gt;0), ($AM115*CX115)/$AI115,     AND($AI115=0,$AM115&gt;0,$AQ115&gt;0), IF(INDEX(CX$12:CX$263,MATCH($AQ115,$AP$12:$AP$263,0))&gt;0,($AM115*INDEX(CX$12:CX$263,MATCH($AQ115,$AP$12:$AP$263,0)))/INDEX($AI$12:$AI$263,MATCH($AQ115,$AP$12:$AP$263,0)), "-"),     TRUE, "0")</f>
        <v>0</v>
      </c>
      <c r="CZ115" s="588">
        <f>IF(CY$9&gt;0, IF(OR(CY115="",CY115="-"), 0, CY115*$AT115), CX115*$AJ115)</f>
        <v>0</v>
      </c>
      <c r="DA115" s="587">
        <f>[1]COMMANDE!BA113</f>
        <v>0</v>
      </c>
      <c r="DB115" s="586" t="str">
        <f>_xlfn.IFS(AND($AI115=$AM115,$AI115&gt;0,$AM115&gt;0,DA115&gt;0), DA115,     AND(NOT($AI115=$AM115),$AI115&gt;0,$AM115&gt;0,DA115&gt;0), ($AM115*DA115)/$AI115,     AND($AI115=0,$AM115&gt;0,$AQ115&gt;0), IF(INDEX(DA$12:DA$263,MATCH($AQ115,$AP$12:$AP$263,0))&gt;0,($AM115*INDEX(DA$12:DA$263,MATCH($AQ115,$AP$12:$AP$263,0)))/INDEX($AI$12:$AI$263,MATCH($AQ115,$AP$12:$AP$263,0)), "-"),     TRUE, "0")</f>
        <v>0</v>
      </c>
      <c r="DC115" s="606">
        <f>IF(DB$9&gt;0, IF(OR(DB115="",DB115="-"), 0, DB115*$AT115), DA115*$AJ115)</f>
        <v>0</v>
      </c>
      <c r="DD115" s="584"/>
      <c r="DE115" s="583"/>
    </row>
    <row r="116" spans="1:128" ht="39.950000000000003" hidden="1" customHeight="1">
      <c r="A116" s="604">
        <f>IF(OR($AV116&gt;0, $AX116&gt;0), 1, 0)</f>
        <v>0</v>
      </c>
      <c r="B116" s="604">
        <f>IF(OR($AY116&gt;0, $BA116&gt;0), 1, 0)</f>
        <v>0</v>
      </c>
      <c r="C116" s="604">
        <f>IF(OR($BB116&gt;0, $BD116&gt;0), 1, 0)</f>
        <v>0</v>
      </c>
      <c r="D116" s="604">
        <f>IF(OR($BE116&gt;0, $BG116&gt;0), 1, 0)</f>
        <v>0</v>
      </c>
      <c r="E116" s="604">
        <f>IF(OR($BH116&gt;0, $BJ116&gt;0), 1, 0)</f>
        <v>0</v>
      </c>
      <c r="F116" s="604">
        <f>IF(OR($BK116&gt;0, $BM116&gt;0), 1, 0)</f>
        <v>0</v>
      </c>
      <c r="G116" s="604">
        <f>IF(OR($BN116&gt;0, $BP116&gt;0), 1, 0)</f>
        <v>0</v>
      </c>
      <c r="H116" s="604">
        <f>IF(OR($BQ116&gt;0, $BS116&gt;0), 1, 0)</f>
        <v>0</v>
      </c>
      <c r="I116" s="604">
        <f>IF(OR($BT116&gt;0, $BV116&gt;0), 1, 0)</f>
        <v>0</v>
      </c>
      <c r="J116" s="604">
        <f>IF(OR($BW116&gt;0, $BY116&gt;0), 1, 0)</f>
        <v>0</v>
      </c>
      <c r="K116" s="604">
        <f>IF(OR($BZ116&gt;0, $CB116&gt;0), 1, 0)</f>
        <v>0</v>
      </c>
      <c r="L116" s="604">
        <f>IF(OR($CC116&gt;0, $CE116&gt;0), 1, 0)</f>
        <v>0</v>
      </c>
      <c r="M116" s="604">
        <f>IF(OR($CF116&gt;0, $CH116&gt;0), 1, 0)</f>
        <v>0</v>
      </c>
      <c r="N116" s="604">
        <f>IF(OR($CI116&gt;0, $CK116&gt;0), 1, 0)</f>
        <v>0</v>
      </c>
      <c r="O116" s="604">
        <f>IF(OR($CL116&gt;0, $CN116&gt;0), 1, 0)</f>
        <v>0</v>
      </c>
      <c r="P116" s="604">
        <f>IF(OR($CO116&gt;0, $CQ116&gt;0), 1, 0)</f>
        <v>0</v>
      </c>
      <c r="Q116" s="604">
        <f>IF(OR($CR116&gt;0, $CT116&gt;0), 1, 0)</f>
        <v>0</v>
      </c>
      <c r="R116" s="604">
        <f>IF(OR($CU116&gt;0, $CW116&gt;0), 1, 0)</f>
        <v>0</v>
      </c>
      <c r="S116" s="604">
        <f>IF(OR($CX116&gt;0, $CZ116&gt;0), 1, 0)</f>
        <v>0</v>
      </c>
      <c r="T116" s="604">
        <f>IF(OR($DA116&gt;0, $DC116&gt;0), 1, 0)</f>
        <v>0</v>
      </c>
      <c r="U116" s="603">
        <f>IF(OR($AI116&gt;0,$AM116&gt;0,$AS116&gt;0), 1, 0)</f>
        <v>0</v>
      </c>
      <c r="V116" s="602">
        <f>[1]BDD!A106</f>
        <v>3138</v>
      </c>
      <c r="W116" s="601" t="str">
        <f>[1]BDD!B106</f>
        <v>Figue de Barbarie</v>
      </c>
      <c r="X116" s="600" t="str">
        <f>IF([1]BDD!F106=0, "", [1]BDD!F106)</f>
        <v>❤️</v>
      </c>
      <c r="Y116" s="542">
        <f>ROUND([1]BDD!G106+FDP_CMD_KG, 2)</f>
        <v>7.69</v>
      </c>
      <c r="Z116" s="542">
        <f>ROUND([1]BDD!G106+FDP_FACT_KG, 2)</f>
        <v>7.69</v>
      </c>
      <c r="AA116" s="543" t="str">
        <f>[1]BDD!H106</f>
        <v>kg</v>
      </c>
      <c r="AB116" s="544">
        <f>IF(NOT(ISBLANK([1]BDD!I106)), ROUND(SUM(([1]BDD!G106*reduc1),FDP_CMD_KG), 2), "")</f>
        <v>7.01</v>
      </c>
      <c r="AC116" s="544" t="str">
        <f>IF(NOT(ISBLANK([1]BDD!J106)), ROUND(SUM(([1]BDD!G106*reduc2),FDP_CMD_KG), 2), "")</f>
        <v/>
      </c>
      <c r="AD116" s="544" t="str">
        <f>IF(NOT(ISBLANK([1]BDD!K106)), ROUND(SUM(([1]BDD!G106*reduc3),FDP_CMD_KG), 2), "")</f>
        <v/>
      </c>
      <c r="AE116" s="544">
        <f>IF(NOT(ISBLANK([1]BDD!I106)), ROUND(SUM(([1]BDD!G106*reduc1),FDP_FACT_KG), 2), "")</f>
        <v>7</v>
      </c>
      <c r="AF116" s="544" t="str">
        <f>IF(NOT(ISBLANK([1]BDD!J106)), ROUND(SUM(([1]BDD!G106*reduc2),FDP_FACT_KG), 2), "")</f>
        <v/>
      </c>
      <c r="AG116" s="544" t="str">
        <f>IF(NOT(ISBLANK([1]BDD!K106)), ROUND(SUM(([1]BDD!G106*reduc3),FDP_FACT_KG), 2), "")</f>
        <v/>
      </c>
      <c r="AH116" s="599" t="str">
        <f>[1]BDD!C106</f>
        <v>Grenade</v>
      </c>
      <c r="AI116" s="598">
        <f>SUM(AV116,AY116,BB116,BE116,BH116,BK116,BN116,BQ116,BT116,BW116,BZ116,CC116,CF116,CI116,CL116,CO116,CR116,CU116,CX116,DA116)</f>
        <v>0</v>
      </c>
      <c r="AJ116" s="545">
        <f>_xlfn.IFS($AD116&lt;&gt;"", $AD116,    $AC116&lt;&gt;"", $AC116,    $AB116&lt;&gt;"", $AB116,    TRUE, $Y116)</f>
        <v>7.01</v>
      </c>
      <c r="AK116" s="592">
        <f>$AI116*$AJ116</f>
        <v>0</v>
      </c>
      <c r="AL116" s="594"/>
      <c r="AM116" s="597"/>
      <c r="AN116" s="545">
        <f>_xlfn.IFS(AND(AM116&gt;=60,$AG116&lt;&gt;""), $AG116,    AND(AM116&gt;=30,$AF116&lt;&gt;""), $AF116,    AND(AM116&gt;=10,$AE116&lt;&gt;""), $AE116,    TRUE, $Z116)</f>
        <v>7.69</v>
      </c>
      <c r="AO116" s="596">
        <f>AM116*AN116</f>
        <v>0</v>
      </c>
      <c r="AP116" s="595"/>
      <c r="AQ116" s="595"/>
      <c r="AR116" s="594"/>
      <c r="AS116" s="593">
        <f>SUM(AW116,AZ116,BC116,BF116,BI116,BL116,BO116,BR116,BU116,BX116,CA116,CD116,CG116,CJ116,CM116,CP116,CS116,CV116,CY116,DB116)</f>
        <v>0</v>
      </c>
      <c r="AT116" s="545">
        <f>_xlfn.IFS(AND(AS116&gt;=60,$AG116&lt;&gt;""), $AG116,    AND(AS116&gt;=30,$AF116&lt;&gt;""), $AF116,    AND(AS116&gt;=10,$AE116&lt;&gt;""), $AE116,    TRUE, $Z116)</f>
        <v>7.69</v>
      </c>
      <c r="AU116" s="592">
        <f>$AS116*$AT116</f>
        <v>0</v>
      </c>
      <c r="AV116" s="591">
        <f>[1]COMMANDE!O114</f>
        <v>0</v>
      </c>
      <c r="AW116" s="586" t="str">
        <f>_xlfn.IFS(AND($AI116=$AM116,$AI116&gt;0,$AM116&gt;0,AV116&gt;0), AV116,     AND(NOT($AI116=$AM116),$AI116&gt;0,$AM116&gt;0,AV116&gt;0), ($AM116*AV116)/$AI116,     AND($AI116=0,$AM116&gt;0,$AQ116&gt;0), IF(INDEX(AV$12:AV$263,MATCH($AQ116,$AP$12:$AP$263,0))&gt;0,($AM116*INDEX(AV$12:AV$263,MATCH($AQ116,$AP$12:$AP$263,0)))/INDEX($AI$12:$AI$263,MATCH($AQ116,$AP$12:$AP$263,0)), "-"),     TRUE, "0")</f>
        <v>0</v>
      </c>
      <c r="AX116" s="588">
        <f>IF(AW$9&gt;0, IF(OR(AW116="",AW116="-"), 0, AW116*$AT116), AV116*$AJ116)</f>
        <v>0</v>
      </c>
      <c r="AY116" s="587">
        <f>[1]COMMANDE!Q114</f>
        <v>0</v>
      </c>
      <c r="AZ116" s="586" t="str">
        <f>_xlfn.IFS(AND($AI116=$AM116,$AI116&gt;0,$AM116&gt;0,AY116&gt;0), AY116,     AND(NOT($AI116=$AM116),$AI116&gt;0,$AM116&gt;0,AY116&gt;0), ($AM116*AY116)/$AI116,     AND($AI116=0,$AM116&gt;0,$AQ116&gt;0), IF(INDEX(AY$12:AY$263,MATCH($AQ116,$AP$12:$AP$263,0))&gt;0,($AM116*INDEX(AY$12:AY$263,MATCH($AQ116,$AP$12:$AP$263,0)))/INDEX($AI$12:$AI$263,MATCH($AQ116,$AP$12:$AP$263,0)), "-"),     TRUE, "0")</f>
        <v>0</v>
      </c>
      <c r="BA116" s="607">
        <f>IF(AZ$9&gt;0, IF(OR(AZ116="",AZ116="-"), 0, AZ116*$AT116), AY116*$AJ116)</f>
        <v>0</v>
      </c>
      <c r="BB116" s="589">
        <f>[1]COMMANDE!S114</f>
        <v>0</v>
      </c>
      <c r="BC116" s="586" t="str">
        <f>_xlfn.IFS(AND($AI116=$AM116,$AI116&gt;0,$AM116&gt;0,BB116&gt;0), BB116,     AND(NOT($AI116=$AM116),$AI116&gt;0,$AM116&gt;0,BB116&gt;0), ($AM116*BB116)/$AI116,     AND($AI116=0,$AM116&gt;0,$AQ116&gt;0), IF(INDEX(BB$12:BB$263,MATCH($AQ116,$AP$12:$AP$263,0))&gt;0,($AM116*INDEX(BB$12:BB$263,MATCH($AQ116,$AP$12:$AP$263,0)))/INDEX($AI$12:$AI$263,MATCH($AQ116,$AP$12:$AP$263,0)), "-"),     TRUE, "0")</f>
        <v>0</v>
      </c>
      <c r="BD116" s="588">
        <f>IF(BC$9&gt;0, IF(OR(BC116="",BC116="-"), 0, BC116*$AT116), BB116*$AJ116)</f>
        <v>0</v>
      </c>
      <c r="BE116" s="587">
        <f>[1]COMMANDE!U114</f>
        <v>0</v>
      </c>
      <c r="BF116" s="586" t="str">
        <f>_xlfn.IFS(AND($AI116=$AM116,$AI116&gt;0,$AM116&gt;0,BE116&gt;0), BE116,     AND(NOT($AI116=$AM116),$AI116&gt;0,$AM116&gt;0,BE116&gt;0), ($AM116*BE116)/$AI116,     AND($AI116=0,$AM116&gt;0,$AQ116&gt;0), IF(INDEX(BE$12:BE$263,MATCH($AQ116,$AP$12:$AP$263,0))&gt;0,($AM116*INDEX(BE$12:BE$263,MATCH($AQ116,$AP$12:$AP$263,0)))/INDEX($AI$12:$AI$263,MATCH($AQ116,$AP$12:$AP$263,0)), "-"),     TRUE, "0")</f>
        <v>0</v>
      </c>
      <c r="BG116" s="607">
        <f>IF(BF$9&gt;0, IF(OR(BF116="",BF116="-"), 0, BF116*$AT116), BE116*$AJ116)</f>
        <v>0</v>
      </c>
      <c r="BH116" s="589">
        <f>[1]COMMANDE!W114</f>
        <v>0</v>
      </c>
      <c r="BI116" s="586" t="str">
        <f>_xlfn.IFS(AND($AI116=$AM116,$AI116&gt;0,$AM116&gt;0,BH116&gt;0), BH116,     AND(NOT($AI116=$AM116),$AI116&gt;0,$AM116&gt;0,BH116&gt;0), ($AM116*BH116)/$AI116,     AND($AI116=0,$AM116&gt;0,$AQ116&gt;0), IF(INDEX(BH$12:BH$263,MATCH($AQ116,$AP$12:$AP$263,0))&gt;0,($AM116*INDEX(BH$12:BH$263,MATCH($AQ116,$AP$12:$AP$263,0)))/INDEX($AI$12:$AI$263,MATCH($AQ116,$AP$12:$AP$263,0)), "-"),     TRUE, "0")</f>
        <v>0</v>
      </c>
      <c r="BJ116" s="588">
        <f>IF(BI$9&gt;0, IF(OR(BI116="",BI116="-"), 0, BI116*$AT116), BH116*$AJ116)</f>
        <v>0</v>
      </c>
      <c r="BK116" s="587">
        <f>[1]COMMANDE!Y114</f>
        <v>0</v>
      </c>
      <c r="BL116" s="586" t="str">
        <f>_xlfn.IFS(AND($AI116=$AM116,$AI116&gt;0,$AM116&gt;0,BK116&gt;0), BK116,     AND(NOT($AI116=$AM116),$AI116&gt;0,$AM116&gt;0,BK116&gt;0), ($AM116*BK116)/$AI116,     AND($AI116=0,$AM116&gt;0,$AQ116&gt;0), IF(INDEX(BK$12:BK$263,MATCH($AQ116,$AP$12:$AP$263,0))&gt;0,($AM116*INDEX(BK$12:BK$263,MATCH($AQ116,$AP$12:$AP$263,0)))/INDEX($AI$12:$AI$263,MATCH($AQ116,$AP$12:$AP$263,0)), "-"),     TRUE, "0")</f>
        <v>0</v>
      </c>
      <c r="BM116" s="607">
        <f>IF(BL$9&gt;0, IF(OR(BL116="",BL116="-"), 0, BL116*$AT116), BK116*$AJ116)</f>
        <v>0</v>
      </c>
      <c r="BN116" s="589">
        <f>[1]COMMANDE!AA114</f>
        <v>0</v>
      </c>
      <c r="BO116" s="586" t="str">
        <f>_xlfn.IFS(AND($AI116=$AM116,$AI116&gt;0,$AM116&gt;0,BN116&gt;0), BN116,     AND(NOT($AI116=$AM116),$AI116&gt;0,$AM116&gt;0,BN116&gt;0), ($AM116*BN116)/$AI116,     AND($AI116=0,$AM116&gt;0,$AQ116&gt;0), IF(INDEX(BN$12:BN$263,MATCH($AQ116,$AP$12:$AP$263,0))&gt;0,($AM116*INDEX(BN$12:BN$263,MATCH($AQ116,$AP$12:$AP$263,0)))/INDEX($AI$12:$AI$263,MATCH($AQ116,$AP$12:$AP$263,0)), "-"),     TRUE, "0")</f>
        <v>0</v>
      </c>
      <c r="BP116" s="588">
        <f>IF(BO$9&gt;0, IF(OR(BO116="",BO116="-"), 0, BO116*$AT116), BN116*$AJ116)</f>
        <v>0</v>
      </c>
      <c r="BQ116" s="587">
        <f>[1]COMMANDE!AC114</f>
        <v>0</v>
      </c>
      <c r="BR116" s="586" t="str">
        <f>_xlfn.IFS(AND($AI116=$AM116,$AI116&gt;0,$AM116&gt;0,BQ116&gt;0), BQ116,     AND(NOT($AI116=$AM116),$AI116&gt;0,$AM116&gt;0,BQ116&gt;0), ($AM116*BQ116)/$AI116,     AND($AI116=0,$AM116&gt;0,$AQ116&gt;0), IF(INDEX(BQ$12:BQ$263,MATCH($AQ116,$AP$12:$AP$263,0))&gt;0,($AM116*INDEX(BQ$12:BQ$263,MATCH($AQ116,$AP$12:$AP$263,0)))/INDEX($AI$12:$AI$263,MATCH($AQ116,$AP$12:$AP$263,0)), "-"),     TRUE, "0")</f>
        <v>0</v>
      </c>
      <c r="BS116" s="607">
        <f>IF(BR$9&gt;0, IF(OR(BR116="",BR116="-"), 0, BR116*$AT116), BQ116*$AJ116)</f>
        <v>0</v>
      </c>
      <c r="BT116" s="589">
        <f>[1]COMMANDE!AE114</f>
        <v>0</v>
      </c>
      <c r="BU116" s="586" t="str">
        <f>_xlfn.IFS(AND($AI116=$AM116,$AI116&gt;0,$AM116&gt;0,BT116&gt;0), BT116,     AND(NOT($AI116=$AM116),$AI116&gt;0,$AM116&gt;0,BT116&gt;0), ($AM116*BT116)/$AI116,     AND($AI116=0,$AM116&gt;0,$AQ116&gt;0), IF(INDEX(BT$12:BT$263,MATCH($AQ116,$AP$12:$AP$263,0))&gt;0,($AM116*INDEX(BT$12:BT$263,MATCH($AQ116,$AP$12:$AP$263,0)))/INDEX($AI$12:$AI$263,MATCH($AQ116,$AP$12:$AP$263,0)), "-"),     TRUE, "0")</f>
        <v>0</v>
      </c>
      <c r="BV116" s="588">
        <f>IF(BU$9&gt;0, IF(OR(BU116="",BU116="-"), 0, BU116*$AT116), BT116*$AJ116)</f>
        <v>0</v>
      </c>
      <c r="BW116" s="587">
        <f>[1]COMMANDE!AG114</f>
        <v>0</v>
      </c>
      <c r="BX116" s="586" t="str">
        <f>_xlfn.IFS(AND($AI116=$AM116,$AI116&gt;0,$AM116&gt;0,BW116&gt;0), BW116,     AND(NOT($AI116=$AM116),$AI116&gt;0,$AM116&gt;0,BW116&gt;0), ($AM116*BW116)/$AI116,     AND($AI116=0,$AM116&gt;0,$AQ116&gt;0), IF(INDEX(BW$12:BW$263,MATCH($AQ116,$AP$12:$AP$263,0))&gt;0,($AM116*INDEX(BW$12:BW$263,MATCH($AQ116,$AP$12:$AP$263,0)))/INDEX($AI$12:$AI$263,MATCH($AQ116,$AP$12:$AP$263,0)), "-"),     TRUE, "0")</f>
        <v>0</v>
      </c>
      <c r="BY116" s="607">
        <f>IF(BX$9&gt;0, IF(OR(BX116="",BX116="-"), 0, BX116*$AT116), BW116*$AJ116)</f>
        <v>0</v>
      </c>
      <c r="BZ116" s="589">
        <f>[1]COMMANDE!AI114</f>
        <v>0</v>
      </c>
      <c r="CA116" s="586" t="str">
        <f>_xlfn.IFS(AND($AI116=$AM116,$AI116&gt;0,$AM116&gt;0,BZ116&gt;0), BZ116,     AND(NOT($AI116=$AM116),$AI116&gt;0,$AM116&gt;0,BZ116&gt;0), ($AM116*BZ116)/$AI116,     AND($AI116=0,$AM116&gt;0,$AQ116&gt;0), IF(INDEX(BZ$12:BZ$263,MATCH($AQ116,$AP$12:$AP$263,0))&gt;0,($AM116*INDEX(BZ$12:BZ$263,MATCH($AQ116,$AP$12:$AP$263,0)))/INDEX($AI$12:$AI$263,MATCH($AQ116,$AP$12:$AP$263,0)), "-"),     TRUE, "0")</f>
        <v>0</v>
      </c>
      <c r="CB116" s="588">
        <f>IF(CA$9&gt;0, IF(OR(CA116="",CA116="-"), 0, CA116*$AT116), BZ116*$AJ116)</f>
        <v>0</v>
      </c>
      <c r="CC116" s="587">
        <f>[1]COMMANDE!AK114</f>
        <v>0</v>
      </c>
      <c r="CD116" s="586" t="str">
        <f>_xlfn.IFS(AND($AI116=$AM116,$AI116&gt;0,$AM116&gt;0,CC116&gt;0), CC116,     AND(NOT($AI116=$AM116),$AI116&gt;0,$AM116&gt;0,CC116&gt;0), ($AM116*CC116)/$AI116,     AND($AI116=0,$AM116&gt;0,$AQ116&gt;0), IF(INDEX(CC$12:CC$263,MATCH($AQ116,$AP$12:$AP$263,0))&gt;0,($AM116*INDEX(CC$12:CC$263,MATCH($AQ116,$AP$12:$AP$263,0)))/INDEX($AI$12:$AI$263,MATCH($AQ116,$AP$12:$AP$263,0)), "-"),     TRUE, "0")</f>
        <v>0</v>
      </c>
      <c r="CE116" s="607">
        <f>IF(CD$9&gt;0, IF(OR(CD116="",CD116="-"), 0, CD116*$AT116), CC116*$AJ116)</f>
        <v>0</v>
      </c>
      <c r="CF116" s="589">
        <f>[1]COMMANDE!AM114</f>
        <v>0</v>
      </c>
      <c r="CG116" s="586" t="str">
        <f>_xlfn.IFS(AND($AI116=$AM116,$AI116&gt;0,$AM116&gt;0,CF116&gt;0), CF116,     AND(NOT($AI116=$AM116),$AI116&gt;0,$AM116&gt;0,CF116&gt;0), ($AM116*CF116)/$AI116,     AND($AI116=0,$AM116&gt;0,$AQ116&gt;0), IF(INDEX(CF$12:CF$263,MATCH($AQ116,$AP$12:$AP$263,0))&gt;0,($AM116*INDEX(CF$12:CF$263,MATCH($AQ116,$AP$12:$AP$263,0)))/INDEX($AI$12:$AI$263,MATCH($AQ116,$AP$12:$AP$263,0)), "-"),     TRUE, "0")</f>
        <v>0</v>
      </c>
      <c r="CH116" s="588">
        <f>IF(CG$9&gt;0, IF(OR(CG116="",CG116="-"), 0, CG116*$AT116), CF116*$AJ116)</f>
        <v>0</v>
      </c>
      <c r="CI116" s="587">
        <f>[1]COMMANDE!AO114</f>
        <v>0</v>
      </c>
      <c r="CJ116" s="586" t="str">
        <f>_xlfn.IFS(AND($AI116=$AM116,$AI116&gt;0,$AM116&gt;0,CI116&gt;0), CI116,     AND(NOT($AI116=$AM116),$AI116&gt;0,$AM116&gt;0,CI116&gt;0), ($AM116*CI116)/$AI116,     AND($AI116=0,$AM116&gt;0,$AQ116&gt;0), IF(INDEX(CI$12:CI$263,MATCH($AQ116,$AP$12:$AP$263,0))&gt;0,($AM116*INDEX(CI$12:CI$263,MATCH($AQ116,$AP$12:$AP$263,0)))/INDEX($AI$12:$AI$263,MATCH($AQ116,$AP$12:$AP$263,0)), "-"),     TRUE, "0")</f>
        <v>0</v>
      </c>
      <c r="CK116" s="607">
        <f>IF(CJ$9&gt;0, IF(OR(CJ116="",CJ116="-"), 0, CJ116*$AT116), CI116*$AJ116)</f>
        <v>0</v>
      </c>
      <c r="CL116" s="589">
        <f>[1]COMMANDE!AQ114</f>
        <v>0</v>
      </c>
      <c r="CM116" s="586" t="str">
        <f>_xlfn.IFS(AND($AI116=$AM116,$AI116&gt;0,$AM116&gt;0,CL116&gt;0), CL116,     AND(NOT($AI116=$AM116),$AI116&gt;0,$AM116&gt;0,CL116&gt;0), ($AM116*CL116)/$AI116,     AND($AI116=0,$AM116&gt;0,$AQ116&gt;0), IF(INDEX(CL$12:CL$263,MATCH($AQ116,$AP$12:$AP$263,0))&gt;0,($AM116*INDEX(CL$12:CL$263,MATCH($AQ116,$AP$12:$AP$263,0)))/INDEX($AI$12:$AI$263,MATCH($AQ116,$AP$12:$AP$263,0)), "-"),     TRUE, "0")</f>
        <v>0</v>
      </c>
      <c r="CN116" s="588">
        <f>IF(CM$9&gt;0, IF(OR(CM116="",CM116="-"), 0, CM116*$AT116), CL116*$AJ116)</f>
        <v>0</v>
      </c>
      <c r="CO116" s="587">
        <f>[1]COMMANDE!AS114</f>
        <v>0</v>
      </c>
      <c r="CP116" s="586" t="str">
        <f>_xlfn.IFS(AND($AI116=$AM116,$AI116&gt;0,$AM116&gt;0,CO116&gt;0), CO116,     AND(NOT($AI116=$AM116),$AI116&gt;0,$AM116&gt;0,CO116&gt;0), ($AM116*CO116)/$AI116,     AND($AI116=0,$AM116&gt;0,$AQ116&gt;0), IF(INDEX(CO$12:CO$263,MATCH($AQ116,$AP$12:$AP$263,0))&gt;0,($AM116*INDEX(CO$12:CO$263,MATCH($AQ116,$AP$12:$AP$263,0)))/INDEX($AI$12:$AI$263,MATCH($AQ116,$AP$12:$AP$263,0)), "-"),     TRUE, "0")</f>
        <v>0</v>
      </c>
      <c r="CQ116" s="607">
        <f>IF(CP$9&gt;0, IF(OR(CP116="",CP116="-"), 0, CP116*$AT116), CO116*$AJ116)</f>
        <v>0</v>
      </c>
      <c r="CR116" s="589">
        <f>[1]COMMANDE!AU114</f>
        <v>0</v>
      </c>
      <c r="CS116" s="586" t="str">
        <f>_xlfn.IFS(AND($AI116=$AM116,$AI116&gt;0,$AM116&gt;0,CR116&gt;0), CR116,     AND(NOT($AI116=$AM116),$AI116&gt;0,$AM116&gt;0,CR116&gt;0), ($AM116*CR116)/$AI116,     AND($AI116=0,$AM116&gt;0,$AQ116&gt;0), IF(INDEX(CR$12:CR$263,MATCH($AQ116,$AP$12:$AP$263,0))&gt;0,($AM116*INDEX(CR$12:CR$263,MATCH($AQ116,$AP$12:$AP$263,0)))/INDEX($AI$12:$AI$263,MATCH($AQ116,$AP$12:$AP$263,0)), "-"),     TRUE, "0")</f>
        <v>0</v>
      </c>
      <c r="CT116" s="588">
        <f>IF(CS$9&gt;0, IF(OR(CS116="",CS116="-"), 0, CS116*$AT116), CR116*$AJ116)</f>
        <v>0</v>
      </c>
      <c r="CU116" s="587">
        <f>[1]COMMANDE!AW114</f>
        <v>0</v>
      </c>
      <c r="CV116" s="586" t="str">
        <f>_xlfn.IFS(AND($AI116=$AM116,$AI116&gt;0,$AM116&gt;0,CU116&gt;0), CU116,     AND(NOT($AI116=$AM116),$AI116&gt;0,$AM116&gt;0,CU116&gt;0), ($AM116*CU116)/$AI116,     AND($AI116=0,$AM116&gt;0,$AQ116&gt;0), IF(INDEX(CU$12:CU$263,MATCH($AQ116,$AP$12:$AP$263,0))&gt;0,($AM116*INDEX(CU$12:CU$263,MATCH($AQ116,$AP$12:$AP$263,0)))/INDEX($AI$12:$AI$263,MATCH($AQ116,$AP$12:$AP$263,0)), "-"),     TRUE, "0")</f>
        <v>0</v>
      </c>
      <c r="CW116" s="607">
        <f>IF(CV$9&gt;0, IF(OR(CV116="",CV116="-"), 0, CV116*$AT116), CU116*$AJ116)</f>
        <v>0</v>
      </c>
      <c r="CX116" s="589">
        <f>[1]COMMANDE!AY114</f>
        <v>0</v>
      </c>
      <c r="CY116" s="586" t="str">
        <f>_xlfn.IFS(AND($AI116=$AM116,$AI116&gt;0,$AM116&gt;0,CX116&gt;0), CX116,     AND(NOT($AI116=$AM116),$AI116&gt;0,$AM116&gt;0,CX116&gt;0), ($AM116*CX116)/$AI116,     AND($AI116=0,$AM116&gt;0,$AQ116&gt;0), IF(INDEX(CX$12:CX$263,MATCH($AQ116,$AP$12:$AP$263,0))&gt;0,($AM116*INDEX(CX$12:CX$263,MATCH($AQ116,$AP$12:$AP$263,0)))/INDEX($AI$12:$AI$263,MATCH($AQ116,$AP$12:$AP$263,0)), "-"),     TRUE, "0")</f>
        <v>0</v>
      </c>
      <c r="CZ116" s="588">
        <f>IF(CY$9&gt;0, IF(OR(CY116="",CY116="-"), 0, CY116*$AT116), CX116*$AJ116)</f>
        <v>0</v>
      </c>
      <c r="DA116" s="587">
        <f>[1]COMMANDE!BA114</f>
        <v>0</v>
      </c>
      <c r="DB116" s="586" t="str">
        <f>_xlfn.IFS(AND($AI116=$AM116,$AI116&gt;0,$AM116&gt;0,DA116&gt;0), DA116,     AND(NOT($AI116=$AM116),$AI116&gt;0,$AM116&gt;0,DA116&gt;0), ($AM116*DA116)/$AI116,     AND($AI116=0,$AM116&gt;0,$AQ116&gt;0), IF(INDEX(DA$12:DA$263,MATCH($AQ116,$AP$12:$AP$263,0))&gt;0,($AM116*INDEX(DA$12:DA$263,MATCH($AQ116,$AP$12:$AP$263,0)))/INDEX($AI$12:$AI$263,MATCH($AQ116,$AP$12:$AP$263,0)), "-"),     TRUE, "0")</f>
        <v>0</v>
      </c>
      <c r="DC116" s="606">
        <f>IF(DB$9&gt;0, IF(OR(DB116="",DB116="-"), 0, DB116*$AT116), DA116*$AJ116)</f>
        <v>0</v>
      </c>
      <c r="DD116" s="584"/>
      <c r="DE116" s="583"/>
    </row>
    <row r="117" spans="1:128" ht="39.950000000000003" hidden="1" customHeight="1">
      <c r="A117" s="604">
        <f>IF(OR($AV117&gt;0, $AX117&gt;0), 1, 0)</f>
        <v>0</v>
      </c>
      <c r="B117" s="604">
        <f>IF(OR($AY117&gt;0, $BA117&gt;0), 1, 0)</f>
        <v>0</v>
      </c>
      <c r="C117" s="604">
        <f>IF(OR($BB117&gt;0, $BD117&gt;0), 1, 0)</f>
        <v>0</v>
      </c>
      <c r="D117" s="604">
        <f>IF(OR($BE117&gt;0, $BG117&gt;0), 1, 0)</f>
        <v>0</v>
      </c>
      <c r="E117" s="604">
        <f>IF(OR($BH117&gt;0, $BJ117&gt;0), 1, 0)</f>
        <v>0</v>
      </c>
      <c r="F117" s="604">
        <f>IF(OR($BK117&gt;0, $BM117&gt;0), 1, 0)</f>
        <v>0</v>
      </c>
      <c r="G117" s="604">
        <f>IF(OR($BN117&gt;0, $BP117&gt;0), 1, 0)</f>
        <v>0</v>
      </c>
      <c r="H117" s="604">
        <f>IF(OR($BQ117&gt;0, $BS117&gt;0), 1, 0)</f>
        <v>0</v>
      </c>
      <c r="I117" s="604">
        <f>IF(OR($BT117&gt;0, $BV117&gt;0), 1, 0)</f>
        <v>0</v>
      </c>
      <c r="J117" s="604">
        <f>IF(OR($BW117&gt;0, $BY117&gt;0), 1, 0)</f>
        <v>0</v>
      </c>
      <c r="K117" s="604">
        <f>IF(OR($BZ117&gt;0, $CB117&gt;0), 1, 0)</f>
        <v>0</v>
      </c>
      <c r="L117" s="604">
        <f>IF(OR($CC117&gt;0, $CE117&gt;0), 1, 0)</f>
        <v>0</v>
      </c>
      <c r="M117" s="604">
        <f>IF(OR($CF117&gt;0, $CH117&gt;0), 1, 0)</f>
        <v>0</v>
      </c>
      <c r="N117" s="604">
        <f>IF(OR($CI117&gt;0, $CK117&gt;0), 1, 0)</f>
        <v>0</v>
      </c>
      <c r="O117" s="604">
        <f>IF(OR($CL117&gt;0, $CN117&gt;0), 1, 0)</f>
        <v>0</v>
      </c>
      <c r="P117" s="604">
        <f>IF(OR($CO117&gt;0, $CQ117&gt;0), 1, 0)</f>
        <v>0</v>
      </c>
      <c r="Q117" s="604">
        <f>IF(OR($CR117&gt;0, $CT117&gt;0), 1, 0)</f>
        <v>0</v>
      </c>
      <c r="R117" s="604">
        <f>IF(OR($CU117&gt;0, $CW117&gt;0), 1, 0)</f>
        <v>0</v>
      </c>
      <c r="S117" s="604">
        <f>IF(OR($CX117&gt;0, $CZ117&gt;0), 1, 0)</f>
        <v>0</v>
      </c>
      <c r="T117" s="604">
        <f>IF(OR($DA117&gt;0, $DC117&gt;0), 1, 0)</f>
        <v>0</v>
      </c>
      <c r="U117" s="603">
        <f>IF(OR($AI117&gt;0,$AM117&gt;0,$AS117&gt;0), 1, 0)</f>
        <v>0</v>
      </c>
      <c r="V117" s="602">
        <f>[1]BDD!A107</f>
        <v>1119</v>
      </c>
      <c r="W117" s="601" t="str">
        <f>[1]BDD!B107</f>
        <v>Figue de miel semi-sèche de l’Alpujarra BIO (grande) Excellent et spécial !</v>
      </c>
      <c r="X117" s="600" t="str">
        <f>IF([1]BDD!F107=0, "", [1]BDD!F107)</f>
        <v>❤️</v>
      </c>
      <c r="Y117" s="542">
        <f>ROUND([1]BDD!G107+FDP_CMD_KG, 2)</f>
        <v>10.039999999999999</v>
      </c>
      <c r="Z117" s="542">
        <f>ROUND([1]BDD!G107+FDP_FACT_KG, 2)</f>
        <v>10.039999999999999</v>
      </c>
      <c r="AA117" s="543" t="str">
        <f>[1]BDD!H107</f>
        <v>kg</v>
      </c>
      <c r="AB117" s="544">
        <f>IF(NOT(ISBLANK([1]BDD!I107)), ROUND(SUM(([1]BDD!G107*reduc1),FDP_CMD_KG), 2), "")</f>
        <v>9.1300000000000008</v>
      </c>
      <c r="AC117" s="544" t="str">
        <f>IF(NOT(ISBLANK([1]BDD!J107)), ROUND(SUM(([1]BDD!G107*reduc2),FDP_CMD_KG), 2), "")</f>
        <v/>
      </c>
      <c r="AD117" s="544" t="str">
        <f>IF(NOT(ISBLANK([1]BDD!K107)), ROUND(SUM(([1]BDD!G107*reduc3),FDP_CMD_KG), 2), "")</f>
        <v/>
      </c>
      <c r="AE117" s="544">
        <f>IF(NOT(ISBLANK([1]BDD!I107)), ROUND(SUM(([1]BDD!G107*reduc1),FDP_FACT_KG), 2), "")</f>
        <v>9.1199999999999992</v>
      </c>
      <c r="AF117" s="544" t="str">
        <f>IF(NOT(ISBLANK([1]BDD!J107)), ROUND(SUM(([1]BDD!G107*reduc2),FDP_FACT_KG), 2), "")</f>
        <v/>
      </c>
      <c r="AG117" s="544" t="str">
        <f>IF(NOT(ISBLANK([1]BDD!K107)), ROUND(SUM(([1]BDD!G107*reduc3),FDP_FACT_KG), 2), "")</f>
        <v/>
      </c>
      <c r="AH117" s="599" t="str">
        <f>[1]BDD!C107</f>
        <v>Grenade</v>
      </c>
      <c r="AI117" s="598">
        <f>SUM(AV117,AY117,BB117,BE117,BH117,BK117,BN117,BQ117,BT117,BW117,BZ117,CC117,CF117,CI117,CL117,CO117,CR117,CU117,CX117,DA117)</f>
        <v>0</v>
      </c>
      <c r="AJ117" s="545">
        <f>_xlfn.IFS($AD117&lt;&gt;"", $AD117,    $AC117&lt;&gt;"", $AC117,    $AB117&lt;&gt;"", $AB117,    TRUE, $Y117)</f>
        <v>9.1300000000000008</v>
      </c>
      <c r="AK117" s="592">
        <f>$AI117*$AJ117</f>
        <v>0</v>
      </c>
      <c r="AL117" s="594"/>
      <c r="AM117" s="597"/>
      <c r="AN117" s="545">
        <f>_xlfn.IFS(AND(AM117&gt;=60,$AG117&lt;&gt;""), $AG117,    AND(AM117&gt;=30,$AF117&lt;&gt;""), $AF117,    AND(AM117&gt;=10,$AE117&lt;&gt;""), $AE117,    TRUE, $Z117)</f>
        <v>10.039999999999999</v>
      </c>
      <c r="AO117" s="596">
        <f>AM117*AN117</f>
        <v>0</v>
      </c>
      <c r="AP117" s="595"/>
      <c r="AQ117" s="595"/>
      <c r="AR117" s="594"/>
      <c r="AS117" s="593">
        <f>SUM(AW117,AZ117,BC117,BF117,BI117,BL117,BO117,BR117,BU117,BX117,CA117,CD117,CG117,CJ117,CM117,CP117,CS117,CV117,CY117,DB117)</f>
        <v>0</v>
      </c>
      <c r="AT117" s="545">
        <f>_xlfn.IFS(AND(AS117&gt;=60,$AG117&lt;&gt;""), $AG117,    AND(AS117&gt;=30,$AF117&lt;&gt;""), $AF117,    AND(AS117&gt;=10,$AE117&lt;&gt;""), $AE117,    TRUE, $Z117)</f>
        <v>10.039999999999999</v>
      </c>
      <c r="AU117" s="592">
        <f>$AS117*$AT117</f>
        <v>0</v>
      </c>
      <c r="AV117" s="591">
        <f>[1]COMMANDE!O115</f>
        <v>0</v>
      </c>
      <c r="AW117" s="586" t="str">
        <f>_xlfn.IFS(AND($AI117=$AM117,$AI117&gt;0,$AM117&gt;0,AV117&gt;0), AV117,     AND(NOT($AI117=$AM117),$AI117&gt;0,$AM117&gt;0,AV117&gt;0), ($AM117*AV117)/$AI117,     AND($AI117=0,$AM117&gt;0,$AQ117&gt;0), IF(INDEX(AV$12:AV$263,MATCH($AQ117,$AP$12:$AP$263,0))&gt;0,($AM117*INDEX(AV$12:AV$263,MATCH($AQ117,$AP$12:$AP$263,0)))/INDEX($AI$12:$AI$263,MATCH($AQ117,$AP$12:$AP$263,0)), "-"),     TRUE, "0")</f>
        <v>0</v>
      </c>
      <c r="AX117" s="588">
        <f>IF(AW$9&gt;0, IF(OR(AW117="",AW117="-"), 0, AW117*$AT117), AV117*$AJ117)</f>
        <v>0</v>
      </c>
      <c r="AY117" s="587">
        <f>[1]COMMANDE!Q115</f>
        <v>0</v>
      </c>
      <c r="AZ117" s="586" t="str">
        <f>_xlfn.IFS(AND($AI117=$AM117,$AI117&gt;0,$AM117&gt;0,AY117&gt;0), AY117,     AND(NOT($AI117=$AM117),$AI117&gt;0,$AM117&gt;0,AY117&gt;0), ($AM117*AY117)/$AI117,     AND($AI117=0,$AM117&gt;0,$AQ117&gt;0), IF(INDEX(AY$12:AY$263,MATCH($AQ117,$AP$12:$AP$263,0))&gt;0,($AM117*INDEX(AY$12:AY$263,MATCH($AQ117,$AP$12:$AP$263,0)))/INDEX($AI$12:$AI$263,MATCH($AQ117,$AP$12:$AP$263,0)), "-"),     TRUE, "0")</f>
        <v>0</v>
      </c>
      <c r="BA117" s="607">
        <f>IF(AZ$9&gt;0, IF(OR(AZ117="",AZ117="-"), 0, AZ117*$AT117), AY117*$AJ117)</f>
        <v>0</v>
      </c>
      <c r="BB117" s="589">
        <f>[1]COMMANDE!S115</f>
        <v>0</v>
      </c>
      <c r="BC117" s="586" t="str">
        <f>_xlfn.IFS(AND($AI117=$AM117,$AI117&gt;0,$AM117&gt;0,BB117&gt;0), BB117,     AND(NOT($AI117=$AM117),$AI117&gt;0,$AM117&gt;0,BB117&gt;0), ($AM117*BB117)/$AI117,     AND($AI117=0,$AM117&gt;0,$AQ117&gt;0), IF(INDEX(BB$12:BB$263,MATCH($AQ117,$AP$12:$AP$263,0))&gt;0,($AM117*INDEX(BB$12:BB$263,MATCH($AQ117,$AP$12:$AP$263,0)))/INDEX($AI$12:$AI$263,MATCH($AQ117,$AP$12:$AP$263,0)), "-"),     TRUE, "0")</f>
        <v>0</v>
      </c>
      <c r="BD117" s="588">
        <f>IF(BC$9&gt;0, IF(OR(BC117="",BC117="-"), 0, BC117*$AT117), BB117*$AJ117)</f>
        <v>0</v>
      </c>
      <c r="BE117" s="587">
        <f>[1]COMMANDE!U115</f>
        <v>0</v>
      </c>
      <c r="BF117" s="586" t="str">
        <f>_xlfn.IFS(AND($AI117=$AM117,$AI117&gt;0,$AM117&gt;0,BE117&gt;0), BE117,     AND(NOT($AI117=$AM117),$AI117&gt;0,$AM117&gt;0,BE117&gt;0), ($AM117*BE117)/$AI117,     AND($AI117=0,$AM117&gt;0,$AQ117&gt;0), IF(INDEX(BE$12:BE$263,MATCH($AQ117,$AP$12:$AP$263,0))&gt;0,($AM117*INDEX(BE$12:BE$263,MATCH($AQ117,$AP$12:$AP$263,0)))/INDEX($AI$12:$AI$263,MATCH($AQ117,$AP$12:$AP$263,0)), "-"),     TRUE, "0")</f>
        <v>0</v>
      </c>
      <c r="BG117" s="607">
        <f>IF(BF$9&gt;0, IF(OR(BF117="",BF117="-"), 0, BF117*$AT117), BE117*$AJ117)</f>
        <v>0</v>
      </c>
      <c r="BH117" s="589">
        <f>[1]COMMANDE!W115</f>
        <v>0</v>
      </c>
      <c r="BI117" s="586" t="str">
        <f>_xlfn.IFS(AND($AI117=$AM117,$AI117&gt;0,$AM117&gt;0,BH117&gt;0), BH117,     AND(NOT($AI117=$AM117),$AI117&gt;0,$AM117&gt;0,BH117&gt;0), ($AM117*BH117)/$AI117,     AND($AI117=0,$AM117&gt;0,$AQ117&gt;0), IF(INDEX(BH$12:BH$263,MATCH($AQ117,$AP$12:$AP$263,0))&gt;0,($AM117*INDEX(BH$12:BH$263,MATCH($AQ117,$AP$12:$AP$263,0)))/INDEX($AI$12:$AI$263,MATCH($AQ117,$AP$12:$AP$263,0)), "-"),     TRUE, "0")</f>
        <v>0</v>
      </c>
      <c r="BJ117" s="588">
        <f>IF(BI$9&gt;0, IF(OR(BI117="",BI117="-"), 0, BI117*$AT117), BH117*$AJ117)</f>
        <v>0</v>
      </c>
      <c r="BK117" s="587">
        <f>[1]COMMANDE!Y115</f>
        <v>0</v>
      </c>
      <c r="BL117" s="586" t="str">
        <f>_xlfn.IFS(AND($AI117=$AM117,$AI117&gt;0,$AM117&gt;0,BK117&gt;0), BK117,     AND(NOT($AI117=$AM117),$AI117&gt;0,$AM117&gt;0,BK117&gt;0), ($AM117*BK117)/$AI117,     AND($AI117=0,$AM117&gt;0,$AQ117&gt;0), IF(INDEX(BK$12:BK$263,MATCH($AQ117,$AP$12:$AP$263,0))&gt;0,($AM117*INDEX(BK$12:BK$263,MATCH($AQ117,$AP$12:$AP$263,0)))/INDEX($AI$12:$AI$263,MATCH($AQ117,$AP$12:$AP$263,0)), "-"),     TRUE, "0")</f>
        <v>0</v>
      </c>
      <c r="BM117" s="607">
        <f>IF(BL$9&gt;0, IF(OR(BL117="",BL117="-"), 0, BL117*$AT117), BK117*$AJ117)</f>
        <v>0</v>
      </c>
      <c r="BN117" s="589">
        <f>[1]COMMANDE!AA115</f>
        <v>0</v>
      </c>
      <c r="BO117" s="586" t="str">
        <f>_xlfn.IFS(AND($AI117=$AM117,$AI117&gt;0,$AM117&gt;0,BN117&gt;0), BN117,     AND(NOT($AI117=$AM117),$AI117&gt;0,$AM117&gt;0,BN117&gt;0), ($AM117*BN117)/$AI117,     AND($AI117=0,$AM117&gt;0,$AQ117&gt;0), IF(INDEX(BN$12:BN$263,MATCH($AQ117,$AP$12:$AP$263,0))&gt;0,($AM117*INDEX(BN$12:BN$263,MATCH($AQ117,$AP$12:$AP$263,0)))/INDEX($AI$12:$AI$263,MATCH($AQ117,$AP$12:$AP$263,0)), "-"),     TRUE, "0")</f>
        <v>0</v>
      </c>
      <c r="BP117" s="588">
        <f>IF(BO$9&gt;0, IF(OR(BO117="",BO117="-"), 0, BO117*$AT117), BN117*$AJ117)</f>
        <v>0</v>
      </c>
      <c r="BQ117" s="587">
        <f>[1]COMMANDE!AC115</f>
        <v>0</v>
      </c>
      <c r="BR117" s="586" t="str">
        <f>_xlfn.IFS(AND($AI117=$AM117,$AI117&gt;0,$AM117&gt;0,BQ117&gt;0), BQ117,     AND(NOT($AI117=$AM117),$AI117&gt;0,$AM117&gt;0,BQ117&gt;0), ($AM117*BQ117)/$AI117,     AND($AI117=0,$AM117&gt;0,$AQ117&gt;0), IF(INDEX(BQ$12:BQ$263,MATCH($AQ117,$AP$12:$AP$263,0))&gt;0,($AM117*INDEX(BQ$12:BQ$263,MATCH($AQ117,$AP$12:$AP$263,0)))/INDEX($AI$12:$AI$263,MATCH($AQ117,$AP$12:$AP$263,0)), "-"),     TRUE, "0")</f>
        <v>0</v>
      </c>
      <c r="BS117" s="607">
        <f>IF(BR$9&gt;0, IF(OR(BR117="",BR117="-"), 0, BR117*$AT117), BQ117*$AJ117)</f>
        <v>0</v>
      </c>
      <c r="BT117" s="589">
        <f>[1]COMMANDE!AE115</f>
        <v>0</v>
      </c>
      <c r="BU117" s="586" t="str">
        <f>_xlfn.IFS(AND($AI117=$AM117,$AI117&gt;0,$AM117&gt;0,BT117&gt;0), BT117,     AND(NOT($AI117=$AM117),$AI117&gt;0,$AM117&gt;0,BT117&gt;0), ($AM117*BT117)/$AI117,     AND($AI117=0,$AM117&gt;0,$AQ117&gt;0), IF(INDEX(BT$12:BT$263,MATCH($AQ117,$AP$12:$AP$263,0))&gt;0,($AM117*INDEX(BT$12:BT$263,MATCH($AQ117,$AP$12:$AP$263,0)))/INDEX($AI$12:$AI$263,MATCH($AQ117,$AP$12:$AP$263,0)), "-"),     TRUE, "0")</f>
        <v>0</v>
      </c>
      <c r="BV117" s="588">
        <f>IF(BU$9&gt;0, IF(OR(BU117="",BU117="-"), 0, BU117*$AT117), BT117*$AJ117)</f>
        <v>0</v>
      </c>
      <c r="BW117" s="587">
        <f>[1]COMMANDE!AG115</f>
        <v>0</v>
      </c>
      <c r="BX117" s="586" t="str">
        <f>_xlfn.IFS(AND($AI117=$AM117,$AI117&gt;0,$AM117&gt;0,BW117&gt;0), BW117,     AND(NOT($AI117=$AM117),$AI117&gt;0,$AM117&gt;0,BW117&gt;0), ($AM117*BW117)/$AI117,     AND($AI117=0,$AM117&gt;0,$AQ117&gt;0), IF(INDEX(BW$12:BW$263,MATCH($AQ117,$AP$12:$AP$263,0))&gt;0,($AM117*INDEX(BW$12:BW$263,MATCH($AQ117,$AP$12:$AP$263,0)))/INDEX($AI$12:$AI$263,MATCH($AQ117,$AP$12:$AP$263,0)), "-"),     TRUE, "0")</f>
        <v>0</v>
      </c>
      <c r="BY117" s="607">
        <f>IF(BX$9&gt;0, IF(OR(BX117="",BX117="-"), 0, BX117*$AT117), BW117*$AJ117)</f>
        <v>0</v>
      </c>
      <c r="BZ117" s="589">
        <f>[1]COMMANDE!AI115</f>
        <v>0</v>
      </c>
      <c r="CA117" s="586" t="str">
        <f>_xlfn.IFS(AND($AI117=$AM117,$AI117&gt;0,$AM117&gt;0,BZ117&gt;0), BZ117,     AND(NOT($AI117=$AM117),$AI117&gt;0,$AM117&gt;0,BZ117&gt;0), ($AM117*BZ117)/$AI117,     AND($AI117=0,$AM117&gt;0,$AQ117&gt;0), IF(INDEX(BZ$12:BZ$263,MATCH($AQ117,$AP$12:$AP$263,0))&gt;0,($AM117*INDEX(BZ$12:BZ$263,MATCH($AQ117,$AP$12:$AP$263,0)))/INDEX($AI$12:$AI$263,MATCH($AQ117,$AP$12:$AP$263,0)), "-"),     TRUE, "0")</f>
        <v>0</v>
      </c>
      <c r="CB117" s="588">
        <f>IF(CA$9&gt;0, IF(OR(CA117="",CA117="-"), 0, CA117*$AT117), BZ117*$AJ117)</f>
        <v>0</v>
      </c>
      <c r="CC117" s="587">
        <f>[1]COMMANDE!AK115</f>
        <v>0</v>
      </c>
      <c r="CD117" s="586" t="str">
        <f>_xlfn.IFS(AND($AI117=$AM117,$AI117&gt;0,$AM117&gt;0,CC117&gt;0), CC117,     AND(NOT($AI117=$AM117),$AI117&gt;0,$AM117&gt;0,CC117&gt;0), ($AM117*CC117)/$AI117,     AND($AI117=0,$AM117&gt;0,$AQ117&gt;0), IF(INDEX(CC$12:CC$263,MATCH($AQ117,$AP$12:$AP$263,0))&gt;0,($AM117*INDEX(CC$12:CC$263,MATCH($AQ117,$AP$12:$AP$263,0)))/INDEX($AI$12:$AI$263,MATCH($AQ117,$AP$12:$AP$263,0)), "-"),     TRUE, "0")</f>
        <v>0</v>
      </c>
      <c r="CE117" s="607">
        <f>IF(CD$9&gt;0, IF(OR(CD117="",CD117="-"), 0, CD117*$AT117), CC117*$AJ117)</f>
        <v>0</v>
      </c>
      <c r="CF117" s="589">
        <f>[1]COMMANDE!AM115</f>
        <v>0</v>
      </c>
      <c r="CG117" s="586" t="str">
        <f>_xlfn.IFS(AND($AI117=$AM117,$AI117&gt;0,$AM117&gt;0,CF117&gt;0), CF117,     AND(NOT($AI117=$AM117),$AI117&gt;0,$AM117&gt;0,CF117&gt;0), ($AM117*CF117)/$AI117,     AND($AI117=0,$AM117&gt;0,$AQ117&gt;0), IF(INDEX(CF$12:CF$263,MATCH($AQ117,$AP$12:$AP$263,0))&gt;0,($AM117*INDEX(CF$12:CF$263,MATCH($AQ117,$AP$12:$AP$263,0)))/INDEX($AI$12:$AI$263,MATCH($AQ117,$AP$12:$AP$263,0)), "-"),     TRUE, "0")</f>
        <v>0</v>
      </c>
      <c r="CH117" s="588">
        <f>IF(CG$9&gt;0, IF(OR(CG117="",CG117="-"), 0, CG117*$AT117), CF117*$AJ117)</f>
        <v>0</v>
      </c>
      <c r="CI117" s="587">
        <f>[1]COMMANDE!AO115</f>
        <v>0</v>
      </c>
      <c r="CJ117" s="586" t="str">
        <f>_xlfn.IFS(AND($AI117=$AM117,$AI117&gt;0,$AM117&gt;0,CI117&gt;0), CI117,     AND(NOT($AI117=$AM117),$AI117&gt;0,$AM117&gt;0,CI117&gt;0), ($AM117*CI117)/$AI117,     AND($AI117=0,$AM117&gt;0,$AQ117&gt;0), IF(INDEX(CI$12:CI$263,MATCH($AQ117,$AP$12:$AP$263,0))&gt;0,($AM117*INDEX(CI$12:CI$263,MATCH($AQ117,$AP$12:$AP$263,0)))/INDEX($AI$12:$AI$263,MATCH($AQ117,$AP$12:$AP$263,0)), "-"),     TRUE, "0")</f>
        <v>0</v>
      </c>
      <c r="CK117" s="607">
        <f>IF(CJ$9&gt;0, IF(OR(CJ117="",CJ117="-"), 0, CJ117*$AT117), CI117*$AJ117)</f>
        <v>0</v>
      </c>
      <c r="CL117" s="589">
        <f>[1]COMMANDE!AQ115</f>
        <v>0</v>
      </c>
      <c r="CM117" s="586" t="str">
        <f>_xlfn.IFS(AND($AI117=$AM117,$AI117&gt;0,$AM117&gt;0,CL117&gt;0), CL117,     AND(NOT($AI117=$AM117),$AI117&gt;0,$AM117&gt;0,CL117&gt;0), ($AM117*CL117)/$AI117,     AND($AI117=0,$AM117&gt;0,$AQ117&gt;0), IF(INDEX(CL$12:CL$263,MATCH($AQ117,$AP$12:$AP$263,0))&gt;0,($AM117*INDEX(CL$12:CL$263,MATCH($AQ117,$AP$12:$AP$263,0)))/INDEX($AI$12:$AI$263,MATCH($AQ117,$AP$12:$AP$263,0)), "-"),     TRUE, "0")</f>
        <v>0</v>
      </c>
      <c r="CN117" s="588">
        <f>IF(CM$9&gt;0, IF(OR(CM117="",CM117="-"), 0, CM117*$AT117), CL117*$AJ117)</f>
        <v>0</v>
      </c>
      <c r="CO117" s="587">
        <f>[1]COMMANDE!AS115</f>
        <v>0</v>
      </c>
      <c r="CP117" s="586" t="str">
        <f>_xlfn.IFS(AND($AI117=$AM117,$AI117&gt;0,$AM117&gt;0,CO117&gt;0), CO117,     AND(NOT($AI117=$AM117),$AI117&gt;0,$AM117&gt;0,CO117&gt;0), ($AM117*CO117)/$AI117,     AND($AI117=0,$AM117&gt;0,$AQ117&gt;0), IF(INDEX(CO$12:CO$263,MATCH($AQ117,$AP$12:$AP$263,0))&gt;0,($AM117*INDEX(CO$12:CO$263,MATCH($AQ117,$AP$12:$AP$263,0)))/INDEX($AI$12:$AI$263,MATCH($AQ117,$AP$12:$AP$263,0)), "-"),     TRUE, "0")</f>
        <v>0</v>
      </c>
      <c r="CQ117" s="607">
        <f>IF(CP$9&gt;0, IF(OR(CP117="",CP117="-"), 0, CP117*$AT117), CO117*$AJ117)</f>
        <v>0</v>
      </c>
      <c r="CR117" s="589">
        <f>[1]COMMANDE!AU115</f>
        <v>0</v>
      </c>
      <c r="CS117" s="586" t="str">
        <f>_xlfn.IFS(AND($AI117=$AM117,$AI117&gt;0,$AM117&gt;0,CR117&gt;0), CR117,     AND(NOT($AI117=$AM117),$AI117&gt;0,$AM117&gt;0,CR117&gt;0), ($AM117*CR117)/$AI117,     AND($AI117=0,$AM117&gt;0,$AQ117&gt;0), IF(INDEX(CR$12:CR$263,MATCH($AQ117,$AP$12:$AP$263,0))&gt;0,($AM117*INDEX(CR$12:CR$263,MATCH($AQ117,$AP$12:$AP$263,0)))/INDEX($AI$12:$AI$263,MATCH($AQ117,$AP$12:$AP$263,0)), "-"),     TRUE, "0")</f>
        <v>0</v>
      </c>
      <c r="CT117" s="588">
        <f>IF(CS$9&gt;0, IF(OR(CS117="",CS117="-"), 0, CS117*$AT117), CR117*$AJ117)</f>
        <v>0</v>
      </c>
      <c r="CU117" s="587">
        <f>[1]COMMANDE!AW115</f>
        <v>0</v>
      </c>
      <c r="CV117" s="586" t="str">
        <f>_xlfn.IFS(AND($AI117=$AM117,$AI117&gt;0,$AM117&gt;0,CU117&gt;0), CU117,     AND(NOT($AI117=$AM117),$AI117&gt;0,$AM117&gt;0,CU117&gt;0), ($AM117*CU117)/$AI117,     AND($AI117=0,$AM117&gt;0,$AQ117&gt;0), IF(INDEX(CU$12:CU$263,MATCH($AQ117,$AP$12:$AP$263,0))&gt;0,($AM117*INDEX(CU$12:CU$263,MATCH($AQ117,$AP$12:$AP$263,0)))/INDEX($AI$12:$AI$263,MATCH($AQ117,$AP$12:$AP$263,0)), "-"),     TRUE, "0")</f>
        <v>0</v>
      </c>
      <c r="CW117" s="607">
        <f>IF(CV$9&gt;0, IF(OR(CV117="",CV117="-"), 0, CV117*$AT117), CU117*$AJ117)</f>
        <v>0</v>
      </c>
      <c r="CX117" s="589">
        <f>[1]COMMANDE!AY115</f>
        <v>0</v>
      </c>
      <c r="CY117" s="586" t="str">
        <f>_xlfn.IFS(AND($AI117=$AM117,$AI117&gt;0,$AM117&gt;0,CX117&gt;0), CX117,     AND(NOT($AI117=$AM117),$AI117&gt;0,$AM117&gt;0,CX117&gt;0), ($AM117*CX117)/$AI117,     AND($AI117=0,$AM117&gt;0,$AQ117&gt;0), IF(INDEX(CX$12:CX$263,MATCH($AQ117,$AP$12:$AP$263,0))&gt;0,($AM117*INDEX(CX$12:CX$263,MATCH($AQ117,$AP$12:$AP$263,0)))/INDEX($AI$12:$AI$263,MATCH($AQ117,$AP$12:$AP$263,0)), "-"),     TRUE, "0")</f>
        <v>0</v>
      </c>
      <c r="CZ117" s="588">
        <f>IF(CY$9&gt;0, IF(OR(CY117="",CY117="-"), 0, CY117*$AT117), CX117*$AJ117)</f>
        <v>0</v>
      </c>
      <c r="DA117" s="587">
        <f>[1]COMMANDE!BA115</f>
        <v>0</v>
      </c>
      <c r="DB117" s="586" t="str">
        <f>_xlfn.IFS(AND($AI117=$AM117,$AI117&gt;0,$AM117&gt;0,DA117&gt;0), DA117,     AND(NOT($AI117=$AM117),$AI117&gt;0,$AM117&gt;0,DA117&gt;0), ($AM117*DA117)/$AI117,     AND($AI117=0,$AM117&gt;0,$AQ117&gt;0), IF(INDEX(DA$12:DA$263,MATCH($AQ117,$AP$12:$AP$263,0))&gt;0,($AM117*INDEX(DA$12:DA$263,MATCH($AQ117,$AP$12:$AP$263,0)))/INDEX($AI$12:$AI$263,MATCH($AQ117,$AP$12:$AP$263,0)), "-"),     TRUE, "0")</f>
        <v>0</v>
      </c>
      <c r="DC117" s="606">
        <f>IF(DB$9&gt;0, IF(OR(DB117="",DB117="-"), 0, DB117*$AT117), DA117*$AJ117)</f>
        <v>0</v>
      </c>
      <c r="DD117" s="584"/>
      <c r="DE117" s="583"/>
    </row>
    <row r="118" spans="1:128" ht="39.950000000000003" hidden="1" customHeight="1">
      <c r="A118" s="604">
        <f>IF(OR($AV118&gt;0, $AX118&gt;0), 1, 0)</f>
        <v>0</v>
      </c>
      <c r="B118" s="604">
        <f>IF(OR($AY118&gt;0, $BA118&gt;0), 1, 0)</f>
        <v>0</v>
      </c>
      <c r="C118" s="604">
        <f>IF(OR($BB118&gt;0, $BD118&gt;0), 1, 0)</f>
        <v>0</v>
      </c>
      <c r="D118" s="604">
        <f>IF(OR($BE118&gt;0, $BG118&gt;0), 1, 0)</f>
        <v>0</v>
      </c>
      <c r="E118" s="604">
        <f>IF(OR($BH118&gt;0, $BJ118&gt;0), 1, 0)</f>
        <v>0</v>
      </c>
      <c r="F118" s="604">
        <f>IF(OR($BK118&gt;0, $BM118&gt;0), 1, 0)</f>
        <v>0</v>
      </c>
      <c r="G118" s="604">
        <f>IF(OR($BN118&gt;0, $BP118&gt;0), 1, 0)</f>
        <v>0</v>
      </c>
      <c r="H118" s="604">
        <f>IF(OR($BQ118&gt;0, $BS118&gt;0), 1, 0)</f>
        <v>0</v>
      </c>
      <c r="I118" s="604">
        <f>IF(OR($BT118&gt;0, $BV118&gt;0), 1, 0)</f>
        <v>0</v>
      </c>
      <c r="J118" s="604">
        <f>IF(OR($BW118&gt;0, $BY118&gt;0), 1, 0)</f>
        <v>0</v>
      </c>
      <c r="K118" s="604">
        <f>IF(OR($BZ118&gt;0, $CB118&gt;0), 1, 0)</f>
        <v>0</v>
      </c>
      <c r="L118" s="604">
        <f>IF(OR($CC118&gt;0, $CE118&gt;0), 1, 0)</f>
        <v>0</v>
      </c>
      <c r="M118" s="604">
        <f>IF(OR($CF118&gt;0, $CH118&gt;0), 1, 0)</f>
        <v>0</v>
      </c>
      <c r="N118" s="604">
        <f>IF(OR($CI118&gt;0, $CK118&gt;0), 1, 0)</f>
        <v>0</v>
      </c>
      <c r="O118" s="604">
        <f>IF(OR($CL118&gt;0, $CN118&gt;0), 1, 0)</f>
        <v>0</v>
      </c>
      <c r="P118" s="604">
        <f>IF(OR($CO118&gt;0, $CQ118&gt;0), 1, 0)</f>
        <v>0</v>
      </c>
      <c r="Q118" s="604">
        <f>IF(OR($CR118&gt;0, $CT118&gt;0), 1, 0)</f>
        <v>0</v>
      </c>
      <c r="R118" s="604">
        <f>IF(OR($CU118&gt;0, $CW118&gt;0), 1, 0)</f>
        <v>0</v>
      </c>
      <c r="S118" s="604">
        <f>IF(OR($CX118&gt;0, $CZ118&gt;0), 1, 0)</f>
        <v>0</v>
      </c>
      <c r="T118" s="604">
        <f>IF(OR($DA118&gt;0, $DC118&gt;0), 1, 0)</f>
        <v>0</v>
      </c>
      <c r="U118" s="603">
        <f>IF(OR($AI118&gt;0,$AM118&gt;0,$AS118&gt;0), 1, 0)</f>
        <v>0</v>
      </c>
      <c r="V118" s="602">
        <f>[1]BDD!A108</f>
        <v>3873</v>
      </c>
      <c r="W118" s="601" t="str">
        <f>[1]BDD!B108</f>
        <v>Figue granillo semi-sèche (nouvelle récolte 2020)</v>
      </c>
      <c r="X118" s="600" t="str">
        <f>IF([1]BDD!F108=0, "", [1]BDD!F108)</f>
        <v>❤️</v>
      </c>
      <c r="Y118" s="542">
        <f>ROUND([1]BDD!G108+FDP_CMD_KG, 2)</f>
        <v>7.3</v>
      </c>
      <c r="Z118" s="542">
        <f>ROUND([1]BDD!G108+FDP_FACT_KG, 2)</f>
        <v>7.3</v>
      </c>
      <c r="AA118" s="543" t="str">
        <f>[1]BDD!H108</f>
        <v>kg</v>
      </c>
      <c r="AB118" s="544">
        <f>IF(NOT(ISBLANK([1]BDD!I108)), ROUND(SUM(([1]BDD!G108*reduc1),FDP_CMD_KG), 2), "")</f>
        <v>6.66</v>
      </c>
      <c r="AC118" s="544" t="str">
        <f>IF(NOT(ISBLANK([1]BDD!J108)), ROUND(SUM(([1]BDD!G108*reduc2),FDP_CMD_KG), 2), "")</f>
        <v/>
      </c>
      <c r="AD118" s="544" t="str">
        <f>IF(NOT(ISBLANK([1]BDD!K108)), ROUND(SUM(([1]BDD!G108*reduc3),FDP_CMD_KG), 2), "")</f>
        <v/>
      </c>
      <c r="AE118" s="544">
        <f>IF(NOT(ISBLANK([1]BDD!I108)), ROUND(SUM(([1]BDD!G108*reduc1),FDP_FACT_KG), 2), "")</f>
        <v>6.65</v>
      </c>
      <c r="AF118" s="544" t="str">
        <f>IF(NOT(ISBLANK([1]BDD!J108)), ROUND(SUM(([1]BDD!G108*reduc2),FDP_FACT_KG), 2), "")</f>
        <v/>
      </c>
      <c r="AG118" s="544" t="str">
        <f>IF(NOT(ISBLANK([1]BDD!K108)), ROUND(SUM(([1]BDD!G108*reduc3),FDP_FACT_KG), 2), "")</f>
        <v/>
      </c>
      <c r="AH118" s="599" t="str">
        <f>[1]BDD!C108</f>
        <v>Ávila</v>
      </c>
      <c r="AI118" s="598">
        <f>SUM(AV118,AY118,BB118,BE118,BH118,BK118,BN118,BQ118,BT118,BW118,BZ118,CC118,CF118,CI118,CL118,CO118,CR118,CU118,CX118,DA118)</f>
        <v>0</v>
      </c>
      <c r="AJ118" s="545">
        <f>_xlfn.IFS($AD118&lt;&gt;"", $AD118,    $AC118&lt;&gt;"", $AC118,    $AB118&lt;&gt;"", $AB118,    TRUE, $Y118)</f>
        <v>6.66</v>
      </c>
      <c r="AK118" s="592">
        <f>$AI118*$AJ118</f>
        <v>0</v>
      </c>
      <c r="AL118" s="594"/>
      <c r="AM118" s="597"/>
      <c r="AN118" s="545">
        <f>_xlfn.IFS(AND(AM118&gt;=60,$AG118&lt;&gt;""), $AG118,    AND(AM118&gt;=30,$AF118&lt;&gt;""), $AF118,    AND(AM118&gt;=10,$AE118&lt;&gt;""), $AE118,    TRUE, $Z118)</f>
        <v>7.3</v>
      </c>
      <c r="AO118" s="596">
        <f>AM118*AN118</f>
        <v>0</v>
      </c>
      <c r="AP118" s="595"/>
      <c r="AQ118" s="595"/>
      <c r="AR118" s="594"/>
      <c r="AS118" s="593">
        <f>SUM(AW118,AZ118,BC118,BF118,BI118,BL118,BO118,BR118,BU118,BX118,CA118,CD118,CG118,CJ118,CM118,CP118,CS118,CV118,CY118,DB118)</f>
        <v>0</v>
      </c>
      <c r="AT118" s="545">
        <f>_xlfn.IFS(AND(AS118&gt;=60,$AG118&lt;&gt;""), $AG118,    AND(AS118&gt;=30,$AF118&lt;&gt;""), $AF118,    AND(AS118&gt;=10,$AE118&lt;&gt;""), $AE118,    TRUE, $Z118)</f>
        <v>7.3</v>
      </c>
      <c r="AU118" s="592">
        <f>$AS118*$AT118</f>
        <v>0</v>
      </c>
      <c r="AV118" s="591">
        <f>[1]COMMANDE!O116</f>
        <v>0</v>
      </c>
      <c r="AW118" s="586" t="str">
        <f>_xlfn.IFS(AND($AI118=$AM118,$AI118&gt;0,$AM118&gt;0,AV118&gt;0), AV118,     AND(NOT($AI118=$AM118),$AI118&gt;0,$AM118&gt;0,AV118&gt;0), ($AM118*AV118)/$AI118,     AND($AI118=0,$AM118&gt;0,$AQ118&gt;0), IF(INDEX(AV$12:AV$263,MATCH($AQ118,$AP$12:$AP$263,0))&gt;0,($AM118*INDEX(AV$12:AV$263,MATCH($AQ118,$AP$12:$AP$263,0)))/INDEX($AI$12:$AI$263,MATCH($AQ118,$AP$12:$AP$263,0)), "-"),     TRUE, "0")</f>
        <v>0</v>
      </c>
      <c r="AX118" s="588">
        <f>IF(AW$9&gt;0, IF(OR(AW118="",AW118="-"), 0, AW118*$AT118), AV118*$AJ118)</f>
        <v>0</v>
      </c>
      <c r="AY118" s="587">
        <f>[1]COMMANDE!Q116</f>
        <v>0</v>
      </c>
      <c r="AZ118" s="586" t="str">
        <f>_xlfn.IFS(AND($AI118=$AM118,$AI118&gt;0,$AM118&gt;0,AY118&gt;0), AY118,     AND(NOT($AI118=$AM118),$AI118&gt;0,$AM118&gt;0,AY118&gt;0), ($AM118*AY118)/$AI118,     AND($AI118=0,$AM118&gt;0,$AQ118&gt;0), IF(INDEX(AY$12:AY$263,MATCH($AQ118,$AP$12:$AP$263,0))&gt;0,($AM118*INDEX(AY$12:AY$263,MATCH($AQ118,$AP$12:$AP$263,0)))/INDEX($AI$12:$AI$263,MATCH($AQ118,$AP$12:$AP$263,0)), "-"),     TRUE, "0")</f>
        <v>0</v>
      </c>
      <c r="BA118" s="607">
        <f>IF(AZ$9&gt;0, IF(OR(AZ118="",AZ118="-"), 0, AZ118*$AT118), AY118*$AJ118)</f>
        <v>0</v>
      </c>
      <c r="BB118" s="589">
        <f>[1]COMMANDE!S116</f>
        <v>0</v>
      </c>
      <c r="BC118" s="586" t="str">
        <f>_xlfn.IFS(AND($AI118=$AM118,$AI118&gt;0,$AM118&gt;0,BB118&gt;0), BB118,     AND(NOT($AI118=$AM118),$AI118&gt;0,$AM118&gt;0,BB118&gt;0), ($AM118*BB118)/$AI118,     AND($AI118=0,$AM118&gt;0,$AQ118&gt;0), IF(INDEX(BB$12:BB$263,MATCH($AQ118,$AP$12:$AP$263,0))&gt;0,($AM118*INDEX(BB$12:BB$263,MATCH($AQ118,$AP$12:$AP$263,0)))/INDEX($AI$12:$AI$263,MATCH($AQ118,$AP$12:$AP$263,0)), "-"),     TRUE, "0")</f>
        <v>0</v>
      </c>
      <c r="BD118" s="588">
        <f>IF(BC$9&gt;0, IF(OR(BC118="",BC118="-"), 0, BC118*$AT118), BB118*$AJ118)</f>
        <v>0</v>
      </c>
      <c r="BE118" s="587">
        <f>[1]COMMANDE!U116</f>
        <v>0</v>
      </c>
      <c r="BF118" s="586" t="str">
        <f>_xlfn.IFS(AND($AI118=$AM118,$AI118&gt;0,$AM118&gt;0,BE118&gt;0), BE118,     AND(NOT($AI118=$AM118),$AI118&gt;0,$AM118&gt;0,BE118&gt;0), ($AM118*BE118)/$AI118,     AND($AI118=0,$AM118&gt;0,$AQ118&gt;0), IF(INDEX(BE$12:BE$263,MATCH($AQ118,$AP$12:$AP$263,0))&gt;0,($AM118*INDEX(BE$12:BE$263,MATCH($AQ118,$AP$12:$AP$263,0)))/INDEX($AI$12:$AI$263,MATCH($AQ118,$AP$12:$AP$263,0)), "-"),     TRUE, "0")</f>
        <v>0</v>
      </c>
      <c r="BG118" s="607">
        <f>IF(BF$9&gt;0, IF(OR(BF118="",BF118="-"), 0, BF118*$AT118), BE118*$AJ118)</f>
        <v>0</v>
      </c>
      <c r="BH118" s="589">
        <f>[1]COMMANDE!W116</f>
        <v>0</v>
      </c>
      <c r="BI118" s="586" t="str">
        <f>_xlfn.IFS(AND($AI118=$AM118,$AI118&gt;0,$AM118&gt;0,BH118&gt;0), BH118,     AND(NOT($AI118=$AM118),$AI118&gt;0,$AM118&gt;0,BH118&gt;0), ($AM118*BH118)/$AI118,     AND($AI118=0,$AM118&gt;0,$AQ118&gt;0), IF(INDEX(BH$12:BH$263,MATCH($AQ118,$AP$12:$AP$263,0))&gt;0,($AM118*INDEX(BH$12:BH$263,MATCH($AQ118,$AP$12:$AP$263,0)))/INDEX($AI$12:$AI$263,MATCH($AQ118,$AP$12:$AP$263,0)), "-"),     TRUE, "0")</f>
        <v>0</v>
      </c>
      <c r="BJ118" s="588">
        <f>IF(BI$9&gt;0, IF(OR(BI118="",BI118="-"), 0, BI118*$AT118), BH118*$AJ118)</f>
        <v>0</v>
      </c>
      <c r="BK118" s="587">
        <f>[1]COMMANDE!Y116</f>
        <v>0</v>
      </c>
      <c r="BL118" s="586" t="str">
        <f>_xlfn.IFS(AND($AI118=$AM118,$AI118&gt;0,$AM118&gt;0,BK118&gt;0), BK118,     AND(NOT($AI118=$AM118),$AI118&gt;0,$AM118&gt;0,BK118&gt;0), ($AM118*BK118)/$AI118,     AND($AI118=0,$AM118&gt;0,$AQ118&gt;0), IF(INDEX(BK$12:BK$263,MATCH($AQ118,$AP$12:$AP$263,0))&gt;0,($AM118*INDEX(BK$12:BK$263,MATCH($AQ118,$AP$12:$AP$263,0)))/INDEX($AI$12:$AI$263,MATCH($AQ118,$AP$12:$AP$263,0)), "-"),     TRUE, "0")</f>
        <v>0</v>
      </c>
      <c r="BM118" s="607">
        <f>IF(BL$9&gt;0, IF(OR(BL118="",BL118="-"), 0, BL118*$AT118), BK118*$AJ118)</f>
        <v>0</v>
      </c>
      <c r="BN118" s="589">
        <f>[1]COMMANDE!AA116</f>
        <v>0</v>
      </c>
      <c r="BO118" s="586" t="str">
        <f>_xlfn.IFS(AND($AI118=$AM118,$AI118&gt;0,$AM118&gt;0,BN118&gt;0), BN118,     AND(NOT($AI118=$AM118),$AI118&gt;0,$AM118&gt;0,BN118&gt;0), ($AM118*BN118)/$AI118,     AND($AI118=0,$AM118&gt;0,$AQ118&gt;0), IF(INDEX(BN$12:BN$263,MATCH($AQ118,$AP$12:$AP$263,0))&gt;0,($AM118*INDEX(BN$12:BN$263,MATCH($AQ118,$AP$12:$AP$263,0)))/INDEX($AI$12:$AI$263,MATCH($AQ118,$AP$12:$AP$263,0)), "-"),     TRUE, "0")</f>
        <v>0</v>
      </c>
      <c r="BP118" s="588">
        <f>IF(BO$9&gt;0, IF(OR(BO118="",BO118="-"), 0, BO118*$AT118), BN118*$AJ118)</f>
        <v>0</v>
      </c>
      <c r="BQ118" s="587">
        <f>[1]COMMANDE!AC116</f>
        <v>0</v>
      </c>
      <c r="BR118" s="586" t="str">
        <f>_xlfn.IFS(AND($AI118=$AM118,$AI118&gt;0,$AM118&gt;0,BQ118&gt;0), BQ118,     AND(NOT($AI118=$AM118),$AI118&gt;0,$AM118&gt;0,BQ118&gt;0), ($AM118*BQ118)/$AI118,     AND($AI118=0,$AM118&gt;0,$AQ118&gt;0), IF(INDEX(BQ$12:BQ$263,MATCH($AQ118,$AP$12:$AP$263,0))&gt;0,($AM118*INDEX(BQ$12:BQ$263,MATCH($AQ118,$AP$12:$AP$263,0)))/INDEX($AI$12:$AI$263,MATCH($AQ118,$AP$12:$AP$263,0)), "-"),     TRUE, "0")</f>
        <v>0</v>
      </c>
      <c r="BS118" s="607">
        <f>IF(BR$9&gt;0, IF(OR(BR118="",BR118="-"), 0, BR118*$AT118), BQ118*$AJ118)</f>
        <v>0</v>
      </c>
      <c r="BT118" s="589">
        <f>[1]COMMANDE!AE116</f>
        <v>0</v>
      </c>
      <c r="BU118" s="586" t="str">
        <f>_xlfn.IFS(AND($AI118=$AM118,$AI118&gt;0,$AM118&gt;0,BT118&gt;0), BT118,     AND(NOT($AI118=$AM118),$AI118&gt;0,$AM118&gt;0,BT118&gt;0), ($AM118*BT118)/$AI118,     AND($AI118=0,$AM118&gt;0,$AQ118&gt;0), IF(INDEX(BT$12:BT$263,MATCH($AQ118,$AP$12:$AP$263,0))&gt;0,($AM118*INDEX(BT$12:BT$263,MATCH($AQ118,$AP$12:$AP$263,0)))/INDEX($AI$12:$AI$263,MATCH($AQ118,$AP$12:$AP$263,0)), "-"),     TRUE, "0")</f>
        <v>0</v>
      </c>
      <c r="BV118" s="588">
        <f>IF(BU$9&gt;0, IF(OR(BU118="",BU118="-"), 0, BU118*$AT118), BT118*$AJ118)</f>
        <v>0</v>
      </c>
      <c r="BW118" s="587">
        <f>[1]COMMANDE!AG116</f>
        <v>0</v>
      </c>
      <c r="BX118" s="586" t="str">
        <f>_xlfn.IFS(AND($AI118=$AM118,$AI118&gt;0,$AM118&gt;0,BW118&gt;0), BW118,     AND(NOT($AI118=$AM118),$AI118&gt;0,$AM118&gt;0,BW118&gt;0), ($AM118*BW118)/$AI118,     AND($AI118=0,$AM118&gt;0,$AQ118&gt;0), IF(INDEX(BW$12:BW$263,MATCH($AQ118,$AP$12:$AP$263,0))&gt;0,($AM118*INDEX(BW$12:BW$263,MATCH($AQ118,$AP$12:$AP$263,0)))/INDEX($AI$12:$AI$263,MATCH($AQ118,$AP$12:$AP$263,0)), "-"),     TRUE, "0")</f>
        <v>0</v>
      </c>
      <c r="BY118" s="607">
        <f>IF(BX$9&gt;0, IF(OR(BX118="",BX118="-"), 0, BX118*$AT118), BW118*$AJ118)</f>
        <v>0</v>
      </c>
      <c r="BZ118" s="589">
        <f>[1]COMMANDE!AI116</f>
        <v>0</v>
      </c>
      <c r="CA118" s="586" t="str">
        <f>_xlfn.IFS(AND($AI118=$AM118,$AI118&gt;0,$AM118&gt;0,BZ118&gt;0), BZ118,     AND(NOT($AI118=$AM118),$AI118&gt;0,$AM118&gt;0,BZ118&gt;0), ($AM118*BZ118)/$AI118,     AND($AI118=0,$AM118&gt;0,$AQ118&gt;0), IF(INDEX(BZ$12:BZ$263,MATCH($AQ118,$AP$12:$AP$263,0))&gt;0,($AM118*INDEX(BZ$12:BZ$263,MATCH($AQ118,$AP$12:$AP$263,0)))/INDEX($AI$12:$AI$263,MATCH($AQ118,$AP$12:$AP$263,0)), "-"),     TRUE, "0")</f>
        <v>0</v>
      </c>
      <c r="CB118" s="588">
        <f>IF(CA$9&gt;0, IF(OR(CA118="",CA118="-"), 0, CA118*$AT118), BZ118*$AJ118)</f>
        <v>0</v>
      </c>
      <c r="CC118" s="587">
        <f>[1]COMMANDE!AK116</f>
        <v>0</v>
      </c>
      <c r="CD118" s="586" t="str">
        <f>_xlfn.IFS(AND($AI118=$AM118,$AI118&gt;0,$AM118&gt;0,CC118&gt;0), CC118,     AND(NOT($AI118=$AM118),$AI118&gt;0,$AM118&gt;0,CC118&gt;0), ($AM118*CC118)/$AI118,     AND($AI118=0,$AM118&gt;0,$AQ118&gt;0), IF(INDEX(CC$12:CC$263,MATCH($AQ118,$AP$12:$AP$263,0))&gt;0,($AM118*INDEX(CC$12:CC$263,MATCH($AQ118,$AP$12:$AP$263,0)))/INDEX($AI$12:$AI$263,MATCH($AQ118,$AP$12:$AP$263,0)), "-"),     TRUE, "0")</f>
        <v>0</v>
      </c>
      <c r="CE118" s="607">
        <f>IF(CD$9&gt;0, IF(OR(CD118="",CD118="-"), 0, CD118*$AT118), CC118*$AJ118)</f>
        <v>0</v>
      </c>
      <c r="CF118" s="589">
        <f>[1]COMMANDE!AM116</f>
        <v>0</v>
      </c>
      <c r="CG118" s="586" t="str">
        <f>_xlfn.IFS(AND($AI118=$AM118,$AI118&gt;0,$AM118&gt;0,CF118&gt;0), CF118,     AND(NOT($AI118=$AM118),$AI118&gt;0,$AM118&gt;0,CF118&gt;0), ($AM118*CF118)/$AI118,     AND($AI118=0,$AM118&gt;0,$AQ118&gt;0), IF(INDEX(CF$12:CF$263,MATCH($AQ118,$AP$12:$AP$263,0))&gt;0,($AM118*INDEX(CF$12:CF$263,MATCH($AQ118,$AP$12:$AP$263,0)))/INDEX($AI$12:$AI$263,MATCH($AQ118,$AP$12:$AP$263,0)), "-"),     TRUE, "0")</f>
        <v>0</v>
      </c>
      <c r="CH118" s="588">
        <f>IF(CG$9&gt;0, IF(OR(CG118="",CG118="-"), 0, CG118*$AT118), CF118*$AJ118)</f>
        <v>0</v>
      </c>
      <c r="CI118" s="587">
        <f>[1]COMMANDE!AO116</f>
        <v>0</v>
      </c>
      <c r="CJ118" s="586" t="str">
        <f>_xlfn.IFS(AND($AI118=$AM118,$AI118&gt;0,$AM118&gt;0,CI118&gt;0), CI118,     AND(NOT($AI118=$AM118),$AI118&gt;0,$AM118&gt;0,CI118&gt;0), ($AM118*CI118)/$AI118,     AND($AI118=0,$AM118&gt;0,$AQ118&gt;0), IF(INDEX(CI$12:CI$263,MATCH($AQ118,$AP$12:$AP$263,0))&gt;0,($AM118*INDEX(CI$12:CI$263,MATCH($AQ118,$AP$12:$AP$263,0)))/INDEX($AI$12:$AI$263,MATCH($AQ118,$AP$12:$AP$263,0)), "-"),     TRUE, "0")</f>
        <v>0</v>
      </c>
      <c r="CK118" s="607">
        <f>IF(CJ$9&gt;0, IF(OR(CJ118="",CJ118="-"), 0, CJ118*$AT118), CI118*$AJ118)</f>
        <v>0</v>
      </c>
      <c r="CL118" s="589">
        <f>[1]COMMANDE!AQ116</f>
        <v>0</v>
      </c>
      <c r="CM118" s="586" t="str">
        <f>_xlfn.IFS(AND($AI118=$AM118,$AI118&gt;0,$AM118&gt;0,CL118&gt;0), CL118,     AND(NOT($AI118=$AM118),$AI118&gt;0,$AM118&gt;0,CL118&gt;0), ($AM118*CL118)/$AI118,     AND($AI118=0,$AM118&gt;0,$AQ118&gt;0), IF(INDEX(CL$12:CL$263,MATCH($AQ118,$AP$12:$AP$263,0))&gt;0,($AM118*INDEX(CL$12:CL$263,MATCH($AQ118,$AP$12:$AP$263,0)))/INDEX($AI$12:$AI$263,MATCH($AQ118,$AP$12:$AP$263,0)), "-"),     TRUE, "0")</f>
        <v>0</v>
      </c>
      <c r="CN118" s="588">
        <f>IF(CM$9&gt;0, IF(OR(CM118="",CM118="-"), 0, CM118*$AT118), CL118*$AJ118)</f>
        <v>0</v>
      </c>
      <c r="CO118" s="587">
        <f>[1]COMMANDE!AS116</f>
        <v>0</v>
      </c>
      <c r="CP118" s="586" t="str">
        <f>_xlfn.IFS(AND($AI118=$AM118,$AI118&gt;0,$AM118&gt;0,CO118&gt;0), CO118,     AND(NOT($AI118=$AM118),$AI118&gt;0,$AM118&gt;0,CO118&gt;0), ($AM118*CO118)/$AI118,     AND($AI118=0,$AM118&gt;0,$AQ118&gt;0), IF(INDEX(CO$12:CO$263,MATCH($AQ118,$AP$12:$AP$263,0))&gt;0,($AM118*INDEX(CO$12:CO$263,MATCH($AQ118,$AP$12:$AP$263,0)))/INDEX($AI$12:$AI$263,MATCH($AQ118,$AP$12:$AP$263,0)), "-"),     TRUE, "0")</f>
        <v>0</v>
      </c>
      <c r="CQ118" s="607">
        <f>IF(CP$9&gt;0, IF(OR(CP118="",CP118="-"), 0, CP118*$AT118), CO118*$AJ118)</f>
        <v>0</v>
      </c>
      <c r="CR118" s="589">
        <f>[1]COMMANDE!AU116</f>
        <v>0</v>
      </c>
      <c r="CS118" s="586" t="str">
        <f>_xlfn.IFS(AND($AI118=$AM118,$AI118&gt;0,$AM118&gt;0,CR118&gt;0), CR118,     AND(NOT($AI118=$AM118),$AI118&gt;0,$AM118&gt;0,CR118&gt;0), ($AM118*CR118)/$AI118,     AND($AI118=0,$AM118&gt;0,$AQ118&gt;0), IF(INDEX(CR$12:CR$263,MATCH($AQ118,$AP$12:$AP$263,0))&gt;0,($AM118*INDEX(CR$12:CR$263,MATCH($AQ118,$AP$12:$AP$263,0)))/INDEX($AI$12:$AI$263,MATCH($AQ118,$AP$12:$AP$263,0)), "-"),     TRUE, "0")</f>
        <v>0</v>
      </c>
      <c r="CT118" s="588">
        <f>IF(CS$9&gt;0, IF(OR(CS118="",CS118="-"), 0, CS118*$AT118), CR118*$AJ118)</f>
        <v>0</v>
      </c>
      <c r="CU118" s="587">
        <f>[1]COMMANDE!AW116</f>
        <v>0</v>
      </c>
      <c r="CV118" s="586" t="str">
        <f>_xlfn.IFS(AND($AI118=$AM118,$AI118&gt;0,$AM118&gt;0,CU118&gt;0), CU118,     AND(NOT($AI118=$AM118),$AI118&gt;0,$AM118&gt;0,CU118&gt;0), ($AM118*CU118)/$AI118,     AND($AI118=0,$AM118&gt;0,$AQ118&gt;0), IF(INDEX(CU$12:CU$263,MATCH($AQ118,$AP$12:$AP$263,0))&gt;0,($AM118*INDEX(CU$12:CU$263,MATCH($AQ118,$AP$12:$AP$263,0)))/INDEX($AI$12:$AI$263,MATCH($AQ118,$AP$12:$AP$263,0)), "-"),     TRUE, "0")</f>
        <v>0</v>
      </c>
      <c r="CW118" s="607">
        <f>IF(CV$9&gt;0, IF(OR(CV118="",CV118="-"), 0, CV118*$AT118), CU118*$AJ118)</f>
        <v>0</v>
      </c>
      <c r="CX118" s="589">
        <f>[1]COMMANDE!AY116</f>
        <v>0</v>
      </c>
      <c r="CY118" s="586" t="str">
        <f>_xlfn.IFS(AND($AI118=$AM118,$AI118&gt;0,$AM118&gt;0,CX118&gt;0), CX118,     AND(NOT($AI118=$AM118),$AI118&gt;0,$AM118&gt;0,CX118&gt;0), ($AM118*CX118)/$AI118,     AND($AI118=0,$AM118&gt;0,$AQ118&gt;0), IF(INDEX(CX$12:CX$263,MATCH($AQ118,$AP$12:$AP$263,0))&gt;0,($AM118*INDEX(CX$12:CX$263,MATCH($AQ118,$AP$12:$AP$263,0)))/INDEX($AI$12:$AI$263,MATCH($AQ118,$AP$12:$AP$263,0)), "-"),     TRUE, "0")</f>
        <v>0</v>
      </c>
      <c r="CZ118" s="588">
        <f>IF(CY$9&gt;0, IF(OR(CY118="",CY118="-"), 0, CY118*$AT118), CX118*$AJ118)</f>
        <v>0</v>
      </c>
      <c r="DA118" s="587">
        <f>[1]COMMANDE!BA116</f>
        <v>0</v>
      </c>
      <c r="DB118" s="586" t="str">
        <f>_xlfn.IFS(AND($AI118=$AM118,$AI118&gt;0,$AM118&gt;0,DA118&gt;0), DA118,     AND(NOT($AI118=$AM118),$AI118&gt;0,$AM118&gt;0,DA118&gt;0), ($AM118*DA118)/$AI118,     AND($AI118=0,$AM118&gt;0,$AQ118&gt;0), IF(INDEX(DA$12:DA$263,MATCH($AQ118,$AP$12:$AP$263,0))&gt;0,($AM118*INDEX(DA$12:DA$263,MATCH($AQ118,$AP$12:$AP$263,0)))/INDEX($AI$12:$AI$263,MATCH($AQ118,$AP$12:$AP$263,0)), "-"),     TRUE, "0")</f>
        <v>0</v>
      </c>
      <c r="DC118" s="606">
        <f>IF(DB$9&gt;0, IF(OR(DB118="",DB118="-"), 0, DB118*$AT118), DA118*$AJ118)</f>
        <v>0</v>
      </c>
      <c r="DD118" s="584"/>
      <c r="DE118" s="583"/>
    </row>
    <row r="119" spans="1:128" ht="39.950000000000003" hidden="1" customHeight="1">
      <c r="A119" s="604">
        <f>IF(OR($AV119&gt;0, $AX119&gt;0), 1, 0)</f>
        <v>0</v>
      </c>
      <c r="B119" s="604">
        <f>IF(OR($AY119&gt;0, $BA119&gt;0), 1, 0)</f>
        <v>0</v>
      </c>
      <c r="C119" s="604">
        <f>IF(OR($BB119&gt;0, $BD119&gt;0), 1, 0)</f>
        <v>0</v>
      </c>
      <c r="D119" s="604">
        <f>IF(OR($BE119&gt;0, $BG119&gt;0), 1, 0)</f>
        <v>0</v>
      </c>
      <c r="E119" s="604">
        <f>IF(OR($BH119&gt;0, $BJ119&gt;0), 1, 0)</f>
        <v>0</v>
      </c>
      <c r="F119" s="604">
        <f>IF(OR($BK119&gt;0, $BM119&gt;0), 1, 0)</f>
        <v>0</v>
      </c>
      <c r="G119" s="604">
        <f>IF(OR($BN119&gt;0, $BP119&gt;0), 1, 0)</f>
        <v>0</v>
      </c>
      <c r="H119" s="604">
        <f>IF(OR($BQ119&gt;0, $BS119&gt;0), 1, 0)</f>
        <v>0</v>
      </c>
      <c r="I119" s="604">
        <f>IF(OR($BT119&gt;0, $BV119&gt;0), 1, 0)</f>
        <v>0</v>
      </c>
      <c r="J119" s="604">
        <f>IF(OR($BW119&gt;0, $BY119&gt;0), 1, 0)</f>
        <v>0</v>
      </c>
      <c r="K119" s="604">
        <f>IF(OR($BZ119&gt;0, $CB119&gt;0), 1, 0)</f>
        <v>0</v>
      </c>
      <c r="L119" s="604">
        <f>IF(OR($CC119&gt;0, $CE119&gt;0), 1, 0)</f>
        <v>0</v>
      </c>
      <c r="M119" s="604">
        <f>IF(OR($CF119&gt;0, $CH119&gt;0), 1, 0)</f>
        <v>0</v>
      </c>
      <c r="N119" s="604">
        <f>IF(OR($CI119&gt;0, $CK119&gt;0), 1, 0)</f>
        <v>0</v>
      </c>
      <c r="O119" s="604">
        <f>IF(OR($CL119&gt;0, $CN119&gt;0), 1, 0)</f>
        <v>0</v>
      </c>
      <c r="P119" s="604">
        <f>IF(OR($CO119&gt;0, $CQ119&gt;0), 1, 0)</f>
        <v>0</v>
      </c>
      <c r="Q119" s="604">
        <f>IF(OR($CR119&gt;0, $CT119&gt;0), 1, 0)</f>
        <v>0</v>
      </c>
      <c r="R119" s="604">
        <f>IF(OR($CU119&gt;0, $CW119&gt;0), 1, 0)</f>
        <v>0</v>
      </c>
      <c r="S119" s="604">
        <f>IF(OR($CX119&gt;0, $CZ119&gt;0), 1, 0)</f>
        <v>0</v>
      </c>
      <c r="T119" s="604">
        <f>IF(OR($DA119&gt;0, $DC119&gt;0), 1, 0)</f>
        <v>0</v>
      </c>
      <c r="U119" s="603">
        <f>IF(OR($AI119&gt;0,$AM119&gt;0,$AS119&gt;0), 1, 0)</f>
        <v>0</v>
      </c>
      <c r="V119" s="602">
        <f>[1]BDD!A109</f>
        <v>3790</v>
      </c>
      <c r="W119" s="601" t="str">
        <f>[1]BDD!B109</f>
        <v>Figue semi-sèche (paquet de env. 900g)</v>
      </c>
      <c r="X119" s="600" t="str">
        <f>IF([1]BDD!F109=0, "", [1]BDD!F109)</f>
        <v>❤️</v>
      </c>
      <c r="Y119" s="542">
        <f>ROUND([1]BDD!G109+FDP_CMD_KG, 2)</f>
        <v>10.31</v>
      </c>
      <c r="Z119" s="542">
        <f>ROUND([1]BDD!G109+FDP_FACT_KG, 2)</f>
        <v>10.31</v>
      </c>
      <c r="AA119" s="543" t="str">
        <f>[1]BDD!H109</f>
        <v>kg</v>
      </c>
      <c r="AB119" s="544">
        <f>IF(NOT(ISBLANK([1]BDD!I109)), ROUND(SUM(([1]BDD!G109*reduc1),FDP_CMD_KG), 2), "")</f>
        <v>9.3699999999999992</v>
      </c>
      <c r="AC119" s="544" t="str">
        <f>IF(NOT(ISBLANK([1]BDD!J109)), ROUND(SUM(([1]BDD!G109*reduc2),FDP_CMD_KG), 2), "")</f>
        <v/>
      </c>
      <c r="AD119" s="544" t="str">
        <f>IF(NOT(ISBLANK([1]BDD!K109)), ROUND(SUM(([1]BDD!G109*reduc3),FDP_CMD_KG), 2), "")</f>
        <v/>
      </c>
      <c r="AE119" s="544">
        <f>IF(NOT(ISBLANK([1]BDD!I109)), ROUND(SUM(([1]BDD!G109*reduc1),FDP_FACT_KG), 2), "")</f>
        <v>9.36</v>
      </c>
      <c r="AF119" s="544" t="str">
        <f>IF(NOT(ISBLANK([1]BDD!J109)), ROUND(SUM(([1]BDD!G109*reduc2),FDP_FACT_KG), 2), "")</f>
        <v/>
      </c>
      <c r="AG119" s="544" t="str">
        <f>IF(NOT(ISBLANK([1]BDD!K109)), ROUND(SUM(([1]BDD!G109*reduc3),FDP_FACT_KG), 2), "")</f>
        <v/>
      </c>
      <c r="AH119" s="599" t="str">
        <f>[1]BDD!C109</f>
        <v>Malaga</v>
      </c>
      <c r="AI119" s="598">
        <f>SUM(AV119,AY119,BB119,BE119,BH119,BK119,BN119,BQ119,BT119,BW119,BZ119,CC119,CF119,CI119,CL119,CO119,CR119,CU119,CX119,DA119)</f>
        <v>0</v>
      </c>
      <c r="AJ119" s="545">
        <f>_xlfn.IFS($AD119&lt;&gt;"", $AD119,    $AC119&lt;&gt;"", $AC119,    $AB119&lt;&gt;"", $AB119,    TRUE, $Y119)</f>
        <v>9.3699999999999992</v>
      </c>
      <c r="AK119" s="592">
        <f>$AI119*$AJ119</f>
        <v>0</v>
      </c>
      <c r="AL119" s="594"/>
      <c r="AM119" s="597"/>
      <c r="AN119" s="545">
        <f>_xlfn.IFS(AND(AM119&gt;=60,$AG119&lt;&gt;""), $AG119,    AND(AM119&gt;=30,$AF119&lt;&gt;""), $AF119,    AND(AM119&gt;=10,$AE119&lt;&gt;""), $AE119,    TRUE, $Z119)</f>
        <v>10.31</v>
      </c>
      <c r="AO119" s="596">
        <f>AM119*AN119</f>
        <v>0</v>
      </c>
      <c r="AP119" s="595"/>
      <c r="AQ119" s="595"/>
      <c r="AR119" s="594"/>
      <c r="AS119" s="593">
        <f>SUM(AW119,AZ119,BC119,BF119,BI119,BL119,BO119,BR119,BU119,BX119,CA119,CD119,CG119,CJ119,CM119,CP119,CS119,CV119,CY119,DB119)</f>
        <v>0</v>
      </c>
      <c r="AT119" s="545">
        <f>_xlfn.IFS(AND(AS119&gt;=60,$AG119&lt;&gt;""), $AG119,    AND(AS119&gt;=30,$AF119&lt;&gt;""), $AF119,    AND(AS119&gt;=10,$AE119&lt;&gt;""), $AE119,    TRUE, $Z119)</f>
        <v>10.31</v>
      </c>
      <c r="AU119" s="592">
        <f>$AS119*$AT119</f>
        <v>0</v>
      </c>
      <c r="AV119" s="591">
        <f>[1]COMMANDE!O117</f>
        <v>0</v>
      </c>
      <c r="AW119" s="586" t="str">
        <f>_xlfn.IFS(AND($AI119=$AM119,$AI119&gt;0,$AM119&gt;0,AV119&gt;0), AV119,     AND(NOT($AI119=$AM119),$AI119&gt;0,$AM119&gt;0,AV119&gt;0), ($AM119*AV119)/$AI119,     AND($AI119=0,$AM119&gt;0,$AQ119&gt;0), IF(INDEX(AV$12:AV$263,MATCH($AQ119,$AP$12:$AP$263,0))&gt;0,($AM119*INDEX(AV$12:AV$263,MATCH($AQ119,$AP$12:$AP$263,0)))/INDEX($AI$12:$AI$263,MATCH($AQ119,$AP$12:$AP$263,0)), "-"),     TRUE, "0")</f>
        <v>0</v>
      </c>
      <c r="AX119" s="588">
        <f>IF(AW$9&gt;0, IF(OR(AW119="",AW119="-"), 0, AW119*$AT119), AV119*$AJ119)</f>
        <v>0</v>
      </c>
      <c r="AY119" s="587">
        <f>[1]COMMANDE!Q117</f>
        <v>0</v>
      </c>
      <c r="AZ119" s="586" t="str">
        <f>_xlfn.IFS(AND($AI119=$AM119,$AI119&gt;0,$AM119&gt;0,AY119&gt;0), AY119,     AND(NOT($AI119=$AM119),$AI119&gt;0,$AM119&gt;0,AY119&gt;0), ($AM119*AY119)/$AI119,     AND($AI119=0,$AM119&gt;0,$AQ119&gt;0), IF(INDEX(AY$12:AY$263,MATCH($AQ119,$AP$12:$AP$263,0))&gt;0,($AM119*INDEX(AY$12:AY$263,MATCH($AQ119,$AP$12:$AP$263,0)))/INDEX($AI$12:$AI$263,MATCH($AQ119,$AP$12:$AP$263,0)), "-"),     TRUE, "0")</f>
        <v>0</v>
      </c>
      <c r="BA119" s="607">
        <f>IF(AZ$9&gt;0, IF(OR(AZ119="",AZ119="-"), 0, AZ119*$AT119), AY119*$AJ119)</f>
        <v>0</v>
      </c>
      <c r="BB119" s="589">
        <f>[1]COMMANDE!S117</f>
        <v>0</v>
      </c>
      <c r="BC119" s="586" t="str">
        <f>_xlfn.IFS(AND($AI119=$AM119,$AI119&gt;0,$AM119&gt;0,BB119&gt;0), BB119,     AND(NOT($AI119=$AM119),$AI119&gt;0,$AM119&gt;0,BB119&gt;0), ($AM119*BB119)/$AI119,     AND($AI119=0,$AM119&gt;0,$AQ119&gt;0), IF(INDEX(BB$12:BB$263,MATCH($AQ119,$AP$12:$AP$263,0))&gt;0,($AM119*INDEX(BB$12:BB$263,MATCH($AQ119,$AP$12:$AP$263,0)))/INDEX($AI$12:$AI$263,MATCH($AQ119,$AP$12:$AP$263,0)), "-"),     TRUE, "0")</f>
        <v>0</v>
      </c>
      <c r="BD119" s="588">
        <f>IF(BC$9&gt;0, IF(OR(BC119="",BC119="-"), 0, BC119*$AT119), BB119*$AJ119)</f>
        <v>0</v>
      </c>
      <c r="BE119" s="587">
        <f>[1]COMMANDE!U117</f>
        <v>0</v>
      </c>
      <c r="BF119" s="586" t="str">
        <f>_xlfn.IFS(AND($AI119=$AM119,$AI119&gt;0,$AM119&gt;0,BE119&gt;0), BE119,     AND(NOT($AI119=$AM119),$AI119&gt;0,$AM119&gt;0,BE119&gt;0), ($AM119*BE119)/$AI119,     AND($AI119=0,$AM119&gt;0,$AQ119&gt;0), IF(INDEX(BE$12:BE$263,MATCH($AQ119,$AP$12:$AP$263,0))&gt;0,($AM119*INDEX(BE$12:BE$263,MATCH($AQ119,$AP$12:$AP$263,0)))/INDEX($AI$12:$AI$263,MATCH($AQ119,$AP$12:$AP$263,0)), "-"),     TRUE, "0")</f>
        <v>0</v>
      </c>
      <c r="BG119" s="607">
        <f>IF(BF$9&gt;0, IF(OR(BF119="",BF119="-"), 0, BF119*$AT119), BE119*$AJ119)</f>
        <v>0</v>
      </c>
      <c r="BH119" s="589">
        <f>[1]COMMANDE!W117</f>
        <v>0</v>
      </c>
      <c r="BI119" s="586" t="str">
        <f>_xlfn.IFS(AND($AI119=$AM119,$AI119&gt;0,$AM119&gt;0,BH119&gt;0), BH119,     AND(NOT($AI119=$AM119),$AI119&gt;0,$AM119&gt;0,BH119&gt;0), ($AM119*BH119)/$AI119,     AND($AI119=0,$AM119&gt;0,$AQ119&gt;0), IF(INDEX(BH$12:BH$263,MATCH($AQ119,$AP$12:$AP$263,0))&gt;0,($AM119*INDEX(BH$12:BH$263,MATCH($AQ119,$AP$12:$AP$263,0)))/INDEX($AI$12:$AI$263,MATCH($AQ119,$AP$12:$AP$263,0)), "-"),     TRUE, "0")</f>
        <v>0</v>
      </c>
      <c r="BJ119" s="588">
        <f>IF(BI$9&gt;0, IF(OR(BI119="",BI119="-"), 0, BI119*$AT119), BH119*$AJ119)</f>
        <v>0</v>
      </c>
      <c r="BK119" s="587">
        <f>[1]COMMANDE!Y117</f>
        <v>0</v>
      </c>
      <c r="BL119" s="586" t="str">
        <f>_xlfn.IFS(AND($AI119=$AM119,$AI119&gt;0,$AM119&gt;0,BK119&gt;0), BK119,     AND(NOT($AI119=$AM119),$AI119&gt;0,$AM119&gt;0,BK119&gt;0), ($AM119*BK119)/$AI119,     AND($AI119=0,$AM119&gt;0,$AQ119&gt;0), IF(INDEX(BK$12:BK$263,MATCH($AQ119,$AP$12:$AP$263,0))&gt;0,($AM119*INDEX(BK$12:BK$263,MATCH($AQ119,$AP$12:$AP$263,0)))/INDEX($AI$12:$AI$263,MATCH($AQ119,$AP$12:$AP$263,0)), "-"),     TRUE, "0")</f>
        <v>0</v>
      </c>
      <c r="BM119" s="607">
        <f>IF(BL$9&gt;0, IF(OR(BL119="",BL119="-"), 0, BL119*$AT119), BK119*$AJ119)</f>
        <v>0</v>
      </c>
      <c r="BN119" s="589">
        <f>[1]COMMANDE!AA117</f>
        <v>0</v>
      </c>
      <c r="BO119" s="586" t="str">
        <f>_xlfn.IFS(AND($AI119=$AM119,$AI119&gt;0,$AM119&gt;0,BN119&gt;0), BN119,     AND(NOT($AI119=$AM119),$AI119&gt;0,$AM119&gt;0,BN119&gt;0), ($AM119*BN119)/$AI119,     AND($AI119=0,$AM119&gt;0,$AQ119&gt;0), IF(INDEX(BN$12:BN$263,MATCH($AQ119,$AP$12:$AP$263,0))&gt;0,($AM119*INDEX(BN$12:BN$263,MATCH($AQ119,$AP$12:$AP$263,0)))/INDEX($AI$12:$AI$263,MATCH($AQ119,$AP$12:$AP$263,0)), "-"),     TRUE, "0")</f>
        <v>0</v>
      </c>
      <c r="BP119" s="588">
        <f>IF(BO$9&gt;0, IF(OR(BO119="",BO119="-"), 0, BO119*$AT119), BN119*$AJ119)</f>
        <v>0</v>
      </c>
      <c r="BQ119" s="587">
        <f>[1]COMMANDE!AC117</f>
        <v>0</v>
      </c>
      <c r="BR119" s="586" t="str">
        <f>_xlfn.IFS(AND($AI119=$AM119,$AI119&gt;0,$AM119&gt;0,BQ119&gt;0), BQ119,     AND(NOT($AI119=$AM119),$AI119&gt;0,$AM119&gt;0,BQ119&gt;0), ($AM119*BQ119)/$AI119,     AND($AI119=0,$AM119&gt;0,$AQ119&gt;0), IF(INDEX(BQ$12:BQ$263,MATCH($AQ119,$AP$12:$AP$263,0))&gt;0,($AM119*INDEX(BQ$12:BQ$263,MATCH($AQ119,$AP$12:$AP$263,0)))/INDEX($AI$12:$AI$263,MATCH($AQ119,$AP$12:$AP$263,0)), "-"),     TRUE, "0")</f>
        <v>0</v>
      </c>
      <c r="BS119" s="607">
        <f>IF(BR$9&gt;0, IF(OR(BR119="",BR119="-"), 0, BR119*$AT119), BQ119*$AJ119)</f>
        <v>0</v>
      </c>
      <c r="BT119" s="589">
        <f>[1]COMMANDE!AE117</f>
        <v>0</v>
      </c>
      <c r="BU119" s="586" t="str">
        <f>_xlfn.IFS(AND($AI119=$AM119,$AI119&gt;0,$AM119&gt;0,BT119&gt;0), BT119,     AND(NOT($AI119=$AM119),$AI119&gt;0,$AM119&gt;0,BT119&gt;0), ($AM119*BT119)/$AI119,     AND($AI119=0,$AM119&gt;0,$AQ119&gt;0), IF(INDEX(BT$12:BT$263,MATCH($AQ119,$AP$12:$AP$263,0))&gt;0,($AM119*INDEX(BT$12:BT$263,MATCH($AQ119,$AP$12:$AP$263,0)))/INDEX($AI$12:$AI$263,MATCH($AQ119,$AP$12:$AP$263,0)), "-"),     TRUE, "0")</f>
        <v>0</v>
      </c>
      <c r="BV119" s="588">
        <f>IF(BU$9&gt;0, IF(OR(BU119="",BU119="-"), 0, BU119*$AT119), BT119*$AJ119)</f>
        <v>0</v>
      </c>
      <c r="BW119" s="587">
        <f>[1]COMMANDE!AG117</f>
        <v>0</v>
      </c>
      <c r="BX119" s="586" t="str">
        <f>_xlfn.IFS(AND($AI119=$AM119,$AI119&gt;0,$AM119&gt;0,BW119&gt;0), BW119,     AND(NOT($AI119=$AM119),$AI119&gt;0,$AM119&gt;0,BW119&gt;0), ($AM119*BW119)/$AI119,     AND($AI119=0,$AM119&gt;0,$AQ119&gt;0), IF(INDEX(BW$12:BW$263,MATCH($AQ119,$AP$12:$AP$263,0))&gt;0,($AM119*INDEX(BW$12:BW$263,MATCH($AQ119,$AP$12:$AP$263,0)))/INDEX($AI$12:$AI$263,MATCH($AQ119,$AP$12:$AP$263,0)), "-"),     TRUE, "0")</f>
        <v>0</v>
      </c>
      <c r="BY119" s="607">
        <f>IF(BX$9&gt;0, IF(OR(BX119="",BX119="-"), 0, BX119*$AT119), BW119*$AJ119)</f>
        <v>0</v>
      </c>
      <c r="BZ119" s="589">
        <f>[1]COMMANDE!AI117</f>
        <v>0</v>
      </c>
      <c r="CA119" s="586" t="str">
        <f>_xlfn.IFS(AND($AI119=$AM119,$AI119&gt;0,$AM119&gt;0,BZ119&gt;0), BZ119,     AND(NOT($AI119=$AM119),$AI119&gt;0,$AM119&gt;0,BZ119&gt;0), ($AM119*BZ119)/$AI119,     AND($AI119=0,$AM119&gt;0,$AQ119&gt;0), IF(INDEX(BZ$12:BZ$263,MATCH($AQ119,$AP$12:$AP$263,0))&gt;0,($AM119*INDEX(BZ$12:BZ$263,MATCH($AQ119,$AP$12:$AP$263,0)))/INDEX($AI$12:$AI$263,MATCH($AQ119,$AP$12:$AP$263,0)), "-"),     TRUE, "0")</f>
        <v>0</v>
      </c>
      <c r="CB119" s="588">
        <f>IF(CA$9&gt;0, IF(OR(CA119="",CA119="-"), 0, CA119*$AT119), BZ119*$AJ119)</f>
        <v>0</v>
      </c>
      <c r="CC119" s="587">
        <f>[1]COMMANDE!AK117</f>
        <v>0</v>
      </c>
      <c r="CD119" s="586" t="str">
        <f>_xlfn.IFS(AND($AI119=$AM119,$AI119&gt;0,$AM119&gt;0,CC119&gt;0), CC119,     AND(NOT($AI119=$AM119),$AI119&gt;0,$AM119&gt;0,CC119&gt;0), ($AM119*CC119)/$AI119,     AND($AI119=0,$AM119&gt;0,$AQ119&gt;0), IF(INDEX(CC$12:CC$263,MATCH($AQ119,$AP$12:$AP$263,0))&gt;0,($AM119*INDEX(CC$12:CC$263,MATCH($AQ119,$AP$12:$AP$263,0)))/INDEX($AI$12:$AI$263,MATCH($AQ119,$AP$12:$AP$263,0)), "-"),     TRUE, "0")</f>
        <v>0</v>
      </c>
      <c r="CE119" s="607">
        <f>IF(CD$9&gt;0, IF(OR(CD119="",CD119="-"), 0, CD119*$AT119), CC119*$AJ119)</f>
        <v>0</v>
      </c>
      <c r="CF119" s="589">
        <f>[1]COMMANDE!AM117</f>
        <v>0</v>
      </c>
      <c r="CG119" s="586" t="str">
        <f>_xlfn.IFS(AND($AI119=$AM119,$AI119&gt;0,$AM119&gt;0,CF119&gt;0), CF119,     AND(NOT($AI119=$AM119),$AI119&gt;0,$AM119&gt;0,CF119&gt;0), ($AM119*CF119)/$AI119,     AND($AI119=0,$AM119&gt;0,$AQ119&gt;0), IF(INDEX(CF$12:CF$263,MATCH($AQ119,$AP$12:$AP$263,0))&gt;0,($AM119*INDEX(CF$12:CF$263,MATCH($AQ119,$AP$12:$AP$263,0)))/INDEX($AI$12:$AI$263,MATCH($AQ119,$AP$12:$AP$263,0)), "-"),     TRUE, "0")</f>
        <v>0</v>
      </c>
      <c r="CH119" s="588">
        <f>IF(CG$9&gt;0, IF(OR(CG119="",CG119="-"), 0, CG119*$AT119), CF119*$AJ119)</f>
        <v>0</v>
      </c>
      <c r="CI119" s="587">
        <f>[1]COMMANDE!AO117</f>
        <v>0</v>
      </c>
      <c r="CJ119" s="586" t="str">
        <f>_xlfn.IFS(AND($AI119=$AM119,$AI119&gt;0,$AM119&gt;0,CI119&gt;0), CI119,     AND(NOT($AI119=$AM119),$AI119&gt;0,$AM119&gt;0,CI119&gt;0), ($AM119*CI119)/$AI119,     AND($AI119=0,$AM119&gt;0,$AQ119&gt;0), IF(INDEX(CI$12:CI$263,MATCH($AQ119,$AP$12:$AP$263,0))&gt;0,($AM119*INDEX(CI$12:CI$263,MATCH($AQ119,$AP$12:$AP$263,0)))/INDEX($AI$12:$AI$263,MATCH($AQ119,$AP$12:$AP$263,0)), "-"),     TRUE, "0")</f>
        <v>0</v>
      </c>
      <c r="CK119" s="607">
        <f>IF(CJ$9&gt;0, IF(OR(CJ119="",CJ119="-"), 0, CJ119*$AT119), CI119*$AJ119)</f>
        <v>0</v>
      </c>
      <c r="CL119" s="589">
        <f>[1]COMMANDE!AQ117</f>
        <v>0</v>
      </c>
      <c r="CM119" s="586" t="str">
        <f>_xlfn.IFS(AND($AI119=$AM119,$AI119&gt;0,$AM119&gt;0,CL119&gt;0), CL119,     AND(NOT($AI119=$AM119),$AI119&gt;0,$AM119&gt;0,CL119&gt;0), ($AM119*CL119)/$AI119,     AND($AI119=0,$AM119&gt;0,$AQ119&gt;0), IF(INDEX(CL$12:CL$263,MATCH($AQ119,$AP$12:$AP$263,0))&gt;0,($AM119*INDEX(CL$12:CL$263,MATCH($AQ119,$AP$12:$AP$263,0)))/INDEX($AI$12:$AI$263,MATCH($AQ119,$AP$12:$AP$263,0)), "-"),     TRUE, "0")</f>
        <v>0</v>
      </c>
      <c r="CN119" s="588">
        <f>IF(CM$9&gt;0, IF(OR(CM119="",CM119="-"), 0, CM119*$AT119), CL119*$AJ119)</f>
        <v>0</v>
      </c>
      <c r="CO119" s="587">
        <f>[1]COMMANDE!AS117</f>
        <v>0</v>
      </c>
      <c r="CP119" s="586" t="str">
        <f>_xlfn.IFS(AND($AI119=$AM119,$AI119&gt;0,$AM119&gt;0,CO119&gt;0), CO119,     AND(NOT($AI119=$AM119),$AI119&gt;0,$AM119&gt;0,CO119&gt;0), ($AM119*CO119)/$AI119,     AND($AI119=0,$AM119&gt;0,$AQ119&gt;0), IF(INDEX(CO$12:CO$263,MATCH($AQ119,$AP$12:$AP$263,0))&gt;0,($AM119*INDEX(CO$12:CO$263,MATCH($AQ119,$AP$12:$AP$263,0)))/INDEX($AI$12:$AI$263,MATCH($AQ119,$AP$12:$AP$263,0)), "-"),     TRUE, "0")</f>
        <v>0</v>
      </c>
      <c r="CQ119" s="607">
        <f>IF(CP$9&gt;0, IF(OR(CP119="",CP119="-"), 0, CP119*$AT119), CO119*$AJ119)</f>
        <v>0</v>
      </c>
      <c r="CR119" s="589">
        <f>[1]COMMANDE!AU117</f>
        <v>0</v>
      </c>
      <c r="CS119" s="586" t="str">
        <f>_xlfn.IFS(AND($AI119=$AM119,$AI119&gt;0,$AM119&gt;0,CR119&gt;0), CR119,     AND(NOT($AI119=$AM119),$AI119&gt;0,$AM119&gt;0,CR119&gt;0), ($AM119*CR119)/$AI119,     AND($AI119=0,$AM119&gt;0,$AQ119&gt;0), IF(INDEX(CR$12:CR$263,MATCH($AQ119,$AP$12:$AP$263,0))&gt;0,($AM119*INDEX(CR$12:CR$263,MATCH($AQ119,$AP$12:$AP$263,0)))/INDEX($AI$12:$AI$263,MATCH($AQ119,$AP$12:$AP$263,0)), "-"),     TRUE, "0")</f>
        <v>0</v>
      </c>
      <c r="CT119" s="588">
        <f>IF(CS$9&gt;0, IF(OR(CS119="",CS119="-"), 0, CS119*$AT119), CR119*$AJ119)</f>
        <v>0</v>
      </c>
      <c r="CU119" s="587">
        <f>[1]COMMANDE!AW117</f>
        <v>0</v>
      </c>
      <c r="CV119" s="586" t="str">
        <f>_xlfn.IFS(AND($AI119=$AM119,$AI119&gt;0,$AM119&gt;0,CU119&gt;0), CU119,     AND(NOT($AI119=$AM119),$AI119&gt;0,$AM119&gt;0,CU119&gt;0), ($AM119*CU119)/$AI119,     AND($AI119=0,$AM119&gt;0,$AQ119&gt;0), IF(INDEX(CU$12:CU$263,MATCH($AQ119,$AP$12:$AP$263,0))&gt;0,($AM119*INDEX(CU$12:CU$263,MATCH($AQ119,$AP$12:$AP$263,0)))/INDEX($AI$12:$AI$263,MATCH($AQ119,$AP$12:$AP$263,0)), "-"),     TRUE, "0")</f>
        <v>0</v>
      </c>
      <c r="CW119" s="607">
        <f>IF(CV$9&gt;0, IF(OR(CV119="",CV119="-"), 0, CV119*$AT119), CU119*$AJ119)</f>
        <v>0</v>
      </c>
      <c r="CX119" s="589">
        <f>[1]COMMANDE!AY117</f>
        <v>0</v>
      </c>
      <c r="CY119" s="586" t="str">
        <f>_xlfn.IFS(AND($AI119=$AM119,$AI119&gt;0,$AM119&gt;0,CX119&gt;0), CX119,     AND(NOT($AI119=$AM119),$AI119&gt;0,$AM119&gt;0,CX119&gt;0), ($AM119*CX119)/$AI119,     AND($AI119=0,$AM119&gt;0,$AQ119&gt;0), IF(INDEX(CX$12:CX$263,MATCH($AQ119,$AP$12:$AP$263,0))&gt;0,($AM119*INDEX(CX$12:CX$263,MATCH($AQ119,$AP$12:$AP$263,0)))/INDEX($AI$12:$AI$263,MATCH($AQ119,$AP$12:$AP$263,0)), "-"),     TRUE, "0")</f>
        <v>0</v>
      </c>
      <c r="CZ119" s="588">
        <f>IF(CY$9&gt;0, IF(OR(CY119="",CY119="-"), 0, CY119*$AT119), CX119*$AJ119)</f>
        <v>0</v>
      </c>
      <c r="DA119" s="587">
        <f>[1]COMMANDE!BA117</f>
        <v>0</v>
      </c>
      <c r="DB119" s="586" t="str">
        <f>_xlfn.IFS(AND($AI119=$AM119,$AI119&gt;0,$AM119&gt;0,DA119&gt;0), DA119,     AND(NOT($AI119=$AM119),$AI119&gt;0,$AM119&gt;0,DA119&gt;0), ($AM119*DA119)/$AI119,     AND($AI119=0,$AM119&gt;0,$AQ119&gt;0), IF(INDEX(DA$12:DA$263,MATCH($AQ119,$AP$12:$AP$263,0))&gt;0,($AM119*INDEX(DA$12:DA$263,MATCH($AQ119,$AP$12:$AP$263,0)))/INDEX($AI$12:$AI$263,MATCH($AQ119,$AP$12:$AP$263,0)), "-"),     TRUE, "0")</f>
        <v>0</v>
      </c>
      <c r="DC119" s="606">
        <f>IF(DB$9&gt;0, IF(OR(DB119="",DB119="-"), 0, DB119*$AT119), DA119*$AJ119)</f>
        <v>0</v>
      </c>
      <c r="DD119" s="584"/>
      <c r="DE119" s="583"/>
    </row>
    <row r="120" spans="1:128" ht="39.950000000000003" hidden="1" customHeight="1">
      <c r="A120" s="604">
        <f>IF(OR($AV120&gt;0, $AX120&gt;0), 1, 0)</f>
        <v>0</v>
      </c>
      <c r="B120" s="604">
        <f>IF(OR($AY120&gt;0, $BA120&gt;0), 1, 0)</f>
        <v>0</v>
      </c>
      <c r="C120" s="604">
        <f>IF(OR($BB120&gt;0, $BD120&gt;0), 1, 0)</f>
        <v>0</v>
      </c>
      <c r="D120" s="604">
        <f>IF(OR($BE120&gt;0, $BG120&gt;0), 1, 0)</f>
        <v>0</v>
      </c>
      <c r="E120" s="604">
        <f>IF(OR($BH120&gt;0, $BJ120&gt;0), 1, 0)</f>
        <v>0</v>
      </c>
      <c r="F120" s="604">
        <f>IF(OR($BK120&gt;0, $BM120&gt;0), 1, 0)</f>
        <v>0</v>
      </c>
      <c r="G120" s="604">
        <f>IF(OR($BN120&gt;0, $BP120&gt;0), 1, 0)</f>
        <v>0</v>
      </c>
      <c r="H120" s="604">
        <f>IF(OR($BQ120&gt;0, $BS120&gt;0), 1, 0)</f>
        <v>0</v>
      </c>
      <c r="I120" s="604">
        <f>IF(OR($BT120&gt;0, $BV120&gt;0), 1, 0)</f>
        <v>0</v>
      </c>
      <c r="J120" s="604">
        <f>IF(OR($BW120&gt;0, $BY120&gt;0), 1, 0)</f>
        <v>0</v>
      </c>
      <c r="K120" s="604">
        <f>IF(OR($BZ120&gt;0, $CB120&gt;0), 1, 0)</f>
        <v>0</v>
      </c>
      <c r="L120" s="604">
        <f>IF(OR($CC120&gt;0, $CE120&gt;0), 1, 0)</f>
        <v>0</v>
      </c>
      <c r="M120" s="604">
        <f>IF(OR($CF120&gt;0, $CH120&gt;0), 1, 0)</f>
        <v>0</v>
      </c>
      <c r="N120" s="604">
        <f>IF(OR($CI120&gt;0, $CK120&gt;0), 1, 0)</f>
        <v>0</v>
      </c>
      <c r="O120" s="604">
        <f>IF(OR($CL120&gt;0, $CN120&gt;0), 1, 0)</f>
        <v>0</v>
      </c>
      <c r="P120" s="604">
        <f>IF(OR($CO120&gt;0, $CQ120&gt;0), 1, 0)</f>
        <v>0</v>
      </c>
      <c r="Q120" s="604">
        <f>IF(OR($CR120&gt;0, $CT120&gt;0), 1, 0)</f>
        <v>0</v>
      </c>
      <c r="R120" s="604">
        <f>IF(OR($CU120&gt;0, $CW120&gt;0), 1, 0)</f>
        <v>0</v>
      </c>
      <c r="S120" s="604">
        <f>IF(OR($CX120&gt;0, $CZ120&gt;0), 1, 0)</f>
        <v>0</v>
      </c>
      <c r="T120" s="604">
        <f>IF(OR($DA120&gt;0, $DC120&gt;0), 1, 0)</f>
        <v>0</v>
      </c>
      <c r="U120" s="603">
        <f>IF(OR($AI120&gt;0,$AM120&gt;0,$AS120&gt;0), 1, 0)</f>
        <v>0</v>
      </c>
      <c r="V120" s="602">
        <f>[1]BDD!A110</f>
        <v>1220</v>
      </c>
      <c r="W120" s="601" t="str">
        <f>[1]BDD!B110</f>
        <v>Fruits du Baobab en poudre (seulement la pulpe) BIO</v>
      </c>
      <c r="X120" s="600" t="str">
        <f>IF([1]BDD!F110=0, "", [1]BDD!F110)</f>
        <v>❤️</v>
      </c>
      <c r="Y120" s="542">
        <f>ROUND([1]BDD!G110+FDP_CMD_KG, 2)</f>
        <v>37.369999999999997</v>
      </c>
      <c r="Z120" s="542">
        <f>ROUND([1]BDD!G110+FDP_FACT_KG, 2)</f>
        <v>37.369999999999997</v>
      </c>
      <c r="AA120" s="543" t="str">
        <f>[1]BDD!H110</f>
        <v>kg</v>
      </c>
      <c r="AB120" s="544" t="str">
        <f>IF(NOT(ISBLANK([1]BDD!I110)), ROUND(SUM(([1]BDD!G110*reduc1),FDP_CMD_KG), 2), "")</f>
        <v/>
      </c>
      <c r="AC120" s="544" t="str">
        <f>IF(NOT(ISBLANK([1]BDD!J110)), ROUND(SUM(([1]BDD!G110*reduc2),FDP_CMD_KG), 2), "")</f>
        <v/>
      </c>
      <c r="AD120" s="544" t="str">
        <f>IF(NOT(ISBLANK([1]BDD!K110)), ROUND(SUM(([1]BDD!G110*reduc3),FDP_CMD_KG), 2), "")</f>
        <v/>
      </c>
      <c r="AE120" s="544" t="str">
        <f>IF(NOT(ISBLANK([1]BDD!I110)), ROUND(SUM(([1]BDD!G110*reduc1),FDP_FACT_KG), 2), "")</f>
        <v/>
      </c>
      <c r="AF120" s="544" t="str">
        <f>IF(NOT(ISBLANK([1]BDD!J110)), ROUND(SUM(([1]BDD!G110*reduc2),FDP_FACT_KG), 2), "")</f>
        <v/>
      </c>
      <c r="AG120" s="544" t="str">
        <f>IF(NOT(ISBLANK([1]BDD!K110)), ROUND(SUM(([1]BDD!G110*reduc3),FDP_FACT_KG), 2), "")</f>
        <v/>
      </c>
      <c r="AH120" s="599" t="str">
        <f>[1]BDD!C110</f>
        <v>Import</v>
      </c>
      <c r="AI120" s="598">
        <f>SUM(AV120,AY120,BB120,BE120,BH120,BK120,BN120,BQ120,BT120,BW120,BZ120,CC120,CF120,CI120,CL120,CO120,CR120,CU120,CX120,DA120)</f>
        <v>0</v>
      </c>
      <c r="AJ120" s="545">
        <f>_xlfn.IFS($AD120&lt;&gt;"", $AD120,    $AC120&lt;&gt;"", $AC120,    $AB120&lt;&gt;"", $AB120,    TRUE, $Y120)</f>
        <v>37.369999999999997</v>
      </c>
      <c r="AK120" s="592">
        <f>$AI120*$AJ120</f>
        <v>0</v>
      </c>
      <c r="AL120" s="594"/>
      <c r="AM120" s="597"/>
      <c r="AN120" s="545">
        <f>_xlfn.IFS(AND(AM120&gt;=60,$AG120&lt;&gt;""), $AG120,    AND(AM120&gt;=30,$AF120&lt;&gt;""), $AF120,    AND(AM120&gt;=10,$AE120&lt;&gt;""), $AE120,    TRUE, $Z120)</f>
        <v>37.369999999999997</v>
      </c>
      <c r="AO120" s="596">
        <f>AM120*AN120</f>
        <v>0</v>
      </c>
      <c r="AP120" s="595"/>
      <c r="AQ120" s="595"/>
      <c r="AR120" s="594"/>
      <c r="AS120" s="593">
        <f>SUM(AW120,AZ120,BC120,BF120,BI120,BL120,BO120,BR120,BU120,BX120,CA120,CD120,CG120,CJ120,CM120,CP120,CS120,CV120,CY120,DB120)</f>
        <v>0</v>
      </c>
      <c r="AT120" s="545">
        <f>_xlfn.IFS(AND(AS120&gt;=60,$AG120&lt;&gt;""), $AG120,    AND(AS120&gt;=30,$AF120&lt;&gt;""), $AF120,    AND(AS120&gt;=10,$AE120&lt;&gt;""), $AE120,    TRUE, $Z120)</f>
        <v>37.369999999999997</v>
      </c>
      <c r="AU120" s="592">
        <f>$AS120*$AT120</f>
        <v>0</v>
      </c>
      <c r="AV120" s="591">
        <f>[1]COMMANDE!O118</f>
        <v>0</v>
      </c>
      <c r="AW120" s="586" t="str">
        <f>_xlfn.IFS(AND($AI120=$AM120,$AI120&gt;0,$AM120&gt;0,AV120&gt;0), AV120,     AND(NOT($AI120=$AM120),$AI120&gt;0,$AM120&gt;0,AV120&gt;0), ($AM120*AV120)/$AI120,     AND($AI120=0,$AM120&gt;0,$AQ120&gt;0), IF(INDEX(AV$12:AV$263,MATCH($AQ120,$AP$12:$AP$263,0))&gt;0,($AM120*INDEX(AV$12:AV$263,MATCH($AQ120,$AP$12:$AP$263,0)))/INDEX($AI$12:$AI$263,MATCH($AQ120,$AP$12:$AP$263,0)), "-"),     TRUE, "0")</f>
        <v>0</v>
      </c>
      <c r="AX120" s="588">
        <f>IF(AW$9&gt;0, IF(OR(AW120="",AW120="-"), 0, AW120*$AT120), AV120*$AJ120)</f>
        <v>0</v>
      </c>
      <c r="AY120" s="587">
        <f>[1]COMMANDE!Q118</f>
        <v>0</v>
      </c>
      <c r="AZ120" s="586" t="str">
        <f>_xlfn.IFS(AND($AI120=$AM120,$AI120&gt;0,$AM120&gt;0,AY120&gt;0), AY120,     AND(NOT($AI120=$AM120),$AI120&gt;0,$AM120&gt;0,AY120&gt;0), ($AM120*AY120)/$AI120,     AND($AI120=0,$AM120&gt;0,$AQ120&gt;0), IF(INDEX(AY$12:AY$263,MATCH($AQ120,$AP$12:$AP$263,0))&gt;0,($AM120*INDEX(AY$12:AY$263,MATCH($AQ120,$AP$12:$AP$263,0)))/INDEX($AI$12:$AI$263,MATCH($AQ120,$AP$12:$AP$263,0)), "-"),     TRUE, "0")</f>
        <v>0</v>
      </c>
      <c r="BA120" s="607">
        <f>IF(AZ$9&gt;0, IF(OR(AZ120="",AZ120="-"), 0, AZ120*$AT120), AY120*$AJ120)</f>
        <v>0</v>
      </c>
      <c r="BB120" s="589">
        <f>[1]COMMANDE!S118</f>
        <v>0</v>
      </c>
      <c r="BC120" s="586" t="str">
        <f>_xlfn.IFS(AND($AI120=$AM120,$AI120&gt;0,$AM120&gt;0,BB120&gt;0), BB120,     AND(NOT($AI120=$AM120),$AI120&gt;0,$AM120&gt;0,BB120&gt;0), ($AM120*BB120)/$AI120,     AND($AI120=0,$AM120&gt;0,$AQ120&gt;0), IF(INDEX(BB$12:BB$263,MATCH($AQ120,$AP$12:$AP$263,0))&gt;0,($AM120*INDEX(BB$12:BB$263,MATCH($AQ120,$AP$12:$AP$263,0)))/INDEX($AI$12:$AI$263,MATCH($AQ120,$AP$12:$AP$263,0)), "-"),     TRUE, "0")</f>
        <v>0</v>
      </c>
      <c r="BD120" s="588">
        <f>IF(BC$9&gt;0, IF(OR(BC120="",BC120="-"), 0, BC120*$AT120), BB120*$AJ120)</f>
        <v>0</v>
      </c>
      <c r="BE120" s="587">
        <f>[1]COMMANDE!U118</f>
        <v>0</v>
      </c>
      <c r="BF120" s="586" t="str">
        <f>_xlfn.IFS(AND($AI120=$AM120,$AI120&gt;0,$AM120&gt;0,BE120&gt;0), BE120,     AND(NOT($AI120=$AM120),$AI120&gt;0,$AM120&gt;0,BE120&gt;0), ($AM120*BE120)/$AI120,     AND($AI120=0,$AM120&gt;0,$AQ120&gt;0), IF(INDEX(BE$12:BE$263,MATCH($AQ120,$AP$12:$AP$263,0))&gt;0,($AM120*INDEX(BE$12:BE$263,MATCH($AQ120,$AP$12:$AP$263,0)))/INDEX($AI$12:$AI$263,MATCH($AQ120,$AP$12:$AP$263,0)), "-"),     TRUE, "0")</f>
        <v>0</v>
      </c>
      <c r="BG120" s="607">
        <f>IF(BF$9&gt;0, IF(OR(BF120="",BF120="-"), 0, BF120*$AT120), BE120*$AJ120)</f>
        <v>0</v>
      </c>
      <c r="BH120" s="589">
        <f>[1]COMMANDE!W118</f>
        <v>0</v>
      </c>
      <c r="BI120" s="586" t="str">
        <f>_xlfn.IFS(AND($AI120=$AM120,$AI120&gt;0,$AM120&gt;0,BH120&gt;0), BH120,     AND(NOT($AI120=$AM120),$AI120&gt;0,$AM120&gt;0,BH120&gt;0), ($AM120*BH120)/$AI120,     AND($AI120=0,$AM120&gt;0,$AQ120&gt;0), IF(INDEX(BH$12:BH$263,MATCH($AQ120,$AP$12:$AP$263,0))&gt;0,($AM120*INDEX(BH$12:BH$263,MATCH($AQ120,$AP$12:$AP$263,0)))/INDEX($AI$12:$AI$263,MATCH($AQ120,$AP$12:$AP$263,0)), "-"),     TRUE, "0")</f>
        <v>0</v>
      </c>
      <c r="BJ120" s="588">
        <f>IF(BI$9&gt;0, IF(OR(BI120="",BI120="-"), 0, BI120*$AT120), BH120*$AJ120)</f>
        <v>0</v>
      </c>
      <c r="BK120" s="587">
        <f>[1]COMMANDE!Y118</f>
        <v>0</v>
      </c>
      <c r="BL120" s="586" t="str">
        <f>_xlfn.IFS(AND($AI120=$AM120,$AI120&gt;0,$AM120&gt;0,BK120&gt;0), BK120,     AND(NOT($AI120=$AM120),$AI120&gt;0,$AM120&gt;0,BK120&gt;0), ($AM120*BK120)/$AI120,     AND($AI120=0,$AM120&gt;0,$AQ120&gt;0), IF(INDEX(BK$12:BK$263,MATCH($AQ120,$AP$12:$AP$263,0))&gt;0,($AM120*INDEX(BK$12:BK$263,MATCH($AQ120,$AP$12:$AP$263,0)))/INDEX($AI$12:$AI$263,MATCH($AQ120,$AP$12:$AP$263,0)), "-"),     TRUE, "0")</f>
        <v>0</v>
      </c>
      <c r="BM120" s="607">
        <f>IF(BL$9&gt;0, IF(OR(BL120="",BL120="-"), 0, BL120*$AT120), BK120*$AJ120)</f>
        <v>0</v>
      </c>
      <c r="BN120" s="589">
        <f>[1]COMMANDE!AA118</f>
        <v>0</v>
      </c>
      <c r="BO120" s="586" t="str">
        <f>_xlfn.IFS(AND($AI120=$AM120,$AI120&gt;0,$AM120&gt;0,BN120&gt;0), BN120,     AND(NOT($AI120=$AM120),$AI120&gt;0,$AM120&gt;0,BN120&gt;0), ($AM120*BN120)/$AI120,     AND($AI120=0,$AM120&gt;0,$AQ120&gt;0), IF(INDEX(BN$12:BN$263,MATCH($AQ120,$AP$12:$AP$263,0))&gt;0,($AM120*INDEX(BN$12:BN$263,MATCH($AQ120,$AP$12:$AP$263,0)))/INDEX($AI$12:$AI$263,MATCH($AQ120,$AP$12:$AP$263,0)), "-"),     TRUE, "0")</f>
        <v>0</v>
      </c>
      <c r="BP120" s="588">
        <f>IF(BO$9&gt;0, IF(OR(BO120="",BO120="-"), 0, BO120*$AT120), BN120*$AJ120)</f>
        <v>0</v>
      </c>
      <c r="BQ120" s="587">
        <f>[1]COMMANDE!AC118</f>
        <v>0</v>
      </c>
      <c r="BR120" s="586" t="str">
        <f>_xlfn.IFS(AND($AI120=$AM120,$AI120&gt;0,$AM120&gt;0,BQ120&gt;0), BQ120,     AND(NOT($AI120=$AM120),$AI120&gt;0,$AM120&gt;0,BQ120&gt;0), ($AM120*BQ120)/$AI120,     AND($AI120=0,$AM120&gt;0,$AQ120&gt;0), IF(INDEX(BQ$12:BQ$263,MATCH($AQ120,$AP$12:$AP$263,0))&gt;0,($AM120*INDEX(BQ$12:BQ$263,MATCH($AQ120,$AP$12:$AP$263,0)))/INDEX($AI$12:$AI$263,MATCH($AQ120,$AP$12:$AP$263,0)), "-"),     TRUE, "0")</f>
        <v>0</v>
      </c>
      <c r="BS120" s="607">
        <f>IF(BR$9&gt;0, IF(OR(BR120="",BR120="-"), 0, BR120*$AT120), BQ120*$AJ120)</f>
        <v>0</v>
      </c>
      <c r="BT120" s="589">
        <f>[1]COMMANDE!AE118</f>
        <v>0</v>
      </c>
      <c r="BU120" s="586" t="str">
        <f>_xlfn.IFS(AND($AI120=$AM120,$AI120&gt;0,$AM120&gt;0,BT120&gt;0), BT120,     AND(NOT($AI120=$AM120),$AI120&gt;0,$AM120&gt;0,BT120&gt;0), ($AM120*BT120)/$AI120,     AND($AI120=0,$AM120&gt;0,$AQ120&gt;0), IF(INDEX(BT$12:BT$263,MATCH($AQ120,$AP$12:$AP$263,0))&gt;0,($AM120*INDEX(BT$12:BT$263,MATCH($AQ120,$AP$12:$AP$263,0)))/INDEX($AI$12:$AI$263,MATCH($AQ120,$AP$12:$AP$263,0)), "-"),     TRUE, "0")</f>
        <v>0</v>
      </c>
      <c r="BV120" s="588">
        <f>IF(BU$9&gt;0, IF(OR(BU120="",BU120="-"), 0, BU120*$AT120), BT120*$AJ120)</f>
        <v>0</v>
      </c>
      <c r="BW120" s="587">
        <f>[1]COMMANDE!AG118</f>
        <v>0</v>
      </c>
      <c r="BX120" s="586" t="str">
        <f>_xlfn.IFS(AND($AI120=$AM120,$AI120&gt;0,$AM120&gt;0,BW120&gt;0), BW120,     AND(NOT($AI120=$AM120),$AI120&gt;0,$AM120&gt;0,BW120&gt;0), ($AM120*BW120)/$AI120,     AND($AI120=0,$AM120&gt;0,$AQ120&gt;0), IF(INDEX(BW$12:BW$263,MATCH($AQ120,$AP$12:$AP$263,0))&gt;0,($AM120*INDEX(BW$12:BW$263,MATCH($AQ120,$AP$12:$AP$263,0)))/INDEX($AI$12:$AI$263,MATCH($AQ120,$AP$12:$AP$263,0)), "-"),     TRUE, "0")</f>
        <v>0</v>
      </c>
      <c r="BY120" s="607">
        <f>IF(BX$9&gt;0, IF(OR(BX120="",BX120="-"), 0, BX120*$AT120), BW120*$AJ120)</f>
        <v>0</v>
      </c>
      <c r="BZ120" s="589">
        <f>[1]COMMANDE!AI118</f>
        <v>0</v>
      </c>
      <c r="CA120" s="586" t="str">
        <f>_xlfn.IFS(AND($AI120=$AM120,$AI120&gt;0,$AM120&gt;0,BZ120&gt;0), BZ120,     AND(NOT($AI120=$AM120),$AI120&gt;0,$AM120&gt;0,BZ120&gt;0), ($AM120*BZ120)/$AI120,     AND($AI120=0,$AM120&gt;0,$AQ120&gt;0), IF(INDEX(BZ$12:BZ$263,MATCH($AQ120,$AP$12:$AP$263,0))&gt;0,($AM120*INDEX(BZ$12:BZ$263,MATCH($AQ120,$AP$12:$AP$263,0)))/INDEX($AI$12:$AI$263,MATCH($AQ120,$AP$12:$AP$263,0)), "-"),     TRUE, "0")</f>
        <v>0</v>
      </c>
      <c r="CB120" s="588">
        <f>IF(CA$9&gt;0, IF(OR(CA120="",CA120="-"), 0, CA120*$AT120), BZ120*$AJ120)</f>
        <v>0</v>
      </c>
      <c r="CC120" s="587">
        <f>[1]COMMANDE!AK118</f>
        <v>0</v>
      </c>
      <c r="CD120" s="586" t="str">
        <f>_xlfn.IFS(AND($AI120=$AM120,$AI120&gt;0,$AM120&gt;0,CC120&gt;0), CC120,     AND(NOT($AI120=$AM120),$AI120&gt;0,$AM120&gt;0,CC120&gt;0), ($AM120*CC120)/$AI120,     AND($AI120=0,$AM120&gt;0,$AQ120&gt;0), IF(INDEX(CC$12:CC$263,MATCH($AQ120,$AP$12:$AP$263,0))&gt;0,($AM120*INDEX(CC$12:CC$263,MATCH($AQ120,$AP$12:$AP$263,0)))/INDEX($AI$12:$AI$263,MATCH($AQ120,$AP$12:$AP$263,0)), "-"),     TRUE, "0")</f>
        <v>0</v>
      </c>
      <c r="CE120" s="607">
        <f>IF(CD$9&gt;0, IF(OR(CD120="",CD120="-"), 0, CD120*$AT120), CC120*$AJ120)</f>
        <v>0</v>
      </c>
      <c r="CF120" s="589">
        <f>[1]COMMANDE!AM118</f>
        <v>0</v>
      </c>
      <c r="CG120" s="586" t="str">
        <f>_xlfn.IFS(AND($AI120=$AM120,$AI120&gt;0,$AM120&gt;0,CF120&gt;0), CF120,     AND(NOT($AI120=$AM120),$AI120&gt;0,$AM120&gt;0,CF120&gt;0), ($AM120*CF120)/$AI120,     AND($AI120=0,$AM120&gt;0,$AQ120&gt;0), IF(INDEX(CF$12:CF$263,MATCH($AQ120,$AP$12:$AP$263,0))&gt;0,($AM120*INDEX(CF$12:CF$263,MATCH($AQ120,$AP$12:$AP$263,0)))/INDEX($AI$12:$AI$263,MATCH($AQ120,$AP$12:$AP$263,0)), "-"),     TRUE, "0")</f>
        <v>0</v>
      </c>
      <c r="CH120" s="588">
        <f>IF(CG$9&gt;0, IF(OR(CG120="",CG120="-"), 0, CG120*$AT120), CF120*$AJ120)</f>
        <v>0</v>
      </c>
      <c r="CI120" s="587">
        <f>[1]COMMANDE!AO118</f>
        <v>0</v>
      </c>
      <c r="CJ120" s="586" t="str">
        <f>_xlfn.IFS(AND($AI120=$AM120,$AI120&gt;0,$AM120&gt;0,CI120&gt;0), CI120,     AND(NOT($AI120=$AM120),$AI120&gt;0,$AM120&gt;0,CI120&gt;0), ($AM120*CI120)/$AI120,     AND($AI120=0,$AM120&gt;0,$AQ120&gt;0), IF(INDEX(CI$12:CI$263,MATCH($AQ120,$AP$12:$AP$263,0))&gt;0,($AM120*INDEX(CI$12:CI$263,MATCH($AQ120,$AP$12:$AP$263,0)))/INDEX($AI$12:$AI$263,MATCH($AQ120,$AP$12:$AP$263,0)), "-"),     TRUE, "0")</f>
        <v>0</v>
      </c>
      <c r="CK120" s="607">
        <f>IF(CJ$9&gt;0, IF(OR(CJ120="",CJ120="-"), 0, CJ120*$AT120), CI120*$AJ120)</f>
        <v>0</v>
      </c>
      <c r="CL120" s="589">
        <f>[1]COMMANDE!AQ118</f>
        <v>0</v>
      </c>
      <c r="CM120" s="586" t="str">
        <f>_xlfn.IFS(AND($AI120=$AM120,$AI120&gt;0,$AM120&gt;0,CL120&gt;0), CL120,     AND(NOT($AI120=$AM120),$AI120&gt;0,$AM120&gt;0,CL120&gt;0), ($AM120*CL120)/$AI120,     AND($AI120=0,$AM120&gt;0,$AQ120&gt;0), IF(INDEX(CL$12:CL$263,MATCH($AQ120,$AP$12:$AP$263,0))&gt;0,($AM120*INDEX(CL$12:CL$263,MATCH($AQ120,$AP$12:$AP$263,0)))/INDEX($AI$12:$AI$263,MATCH($AQ120,$AP$12:$AP$263,0)), "-"),     TRUE, "0")</f>
        <v>0</v>
      </c>
      <c r="CN120" s="588">
        <f>IF(CM$9&gt;0, IF(OR(CM120="",CM120="-"), 0, CM120*$AT120), CL120*$AJ120)</f>
        <v>0</v>
      </c>
      <c r="CO120" s="587">
        <f>[1]COMMANDE!AS118</f>
        <v>0</v>
      </c>
      <c r="CP120" s="586" t="str">
        <f>_xlfn.IFS(AND($AI120=$AM120,$AI120&gt;0,$AM120&gt;0,CO120&gt;0), CO120,     AND(NOT($AI120=$AM120),$AI120&gt;0,$AM120&gt;0,CO120&gt;0), ($AM120*CO120)/$AI120,     AND($AI120=0,$AM120&gt;0,$AQ120&gt;0), IF(INDEX(CO$12:CO$263,MATCH($AQ120,$AP$12:$AP$263,0))&gt;0,($AM120*INDEX(CO$12:CO$263,MATCH($AQ120,$AP$12:$AP$263,0)))/INDEX($AI$12:$AI$263,MATCH($AQ120,$AP$12:$AP$263,0)), "-"),     TRUE, "0")</f>
        <v>0</v>
      </c>
      <c r="CQ120" s="607">
        <f>IF(CP$9&gt;0, IF(OR(CP120="",CP120="-"), 0, CP120*$AT120), CO120*$AJ120)</f>
        <v>0</v>
      </c>
      <c r="CR120" s="589">
        <f>[1]COMMANDE!AU118</f>
        <v>0</v>
      </c>
      <c r="CS120" s="586" t="str">
        <f>_xlfn.IFS(AND($AI120=$AM120,$AI120&gt;0,$AM120&gt;0,CR120&gt;0), CR120,     AND(NOT($AI120=$AM120),$AI120&gt;0,$AM120&gt;0,CR120&gt;0), ($AM120*CR120)/$AI120,     AND($AI120=0,$AM120&gt;0,$AQ120&gt;0), IF(INDEX(CR$12:CR$263,MATCH($AQ120,$AP$12:$AP$263,0))&gt;0,($AM120*INDEX(CR$12:CR$263,MATCH($AQ120,$AP$12:$AP$263,0)))/INDEX($AI$12:$AI$263,MATCH($AQ120,$AP$12:$AP$263,0)), "-"),     TRUE, "0")</f>
        <v>0</v>
      </c>
      <c r="CT120" s="588">
        <f>IF(CS$9&gt;0, IF(OR(CS120="",CS120="-"), 0, CS120*$AT120), CR120*$AJ120)</f>
        <v>0</v>
      </c>
      <c r="CU120" s="587">
        <f>[1]COMMANDE!AW118</f>
        <v>0</v>
      </c>
      <c r="CV120" s="586" t="str">
        <f>_xlfn.IFS(AND($AI120=$AM120,$AI120&gt;0,$AM120&gt;0,CU120&gt;0), CU120,     AND(NOT($AI120=$AM120),$AI120&gt;0,$AM120&gt;0,CU120&gt;0), ($AM120*CU120)/$AI120,     AND($AI120=0,$AM120&gt;0,$AQ120&gt;0), IF(INDEX(CU$12:CU$263,MATCH($AQ120,$AP$12:$AP$263,0))&gt;0,($AM120*INDEX(CU$12:CU$263,MATCH($AQ120,$AP$12:$AP$263,0)))/INDEX($AI$12:$AI$263,MATCH($AQ120,$AP$12:$AP$263,0)), "-"),     TRUE, "0")</f>
        <v>0</v>
      </c>
      <c r="CW120" s="607">
        <f>IF(CV$9&gt;0, IF(OR(CV120="",CV120="-"), 0, CV120*$AT120), CU120*$AJ120)</f>
        <v>0</v>
      </c>
      <c r="CX120" s="589">
        <f>[1]COMMANDE!AY118</f>
        <v>0</v>
      </c>
      <c r="CY120" s="586" t="str">
        <f>_xlfn.IFS(AND($AI120=$AM120,$AI120&gt;0,$AM120&gt;0,CX120&gt;0), CX120,     AND(NOT($AI120=$AM120),$AI120&gt;0,$AM120&gt;0,CX120&gt;0), ($AM120*CX120)/$AI120,     AND($AI120=0,$AM120&gt;0,$AQ120&gt;0), IF(INDEX(CX$12:CX$263,MATCH($AQ120,$AP$12:$AP$263,0))&gt;0,($AM120*INDEX(CX$12:CX$263,MATCH($AQ120,$AP$12:$AP$263,0)))/INDEX($AI$12:$AI$263,MATCH($AQ120,$AP$12:$AP$263,0)), "-"),     TRUE, "0")</f>
        <v>0</v>
      </c>
      <c r="CZ120" s="588">
        <f>IF(CY$9&gt;0, IF(OR(CY120="",CY120="-"), 0, CY120*$AT120), CX120*$AJ120)</f>
        <v>0</v>
      </c>
      <c r="DA120" s="587">
        <f>[1]COMMANDE!BA118</f>
        <v>0</v>
      </c>
      <c r="DB120" s="586" t="str">
        <f>_xlfn.IFS(AND($AI120=$AM120,$AI120&gt;0,$AM120&gt;0,DA120&gt;0), DA120,     AND(NOT($AI120=$AM120),$AI120&gt;0,$AM120&gt;0,DA120&gt;0), ($AM120*DA120)/$AI120,     AND($AI120=0,$AM120&gt;0,$AQ120&gt;0), IF(INDEX(DA$12:DA$263,MATCH($AQ120,$AP$12:$AP$263,0))&gt;0,($AM120*INDEX(DA$12:DA$263,MATCH($AQ120,$AP$12:$AP$263,0)))/INDEX($AI$12:$AI$263,MATCH($AQ120,$AP$12:$AP$263,0)), "-"),     TRUE, "0")</f>
        <v>0</v>
      </c>
      <c r="DC120" s="606">
        <f>IF(DB$9&gt;0, IF(OR(DB120="",DB120="-"), 0, DB120*$AT120), DA120*$AJ120)</f>
        <v>0</v>
      </c>
      <c r="DD120" s="584"/>
      <c r="DE120" s="583"/>
    </row>
    <row r="121" spans="1:128" ht="39.950000000000003" hidden="1" customHeight="1">
      <c r="A121" s="604">
        <f>IF(OR($AV121&gt;0, $AX121&gt;0), 1, 0)</f>
        <v>0</v>
      </c>
      <c r="B121" s="604">
        <f>IF(OR($AY121&gt;0, $BA121&gt;0), 1, 0)</f>
        <v>0</v>
      </c>
      <c r="C121" s="604">
        <f>IF(OR($BB121&gt;0, $BD121&gt;0), 1, 0)</f>
        <v>0</v>
      </c>
      <c r="D121" s="604">
        <f>IF(OR($BE121&gt;0, $BG121&gt;0), 1, 0)</f>
        <v>0</v>
      </c>
      <c r="E121" s="604">
        <f>IF(OR($BH121&gt;0, $BJ121&gt;0), 1, 0)</f>
        <v>0</v>
      </c>
      <c r="F121" s="604">
        <f>IF(OR($BK121&gt;0, $BM121&gt;0), 1, 0)</f>
        <v>0</v>
      </c>
      <c r="G121" s="604">
        <f>IF(OR($BN121&gt;0, $BP121&gt;0), 1, 0)</f>
        <v>0</v>
      </c>
      <c r="H121" s="604">
        <f>IF(OR($BQ121&gt;0, $BS121&gt;0), 1, 0)</f>
        <v>0</v>
      </c>
      <c r="I121" s="604">
        <f>IF(OR($BT121&gt;0, $BV121&gt;0), 1, 0)</f>
        <v>0</v>
      </c>
      <c r="J121" s="604">
        <f>IF(OR($BW121&gt;0, $BY121&gt;0), 1, 0)</f>
        <v>0</v>
      </c>
      <c r="K121" s="604">
        <f>IF(OR($BZ121&gt;0, $CB121&gt;0), 1, 0)</f>
        <v>0</v>
      </c>
      <c r="L121" s="604">
        <f>IF(OR($CC121&gt;0, $CE121&gt;0), 1, 0)</f>
        <v>0</v>
      </c>
      <c r="M121" s="604">
        <f>IF(OR($CF121&gt;0, $CH121&gt;0), 1, 0)</f>
        <v>0</v>
      </c>
      <c r="N121" s="604">
        <f>IF(OR($CI121&gt;0, $CK121&gt;0), 1, 0)</f>
        <v>0</v>
      </c>
      <c r="O121" s="604">
        <f>IF(OR($CL121&gt;0, $CN121&gt;0), 1, 0)</f>
        <v>0</v>
      </c>
      <c r="P121" s="604">
        <f>IF(OR($CO121&gt;0, $CQ121&gt;0), 1, 0)</f>
        <v>0</v>
      </c>
      <c r="Q121" s="604">
        <f>IF(OR($CR121&gt;0, $CT121&gt;0), 1, 0)</f>
        <v>0</v>
      </c>
      <c r="R121" s="604">
        <f>IF(OR($CU121&gt;0, $CW121&gt;0), 1, 0)</f>
        <v>0</v>
      </c>
      <c r="S121" s="604">
        <f>IF(OR($CX121&gt;0, $CZ121&gt;0), 1, 0)</f>
        <v>0</v>
      </c>
      <c r="T121" s="604">
        <f>IF(OR($DA121&gt;0, $DC121&gt;0), 1, 0)</f>
        <v>0</v>
      </c>
      <c r="U121" s="603">
        <f>IF(OR($AI121&gt;0,$AM121&gt;0,$AS121&gt;0), 1, 0)</f>
        <v>0</v>
      </c>
      <c r="V121" s="602">
        <f>[1]BDD!A111</f>
        <v>1967</v>
      </c>
      <c r="W121" s="601" t="str">
        <f>[1]BDD!B111</f>
        <v>Gingembre BIO</v>
      </c>
      <c r="X121" s="600" t="str">
        <f>IF([1]BDD!F111=0, "", [1]BDD!F111)</f>
        <v>❤️</v>
      </c>
      <c r="Y121" s="542">
        <f>ROUND([1]BDD!G111+FDP_CMD_KG, 2)</f>
        <v>8.1199999999999992</v>
      </c>
      <c r="Z121" s="542">
        <f>ROUND([1]BDD!G111+FDP_FACT_KG, 2)</f>
        <v>8.1199999999999992</v>
      </c>
      <c r="AA121" s="543" t="str">
        <f>[1]BDD!H111</f>
        <v>kg</v>
      </c>
      <c r="AB121" s="544">
        <f>IF(NOT(ISBLANK([1]BDD!I111)), ROUND(SUM(([1]BDD!G111*reduc1),FDP_CMD_KG), 2), "")</f>
        <v>7.4</v>
      </c>
      <c r="AC121" s="544">
        <f>IF(NOT(ISBLANK([1]BDD!J111)), ROUND(SUM(([1]BDD!G111*reduc2),FDP_CMD_KG), 2), "")</f>
        <v>6.67</v>
      </c>
      <c r="AD121" s="544" t="str">
        <f>IF(NOT(ISBLANK([1]BDD!K111)), ROUND(SUM(([1]BDD!G111*reduc3),FDP_CMD_KG), 2), "")</f>
        <v/>
      </c>
      <c r="AE121" s="544">
        <f>IF(NOT(ISBLANK([1]BDD!I111)), ROUND(SUM(([1]BDD!G111*reduc1),FDP_FACT_KG), 2), "")</f>
        <v>7.39</v>
      </c>
      <c r="AF121" s="544">
        <f>IF(NOT(ISBLANK([1]BDD!J111)), ROUND(SUM(([1]BDD!G111*reduc2),FDP_FACT_KG), 2), "")</f>
        <v>6.67</v>
      </c>
      <c r="AG121" s="544" t="str">
        <f>IF(NOT(ISBLANK([1]BDD!K111)), ROUND(SUM(([1]BDD!G111*reduc3),FDP_FACT_KG), 2), "")</f>
        <v/>
      </c>
      <c r="AH121" s="599" t="str">
        <f>[1]BDD!C111</f>
        <v>Pérou</v>
      </c>
      <c r="AI121" s="598">
        <f>SUM(AV121,AY121,BB121,BE121,BH121,BK121,BN121,BQ121,BT121,BW121,BZ121,CC121,CF121,CI121,CL121,CO121,CR121,CU121,CX121,DA121)</f>
        <v>0</v>
      </c>
      <c r="AJ121" s="545">
        <f>_xlfn.IFS($AD121&lt;&gt;"", $AD121,    $AC121&lt;&gt;"", $AC121,    $AB121&lt;&gt;"", $AB121,    TRUE, $Y121)</f>
        <v>6.67</v>
      </c>
      <c r="AK121" s="592">
        <f>$AI121*$AJ121</f>
        <v>0</v>
      </c>
      <c r="AL121" s="594"/>
      <c r="AM121" s="597"/>
      <c r="AN121" s="545">
        <f>_xlfn.IFS(AND(AM121&gt;=60,$AG121&lt;&gt;""), $AG121,    AND(AM121&gt;=30,$AF121&lt;&gt;""), $AF121,    AND(AM121&gt;=10,$AE121&lt;&gt;""), $AE121,    TRUE, $Z121)</f>
        <v>8.1199999999999992</v>
      </c>
      <c r="AO121" s="596">
        <f>AM121*AN121</f>
        <v>0</v>
      </c>
      <c r="AP121" s="595"/>
      <c r="AQ121" s="595"/>
      <c r="AR121" s="594"/>
      <c r="AS121" s="593">
        <f>SUM(AW121,AZ121,BC121,BF121,BI121,BL121,BO121,BR121,BU121,BX121,CA121,CD121,CG121,CJ121,CM121,CP121,CS121,CV121,CY121,DB121)</f>
        <v>0</v>
      </c>
      <c r="AT121" s="545">
        <f>_xlfn.IFS(AND(AS121&gt;=60,$AG121&lt;&gt;""), $AG121,    AND(AS121&gt;=30,$AF121&lt;&gt;""), $AF121,    AND(AS121&gt;=10,$AE121&lt;&gt;""), $AE121,    TRUE, $Z121)</f>
        <v>8.1199999999999992</v>
      </c>
      <c r="AU121" s="592">
        <f>$AS121*$AT121</f>
        <v>0</v>
      </c>
      <c r="AV121" s="591">
        <f>[1]COMMANDE!O119</f>
        <v>0</v>
      </c>
      <c r="AW121" s="586" t="str">
        <f>_xlfn.IFS(AND($AI121=$AM121,$AI121&gt;0,$AM121&gt;0,AV121&gt;0), AV121,     AND(NOT($AI121=$AM121),$AI121&gt;0,$AM121&gt;0,AV121&gt;0), ($AM121*AV121)/$AI121,     AND($AI121=0,$AM121&gt;0,$AQ121&gt;0), IF(INDEX(AV$12:AV$263,MATCH($AQ121,$AP$12:$AP$263,0))&gt;0,($AM121*INDEX(AV$12:AV$263,MATCH($AQ121,$AP$12:$AP$263,0)))/INDEX($AI$12:$AI$263,MATCH($AQ121,$AP$12:$AP$263,0)), "-"),     TRUE, "0")</f>
        <v>0</v>
      </c>
      <c r="AX121" s="588">
        <f>IF(AW$9&gt;0, IF(OR(AW121="",AW121="-"), 0, AW121*$AT121), AV121*$AJ121)</f>
        <v>0</v>
      </c>
      <c r="AY121" s="587">
        <f>[1]COMMANDE!Q119</f>
        <v>0</v>
      </c>
      <c r="AZ121" s="586" t="str">
        <f>_xlfn.IFS(AND($AI121=$AM121,$AI121&gt;0,$AM121&gt;0,AY121&gt;0), AY121,     AND(NOT($AI121=$AM121),$AI121&gt;0,$AM121&gt;0,AY121&gt;0), ($AM121*AY121)/$AI121,     AND($AI121=0,$AM121&gt;0,$AQ121&gt;0), IF(INDEX(AY$12:AY$263,MATCH($AQ121,$AP$12:$AP$263,0))&gt;0,($AM121*INDEX(AY$12:AY$263,MATCH($AQ121,$AP$12:$AP$263,0)))/INDEX($AI$12:$AI$263,MATCH($AQ121,$AP$12:$AP$263,0)), "-"),     TRUE, "0")</f>
        <v>0</v>
      </c>
      <c r="BA121" s="607">
        <f>IF(AZ$9&gt;0, IF(OR(AZ121="",AZ121="-"), 0, AZ121*$AT121), AY121*$AJ121)</f>
        <v>0</v>
      </c>
      <c r="BB121" s="589">
        <f>[1]COMMANDE!S119</f>
        <v>0</v>
      </c>
      <c r="BC121" s="586" t="str">
        <f>_xlfn.IFS(AND($AI121=$AM121,$AI121&gt;0,$AM121&gt;0,BB121&gt;0), BB121,     AND(NOT($AI121=$AM121),$AI121&gt;0,$AM121&gt;0,BB121&gt;0), ($AM121*BB121)/$AI121,     AND($AI121=0,$AM121&gt;0,$AQ121&gt;0), IF(INDEX(BB$12:BB$263,MATCH($AQ121,$AP$12:$AP$263,0))&gt;0,($AM121*INDEX(BB$12:BB$263,MATCH($AQ121,$AP$12:$AP$263,0)))/INDEX($AI$12:$AI$263,MATCH($AQ121,$AP$12:$AP$263,0)), "-"),     TRUE, "0")</f>
        <v>0</v>
      </c>
      <c r="BD121" s="588">
        <f>IF(BC$9&gt;0, IF(OR(BC121="",BC121="-"), 0, BC121*$AT121), BB121*$AJ121)</f>
        <v>0</v>
      </c>
      <c r="BE121" s="587">
        <f>[1]COMMANDE!U119</f>
        <v>0</v>
      </c>
      <c r="BF121" s="586" t="str">
        <f>_xlfn.IFS(AND($AI121=$AM121,$AI121&gt;0,$AM121&gt;0,BE121&gt;0), BE121,     AND(NOT($AI121=$AM121),$AI121&gt;0,$AM121&gt;0,BE121&gt;0), ($AM121*BE121)/$AI121,     AND($AI121=0,$AM121&gt;0,$AQ121&gt;0), IF(INDEX(BE$12:BE$263,MATCH($AQ121,$AP$12:$AP$263,0))&gt;0,($AM121*INDEX(BE$12:BE$263,MATCH($AQ121,$AP$12:$AP$263,0)))/INDEX($AI$12:$AI$263,MATCH($AQ121,$AP$12:$AP$263,0)), "-"),     TRUE, "0")</f>
        <v>0</v>
      </c>
      <c r="BG121" s="607">
        <f>IF(BF$9&gt;0, IF(OR(BF121="",BF121="-"), 0, BF121*$AT121), BE121*$AJ121)</f>
        <v>0</v>
      </c>
      <c r="BH121" s="589">
        <f>[1]COMMANDE!W119</f>
        <v>0</v>
      </c>
      <c r="BI121" s="586" t="str">
        <f>_xlfn.IFS(AND($AI121=$AM121,$AI121&gt;0,$AM121&gt;0,BH121&gt;0), BH121,     AND(NOT($AI121=$AM121),$AI121&gt;0,$AM121&gt;0,BH121&gt;0), ($AM121*BH121)/$AI121,     AND($AI121=0,$AM121&gt;0,$AQ121&gt;0), IF(INDEX(BH$12:BH$263,MATCH($AQ121,$AP$12:$AP$263,0))&gt;0,($AM121*INDEX(BH$12:BH$263,MATCH($AQ121,$AP$12:$AP$263,0)))/INDEX($AI$12:$AI$263,MATCH($AQ121,$AP$12:$AP$263,0)), "-"),     TRUE, "0")</f>
        <v>0</v>
      </c>
      <c r="BJ121" s="588">
        <f>IF(BI$9&gt;0, IF(OR(BI121="",BI121="-"), 0, BI121*$AT121), BH121*$AJ121)</f>
        <v>0</v>
      </c>
      <c r="BK121" s="587">
        <f>[1]COMMANDE!Y119</f>
        <v>0</v>
      </c>
      <c r="BL121" s="586" t="str">
        <f>_xlfn.IFS(AND($AI121=$AM121,$AI121&gt;0,$AM121&gt;0,BK121&gt;0), BK121,     AND(NOT($AI121=$AM121),$AI121&gt;0,$AM121&gt;0,BK121&gt;0), ($AM121*BK121)/$AI121,     AND($AI121=0,$AM121&gt;0,$AQ121&gt;0), IF(INDEX(BK$12:BK$263,MATCH($AQ121,$AP$12:$AP$263,0))&gt;0,($AM121*INDEX(BK$12:BK$263,MATCH($AQ121,$AP$12:$AP$263,0)))/INDEX($AI$12:$AI$263,MATCH($AQ121,$AP$12:$AP$263,0)), "-"),     TRUE, "0")</f>
        <v>0</v>
      </c>
      <c r="BM121" s="607">
        <f>IF(BL$9&gt;0, IF(OR(BL121="",BL121="-"), 0, BL121*$AT121), BK121*$AJ121)</f>
        <v>0</v>
      </c>
      <c r="BN121" s="589">
        <f>[1]COMMANDE!AA119</f>
        <v>0</v>
      </c>
      <c r="BO121" s="586" t="str">
        <f>_xlfn.IFS(AND($AI121=$AM121,$AI121&gt;0,$AM121&gt;0,BN121&gt;0), BN121,     AND(NOT($AI121=$AM121),$AI121&gt;0,$AM121&gt;0,BN121&gt;0), ($AM121*BN121)/$AI121,     AND($AI121=0,$AM121&gt;0,$AQ121&gt;0), IF(INDEX(BN$12:BN$263,MATCH($AQ121,$AP$12:$AP$263,0))&gt;0,($AM121*INDEX(BN$12:BN$263,MATCH($AQ121,$AP$12:$AP$263,0)))/INDEX($AI$12:$AI$263,MATCH($AQ121,$AP$12:$AP$263,0)), "-"),     TRUE, "0")</f>
        <v>0</v>
      </c>
      <c r="BP121" s="588">
        <f>IF(BO$9&gt;0, IF(OR(BO121="",BO121="-"), 0, BO121*$AT121), BN121*$AJ121)</f>
        <v>0</v>
      </c>
      <c r="BQ121" s="587">
        <f>[1]COMMANDE!AC119</f>
        <v>0</v>
      </c>
      <c r="BR121" s="586" t="str">
        <f>_xlfn.IFS(AND($AI121=$AM121,$AI121&gt;0,$AM121&gt;0,BQ121&gt;0), BQ121,     AND(NOT($AI121=$AM121),$AI121&gt;0,$AM121&gt;0,BQ121&gt;0), ($AM121*BQ121)/$AI121,     AND($AI121=0,$AM121&gt;0,$AQ121&gt;0), IF(INDEX(BQ$12:BQ$263,MATCH($AQ121,$AP$12:$AP$263,0))&gt;0,($AM121*INDEX(BQ$12:BQ$263,MATCH($AQ121,$AP$12:$AP$263,0)))/INDEX($AI$12:$AI$263,MATCH($AQ121,$AP$12:$AP$263,0)), "-"),     TRUE, "0")</f>
        <v>0</v>
      </c>
      <c r="BS121" s="607">
        <f>IF(BR$9&gt;0, IF(OR(BR121="",BR121="-"), 0, BR121*$AT121), BQ121*$AJ121)</f>
        <v>0</v>
      </c>
      <c r="BT121" s="589">
        <f>[1]COMMANDE!AE119</f>
        <v>0</v>
      </c>
      <c r="BU121" s="586" t="str">
        <f>_xlfn.IFS(AND($AI121=$AM121,$AI121&gt;0,$AM121&gt;0,BT121&gt;0), BT121,     AND(NOT($AI121=$AM121),$AI121&gt;0,$AM121&gt;0,BT121&gt;0), ($AM121*BT121)/$AI121,     AND($AI121=0,$AM121&gt;0,$AQ121&gt;0), IF(INDEX(BT$12:BT$263,MATCH($AQ121,$AP$12:$AP$263,0))&gt;0,($AM121*INDEX(BT$12:BT$263,MATCH($AQ121,$AP$12:$AP$263,0)))/INDEX($AI$12:$AI$263,MATCH($AQ121,$AP$12:$AP$263,0)), "-"),     TRUE, "0")</f>
        <v>0</v>
      </c>
      <c r="BV121" s="588">
        <f>IF(BU$9&gt;0, IF(OR(BU121="",BU121="-"), 0, BU121*$AT121), BT121*$AJ121)</f>
        <v>0</v>
      </c>
      <c r="BW121" s="587">
        <f>[1]COMMANDE!AG119</f>
        <v>0</v>
      </c>
      <c r="BX121" s="586" t="str">
        <f>_xlfn.IFS(AND($AI121=$AM121,$AI121&gt;0,$AM121&gt;0,BW121&gt;0), BW121,     AND(NOT($AI121=$AM121),$AI121&gt;0,$AM121&gt;0,BW121&gt;0), ($AM121*BW121)/$AI121,     AND($AI121=0,$AM121&gt;0,$AQ121&gt;0), IF(INDEX(BW$12:BW$263,MATCH($AQ121,$AP$12:$AP$263,0))&gt;0,($AM121*INDEX(BW$12:BW$263,MATCH($AQ121,$AP$12:$AP$263,0)))/INDEX($AI$12:$AI$263,MATCH($AQ121,$AP$12:$AP$263,0)), "-"),     TRUE, "0")</f>
        <v>0</v>
      </c>
      <c r="BY121" s="607">
        <f>IF(BX$9&gt;0, IF(OR(BX121="",BX121="-"), 0, BX121*$AT121), BW121*$AJ121)</f>
        <v>0</v>
      </c>
      <c r="BZ121" s="589">
        <f>[1]COMMANDE!AI119</f>
        <v>0</v>
      </c>
      <c r="CA121" s="586" t="str">
        <f>_xlfn.IFS(AND($AI121=$AM121,$AI121&gt;0,$AM121&gt;0,BZ121&gt;0), BZ121,     AND(NOT($AI121=$AM121),$AI121&gt;0,$AM121&gt;0,BZ121&gt;0), ($AM121*BZ121)/$AI121,     AND($AI121=0,$AM121&gt;0,$AQ121&gt;0), IF(INDEX(BZ$12:BZ$263,MATCH($AQ121,$AP$12:$AP$263,0))&gt;0,($AM121*INDEX(BZ$12:BZ$263,MATCH($AQ121,$AP$12:$AP$263,0)))/INDEX($AI$12:$AI$263,MATCH($AQ121,$AP$12:$AP$263,0)), "-"),     TRUE, "0")</f>
        <v>0</v>
      </c>
      <c r="CB121" s="588">
        <f>IF(CA$9&gt;0, IF(OR(CA121="",CA121="-"), 0, CA121*$AT121), BZ121*$AJ121)</f>
        <v>0</v>
      </c>
      <c r="CC121" s="587">
        <f>[1]COMMANDE!AK119</f>
        <v>0</v>
      </c>
      <c r="CD121" s="586" t="str">
        <f>_xlfn.IFS(AND($AI121=$AM121,$AI121&gt;0,$AM121&gt;0,CC121&gt;0), CC121,     AND(NOT($AI121=$AM121),$AI121&gt;0,$AM121&gt;0,CC121&gt;0), ($AM121*CC121)/$AI121,     AND($AI121=0,$AM121&gt;0,$AQ121&gt;0), IF(INDEX(CC$12:CC$263,MATCH($AQ121,$AP$12:$AP$263,0))&gt;0,($AM121*INDEX(CC$12:CC$263,MATCH($AQ121,$AP$12:$AP$263,0)))/INDEX($AI$12:$AI$263,MATCH($AQ121,$AP$12:$AP$263,0)), "-"),     TRUE, "0")</f>
        <v>0</v>
      </c>
      <c r="CE121" s="607">
        <f>IF(CD$9&gt;0, IF(OR(CD121="",CD121="-"), 0, CD121*$AT121), CC121*$AJ121)</f>
        <v>0</v>
      </c>
      <c r="CF121" s="589">
        <f>[1]COMMANDE!AM119</f>
        <v>0</v>
      </c>
      <c r="CG121" s="586" t="str">
        <f>_xlfn.IFS(AND($AI121=$AM121,$AI121&gt;0,$AM121&gt;0,CF121&gt;0), CF121,     AND(NOT($AI121=$AM121),$AI121&gt;0,$AM121&gt;0,CF121&gt;0), ($AM121*CF121)/$AI121,     AND($AI121=0,$AM121&gt;0,$AQ121&gt;0), IF(INDEX(CF$12:CF$263,MATCH($AQ121,$AP$12:$AP$263,0))&gt;0,($AM121*INDEX(CF$12:CF$263,MATCH($AQ121,$AP$12:$AP$263,0)))/INDEX($AI$12:$AI$263,MATCH($AQ121,$AP$12:$AP$263,0)), "-"),     TRUE, "0")</f>
        <v>0</v>
      </c>
      <c r="CH121" s="588">
        <f>IF(CG$9&gt;0, IF(OR(CG121="",CG121="-"), 0, CG121*$AT121), CF121*$AJ121)</f>
        <v>0</v>
      </c>
      <c r="CI121" s="587">
        <f>[1]COMMANDE!AO119</f>
        <v>0</v>
      </c>
      <c r="CJ121" s="586" t="str">
        <f>_xlfn.IFS(AND($AI121=$AM121,$AI121&gt;0,$AM121&gt;0,CI121&gt;0), CI121,     AND(NOT($AI121=$AM121),$AI121&gt;0,$AM121&gt;0,CI121&gt;0), ($AM121*CI121)/$AI121,     AND($AI121=0,$AM121&gt;0,$AQ121&gt;0), IF(INDEX(CI$12:CI$263,MATCH($AQ121,$AP$12:$AP$263,0))&gt;0,($AM121*INDEX(CI$12:CI$263,MATCH($AQ121,$AP$12:$AP$263,0)))/INDEX($AI$12:$AI$263,MATCH($AQ121,$AP$12:$AP$263,0)), "-"),     TRUE, "0")</f>
        <v>0</v>
      </c>
      <c r="CK121" s="607">
        <f>IF(CJ$9&gt;0, IF(OR(CJ121="",CJ121="-"), 0, CJ121*$AT121), CI121*$AJ121)</f>
        <v>0</v>
      </c>
      <c r="CL121" s="589">
        <f>[1]COMMANDE!AQ119</f>
        <v>0</v>
      </c>
      <c r="CM121" s="586" t="str">
        <f>_xlfn.IFS(AND($AI121=$AM121,$AI121&gt;0,$AM121&gt;0,CL121&gt;0), CL121,     AND(NOT($AI121=$AM121),$AI121&gt;0,$AM121&gt;0,CL121&gt;0), ($AM121*CL121)/$AI121,     AND($AI121=0,$AM121&gt;0,$AQ121&gt;0), IF(INDEX(CL$12:CL$263,MATCH($AQ121,$AP$12:$AP$263,0))&gt;0,($AM121*INDEX(CL$12:CL$263,MATCH($AQ121,$AP$12:$AP$263,0)))/INDEX($AI$12:$AI$263,MATCH($AQ121,$AP$12:$AP$263,0)), "-"),     TRUE, "0")</f>
        <v>0</v>
      </c>
      <c r="CN121" s="588">
        <f>IF(CM$9&gt;0, IF(OR(CM121="",CM121="-"), 0, CM121*$AT121), CL121*$AJ121)</f>
        <v>0</v>
      </c>
      <c r="CO121" s="587">
        <f>[1]COMMANDE!AS119</f>
        <v>0</v>
      </c>
      <c r="CP121" s="586" t="str">
        <f>_xlfn.IFS(AND($AI121=$AM121,$AI121&gt;0,$AM121&gt;0,CO121&gt;0), CO121,     AND(NOT($AI121=$AM121),$AI121&gt;0,$AM121&gt;0,CO121&gt;0), ($AM121*CO121)/$AI121,     AND($AI121=0,$AM121&gt;0,$AQ121&gt;0), IF(INDEX(CO$12:CO$263,MATCH($AQ121,$AP$12:$AP$263,0))&gt;0,($AM121*INDEX(CO$12:CO$263,MATCH($AQ121,$AP$12:$AP$263,0)))/INDEX($AI$12:$AI$263,MATCH($AQ121,$AP$12:$AP$263,0)), "-"),     TRUE, "0")</f>
        <v>0</v>
      </c>
      <c r="CQ121" s="607">
        <f>IF(CP$9&gt;0, IF(OR(CP121="",CP121="-"), 0, CP121*$AT121), CO121*$AJ121)</f>
        <v>0</v>
      </c>
      <c r="CR121" s="589">
        <f>[1]COMMANDE!AU119</f>
        <v>0</v>
      </c>
      <c r="CS121" s="586" t="str">
        <f>_xlfn.IFS(AND($AI121=$AM121,$AI121&gt;0,$AM121&gt;0,CR121&gt;0), CR121,     AND(NOT($AI121=$AM121),$AI121&gt;0,$AM121&gt;0,CR121&gt;0), ($AM121*CR121)/$AI121,     AND($AI121=0,$AM121&gt;0,$AQ121&gt;0), IF(INDEX(CR$12:CR$263,MATCH($AQ121,$AP$12:$AP$263,0))&gt;0,($AM121*INDEX(CR$12:CR$263,MATCH($AQ121,$AP$12:$AP$263,0)))/INDEX($AI$12:$AI$263,MATCH($AQ121,$AP$12:$AP$263,0)), "-"),     TRUE, "0")</f>
        <v>0</v>
      </c>
      <c r="CT121" s="588">
        <f>IF(CS$9&gt;0, IF(OR(CS121="",CS121="-"), 0, CS121*$AT121), CR121*$AJ121)</f>
        <v>0</v>
      </c>
      <c r="CU121" s="587">
        <f>[1]COMMANDE!AW119</f>
        <v>0</v>
      </c>
      <c r="CV121" s="586" t="str">
        <f>_xlfn.IFS(AND($AI121=$AM121,$AI121&gt;0,$AM121&gt;0,CU121&gt;0), CU121,     AND(NOT($AI121=$AM121),$AI121&gt;0,$AM121&gt;0,CU121&gt;0), ($AM121*CU121)/$AI121,     AND($AI121=0,$AM121&gt;0,$AQ121&gt;0), IF(INDEX(CU$12:CU$263,MATCH($AQ121,$AP$12:$AP$263,0))&gt;0,($AM121*INDEX(CU$12:CU$263,MATCH($AQ121,$AP$12:$AP$263,0)))/INDEX($AI$12:$AI$263,MATCH($AQ121,$AP$12:$AP$263,0)), "-"),     TRUE, "0")</f>
        <v>0</v>
      </c>
      <c r="CW121" s="607">
        <f>IF(CV$9&gt;0, IF(OR(CV121="",CV121="-"), 0, CV121*$AT121), CU121*$AJ121)</f>
        <v>0</v>
      </c>
      <c r="CX121" s="589">
        <f>[1]COMMANDE!AY119</f>
        <v>0</v>
      </c>
      <c r="CY121" s="586" t="str">
        <f>_xlfn.IFS(AND($AI121=$AM121,$AI121&gt;0,$AM121&gt;0,CX121&gt;0), CX121,     AND(NOT($AI121=$AM121),$AI121&gt;0,$AM121&gt;0,CX121&gt;0), ($AM121*CX121)/$AI121,     AND($AI121=0,$AM121&gt;0,$AQ121&gt;0), IF(INDEX(CX$12:CX$263,MATCH($AQ121,$AP$12:$AP$263,0))&gt;0,($AM121*INDEX(CX$12:CX$263,MATCH($AQ121,$AP$12:$AP$263,0)))/INDEX($AI$12:$AI$263,MATCH($AQ121,$AP$12:$AP$263,0)), "-"),     TRUE, "0")</f>
        <v>0</v>
      </c>
      <c r="CZ121" s="588">
        <f>IF(CY$9&gt;0, IF(OR(CY121="",CY121="-"), 0, CY121*$AT121), CX121*$AJ121)</f>
        <v>0</v>
      </c>
      <c r="DA121" s="587">
        <f>[1]COMMANDE!BA119</f>
        <v>0</v>
      </c>
      <c r="DB121" s="586" t="str">
        <f>_xlfn.IFS(AND($AI121=$AM121,$AI121&gt;0,$AM121&gt;0,DA121&gt;0), DA121,     AND(NOT($AI121=$AM121),$AI121&gt;0,$AM121&gt;0,DA121&gt;0), ($AM121*DA121)/$AI121,     AND($AI121=0,$AM121&gt;0,$AQ121&gt;0), IF(INDEX(DA$12:DA$263,MATCH($AQ121,$AP$12:$AP$263,0))&gt;0,($AM121*INDEX(DA$12:DA$263,MATCH($AQ121,$AP$12:$AP$263,0)))/INDEX($AI$12:$AI$263,MATCH($AQ121,$AP$12:$AP$263,0)), "-"),     TRUE, "0")</f>
        <v>0</v>
      </c>
      <c r="DC121" s="606">
        <f>IF(DB$9&gt;0, IF(OR(DB121="",DB121="-"), 0, DB121*$AT121), DA121*$AJ121)</f>
        <v>0</v>
      </c>
      <c r="DD121" s="584"/>
      <c r="DE121" s="583"/>
    </row>
    <row r="122" spans="1:128" ht="39.950000000000003" hidden="1" customHeight="1">
      <c r="A122" s="604">
        <f>IF(OR($AV122&gt;0, $AX122&gt;0), 1, 0)</f>
        <v>0</v>
      </c>
      <c r="B122" s="604">
        <f>IF(OR($AY122&gt;0, $BA122&gt;0), 1, 0)</f>
        <v>0</v>
      </c>
      <c r="C122" s="604">
        <f>IF(OR($BB122&gt;0, $BD122&gt;0), 1, 0)</f>
        <v>0</v>
      </c>
      <c r="D122" s="604">
        <f>IF(OR($BE122&gt;0, $BG122&gt;0), 1, 0)</f>
        <v>0</v>
      </c>
      <c r="E122" s="604">
        <f>IF(OR($BH122&gt;0, $BJ122&gt;0), 1, 0)</f>
        <v>0</v>
      </c>
      <c r="F122" s="604">
        <f>IF(OR($BK122&gt;0, $BM122&gt;0), 1, 0)</f>
        <v>0</v>
      </c>
      <c r="G122" s="604">
        <f>IF(OR($BN122&gt;0, $BP122&gt;0), 1, 0)</f>
        <v>0</v>
      </c>
      <c r="H122" s="604">
        <f>IF(OR($BQ122&gt;0, $BS122&gt;0), 1, 0)</f>
        <v>0</v>
      </c>
      <c r="I122" s="604">
        <f>IF(OR($BT122&gt;0, $BV122&gt;0), 1, 0)</f>
        <v>0</v>
      </c>
      <c r="J122" s="604">
        <f>IF(OR($BW122&gt;0, $BY122&gt;0), 1, 0)</f>
        <v>0</v>
      </c>
      <c r="K122" s="604">
        <f>IF(OR($BZ122&gt;0, $CB122&gt;0), 1, 0)</f>
        <v>0</v>
      </c>
      <c r="L122" s="604">
        <f>IF(OR($CC122&gt;0, $CE122&gt;0), 1, 0)</f>
        <v>0</v>
      </c>
      <c r="M122" s="604">
        <f>IF(OR($CF122&gt;0, $CH122&gt;0), 1, 0)</f>
        <v>0</v>
      </c>
      <c r="N122" s="604">
        <f>IF(OR($CI122&gt;0, $CK122&gt;0), 1, 0)</f>
        <v>0</v>
      </c>
      <c r="O122" s="604">
        <f>IF(OR($CL122&gt;0, $CN122&gt;0), 1, 0)</f>
        <v>0</v>
      </c>
      <c r="P122" s="604">
        <f>IF(OR($CO122&gt;0, $CQ122&gt;0), 1, 0)</f>
        <v>0</v>
      </c>
      <c r="Q122" s="604">
        <f>IF(OR($CR122&gt;0, $CT122&gt;0), 1, 0)</f>
        <v>0</v>
      </c>
      <c r="R122" s="604">
        <f>IF(OR($CU122&gt;0, $CW122&gt;0), 1, 0)</f>
        <v>0</v>
      </c>
      <c r="S122" s="604">
        <f>IF(OR($CX122&gt;0, $CZ122&gt;0), 1, 0)</f>
        <v>0</v>
      </c>
      <c r="T122" s="604">
        <f>IF(OR($DA122&gt;0, $DC122&gt;0), 1, 0)</f>
        <v>0</v>
      </c>
      <c r="U122" s="603">
        <f>IF(OR($AI122&gt;0,$AM122&gt;0,$AS122&gt;0), 1, 0)</f>
        <v>0</v>
      </c>
      <c r="V122" s="602">
        <f>[1]BDD!A112</f>
        <v>3217</v>
      </c>
      <c r="W122" s="601" t="str">
        <f>[1]BDD!B112</f>
        <v>Goyave</v>
      </c>
      <c r="X122" s="600" t="str">
        <f>IF([1]BDD!F112=0, "", [1]BDD!F112)</f>
        <v/>
      </c>
      <c r="Y122" s="542">
        <f>ROUND([1]BDD!G112+FDP_CMD_KG, 2)</f>
        <v>4.5599999999999996</v>
      </c>
      <c r="Z122" s="542">
        <f>ROUND([1]BDD!G112+FDP_FACT_KG, 2)</f>
        <v>4.5599999999999996</v>
      </c>
      <c r="AA122" s="543" t="str">
        <f>[1]BDD!H112</f>
        <v>kg</v>
      </c>
      <c r="AB122" s="544">
        <f>IF(NOT(ISBLANK([1]BDD!I112)), ROUND(SUM(([1]BDD!G112*reduc1),FDP_CMD_KG), 2), "")</f>
        <v>4.1900000000000004</v>
      </c>
      <c r="AC122" s="544">
        <f>IF(NOT(ISBLANK([1]BDD!J112)), ROUND(SUM(([1]BDD!G112*reduc2),FDP_CMD_KG), 2), "")</f>
        <v>3.83</v>
      </c>
      <c r="AD122" s="544">
        <f>IF(NOT(ISBLANK([1]BDD!K112)), ROUND(SUM(([1]BDD!G112*reduc3),FDP_CMD_KG), 2), "")</f>
        <v>3.46</v>
      </c>
      <c r="AE122" s="544">
        <f>IF(NOT(ISBLANK([1]BDD!I112)), ROUND(SUM(([1]BDD!G112*reduc1),FDP_FACT_KG), 2), "")</f>
        <v>4.1900000000000004</v>
      </c>
      <c r="AF122" s="544">
        <f>IF(NOT(ISBLANK([1]BDD!J112)), ROUND(SUM(([1]BDD!G112*reduc2),FDP_FACT_KG), 2), "")</f>
        <v>3.82</v>
      </c>
      <c r="AG122" s="544">
        <f>IF(NOT(ISBLANK([1]BDD!K112)), ROUND(SUM(([1]BDD!G112*reduc3),FDP_FACT_KG), 2), "")</f>
        <v>3.45</v>
      </c>
      <c r="AH122" s="599" t="str">
        <f>[1]BDD!C112</f>
        <v>Grenade</v>
      </c>
      <c r="AI122" s="598">
        <f>SUM(AV122,AY122,BB122,BE122,BH122,BK122,BN122,BQ122,BT122,BW122,BZ122,CC122,CF122,CI122,CL122,CO122,CR122,CU122,CX122,DA122)</f>
        <v>0</v>
      </c>
      <c r="AJ122" s="545">
        <f>_xlfn.IFS($AD122&lt;&gt;"", $AD122,    $AC122&lt;&gt;"", $AC122,    $AB122&lt;&gt;"", $AB122,    TRUE, $Y122)</f>
        <v>3.46</v>
      </c>
      <c r="AK122" s="592">
        <f>$AI122*$AJ122</f>
        <v>0</v>
      </c>
      <c r="AL122" s="594"/>
      <c r="AM122" s="597"/>
      <c r="AN122" s="545">
        <f>_xlfn.IFS(AND(AM122&gt;=60,$AG122&lt;&gt;""), $AG122,    AND(AM122&gt;=30,$AF122&lt;&gt;""), $AF122,    AND(AM122&gt;=10,$AE122&lt;&gt;""), $AE122,    TRUE, $Z122)</f>
        <v>4.5599999999999996</v>
      </c>
      <c r="AO122" s="596">
        <f>AM122*AN122</f>
        <v>0</v>
      </c>
      <c r="AP122" s="595"/>
      <c r="AQ122" s="595"/>
      <c r="AR122" s="594"/>
      <c r="AS122" s="593">
        <f>SUM(AW122,AZ122,BC122,BF122,BI122,BL122,BO122,BR122,BU122,BX122,CA122,CD122,CG122,CJ122,CM122,CP122,CS122,CV122,CY122,DB122)</f>
        <v>0</v>
      </c>
      <c r="AT122" s="545">
        <f>_xlfn.IFS(AND(AS122&gt;=60,$AG122&lt;&gt;""), $AG122,    AND(AS122&gt;=30,$AF122&lt;&gt;""), $AF122,    AND(AS122&gt;=10,$AE122&lt;&gt;""), $AE122,    TRUE, $Z122)</f>
        <v>4.5599999999999996</v>
      </c>
      <c r="AU122" s="592">
        <f>$AS122*$AT122</f>
        <v>0</v>
      </c>
      <c r="AV122" s="591">
        <f>[1]COMMANDE!O120</f>
        <v>0</v>
      </c>
      <c r="AW122" s="586" t="str">
        <f>_xlfn.IFS(AND($AI122=$AM122,$AI122&gt;0,$AM122&gt;0,AV122&gt;0), AV122,     AND(NOT($AI122=$AM122),$AI122&gt;0,$AM122&gt;0,AV122&gt;0), ($AM122*AV122)/$AI122,     AND($AI122=0,$AM122&gt;0,$AQ122&gt;0), IF(INDEX(AV$12:AV$263,MATCH($AQ122,$AP$12:$AP$263,0))&gt;0,($AM122*INDEX(AV$12:AV$263,MATCH($AQ122,$AP$12:$AP$263,0)))/INDEX($AI$12:$AI$263,MATCH($AQ122,$AP$12:$AP$263,0)), "-"),     TRUE, "0")</f>
        <v>0</v>
      </c>
      <c r="AX122" s="588">
        <f>IF(AW$9&gt;0, IF(OR(AW122="",AW122="-"), 0, AW122*$AT122), AV122*$AJ122)</f>
        <v>0</v>
      </c>
      <c r="AY122" s="587">
        <f>[1]COMMANDE!Q120</f>
        <v>0</v>
      </c>
      <c r="AZ122" s="586" t="str">
        <f>_xlfn.IFS(AND($AI122=$AM122,$AI122&gt;0,$AM122&gt;0,AY122&gt;0), AY122,     AND(NOT($AI122=$AM122),$AI122&gt;0,$AM122&gt;0,AY122&gt;0), ($AM122*AY122)/$AI122,     AND($AI122=0,$AM122&gt;0,$AQ122&gt;0), IF(INDEX(AY$12:AY$263,MATCH($AQ122,$AP$12:$AP$263,0))&gt;0,($AM122*INDEX(AY$12:AY$263,MATCH($AQ122,$AP$12:$AP$263,0)))/INDEX($AI$12:$AI$263,MATCH($AQ122,$AP$12:$AP$263,0)), "-"),     TRUE, "0")</f>
        <v>0</v>
      </c>
      <c r="BA122" s="607">
        <f>IF(AZ$9&gt;0, IF(OR(AZ122="",AZ122="-"), 0, AZ122*$AT122), AY122*$AJ122)</f>
        <v>0</v>
      </c>
      <c r="BB122" s="589">
        <f>[1]COMMANDE!S120</f>
        <v>0</v>
      </c>
      <c r="BC122" s="586" t="str">
        <f>_xlfn.IFS(AND($AI122=$AM122,$AI122&gt;0,$AM122&gt;0,BB122&gt;0), BB122,     AND(NOT($AI122=$AM122),$AI122&gt;0,$AM122&gt;0,BB122&gt;0), ($AM122*BB122)/$AI122,     AND($AI122=0,$AM122&gt;0,$AQ122&gt;0), IF(INDEX(BB$12:BB$263,MATCH($AQ122,$AP$12:$AP$263,0))&gt;0,($AM122*INDEX(BB$12:BB$263,MATCH($AQ122,$AP$12:$AP$263,0)))/INDEX($AI$12:$AI$263,MATCH($AQ122,$AP$12:$AP$263,0)), "-"),     TRUE, "0")</f>
        <v>0</v>
      </c>
      <c r="BD122" s="588">
        <f>IF(BC$9&gt;0, IF(OR(BC122="",BC122="-"), 0, BC122*$AT122), BB122*$AJ122)</f>
        <v>0</v>
      </c>
      <c r="BE122" s="587">
        <f>[1]COMMANDE!U120</f>
        <v>0</v>
      </c>
      <c r="BF122" s="586" t="str">
        <f>_xlfn.IFS(AND($AI122=$AM122,$AI122&gt;0,$AM122&gt;0,BE122&gt;0), BE122,     AND(NOT($AI122=$AM122),$AI122&gt;0,$AM122&gt;0,BE122&gt;0), ($AM122*BE122)/$AI122,     AND($AI122=0,$AM122&gt;0,$AQ122&gt;0), IF(INDEX(BE$12:BE$263,MATCH($AQ122,$AP$12:$AP$263,0))&gt;0,($AM122*INDEX(BE$12:BE$263,MATCH($AQ122,$AP$12:$AP$263,0)))/INDEX($AI$12:$AI$263,MATCH($AQ122,$AP$12:$AP$263,0)), "-"),     TRUE, "0")</f>
        <v>0</v>
      </c>
      <c r="BG122" s="607">
        <f>IF(BF$9&gt;0, IF(OR(BF122="",BF122="-"), 0, BF122*$AT122), BE122*$AJ122)</f>
        <v>0</v>
      </c>
      <c r="BH122" s="589">
        <f>[1]COMMANDE!W120</f>
        <v>0</v>
      </c>
      <c r="BI122" s="586" t="str">
        <f>_xlfn.IFS(AND($AI122=$AM122,$AI122&gt;0,$AM122&gt;0,BH122&gt;0), BH122,     AND(NOT($AI122=$AM122),$AI122&gt;0,$AM122&gt;0,BH122&gt;0), ($AM122*BH122)/$AI122,     AND($AI122=0,$AM122&gt;0,$AQ122&gt;0), IF(INDEX(BH$12:BH$263,MATCH($AQ122,$AP$12:$AP$263,0))&gt;0,($AM122*INDEX(BH$12:BH$263,MATCH($AQ122,$AP$12:$AP$263,0)))/INDEX($AI$12:$AI$263,MATCH($AQ122,$AP$12:$AP$263,0)), "-"),     TRUE, "0")</f>
        <v>0</v>
      </c>
      <c r="BJ122" s="588">
        <f>IF(BI$9&gt;0, IF(OR(BI122="",BI122="-"), 0, BI122*$AT122), BH122*$AJ122)</f>
        <v>0</v>
      </c>
      <c r="BK122" s="587">
        <f>[1]COMMANDE!Y120</f>
        <v>0</v>
      </c>
      <c r="BL122" s="586" t="str">
        <f>_xlfn.IFS(AND($AI122=$AM122,$AI122&gt;0,$AM122&gt;0,BK122&gt;0), BK122,     AND(NOT($AI122=$AM122),$AI122&gt;0,$AM122&gt;0,BK122&gt;0), ($AM122*BK122)/$AI122,     AND($AI122=0,$AM122&gt;0,$AQ122&gt;0), IF(INDEX(BK$12:BK$263,MATCH($AQ122,$AP$12:$AP$263,0))&gt;0,($AM122*INDEX(BK$12:BK$263,MATCH($AQ122,$AP$12:$AP$263,0)))/INDEX($AI$12:$AI$263,MATCH($AQ122,$AP$12:$AP$263,0)), "-"),     TRUE, "0")</f>
        <v>0</v>
      </c>
      <c r="BM122" s="607">
        <f>IF(BL$9&gt;0, IF(OR(BL122="",BL122="-"), 0, BL122*$AT122), BK122*$AJ122)</f>
        <v>0</v>
      </c>
      <c r="BN122" s="589">
        <f>[1]COMMANDE!AA120</f>
        <v>0</v>
      </c>
      <c r="BO122" s="586" t="str">
        <f>_xlfn.IFS(AND($AI122=$AM122,$AI122&gt;0,$AM122&gt;0,BN122&gt;0), BN122,     AND(NOT($AI122=$AM122),$AI122&gt;0,$AM122&gt;0,BN122&gt;0), ($AM122*BN122)/$AI122,     AND($AI122=0,$AM122&gt;0,$AQ122&gt;0), IF(INDEX(BN$12:BN$263,MATCH($AQ122,$AP$12:$AP$263,0))&gt;0,($AM122*INDEX(BN$12:BN$263,MATCH($AQ122,$AP$12:$AP$263,0)))/INDEX($AI$12:$AI$263,MATCH($AQ122,$AP$12:$AP$263,0)), "-"),     TRUE, "0")</f>
        <v>0</v>
      </c>
      <c r="BP122" s="588">
        <f>IF(BO$9&gt;0, IF(OR(BO122="",BO122="-"), 0, BO122*$AT122), BN122*$AJ122)</f>
        <v>0</v>
      </c>
      <c r="BQ122" s="587">
        <f>[1]COMMANDE!AC120</f>
        <v>0</v>
      </c>
      <c r="BR122" s="586" t="str">
        <f>_xlfn.IFS(AND($AI122=$AM122,$AI122&gt;0,$AM122&gt;0,BQ122&gt;0), BQ122,     AND(NOT($AI122=$AM122),$AI122&gt;0,$AM122&gt;0,BQ122&gt;0), ($AM122*BQ122)/$AI122,     AND($AI122=0,$AM122&gt;0,$AQ122&gt;0), IF(INDEX(BQ$12:BQ$263,MATCH($AQ122,$AP$12:$AP$263,0))&gt;0,($AM122*INDEX(BQ$12:BQ$263,MATCH($AQ122,$AP$12:$AP$263,0)))/INDEX($AI$12:$AI$263,MATCH($AQ122,$AP$12:$AP$263,0)), "-"),     TRUE, "0")</f>
        <v>0</v>
      </c>
      <c r="BS122" s="607">
        <f>IF(BR$9&gt;0, IF(OR(BR122="",BR122="-"), 0, BR122*$AT122), BQ122*$AJ122)</f>
        <v>0</v>
      </c>
      <c r="BT122" s="589">
        <f>[1]COMMANDE!AE120</f>
        <v>0</v>
      </c>
      <c r="BU122" s="586" t="str">
        <f>_xlfn.IFS(AND($AI122=$AM122,$AI122&gt;0,$AM122&gt;0,BT122&gt;0), BT122,     AND(NOT($AI122=$AM122),$AI122&gt;0,$AM122&gt;0,BT122&gt;0), ($AM122*BT122)/$AI122,     AND($AI122=0,$AM122&gt;0,$AQ122&gt;0), IF(INDEX(BT$12:BT$263,MATCH($AQ122,$AP$12:$AP$263,0))&gt;0,($AM122*INDEX(BT$12:BT$263,MATCH($AQ122,$AP$12:$AP$263,0)))/INDEX($AI$12:$AI$263,MATCH($AQ122,$AP$12:$AP$263,0)), "-"),     TRUE, "0")</f>
        <v>0</v>
      </c>
      <c r="BV122" s="588">
        <f>IF(BU$9&gt;0, IF(OR(BU122="",BU122="-"), 0, BU122*$AT122), BT122*$AJ122)</f>
        <v>0</v>
      </c>
      <c r="BW122" s="587">
        <f>[1]COMMANDE!AG120</f>
        <v>0</v>
      </c>
      <c r="BX122" s="586" t="str">
        <f>_xlfn.IFS(AND($AI122=$AM122,$AI122&gt;0,$AM122&gt;0,BW122&gt;0), BW122,     AND(NOT($AI122=$AM122),$AI122&gt;0,$AM122&gt;0,BW122&gt;0), ($AM122*BW122)/$AI122,     AND($AI122=0,$AM122&gt;0,$AQ122&gt;0), IF(INDEX(BW$12:BW$263,MATCH($AQ122,$AP$12:$AP$263,0))&gt;0,($AM122*INDEX(BW$12:BW$263,MATCH($AQ122,$AP$12:$AP$263,0)))/INDEX($AI$12:$AI$263,MATCH($AQ122,$AP$12:$AP$263,0)), "-"),     TRUE, "0")</f>
        <v>0</v>
      </c>
      <c r="BY122" s="607">
        <f>IF(BX$9&gt;0, IF(OR(BX122="",BX122="-"), 0, BX122*$AT122), BW122*$AJ122)</f>
        <v>0</v>
      </c>
      <c r="BZ122" s="589">
        <f>[1]COMMANDE!AI120</f>
        <v>0</v>
      </c>
      <c r="CA122" s="586" t="str">
        <f>_xlfn.IFS(AND($AI122=$AM122,$AI122&gt;0,$AM122&gt;0,BZ122&gt;0), BZ122,     AND(NOT($AI122=$AM122),$AI122&gt;0,$AM122&gt;0,BZ122&gt;0), ($AM122*BZ122)/$AI122,     AND($AI122=0,$AM122&gt;0,$AQ122&gt;0), IF(INDEX(BZ$12:BZ$263,MATCH($AQ122,$AP$12:$AP$263,0))&gt;0,($AM122*INDEX(BZ$12:BZ$263,MATCH($AQ122,$AP$12:$AP$263,0)))/INDEX($AI$12:$AI$263,MATCH($AQ122,$AP$12:$AP$263,0)), "-"),     TRUE, "0")</f>
        <v>0</v>
      </c>
      <c r="CB122" s="588">
        <f>IF(CA$9&gt;0, IF(OR(CA122="",CA122="-"), 0, CA122*$AT122), BZ122*$AJ122)</f>
        <v>0</v>
      </c>
      <c r="CC122" s="587">
        <f>[1]COMMANDE!AK120</f>
        <v>0</v>
      </c>
      <c r="CD122" s="586" t="str">
        <f>_xlfn.IFS(AND($AI122=$AM122,$AI122&gt;0,$AM122&gt;0,CC122&gt;0), CC122,     AND(NOT($AI122=$AM122),$AI122&gt;0,$AM122&gt;0,CC122&gt;0), ($AM122*CC122)/$AI122,     AND($AI122=0,$AM122&gt;0,$AQ122&gt;0), IF(INDEX(CC$12:CC$263,MATCH($AQ122,$AP$12:$AP$263,0))&gt;0,($AM122*INDEX(CC$12:CC$263,MATCH($AQ122,$AP$12:$AP$263,0)))/INDEX($AI$12:$AI$263,MATCH($AQ122,$AP$12:$AP$263,0)), "-"),     TRUE, "0")</f>
        <v>0</v>
      </c>
      <c r="CE122" s="607">
        <f>IF(CD$9&gt;0, IF(OR(CD122="",CD122="-"), 0, CD122*$AT122), CC122*$AJ122)</f>
        <v>0</v>
      </c>
      <c r="CF122" s="589">
        <f>[1]COMMANDE!AM120</f>
        <v>0</v>
      </c>
      <c r="CG122" s="586" t="str">
        <f>_xlfn.IFS(AND($AI122=$AM122,$AI122&gt;0,$AM122&gt;0,CF122&gt;0), CF122,     AND(NOT($AI122=$AM122),$AI122&gt;0,$AM122&gt;0,CF122&gt;0), ($AM122*CF122)/$AI122,     AND($AI122=0,$AM122&gt;0,$AQ122&gt;0), IF(INDEX(CF$12:CF$263,MATCH($AQ122,$AP$12:$AP$263,0))&gt;0,($AM122*INDEX(CF$12:CF$263,MATCH($AQ122,$AP$12:$AP$263,0)))/INDEX($AI$12:$AI$263,MATCH($AQ122,$AP$12:$AP$263,0)), "-"),     TRUE, "0")</f>
        <v>0</v>
      </c>
      <c r="CH122" s="588">
        <f>IF(CG$9&gt;0, IF(OR(CG122="",CG122="-"), 0, CG122*$AT122), CF122*$AJ122)</f>
        <v>0</v>
      </c>
      <c r="CI122" s="587">
        <f>[1]COMMANDE!AO120</f>
        <v>0</v>
      </c>
      <c r="CJ122" s="586" t="str">
        <f>_xlfn.IFS(AND($AI122=$AM122,$AI122&gt;0,$AM122&gt;0,CI122&gt;0), CI122,     AND(NOT($AI122=$AM122),$AI122&gt;0,$AM122&gt;0,CI122&gt;0), ($AM122*CI122)/$AI122,     AND($AI122=0,$AM122&gt;0,$AQ122&gt;0), IF(INDEX(CI$12:CI$263,MATCH($AQ122,$AP$12:$AP$263,0))&gt;0,($AM122*INDEX(CI$12:CI$263,MATCH($AQ122,$AP$12:$AP$263,0)))/INDEX($AI$12:$AI$263,MATCH($AQ122,$AP$12:$AP$263,0)), "-"),     TRUE, "0")</f>
        <v>0</v>
      </c>
      <c r="CK122" s="607">
        <f>IF(CJ$9&gt;0, IF(OR(CJ122="",CJ122="-"), 0, CJ122*$AT122), CI122*$AJ122)</f>
        <v>0</v>
      </c>
      <c r="CL122" s="589">
        <f>[1]COMMANDE!AQ120</f>
        <v>0</v>
      </c>
      <c r="CM122" s="586" t="str">
        <f>_xlfn.IFS(AND($AI122=$AM122,$AI122&gt;0,$AM122&gt;0,CL122&gt;0), CL122,     AND(NOT($AI122=$AM122),$AI122&gt;0,$AM122&gt;0,CL122&gt;0), ($AM122*CL122)/$AI122,     AND($AI122=0,$AM122&gt;0,$AQ122&gt;0), IF(INDEX(CL$12:CL$263,MATCH($AQ122,$AP$12:$AP$263,0))&gt;0,($AM122*INDEX(CL$12:CL$263,MATCH($AQ122,$AP$12:$AP$263,0)))/INDEX($AI$12:$AI$263,MATCH($AQ122,$AP$12:$AP$263,0)), "-"),     TRUE, "0")</f>
        <v>0</v>
      </c>
      <c r="CN122" s="588">
        <f>IF(CM$9&gt;0, IF(OR(CM122="",CM122="-"), 0, CM122*$AT122), CL122*$AJ122)</f>
        <v>0</v>
      </c>
      <c r="CO122" s="587">
        <f>[1]COMMANDE!AS120</f>
        <v>0</v>
      </c>
      <c r="CP122" s="586" t="str">
        <f>_xlfn.IFS(AND($AI122=$AM122,$AI122&gt;0,$AM122&gt;0,CO122&gt;0), CO122,     AND(NOT($AI122=$AM122),$AI122&gt;0,$AM122&gt;0,CO122&gt;0), ($AM122*CO122)/$AI122,     AND($AI122=0,$AM122&gt;0,$AQ122&gt;0), IF(INDEX(CO$12:CO$263,MATCH($AQ122,$AP$12:$AP$263,0))&gt;0,($AM122*INDEX(CO$12:CO$263,MATCH($AQ122,$AP$12:$AP$263,0)))/INDEX($AI$12:$AI$263,MATCH($AQ122,$AP$12:$AP$263,0)), "-"),     TRUE, "0")</f>
        <v>0</v>
      </c>
      <c r="CQ122" s="607">
        <f>IF(CP$9&gt;0, IF(OR(CP122="",CP122="-"), 0, CP122*$AT122), CO122*$AJ122)</f>
        <v>0</v>
      </c>
      <c r="CR122" s="589">
        <f>[1]COMMANDE!AU120</f>
        <v>0</v>
      </c>
      <c r="CS122" s="586" t="str">
        <f>_xlfn.IFS(AND($AI122=$AM122,$AI122&gt;0,$AM122&gt;0,CR122&gt;0), CR122,     AND(NOT($AI122=$AM122),$AI122&gt;0,$AM122&gt;0,CR122&gt;0), ($AM122*CR122)/$AI122,     AND($AI122=0,$AM122&gt;0,$AQ122&gt;0), IF(INDEX(CR$12:CR$263,MATCH($AQ122,$AP$12:$AP$263,0))&gt;0,($AM122*INDEX(CR$12:CR$263,MATCH($AQ122,$AP$12:$AP$263,0)))/INDEX($AI$12:$AI$263,MATCH($AQ122,$AP$12:$AP$263,0)), "-"),     TRUE, "0")</f>
        <v>0</v>
      </c>
      <c r="CT122" s="588">
        <f>IF(CS$9&gt;0, IF(OR(CS122="",CS122="-"), 0, CS122*$AT122), CR122*$AJ122)</f>
        <v>0</v>
      </c>
      <c r="CU122" s="587">
        <f>[1]COMMANDE!AW120</f>
        <v>0</v>
      </c>
      <c r="CV122" s="586" t="str">
        <f>_xlfn.IFS(AND($AI122=$AM122,$AI122&gt;0,$AM122&gt;0,CU122&gt;0), CU122,     AND(NOT($AI122=$AM122),$AI122&gt;0,$AM122&gt;0,CU122&gt;0), ($AM122*CU122)/$AI122,     AND($AI122=0,$AM122&gt;0,$AQ122&gt;0), IF(INDEX(CU$12:CU$263,MATCH($AQ122,$AP$12:$AP$263,0))&gt;0,($AM122*INDEX(CU$12:CU$263,MATCH($AQ122,$AP$12:$AP$263,0)))/INDEX($AI$12:$AI$263,MATCH($AQ122,$AP$12:$AP$263,0)), "-"),     TRUE, "0")</f>
        <v>0</v>
      </c>
      <c r="CW122" s="607">
        <f>IF(CV$9&gt;0, IF(OR(CV122="",CV122="-"), 0, CV122*$AT122), CU122*$AJ122)</f>
        <v>0</v>
      </c>
      <c r="CX122" s="589">
        <f>[1]COMMANDE!AY120</f>
        <v>0</v>
      </c>
      <c r="CY122" s="586" t="str">
        <f>_xlfn.IFS(AND($AI122=$AM122,$AI122&gt;0,$AM122&gt;0,CX122&gt;0), CX122,     AND(NOT($AI122=$AM122),$AI122&gt;0,$AM122&gt;0,CX122&gt;0), ($AM122*CX122)/$AI122,     AND($AI122=0,$AM122&gt;0,$AQ122&gt;0), IF(INDEX(CX$12:CX$263,MATCH($AQ122,$AP$12:$AP$263,0))&gt;0,($AM122*INDEX(CX$12:CX$263,MATCH($AQ122,$AP$12:$AP$263,0)))/INDEX($AI$12:$AI$263,MATCH($AQ122,$AP$12:$AP$263,0)), "-"),     TRUE, "0")</f>
        <v>0</v>
      </c>
      <c r="CZ122" s="588">
        <f>IF(CY$9&gt;0, IF(OR(CY122="",CY122="-"), 0, CY122*$AT122), CX122*$AJ122)</f>
        <v>0</v>
      </c>
      <c r="DA122" s="587">
        <f>[1]COMMANDE!BA120</f>
        <v>0</v>
      </c>
      <c r="DB122" s="586" t="str">
        <f>_xlfn.IFS(AND($AI122=$AM122,$AI122&gt;0,$AM122&gt;0,DA122&gt;0), DA122,     AND(NOT($AI122=$AM122),$AI122&gt;0,$AM122&gt;0,DA122&gt;0), ($AM122*DA122)/$AI122,     AND($AI122=0,$AM122&gt;0,$AQ122&gt;0), IF(INDEX(DA$12:DA$263,MATCH($AQ122,$AP$12:$AP$263,0))&gt;0,($AM122*INDEX(DA$12:DA$263,MATCH($AQ122,$AP$12:$AP$263,0)))/INDEX($AI$12:$AI$263,MATCH($AQ122,$AP$12:$AP$263,0)), "-"),     TRUE, "0")</f>
        <v>0</v>
      </c>
      <c r="DC122" s="606">
        <f>IF(DB$9&gt;0, IF(OR(DB122="",DB122="-"), 0, DB122*$AT122), DA122*$AJ122)</f>
        <v>0</v>
      </c>
      <c r="DD122" s="584"/>
      <c r="DE122" s="583"/>
    </row>
    <row r="123" spans="1:128" ht="39.950000000000003" hidden="1" customHeight="1">
      <c r="A123" s="604">
        <f>IF(OR($AV123&gt;0, $AX123&gt;0), 1, 0)</f>
        <v>0</v>
      </c>
      <c r="B123" s="604">
        <f>IF(OR($AY123&gt;0, $BA123&gt;0), 1, 0)</f>
        <v>0</v>
      </c>
      <c r="C123" s="604">
        <f>IF(OR($BB123&gt;0, $BD123&gt;0), 1, 0)</f>
        <v>0</v>
      </c>
      <c r="D123" s="604">
        <f>IF(OR($BE123&gt;0, $BG123&gt;0), 1, 0)</f>
        <v>0</v>
      </c>
      <c r="E123" s="604">
        <f>IF(OR($BH123&gt;0, $BJ123&gt;0), 1, 0)</f>
        <v>0</v>
      </c>
      <c r="F123" s="604">
        <f>IF(OR($BK123&gt;0, $BM123&gt;0), 1, 0)</f>
        <v>0</v>
      </c>
      <c r="G123" s="604">
        <f>IF(OR($BN123&gt;0, $BP123&gt;0), 1, 0)</f>
        <v>0</v>
      </c>
      <c r="H123" s="604">
        <f>IF(OR($BQ123&gt;0, $BS123&gt;0), 1, 0)</f>
        <v>0</v>
      </c>
      <c r="I123" s="604">
        <f>IF(OR($BT123&gt;0, $BV123&gt;0), 1, 0)</f>
        <v>0</v>
      </c>
      <c r="J123" s="604">
        <f>IF(OR($BW123&gt;0, $BY123&gt;0), 1, 0)</f>
        <v>0</v>
      </c>
      <c r="K123" s="604">
        <f>IF(OR($BZ123&gt;0, $CB123&gt;0), 1, 0)</f>
        <v>0</v>
      </c>
      <c r="L123" s="604">
        <f>IF(OR($CC123&gt;0, $CE123&gt;0), 1, 0)</f>
        <v>0</v>
      </c>
      <c r="M123" s="604">
        <f>IF(OR($CF123&gt;0, $CH123&gt;0), 1, 0)</f>
        <v>0</v>
      </c>
      <c r="N123" s="604">
        <f>IF(OR($CI123&gt;0, $CK123&gt;0), 1, 0)</f>
        <v>0</v>
      </c>
      <c r="O123" s="604">
        <f>IF(OR($CL123&gt;0, $CN123&gt;0), 1, 0)</f>
        <v>0</v>
      </c>
      <c r="P123" s="604">
        <f>IF(OR($CO123&gt;0, $CQ123&gt;0), 1, 0)</f>
        <v>0</v>
      </c>
      <c r="Q123" s="604">
        <f>IF(OR($CR123&gt;0, $CT123&gt;0), 1, 0)</f>
        <v>0</v>
      </c>
      <c r="R123" s="604">
        <f>IF(OR($CU123&gt;0, $CW123&gt;0), 1, 0)</f>
        <v>0</v>
      </c>
      <c r="S123" s="604">
        <f>IF(OR($CX123&gt;0, $CZ123&gt;0), 1, 0)</f>
        <v>0</v>
      </c>
      <c r="T123" s="604">
        <f>IF(OR($DA123&gt;0, $DC123&gt;0), 1, 0)</f>
        <v>0</v>
      </c>
      <c r="U123" s="603">
        <f>IF(OR($AI123&gt;0,$AM123&gt;0,$AS123&gt;0), 1, 0)</f>
        <v>0</v>
      </c>
      <c r="V123" s="602">
        <f>[1]BDD!A113</f>
        <v>1619</v>
      </c>
      <c r="W123" s="601" t="str">
        <f>[1]BDD!B113</f>
        <v>Goyave BIO (production Rufino)</v>
      </c>
      <c r="X123" s="600" t="str">
        <f>IF([1]BDD!F113=0, "", [1]BDD!F113)</f>
        <v/>
      </c>
      <c r="Y123" s="542">
        <f>ROUND([1]BDD!G113+FDP_CMD_KG, 2)</f>
        <v>5.45</v>
      </c>
      <c r="Z123" s="542">
        <f>ROUND([1]BDD!G113+FDP_FACT_KG, 2)</f>
        <v>5.45</v>
      </c>
      <c r="AA123" s="543" t="str">
        <f>[1]BDD!H113</f>
        <v>kg</v>
      </c>
      <c r="AB123" s="544">
        <f>IF(NOT(ISBLANK([1]BDD!I113)), ROUND(SUM(([1]BDD!G113*reduc1),FDP_CMD_KG), 2), "")</f>
        <v>5</v>
      </c>
      <c r="AC123" s="544">
        <f>IF(NOT(ISBLANK([1]BDD!J113)), ROUND(SUM(([1]BDD!G113*reduc2),FDP_CMD_KG), 2), "")</f>
        <v>4.54</v>
      </c>
      <c r="AD123" s="544">
        <f>IF(NOT(ISBLANK([1]BDD!K113)), ROUND(SUM(([1]BDD!G113*reduc3),FDP_CMD_KG), 2), "")</f>
        <v>4.08</v>
      </c>
      <c r="AE123" s="544">
        <f>IF(NOT(ISBLANK([1]BDD!I113)), ROUND(SUM(([1]BDD!G113*reduc1),FDP_FACT_KG), 2), "")</f>
        <v>4.99</v>
      </c>
      <c r="AF123" s="544">
        <f>IF(NOT(ISBLANK([1]BDD!J113)), ROUND(SUM(([1]BDD!G113*reduc2),FDP_FACT_KG), 2), "")</f>
        <v>4.53</v>
      </c>
      <c r="AG123" s="544">
        <f>IF(NOT(ISBLANK([1]BDD!K113)), ROUND(SUM(([1]BDD!G113*reduc3),FDP_FACT_KG), 2), "")</f>
        <v>4.07</v>
      </c>
      <c r="AH123" s="599" t="str">
        <f>[1]BDD!C113</f>
        <v>Grenade</v>
      </c>
      <c r="AI123" s="598">
        <f>SUM(AV123,AY123,BB123,BE123,BH123,BK123,BN123,BQ123,BT123,BW123,BZ123,CC123,CF123,CI123,CL123,CO123,CR123,CU123,CX123,DA123)</f>
        <v>0</v>
      </c>
      <c r="AJ123" s="545">
        <f>_xlfn.IFS($AD123&lt;&gt;"", $AD123,    $AC123&lt;&gt;"", $AC123,    $AB123&lt;&gt;"", $AB123,    TRUE, $Y123)</f>
        <v>4.08</v>
      </c>
      <c r="AK123" s="592">
        <f>$AI123*$AJ123</f>
        <v>0</v>
      </c>
      <c r="AL123" s="594"/>
      <c r="AM123" s="597"/>
      <c r="AN123" s="545">
        <f>_xlfn.IFS(AND(AM123&gt;=60,$AG123&lt;&gt;""), $AG123,    AND(AM123&gt;=30,$AF123&lt;&gt;""), $AF123,    AND(AM123&gt;=10,$AE123&lt;&gt;""), $AE123,    TRUE, $Z123)</f>
        <v>5.45</v>
      </c>
      <c r="AO123" s="596">
        <f>AM123*AN123</f>
        <v>0</v>
      </c>
      <c r="AP123" s="595"/>
      <c r="AQ123" s="595"/>
      <c r="AR123" s="594"/>
      <c r="AS123" s="593">
        <f>SUM(AW123,AZ123,BC123,BF123,BI123,BL123,BO123,BR123,BU123,BX123,CA123,CD123,CG123,CJ123,CM123,CP123,CS123,CV123,CY123,DB123)</f>
        <v>0</v>
      </c>
      <c r="AT123" s="545">
        <f>_xlfn.IFS(AND(AS123&gt;=60,$AG123&lt;&gt;""), $AG123,    AND(AS123&gt;=30,$AF123&lt;&gt;""), $AF123,    AND(AS123&gt;=10,$AE123&lt;&gt;""), $AE123,    TRUE, $Z123)</f>
        <v>5.45</v>
      </c>
      <c r="AU123" s="592">
        <f>$AS123*$AT123</f>
        <v>0</v>
      </c>
      <c r="AV123" s="591">
        <f>[1]COMMANDE!O121</f>
        <v>0</v>
      </c>
      <c r="AW123" s="586" t="str">
        <f>_xlfn.IFS(AND($AI123=$AM123,$AI123&gt;0,$AM123&gt;0,AV123&gt;0), AV123,     AND(NOT($AI123=$AM123),$AI123&gt;0,$AM123&gt;0,AV123&gt;0), ($AM123*AV123)/$AI123,     AND($AI123=0,$AM123&gt;0,$AQ123&gt;0), IF(INDEX(AV$12:AV$263,MATCH($AQ123,$AP$12:$AP$263,0))&gt;0,($AM123*INDEX(AV$12:AV$263,MATCH($AQ123,$AP$12:$AP$263,0)))/INDEX($AI$12:$AI$263,MATCH($AQ123,$AP$12:$AP$263,0)), "-"),     TRUE, "0")</f>
        <v>0</v>
      </c>
      <c r="AX123" s="588">
        <f>IF(AW$9&gt;0, IF(OR(AW123="",AW123="-"), 0, AW123*$AT123), AV123*$AJ123)</f>
        <v>0</v>
      </c>
      <c r="AY123" s="587">
        <f>[1]COMMANDE!Q121</f>
        <v>0</v>
      </c>
      <c r="AZ123" s="586" t="str">
        <f>_xlfn.IFS(AND($AI123=$AM123,$AI123&gt;0,$AM123&gt;0,AY123&gt;0), AY123,     AND(NOT($AI123=$AM123),$AI123&gt;0,$AM123&gt;0,AY123&gt;0), ($AM123*AY123)/$AI123,     AND($AI123=0,$AM123&gt;0,$AQ123&gt;0), IF(INDEX(AY$12:AY$263,MATCH($AQ123,$AP$12:$AP$263,0))&gt;0,($AM123*INDEX(AY$12:AY$263,MATCH($AQ123,$AP$12:$AP$263,0)))/INDEX($AI$12:$AI$263,MATCH($AQ123,$AP$12:$AP$263,0)), "-"),     TRUE, "0")</f>
        <v>0</v>
      </c>
      <c r="BA123" s="607">
        <f>IF(AZ$9&gt;0, IF(OR(AZ123="",AZ123="-"), 0, AZ123*$AT123), AY123*$AJ123)</f>
        <v>0</v>
      </c>
      <c r="BB123" s="589">
        <f>[1]COMMANDE!S121</f>
        <v>0</v>
      </c>
      <c r="BC123" s="586" t="str">
        <f>_xlfn.IFS(AND($AI123=$AM123,$AI123&gt;0,$AM123&gt;0,BB123&gt;0), BB123,     AND(NOT($AI123=$AM123),$AI123&gt;0,$AM123&gt;0,BB123&gt;0), ($AM123*BB123)/$AI123,     AND($AI123=0,$AM123&gt;0,$AQ123&gt;0), IF(INDEX(BB$12:BB$263,MATCH($AQ123,$AP$12:$AP$263,0))&gt;0,($AM123*INDEX(BB$12:BB$263,MATCH($AQ123,$AP$12:$AP$263,0)))/INDEX($AI$12:$AI$263,MATCH($AQ123,$AP$12:$AP$263,0)), "-"),     TRUE, "0")</f>
        <v>0</v>
      </c>
      <c r="BD123" s="588">
        <f>IF(BC$9&gt;0, IF(OR(BC123="",BC123="-"), 0, BC123*$AT123), BB123*$AJ123)</f>
        <v>0</v>
      </c>
      <c r="BE123" s="587">
        <f>[1]COMMANDE!U121</f>
        <v>0</v>
      </c>
      <c r="BF123" s="586" t="str">
        <f>_xlfn.IFS(AND($AI123=$AM123,$AI123&gt;0,$AM123&gt;0,BE123&gt;0), BE123,     AND(NOT($AI123=$AM123),$AI123&gt;0,$AM123&gt;0,BE123&gt;0), ($AM123*BE123)/$AI123,     AND($AI123=0,$AM123&gt;0,$AQ123&gt;0), IF(INDEX(BE$12:BE$263,MATCH($AQ123,$AP$12:$AP$263,0))&gt;0,($AM123*INDEX(BE$12:BE$263,MATCH($AQ123,$AP$12:$AP$263,0)))/INDEX($AI$12:$AI$263,MATCH($AQ123,$AP$12:$AP$263,0)), "-"),     TRUE, "0")</f>
        <v>0</v>
      </c>
      <c r="BG123" s="607">
        <f>IF(BF$9&gt;0, IF(OR(BF123="",BF123="-"), 0, BF123*$AT123), BE123*$AJ123)</f>
        <v>0</v>
      </c>
      <c r="BH123" s="589">
        <f>[1]COMMANDE!W121</f>
        <v>0</v>
      </c>
      <c r="BI123" s="586" t="str">
        <f>_xlfn.IFS(AND($AI123=$AM123,$AI123&gt;0,$AM123&gt;0,BH123&gt;0), BH123,     AND(NOT($AI123=$AM123),$AI123&gt;0,$AM123&gt;0,BH123&gt;0), ($AM123*BH123)/$AI123,     AND($AI123=0,$AM123&gt;0,$AQ123&gt;0), IF(INDEX(BH$12:BH$263,MATCH($AQ123,$AP$12:$AP$263,0))&gt;0,($AM123*INDEX(BH$12:BH$263,MATCH($AQ123,$AP$12:$AP$263,0)))/INDEX($AI$12:$AI$263,MATCH($AQ123,$AP$12:$AP$263,0)), "-"),     TRUE, "0")</f>
        <v>0</v>
      </c>
      <c r="BJ123" s="588">
        <f>IF(BI$9&gt;0, IF(OR(BI123="",BI123="-"), 0, BI123*$AT123), BH123*$AJ123)</f>
        <v>0</v>
      </c>
      <c r="BK123" s="587">
        <f>[1]COMMANDE!Y121</f>
        <v>0</v>
      </c>
      <c r="BL123" s="586" t="str">
        <f>_xlfn.IFS(AND($AI123=$AM123,$AI123&gt;0,$AM123&gt;0,BK123&gt;0), BK123,     AND(NOT($AI123=$AM123),$AI123&gt;0,$AM123&gt;0,BK123&gt;0), ($AM123*BK123)/$AI123,     AND($AI123=0,$AM123&gt;0,$AQ123&gt;0), IF(INDEX(BK$12:BK$263,MATCH($AQ123,$AP$12:$AP$263,0))&gt;0,($AM123*INDEX(BK$12:BK$263,MATCH($AQ123,$AP$12:$AP$263,0)))/INDEX($AI$12:$AI$263,MATCH($AQ123,$AP$12:$AP$263,0)), "-"),     TRUE, "0")</f>
        <v>0</v>
      </c>
      <c r="BM123" s="607">
        <f>IF(BL$9&gt;0, IF(OR(BL123="",BL123="-"), 0, BL123*$AT123), BK123*$AJ123)</f>
        <v>0</v>
      </c>
      <c r="BN123" s="589">
        <f>[1]COMMANDE!AA121</f>
        <v>0</v>
      </c>
      <c r="BO123" s="586" t="str">
        <f>_xlfn.IFS(AND($AI123=$AM123,$AI123&gt;0,$AM123&gt;0,BN123&gt;0), BN123,     AND(NOT($AI123=$AM123),$AI123&gt;0,$AM123&gt;0,BN123&gt;0), ($AM123*BN123)/$AI123,     AND($AI123=0,$AM123&gt;0,$AQ123&gt;0), IF(INDEX(BN$12:BN$263,MATCH($AQ123,$AP$12:$AP$263,0))&gt;0,($AM123*INDEX(BN$12:BN$263,MATCH($AQ123,$AP$12:$AP$263,0)))/INDEX($AI$12:$AI$263,MATCH($AQ123,$AP$12:$AP$263,0)), "-"),     TRUE, "0")</f>
        <v>0</v>
      </c>
      <c r="BP123" s="588">
        <f>IF(BO$9&gt;0, IF(OR(BO123="",BO123="-"), 0, BO123*$AT123), BN123*$AJ123)</f>
        <v>0</v>
      </c>
      <c r="BQ123" s="587">
        <f>[1]COMMANDE!AC121</f>
        <v>0</v>
      </c>
      <c r="BR123" s="586" t="str">
        <f>_xlfn.IFS(AND($AI123=$AM123,$AI123&gt;0,$AM123&gt;0,BQ123&gt;0), BQ123,     AND(NOT($AI123=$AM123),$AI123&gt;0,$AM123&gt;0,BQ123&gt;0), ($AM123*BQ123)/$AI123,     AND($AI123=0,$AM123&gt;0,$AQ123&gt;0), IF(INDEX(BQ$12:BQ$263,MATCH($AQ123,$AP$12:$AP$263,0))&gt;0,($AM123*INDEX(BQ$12:BQ$263,MATCH($AQ123,$AP$12:$AP$263,0)))/INDEX($AI$12:$AI$263,MATCH($AQ123,$AP$12:$AP$263,0)), "-"),     TRUE, "0")</f>
        <v>0</v>
      </c>
      <c r="BS123" s="607">
        <f>IF(BR$9&gt;0, IF(OR(BR123="",BR123="-"), 0, BR123*$AT123), BQ123*$AJ123)</f>
        <v>0</v>
      </c>
      <c r="BT123" s="589">
        <f>[1]COMMANDE!AE121</f>
        <v>0</v>
      </c>
      <c r="BU123" s="586" t="str">
        <f>_xlfn.IFS(AND($AI123=$AM123,$AI123&gt;0,$AM123&gt;0,BT123&gt;0), BT123,     AND(NOT($AI123=$AM123),$AI123&gt;0,$AM123&gt;0,BT123&gt;0), ($AM123*BT123)/$AI123,     AND($AI123=0,$AM123&gt;0,$AQ123&gt;0), IF(INDEX(BT$12:BT$263,MATCH($AQ123,$AP$12:$AP$263,0))&gt;0,($AM123*INDEX(BT$12:BT$263,MATCH($AQ123,$AP$12:$AP$263,0)))/INDEX($AI$12:$AI$263,MATCH($AQ123,$AP$12:$AP$263,0)), "-"),     TRUE, "0")</f>
        <v>0</v>
      </c>
      <c r="BV123" s="588">
        <f>IF(BU$9&gt;0, IF(OR(BU123="",BU123="-"), 0, BU123*$AT123), BT123*$AJ123)</f>
        <v>0</v>
      </c>
      <c r="BW123" s="587">
        <f>[1]COMMANDE!AG121</f>
        <v>0</v>
      </c>
      <c r="BX123" s="586" t="str">
        <f>_xlfn.IFS(AND($AI123=$AM123,$AI123&gt;0,$AM123&gt;0,BW123&gt;0), BW123,     AND(NOT($AI123=$AM123),$AI123&gt;0,$AM123&gt;0,BW123&gt;0), ($AM123*BW123)/$AI123,     AND($AI123=0,$AM123&gt;0,$AQ123&gt;0), IF(INDEX(BW$12:BW$263,MATCH($AQ123,$AP$12:$AP$263,0))&gt;0,($AM123*INDEX(BW$12:BW$263,MATCH($AQ123,$AP$12:$AP$263,0)))/INDEX($AI$12:$AI$263,MATCH($AQ123,$AP$12:$AP$263,0)), "-"),     TRUE, "0")</f>
        <v>0</v>
      </c>
      <c r="BY123" s="607">
        <f>IF(BX$9&gt;0, IF(OR(BX123="",BX123="-"), 0, BX123*$AT123), BW123*$AJ123)</f>
        <v>0</v>
      </c>
      <c r="BZ123" s="589">
        <f>[1]COMMANDE!AI121</f>
        <v>0</v>
      </c>
      <c r="CA123" s="586" t="str">
        <f>_xlfn.IFS(AND($AI123=$AM123,$AI123&gt;0,$AM123&gt;0,BZ123&gt;0), BZ123,     AND(NOT($AI123=$AM123),$AI123&gt;0,$AM123&gt;0,BZ123&gt;0), ($AM123*BZ123)/$AI123,     AND($AI123=0,$AM123&gt;0,$AQ123&gt;0), IF(INDEX(BZ$12:BZ$263,MATCH($AQ123,$AP$12:$AP$263,0))&gt;0,($AM123*INDEX(BZ$12:BZ$263,MATCH($AQ123,$AP$12:$AP$263,0)))/INDEX($AI$12:$AI$263,MATCH($AQ123,$AP$12:$AP$263,0)), "-"),     TRUE, "0")</f>
        <v>0</v>
      </c>
      <c r="CB123" s="588">
        <f>IF(CA$9&gt;0, IF(OR(CA123="",CA123="-"), 0, CA123*$AT123), BZ123*$AJ123)</f>
        <v>0</v>
      </c>
      <c r="CC123" s="587">
        <f>[1]COMMANDE!AK121</f>
        <v>0</v>
      </c>
      <c r="CD123" s="586" t="str">
        <f>_xlfn.IFS(AND($AI123=$AM123,$AI123&gt;0,$AM123&gt;0,CC123&gt;0), CC123,     AND(NOT($AI123=$AM123),$AI123&gt;0,$AM123&gt;0,CC123&gt;0), ($AM123*CC123)/$AI123,     AND($AI123=0,$AM123&gt;0,$AQ123&gt;0), IF(INDEX(CC$12:CC$263,MATCH($AQ123,$AP$12:$AP$263,0))&gt;0,($AM123*INDEX(CC$12:CC$263,MATCH($AQ123,$AP$12:$AP$263,0)))/INDEX($AI$12:$AI$263,MATCH($AQ123,$AP$12:$AP$263,0)), "-"),     TRUE, "0")</f>
        <v>0</v>
      </c>
      <c r="CE123" s="607">
        <f>IF(CD$9&gt;0, IF(OR(CD123="",CD123="-"), 0, CD123*$AT123), CC123*$AJ123)</f>
        <v>0</v>
      </c>
      <c r="CF123" s="589">
        <f>[1]COMMANDE!AM121</f>
        <v>0</v>
      </c>
      <c r="CG123" s="586" t="str">
        <f>_xlfn.IFS(AND($AI123=$AM123,$AI123&gt;0,$AM123&gt;0,CF123&gt;0), CF123,     AND(NOT($AI123=$AM123),$AI123&gt;0,$AM123&gt;0,CF123&gt;0), ($AM123*CF123)/$AI123,     AND($AI123=0,$AM123&gt;0,$AQ123&gt;0), IF(INDEX(CF$12:CF$263,MATCH($AQ123,$AP$12:$AP$263,0))&gt;0,($AM123*INDEX(CF$12:CF$263,MATCH($AQ123,$AP$12:$AP$263,0)))/INDEX($AI$12:$AI$263,MATCH($AQ123,$AP$12:$AP$263,0)), "-"),     TRUE, "0")</f>
        <v>0</v>
      </c>
      <c r="CH123" s="588">
        <f>IF(CG$9&gt;0, IF(OR(CG123="",CG123="-"), 0, CG123*$AT123), CF123*$AJ123)</f>
        <v>0</v>
      </c>
      <c r="CI123" s="587">
        <f>[1]COMMANDE!AO121</f>
        <v>0</v>
      </c>
      <c r="CJ123" s="586" t="str">
        <f>_xlfn.IFS(AND($AI123=$AM123,$AI123&gt;0,$AM123&gt;0,CI123&gt;0), CI123,     AND(NOT($AI123=$AM123),$AI123&gt;0,$AM123&gt;0,CI123&gt;0), ($AM123*CI123)/$AI123,     AND($AI123=0,$AM123&gt;0,$AQ123&gt;0), IF(INDEX(CI$12:CI$263,MATCH($AQ123,$AP$12:$AP$263,0))&gt;0,($AM123*INDEX(CI$12:CI$263,MATCH($AQ123,$AP$12:$AP$263,0)))/INDEX($AI$12:$AI$263,MATCH($AQ123,$AP$12:$AP$263,0)), "-"),     TRUE, "0")</f>
        <v>0</v>
      </c>
      <c r="CK123" s="607">
        <f>IF(CJ$9&gt;0, IF(OR(CJ123="",CJ123="-"), 0, CJ123*$AT123), CI123*$AJ123)</f>
        <v>0</v>
      </c>
      <c r="CL123" s="589">
        <f>[1]COMMANDE!AQ121</f>
        <v>0</v>
      </c>
      <c r="CM123" s="586" t="str">
        <f>_xlfn.IFS(AND($AI123=$AM123,$AI123&gt;0,$AM123&gt;0,CL123&gt;0), CL123,     AND(NOT($AI123=$AM123),$AI123&gt;0,$AM123&gt;0,CL123&gt;0), ($AM123*CL123)/$AI123,     AND($AI123=0,$AM123&gt;0,$AQ123&gt;0), IF(INDEX(CL$12:CL$263,MATCH($AQ123,$AP$12:$AP$263,0))&gt;0,($AM123*INDEX(CL$12:CL$263,MATCH($AQ123,$AP$12:$AP$263,0)))/INDEX($AI$12:$AI$263,MATCH($AQ123,$AP$12:$AP$263,0)), "-"),     TRUE, "0")</f>
        <v>0</v>
      </c>
      <c r="CN123" s="588">
        <f>IF(CM$9&gt;0, IF(OR(CM123="",CM123="-"), 0, CM123*$AT123), CL123*$AJ123)</f>
        <v>0</v>
      </c>
      <c r="CO123" s="587">
        <f>[1]COMMANDE!AS121</f>
        <v>0</v>
      </c>
      <c r="CP123" s="586" t="str">
        <f>_xlfn.IFS(AND($AI123=$AM123,$AI123&gt;0,$AM123&gt;0,CO123&gt;0), CO123,     AND(NOT($AI123=$AM123),$AI123&gt;0,$AM123&gt;0,CO123&gt;0), ($AM123*CO123)/$AI123,     AND($AI123=0,$AM123&gt;0,$AQ123&gt;0), IF(INDEX(CO$12:CO$263,MATCH($AQ123,$AP$12:$AP$263,0))&gt;0,($AM123*INDEX(CO$12:CO$263,MATCH($AQ123,$AP$12:$AP$263,0)))/INDEX($AI$12:$AI$263,MATCH($AQ123,$AP$12:$AP$263,0)), "-"),     TRUE, "0")</f>
        <v>0</v>
      </c>
      <c r="CQ123" s="607">
        <f>IF(CP$9&gt;0, IF(OR(CP123="",CP123="-"), 0, CP123*$AT123), CO123*$AJ123)</f>
        <v>0</v>
      </c>
      <c r="CR123" s="589">
        <f>[1]COMMANDE!AU121</f>
        <v>0</v>
      </c>
      <c r="CS123" s="586" t="str">
        <f>_xlfn.IFS(AND($AI123=$AM123,$AI123&gt;0,$AM123&gt;0,CR123&gt;0), CR123,     AND(NOT($AI123=$AM123),$AI123&gt;0,$AM123&gt;0,CR123&gt;0), ($AM123*CR123)/$AI123,     AND($AI123=0,$AM123&gt;0,$AQ123&gt;0), IF(INDEX(CR$12:CR$263,MATCH($AQ123,$AP$12:$AP$263,0))&gt;0,($AM123*INDEX(CR$12:CR$263,MATCH($AQ123,$AP$12:$AP$263,0)))/INDEX($AI$12:$AI$263,MATCH($AQ123,$AP$12:$AP$263,0)), "-"),     TRUE, "0")</f>
        <v>0</v>
      </c>
      <c r="CT123" s="588">
        <f>IF(CS$9&gt;0, IF(OR(CS123="",CS123="-"), 0, CS123*$AT123), CR123*$AJ123)</f>
        <v>0</v>
      </c>
      <c r="CU123" s="587">
        <f>[1]COMMANDE!AW121</f>
        <v>0</v>
      </c>
      <c r="CV123" s="586" t="str">
        <f>_xlfn.IFS(AND($AI123=$AM123,$AI123&gt;0,$AM123&gt;0,CU123&gt;0), CU123,     AND(NOT($AI123=$AM123),$AI123&gt;0,$AM123&gt;0,CU123&gt;0), ($AM123*CU123)/$AI123,     AND($AI123=0,$AM123&gt;0,$AQ123&gt;0), IF(INDEX(CU$12:CU$263,MATCH($AQ123,$AP$12:$AP$263,0))&gt;0,($AM123*INDEX(CU$12:CU$263,MATCH($AQ123,$AP$12:$AP$263,0)))/INDEX($AI$12:$AI$263,MATCH($AQ123,$AP$12:$AP$263,0)), "-"),     TRUE, "0")</f>
        <v>0</v>
      </c>
      <c r="CW123" s="607">
        <f>IF(CV$9&gt;0, IF(OR(CV123="",CV123="-"), 0, CV123*$AT123), CU123*$AJ123)</f>
        <v>0</v>
      </c>
      <c r="CX123" s="589">
        <f>[1]COMMANDE!AY121</f>
        <v>0</v>
      </c>
      <c r="CY123" s="586" t="str">
        <f>_xlfn.IFS(AND($AI123=$AM123,$AI123&gt;0,$AM123&gt;0,CX123&gt;0), CX123,     AND(NOT($AI123=$AM123),$AI123&gt;0,$AM123&gt;0,CX123&gt;0), ($AM123*CX123)/$AI123,     AND($AI123=0,$AM123&gt;0,$AQ123&gt;0), IF(INDEX(CX$12:CX$263,MATCH($AQ123,$AP$12:$AP$263,0))&gt;0,($AM123*INDEX(CX$12:CX$263,MATCH($AQ123,$AP$12:$AP$263,0)))/INDEX($AI$12:$AI$263,MATCH($AQ123,$AP$12:$AP$263,0)), "-"),     TRUE, "0")</f>
        <v>0</v>
      </c>
      <c r="CZ123" s="588">
        <f>IF(CY$9&gt;0, IF(OR(CY123="",CY123="-"), 0, CY123*$AT123), CX123*$AJ123)</f>
        <v>0</v>
      </c>
      <c r="DA123" s="587">
        <f>[1]COMMANDE!BA121</f>
        <v>0</v>
      </c>
      <c r="DB123" s="586" t="str">
        <f>_xlfn.IFS(AND($AI123=$AM123,$AI123&gt;0,$AM123&gt;0,DA123&gt;0), DA123,     AND(NOT($AI123=$AM123),$AI123&gt;0,$AM123&gt;0,DA123&gt;0), ($AM123*DA123)/$AI123,     AND($AI123=0,$AM123&gt;0,$AQ123&gt;0), IF(INDEX(DA$12:DA$263,MATCH($AQ123,$AP$12:$AP$263,0))&gt;0,($AM123*INDEX(DA$12:DA$263,MATCH($AQ123,$AP$12:$AP$263,0)))/INDEX($AI$12:$AI$263,MATCH($AQ123,$AP$12:$AP$263,0)), "-"),     TRUE, "0")</f>
        <v>0</v>
      </c>
      <c r="DC123" s="606">
        <f>IF(DB$9&gt;0, IF(OR(DB123="",DB123="-"), 0, DB123*$AT123), DA123*$AJ123)</f>
        <v>0</v>
      </c>
      <c r="DD123" s="584"/>
      <c r="DE123" s="583"/>
    </row>
    <row r="124" spans="1:128" ht="39.950000000000003" hidden="1" customHeight="1">
      <c r="A124" s="604">
        <f>IF(OR($AV124&gt;0, $AX124&gt;0), 1, 0)</f>
        <v>0</v>
      </c>
      <c r="B124" s="604">
        <f>IF(OR($AY124&gt;0, $BA124&gt;0), 1, 0)</f>
        <v>0</v>
      </c>
      <c r="C124" s="604">
        <f>IF(OR($BB124&gt;0, $BD124&gt;0), 1, 0)</f>
        <v>0</v>
      </c>
      <c r="D124" s="604">
        <f>IF(OR($BE124&gt;0, $BG124&gt;0), 1, 0)</f>
        <v>0</v>
      </c>
      <c r="E124" s="604">
        <f>IF(OR($BH124&gt;0, $BJ124&gt;0), 1, 0)</f>
        <v>0</v>
      </c>
      <c r="F124" s="604">
        <f>IF(OR($BK124&gt;0, $BM124&gt;0), 1, 0)</f>
        <v>0</v>
      </c>
      <c r="G124" s="604">
        <f>IF(OR($BN124&gt;0, $BP124&gt;0), 1, 0)</f>
        <v>0</v>
      </c>
      <c r="H124" s="604">
        <f>IF(OR($BQ124&gt;0, $BS124&gt;0), 1, 0)</f>
        <v>0</v>
      </c>
      <c r="I124" s="604">
        <f>IF(OR($BT124&gt;0, $BV124&gt;0), 1, 0)</f>
        <v>0</v>
      </c>
      <c r="J124" s="604">
        <f>IF(OR($BW124&gt;0, $BY124&gt;0), 1, 0)</f>
        <v>0</v>
      </c>
      <c r="K124" s="604">
        <f>IF(OR($BZ124&gt;0, $CB124&gt;0), 1, 0)</f>
        <v>0</v>
      </c>
      <c r="L124" s="604">
        <f>IF(OR($CC124&gt;0, $CE124&gt;0), 1, 0)</f>
        <v>0</v>
      </c>
      <c r="M124" s="604">
        <f>IF(OR($CF124&gt;0, $CH124&gt;0), 1, 0)</f>
        <v>0</v>
      </c>
      <c r="N124" s="604">
        <f>IF(OR($CI124&gt;0, $CK124&gt;0), 1, 0)</f>
        <v>0</v>
      </c>
      <c r="O124" s="604">
        <f>IF(OR($CL124&gt;0, $CN124&gt;0), 1, 0)</f>
        <v>0</v>
      </c>
      <c r="P124" s="604">
        <f>IF(OR($CO124&gt;0, $CQ124&gt;0), 1, 0)</f>
        <v>0</v>
      </c>
      <c r="Q124" s="604">
        <f>IF(OR($CR124&gt;0, $CT124&gt;0), 1, 0)</f>
        <v>0</v>
      </c>
      <c r="R124" s="604">
        <f>IF(OR($CU124&gt;0, $CW124&gt;0), 1, 0)</f>
        <v>0</v>
      </c>
      <c r="S124" s="604">
        <f>IF(OR($CX124&gt;0, $CZ124&gt;0), 1, 0)</f>
        <v>0</v>
      </c>
      <c r="T124" s="604">
        <f>IF(OR($DA124&gt;0, $DC124&gt;0), 1, 0)</f>
        <v>0</v>
      </c>
      <c r="U124" s="603">
        <f>IF(OR($AI124&gt;0,$AM124&gt;0,$AS124&gt;0), 1, 0)</f>
        <v>0</v>
      </c>
      <c r="V124" s="602">
        <f>[1]BDD!A114</f>
        <v>1607</v>
      </c>
      <c r="W124" s="601" t="str">
        <f>[1]BDD!B114</f>
        <v>Graines de chanvre pelées CRU BIO
    - (env. 1 kg)</v>
      </c>
      <c r="X124" s="600" t="str">
        <f>IF([1]BDD!F114=0, "", [1]BDD!F114)</f>
        <v>❤️</v>
      </c>
      <c r="Y124" s="542">
        <f>ROUND([1]BDD!G114+FDP_CMD_KG, 2)</f>
        <v>18.649999999999999</v>
      </c>
      <c r="Z124" s="542">
        <f>ROUND([1]BDD!G114+FDP_FACT_KG, 2)</f>
        <v>18.649999999999999</v>
      </c>
      <c r="AA124" s="543" t="str">
        <f>[1]BDD!H114</f>
        <v>kg</v>
      </c>
      <c r="AB124" s="544">
        <f>IF(NOT(ISBLANK([1]BDD!I114)), ROUND(SUM(([1]BDD!G114*reduc1),FDP_CMD_KG), 2), "")</f>
        <v>16.88</v>
      </c>
      <c r="AC124" s="544" t="str">
        <f>IF(NOT(ISBLANK([1]BDD!J114)), ROUND(SUM(([1]BDD!G114*reduc2),FDP_CMD_KG), 2), "")</f>
        <v/>
      </c>
      <c r="AD124" s="544" t="str">
        <f>IF(NOT(ISBLANK([1]BDD!K114)), ROUND(SUM(([1]BDD!G114*reduc3),FDP_CMD_KG), 2), "")</f>
        <v/>
      </c>
      <c r="AE124" s="544">
        <f>IF(NOT(ISBLANK([1]BDD!I114)), ROUND(SUM(([1]BDD!G114*reduc1),FDP_FACT_KG), 2), "")</f>
        <v>16.87</v>
      </c>
      <c r="AF124" s="544" t="str">
        <f>IF(NOT(ISBLANK([1]BDD!J114)), ROUND(SUM(([1]BDD!G114*reduc2),FDP_FACT_KG), 2), "")</f>
        <v/>
      </c>
      <c r="AG124" s="544" t="str">
        <f>IF(NOT(ISBLANK([1]BDD!K114)), ROUND(SUM(([1]BDD!G114*reduc3),FDP_FACT_KG), 2), "")</f>
        <v/>
      </c>
      <c r="AH124" s="599" t="str">
        <f>[1]BDD!C114</f>
        <v>Chine</v>
      </c>
      <c r="AI124" s="598">
        <f>SUM(AV124,AY124,BB124,BE124,BH124,BK124,BN124,BQ124,BT124,BW124,BZ124,CC124,CF124,CI124,CL124,CO124,CR124,CU124,CX124,DA124)</f>
        <v>0</v>
      </c>
      <c r="AJ124" s="545">
        <f>_xlfn.IFS($AD124&lt;&gt;"", $AD124,    $AC124&lt;&gt;"", $AC124,    $AB124&lt;&gt;"", $AB124,    TRUE, $Y124)</f>
        <v>16.88</v>
      </c>
      <c r="AK124" s="592">
        <f>$AI124*$AJ124</f>
        <v>0</v>
      </c>
      <c r="AL124" s="594"/>
      <c r="AM124" s="597"/>
      <c r="AN124" s="545">
        <f>_xlfn.IFS(AND(AM124&gt;=60,$AG124&lt;&gt;""), $AG124,    AND(AM124&gt;=30,$AF124&lt;&gt;""), $AF124,    AND(AM124&gt;=10,$AE124&lt;&gt;""), $AE124,    TRUE, $Z124)</f>
        <v>18.649999999999999</v>
      </c>
      <c r="AO124" s="596">
        <f>AM124*AN124</f>
        <v>0</v>
      </c>
      <c r="AP124" s="595"/>
      <c r="AQ124" s="595"/>
      <c r="AR124" s="594"/>
      <c r="AS124" s="593">
        <f>SUM(AW124,AZ124,BC124,BF124,BI124,BL124,BO124,BR124,BU124,BX124,CA124,CD124,CG124,CJ124,CM124,CP124,CS124,CV124,CY124,DB124)</f>
        <v>0</v>
      </c>
      <c r="AT124" s="545">
        <f>_xlfn.IFS(AND(AS124&gt;=60,$AG124&lt;&gt;""), $AG124,    AND(AS124&gt;=30,$AF124&lt;&gt;""), $AF124,    AND(AS124&gt;=10,$AE124&lt;&gt;""), $AE124,    TRUE, $Z124)</f>
        <v>18.649999999999999</v>
      </c>
      <c r="AU124" s="592">
        <f>$AS124*$AT124</f>
        <v>0</v>
      </c>
      <c r="AV124" s="591">
        <f>[1]COMMANDE!O122</f>
        <v>0</v>
      </c>
      <c r="AW124" s="586" t="str">
        <f>_xlfn.IFS(AND($AI124=$AM124,$AI124&gt;0,$AM124&gt;0,AV124&gt;0), AV124,     AND(NOT($AI124=$AM124),$AI124&gt;0,$AM124&gt;0,AV124&gt;0), ($AM124*AV124)/$AI124,     AND($AI124=0,$AM124&gt;0,$AQ124&gt;0), IF(INDEX(AV$12:AV$263,MATCH($AQ124,$AP$12:$AP$263,0))&gt;0,($AM124*INDEX(AV$12:AV$263,MATCH($AQ124,$AP$12:$AP$263,0)))/INDEX($AI$12:$AI$263,MATCH($AQ124,$AP$12:$AP$263,0)), "-"),     TRUE, "0")</f>
        <v>0</v>
      </c>
      <c r="AX124" s="588">
        <f>IF(AW$9&gt;0, IF(OR(AW124="",AW124="-"), 0, AW124*$AT124), AV124*$AJ124)</f>
        <v>0</v>
      </c>
      <c r="AY124" s="587">
        <f>[1]COMMANDE!Q122</f>
        <v>0</v>
      </c>
      <c r="AZ124" s="586" t="str">
        <f>_xlfn.IFS(AND($AI124=$AM124,$AI124&gt;0,$AM124&gt;0,AY124&gt;0), AY124,     AND(NOT($AI124=$AM124),$AI124&gt;0,$AM124&gt;0,AY124&gt;0), ($AM124*AY124)/$AI124,     AND($AI124=0,$AM124&gt;0,$AQ124&gt;0), IF(INDEX(AY$12:AY$263,MATCH($AQ124,$AP$12:$AP$263,0))&gt;0,($AM124*INDEX(AY$12:AY$263,MATCH($AQ124,$AP$12:$AP$263,0)))/INDEX($AI$12:$AI$263,MATCH($AQ124,$AP$12:$AP$263,0)), "-"),     TRUE, "0")</f>
        <v>0</v>
      </c>
      <c r="BA124" s="607">
        <f>IF(AZ$9&gt;0, IF(OR(AZ124="",AZ124="-"), 0, AZ124*$AT124), AY124*$AJ124)</f>
        <v>0</v>
      </c>
      <c r="BB124" s="589">
        <f>[1]COMMANDE!S122</f>
        <v>0</v>
      </c>
      <c r="BC124" s="586" t="str">
        <f>_xlfn.IFS(AND($AI124=$AM124,$AI124&gt;0,$AM124&gt;0,BB124&gt;0), BB124,     AND(NOT($AI124=$AM124),$AI124&gt;0,$AM124&gt;0,BB124&gt;0), ($AM124*BB124)/$AI124,     AND($AI124=0,$AM124&gt;0,$AQ124&gt;0), IF(INDEX(BB$12:BB$263,MATCH($AQ124,$AP$12:$AP$263,0))&gt;0,($AM124*INDEX(BB$12:BB$263,MATCH($AQ124,$AP$12:$AP$263,0)))/INDEX($AI$12:$AI$263,MATCH($AQ124,$AP$12:$AP$263,0)), "-"),     TRUE, "0")</f>
        <v>0</v>
      </c>
      <c r="BD124" s="588">
        <f>IF(BC$9&gt;0, IF(OR(BC124="",BC124="-"), 0, BC124*$AT124), BB124*$AJ124)</f>
        <v>0</v>
      </c>
      <c r="BE124" s="587">
        <f>[1]COMMANDE!U122</f>
        <v>0</v>
      </c>
      <c r="BF124" s="586" t="str">
        <f>_xlfn.IFS(AND($AI124=$AM124,$AI124&gt;0,$AM124&gt;0,BE124&gt;0), BE124,     AND(NOT($AI124=$AM124),$AI124&gt;0,$AM124&gt;0,BE124&gt;0), ($AM124*BE124)/$AI124,     AND($AI124=0,$AM124&gt;0,$AQ124&gt;0), IF(INDEX(BE$12:BE$263,MATCH($AQ124,$AP$12:$AP$263,0))&gt;0,($AM124*INDEX(BE$12:BE$263,MATCH($AQ124,$AP$12:$AP$263,0)))/INDEX($AI$12:$AI$263,MATCH($AQ124,$AP$12:$AP$263,0)), "-"),     TRUE, "0")</f>
        <v>0</v>
      </c>
      <c r="BG124" s="607">
        <f>IF(BF$9&gt;0, IF(OR(BF124="",BF124="-"), 0, BF124*$AT124), BE124*$AJ124)</f>
        <v>0</v>
      </c>
      <c r="BH124" s="589">
        <f>[1]COMMANDE!W122</f>
        <v>0</v>
      </c>
      <c r="BI124" s="586" t="str">
        <f>_xlfn.IFS(AND($AI124=$AM124,$AI124&gt;0,$AM124&gt;0,BH124&gt;0), BH124,     AND(NOT($AI124=$AM124),$AI124&gt;0,$AM124&gt;0,BH124&gt;0), ($AM124*BH124)/$AI124,     AND($AI124=0,$AM124&gt;0,$AQ124&gt;0), IF(INDEX(BH$12:BH$263,MATCH($AQ124,$AP$12:$AP$263,0))&gt;0,($AM124*INDEX(BH$12:BH$263,MATCH($AQ124,$AP$12:$AP$263,0)))/INDEX($AI$12:$AI$263,MATCH($AQ124,$AP$12:$AP$263,0)), "-"),     TRUE, "0")</f>
        <v>0</v>
      </c>
      <c r="BJ124" s="588">
        <f>IF(BI$9&gt;0, IF(OR(BI124="",BI124="-"), 0, BI124*$AT124), BH124*$AJ124)</f>
        <v>0</v>
      </c>
      <c r="BK124" s="587">
        <f>[1]COMMANDE!Y122</f>
        <v>0</v>
      </c>
      <c r="BL124" s="586" t="str">
        <f>_xlfn.IFS(AND($AI124=$AM124,$AI124&gt;0,$AM124&gt;0,BK124&gt;0), BK124,     AND(NOT($AI124=$AM124),$AI124&gt;0,$AM124&gt;0,BK124&gt;0), ($AM124*BK124)/$AI124,     AND($AI124=0,$AM124&gt;0,$AQ124&gt;0), IF(INDEX(BK$12:BK$263,MATCH($AQ124,$AP$12:$AP$263,0))&gt;0,($AM124*INDEX(BK$12:BK$263,MATCH($AQ124,$AP$12:$AP$263,0)))/INDEX($AI$12:$AI$263,MATCH($AQ124,$AP$12:$AP$263,0)), "-"),     TRUE, "0")</f>
        <v>0</v>
      </c>
      <c r="BM124" s="607">
        <f>IF(BL$9&gt;0, IF(OR(BL124="",BL124="-"), 0, BL124*$AT124), BK124*$AJ124)</f>
        <v>0</v>
      </c>
      <c r="BN124" s="589">
        <f>[1]COMMANDE!AA122</f>
        <v>0</v>
      </c>
      <c r="BO124" s="586" t="str">
        <f>_xlfn.IFS(AND($AI124=$AM124,$AI124&gt;0,$AM124&gt;0,BN124&gt;0), BN124,     AND(NOT($AI124=$AM124),$AI124&gt;0,$AM124&gt;0,BN124&gt;0), ($AM124*BN124)/$AI124,     AND($AI124=0,$AM124&gt;0,$AQ124&gt;0), IF(INDEX(BN$12:BN$263,MATCH($AQ124,$AP$12:$AP$263,0))&gt;0,($AM124*INDEX(BN$12:BN$263,MATCH($AQ124,$AP$12:$AP$263,0)))/INDEX($AI$12:$AI$263,MATCH($AQ124,$AP$12:$AP$263,0)), "-"),     TRUE, "0")</f>
        <v>0</v>
      </c>
      <c r="BP124" s="588">
        <f>IF(BO$9&gt;0, IF(OR(BO124="",BO124="-"), 0, BO124*$AT124), BN124*$AJ124)</f>
        <v>0</v>
      </c>
      <c r="BQ124" s="587">
        <f>[1]COMMANDE!AC122</f>
        <v>0</v>
      </c>
      <c r="BR124" s="586" t="str">
        <f>_xlfn.IFS(AND($AI124=$AM124,$AI124&gt;0,$AM124&gt;0,BQ124&gt;0), BQ124,     AND(NOT($AI124=$AM124),$AI124&gt;0,$AM124&gt;0,BQ124&gt;0), ($AM124*BQ124)/$AI124,     AND($AI124=0,$AM124&gt;0,$AQ124&gt;0), IF(INDEX(BQ$12:BQ$263,MATCH($AQ124,$AP$12:$AP$263,0))&gt;0,($AM124*INDEX(BQ$12:BQ$263,MATCH($AQ124,$AP$12:$AP$263,0)))/INDEX($AI$12:$AI$263,MATCH($AQ124,$AP$12:$AP$263,0)), "-"),     TRUE, "0")</f>
        <v>0</v>
      </c>
      <c r="BS124" s="607">
        <f>IF(BR$9&gt;0, IF(OR(BR124="",BR124="-"), 0, BR124*$AT124), BQ124*$AJ124)</f>
        <v>0</v>
      </c>
      <c r="BT124" s="589">
        <f>[1]COMMANDE!AE122</f>
        <v>0</v>
      </c>
      <c r="BU124" s="586" t="str">
        <f>_xlfn.IFS(AND($AI124=$AM124,$AI124&gt;0,$AM124&gt;0,BT124&gt;0), BT124,     AND(NOT($AI124=$AM124),$AI124&gt;0,$AM124&gt;0,BT124&gt;0), ($AM124*BT124)/$AI124,     AND($AI124=0,$AM124&gt;0,$AQ124&gt;0), IF(INDEX(BT$12:BT$263,MATCH($AQ124,$AP$12:$AP$263,0))&gt;0,($AM124*INDEX(BT$12:BT$263,MATCH($AQ124,$AP$12:$AP$263,0)))/INDEX($AI$12:$AI$263,MATCH($AQ124,$AP$12:$AP$263,0)), "-"),     TRUE, "0")</f>
        <v>0</v>
      </c>
      <c r="BV124" s="588">
        <f>IF(BU$9&gt;0, IF(OR(BU124="",BU124="-"), 0, BU124*$AT124), BT124*$AJ124)</f>
        <v>0</v>
      </c>
      <c r="BW124" s="587">
        <f>[1]COMMANDE!AG122</f>
        <v>0</v>
      </c>
      <c r="BX124" s="586" t="str">
        <f>_xlfn.IFS(AND($AI124=$AM124,$AI124&gt;0,$AM124&gt;0,BW124&gt;0), BW124,     AND(NOT($AI124=$AM124),$AI124&gt;0,$AM124&gt;0,BW124&gt;0), ($AM124*BW124)/$AI124,     AND($AI124=0,$AM124&gt;0,$AQ124&gt;0), IF(INDEX(BW$12:BW$263,MATCH($AQ124,$AP$12:$AP$263,0))&gt;0,($AM124*INDEX(BW$12:BW$263,MATCH($AQ124,$AP$12:$AP$263,0)))/INDEX($AI$12:$AI$263,MATCH($AQ124,$AP$12:$AP$263,0)), "-"),     TRUE, "0")</f>
        <v>0</v>
      </c>
      <c r="BY124" s="607">
        <f>IF(BX$9&gt;0, IF(OR(BX124="",BX124="-"), 0, BX124*$AT124), BW124*$AJ124)</f>
        <v>0</v>
      </c>
      <c r="BZ124" s="589">
        <f>[1]COMMANDE!AI122</f>
        <v>0</v>
      </c>
      <c r="CA124" s="586" t="str">
        <f>_xlfn.IFS(AND($AI124=$AM124,$AI124&gt;0,$AM124&gt;0,BZ124&gt;0), BZ124,     AND(NOT($AI124=$AM124),$AI124&gt;0,$AM124&gt;0,BZ124&gt;0), ($AM124*BZ124)/$AI124,     AND($AI124=0,$AM124&gt;0,$AQ124&gt;0), IF(INDEX(BZ$12:BZ$263,MATCH($AQ124,$AP$12:$AP$263,0))&gt;0,($AM124*INDEX(BZ$12:BZ$263,MATCH($AQ124,$AP$12:$AP$263,0)))/INDEX($AI$12:$AI$263,MATCH($AQ124,$AP$12:$AP$263,0)), "-"),     TRUE, "0")</f>
        <v>0</v>
      </c>
      <c r="CB124" s="588">
        <f>IF(CA$9&gt;0, IF(OR(CA124="",CA124="-"), 0, CA124*$AT124), BZ124*$AJ124)</f>
        <v>0</v>
      </c>
      <c r="CC124" s="587">
        <f>[1]COMMANDE!AK122</f>
        <v>0</v>
      </c>
      <c r="CD124" s="586" t="str">
        <f>_xlfn.IFS(AND($AI124=$AM124,$AI124&gt;0,$AM124&gt;0,CC124&gt;0), CC124,     AND(NOT($AI124=$AM124),$AI124&gt;0,$AM124&gt;0,CC124&gt;0), ($AM124*CC124)/$AI124,     AND($AI124=0,$AM124&gt;0,$AQ124&gt;0), IF(INDEX(CC$12:CC$263,MATCH($AQ124,$AP$12:$AP$263,0))&gt;0,($AM124*INDEX(CC$12:CC$263,MATCH($AQ124,$AP$12:$AP$263,0)))/INDEX($AI$12:$AI$263,MATCH($AQ124,$AP$12:$AP$263,0)), "-"),     TRUE, "0")</f>
        <v>0</v>
      </c>
      <c r="CE124" s="607">
        <f>IF(CD$9&gt;0, IF(OR(CD124="",CD124="-"), 0, CD124*$AT124), CC124*$AJ124)</f>
        <v>0</v>
      </c>
      <c r="CF124" s="589">
        <f>[1]COMMANDE!AM122</f>
        <v>0</v>
      </c>
      <c r="CG124" s="586" t="str">
        <f>_xlfn.IFS(AND($AI124=$AM124,$AI124&gt;0,$AM124&gt;0,CF124&gt;0), CF124,     AND(NOT($AI124=$AM124),$AI124&gt;0,$AM124&gt;0,CF124&gt;0), ($AM124*CF124)/$AI124,     AND($AI124=0,$AM124&gt;0,$AQ124&gt;0), IF(INDEX(CF$12:CF$263,MATCH($AQ124,$AP$12:$AP$263,0))&gt;0,($AM124*INDEX(CF$12:CF$263,MATCH($AQ124,$AP$12:$AP$263,0)))/INDEX($AI$12:$AI$263,MATCH($AQ124,$AP$12:$AP$263,0)), "-"),     TRUE, "0")</f>
        <v>0</v>
      </c>
      <c r="CH124" s="588">
        <f>IF(CG$9&gt;0, IF(OR(CG124="",CG124="-"), 0, CG124*$AT124), CF124*$AJ124)</f>
        <v>0</v>
      </c>
      <c r="CI124" s="587">
        <f>[1]COMMANDE!AO122</f>
        <v>0</v>
      </c>
      <c r="CJ124" s="586" t="str">
        <f>_xlfn.IFS(AND($AI124=$AM124,$AI124&gt;0,$AM124&gt;0,CI124&gt;0), CI124,     AND(NOT($AI124=$AM124),$AI124&gt;0,$AM124&gt;0,CI124&gt;0), ($AM124*CI124)/$AI124,     AND($AI124=0,$AM124&gt;0,$AQ124&gt;0), IF(INDEX(CI$12:CI$263,MATCH($AQ124,$AP$12:$AP$263,0))&gt;0,($AM124*INDEX(CI$12:CI$263,MATCH($AQ124,$AP$12:$AP$263,0)))/INDEX($AI$12:$AI$263,MATCH($AQ124,$AP$12:$AP$263,0)), "-"),     TRUE, "0")</f>
        <v>0</v>
      </c>
      <c r="CK124" s="607">
        <f>IF(CJ$9&gt;0, IF(OR(CJ124="",CJ124="-"), 0, CJ124*$AT124), CI124*$AJ124)</f>
        <v>0</v>
      </c>
      <c r="CL124" s="589">
        <f>[1]COMMANDE!AQ122</f>
        <v>0</v>
      </c>
      <c r="CM124" s="586" t="str">
        <f>_xlfn.IFS(AND($AI124=$AM124,$AI124&gt;0,$AM124&gt;0,CL124&gt;0), CL124,     AND(NOT($AI124=$AM124),$AI124&gt;0,$AM124&gt;0,CL124&gt;0), ($AM124*CL124)/$AI124,     AND($AI124=0,$AM124&gt;0,$AQ124&gt;0), IF(INDEX(CL$12:CL$263,MATCH($AQ124,$AP$12:$AP$263,0))&gt;0,($AM124*INDEX(CL$12:CL$263,MATCH($AQ124,$AP$12:$AP$263,0)))/INDEX($AI$12:$AI$263,MATCH($AQ124,$AP$12:$AP$263,0)), "-"),     TRUE, "0")</f>
        <v>0</v>
      </c>
      <c r="CN124" s="588">
        <f>IF(CM$9&gt;0, IF(OR(CM124="",CM124="-"), 0, CM124*$AT124), CL124*$AJ124)</f>
        <v>0</v>
      </c>
      <c r="CO124" s="587">
        <f>[1]COMMANDE!AS122</f>
        <v>0</v>
      </c>
      <c r="CP124" s="586" t="str">
        <f>_xlfn.IFS(AND($AI124=$AM124,$AI124&gt;0,$AM124&gt;0,CO124&gt;0), CO124,     AND(NOT($AI124=$AM124),$AI124&gt;0,$AM124&gt;0,CO124&gt;0), ($AM124*CO124)/$AI124,     AND($AI124=0,$AM124&gt;0,$AQ124&gt;0), IF(INDEX(CO$12:CO$263,MATCH($AQ124,$AP$12:$AP$263,0))&gt;0,($AM124*INDEX(CO$12:CO$263,MATCH($AQ124,$AP$12:$AP$263,0)))/INDEX($AI$12:$AI$263,MATCH($AQ124,$AP$12:$AP$263,0)), "-"),     TRUE, "0")</f>
        <v>0</v>
      </c>
      <c r="CQ124" s="607">
        <f>IF(CP$9&gt;0, IF(OR(CP124="",CP124="-"), 0, CP124*$AT124), CO124*$AJ124)</f>
        <v>0</v>
      </c>
      <c r="CR124" s="589">
        <f>[1]COMMANDE!AU122</f>
        <v>0</v>
      </c>
      <c r="CS124" s="586" t="str">
        <f>_xlfn.IFS(AND($AI124=$AM124,$AI124&gt;0,$AM124&gt;0,CR124&gt;0), CR124,     AND(NOT($AI124=$AM124),$AI124&gt;0,$AM124&gt;0,CR124&gt;0), ($AM124*CR124)/$AI124,     AND($AI124=0,$AM124&gt;0,$AQ124&gt;0), IF(INDEX(CR$12:CR$263,MATCH($AQ124,$AP$12:$AP$263,0))&gt;0,($AM124*INDEX(CR$12:CR$263,MATCH($AQ124,$AP$12:$AP$263,0)))/INDEX($AI$12:$AI$263,MATCH($AQ124,$AP$12:$AP$263,0)), "-"),     TRUE, "0")</f>
        <v>0</v>
      </c>
      <c r="CT124" s="588">
        <f>IF(CS$9&gt;0, IF(OR(CS124="",CS124="-"), 0, CS124*$AT124), CR124*$AJ124)</f>
        <v>0</v>
      </c>
      <c r="CU124" s="587">
        <f>[1]COMMANDE!AW122</f>
        <v>0</v>
      </c>
      <c r="CV124" s="586" t="str">
        <f>_xlfn.IFS(AND($AI124=$AM124,$AI124&gt;0,$AM124&gt;0,CU124&gt;0), CU124,     AND(NOT($AI124=$AM124),$AI124&gt;0,$AM124&gt;0,CU124&gt;0), ($AM124*CU124)/$AI124,     AND($AI124=0,$AM124&gt;0,$AQ124&gt;0), IF(INDEX(CU$12:CU$263,MATCH($AQ124,$AP$12:$AP$263,0))&gt;0,($AM124*INDEX(CU$12:CU$263,MATCH($AQ124,$AP$12:$AP$263,0)))/INDEX($AI$12:$AI$263,MATCH($AQ124,$AP$12:$AP$263,0)), "-"),     TRUE, "0")</f>
        <v>0</v>
      </c>
      <c r="CW124" s="607">
        <f>IF(CV$9&gt;0, IF(OR(CV124="",CV124="-"), 0, CV124*$AT124), CU124*$AJ124)</f>
        <v>0</v>
      </c>
      <c r="CX124" s="589">
        <f>[1]COMMANDE!AY122</f>
        <v>0</v>
      </c>
      <c r="CY124" s="586" t="str">
        <f>_xlfn.IFS(AND($AI124=$AM124,$AI124&gt;0,$AM124&gt;0,CX124&gt;0), CX124,     AND(NOT($AI124=$AM124),$AI124&gt;0,$AM124&gt;0,CX124&gt;0), ($AM124*CX124)/$AI124,     AND($AI124=0,$AM124&gt;0,$AQ124&gt;0), IF(INDEX(CX$12:CX$263,MATCH($AQ124,$AP$12:$AP$263,0))&gt;0,($AM124*INDEX(CX$12:CX$263,MATCH($AQ124,$AP$12:$AP$263,0)))/INDEX($AI$12:$AI$263,MATCH($AQ124,$AP$12:$AP$263,0)), "-"),     TRUE, "0")</f>
        <v>0</v>
      </c>
      <c r="CZ124" s="588">
        <f>IF(CY$9&gt;0, IF(OR(CY124="",CY124="-"), 0, CY124*$AT124), CX124*$AJ124)</f>
        <v>0</v>
      </c>
      <c r="DA124" s="587">
        <f>[1]COMMANDE!BA122</f>
        <v>0</v>
      </c>
      <c r="DB124" s="586" t="str">
        <f>_xlfn.IFS(AND($AI124=$AM124,$AI124&gt;0,$AM124&gt;0,DA124&gt;0), DA124,     AND(NOT($AI124=$AM124),$AI124&gt;0,$AM124&gt;0,DA124&gt;0), ($AM124*DA124)/$AI124,     AND($AI124=0,$AM124&gt;0,$AQ124&gt;0), IF(INDEX(DA$12:DA$263,MATCH($AQ124,$AP$12:$AP$263,0))&gt;0,($AM124*INDEX(DA$12:DA$263,MATCH($AQ124,$AP$12:$AP$263,0)))/INDEX($AI$12:$AI$263,MATCH($AQ124,$AP$12:$AP$263,0)), "-"),     TRUE, "0")</f>
        <v>0</v>
      </c>
      <c r="DC124" s="606">
        <f>IF(DB$9&gt;0, IF(OR(DB124="",DB124="-"), 0, DB124*$AT124), DA124*$AJ124)</f>
        <v>0</v>
      </c>
      <c r="DD124" s="584"/>
      <c r="DE124" s="583"/>
    </row>
    <row r="125" spans="1:128" ht="39.950000000000003" hidden="1" customHeight="1">
      <c r="A125" s="604">
        <f>IF(OR($AV125&gt;0, $AX125&gt;0), 1, 0)</f>
        <v>0</v>
      </c>
      <c r="B125" s="604">
        <f>IF(OR($AY125&gt;0, $BA125&gt;0), 1, 0)</f>
        <v>0</v>
      </c>
      <c r="C125" s="604">
        <f>IF(OR($BB125&gt;0, $BD125&gt;0), 1, 0)</f>
        <v>0</v>
      </c>
      <c r="D125" s="604">
        <f>IF(OR($BE125&gt;0, $BG125&gt;0), 1, 0)</f>
        <v>0</v>
      </c>
      <c r="E125" s="604">
        <f>IF(OR($BH125&gt;0, $BJ125&gt;0), 1, 0)</f>
        <v>0</v>
      </c>
      <c r="F125" s="604">
        <f>IF(OR($BK125&gt;0, $BM125&gt;0), 1, 0)</f>
        <v>0</v>
      </c>
      <c r="G125" s="604">
        <f>IF(OR($BN125&gt;0, $BP125&gt;0), 1, 0)</f>
        <v>0</v>
      </c>
      <c r="H125" s="604">
        <f>IF(OR($BQ125&gt;0, $BS125&gt;0), 1, 0)</f>
        <v>0</v>
      </c>
      <c r="I125" s="604">
        <f>IF(OR($BT125&gt;0, $BV125&gt;0), 1, 0)</f>
        <v>0</v>
      </c>
      <c r="J125" s="604">
        <f>IF(OR($BW125&gt;0, $BY125&gt;0), 1, 0)</f>
        <v>0</v>
      </c>
      <c r="K125" s="604">
        <f>IF(OR($BZ125&gt;0, $CB125&gt;0), 1, 0)</f>
        <v>0</v>
      </c>
      <c r="L125" s="604">
        <f>IF(OR($CC125&gt;0, $CE125&gt;0), 1, 0)</f>
        <v>0</v>
      </c>
      <c r="M125" s="604">
        <f>IF(OR($CF125&gt;0, $CH125&gt;0), 1, 0)</f>
        <v>0</v>
      </c>
      <c r="N125" s="604">
        <f>IF(OR($CI125&gt;0, $CK125&gt;0), 1, 0)</f>
        <v>0</v>
      </c>
      <c r="O125" s="604">
        <f>IF(OR($CL125&gt;0, $CN125&gt;0), 1, 0)</f>
        <v>0</v>
      </c>
      <c r="P125" s="604">
        <f>IF(OR($CO125&gt;0, $CQ125&gt;0), 1, 0)</f>
        <v>0</v>
      </c>
      <c r="Q125" s="604">
        <f>IF(OR($CR125&gt;0, $CT125&gt;0), 1, 0)</f>
        <v>0</v>
      </c>
      <c r="R125" s="604">
        <f>IF(OR($CU125&gt;0, $CW125&gt;0), 1, 0)</f>
        <v>0</v>
      </c>
      <c r="S125" s="604">
        <f>IF(OR($CX125&gt;0, $CZ125&gt;0), 1, 0)</f>
        <v>0</v>
      </c>
      <c r="T125" s="604">
        <f>IF(OR($DA125&gt;0, $DC125&gt;0), 1, 0)</f>
        <v>0</v>
      </c>
      <c r="U125" s="603">
        <f>IF(OR($AI125&gt;0,$AM125&gt;0,$AS125&gt;0), 1, 0)</f>
        <v>0</v>
      </c>
      <c r="V125" s="602">
        <f>[1]BDD!A115</f>
        <v>1356</v>
      </c>
      <c r="W125" s="601" t="str">
        <f>[1]BDD!B115</f>
        <v>Graines de tournesol sans coque CRU BIO
    - (env. 1kg)</v>
      </c>
      <c r="X125" s="600" t="str">
        <f>IF([1]BDD!F115=0, "", [1]BDD!F115)</f>
        <v/>
      </c>
      <c r="Y125" s="542">
        <f>ROUND([1]BDD!G115+FDP_CMD_KG, 2)</f>
        <v>5.38</v>
      </c>
      <c r="Z125" s="542">
        <f>ROUND([1]BDD!G115+FDP_FACT_KG, 2)</f>
        <v>5.38</v>
      </c>
      <c r="AA125" s="543" t="str">
        <f>[1]BDD!H115</f>
        <v>kg</v>
      </c>
      <c r="AB125" s="544">
        <f>IF(NOT(ISBLANK([1]BDD!I115)), ROUND(SUM(([1]BDD!G115*reduc1),FDP_CMD_KG), 2), "")</f>
        <v>4.93</v>
      </c>
      <c r="AC125" s="544">
        <f>IF(NOT(ISBLANK([1]BDD!J115)), ROUND(SUM(([1]BDD!G115*reduc2),FDP_CMD_KG), 2), "")</f>
        <v>4.4800000000000004</v>
      </c>
      <c r="AD125" s="544" t="str">
        <f>IF(NOT(ISBLANK([1]BDD!K115)), ROUND(SUM(([1]BDD!G115*reduc3),FDP_CMD_KG), 2), "")</f>
        <v/>
      </c>
      <c r="AE125" s="544">
        <f>IF(NOT(ISBLANK([1]BDD!I115)), ROUND(SUM(([1]BDD!G115*reduc1),FDP_FACT_KG), 2), "")</f>
        <v>4.93</v>
      </c>
      <c r="AF125" s="544">
        <f>IF(NOT(ISBLANK([1]BDD!J115)), ROUND(SUM(([1]BDD!G115*reduc2),FDP_FACT_KG), 2), "")</f>
        <v>4.47</v>
      </c>
      <c r="AG125" s="544" t="str">
        <f>IF(NOT(ISBLANK([1]BDD!K115)), ROUND(SUM(([1]BDD!G115*reduc3),FDP_FACT_KG), 2), "")</f>
        <v/>
      </c>
      <c r="AH125" s="599" t="str">
        <f>[1]BDD!C115</f>
        <v>Bulgarie</v>
      </c>
      <c r="AI125" s="598">
        <f>SUM(AV125,AY125,BB125,BE125,BH125,BK125,BN125,BQ125,BT125,BW125,BZ125,CC125,CF125,CI125,CL125,CO125,CR125,CU125,CX125,DA125)</f>
        <v>0</v>
      </c>
      <c r="AJ125" s="545">
        <f>_xlfn.IFS($AD125&lt;&gt;"", $AD125,    $AC125&lt;&gt;"", $AC125,    $AB125&lt;&gt;"", $AB125,    TRUE, $Y125)</f>
        <v>4.4800000000000004</v>
      </c>
      <c r="AK125" s="592">
        <f>$AI125*$AJ125</f>
        <v>0</v>
      </c>
      <c r="AL125" s="594"/>
      <c r="AM125" s="597"/>
      <c r="AN125" s="545">
        <f>_xlfn.IFS(AND(AM125&gt;=60,$AG125&lt;&gt;""), $AG125,    AND(AM125&gt;=30,$AF125&lt;&gt;""), $AF125,    AND(AM125&gt;=10,$AE125&lt;&gt;""), $AE125,    TRUE, $Z125)</f>
        <v>5.38</v>
      </c>
      <c r="AO125" s="596">
        <f>AM125*AN125</f>
        <v>0</v>
      </c>
      <c r="AP125" s="595"/>
      <c r="AQ125" s="595"/>
      <c r="AR125" s="594"/>
      <c r="AS125" s="593">
        <f>SUM(AW125,AZ125,BC125,BF125,BI125,BL125,BO125,BR125,BU125,BX125,CA125,CD125,CG125,CJ125,CM125,CP125,CS125,CV125,CY125,DB125)</f>
        <v>0</v>
      </c>
      <c r="AT125" s="545">
        <f>_xlfn.IFS(AND(AS125&gt;=60,$AG125&lt;&gt;""), $AG125,    AND(AS125&gt;=30,$AF125&lt;&gt;""), $AF125,    AND(AS125&gt;=10,$AE125&lt;&gt;""), $AE125,    TRUE, $Z125)</f>
        <v>5.38</v>
      </c>
      <c r="AU125" s="592">
        <f>$AS125*$AT125</f>
        <v>0</v>
      </c>
      <c r="AV125" s="591">
        <f>[1]COMMANDE!O123</f>
        <v>0</v>
      </c>
      <c r="AW125" s="586" t="str">
        <f>_xlfn.IFS(AND($AI125=$AM125,$AI125&gt;0,$AM125&gt;0,AV125&gt;0), AV125,     AND(NOT($AI125=$AM125),$AI125&gt;0,$AM125&gt;0,AV125&gt;0), ($AM125*AV125)/$AI125,     AND($AI125=0,$AM125&gt;0,$AQ125&gt;0), IF(INDEX(AV$12:AV$263,MATCH($AQ125,$AP$12:$AP$263,0))&gt;0,($AM125*INDEX(AV$12:AV$263,MATCH($AQ125,$AP$12:$AP$263,0)))/INDEX($AI$12:$AI$263,MATCH($AQ125,$AP$12:$AP$263,0)), "-"),     TRUE, "0")</f>
        <v>0</v>
      </c>
      <c r="AX125" s="588">
        <f>IF(AW$9&gt;0, IF(OR(AW125="",AW125="-"), 0, AW125*$AT125), AV125*$AJ125)</f>
        <v>0</v>
      </c>
      <c r="AY125" s="587">
        <f>[1]COMMANDE!Q123</f>
        <v>0</v>
      </c>
      <c r="AZ125" s="586" t="str">
        <f>_xlfn.IFS(AND($AI125=$AM125,$AI125&gt;0,$AM125&gt;0,AY125&gt;0), AY125,     AND(NOT($AI125=$AM125),$AI125&gt;0,$AM125&gt;0,AY125&gt;0), ($AM125*AY125)/$AI125,     AND($AI125=0,$AM125&gt;0,$AQ125&gt;0), IF(INDEX(AY$12:AY$263,MATCH($AQ125,$AP$12:$AP$263,0))&gt;0,($AM125*INDEX(AY$12:AY$263,MATCH($AQ125,$AP$12:$AP$263,0)))/INDEX($AI$12:$AI$263,MATCH($AQ125,$AP$12:$AP$263,0)), "-"),     TRUE, "0")</f>
        <v>0</v>
      </c>
      <c r="BA125" s="607">
        <f>IF(AZ$9&gt;0, IF(OR(AZ125="",AZ125="-"), 0, AZ125*$AT125), AY125*$AJ125)</f>
        <v>0</v>
      </c>
      <c r="BB125" s="589">
        <f>[1]COMMANDE!S123</f>
        <v>0</v>
      </c>
      <c r="BC125" s="586" t="str">
        <f>_xlfn.IFS(AND($AI125=$AM125,$AI125&gt;0,$AM125&gt;0,BB125&gt;0), BB125,     AND(NOT($AI125=$AM125),$AI125&gt;0,$AM125&gt;0,BB125&gt;0), ($AM125*BB125)/$AI125,     AND($AI125=0,$AM125&gt;0,$AQ125&gt;0), IF(INDEX(BB$12:BB$263,MATCH($AQ125,$AP$12:$AP$263,0))&gt;0,($AM125*INDEX(BB$12:BB$263,MATCH($AQ125,$AP$12:$AP$263,0)))/INDEX($AI$12:$AI$263,MATCH($AQ125,$AP$12:$AP$263,0)), "-"),     TRUE, "0")</f>
        <v>0</v>
      </c>
      <c r="BD125" s="588">
        <f>IF(BC$9&gt;0, IF(OR(BC125="",BC125="-"), 0, BC125*$AT125), BB125*$AJ125)</f>
        <v>0</v>
      </c>
      <c r="BE125" s="587">
        <f>[1]COMMANDE!U123</f>
        <v>0</v>
      </c>
      <c r="BF125" s="586" t="str">
        <f>_xlfn.IFS(AND($AI125=$AM125,$AI125&gt;0,$AM125&gt;0,BE125&gt;0), BE125,     AND(NOT($AI125=$AM125),$AI125&gt;0,$AM125&gt;0,BE125&gt;0), ($AM125*BE125)/$AI125,     AND($AI125=0,$AM125&gt;0,$AQ125&gt;0), IF(INDEX(BE$12:BE$263,MATCH($AQ125,$AP$12:$AP$263,0))&gt;0,($AM125*INDEX(BE$12:BE$263,MATCH($AQ125,$AP$12:$AP$263,0)))/INDEX($AI$12:$AI$263,MATCH($AQ125,$AP$12:$AP$263,0)), "-"),     TRUE, "0")</f>
        <v>0</v>
      </c>
      <c r="BG125" s="607">
        <f>IF(BF$9&gt;0, IF(OR(BF125="",BF125="-"), 0, BF125*$AT125), BE125*$AJ125)</f>
        <v>0</v>
      </c>
      <c r="BH125" s="589">
        <f>[1]COMMANDE!W123</f>
        <v>0</v>
      </c>
      <c r="BI125" s="586" t="str">
        <f>_xlfn.IFS(AND($AI125=$AM125,$AI125&gt;0,$AM125&gt;0,BH125&gt;0), BH125,     AND(NOT($AI125=$AM125),$AI125&gt;0,$AM125&gt;0,BH125&gt;0), ($AM125*BH125)/$AI125,     AND($AI125=0,$AM125&gt;0,$AQ125&gt;0), IF(INDEX(BH$12:BH$263,MATCH($AQ125,$AP$12:$AP$263,0))&gt;0,($AM125*INDEX(BH$12:BH$263,MATCH($AQ125,$AP$12:$AP$263,0)))/INDEX($AI$12:$AI$263,MATCH($AQ125,$AP$12:$AP$263,0)), "-"),     TRUE, "0")</f>
        <v>0</v>
      </c>
      <c r="BJ125" s="588">
        <f>IF(BI$9&gt;0, IF(OR(BI125="",BI125="-"), 0, BI125*$AT125), BH125*$AJ125)</f>
        <v>0</v>
      </c>
      <c r="BK125" s="587">
        <f>[1]COMMANDE!Y123</f>
        <v>0</v>
      </c>
      <c r="BL125" s="586" t="str">
        <f>_xlfn.IFS(AND($AI125=$AM125,$AI125&gt;0,$AM125&gt;0,BK125&gt;0), BK125,     AND(NOT($AI125=$AM125),$AI125&gt;0,$AM125&gt;0,BK125&gt;0), ($AM125*BK125)/$AI125,     AND($AI125=0,$AM125&gt;0,$AQ125&gt;0), IF(INDEX(BK$12:BK$263,MATCH($AQ125,$AP$12:$AP$263,0))&gt;0,($AM125*INDEX(BK$12:BK$263,MATCH($AQ125,$AP$12:$AP$263,0)))/INDEX($AI$12:$AI$263,MATCH($AQ125,$AP$12:$AP$263,0)), "-"),     TRUE, "0")</f>
        <v>0</v>
      </c>
      <c r="BM125" s="607">
        <f>IF(BL$9&gt;0, IF(OR(BL125="",BL125="-"), 0, BL125*$AT125), BK125*$AJ125)</f>
        <v>0</v>
      </c>
      <c r="BN125" s="589">
        <f>[1]COMMANDE!AA123</f>
        <v>0</v>
      </c>
      <c r="BO125" s="586" t="str">
        <f>_xlfn.IFS(AND($AI125=$AM125,$AI125&gt;0,$AM125&gt;0,BN125&gt;0), BN125,     AND(NOT($AI125=$AM125),$AI125&gt;0,$AM125&gt;0,BN125&gt;0), ($AM125*BN125)/$AI125,     AND($AI125=0,$AM125&gt;0,$AQ125&gt;0), IF(INDEX(BN$12:BN$263,MATCH($AQ125,$AP$12:$AP$263,0))&gt;0,($AM125*INDEX(BN$12:BN$263,MATCH($AQ125,$AP$12:$AP$263,0)))/INDEX($AI$12:$AI$263,MATCH($AQ125,$AP$12:$AP$263,0)), "-"),     TRUE, "0")</f>
        <v>0</v>
      </c>
      <c r="BP125" s="588">
        <f>IF(BO$9&gt;0, IF(OR(BO125="",BO125="-"), 0, BO125*$AT125), BN125*$AJ125)</f>
        <v>0</v>
      </c>
      <c r="BQ125" s="587">
        <f>[1]COMMANDE!AC123</f>
        <v>0</v>
      </c>
      <c r="BR125" s="586" t="str">
        <f>_xlfn.IFS(AND($AI125=$AM125,$AI125&gt;0,$AM125&gt;0,BQ125&gt;0), BQ125,     AND(NOT($AI125=$AM125),$AI125&gt;0,$AM125&gt;0,BQ125&gt;0), ($AM125*BQ125)/$AI125,     AND($AI125=0,$AM125&gt;0,$AQ125&gt;0), IF(INDEX(BQ$12:BQ$263,MATCH($AQ125,$AP$12:$AP$263,0))&gt;0,($AM125*INDEX(BQ$12:BQ$263,MATCH($AQ125,$AP$12:$AP$263,0)))/INDEX($AI$12:$AI$263,MATCH($AQ125,$AP$12:$AP$263,0)), "-"),     TRUE, "0")</f>
        <v>0</v>
      </c>
      <c r="BS125" s="607">
        <f>IF(BR$9&gt;0, IF(OR(BR125="",BR125="-"), 0, BR125*$AT125), BQ125*$AJ125)</f>
        <v>0</v>
      </c>
      <c r="BT125" s="589">
        <f>[1]COMMANDE!AE123</f>
        <v>0</v>
      </c>
      <c r="BU125" s="586" t="str">
        <f>_xlfn.IFS(AND($AI125=$AM125,$AI125&gt;0,$AM125&gt;0,BT125&gt;0), BT125,     AND(NOT($AI125=$AM125),$AI125&gt;0,$AM125&gt;0,BT125&gt;0), ($AM125*BT125)/$AI125,     AND($AI125=0,$AM125&gt;0,$AQ125&gt;0), IF(INDEX(BT$12:BT$263,MATCH($AQ125,$AP$12:$AP$263,0))&gt;0,($AM125*INDEX(BT$12:BT$263,MATCH($AQ125,$AP$12:$AP$263,0)))/INDEX($AI$12:$AI$263,MATCH($AQ125,$AP$12:$AP$263,0)), "-"),     TRUE, "0")</f>
        <v>0</v>
      </c>
      <c r="BV125" s="588">
        <f>IF(BU$9&gt;0, IF(OR(BU125="",BU125="-"), 0, BU125*$AT125), BT125*$AJ125)</f>
        <v>0</v>
      </c>
      <c r="BW125" s="587">
        <f>[1]COMMANDE!AG123</f>
        <v>0</v>
      </c>
      <c r="BX125" s="586" t="str">
        <f>_xlfn.IFS(AND($AI125=$AM125,$AI125&gt;0,$AM125&gt;0,BW125&gt;0), BW125,     AND(NOT($AI125=$AM125),$AI125&gt;0,$AM125&gt;0,BW125&gt;0), ($AM125*BW125)/$AI125,     AND($AI125=0,$AM125&gt;0,$AQ125&gt;0), IF(INDEX(BW$12:BW$263,MATCH($AQ125,$AP$12:$AP$263,0))&gt;0,($AM125*INDEX(BW$12:BW$263,MATCH($AQ125,$AP$12:$AP$263,0)))/INDEX($AI$12:$AI$263,MATCH($AQ125,$AP$12:$AP$263,0)), "-"),     TRUE, "0")</f>
        <v>0</v>
      </c>
      <c r="BY125" s="607">
        <f>IF(BX$9&gt;0, IF(OR(BX125="",BX125="-"), 0, BX125*$AT125), BW125*$AJ125)</f>
        <v>0</v>
      </c>
      <c r="BZ125" s="589">
        <f>[1]COMMANDE!AI123</f>
        <v>0</v>
      </c>
      <c r="CA125" s="586" t="str">
        <f>_xlfn.IFS(AND($AI125=$AM125,$AI125&gt;0,$AM125&gt;0,BZ125&gt;0), BZ125,     AND(NOT($AI125=$AM125),$AI125&gt;0,$AM125&gt;0,BZ125&gt;0), ($AM125*BZ125)/$AI125,     AND($AI125=0,$AM125&gt;0,$AQ125&gt;0), IF(INDEX(BZ$12:BZ$263,MATCH($AQ125,$AP$12:$AP$263,0))&gt;0,($AM125*INDEX(BZ$12:BZ$263,MATCH($AQ125,$AP$12:$AP$263,0)))/INDEX($AI$12:$AI$263,MATCH($AQ125,$AP$12:$AP$263,0)), "-"),     TRUE, "0")</f>
        <v>0</v>
      </c>
      <c r="CB125" s="588">
        <f>IF(CA$9&gt;0, IF(OR(CA125="",CA125="-"), 0, CA125*$AT125), BZ125*$AJ125)</f>
        <v>0</v>
      </c>
      <c r="CC125" s="587">
        <f>[1]COMMANDE!AK123</f>
        <v>0</v>
      </c>
      <c r="CD125" s="586" t="str">
        <f>_xlfn.IFS(AND($AI125=$AM125,$AI125&gt;0,$AM125&gt;0,CC125&gt;0), CC125,     AND(NOT($AI125=$AM125),$AI125&gt;0,$AM125&gt;0,CC125&gt;0), ($AM125*CC125)/$AI125,     AND($AI125=0,$AM125&gt;0,$AQ125&gt;0), IF(INDEX(CC$12:CC$263,MATCH($AQ125,$AP$12:$AP$263,0))&gt;0,($AM125*INDEX(CC$12:CC$263,MATCH($AQ125,$AP$12:$AP$263,0)))/INDEX($AI$12:$AI$263,MATCH($AQ125,$AP$12:$AP$263,0)), "-"),     TRUE, "0")</f>
        <v>0</v>
      </c>
      <c r="CE125" s="607">
        <f>IF(CD$9&gt;0, IF(OR(CD125="",CD125="-"), 0, CD125*$AT125), CC125*$AJ125)</f>
        <v>0</v>
      </c>
      <c r="CF125" s="589">
        <f>[1]COMMANDE!AM123</f>
        <v>0</v>
      </c>
      <c r="CG125" s="586" t="str">
        <f>_xlfn.IFS(AND($AI125=$AM125,$AI125&gt;0,$AM125&gt;0,CF125&gt;0), CF125,     AND(NOT($AI125=$AM125),$AI125&gt;0,$AM125&gt;0,CF125&gt;0), ($AM125*CF125)/$AI125,     AND($AI125=0,$AM125&gt;0,$AQ125&gt;0), IF(INDEX(CF$12:CF$263,MATCH($AQ125,$AP$12:$AP$263,0))&gt;0,($AM125*INDEX(CF$12:CF$263,MATCH($AQ125,$AP$12:$AP$263,0)))/INDEX($AI$12:$AI$263,MATCH($AQ125,$AP$12:$AP$263,0)), "-"),     TRUE, "0")</f>
        <v>0</v>
      </c>
      <c r="CH125" s="588">
        <f>IF(CG$9&gt;0, IF(OR(CG125="",CG125="-"), 0, CG125*$AT125), CF125*$AJ125)</f>
        <v>0</v>
      </c>
      <c r="CI125" s="587">
        <f>[1]COMMANDE!AO123</f>
        <v>0</v>
      </c>
      <c r="CJ125" s="586" t="str">
        <f>_xlfn.IFS(AND($AI125=$AM125,$AI125&gt;0,$AM125&gt;0,CI125&gt;0), CI125,     AND(NOT($AI125=$AM125),$AI125&gt;0,$AM125&gt;0,CI125&gt;0), ($AM125*CI125)/$AI125,     AND($AI125=0,$AM125&gt;0,$AQ125&gt;0), IF(INDEX(CI$12:CI$263,MATCH($AQ125,$AP$12:$AP$263,0))&gt;0,($AM125*INDEX(CI$12:CI$263,MATCH($AQ125,$AP$12:$AP$263,0)))/INDEX($AI$12:$AI$263,MATCH($AQ125,$AP$12:$AP$263,0)), "-"),     TRUE, "0")</f>
        <v>0</v>
      </c>
      <c r="CK125" s="607">
        <f>IF(CJ$9&gt;0, IF(OR(CJ125="",CJ125="-"), 0, CJ125*$AT125), CI125*$AJ125)</f>
        <v>0</v>
      </c>
      <c r="CL125" s="589">
        <f>[1]COMMANDE!AQ123</f>
        <v>0</v>
      </c>
      <c r="CM125" s="586" t="str">
        <f>_xlfn.IFS(AND($AI125=$AM125,$AI125&gt;0,$AM125&gt;0,CL125&gt;0), CL125,     AND(NOT($AI125=$AM125),$AI125&gt;0,$AM125&gt;0,CL125&gt;0), ($AM125*CL125)/$AI125,     AND($AI125=0,$AM125&gt;0,$AQ125&gt;0), IF(INDEX(CL$12:CL$263,MATCH($AQ125,$AP$12:$AP$263,0))&gt;0,($AM125*INDEX(CL$12:CL$263,MATCH($AQ125,$AP$12:$AP$263,0)))/INDEX($AI$12:$AI$263,MATCH($AQ125,$AP$12:$AP$263,0)), "-"),     TRUE, "0")</f>
        <v>0</v>
      </c>
      <c r="CN125" s="588">
        <f>IF(CM$9&gt;0, IF(OR(CM125="",CM125="-"), 0, CM125*$AT125), CL125*$AJ125)</f>
        <v>0</v>
      </c>
      <c r="CO125" s="587">
        <f>[1]COMMANDE!AS123</f>
        <v>0</v>
      </c>
      <c r="CP125" s="586" t="str">
        <f>_xlfn.IFS(AND($AI125=$AM125,$AI125&gt;0,$AM125&gt;0,CO125&gt;0), CO125,     AND(NOT($AI125=$AM125),$AI125&gt;0,$AM125&gt;0,CO125&gt;0), ($AM125*CO125)/$AI125,     AND($AI125=0,$AM125&gt;0,$AQ125&gt;0), IF(INDEX(CO$12:CO$263,MATCH($AQ125,$AP$12:$AP$263,0))&gt;0,($AM125*INDEX(CO$12:CO$263,MATCH($AQ125,$AP$12:$AP$263,0)))/INDEX($AI$12:$AI$263,MATCH($AQ125,$AP$12:$AP$263,0)), "-"),     TRUE, "0")</f>
        <v>0</v>
      </c>
      <c r="CQ125" s="607">
        <f>IF(CP$9&gt;0, IF(OR(CP125="",CP125="-"), 0, CP125*$AT125), CO125*$AJ125)</f>
        <v>0</v>
      </c>
      <c r="CR125" s="589">
        <f>[1]COMMANDE!AU123</f>
        <v>0</v>
      </c>
      <c r="CS125" s="586" t="str">
        <f>_xlfn.IFS(AND($AI125=$AM125,$AI125&gt;0,$AM125&gt;0,CR125&gt;0), CR125,     AND(NOT($AI125=$AM125),$AI125&gt;0,$AM125&gt;0,CR125&gt;0), ($AM125*CR125)/$AI125,     AND($AI125=0,$AM125&gt;0,$AQ125&gt;0), IF(INDEX(CR$12:CR$263,MATCH($AQ125,$AP$12:$AP$263,0))&gt;0,($AM125*INDEX(CR$12:CR$263,MATCH($AQ125,$AP$12:$AP$263,0)))/INDEX($AI$12:$AI$263,MATCH($AQ125,$AP$12:$AP$263,0)), "-"),     TRUE, "0")</f>
        <v>0</v>
      </c>
      <c r="CT125" s="588">
        <f>IF(CS$9&gt;0, IF(OR(CS125="",CS125="-"), 0, CS125*$AT125), CR125*$AJ125)</f>
        <v>0</v>
      </c>
      <c r="CU125" s="587">
        <f>[1]COMMANDE!AW123</f>
        <v>0</v>
      </c>
      <c r="CV125" s="586" t="str">
        <f>_xlfn.IFS(AND($AI125=$AM125,$AI125&gt;0,$AM125&gt;0,CU125&gt;0), CU125,     AND(NOT($AI125=$AM125),$AI125&gt;0,$AM125&gt;0,CU125&gt;0), ($AM125*CU125)/$AI125,     AND($AI125=0,$AM125&gt;0,$AQ125&gt;0), IF(INDEX(CU$12:CU$263,MATCH($AQ125,$AP$12:$AP$263,0))&gt;0,($AM125*INDEX(CU$12:CU$263,MATCH($AQ125,$AP$12:$AP$263,0)))/INDEX($AI$12:$AI$263,MATCH($AQ125,$AP$12:$AP$263,0)), "-"),     TRUE, "0")</f>
        <v>0</v>
      </c>
      <c r="CW125" s="607">
        <f>IF(CV$9&gt;0, IF(OR(CV125="",CV125="-"), 0, CV125*$AT125), CU125*$AJ125)</f>
        <v>0</v>
      </c>
      <c r="CX125" s="589">
        <f>[1]COMMANDE!AY123</f>
        <v>0</v>
      </c>
      <c r="CY125" s="586" t="str">
        <f>_xlfn.IFS(AND($AI125=$AM125,$AI125&gt;0,$AM125&gt;0,CX125&gt;0), CX125,     AND(NOT($AI125=$AM125),$AI125&gt;0,$AM125&gt;0,CX125&gt;0), ($AM125*CX125)/$AI125,     AND($AI125=0,$AM125&gt;0,$AQ125&gt;0), IF(INDEX(CX$12:CX$263,MATCH($AQ125,$AP$12:$AP$263,0))&gt;0,($AM125*INDEX(CX$12:CX$263,MATCH($AQ125,$AP$12:$AP$263,0)))/INDEX($AI$12:$AI$263,MATCH($AQ125,$AP$12:$AP$263,0)), "-"),     TRUE, "0")</f>
        <v>0</v>
      </c>
      <c r="CZ125" s="588">
        <f>IF(CY$9&gt;0, IF(OR(CY125="",CY125="-"), 0, CY125*$AT125), CX125*$AJ125)</f>
        <v>0</v>
      </c>
      <c r="DA125" s="587">
        <f>[1]COMMANDE!BA123</f>
        <v>0</v>
      </c>
      <c r="DB125" s="586" t="str">
        <f>_xlfn.IFS(AND($AI125=$AM125,$AI125&gt;0,$AM125&gt;0,DA125&gt;0), DA125,     AND(NOT($AI125=$AM125),$AI125&gt;0,$AM125&gt;0,DA125&gt;0), ($AM125*DA125)/$AI125,     AND($AI125=0,$AM125&gt;0,$AQ125&gt;0), IF(INDEX(DA$12:DA$263,MATCH($AQ125,$AP$12:$AP$263,0))&gt;0,($AM125*INDEX(DA$12:DA$263,MATCH($AQ125,$AP$12:$AP$263,0)))/INDEX($AI$12:$AI$263,MATCH($AQ125,$AP$12:$AP$263,0)), "-"),     TRUE, "0")</f>
        <v>0</v>
      </c>
      <c r="DC125" s="606">
        <f>IF(DB$9&gt;0, IF(OR(DB125="",DB125="-"), 0, DB125*$AT125), DA125*$AJ125)</f>
        <v>0</v>
      </c>
      <c r="DD125" s="584"/>
      <c r="DE125" s="583"/>
      <c r="DF125" s="610"/>
      <c r="DG125" s="610"/>
      <c r="DH125" s="610"/>
      <c r="DI125" s="610"/>
      <c r="DJ125" s="610"/>
      <c r="DK125" s="610"/>
      <c r="DL125" s="610"/>
      <c r="DM125" s="610"/>
      <c r="DN125" s="610"/>
      <c r="DO125" s="610"/>
      <c r="DP125" s="610"/>
      <c r="DQ125" s="610"/>
      <c r="DR125" s="610"/>
      <c r="DS125" s="610"/>
      <c r="DT125" s="610"/>
      <c r="DU125" s="610"/>
      <c r="DV125" s="610"/>
      <c r="DW125" s="610"/>
      <c r="DX125" s="610"/>
    </row>
    <row r="126" spans="1:128" ht="39.950000000000003" hidden="1" customHeight="1">
      <c r="A126" s="604">
        <f>IF(OR($AV126&gt;0, $AX126&gt;0), 1, 0)</f>
        <v>0</v>
      </c>
      <c r="B126" s="604">
        <f>IF(OR($AY126&gt;0, $BA126&gt;0), 1, 0)</f>
        <v>0</v>
      </c>
      <c r="C126" s="604">
        <f>IF(OR($BB126&gt;0, $BD126&gt;0), 1, 0)</f>
        <v>0</v>
      </c>
      <c r="D126" s="604">
        <f>IF(OR($BE126&gt;0, $BG126&gt;0), 1, 0)</f>
        <v>0</v>
      </c>
      <c r="E126" s="604">
        <f>IF(OR($BH126&gt;0, $BJ126&gt;0), 1, 0)</f>
        <v>0</v>
      </c>
      <c r="F126" s="604">
        <f>IF(OR($BK126&gt;0, $BM126&gt;0), 1, 0)</f>
        <v>0</v>
      </c>
      <c r="G126" s="604">
        <f>IF(OR($BN126&gt;0, $BP126&gt;0), 1, 0)</f>
        <v>0</v>
      </c>
      <c r="H126" s="604">
        <f>IF(OR($BQ126&gt;0, $BS126&gt;0), 1, 0)</f>
        <v>0</v>
      </c>
      <c r="I126" s="604">
        <f>IF(OR($BT126&gt;0, $BV126&gt;0), 1, 0)</f>
        <v>0</v>
      </c>
      <c r="J126" s="604">
        <f>IF(OR($BW126&gt;0, $BY126&gt;0), 1, 0)</f>
        <v>0</v>
      </c>
      <c r="K126" s="604">
        <f>IF(OR($BZ126&gt;0, $CB126&gt;0), 1, 0)</f>
        <v>0</v>
      </c>
      <c r="L126" s="604">
        <f>IF(OR($CC126&gt;0, $CE126&gt;0), 1, 0)</f>
        <v>0</v>
      </c>
      <c r="M126" s="604">
        <f>IF(OR($CF126&gt;0, $CH126&gt;0), 1, 0)</f>
        <v>0</v>
      </c>
      <c r="N126" s="604">
        <f>IF(OR($CI126&gt;0, $CK126&gt;0), 1, 0)</f>
        <v>0</v>
      </c>
      <c r="O126" s="604">
        <f>IF(OR($CL126&gt;0, $CN126&gt;0), 1, 0)</f>
        <v>0</v>
      </c>
      <c r="P126" s="604">
        <f>IF(OR($CO126&gt;0, $CQ126&gt;0), 1, 0)</f>
        <v>0</v>
      </c>
      <c r="Q126" s="604">
        <f>IF(OR($CR126&gt;0, $CT126&gt;0), 1, 0)</f>
        <v>0</v>
      </c>
      <c r="R126" s="604">
        <f>IF(OR($CU126&gt;0, $CW126&gt;0), 1, 0)</f>
        <v>0</v>
      </c>
      <c r="S126" s="604">
        <f>IF(OR($CX126&gt;0, $CZ126&gt;0), 1, 0)</f>
        <v>0</v>
      </c>
      <c r="T126" s="604">
        <f>IF(OR($DA126&gt;0, $DC126&gt;0), 1, 0)</f>
        <v>0</v>
      </c>
      <c r="U126" s="603">
        <f>IF(OR($AI126&gt;0,$AM126&gt;0,$AS126&gt;0), 1, 0)</f>
        <v>0</v>
      </c>
      <c r="V126" s="602">
        <f>[1]BDD!A116</f>
        <v>1356</v>
      </c>
      <c r="W126" s="601" t="str">
        <f>[1]BDD!B116</f>
        <v>Graines de tournesol sans coque CRU BIO
    - (env. 500g)</v>
      </c>
      <c r="X126" s="600" t="str">
        <f>IF([1]BDD!F116=0, "", [1]BDD!F116)</f>
        <v/>
      </c>
      <c r="Y126" s="542">
        <f>ROUND([1]BDD!G116+FDP_CMD_KG, 2)</f>
        <v>3.82</v>
      </c>
      <c r="Z126" s="542">
        <f>ROUND([1]BDD!G116+FDP_FACT_KG, 2)</f>
        <v>3.82</v>
      </c>
      <c r="AA126" s="543" t="str">
        <f>[1]BDD!H116</f>
        <v>Pièce</v>
      </c>
      <c r="AB126" s="544" t="str">
        <f>IF(NOT(ISBLANK([1]BDD!I116)), ROUND(SUM(([1]BDD!G116*reduc1),FDP_CMD_KG), 2), "")</f>
        <v/>
      </c>
      <c r="AC126" s="544" t="str">
        <f>IF(NOT(ISBLANK([1]BDD!J116)), ROUND(SUM(([1]BDD!G116*reduc2),FDP_CMD_KG), 2), "")</f>
        <v/>
      </c>
      <c r="AD126" s="544" t="str">
        <f>IF(NOT(ISBLANK([1]BDD!K116)), ROUND(SUM(([1]BDD!G116*reduc3),FDP_CMD_KG), 2), "")</f>
        <v/>
      </c>
      <c r="AE126" s="544" t="str">
        <f>IF(NOT(ISBLANK([1]BDD!I116)), ROUND(SUM(([1]BDD!G116*reduc1),FDP_FACT_KG), 2), "")</f>
        <v/>
      </c>
      <c r="AF126" s="544" t="str">
        <f>IF(NOT(ISBLANK([1]BDD!J116)), ROUND(SUM(([1]BDD!G116*reduc2),FDP_FACT_KG), 2), "")</f>
        <v/>
      </c>
      <c r="AG126" s="544" t="str">
        <f>IF(NOT(ISBLANK([1]BDD!K116)), ROUND(SUM(([1]BDD!G116*reduc3),FDP_FACT_KG), 2), "")</f>
        <v/>
      </c>
      <c r="AH126" s="599" t="str">
        <f>[1]BDD!C116</f>
        <v>Bulgarie</v>
      </c>
      <c r="AI126" s="598">
        <f>SUM(AV126,AY126,BB126,BE126,BH126,BK126,BN126,BQ126,BT126,BW126,BZ126,CC126,CF126,CI126,CL126,CO126,CR126,CU126,CX126,DA126)</f>
        <v>0</v>
      </c>
      <c r="AJ126" s="545">
        <f>_xlfn.IFS($AD126&lt;&gt;"", $AD126,    $AC126&lt;&gt;"", $AC126,    $AB126&lt;&gt;"", $AB126,    TRUE, $Y126)</f>
        <v>3.82</v>
      </c>
      <c r="AK126" s="592">
        <f>$AI126*$AJ126</f>
        <v>0</v>
      </c>
      <c r="AL126" s="594"/>
      <c r="AM126" s="597"/>
      <c r="AN126" s="545">
        <f>_xlfn.IFS(AND(AM126&gt;=60,$AG126&lt;&gt;""), $AG126,    AND(AM126&gt;=30,$AF126&lt;&gt;""), $AF126,    AND(AM126&gt;=10,$AE126&lt;&gt;""), $AE126,    TRUE, $Z126)</f>
        <v>3.82</v>
      </c>
      <c r="AO126" s="596">
        <f>AM126*AN126</f>
        <v>0</v>
      </c>
      <c r="AP126" s="595"/>
      <c r="AQ126" s="595"/>
      <c r="AR126" s="594"/>
      <c r="AS126" s="593">
        <f>SUM(AW126,AZ126,BC126,BF126,BI126,BL126,BO126,BR126,BU126,BX126,CA126,CD126,CG126,CJ126,CM126,CP126,CS126,CV126,CY126,DB126)</f>
        <v>0</v>
      </c>
      <c r="AT126" s="545">
        <f>_xlfn.IFS(AND(AS126&gt;=60,$AG126&lt;&gt;""), $AG126,    AND(AS126&gt;=30,$AF126&lt;&gt;""), $AF126,    AND(AS126&gt;=10,$AE126&lt;&gt;""), $AE126,    TRUE, $Z126)</f>
        <v>3.82</v>
      </c>
      <c r="AU126" s="592">
        <f>$AS126*$AT126</f>
        <v>0</v>
      </c>
      <c r="AV126" s="591">
        <f>[1]COMMANDE!O124</f>
        <v>0</v>
      </c>
      <c r="AW126" s="586" t="str">
        <f>_xlfn.IFS(AND($AI126=$AM126,$AI126&gt;0,$AM126&gt;0,AV126&gt;0), AV126,     AND(NOT($AI126=$AM126),$AI126&gt;0,$AM126&gt;0,AV126&gt;0), ($AM126*AV126)/$AI126,     AND($AI126=0,$AM126&gt;0,$AQ126&gt;0), IF(INDEX(AV$12:AV$263,MATCH($AQ126,$AP$12:$AP$263,0))&gt;0,($AM126*INDEX(AV$12:AV$263,MATCH($AQ126,$AP$12:$AP$263,0)))/INDEX($AI$12:$AI$263,MATCH($AQ126,$AP$12:$AP$263,0)), "-"),     TRUE, "0")</f>
        <v>0</v>
      </c>
      <c r="AX126" s="588">
        <f>IF(AW$9&gt;0, IF(OR(AW126="",AW126="-"), 0, AW126*$AT126), AV126*$AJ126)</f>
        <v>0</v>
      </c>
      <c r="AY126" s="587">
        <f>[1]COMMANDE!Q124</f>
        <v>0</v>
      </c>
      <c r="AZ126" s="586" t="str">
        <f>_xlfn.IFS(AND($AI126=$AM126,$AI126&gt;0,$AM126&gt;0,AY126&gt;0), AY126,     AND(NOT($AI126=$AM126),$AI126&gt;0,$AM126&gt;0,AY126&gt;0), ($AM126*AY126)/$AI126,     AND($AI126=0,$AM126&gt;0,$AQ126&gt;0), IF(INDEX(AY$12:AY$263,MATCH($AQ126,$AP$12:$AP$263,0))&gt;0,($AM126*INDEX(AY$12:AY$263,MATCH($AQ126,$AP$12:$AP$263,0)))/INDEX($AI$12:$AI$263,MATCH($AQ126,$AP$12:$AP$263,0)), "-"),     TRUE, "0")</f>
        <v>0</v>
      </c>
      <c r="BA126" s="607">
        <f>IF(AZ$9&gt;0, IF(OR(AZ126="",AZ126="-"), 0, AZ126*$AT126), AY126*$AJ126)</f>
        <v>0</v>
      </c>
      <c r="BB126" s="589">
        <f>[1]COMMANDE!S124</f>
        <v>0</v>
      </c>
      <c r="BC126" s="586" t="str">
        <f>_xlfn.IFS(AND($AI126=$AM126,$AI126&gt;0,$AM126&gt;0,BB126&gt;0), BB126,     AND(NOT($AI126=$AM126),$AI126&gt;0,$AM126&gt;0,BB126&gt;0), ($AM126*BB126)/$AI126,     AND($AI126=0,$AM126&gt;0,$AQ126&gt;0), IF(INDEX(BB$12:BB$263,MATCH($AQ126,$AP$12:$AP$263,0))&gt;0,($AM126*INDEX(BB$12:BB$263,MATCH($AQ126,$AP$12:$AP$263,0)))/INDEX($AI$12:$AI$263,MATCH($AQ126,$AP$12:$AP$263,0)), "-"),     TRUE, "0")</f>
        <v>0</v>
      </c>
      <c r="BD126" s="588">
        <f>IF(BC$9&gt;0, IF(OR(BC126="",BC126="-"), 0, BC126*$AT126), BB126*$AJ126)</f>
        <v>0</v>
      </c>
      <c r="BE126" s="587">
        <f>[1]COMMANDE!U124</f>
        <v>0</v>
      </c>
      <c r="BF126" s="586" t="str">
        <f>_xlfn.IFS(AND($AI126=$AM126,$AI126&gt;0,$AM126&gt;0,BE126&gt;0), BE126,     AND(NOT($AI126=$AM126),$AI126&gt;0,$AM126&gt;0,BE126&gt;0), ($AM126*BE126)/$AI126,     AND($AI126=0,$AM126&gt;0,$AQ126&gt;0), IF(INDEX(BE$12:BE$263,MATCH($AQ126,$AP$12:$AP$263,0))&gt;0,($AM126*INDEX(BE$12:BE$263,MATCH($AQ126,$AP$12:$AP$263,0)))/INDEX($AI$12:$AI$263,MATCH($AQ126,$AP$12:$AP$263,0)), "-"),     TRUE, "0")</f>
        <v>0</v>
      </c>
      <c r="BG126" s="607">
        <f>IF(BF$9&gt;0, IF(OR(BF126="",BF126="-"), 0, BF126*$AT126), BE126*$AJ126)</f>
        <v>0</v>
      </c>
      <c r="BH126" s="589">
        <f>[1]COMMANDE!W124</f>
        <v>0</v>
      </c>
      <c r="BI126" s="586" t="str">
        <f>_xlfn.IFS(AND($AI126=$AM126,$AI126&gt;0,$AM126&gt;0,BH126&gt;0), BH126,     AND(NOT($AI126=$AM126),$AI126&gt;0,$AM126&gt;0,BH126&gt;0), ($AM126*BH126)/$AI126,     AND($AI126=0,$AM126&gt;0,$AQ126&gt;0), IF(INDEX(BH$12:BH$263,MATCH($AQ126,$AP$12:$AP$263,0))&gt;0,($AM126*INDEX(BH$12:BH$263,MATCH($AQ126,$AP$12:$AP$263,0)))/INDEX($AI$12:$AI$263,MATCH($AQ126,$AP$12:$AP$263,0)), "-"),     TRUE, "0")</f>
        <v>0</v>
      </c>
      <c r="BJ126" s="588">
        <f>IF(BI$9&gt;0, IF(OR(BI126="",BI126="-"), 0, BI126*$AT126), BH126*$AJ126)</f>
        <v>0</v>
      </c>
      <c r="BK126" s="587">
        <f>[1]COMMANDE!Y124</f>
        <v>0</v>
      </c>
      <c r="BL126" s="586" t="str">
        <f>_xlfn.IFS(AND($AI126=$AM126,$AI126&gt;0,$AM126&gt;0,BK126&gt;0), BK126,     AND(NOT($AI126=$AM126),$AI126&gt;0,$AM126&gt;0,BK126&gt;0), ($AM126*BK126)/$AI126,     AND($AI126=0,$AM126&gt;0,$AQ126&gt;0), IF(INDEX(BK$12:BK$263,MATCH($AQ126,$AP$12:$AP$263,0))&gt;0,($AM126*INDEX(BK$12:BK$263,MATCH($AQ126,$AP$12:$AP$263,0)))/INDEX($AI$12:$AI$263,MATCH($AQ126,$AP$12:$AP$263,0)), "-"),     TRUE, "0")</f>
        <v>0</v>
      </c>
      <c r="BM126" s="607">
        <f>IF(BL$9&gt;0, IF(OR(BL126="",BL126="-"), 0, BL126*$AT126), BK126*$AJ126)</f>
        <v>0</v>
      </c>
      <c r="BN126" s="589">
        <f>[1]COMMANDE!AA124</f>
        <v>0</v>
      </c>
      <c r="BO126" s="586" t="str">
        <f>_xlfn.IFS(AND($AI126=$AM126,$AI126&gt;0,$AM126&gt;0,BN126&gt;0), BN126,     AND(NOT($AI126=$AM126),$AI126&gt;0,$AM126&gt;0,BN126&gt;0), ($AM126*BN126)/$AI126,     AND($AI126=0,$AM126&gt;0,$AQ126&gt;0), IF(INDEX(BN$12:BN$263,MATCH($AQ126,$AP$12:$AP$263,0))&gt;0,($AM126*INDEX(BN$12:BN$263,MATCH($AQ126,$AP$12:$AP$263,0)))/INDEX($AI$12:$AI$263,MATCH($AQ126,$AP$12:$AP$263,0)), "-"),     TRUE, "0")</f>
        <v>0</v>
      </c>
      <c r="BP126" s="588">
        <f>IF(BO$9&gt;0, IF(OR(BO126="",BO126="-"), 0, BO126*$AT126), BN126*$AJ126)</f>
        <v>0</v>
      </c>
      <c r="BQ126" s="587">
        <f>[1]COMMANDE!AC124</f>
        <v>0</v>
      </c>
      <c r="BR126" s="586" t="str">
        <f>_xlfn.IFS(AND($AI126=$AM126,$AI126&gt;0,$AM126&gt;0,BQ126&gt;0), BQ126,     AND(NOT($AI126=$AM126),$AI126&gt;0,$AM126&gt;0,BQ126&gt;0), ($AM126*BQ126)/$AI126,     AND($AI126=0,$AM126&gt;0,$AQ126&gt;0), IF(INDEX(BQ$12:BQ$263,MATCH($AQ126,$AP$12:$AP$263,0))&gt;0,($AM126*INDEX(BQ$12:BQ$263,MATCH($AQ126,$AP$12:$AP$263,0)))/INDEX($AI$12:$AI$263,MATCH($AQ126,$AP$12:$AP$263,0)), "-"),     TRUE, "0")</f>
        <v>0</v>
      </c>
      <c r="BS126" s="607">
        <f>IF(BR$9&gt;0, IF(OR(BR126="",BR126="-"), 0, BR126*$AT126), BQ126*$AJ126)</f>
        <v>0</v>
      </c>
      <c r="BT126" s="589">
        <f>[1]COMMANDE!AE124</f>
        <v>0</v>
      </c>
      <c r="BU126" s="586" t="str">
        <f>_xlfn.IFS(AND($AI126=$AM126,$AI126&gt;0,$AM126&gt;0,BT126&gt;0), BT126,     AND(NOT($AI126=$AM126),$AI126&gt;0,$AM126&gt;0,BT126&gt;0), ($AM126*BT126)/$AI126,     AND($AI126=0,$AM126&gt;0,$AQ126&gt;0), IF(INDEX(BT$12:BT$263,MATCH($AQ126,$AP$12:$AP$263,0))&gt;0,($AM126*INDEX(BT$12:BT$263,MATCH($AQ126,$AP$12:$AP$263,0)))/INDEX($AI$12:$AI$263,MATCH($AQ126,$AP$12:$AP$263,0)), "-"),     TRUE, "0")</f>
        <v>0</v>
      </c>
      <c r="BV126" s="588">
        <f>IF(BU$9&gt;0, IF(OR(BU126="",BU126="-"), 0, BU126*$AT126), BT126*$AJ126)</f>
        <v>0</v>
      </c>
      <c r="BW126" s="587">
        <f>[1]COMMANDE!AG124</f>
        <v>0</v>
      </c>
      <c r="BX126" s="586" t="str">
        <f>_xlfn.IFS(AND($AI126=$AM126,$AI126&gt;0,$AM126&gt;0,BW126&gt;0), BW126,     AND(NOT($AI126=$AM126),$AI126&gt;0,$AM126&gt;0,BW126&gt;0), ($AM126*BW126)/$AI126,     AND($AI126=0,$AM126&gt;0,$AQ126&gt;0), IF(INDEX(BW$12:BW$263,MATCH($AQ126,$AP$12:$AP$263,0))&gt;0,($AM126*INDEX(BW$12:BW$263,MATCH($AQ126,$AP$12:$AP$263,0)))/INDEX($AI$12:$AI$263,MATCH($AQ126,$AP$12:$AP$263,0)), "-"),     TRUE, "0")</f>
        <v>0</v>
      </c>
      <c r="BY126" s="607">
        <f>IF(BX$9&gt;0, IF(OR(BX126="",BX126="-"), 0, BX126*$AT126), BW126*$AJ126)</f>
        <v>0</v>
      </c>
      <c r="BZ126" s="589">
        <f>[1]COMMANDE!AI124</f>
        <v>0</v>
      </c>
      <c r="CA126" s="586" t="str">
        <f>_xlfn.IFS(AND($AI126=$AM126,$AI126&gt;0,$AM126&gt;0,BZ126&gt;0), BZ126,     AND(NOT($AI126=$AM126),$AI126&gt;0,$AM126&gt;0,BZ126&gt;0), ($AM126*BZ126)/$AI126,     AND($AI126=0,$AM126&gt;0,$AQ126&gt;0), IF(INDEX(BZ$12:BZ$263,MATCH($AQ126,$AP$12:$AP$263,0))&gt;0,($AM126*INDEX(BZ$12:BZ$263,MATCH($AQ126,$AP$12:$AP$263,0)))/INDEX($AI$12:$AI$263,MATCH($AQ126,$AP$12:$AP$263,0)), "-"),     TRUE, "0")</f>
        <v>0</v>
      </c>
      <c r="CB126" s="588">
        <f>IF(CA$9&gt;0, IF(OR(CA126="",CA126="-"), 0, CA126*$AT126), BZ126*$AJ126)</f>
        <v>0</v>
      </c>
      <c r="CC126" s="587">
        <f>[1]COMMANDE!AK124</f>
        <v>0</v>
      </c>
      <c r="CD126" s="586" t="str">
        <f>_xlfn.IFS(AND($AI126=$AM126,$AI126&gt;0,$AM126&gt;0,CC126&gt;0), CC126,     AND(NOT($AI126=$AM126),$AI126&gt;0,$AM126&gt;0,CC126&gt;0), ($AM126*CC126)/$AI126,     AND($AI126=0,$AM126&gt;0,$AQ126&gt;0), IF(INDEX(CC$12:CC$263,MATCH($AQ126,$AP$12:$AP$263,0))&gt;0,($AM126*INDEX(CC$12:CC$263,MATCH($AQ126,$AP$12:$AP$263,0)))/INDEX($AI$12:$AI$263,MATCH($AQ126,$AP$12:$AP$263,0)), "-"),     TRUE, "0")</f>
        <v>0</v>
      </c>
      <c r="CE126" s="607">
        <f>IF(CD$9&gt;0, IF(OR(CD126="",CD126="-"), 0, CD126*$AT126), CC126*$AJ126)</f>
        <v>0</v>
      </c>
      <c r="CF126" s="589">
        <f>[1]COMMANDE!AM124</f>
        <v>0</v>
      </c>
      <c r="CG126" s="586" t="str">
        <f>_xlfn.IFS(AND($AI126=$AM126,$AI126&gt;0,$AM126&gt;0,CF126&gt;0), CF126,     AND(NOT($AI126=$AM126),$AI126&gt;0,$AM126&gt;0,CF126&gt;0), ($AM126*CF126)/$AI126,     AND($AI126=0,$AM126&gt;0,$AQ126&gt;0), IF(INDEX(CF$12:CF$263,MATCH($AQ126,$AP$12:$AP$263,0))&gt;0,($AM126*INDEX(CF$12:CF$263,MATCH($AQ126,$AP$12:$AP$263,0)))/INDEX($AI$12:$AI$263,MATCH($AQ126,$AP$12:$AP$263,0)), "-"),     TRUE, "0")</f>
        <v>0</v>
      </c>
      <c r="CH126" s="588">
        <f>IF(CG$9&gt;0, IF(OR(CG126="",CG126="-"), 0, CG126*$AT126), CF126*$AJ126)</f>
        <v>0</v>
      </c>
      <c r="CI126" s="587">
        <f>[1]COMMANDE!AO124</f>
        <v>0</v>
      </c>
      <c r="CJ126" s="586" t="str">
        <f>_xlfn.IFS(AND($AI126=$AM126,$AI126&gt;0,$AM126&gt;0,CI126&gt;0), CI126,     AND(NOT($AI126=$AM126),$AI126&gt;0,$AM126&gt;0,CI126&gt;0), ($AM126*CI126)/$AI126,     AND($AI126=0,$AM126&gt;0,$AQ126&gt;0), IF(INDEX(CI$12:CI$263,MATCH($AQ126,$AP$12:$AP$263,0))&gt;0,($AM126*INDEX(CI$12:CI$263,MATCH($AQ126,$AP$12:$AP$263,0)))/INDEX($AI$12:$AI$263,MATCH($AQ126,$AP$12:$AP$263,0)), "-"),     TRUE, "0")</f>
        <v>0</v>
      </c>
      <c r="CK126" s="607">
        <f>IF(CJ$9&gt;0, IF(OR(CJ126="",CJ126="-"), 0, CJ126*$AT126), CI126*$AJ126)</f>
        <v>0</v>
      </c>
      <c r="CL126" s="589">
        <f>[1]COMMANDE!AQ124</f>
        <v>0</v>
      </c>
      <c r="CM126" s="586" t="str">
        <f>_xlfn.IFS(AND($AI126=$AM126,$AI126&gt;0,$AM126&gt;0,CL126&gt;0), CL126,     AND(NOT($AI126=$AM126),$AI126&gt;0,$AM126&gt;0,CL126&gt;0), ($AM126*CL126)/$AI126,     AND($AI126=0,$AM126&gt;0,$AQ126&gt;0), IF(INDEX(CL$12:CL$263,MATCH($AQ126,$AP$12:$AP$263,0))&gt;0,($AM126*INDEX(CL$12:CL$263,MATCH($AQ126,$AP$12:$AP$263,0)))/INDEX($AI$12:$AI$263,MATCH($AQ126,$AP$12:$AP$263,0)), "-"),     TRUE, "0")</f>
        <v>0</v>
      </c>
      <c r="CN126" s="588">
        <f>IF(CM$9&gt;0, IF(OR(CM126="",CM126="-"), 0, CM126*$AT126), CL126*$AJ126)</f>
        <v>0</v>
      </c>
      <c r="CO126" s="587">
        <f>[1]COMMANDE!AS124</f>
        <v>0</v>
      </c>
      <c r="CP126" s="586" t="str">
        <f>_xlfn.IFS(AND($AI126=$AM126,$AI126&gt;0,$AM126&gt;0,CO126&gt;0), CO126,     AND(NOT($AI126=$AM126),$AI126&gt;0,$AM126&gt;0,CO126&gt;0), ($AM126*CO126)/$AI126,     AND($AI126=0,$AM126&gt;0,$AQ126&gt;0), IF(INDEX(CO$12:CO$263,MATCH($AQ126,$AP$12:$AP$263,0))&gt;0,($AM126*INDEX(CO$12:CO$263,MATCH($AQ126,$AP$12:$AP$263,0)))/INDEX($AI$12:$AI$263,MATCH($AQ126,$AP$12:$AP$263,0)), "-"),     TRUE, "0")</f>
        <v>0</v>
      </c>
      <c r="CQ126" s="607">
        <f>IF(CP$9&gt;0, IF(OR(CP126="",CP126="-"), 0, CP126*$AT126), CO126*$AJ126)</f>
        <v>0</v>
      </c>
      <c r="CR126" s="589">
        <f>[1]COMMANDE!AU124</f>
        <v>0</v>
      </c>
      <c r="CS126" s="586" t="str">
        <f>_xlfn.IFS(AND($AI126=$AM126,$AI126&gt;0,$AM126&gt;0,CR126&gt;0), CR126,     AND(NOT($AI126=$AM126),$AI126&gt;0,$AM126&gt;0,CR126&gt;0), ($AM126*CR126)/$AI126,     AND($AI126=0,$AM126&gt;0,$AQ126&gt;0), IF(INDEX(CR$12:CR$263,MATCH($AQ126,$AP$12:$AP$263,0))&gt;0,($AM126*INDEX(CR$12:CR$263,MATCH($AQ126,$AP$12:$AP$263,0)))/INDEX($AI$12:$AI$263,MATCH($AQ126,$AP$12:$AP$263,0)), "-"),     TRUE, "0")</f>
        <v>0</v>
      </c>
      <c r="CT126" s="588">
        <f>IF(CS$9&gt;0, IF(OR(CS126="",CS126="-"), 0, CS126*$AT126), CR126*$AJ126)</f>
        <v>0</v>
      </c>
      <c r="CU126" s="587">
        <f>[1]COMMANDE!AW124</f>
        <v>0</v>
      </c>
      <c r="CV126" s="586" t="str">
        <f>_xlfn.IFS(AND($AI126=$AM126,$AI126&gt;0,$AM126&gt;0,CU126&gt;0), CU126,     AND(NOT($AI126=$AM126),$AI126&gt;0,$AM126&gt;0,CU126&gt;0), ($AM126*CU126)/$AI126,     AND($AI126=0,$AM126&gt;0,$AQ126&gt;0), IF(INDEX(CU$12:CU$263,MATCH($AQ126,$AP$12:$AP$263,0))&gt;0,($AM126*INDEX(CU$12:CU$263,MATCH($AQ126,$AP$12:$AP$263,0)))/INDEX($AI$12:$AI$263,MATCH($AQ126,$AP$12:$AP$263,0)), "-"),     TRUE, "0")</f>
        <v>0</v>
      </c>
      <c r="CW126" s="607">
        <f>IF(CV$9&gt;0, IF(OR(CV126="",CV126="-"), 0, CV126*$AT126), CU126*$AJ126)</f>
        <v>0</v>
      </c>
      <c r="CX126" s="589">
        <f>[1]COMMANDE!AY124</f>
        <v>0</v>
      </c>
      <c r="CY126" s="586" t="str">
        <f>_xlfn.IFS(AND($AI126=$AM126,$AI126&gt;0,$AM126&gt;0,CX126&gt;0), CX126,     AND(NOT($AI126=$AM126),$AI126&gt;0,$AM126&gt;0,CX126&gt;0), ($AM126*CX126)/$AI126,     AND($AI126=0,$AM126&gt;0,$AQ126&gt;0), IF(INDEX(CX$12:CX$263,MATCH($AQ126,$AP$12:$AP$263,0))&gt;0,($AM126*INDEX(CX$12:CX$263,MATCH($AQ126,$AP$12:$AP$263,0)))/INDEX($AI$12:$AI$263,MATCH($AQ126,$AP$12:$AP$263,0)), "-"),     TRUE, "0")</f>
        <v>0</v>
      </c>
      <c r="CZ126" s="588">
        <f>IF(CY$9&gt;0, IF(OR(CY126="",CY126="-"), 0, CY126*$AT126), CX126*$AJ126)</f>
        <v>0</v>
      </c>
      <c r="DA126" s="587">
        <f>[1]COMMANDE!BA124</f>
        <v>0</v>
      </c>
      <c r="DB126" s="586" t="str">
        <f>_xlfn.IFS(AND($AI126=$AM126,$AI126&gt;0,$AM126&gt;0,DA126&gt;0), DA126,     AND(NOT($AI126=$AM126),$AI126&gt;0,$AM126&gt;0,DA126&gt;0), ($AM126*DA126)/$AI126,     AND($AI126=0,$AM126&gt;0,$AQ126&gt;0), IF(INDEX(DA$12:DA$263,MATCH($AQ126,$AP$12:$AP$263,0))&gt;0,($AM126*INDEX(DA$12:DA$263,MATCH($AQ126,$AP$12:$AP$263,0)))/INDEX($AI$12:$AI$263,MATCH($AQ126,$AP$12:$AP$263,0)), "-"),     TRUE, "0")</f>
        <v>0</v>
      </c>
      <c r="DC126" s="606">
        <f>IF(DB$9&gt;0, IF(OR(DB126="",DB126="-"), 0, DB126*$AT126), DA126*$AJ126)</f>
        <v>0</v>
      </c>
      <c r="DD126" s="584"/>
      <c r="DE126" s="583"/>
    </row>
    <row r="127" spans="1:128" ht="39.950000000000003" customHeight="1">
      <c r="A127" s="604">
        <f>IF(OR($AV127&gt;0, $AX127&gt;0), 1, 0)</f>
        <v>1</v>
      </c>
      <c r="B127" s="604">
        <f>IF(OR($AY127&gt;0, $BA127&gt;0), 1, 0)</f>
        <v>1</v>
      </c>
      <c r="C127" s="604">
        <f>IF(OR($BB127&gt;0, $BD127&gt;0), 1, 0)</f>
        <v>1</v>
      </c>
      <c r="D127" s="604">
        <f>IF(OR($BE127&gt;0, $BG127&gt;0), 1, 0)</f>
        <v>0</v>
      </c>
      <c r="E127" s="604">
        <f>IF(OR($BH127&gt;0, $BJ127&gt;0), 1, 0)</f>
        <v>0</v>
      </c>
      <c r="F127" s="604">
        <f>IF(OR($BK127&gt;0, $BM127&gt;0), 1, 0)</f>
        <v>0</v>
      </c>
      <c r="G127" s="604">
        <f>IF(OR($BN127&gt;0, $BP127&gt;0), 1, 0)</f>
        <v>0</v>
      </c>
      <c r="H127" s="604">
        <f>IF(OR($BQ127&gt;0, $BS127&gt;0), 1, 0)</f>
        <v>0</v>
      </c>
      <c r="I127" s="604">
        <f>IF(OR($BT127&gt;0, $BV127&gt;0), 1, 0)</f>
        <v>0</v>
      </c>
      <c r="J127" s="604">
        <f>IF(OR($BW127&gt;0, $BY127&gt;0), 1, 0)</f>
        <v>0</v>
      </c>
      <c r="K127" s="604">
        <f>IF(OR($BZ127&gt;0, $CB127&gt;0), 1, 0)</f>
        <v>0</v>
      </c>
      <c r="L127" s="604">
        <f>IF(OR($CC127&gt;0, $CE127&gt;0), 1, 0)</f>
        <v>0</v>
      </c>
      <c r="M127" s="604">
        <f>IF(OR($CF127&gt;0, $CH127&gt;0), 1, 0)</f>
        <v>0</v>
      </c>
      <c r="N127" s="604">
        <f>IF(OR($CI127&gt;0, $CK127&gt;0), 1, 0)</f>
        <v>0</v>
      </c>
      <c r="O127" s="604">
        <f>IF(OR($CL127&gt;0, $CN127&gt;0), 1, 0)</f>
        <v>0</v>
      </c>
      <c r="P127" s="604">
        <f>IF(OR($CO127&gt;0, $CQ127&gt;0), 1, 0)</f>
        <v>0</v>
      </c>
      <c r="Q127" s="604">
        <f>IF(OR($CR127&gt;0, $CT127&gt;0), 1, 0)</f>
        <v>0</v>
      </c>
      <c r="R127" s="604">
        <f>IF(OR($CU127&gt;0, $CW127&gt;0), 1, 0)</f>
        <v>0</v>
      </c>
      <c r="S127" s="604">
        <f>IF(OR($CX127&gt;0, $CZ127&gt;0), 1, 0)</f>
        <v>0</v>
      </c>
      <c r="T127" s="604">
        <f>IF(OR($DA127&gt;0, $DC127&gt;0), 1, 0)</f>
        <v>0</v>
      </c>
      <c r="U127" s="603">
        <f>IF(OR($AI127&gt;0,$AM127&gt;0,$AS127&gt;0), 1, 0)</f>
        <v>1</v>
      </c>
      <c r="V127" s="602">
        <f>[1]BDD!A117</f>
        <v>3209</v>
      </c>
      <c r="W127" s="601" t="str">
        <f>[1]BDD!B117</f>
        <v>Grenade (très rouge)</v>
      </c>
      <c r="X127" s="600" t="str">
        <f>IF([1]BDD!F117=0, "", [1]BDD!F117)</f>
        <v>❤️</v>
      </c>
      <c r="Y127" s="542">
        <f>ROUND([1]BDD!G117+FDP_CMD_KG, 2)</f>
        <v>3.32</v>
      </c>
      <c r="Z127" s="542">
        <f>ROUND([1]BDD!G117+FDP_FACT_KG, 2)</f>
        <v>3.32</v>
      </c>
      <c r="AA127" s="543" t="str">
        <f>[1]BDD!H117</f>
        <v>kg</v>
      </c>
      <c r="AB127" s="544">
        <f>IF(NOT(ISBLANK([1]BDD!I117)), ROUND(SUM(([1]BDD!G117*reduc1),FDP_CMD_KG), 2), "")</f>
        <v>3.08</v>
      </c>
      <c r="AC127" s="544">
        <f>IF(NOT(ISBLANK([1]BDD!J117)), ROUND(SUM(([1]BDD!G117*reduc2),FDP_CMD_KG), 2), "")</f>
        <v>2.83</v>
      </c>
      <c r="AD127" s="544">
        <f>IF(NOT(ISBLANK([1]BDD!K117)), ROUND(SUM(([1]BDD!G117*reduc3),FDP_CMD_KG), 2), "")</f>
        <v>2.59</v>
      </c>
      <c r="AE127" s="544">
        <f>IF(NOT(ISBLANK([1]BDD!I117)), ROUND(SUM(([1]BDD!G117*reduc1),FDP_FACT_KG), 2), "")</f>
        <v>3.07</v>
      </c>
      <c r="AF127" s="544">
        <f>IF(NOT(ISBLANK([1]BDD!J117)), ROUND(SUM(([1]BDD!G117*reduc2),FDP_FACT_KG), 2), "")</f>
        <v>2.83</v>
      </c>
      <c r="AG127" s="544">
        <f>IF(NOT(ISBLANK([1]BDD!K117)), ROUND(SUM(([1]BDD!G117*reduc3),FDP_FACT_KG), 2), "")</f>
        <v>2.58</v>
      </c>
      <c r="AH127" s="599" t="str">
        <f>[1]BDD!C117</f>
        <v>Grenade</v>
      </c>
      <c r="AI127" s="598">
        <f>SUM(AV127,AY127,BB127,BE127,BH127,BK127,BN127,BQ127,BT127,BW127,BZ127,CC127,CF127,CI127,CL127,CO127,CR127,CU127,CX127,DA127)</f>
        <v>10</v>
      </c>
      <c r="AJ127" s="545">
        <f>_xlfn.IFS($AD127&lt;&gt;"", $AD127,    $AC127&lt;&gt;"", $AC127,    $AB127&lt;&gt;"", $AB127,    TRUE, $Y127)</f>
        <v>2.59</v>
      </c>
      <c r="AK127" s="592">
        <f>$AI127*$AJ127</f>
        <v>25.9</v>
      </c>
      <c r="AL127" s="594"/>
      <c r="AM127" s="597">
        <v>10</v>
      </c>
      <c r="AN127" s="545">
        <f>_xlfn.IFS(AND(AM127&gt;=60,$AG127&lt;&gt;""), $AG127,    AND(AM127&gt;=30,$AF127&lt;&gt;""), $AF127,    AND(AM127&gt;=10,$AE127&lt;&gt;""), $AE127,    TRUE, $Z127)</f>
        <v>3.07</v>
      </c>
      <c r="AO127" s="596">
        <f>AM127*AN127</f>
        <v>30.7</v>
      </c>
      <c r="AP127" s="595"/>
      <c r="AQ127" s="595"/>
      <c r="AR127" s="594"/>
      <c r="AS127" s="593">
        <f>SUM(AW127,AZ127,BC127,BF127,BI127,BL127,BO127,BR127,BU127,BX127,CA127,CD127,CG127,CJ127,CM127,CP127,CS127,CV127,CY127,DB127)</f>
        <v>10</v>
      </c>
      <c r="AT127" s="545">
        <f>_xlfn.IFS(AND(AS127&gt;=60,$AG127&lt;&gt;""), $AG127,    AND(AS127&gt;=30,$AF127&lt;&gt;""), $AF127,    AND(AS127&gt;=10,$AE127&lt;&gt;""), $AE127,    TRUE, $Z127)</f>
        <v>3.07</v>
      </c>
      <c r="AU127" s="592">
        <f>$AS127*$AT127</f>
        <v>30.7</v>
      </c>
      <c r="AV127" s="591">
        <f>[1]COMMANDE!O125</f>
        <v>4</v>
      </c>
      <c r="AW127" s="586">
        <f>_xlfn.IFS(AND($AI127=$AM127,$AI127&gt;0,$AM127&gt;0,AV127&gt;0), AV127,     AND(NOT($AI127=$AM127),$AI127&gt;0,$AM127&gt;0,AV127&gt;0), ($AM127*AV127)/$AI127,     AND($AI127=0,$AM127&gt;0,$AQ127&gt;0), IF(INDEX(AV$12:AV$263,MATCH($AQ127,$AP$12:$AP$263,0))&gt;0,($AM127*INDEX(AV$12:AV$263,MATCH($AQ127,$AP$12:$AP$263,0)))/INDEX($AI$12:$AI$263,MATCH($AQ127,$AP$12:$AP$263,0)), "-"),     TRUE, "0")</f>
        <v>4</v>
      </c>
      <c r="AX127" s="588">
        <f>IF(AW$9&gt;0, IF(OR(AW127="",AW127="-"), 0, AW127*$AT127), AV127*$AJ127)</f>
        <v>12.28</v>
      </c>
      <c r="AY127" s="587">
        <f>[1]COMMANDE!Q125</f>
        <v>5</v>
      </c>
      <c r="AZ127" s="586">
        <f>_xlfn.IFS(AND($AI127=$AM127,$AI127&gt;0,$AM127&gt;0,AY127&gt;0), AY127,     AND(NOT($AI127=$AM127),$AI127&gt;0,$AM127&gt;0,AY127&gt;0), ($AM127*AY127)/$AI127,     AND($AI127=0,$AM127&gt;0,$AQ127&gt;0), IF(INDEX(AY$12:AY$263,MATCH($AQ127,$AP$12:$AP$263,0))&gt;0,($AM127*INDEX(AY$12:AY$263,MATCH($AQ127,$AP$12:$AP$263,0)))/INDEX($AI$12:$AI$263,MATCH($AQ127,$AP$12:$AP$263,0)), "-"),     TRUE, "0")</f>
        <v>5</v>
      </c>
      <c r="BA127" s="607">
        <f>IF(AZ$9&gt;0, IF(OR(AZ127="",AZ127="-"), 0, AZ127*$AT127), AY127*$AJ127)</f>
        <v>15.35</v>
      </c>
      <c r="BB127" s="589">
        <f>[1]COMMANDE!S125</f>
        <v>1</v>
      </c>
      <c r="BC127" s="586">
        <f>_xlfn.IFS(AND($AI127=$AM127,$AI127&gt;0,$AM127&gt;0,BB127&gt;0), BB127,     AND(NOT($AI127=$AM127),$AI127&gt;0,$AM127&gt;0,BB127&gt;0), ($AM127*BB127)/$AI127,     AND($AI127=0,$AM127&gt;0,$AQ127&gt;0), IF(INDEX(BB$12:BB$263,MATCH($AQ127,$AP$12:$AP$263,0))&gt;0,($AM127*INDEX(BB$12:BB$263,MATCH($AQ127,$AP$12:$AP$263,0)))/INDEX($AI$12:$AI$263,MATCH($AQ127,$AP$12:$AP$263,0)), "-"),     TRUE, "0")</f>
        <v>1</v>
      </c>
      <c r="BD127" s="588">
        <f>IF(BC$9&gt;0, IF(OR(BC127="",BC127="-"), 0, BC127*$AT127), BB127*$AJ127)</f>
        <v>3.07</v>
      </c>
      <c r="BE127" s="587">
        <f>[1]COMMANDE!U125</f>
        <v>0</v>
      </c>
      <c r="BF127" s="586" t="str">
        <f>_xlfn.IFS(AND($AI127=$AM127,$AI127&gt;0,$AM127&gt;0,BE127&gt;0), BE127,     AND(NOT($AI127=$AM127),$AI127&gt;0,$AM127&gt;0,BE127&gt;0), ($AM127*BE127)/$AI127,     AND($AI127=0,$AM127&gt;0,$AQ127&gt;0), IF(INDEX(BE$12:BE$263,MATCH($AQ127,$AP$12:$AP$263,0))&gt;0,($AM127*INDEX(BE$12:BE$263,MATCH($AQ127,$AP$12:$AP$263,0)))/INDEX($AI$12:$AI$263,MATCH($AQ127,$AP$12:$AP$263,0)), "-"),     TRUE, "0")</f>
        <v>0</v>
      </c>
      <c r="BG127" s="607">
        <f>IF(BF$9&gt;0, IF(OR(BF127="",BF127="-"), 0, BF127*$AT127), BE127*$AJ127)</f>
        <v>0</v>
      </c>
      <c r="BH127" s="589">
        <f>[1]COMMANDE!W125</f>
        <v>0</v>
      </c>
      <c r="BI127" s="586" t="str">
        <f>_xlfn.IFS(AND($AI127=$AM127,$AI127&gt;0,$AM127&gt;0,BH127&gt;0), BH127,     AND(NOT($AI127=$AM127),$AI127&gt;0,$AM127&gt;0,BH127&gt;0), ($AM127*BH127)/$AI127,     AND($AI127=0,$AM127&gt;0,$AQ127&gt;0), IF(INDEX(BH$12:BH$263,MATCH($AQ127,$AP$12:$AP$263,0))&gt;0,($AM127*INDEX(BH$12:BH$263,MATCH($AQ127,$AP$12:$AP$263,0)))/INDEX($AI$12:$AI$263,MATCH($AQ127,$AP$12:$AP$263,0)), "-"),     TRUE, "0")</f>
        <v>0</v>
      </c>
      <c r="BJ127" s="588">
        <f>IF(BI$9&gt;0, IF(OR(BI127="",BI127="-"), 0, BI127*$AT127), BH127*$AJ127)</f>
        <v>0</v>
      </c>
      <c r="BK127" s="587">
        <f>[1]COMMANDE!Y125</f>
        <v>0</v>
      </c>
      <c r="BL127" s="586" t="str">
        <f>_xlfn.IFS(AND($AI127=$AM127,$AI127&gt;0,$AM127&gt;0,BK127&gt;0), BK127,     AND(NOT($AI127=$AM127),$AI127&gt;0,$AM127&gt;0,BK127&gt;0), ($AM127*BK127)/$AI127,     AND($AI127=0,$AM127&gt;0,$AQ127&gt;0), IF(INDEX(BK$12:BK$263,MATCH($AQ127,$AP$12:$AP$263,0))&gt;0,($AM127*INDEX(BK$12:BK$263,MATCH($AQ127,$AP$12:$AP$263,0)))/INDEX($AI$12:$AI$263,MATCH($AQ127,$AP$12:$AP$263,0)), "-"),     TRUE, "0")</f>
        <v>0</v>
      </c>
      <c r="BM127" s="607">
        <f>IF(BL$9&gt;0, IF(OR(BL127="",BL127="-"), 0, BL127*$AT127), BK127*$AJ127)</f>
        <v>0</v>
      </c>
      <c r="BN127" s="589">
        <f>[1]COMMANDE!AA125</f>
        <v>0</v>
      </c>
      <c r="BO127" s="586" t="str">
        <f>_xlfn.IFS(AND($AI127=$AM127,$AI127&gt;0,$AM127&gt;0,BN127&gt;0), BN127,     AND(NOT($AI127=$AM127),$AI127&gt;0,$AM127&gt;0,BN127&gt;0), ($AM127*BN127)/$AI127,     AND($AI127=0,$AM127&gt;0,$AQ127&gt;0), IF(INDEX(BN$12:BN$263,MATCH($AQ127,$AP$12:$AP$263,0))&gt;0,($AM127*INDEX(BN$12:BN$263,MATCH($AQ127,$AP$12:$AP$263,0)))/INDEX($AI$12:$AI$263,MATCH($AQ127,$AP$12:$AP$263,0)), "-"),     TRUE, "0")</f>
        <v>0</v>
      </c>
      <c r="BP127" s="588">
        <f>IF(BO$9&gt;0, IF(OR(BO127="",BO127="-"), 0, BO127*$AT127), BN127*$AJ127)</f>
        <v>0</v>
      </c>
      <c r="BQ127" s="587">
        <f>[1]COMMANDE!AC125</f>
        <v>0</v>
      </c>
      <c r="BR127" s="586" t="str">
        <f>_xlfn.IFS(AND($AI127=$AM127,$AI127&gt;0,$AM127&gt;0,BQ127&gt;0), BQ127,     AND(NOT($AI127=$AM127),$AI127&gt;0,$AM127&gt;0,BQ127&gt;0), ($AM127*BQ127)/$AI127,     AND($AI127=0,$AM127&gt;0,$AQ127&gt;0), IF(INDEX(BQ$12:BQ$263,MATCH($AQ127,$AP$12:$AP$263,0))&gt;0,($AM127*INDEX(BQ$12:BQ$263,MATCH($AQ127,$AP$12:$AP$263,0)))/INDEX($AI$12:$AI$263,MATCH($AQ127,$AP$12:$AP$263,0)), "-"),     TRUE, "0")</f>
        <v>0</v>
      </c>
      <c r="BS127" s="607">
        <f>IF(BR$9&gt;0, IF(OR(BR127="",BR127="-"), 0, BR127*$AT127), BQ127*$AJ127)</f>
        <v>0</v>
      </c>
      <c r="BT127" s="589">
        <f>[1]COMMANDE!AE125</f>
        <v>0</v>
      </c>
      <c r="BU127" s="586" t="str">
        <f>_xlfn.IFS(AND($AI127=$AM127,$AI127&gt;0,$AM127&gt;0,BT127&gt;0), BT127,     AND(NOT($AI127=$AM127),$AI127&gt;0,$AM127&gt;0,BT127&gt;0), ($AM127*BT127)/$AI127,     AND($AI127=0,$AM127&gt;0,$AQ127&gt;0), IF(INDEX(BT$12:BT$263,MATCH($AQ127,$AP$12:$AP$263,0))&gt;0,($AM127*INDEX(BT$12:BT$263,MATCH($AQ127,$AP$12:$AP$263,0)))/INDEX($AI$12:$AI$263,MATCH($AQ127,$AP$12:$AP$263,0)), "-"),     TRUE, "0")</f>
        <v>0</v>
      </c>
      <c r="BV127" s="588">
        <f>IF(BU$9&gt;0, IF(OR(BU127="",BU127="-"), 0, BU127*$AT127), BT127*$AJ127)</f>
        <v>0</v>
      </c>
      <c r="BW127" s="587">
        <f>[1]COMMANDE!AG125</f>
        <v>0</v>
      </c>
      <c r="BX127" s="586" t="str">
        <f>_xlfn.IFS(AND($AI127=$AM127,$AI127&gt;0,$AM127&gt;0,BW127&gt;0), BW127,     AND(NOT($AI127=$AM127),$AI127&gt;0,$AM127&gt;0,BW127&gt;0), ($AM127*BW127)/$AI127,     AND($AI127=0,$AM127&gt;0,$AQ127&gt;0), IF(INDEX(BW$12:BW$263,MATCH($AQ127,$AP$12:$AP$263,0))&gt;0,($AM127*INDEX(BW$12:BW$263,MATCH($AQ127,$AP$12:$AP$263,0)))/INDEX($AI$12:$AI$263,MATCH($AQ127,$AP$12:$AP$263,0)), "-"),     TRUE, "0")</f>
        <v>0</v>
      </c>
      <c r="BY127" s="607">
        <f>IF(BX$9&gt;0, IF(OR(BX127="",BX127="-"), 0, BX127*$AT127), BW127*$AJ127)</f>
        <v>0</v>
      </c>
      <c r="BZ127" s="589">
        <f>[1]COMMANDE!AI125</f>
        <v>0</v>
      </c>
      <c r="CA127" s="586" t="str">
        <f>_xlfn.IFS(AND($AI127=$AM127,$AI127&gt;0,$AM127&gt;0,BZ127&gt;0), BZ127,     AND(NOT($AI127=$AM127),$AI127&gt;0,$AM127&gt;0,BZ127&gt;0), ($AM127*BZ127)/$AI127,     AND($AI127=0,$AM127&gt;0,$AQ127&gt;0), IF(INDEX(BZ$12:BZ$263,MATCH($AQ127,$AP$12:$AP$263,0))&gt;0,($AM127*INDEX(BZ$12:BZ$263,MATCH($AQ127,$AP$12:$AP$263,0)))/INDEX($AI$12:$AI$263,MATCH($AQ127,$AP$12:$AP$263,0)), "-"),     TRUE, "0")</f>
        <v>0</v>
      </c>
      <c r="CB127" s="588">
        <f>IF(CA$9&gt;0, IF(OR(CA127="",CA127="-"), 0, CA127*$AT127), BZ127*$AJ127)</f>
        <v>0</v>
      </c>
      <c r="CC127" s="587">
        <f>[1]COMMANDE!AK125</f>
        <v>0</v>
      </c>
      <c r="CD127" s="586" t="str">
        <f>_xlfn.IFS(AND($AI127=$AM127,$AI127&gt;0,$AM127&gt;0,CC127&gt;0), CC127,     AND(NOT($AI127=$AM127),$AI127&gt;0,$AM127&gt;0,CC127&gt;0), ($AM127*CC127)/$AI127,     AND($AI127=0,$AM127&gt;0,$AQ127&gt;0), IF(INDEX(CC$12:CC$263,MATCH($AQ127,$AP$12:$AP$263,0))&gt;0,($AM127*INDEX(CC$12:CC$263,MATCH($AQ127,$AP$12:$AP$263,0)))/INDEX($AI$12:$AI$263,MATCH($AQ127,$AP$12:$AP$263,0)), "-"),     TRUE, "0")</f>
        <v>0</v>
      </c>
      <c r="CE127" s="607">
        <f>IF(CD$9&gt;0, IF(OR(CD127="",CD127="-"), 0, CD127*$AT127), CC127*$AJ127)</f>
        <v>0</v>
      </c>
      <c r="CF127" s="589">
        <f>[1]COMMANDE!AM125</f>
        <v>0</v>
      </c>
      <c r="CG127" s="586" t="str">
        <f>_xlfn.IFS(AND($AI127=$AM127,$AI127&gt;0,$AM127&gt;0,CF127&gt;0), CF127,     AND(NOT($AI127=$AM127),$AI127&gt;0,$AM127&gt;0,CF127&gt;0), ($AM127*CF127)/$AI127,     AND($AI127=0,$AM127&gt;0,$AQ127&gt;0), IF(INDEX(CF$12:CF$263,MATCH($AQ127,$AP$12:$AP$263,0))&gt;0,($AM127*INDEX(CF$12:CF$263,MATCH($AQ127,$AP$12:$AP$263,0)))/INDEX($AI$12:$AI$263,MATCH($AQ127,$AP$12:$AP$263,0)), "-"),     TRUE, "0")</f>
        <v>0</v>
      </c>
      <c r="CH127" s="588">
        <f>IF(CG$9&gt;0, IF(OR(CG127="",CG127="-"), 0, CG127*$AT127), CF127*$AJ127)</f>
        <v>0</v>
      </c>
      <c r="CI127" s="587">
        <f>[1]COMMANDE!AO125</f>
        <v>0</v>
      </c>
      <c r="CJ127" s="586" t="str">
        <f>_xlfn.IFS(AND($AI127=$AM127,$AI127&gt;0,$AM127&gt;0,CI127&gt;0), CI127,     AND(NOT($AI127=$AM127),$AI127&gt;0,$AM127&gt;0,CI127&gt;0), ($AM127*CI127)/$AI127,     AND($AI127=0,$AM127&gt;0,$AQ127&gt;0), IF(INDEX(CI$12:CI$263,MATCH($AQ127,$AP$12:$AP$263,0))&gt;0,($AM127*INDEX(CI$12:CI$263,MATCH($AQ127,$AP$12:$AP$263,0)))/INDEX($AI$12:$AI$263,MATCH($AQ127,$AP$12:$AP$263,0)), "-"),     TRUE, "0")</f>
        <v>0</v>
      </c>
      <c r="CK127" s="607">
        <f>IF(CJ$9&gt;0, IF(OR(CJ127="",CJ127="-"), 0, CJ127*$AT127), CI127*$AJ127)</f>
        <v>0</v>
      </c>
      <c r="CL127" s="589">
        <f>[1]COMMANDE!AQ125</f>
        <v>0</v>
      </c>
      <c r="CM127" s="586" t="str">
        <f>_xlfn.IFS(AND($AI127=$AM127,$AI127&gt;0,$AM127&gt;0,CL127&gt;0), CL127,     AND(NOT($AI127=$AM127),$AI127&gt;0,$AM127&gt;0,CL127&gt;0), ($AM127*CL127)/$AI127,     AND($AI127=0,$AM127&gt;0,$AQ127&gt;0), IF(INDEX(CL$12:CL$263,MATCH($AQ127,$AP$12:$AP$263,0))&gt;0,($AM127*INDEX(CL$12:CL$263,MATCH($AQ127,$AP$12:$AP$263,0)))/INDEX($AI$12:$AI$263,MATCH($AQ127,$AP$12:$AP$263,0)), "-"),     TRUE, "0")</f>
        <v>0</v>
      </c>
      <c r="CN127" s="588">
        <f>IF(CM$9&gt;0, IF(OR(CM127="",CM127="-"), 0, CM127*$AT127), CL127*$AJ127)</f>
        <v>0</v>
      </c>
      <c r="CO127" s="587">
        <f>[1]COMMANDE!AS125</f>
        <v>0</v>
      </c>
      <c r="CP127" s="586" t="str">
        <f>_xlfn.IFS(AND($AI127=$AM127,$AI127&gt;0,$AM127&gt;0,CO127&gt;0), CO127,     AND(NOT($AI127=$AM127),$AI127&gt;0,$AM127&gt;0,CO127&gt;0), ($AM127*CO127)/$AI127,     AND($AI127=0,$AM127&gt;0,$AQ127&gt;0), IF(INDEX(CO$12:CO$263,MATCH($AQ127,$AP$12:$AP$263,0))&gt;0,($AM127*INDEX(CO$12:CO$263,MATCH($AQ127,$AP$12:$AP$263,0)))/INDEX($AI$12:$AI$263,MATCH($AQ127,$AP$12:$AP$263,0)), "-"),     TRUE, "0")</f>
        <v>0</v>
      </c>
      <c r="CQ127" s="607">
        <f>IF(CP$9&gt;0, IF(OR(CP127="",CP127="-"), 0, CP127*$AT127), CO127*$AJ127)</f>
        <v>0</v>
      </c>
      <c r="CR127" s="589">
        <f>[1]COMMANDE!AU125</f>
        <v>0</v>
      </c>
      <c r="CS127" s="586" t="str">
        <f>_xlfn.IFS(AND($AI127=$AM127,$AI127&gt;0,$AM127&gt;0,CR127&gt;0), CR127,     AND(NOT($AI127=$AM127),$AI127&gt;0,$AM127&gt;0,CR127&gt;0), ($AM127*CR127)/$AI127,     AND($AI127=0,$AM127&gt;0,$AQ127&gt;0), IF(INDEX(CR$12:CR$263,MATCH($AQ127,$AP$12:$AP$263,0))&gt;0,($AM127*INDEX(CR$12:CR$263,MATCH($AQ127,$AP$12:$AP$263,0)))/INDEX($AI$12:$AI$263,MATCH($AQ127,$AP$12:$AP$263,0)), "-"),     TRUE, "0")</f>
        <v>0</v>
      </c>
      <c r="CT127" s="588">
        <f>IF(CS$9&gt;0, IF(OR(CS127="",CS127="-"), 0, CS127*$AT127), CR127*$AJ127)</f>
        <v>0</v>
      </c>
      <c r="CU127" s="587">
        <f>[1]COMMANDE!AW125</f>
        <v>0</v>
      </c>
      <c r="CV127" s="586" t="str">
        <f>_xlfn.IFS(AND($AI127=$AM127,$AI127&gt;0,$AM127&gt;0,CU127&gt;0), CU127,     AND(NOT($AI127=$AM127),$AI127&gt;0,$AM127&gt;0,CU127&gt;0), ($AM127*CU127)/$AI127,     AND($AI127=0,$AM127&gt;0,$AQ127&gt;0), IF(INDEX(CU$12:CU$263,MATCH($AQ127,$AP$12:$AP$263,0))&gt;0,($AM127*INDEX(CU$12:CU$263,MATCH($AQ127,$AP$12:$AP$263,0)))/INDEX($AI$12:$AI$263,MATCH($AQ127,$AP$12:$AP$263,0)), "-"),     TRUE, "0")</f>
        <v>0</v>
      </c>
      <c r="CW127" s="607">
        <f>IF(CV$9&gt;0, IF(OR(CV127="",CV127="-"), 0, CV127*$AT127), CU127*$AJ127)</f>
        <v>0</v>
      </c>
      <c r="CX127" s="589">
        <f>[1]COMMANDE!AY125</f>
        <v>0</v>
      </c>
      <c r="CY127" s="586" t="str">
        <f>_xlfn.IFS(AND($AI127=$AM127,$AI127&gt;0,$AM127&gt;0,CX127&gt;0), CX127,     AND(NOT($AI127=$AM127),$AI127&gt;0,$AM127&gt;0,CX127&gt;0), ($AM127*CX127)/$AI127,     AND($AI127=0,$AM127&gt;0,$AQ127&gt;0), IF(INDEX(CX$12:CX$263,MATCH($AQ127,$AP$12:$AP$263,0))&gt;0,($AM127*INDEX(CX$12:CX$263,MATCH($AQ127,$AP$12:$AP$263,0)))/INDEX($AI$12:$AI$263,MATCH($AQ127,$AP$12:$AP$263,0)), "-"),     TRUE, "0")</f>
        <v>0</v>
      </c>
      <c r="CZ127" s="588">
        <f>IF(CY$9&gt;0, IF(OR(CY127="",CY127="-"), 0, CY127*$AT127), CX127*$AJ127)</f>
        <v>0</v>
      </c>
      <c r="DA127" s="587">
        <f>[1]COMMANDE!BA125</f>
        <v>0</v>
      </c>
      <c r="DB127" s="586" t="str">
        <f>_xlfn.IFS(AND($AI127=$AM127,$AI127&gt;0,$AM127&gt;0,DA127&gt;0), DA127,     AND(NOT($AI127=$AM127),$AI127&gt;0,$AM127&gt;0,DA127&gt;0), ($AM127*DA127)/$AI127,     AND($AI127=0,$AM127&gt;0,$AQ127&gt;0), IF(INDEX(DA$12:DA$263,MATCH($AQ127,$AP$12:$AP$263,0))&gt;0,($AM127*INDEX(DA$12:DA$263,MATCH($AQ127,$AP$12:$AP$263,0)))/INDEX($AI$12:$AI$263,MATCH($AQ127,$AP$12:$AP$263,0)), "-"),     TRUE, "0")</f>
        <v>0</v>
      </c>
      <c r="DC127" s="606">
        <f>IF(DB$9&gt;0, IF(OR(DB127="",DB127="-"), 0, DB127*$AT127), DA127*$AJ127)</f>
        <v>0</v>
      </c>
      <c r="DD127" s="584"/>
      <c r="DE127" s="583"/>
    </row>
    <row r="128" spans="1:128" ht="39.950000000000003" hidden="1" customHeight="1">
      <c r="A128" s="604">
        <f>IF(OR($AV128&gt;0, $AX128&gt;0), 1, 0)</f>
        <v>0</v>
      </c>
      <c r="B128" s="604">
        <f>IF(OR($AY128&gt;0, $BA128&gt;0), 1, 0)</f>
        <v>0</v>
      </c>
      <c r="C128" s="604">
        <f>IF(OR($BB128&gt;0, $BD128&gt;0), 1, 0)</f>
        <v>0</v>
      </c>
      <c r="D128" s="604">
        <f>IF(OR($BE128&gt;0, $BG128&gt;0), 1, 0)</f>
        <v>0</v>
      </c>
      <c r="E128" s="604">
        <f>IF(OR($BH128&gt;0, $BJ128&gt;0), 1, 0)</f>
        <v>0</v>
      </c>
      <c r="F128" s="604">
        <f>IF(OR($BK128&gt;0, $BM128&gt;0), 1, 0)</f>
        <v>0</v>
      </c>
      <c r="G128" s="604">
        <f>IF(OR($BN128&gt;0, $BP128&gt;0), 1, 0)</f>
        <v>0</v>
      </c>
      <c r="H128" s="604">
        <f>IF(OR($BQ128&gt;0, $BS128&gt;0), 1, 0)</f>
        <v>0</v>
      </c>
      <c r="I128" s="604">
        <f>IF(OR($BT128&gt;0, $BV128&gt;0), 1, 0)</f>
        <v>0</v>
      </c>
      <c r="J128" s="604">
        <f>IF(OR($BW128&gt;0, $BY128&gt;0), 1, 0)</f>
        <v>0</v>
      </c>
      <c r="K128" s="604">
        <f>IF(OR($BZ128&gt;0, $CB128&gt;0), 1, 0)</f>
        <v>0</v>
      </c>
      <c r="L128" s="604">
        <f>IF(OR($CC128&gt;0, $CE128&gt;0), 1, 0)</f>
        <v>0</v>
      </c>
      <c r="M128" s="604">
        <f>IF(OR($CF128&gt;0, $CH128&gt;0), 1, 0)</f>
        <v>0</v>
      </c>
      <c r="N128" s="604">
        <f>IF(OR($CI128&gt;0, $CK128&gt;0), 1, 0)</f>
        <v>0</v>
      </c>
      <c r="O128" s="604">
        <f>IF(OR($CL128&gt;0, $CN128&gt;0), 1, 0)</f>
        <v>0</v>
      </c>
      <c r="P128" s="604">
        <f>IF(OR($CO128&gt;0, $CQ128&gt;0), 1, 0)</f>
        <v>0</v>
      </c>
      <c r="Q128" s="604">
        <f>IF(OR($CR128&gt;0, $CT128&gt;0), 1, 0)</f>
        <v>0</v>
      </c>
      <c r="R128" s="604">
        <f>IF(OR($CU128&gt;0, $CW128&gt;0), 1, 0)</f>
        <v>0</v>
      </c>
      <c r="S128" s="604">
        <f>IF(OR($CX128&gt;0, $CZ128&gt;0), 1, 0)</f>
        <v>0</v>
      </c>
      <c r="T128" s="604">
        <f>IF(OR($DA128&gt;0, $DC128&gt;0), 1, 0)</f>
        <v>0</v>
      </c>
      <c r="U128" s="603">
        <f>IF(OR($AI128&gt;0,$AM128&gt;0,$AS128&gt;0), 1, 0)</f>
        <v>0</v>
      </c>
      <c r="V128" s="602">
        <f>[1]BDD!A118</f>
        <v>1121</v>
      </c>
      <c r="W128" s="601" t="str">
        <f>[1]BDD!B118</f>
        <v>Grenade BIO (grande et rosée)</v>
      </c>
      <c r="X128" s="600" t="str">
        <f>IF([1]BDD!F118=0, "", [1]BDD!F118)</f>
        <v/>
      </c>
      <c r="Y128" s="542">
        <f>ROUND([1]BDD!G118+FDP_CMD_KG, 2)</f>
        <v>3.58</v>
      </c>
      <c r="Z128" s="542">
        <f>ROUND([1]BDD!G118+FDP_FACT_KG, 2)</f>
        <v>3.58</v>
      </c>
      <c r="AA128" s="543" t="str">
        <f>[1]BDD!H118</f>
        <v>kg</v>
      </c>
      <c r="AB128" s="544">
        <f>IF(NOT(ISBLANK([1]BDD!I118)), ROUND(SUM(([1]BDD!G118*reduc1),FDP_CMD_KG), 2), "")</f>
        <v>3.31</v>
      </c>
      <c r="AC128" s="544">
        <f>IF(NOT(ISBLANK([1]BDD!J118)), ROUND(SUM(([1]BDD!G118*reduc2),FDP_CMD_KG), 2), "")</f>
        <v>3.04</v>
      </c>
      <c r="AD128" s="544">
        <f>IF(NOT(ISBLANK([1]BDD!K118)), ROUND(SUM(([1]BDD!G118*reduc3),FDP_CMD_KG), 2), "")</f>
        <v>2.77</v>
      </c>
      <c r="AE128" s="544">
        <f>IF(NOT(ISBLANK([1]BDD!I118)), ROUND(SUM(([1]BDD!G118*reduc1),FDP_FACT_KG), 2), "")</f>
        <v>3.31</v>
      </c>
      <c r="AF128" s="544">
        <f>IF(NOT(ISBLANK([1]BDD!J118)), ROUND(SUM(([1]BDD!G118*reduc2),FDP_FACT_KG), 2), "")</f>
        <v>3.03</v>
      </c>
      <c r="AG128" s="544">
        <f>IF(NOT(ISBLANK([1]BDD!K118)), ROUND(SUM(([1]BDD!G118*reduc3),FDP_FACT_KG), 2), "")</f>
        <v>2.76</v>
      </c>
      <c r="AH128" s="599" t="str">
        <f>[1]BDD!C118</f>
        <v>Grenade</v>
      </c>
      <c r="AI128" s="598">
        <f>SUM(AV128,AY128,BB128,BE128,BH128,BK128,BN128,BQ128,BT128,BW128,BZ128,CC128,CF128,CI128,CL128,CO128,CR128,CU128,CX128,DA128)</f>
        <v>0</v>
      </c>
      <c r="AJ128" s="545">
        <f>_xlfn.IFS($AD128&lt;&gt;"", $AD128,    $AC128&lt;&gt;"", $AC128,    $AB128&lt;&gt;"", $AB128,    TRUE, $Y128)</f>
        <v>2.77</v>
      </c>
      <c r="AK128" s="592">
        <f>$AI128*$AJ128</f>
        <v>0</v>
      </c>
      <c r="AL128" s="594"/>
      <c r="AM128" s="597"/>
      <c r="AN128" s="545">
        <f>_xlfn.IFS(AND(AM128&gt;=60,$AG128&lt;&gt;""), $AG128,    AND(AM128&gt;=30,$AF128&lt;&gt;""), $AF128,    AND(AM128&gt;=10,$AE128&lt;&gt;""), $AE128,    TRUE, $Z128)</f>
        <v>3.58</v>
      </c>
      <c r="AO128" s="596">
        <f>AM128*AN128</f>
        <v>0</v>
      </c>
      <c r="AP128" s="595"/>
      <c r="AQ128" s="595"/>
      <c r="AR128" s="594"/>
      <c r="AS128" s="593">
        <f>SUM(AW128,AZ128,BC128,BF128,BI128,BL128,BO128,BR128,BU128,BX128,CA128,CD128,CG128,CJ128,CM128,CP128,CS128,CV128,CY128,DB128)</f>
        <v>0</v>
      </c>
      <c r="AT128" s="545">
        <f>_xlfn.IFS(AND(AS128&gt;=60,$AG128&lt;&gt;""), $AG128,    AND(AS128&gt;=30,$AF128&lt;&gt;""), $AF128,    AND(AS128&gt;=10,$AE128&lt;&gt;""), $AE128,    TRUE, $Z128)</f>
        <v>3.58</v>
      </c>
      <c r="AU128" s="592">
        <f>$AS128*$AT128</f>
        <v>0</v>
      </c>
      <c r="AV128" s="591">
        <f>[1]COMMANDE!O126</f>
        <v>0</v>
      </c>
      <c r="AW128" s="586" t="str">
        <f>_xlfn.IFS(AND($AI128=$AM128,$AI128&gt;0,$AM128&gt;0,AV128&gt;0), AV128,     AND(NOT($AI128=$AM128),$AI128&gt;0,$AM128&gt;0,AV128&gt;0), ($AM128*AV128)/$AI128,     AND($AI128=0,$AM128&gt;0,$AQ128&gt;0), IF(INDEX(AV$12:AV$263,MATCH($AQ128,$AP$12:$AP$263,0))&gt;0,($AM128*INDEX(AV$12:AV$263,MATCH($AQ128,$AP$12:$AP$263,0)))/INDEX($AI$12:$AI$263,MATCH($AQ128,$AP$12:$AP$263,0)), "-"),     TRUE, "0")</f>
        <v>0</v>
      </c>
      <c r="AX128" s="588">
        <f>IF(AW$9&gt;0, IF(OR(AW128="",AW128="-"), 0, AW128*$AT128), AV128*$AJ128)</f>
        <v>0</v>
      </c>
      <c r="AY128" s="587">
        <f>[1]COMMANDE!Q126</f>
        <v>0</v>
      </c>
      <c r="AZ128" s="586" t="str">
        <f>_xlfn.IFS(AND($AI128=$AM128,$AI128&gt;0,$AM128&gt;0,AY128&gt;0), AY128,     AND(NOT($AI128=$AM128),$AI128&gt;0,$AM128&gt;0,AY128&gt;0), ($AM128*AY128)/$AI128,     AND($AI128=0,$AM128&gt;0,$AQ128&gt;0), IF(INDEX(AY$12:AY$263,MATCH($AQ128,$AP$12:$AP$263,0))&gt;0,($AM128*INDEX(AY$12:AY$263,MATCH($AQ128,$AP$12:$AP$263,0)))/INDEX($AI$12:$AI$263,MATCH($AQ128,$AP$12:$AP$263,0)), "-"),     TRUE, "0")</f>
        <v>0</v>
      </c>
      <c r="BA128" s="607">
        <f>IF(AZ$9&gt;0, IF(OR(AZ128="",AZ128="-"), 0, AZ128*$AT128), AY128*$AJ128)</f>
        <v>0</v>
      </c>
      <c r="BB128" s="589">
        <f>[1]COMMANDE!S126</f>
        <v>0</v>
      </c>
      <c r="BC128" s="586" t="str">
        <f>_xlfn.IFS(AND($AI128=$AM128,$AI128&gt;0,$AM128&gt;0,BB128&gt;0), BB128,     AND(NOT($AI128=$AM128),$AI128&gt;0,$AM128&gt;0,BB128&gt;0), ($AM128*BB128)/$AI128,     AND($AI128=0,$AM128&gt;0,$AQ128&gt;0), IF(INDEX(BB$12:BB$263,MATCH($AQ128,$AP$12:$AP$263,0))&gt;0,($AM128*INDEX(BB$12:BB$263,MATCH($AQ128,$AP$12:$AP$263,0)))/INDEX($AI$12:$AI$263,MATCH($AQ128,$AP$12:$AP$263,0)), "-"),     TRUE, "0")</f>
        <v>0</v>
      </c>
      <c r="BD128" s="588">
        <f>IF(BC$9&gt;0, IF(OR(BC128="",BC128="-"), 0, BC128*$AT128), BB128*$AJ128)</f>
        <v>0</v>
      </c>
      <c r="BE128" s="587">
        <f>[1]COMMANDE!U126</f>
        <v>0</v>
      </c>
      <c r="BF128" s="586" t="str">
        <f>_xlfn.IFS(AND($AI128=$AM128,$AI128&gt;0,$AM128&gt;0,BE128&gt;0), BE128,     AND(NOT($AI128=$AM128),$AI128&gt;0,$AM128&gt;0,BE128&gt;0), ($AM128*BE128)/$AI128,     AND($AI128=0,$AM128&gt;0,$AQ128&gt;0), IF(INDEX(BE$12:BE$263,MATCH($AQ128,$AP$12:$AP$263,0))&gt;0,($AM128*INDEX(BE$12:BE$263,MATCH($AQ128,$AP$12:$AP$263,0)))/INDEX($AI$12:$AI$263,MATCH($AQ128,$AP$12:$AP$263,0)), "-"),     TRUE, "0")</f>
        <v>0</v>
      </c>
      <c r="BG128" s="607">
        <f>IF(BF$9&gt;0, IF(OR(BF128="",BF128="-"), 0, BF128*$AT128), BE128*$AJ128)</f>
        <v>0</v>
      </c>
      <c r="BH128" s="589">
        <f>[1]COMMANDE!W126</f>
        <v>0</v>
      </c>
      <c r="BI128" s="586" t="str">
        <f>_xlfn.IFS(AND($AI128=$AM128,$AI128&gt;0,$AM128&gt;0,BH128&gt;0), BH128,     AND(NOT($AI128=$AM128),$AI128&gt;0,$AM128&gt;0,BH128&gt;0), ($AM128*BH128)/$AI128,     AND($AI128=0,$AM128&gt;0,$AQ128&gt;0), IF(INDEX(BH$12:BH$263,MATCH($AQ128,$AP$12:$AP$263,0))&gt;0,($AM128*INDEX(BH$12:BH$263,MATCH($AQ128,$AP$12:$AP$263,0)))/INDEX($AI$12:$AI$263,MATCH($AQ128,$AP$12:$AP$263,0)), "-"),     TRUE, "0")</f>
        <v>0</v>
      </c>
      <c r="BJ128" s="588">
        <f>IF(BI$9&gt;0, IF(OR(BI128="",BI128="-"), 0, BI128*$AT128), BH128*$AJ128)</f>
        <v>0</v>
      </c>
      <c r="BK128" s="587">
        <f>[1]COMMANDE!Y126</f>
        <v>0</v>
      </c>
      <c r="BL128" s="586" t="str">
        <f>_xlfn.IFS(AND($AI128=$AM128,$AI128&gt;0,$AM128&gt;0,BK128&gt;0), BK128,     AND(NOT($AI128=$AM128),$AI128&gt;0,$AM128&gt;0,BK128&gt;0), ($AM128*BK128)/$AI128,     AND($AI128=0,$AM128&gt;0,$AQ128&gt;0), IF(INDEX(BK$12:BK$263,MATCH($AQ128,$AP$12:$AP$263,0))&gt;0,($AM128*INDEX(BK$12:BK$263,MATCH($AQ128,$AP$12:$AP$263,0)))/INDEX($AI$12:$AI$263,MATCH($AQ128,$AP$12:$AP$263,0)), "-"),     TRUE, "0")</f>
        <v>0</v>
      </c>
      <c r="BM128" s="607">
        <f>IF(BL$9&gt;0, IF(OR(BL128="",BL128="-"), 0, BL128*$AT128), BK128*$AJ128)</f>
        <v>0</v>
      </c>
      <c r="BN128" s="589">
        <f>[1]COMMANDE!AA126</f>
        <v>0</v>
      </c>
      <c r="BO128" s="586" t="str">
        <f>_xlfn.IFS(AND($AI128=$AM128,$AI128&gt;0,$AM128&gt;0,BN128&gt;0), BN128,     AND(NOT($AI128=$AM128),$AI128&gt;0,$AM128&gt;0,BN128&gt;0), ($AM128*BN128)/$AI128,     AND($AI128=0,$AM128&gt;0,$AQ128&gt;0), IF(INDEX(BN$12:BN$263,MATCH($AQ128,$AP$12:$AP$263,0))&gt;0,($AM128*INDEX(BN$12:BN$263,MATCH($AQ128,$AP$12:$AP$263,0)))/INDEX($AI$12:$AI$263,MATCH($AQ128,$AP$12:$AP$263,0)), "-"),     TRUE, "0")</f>
        <v>0</v>
      </c>
      <c r="BP128" s="588">
        <f>IF(BO$9&gt;0, IF(OR(BO128="",BO128="-"), 0, BO128*$AT128), BN128*$AJ128)</f>
        <v>0</v>
      </c>
      <c r="BQ128" s="587">
        <f>[1]COMMANDE!AC126</f>
        <v>0</v>
      </c>
      <c r="BR128" s="586" t="str">
        <f>_xlfn.IFS(AND($AI128=$AM128,$AI128&gt;0,$AM128&gt;0,BQ128&gt;0), BQ128,     AND(NOT($AI128=$AM128),$AI128&gt;0,$AM128&gt;0,BQ128&gt;0), ($AM128*BQ128)/$AI128,     AND($AI128=0,$AM128&gt;0,$AQ128&gt;0), IF(INDEX(BQ$12:BQ$263,MATCH($AQ128,$AP$12:$AP$263,0))&gt;0,($AM128*INDEX(BQ$12:BQ$263,MATCH($AQ128,$AP$12:$AP$263,0)))/INDEX($AI$12:$AI$263,MATCH($AQ128,$AP$12:$AP$263,0)), "-"),     TRUE, "0")</f>
        <v>0</v>
      </c>
      <c r="BS128" s="607">
        <f>IF(BR$9&gt;0, IF(OR(BR128="",BR128="-"), 0, BR128*$AT128), BQ128*$AJ128)</f>
        <v>0</v>
      </c>
      <c r="BT128" s="589">
        <f>[1]COMMANDE!AE126</f>
        <v>0</v>
      </c>
      <c r="BU128" s="586" t="str">
        <f>_xlfn.IFS(AND($AI128=$AM128,$AI128&gt;0,$AM128&gt;0,BT128&gt;0), BT128,     AND(NOT($AI128=$AM128),$AI128&gt;0,$AM128&gt;0,BT128&gt;0), ($AM128*BT128)/$AI128,     AND($AI128=0,$AM128&gt;0,$AQ128&gt;0), IF(INDEX(BT$12:BT$263,MATCH($AQ128,$AP$12:$AP$263,0))&gt;0,($AM128*INDEX(BT$12:BT$263,MATCH($AQ128,$AP$12:$AP$263,0)))/INDEX($AI$12:$AI$263,MATCH($AQ128,$AP$12:$AP$263,0)), "-"),     TRUE, "0")</f>
        <v>0</v>
      </c>
      <c r="BV128" s="588">
        <f>IF(BU$9&gt;0, IF(OR(BU128="",BU128="-"), 0, BU128*$AT128), BT128*$AJ128)</f>
        <v>0</v>
      </c>
      <c r="BW128" s="587">
        <f>[1]COMMANDE!AG126</f>
        <v>0</v>
      </c>
      <c r="BX128" s="586" t="str">
        <f>_xlfn.IFS(AND($AI128=$AM128,$AI128&gt;0,$AM128&gt;0,BW128&gt;0), BW128,     AND(NOT($AI128=$AM128),$AI128&gt;0,$AM128&gt;0,BW128&gt;0), ($AM128*BW128)/$AI128,     AND($AI128=0,$AM128&gt;0,$AQ128&gt;0), IF(INDEX(BW$12:BW$263,MATCH($AQ128,$AP$12:$AP$263,0))&gt;0,($AM128*INDEX(BW$12:BW$263,MATCH($AQ128,$AP$12:$AP$263,0)))/INDEX($AI$12:$AI$263,MATCH($AQ128,$AP$12:$AP$263,0)), "-"),     TRUE, "0")</f>
        <v>0</v>
      </c>
      <c r="BY128" s="607">
        <f>IF(BX$9&gt;0, IF(OR(BX128="",BX128="-"), 0, BX128*$AT128), BW128*$AJ128)</f>
        <v>0</v>
      </c>
      <c r="BZ128" s="589">
        <f>[1]COMMANDE!AI126</f>
        <v>0</v>
      </c>
      <c r="CA128" s="586" t="str">
        <f>_xlfn.IFS(AND($AI128=$AM128,$AI128&gt;0,$AM128&gt;0,BZ128&gt;0), BZ128,     AND(NOT($AI128=$AM128),$AI128&gt;0,$AM128&gt;0,BZ128&gt;0), ($AM128*BZ128)/$AI128,     AND($AI128=0,$AM128&gt;0,$AQ128&gt;0), IF(INDEX(BZ$12:BZ$263,MATCH($AQ128,$AP$12:$AP$263,0))&gt;0,($AM128*INDEX(BZ$12:BZ$263,MATCH($AQ128,$AP$12:$AP$263,0)))/INDEX($AI$12:$AI$263,MATCH($AQ128,$AP$12:$AP$263,0)), "-"),     TRUE, "0")</f>
        <v>0</v>
      </c>
      <c r="CB128" s="588">
        <f>IF(CA$9&gt;0, IF(OR(CA128="",CA128="-"), 0, CA128*$AT128), BZ128*$AJ128)</f>
        <v>0</v>
      </c>
      <c r="CC128" s="587">
        <f>[1]COMMANDE!AK126</f>
        <v>0</v>
      </c>
      <c r="CD128" s="586" t="str">
        <f>_xlfn.IFS(AND($AI128=$AM128,$AI128&gt;0,$AM128&gt;0,CC128&gt;0), CC128,     AND(NOT($AI128=$AM128),$AI128&gt;0,$AM128&gt;0,CC128&gt;0), ($AM128*CC128)/$AI128,     AND($AI128=0,$AM128&gt;0,$AQ128&gt;0), IF(INDEX(CC$12:CC$263,MATCH($AQ128,$AP$12:$AP$263,0))&gt;0,($AM128*INDEX(CC$12:CC$263,MATCH($AQ128,$AP$12:$AP$263,0)))/INDEX($AI$12:$AI$263,MATCH($AQ128,$AP$12:$AP$263,0)), "-"),     TRUE, "0")</f>
        <v>0</v>
      </c>
      <c r="CE128" s="607">
        <f>IF(CD$9&gt;0, IF(OR(CD128="",CD128="-"), 0, CD128*$AT128), CC128*$AJ128)</f>
        <v>0</v>
      </c>
      <c r="CF128" s="589">
        <f>[1]COMMANDE!AM126</f>
        <v>0</v>
      </c>
      <c r="CG128" s="586" t="str">
        <f>_xlfn.IFS(AND($AI128=$AM128,$AI128&gt;0,$AM128&gt;0,CF128&gt;0), CF128,     AND(NOT($AI128=$AM128),$AI128&gt;0,$AM128&gt;0,CF128&gt;0), ($AM128*CF128)/$AI128,     AND($AI128=0,$AM128&gt;0,$AQ128&gt;0), IF(INDEX(CF$12:CF$263,MATCH($AQ128,$AP$12:$AP$263,0))&gt;0,($AM128*INDEX(CF$12:CF$263,MATCH($AQ128,$AP$12:$AP$263,0)))/INDEX($AI$12:$AI$263,MATCH($AQ128,$AP$12:$AP$263,0)), "-"),     TRUE, "0")</f>
        <v>0</v>
      </c>
      <c r="CH128" s="588">
        <f>IF(CG$9&gt;0, IF(OR(CG128="",CG128="-"), 0, CG128*$AT128), CF128*$AJ128)</f>
        <v>0</v>
      </c>
      <c r="CI128" s="587">
        <f>[1]COMMANDE!AO126</f>
        <v>0</v>
      </c>
      <c r="CJ128" s="586" t="str">
        <f>_xlfn.IFS(AND($AI128=$AM128,$AI128&gt;0,$AM128&gt;0,CI128&gt;0), CI128,     AND(NOT($AI128=$AM128),$AI128&gt;0,$AM128&gt;0,CI128&gt;0), ($AM128*CI128)/$AI128,     AND($AI128=0,$AM128&gt;0,$AQ128&gt;0), IF(INDEX(CI$12:CI$263,MATCH($AQ128,$AP$12:$AP$263,0))&gt;0,($AM128*INDEX(CI$12:CI$263,MATCH($AQ128,$AP$12:$AP$263,0)))/INDEX($AI$12:$AI$263,MATCH($AQ128,$AP$12:$AP$263,0)), "-"),     TRUE, "0")</f>
        <v>0</v>
      </c>
      <c r="CK128" s="607">
        <f>IF(CJ$9&gt;0, IF(OR(CJ128="",CJ128="-"), 0, CJ128*$AT128), CI128*$AJ128)</f>
        <v>0</v>
      </c>
      <c r="CL128" s="589">
        <f>[1]COMMANDE!AQ126</f>
        <v>0</v>
      </c>
      <c r="CM128" s="586" t="str">
        <f>_xlfn.IFS(AND($AI128=$AM128,$AI128&gt;0,$AM128&gt;0,CL128&gt;0), CL128,     AND(NOT($AI128=$AM128),$AI128&gt;0,$AM128&gt;0,CL128&gt;0), ($AM128*CL128)/$AI128,     AND($AI128=0,$AM128&gt;0,$AQ128&gt;0), IF(INDEX(CL$12:CL$263,MATCH($AQ128,$AP$12:$AP$263,0))&gt;0,($AM128*INDEX(CL$12:CL$263,MATCH($AQ128,$AP$12:$AP$263,0)))/INDEX($AI$12:$AI$263,MATCH($AQ128,$AP$12:$AP$263,0)), "-"),     TRUE, "0")</f>
        <v>0</v>
      </c>
      <c r="CN128" s="588">
        <f>IF(CM$9&gt;0, IF(OR(CM128="",CM128="-"), 0, CM128*$AT128), CL128*$AJ128)</f>
        <v>0</v>
      </c>
      <c r="CO128" s="587">
        <f>[1]COMMANDE!AS126</f>
        <v>0</v>
      </c>
      <c r="CP128" s="586" t="str">
        <f>_xlfn.IFS(AND($AI128=$AM128,$AI128&gt;0,$AM128&gt;0,CO128&gt;0), CO128,     AND(NOT($AI128=$AM128),$AI128&gt;0,$AM128&gt;0,CO128&gt;0), ($AM128*CO128)/$AI128,     AND($AI128=0,$AM128&gt;0,$AQ128&gt;0), IF(INDEX(CO$12:CO$263,MATCH($AQ128,$AP$12:$AP$263,0))&gt;0,($AM128*INDEX(CO$12:CO$263,MATCH($AQ128,$AP$12:$AP$263,0)))/INDEX($AI$12:$AI$263,MATCH($AQ128,$AP$12:$AP$263,0)), "-"),     TRUE, "0")</f>
        <v>0</v>
      </c>
      <c r="CQ128" s="607">
        <f>IF(CP$9&gt;0, IF(OR(CP128="",CP128="-"), 0, CP128*$AT128), CO128*$AJ128)</f>
        <v>0</v>
      </c>
      <c r="CR128" s="589">
        <f>[1]COMMANDE!AU126</f>
        <v>0</v>
      </c>
      <c r="CS128" s="586" t="str">
        <f>_xlfn.IFS(AND($AI128=$AM128,$AI128&gt;0,$AM128&gt;0,CR128&gt;0), CR128,     AND(NOT($AI128=$AM128),$AI128&gt;0,$AM128&gt;0,CR128&gt;0), ($AM128*CR128)/$AI128,     AND($AI128=0,$AM128&gt;0,$AQ128&gt;0), IF(INDEX(CR$12:CR$263,MATCH($AQ128,$AP$12:$AP$263,0))&gt;0,($AM128*INDEX(CR$12:CR$263,MATCH($AQ128,$AP$12:$AP$263,0)))/INDEX($AI$12:$AI$263,MATCH($AQ128,$AP$12:$AP$263,0)), "-"),     TRUE, "0")</f>
        <v>0</v>
      </c>
      <c r="CT128" s="588">
        <f>IF(CS$9&gt;0, IF(OR(CS128="",CS128="-"), 0, CS128*$AT128), CR128*$AJ128)</f>
        <v>0</v>
      </c>
      <c r="CU128" s="587">
        <f>[1]COMMANDE!AW126</f>
        <v>0</v>
      </c>
      <c r="CV128" s="586" t="str">
        <f>_xlfn.IFS(AND($AI128=$AM128,$AI128&gt;0,$AM128&gt;0,CU128&gt;0), CU128,     AND(NOT($AI128=$AM128),$AI128&gt;0,$AM128&gt;0,CU128&gt;0), ($AM128*CU128)/$AI128,     AND($AI128=0,$AM128&gt;0,$AQ128&gt;0), IF(INDEX(CU$12:CU$263,MATCH($AQ128,$AP$12:$AP$263,0))&gt;0,($AM128*INDEX(CU$12:CU$263,MATCH($AQ128,$AP$12:$AP$263,0)))/INDEX($AI$12:$AI$263,MATCH($AQ128,$AP$12:$AP$263,0)), "-"),     TRUE, "0")</f>
        <v>0</v>
      </c>
      <c r="CW128" s="607">
        <f>IF(CV$9&gt;0, IF(OR(CV128="",CV128="-"), 0, CV128*$AT128), CU128*$AJ128)</f>
        <v>0</v>
      </c>
      <c r="CX128" s="589">
        <f>[1]COMMANDE!AY126</f>
        <v>0</v>
      </c>
      <c r="CY128" s="586" t="str">
        <f>_xlfn.IFS(AND($AI128=$AM128,$AI128&gt;0,$AM128&gt;0,CX128&gt;0), CX128,     AND(NOT($AI128=$AM128),$AI128&gt;0,$AM128&gt;0,CX128&gt;0), ($AM128*CX128)/$AI128,     AND($AI128=0,$AM128&gt;0,$AQ128&gt;0), IF(INDEX(CX$12:CX$263,MATCH($AQ128,$AP$12:$AP$263,0))&gt;0,($AM128*INDEX(CX$12:CX$263,MATCH($AQ128,$AP$12:$AP$263,0)))/INDEX($AI$12:$AI$263,MATCH($AQ128,$AP$12:$AP$263,0)), "-"),     TRUE, "0")</f>
        <v>0</v>
      </c>
      <c r="CZ128" s="588">
        <f>IF(CY$9&gt;0, IF(OR(CY128="",CY128="-"), 0, CY128*$AT128), CX128*$AJ128)</f>
        <v>0</v>
      </c>
      <c r="DA128" s="587">
        <f>[1]COMMANDE!BA126</f>
        <v>0</v>
      </c>
      <c r="DB128" s="586" t="str">
        <f>_xlfn.IFS(AND($AI128=$AM128,$AI128&gt;0,$AM128&gt;0,DA128&gt;0), DA128,     AND(NOT($AI128=$AM128),$AI128&gt;0,$AM128&gt;0,DA128&gt;0), ($AM128*DA128)/$AI128,     AND($AI128=0,$AM128&gt;0,$AQ128&gt;0), IF(INDEX(DA$12:DA$263,MATCH($AQ128,$AP$12:$AP$263,0))&gt;0,($AM128*INDEX(DA$12:DA$263,MATCH($AQ128,$AP$12:$AP$263,0)))/INDEX($AI$12:$AI$263,MATCH($AQ128,$AP$12:$AP$263,0)), "-"),     TRUE, "0")</f>
        <v>0</v>
      </c>
      <c r="DC128" s="606">
        <f>IF(DB$9&gt;0, IF(OR(DB128="",DB128="-"), 0, DB128*$AT128), DA128*$AJ128)</f>
        <v>0</v>
      </c>
      <c r="DD128" s="584"/>
      <c r="DE128" s="583"/>
    </row>
    <row r="129" spans="1:128" ht="39.950000000000003" hidden="1" customHeight="1">
      <c r="A129" s="604">
        <f>IF(OR($AV129&gt;0, $AX129&gt;0), 1, 0)</f>
        <v>0</v>
      </c>
      <c r="B129" s="604">
        <f>IF(OR($AY129&gt;0, $BA129&gt;0), 1, 0)</f>
        <v>0</v>
      </c>
      <c r="C129" s="604">
        <f>IF(OR($BB129&gt;0, $BD129&gt;0), 1, 0)</f>
        <v>0</v>
      </c>
      <c r="D129" s="604">
        <f>IF(OR($BE129&gt;0, $BG129&gt;0), 1, 0)</f>
        <v>0</v>
      </c>
      <c r="E129" s="604">
        <f>IF(OR($BH129&gt;0, $BJ129&gt;0), 1, 0)</f>
        <v>0</v>
      </c>
      <c r="F129" s="604">
        <f>IF(OR($BK129&gt;0, $BM129&gt;0), 1, 0)</f>
        <v>0</v>
      </c>
      <c r="G129" s="604">
        <f>IF(OR($BN129&gt;0, $BP129&gt;0), 1, 0)</f>
        <v>0</v>
      </c>
      <c r="H129" s="604">
        <f>IF(OR($BQ129&gt;0, $BS129&gt;0), 1, 0)</f>
        <v>0</v>
      </c>
      <c r="I129" s="604">
        <f>IF(OR($BT129&gt;0, $BV129&gt;0), 1, 0)</f>
        <v>0</v>
      </c>
      <c r="J129" s="604">
        <f>IF(OR($BW129&gt;0, $BY129&gt;0), 1, 0)</f>
        <v>0</v>
      </c>
      <c r="K129" s="604">
        <f>IF(OR($BZ129&gt;0, $CB129&gt;0), 1, 0)</f>
        <v>0</v>
      </c>
      <c r="L129" s="604">
        <f>IF(OR($CC129&gt;0, $CE129&gt;0), 1, 0)</f>
        <v>0</v>
      </c>
      <c r="M129" s="604">
        <f>IF(OR($CF129&gt;0, $CH129&gt;0), 1, 0)</f>
        <v>0</v>
      </c>
      <c r="N129" s="604">
        <f>IF(OR($CI129&gt;0, $CK129&gt;0), 1, 0)</f>
        <v>0</v>
      </c>
      <c r="O129" s="604">
        <f>IF(OR($CL129&gt;0, $CN129&gt;0), 1, 0)</f>
        <v>0</v>
      </c>
      <c r="P129" s="604">
        <f>IF(OR($CO129&gt;0, $CQ129&gt;0), 1, 0)</f>
        <v>0</v>
      </c>
      <c r="Q129" s="604">
        <f>IF(OR($CR129&gt;0, $CT129&gt;0), 1, 0)</f>
        <v>0</v>
      </c>
      <c r="R129" s="604">
        <f>IF(OR($CU129&gt;0, $CW129&gt;0), 1, 0)</f>
        <v>0</v>
      </c>
      <c r="S129" s="604">
        <f>IF(OR($CX129&gt;0, $CZ129&gt;0), 1, 0)</f>
        <v>0</v>
      </c>
      <c r="T129" s="604">
        <f>IF(OR($DA129&gt;0, $DC129&gt;0), 1, 0)</f>
        <v>0</v>
      </c>
      <c r="U129" s="603">
        <f>IF(OR($AI129&gt;0,$AM129&gt;0,$AS129&gt;0), 1, 0)</f>
        <v>0</v>
      </c>
      <c r="V129" s="602">
        <f>[1]BDD!A119</f>
        <v>6120</v>
      </c>
      <c r="W129" s="601" t="str">
        <f>[1]BDD!B119</f>
        <v xml:space="preserve">Grenade Purple Queen BIO </v>
      </c>
      <c r="X129" s="600" t="str">
        <f>IF([1]BDD!F119=0, "", [1]BDD!F119)</f>
        <v/>
      </c>
      <c r="Y129" s="542">
        <f>ROUND([1]BDD!G119+FDP_CMD_KG, 2)</f>
        <v>4.01</v>
      </c>
      <c r="Z129" s="542">
        <f>ROUND([1]BDD!G119+FDP_FACT_KG, 2)</f>
        <v>4.01</v>
      </c>
      <c r="AA129" s="543" t="str">
        <f>[1]BDD!H119</f>
        <v>kg</v>
      </c>
      <c r="AB129" s="544">
        <f>IF(NOT(ISBLANK([1]BDD!I119)), ROUND(SUM(([1]BDD!G119*reduc1),FDP_CMD_KG), 2), "")</f>
        <v>3.7</v>
      </c>
      <c r="AC129" s="544">
        <f>IF(NOT(ISBLANK([1]BDD!J119)), ROUND(SUM(([1]BDD!G119*reduc2),FDP_CMD_KG), 2), "")</f>
        <v>3.39</v>
      </c>
      <c r="AD129" s="544">
        <f>IF(NOT(ISBLANK([1]BDD!K119)), ROUND(SUM(([1]BDD!G119*reduc3),FDP_CMD_KG), 2), "")</f>
        <v>3.07</v>
      </c>
      <c r="AE129" s="544">
        <f>IF(NOT(ISBLANK([1]BDD!I119)), ROUND(SUM(([1]BDD!G119*reduc1),FDP_FACT_KG), 2), "")</f>
        <v>3.69</v>
      </c>
      <c r="AF129" s="544">
        <f>IF(NOT(ISBLANK([1]BDD!J119)), ROUND(SUM(([1]BDD!G119*reduc2),FDP_FACT_KG), 2), "")</f>
        <v>3.38</v>
      </c>
      <c r="AG129" s="544">
        <f>IF(NOT(ISBLANK([1]BDD!K119)), ROUND(SUM(([1]BDD!G119*reduc3),FDP_FACT_KG), 2), "")</f>
        <v>3.06</v>
      </c>
      <c r="AH129" s="599" t="str">
        <f>[1]BDD!C119</f>
        <v>Malaga</v>
      </c>
      <c r="AI129" s="598">
        <f>SUM(AV129,AY129,BB129,BE129,BH129,BK129,BN129,BQ129,BT129,BW129,BZ129,CC129,CF129,CI129,CL129,CO129,CR129,CU129,CX129,DA129)</f>
        <v>0</v>
      </c>
      <c r="AJ129" s="545">
        <f>_xlfn.IFS($AD129&lt;&gt;"", $AD129,    $AC129&lt;&gt;"", $AC129,    $AB129&lt;&gt;"", $AB129,    TRUE, $Y129)</f>
        <v>3.07</v>
      </c>
      <c r="AK129" s="592">
        <f>$AI129*$AJ129</f>
        <v>0</v>
      </c>
      <c r="AL129" s="594"/>
      <c r="AM129" s="597"/>
      <c r="AN129" s="545">
        <f>_xlfn.IFS(AND(AM129&gt;=60,$AG129&lt;&gt;""), $AG129,    AND(AM129&gt;=30,$AF129&lt;&gt;""), $AF129,    AND(AM129&gt;=10,$AE129&lt;&gt;""), $AE129,    TRUE, $Z129)</f>
        <v>4.01</v>
      </c>
      <c r="AO129" s="596">
        <f>AM129*AN129</f>
        <v>0</v>
      </c>
      <c r="AP129" s="595"/>
      <c r="AQ129" s="595"/>
      <c r="AR129" s="594"/>
      <c r="AS129" s="593">
        <f>SUM(AW129,AZ129,BC129,BF129,BI129,BL129,BO129,BR129,BU129,BX129,CA129,CD129,CG129,CJ129,CM129,CP129,CS129,CV129,CY129,DB129)</f>
        <v>0</v>
      </c>
      <c r="AT129" s="545">
        <f>_xlfn.IFS(AND(AS129&gt;=60,$AG129&lt;&gt;""), $AG129,    AND(AS129&gt;=30,$AF129&lt;&gt;""), $AF129,    AND(AS129&gt;=10,$AE129&lt;&gt;""), $AE129,    TRUE, $Z129)</f>
        <v>4.01</v>
      </c>
      <c r="AU129" s="592">
        <f>$AS129*$AT129</f>
        <v>0</v>
      </c>
      <c r="AV129" s="591">
        <f>[1]COMMANDE!O127</f>
        <v>0</v>
      </c>
      <c r="AW129" s="586" t="str">
        <f>_xlfn.IFS(AND($AI129=$AM129,$AI129&gt;0,$AM129&gt;0,AV129&gt;0), AV129,     AND(NOT($AI129=$AM129),$AI129&gt;0,$AM129&gt;0,AV129&gt;0), ($AM129*AV129)/$AI129,     AND($AI129=0,$AM129&gt;0,$AQ129&gt;0), IF(INDEX(AV$12:AV$263,MATCH($AQ129,$AP$12:$AP$263,0))&gt;0,($AM129*INDEX(AV$12:AV$263,MATCH($AQ129,$AP$12:$AP$263,0)))/INDEX($AI$12:$AI$263,MATCH($AQ129,$AP$12:$AP$263,0)), "-"),     TRUE, "0")</f>
        <v>0</v>
      </c>
      <c r="AX129" s="588">
        <f>IF(AW$9&gt;0, IF(OR(AW129="",AW129="-"), 0, AW129*$AT129), AV129*$AJ129)</f>
        <v>0</v>
      </c>
      <c r="AY129" s="587">
        <f>[1]COMMANDE!Q127</f>
        <v>0</v>
      </c>
      <c r="AZ129" s="586" t="str">
        <f>_xlfn.IFS(AND($AI129=$AM129,$AI129&gt;0,$AM129&gt;0,AY129&gt;0), AY129,     AND(NOT($AI129=$AM129),$AI129&gt;0,$AM129&gt;0,AY129&gt;0), ($AM129*AY129)/$AI129,     AND($AI129=0,$AM129&gt;0,$AQ129&gt;0), IF(INDEX(AY$12:AY$263,MATCH($AQ129,$AP$12:$AP$263,0))&gt;0,($AM129*INDEX(AY$12:AY$263,MATCH($AQ129,$AP$12:$AP$263,0)))/INDEX($AI$12:$AI$263,MATCH($AQ129,$AP$12:$AP$263,0)), "-"),     TRUE, "0")</f>
        <v>0</v>
      </c>
      <c r="BA129" s="607">
        <f>IF(AZ$9&gt;0, IF(OR(AZ129="",AZ129="-"), 0, AZ129*$AT129), AY129*$AJ129)</f>
        <v>0</v>
      </c>
      <c r="BB129" s="589">
        <f>[1]COMMANDE!S127</f>
        <v>0</v>
      </c>
      <c r="BC129" s="586" t="str">
        <f>_xlfn.IFS(AND($AI129=$AM129,$AI129&gt;0,$AM129&gt;0,BB129&gt;0), BB129,     AND(NOT($AI129=$AM129),$AI129&gt;0,$AM129&gt;0,BB129&gt;0), ($AM129*BB129)/$AI129,     AND($AI129=0,$AM129&gt;0,$AQ129&gt;0), IF(INDEX(BB$12:BB$263,MATCH($AQ129,$AP$12:$AP$263,0))&gt;0,($AM129*INDEX(BB$12:BB$263,MATCH($AQ129,$AP$12:$AP$263,0)))/INDEX($AI$12:$AI$263,MATCH($AQ129,$AP$12:$AP$263,0)), "-"),     TRUE, "0")</f>
        <v>0</v>
      </c>
      <c r="BD129" s="588">
        <f>IF(BC$9&gt;0, IF(OR(BC129="",BC129="-"), 0, BC129*$AT129), BB129*$AJ129)</f>
        <v>0</v>
      </c>
      <c r="BE129" s="587">
        <f>[1]COMMANDE!U127</f>
        <v>0</v>
      </c>
      <c r="BF129" s="586" t="str">
        <f>_xlfn.IFS(AND($AI129=$AM129,$AI129&gt;0,$AM129&gt;0,BE129&gt;0), BE129,     AND(NOT($AI129=$AM129),$AI129&gt;0,$AM129&gt;0,BE129&gt;0), ($AM129*BE129)/$AI129,     AND($AI129=0,$AM129&gt;0,$AQ129&gt;0), IF(INDEX(BE$12:BE$263,MATCH($AQ129,$AP$12:$AP$263,0))&gt;0,($AM129*INDEX(BE$12:BE$263,MATCH($AQ129,$AP$12:$AP$263,0)))/INDEX($AI$12:$AI$263,MATCH($AQ129,$AP$12:$AP$263,0)), "-"),     TRUE, "0")</f>
        <v>0</v>
      </c>
      <c r="BG129" s="607">
        <f>IF(BF$9&gt;0, IF(OR(BF129="",BF129="-"), 0, BF129*$AT129), BE129*$AJ129)</f>
        <v>0</v>
      </c>
      <c r="BH129" s="589">
        <f>[1]COMMANDE!W127</f>
        <v>0</v>
      </c>
      <c r="BI129" s="586" t="str">
        <f>_xlfn.IFS(AND($AI129=$AM129,$AI129&gt;0,$AM129&gt;0,BH129&gt;0), BH129,     AND(NOT($AI129=$AM129),$AI129&gt;0,$AM129&gt;0,BH129&gt;0), ($AM129*BH129)/$AI129,     AND($AI129=0,$AM129&gt;0,$AQ129&gt;0), IF(INDEX(BH$12:BH$263,MATCH($AQ129,$AP$12:$AP$263,0))&gt;0,($AM129*INDEX(BH$12:BH$263,MATCH($AQ129,$AP$12:$AP$263,0)))/INDEX($AI$12:$AI$263,MATCH($AQ129,$AP$12:$AP$263,0)), "-"),     TRUE, "0")</f>
        <v>0</v>
      </c>
      <c r="BJ129" s="588">
        <f>IF(BI$9&gt;0, IF(OR(BI129="",BI129="-"), 0, BI129*$AT129), BH129*$AJ129)</f>
        <v>0</v>
      </c>
      <c r="BK129" s="587">
        <f>[1]COMMANDE!Y127</f>
        <v>0</v>
      </c>
      <c r="BL129" s="586" t="str">
        <f>_xlfn.IFS(AND($AI129=$AM129,$AI129&gt;0,$AM129&gt;0,BK129&gt;0), BK129,     AND(NOT($AI129=$AM129),$AI129&gt;0,$AM129&gt;0,BK129&gt;0), ($AM129*BK129)/$AI129,     AND($AI129=0,$AM129&gt;0,$AQ129&gt;0), IF(INDEX(BK$12:BK$263,MATCH($AQ129,$AP$12:$AP$263,0))&gt;0,($AM129*INDEX(BK$12:BK$263,MATCH($AQ129,$AP$12:$AP$263,0)))/INDEX($AI$12:$AI$263,MATCH($AQ129,$AP$12:$AP$263,0)), "-"),     TRUE, "0")</f>
        <v>0</v>
      </c>
      <c r="BM129" s="607">
        <f>IF(BL$9&gt;0, IF(OR(BL129="",BL129="-"), 0, BL129*$AT129), BK129*$AJ129)</f>
        <v>0</v>
      </c>
      <c r="BN129" s="589">
        <f>[1]COMMANDE!AA127</f>
        <v>0</v>
      </c>
      <c r="BO129" s="586" t="str">
        <f>_xlfn.IFS(AND($AI129=$AM129,$AI129&gt;0,$AM129&gt;0,BN129&gt;0), BN129,     AND(NOT($AI129=$AM129),$AI129&gt;0,$AM129&gt;0,BN129&gt;0), ($AM129*BN129)/$AI129,     AND($AI129=0,$AM129&gt;0,$AQ129&gt;0), IF(INDEX(BN$12:BN$263,MATCH($AQ129,$AP$12:$AP$263,0))&gt;0,($AM129*INDEX(BN$12:BN$263,MATCH($AQ129,$AP$12:$AP$263,0)))/INDEX($AI$12:$AI$263,MATCH($AQ129,$AP$12:$AP$263,0)), "-"),     TRUE, "0")</f>
        <v>0</v>
      </c>
      <c r="BP129" s="588">
        <f>IF(BO$9&gt;0, IF(OR(BO129="",BO129="-"), 0, BO129*$AT129), BN129*$AJ129)</f>
        <v>0</v>
      </c>
      <c r="BQ129" s="587">
        <f>[1]COMMANDE!AC127</f>
        <v>0</v>
      </c>
      <c r="BR129" s="586" t="str">
        <f>_xlfn.IFS(AND($AI129=$AM129,$AI129&gt;0,$AM129&gt;0,BQ129&gt;0), BQ129,     AND(NOT($AI129=$AM129),$AI129&gt;0,$AM129&gt;0,BQ129&gt;0), ($AM129*BQ129)/$AI129,     AND($AI129=0,$AM129&gt;0,$AQ129&gt;0), IF(INDEX(BQ$12:BQ$263,MATCH($AQ129,$AP$12:$AP$263,0))&gt;0,($AM129*INDEX(BQ$12:BQ$263,MATCH($AQ129,$AP$12:$AP$263,0)))/INDEX($AI$12:$AI$263,MATCH($AQ129,$AP$12:$AP$263,0)), "-"),     TRUE, "0")</f>
        <v>0</v>
      </c>
      <c r="BS129" s="607">
        <f>IF(BR$9&gt;0, IF(OR(BR129="",BR129="-"), 0, BR129*$AT129), BQ129*$AJ129)</f>
        <v>0</v>
      </c>
      <c r="BT129" s="589">
        <f>[1]COMMANDE!AE127</f>
        <v>0</v>
      </c>
      <c r="BU129" s="586" t="str">
        <f>_xlfn.IFS(AND($AI129=$AM129,$AI129&gt;0,$AM129&gt;0,BT129&gt;0), BT129,     AND(NOT($AI129=$AM129),$AI129&gt;0,$AM129&gt;0,BT129&gt;0), ($AM129*BT129)/$AI129,     AND($AI129=0,$AM129&gt;0,$AQ129&gt;0), IF(INDEX(BT$12:BT$263,MATCH($AQ129,$AP$12:$AP$263,0))&gt;0,($AM129*INDEX(BT$12:BT$263,MATCH($AQ129,$AP$12:$AP$263,0)))/INDEX($AI$12:$AI$263,MATCH($AQ129,$AP$12:$AP$263,0)), "-"),     TRUE, "0")</f>
        <v>0</v>
      </c>
      <c r="BV129" s="588">
        <f>IF(BU$9&gt;0, IF(OR(BU129="",BU129="-"), 0, BU129*$AT129), BT129*$AJ129)</f>
        <v>0</v>
      </c>
      <c r="BW129" s="587">
        <f>[1]COMMANDE!AG127</f>
        <v>0</v>
      </c>
      <c r="BX129" s="586" t="str">
        <f>_xlfn.IFS(AND($AI129=$AM129,$AI129&gt;0,$AM129&gt;0,BW129&gt;0), BW129,     AND(NOT($AI129=$AM129),$AI129&gt;0,$AM129&gt;0,BW129&gt;0), ($AM129*BW129)/$AI129,     AND($AI129=0,$AM129&gt;0,$AQ129&gt;0), IF(INDEX(BW$12:BW$263,MATCH($AQ129,$AP$12:$AP$263,0))&gt;0,($AM129*INDEX(BW$12:BW$263,MATCH($AQ129,$AP$12:$AP$263,0)))/INDEX($AI$12:$AI$263,MATCH($AQ129,$AP$12:$AP$263,0)), "-"),     TRUE, "0")</f>
        <v>0</v>
      </c>
      <c r="BY129" s="607">
        <f>IF(BX$9&gt;0, IF(OR(BX129="",BX129="-"), 0, BX129*$AT129), BW129*$AJ129)</f>
        <v>0</v>
      </c>
      <c r="BZ129" s="589">
        <f>[1]COMMANDE!AI127</f>
        <v>0</v>
      </c>
      <c r="CA129" s="586" t="str">
        <f>_xlfn.IFS(AND($AI129=$AM129,$AI129&gt;0,$AM129&gt;0,BZ129&gt;0), BZ129,     AND(NOT($AI129=$AM129),$AI129&gt;0,$AM129&gt;0,BZ129&gt;0), ($AM129*BZ129)/$AI129,     AND($AI129=0,$AM129&gt;0,$AQ129&gt;0), IF(INDEX(BZ$12:BZ$263,MATCH($AQ129,$AP$12:$AP$263,0))&gt;0,($AM129*INDEX(BZ$12:BZ$263,MATCH($AQ129,$AP$12:$AP$263,0)))/INDEX($AI$12:$AI$263,MATCH($AQ129,$AP$12:$AP$263,0)), "-"),     TRUE, "0")</f>
        <v>0</v>
      </c>
      <c r="CB129" s="588">
        <f>IF(CA$9&gt;0, IF(OR(CA129="",CA129="-"), 0, CA129*$AT129), BZ129*$AJ129)</f>
        <v>0</v>
      </c>
      <c r="CC129" s="587">
        <f>[1]COMMANDE!AK127</f>
        <v>0</v>
      </c>
      <c r="CD129" s="586" t="str">
        <f>_xlfn.IFS(AND($AI129=$AM129,$AI129&gt;0,$AM129&gt;0,CC129&gt;0), CC129,     AND(NOT($AI129=$AM129),$AI129&gt;0,$AM129&gt;0,CC129&gt;0), ($AM129*CC129)/$AI129,     AND($AI129=0,$AM129&gt;0,$AQ129&gt;0), IF(INDEX(CC$12:CC$263,MATCH($AQ129,$AP$12:$AP$263,0))&gt;0,($AM129*INDEX(CC$12:CC$263,MATCH($AQ129,$AP$12:$AP$263,0)))/INDEX($AI$12:$AI$263,MATCH($AQ129,$AP$12:$AP$263,0)), "-"),     TRUE, "0")</f>
        <v>0</v>
      </c>
      <c r="CE129" s="607">
        <f>IF(CD$9&gt;0, IF(OR(CD129="",CD129="-"), 0, CD129*$AT129), CC129*$AJ129)</f>
        <v>0</v>
      </c>
      <c r="CF129" s="589">
        <f>[1]COMMANDE!AM127</f>
        <v>0</v>
      </c>
      <c r="CG129" s="586" t="str">
        <f>_xlfn.IFS(AND($AI129=$AM129,$AI129&gt;0,$AM129&gt;0,CF129&gt;0), CF129,     AND(NOT($AI129=$AM129),$AI129&gt;0,$AM129&gt;0,CF129&gt;0), ($AM129*CF129)/$AI129,     AND($AI129=0,$AM129&gt;0,$AQ129&gt;0), IF(INDEX(CF$12:CF$263,MATCH($AQ129,$AP$12:$AP$263,0))&gt;0,($AM129*INDEX(CF$12:CF$263,MATCH($AQ129,$AP$12:$AP$263,0)))/INDEX($AI$12:$AI$263,MATCH($AQ129,$AP$12:$AP$263,0)), "-"),     TRUE, "0")</f>
        <v>0</v>
      </c>
      <c r="CH129" s="588">
        <f>IF(CG$9&gt;0, IF(OR(CG129="",CG129="-"), 0, CG129*$AT129), CF129*$AJ129)</f>
        <v>0</v>
      </c>
      <c r="CI129" s="587">
        <f>[1]COMMANDE!AO127</f>
        <v>0</v>
      </c>
      <c r="CJ129" s="586" t="str">
        <f>_xlfn.IFS(AND($AI129=$AM129,$AI129&gt;0,$AM129&gt;0,CI129&gt;0), CI129,     AND(NOT($AI129=$AM129),$AI129&gt;0,$AM129&gt;0,CI129&gt;0), ($AM129*CI129)/$AI129,     AND($AI129=0,$AM129&gt;0,$AQ129&gt;0), IF(INDEX(CI$12:CI$263,MATCH($AQ129,$AP$12:$AP$263,0))&gt;0,($AM129*INDEX(CI$12:CI$263,MATCH($AQ129,$AP$12:$AP$263,0)))/INDEX($AI$12:$AI$263,MATCH($AQ129,$AP$12:$AP$263,0)), "-"),     TRUE, "0")</f>
        <v>0</v>
      </c>
      <c r="CK129" s="607">
        <f>IF(CJ$9&gt;0, IF(OR(CJ129="",CJ129="-"), 0, CJ129*$AT129), CI129*$AJ129)</f>
        <v>0</v>
      </c>
      <c r="CL129" s="589">
        <f>[1]COMMANDE!AQ127</f>
        <v>0</v>
      </c>
      <c r="CM129" s="586" t="str">
        <f>_xlfn.IFS(AND($AI129=$AM129,$AI129&gt;0,$AM129&gt;0,CL129&gt;0), CL129,     AND(NOT($AI129=$AM129),$AI129&gt;0,$AM129&gt;0,CL129&gt;0), ($AM129*CL129)/$AI129,     AND($AI129=0,$AM129&gt;0,$AQ129&gt;0), IF(INDEX(CL$12:CL$263,MATCH($AQ129,$AP$12:$AP$263,0))&gt;0,($AM129*INDEX(CL$12:CL$263,MATCH($AQ129,$AP$12:$AP$263,0)))/INDEX($AI$12:$AI$263,MATCH($AQ129,$AP$12:$AP$263,0)), "-"),     TRUE, "0")</f>
        <v>0</v>
      </c>
      <c r="CN129" s="588">
        <f>IF(CM$9&gt;0, IF(OR(CM129="",CM129="-"), 0, CM129*$AT129), CL129*$AJ129)</f>
        <v>0</v>
      </c>
      <c r="CO129" s="587">
        <f>[1]COMMANDE!AS127</f>
        <v>0</v>
      </c>
      <c r="CP129" s="586" t="str">
        <f>_xlfn.IFS(AND($AI129=$AM129,$AI129&gt;0,$AM129&gt;0,CO129&gt;0), CO129,     AND(NOT($AI129=$AM129),$AI129&gt;0,$AM129&gt;0,CO129&gt;0), ($AM129*CO129)/$AI129,     AND($AI129=0,$AM129&gt;0,$AQ129&gt;0), IF(INDEX(CO$12:CO$263,MATCH($AQ129,$AP$12:$AP$263,0))&gt;0,($AM129*INDEX(CO$12:CO$263,MATCH($AQ129,$AP$12:$AP$263,0)))/INDEX($AI$12:$AI$263,MATCH($AQ129,$AP$12:$AP$263,0)), "-"),     TRUE, "0")</f>
        <v>0</v>
      </c>
      <c r="CQ129" s="607">
        <f>IF(CP$9&gt;0, IF(OR(CP129="",CP129="-"), 0, CP129*$AT129), CO129*$AJ129)</f>
        <v>0</v>
      </c>
      <c r="CR129" s="589">
        <f>[1]COMMANDE!AU127</f>
        <v>0</v>
      </c>
      <c r="CS129" s="586" t="str">
        <f>_xlfn.IFS(AND($AI129=$AM129,$AI129&gt;0,$AM129&gt;0,CR129&gt;0), CR129,     AND(NOT($AI129=$AM129),$AI129&gt;0,$AM129&gt;0,CR129&gt;0), ($AM129*CR129)/$AI129,     AND($AI129=0,$AM129&gt;0,$AQ129&gt;0), IF(INDEX(CR$12:CR$263,MATCH($AQ129,$AP$12:$AP$263,0))&gt;0,($AM129*INDEX(CR$12:CR$263,MATCH($AQ129,$AP$12:$AP$263,0)))/INDEX($AI$12:$AI$263,MATCH($AQ129,$AP$12:$AP$263,0)), "-"),     TRUE, "0")</f>
        <v>0</v>
      </c>
      <c r="CT129" s="588">
        <f>IF(CS$9&gt;0, IF(OR(CS129="",CS129="-"), 0, CS129*$AT129), CR129*$AJ129)</f>
        <v>0</v>
      </c>
      <c r="CU129" s="587">
        <f>[1]COMMANDE!AW127</f>
        <v>0</v>
      </c>
      <c r="CV129" s="586" t="str">
        <f>_xlfn.IFS(AND($AI129=$AM129,$AI129&gt;0,$AM129&gt;0,CU129&gt;0), CU129,     AND(NOT($AI129=$AM129),$AI129&gt;0,$AM129&gt;0,CU129&gt;0), ($AM129*CU129)/$AI129,     AND($AI129=0,$AM129&gt;0,$AQ129&gt;0), IF(INDEX(CU$12:CU$263,MATCH($AQ129,$AP$12:$AP$263,0))&gt;0,($AM129*INDEX(CU$12:CU$263,MATCH($AQ129,$AP$12:$AP$263,0)))/INDEX($AI$12:$AI$263,MATCH($AQ129,$AP$12:$AP$263,0)), "-"),     TRUE, "0")</f>
        <v>0</v>
      </c>
      <c r="CW129" s="607">
        <f>IF(CV$9&gt;0, IF(OR(CV129="",CV129="-"), 0, CV129*$AT129), CU129*$AJ129)</f>
        <v>0</v>
      </c>
      <c r="CX129" s="589">
        <f>[1]COMMANDE!AY127</f>
        <v>0</v>
      </c>
      <c r="CY129" s="586" t="str">
        <f>_xlfn.IFS(AND($AI129=$AM129,$AI129&gt;0,$AM129&gt;0,CX129&gt;0), CX129,     AND(NOT($AI129=$AM129),$AI129&gt;0,$AM129&gt;0,CX129&gt;0), ($AM129*CX129)/$AI129,     AND($AI129=0,$AM129&gt;0,$AQ129&gt;0), IF(INDEX(CX$12:CX$263,MATCH($AQ129,$AP$12:$AP$263,0))&gt;0,($AM129*INDEX(CX$12:CX$263,MATCH($AQ129,$AP$12:$AP$263,0)))/INDEX($AI$12:$AI$263,MATCH($AQ129,$AP$12:$AP$263,0)), "-"),     TRUE, "0")</f>
        <v>0</v>
      </c>
      <c r="CZ129" s="588">
        <f>IF(CY$9&gt;0, IF(OR(CY129="",CY129="-"), 0, CY129*$AT129), CX129*$AJ129)</f>
        <v>0</v>
      </c>
      <c r="DA129" s="587">
        <f>[1]COMMANDE!BA127</f>
        <v>0</v>
      </c>
      <c r="DB129" s="586" t="str">
        <f>_xlfn.IFS(AND($AI129=$AM129,$AI129&gt;0,$AM129&gt;0,DA129&gt;0), DA129,     AND(NOT($AI129=$AM129),$AI129&gt;0,$AM129&gt;0,DA129&gt;0), ($AM129*DA129)/$AI129,     AND($AI129=0,$AM129&gt;0,$AQ129&gt;0), IF(INDEX(DA$12:DA$263,MATCH($AQ129,$AP$12:$AP$263,0))&gt;0,($AM129*INDEX(DA$12:DA$263,MATCH($AQ129,$AP$12:$AP$263,0)))/INDEX($AI$12:$AI$263,MATCH($AQ129,$AP$12:$AP$263,0)), "-"),     TRUE, "0")</f>
        <v>0</v>
      </c>
      <c r="DC129" s="606">
        <f>IF(DB$9&gt;0, IF(OR(DB129="",DB129="-"), 0, DB129*$AT129), DA129*$AJ129)</f>
        <v>0</v>
      </c>
      <c r="DD129" s="584"/>
      <c r="DE129" s="583"/>
    </row>
    <row r="130" spans="1:128" ht="39.950000000000003" hidden="1" customHeight="1">
      <c r="A130" s="604">
        <f>IF(OR($AV130&gt;0, $AX130&gt;0), 1, 0)</f>
        <v>0</v>
      </c>
      <c r="B130" s="604">
        <f>IF(OR($AY130&gt;0, $BA130&gt;0), 1, 0)</f>
        <v>0</v>
      </c>
      <c r="C130" s="604">
        <f>IF(OR($BB130&gt;0, $BD130&gt;0), 1, 0)</f>
        <v>0</v>
      </c>
      <c r="D130" s="604">
        <f>IF(OR($BE130&gt;0, $BG130&gt;0), 1, 0)</f>
        <v>0</v>
      </c>
      <c r="E130" s="604">
        <f>IF(OR($BH130&gt;0, $BJ130&gt;0), 1, 0)</f>
        <v>0</v>
      </c>
      <c r="F130" s="604">
        <f>IF(OR($BK130&gt;0, $BM130&gt;0), 1, 0)</f>
        <v>0</v>
      </c>
      <c r="G130" s="604">
        <f>IF(OR($BN130&gt;0, $BP130&gt;0), 1, 0)</f>
        <v>0</v>
      </c>
      <c r="H130" s="604">
        <f>IF(OR($BQ130&gt;0, $BS130&gt;0), 1, 0)</f>
        <v>0</v>
      </c>
      <c r="I130" s="604">
        <f>IF(OR($BT130&gt;0, $BV130&gt;0), 1, 0)</f>
        <v>0</v>
      </c>
      <c r="J130" s="604">
        <f>IF(OR($BW130&gt;0, $BY130&gt;0), 1, 0)</f>
        <v>0</v>
      </c>
      <c r="K130" s="604">
        <f>IF(OR($BZ130&gt;0, $CB130&gt;0), 1, 0)</f>
        <v>0</v>
      </c>
      <c r="L130" s="604">
        <f>IF(OR($CC130&gt;0, $CE130&gt;0), 1, 0)</f>
        <v>0</v>
      </c>
      <c r="M130" s="604">
        <f>IF(OR($CF130&gt;0, $CH130&gt;0), 1, 0)</f>
        <v>0</v>
      </c>
      <c r="N130" s="604">
        <f>IF(OR($CI130&gt;0, $CK130&gt;0), 1, 0)</f>
        <v>0</v>
      </c>
      <c r="O130" s="604">
        <f>IF(OR($CL130&gt;0, $CN130&gt;0), 1, 0)</f>
        <v>0</v>
      </c>
      <c r="P130" s="604">
        <f>IF(OR($CO130&gt;0, $CQ130&gt;0), 1, 0)</f>
        <v>0</v>
      </c>
      <c r="Q130" s="604">
        <f>IF(OR($CR130&gt;0, $CT130&gt;0), 1, 0)</f>
        <v>0</v>
      </c>
      <c r="R130" s="604">
        <f>IF(OR($CU130&gt;0, $CW130&gt;0), 1, 0)</f>
        <v>0</v>
      </c>
      <c r="S130" s="604">
        <f>IF(OR($CX130&gt;0, $CZ130&gt;0), 1, 0)</f>
        <v>0</v>
      </c>
      <c r="T130" s="604">
        <f>IF(OR($DA130&gt;0, $DC130&gt;0), 1, 0)</f>
        <v>0</v>
      </c>
      <c r="U130" s="603">
        <f>IF(OR($AI130&gt;0,$AM130&gt;0,$AS130&gt;0), 1, 0)</f>
        <v>0</v>
      </c>
      <c r="V130" s="602">
        <f>[1]BDD!A120</f>
        <v>3039</v>
      </c>
      <c r="W130" s="601" t="str">
        <f>[1]BDD!B120</f>
        <v>Haricot vert 2e catégorie</v>
      </c>
      <c r="X130" s="600" t="str">
        <f>IF([1]BDD!F120=0, "", [1]BDD!F120)</f>
        <v/>
      </c>
      <c r="Y130" s="542">
        <f>ROUND([1]BDD!G120+FDP_CMD_KG, 2)</f>
        <v>2.21</v>
      </c>
      <c r="Z130" s="542">
        <f>ROUND([1]BDD!G120+FDP_FACT_KG, 2)</f>
        <v>2.21</v>
      </c>
      <c r="AA130" s="543" t="str">
        <f>[1]BDD!H120</f>
        <v>kg</v>
      </c>
      <c r="AB130" s="544">
        <f>IF(NOT(ISBLANK([1]BDD!I120)), ROUND(SUM(([1]BDD!G120*reduc1),FDP_CMD_KG), 2), "")</f>
        <v>2.08</v>
      </c>
      <c r="AC130" s="544">
        <f>IF(NOT(ISBLANK([1]BDD!J120)), ROUND(SUM(([1]BDD!G120*reduc2),FDP_CMD_KG), 2), "")</f>
        <v>1.95</v>
      </c>
      <c r="AD130" s="544" t="str">
        <f>IF(NOT(ISBLANK([1]BDD!K120)), ROUND(SUM(([1]BDD!G120*reduc3),FDP_CMD_KG), 2), "")</f>
        <v/>
      </c>
      <c r="AE130" s="544">
        <f>IF(NOT(ISBLANK([1]BDD!I120)), ROUND(SUM(([1]BDD!G120*reduc1),FDP_FACT_KG), 2), "")</f>
        <v>2.0699999999999998</v>
      </c>
      <c r="AF130" s="544">
        <f>IF(NOT(ISBLANK([1]BDD!J120)), ROUND(SUM(([1]BDD!G120*reduc2),FDP_FACT_KG), 2), "")</f>
        <v>1.94</v>
      </c>
      <c r="AG130" s="544" t="str">
        <f>IF(NOT(ISBLANK([1]BDD!K120)), ROUND(SUM(([1]BDD!G120*reduc3),FDP_FACT_KG), 2), "")</f>
        <v/>
      </c>
      <c r="AH130" s="599" t="str">
        <f>[1]BDD!C120</f>
        <v>Malaga</v>
      </c>
      <c r="AI130" s="598">
        <f>SUM(AV130,AY130,BB130,BE130,BH130,BK130,BN130,BQ130,BT130,BW130,BZ130,CC130,CF130,CI130,CL130,CO130,CR130,CU130,CX130,DA130)</f>
        <v>0</v>
      </c>
      <c r="AJ130" s="545">
        <f>_xlfn.IFS($AD130&lt;&gt;"", $AD130,    $AC130&lt;&gt;"", $AC130,    $AB130&lt;&gt;"", $AB130,    TRUE, $Y130)</f>
        <v>1.95</v>
      </c>
      <c r="AK130" s="592">
        <f>$AI130*$AJ130</f>
        <v>0</v>
      </c>
      <c r="AL130" s="594"/>
      <c r="AM130" s="597"/>
      <c r="AN130" s="545">
        <f>_xlfn.IFS(AND(AM130&gt;=60,$AG130&lt;&gt;""), $AG130,    AND(AM130&gt;=30,$AF130&lt;&gt;""), $AF130,    AND(AM130&gt;=10,$AE130&lt;&gt;""), $AE130,    TRUE, $Z130)</f>
        <v>2.21</v>
      </c>
      <c r="AO130" s="596">
        <f>AM130*AN130</f>
        <v>0</v>
      </c>
      <c r="AP130" s="595"/>
      <c r="AQ130" s="595"/>
      <c r="AR130" s="594"/>
      <c r="AS130" s="593">
        <f>SUM(AW130,AZ130,BC130,BF130,BI130,BL130,BO130,BR130,BU130,BX130,CA130,CD130,CG130,CJ130,CM130,CP130,CS130,CV130,CY130,DB130)</f>
        <v>0</v>
      </c>
      <c r="AT130" s="545">
        <f>_xlfn.IFS(AND(AS130&gt;=60,$AG130&lt;&gt;""), $AG130,    AND(AS130&gt;=30,$AF130&lt;&gt;""), $AF130,    AND(AS130&gt;=10,$AE130&lt;&gt;""), $AE130,    TRUE, $Z130)</f>
        <v>2.21</v>
      </c>
      <c r="AU130" s="592">
        <f>$AS130*$AT130</f>
        <v>0</v>
      </c>
      <c r="AV130" s="591">
        <f>[1]COMMANDE!O128</f>
        <v>0</v>
      </c>
      <c r="AW130" s="586" t="str">
        <f>_xlfn.IFS(AND($AI130=$AM130,$AI130&gt;0,$AM130&gt;0,AV130&gt;0), AV130,     AND(NOT($AI130=$AM130),$AI130&gt;0,$AM130&gt;0,AV130&gt;0), ($AM130*AV130)/$AI130,     AND($AI130=0,$AM130&gt;0,$AQ130&gt;0), IF(INDEX(AV$12:AV$263,MATCH($AQ130,$AP$12:$AP$263,0))&gt;0,($AM130*INDEX(AV$12:AV$263,MATCH($AQ130,$AP$12:$AP$263,0)))/INDEX($AI$12:$AI$263,MATCH($AQ130,$AP$12:$AP$263,0)), "-"),     TRUE, "0")</f>
        <v>0</v>
      </c>
      <c r="AX130" s="588">
        <f>IF(AW$9&gt;0, IF(OR(AW130="",AW130="-"), 0, AW130*$AT130), AV130*$AJ130)</f>
        <v>0</v>
      </c>
      <c r="AY130" s="587">
        <f>[1]COMMANDE!Q128</f>
        <v>0</v>
      </c>
      <c r="AZ130" s="586" t="str">
        <f>_xlfn.IFS(AND($AI130=$AM130,$AI130&gt;0,$AM130&gt;0,AY130&gt;0), AY130,     AND(NOT($AI130=$AM130),$AI130&gt;0,$AM130&gt;0,AY130&gt;0), ($AM130*AY130)/$AI130,     AND($AI130=0,$AM130&gt;0,$AQ130&gt;0), IF(INDEX(AY$12:AY$263,MATCH($AQ130,$AP$12:$AP$263,0))&gt;0,($AM130*INDEX(AY$12:AY$263,MATCH($AQ130,$AP$12:$AP$263,0)))/INDEX($AI$12:$AI$263,MATCH($AQ130,$AP$12:$AP$263,0)), "-"),     TRUE, "0")</f>
        <v>0</v>
      </c>
      <c r="BA130" s="607">
        <f>IF(AZ$9&gt;0, IF(OR(AZ130="",AZ130="-"), 0, AZ130*$AT130), AY130*$AJ130)</f>
        <v>0</v>
      </c>
      <c r="BB130" s="589">
        <f>[1]COMMANDE!S128</f>
        <v>0</v>
      </c>
      <c r="BC130" s="586" t="str">
        <f>_xlfn.IFS(AND($AI130=$AM130,$AI130&gt;0,$AM130&gt;0,BB130&gt;0), BB130,     AND(NOT($AI130=$AM130),$AI130&gt;0,$AM130&gt;0,BB130&gt;0), ($AM130*BB130)/$AI130,     AND($AI130=0,$AM130&gt;0,$AQ130&gt;0), IF(INDEX(BB$12:BB$263,MATCH($AQ130,$AP$12:$AP$263,0))&gt;0,($AM130*INDEX(BB$12:BB$263,MATCH($AQ130,$AP$12:$AP$263,0)))/INDEX($AI$12:$AI$263,MATCH($AQ130,$AP$12:$AP$263,0)), "-"),     TRUE, "0")</f>
        <v>0</v>
      </c>
      <c r="BD130" s="588">
        <f>IF(BC$9&gt;0, IF(OR(BC130="",BC130="-"), 0, BC130*$AT130), BB130*$AJ130)</f>
        <v>0</v>
      </c>
      <c r="BE130" s="587">
        <f>[1]COMMANDE!U128</f>
        <v>0</v>
      </c>
      <c r="BF130" s="586" t="str">
        <f>_xlfn.IFS(AND($AI130=$AM130,$AI130&gt;0,$AM130&gt;0,BE130&gt;0), BE130,     AND(NOT($AI130=$AM130),$AI130&gt;0,$AM130&gt;0,BE130&gt;0), ($AM130*BE130)/$AI130,     AND($AI130=0,$AM130&gt;0,$AQ130&gt;0), IF(INDEX(BE$12:BE$263,MATCH($AQ130,$AP$12:$AP$263,0))&gt;0,($AM130*INDEX(BE$12:BE$263,MATCH($AQ130,$AP$12:$AP$263,0)))/INDEX($AI$12:$AI$263,MATCH($AQ130,$AP$12:$AP$263,0)), "-"),     TRUE, "0")</f>
        <v>0</v>
      </c>
      <c r="BG130" s="607">
        <f>IF(BF$9&gt;0, IF(OR(BF130="",BF130="-"), 0, BF130*$AT130), BE130*$AJ130)</f>
        <v>0</v>
      </c>
      <c r="BH130" s="589">
        <f>[1]COMMANDE!W128</f>
        <v>0</v>
      </c>
      <c r="BI130" s="586" t="str">
        <f>_xlfn.IFS(AND($AI130=$AM130,$AI130&gt;0,$AM130&gt;0,BH130&gt;0), BH130,     AND(NOT($AI130=$AM130),$AI130&gt;0,$AM130&gt;0,BH130&gt;0), ($AM130*BH130)/$AI130,     AND($AI130=0,$AM130&gt;0,$AQ130&gt;0), IF(INDEX(BH$12:BH$263,MATCH($AQ130,$AP$12:$AP$263,0))&gt;0,($AM130*INDEX(BH$12:BH$263,MATCH($AQ130,$AP$12:$AP$263,0)))/INDEX($AI$12:$AI$263,MATCH($AQ130,$AP$12:$AP$263,0)), "-"),     TRUE, "0")</f>
        <v>0</v>
      </c>
      <c r="BJ130" s="588">
        <f>IF(BI$9&gt;0, IF(OR(BI130="",BI130="-"), 0, BI130*$AT130), BH130*$AJ130)</f>
        <v>0</v>
      </c>
      <c r="BK130" s="587">
        <f>[1]COMMANDE!Y128</f>
        <v>0</v>
      </c>
      <c r="BL130" s="586" t="str">
        <f>_xlfn.IFS(AND($AI130=$AM130,$AI130&gt;0,$AM130&gt;0,BK130&gt;0), BK130,     AND(NOT($AI130=$AM130),$AI130&gt;0,$AM130&gt;0,BK130&gt;0), ($AM130*BK130)/$AI130,     AND($AI130=0,$AM130&gt;0,$AQ130&gt;0), IF(INDEX(BK$12:BK$263,MATCH($AQ130,$AP$12:$AP$263,0))&gt;0,($AM130*INDEX(BK$12:BK$263,MATCH($AQ130,$AP$12:$AP$263,0)))/INDEX($AI$12:$AI$263,MATCH($AQ130,$AP$12:$AP$263,0)), "-"),     TRUE, "0")</f>
        <v>0</v>
      </c>
      <c r="BM130" s="607">
        <f>IF(BL$9&gt;0, IF(OR(BL130="",BL130="-"), 0, BL130*$AT130), BK130*$AJ130)</f>
        <v>0</v>
      </c>
      <c r="BN130" s="589">
        <f>[1]COMMANDE!AA128</f>
        <v>0</v>
      </c>
      <c r="BO130" s="586" t="str">
        <f>_xlfn.IFS(AND($AI130=$AM130,$AI130&gt;0,$AM130&gt;0,BN130&gt;0), BN130,     AND(NOT($AI130=$AM130),$AI130&gt;0,$AM130&gt;0,BN130&gt;0), ($AM130*BN130)/$AI130,     AND($AI130=0,$AM130&gt;0,$AQ130&gt;0), IF(INDEX(BN$12:BN$263,MATCH($AQ130,$AP$12:$AP$263,0))&gt;0,($AM130*INDEX(BN$12:BN$263,MATCH($AQ130,$AP$12:$AP$263,0)))/INDEX($AI$12:$AI$263,MATCH($AQ130,$AP$12:$AP$263,0)), "-"),     TRUE, "0")</f>
        <v>0</v>
      </c>
      <c r="BP130" s="588">
        <f>IF(BO$9&gt;0, IF(OR(BO130="",BO130="-"), 0, BO130*$AT130), BN130*$AJ130)</f>
        <v>0</v>
      </c>
      <c r="BQ130" s="587">
        <f>[1]COMMANDE!AC128</f>
        <v>0</v>
      </c>
      <c r="BR130" s="586" t="str">
        <f>_xlfn.IFS(AND($AI130=$AM130,$AI130&gt;0,$AM130&gt;0,BQ130&gt;0), BQ130,     AND(NOT($AI130=$AM130),$AI130&gt;0,$AM130&gt;0,BQ130&gt;0), ($AM130*BQ130)/$AI130,     AND($AI130=0,$AM130&gt;0,$AQ130&gt;0), IF(INDEX(BQ$12:BQ$263,MATCH($AQ130,$AP$12:$AP$263,0))&gt;0,($AM130*INDEX(BQ$12:BQ$263,MATCH($AQ130,$AP$12:$AP$263,0)))/INDEX($AI$12:$AI$263,MATCH($AQ130,$AP$12:$AP$263,0)), "-"),     TRUE, "0")</f>
        <v>0</v>
      </c>
      <c r="BS130" s="607">
        <f>IF(BR$9&gt;0, IF(OR(BR130="",BR130="-"), 0, BR130*$AT130), BQ130*$AJ130)</f>
        <v>0</v>
      </c>
      <c r="BT130" s="589">
        <f>[1]COMMANDE!AE128</f>
        <v>0</v>
      </c>
      <c r="BU130" s="586" t="str">
        <f>_xlfn.IFS(AND($AI130=$AM130,$AI130&gt;0,$AM130&gt;0,BT130&gt;0), BT130,     AND(NOT($AI130=$AM130),$AI130&gt;0,$AM130&gt;0,BT130&gt;0), ($AM130*BT130)/$AI130,     AND($AI130=0,$AM130&gt;0,$AQ130&gt;0), IF(INDEX(BT$12:BT$263,MATCH($AQ130,$AP$12:$AP$263,0))&gt;0,($AM130*INDEX(BT$12:BT$263,MATCH($AQ130,$AP$12:$AP$263,0)))/INDEX($AI$12:$AI$263,MATCH($AQ130,$AP$12:$AP$263,0)), "-"),     TRUE, "0")</f>
        <v>0</v>
      </c>
      <c r="BV130" s="588">
        <f>IF(BU$9&gt;0, IF(OR(BU130="",BU130="-"), 0, BU130*$AT130), BT130*$AJ130)</f>
        <v>0</v>
      </c>
      <c r="BW130" s="587">
        <f>[1]COMMANDE!AG128</f>
        <v>0</v>
      </c>
      <c r="BX130" s="586" t="str">
        <f>_xlfn.IFS(AND($AI130=$AM130,$AI130&gt;0,$AM130&gt;0,BW130&gt;0), BW130,     AND(NOT($AI130=$AM130),$AI130&gt;0,$AM130&gt;0,BW130&gt;0), ($AM130*BW130)/$AI130,     AND($AI130=0,$AM130&gt;0,$AQ130&gt;0), IF(INDEX(BW$12:BW$263,MATCH($AQ130,$AP$12:$AP$263,0))&gt;0,($AM130*INDEX(BW$12:BW$263,MATCH($AQ130,$AP$12:$AP$263,0)))/INDEX($AI$12:$AI$263,MATCH($AQ130,$AP$12:$AP$263,0)), "-"),     TRUE, "0")</f>
        <v>0</v>
      </c>
      <c r="BY130" s="607">
        <f>IF(BX$9&gt;0, IF(OR(BX130="",BX130="-"), 0, BX130*$AT130), BW130*$AJ130)</f>
        <v>0</v>
      </c>
      <c r="BZ130" s="589">
        <f>[1]COMMANDE!AI128</f>
        <v>0</v>
      </c>
      <c r="CA130" s="586" t="str">
        <f>_xlfn.IFS(AND($AI130=$AM130,$AI130&gt;0,$AM130&gt;0,BZ130&gt;0), BZ130,     AND(NOT($AI130=$AM130),$AI130&gt;0,$AM130&gt;0,BZ130&gt;0), ($AM130*BZ130)/$AI130,     AND($AI130=0,$AM130&gt;0,$AQ130&gt;0), IF(INDEX(BZ$12:BZ$263,MATCH($AQ130,$AP$12:$AP$263,0))&gt;0,($AM130*INDEX(BZ$12:BZ$263,MATCH($AQ130,$AP$12:$AP$263,0)))/INDEX($AI$12:$AI$263,MATCH($AQ130,$AP$12:$AP$263,0)), "-"),     TRUE, "0")</f>
        <v>0</v>
      </c>
      <c r="CB130" s="588">
        <f>IF(CA$9&gt;0, IF(OR(CA130="",CA130="-"), 0, CA130*$AT130), BZ130*$AJ130)</f>
        <v>0</v>
      </c>
      <c r="CC130" s="587">
        <f>[1]COMMANDE!AK128</f>
        <v>0</v>
      </c>
      <c r="CD130" s="586" t="str">
        <f>_xlfn.IFS(AND($AI130=$AM130,$AI130&gt;0,$AM130&gt;0,CC130&gt;0), CC130,     AND(NOT($AI130=$AM130),$AI130&gt;0,$AM130&gt;0,CC130&gt;0), ($AM130*CC130)/$AI130,     AND($AI130=0,$AM130&gt;0,$AQ130&gt;0), IF(INDEX(CC$12:CC$263,MATCH($AQ130,$AP$12:$AP$263,0))&gt;0,($AM130*INDEX(CC$12:CC$263,MATCH($AQ130,$AP$12:$AP$263,0)))/INDEX($AI$12:$AI$263,MATCH($AQ130,$AP$12:$AP$263,0)), "-"),     TRUE, "0")</f>
        <v>0</v>
      </c>
      <c r="CE130" s="607">
        <f>IF(CD$9&gt;0, IF(OR(CD130="",CD130="-"), 0, CD130*$AT130), CC130*$AJ130)</f>
        <v>0</v>
      </c>
      <c r="CF130" s="589">
        <f>[1]COMMANDE!AM128</f>
        <v>0</v>
      </c>
      <c r="CG130" s="586" t="str">
        <f>_xlfn.IFS(AND($AI130=$AM130,$AI130&gt;0,$AM130&gt;0,CF130&gt;0), CF130,     AND(NOT($AI130=$AM130),$AI130&gt;0,$AM130&gt;0,CF130&gt;0), ($AM130*CF130)/$AI130,     AND($AI130=0,$AM130&gt;0,$AQ130&gt;0), IF(INDEX(CF$12:CF$263,MATCH($AQ130,$AP$12:$AP$263,0))&gt;0,($AM130*INDEX(CF$12:CF$263,MATCH($AQ130,$AP$12:$AP$263,0)))/INDEX($AI$12:$AI$263,MATCH($AQ130,$AP$12:$AP$263,0)), "-"),     TRUE, "0")</f>
        <v>0</v>
      </c>
      <c r="CH130" s="588">
        <f>IF(CG$9&gt;0, IF(OR(CG130="",CG130="-"), 0, CG130*$AT130), CF130*$AJ130)</f>
        <v>0</v>
      </c>
      <c r="CI130" s="587">
        <f>[1]COMMANDE!AO128</f>
        <v>0</v>
      </c>
      <c r="CJ130" s="586" t="str">
        <f>_xlfn.IFS(AND($AI130=$AM130,$AI130&gt;0,$AM130&gt;0,CI130&gt;0), CI130,     AND(NOT($AI130=$AM130),$AI130&gt;0,$AM130&gt;0,CI130&gt;0), ($AM130*CI130)/$AI130,     AND($AI130=0,$AM130&gt;0,$AQ130&gt;0), IF(INDEX(CI$12:CI$263,MATCH($AQ130,$AP$12:$AP$263,0))&gt;0,($AM130*INDEX(CI$12:CI$263,MATCH($AQ130,$AP$12:$AP$263,0)))/INDEX($AI$12:$AI$263,MATCH($AQ130,$AP$12:$AP$263,0)), "-"),     TRUE, "0")</f>
        <v>0</v>
      </c>
      <c r="CK130" s="607">
        <f>IF(CJ$9&gt;0, IF(OR(CJ130="",CJ130="-"), 0, CJ130*$AT130), CI130*$AJ130)</f>
        <v>0</v>
      </c>
      <c r="CL130" s="589">
        <f>[1]COMMANDE!AQ128</f>
        <v>0</v>
      </c>
      <c r="CM130" s="586" t="str">
        <f>_xlfn.IFS(AND($AI130=$AM130,$AI130&gt;0,$AM130&gt;0,CL130&gt;0), CL130,     AND(NOT($AI130=$AM130),$AI130&gt;0,$AM130&gt;0,CL130&gt;0), ($AM130*CL130)/$AI130,     AND($AI130=0,$AM130&gt;0,$AQ130&gt;0), IF(INDEX(CL$12:CL$263,MATCH($AQ130,$AP$12:$AP$263,0))&gt;0,($AM130*INDEX(CL$12:CL$263,MATCH($AQ130,$AP$12:$AP$263,0)))/INDEX($AI$12:$AI$263,MATCH($AQ130,$AP$12:$AP$263,0)), "-"),     TRUE, "0")</f>
        <v>0</v>
      </c>
      <c r="CN130" s="588">
        <f>IF(CM$9&gt;0, IF(OR(CM130="",CM130="-"), 0, CM130*$AT130), CL130*$AJ130)</f>
        <v>0</v>
      </c>
      <c r="CO130" s="587">
        <f>[1]COMMANDE!AS128</f>
        <v>0</v>
      </c>
      <c r="CP130" s="586" t="str">
        <f>_xlfn.IFS(AND($AI130=$AM130,$AI130&gt;0,$AM130&gt;0,CO130&gt;0), CO130,     AND(NOT($AI130=$AM130),$AI130&gt;0,$AM130&gt;0,CO130&gt;0), ($AM130*CO130)/$AI130,     AND($AI130=0,$AM130&gt;0,$AQ130&gt;0), IF(INDEX(CO$12:CO$263,MATCH($AQ130,$AP$12:$AP$263,0))&gt;0,($AM130*INDEX(CO$12:CO$263,MATCH($AQ130,$AP$12:$AP$263,0)))/INDEX($AI$12:$AI$263,MATCH($AQ130,$AP$12:$AP$263,0)), "-"),     TRUE, "0")</f>
        <v>0</v>
      </c>
      <c r="CQ130" s="607">
        <f>IF(CP$9&gt;0, IF(OR(CP130="",CP130="-"), 0, CP130*$AT130), CO130*$AJ130)</f>
        <v>0</v>
      </c>
      <c r="CR130" s="589">
        <f>[1]COMMANDE!AU128</f>
        <v>0</v>
      </c>
      <c r="CS130" s="586" t="str">
        <f>_xlfn.IFS(AND($AI130=$AM130,$AI130&gt;0,$AM130&gt;0,CR130&gt;0), CR130,     AND(NOT($AI130=$AM130),$AI130&gt;0,$AM130&gt;0,CR130&gt;0), ($AM130*CR130)/$AI130,     AND($AI130=0,$AM130&gt;0,$AQ130&gt;0), IF(INDEX(CR$12:CR$263,MATCH($AQ130,$AP$12:$AP$263,0))&gt;0,($AM130*INDEX(CR$12:CR$263,MATCH($AQ130,$AP$12:$AP$263,0)))/INDEX($AI$12:$AI$263,MATCH($AQ130,$AP$12:$AP$263,0)), "-"),     TRUE, "0")</f>
        <v>0</v>
      </c>
      <c r="CT130" s="588">
        <f>IF(CS$9&gt;0, IF(OR(CS130="",CS130="-"), 0, CS130*$AT130), CR130*$AJ130)</f>
        <v>0</v>
      </c>
      <c r="CU130" s="587">
        <f>[1]COMMANDE!AW128</f>
        <v>0</v>
      </c>
      <c r="CV130" s="586" t="str">
        <f>_xlfn.IFS(AND($AI130=$AM130,$AI130&gt;0,$AM130&gt;0,CU130&gt;0), CU130,     AND(NOT($AI130=$AM130),$AI130&gt;0,$AM130&gt;0,CU130&gt;0), ($AM130*CU130)/$AI130,     AND($AI130=0,$AM130&gt;0,$AQ130&gt;0), IF(INDEX(CU$12:CU$263,MATCH($AQ130,$AP$12:$AP$263,0))&gt;0,($AM130*INDEX(CU$12:CU$263,MATCH($AQ130,$AP$12:$AP$263,0)))/INDEX($AI$12:$AI$263,MATCH($AQ130,$AP$12:$AP$263,0)), "-"),     TRUE, "0")</f>
        <v>0</v>
      </c>
      <c r="CW130" s="607">
        <f>IF(CV$9&gt;0, IF(OR(CV130="",CV130="-"), 0, CV130*$AT130), CU130*$AJ130)</f>
        <v>0</v>
      </c>
      <c r="CX130" s="589">
        <f>[1]COMMANDE!AY128</f>
        <v>0</v>
      </c>
      <c r="CY130" s="586" t="str">
        <f>_xlfn.IFS(AND($AI130=$AM130,$AI130&gt;0,$AM130&gt;0,CX130&gt;0), CX130,     AND(NOT($AI130=$AM130),$AI130&gt;0,$AM130&gt;0,CX130&gt;0), ($AM130*CX130)/$AI130,     AND($AI130=0,$AM130&gt;0,$AQ130&gt;0), IF(INDEX(CX$12:CX$263,MATCH($AQ130,$AP$12:$AP$263,0))&gt;0,($AM130*INDEX(CX$12:CX$263,MATCH($AQ130,$AP$12:$AP$263,0)))/INDEX($AI$12:$AI$263,MATCH($AQ130,$AP$12:$AP$263,0)), "-"),     TRUE, "0")</f>
        <v>0</v>
      </c>
      <c r="CZ130" s="588">
        <f>IF(CY$9&gt;0, IF(OR(CY130="",CY130="-"), 0, CY130*$AT130), CX130*$AJ130)</f>
        <v>0</v>
      </c>
      <c r="DA130" s="587">
        <f>[1]COMMANDE!BA128</f>
        <v>0</v>
      </c>
      <c r="DB130" s="586" t="str">
        <f>_xlfn.IFS(AND($AI130=$AM130,$AI130&gt;0,$AM130&gt;0,DA130&gt;0), DA130,     AND(NOT($AI130=$AM130),$AI130&gt;0,$AM130&gt;0,DA130&gt;0), ($AM130*DA130)/$AI130,     AND($AI130=0,$AM130&gt;0,$AQ130&gt;0), IF(INDEX(DA$12:DA$263,MATCH($AQ130,$AP$12:$AP$263,0))&gt;0,($AM130*INDEX(DA$12:DA$263,MATCH($AQ130,$AP$12:$AP$263,0)))/INDEX($AI$12:$AI$263,MATCH($AQ130,$AP$12:$AP$263,0)), "-"),     TRUE, "0")</f>
        <v>0</v>
      </c>
      <c r="DC130" s="606">
        <f>IF(DB$9&gt;0, IF(OR(DB130="",DB130="-"), 0, DB130*$AT130), DA130*$AJ130)</f>
        <v>0</v>
      </c>
      <c r="DD130" s="584"/>
      <c r="DE130" s="583"/>
    </row>
    <row r="131" spans="1:128" ht="39.950000000000003" hidden="1" customHeight="1">
      <c r="A131" s="604">
        <f>IF(OR($AV131&gt;0, $AX131&gt;0), 1, 0)</f>
        <v>0</v>
      </c>
      <c r="B131" s="604">
        <f>IF(OR($AY131&gt;0, $BA131&gt;0), 1, 0)</f>
        <v>0</v>
      </c>
      <c r="C131" s="604">
        <f>IF(OR($BB131&gt;0, $BD131&gt;0), 1, 0)</f>
        <v>0</v>
      </c>
      <c r="D131" s="604">
        <f>IF(OR($BE131&gt;0, $BG131&gt;0), 1, 0)</f>
        <v>0</v>
      </c>
      <c r="E131" s="604">
        <f>IF(OR($BH131&gt;0, $BJ131&gt;0), 1, 0)</f>
        <v>0</v>
      </c>
      <c r="F131" s="604">
        <f>IF(OR($BK131&gt;0, $BM131&gt;0), 1, 0)</f>
        <v>0</v>
      </c>
      <c r="G131" s="604">
        <f>IF(OR($BN131&gt;0, $BP131&gt;0), 1, 0)</f>
        <v>0</v>
      </c>
      <c r="H131" s="604">
        <f>IF(OR($BQ131&gt;0, $BS131&gt;0), 1, 0)</f>
        <v>0</v>
      </c>
      <c r="I131" s="604">
        <f>IF(OR($BT131&gt;0, $BV131&gt;0), 1, 0)</f>
        <v>0</v>
      </c>
      <c r="J131" s="604">
        <f>IF(OR($BW131&gt;0, $BY131&gt;0), 1, 0)</f>
        <v>0</v>
      </c>
      <c r="K131" s="604">
        <f>IF(OR($BZ131&gt;0, $CB131&gt;0), 1, 0)</f>
        <v>0</v>
      </c>
      <c r="L131" s="604">
        <f>IF(OR($CC131&gt;0, $CE131&gt;0), 1, 0)</f>
        <v>0</v>
      </c>
      <c r="M131" s="604">
        <f>IF(OR($CF131&gt;0, $CH131&gt;0), 1, 0)</f>
        <v>0</v>
      </c>
      <c r="N131" s="604">
        <f>IF(OR($CI131&gt;0, $CK131&gt;0), 1, 0)</f>
        <v>0</v>
      </c>
      <c r="O131" s="604">
        <f>IF(OR($CL131&gt;0, $CN131&gt;0), 1, 0)</f>
        <v>0</v>
      </c>
      <c r="P131" s="604">
        <f>IF(OR($CO131&gt;0, $CQ131&gt;0), 1, 0)</f>
        <v>0</v>
      </c>
      <c r="Q131" s="604">
        <f>IF(OR($CR131&gt;0, $CT131&gt;0), 1, 0)</f>
        <v>0</v>
      </c>
      <c r="R131" s="604">
        <f>IF(OR($CU131&gt;0, $CW131&gt;0), 1, 0)</f>
        <v>0</v>
      </c>
      <c r="S131" s="604">
        <f>IF(OR($CX131&gt;0, $CZ131&gt;0), 1, 0)</f>
        <v>0</v>
      </c>
      <c r="T131" s="604">
        <f>IF(OR($DA131&gt;0, $DC131&gt;0), 1, 0)</f>
        <v>0</v>
      </c>
      <c r="U131" s="603">
        <f>IF(OR($AI131&gt;0,$AM131&gt;0,$AS131&gt;0), 1, 0)</f>
        <v>0</v>
      </c>
      <c r="V131" s="602">
        <f>[1]BDD!A121</f>
        <v>1003</v>
      </c>
      <c r="W131" s="601" t="str">
        <f>[1]BDD!B121</f>
        <v>Haricot vert BIO</v>
      </c>
      <c r="X131" s="600" t="str">
        <f>IF([1]BDD!F121=0, "", [1]BDD!F121)</f>
        <v/>
      </c>
      <c r="Y131" s="542">
        <f>ROUND([1]BDD!G121+FDP_CMD_KG, 2)</f>
        <v>6.32</v>
      </c>
      <c r="Z131" s="542">
        <f>ROUND([1]BDD!G121+FDP_FACT_KG, 2)</f>
        <v>6.32</v>
      </c>
      <c r="AA131" s="543" t="str">
        <f>[1]BDD!H121</f>
        <v>kg</v>
      </c>
      <c r="AB131" s="544">
        <f>IF(NOT(ISBLANK([1]BDD!I121)), ROUND(SUM(([1]BDD!G121*reduc1),FDP_CMD_KG), 2), "")</f>
        <v>5.78</v>
      </c>
      <c r="AC131" s="544">
        <f>IF(NOT(ISBLANK([1]BDD!J121)), ROUND(SUM(([1]BDD!G121*reduc2),FDP_CMD_KG), 2), "")</f>
        <v>5.23</v>
      </c>
      <c r="AD131" s="544" t="str">
        <f>IF(NOT(ISBLANK([1]BDD!K121)), ROUND(SUM(([1]BDD!G121*reduc3),FDP_CMD_KG), 2), "")</f>
        <v/>
      </c>
      <c r="AE131" s="544">
        <f>IF(NOT(ISBLANK([1]BDD!I121)), ROUND(SUM(([1]BDD!G121*reduc1),FDP_FACT_KG), 2), "")</f>
        <v>5.77</v>
      </c>
      <c r="AF131" s="544">
        <f>IF(NOT(ISBLANK([1]BDD!J121)), ROUND(SUM(([1]BDD!G121*reduc2),FDP_FACT_KG), 2), "")</f>
        <v>5.23</v>
      </c>
      <c r="AG131" s="544" t="str">
        <f>IF(NOT(ISBLANK([1]BDD!K121)), ROUND(SUM(([1]BDD!G121*reduc3),FDP_FACT_KG), 2), "")</f>
        <v/>
      </c>
      <c r="AH131" s="599" t="str">
        <f>[1]BDD!C121</f>
        <v>Malaga</v>
      </c>
      <c r="AI131" s="598">
        <f>SUM(AV131,AY131,BB131,BE131,BH131,BK131,BN131,BQ131,BT131,BW131,BZ131,CC131,CF131,CI131,CL131,CO131,CR131,CU131,CX131,DA131)</f>
        <v>0</v>
      </c>
      <c r="AJ131" s="545">
        <f>_xlfn.IFS($AD131&lt;&gt;"", $AD131,    $AC131&lt;&gt;"", $AC131,    $AB131&lt;&gt;"", $AB131,    TRUE, $Y131)</f>
        <v>5.23</v>
      </c>
      <c r="AK131" s="592">
        <f>$AI131*$AJ131</f>
        <v>0</v>
      </c>
      <c r="AL131" s="594"/>
      <c r="AM131" s="597"/>
      <c r="AN131" s="545">
        <f>_xlfn.IFS(AND(AM131&gt;=60,$AG131&lt;&gt;""), $AG131,    AND(AM131&gt;=30,$AF131&lt;&gt;""), $AF131,    AND(AM131&gt;=10,$AE131&lt;&gt;""), $AE131,    TRUE, $Z131)</f>
        <v>6.32</v>
      </c>
      <c r="AO131" s="596">
        <f>AM131*AN131</f>
        <v>0</v>
      </c>
      <c r="AP131" s="595"/>
      <c r="AQ131" s="595"/>
      <c r="AR131" s="594"/>
      <c r="AS131" s="593">
        <f>SUM(AW131,AZ131,BC131,BF131,BI131,BL131,BO131,BR131,BU131,BX131,CA131,CD131,CG131,CJ131,CM131,CP131,CS131,CV131,CY131,DB131)</f>
        <v>0</v>
      </c>
      <c r="AT131" s="545">
        <f>_xlfn.IFS(AND(AS131&gt;=60,$AG131&lt;&gt;""), $AG131,    AND(AS131&gt;=30,$AF131&lt;&gt;""), $AF131,    AND(AS131&gt;=10,$AE131&lt;&gt;""), $AE131,    TRUE, $Z131)</f>
        <v>6.32</v>
      </c>
      <c r="AU131" s="592">
        <f>$AS131*$AT131</f>
        <v>0</v>
      </c>
      <c r="AV131" s="591">
        <f>[1]COMMANDE!O129</f>
        <v>0</v>
      </c>
      <c r="AW131" s="586" t="str">
        <f>_xlfn.IFS(AND($AI131=$AM131,$AI131&gt;0,$AM131&gt;0,AV131&gt;0), AV131,     AND(NOT($AI131=$AM131),$AI131&gt;0,$AM131&gt;0,AV131&gt;0), ($AM131*AV131)/$AI131,     AND($AI131=0,$AM131&gt;0,$AQ131&gt;0), IF(INDEX(AV$12:AV$263,MATCH($AQ131,$AP$12:$AP$263,0))&gt;0,($AM131*INDEX(AV$12:AV$263,MATCH($AQ131,$AP$12:$AP$263,0)))/INDEX($AI$12:$AI$263,MATCH($AQ131,$AP$12:$AP$263,0)), "-"),     TRUE, "0")</f>
        <v>0</v>
      </c>
      <c r="AX131" s="588">
        <f>IF(AW$9&gt;0, IF(OR(AW131="",AW131="-"), 0, AW131*$AT131), AV131*$AJ131)</f>
        <v>0</v>
      </c>
      <c r="AY131" s="587">
        <f>[1]COMMANDE!Q129</f>
        <v>0</v>
      </c>
      <c r="AZ131" s="586" t="str">
        <f>_xlfn.IFS(AND($AI131=$AM131,$AI131&gt;0,$AM131&gt;0,AY131&gt;0), AY131,     AND(NOT($AI131=$AM131),$AI131&gt;0,$AM131&gt;0,AY131&gt;0), ($AM131*AY131)/$AI131,     AND($AI131=0,$AM131&gt;0,$AQ131&gt;0), IF(INDEX(AY$12:AY$263,MATCH($AQ131,$AP$12:$AP$263,0))&gt;0,($AM131*INDEX(AY$12:AY$263,MATCH($AQ131,$AP$12:$AP$263,0)))/INDEX($AI$12:$AI$263,MATCH($AQ131,$AP$12:$AP$263,0)), "-"),     TRUE, "0")</f>
        <v>0</v>
      </c>
      <c r="BA131" s="607">
        <f>IF(AZ$9&gt;0, IF(OR(AZ131="",AZ131="-"), 0, AZ131*$AT131), AY131*$AJ131)</f>
        <v>0</v>
      </c>
      <c r="BB131" s="589">
        <f>[1]COMMANDE!S129</f>
        <v>0</v>
      </c>
      <c r="BC131" s="586" t="str">
        <f>_xlfn.IFS(AND($AI131=$AM131,$AI131&gt;0,$AM131&gt;0,BB131&gt;0), BB131,     AND(NOT($AI131=$AM131),$AI131&gt;0,$AM131&gt;0,BB131&gt;0), ($AM131*BB131)/$AI131,     AND($AI131=0,$AM131&gt;0,$AQ131&gt;0), IF(INDEX(BB$12:BB$263,MATCH($AQ131,$AP$12:$AP$263,0))&gt;0,($AM131*INDEX(BB$12:BB$263,MATCH($AQ131,$AP$12:$AP$263,0)))/INDEX($AI$12:$AI$263,MATCH($AQ131,$AP$12:$AP$263,0)), "-"),     TRUE, "0")</f>
        <v>0</v>
      </c>
      <c r="BD131" s="588">
        <f>IF(BC$9&gt;0, IF(OR(BC131="",BC131="-"), 0, BC131*$AT131), BB131*$AJ131)</f>
        <v>0</v>
      </c>
      <c r="BE131" s="587">
        <f>[1]COMMANDE!U129</f>
        <v>0</v>
      </c>
      <c r="BF131" s="586" t="str">
        <f>_xlfn.IFS(AND($AI131=$AM131,$AI131&gt;0,$AM131&gt;0,BE131&gt;0), BE131,     AND(NOT($AI131=$AM131),$AI131&gt;0,$AM131&gt;0,BE131&gt;0), ($AM131*BE131)/$AI131,     AND($AI131=0,$AM131&gt;0,$AQ131&gt;0), IF(INDEX(BE$12:BE$263,MATCH($AQ131,$AP$12:$AP$263,0))&gt;0,($AM131*INDEX(BE$12:BE$263,MATCH($AQ131,$AP$12:$AP$263,0)))/INDEX($AI$12:$AI$263,MATCH($AQ131,$AP$12:$AP$263,0)), "-"),     TRUE, "0")</f>
        <v>0</v>
      </c>
      <c r="BG131" s="607">
        <f>IF(BF$9&gt;0, IF(OR(BF131="",BF131="-"), 0, BF131*$AT131), BE131*$AJ131)</f>
        <v>0</v>
      </c>
      <c r="BH131" s="589">
        <f>[1]COMMANDE!W129</f>
        <v>0</v>
      </c>
      <c r="BI131" s="586" t="str">
        <f>_xlfn.IFS(AND($AI131=$AM131,$AI131&gt;0,$AM131&gt;0,BH131&gt;0), BH131,     AND(NOT($AI131=$AM131),$AI131&gt;0,$AM131&gt;0,BH131&gt;0), ($AM131*BH131)/$AI131,     AND($AI131=0,$AM131&gt;0,$AQ131&gt;0), IF(INDEX(BH$12:BH$263,MATCH($AQ131,$AP$12:$AP$263,0))&gt;0,($AM131*INDEX(BH$12:BH$263,MATCH($AQ131,$AP$12:$AP$263,0)))/INDEX($AI$12:$AI$263,MATCH($AQ131,$AP$12:$AP$263,0)), "-"),     TRUE, "0")</f>
        <v>0</v>
      </c>
      <c r="BJ131" s="588">
        <f>IF(BI$9&gt;0, IF(OR(BI131="",BI131="-"), 0, BI131*$AT131), BH131*$AJ131)</f>
        <v>0</v>
      </c>
      <c r="BK131" s="587">
        <f>[1]COMMANDE!Y129</f>
        <v>0</v>
      </c>
      <c r="BL131" s="586" t="str">
        <f>_xlfn.IFS(AND($AI131=$AM131,$AI131&gt;0,$AM131&gt;0,BK131&gt;0), BK131,     AND(NOT($AI131=$AM131),$AI131&gt;0,$AM131&gt;0,BK131&gt;0), ($AM131*BK131)/$AI131,     AND($AI131=0,$AM131&gt;0,$AQ131&gt;0), IF(INDEX(BK$12:BK$263,MATCH($AQ131,$AP$12:$AP$263,0))&gt;0,($AM131*INDEX(BK$12:BK$263,MATCH($AQ131,$AP$12:$AP$263,0)))/INDEX($AI$12:$AI$263,MATCH($AQ131,$AP$12:$AP$263,0)), "-"),     TRUE, "0")</f>
        <v>0</v>
      </c>
      <c r="BM131" s="607">
        <f>IF(BL$9&gt;0, IF(OR(BL131="",BL131="-"), 0, BL131*$AT131), BK131*$AJ131)</f>
        <v>0</v>
      </c>
      <c r="BN131" s="589">
        <f>[1]COMMANDE!AA129</f>
        <v>0</v>
      </c>
      <c r="BO131" s="586" t="str">
        <f>_xlfn.IFS(AND($AI131=$AM131,$AI131&gt;0,$AM131&gt;0,BN131&gt;0), BN131,     AND(NOT($AI131=$AM131),$AI131&gt;0,$AM131&gt;0,BN131&gt;0), ($AM131*BN131)/$AI131,     AND($AI131=0,$AM131&gt;0,$AQ131&gt;0), IF(INDEX(BN$12:BN$263,MATCH($AQ131,$AP$12:$AP$263,0))&gt;0,($AM131*INDEX(BN$12:BN$263,MATCH($AQ131,$AP$12:$AP$263,0)))/INDEX($AI$12:$AI$263,MATCH($AQ131,$AP$12:$AP$263,0)), "-"),     TRUE, "0")</f>
        <v>0</v>
      </c>
      <c r="BP131" s="588">
        <f>IF(BO$9&gt;0, IF(OR(BO131="",BO131="-"), 0, BO131*$AT131), BN131*$AJ131)</f>
        <v>0</v>
      </c>
      <c r="BQ131" s="587">
        <f>[1]COMMANDE!AC129</f>
        <v>0</v>
      </c>
      <c r="BR131" s="586" t="str">
        <f>_xlfn.IFS(AND($AI131=$AM131,$AI131&gt;0,$AM131&gt;0,BQ131&gt;0), BQ131,     AND(NOT($AI131=$AM131),$AI131&gt;0,$AM131&gt;0,BQ131&gt;0), ($AM131*BQ131)/$AI131,     AND($AI131=0,$AM131&gt;0,$AQ131&gt;0), IF(INDEX(BQ$12:BQ$263,MATCH($AQ131,$AP$12:$AP$263,0))&gt;0,($AM131*INDEX(BQ$12:BQ$263,MATCH($AQ131,$AP$12:$AP$263,0)))/INDEX($AI$12:$AI$263,MATCH($AQ131,$AP$12:$AP$263,0)), "-"),     TRUE, "0")</f>
        <v>0</v>
      </c>
      <c r="BS131" s="607">
        <f>IF(BR$9&gt;0, IF(OR(BR131="",BR131="-"), 0, BR131*$AT131), BQ131*$AJ131)</f>
        <v>0</v>
      </c>
      <c r="BT131" s="589">
        <f>[1]COMMANDE!AE129</f>
        <v>0</v>
      </c>
      <c r="BU131" s="586" t="str">
        <f>_xlfn.IFS(AND($AI131=$AM131,$AI131&gt;0,$AM131&gt;0,BT131&gt;0), BT131,     AND(NOT($AI131=$AM131),$AI131&gt;0,$AM131&gt;0,BT131&gt;0), ($AM131*BT131)/$AI131,     AND($AI131=0,$AM131&gt;0,$AQ131&gt;0), IF(INDEX(BT$12:BT$263,MATCH($AQ131,$AP$12:$AP$263,0))&gt;0,($AM131*INDEX(BT$12:BT$263,MATCH($AQ131,$AP$12:$AP$263,0)))/INDEX($AI$12:$AI$263,MATCH($AQ131,$AP$12:$AP$263,0)), "-"),     TRUE, "0")</f>
        <v>0</v>
      </c>
      <c r="BV131" s="588">
        <f>IF(BU$9&gt;0, IF(OR(BU131="",BU131="-"), 0, BU131*$AT131), BT131*$AJ131)</f>
        <v>0</v>
      </c>
      <c r="BW131" s="587">
        <f>[1]COMMANDE!AG129</f>
        <v>0</v>
      </c>
      <c r="BX131" s="586" t="str">
        <f>_xlfn.IFS(AND($AI131=$AM131,$AI131&gt;0,$AM131&gt;0,BW131&gt;0), BW131,     AND(NOT($AI131=$AM131),$AI131&gt;0,$AM131&gt;0,BW131&gt;0), ($AM131*BW131)/$AI131,     AND($AI131=0,$AM131&gt;0,$AQ131&gt;0), IF(INDEX(BW$12:BW$263,MATCH($AQ131,$AP$12:$AP$263,0))&gt;0,($AM131*INDEX(BW$12:BW$263,MATCH($AQ131,$AP$12:$AP$263,0)))/INDEX($AI$12:$AI$263,MATCH($AQ131,$AP$12:$AP$263,0)), "-"),     TRUE, "0")</f>
        <v>0</v>
      </c>
      <c r="BY131" s="607">
        <f>IF(BX$9&gt;0, IF(OR(BX131="",BX131="-"), 0, BX131*$AT131), BW131*$AJ131)</f>
        <v>0</v>
      </c>
      <c r="BZ131" s="589">
        <f>[1]COMMANDE!AI129</f>
        <v>0</v>
      </c>
      <c r="CA131" s="586" t="str">
        <f>_xlfn.IFS(AND($AI131=$AM131,$AI131&gt;0,$AM131&gt;0,BZ131&gt;0), BZ131,     AND(NOT($AI131=$AM131),$AI131&gt;0,$AM131&gt;0,BZ131&gt;0), ($AM131*BZ131)/$AI131,     AND($AI131=0,$AM131&gt;0,$AQ131&gt;0), IF(INDEX(BZ$12:BZ$263,MATCH($AQ131,$AP$12:$AP$263,0))&gt;0,($AM131*INDEX(BZ$12:BZ$263,MATCH($AQ131,$AP$12:$AP$263,0)))/INDEX($AI$12:$AI$263,MATCH($AQ131,$AP$12:$AP$263,0)), "-"),     TRUE, "0")</f>
        <v>0</v>
      </c>
      <c r="CB131" s="588">
        <f>IF(CA$9&gt;0, IF(OR(CA131="",CA131="-"), 0, CA131*$AT131), BZ131*$AJ131)</f>
        <v>0</v>
      </c>
      <c r="CC131" s="587">
        <f>[1]COMMANDE!AK129</f>
        <v>0</v>
      </c>
      <c r="CD131" s="586" t="str">
        <f>_xlfn.IFS(AND($AI131=$AM131,$AI131&gt;0,$AM131&gt;0,CC131&gt;0), CC131,     AND(NOT($AI131=$AM131),$AI131&gt;0,$AM131&gt;0,CC131&gt;0), ($AM131*CC131)/$AI131,     AND($AI131=0,$AM131&gt;0,$AQ131&gt;0), IF(INDEX(CC$12:CC$263,MATCH($AQ131,$AP$12:$AP$263,0))&gt;0,($AM131*INDEX(CC$12:CC$263,MATCH($AQ131,$AP$12:$AP$263,0)))/INDEX($AI$12:$AI$263,MATCH($AQ131,$AP$12:$AP$263,0)), "-"),     TRUE, "0")</f>
        <v>0</v>
      </c>
      <c r="CE131" s="607">
        <f>IF(CD$9&gt;0, IF(OR(CD131="",CD131="-"), 0, CD131*$AT131), CC131*$AJ131)</f>
        <v>0</v>
      </c>
      <c r="CF131" s="589">
        <f>[1]COMMANDE!AM129</f>
        <v>0</v>
      </c>
      <c r="CG131" s="586" t="str">
        <f>_xlfn.IFS(AND($AI131=$AM131,$AI131&gt;0,$AM131&gt;0,CF131&gt;0), CF131,     AND(NOT($AI131=$AM131),$AI131&gt;0,$AM131&gt;0,CF131&gt;0), ($AM131*CF131)/$AI131,     AND($AI131=0,$AM131&gt;0,$AQ131&gt;0), IF(INDEX(CF$12:CF$263,MATCH($AQ131,$AP$12:$AP$263,0))&gt;0,($AM131*INDEX(CF$12:CF$263,MATCH($AQ131,$AP$12:$AP$263,0)))/INDEX($AI$12:$AI$263,MATCH($AQ131,$AP$12:$AP$263,0)), "-"),     TRUE, "0")</f>
        <v>0</v>
      </c>
      <c r="CH131" s="588">
        <f>IF(CG$9&gt;0, IF(OR(CG131="",CG131="-"), 0, CG131*$AT131), CF131*$AJ131)</f>
        <v>0</v>
      </c>
      <c r="CI131" s="587">
        <f>[1]COMMANDE!AO129</f>
        <v>0</v>
      </c>
      <c r="CJ131" s="586" t="str">
        <f>_xlfn.IFS(AND($AI131=$AM131,$AI131&gt;0,$AM131&gt;0,CI131&gt;0), CI131,     AND(NOT($AI131=$AM131),$AI131&gt;0,$AM131&gt;0,CI131&gt;0), ($AM131*CI131)/$AI131,     AND($AI131=0,$AM131&gt;0,$AQ131&gt;0), IF(INDEX(CI$12:CI$263,MATCH($AQ131,$AP$12:$AP$263,0))&gt;0,($AM131*INDEX(CI$12:CI$263,MATCH($AQ131,$AP$12:$AP$263,0)))/INDEX($AI$12:$AI$263,MATCH($AQ131,$AP$12:$AP$263,0)), "-"),     TRUE, "0")</f>
        <v>0</v>
      </c>
      <c r="CK131" s="607">
        <f>IF(CJ$9&gt;0, IF(OR(CJ131="",CJ131="-"), 0, CJ131*$AT131), CI131*$AJ131)</f>
        <v>0</v>
      </c>
      <c r="CL131" s="589">
        <f>[1]COMMANDE!AQ129</f>
        <v>0</v>
      </c>
      <c r="CM131" s="586" t="str">
        <f>_xlfn.IFS(AND($AI131=$AM131,$AI131&gt;0,$AM131&gt;0,CL131&gt;0), CL131,     AND(NOT($AI131=$AM131),$AI131&gt;0,$AM131&gt;0,CL131&gt;0), ($AM131*CL131)/$AI131,     AND($AI131=0,$AM131&gt;0,$AQ131&gt;0), IF(INDEX(CL$12:CL$263,MATCH($AQ131,$AP$12:$AP$263,0))&gt;0,($AM131*INDEX(CL$12:CL$263,MATCH($AQ131,$AP$12:$AP$263,0)))/INDEX($AI$12:$AI$263,MATCH($AQ131,$AP$12:$AP$263,0)), "-"),     TRUE, "0")</f>
        <v>0</v>
      </c>
      <c r="CN131" s="588">
        <f>IF(CM$9&gt;0, IF(OR(CM131="",CM131="-"), 0, CM131*$AT131), CL131*$AJ131)</f>
        <v>0</v>
      </c>
      <c r="CO131" s="587">
        <f>[1]COMMANDE!AS129</f>
        <v>0</v>
      </c>
      <c r="CP131" s="586" t="str">
        <f>_xlfn.IFS(AND($AI131=$AM131,$AI131&gt;0,$AM131&gt;0,CO131&gt;0), CO131,     AND(NOT($AI131=$AM131),$AI131&gt;0,$AM131&gt;0,CO131&gt;0), ($AM131*CO131)/$AI131,     AND($AI131=0,$AM131&gt;0,$AQ131&gt;0), IF(INDEX(CO$12:CO$263,MATCH($AQ131,$AP$12:$AP$263,0))&gt;0,($AM131*INDEX(CO$12:CO$263,MATCH($AQ131,$AP$12:$AP$263,0)))/INDEX($AI$12:$AI$263,MATCH($AQ131,$AP$12:$AP$263,0)), "-"),     TRUE, "0")</f>
        <v>0</v>
      </c>
      <c r="CQ131" s="607">
        <f>IF(CP$9&gt;0, IF(OR(CP131="",CP131="-"), 0, CP131*$AT131), CO131*$AJ131)</f>
        <v>0</v>
      </c>
      <c r="CR131" s="589">
        <f>[1]COMMANDE!AU129</f>
        <v>0</v>
      </c>
      <c r="CS131" s="586" t="str">
        <f>_xlfn.IFS(AND($AI131=$AM131,$AI131&gt;0,$AM131&gt;0,CR131&gt;0), CR131,     AND(NOT($AI131=$AM131),$AI131&gt;0,$AM131&gt;0,CR131&gt;0), ($AM131*CR131)/$AI131,     AND($AI131=0,$AM131&gt;0,$AQ131&gt;0), IF(INDEX(CR$12:CR$263,MATCH($AQ131,$AP$12:$AP$263,0))&gt;0,($AM131*INDEX(CR$12:CR$263,MATCH($AQ131,$AP$12:$AP$263,0)))/INDEX($AI$12:$AI$263,MATCH($AQ131,$AP$12:$AP$263,0)), "-"),     TRUE, "0")</f>
        <v>0</v>
      </c>
      <c r="CT131" s="588">
        <f>IF(CS$9&gt;0, IF(OR(CS131="",CS131="-"), 0, CS131*$AT131), CR131*$AJ131)</f>
        <v>0</v>
      </c>
      <c r="CU131" s="587">
        <f>[1]COMMANDE!AW129</f>
        <v>0</v>
      </c>
      <c r="CV131" s="586" t="str">
        <f>_xlfn.IFS(AND($AI131=$AM131,$AI131&gt;0,$AM131&gt;0,CU131&gt;0), CU131,     AND(NOT($AI131=$AM131),$AI131&gt;0,$AM131&gt;0,CU131&gt;0), ($AM131*CU131)/$AI131,     AND($AI131=0,$AM131&gt;0,$AQ131&gt;0), IF(INDEX(CU$12:CU$263,MATCH($AQ131,$AP$12:$AP$263,0))&gt;0,($AM131*INDEX(CU$12:CU$263,MATCH($AQ131,$AP$12:$AP$263,0)))/INDEX($AI$12:$AI$263,MATCH($AQ131,$AP$12:$AP$263,0)), "-"),     TRUE, "0")</f>
        <v>0</v>
      </c>
      <c r="CW131" s="607">
        <f>IF(CV$9&gt;0, IF(OR(CV131="",CV131="-"), 0, CV131*$AT131), CU131*$AJ131)</f>
        <v>0</v>
      </c>
      <c r="CX131" s="589">
        <f>[1]COMMANDE!AY129</f>
        <v>0</v>
      </c>
      <c r="CY131" s="586" t="str">
        <f>_xlfn.IFS(AND($AI131=$AM131,$AI131&gt;0,$AM131&gt;0,CX131&gt;0), CX131,     AND(NOT($AI131=$AM131),$AI131&gt;0,$AM131&gt;0,CX131&gt;0), ($AM131*CX131)/$AI131,     AND($AI131=0,$AM131&gt;0,$AQ131&gt;0), IF(INDEX(CX$12:CX$263,MATCH($AQ131,$AP$12:$AP$263,0))&gt;0,($AM131*INDEX(CX$12:CX$263,MATCH($AQ131,$AP$12:$AP$263,0)))/INDEX($AI$12:$AI$263,MATCH($AQ131,$AP$12:$AP$263,0)), "-"),     TRUE, "0")</f>
        <v>0</v>
      </c>
      <c r="CZ131" s="588">
        <f>IF(CY$9&gt;0, IF(OR(CY131="",CY131="-"), 0, CY131*$AT131), CX131*$AJ131)</f>
        <v>0</v>
      </c>
      <c r="DA131" s="587">
        <f>[1]COMMANDE!BA129</f>
        <v>0</v>
      </c>
      <c r="DB131" s="586" t="str">
        <f>_xlfn.IFS(AND($AI131=$AM131,$AI131&gt;0,$AM131&gt;0,DA131&gt;0), DA131,     AND(NOT($AI131=$AM131),$AI131&gt;0,$AM131&gt;0,DA131&gt;0), ($AM131*DA131)/$AI131,     AND($AI131=0,$AM131&gt;0,$AQ131&gt;0), IF(INDEX(DA$12:DA$263,MATCH($AQ131,$AP$12:$AP$263,0))&gt;0,($AM131*INDEX(DA$12:DA$263,MATCH($AQ131,$AP$12:$AP$263,0)))/INDEX($AI$12:$AI$263,MATCH($AQ131,$AP$12:$AP$263,0)), "-"),     TRUE, "0")</f>
        <v>0</v>
      </c>
      <c r="DC131" s="606">
        <f>IF(DB$9&gt;0, IF(OR(DB131="",DB131="-"), 0, DB131*$AT131), DA131*$AJ131)</f>
        <v>0</v>
      </c>
      <c r="DD131" s="584"/>
      <c r="DE131" s="583"/>
    </row>
    <row r="132" spans="1:128" ht="39.950000000000003" hidden="1" customHeight="1">
      <c r="A132" s="604">
        <f>IF(OR($AV132&gt;0, $AX132&gt;0), 1, 0)</f>
        <v>0</v>
      </c>
      <c r="B132" s="604">
        <f>IF(OR($AY132&gt;0, $BA132&gt;0), 1, 0)</f>
        <v>0</v>
      </c>
      <c r="C132" s="604">
        <f>IF(OR($BB132&gt;0, $BD132&gt;0), 1, 0)</f>
        <v>0</v>
      </c>
      <c r="D132" s="604">
        <f>IF(OR($BE132&gt;0, $BG132&gt;0), 1, 0)</f>
        <v>0</v>
      </c>
      <c r="E132" s="604">
        <f>IF(OR($BH132&gt;0, $BJ132&gt;0), 1, 0)</f>
        <v>0</v>
      </c>
      <c r="F132" s="604">
        <f>IF(OR($BK132&gt;0, $BM132&gt;0), 1, 0)</f>
        <v>0</v>
      </c>
      <c r="G132" s="604">
        <f>IF(OR($BN132&gt;0, $BP132&gt;0), 1, 0)</f>
        <v>0</v>
      </c>
      <c r="H132" s="604">
        <f>IF(OR($BQ132&gt;0, $BS132&gt;0), 1, 0)</f>
        <v>0</v>
      </c>
      <c r="I132" s="604">
        <f>IF(OR($BT132&gt;0, $BV132&gt;0), 1, 0)</f>
        <v>0</v>
      </c>
      <c r="J132" s="604">
        <f>IF(OR($BW132&gt;0, $BY132&gt;0), 1, 0)</f>
        <v>0</v>
      </c>
      <c r="K132" s="604">
        <f>IF(OR($BZ132&gt;0, $CB132&gt;0), 1, 0)</f>
        <v>0</v>
      </c>
      <c r="L132" s="604">
        <f>IF(OR($CC132&gt;0, $CE132&gt;0), 1, 0)</f>
        <v>0</v>
      </c>
      <c r="M132" s="604">
        <f>IF(OR($CF132&gt;0, $CH132&gt;0), 1, 0)</f>
        <v>0</v>
      </c>
      <c r="N132" s="604">
        <f>IF(OR($CI132&gt;0, $CK132&gt;0), 1, 0)</f>
        <v>0</v>
      </c>
      <c r="O132" s="604">
        <f>IF(OR($CL132&gt;0, $CN132&gt;0), 1, 0)</f>
        <v>0</v>
      </c>
      <c r="P132" s="604">
        <f>IF(OR($CO132&gt;0, $CQ132&gt;0), 1, 0)</f>
        <v>0</v>
      </c>
      <c r="Q132" s="604">
        <f>IF(OR($CR132&gt;0, $CT132&gt;0), 1, 0)</f>
        <v>0</v>
      </c>
      <c r="R132" s="604">
        <f>IF(OR($CU132&gt;0, $CW132&gt;0), 1, 0)</f>
        <v>0</v>
      </c>
      <c r="S132" s="604">
        <f>IF(OR($CX132&gt;0, $CZ132&gt;0), 1, 0)</f>
        <v>0</v>
      </c>
      <c r="T132" s="604">
        <f>IF(OR($DA132&gt;0, $DC132&gt;0), 1, 0)</f>
        <v>0</v>
      </c>
      <c r="U132" s="603">
        <f>IF(OR($AI132&gt;0,$AM132&gt;0,$AS132&gt;0), 1, 0)</f>
        <v>0</v>
      </c>
      <c r="V132" s="602">
        <f>[1]BDD!A122</f>
        <v>6063</v>
      </c>
      <c r="W132" s="601" t="str">
        <f>[1]BDD!B122</f>
        <v>Huile d'olive Alorena 1L BIO (bouteille en verre)</v>
      </c>
      <c r="X132" s="600" t="str">
        <f>IF([1]BDD!F122=0, "", [1]BDD!F122)</f>
        <v/>
      </c>
      <c r="Y132" s="542">
        <f>ROUND([1]BDD!G122+FDP_CMD_KG, 2)</f>
        <v>10.17</v>
      </c>
      <c r="Z132" s="542">
        <f>ROUND([1]BDD!G122+FDP_FACT_KG, 2)</f>
        <v>10.17</v>
      </c>
      <c r="AA132" s="543" t="str">
        <f>[1]BDD!H122</f>
        <v>kg</v>
      </c>
      <c r="AB132" s="544" t="str">
        <f>IF(NOT(ISBLANK([1]BDD!I122)), ROUND(SUM(([1]BDD!G122*reduc1),FDP_CMD_KG), 2), "")</f>
        <v/>
      </c>
      <c r="AC132" s="544" t="str">
        <f>IF(NOT(ISBLANK([1]BDD!J122)), ROUND(SUM(([1]BDD!G122*reduc2),FDP_CMD_KG), 2), "")</f>
        <v/>
      </c>
      <c r="AD132" s="544" t="str">
        <f>IF(NOT(ISBLANK([1]BDD!K122)), ROUND(SUM(([1]BDD!G122*reduc3),FDP_CMD_KG), 2), "")</f>
        <v/>
      </c>
      <c r="AE132" s="544" t="str">
        <f>IF(NOT(ISBLANK([1]BDD!I122)), ROUND(SUM(([1]BDD!G122*reduc1),FDP_FACT_KG), 2), "")</f>
        <v/>
      </c>
      <c r="AF132" s="544" t="str">
        <f>IF(NOT(ISBLANK([1]BDD!J122)), ROUND(SUM(([1]BDD!G122*reduc2),FDP_FACT_KG), 2), "")</f>
        <v/>
      </c>
      <c r="AG132" s="544" t="str">
        <f>IF(NOT(ISBLANK([1]BDD!K122)), ROUND(SUM(([1]BDD!G122*reduc3),FDP_FACT_KG), 2), "")</f>
        <v/>
      </c>
      <c r="AH132" s="599" t="str">
        <f>[1]BDD!C122</f>
        <v>Malaga</v>
      </c>
      <c r="AI132" s="598">
        <f>SUM(AV132,AY132,BB132,BE132,BH132,BK132,BN132,BQ132,BT132,BW132,BZ132,CC132,CF132,CI132,CL132,CO132,CR132,CU132,CX132,DA132)</f>
        <v>0</v>
      </c>
      <c r="AJ132" s="545">
        <f>_xlfn.IFS($AD132&lt;&gt;"", $AD132,    $AC132&lt;&gt;"", $AC132,    $AB132&lt;&gt;"", $AB132,    TRUE, $Y132)</f>
        <v>10.17</v>
      </c>
      <c r="AK132" s="592">
        <f>$AI132*$AJ132</f>
        <v>0</v>
      </c>
      <c r="AL132" s="594"/>
      <c r="AM132" s="597"/>
      <c r="AN132" s="545">
        <f>_xlfn.IFS(AND(AM132&gt;=60,$AG132&lt;&gt;""), $AG132,    AND(AM132&gt;=30,$AF132&lt;&gt;""), $AF132,    AND(AM132&gt;=10,$AE132&lt;&gt;""), $AE132,    TRUE, $Z132)</f>
        <v>10.17</v>
      </c>
      <c r="AO132" s="596">
        <f>AM132*AN132</f>
        <v>0</v>
      </c>
      <c r="AP132" s="595"/>
      <c r="AQ132" s="595"/>
      <c r="AR132" s="594"/>
      <c r="AS132" s="593">
        <f>SUM(AW132,AZ132,BC132,BF132,BI132,BL132,BO132,BR132,BU132,BX132,CA132,CD132,CG132,CJ132,CM132,CP132,CS132,CV132,CY132,DB132)</f>
        <v>0</v>
      </c>
      <c r="AT132" s="545">
        <f>_xlfn.IFS(AND(AS132&gt;=60,$AG132&lt;&gt;""), $AG132,    AND(AS132&gt;=30,$AF132&lt;&gt;""), $AF132,    AND(AS132&gt;=10,$AE132&lt;&gt;""), $AE132,    TRUE, $Z132)</f>
        <v>10.17</v>
      </c>
      <c r="AU132" s="592">
        <f>$AS132*$AT132</f>
        <v>0</v>
      </c>
      <c r="AV132" s="591">
        <f>[1]COMMANDE!O130</f>
        <v>0</v>
      </c>
      <c r="AW132" s="586" t="str">
        <f>_xlfn.IFS(AND($AI132=$AM132,$AI132&gt;0,$AM132&gt;0,AV132&gt;0), AV132,     AND(NOT($AI132=$AM132),$AI132&gt;0,$AM132&gt;0,AV132&gt;0), ($AM132*AV132)/$AI132,     AND($AI132=0,$AM132&gt;0,$AQ132&gt;0), IF(INDEX(AV$12:AV$263,MATCH($AQ132,$AP$12:$AP$263,0))&gt;0,($AM132*INDEX(AV$12:AV$263,MATCH($AQ132,$AP$12:$AP$263,0)))/INDEX($AI$12:$AI$263,MATCH($AQ132,$AP$12:$AP$263,0)), "-"),     TRUE, "0")</f>
        <v>0</v>
      </c>
      <c r="AX132" s="588">
        <f>IF(AW$9&gt;0, IF(OR(AW132="",AW132="-"), 0, AW132*$AT132), AV132*$AJ132)</f>
        <v>0</v>
      </c>
      <c r="AY132" s="587">
        <f>[1]COMMANDE!Q130</f>
        <v>0</v>
      </c>
      <c r="AZ132" s="586" t="str">
        <f>_xlfn.IFS(AND($AI132=$AM132,$AI132&gt;0,$AM132&gt;0,AY132&gt;0), AY132,     AND(NOT($AI132=$AM132),$AI132&gt;0,$AM132&gt;0,AY132&gt;0), ($AM132*AY132)/$AI132,     AND($AI132=0,$AM132&gt;0,$AQ132&gt;0), IF(INDEX(AY$12:AY$263,MATCH($AQ132,$AP$12:$AP$263,0))&gt;0,($AM132*INDEX(AY$12:AY$263,MATCH($AQ132,$AP$12:$AP$263,0)))/INDEX($AI$12:$AI$263,MATCH($AQ132,$AP$12:$AP$263,0)), "-"),     TRUE, "0")</f>
        <v>0</v>
      </c>
      <c r="BA132" s="607">
        <f>IF(AZ$9&gt;0, IF(OR(AZ132="",AZ132="-"), 0, AZ132*$AT132), AY132*$AJ132)</f>
        <v>0</v>
      </c>
      <c r="BB132" s="589">
        <f>[1]COMMANDE!S130</f>
        <v>0</v>
      </c>
      <c r="BC132" s="586" t="str">
        <f>_xlfn.IFS(AND($AI132=$AM132,$AI132&gt;0,$AM132&gt;0,BB132&gt;0), BB132,     AND(NOT($AI132=$AM132),$AI132&gt;0,$AM132&gt;0,BB132&gt;0), ($AM132*BB132)/$AI132,     AND($AI132=0,$AM132&gt;0,$AQ132&gt;0), IF(INDEX(BB$12:BB$263,MATCH($AQ132,$AP$12:$AP$263,0))&gt;0,($AM132*INDEX(BB$12:BB$263,MATCH($AQ132,$AP$12:$AP$263,0)))/INDEX($AI$12:$AI$263,MATCH($AQ132,$AP$12:$AP$263,0)), "-"),     TRUE, "0")</f>
        <v>0</v>
      </c>
      <c r="BD132" s="588">
        <f>IF(BC$9&gt;0, IF(OR(BC132="",BC132="-"), 0, BC132*$AT132), BB132*$AJ132)</f>
        <v>0</v>
      </c>
      <c r="BE132" s="587">
        <f>[1]COMMANDE!U130</f>
        <v>0</v>
      </c>
      <c r="BF132" s="586" t="str">
        <f>_xlfn.IFS(AND($AI132=$AM132,$AI132&gt;0,$AM132&gt;0,BE132&gt;0), BE132,     AND(NOT($AI132=$AM132),$AI132&gt;0,$AM132&gt;0,BE132&gt;0), ($AM132*BE132)/$AI132,     AND($AI132=0,$AM132&gt;0,$AQ132&gt;0), IF(INDEX(BE$12:BE$263,MATCH($AQ132,$AP$12:$AP$263,0))&gt;0,($AM132*INDEX(BE$12:BE$263,MATCH($AQ132,$AP$12:$AP$263,0)))/INDEX($AI$12:$AI$263,MATCH($AQ132,$AP$12:$AP$263,0)), "-"),     TRUE, "0")</f>
        <v>0</v>
      </c>
      <c r="BG132" s="607">
        <f>IF(BF$9&gt;0, IF(OR(BF132="",BF132="-"), 0, BF132*$AT132), BE132*$AJ132)</f>
        <v>0</v>
      </c>
      <c r="BH132" s="589">
        <f>[1]COMMANDE!W130</f>
        <v>0</v>
      </c>
      <c r="BI132" s="586" t="str">
        <f>_xlfn.IFS(AND($AI132=$AM132,$AI132&gt;0,$AM132&gt;0,BH132&gt;0), BH132,     AND(NOT($AI132=$AM132),$AI132&gt;0,$AM132&gt;0,BH132&gt;0), ($AM132*BH132)/$AI132,     AND($AI132=0,$AM132&gt;0,$AQ132&gt;0), IF(INDEX(BH$12:BH$263,MATCH($AQ132,$AP$12:$AP$263,0))&gt;0,($AM132*INDEX(BH$12:BH$263,MATCH($AQ132,$AP$12:$AP$263,0)))/INDEX($AI$12:$AI$263,MATCH($AQ132,$AP$12:$AP$263,0)), "-"),     TRUE, "0")</f>
        <v>0</v>
      </c>
      <c r="BJ132" s="588">
        <f>IF(BI$9&gt;0, IF(OR(BI132="",BI132="-"), 0, BI132*$AT132), BH132*$AJ132)</f>
        <v>0</v>
      </c>
      <c r="BK132" s="587">
        <f>[1]COMMANDE!Y130</f>
        <v>0</v>
      </c>
      <c r="BL132" s="586" t="str">
        <f>_xlfn.IFS(AND($AI132=$AM132,$AI132&gt;0,$AM132&gt;0,BK132&gt;0), BK132,     AND(NOT($AI132=$AM132),$AI132&gt;0,$AM132&gt;0,BK132&gt;0), ($AM132*BK132)/$AI132,     AND($AI132=0,$AM132&gt;0,$AQ132&gt;0), IF(INDEX(BK$12:BK$263,MATCH($AQ132,$AP$12:$AP$263,0))&gt;0,($AM132*INDEX(BK$12:BK$263,MATCH($AQ132,$AP$12:$AP$263,0)))/INDEX($AI$12:$AI$263,MATCH($AQ132,$AP$12:$AP$263,0)), "-"),     TRUE, "0")</f>
        <v>0</v>
      </c>
      <c r="BM132" s="607">
        <f>IF(BL$9&gt;0, IF(OR(BL132="",BL132="-"), 0, BL132*$AT132), BK132*$AJ132)</f>
        <v>0</v>
      </c>
      <c r="BN132" s="589">
        <f>[1]COMMANDE!AA130</f>
        <v>0</v>
      </c>
      <c r="BO132" s="586" t="str">
        <f>_xlfn.IFS(AND($AI132=$AM132,$AI132&gt;0,$AM132&gt;0,BN132&gt;0), BN132,     AND(NOT($AI132=$AM132),$AI132&gt;0,$AM132&gt;0,BN132&gt;0), ($AM132*BN132)/$AI132,     AND($AI132=0,$AM132&gt;0,$AQ132&gt;0), IF(INDEX(BN$12:BN$263,MATCH($AQ132,$AP$12:$AP$263,0))&gt;0,($AM132*INDEX(BN$12:BN$263,MATCH($AQ132,$AP$12:$AP$263,0)))/INDEX($AI$12:$AI$263,MATCH($AQ132,$AP$12:$AP$263,0)), "-"),     TRUE, "0")</f>
        <v>0</v>
      </c>
      <c r="BP132" s="588">
        <f>IF(BO$9&gt;0, IF(OR(BO132="",BO132="-"), 0, BO132*$AT132), BN132*$AJ132)</f>
        <v>0</v>
      </c>
      <c r="BQ132" s="587">
        <f>[1]COMMANDE!AC130</f>
        <v>0</v>
      </c>
      <c r="BR132" s="586" t="str">
        <f>_xlfn.IFS(AND($AI132=$AM132,$AI132&gt;0,$AM132&gt;0,BQ132&gt;0), BQ132,     AND(NOT($AI132=$AM132),$AI132&gt;0,$AM132&gt;0,BQ132&gt;0), ($AM132*BQ132)/$AI132,     AND($AI132=0,$AM132&gt;0,$AQ132&gt;0), IF(INDEX(BQ$12:BQ$263,MATCH($AQ132,$AP$12:$AP$263,0))&gt;0,($AM132*INDEX(BQ$12:BQ$263,MATCH($AQ132,$AP$12:$AP$263,0)))/INDEX($AI$12:$AI$263,MATCH($AQ132,$AP$12:$AP$263,0)), "-"),     TRUE, "0")</f>
        <v>0</v>
      </c>
      <c r="BS132" s="607">
        <f>IF(BR$9&gt;0, IF(OR(BR132="",BR132="-"), 0, BR132*$AT132), BQ132*$AJ132)</f>
        <v>0</v>
      </c>
      <c r="BT132" s="589">
        <f>[1]COMMANDE!AE130</f>
        <v>0</v>
      </c>
      <c r="BU132" s="586" t="str">
        <f>_xlfn.IFS(AND($AI132=$AM132,$AI132&gt;0,$AM132&gt;0,BT132&gt;0), BT132,     AND(NOT($AI132=$AM132),$AI132&gt;0,$AM132&gt;0,BT132&gt;0), ($AM132*BT132)/$AI132,     AND($AI132=0,$AM132&gt;0,$AQ132&gt;0), IF(INDEX(BT$12:BT$263,MATCH($AQ132,$AP$12:$AP$263,0))&gt;0,($AM132*INDEX(BT$12:BT$263,MATCH($AQ132,$AP$12:$AP$263,0)))/INDEX($AI$12:$AI$263,MATCH($AQ132,$AP$12:$AP$263,0)), "-"),     TRUE, "0")</f>
        <v>0</v>
      </c>
      <c r="BV132" s="588">
        <f>IF(BU$9&gt;0, IF(OR(BU132="",BU132="-"), 0, BU132*$AT132), BT132*$AJ132)</f>
        <v>0</v>
      </c>
      <c r="BW132" s="587">
        <f>[1]COMMANDE!AG130</f>
        <v>0</v>
      </c>
      <c r="BX132" s="586" t="str">
        <f>_xlfn.IFS(AND($AI132=$AM132,$AI132&gt;0,$AM132&gt;0,BW132&gt;0), BW132,     AND(NOT($AI132=$AM132),$AI132&gt;0,$AM132&gt;0,BW132&gt;0), ($AM132*BW132)/$AI132,     AND($AI132=0,$AM132&gt;0,$AQ132&gt;0), IF(INDEX(BW$12:BW$263,MATCH($AQ132,$AP$12:$AP$263,0))&gt;0,($AM132*INDEX(BW$12:BW$263,MATCH($AQ132,$AP$12:$AP$263,0)))/INDEX($AI$12:$AI$263,MATCH($AQ132,$AP$12:$AP$263,0)), "-"),     TRUE, "0")</f>
        <v>0</v>
      </c>
      <c r="BY132" s="607">
        <f>IF(BX$9&gt;0, IF(OR(BX132="",BX132="-"), 0, BX132*$AT132), BW132*$AJ132)</f>
        <v>0</v>
      </c>
      <c r="BZ132" s="589">
        <f>[1]COMMANDE!AI130</f>
        <v>0</v>
      </c>
      <c r="CA132" s="586" t="str">
        <f>_xlfn.IFS(AND($AI132=$AM132,$AI132&gt;0,$AM132&gt;0,BZ132&gt;0), BZ132,     AND(NOT($AI132=$AM132),$AI132&gt;0,$AM132&gt;0,BZ132&gt;0), ($AM132*BZ132)/$AI132,     AND($AI132=0,$AM132&gt;0,$AQ132&gt;0), IF(INDEX(BZ$12:BZ$263,MATCH($AQ132,$AP$12:$AP$263,0))&gt;0,($AM132*INDEX(BZ$12:BZ$263,MATCH($AQ132,$AP$12:$AP$263,0)))/INDEX($AI$12:$AI$263,MATCH($AQ132,$AP$12:$AP$263,0)), "-"),     TRUE, "0")</f>
        <v>0</v>
      </c>
      <c r="CB132" s="588">
        <f>IF(CA$9&gt;0, IF(OR(CA132="",CA132="-"), 0, CA132*$AT132), BZ132*$AJ132)</f>
        <v>0</v>
      </c>
      <c r="CC132" s="587">
        <f>[1]COMMANDE!AK130</f>
        <v>0</v>
      </c>
      <c r="CD132" s="586" t="str">
        <f>_xlfn.IFS(AND($AI132=$AM132,$AI132&gt;0,$AM132&gt;0,CC132&gt;0), CC132,     AND(NOT($AI132=$AM132),$AI132&gt;0,$AM132&gt;0,CC132&gt;0), ($AM132*CC132)/$AI132,     AND($AI132=0,$AM132&gt;0,$AQ132&gt;0), IF(INDEX(CC$12:CC$263,MATCH($AQ132,$AP$12:$AP$263,0))&gt;0,($AM132*INDEX(CC$12:CC$263,MATCH($AQ132,$AP$12:$AP$263,0)))/INDEX($AI$12:$AI$263,MATCH($AQ132,$AP$12:$AP$263,0)), "-"),     TRUE, "0")</f>
        <v>0</v>
      </c>
      <c r="CE132" s="607">
        <f>IF(CD$9&gt;0, IF(OR(CD132="",CD132="-"), 0, CD132*$AT132), CC132*$AJ132)</f>
        <v>0</v>
      </c>
      <c r="CF132" s="589">
        <f>[1]COMMANDE!AM130</f>
        <v>0</v>
      </c>
      <c r="CG132" s="586" t="str">
        <f>_xlfn.IFS(AND($AI132=$AM132,$AI132&gt;0,$AM132&gt;0,CF132&gt;0), CF132,     AND(NOT($AI132=$AM132),$AI132&gt;0,$AM132&gt;0,CF132&gt;0), ($AM132*CF132)/$AI132,     AND($AI132=0,$AM132&gt;0,$AQ132&gt;0), IF(INDEX(CF$12:CF$263,MATCH($AQ132,$AP$12:$AP$263,0))&gt;0,($AM132*INDEX(CF$12:CF$263,MATCH($AQ132,$AP$12:$AP$263,0)))/INDEX($AI$12:$AI$263,MATCH($AQ132,$AP$12:$AP$263,0)), "-"),     TRUE, "0")</f>
        <v>0</v>
      </c>
      <c r="CH132" s="588">
        <f>IF(CG$9&gt;0, IF(OR(CG132="",CG132="-"), 0, CG132*$AT132), CF132*$AJ132)</f>
        <v>0</v>
      </c>
      <c r="CI132" s="587">
        <f>[1]COMMANDE!AO130</f>
        <v>0</v>
      </c>
      <c r="CJ132" s="586" t="str">
        <f>_xlfn.IFS(AND($AI132=$AM132,$AI132&gt;0,$AM132&gt;0,CI132&gt;0), CI132,     AND(NOT($AI132=$AM132),$AI132&gt;0,$AM132&gt;0,CI132&gt;0), ($AM132*CI132)/$AI132,     AND($AI132=0,$AM132&gt;0,$AQ132&gt;0), IF(INDEX(CI$12:CI$263,MATCH($AQ132,$AP$12:$AP$263,0))&gt;0,($AM132*INDEX(CI$12:CI$263,MATCH($AQ132,$AP$12:$AP$263,0)))/INDEX($AI$12:$AI$263,MATCH($AQ132,$AP$12:$AP$263,0)), "-"),     TRUE, "0")</f>
        <v>0</v>
      </c>
      <c r="CK132" s="607">
        <f>IF(CJ$9&gt;0, IF(OR(CJ132="",CJ132="-"), 0, CJ132*$AT132), CI132*$AJ132)</f>
        <v>0</v>
      </c>
      <c r="CL132" s="589">
        <f>[1]COMMANDE!AQ130</f>
        <v>0</v>
      </c>
      <c r="CM132" s="586" t="str">
        <f>_xlfn.IFS(AND($AI132=$AM132,$AI132&gt;0,$AM132&gt;0,CL132&gt;0), CL132,     AND(NOT($AI132=$AM132),$AI132&gt;0,$AM132&gt;0,CL132&gt;0), ($AM132*CL132)/$AI132,     AND($AI132=0,$AM132&gt;0,$AQ132&gt;0), IF(INDEX(CL$12:CL$263,MATCH($AQ132,$AP$12:$AP$263,0))&gt;0,($AM132*INDEX(CL$12:CL$263,MATCH($AQ132,$AP$12:$AP$263,0)))/INDEX($AI$12:$AI$263,MATCH($AQ132,$AP$12:$AP$263,0)), "-"),     TRUE, "0")</f>
        <v>0</v>
      </c>
      <c r="CN132" s="588">
        <f>IF(CM$9&gt;0, IF(OR(CM132="",CM132="-"), 0, CM132*$AT132), CL132*$AJ132)</f>
        <v>0</v>
      </c>
      <c r="CO132" s="587">
        <f>[1]COMMANDE!AS130</f>
        <v>0</v>
      </c>
      <c r="CP132" s="586" t="str">
        <f>_xlfn.IFS(AND($AI132=$AM132,$AI132&gt;0,$AM132&gt;0,CO132&gt;0), CO132,     AND(NOT($AI132=$AM132),$AI132&gt;0,$AM132&gt;0,CO132&gt;0), ($AM132*CO132)/$AI132,     AND($AI132=0,$AM132&gt;0,$AQ132&gt;0), IF(INDEX(CO$12:CO$263,MATCH($AQ132,$AP$12:$AP$263,0))&gt;0,($AM132*INDEX(CO$12:CO$263,MATCH($AQ132,$AP$12:$AP$263,0)))/INDEX($AI$12:$AI$263,MATCH($AQ132,$AP$12:$AP$263,0)), "-"),     TRUE, "0")</f>
        <v>0</v>
      </c>
      <c r="CQ132" s="607">
        <f>IF(CP$9&gt;0, IF(OR(CP132="",CP132="-"), 0, CP132*$AT132), CO132*$AJ132)</f>
        <v>0</v>
      </c>
      <c r="CR132" s="589">
        <f>[1]COMMANDE!AU130</f>
        <v>0</v>
      </c>
      <c r="CS132" s="586" t="str">
        <f>_xlfn.IFS(AND($AI132=$AM132,$AI132&gt;0,$AM132&gt;0,CR132&gt;0), CR132,     AND(NOT($AI132=$AM132),$AI132&gt;0,$AM132&gt;0,CR132&gt;0), ($AM132*CR132)/$AI132,     AND($AI132=0,$AM132&gt;0,$AQ132&gt;0), IF(INDEX(CR$12:CR$263,MATCH($AQ132,$AP$12:$AP$263,0))&gt;0,($AM132*INDEX(CR$12:CR$263,MATCH($AQ132,$AP$12:$AP$263,0)))/INDEX($AI$12:$AI$263,MATCH($AQ132,$AP$12:$AP$263,0)), "-"),     TRUE, "0")</f>
        <v>0</v>
      </c>
      <c r="CT132" s="588">
        <f>IF(CS$9&gt;0, IF(OR(CS132="",CS132="-"), 0, CS132*$AT132), CR132*$AJ132)</f>
        <v>0</v>
      </c>
      <c r="CU132" s="587">
        <f>[1]COMMANDE!AW130</f>
        <v>0</v>
      </c>
      <c r="CV132" s="586" t="str">
        <f>_xlfn.IFS(AND($AI132=$AM132,$AI132&gt;0,$AM132&gt;0,CU132&gt;0), CU132,     AND(NOT($AI132=$AM132),$AI132&gt;0,$AM132&gt;0,CU132&gt;0), ($AM132*CU132)/$AI132,     AND($AI132=0,$AM132&gt;0,$AQ132&gt;0), IF(INDEX(CU$12:CU$263,MATCH($AQ132,$AP$12:$AP$263,0))&gt;0,($AM132*INDEX(CU$12:CU$263,MATCH($AQ132,$AP$12:$AP$263,0)))/INDEX($AI$12:$AI$263,MATCH($AQ132,$AP$12:$AP$263,0)), "-"),     TRUE, "0")</f>
        <v>0</v>
      </c>
      <c r="CW132" s="607">
        <f>IF(CV$9&gt;0, IF(OR(CV132="",CV132="-"), 0, CV132*$AT132), CU132*$AJ132)</f>
        <v>0</v>
      </c>
      <c r="CX132" s="589">
        <f>[1]COMMANDE!AY130</f>
        <v>0</v>
      </c>
      <c r="CY132" s="586" t="str">
        <f>_xlfn.IFS(AND($AI132=$AM132,$AI132&gt;0,$AM132&gt;0,CX132&gt;0), CX132,     AND(NOT($AI132=$AM132),$AI132&gt;0,$AM132&gt;0,CX132&gt;0), ($AM132*CX132)/$AI132,     AND($AI132=0,$AM132&gt;0,$AQ132&gt;0), IF(INDEX(CX$12:CX$263,MATCH($AQ132,$AP$12:$AP$263,0))&gt;0,($AM132*INDEX(CX$12:CX$263,MATCH($AQ132,$AP$12:$AP$263,0)))/INDEX($AI$12:$AI$263,MATCH($AQ132,$AP$12:$AP$263,0)), "-"),     TRUE, "0")</f>
        <v>0</v>
      </c>
      <c r="CZ132" s="588">
        <f>IF(CY$9&gt;0, IF(OR(CY132="",CY132="-"), 0, CY132*$AT132), CX132*$AJ132)</f>
        <v>0</v>
      </c>
      <c r="DA132" s="587">
        <f>[1]COMMANDE!BA130</f>
        <v>0</v>
      </c>
      <c r="DB132" s="586" t="str">
        <f>_xlfn.IFS(AND($AI132=$AM132,$AI132&gt;0,$AM132&gt;0,DA132&gt;0), DA132,     AND(NOT($AI132=$AM132),$AI132&gt;0,$AM132&gt;0,DA132&gt;0), ($AM132*DA132)/$AI132,     AND($AI132=0,$AM132&gt;0,$AQ132&gt;0), IF(INDEX(DA$12:DA$263,MATCH($AQ132,$AP$12:$AP$263,0))&gt;0,($AM132*INDEX(DA$12:DA$263,MATCH($AQ132,$AP$12:$AP$263,0)))/INDEX($AI$12:$AI$263,MATCH($AQ132,$AP$12:$AP$263,0)), "-"),     TRUE, "0")</f>
        <v>0</v>
      </c>
      <c r="DC132" s="606">
        <f>IF(DB$9&gt;0, IF(OR(DB132="",DB132="-"), 0, DB132*$AT132), DA132*$AJ132)</f>
        <v>0</v>
      </c>
      <c r="DD132" s="584"/>
      <c r="DE132" s="583"/>
    </row>
    <row r="133" spans="1:128" ht="39.950000000000003" hidden="1" customHeight="1">
      <c r="A133" s="604">
        <f>IF(OR($AV133&gt;0, $AX133&gt;0), 1, 0)</f>
        <v>0</v>
      </c>
      <c r="B133" s="604">
        <f>IF(OR($AY133&gt;0, $BA133&gt;0), 1, 0)</f>
        <v>0</v>
      </c>
      <c r="C133" s="604">
        <f>IF(OR($BB133&gt;0, $BD133&gt;0), 1, 0)</f>
        <v>0</v>
      </c>
      <c r="D133" s="604">
        <f>IF(OR($BE133&gt;0, $BG133&gt;0), 1, 0)</f>
        <v>0</v>
      </c>
      <c r="E133" s="604">
        <f>IF(OR($BH133&gt;0, $BJ133&gt;0), 1, 0)</f>
        <v>0</v>
      </c>
      <c r="F133" s="604">
        <f>IF(OR($BK133&gt;0, $BM133&gt;0), 1, 0)</f>
        <v>0</v>
      </c>
      <c r="G133" s="604">
        <f>IF(OR($BN133&gt;0, $BP133&gt;0), 1, 0)</f>
        <v>0</v>
      </c>
      <c r="H133" s="604">
        <f>IF(OR($BQ133&gt;0, $BS133&gt;0), 1, 0)</f>
        <v>0</v>
      </c>
      <c r="I133" s="604">
        <f>IF(OR($BT133&gt;0, $BV133&gt;0), 1, 0)</f>
        <v>0</v>
      </c>
      <c r="J133" s="604">
        <f>IF(OR($BW133&gt;0, $BY133&gt;0), 1, 0)</f>
        <v>0</v>
      </c>
      <c r="K133" s="604">
        <f>IF(OR($BZ133&gt;0, $CB133&gt;0), 1, 0)</f>
        <v>0</v>
      </c>
      <c r="L133" s="604">
        <f>IF(OR($CC133&gt;0, $CE133&gt;0), 1, 0)</f>
        <v>0</v>
      </c>
      <c r="M133" s="604">
        <f>IF(OR($CF133&gt;0, $CH133&gt;0), 1, 0)</f>
        <v>0</v>
      </c>
      <c r="N133" s="604">
        <f>IF(OR($CI133&gt;0, $CK133&gt;0), 1, 0)</f>
        <v>0</v>
      </c>
      <c r="O133" s="604">
        <f>IF(OR($CL133&gt;0, $CN133&gt;0), 1, 0)</f>
        <v>0</v>
      </c>
      <c r="P133" s="604">
        <f>IF(OR($CO133&gt;0, $CQ133&gt;0), 1, 0)</f>
        <v>0</v>
      </c>
      <c r="Q133" s="604">
        <f>IF(OR($CR133&gt;0, $CT133&gt;0), 1, 0)</f>
        <v>0</v>
      </c>
      <c r="R133" s="604">
        <f>IF(OR($CU133&gt;0, $CW133&gt;0), 1, 0)</f>
        <v>0</v>
      </c>
      <c r="S133" s="604">
        <f>IF(OR($CX133&gt;0, $CZ133&gt;0), 1, 0)</f>
        <v>0</v>
      </c>
      <c r="T133" s="604">
        <f>IF(OR($DA133&gt;0, $DC133&gt;0), 1, 0)</f>
        <v>0</v>
      </c>
      <c r="U133" s="603">
        <f>IF(OR($AI133&gt;0,$AM133&gt;0,$AS133&gt;0), 1, 0)</f>
        <v>0</v>
      </c>
      <c r="V133" s="602">
        <f>[1]BDD!A123</f>
        <v>6064</v>
      </c>
      <c r="W133" s="601" t="str">
        <f>[1]BDD!B123</f>
        <v>Huile d'olive Aloreña 5L BIO (bidon métal)</v>
      </c>
      <c r="X133" s="600" t="str">
        <f>IF([1]BDD!F123=0, "", [1]BDD!F123)</f>
        <v>❤️</v>
      </c>
      <c r="Y133" s="542">
        <f>ROUND([1]BDD!G123+FDP_CMD_KG, 2)</f>
        <v>41.94</v>
      </c>
      <c r="Z133" s="542">
        <f>ROUND([1]BDD!G123+FDP_FACT_KG, 2)</f>
        <v>41.94</v>
      </c>
      <c r="AA133" s="543" t="str">
        <f>[1]BDD!H123</f>
        <v>5l</v>
      </c>
      <c r="AB133" s="544" t="str">
        <f>IF(NOT(ISBLANK([1]BDD!I123)), ROUND(SUM(([1]BDD!G123*reduc1),FDP_CMD_KG), 2), "")</f>
        <v/>
      </c>
      <c r="AC133" s="544" t="str">
        <f>IF(NOT(ISBLANK([1]BDD!J123)), ROUND(SUM(([1]BDD!G123*reduc2),FDP_CMD_KG), 2), "")</f>
        <v/>
      </c>
      <c r="AD133" s="544" t="str">
        <f>IF(NOT(ISBLANK([1]BDD!K123)), ROUND(SUM(([1]BDD!G123*reduc3),FDP_CMD_KG), 2), "")</f>
        <v/>
      </c>
      <c r="AE133" s="544" t="str">
        <f>IF(NOT(ISBLANK([1]BDD!I123)), ROUND(SUM(([1]BDD!G123*reduc1),FDP_FACT_KG), 2), "")</f>
        <v/>
      </c>
      <c r="AF133" s="544" t="str">
        <f>IF(NOT(ISBLANK([1]BDD!J123)), ROUND(SUM(([1]BDD!G123*reduc2),FDP_FACT_KG), 2), "")</f>
        <v/>
      </c>
      <c r="AG133" s="544" t="str">
        <f>IF(NOT(ISBLANK([1]BDD!K123)), ROUND(SUM(([1]BDD!G123*reduc3),FDP_FACT_KG), 2), "")</f>
        <v/>
      </c>
      <c r="AH133" s="599" t="str">
        <f>[1]BDD!C123</f>
        <v>Malaga</v>
      </c>
      <c r="AI133" s="598">
        <f>SUM(AV133,AY133,BB133,BE133,BH133,BK133,BN133,BQ133,BT133,BW133,BZ133,CC133,CF133,CI133,CL133,CO133,CR133,CU133,CX133,DA133)</f>
        <v>0</v>
      </c>
      <c r="AJ133" s="545">
        <f>_xlfn.IFS($AD133&lt;&gt;"", $AD133,    $AC133&lt;&gt;"", $AC133,    $AB133&lt;&gt;"", $AB133,    TRUE, $Y133)</f>
        <v>41.94</v>
      </c>
      <c r="AK133" s="592">
        <f>$AI133*$AJ133</f>
        <v>0</v>
      </c>
      <c r="AL133" s="594"/>
      <c r="AM133" s="597"/>
      <c r="AN133" s="545">
        <f>_xlfn.IFS(AND(AM133&gt;=60,$AG133&lt;&gt;""), $AG133,    AND(AM133&gt;=30,$AF133&lt;&gt;""), $AF133,    AND(AM133&gt;=10,$AE133&lt;&gt;""), $AE133,    TRUE, $Z133)</f>
        <v>41.94</v>
      </c>
      <c r="AO133" s="596">
        <f>AM133*AN133</f>
        <v>0</v>
      </c>
      <c r="AP133" s="595"/>
      <c r="AQ133" s="595"/>
      <c r="AR133" s="594"/>
      <c r="AS133" s="593">
        <f>SUM(AW133,AZ133,BC133,BF133,BI133,BL133,BO133,BR133,BU133,BX133,CA133,CD133,CG133,CJ133,CM133,CP133,CS133,CV133,CY133,DB133)</f>
        <v>0</v>
      </c>
      <c r="AT133" s="545">
        <f>_xlfn.IFS(AND(AS133&gt;=60,$AG133&lt;&gt;""), $AG133,    AND(AS133&gt;=30,$AF133&lt;&gt;""), $AF133,    AND(AS133&gt;=10,$AE133&lt;&gt;""), $AE133,    TRUE, $Z133)</f>
        <v>41.94</v>
      </c>
      <c r="AU133" s="592">
        <f>$AS133*$AT133</f>
        <v>0</v>
      </c>
      <c r="AV133" s="591">
        <f>[1]COMMANDE!O131</f>
        <v>0</v>
      </c>
      <c r="AW133" s="586" t="str">
        <f>_xlfn.IFS(AND($AI133=$AM133,$AI133&gt;0,$AM133&gt;0,AV133&gt;0), AV133,     AND(NOT($AI133=$AM133),$AI133&gt;0,$AM133&gt;0,AV133&gt;0), ($AM133*AV133)/$AI133,     AND($AI133=0,$AM133&gt;0,$AQ133&gt;0), IF(INDEX(AV$12:AV$263,MATCH($AQ133,$AP$12:$AP$263,0))&gt;0,($AM133*INDEX(AV$12:AV$263,MATCH($AQ133,$AP$12:$AP$263,0)))/INDEX($AI$12:$AI$263,MATCH($AQ133,$AP$12:$AP$263,0)), "-"),     TRUE, "0")</f>
        <v>0</v>
      </c>
      <c r="AX133" s="588">
        <f>IF(AW$9&gt;0, IF(OR(AW133="",AW133="-"), 0, AW133*$AT133), AV133*$AJ133)</f>
        <v>0</v>
      </c>
      <c r="AY133" s="587">
        <f>[1]COMMANDE!Q131</f>
        <v>0</v>
      </c>
      <c r="AZ133" s="586" t="str">
        <f>_xlfn.IFS(AND($AI133=$AM133,$AI133&gt;0,$AM133&gt;0,AY133&gt;0), AY133,     AND(NOT($AI133=$AM133),$AI133&gt;0,$AM133&gt;0,AY133&gt;0), ($AM133*AY133)/$AI133,     AND($AI133=0,$AM133&gt;0,$AQ133&gt;0), IF(INDEX(AY$12:AY$263,MATCH($AQ133,$AP$12:$AP$263,0))&gt;0,($AM133*INDEX(AY$12:AY$263,MATCH($AQ133,$AP$12:$AP$263,0)))/INDEX($AI$12:$AI$263,MATCH($AQ133,$AP$12:$AP$263,0)), "-"),     TRUE, "0")</f>
        <v>0</v>
      </c>
      <c r="BA133" s="607">
        <f>IF(AZ$9&gt;0, IF(OR(AZ133="",AZ133="-"), 0, AZ133*$AT133), AY133*$AJ133)</f>
        <v>0</v>
      </c>
      <c r="BB133" s="589">
        <f>[1]COMMANDE!S131</f>
        <v>0</v>
      </c>
      <c r="BC133" s="586" t="str">
        <f>_xlfn.IFS(AND($AI133=$AM133,$AI133&gt;0,$AM133&gt;0,BB133&gt;0), BB133,     AND(NOT($AI133=$AM133),$AI133&gt;0,$AM133&gt;0,BB133&gt;0), ($AM133*BB133)/$AI133,     AND($AI133=0,$AM133&gt;0,$AQ133&gt;0), IF(INDEX(BB$12:BB$263,MATCH($AQ133,$AP$12:$AP$263,0))&gt;0,($AM133*INDEX(BB$12:BB$263,MATCH($AQ133,$AP$12:$AP$263,0)))/INDEX($AI$12:$AI$263,MATCH($AQ133,$AP$12:$AP$263,0)), "-"),     TRUE, "0")</f>
        <v>0</v>
      </c>
      <c r="BD133" s="588">
        <f>IF(BC$9&gt;0, IF(OR(BC133="",BC133="-"), 0, BC133*$AT133), BB133*$AJ133)</f>
        <v>0</v>
      </c>
      <c r="BE133" s="587">
        <f>[1]COMMANDE!U131</f>
        <v>0</v>
      </c>
      <c r="BF133" s="586" t="str">
        <f>_xlfn.IFS(AND($AI133=$AM133,$AI133&gt;0,$AM133&gt;0,BE133&gt;0), BE133,     AND(NOT($AI133=$AM133),$AI133&gt;0,$AM133&gt;0,BE133&gt;0), ($AM133*BE133)/$AI133,     AND($AI133=0,$AM133&gt;0,$AQ133&gt;0), IF(INDEX(BE$12:BE$263,MATCH($AQ133,$AP$12:$AP$263,0))&gt;0,($AM133*INDEX(BE$12:BE$263,MATCH($AQ133,$AP$12:$AP$263,0)))/INDEX($AI$12:$AI$263,MATCH($AQ133,$AP$12:$AP$263,0)), "-"),     TRUE, "0")</f>
        <v>0</v>
      </c>
      <c r="BG133" s="607">
        <f>IF(BF$9&gt;0, IF(OR(BF133="",BF133="-"), 0, BF133*$AT133), BE133*$AJ133)</f>
        <v>0</v>
      </c>
      <c r="BH133" s="589">
        <f>[1]COMMANDE!W131</f>
        <v>0</v>
      </c>
      <c r="BI133" s="586" t="str">
        <f>_xlfn.IFS(AND($AI133=$AM133,$AI133&gt;0,$AM133&gt;0,BH133&gt;0), BH133,     AND(NOT($AI133=$AM133),$AI133&gt;0,$AM133&gt;0,BH133&gt;0), ($AM133*BH133)/$AI133,     AND($AI133=0,$AM133&gt;0,$AQ133&gt;0), IF(INDEX(BH$12:BH$263,MATCH($AQ133,$AP$12:$AP$263,0))&gt;0,($AM133*INDEX(BH$12:BH$263,MATCH($AQ133,$AP$12:$AP$263,0)))/INDEX($AI$12:$AI$263,MATCH($AQ133,$AP$12:$AP$263,0)), "-"),     TRUE, "0")</f>
        <v>0</v>
      </c>
      <c r="BJ133" s="588">
        <f>IF(BI$9&gt;0, IF(OR(BI133="",BI133="-"), 0, BI133*$AT133), BH133*$AJ133)</f>
        <v>0</v>
      </c>
      <c r="BK133" s="587">
        <f>[1]COMMANDE!Y131</f>
        <v>0</v>
      </c>
      <c r="BL133" s="586" t="str">
        <f>_xlfn.IFS(AND($AI133=$AM133,$AI133&gt;0,$AM133&gt;0,BK133&gt;0), BK133,     AND(NOT($AI133=$AM133),$AI133&gt;0,$AM133&gt;0,BK133&gt;0), ($AM133*BK133)/$AI133,     AND($AI133=0,$AM133&gt;0,$AQ133&gt;0), IF(INDEX(BK$12:BK$263,MATCH($AQ133,$AP$12:$AP$263,0))&gt;0,($AM133*INDEX(BK$12:BK$263,MATCH($AQ133,$AP$12:$AP$263,0)))/INDEX($AI$12:$AI$263,MATCH($AQ133,$AP$12:$AP$263,0)), "-"),     TRUE, "0")</f>
        <v>0</v>
      </c>
      <c r="BM133" s="607">
        <f>IF(BL$9&gt;0, IF(OR(BL133="",BL133="-"), 0, BL133*$AT133), BK133*$AJ133)</f>
        <v>0</v>
      </c>
      <c r="BN133" s="589">
        <f>[1]COMMANDE!AA131</f>
        <v>0</v>
      </c>
      <c r="BO133" s="586" t="str">
        <f>_xlfn.IFS(AND($AI133=$AM133,$AI133&gt;0,$AM133&gt;0,BN133&gt;0), BN133,     AND(NOT($AI133=$AM133),$AI133&gt;0,$AM133&gt;0,BN133&gt;0), ($AM133*BN133)/$AI133,     AND($AI133=0,$AM133&gt;0,$AQ133&gt;0), IF(INDEX(BN$12:BN$263,MATCH($AQ133,$AP$12:$AP$263,0))&gt;0,($AM133*INDEX(BN$12:BN$263,MATCH($AQ133,$AP$12:$AP$263,0)))/INDEX($AI$12:$AI$263,MATCH($AQ133,$AP$12:$AP$263,0)), "-"),     TRUE, "0")</f>
        <v>0</v>
      </c>
      <c r="BP133" s="588">
        <f>IF(BO$9&gt;0, IF(OR(BO133="",BO133="-"), 0, BO133*$AT133), BN133*$AJ133)</f>
        <v>0</v>
      </c>
      <c r="BQ133" s="587">
        <f>[1]COMMANDE!AC131</f>
        <v>0</v>
      </c>
      <c r="BR133" s="586" t="str">
        <f>_xlfn.IFS(AND($AI133=$AM133,$AI133&gt;0,$AM133&gt;0,BQ133&gt;0), BQ133,     AND(NOT($AI133=$AM133),$AI133&gt;0,$AM133&gt;0,BQ133&gt;0), ($AM133*BQ133)/$AI133,     AND($AI133=0,$AM133&gt;0,$AQ133&gt;0), IF(INDEX(BQ$12:BQ$263,MATCH($AQ133,$AP$12:$AP$263,0))&gt;0,($AM133*INDEX(BQ$12:BQ$263,MATCH($AQ133,$AP$12:$AP$263,0)))/INDEX($AI$12:$AI$263,MATCH($AQ133,$AP$12:$AP$263,0)), "-"),     TRUE, "0")</f>
        <v>0</v>
      </c>
      <c r="BS133" s="607">
        <f>IF(BR$9&gt;0, IF(OR(BR133="",BR133="-"), 0, BR133*$AT133), BQ133*$AJ133)</f>
        <v>0</v>
      </c>
      <c r="BT133" s="589">
        <f>[1]COMMANDE!AE131</f>
        <v>0</v>
      </c>
      <c r="BU133" s="586" t="str">
        <f>_xlfn.IFS(AND($AI133=$AM133,$AI133&gt;0,$AM133&gt;0,BT133&gt;0), BT133,     AND(NOT($AI133=$AM133),$AI133&gt;0,$AM133&gt;0,BT133&gt;0), ($AM133*BT133)/$AI133,     AND($AI133=0,$AM133&gt;0,$AQ133&gt;0), IF(INDEX(BT$12:BT$263,MATCH($AQ133,$AP$12:$AP$263,0))&gt;0,($AM133*INDEX(BT$12:BT$263,MATCH($AQ133,$AP$12:$AP$263,0)))/INDEX($AI$12:$AI$263,MATCH($AQ133,$AP$12:$AP$263,0)), "-"),     TRUE, "0")</f>
        <v>0</v>
      </c>
      <c r="BV133" s="588">
        <f>IF(BU$9&gt;0, IF(OR(BU133="",BU133="-"), 0, BU133*$AT133), BT133*$AJ133)</f>
        <v>0</v>
      </c>
      <c r="BW133" s="587">
        <f>[1]COMMANDE!AG131</f>
        <v>0</v>
      </c>
      <c r="BX133" s="586" t="str">
        <f>_xlfn.IFS(AND($AI133=$AM133,$AI133&gt;0,$AM133&gt;0,BW133&gt;0), BW133,     AND(NOT($AI133=$AM133),$AI133&gt;0,$AM133&gt;0,BW133&gt;0), ($AM133*BW133)/$AI133,     AND($AI133=0,$AM133&gt;0,$AQ133&gt;0), IF(INDEX(BW$12:BW$263,MATCH($AQ133,$AP$12:$AP$263,0))&gt;0,($AM133*INDEX(BW$12:BW$263,MATCH($AQ133,$AP$12:$AP$263,0)))/INDEX($AI$12:$AI$263,MATCH($AQ133,$AP$12:$AP$263,0)), "-"),     TRUE, "0")</f>
        <v>0</v>
      </c>
      <c r="BY133" s="607">
        <f>IF(BX$9&gt;0, IF(OR(BX133="",BX133="-"), 0, BX133*$AT133), BW133*$AJ133)</f>
        <v>0</v>
      </c>
      <c r="BZ133" s="589">
        <f>[1]COMMANDE!AI131</f>
        <v>0</v>
      </c>
      <c r="CA133" s="586" t="str">
        <f>_xlfn.IFS(AND($AI133=$AM133,$AI133&gt;0,$AM133&gt;0,BZ133&gt;0), BZ133,     AND(NOT($AI133=$AM133),$AI133&gt;0,$AM133&gt;0,BZ133&gt;0), ($AM133*BZ133)/$AI133,     AND($AI133=0,$AM133&gt;0,$AQ133&gt;0), IF(INDEX(BZ$12:BZ$263,MATCH($AQ133,$AP$12:$AP$263,0))&gt;0,($AM133*INDEX(BZ$12:BZ$263,MATCH($AQ133,$AP$12:$AP$263,0)))/INDEX($AI$12:$AI$263,MATCH($AQ133,$AP$12:$AP$263,0)), "-"),     TRUE, "0")</f>
        <v>0</v>
      </c>
      <c r="CB133" s="588">
        <f>IF(CA$9&gt;0, IF(OR(CA133="",CA133="-"), 0, CA133*$AT133), BZ133*$AJ133)</f>
        <v>0</v>
      </c>
      <c r="CC133" s="587">
        <f>[1]COMMANDE!AK131</f>
        <v>0</v>
      </c>
      <c r="CD133" s="586" t="str">
        <f>_xlfn.IFS(AND($AI133=$AM133,$AI133&gt;0,$AM133&gt;0,CC133&gt;0), CC133,     AND(NOT($AI133=$AM133),$AI133&gt;0,$AM133&gt;0,CC133&gt;0), ($AM133*CC133)/$AI133,     AND($AI133=0,$AM133&gt;0,$AQ133&gt;0), IF(INDEX(CC$12:CC$263,MATCH($AQ133,$AP$12:$AP$263,0))&gt;0,($AM133*INDEX(CC$12:CC$263,MATCH($AQ133,$AP$12:$AP$263,0)))/INDEX($AI$12:$AI$263,MATCH($AQ133,$AP$12:$AP$263,0)), "-"),     TRUE, "0")</f>
        <v>0</v>
      </c>
      <c r="CE133" s="607">
        <f>IF(CD$9&gt;0, IF(OR(CD133="",CD133="-"), 0, CD133*$AT133), CC133*$AJ133)</f>
        <v>0</v>
      </c>
      <c r="CF133" s="589">
        <f>[1]COMMANDE!AM131</f>
        <v>0</v>
      </c>
      <c r="CG133" s="586" t="str">
        <f>_xlfn.IFS(AND($AI133=$AM133,$AI133&gt;0,$AM133&gt;0,CF133&gt;0), CF133,     AND(NOT($AI133=$AM133),$AI133&gt;0,$AM133&gt;0,CF133&gt;0), ($AM133*CF133)/$AI133,     AND($AI133=0,$AM133&gt;0,$AQ133&gt;0), IF(INDEX(CF$12:CF$263,MATCH($AQ133,$AP$12:$AP$263,0))&gt;0,($AM133*INDEX(CF$12:CF$263,MATCH($AQ133,$AP$12:$AP$263,0)))/INDEX($AI$12:$AI$263,MATCH($AQ133,$AP$12:$AP$263,0)), "-"),     TRUE, "0")</f>
        <v>0</v>
      </c>
      <c r="CH133" s="588">
        <f>IF(CG$9&gt;0, IF(OR(CG133="",CG133="-"), 0, CG133*$AT133), CF133*$AJ133)</f>
        <v>0</v>
      </c>
      <c r="CI133" s="587">
        <f>[1]COMMANDE!AO131</f>
        <v>0</v>
      </c>
      <c r="CJ133" s="586" t="str">
        <f>_xlfn.IFS(AND($AI133=$AM133,$AI133&gt;0,$AM133&gt;0,CI133&gt;0), CI133,     AND(NOT($AI133=$AM133),$AI133&gt;0,$AM133&gt;0,CI133&gt;0), ($AM133*CI133)/$AI133,     AND($AI133=0,$AM133&gt;0,$AQ133&gt;0), IF(INDEX(CI$12:CI$263,MATCH($AQ133,$AP$12:$AP$263,0))&gt;0,($AM133*INDEX(CI$12:CI$263,MATCH($AQ133,$AP$12:$AP$263,0)))/INDEX($AI$12:$AI$263,MATCH($AQ133,$AP$12:$AP$263,0)), "-"),     TRUE, "0")</f>
        <v>0</v>
      </c>
      <c r="CK133" s="607">
        <f>IF(CJ$9&gt;0, IF(OR(CJ133="",CJ133="-"), 0, CJ133*$AT133), CI133*$AJ133)</f>
        <v>0</v>
      </c>
      <c r="CL133" s="589">
        <f>[1]COMMANDE!AQ131</f>
        <v>0</v>
      </c>
      <c r="CM133" s="586" t="str">
        <f>_xlfn.IFS(AND($AI133=$AM133,$AI133&gt;0,$AM133&gt;0,CL133&gt;0), CL133,     AND(NOT($AI133=$AM133),$AI133&gt;0,$AM133&gt;0,CL133&gt;0), ($AM133*CL133)/$AI133,     AND($AI133=0,$AM133&gt;0,$AQ133&gt;0), IF(INDEX(CL$12:CL$263,MATCH($AQ133,$AP$12:$AP$263,0))&gt;0,($AM133*INDEX(CL$12:CL$263,MATCH($AQ133,$AP$12:$AP$263,0)))/INDEX($AI$12:$AI$263,MATCH($AQ133,$AP$12:$AP$263,0)), "-"),     TRUE, "0")</f>
        <v>0</v>
      </c>
      <c r="CN133" s="588">
        <f>IF(CM$9&gt;0, IF(OR(CM133="",CM133="-"), 0, CM133*$AT133), CL133*$AJ133)</f>
        <v>0</v>
      </c>
      <c r="CO133" s="587">
        <f>[1]COMMANDE!AS131</f>
        <v>0</v>
      </c>
      <c r="CP133" s="586" t="str">
        <f>_xlfn.IFS(AND($AI133=$AM133,$AI133&gt;0,$AM133&gt;0,CO133&gt;0), CO133,     AND(NOT($AI133=$AM133),$AI133&gt;0,$AM133&gt;0,CO133&gt;0), ($AM133*CO133)/$AI133,     AND($AI133=0,$AM133&gt;0,$AQ133&gt;0), IF(INDEX(CO$12:CO$263,MATCH($AQ133,$AP$12:$AP$263,0))&gt;0,($AM133*INDEX(CO$12:CO$263,MATCH($AQ133,$AP$12:$AP$263,0)))/INDEX($AI$12:$AI$263,MATCH($AQ133,$AP$12:$AP$263,0)), "-"),     TRUE, "0")</f>
        <v>0</v>
      </c>
      <c r="CQ133" s="607">
        <f>IF(CP$9&gt;0, IF(OR(CP133="",CP133="-"), 0, CP133*$AT133), CO133*$AJ133)</f>
        <v>0</v>
      </c>
      <c r="CR133" s="589">
        <f>[1]COMMANDE!AU131</f>
        <v>0</v>
      </c>
      <c r="CS133" s="586" t="str">
        <f>_xlfn.IFS(AND($AI133=$AM133,$AI133&gt;0,$AM133&gt;0,CR133&gt;0), CR133,     AND(NOT($AI133=$AM133),$AI133&gt;0,$AM133&gt;0,CR133&gt;0), ($AM133*CR133)/$AI133,     AND($AI133=0,$AM133&gt;0,$AQ133&gt;0), IF(INDEX(CR$12:CR$263,MATCH($AQ133,$AP$12:$AP$263,0))&gt;0,($AM133*INDEX(CR$12:CR$263,MATCH($AQ133,$AP$12:$AP$263,0)))/INDEX($AI$12:$AI$263,MATCH($AQ133,$AP$12:$AP$263,0)), "-"),     TRUE, "0")</f>
        <v>0</v>
      </c>
      <c r="CT133" s="588">
        <f>IF(CS$9&gt;0, IF(OR(CS133="",CS133="-"), 0, CS133*$AT133), CR133*$AJ133)</f>
        <v>0</v>
      </c>
      <c r="CU133" s="587">
        <f>[1]COMMANDE!AW131</f>
        <v>0</v>
      </c>
      <c r="CV133" s="586" t="str">
        <f>_xlfn.IFS(AND($AI133=$AM133,$AI133&gt;0,$AM133&gt;0,CU133&gt;0), CU133,     AND(NOT($AI133=$AM133),$AI133&gt;0,$AM133&gt;0,CU133&gt;0), ($AM133*CU133)/$AI133,     AND($AI133=0,$AM133&gt;0,$AQ133&gt;0), IF(INDEX(CU$12:CU$263,MATCH($AQ133,$AP$12:$AP$263,0))&gt;0,($AM133*INDEX(CU$12:CU$263,MATCH($AQ133,$AP$12:$AP$263,0)))/INDEX($AI$12:$AI$263,MATCH($AQ133,$AP$12:$AP$263,0)), "-"),     TRUE, "0")</f>
        <v>0</v>
      </c>
      <c r="CW133" s="607">
        <f>IF(CV$9&gt;0, IF(OR(CV133="",CV133="-"), 0, CV133*$AT133), CU133*$AJ133)</f>
        <v>0</v>
      </c>
      <c r="CX133" s="589">
        <f>[1]COMMANDE!AY131</f>
        <v>0</v>
      </c>
      <c r="CY133" s="586" t="str">
        <f>_xlfn.IFS(AND($AI133=$AM133,$AI133&gt;0,$AM133&gt;0,CX133&gt;0), CX133,     AND(NOT($AI133=$AM133),$AI133&gt;0,$AM133&gt;0,CX133&gt;0), ($AM133*CX133)/$AI133,     AND($AI133=0,$AM133&gt;0,$AQ133&gt;0), IF(INDEX(CX$12:CX$263,MATCH($AQ133,$AP$12:$AP$263,0))&gt;0,($AM133*INDEX(CX$12:CX$263,MATCH($AQ133,$AP$12:$AP$263,0)))/INDEX($AI$12:$AI$263,MATCH($AQ133,$AP$12:$AP$263,0)), "-"),     TRUE, "0")</f>
        <v>0</v>
      </c>
      <c r="CZ133" s="588">
        <f>IF(CY$9&gt;0, IF(OR(CY133="",CY133="-"), 0, CY133*$AT133), CX133*$AJ133)</f>
        <v>0</v>
      </c>
      <c r="DA133" s="587">
        <f>[1]COMMANDE!BA131</f>
        <v>0</v>
      </c>
      <c r="DB133" s="586" t="str">
        <f>_xlfn.IFS(AND($AI133=$AM133,$AI133&gt;0,$AM133&gt;0,DA133&gt;0), DA133,     AND(NOT($AI133=$AM133),$AI133&gt;0,$AM133&gt;0,DA133&gt;0), ($AM133*DA133)/$AI133,     AND($AI133=0,$AM133&gt;0,$AQ133&gt;0), IF(INDEX(DA$12:DA$263,MATCH($AQ133,$AP$12:$AP$263,0))&gt;0,($AM133*INDEX(DA$12:DA$263,MATCH($AQ133,$AP$12:$AP$263,0)))/INDEX($AI$12:$AI$263,MATCH($AQ133,$AP$12:$AP$263,0)), "-"),     TRUE, "0")</f>
        <v>0</v>
      </c>
      <c r="DC133" s="606">
        <f>IF(DB$9&gt;0, IF(OR(DB133="",DB133="-"), 0, DB133*$AT133), DA133*$AJ133)</f>
        <v>0</v>
      </c>
      <c r="DD133" s="584"/>
      <c r="DE133" s="583"/>
    </row>
    <row r="134" spans="1:128" s="610" customFormat="1" ht="39.950000000000003" hidden="1" customHeight="1">
      <c r="A134" s="604">
        <f>IF(OR($AV134&gt;0, $AX134&gt;0), 1, 0)</f>
        <v>0</v>
      </c>
      <c r="B134" s="604">
        <f>IF(OR($AY134&gt;0, $BA134&gt;0), 1, 0)</f>
        <v>0</v>
      </c>
      <c r="C134" s="604">
        <f>IF(OR($BB134&gt;0, $BD134&gt;0), 1, 0)</f>
        <v>0</v>
      </c>
      <c r="D134" s="604">
        <f>IF(OR($BE134&gt;0, $BG134&gt;0), 1, 0)</f>
        <v>0</v>
      </c>
      <c r="E134" s="604">
        <f>IF(OR($BH134&gt;0, $BJ134&gt;0), 1, 0)</f>
        <v>0</v>
      </c>
      <c r="F134" s="604">
        <f>IF(OR($BK134&gt;0, $BM134&gt;0), 1, 0)</f>
        <v>0</v>
      </c>
      <c r="G134" s="604">
        <f>IF(OR($BN134&gt;0, $BP134&gt;0), 1, 0)</f>
        <v>0</v>
      </c>
      <c r="H134" s="604">
        <f>IF(OR($BQ134&gt;0, $BS134&gt;0), 1, 0)</f>
        <v>0</v>
      </c>
      <c r="I134" s="604">
        <f>IF(OR($BT134&gt;0, $BV134&gt;0), 1, 0)</f>
        <v>0</v>
      </c>
      <c r="J134" s="604">
        <f>IF(OR($BW134&gt;0, $BY134&gt;0), 1, 0)</f>
        <v>0</v>
      </c>
      <c r="K134" s="604">
        <f>IF(OR($BZ134&gt;0, $CB134&gt;0), 1, 0)</f>
        <v>0</v>
      </c>
      <c r="L134" s="604">
        <f>IF(OR($CC134&gt;0, $CE134&gt;0), 1, 0)</f>
        <v>0</v>
      </c>
      <c r="M134" s="604">
        <f>IF(OR($CF134&gt;0, $CH134&gt;0), 1, 0)</f>
        <v>0</v>
      </c>
      <c r="N134" s="604">
        <f>IF(OR($CI134&gt;0, $CK134&gt;0), 1, 0)</f>
        <v>0</v>
      </c>
      <c r="O134" s="604">
        <f>IF(OR($CL134&gt;0, $CN134&gt;0), 1, 0)</f>
        <v>0</v>
      </c>
      <c r="P134" s="604">
        <f>IF(OR($CO134&gt;0, $CQ134&gt;0), 1, 0)</f>
        <v>0</v>
      </c>
      <c r="Q134" s="604">
        <f>IF(OR($CR134&gt;0, $CT134&gt;0), 1, 0)</f>
        <v>0</v>
      </c>
      <c r="R134" s="604">
        <f>IF(OR($CU134&gt;0, $CW134&gt;0), 1, 0)</f>
        <v>0</v>
      </c>
      <c r="S134" s="604">
        <f>IF(OR($CX134&gt;0, $CZ134&gt;0), 1, 0)</f>
        <v>0</v>
      </c>
      <c r="T134" s="604">
        <f>IF(OR($DA134&gt;0, $DC134&gt;0), 1, 0)</f>
        <v>0</v>
      </c>
      <c r="U134" s="603">
        <f>IF(OR($AI134&gt;0,$AM134&gt;0,$AS134&gt;0), 1, 0)</f>
        <v>0</v>
      </c>
      <c r="V134" s="602">
        <f>[1]BDD!A124</f>
        <v>1534</v>
      </c>
      <c r="W134" s="601" t="str">
        <f>[1]BDD!B124</f>
        <v>Kaki déshydraté BIO</v>
      </c>
      <c r="X134" s="600" t="str">
        <f>IF([1]BDD!F124=0, "", [1]BDD!F124)</f>
        <v/>
      </c>
      <c r="Y134" s="542">
        <f>ROUND([1]BDD!G124+FDP_CMD_KG, 2)</f>
        <v>26.87</v>
      </c>
      <c r="Z134" s="542">
        <f>ROUND([1]BDD!G124+FDP_FACT_KG, 2)</f>
        <v>26.87</v>
      </c>
      <c r="AA134" s="543" t="str">
        <f>[1]BDD!H124</f>
        <v>kg</v>
      </c>
      <c r="AB134" s="544" t="str">
        <f>IF(NOT(ISBLANK([1]BDD!I124)), ROUND(SUM(([1]BDD!G124*reduc1),FDP_CMD_KG), 2), "")</f>
        <v/>
      </c>
      <c r="AC134" s="544" t="str">
        <f>IF(NOT(ISBLANK([1]BDD!J124)), ROUND(SUM(([1]BDD!G124*reduc2),FDP_CMD_KG), 2), "")</f>
        <v/>
      </c>
      <c r="AD134" s="544" t="str">
        <f>IF(NOT(ISBLANK([1]BDD!K124)), ROUND(SUM(([1]BDD!G124*reduc3),FDP_CMD_KG), 2), "")</f>
        <v/>
      </c>
      <c r="AE134" s="544" t="str">
        <f>IF(NOT(ISBLANK([1]BDD!I124)), ROUND(SUM(([1]BDD!G124*reduc1),FDP_FACT_KG), 2), "")</f>
        <v/>
      </c>
      <c r="AF134" s="544" t="str">
        <f>IF(NOT(ISBLANK([1]BDD!J124)), ROUND(SUM(([1]BDD!G124*reduc2),FDP_FACT_KG), 2), "")</f>
        <v/>
      </c>
      <c r="AG134" s="544" t="str">
        <f>IF(NOT(ISBLANK([1]BDD!K124)), ROUND(SUM(([1]BDD!G124*reduc3),FDP_FACT_KG), 2), "")</f>
        <v/>
      </c>
      <c r="AH134" s="599" t="str">
        <f>[1]BDD!C124</f>
        <v>Grenade</v>
      </c>
      <c r="AI134" s="598">
        <f>SUM(AV134,AY134,BB134,BE134,BH134,BK134,BN134,BQ134,BT134,BW134,BZ134,CC134,CF134,CI134,CL134,CO134,CR134,CU134,CX134,DA134)</f>
        <v>0</v>
      </c>
      <c r="AJ134" s="545">
        <f>_xlfn.IFS($AD134&lt;&gt;"", $AD134,    $AC134&lt;&gt;"", $AC134,    $AB134&lt;&gt;"", $AB134,    TRUE, $Y134)</f>
        <v>26.87</v>
      </c>
      <c r="AK134" s="592">
        <f>$AI134*$AJ134</f>
        <v>0</v>
      </c>
      <c r="AL134" s="594"/>
      <c r="AM134" s="597"/>
      <c r="AN134" s="545">
        <f>_xlfn.IFS(AND(AM134&gt;=60,$AG134&lt;&gt;""), $AG134,    AND(AM134&gt;=30,$AF134&lt;&gt;""), $AF134,    AND(AM134&gt;=10,$AE134&lt;&gt;""), $AE134,    TRUE, $Z134)</f>
        <v>26.87</v>
      </c>
      <c r="AO134" s="596">
        <f>AM134*AN134</f>
        <v>0</v>
      </c>
      <c r="AP134" s="595"/>
      <c r="AQ134" s="595"/>
      <c r="AR134" s="594"/>
      <c r="AS134" s="593">
        <f>SUM(AW134,AZ134,BC134,BF134,BI134,BL134,BO134,BR134,BU134,BX134,CA134,CD134,CG134,CJ134,CM134,CP134,CS134,CV134,CY134,DB134)</f>
        <v>0</v>
      </c>
      <c r="AT134" s="545">
        <f>_xlfn.IFS(AND(AS134&gt;=60,$AG134&lt;&gt;""), $AG134,    AND(AS134&gt;=30,$AF134&lt;&gt;""), $AF134,    AND(AS134&gt;=10,$AE134&lt;&gt;""), $AE134,    TRUE, $Z134)</f>
        <v>26.87</v>
      </c>
      <c r="AU134" s="592">
        <f>$AS134*$AT134</f>
        <v>0</v>
      </c>
      <c r="AV134" s="591">
        <f>[1]COMMANDE!O132</f>
        <v>0</v>
      </c>
      <c r="AW134" s="586" t="str">
        <f>_xlfn.IFS(AND($AI134=$AM134,$AI134&gt;0,$AM134&gt;0,AV134&gt;0), AV134,     AND(NOT($AI134=$AM134),$AI134&gt;0,$AM134&gt;0,AV134&gt;0), ($AM134*AV134)/$AI134,     AND($AI134=0,$AM134&gt;0,$AQ134&gt;0), IF(INDEX(AV$12:AV$263,MATCH($AQ134,$AP$12:$AP$263,0))&gt;0,($AM134*INDEX(AV$12:AV$263,MATCH($AQ134,$AP$12:$AP$263,0)))/INDEX($AI$12:$AI$263,MATCH($AQ134,$AP$12:$AP$263,0)), "-"),     TRUE, "0")</f>
        <v>0</v>
      </c>
      <c r="AX134" s="588">
        <f>IF(AW$9&gt;0, IF(OR(AW134="",AW134="-"), 0, AW134*$AT134), AV134*$AJ134)</f>
        <v>0</v>
      </c>
      <c r="AY134" s="587">
        <f>[1]COMMANDE!Q132</f>
        <v>0</v>
      </c>
      <c r="AZ134" s="586" t="str">
        <f>_xlfn.IFS(AND($AI134=$AM134,$AI134&gt;0,$AM134&gt;0,AY134&gt;0), AY134,     AND(NOT($AI134=$AM134),$AI134&gt;0,$AM134&gt;0,AY134&gt;0), ($AM134*AY134)/$AI134,     AND($AI134=0,$AM134&gt;0,$AQ134&gt;0), IF(INDEX(AY$12:AY$263,MATCH($AQ134,$AP$12:$AP$263,0))&gt;0,($AM134*INDEX(AY$12:AY$263,MATCH($AQ134,$AP$12:$AP$263,0)))/INDEX($AI$12:$AI$263,MATCH($AQ134,$AP$12:$AP$263,0)), "-"),     TRUE, "0")</f>
        <v>0</v>
      </c>
      <c r="BA134" s="607">
        <f>IF(AZ$9&gt;0, IF(OR(AZ134="",AZ134="-"), 0, AZ134*$AT134), AY134*$AJ134)</f>
        <v>0</v>
      </c>
      <c r="BB134" s="589">
        <f>[1]COMMANDE!S132</f>
        <v>0</v>
      </c>
      <c r="BC134" s="586" t="str">
        <f>_xlfn.IFS(AND($AI134=$AM134,$AI134&gt;0,$AM134&gt;0,BB134&gt;0), BB134,     AND(NOT($AI134=$AM134),$AI134&gt;0,$AM134&gt;0,BB134&gt;0), ($AM134*BB134)/$AI134,     AND($AI134=0,$AM134&gt;0,$AQ134&gt;0), IF(INDEX(BB$12:BB$263,MATCH($AQ134,$AP$12:$AP$263,0))&gt;0,($AM134*INDEX(BB$12:BB$263,MATCH($AQ134,$AP$12:$AP$263,0)))/INDEX($AI$12:$AI$263,MATCH($AQ134,$AP$12:$AP$263,0)), "-"),     TRUE, "0")</f>
        <v>0</v>
      </c>
      <c r="BD134" s="588">
        <f>IF(BC$9&gt;0, IF(OR(BC134="",BC134="-"), 0, BC134*$AT134), BB134*$AJ134)</f>
        <v>0</v>
      </c>
      <c r="BE134" s="587">
        <f>[1]COMMANDE!U132</f>
        <v>0</v>
      </c>
      <c r="BF134" s="586" t="str">
        <f>_xlfn.IFS(AND($AI134=$AM134,$AI134&gt;0,$AM134&gt;0,BE134&gt;0), BE134,     AND(NOT($AI134=$AM134),$AI134&gt;0,$AM134&gt;0,BE134&gt;0), ($AM134*BE134)/$AI134,     AND($AI134=0,$AM134&gt;0,$AQ134&gt;0), IF(INDEX(BE$12:BE$263,MATCH($AQ134,$AP$12:$AP$263,0))&gt;0,($AM134*INDEX(BE$12:BE$263,MATCH($AQ134,$AP$12:$AP$263,0)))/INDEX($AI$12:$AI$263,MATCH($AQ134,$AP$12:$AP$263,0)), "-"),     TRUE, "0")</f>
        <v>0</v>
      </c>
      <c r="BG134" s="607">
        <f>IF(BF$9&gt;0, IF(OR(BF134="",BF134="-"), 0, BF134*$AT134), BE134*$AJ134)</f>
        <v>0</v>
      </c>
      <c r="BH134" s="589">
        <f>[1]COMMANDE!W132</f>
        <v>0</v>
      </c>
      <c r="BI134" s="586" t="str">
        <f>_xlfn.IFS(AND($AI134=$AM134,$AI134&gt;0,$AM134&gt;0,BH134&gt;0), BH134,     AND(NOT($AI134=$AM134),$AI134&gt;0,$AM134&gt;0,BH134&gt;0), ($AM134*BH134)/$AI134,     AND($AI134=0,$AM134&gt;0,$AQ134&gt;0), IF(INDEX(BH$12:BH$263,MATCH($AQ134,$AP$12:$AP$263,0))&gt;0,($AM134*INDEX(BH$12:BH$263,MATCH($AQ134,$AP$12:$AP$263,0)))/INDEX($AI$12:$AI$263,MATCH($AQ134,$AP$12:$AP$263,0)), "-"),     TRUE, "0")</f>
        <v>0</v>
      </c>
      <c r="BJ134" s="588">
        <f>IF(BI$9&gt;0, IF(OR(BI134="",BI134="-"), 0, BI134*$AT134), BH134*$AJ134)</f>
        <v>0</v>
      </c>
      <c r="BK134" s="587">
        <f>[1]COMMANDE!Y132</f>
        <v>0</v>
      </c>
      <c r="BL134" s="586" t="str">
        <f>_xlfn.IFS(AND($AI134=$AM134,$AI134&gt;0,$AM134&gt;0,BK134&gt;0), BK134,     AND(NOT($AI134=$AM134),$AI134&gt;0,$AM134&gt;0,BK134&gt;0), ($AM134*BK134)/$AI134,     AND($AI134=0,$AM134&gt;0,$AQ134&gt;0), IF(INDEX(BK$12:BK$263,MATCH($AQ134,$AP$12:$AP$263,0))&gt;0,($AM134*INDEX(BK$12:BK$263,MATCH($AQ134,$AP$12:$AP$263,0)))/INDEX($AI$12:$AI$263,MATCH($AQ134,$AP$12:$AP$263,0)), "-"),     TRUE, "0")</f>
        <v>0</v>
      </c>
      <c r="BM134" s="607">
        <f>IF(BL$9&gt;0, IF(OR(BL134="",BL134="-"), 0, BL134*$AT134), BK134*$AJ134)</f>
        <v>0</v>
      </c>
      <c r="BN134" s="589">
        <f>[1]COMMANDE!AA132</f>
        <v>0</v>
      </c>
      <c r="BO134" s="586" t="str">
        <f>_xlfn.IFS(AND($AI134=$AM134,$AI134&gt;0,$AM134&gt;0,BN134&gt;0), BN134,     AND(NOT($AI134=$AM134),$AI134&gt;0,$AM134&gt;0,BN134&gt;0), ($AM134*BN134)/$AI134,     AND($AI134=0,$AM134&gt;0,$AQ134&gt;0), IF(INDEX(BN$12:BN$263,MATCH($AQ134,$AP$12:$AP$263,0))&gt;0,($AM134*INDEX(BN$12:BN$263,MATCH($AQ134,$AP$12:$AP$263,0)))/INDEX($AI$12:$AI$263,MATCH($AQ134,$AP$12:$AP$263,0)), "-"),     TRUE, "0")</f>
        <v>0</v>
      </c>
      <c r="BP134" s="588">
        <f>IF(BO$9&gt;0, IF(OR(BO134="",BO134="-"), 0, BO134*$AT134), BN134*$AJ134)</f>
        <v>0</v>
      </c>
      <c r="BQ134" s="587">
        <f>[1]COMMANDE!AC132</f>
        <v>0</v>
      </c>
      <c r="BR134" s="586" t="str">
        <f>_xlfn.IFS(AND($AI134=$AM134,$AI134&gt;0,$AM134&gt;0,BQ134&gt;0), BQ134,     AND(NOT($AI134=$AM134),$AI134&gt;0,$AM134&gt;0,BQ134&gt;0), ($AM134*BQ134)/$AI134,     AND($AI134=0,$AM134&gt;0,$AQ134&gt;0), IF(INDEX(BQ$12:BQ$263,MATCH($AQ134,$AP$12:$AP$263,0))&gt;0,($AM134*INDEX(BQ$12:BQ$263,MATCH($AQ134,$AP$12:$AP$263,0)))/INDEX($AI$12:$AI$263,MATCH($AQ134,$AP$12:$AP$263,0)), "-"),     TRUE, "0")</f>
        <v>0</v>
      </c>
      <c r="BS134" s="607">
        <f>IF(BR$9&gt;0, IF(OR(BR134="",BR134="-"), 0, BR134*$AT134), BQ134*$AJ134)</f>
        <v>0</v>
      </c>
      <c r="BT134" s="589">
        <f>[1]COMMANDE!AE132</f>
        <v>0</v>
      </c>
      <c r="BU134" s="586" t="str">
        <f>_xlfn.IFS(AND($AI134=$AM134,$AI134&gt;0,$AM134&gt;0,BT134&gt;0), BT134,     AND(NOT($AI134=$AM134),$AI134&gt;0,$AM134&gt;0,BT134&gt;0), ($AM134*BT134)/$AI134,     AND($AI134=0,$AM134&gt;0,$AQ134&gt;0), IF(INDEX(BT$12:BT$263,MATCH($AQ134,$AP$12:$AP$263,0))&gt;0,($AM134*INDEX(BT$12:BT$263,MATCH($AQ134,$AP$12:$AP$263,0)))/INDEX($AI$12:$AI$263,MATCH($AQ134,$AP$12:$AP$263,0)), "-"),     TRUE, "0")</f>
        <v>0</v>
      </c>
      <c r="BV134" s="588">
        <f>IF(BU$9&gt;0, IF(OR(BU134="",BU134="-"), 0, BU134*$AT134), BT134*$AJ134)</f>
        <v>0</v>
      </c>
      <c r="BW134" s="587">
        <f>[1]COMMANDE!AG132</f>
        <v>0</v>
      </c>
      <c r="BX134" s="586" t="str">
        <f>_xlfn.IFS(AND($AI134=$AM134,$AI134&gt;0,$AM134&gt;0,BW134&gt;0), BW134,     AND(NOT($AI134=$AM134),$AI134&gt;0,$AM134&gt;0,BW134&gt;0), ($AM134*BW134)/$AI134,     AND($AI134=0,$AM134&gt;0,$AQ134&gt;0), IF(INDEX(BW$12:BW$263,MATCH($AQ134,$AP$12:$AP$263,0))&gt;0,($AM134*INDEX(BW$12:BW$263,MATCH($AQ134,$AP$12:$AP$263,0)))/INDEX($AI$12:$AI$263,MATCH($AQ134,$AP$12:$AP$263,0)), "-"),     TRUE, "0")</f>
        <v>0</v>
      </c>
      <c r="BY134" s="607">
        <f>IF(BX$9&gt;0, IF(OR(BX134="",BX134="-"), 0, BX134*$AT134), BW134*$AJ134)</f>
        <v>0</v>
      </c>
      <c r="BZ134" s="589">
        <f>[1]COMMANDE!AI132</f>
        <v>0</v>
      </c>
      <c r="CA134" s="586" t="str">
        <f>_xlfn.IFS(AND($AI134=$AM134,$AI134&gt;0,$AM134&gt;0,BZ134&gt;0), BZ134,     AND(NOT($AI134=$AM134),$AI134&gt;0,$AM134&gt;0,BZ134&gt;0), ($AM134*BZ134)/$AI134,     AND($AI134=0,$AM134&gt;0,$AQ134&gt;0), IF(INDEX(BZ$12:BZ$263,MATCH($AQ134,$AP$12:$AP$263,0))&gt;0,($AM134*INDEX(BZ$12:BZ$263,MATCH($AQ134,$AP$12:$AP$263,0)))/INDEX($AI$12:$AI$263,MATCH($AQ134,$AP$12:$AP$263,0)), "-"),     TRUE, "0")</f>
        <v>0</v>
      </c>
      <c r="CB134" s="588">
        <f>IF(CA$9&gt;0, IF(OR(CA134="",CA134="-"), 0, CA134*$AT134), BZ134*$AJ134)</f>
        <v>0</v>
      </c>
      <c r="CC134" s="587">
        <f>[1]COMMANDE!AK132</f>
        <v>0</v>
      </c>
      <c r="CD134" s="586" t="str">
        <f>_xlfn.IFS(AND($AI134=$AM134,$AI134&gt;0,$AM134&gt;0,CC134&gt;0), CC134,     AND(NOT($AI134=$AM134),$AI134&gt;0,$AM134&gt;0,CC134&gt;0), ($AM134*CC134)/$AI134,     AND($AI134=0,$AM134&gt;0,$AQ134&gt;0), IF(INDEX(CC$12:CC$263,MATCH($AQ134,$AP$12:$AP$263,0))&gt;0,($AM134*INDEX(CC$12:CC$263,MATCH($AQ134,$AP$12:$AP$263,0)))/INDEX($AI$12:$AI$263,MATCH($AQ134,$AP$12:$AP$263,0)), "-"),     TRUE, "0")</f>
        <v>0</v>
      </c>
      <c r="CE134" s="607">
        <f>IF(CD$9&gt;0, IF(OR(CD134="",CD134="-"), 0, CD134*$AT134), CC134*$AJ134)</f>
        <v>0</v>
      </c>
      <c r="CF134" s="589">
        <f>[1]COMMANDE!AM132</f>
        <v>0</v>
      </c>
      <c r="CG134" s="586" t="str">
        <f>_xlfn.IFS(AND($AI134=$AM134,$AI134&gt;0,$AM134&gt;0,CF134&gt;0), CF134,     AND(NOT($AI134=$AM134),$AI134&gt;0,$AM134&gt;0,CF134&gt;0), ($AM134*CF134)/$AI134,     AND($AI134=0,$AM134&gt;0,$AQ134&gt;0), IF(INDEX(CF$12:CF$263,MATCH($AQ134,$AP$12:$AP$263,0))&gt;0,($AM134*INDEX(CF$12:CF$263,MATCH($AQ134,$AP$12:$AP$263,0)))/INDEX($AI$12:$AI$263,MATCH($AQ134,$AP$12:$AP$263,0)), "-"),     TRUE, "0")</f>
        <v>0</v>
      </c>
      <c r="CH134" s="588">
        <f>IF(CG$9&gt;0, IF(OR(CG134="",CG134="-"), 0, CG134*$AT134), CF134*$AJ134)</f>
        <v>0</v>
      </c>
      <c r="CI134" s="587">
        <f>[1]COMMANDE!AO132</f>
        <v>0</v>
      </c>
      <c r="CJ134" s="586" t="str">
        <f>_xlfn.IFS(AND($AI134=$AM134,$AI134&gt;0,$AM134&gt;0,CI134&gt;0), CI134,     AND(NOT($AI134=$AM134),$AI134&gt;0,$AM134&gt;0,CI134&gt;0), ($AM134*CI134)/$AI134,     AND($AI134=0,$AM134&gt;0,$AQ134&gt;0), IF(INDEX(CI$12:CI$263,MATCH($AQ134,$AP$12:$AP$263,0))&gt;0,($AM134*INDEX(CI$12:CI$263,MATCH($AQ134,$AP$12:$AP$263,0)))/INDEX($AI$12:$AI$263,MATCH($AQ134,$AP$12:$AP$263,0)), "-"),     TRUE, "0")</f>
        <v>0</v>
      </c>
      <c r="CK134" s="607">
        <f>IF(CJ$9&gt;0, IF(OR(CJ134="",CJ134="-"), 0, CJ134*$AT134), CI134*$AJ134)</f>
        <v>0</v>
      </c>
      <c r="CL134" s="589">
        <f>[1]COMMANDE!AQ132</f>
        <v>0</v>
      </c>
      <c r="CM134" s="586" t="str">
        <f>_xlfn.IFS(AND($AI134=$AM134,$AI134&gt;0,$AM134&gt;0,CL134&gt;0), CL134,     AND(NOT($AI134=$AM134),$AI134&gt;0,$AM134&gt;0,CL134&gt;0), ($AM134*CL134)/$AI134,     AND($AI134=0,$AM134&gt;0,$AQ134&gt;0), IF(INDEX(CL$12:CL$263,MATCH($AQ134,$AP$12:$AP$263,0))&gt;0,($AM134*INDEX(CL$12:CL$263,MATCH($AQ134,$AP$12:$AP$263,0)))/INDEX($AI$12:$AI$263,MATCH($AQ134,$AP$12:$AP$263,0)), "-"),     TRUE, "0")</f>
        <v>0</v>
      </c>
      <c r="CN134" s="588">
        <f>IF(CM$9&gt;0, IF(OR(CM134="",CM134="-"), 0, CM134*$AT134), CL134*$AJ134)</f>
        <v>0</v>
      </c>
      <c r="CO134" s="587">
        <f>[1]COMMANDE!AS132</f>
        <v>0</v>
      </c>
      <c r="CP134" s="586" t="str">
        <f>_xlfn.IFS(AND($AI134=$AM134,$AI134&gt;0,$AM134&gt;0,CO134&gt;0), CO134,     AND(NOT($AI134=$AM134),$AI134&gt;0,$AM134&gt;0,CO134&gt;0), ($AM134*CO134)/$AI134,     AND($AI134=0,$AM134&gt;0,$AQ134&gt;0), IF(INDEX(CO$12:CO$263,MATCH($AQ134,$AP$12:$AP$263,0))&gt;0,($AM134*INDEX(CO$12:CO$263,MATCH($AQ134,$AP$12:$AP$263,0)))/INDEX($AI$12:$AI$263,MATCH($AQ134,$AP$12:$AP$263,0)), "-"),     TRUE, "0")</f>
        <v>0</v>
      </c>
      <c r="CQ134" s="607">
        <f>IF(CP$9&gt;0, IF(OR(CP134="",CP134="-"), 0, CP134*$AT134), CO134*$AJ134)</f>
        <v>0</v>
      </c>
      <c r="CR134" s="589">
        <f>[1]COMMANDE!AU132</f>
        <v>0</v>
      </c>
      <c r="CS134" s="586" t="str">
        <f>_xlfn.IFS(AND($AI134=$AM134,$AI134&gt;0,$AM134&gt;0,CR134&gt;0), CR134,     AND(NOT($AI134=$AM134),$AI134&gt;0,$AM134&gt;0,CR134&gt;0), ($AM134*CR134)/$AI134,     AND($AI134=0,$AM134&gt;0,$AQ134&gt;0), IF(INDEX(CR$12:CR$263,MATCH($AQ134,$AP$12:$AP$263,0))&gt;0,($AM134*INDEX(CR$12:CR$263,MATCH($AQ134,$AP$12:$AP$263,0)))/INDEX($AI$12:$AI$263,MATCH($AQ134,$AP$12:$AP$263,0)), "-"),     TRUE, "0")</f>
        <v>0</v>
      </c>
      <c r="CT134" s="588">
        <f>IF(CS$9&gt;0, IF(OR(CS134="",CS134="-"), 0, CS134*$AT134), CR134*$AJ134)</f>
        <v>0</v>
      </c>
      <c r="CU134" s="587">
        <f>[1]COMMANDE!AW132</f>
        <v>0</v>
      </c>
      <c r="CV134" s="586" t="str">
        <f>_xlfn.IFS(AND($AI134=$AM134,$AI134&gt;0,$AM134&gt;0,CU134&gt;0), CU134,     AND(NOT($AI134=$AM134),$AI134&gt;0,$AM134&gt;0,CU134&gt;0), ($AM134*CU134)/$AI134,     AND($AI134=0,$AM134&gt;0,$AQ134&gt;0), IF(INDEX(CU$12:CU$263,MATCH($AQ134,$AP$12:$AP$263,0))&gt;0,($AM134*INDEX(CU$12:CU$263,MATCH($AQ134,$AP$12:$AP$263,0)))/INDEX($AI$12:$AI$263,MATCH($AQ134,$AP$12:$AP$263,0)), "-"),     TRUE, "0")</f>
        <v>0</v>
      </c>
      <c r="CW134" s="607">
        <f>IF(CV$9&gt;0, IF(OR(CV134="",CV134="-"), 0, CV134*$AT134), CU134*$AJ134)</f>
        <v>0</v>
      </c>
      <c r="CX134" s="589">
        <f>[1]COMMANDE!AY132</f>
        <v>0</v>
      </c>
      <c r="CY134" s="586" t="str">
        <f>_xlfn.IFS(AND($AI134=$AM134,$AI134&gt;0,$AM134&gt;0,CX134&gt;0), CX134,     AND(NOT($AI134=$AM134),$AI134&gt;0,$AM134&gt;0,CX134&gt;0), ($AM134*CX134)/$AI134,     AND($AI134=0,$AM134&gt;0,$AQ134&gt;0), IF(INDEX(CX$12:CX$263,MATCH($AQ134,$AP$12:$AP$263,0))&gt;0,($AM134*INDEX(CX$12:CX$263,MATCH($AQ134,$AP$12:$AP$263,0)))/INDEX($AI$12:$AI$263,MATCH($AQ134,$AP$12:$AP$263,0)), "-"),     TRUE, "0")</f>
        <v>0</v>
      </c>
      <c r="CZ134" s="588">
        <f>IF(CY$9&gt;0, IF(OR(CY134="",CY134="-"), 0, CY134*$AT134), CX134*$AJ134)</f>
        <v>0</v>
      </c>
      <c r="DA134" s="587">
        <f>[1]COMMANDE!BA132</f>
        <v>0</v>
      </c>
      <c r="DB134" s="586" t="str">
        <f>_xlfn.IFS(AND($AI134=$AM134,$AI134&gt;0,$AM134&gt;0,DA134&gt;0), DA134,     AND(NOT($AI134=$AM134),$AI134&gt;0,$AM134&gt;0,DA134&gt;0), ($AM134*DA134)/$AI134,     AND($AI134=0,$AM134&gt;0,$AQ134&gt;0), IF(INDEX(DA$12:DA$263,MATCH($AQ134,$AP$12:$AP$263,0))&gt;0,($AM134*INDEX(DA$12:DA$263,MATCH($AQ134,$AP$12:$AP$263,0)))/INDEX($AI$12:$AI$263,MATCH($AQ134,$AP$12:$AP$263,0)), "-"),     TRUE, "0")</f>
        <v>0</v>
      </c>
      <c r="DC134" s="606">
        <f>IF(DB$9&gt;0, IF(OR(DB134="",DB134="-"), 0, DB134*$AT134), DA134*$AJ134)</f>
        <v>0</v>
      </c>
      <c r="DD134" s="584"/>
      <c r="DE134" s="583"/>
      <c r="DF134" s="550"/>
      <c r="DG134" s="550"/>
      <c r="DH134" s="550"/>
      <c r="DI134" s="550"/>
      <c r="DJ134" s="550"/>
      <c r="DK134" s="550"/>
      <c r="DL134" s="550"/>
      <c r="DM134" s="550"/>
      <c r="DN134" s="550"/>
      <c r="DO134" s="550"/>
      <c r="DP134" s="550"/>
      <c r="DQ134" s="550"/>
      <c r="DR134" s="550"/>
      <c r="DS134" s="550"/>
      <c r="DT134" s="550"/>
      <c r="DU134" s="550"/>
      <c r="DV134" s="550"/>
      <c r="DW134" s="550"/>
      <c r="DX134" s="550"/>
    </row>
    <row r="135" spans="1:128" ht="39.950000000000003" customHeight="1">
      <c r="A135" s="604">
        <f>IF(OR($AV135&gt;0, $AX135&gt;0), 1, 0)</f>
        <v>1</v>
      </c>
      <c r="B135" s="604">
        <f>IF(OR($AY135&gt;0, $BA135&gt;0), 1, 0)</f>
        <v>1</v>
      </c>
      <c r="C135" s="604">
        <f>IF(OR($BB135&gt;0, $BD135&gt;0), 1, 0)</f>
        <v>1</v>
      </c>
      <c r="D135" s="604">
        <f>IF(OR($BE135&gt;0, $BG135&gt;0), 1, 0)</f>
        <v>1</v>
      </c>
      <c r="E135" s="604">
        <f>IF(OR($BH135&gt;0, $BJ135&gt;0), 1, 0)</f>
        <v>0</v>
      </c>
      <c r="F135" s="604">
        <f>IF(OR($BK135&gt;0, $BM135&gt;0), 1, 0)</f>
        <v>0</v>
      </c>
      <c r="G135" s="604">
        <f>IF(OR($BN135&gt;0, $BP135&gt;0), 1, 0)</f>
        <v>0</v>
      </c>
      <c r="H135" s="604">
        <f>IF(OR($BQ135&gt;0, $BS135&gt;0), 1, 0)</f>
        <v>0</v>
      </c>
      <c r="I135" s="604">
        <f>IF(OR($BT135&gt;0, $BV135&gt;0), 1, 0)</f>
        <v>0</v>
      </c>
      <c r="J135" s="604">
        <f>IF(OR($BW135&gt;0, $BY135&gt;0), 1, 0)</f>
        <v>0</v>
      </c>
      <c r="K135" s="604">
        <f>IF(OR($BZ135&gt;0, $CB135&gt;0), 1, 0)</f>
        <v>0</v>
      </c>
      <c r="L135" s="604">
        <f>IF(OR($CC135&gt;0, $CE135&gt;0), 1, 0)</f>
        <v>0</v>
      </c>
      <c r="M135" s="604">
        <f>IF(OR($CF135&gt;0, $CH135&gt;0), 1, 0)</f>
        <v>0</v>
      </c>
      <c r="N135" s="604">
        <f>IF(OR($CI135&gt;0, $CK135&gt;0), 1, 0)</f>
        <v>0</v>
      </c>
      <c r="O135" s="604">
        <f>IF(OR($CL135&gt;0, $CN135&gt;0), 1, 0)</f>
        <v>0</v>
      </c>
      <c r="P135" s="604">
        <f>IF(OR($CO135&gt;0, $CQ135&gt;0), 1, 0)</f>
        <v>0</v>
      </c>
      <c r="Q135" s="604">
        <f>IF(OR($CR135&gt;0, $CT135&gt;0), 1, 0)</f>
        <v>0</v>
      </c>
      <c r="R135" s="604">
        <f>IF(OR($CU135&gt;0, $CW135&gt;0), 1, 0)</f>
        <v>0</v>
      </c>
      <c r="S135" s="604">
        <f>IF(OR($CX135&gt;0, $CZ135&gt;0), 1, 0)</f>
        <v>0</v>
      </c>
      <c r="T135" s="604">
        <f>IF(OR($DA135&gt;0, $DC135&gt;0), 1, 0)</f>
        <v>0</v>
      </c>
      <c r="U135" s="603">
        <f>IF(OR($AI135&gt;0,$AM135&gt;0,$AS135&gt;0), 1, 0)</f>
        <v>1</v>
      </c>
      <c r="V135" s="602" t="str">
        <f>[1]BDD!A125</f>
        <v>3601-5043-3261</v>
      </c>
      <c r="W135" s="601" t="str">
        <f>[1]BDD!B125</f>
        <v xml:space="preserve">Kaki différentes variétés - (persimon, rouge brillant, tomatero, sharoni) </v>
      </c>
      <c r="X135" s="600" t="str">
        <f>IF([1]BDD!F125=0, "", [1]BDD!F125)</f>
        <v>❤️</v>
      </c>
      <c r="Y135" s="542">
        <f>ROUND([1]BDD!G125+FDP_CMD_KG, 2)</f>
        <v>4.01</v>
      </c>
      <c r="Z135" s="542">
        <f>ROUND([1]BDD!G125+FDP_FACT_KG, 2)</f>
        <v>4.01</v>
      </c>
      <c r="AA135" s="543" t="str">
        <f>[1]BDD!H125</f>
        <v>kg</v>
      </c>
      <c r="AB135" s="544">
        <f>IF(NOT(ISBLANK([1]BDD!I125)), ROUND(SUM(([1]BDD!G125*reduc1),FDP_CMD_KG), 2), "")</f>
        <v>3.7</v>
      </c>
      <c r="AC135" s="544">
        <f>IF(NOT(ISBLANK([1]BDD!J125)), ROUND(SUM(([1]BDD!G125*reduc2),FDP_CMD_KG), 2), "")</f>
        <v>3.39</v>
      </c>
      <c r="AD135" s="544">
        <f>IF(NOT(ISBLANK([1]BDD!K125)), ROUND(SUM(([1]BDD!G125*reduc3),FDP_CMD_KG), 2), "")</f>
        <v>3.07</v>
      </c>
      <c r="AE135" s="544">
        <f>IF(NOT(ISBLANK([1]BDD!I125)), ROUND(SUM(([1]BDD!G125*reduc1),FDP_FACT_KG), 2), "")</f>
        <v>3.69</v>
      </c>
      <c r="AF135" s="544">
        <f>IF(NOT(ISBLANK([1]BDD!J125)), ROUND(SUM(([1]BDD!G125*reduc2),FDP_FACT_KG), 2), "")</f>
        <v>3.38</v>
      </c>
      <c r="AG135" s="544">
        <f>IF(NOT(ISBLANK([1]BDD!K125)), ROUND(SUM(([1]BDD!G125*reduc3),FDP_FACT_KG), 2), "")</f>
        <v>3.06</v>
      </c>
      <c r="AH135" s="599" t="str">
        <f>[1]BDD!C125</f>
        <v>Grenade</v>
      </c>
      <c r="AI135" s="598">
        <f>SUM(AV135,AY135,BB135,BE135,BH135,BK135,BN135,BQ135,BT135,BW135,BZ135,CC135,CF135,CI135,CL135,CO135,CR135,CU135,CX135,DA135)</f>
        <v>10</v>
      </c>
      <c r="AJ135" s="545">
        <f>_xlfn.IFS($AD135&lt;&gt;"", $AD135,    $AC135&lt;&gt;"", $AC135,    $AB135&lt;&gt;"", $AB135,    TRUE, $Y135)</f>
        <v>3.07</v>
      </c>
      <c r="AK135" s="592">
        <f>$AI135*$AJ135</f>
        <v>30.7</v>
      </c>
      <c r="AL135" s="594"/>
      <c r="AM135" s="597">
        <v>10.08</v>
      </c>
      <c r="AN135" s="545">
        <f>_xlfn.IFS(AND(AM135&gt;=60,$AG135&lt;&gt;""), $AG135,    AND(AM135&gt;=30,$AF135&lt;&gt;""), $AF135,    AND(AM135&gt;=10,$AE135&lt;&gt;""), $AE135,    TRUE, $Z135)</f>
        <v>3.69</v>
      </c>
      <c r="AO135" s="596">
        <f>AM135*AN135</f>
        <v>37.1952</v>
      </c>
      <c r="AP135" s="595"/>
      <c r="AQ135" s="595"/>
      <c r="AR135" s="594"/>
      <c r="AS135" s="593">
        <f>SUM(AW135,AZ135,BC135,BF135,BI135,BL135,BO135,BR135,BU135,BX135,CA135,CD135,CG135,CJ135,CM135,CP135,CS135,CV135,CY135,DB135)</f>
        <v>10.08</v>
      </c>
      <c r="AT135" s="545">
        <f>_xlfn.IFS(AND(AS135&gt;=60,$AG135&lt;&gt;""), $AG135,    AND(AS135&gt;=30,$AF135&lt;&gt;""), $AF135,    AND(AS135&gt;=10,$AE135&lt;&gt;""), $AE135,    TRUE, $Z135)</f>
        <v>3.69</v>
      </c>
      <c r="AU135" s="592">
        <f>$AS135*$AT135</f>
        <v>37.1952</v>
      </c>
      <c r="AV135" s="591">
        <f>[1]COMMANDE!O133</f>
        <v>2</v>
      </c>
      <c r="AW135" s="586">
        <f>_xlfn.IFS(AND($AI135=$AM135,$AI135&gt;0,$AM135&gt;0,AV135&gt;0), AV135,     AND(NOT($AI135=$AM135),$AI135&gt;0,$AM135&gt;0,AV135&gt;0), ($AM135*AV135)/$AI135,     AND($AI135=0,$AM135&gt;0,$AQ135&gt;0), IF(INDEX(AV$12:AV$263,MATCH($AQ135,$AP$12:$AP$263,0))&gt;0,($AM135*INDEX(AV$12:AV$263,MATCH($AQ135,$AP$12:$AP$263,0)))/INDEX($AI$12:$AI$263,MATCH($AQ135,$AP$12:$AP$263,0)), "-"),     TRUE, "0")</f>
        <v>2.016</v>
      </c>
      <c r="AX135" s="588">
        <f>IF(AW$9&gt;0, IF(OR(AW135="",AW135="-"), 0, AW135*$AT135), AV135*$AJ135)</f>
        <v>7.4390400000000003</v>
      </c>
      <c r="AY135" s="587">
        <f>[1]COMMANDE!Q133</f>
        <v>4</v>
      </c>
      <c r="AZ135" s="586">
        <f>_xlfn.IFS(AND($AI135=$AM135,$AI135&gt;0,$AM135&gt;0,AY135&gt;0), AY135,     AND(NOT($AI135=$AM135),$AI135&gt;0,$AM135&gt;0,AY135&gt;0), ($AM135*AY135)/$AI135,     AND($AI135=0,$AM135&gt;0,$AQ135&gt;0), IF(INDEX(AY$12:AY$263,MATCH($AQ135,$AP$12:$AP$263,0))&gt;0,($AM135*INDEX(AY$12:AY$263,MATCH($AQ135,$AP$12:$AP$263,0)))/INDEX($AI$12:$AI$263,MATCH($AQ135,$AP$12:$AP$263,0)), "-"),     TRUE, "0")</f>
        <v>4.032</v>
      </c>
      <c r="BA135" s="607">
        <f>IF(AZ$9&gt;0, IF(OR(AZ135="",AZ135="-"), 0, AZ135*$AT135), AY135*$AJ135)</f>
        <v>14.878080000000001</v>
      </c>
      <c r="BB135" s="589">
        <f>[1]COMMANDE!S133</f>
        <v>1</v>
      </c>
      <c r="BC135" s="586">
        <f>_xlfn.IFS(AND($AI135=$AM135,$AI135&gt;0,$AM135&gt;0,BB135&gt;0), BB135,     AND(NOT($AI135=$AM135),$AI135&gt;0,$AM135&gt;0,BB135&gt;0), ($AM135*BB135)/$AI135,     AND($AI135=0,$AM135&gt;0,$AQ135&gt;0), IF(INDEX(BB$12:BB$263,MATCH($AQ135,$AP$12:$AP$263,0))&gt;0,($AM135*INDEX(BB$12:BB$263,MATCH($AQ135,$AP$12:$AP$263,0)))/INDEX($AI$12:$AI$263,MATCH($AQ135,$AP$12:$AP$263,0)), "-"),     TRUE, "0")</f>
        <v>1.008</v>
      </c>
      <c r="BD135" s="588">
        <f>IF(BC$9&gt;0, IF(OR(BC135="",BC135="-"), 0, BC135*$AT135), BB135*$AJ135)</f>
        <v>3.7195200000000002</v>
      </c>
      <c r="BE135" s="587">
        <f>[1]COMMANDE!U133</f>
        <v>3</v>
      </c>
      <c r="BF135" s="586">
        <f>_xlfn.IFS(AND($AI135=$AM135,$AI135&gt;0,$AM135&gt;0,BE135&gt;0), BE135,     AND(NOT($AI135=$AM135),$AI135&gt;0,$AM135&gt;0,BE135&gt;0), ($AM135*BE135)/$AI135,     AND($AI135=0,$AM135&gt;0,$AQ135&gt;0), IF(INDEX(BE$12:BE$263,MATCH($AQ135,$AP$12:$AP$263,0))&gt;0,($AM135*INDEX(BE$12:BE$263,MATCH($AQ135,$AP$12:$AP$263,0)))/INDEX($AI$12:$AI$263,MATCH($AQ135,$AP$12:$AP$263,0)), "-"),     TRUE, "0")</f>
        <v>3.024</v>
      </c>
      <c r="BG135" s="607">
        <f>IF(BF$9&gt;0, IF(OR(BF135="",BF135="-"), 0, BF135*$AT135), BE135*$AJ135)</f>
        <v>11.15856</v>
      </c>
      <c r="BH135" s="589">
        <f>[1]COMMANDE!W133</f>
        <v>0</v>
      </c>
      <c r="BI135" s="586" t="str">
        <f>_xlfn.IFS(AND($AI135=$AM135,$AI135&gt;0,$AM135&gt;0,BH135&gt;0), BH135,     AND(NOT($AI135=$AM135),$AI135&gt;0,$AM135&gt;0,BH135&gt;0), ($AM135*BH135)/$AI135,     AND($AI135=0,$AM135&gt;0,$AQ135&gt;0), IF(INDEX(BH$12:BH$263,MATCH($AQ135,$AP$12:$AP$263,0))&gt;0,($AM135*INDEX(BH$12:BH$263,MATCH($AQ135,$AP$12:$AP$263,0)))/INDEX($AI$12:$AI$263,MATCH($AQ135,$AP$12:$AP$263,0)), "-"),     TRUE, "0")</f>
        <v>0</v>
      </c>
      <c r="BJ135" s="588">
        <f>IF(BI$9&gt;0, IF(OR(BI135="",BI135="-"), 0, BI135*$AT135), BH135*$AJ135)</f>
        <v>0</v>
      </c>
      <c r="BK135" s="587">
        <f>[1]COMMANDE!Y133</f>
        <v>0</v>
      </c>
      <c r="BL135" s="586" t="str">
        <f>_xlfn.IFS(AND($AI135=$AM135,$AI135&gt;0,$AM135&gt;0,BK135&gt;0), BK135,     AND(NOT($AI135=$AM135),$AI135&gt;0,$AM135&gt;0,BK135&gt;0), ($AM135*BK135)/$AI135,     AND($AI135=0,$AM135&gt;0,$AQ135&gt;0), IF(INDEX(BK$12:BK$263,MATCH($AQ135,$AP$12:$AP$263,0))&gt;0,($AM135*INDEX(BK$12:BK$263,MATCH($AQ135,$AP$12:$AP$263,0)))/INDEX($AI$12:$AI$263,MATCH($AQ135,$AP$12:$AP$263,0)), "-"),     TRUE, "0")</f>
        <v>0</v>
      </c>
      <c r="BM135" s="607">
        <f>IF(BL$9&gt;0, IF(OR(BL135="",BL135="-"), 0, BL135*$AT135), BK135*$AJ135)</f>
        <v>0</v>
      </c>
      <c r="BN135" s="589">
        <f>[1]COMMANDE!AA133</f>
        <v>0</v>
      </c>
      <c r="BO135" s="586" t="str">
        <f>_xlfn.IFS(AND($AI135=$AM135,$AI135&gt;0,$AM135&gt;0,BN135&gt;0), BN135,     AND(NOT($AI135=$AM135),$AI135&gt;0,$AM135&gt;0,BN135&gt;0), ($AM135*BN135)/$AI135,     AND($AI135=0,$AM135&gt;0,$AQ135&gt;0), IF(INDEX(BN$12:BN$263,MATCH($AQ135,$AP$12:$AP$263,0))&gt;0,($AM135*INDEX(BN$12:BN$263,MATCH($AQ135,$AP$12:$AP$263,0)))/INDEX($AI$12:$AI$263,MATCH($AQ135,$AP$12:$AP$263,0)), "-"),     TRUE, "0")</f>
        <v>0</v>
      </c>
      <c r="BP135" s="588">
        <f>IF(BO$9&gt;0, IF(OR(BO135="",BO135="-"), 0, BO135*$AT135), BN135*$AJ135)</f>
        <v>0</v>
      </c>
      <c r="BQ135" s="587">
        <f>[1]COMMANDE!AC133</f>
        <v>0</v>
      </c>
      <c r="BR135" s="586" t="str">
        <f>_xlfn.IFS(AND($AI135=$AM135,$AI135&gt;0,$AM135&gt;0,BQ135&gt;0), BQ135,     AND(NOT($AI135=$AM135),$AI135&gt;0,$AM135&gt;0,BQ135&gt;0), ($AM135*BQ135)/$AI135,     AND($AI135=0,$AM135&gt;0,$AQ135&gt;0), IF(INDEX(BQ$12:BQ$263,MATCH($AQ135,$AP$12:$AP$263,0))&gt;0,($AM135*INDEX(BQ$12:BQ$263,MATCH($AQ135,$AP$12:$AP$263,0)))/INDEX($AI$12:$AI$263,MATCH($AQ135,$AP$12:$AP$263,0)), "-"),     TRUE, "0")</f>
        <v>0</v>
      </c>
      <c r="BS135" s="607">
        <f>IF(BR$9&gt;0, IF(OR(BR135="",BR135="-"), 0, BR135*$AT135), BQ135*$AJ135)</f>
        <v>0</v>
      </c>
      <c r="BT135" s="589">
        <f>[1]COMMANDE!AE133</f>
        <v>0</v>
      </c>
      <c r="BU135" s="586" t="str">
        <f>_xlfn.IFS(AND($AI135=$AM135,$AI135&gt;0,$AM135&gt;0,BT135&gt;0), BT135,     AND(NOT($AI135=$AM135),$AI135&gt;0,$AM135&gt;0,BT135&gt;0), ($AM135*BT135)/$AI135,     AND($AI135=0,$AM135&gt;0,$AQ135&gt;0), IF(INDEX(BT$12:BT$263,MATCH($AQ135,$AP$12:$AP$263,0))&gt;0,($AM135*INDEX(BT$12:BT$263,MATCH($AQ135,$AP$12:$AP$263,0)))/INDEX($AI$12:$AI$263,MATCH($AQ135,$AP$12:$AP$263,0)), "-"),     TRUE, "0")</f>
        <v>0</v>
      </c>
      <c r="BV135" s="588">
        <f>IF(BU$9&gt;0, IF(OR(BU135="",BU135="-"), 0, BU135*$AT135), BT135*$AJ135)</f>
        <v>0</v>
      </c>
      <c r="BW135" s="587">
        <f>[1]COMMANDE!AG133</f>
        <v>0</v>
      </c>
      <c r="BX135" s="586" t="str">
        <f>_xlfn.IFS(AND($AI135=$AM135,$AI135&gt;0,$AM135&gt;0,BW135&gt;0), BW135,     AND(NOT($AI135=$AM135),$AI135&gt;0,$AM135&gt;0,BW135&gt;0), ($AM135*BW135)/$AI135,     AND($AI135=0,$AM135&gt;0,$AQ135&gt;0), IF(INDEX(BW$12:BW$263,MATCH($AQ135,$AP$12:$AP$263,0))&gt;0,($AM135*INDEX(BW$12:BW$263,MATCH($AQ135,$AP$12:$AP$263,0)))/INDEX($AI$12:$AI$263,MATCH($AQ135,$AP$12:$AP$263,0)), "-"),     TRUE, "0")</f>
        <v>0</v>
      </c>
      <c r="BY135" s="607">
        <f>IF(BX$9&gt;0, IF(OR(BX135="",BX135="-"), 0, BX135*$AT135), BW135*$AJ135)</f>
        <v>0</v>
      </c>
      <c r="BZ135" s="589">
        <f>[1]COMMANDE!AI133</f>
        <v>0</v>
      </c>
      <c r="CA135" s="586" t="str">
        <f>_xlfn.IFS(AND($AI135=$AM135,$AI135&gt;0,$AM135&gt;0,BZ135&gt;0), BZ135,     AND(NOT($AI135=$AM135),$AI135&gt;0,$AM135&gt;0,BZ135&gt;0), ($AM135*BZ135)/$AI135,     AND($AI135=0,$AM135&gt;0,$AQ135&gt;0), IF(INDEX(BZ$12:BZ$263,MATCH($AQ135,$AP$12:$AP$263,0))&gt;0,($AM135*INDEX(BZ$12:BZ$263,MATCH($AQ135,$AP$12:$AP$263,0)))/INDEX($AI$12:$AI$263,MATCH($AQ135,$AP$12:$AP$263,0)), "-"),     TRUE, "0")</f>
        <v>0</v>
      </c>
      <c r="CB135" s="588">
        <f>IF(CA$9&gt;0, IF(OR(CA135="",CA135="-"), 0, CA135*$AT135), BZ135*$AJ135)</f>
        <v>0</v>
      </c>
      <c r="CC135" s="587">
        <f>[1]COMMANDE!AK133</f>
        <v>0</v>
      </c>
      <c r="CD135" s="586" t="str">
        <f>_xlfn.IFS(AND($AI135=$AM135,$AI135&gt;0,$AM135&gt;0,CC135&gt;0), CC135,     AND(NOT($AI135=$AM135),$AI135&gt;0,$AM135&gt;0,CC135&gt;0), ($AM135*CC135)/$AI135,     AND($AI135=0,$AM135&gt;0,$AQ135&gt;0), IF(INDEX(CC$12:CC$263,MATCH($AQ135,$AP$12:$AP$263,0))&gt;0,($AM135*INDEX(CC$12:CC$263,MATCH($AQ135,$AP$12:$AP$263,0)))/INDEX($AI$12:$AI$263,MATCH($AQ135,$AP$12:$AP$263,0)), "-"),     TRUE, "0")</f>
        <v>0</v>
      </c>
      <c r="CE135" s="607">
        <f>IF(CD$9&gt;0, IF(OR(CD135="",CD135="-"), 0, CD135*$AT135), CC135*$AJ135)</f>
        <v>0</v>
      </c>
      <c r="CF135" s="589">
        <f>[1]COMMANDE!AM133</f>
        <v>0</v>
      </c>
      <c r="CG135" s="586" t="str">
        <f>_xlfn.IFS(AND($AI135=$AM135,$AI135&gt;0,$AM135&gt;0,CF135&gt;0), CF135,     AND(NOT($AI135=$AM135),$AI135&gt;0,$AM135&gt;0,CF135&gt;0), ($AM135*CF135)/$AI135,     AND($AI135=0,$AM135&gt;0,$AQ135&gt;0), IF(INDEX(CF$12:CF$263,MATCH($AQ135,$AP$12:$AP$263,0))&gt;0,($AM135*INDEX(CF$12:CF$263,MATCH($AQ135,$AP$12:$AP$263,0)))/INDEX($AI$12:$AI$263,MATCH($AQ135,$AP$12:$AP$263,0)), "-"),     TRUE, "0")</f>
        <v>0</v>
      </c>
      <c r="CH135" s="588">
        <f>IF(CG$9&gt;0, IF(OR(CG135="",CG135="-"), 0, CG135*$AT135), CF135*$AJ135)</f>
        <v>0</v>
      </c>
      <c r="CI135" s="587">
        <f>[1]COMMANDE!AO133</f>
        <v>0</v>
      </c>
      <c r="CJ135" s="586" t="str">
        <f>_xlfn.IFS(AND($AI135=$AM135,$AI135&gt;0,$AM135&gt;0,CI135&gt;0), CI135,     AND(NOT($AI135=$AM135),$AI135&gt;0,$AM135&gt;0,CI135&gt;0), ($AM135*CI135)/$AI135,     AND($AI135=0,$AM135&gt;0,$AQ135&gt;0), IF(INDEX(CI$12:CI$263,MATCH($AQ135,$AP$12:$AP$263,0))&gt;0,($AM135*INDEX(CI$12:CI$263,MATCH($AQ135,$AP$12:$AP$263,0)))/INDEX($AI$12:$AI$263,MATCH($AQ135,$AP$12:$AP$263,0)), "-"),     TRUE, "0")</f>
        <v>0</v>
      </c>
      <c r="CK135" s="607">
        <f>IF(CJ$9&gt;0, IF(OR(CJ135="",CJ135="-"), 0, CJ135*$AT135), CI135*$AJ135)</f>
        <v>0</v>
      </c>
      <c r="CL135" s="589">
        <f>[1]COMMANDE!AQ133</f>
        <v>0</v>
      </c>
      <c r="CM135" s="586" t="str">
        <f>_xlfn.IFS(AND($AI135=$AM135,$AI135&gt;0,$AM135&gt;0,CL135&gt;0), CL135,     AND(NOT($AI135=$AM135),$AI135&gt;0,$AM135&gt;0,CL135&gt;0), ($AM135*CL135)/$AI135,     AND($AI135=0,$AM135&gt;0,$AQ135&gt;0), IF(INDEX(CL$12:CL$263,MATCH($AQ135,$AP$12:$AP$263,0))&gt;0,($AM135*INDEX(CL$12:CL$263,MATCH($AQ135,$AP$12:$AP$263,0)))/INDEX($AI$12:$AI$263,MATCH($AQ135,$AP$12:$AP$263,0)), "-"),     TRUE, "0")</f>
        <v>0</v>
      </c>
      <c r="CN135" s="588">
        <f>IF(CM$9&gt;0, IF(OR(CM135="",CM135="-"), 0, CM135*$AT135), CL135*$AJ135)</f>
        <v>0</v>
      </c>
      <c r="CO135" s="587">
        <f>[1]COMMANDE!AS133</f>
        <v>0</v>
      </c>
      <c r="CP135" s="586" t="str">
        <f>_xlfn.IFS(AND($AI135=$AM135,$AI135&gt;0,$AM135&gt;0,CO135&gt;0), CO135,     AND(NOT($AI135=$AM135),$AI135&gt;0,$AM135&gt;0,CO135&gt;0), ($AM135*CO135)/$AI135,     AND($AI135=0,$AM135&gt;0,$AQ135&gt;0), IF(INDEX(CO$12:CO$263,MATCH($AQ135,$AP$12:$AP$263,0))&gt;0,($AM135*INDEX(CO$12:CO$263,MATCH($AQ135,$AP$12:$AP$263,0)))/INDEX($AI$12:$AI$263,MATCH($AQ135,$AP$12:$AP$263,0)), "-"),     TRUE, "0")</f>
        <v>0</v>
      </c>
      <c r="CQ135" s="607">
        <f>IF(CP$9&gt;0, IF(OR(CP135="",CP135="-"), 0, CP135*$AT135), CO135*$AJ135)</f>
        <v>0</v>
      </c>
      <c r="CR135" s="589">
        <f>[1]COMMANDE!AU133</f>
        <v>0</v>
      </c>
      <c r="CS135" s="586" t="str">
        <f>_xlfn.IFS(AND($AI135=$AM135,$AI135&gt;0,$AM135&gt;0,CR135&gt;0), CR135,     AND(NOT($AI135=$AM135),$AI135&gt;0,$AM135&gt;0,CR135&gt;0), ($AM135*CR135)/$AI135,     AND($AI135=0,$AM135&gt;0,$AQ135&gt;0), IF(INDEX(CR$12:CR$263,MATCH($AQ135,$AP$12:$AP$263,0))&gt;0,($AM135*INDEX(CR$12:CR$263,MATCH($AQ135,$AP$12:$AP$263,0)))/INDEX($AI$12:$AI$263,MATCH($AQ135,$AP$12:$AP$263,0)), "-"),     TRUE, "0")</f>
        <v>0</v>
      </c>
      <c r="CT135" s="588">
        <f>IF(CS$9&gt;0, IF(OR(CS135="",CS135="-"), 0, CS135*$AT135), CR135*$AJ135)</f>
        <v>0</v>
      </c>
      <c r="CU135" s="587">
        <f>[1]COMMANDE!AW133</f>
        <v>0</v>
      </c>
      <c r="CV135" s="586" t="str">
        <f>_xlfn.IFS(AND($AI135=$AM135,$AI135&gt;0,$AM135&gt;0,CU135&gt;0), CU135,     AND(NOT($AI135=$AM135),$AI135&gt;0,$AM135&gt;0,CU135&gt;0), ($AM135*CU135)/$AI135,     AND($AI135=0,$AM135&gt;0,$AQ135&gt;0), IF(INDEX(CU$12:CU$263,MATCH($AQ135,$AP$12:$AP$263,0))&gt;0,($AM135*INDEX(CU$12:CU$263,MATCH($AQ135,$AP$12:$AP$263,0)))/INDEX($AI$12:$AI$263,MATCH($AQ135,$AP$12:$AP$263,0)), "-"),     TRUE, "0")</f>
        <v>0</v>
      </c>
      <c r="CW135" s="607">
        <f>IF(CV$9&gt;0, IF(OR(CV135="",CV135="-"), 0, CV135*$AT135), CU135*$AJ135)</f>
        <v>0</v>
      </c>
      <c r="CX135" s="589">
        <f>[1]COMMANDE!AY133</f>
        <v>0</v>
      </c>
      <c r="CY135" s="586" t="str">
        <f>_xlfn.IFS(AND($AI135=$AM135,$AI135&gt;0,$AM135&gt;0,CX135&gt;0), CX135,     AND(NOT($AI135=$AM135),$AI135&gt;0,$AM135&gt;0,CX135&gt;0), ($AM135*CX135)/$AI135,     AND($AI135=0,$AM135&gt;0,$AQ135&gt;0), IF(INDEX(CX$12:CX$263,MATCH($AQ135,$AP$12:$AP$263,0))&gt;0,($AM135*INDEX(CX$12:CX$263,MATCH($AQ135,$AP$12:$AP$263,0)))/INDEX($AI$12:$AI$263,MATCH($AQ135,$AP$12:$AP$263,0)), "-"),     TRUE, "0")</f>
        <v>0</v>
      </c>
      <c r="CZ135" s="588">
        <f>IF(CY$9&gt;0, IF(OR(CY135="",CY135="-"), 0, CY135*$AT135), CX135*$AJ135)</f>
        <v>0</v>
      </c>
      <c r="DA135" s="587">
        <f>[1]COMMANDE!BA133</f>
        <v>0</v>
      </c>
      <c r="DB135" s="586" t="str">
        <f>_xlfn.IFS(AND($AI135=$AM135,$AI135&gt;0,$AM135&gt;0,DA135&gt;0), DA135,     AND(NOT($AI135=$AM135),$AI135&gt;0,$AM135&gt;0,DA135&gt;0), ($AM135*DA135)/$AI135,     AND($AI135=0,$AM135&gt;0,$AQ135&gt;0), IF(INDEX(DA$12:DA$263,MATCH($AQ135,$AP$12:$AP$263,0))&gt;0,($AM135*INDEX(DA$12:DA$263,MATCH($AQ135,$AP$12:$AP$263,0)))/INDEX($AI$12:$AI$263,MATCH($AQ135,$AP$12:$AP$263,0)), "-"),     TRUE, "0")</f>
        <v>0</v>
      </c>
      <c r="DC135" s="606">
        <f>IF(DB$9&gt;0, IF(OR(DB135="",DB135="-"), 0, DB135*$AT135), DA135*$AJ135)</f>
        <v>0</v>
      </c>
      <c r="DD135" s="584"/>
      <c r="DE135" s="583"/>
    </row>
    <row r="136" spans="1:128" ht="39.950000000000003" hidden="1" customHeight="1">
      <c r="A136" s="604">
        <f>IF(OR($AV136&gt;0, $AX136&gt;0), 1, 0)</f>
        <v>0</v>
      </c>
      <c r="B136" s="604">
        <f>IF(OR($AY136&gt;0, $BA136&gt;0), 1, 0)</f>
        <v>0</v>
      </c>
      <c r="C136" s="604">
        <f>IF(OR($BB136&gt;0, $BD136&gt;0), 1, 0)</f>
        <v>0</v>
      </c>
      <c r="D136" s="604">
        <f>IF(OR($BE136&gt;0, $BG136&gt;0), 1, 0)</f>
        <v>0</v>
      </c>
      <c r="E136" s="604">
        <f>IF(OR($BH136&gt;0, $BJ136&gt;0), 1, 0)</f>
        <v>0</v>
      </c>
      <c r="F136" s="604">
        <f>IF(OR($BK136&gt;0, $BM136&gt;0), 1, 0)</f>
        <v>0</v>
      </c>
      <c r="G136" s="604">
        <f>IF(OR($BN136&gt;0, $BP136&gt;0), 1, 0)</f>
        <v>0</v>
      </c>
      <c r="H136" s="604">
        <f>IF(OR($BQ136&gt;0, $BS136&gt;0), 1, 0)</f>
        <v>0</v>
      </c>
      <c r="I136" s="604">
        <f>IF(OR($BT136&gt;0, $BV136&gt;0), 1, 0)</f>
        <v>0</v>
      </c>
      <c r="J136" s="604">
        <f>IF(OR($BW136&gt;0, $BY136&gt;0), 1, 0)</f>
        <v>0</v>
      </c>
      <c r="K136" s="604">
        <f>IF(OR($BZ136&gt;0, $CB136&gt;0), 1, 0)</f>
        <v>0</v>
      </c>
      <c r="L136" s="604">
        <f>IF(OR($CC136&gt;0, $CE136&gt;0), 1, 0)</f>
        <v>0</v>
      </c>
      <c r="M136" s="604">
        <f>IF(OR($CF136&gt;0, $CH136&gt;0), 1, 0)</f>
        <v>0</v>
      </c>
      <c r="N136" s="604">
        <f>IF(OR($CI136&gt;0, $CK136&gt;0), 1, 0)</f>
        <v>0</v>
      </c>
      <c r="O136" s="604">
        <f>IF(OR($CL136&gt;0, $CN136&gt;0), 1, 0)</f>
        <v>0</v>
      </c>
      <c r="P136" s="604">
        <f>IF(OR($CO136&gt;0, $CQ136&gt;0), 1, 0)</f>
        <v>0</v>
      </c>
      <c r="Q136" s="604">
        <f>IF(OR($CR136&gt;0, $CT136&gt;0), 1, 0)</f>
        <v>0</v>
      </c>
      <c r="R136" s="604">
        <f>IF(OR($CU136&gt;0, $CW136&gt;0), 1, 0)</f>
        <v>0</v>
      </c>
      <c r="S136" s="604">
        <f>IF(OR($CX136&gt;0, $CZ136&gt;0), 1, 0)</f>
        <v>0</v>
      </c>
      <c r="T136" s="604">
        <f>IF(OR($DA136&gt;0, $DC136&gt;0), 1, 0)</f>
        <v>0</v>
      </c>
      <c r="U136" s="603">
        <f>IF(OR($AI136&gt;0,$AM136&gt;0,$AS136&gt;0), 1, 0)</f>
        <v>0</v>
      </c>
      <c r="V136" s="602">
        <f>[1]BDD!A126</f>
        <v>3766</v>
      </c>
      <c r="W136" s="601" t="str">
        <f>[1]BDD!B126</f>
        <v>Kaki en plateau env. 900g mûri exprès (couleur rouge vive) - Produit rare !</v>
      </c>
      <c r="X136" s="600" t="str">
        <f>IF([1]BDD!F126=0, "", [1]BDD!F126)</f>
        <v/>
      </c>
      <c r="Y136" s="542">
        <f>ROUND([1]BDD!G126+FDP_CMD_KG, 2)</f>
        <v>4.42</v>
      </c>
      <c r="Z136" s="542">
        <f>ROUND([1]BDD!G126+FDP_FACT_KG, 2)</f>
        <v>4.42</v>
      </c>
      <c r="AA136" s="543" t="str">
        <f>[1]BDD!H126</f>
        <v>Pièce</v>
      </c>
      <c r="AB136" s="544">
        <f>IF(NOT(ISBLANK([1]BDD!I126)), ROUND(SUM(([1]BDD!G126*reduc1),FDP_CMD_KG), 2), "")</f>
        <v>4.07</v>
      </c>
      <c r="AC136" s="544">
        <f>IF(NOT(ISBLANK([1]BDD!J126)), ROUND(SUM(([1]BDD!G126*reduc2),FDP_CMD_KG), 2), "")</f>
        <v>3.71</v>
      </c>
      <c r="AD136" s="544" t="str">
        <f>IF(NOT(ISBLANK([1]BDD!K126)), ROUND(SUM(([1]BDD!G126*reduc3),FDP_CMD_KG), 2), "")</f>
        <v/>
      </c>
      <c r="AE136" s="544">
        <f>IF(NOT(ISBLANK([1]BDD!I126)), ROUND(SUM(([1]BDD!G126*reduc1),FDP_FACT_KG), 2), "")</f>
        <v>4.0599999999999996</v>
      </c>
      <c r="AF136" s="544">
        <f>IF(NOT(ISBLANK([1]BDD!J126)), ROUND(SUM(([1]BDD!G126*reduc2),FDP_FACT_KG), 2), "")</f>
        <v>3.71</v>
      </c>
      <c r="AG136" s="544" t="str">
        <f>IF(NOT(ISBLANK([1]BDD!K126)), ROUND(SUM(([1]BDD!G126*reduc3),FDP_FACT_KG), 2), "")</f>
        <v/>
      </c>
      <c r="AH136" s="599" t="str">
        <f>[1]BDD!C126</f>
        <v>Grenade</v>
      </c>
      <c r="AI136" s="598">
        <f>SUM(AV136,AY136,BB136,BE136,BH136,BK136,BN136,BQ136,BT136,BW136,BZ136,CC136,CF136,CI136,CL136,CO136,CR136,CU136,CX136,DA136)</f>
        <v>0</v>
      </c>
      <c r="AJ136" s="545">
        <f>_xlfn.IFS($AD136&lt;&gt;"", $AD136,    $AC136&lt;&gt;"", $AC136,    $AB136&lt;&gt;"", $AB136,    TRUE, $Y136)</f>
        <v>3.71</v>
      </c>
      <c r="AK136" s="592">
        <f>$AI136*$AJ136</f>
        <v>0</v>
      </c>
      <c r="AL136" s="594"/>
      <c r="AM136" s="597"/>
      <c r="AN136" s="545">
        <f>_xlfn.IFS(AND(AM136&gt;=60,$AG136&lt;&gt;""), $AG136,    AND(AM136&gt;=30,$AF136&lt;&gt;""), $AF136,    AND(AM136&gt;=10,$AE136&lt;&gt;""), $AE136,    TRUE, $Z136)</f>
        <v>4.42</v>
      </c>
      <c r="AO136" s="596">
        <f>AM136*AN136</f>
        <v>0</v>
      </c>
      <c r="AP136" s="595"/>
      <c r="AQ136" s="595"/>
      <c r="AR136" s="594"/>
      <c r="AS136" s="593">
        <f>SUM(AW136,AZ136,BC136,BF136,BI136,BL136,BO136,BR136,BU136,BX136,CA136,CD136,CG136,CJ136,CM136,CP136,CS136,CV136,CY136,DB136)</f>
        <v>0</v>
      </c>
      <c r="AT136" s="545">
        <f>_xlfn.IFS(AND(AS136&gt;=60,$AG136&lt;&gt;""), $AG136,    AND(AS136&gt;=30,$AF136&lt;&gt;""), $AF136,    AND(AS136&gt;=10,$AE136&lt;&gt;""), $AE136,    TRUE, $Z136)</f>
        <v>4.42</v>
      </c>
      <c r="AU136" s="592">
        <f>$AS136*$AT136</f>
        <v>0</v>
      </c>
      <c r="AV136" s="591">
        <f>[1]COMMANDE!O134</f>
        <v>0</v>
      </c>
      <c r="AW136" s="586" t="str">
        <f>_xlfn.IFS(AND($AI136=$AM136,$AI136&gt;0,$AM136&gt;0,AV136&gt;0), AV136,     AND(NOT($AI136=$AM136),$AI136&gt;0,$AM136&gt;0,AV136&gt;0), ($AM136*AV136)/$AI136,     AND($AI136=0,$AM136&gt;0,$AQ136&gt;0), IF(INDEX(AV$12:AV$263,MATCH($AQ136,$AP$12:$AP$263,0))&gt;0,($AM136*INDEX(AV$12:AV$263,MATCH($AQ136,$AP$12:$AP$263,0)))/INDEX($AI$12:$AI$263,MATCH($AQ136,$AP$12:$AP$263,0)), "-"),     TRUE, "0")</f>
        <v>0</v>
      </c>
      <c r="AX136" s="588">
        <f>IF(AW$9&gt;0, IF(OR(AW136="",AW136="-"), 0, AW136*$AT136), AV136*$AJ136)</f>
        <v>0</v>
      </c>
      <c r="AY136" s="587">
        <f>[1]COMMANDE!Q134</f>
        <v>0</v>
      </c>
      <c r="AZ136" s="586" t="str">
        <f>_xlfn.IFS(AND($AI136=$AM136,$AI136&gt;0,$AM136&gt;0,AY136&gt;0), AY136,     AND(NOT($AI136=$AM136),$AI136&gt;0,$AM136&gt;0,AY136&gt;0), ($AM136*AY136)/$AI136,     AND($AI136=0,$AM136&gt;0,$AQ136&gt;0), IF(INDEX(AY$12:AY$263,MATCH($AQ136,$AP$12:$AP$263,0))&gt;0,($AM136*INDEX(AY$12:AY$263,MATCH($AQ136,$AP$12:$AP$263,0)))/INDEX($AI$12:$AI$263,MATCH($AQ136,$AP$12:$AP$263,0)), "-"),     TRUE, "0")</f>
        <v>0</v>
      </c>
      <c r="BA136" s="607">
        <f>IF(AZ$9&gt;0, IF(OR(AZ136="",AZ136="-"), 0, AZ136*$AT136), AY136*$AJ136)</f>
        <v>0</v>
      </c>
      <c r="BB136" s="589">
        <f>[1]COMMANDE!S134</f>
        <v>0</v>
      </c>
      <c r="BC136" s="586" t="str">
        <f>_xlfn.IFS(AND($AI136=$AM136,$AI136&gt;0,$AM136&gt;0,BB136&gt;0), BB136,     AND(NOT($AI136=$AM136),$AI136&gt;0,$AM136&gt;0,BB136&gt;0), ($AM136*BB136)/$AI136,     AND($AI136=0,$AM136&gt;0,$AQ136&gt;0), IF(INDEX(BB$12:BB$263,MATCH($AQ136,$AP$12:$AP$263,0))&gt;0,($AM136*INDEX(BB$12:BB$263,MATCH($AQ136,$AP$12:$AP$263,0)))/INDEX($AI$12:$AI$263,MATCH($AQ136,$AP$12:$AP$263,0)), "-"),     TRUE, "0")</f>
        <v>0</v>
      </c>
      <c r="BD136" s="588">
        <f>IF(BC$9&gt;0, IF(OR(BC136="",BC136="-"), 0, BC136*$AT136), BB136*$AJ136)</f>
        <v>0</v>
      </c>
      <c r="BE136" s="587">
        <f>[1]COMMANDE!U134</f>
        <v>0</v>
      </c>
      <c r="BF136" s="586" t="str">
        <f>_xlfn.IFS(AND($AI136=$AM136,$AI136&gt;0,$AM136&gt;0,BE136&gt;0), BE136,     AND(NOT($AI136=$AM136),$AI136&gt;0,$AM136&gt;0,BE136&gt;0), ($AM136*BE136)/$AI136,     AND($AI136=0,$AM136&gt;0,$AQ136&gt;0), IF(INDEX(BE$12:BE$263,MATCH($AQ136,$AP$12:$AP$263,0))&gt;0,($AM136*INDEX(BE$12:BE$263,MATCH($AQ136,$AP$12:$AP$263,0)))/INDEX($AI$12:$AI$263,MATCH($AQ136,$AP$12:$AP$263,0)), "-"),     TRUE, "0")</f>
        <v>0</v>
      </c>
      <c r="BG136" s="607">
        <f>IF(BF$9&gt;0, IF(OR(BF136="",BF136="-"), 0, BF136*$AT136), BE136*$AJ136)</f>
        <v>0</v>
      </c>
      <c r="BH136" s="589">
        <f>[1]COMMANDE!W134</f>
        <v>0</v>
      </c>
      <c r="BI136" s="586" t="str">
        <f>_xlfn.IFS(AND($AI136=$AM136,$AI136&gt;0,$AM136&gt;0,BH136&gt;0), BH136,     AND(NOT($AI136=$AM136),$AI136&gt;0,$AM136&gt;0,BH136&gt;0), ($AM136*BH136)/$AI136,     AND($AI136=0,$AM136&gt;0,$AQ136&gt;0), IF(INDEX(BH$12:BH$263,MATCH($AQ136,$AP$12:$AP$263,0))&gt;0,($AM136*INDEX(BH$12:BH$263,MATCH($AQ136,$AP$12:$AP$263,0)))/INDEX($AI$12:$AI$263,MATCH($AQ136,$AP$12:$AP$263,0)), "-"),     TRUE, "0")</f>
        <v>0</v>
      </c>
      <c r="BJ136" s="588">
        <f>IF(BI$9&gt;0, IF(OR(BI136="",BI136="-"), 0, BI136*$AT136), BH136*$AJ136)</f>
        <v>0</v>
      </c>
      <c r="BK136" s="587">
        <f>[1]COMMANDE!Y134</f>
        <v>0</v>
      </c>
      <c r="BL136" s="586" t="str">
        <f>_xlfn.IFS(AND($AI136=$AM136,$AI136&gt;0,$AM136&gt;0,BK136&gt;0), BK136,     AND(NOT($AI136=$AM136),$AI136&gt;0,$AM136&gt;0,BK136&gt;0), ($AM136*BK136)/$AI136,     AND($AI136=0,$AM136&gt;0,$AQ136&gt;0), IF(INDEX(BK$12:BK$263,MATCH($AQ136,$AP$12:$AP$263,0))&gt;0,($AM136*INDEX(BK$12:BK$263,MATCH($AQ136,$AP$12:$AP$263,0)))/INDEX($AI$12:$AI$263,MATCH($AQ136,$AP$12:$AP$263,0)), "-"),     TRUE, "0")</f>
        <v>0</v>
      </c>
      <c r="BM136" s="607">
        <f>IF(BL$9&gt;0, IF(OR(BL136="",BL136="-"), 0, BL136*$AT136), BK136*$AJ136)</f>
        <v>0</v>
      </c>
      <c r="BN136" s="589">
        <f>[1]COMMANDE!AA134</f>
        <v>0</v>
      </c>
      <c r="BO136" s="586" t="str">
        <f>_xlfn.IFS(AND($AI136=$AM136,$AI136&gt;0,$AM136&gt;0,BN136&gt;0), BN136,     AND(NOT($AI136=$AM136),$AI136&gt;0,$AM136&gt;0,BN136&gt;0), ($AM136*BN136)/$AI136,     AND($AI136=0,$AM136&gt;0,$AQ136&gt;0), IF(INDEX(BN$12:BN$263,MATCH($AQ136,$AP$12:$AP$263,0))&gt;0,($AM136*INDEX(BN$12:BN$263,MATCH($AQ136,$AP$12:$AP$263,0)))/INDEX($AI$12:$AI$263,MATCH($AQ136,$AP$12:$AP$263,0)), "-"),     TRUE, "0")</f>
        <v>0</v>
      </c>
      <c r="BP136" s="588">
        <f>IF(BO$9&gt;0, IF(OR(BO136="",BO136="-"), 0, BO136*$AT136), BN136*$AJ136)</f>
        <v>0</v>
      </c>
      <c r="BQ136" s="587">
        <f>[1]COMMANDE!AC134</f>
        <v>0</v>
      </c>
      <c r="BR136" s="586" t="str">
        <f>_xlfn.IFS(AND($AI136=$AM136,$AI136&gt;0,$AM136&gt;0,BQ136&gt;0), BQ136,     AND(NOT($AI136=$AM136),$AI136&gt;0,$AM136&gt;0,BQ136&gt;0), ($AM136*BQ136)/$AI136,     AND($AI136=0,$AM136&gt;0,$AQ136&gt;0), IF(INDEX(BQ$12:BQ$263,MATCH($AQ136,$AP$12:$AP$263,0))&gt;0,($AM136*INDEX(BQ$12:BQ$263,MATCH($AQ136,$AP$12:$AP$263,0)))/INDEX($AI$12:$AI$263,MATCH($AQ136,$AP$12:$AP$263,0)), "-"),     TRUE, "0")</f>
        <v>0</v>
      </c>
      <c r="BS136" s="607">
        <f>IF(BR$9&gt;0, IF(OR(BR136="",BR136="-"), 0, BR136*$AT136), BQ136*$AJ136)</f>
        <v>0</v>
      </c>
      <c r="BT136" s="589">
        <f>[1]COMMANDE!AE134</f>
        <v>0</v>
      </c>
      <c r="BU136" s="586" t="str">
        <f>_xlfn.IFS(AND($AI136=$AM136,$AI136&gt;0,$AM136&gt;0,BT136&gt;0), BT136,     AND(NOT($AI136=$AM136),$AI136&gt;0,$AM136&gt;0,BT136&gt;0), ($AM136*BT136)/$AI136,     AND($AI136=0,$AM136&gt;0,$AQ136&gt;0), IF(INDEX(BT$12:BT$263,MATCH($AQ136,$AP$12:$AP$263,0))&gt;0,($AM136*INDEX(BT$12:BT$263,MATCH($AQ136,$AP$12:$AP$263,0)))/INDEX($AI$12:$AI$263,MATCH($AQ136,$AP$12:$AP$263,0)), "-"),     TRUE, "0")</f>
        <v>0</v>
      </c>
      <c r="BV136" s="588">
        <f>IF(BU$9&gt;0, IF(OR(BU136="",BU136="-"), 0, BU136*$AT136), BT136*$AJ136)</f>
        <v>0</v>
      </c>
      <c r="BW136" s="587">
        <f>[1]COMMANDE!AG134</f>
        <v>0</v>
      </c>
      <c r="BX136" s="586" t="str">
        <f>_xlfn.IFS(AND($AI136=$AM136,$AI136&gt;0,$AM136&gt;0,BW136&gt;0), BW136,     AND(NOT($AI136=$AM136),$AI136&gt;0,$AM136&gt;0,BW136&gt;0), ($AM136*BW136)/$AI136,     AND($AI136=0,$AM136&gt;0,$AQ136&gt;0), IF(INDEX(BW$12:BW$263,MATCH($AQ136,$AP$12:$AP$263,0))&gt;0,($AM136*INDEX(BW$12:BW$263,MATCH($AQ136,$AP$12:$AP$263,0)))/INDEX($AI$12:$AI$263,MATCH($AQ136,$AP$12:$AP$263,0)), "-"),     TRUE, "0")</f>
        <v>0</v>
      </c>
      <c r="BY136" s="607">
        <f>IF(BX$9&gt;0, IF(OR(BX136="",BX136="-"), 0, BX136*$AT136), BW136*$AJ136)</f>
        <v>0</v>
      </c>
      <c r="BZ136" s="589">
        <f>[1]COMMANDE!AI134</f>
        <v>0</v>
      </c>
      <c r="CA136" s="586" t="str">
        <f>_xlfn.IFS(AND($AI136=$AM136,$AI136&gt;0,$AM136&gt;0,BZ136&gt;0), BZ136,     AND(NOT($AI136=$AM136),$AI136&gt;0,$AM136&gt;0,BZ136&gt;0), ($AM136*BZ136)/$AI136,     AND($AI136=0,$AM136&gt;0,$AQ136&gt;0), IF(INDEX(BZ$12:BZ$263,MATCH($AQ136,$AP$12:$AP$263,0))&gt;0,($AM136*INDEX(BZ$12:BZ$263,MATCH($AQ136,$AP$12:$AP$263,0)))/INDEX($AI$12:$AI$263,MATCH($AQ136,$AP$12:$AP$263,0)), "-"),     TRUE, "0")</f>
        <v>0</v>
      </c>
      <c r="CB136" s="588">
        <f>IF(CA$9&gt;0, IF(OR(CA136="",CA136="-"), 0, CA136*$AT136), BZ136*$AJ136)</f>
        <v>0</v>
      </c>
      <c r="CC136" s="587">
        <f>[1]COMMANDE!AK134</f>
        <v>0</v>
      </c>
      <c r="CD136" s="586" t="str">
        <f>_xlfn.IFS(AND($AI136=$AM136,$AI136&gt;0,$AM136&gt;0,CC136&gt;0), CC136,     AND(NOT($AI136=$AM136),$AI136&gt;0,$AM136&gt;0,CC136&gt;0), ($AM136*CC136)/$AI136,     AND($AI136=0,$AM136&gt;0,$AQ136&gt;0), IF(INDEX(CC$12:CC$263,MATCH($AQ136,$AP$12:$AP$263,0))&gt;0,($AM136*INDEX(CC$12:CC$263,MATCH($AQ136,$AP$12:$AP$263,0)))/INDEX($AI$12:$AI$263,MATCH($AQ136,$AP$12:$AP$263,0)), "-"),     TRUE, "0")</f>
        <v>0</v>
      </c>
      <c r="CE136" s="607">
        <f>IF(CD$9&gt;0, IF(OR(CD136="",CD136="-"), 0, CD136*$AT136), CC136*$AJ136)</f>
        <v>0</v>
      </c>
      <c r="CF136" s="589">
        <f>[1]COMMANDE!AM134</f>
        <v>0</v>
      </c>
      <c r="CG136" s="586" t="str">
        <f>_xlfn.IFS(AND($AI136=$AM136,$AI136&gt;0,$AM136&gt;0,CF136&gt;0), CF136,     AND(NOT($AI136=$AM136),$AI136&gt;0,$AM136&gt;0,CF136&gt;0), ($AM136*CF136)/$AI136,     AND($AI136=0,$AM136&gt;0,$AQ136&gt;0), IF(INDEX(CF$12:CF$263,MATCH($AQ136,$AP$12:$AP$263,0))&gt;0,($AM136*INDEX(CF$12:CF$263,MATCH($AQ136,$AP$12:$AP$263,0)))/INDEX($AI$12:$AI$263,MATCH($AQ136,$AP$12:$AP$263,0)), "-"),     TRUE, "0")</f>
        <v>0</v>
      </c>
      <c r="CH136" s="588">
        <f>IF(CG$9&gt;0, IF(OR(CG136="",CG136="-"), 0, CG136*$AT136), CF136*$AJ136)</f>
        <v>0</v>
      </c>
      <c r="CI136" s="587">
        <f>[1]COMMANDE!AO134</f>
        <v>0</v>
      </c>
      <c r="CJ136" s="586" t="str">
        <f>_xlfn.IFS(AND($AI136=$AM136,$AI136&gt;0,$AM136&gt;0,CI136&gt;0), CI136,     AND(NOT($AI136=$AM136),$AI136&gt;0,$AM136&gt;0,CI136&gt;0), ($AM136*CI136)/$AI136,     AND($AI136=0,$AM136&gt;0,$AQ136&gt;0), IF(INDEX(CI$12:CI$263,MATCH($AQ136,$AP$12:$AP$263,0))&gt;0,($AM136*INDEX(CI$12:CI$263,MATCH($AQ136,$AP$12:$AP$263,0)))/INDEX($AI$12:$AI$263,MATCH($AQ136,$AP$12:$AP$263,0)), "-"),     TRUE, "0")</f>
        <v>0</v>
      </c>
      <c r="CK136" s="607">
        <f>IF(CJ$9&gt;0, IF(OR(CJ136="",CJ136="-"), 0, CJ136*$AT136), CI136*$AJ136)</f>
        <v>0</v>
      </c>
      <c r="CL136" s="589">
        <f>[1]COMMANDE!AQ134</f>
        <v>0</v>
      </c>
      <c r="CM136" s="586" t="str">
        <f>_xlfn.IFS(AND($AI136=$AM136,$AI136&gt;0,$AM136&gt;0,CL136&gt;0), CL136,     AND(NOT($AI136=$AM136),$AI136&gt;0,$AM136&gt;0,CL136&gt;0), ($AM136*CL136)/$AI136,     AND($AI136=0,$AM136&gt;0,$AQ136&gt;0), IF(INDEX(CL$12:CL$263,MATCH($AQ136,$AP$12:$AP$263,0))&gt;0,($AM136*INDEX(CL$12:CL$263,MATCH($AQ136,$AP$12:$AP$263,0)))/INDEX($AI$12:$AI$263,MATCH($AQ136,$AP$12:$AP$263,0)), "-"),     TRUE, "0")</f>
        <v>0</v>
      </c>
      <c r="CN136" s="588">
        <f>IF(CM$9&gt;0, IF(OR(CM136="",CM136="-"), 0, CM136*$AT136), CL136*$AJ136)</f>
        <v>0</v>
      </c>
      <c r="CO136" s="587">
        <f>[1]COMMANDE!AS134</f>
        <v>0</v>
      </c>
      <c r="CP136" s="586" t="str">
        <f>_xlfn.IFS(AND($AI136=$AM136,$AI136&gt;0,$AM136&gt;0,CO136&gt;0), CO136,     AND(NOT($AI136=$AM136),$AI136&gt;0,$AM136&gt;0,CO136&gt;0), ($AM136*CO136)/$AI136,     AND($AI136=0,$AM136&gt;0,$AQ136&gt;0), IF(INDEX(CO$12:CO$263,MATCH($AQ136,$AP$12:$AP$263,0))&gt;0,($AM136*INDEX(CO$12:CO$263,MATCH($AQ136,$AP$12:$AP$263,0)))/INDEX($AI$12:$AI$263,MATCH($AQ136,$AP$12:$AP$263,0)), "-"),     TRUE, "0")</f>
        <v>0</v>
      </c>
      <c r="CQ136" s="607">
        <f>IF(CP$9&gt;0, IF(OR(CP136="",CP136="-"), 0, CP136*$AT136), CO136*$AJ136)</f>
        <v>0</v>
      </c>
      <c r="CR136" s="589">
        <f>[1]COMMANDE!AU134</f>
        <v>0</v>
      </c>
      <c r="CS136" s="586" t="str">
        <f>_xlfn.IFS(AND($AI136=$AM136,$AI136&gt;0,$AM136&gt;0,CR136&gt;0), CR136,     AND(NOT($AI136=$AM136),$AI136&gt;0,$AM136&gt;0,CR136&gt;0), ($AM136*CR136)/$AI136,     AND($AI136=0,$AM136&gt;0,$AQ136&gt;0), IF(INDEX(CR$12:CR$263,MATCH($AQ136,$AP$12:$AP$263,0))&gt;0,($AM136*INDEX(CR$12:CR$263,MATCH($AQ136,$AP$12:$AP$263,0)))/INDEX($AI$12:$AI$263,MATCH($AQ136,$AP$12:$AP$263,0)), "-"),     TRUE, "0")</f>
        <v>0</v>
      </c>
      <c r="CT136" s="588">
        <f>IF(CS$9&gt;0, IF(OR(CS136="",CS136="-"), 0, CS136*$AT136), CR136*$AJ136)</f>
        <v>0</v>
      </c>
      <c r="CU136" s="587">
        <f>[1]COMMANDE!AW134</f>
        <v>0</v>
      </c>
      <c r="CV136" s="586" t="str">
        <f>_xlfn.IFS(AND($AI136=$AM136,$AI136&gt;0,$AM136&gt;0,CU136&gt;0), CU136,     AND(NOT($AI136=$AM136),$AI136&gt;0,$AM136&gt;0,CU136&gt;0), ($AM136*CU136)/$AI136,     AND($AI136=0,$AM136&gt;0,$AQ136&gt;0), IF(INDEX(CU$12:CU$263,MATCH($AQ136,$AP$12:$AP$263,0))&gt;0,($AM136*INDEX(CU$12:CU$263,MATCH($AQ136,$AP$12:$AP$263,0)))/INDEX($AI$12:$AI$263,MATCH($AQ136,$AP$12:$AP$263,0)), "-"),     TRUE, "0")</f>
        <v>0</v>
      </c>
      <c r="CW136" s="607">
        <f>IF(CV$9&gt;0, IF(OR(CV136="",CV136="-"), 0, CV136*$AT136), CU136*$AJ136)</f>
        <v>0</v>
      </c>
      <c r="CX136" s="589">
        <f>[1]COMMANDE!AY134</f>
        <v>0</v>
      </c>
      <c r="CY136" s="586" t="str">
        <f>_xlfn.IFS(AND($AI136=$AM136,$AI136&gt;0,$AM136&gt;0,CX136&gt;0), CX136,     AND(NOT($AI136=$AM136),$AI136&gt;0,$AM136&gt;0,CX136&gt;0), ($AM136*CX136)/$AI136,     AND($AI136=0,$AM136&gt;0,$AQ136&gt;0), IF(INDEX(CX$12:CX$263,MATCH($AQ136,$AP$12:$AP$263,0))&gt;0,($AM136*INDEX(CX$12:CX$263,MATCH($AQ136,$AP$12:$AP$263,0)))/INDEX($AI$12:$AI$263,MATCH($AQ136,$AP$12:$AP$263,0)), "-"),     TRUE, "0")</f>
        <v>0</v>
      </c>
      <c r="CZ136" s="588">
        <f>IF(CY$9&gt;0, IF(OR(CY136="",CY136="-"), 0, CY136*$AT136), CX136*$AJ136)</f>
        <v>0</v>
      </c>
      <c r="DA136" s="587">
        <f>[1]COMMANDE!BA134</f>
        <v>0</v>
      </c>
      <c r="DB136" s="586" t="str">
        <f>_xlfn.IFS(AND($AI136=$AM136,$AI136&gt;0,$AM136&gt;0,DA136&gt;0), DA136,     AND(NOT($AI136=$AM136),$AI136&gt;0,$AM136&gt;0,DA136&gt;0), ($AM136*DA136)/$AI136,     AND($AI136=0,$AM136&gt;0,$AQ136&gt;0), IF(INDEX(DA$12:DA$263,MATCH($AQ136,$AP$12:$AP$263,0))&gt;0,($AM136*INDEX(DA$12:DA$263,MATCH($AQ136,$AP$12:$AP$263,0)))/INDEX($AI$12:$AI$263,MATCH($AQ136,$AP$12:$AP$263,0)), "-"),     TRUE, "0")</f>
        <v>0</v>
      </c>
      <c r="DC136" s="606">
        <f>IF(DB$9&gt;0, IF(OR(DB136="",DB136="-"), 0, DB136*$AT136), DA136*$AJ136)</f>
        <v>0</v>
      </c>
      <c r="DD136" s="584"/>
      <c r="DE136" s="583"/>
    </row>
    <row r="137" spans="1:128" s="610" customFormat="1" ht="39.950000000000003" hidden="1" customHeight="1">
      <c r="A137" s="604">
        <f>IF(OR($AV137&gt;0, $AX137&gt;0), 1, 0)</f>
        <v>0</v>
      </c>
      <c r="B137" s="604">
        <f>IF(OR($AY137&gt;0, $BA137&gt;0), 1, 0)</f>
        <v>0</v>
      </c>
      <c r="C137" s="604">
        <f>IF(OR($BB137&gt;0, $BD137&gt;0), 1, 0)</f>
        <v>0</v>
      </c>
      <c r="D137" s="604">
        <f>IF(OR($BE137&gt;0, $BG137&gt;0), 1, 0)</f>
        <v>0</v>
      </c>
      <c r="E137" s="604">
        <f>IF(OR($BH137&gt;0, $BJ137&gt;0), 1, 0)</f>
        <v>0</v>
      </c>
      <c r="F137" s="604">
        <f>IF(OR($BK137&gt;0, $BM137&gt;0), 1, 0)</f>
        <v>0</v>
      </c>
      <c r="G137" s="604">
        <f>IF(OR($BN137&gt;0, $BP137&gt;0), 1, 0)</f>
        <v>0</v>
      </c>
      <c r="H137" s="604">
        <f>IF(OR($BQ137&gt;0, $BS137&gt;0), 1, 0)</f>
        <v>0</v>
      </c>
      <c r="I137" s="604">
        <f>IF(OR($BT137&gt;0, $BV137&gt;0), 1, 0)</f>
        <v>0</v>
      </c>
      <c r="J137" s="604">
        <f>IF(OR($BW137&gt;0, $BY137&gt;0), 1, 0)</f>
        <v>0</v>
      </c>
      <c r="K137" s="604">
        <f>IF(OR($BZ137&gt;0, $CB137&gt;0), 1, 0)</f>
        <v>0</v>
      </c>
      <c r="L137" s="604">
        <f>IF(OR($CC137&gt;0, $CE137&gt;0), 1, 0)</f>
        <v>0</v>
      </c>
      <c r="M137" s="604">
        <f>IF(OR($CF137&gt;0, $CH137&gt;0), 1, 0)</f>
        <v>0</v>
      </c>
      <c r="N137" s="604">
        <f>IF(OR($CI137&gt;0, $CK137&gt;0), 1, 0)</f>
        <v>0</v>
      </c>
      <c r="O137" s="604">
        <f>IF(OR($CL137&gt;0, $CN137&gt;0), 1, 0)</f>
        <v>0</v>
      </c>
      <c r="P137" s="604">
        <f>IF(OR($CO137&gt;0, $CQ137&gt;0), 1, 0)</f>
        <v>0</v>
      </c>
      <c r="Q137" s="604">
        <f>IF(OR($CR137&gt;0, $CT137&gt;0), 1, 0)</f>
        <v>0</v>
      </c>
      <c r="R137" s="604">
        <f>IF(OR($CU137&gt;0, $CW137&gt;0), 1, 0)</f>
        <v>0</v>
      </c>
      <c r="S137" s="604">
        <f>IF(OR($CX137&gt;0, $CZ137&gt;0), 1, 0)</f>
        <v>0</v>
      </c>
      <c r="T137" s="604">
        <f>IF(OR($DA137&gt;0, $DC137&gt;0), 1, 0)</f>
        <v>0</v>
      </c>
      <c r="U137" s="603">
        <f>IF(OR($AI137&gt;0,$AM137&gt;0,$AS137&gt;0), 1, 0)</f>
        <v>0</v>
      </c>
      <c r="V137" s="602">
        <f>[1]BDD!A127</f>
        <v>3265</v>
      </c>
      <c r="W137" s="601" t="str">
        <f>[1]BDD!B127</f>
        <v>Kaki Fuyu</v>
      </c>
      <c r="X137" s="600" t="str">
        <f>IF([1]BDD!F127=0, "", [1]BDD!F127)</f>
        <v>❤️</v>
      </c>
      <c r="Y137" s="542">
        <f>ROUND([1]BDD!G127+FDP_CMD_KG, 2)</f>
        <v>4.28</v>
      </c>
      <c r="Z137" s="542">
        <f>ROUND([1]BDD!G127+FDP_FACT_KG, 2)</f>
        <v>4.28</v>
      </c>
      <c r="AA137" s="543" t="str">
        <f>[1]BDD!H127</f>
        <v>kg</v>
      </c>
      <c r="AB137" s="544">
        <f>IF(NOT(ISBLANK([1]BDD!I127)), ROUND(SUM(([1]BDD!G127*reduc1),FDP_CMD_KG), 2), "")</f>
        <v>3.94</v>
      </c>
      <c r="AC137" s="544">
        <f>IF(NOT(ISBLANK([1]BDD!J127)), ROUND(SUM(([1]BDD!G127*reduc2),FDP_CMD_KG), 2), "")</f>
        <v>3.6</v>
      </c>
      <c r="AD137" s="544">
        <f>IF(NOT(ISBLANK([1]BDD!K127)), ROUND(SUM(([1]BDD!G127*reduc3),FDP_CMD_KG), 2), "")</f>
        <v>3.26</v>
      </c>
      <c r="AE137" s="544">
        <f>IF(NOT(ISBLANK([1]BDD!I127)), ROUND(SUM(([1]BDD!G127*reduc1),FDP_FACT_KG), 2), "")</f>
        <v>3.94</v>
      </c>
      <c r="AF137" s="544">
        <f>IF(NOT(ISBLANK([1]BDD!J127)), ROUND(SUM(([1]BDD!G127*reduc2),FDP_FACT_KG), 2), "")</f>
        <v>3.59</v>
      </c>
      <c r="AG137" s="544">
        <f>IF(NOT(ISBLANK([1]BDD!K127)), ROUND(SUM(([1]BDD!G127*reduc3),FDP_FACT_KG), 2), "")</f>
        <v>3.25</v>
      </c>
      <c r="AH137" s="599" t="str">
        <f>[1]BDD!C127</f>
        <v>Grenade</v>
      </c>
      <c r="AI137" s="598">
        <f>SUM(AV137,AY137,BB137,BE137,BH137,BK137,BN137,BQ137,BT137,BW137,BZ137,CC137,CF137,CI137,CL137,CO137,CR137,CU137,CX137,DA137)</f>
        <v>0</v>
      </c>
      <c r="AJ137" s="545">
        <f>_xlfn.IFS($AD137&lt;&gt;"", $AD137,    $AC137&lt;&gt;"", $AC137,    $AB137&lt;&gt;"", $AB137,    TRUE, $Y137)</f>
        <v>3.26</v>
      </c>
      <c r="AK137" s="592">
        <f>$AI137*$AJ137</f>
        <v>0</v>
      </c>
      <c r="AL137" s="594"/>
      <c r="AM137" s="597"/>
      <c r="AN137" s="545">
        <f>_xlfn.IFS(AND(AM137&gt;=60,$AG137&lt;&gt;""), $AG137,    AND(AM137&gt;=30,$AF137&lt;&gt;""), $AF137,    AND(AM137&gt;=10,$AE137&lt;&gt;""), $AE137,    TRUE, $Z137)</f>
        <v>4.28</v>
      </c>
      <c r="AO137" s="596">
        <f>AM137*AN137</f>
        <v>0</v>
      </c>
      <c r="AP137" s="595"/>
      <c r="AQ137" s="595"/>
      <c r="AR137" s="594"/>
      <c r="AS137" s="593">
        <f>SUM(AW137,AZ137,BC137,BF137,BI137,BL137,BO137,BR137,BU137,BX137,CA137,CD137,CG137,CJ137,CM137,CP137,CS137,CV137,CY137,DB137)</f>
        <v>0</v>
      </c>
      <c r="AT137" s="545">
        <f>_xlfn.IFS(AND(AS137&gt;=60,$AG137&lt;&gt;""), $AG137,    AND(AS137&gt;=30,$AF137&lt;&gt;""), $AF137,    AND(AS137&gt;=10,$AE137&lt;&gt;""), $AE137,    TRUE, $Z137)</f>
        <v>4.28</v>
      </c>
      <c r="AU137" s="592">
        <f>$AS137*$AT137</f>
        <v>0</v>
      </c>
      <c r="AV137" s="591">
        <f>[1]COMMANDE!O135</f>
        <v>0</v>
      </c>
      <c r="AW137" s="586" t="str">
        <f>_xlfn.IFS(AND($AI137=$AM137,$AI137&gt;0,$AM137&gt;0,AV137&gt;0), AV137,     AND(NOT($AI137=$AM137),$AI137&gt;0,$AM137&gt;0,AV137&gt;0), ($AM137*AV137)/$AI137,     AND($AI137=0,$AM137&gt;0,$AQ137&gt;0), IF(INDEX(AV$12:AV$263,MATCH($AQ137,$AP$12:$AP$263,0))&gt;0,($AM137*INDEX(AV$12:AV$263,MATCH($AQ137,$AP$12:$AP$263,0)))/INDEX($AI$12:$AI$263,MATCH($AQ137,$AP$12:$AP$263,0)), "-"),     TRUE, "0")</f>
        <v>0</v>
      </c>
      <c r="AX137" s="588">
        <f>IF(AW$9&gt;0, IF(OR(AW137="",AW137="-"), 0, AW137*$AT137), AV137*$AJ137)</f>
        <v>0</v>
      </c>
      <c r="AY137" s="587">
        <f>[1]COMMANDE!Q135</f>
        <v>0</v>
      </c>
      <c r="AZ137" s="586" t="str">
        <f>_xlfn.IFS(AND($AI137=$AM137,$AI137&gt;0,$AM137&gt;0,AY137&gt;0), AY137,     AND(NOT($AI137=$AM137),$AI137&gt;0,$AM137&gt;0,AY137&gt;0), ($AM137*AY137)/$AI137,     AND($AI137=0,$AM137&gt;0,$AQ137&gt;0), IF(INDEX(AY$12:AY$263,MATCH($AQ137,$AP$12:$AP$263,0))&gt;0,($AM137*INDEX(AY$12:AY$263,MATCH($AQ137,$AP$12:$AP$263,0)))/INDEX($AI$12:$AI$263,MATCH($AQ137,$AP$12:$AP$263,0)), "-"),     TRUE, "0")</f>
        <v>0</v>
      </c>
      <c r="BA137" s="607">
        <f>IF(AZ$9&gt;0, IF(OR(AZ137="",AZ137="-"), 0, AZ137*$AT137), AY137*$AJ137)</f>
        <v>0</v>
      </c>
      <c r="BB137" s="589">
        <f>[1]COMMANDE!S135</f>
        <v>0</v>
      </c>
      <c r="BC137" s="586" t="str">
        <f>_xlfn.IFS(AND($AI137=$AM137,$AI137&gt;0,$AM137&gt;0,BB137&gt;0), BB137,     AND(NOT($AI137=$AM137),$AI137&gt;0,$AM137&gt;0,BB137&gt;0), ($AM137*BB137)/$AI137,     AND($AI137=0,$AM137&gt;0,$AQ137&gt;0), IF(INDEX(BB$12:BB$263,MATCH($AQ137,$AP$12:$AP$263,0))&gt;0,($AM137*INDEX(BB$12:BB$263,MATCH($AQ137,$AP$12:$AP$263,0)))/INDEX($AI$12:$AI$263,MATCH($AQ137,$AP$12:$AP$263,0)), "-"),     TRUE, "0")</f>
        <v>0</v>
      </c>
      <c r="BD137" s="588">
        <f>IF(BC$9&gt;0, IF(OR(BC137="",BC137="-"), 0, BC137*$AT137), BB137*$AJ137)</f>
        <v>0</v>
      </c>
      <c r="BE137" s="587">
        <f>[1]COMMANDE!U135</f>
        <v>0</v>
      </c>
      <c r="BF137" s="586" t="str">
        <f>_xlfn.IFS(AND($AI137=$AM137,$AI137&gt;0,$AM137&gt;0,BE137&gt;0), BE137,     AND(NOT($AI137=$AM137),$AI137&gt;0,$AM137&gt;0,BE137&gt;0), ($AM137*BE137)/$AI137,     AND($AI137=0,$AM137&gt;0,$AQ137&gt;0), IF(INDEX(BE$12:BE$263,MATCH($AQ137,$AP$12:$AP$263,0))&gt;0,($AM137*INDEX(BE$12:BE$263,MATCH($AQ137,$AP$12:$AP$263,0)))/INDEX($AI$12:$AI$263,MATCH($AQ137,$AP$12:$AP$263,0)), "-"),     TRUE, "0")</f>
        <v>0</v>
      </c>
      <c r="BG137" s="607">
        <f>IF(BF$9&gt;0, IF(OR(BF137="",BF137="-"), 0, BF137*$AT137), BE137*$AJ137)</f>
        <v>0</v>
      </c>
      <c r="BH137" s="589">
        <f>[1]COMMANDE!W135</f>
        <v>0</v>
      </c>
      <c r="BI137" s="586" t="str">
        <f>_xlfn.IFS(AND($AI137=$AM137,$AI137&gt;0,$AM137&gt;0,BH137&gt;0), BH137,     AND(NOT($AI137=$AM137),$AI137&gt;0,$AM137&gt;0,BH137&gt;0), ($AM137*BH137)/$AI137,     AND($AI137=0,$AM137&gt;0,$AQ137&gt;0), IF(INDEX(BH$12:BH$263,MATCH($AQ137,$AP$12:$AP$263,0))&gt;0,($AM137*INDEX(BH$12:BH$263,MATCH($AQ137,$AP$12:$AP$263,0)))/INDEX($AI$12:$AI$263,MATCH($AQ137,$AP$12:$AP$263,0)), "-"),     TRUE, "0")</f>
        <v>0</v>
      </c>
      <c r="BJ137" s="588">
        <f>IF(BI$9&gt;0, IF(OR(BI137="",BI137="-"), 0, BI137*$AT137), BH137*$AJ137)</f>
        <v>0</v>
      </c>
      <c r="BK137" s="587">
        <f>[1]COMMANDE!Y135</f>
        <v>0</v>
      </c>
      <c r="BL137" s="586" t="str">
        <f>_xlfn.IFS(AND($AI137=$AM137,$AI137&gt;0,$AM137&gt;0,BK137&gt;0), BK137,     AND(NOT($AI137=$AM137),$AI137&gt;0,$AM137&gt;0,BK137&gt;0), ($AM137*BK137)/$AI137,     AND($AI137=0,$AM137&gt;0,$AQ137&gt;0), IF(INDEX(BK$12:BK$263,MATCH($AQ137,$AP$12:$AP$263,0))&gt;0,($AM137*INDEX(BK$12:BK$263,MATCH($AQ137,$AP$12:$AP$263,0)))/INDEX($AI$12:$AI$263,MATCH($AQ137,$AP$12:$AP$263,0)), "-"),     TRUE, "0")</f>
        <v>0</v>
      </c>
      <c r="BM137" s="607">
        <f>IF(BL$9&gt;0, IF(OR(BL137="",BL137="-"), 0, BL137*$AT137), BK137*$AJ137)</f>
        <v>0</v>
      </c>
      <c r="BN137" s="589">
        <f>[1]COMMANDE!AA135</f>
        <v>0</v>
      </c>
      <c r="BO137" s="586" t="str">
        <f>_xlfn.IFS(AND($AI137=$AM137,$AI137&gt;0,$AM137&gt;0,BN137&gt;0), BN137,     AND(NOT($AI137=$AM137),$AI137&gt;0,$AM137&gt;0,BN137&gt;0), ($AM137*BN137)/$AI137,     AND($AI137=0,$AM137&gt;0,$AQ137&gt;0), IF(INDEX(BN$12:BN$263,MATCH($AQ137,$AP$12:$AP$263,0))&gt;0,($AM137*INDEX(BN$12:BN$263,MATCH($AQ137,$AP$12:$AP$263,0)))/INDEX($AI$12:$AI$263,MATCH($AQ137,$AP$12:$AP$263,0)), "-"),     TRUE, "0")</f>
        <v>0</v>
      </c>
      <c r="BP137" s="588">
        <f>IF(BO$9&gt;0, IF(OR(BO137="",BO137="-"), 0, BO137*$AT137), BN137*$AJ137)</f>
        <v>0</v>
      </c>
      <c r="BQ137" s="587">
        <f>[1]COMMANDE!AC135</f>
        <v>0</v>
      </c>
      <c r="BR137" s="586" t="str">
        <f>_xlfn.IFS(AND($AI137=$AM137,$AI137&gt;0,$AM137&gt;0,BQ137&gt;0), BQ137,     AND(NOT($AI137=$AM137),$AI137&gt;0,$AM137&gt;0,BQ137&gt;0), ($AM137*BQ137)/$AI137,     AND($AI137=0,$AM137&gt;0,$AQ137&gt;0), IF(INDEX(BQ$12:BQ$263,MATCH($AQ137,$AP$12:$AP$263,0))&gt;0,($AM137*INDEX(BQ$12:BQ$263,MATCH($AQ137,$AP$12:$AP$263,0)))/INDEX($AI$12:$AI$263,MATCH($AQ137,$AP$12:$AP$263,0)), "-"),     TRUE, "0")</f>
        <v>0</v>
      </c>
      <c r="BS137" s="607">
        <f>IF(BR$9&gt;0, IF(OR(BR137="",BR137="-"), 0, BR137*$AT137), BQ137*$AJ137)</f>
        <v>0</v>
      </c>
      <c r="BT137" s="589">
        <f>[1]COMMANDE!AE135</f>
        <v>0</v>
      </c>
      <c r="BU137" s="586" t="str">
        <f>_xlfn.IFS(AND($AI137=$AM137,$AI137&gt;0,$AM137&gt;0,BT137&gt;0), BT137,     AND(NOT($AI137=$AM137),$AI137&gt;0,$AM137&gt;0,BT137&gt;0), ($AM137*BT137)/$AI137,     AND($AI137=0,$AM137&gt;0,$AQ137&gt;0), IF(INDEX(BT$12:BT$263,MATCH($AQ137,$AP$12:$AP$263,0))&gt;0,($AM137*INDEX(BT$12:BT$263,MATCH($AQ137,$AP$12:$AP$263,0)))/INDEX($AI$12:$AI$263,MATCH($AQ137,$AP$12:$AP$263,0)), "-"),     TRUE, "0")</f>
        <v>0</v>
      </c>
      <c r="BV137" s="588">
        <f>IF(BU$9&gt;0, IF(OR(BU137="",BU137="-"), 0, BU137*$AT137), BT137*$AJ137)</f>
        <v>0</v>
      </c>
      <c r="BW137" s="587">
        <f>[1]COMMANDE!AG135</f>
        <v>0</v>
      </c>
      <c r="BX137" s="586" t="str">
        <f>_xlfn.IFS(AND($AI137=$AM137,$AI137&gt;0,$AM137&gt;0,BW137&gt;0), BW137,     AND(NOT($AI137=$AM137),$AI137&gt;0,$AM137&gt;0,BW137&gt;0), ($AM137*BW137)/$AI137,     AND($AI137=0,$AM137&gt;0,$AQ137&gt;0), IF(INDEX(BW$12:BW$263,MATCH($AQ137,$AP$12:$AP$263,0))&gt;0,($AM137*INDEX(BW$12:BW$263,MATCH($AQ137,$AP$12:$AP$263,0)))/INDEX($AI$12:$AI$263,MATCH($AQ137,$AP$12:$AP$263,0)), "-"),     TRUE, "0")</f>
        <v>0</v>
      </c>
      <c r="BY137" s="607">
        <f>IF(BX$9&gt;0, IF(OR(BX137="",BX137="-"), 0, BX137*$AT137), BW137*$AJ137)</f>
        <v>0</v>
      </c>
      <c r="BZ137" s="589">
        <f>[1]COMMANDE!AI135</f>
        <v>0</v>
      </c>
      <c r="CA137" s="586" t="str">
        <f>_xlfn.IFS(AND($AI137=$AM137,$AI137&gt;0,$AM137&gt;0,BZ137&gt;0), BZ137,     AND(NOT($AI137=$AM137),$AI137&gt;0,$AM137&gt;0,BZ137&gt;0), ($AM137*BZ137)/$AI137,     AND($AI137=0,$AM137&gt;0,$AQ137&gt;0), IF(INDEX(BZ$12:BZ$263,MATCH($AQ137,$AP$12:$AP$263,0))&gt;0,($AM137*INDEX(BZ$12:BZ$263,MATCH($AQ137,$AP$12:$AP$263,0)))/INDEX($AI$12:$AI$263,MATCH($AQ137,$AP$12:$AP$263,0)), "-"),     TRUE, "0")</f>
        <v>0</v>
      </c>
      <c r="CB137" s="588">
        <f>IF(CA$9&gt;0, IF(OR(CA137="",CA137="-"), 0, CA137*$AT137), BZ137*$AJ137)</f>
        <v>0</v>
      </c>
      <c r="CC137" s="587">
        <f>[1]COMMANDE!AK135</f>
        <v>0</v>
      </c>
      <c r="CD137" s="586" t="str">
        <f>_xlfn.IFS(AND($AI137=$AM137,$AI137&gt;0,$AM137&gt;0,CC137&gt;0), CC137,     AND(NOT($AI137=$AM137),$AI137&gt;0,$AM137&gt;0,CC137&gt;0), ($AM137*CC137)/$AI137,     AND($AI137=0,$AM137&gt;0,$AQ137&gt;0), IF(INDEX(CC$12:CC$263,MATCH($AQ137,$AP$12:$AP$263,0))&gt;0,($AM137*INDEX(CC$12:CC$263,MATCH($AQ137,$AP$12:$AP$263,0)))/INDEX($AI$12:$AI$263,MATCH($AQ137,$AP$12:$AP$263,0)), "-"),     TRUE, "0")</f>
        <v>0</v>
      </c>
      <c r="CE137" s="607">
        <f>IF(CD$9&gt;0, IF(OR(CD137="",CD137="-"), 0, CD137*$AT137), CC137*$AJ137)</f>
        <v>0</v>
      </c>
      <c r="CF137" s="589">
        <f>[1]COMMANDE!AM135</f>
        <v>0</v>
      </c>
      <c r="CG137" s="586" t="str">
        <f>_xlfn.IFS(AND($AI137=$AM137,$AI137&gt;0,$AM137&gt;0,CF137&gt;0), CF137,     AND(NOT($AI137=$AM137),$AI137&gt;0,$AM137&gt;0,CF137&gt;0), ($AM137*CF137)/$AI137,     AND($AI137=0,$AM137&gt;0,$AQ137&gt;0), IF(INDEX(CF$12:CF$263,MATCH($AQ137,$AP$12:$AP$263,0))&gt;0,($AM137*INDEX(CF$12:CF$263,MATCH($AQ137,$AP$12:$AP$263,0)))/INDEX($AI$12:$AI$263,MATCH($AQ137,$AP$12:$AP$263,0)), "-"),     TRUE, "0")</f>
        <v>0</v>
      </c>
      <c r="CH137" s="588">
        <f>IF(CG$9&gt;0, IF(OR(CG137="",CG137="-"), 0, CG137*$AT137), CF137*$AJ137)</f>
        <v>0</v>
      </c>
      <c r="CI137" s="587">
        <f>[1]COMMANDE!AO135</f>
        <v>0</v>
      </c>
      <c r="CJ137" s="586" t="str">
        <f>_xlfn.IFS(AND($AI137=$AM137,$AI137&gt;0,$AM137&gt;0,CI137&gt;0), CI137,     AND(NOT($AI137=$AM137),$AI137&gt;0,$AM137&gt;0,CI137&gt;0), ($AM137*CI137)/$AI137,     AND($AI137=0,$AM137&gt;0,$AQ137&gt;0), IF(INDEX(CI$12:CI$263,MATCH($AQ137,$AP$12:$AP$263,0))&gt;0,($AM137*INDEX(CI$12:CI$263,MATCH($AQ137,$AP$12:$AP$263,0)))/INDEX($AI$12:$AI$263,MATCH($AQ137,$AP$12:$AP$263,0)), "-"),     TRUE, "0")</f>
        <v>0</v>
      </c>
      <c r="CK137" s="607">
        <f>IF(CJ$9&gt;0, IF(OR(CJ137="",CJ137="-"), 0, CJ137*$AT137), CI137*$AJ137)</f>
        <v>0</v>
      </c>
      <c r="CL137" s="589">
        <f>[1]COMMANDE!AQ135</f>
        <v>0</v>
      </c>
      <c r="CM137" s="586" t="str">
        <f>_xlfn.IFS(AND($AI137=$AM137,$AI137&gt;0,$AM137&gt;0,CL137&gt;0), CL137,     AND(NOT($AI137=$AM137),$AI137&gt;0,$AM137&gt;0,CL137&gt;0), ($AM137*CL137)/$AI137,     AND($AI137=0,$AM137&gt;0,$AQ137&gt;0), IF(INDEX(CL$12:CL$263,MATCH($AQ137,$AP$12:$AP$263,0))&gt;0,($AM137*INDEX(CL$12:CL$263,MATCH($AQ137,$AP$12:$AP$263,0)))/INDEX($AI$12:$AI$263,MATCH($AQ137,$AP$12:$AP$263,0)), "-"),     TRUE, "0")</f>
        <v>0</v>
      </c>
      <c r="CN137" s="588">
        <f>IF(CM$9&gt;0, IF(OR(CM137="",CM137="-"), 0, CM137*$AT137), CL137*$AJ137)</f>
        <v>0</v>
      </c>
      <c r="CO137" s="587">
        <f>[1]COMMANDE!AS135</f>
        <v>0</v>
      </c>
      <c r="CP137" s="586" t="str">
        <f>_xlfn.IFS(AND($AI137=$AM137,$AI137&gt;0,$AM137&gt;0,CO137&gt;0), CO137,     AND(NOT($AI137=$AM137),$AI137&gt;0,$AM137&gt;0,CO137&gt;0), ($AM137*CO137)/$AI137,     AND($AI137=0,$AM137&gt;0,$AQ137&gt;0), IF(INDEX(CO$12:CO$263,MATCH($AQ137,$AP$12:$AP$263,0))&gt;0,($AM137*INDEX(CO$12:CO$263,MATCH($AQ137,$AP$12:$AP$263,0)))/INDEX($AI$12:$AI$263,MATCH($AQ137,$AP$12:$AP$263,0)), "-"),     TRUE, "0")</f>
        <v>0</v>
      </c>
      <c r="CQ137" s="607">
        <f>IF(CP$9&gt;0, IF(OR(CP137="",CP137="-"), 0, CP137*$AT137), CO137*$AJ137)</f>
        <v>0</v>
      </c>
      <c r="CR137" s="589">
        <f>[1]COMMANDE!AU135</f>
        <v>0</v>
      </c>
      <c r="CS137" s="586" t="str">
        <f>_xlfn.IFS(AND($AI137=$AM137,$AI137&gt;0,$AM137&gt;0,CR137&gt;0), CR137,     AND(NOT($AI137=$AM137),$AI137&gt;0,$AM137&gt;0,CR137&gt;0), ($AM137*CR137)/$AI137,     AND($AI137=0,$AM137&gt;0,$AQ137&gt;0), IF(INDEX(CR$12:CR$263,MATCH($AQ137,$AP$12:$AP$263,0))&gt;0,($AM137*INDEX(CR$12:CR$263,MATCH($AQ137,$AP$12:$AP$263,0)))/INDEX($AI$12:$AI$263,MATCH($AQ137,$AP$12:$AP$263,0)), "-"),     TRUE, "0")</f>
        <v>0</v>
      </c>
      <c r="CT137" s="588">
        <f>IF(CS$9&gt;0, IF(OR(CS137="",CS137="-"), 0, CS137*$AT137), CR137*$AJ137)</f>
        <v>0</v>
      </c>
      <c r="CU137" s="587">
        <f>[1]COMMANDE!AW135</f>
        <v>0</v>
      </c>
      <c r="CV137" s="586" t="str">
        <f>_xlfn.IFS(AND($AI137=$AM137,$AI137&gt;0,$AM137&gt;0,CU137&gt;0), CU137,     AND(NOT($AI137=$AM137),$AI137&gt;0,$AM137&gt;0,CU137&gt;0), ($AM137*CU137)/$AI137,     AND($AI137=0,$AM137&gt;0,$AQ137&gt;0), IF(INDEX(CU$12:CU$263,MATCH($AQ137,$AP$12:$AP$263,0))&gt;0,($AM137*INDEX(CU$12:CU$263,MATCH($AQ137,$AP$12:$AP$263,0)))/INDEX($AI$12:$AI$263,MATCH($AQ137,$AP$12:$AP$263,0)), "-"),     TRUE, "0")</f>
        <v>0</v>
      </c>
      <c r="CW137" s="607">
        <f>IF(CV$9&gt;0, IF(OR(CV137="",CV137="-"), 0, CV137*$AT137), CU137*$AJ137)</f>
        <v>0</v>
      </c>
      <c r="CX137" s="589">
        <f>[1]COMMANDE!AY135</f>
        <v>0</v>
      </c>
      <c r="CY137" s="586" t="str">
        <f>_xlfn.IFS(AND($AI137=$AM137,$AI137&gt;0,$AM137&gt;0,CX137&gt;0), CX137,     AND(NOT($AI137=$AM137),$AI137&gt;0,$AM137&gt;0,CX137&gt;0), ($AM137*CX137)/$AI137,     AND($AI137=0,$AM137&gt;0,$AQ137&gt;0), IF(INDEX(CX$12:CX$263,MATCH($AQ137,$AP$12:$AP$263,0))&gt;0,($AM137*INDEX(CX$12:CX$263,MATCH($AQ137,$AP$12:$AP$263,0)))/INDEX($AI$12:$AI$263,MATCH($AQ137,$AP$12:$AP$263,0)), "-"),     TRUE, "0")</f>
        <v>0</v>
      </c>
      <c r="CZ137" s="588">
        <f>IF(CY$9&gt;0, IF(OR(CY137="",CY137="-"), 0, CY137*$AT137), CX137*$AJ137)</f>
        <v>0</v>
      </c>
      <c r="DA137" s="587">
        <f>[1]COMMANDE!BA135</f>
        <v>0</v>
      </c>
      <c r="DB137" s="586" t="str">
        <f>_xlfn.IFS(AND($AI137=$AM137,$AI137&gt;0,$AM137&gt;0,DA137&gt;0), DA137,     AND(NOT($AI137=$AM137),$AI137&gt;0,$AM137&gt;0,DA137&gt;0), ($AM137*DA137)/$AI137,     AND($AI137=0,$AM137&gt;0,$AQ137&gt;0), IF(INDEX(DA$12:DA$263,MATCH($AQ137,$AP$12:$AP$263,0))&gt;0,($AM137*INDEX(DA$12:DA$263,MATCH($AQ137,$AP$12:$AP$263,0)))/INDEX($AI$12:$AI$263,MATCH($AQ137,$AP$12:$AP$263,0)), "-"),     TRUE, "0")</f>
        <v>0</v>
      </c>
      <c r="DC137" s="606">
        <f>IF(DB$9&gt;0, IF(OR(DB137="",DB137="-"), 0, DB137*$AT137), DA137*$AJ137)</f>
        <v>0</v>
      </c>
      <c r="DD137" s="584"/>
      <c r="DE137" s="583"/>
      <c r="DF137" s="550"/>
      <c r="DG137" s="550"/>
      <c r="DH137" s="550"/>
      <c r="DI137" s="550"/>
      <c r="DJ137" s="550"/>
      <c r="DK137" s="550"/>
      <c r="DL137" s="550"/>
      <c r="DM137" s="550"/>
      <c r="DN137" s="550"/>
      <c r="DO137" s="550"/>
      <c r="DP137" s="550"/>
      <c r="DQ137" s="550"/>
      <c r="DR137" s="550"/>
      <c r="DS137" s="550"/>
      <c r="DT137" s="550"/>
      <c r="DU137" s="550"/>
      <c r="DV137" s="550"/>
      <c r="DW137" s="550"/>
      <c r="DX137" s="550"/>
    </row>
    <row r="138" spans="1:128" s="610" customFormat="1" ht="39.950000000000003" hidden="1" customHeight="1">
      <c r="A138" s="604">
        <f>IF(OR($AV138&gt;0, $AX138&gt;0), 1, 0)</f>
        <v>0</v>
      </c>
      <c r="B138" s="604">
        <f>IF(OR($AY138&gt;0, $BA138&gt;0), 1, 0)</f>
        <v>0</v>
      </c>
      <c r="C138" s="604">
        <f>IF(OR($BB138&gt;0, $BD138&gt;0), 1, 0)</f>
        <v>0</v>
      </c>
      <c r="D138" s="604">
        <f>IF(OR($BE138&gt;0, $BG138&gt;0), 1, 0)</f>
        <v>0</v>
      </c>
      <c r="E138" s="604">
        <f>IF(OR($BH138&gt;0, $BJ138&gt;0), 1, 0)</f>
        <v>0</v>
      </c>
      <c r="F138" s="604">
        <f>IF(OR($BK138&gt;0, $BM138&gt;0), 1, 0)</f>
        <v>0</v>
      </c>
      <c r="G138" s="604">
        <f>IF(OR($BN138&gt;0, $BP138&gt;0), 1, 0)</f>
        <v>0</v>
      </c>
      <c r="H138" s="604">
        <f>IF(OR($BQ138&gt;0, $BS138&gt;0), 1, 0)</f>
        <v>0</v>
      </c>
      <c r="I138" s="604">
        <f>IF(OR($BT138&gt;0, $BV138&gt;0), 1, 0)</f>
        <v>0</v>
      </c>
      <c r="J138" s="604">
        <f>IF(OR($BW138&gt;0, $BY138&gt;0), 1, 0)</f>
        <v>0</v>
      </c>
      <c r="K138" s="604">
        <f>IF(OR($BZ138&gt;0, $CB138&gt;0), 1, 0)</f>
        <v>0</v>
      </c>
      <c r="L138" s="604">
        <f>IF(OR($CC138&gt;0, $CE138&gt;0), 1, 0)</f>
        <v>0</v>
      </c>
      <c r="M138" s="604">
        <f>IF(OR($CF138&gt;0, $CH138&gt;0), 1, 0)</f>
        <v>0</v>
      </c>
      <c r="N138" s="604">
        <f>IF(OR($CI138&gt;0, $CK138&gt;0), 1, 0)</f>
        <v>0</v>
      </c>
      <c r="O138" s="604">
        <f>IF(OR($CL138&gt;0, $CN138&gt;0), 1, 0)</f>
        <v>0</v>
      </c>
      <c r="P138" s="604">
        <f>IF(OR($CO138&gt;0, $CQ138&gt;0), 1, 0)</f>
        <v>0</v>
      </c>
      <c r="Q138" s="604">
        <f>IF(OR($CR138&gt;0, $CT138&gt;0), 1, 0)</f>
        <v>0</v>
      </c>
      <c r="R138" s="604">
        <f>IF(OR($CU138&gt;0, $CW138&gt;0), 1, 0)</f>
        <v>0</v>
      </c>
      <c r="S138" s="604">
        <f>IF(OR($CX138&gt;0, $CZ138&gt;0), 1, 0)</f>
        <v>0</v>
      </c>
      <c r="T138" s="604">
        <f>IF(OR($DA138&gt;0, $DC138&gt;0), 1, 0)</f>
        <v>0</v>
      </c>
      <c r="U138" s="603">
        <f>IF(OR($AI138&gt;0,$AM138&gt;0,$AS138&gt;0), 1, 0)</f>
        <v>0</v>
      </c>
      <c r="V138" s="602">
        <f>[1]BDD!A128</f>
        <v>1623</v>
      </c>
      <c r="W138" s="601" t="str">
        <f>[1]BDD!B128</f>
        <v>Kaki rojo brillante BIO</v>
      </c>
      <c r="X138" s="600" t="str">
        <f>IF([1]BDD!F128=0, "", [1]BDD!F128)</f>
        <v/>
      </c>
      <c r="Y138" s="542">
        <f>ROUND([1]BDD!G128+FDP_CMD_KG, 2)</f>
        <v>4.95</v>
      </c>
      <c r="Z138" s="542">
        <f>ROUND([1]BDD!G128+FDP_FACT_KG, 2)</f>
        <v>4.95</v>
      </c>
      <c r="AA138" s="543" t="str">
        <f>[1]BDD!H128</f>
        <v>kg</v>
      </c>
      <c r="AB138" s="544">
        <f>IF(NOT(ISBLANK([1]BDD!I128)), ROUND(SUM(([1]BDD!G128*reduc1),FDP_CMD_KG), 2), "")</f>
        <v>4.55</v>
      </c>
      <c r="AC138" s="544">
        <f>IF(NOT(ISBLANK([1]BDD!J128)), ROUND(SUM(([1]BDD!G128*reduc2),FDP_CMD_KG), 2), "")</f>
        <v>4.1399999999999997</v>
      </c>
      <c r="AD138" s="544" t="str">
        <f>IF(NOT(ISBLANK([1]BDD!K128)), ROUND(SUM(([1]BDD!G128*reduc3),FDP_CMD_KG), 2), "")</f>
        <v/>
      </c>
      <c r="AE138" s="544">
        <f>IF(NOT(ISBLANK([1]BDD!I128)), ROUND(SUM(([1]BDD!G128*reduc1),FDP_FACT_KG), 2), "")</f>
        <v>4.54</v>
      </c>
      <c r="AF138" s="544">
        <f>IF(NOT(ISBLANK([1]BDD!J128)), ROUND(SUM(([1]BDD!G128*reduc2),FDP_FACT_KG), 2), "")</f>
        <v>4.13</v>
      </c>
      <c r="AG138" s="544" t="str">
        <f>IF(NOT(ISBLANK([1]BDD!K128)), ROUND(SUM(([1]BDD!G128*reduc3),FDP_FACT_KG), 2), "")</f>
        <v/>
      </c>
      <c r="AH138" s="599" t="str">
        <f>[1]BDD!C128</f>
        <v>Grenade</v>
      </c>
      <c r="AI138" s="598">
        <f>SUM(AV138,AY138,BB138,BE138,BH138,BK138,BN138,BQ138,BT138,BW138,BZ138,CC138,CF138,CI138,CL138,CO138,CR138,CU138,CX138,DA138)</f>
        <v>0</v>
      </c>
      <c r="AJ138" s="545">
        <f>_xlfn.IFS($AD138&lt;&gt;"", $AD138,    $AC138&lt;&gt;"", $AC138,    $AB138&lt;&gt;"", $AB138,    TRUE, $Y138)</f>
        <v>4.1399999999999997</v>
      </c>
      <c r="AK138" s="592">
        <f>$AI138*$AJ138</f>
        <v>0</v>
      </c>
      <c r="AL138" s="594"/>
      <c r="AM138" s="597"/>
      <c r="AN138" s="545">
        <f>_xlfn.IFS(AND(AM138&gt;=60,$AG138&lt;&gt;""), $AG138,    AND(AM138&gt;=30,$AF138&lt;&gt;""), $AF138,    AND(AM138&gt;=10,$AE138&lt;&gt;""), $AE138,    TRUE, $Z138)</f>
        <v>4.95</v>
      </c>
      <c r="AO138" s="596">
        <f>AM138*AN138</f>
        <v>0</v>
      </c>
      <c r="AP138" s="595"/>
      <c r="AQ138" s="595"/>
      <c r="AR138" s="594"/>
      <c r="AS138" s="593">
        <f>SUM(AW138,AZ138,BC138,BF138,BI138,BL138,BO138,BR138,BU138,BX138,CA138,CD138,CG138,CJ138,CM138,CP138,CS138,CV138,CY138,DB138)</f>
        <v>0</v>
      </c>
      <c r="AT138" s="545">
        <f>_xlfn.IFS(AND(AS138&gt;=60,$AG138&lt;&gt;""), $AG138,    AND(AS138&gt;=30,$AF138&lt;&gt;""), $AF138,    AND(AS138&gt;=10,$AE138&lt;&gt;""), $AE138,    TRUE, $Z138)</f>
        <v>4.95</v>
      </c>
      <c r="AU138" s="592">
        <f>$AS138*$AT138</f>
        <v>0</v>
      </c>
      <c r="AV138" s="591">
        <f>[1]COMMANDE!O136</f>
        <v>0</v>
      </c>
      <c r="AW138" s="586" t="str">
        <f>_xlfn.IFS(AND($AI138=$AM138,$AI138&gt;0,$AM138&gt;0,AV138&gt;0), AV138,     AND(NOT($AI138=$AM138),$AI138&gt;0,$AM138&gt;0,AV138&gt;0), ($AM138*AV138)/$AI138,     AND($AI138=0,$AM138&gt;0,$AQ138&gt;0), IF(INDEX(AV$12:AV$263,MATCH($AQ138,$AP$12:$AP$263,0))&gt;0,($AM138*INDEX(AV$12:AV$263,MATCH($AQ138,$AP$12:$AP$263,0)))/INDEX($AI$12:$AI$263,MATCH($AQ138,$AP$12:$AP$263,0)), "-"),     TRUE, "0")</f>
        <v>0</v>
      </c>
      <c r="AX138" s="588">
        <f>IF(AW$9&gt;0, IF(OR(AW138="",AW138="-"), 0, AW138*$AT138), AV138*$AJ138)</f>
        <v>0</v>
      </c>
      <c r="AY138" s="587">
        <f>[1]COMMANDE!Q136</f>
        <v>0</v>
      </c>
      <c r="AZ138" s="586" t="str">
        <f>_xlfn.IFS(AND($AI138=$AM138,$AI138&gt;0,$AM138&gt;0,AY138&gt;0), AY138,     AND(NOT($AI138=$AM138),$AI138&gt;0,$AM138&gt;0,AY138&gt;0), ($AM138*AY138)/$AI138,     AND($AI138=0,$AM138&gt;0,$AQ138&gt;0), IF(INDEX(AY$12:AY$263,MATCH($AQ138,$AP$12:$AP$263,0))&gt;0,($AM138*INDEX(AY$12:AY$263,MATCH($AQ138,$AP$12:$AP$263,0)))/INDEX($AI$12:$AI$263,MATCH($AQ138,$AP$12:$AP$263,0)), "-"),     TRUE, "0")</f>
        <v>0</v>
      </c>
      <c r="BA138" s="607">
        <f>IF(AZ$9&gt;0, IF(OR(AZ138="",AZ138="-"), 0, AZ138*$AT138), AY138*$AJ138)</f>
        <v>0</v>
      </c>
      <c r="BB138" s="589">
        <f>[1]COMMANDE!S136</f>
        <v>0</v>
      </c>
      <c r="BC138" s="586" t="str">
        <f>_xlfn.IFS(AND($AI138=$AM138,$AI138&gt;0,$AM138&gt;0,BB138&gt;0), BB138,     AND(NOT($AI138=$AM138),$AI138&gt;0,$AM138&gt;0,BB138&gt;0), ($AM138*BB138)/$AI138,     AND($AI138=0,$AM138&gt;0,$AQ138&gt;0), IF(INDEX(BB$12:BB$263,MATCH($AQ138,$AP$12:$AP$263,0))&gt;0,($AM138*INDEX(BB$12:BB$263,MATCH($AQ138,$AP$12:$AP$263,0)))/INDEX($AI$12:$AI$263,MATCH($AQ138,$AP$12:$AP$263,0)), "-"),     TRUE, "0")</f>
        <v>0</v>
      </c>
      <c r="BD138" s="588">
        <f>IF(BC$9&gt;0, IF(OR(BC138="",BC138="-"), 0, BC138*$AT138), BB138*$AJ138)</f>
        <v>0</v>
      </c>
      <c r="BE138" s="587">
        <f>[1]COMMANDE!U136</f>
        <v>0</v>
      </c>
      <c r="BF138" s="586" t="str">
        <f>_xlfn.IFS(AND($AI138=$AM138,$AI138&gt;0,$AM138&gt;0,BE138&gt;0), BE138,     AND(NOT($AI138=$AM138),$AI138&gt;0,$AM138&gt;0,BE138&gt;0), ($AM138*BE138)/$AI138,     AND($AI138=0,$AM138&gt;0,$AQ138&gt;0), IF(INDEX(BE$12:BE$263,MATCH($AQ138,$AP$12:$AP$263,0))&gt;0,($AM138*INDEX(BE$12:BE$263,MATCH($AQ138,$AP$12:$AP$263,0)))/INDEX($AI$12:$AI$263,MATCH($AQ138,$AP$12:$AP$263,0)), "-"),     TRUE, "0")</f>
        <v>0</v>
      </c>
      <c r="BG138" s="607">
        <f>IF(BF$9&gt;0, IF(OR(BF138="",BF138="-"), 0, BF138*$AT138), BE138*$AJ138)</f>
        <v>0</v>
      </c>
      <c r="BH138" s="589">
        <f>[1]COMMANDE!W136</f>
        <v>0</v>
      </c>
      <c r="BI138" s="586" t="str">
        <f>_xlfn.IFS(AND($AI138=$AM138,$AI138&gt;0,$AM138&gt;0,BH138&gt;0), BH138,     AND(NOT($AI138=$AM138),$AI138&gt;0,$AM138&gt;0,BH138&gt;0), ($AM138*BH138)/$AI138,     AND($AI138=0,$AM138&gt;0,$AQ138&gt;0), IF(INDEX(BH$12:BH$263,MATCH($AQ138,$AP$12:$AP$263,0))&gt;0,($AM138*INDEX(BH$12:BH$263,MATCH($AQ138,$AP$12:$AP$263,0)))/INDEX($AI$12:$AI$263,MATCH($AQ138,$AP$12:$AP$263,0)), "-"),     TRUE, "0")</f>
        <v>0</v>
      </c>
      <c r="BJ138" s="588">
        <f>IF(BI$9&gt;0, IF(OR(BI138="",BI138="-"), 0, BI138*$AT138), BH138*$AJ138)</f>
        <v>0</v>
      </c>
      <c r="BK138" s="587">
        <f>[1]COMMANDE!Y136</f>
        <v>0</v>
      </c>
      <c r="BL138" s="586" t="str">
        <f>_xlfn.IFS(AND($AI138=$AM138,$AI138&gt;0,$AM138&gt;0,BK138&gt;0), BK138,     AND(NOT($AI138=$AM138),$AI138&gt;0,$AM138&gt;0,BK138&gt;0), ($AM138*BK138)/$AI138,     AND($AI138=0,$AM138&gt;0,$AQ138&gt;0), IF(INDEX(BK$12:BK$263,MATCH($AQ138,$AP$12:$AP$263,0))&gt;0,($AM138*INDEX(BK$12:BK$263,MATCH($AQ138,$AP$12:$AP$263,0)))/INDEX($AI$12:$AI$263,MATCH($AQ138,$AP$12:$AP$263,0)), "-"),     TRUE, "0")</f>
        <v>0</v>
      </c>
      <c r="BM138" s="607">
        <f>IF(BL$9&gt;0, IF(OR(BL138="",BL138="-"), 0, BL138*$AT138), BK138*$AJ138)</f>
        <v>0</v>
      </c>
      <c r="BN138" s="589">
        <f>[1]COMMANDE!AA136</f>
        <v>0</v>
      </c>
      <c r="BO138" s="586" t="str">
        <f>_xlfn.IFS(AND($AI138=$AM138,$AI138&gt;0,$AM138&gt;0,BN138&gt;0), BN138,     AND(NOT($AI138=$AM138),$AI138&gt;0,$AM138&gt;0,BN138&gt;0), ($AM138*BN138)/$AI138,     AND($AI138=0,$AM138&gt;0,$AQ138&gt;0), IF(INDEX(BN$12:BN$263,MATCH($AQ138,$AP$12:$AP$263,0))&gt;0,($AM138*INDEX(BN$12:BN$263,MATCH($AQ138,$AP$12:$AP$263,0)))/INDEX($AI$12:$AI$263,MATCH($AQ138,$AP$12:$AP$263,0)), "-"),     TRUE, "0")</f>
        <v>0</v>
      </c>
      <c r="BP138" s="588">
        <f>IF(BO$9&gt;0, IF(OR(BO138="",BO138="-"), 0, BO138*$AT138), BN138*$AJ138)</f>
        <v>0</v>
      </c>
      <c r="BQ138" s="587">
        <f>[1]COMMANDE!AC136</f>
        <v>0</v>
      </c>
      <c r="BR138" s="586" t="str">
        <f>_xlfn.IFS(AND($AI138=$AM138,$AI138&gt;0,$AM138&gt;0,BQ138&gt;0), BQ138,     AND(NOT($AI138=$AM138),$AI138&gt;0,$AM138&gt;0,BQ138&gt;0), ($AM138*BQ138)/$AI138,     AND($AI138=0,$AM138&gt;0,$AQ138&gt;0), IF(INDEX(BQ$12:BQ$263,MATCH($AQ138,$AP$12:$AP$263,0))&gt;0,($AM138*INDEX(BQ$12:BQ$263,MATCH($AQ138,$AP$12:$AP$263,0)))/INDEX($AI$12:$AI$263,MATCH($AQ138,$AP$12:$AP$263,0)), "-"),     TRUE, "0")</f>
        <v>0</v>
      </c>
      <c r="BS138" s="607">
        <f>IF(BR$9&gt;0, IF(OR(BR138="",BR138="-"), 0, BR138*$AT138), BQ138*$AJ138)</f>
        <v>0</v>
      </c>
      <c r="BT138" s="589">
        <f>[1]COMMANDE!AE136</f>
        <v>0</v>
      </c>
      <c r="BU138" s="586" t="str">
        <f>_xlfn.IFS(AND($AI138=$AM138,$AI138&gt;0,$AM138&gt;0,BT138&gt;0), BT138,     AND(NOT($AI138=$AM138),$AI138&gt;0,$AM138&gt;0,BT138&gt;0), ($AM138*BT138)/$AI138,     AND($AI138=0,$AM138&gt;0,$AQ138&gt;0), IF(INDEX(BT$12:BT$263,MATCH($AQ138,$AP$12:$AP$263,0))&gt;0,($AM138*INDEX(BT$12:BT$263,MATCH($AQ138,$AP$12:$AP$263,0)))/INDEX($AI$12:$AI$263,MATCH($AQ138,$AP$12:$AP$263,0)), "-"),     TRUE, "0")</f>
        <v>0</v>
      </c>
      <c r="BV138" s="588">
        <f>IF(BU$9&gt;0, IF(OR(BU138="",BU138="-"), 0, BU138*$AT138), BT138*$AJ138)</f>
        <v>0</v>
      </c>
      <c r="BW138" s="587">
        <f>[1]COMMANDE!AG136</f>
        <v>0</v>
      </c>
      <c r="BX138" s="586" t="str">
        <f>_xlfn.IFS(AND($AI138=$AM138,$AI138&gt;0,$AM138&gt;0,BW138&gt;0), BW138,     AND(NOT($AI138=$AM138),$AI138&gt;0,$AM138&gt;0,BW138&gt;0), ($AM138*BW138)/$AI138,     AND($AI138=0,$AM138&gt;0,$AQ138&gt;0), IF(INDEX(BW$12:BW$263,MATCH($AQ138,$AP$12:$AP$263,0))&gt;0,($AM138*INDEX(BW$12:BW$263,MATCH($AQ138,$AP$12:$AP$263,0)))/INDEX($AI$12:$AI$263,MATCH($AQ138,$AP$12:$AP$263,0)), "-"),     TRUE, "0")</f>
        <v>0</v>
      </c>
      <c r="BY138" s="607">
        <f>IF(BX$9&gt;0, IF(OR(BX138="",BX138="-"), 0, BX138*$AT138), BW138*$AJ138)</f>
        <v>0</v>
      </c>
      <c r="BZ138" s="589">
        <f>[1]COMMANDE!AI136</f>
        <v>0</v>
      </c>
      <c r="CA138" s="586" t="str">
        <f>_xlfn.IFS(AND($AI138=$AM138,$AI138&gt;0,$AM138&gt;0,BZ138&gt;0), BZ138,     AND(NOT($AI138=$AM138),$AI138&gt;0,$AM138&gt;0,BZ138&gt;0), ($AM138*BZ138)/$AI138,     AND($AI138=0,$AM138&gt;0,$AQ138&gt;0), IF(INDEX(BZ$12:BZ$263,MATCH($AQ138,$AP$12:$AP$263,0))&gt;0,($AM138*INDEX(BZ$12:BZ$263,MATCH($AQ138,$AP$12:$AP$263,0)))/INDEX($AI$12:$AI$263,MATCH($AQ138,$AP$12:$AP$263,0)), "-"),     TRUE, "0")</f>
        <v>0</v>
      </c>
      <c r="CB138" s="588">
        <f>IF(CA$9&gt;0, IF(OR(CA138="",CA138="-"), 0, CA138*$AT138), BZ138*$AJ138)</f>
        <v>0</v>
      </c>
      <c r="CC138" s="587">
        <f>[1]COMMANDE!AK136</f>
        <v>0</v>
      </c>
      <c r="CD138" s="586" t="str">
        <f>_xlfn.IFS(AND($AI138=$AM138,$AI138&gt;0,$AM138&gt;0,CC138&gt;0), CC138,     AND(NOT($AI138=$AM138),$AI138&gt;0,$AM138&gt;0,CC138&gt;0), ($AM138*CC138)/$AI138,     AND($AI138=0,$AM138&gt;0,$AQ138&gt;0), IF(INDEX(CC$12:CC$263,MATCH($AQ138,$AP$12:$AP$263,0))&gt;0,($AM138*INDEX(CC$12:CC$263,MATCH($AQ138,$AP$12:$AP$263,0)))/INDEX($AI$12:$AI$263,MATCH($AQ138,$AP$12:$AP$263,0)), "-"),     TRUE, "0")</f>
        <v>0</v>
      </c>
      <c r="CE138" s="607">
        <f>IF(CD$9&gt;0, IF(OR(CD138="",CD138="-"), 0, CD138*$AT138), CC138*$AJ138)</f>
        <v>0</v>
      </c>
      <c r="CF138" s="589">
        <f>[1]COMMANDE!AM136</f>
        <v>0</v>
      </c>
      <c r="CG138" s="586" t="str">
        <f>_xlfn.IFS(AND($AI138=$AM138,$AI138&gt;0,$AM138&gt;0,CF138&gt;0), CF138,     AND(NOT($AI138=$AM138),$AI138&gt;0,$AM138&gt;0,CF138&gt;0), ($AM138*CF138)/$AI138,     AND($AI138=0,$AM138&gt;0,$AQ138&gt;0), IF(INDEX(CF$12:CF$263,MATCH($AQ138,$AP$12:$AP$263,0))&gt;0,($AM138*INDEX(CF$12:CF$263,MATCH($AQ138,$AP$12:$AP$263,0)))/INDEX($AI$12:$AI$263,MATCH($AQ138,$AP$12:$AP$263,0)), "-"),     TRUE, "0")</f>
        <v>0</v>
      </c>
      <c r="CH138" s="588">
        <f>IF(CG$9&gt;0, IF(OR(CG138="",CG138="-"), 0, CG138*$AT138), CF138*$AJ138)</f>
        <v>0</v>
      </c>
      <c r="CI138" s="587">
        <f>[1]COMMANDE!AO136</f>
        <v>0</v>
      </c>
      <c r="CJ138" s="586" t="str">
        <f>_xlfn.IFS(AND($AI138=$AM138,$AI138&gt;0,$AM138&gt;0,CI138&gt;0), CI138,     AND(NOT($AI138=$AM138),$AI138&gt;0,$AM138&gt;0,CI138&gt;0), ($AM138*CI138)/$AI138,     AND($AI138=0,$AM138&gt;0,$AQ138&gt;0), IF(INDEX(CI$12:CI$263,MATCH($AQ138,$AP$12:$AP$263,0))&gt;0,($AM138*INDEX(CI$12:CI$263,MATCH($AQ138,$AP$12:$AP$263,0)))/INDEX($AI$12:$AI$263,MATCH($AQ138,$AP$12:$AP$263,0)), "-"),     TRUE, "0")</f>
        <v>0</v>
      </c>
      <c r="CK138" s="607">
        <f>IF(CJ$9&gt;0, IF(OR(CJ138="",CJ138="-"), 0, CJ138*$AT138), CI138*$AJ138)</f>
        <v>0</v>
      </c>
      <c r="CL138" s="589">
        <f>[1]COMMANDE!AQ136</f>
        <v>0</v>
      </c>
      <c r="CM138" s="586" t="str">
        <f>_xlfn.IFS(AND($AI138=$AM138,$AI138&gt;0,$AM138&gt;0,CL138&gt;0), CL138,     AND(NOT($AI138=$AM138),$AI138&gt;0,$AM138&gt;0,CL138&gt;0), ($AM138*CL138)/$AI138,     AND($AI138=0,$AM138&gt;0,$AQ138&gt;0), IF(INDEX(CL$12:CL$263,MATCH($AQ138,$AP$12:$AP$263,0))&gt;0,($AM138*INDEX(CL$12:CL$263,MATCH($AQ138,$AP$12:$AP$263,0)))/INDEX($AI$12:$AI$263,MATCH($AQ138,$AP$12:$AP$263,0)), "-"),     TRUE, "0")</f>
        <v>0</v>
      </c>
      <c r="CN138" s="588">
        <f>IF(CM$9&gt;0, IF(OR(CM138="",CM138="-"), 0, CM138*$AT138), CL138*$AJ138)</f>
        <v>0</v>
      </c>
      <c r="CO138" s="587">
        <f>[1]COMMANDE!AS136</f>
        <v>0</v>
      </c>
      <c r="CP138" s="586" t="str">
        <f>_xlfn.IFS(AND($AI138=$AM138,$AI138&gt;0,$AM138&gt;0,CO138&gt;0), CO138,     AND(NOT($AI138=$AM138),$AI138&gt;0,$AM138&gt;0,CO138&gt;0), ($AM138*CO138)/$AI138,     AND($AI138=0,$AM138&gt;0,$AQ138&gt;0), IF(INDEX(CO$12:CO$263,MATCH($AQ138,$AP$12:$AP$263,0))&gt;0,($AM138*INDEX(CO$12:CO$263,MATCH($AQ138,$AP$12:$AP$263,0)))/INDEX($AI$12:$AI$263,MATCH($AQ138,$AP$12:$AP$263,0)), "-"),     TRUE, "0")</f>
        <v>0</v>
      </c>
      <c r="CQ138" s="607">
        <f>IF(CP$9&gt;0, IF(OR(CP138="",CP138="-"), 0, CP138*$AT138), CO138*$AJ138)</f>
        <v>0</v>
      </c>
      <c r="CR138" s="589">
        <f>[1]COMMANDE!AU136</f>
        <v>0</v>
      </c>
      <c r="CS138" s="586" t="str">
        <f>_xlfn.IFS(AND($AI138=$AM138,$AI138&gt;0,$AM138&gt;0,CR138&gt;0), CR138,     AND(NOT($AI138=$AM138),$AI138&gt;0,$AM138&gt;0,CR138&gt;0), ($AM138*CR138)/$AI138,     AND($AI138=0,$AM138&gt;0,$AQ138&gt;0), IF(INDEX(CR$12:CR$263,MATCH($AQ138,$AP$12:$AP$263,0))&gt;0,($AM138*INDEX(CR$12:CR$263,MATCH($AQ138,$AP$12:$AP$263,0)))/INDEX($AI$12:$AI$263,MATCH($AQ138,$AP$12:$AP$263,0)), "-"),     TRUE, "0")</f>
        <v>0</v>
      </c>
      <c r="CT138" s="588">
        <f>IF(CS$9&gt;0, IF(OR(CS138="",CS138="-"), 0, CS138*$AT138), CR138*$AJ138)</f>
        <v>0</v>
      </c>
      <c r="CU138" s="587">
        <f>[1]COMMANDE!AW136</f>
        <v>0</v>
      </c>
      <c r="CV138" s="586" t="str">
        <f>_xlfn.IFS(AND($AI138=$AM138,$AI138&gt;0,$AM138&gt;0,CU138&gt;0), CU138,     AND(NOT($AI138=$AM138),$AI138&gt;0,$AM138&gt;0,CU138&gt;0), ($AM138*CU138)/$AI138,     AND($AI138=0,$AM138&gt;0,$AQ138&gt;0), IF(INDEX(CU$12:CU$263,MATCH($AQ138,$AP$12:$AP$263,0))&gt;0,($AM138*INDEX(CU$12:CU$263,MATCH($AQ138,$AP$12:$AP$263,0)))/INDEX($AI$12:$AI$263,MATCH($AQ138,$AP$12:$AP$263,0)), "-"),     TRUE, "0")</f>
        <v>0</v>
      </c>
      <c r="CW138" s="607">
        <f>IF(CV$9&gt;0, IF(OR(CV138="",CV138="-"), 0, CV138*$AT138), CU138*$AJ138)</f>
        <v>0</v>
      </c>
      <c r="CX138" s="589">
        <f>[1]COMMANDE!AY136</f>
        <v>0</v>
      </c>
      <c r="CY138" s="586" t="str">
        <f>_xlfn.IFS(AND($AI138=$AM138,$AI138&gt;0,$AM138&gt;0,CX138&gt;0), CX138,     AND(NOT($AI138=$AM138),$AI138&gt;0,$AM138&gt;0,CX138&gt;0), ($AM138*CX138)/$AI138,     AND($AI138=0,$AM138&gt;0,$AQ138&gt;0), IF(INDEX(CX$12:CX$263,MATCH($AQ138,$AP$12:$AP$263,0))&gt;0,($AM138*INDEX(CX$12:CX$263,MATCH($AQ138,$AP$12:$AP$263,0)))/INDEX($AI$12:$AI$263,MATCH($AQ138,$AP$12:$AP$263,0)), "-"),     TRUE, "0")</f>
        <v>0</v>
      </c>
      <c r="CZ138" s="588">
        <f>IF(CY$9&gt;0, IF(OR(CY138="",CY138="-"), 0, CY138*$AT138), CX138*$AJ138)</f>
        <v>0</v>
      </c>
      <c r="DA138" s="587">
        <f>[1]COMMANDE!BA136</f>
        <v>0</v>
      </c>
      <c r="DB138" s="586" t="str">
        <f>_xlfn.IFS(AND($AI138=$AM138,$AI138&gt;0,$AM138&gt;0,DA138&gt;0), DA138,     AND(NOT($AI138=$AM138),$AI138&gt;0,$AM138&gt;0,DA138&gt;0), ($AM138*DA138)/$AI138,     AND($AI138=0,$AM138&gt;0,$AQ138&gt;0), IF(INDEX(DA$12:DA$263,MATCH($AQ138,$AP$12:$AP$263,0))&gt;0,($AM138*INDEX(DA$12:DA$263,MATCH($AQ138,$AP$12:$AP$263,0)))/INDEX($AI$12:$AI$263,MATCH($AQ138,$AP$12:$AP$263,0)), "-"),     TRUE, "0")</f>
        <v>0</v>
      </c>
      <c r="DC138" s="606">
        <f>IF(DB$9&gt;0, IF(OR(DB138="",DB138="-"), 0, DB138*$AT138), DA138*$AJ138)</f>
        <v>0</v>
      </c>
      <c r="DD138" s="584"/>
      <c r="DE138" s="583"/>
      <c r="DF138" s="550"/>
      <c r="DG138" s="550"/>
      <c r="DH138" s="550"/>
      <c r="DI138" s="550"/>
      <c r="DJ138" s="550"/>
      <c r="DK138" s="550"/>
      <c r="DL138" s="550"/>
      <c r="DM138" s="550"/>
      <c r="DN138" s="550"/>
      <c r="DO138" s="550"/>
      <c r="DP138" s="550"/>
      <c r="DQ138" s="550"/>
      <c r="DR138" s="550"/>
      <c r="DS138" s="550"/>
      <c r="DT138" s="550"/>
      <c r="DU138" s="550"/>
      <c r="DV138" s="550"/>
      <c r="DW138" s="550"/>
      <c r="DX138" s="550"/>
    </row>
    <row r="139" spans="1:128" ht="39.950000000000003" hidden="1" customHeight="1">
      <c r="A139" s="604">
        <f>IF(OR($AV139&gt;0, $AX139&gt;0), 1, 0)</f>
        <v>0</v>
      </c>
      <c r="B139" s="604">
        <f>IF(OR($AY139&gt;0, $BA139&gt;0), 1, 0)</f>
        <v>0</v>
      </c>
      <c r="C139" s="604">
        <f>IF(OR($BB139&gt;0, $BD139&gt;0), 1, 0)</f>
        <v>0</v>
      </c>
      <c r="D139" s="604">
        <f>IF(OR($BE139&gt;0, $BG139&gt;0), 1, 0)</f>
        <v>0</v>
      </c>
      <c r="E139" s="604">
        <f>IF(OR($BH139&gt;0, $BJ139&gt;0), 1, 0)</f>
        <v>0</v>
      </c>
      <c r="F139" s="604">
        <f>IF(OR($BK139&gt;0, $BM139&gt;0), 1, 0)</f>
        <v>0</v>
      </c>
      <c r="G139" s="604">
        <f>IF(OR($BN139&gt;0, $BP139&gt;0), 1, 0)</f>
        <v>0</v>
      </c>
      <c r="H139" s="604">
        <f>IF(OR($BQ139&gt;0, $BS139&gt;0), 1, 0)</f>
        <v>0</v>
      </c>
      <c r="I139" s="604">
        <f>IF(OR($BT139&gt;0, $BV139&gt;0), 1, 0)</f>
        <v>0</v>
      </c>
      <c r="J139" s="604">
        <f>IF(OR($BW139&gt;0, $BY139&gt;0), 1, 0)</f>
        <v>0</v>
      </c>
      <c r="K139" s="604">
        <f>IF(OR($BZ139&gt;0, $CB139&gt;0), 1, 0)</f>
        <v>0</v>
      </c>
      <c r="L139" s="604">
        <f>IF(OR($CC139&gt;0, $CE139&gt;0), 1, 0)</f>
        <v>0</v>
      </c>
      <c r="M139" s="604">
        <f>IF(OR($CF139&gt;0, $CH139&gt;0), 1, 0)</f>
        <v>0</v>
      </c>
      <c r="N139" s="604">
        <f>IF(OR($CI139&gt;0, $CK139&gt;0), 1, 0)</f>
        <v>0</v>
      </c>
      <c r="O139" s="604">
        <f>IF(OR($CL139&gt;0, $CN139&gt;0), 1, 0)</f>
        <v>0</v>
      </c>
      <c r="P139" s="604">
        <f>IF(OR($CO139&gt;0, $CQ139&gt;0), 1, 0)</f>
        <v>0</v>
      </c>
      <c r="Q139" s="604">
        <f>IF(OR($CR139&gt;0, $CT139&gt;0), 1, 0)</f>
        <v>0</v>
      </c>
      <c r="R139" s="604">
        <f>IF(OR($CU139&gt;0, $CW139&gt;0), 1, 0)</f>
        <v>0</v>
      </c>
      <c r="S139" s="604">
        <f>IF(OR($CX139&gt;0, $CZ139&gt;0), 1, 0)</f>
        <v>0</v>
      </c>
      <c r="T139" s="604">
        <f>IF(OR($DA139&gt;0, $DC139&gt;0), 1, 0)</f>
        <v>0</v>
      </c>
      <c r="U139" s="603">
        <f>IF(OR($AI139&gt;0,$AM139&gt;0,$AS139&gt;0), 1, 0)</f>
        <v>0</v>
      </c>
      <c r="V139" s="602" t="str">
        <f>[1]BDD!A129</f>
        <v>1961-1020</v>
      </c>
      <c r="W139" s="601" t="str">
        <f>[1]BDD!B129</f>
        <v>Kiwi  BIO</v>
      </c>
      <c r="X139" s="600" t="str">
        <f>IF([1]BDD!F129=0, "", [1]BDD!F129)</f>
        <v/>
      </c>
      <c r="Y139" s="542">
        <f>ROUND([1]BDD!G129+FDP_CMD_KG, 2)</f>
        <v>6.88</v>
      </c>
      <c r="Z139" s="542">
        <f>ROUND([1]BDD!G129+FDP_FACT_KG, 2)</f>
        <v>6.88</v>
      </c>
      <c r="AA139" s="543" t="str">
        <f>[1]BDD!H129</f>
        <v>kg</v>
      </c>
      <c r="AB139" s="544">
        <f>IF(NOT(ISBLANK([1]BDD!I129)), ROUND(SUM(([1]BDD!G129*reduc1),FDP_CMD_KG), 2), "")</f>
        <v>6.28</v>
      </c>
      <c r="AC139" s="544">
        <f>IF(NOT(ISBLANK([1]BDD!J129)), ROUND(SUM(([1]BDD!G129*reduc2),FDP_CMD_KG), 2), "")</f>
        <v>5.68</v>
      </c>
      <c r="AD139" s="544" t="str">
        <f>IF(NOT(ISBLANK([1]BDD!K129)), ROUND(SUM(([1]BDD!G129*reduc3),FDP_CMD_KG), 2), "")</f>
        <v/>
      </c>
      <c r="AE139" s="544">
        <f>IF(NOT(ISBLANK([1]BDD!I129)), ROUND(SUM(([1]BDD!G129*reduc1),FDP_FACT_KG), 2), "")</f>
        <v>6.28</v>
      </c>
      <c r="AF139" s="544">
        <f>IF(NOT(ISBLANK([1]BDD!J129)), ROUND(SUM(([1]BDD!G129*reduc2),FDP_FACT_KG), 2), "")</f>
        <v>5.67</v>
      </c>
      <c r="AG139" s="544" t="str">
        <f>IF(NOT(ISBLANK([1]BDD!K129)), ROUND(SUM(([1]BDD!G129*reduc3),FDP_FACT_KG), 2), "")</f>
        <v/>
      </c>
      <c r="AH139" s="599" t="str">
        <f>[1]BDD!C129</f>
        <v>Portugal</v>
      </c>
      <c r="AI139" s="598">
        <f>SUM(AV139,AY139,BB139,BE139,BH139,BK139,BN139,BQ139,BT139,BW139,BZ139,CC139,CF139,CI139,CL139,CO139,CR139,CU139,CX139,DA139)</f>
        <v>0</v>
      </c>
      <c r="AJ139" s="545">
        <f>_xlfn.IFS($AD139&lt;&gt;"", $AD139,    $AC139&lt;&gt;"", $AC139,    $AB139&lt;&gt;"", $AB139,    TRUE, $Y139)</f>
        <v>5.68</v>
      </c>
      <c r="AK139" s="592">
        <f>$AI139*$AJ139</f>
        <v>0</v>
      </c>
      <c r="AL139" s="594"/>
      <c r="AM139" s="597"/>
      <c r="AN139" s="545">
        <f>_xlfn.IFS(AND(AM139&gt;=60,$AG139&lt;&gt;""), $AG139,    AND(AM139&gt;=30,$AF139&lt;&gt;""), $AF139,    AND(AM139&gt;=10,$AE139&lt;&gt;""), $AE139,    TRUE, $Z139)</f>
        <v>6.88</v>
      </c>
      <c r="AO139" s="596">
        <f>AM139*AN139</f>
        <v>0</v>
      </c>
      <c r="AP139" s="595"/>
      <c r="AQ139" s="595"/>
      <c r="AR139" s="594"/>
      <c r="AS139" s="593">
        <f>SUM(AW139,AZ139,BC139,BF139,BI139,BL139,BO139,BR139,BU139,BX139,CA139,CD139,CG139,CJ139,CM139,CP139,CS139,CV139,CY139,DB139)</f>
        <v>0</v>
      </c>
      <c r="AT139" s="545">
        <f>_xlfn.IFS(AND(AS139&gt;=60,$AG139&lt;&gt;""), $AG139,    AND(AS139&gt;=30,$AF139&lt;&gt;""), $AF139,    AND(AS139&gt;=10,$AE139&lt;&gt;""), $AE139,    TRUE, $Z139)</f>
        <v>6.88</v>
      </c>
      <c r="AU139" s="592">
        <f>$AS139*$AT139</f>
        <v>0</v>
      </c>
      <c r="AV139" s="591">
        <f>[1]COMMANDE!O137</f>
        <v>0</v>
      </c>
      <c r="AW139" s="586" t="str">
        <f>_xlfn.IFS(AND($AI139=$AM139,$AI139&gt;0,$AM139&gt;0,AV139&gt;0), AV139,     AND(NOT($AI139=$AM139),$AI139&gt;0,$AM139&gt;0,AV139&gt;0), ($AM139*AV139)/$AI139,     AND($AI139=0,$AM139&gt;0,$AQ139&gt;0), IF(INDEX(AV$12:AV$263,MATCH($AQ139,$AP$12:$AP$263,0))&gt;0,($AM139*INDEX(AV$12:AV$263,MATCH($AQ139,$AP$12:$AP$263,0)))/INDEX($AI$12:$AI$263,MATCH($AQ139,$AP$12:$AP$263,0)), "-"),     TRUE, "0")</f>
        <v>0</v>
      </c>
      <c r="AX139" s="588">
        <f>IF(AW$9&gt;0, IF(OR(AW139="",AW139="-"), 0, AW139*$AT139), AV139*$AJ139)</f>
        <v>0</v>
      </c>
      <c r="AY139" s="587">
        <f>[1]COMMANDE!Q137</f>
        <v>0</v>
      </c>
      <c r="AZ139" s="586" t="str">
        <f>_xlfn.IFS(AND($AI139=$AM139,$AI139&gt;0,$AM139&gt;0,AY139&gt;0), AY139,     AND(NOT($AI139=$AM139),$AI139&gt;0,$AM139&gt;0,AY139&gt;0), ($AM139*AY139)/$AI139,     AND($AI139=0,$AM139&gt;0,$AQ139&gt;0), IF(INDEX(AY$12:AY$263,MATCH($AQ139,$AP$12:$AP$263,0))&gt;0,($AM139*INDEX(AY$12:AY$263,MATCH($AQ139,$AP$12:$AP$263,0)))/INDEX($AI$12:$AI$263,MATCH($AQ139,$AP$12:$AP$263,0)), "-"),     TRUE, "0")</f>
        <v>0</v>
      </c>
      <c r="BA139" s="607">
        <f>IF(AZ$9&gt;0, IF(OR(AZ139="",AZ139="-"), 0, AZ139*$AT139), AY139*$AJ139)</f>
        <v>0</v>
      </c>
      <c r="BB139" s="589">
        <f>[1]COMMANDE!S137</f>
        <v>0</v>
      </c>
      <c r="BC139" s="586" t="str">
        <f>_xlfn.IFS(AND($AI139=$AM139,$AI139&gt;0,$AM139&gt;0,BB139&gt;0), BB139,     AND(NOT($AI139=$AM139),$AI139&gt;0,$AM139&gt;0,BB139&gt;0), ($AM139*BB139)/$AI139,     AND($AI139=0,$AM139&gt;0,$AQ139&gt;0), IF(INDEX(BB$12:BB$263,MATCH($AQ139,$AP$12:$AP$263,0))&gt;0,($AM139*INDEX(BB$12:BB$263,MATCH($AQ139,$AP$12:$AP$263,0)))/INDEX($AI$12:$AI$263,MATCH($AQ139,$AP$12:$AP$263,0)), "-"),     TRUE, "0")</f>
        <v>0</v>
      </c>
      <c r="BD139" s="588">
        <f>IF(BC$9&gt;0, IF(OR(BC139="",BC139="-"), 0, BC139*$AT139), BB139*$AJ139)</f>
        <v>0</v>
      </c>
      <c r="BE139" s="587">
        <f>[1]COMMANDE!U137</f>
        <v>0</v>
      </c>
      <c r="BF139" s="586" t="str">
        <f>_xlfn.IFS(AND($AI139=$AM139,$AI139&gt;0,$AM139&gt;0,BE139&gt;0), BE139,     AND(NOT($AI139=$AM139),$AI139&gt;0,$AM139&gt;0,BE139&gt;0), ($AM139*BE139)/$AI139,     AND($AI139=0,$AM139&gt;0,$AQ139&gt;0), IF(INDEX(BE$12:BE$263,MATCH($AQ139,$AP$12:$AP$263,0))&gt;0,($AM139*INDEX(BE$12:BE$263,MATCH($AQ139,$AP$12:$AP$263,0)))/INDEX($AI$12:$AI$263,MATCH($AQ139,$AP$12:$AP$263,0)), "-"),     TRUE, "0")</f>
        <v>0</v>
      </c>
      <c r="BG139" s="607">
        <f>IF(BF$9&gt;0, IF(OR(BF139="",BF139="-"), 0, BF139*$AT139), BE139*$AJ139)</f>
        <v>0</v>
      </c>
      <c r="BH139" s="589">
        <f>[1]COMMANDE!W137</f>
        <v>0</v>
      </c>
      <c r="BI139" s="586" t="str">
        <f>_xlfn.IFS(AND($AI139=$AM139,$AI139&gt;0,$AM139&gt;0,BH139&gt;0), BH139,     AND(NOT($AI139=$AM139),$AI139&gt;0,$AM139&gt;0,BH139&gt;0), ($AM139*BH139)/$AI139,     AND($AI139=0,$AM139&gt;0,$AQ139&gt;0), IF(INDEX(BH$12:BH$263,MATCH($AQ139,$AP$12:$AP$263,0))&gt;0,($AM139*INDEX(BH$12:BH$263,MATCH($AQ139,$AP$12:$AP$263,0)))/INDEX($AI$12:$AI$263,MATCH($AQ139,$AP$12:$AP$263,0)), "-"),     TRUE, "0")</f>
        <v>0</v>
      </c>
      <c r="BJ139" s="588">
        <f>IF(BI$9&gt;0, IF(OR(BI139="",BI139="-"), 0, BI139*$AT139), BH139*$AJ139)</f>
        <v>0</v>
      </c>
      <c r="BK139" s="587">
        <f>[1]COMMANDE!Y137</f>
        <v>0</v>
      </c>
      <c r="BL139" s="586" t="str">
        <f>_xlfn.IFS(AND($AI139=$AM139,$AI139&gt;0,$AM139&gt;0,BK139&gt;0), BK139,     AND(NOT($AI139=$AM139),$AI139&gt;0,$AM139&gt;0,BK139&gt;0), ($AM139*BK139)/$AI139,     AND($AI139=0,$AM139&gt;0,$AQ139&gt;0), IF(INDEX(BK$12:BK$263,MATCH($AQ139,$AP$12:$AP$263,0))&gt;0,($AM139*INDEX(BK$12:BK$263,MATCH($AQ139,$AP$12:$AP$263,0)))/INDEX($AI$12:$AI$263,MATCH($AQ139,$AP$12:$AP$263,0)), "-"),     TRUE, "0")</f>
        <v>0</v>
      </c>
      <c r="BM139" s="607">
        <f>IF(BL$9&gt;0, IF(OR(BL139="",BL139="-"), 0, BL139*$AT139), BK139*$AJ139)</f>
        <v>0</v>
      </c>
      <c r="BN139" s="589">
        <f>[1]COMMANDE!AA137</f>
        <v>0</v>
      </c>
      <c r="BO139" s="586" t="str">
        <f>_xlfn.IFS(AND($AI139=$AM139,$AI139&gt;0,$AM139&gt;0,BN139&gt;0), BN139,     AND(NOT($AI139=$AM139),$AI139&gt;0,$AM139&gt;0,BN139&gt;0), ($AM139*BN139)/$AI139,     AND($AI139=0,$AM139&gt;0,$AQ139&gt;0), IF(INDEX(BN$12:BN$263,MATCH($AQ139,$AP$12:$AP$263,0))&gt;0,($AM139*INDEX(BN$12:BN$263,MATCH($AQ139,$AP$12:$AP$263,0)))/INDEX($AI$12:$AI$263,MATCH($AQ139,$AP$12:$AP$263,0)), "-"),     TRUE, "0")</f>
        <v>0</v>
      </c>
      <c r="BP139" s="588">
        <f>IF(BO$9&gt;0, IF(OR(BO139="",BO139="-"), 0, BO139*$AT139), BN139*$AJ139)</f>
        <v>0</v>
      </c>
      <c r="BQ139" s="587">
        <f>[1]COMMANDE!AC137</f>
        <v>0</v>
      </c>
      <c r="BR139" s="586" t="str">
        <f>_xlfn.IFS(AND($AI139=$AM139,$AI139&gt;0,$AM139&gt;0,BQ139&gt;0), BQ139,     AND(NOT($AI139=$AM139),$AI139&gt;0,$AM139&gt;0,BQ139&gt;0), ($AM139*BQ139)/$AI139,     AND($AI139=0,$AM139&gt;0,$AQ139&gt;0), IF(INDEX(BQ$12:BQ$263,MATCH($AQ139,$AP$12:$AP$263,0))&gt;0,($AM139*INDEX(BQ$12:BQ$263,MATCH($AQ139,$AP$12:$AP$263,0)))/INDEX($AI$12:$AI$263,MATCH($AQ139,$AP$12:$AP$263,0)), "-"),     TRUE, "0")</f>
        <v>0</v>
      </c>
      <c r="BS139" s="607">
        <f>IF(BR$9&gt;0, IF(OR(BR139="",BR139="-"), 0, BR139*$AT139), BQ139*$AJ139)</f>
        <v>0</v>
      </c>
      <c r="BT139" s="589">
        <f>[1]COMMANDE!AE137</f>
        <v>0</v>
      </c>
      <c r="BU139" s="586" t="str">
        <f>_xlfn.IFS(AND($AI139=$AM139,$AI139&gt;0,$AM139&gt;0,BT139&gt;0), BT139,     AND(NOT($AI139=$AM139),$AI139&gt;0,$AM139&gt;0,BT139&gt;0), ($AM139*BT139)/$AI139,     AND($AI139=0,$AM139&gt;0,$AQ139&gt;0), IF(INDEX(BT$12:BT$263,MATCH($AQ139,$AP$12:$AP$263,0))&gt;0,($AM139*INDEX(BT$12:BT$263,MATCH($AQ139,$AP$12:$AP$263,0)))/INDEX($AI$12:$AI$263,MATCH($AQ139,$AP$12:$AP$263,0)), "-"),     TRUE, "0")</f>
        <v>0</v>
      </c>
      <c r="BV139" s="588">
        <f>IF(BU$9&gt;0, IF(OR(BU139="",BU139="-"), 0, BU139*$AT139), BT139*$AJ139)</f>
        <v>0</v>
      </c>
      <c r="BW139" s="587">
        <f>[1]COMMANDE!AG137</f>
        <v>0</v>
      </c>
      <c r="BX139" s="586" t="str">
        <f>_xlfn.IFS(AND($AI139=$AM139,$AI139&gt;0,$AM139&gt;0,BW139&gt;0), BW139,     AND(NOT($AI139=$AM139),$AI139&gt;0,$AM139&gt;0,BW139&gt;0), ($AM139*BW139)/$AI139,     AND($AI139=0,$AM139&gt;0,$AQ139&gt;0), IF(INDEX(BW$12:BW$263,MATCH($AQ139,$AP$12:$AP$263,0))&gt;0,($AM139*INDEX(BW$12:BW$263,MATCH($AQ139,$AP$12:$AP$263,0)))/INDEX($AI$12:$AI$263,MATCH($AQ139,$AP$12:$AP$263,0)), "-"),     TRUE, "0")</f>
        <v>0</v>
      </c>
      <c r="BY139" s="607">
        <f>IF(BX$9&gt;0, IF(OR(BX139="",BX139="-"), 0, BX139*$AT139), BW139*$AJ139)</f>
        <v>0</v>
      </c>
      <c r="BZ139" s="589">
        <f>[1]COMMANDE!AI137</f>
        <v>0</v>
      </c>
      <c r="CA139" s="586" t="str">
        <f>_xlfn.IFS(AND($AI139=$AM139,$AI139&gt;0,$AM139&gt;0,BZ139&gt;0), BZ139,     AND(NOT($AI139=$AM139),$AI139&gt;0,$AM139&gt;0,BZ139&gt;0), ($AM139*BZ139)/$AI139,     AND($AI139=0,$AM139&gt;0,$AQ139&gt;0), IF(INDEX(BZ$12:BZ$263,MATCH($AQ139,$AP$12:$AP$263,0))&gt;0,($AM139*INDEX(BZ$12:BZ$263,MATCH($AQ139,$AP$12:$AP$263,0)))/INDEX($AI$12:$AI$263,MATCH($AQ139,$AP$12:$AP$263,0)), "-"),     TRUE, "0")</f>
        <v>0</v>
      </c>
      <c r="CB139" s="588">
        <f>IF(CA$9&gt;0, IF(OR(CA139="",CA139="-"), 0, CA139*$AT139), BZ139*$AJ139)</f>
        <v>0</v>
      </c>
      <c r="CC139" s="587">
        <f>[1]COMMANDE!AK137</f>
        <v>0</v>
      </c>
      <c r="CD139" s="586" t="str">
        <f>_xlfn.IFS(AND($AI139=$AM139,$AI139&gt;0,$AM139&gt;0,CC139&gt;0), CC139,     AND(NOT($AI139=$AM139),$AI139&gt;0,$AM139&gt;0,CC139&gt;0), ($AM139*CC139)/$AI139,     AND($AI139=0,$AM139&gt;0,$AQ139&gt;0), IF(INDEX(CC$12:CC$263,MATCH($AQ139,$AP$12:$AP$263,0))&gt;0,($AM139*INDEX(CC$12:CC$263,MATCH($AQ139,$AP$12:$AP$263,0)))/INDEX($AI$12:$AI$263,MATCH($AQ139,$AP$12:$AP$263,0)), "-"),     TRUE, "0")</f>
        <v>0</v>
      </c>
      <c r="CE139" s="607">
        <f>IF(CD$9&gt;0, IF(OR(CD139="",CD139="-"), 0, CD139*$AT139), CC139*$AJ139)</f>
        <v>0</v>
      </c>
      <c r="CF139" s="589">
        <f>[1]COMMANDE!AM137</f>
        <v>0</v>
      </c>
      <c r="CG139" s="586" t="str">
        <f>_xlfn.IFS(AND($AI139=$AM139,$AI139&gt;0,$AM139&gt;0,CF139&gt;0), CF139,     AND(NOT($AI139=$AM139),$AI139&gt;0,$AM139&gt;0,CF139&gt;0), ($AM139*CF139)/$AI139,     AND($AI139=0,$AM139&gt;0,$AQ139&gt;0), IF(INDEX(CF$12:CF$263,MATCH($AQ139,$AP$12:$AP$263,0))&gt;0,($AM139*INDEX(CF$12:CF$263,MATCH($AQ139,$AP$12:$AP$263,0)))/INDEX($AI$12:$AI$263,MATCH($AQ139,$AP$12:$AP$263,0)), "-"),     TRUE, "0")</f>
        <v>0</v>
      </c>
      <c r="CH139" s="588">
        <f>IF(CG$9&gt;0, IF(OR(CG139="",CG139="-"), 0, CG139*$AT139), CF139*$AJ139)</f>
        <v>0</v>
      </c>
      <c r="CI139" s="587">
        <f>[1]COMMANDE!AO137</f>
        <v>0</v>
      </c>
      <c r="CJ139" s="586" t="str">
        <f>_xlfn.IFS(AND($AI139=$AM139,$AI139&gt;0,$AM139&gt;0,CI139&gt;0), CI139,     AND(NOT($AI139=$AM139),$AI139&gt;0,$AM139&gt;0,CI139&gt;0), ($AM139*CI139)/$AI139,     AND($AI139=0,$AM139&gt;0,$AQ139&gt;0), IF(INDEX(CI$12:CI$263,MATCH($AQ139,$AP$12:$AP$263,0))&gt;0,($AM139*INDEX(CI$12:CI$263,MATCH($AQ139,$AP$12:$AP$263,0)))/INDEX($AI$12:$AI$263,MATCH($AQ139,$AP$12:$AP$263,0)), "-"),     TRUE, "0")</f>
        <v>0</v>
      </c>
      <c r="CK139" s="607">
        <f>IF(CJ$9&gt;0, IF(OR(CJ139="",CJ139="-"), 0, CJ139*$AT139), CI139*$AJ139)</f>
        <v>0</v>
      </c>
      <c r="CL139" s="589">
        <f>[1]COMMANDE!AQ137</f>
        <v>0</v>
      </c>
      <c r="CM139" s="586" t="str">
        <f>_xlfn.IFS(AND($AI139=$AM139,$AI139&gt;0,$AM139&gt;0,CL139&gt;0), CL139,     AND(NOT($AI139=$AM139),$AI139&gt;0,$AM139&gt;0,CL139&gt;0), ($AM139*CL139)/$AI139,     AND($AI139=0,$AM139&gt;0,$AQ139&gt;0), IF(INDEX(CL$12:CL$263,MATCH($AQ139,$AP$12:$AP$263,0))&gt;0,($AM139*INDEX(CL$12:CL$263,MATCH($AQ139,$AP$12:$AP$263,0)))/INDEX($AI$12:$AI$263,MATCH($AQ139,$AP$12:$AP$263,0)), "-"),     TRUE, "0")</f>
        <v>0</v>
      </c>
      <c r="CN139" s="588">
        <f>IF(CM$9&gt;0, IF(OR(CM139="",CM139="-"), 0, CM139*$AT139), CL139*$AJ139)</f>
        <v>0</v>
      </c>
      <c r="CO139" s="587">
        <f>[1]COMMANDE!AS137</f>
        <v>0</v>
      </c>
      <c r="CP139" s="586" t="str">
        <f>_xlfn.IFS(AND($AI139=$AM139,$AI139&gt;0,$AM139&gt;0,CO139&gt;0), CO139,     AND(NOT($AI139=$AM139),$AI139&gt;0,$AM139&gt;0,CO139&gt;0), ($AM139*CO139)/$AI139,     AND($AI139=0,$AM139&gt;0,$AQ139&gt;0), IF(INDEX(CO$12:CO$263,MATCH($AQ139,$AP$12:$AP$263,0))&gt;0,($AM139*INDEX(CO$12:CO$263,MATCH($AQ139,$AP$12:$AP$263,0)))/INDEX($AI$12:$AI$263,MATCH($AQ139,$AP$12:$AP$263,0)), "-"),     TRUE, "0")</f>
        <v>0</v>
      </c>
      <c r="CQ139" s="607">
        <f>IF(CP$9&gt;0, IF(OR(CP139="",CP139="-"), 0, CP139*$AT139), CO139*$AJ139)</f>
        <v>0</v>
      </c>
      <c r="CR139" s="589">
        <f>[1]COMMANDE!AU137</f>
        <v>0</v>
      </c>
      <c r="CS139" s="586" t="str">
        <f>_xlfn.IFS(AND($AI139=$AM139,$AI139&gt;0,$AM139&gt;0,CR139&gt;0), CR139,     AND(NOT($AI139=$AM139),$AI139&gt;0,$AM139&gt;0,CR139&gt;0), ($AM139*CR139)/$AI139,     AND($AI139=0,$AM139&gt;0,$AQ139&gt;0), IF(INDEX(CR$12:CR$263,MATCH($AQ139,$AP$12:$AP$263,0))&gt;0,($AM139*INDEX(CR$12:CR$263,MATCH($AQ139,$AP$12:$AP$263,0)))/INDEX($AI$12:$AI$263,MATCH($AQ139,$AP$12:$AP$263,0)), "-"),     TRUE, "0")</f>
        <v>0</v>
      </c>
      <c r="CT139" s="588">
        <f>IF(CS$9&gt;0, IF(OR(CS139="",CS139="-"), 0, CS139*$AT139), CR139*$AJ139)</f>
        <v>0</v>
      </c>
      <c r="CU139" s="587">
        <f>[1]COMMANDE!AW137</f>
        <v>0</v>
      </c>
      <c r="CV139" s="586" t="str">
        <f>_xlfn.IFS(AND($AI139=$AM139,$AI139&gt;0,$AM139&gt;0,CU139&gt;0), CU139,     AND(NOT($AI139=$AM139),$AI139&gt;0,$AM139&gt;0,CU139&gt;0), ($AM139*CU139)/$AI139,     AND($AI139=0,$AM139&gt;0,$AQ139&gt;0), IF(INDEX(CU$12:CU$263,MATCH($AQ139,$AP$12:$AP$263,0))&gt;0,($AM139*INDEX(CU$12:CU$263,MATCH($AQ139,$AP$12:$AP$263,0)))/INDEX($AI$12:$AI$263,MATCH($AQ139,$AP$12:$AP$263,0)), "-"),     TRUE, "0")</f>
        <v>0</v>
      </c>
      <c r="CW139" s="607">
        <f>IF(CV$9&gt;0, IF(OR(CV139="",CV139="-"), 0, CV139*$AT139), CU139*$AJ139)</f>
        <v>0</v>
      </c>
      <c r="CX139" s="589">
        <f>[1]COMMANDE!AY137</f>
        <v>0</v>
      </c>
      <c r="CY139" s="586" t="str">
        <f>_xlfn.IFS(AND($AI139=$AM139,$AI139&gt;0,$AM139&gt;0,CX139&gt;0), CX139,     AND(NOT($AI139=$AM139),$AI139&gt;0,$AM139&gt;0,CX139&gt;0), ($AM139*CX139)/$AI139,     AND($AI139=0,$AM139&gt;0,$AQ139&gt;0), IF(INDEX(CX$12:CX$263,MATCH($AQ139,$AP$12:$AP$263,0))&gt;0,($AM139*INDEX(CX$12:CX$263,MATCH($AQ139,$AP$12:$AP$263,0)))/INDEX($AI$12:$AI$263,MATCH($AQ139,$AP$12:$AP$263,0)), "-"),     TRUE, "0")</f>
        <v>0</v>
      </c>
      <c r="CZ139" s="588">
        <f>IF(CY$9&gt;0, IF(OR(CY139="",CY139="-"), 0, CY139*$AT139), CX139*$AJ139)</f>
        <v>0</v>
      </c>
      <c r="DA139" s="587">
        <f>[1]COMMANDE!BA137</f>
        <v>0</v>
      </c>
      <c r="DB139" s="586" t="str">
        <f>_xlfn.IFS(AND($AI139=$AM139,$AI139&gt;0,$AM139&gt;0,DA139&gt;0), DA139,     AND(NOT($AI139=$AM139),$AI139&gt;0,$AM139&gt;0,DA139&gt;0), ($AM139*DA139)/$AI139,     AND($AI139=0,$AM139&gt;0,$AQ139&gt;0), IF(INDEX(DA$12:DA$263,MATCH($AQ139,$AP$12:$AP$263,0))&gt;0,($AM139*INDEX(DA$12:DA$263,MATCH($AQ139,$AP$12:$AP$263,0)))/INDEX($AI$12:$AI$263,MATCH($AQ139,$AP$12:$AP$263,0)), "-"),     TRUE, "0")</f>
        <v>0</v>
      </c>
      <c r="DC139" s="606">
        <f>IF(DB$9&gt;0, IF(OR(DB139="",DB139="-"), 0, DB139*$AT139), DA139*$AJ139)</f>
        <v>0</v>
      </c>
      <c r="DD139" s="584"/>
      <c r="DE139" s="583"/>
    </row>
    <row r="140" spans="1:128" ht="39.950000000000003" hidden="1" customHeight="1">
      <c r="A140" s="604">
        <f>IF(OR($AV140&gt;0, $AX140&gt;0), 1, 0)</f>
        <v>0</v>
      </c>
      <c r="B140" s="604">
        <f>IF(OR($AY140&gt;0, $BA140&gt;0), 1, 0)</f>
        <v>0</v>
      </c>
      <c r="C140" s="604">
        <f>IF(OR($BB140&gt;0, $BD140&gt;0), 1, 0)</f>
        <v>0</v>
      </c>
      <c r="D140" s="604">
        <f>IF(OR($BE140&gt;0, $BG140&gt;0), 1, 0)</f>
        <v>0</v>
      </c>
      <c r="E140" s="604">
        <f>IF(OR($BH140&gt;0, $BJ140&gt;0), 1, 0)</f>
        <v>0</v>
      </c>
      <c r="F140" s="604">
        <f>IF(OR($BK140&gt;0, $BM140&gt;0), 1, 0)</f>
        <v>0</v>
      </c>
      <c r="G140" s="604">
        <f>IF(OR($BN140&gt;0, $BP140&gt;0), 1, 0)</f>
        <v>0</v>
      </c>
      <c r="H140" s="604">
        <f>IF(OR($BQ140&gt;0, $BS140&gt;0), 1, 0)</f>
        <v>0</v>
      </c>
      <c r="I140" s="604">
        <f>IF(OR($BT140&gt;0, $BV140&gt;0), 1, 0)</f>
        <v>0</v>
      </c>
      <c r="J140" s="604">
        <f>IF(OR($BW140&gt;0, $BY140&gt;0), 1, 0)</f>
        <v>0</v>
      </c>
      <c r="K140" s="604">
        <f>IF(OR($BZ140&gt;0, $CB140&gt;0), 1, 0)</f>
        <v>0</v>
      </c>
      <c r="L140" s="604">
        <f>IF(OR($CC140&gt;0, $CE140&gt;0), 1, 0)</f>
        <v>0</v>
      </c>
      <c r="M140" s="604">
        <f>IF(OR($CF140&gt;0, $CH140&gt;0), 1, 0)</f>
        <v>0</v>
      </c>
      <c r="N140" s="604">
        <f>IF(OR($CI140&gt;0, $CK140&gt;0), 1, 0)</f>
        <v>0</v>
      </c>
      <c r="O140" s="604">
        <f>IF(OR($CL140&gt;0, $CN140&gt;0), 1, 0)</f>
        <v>0</v>
      </c>
      <c r="P140" s="604">
        <f>IF(OR($CO140&gt;0, $CQ140&gt;0), 1, 0)</f>
        <v>0</v>
      </c>
      <c r="Q140" s="604">
        <f>IF(OR($CR140&gt;0, $CT140&gt;0), 1, 0)</f>
        <v>0</v>
      </c>
      <c r="R140" s="604">
        <f>IF(OR($CU140&gt;0, $CW140&gt;0), 1, 0)</f>
        <v>0</v>
      </c>
      <c r="S140" s="604">
        <f>IF(OR($CX140&gt;0, $CZ140&gt;0), 1, 0)</f>
        <v>0</v>
      </c>
      <c r="T140" s="604">
        <f>IF(OR($DA140&gt;0, $DC140&gt;0), 1, 0)</f>
        <v>0</v>
      </c>
      <c r="U140" s="603">
        <f>IF(OR($AI140&gt;0,$AM140&gt;0,$AS140&gt;0), 1, 0)</f>
        <v>0</v>
      </c>
      <c r="V140" s="602">
        <f>[1]BDD!A130</f>
        <v>3276</v>
      </c>
      <c r="W140" s="601" t="str">
        <f>[1]BDD!B130</f>
        <v>Kiwi de la Alpujarra</v>
      </c>
      <c r="X140" s="600" t="str">
        <f>IF([1]BDD!F130=0, "", [1]BDD!F130)</f>
        <v/>
      </c>
      <c r="Y140" s="542">
        <f>ROUND([1]BDD!G130+FDP_CMD_KG, 2)</f>
        <v>7.02</v>
      </c>
      <c r="Z140" s="542">
        <f>ROUND([1]BDD!G130+FDP_FACT_KG, 2)</f>
        <v>7.02</v>
      </c>
      <c r="AA140" s="543" t="str">
        <f>[1]BDD!H130</f>
        <v>kg</v>
      </c>
      <c r="AB140" s="544">
        <f>IF(NOT(ISBLANK([1]BDD!I130)), ROUND(SUM(([1]BDD!G130*reduc1),FDP_CMD_KG), 2), "")</f>
        <v>6.41</v>
      </c>
      <c r="AC140" s="544">
        <f>IF(NOT(ISBLANK([1]BDD!J130)), ROUND(SUM(([1]BDD!G130*reduc2),FDP_CMD_KG), 2), "")</f>
        <v>5.79</v>
      </c>
      <c r="AD140" s="544" t="str">
        <f>IF(NOT(ISBLANK([1]BDD!K130)), ROUND(SUM(([1]BDD!G130*reduc3),FDP_CMD_KG), 2), "")</f>
        <v/>
      </c>
      <c r="AE140" s="544">
        <f>IF(NOT(ISBLANK([1]BDD!I130)), ROUND(SUM(([1]BDD!G130*reduc1),FDP_FACT_KG), 2), "")</f>
        <v>6.4</v>
      </c>
      <c r="AF140" s="544">
        <f>IF(NOT(ISBLANK([1]BDD!J130)), ROUND(SUM(([1]BDD!G130*reduc2),FDP_FACT_KG), 2), "")</f>
        <v>5.79</v>
      </c>
      <c r="AG140" s="544" t="str">
        <f>IF(NOT(ISBLANK([1]BDD!K130)), ROUND(SUM(([1]BDD!G130*reduc3),FDP_FACT_KG), 2), "")</f>
        <v/>
      </c>
      <c r="AH140" s="599" t="str">
        <f>[1]BDD!C130</f>
        <v>Grenade</v>
      </c>
      <c r="AI140" s="598">
        <f>SUM(AV140,AY140,BB140,BE140,BH140,BK140,BN140,BQ140,BT140,BW140,BZ140,CC140,CF140,CI140,CL140,CO140,CR140,CU140,CX140,DA140)</f>
        <v>0</v>
      </c>
      <c r="AJ140" s="545">
        <f>_xlfn.IFS($AD140&lt;&gt;"", $AD140,    $AC140&lt;&gt;"", $AC140,    $AB140&lt;&gt;"", $AB140,    TRUE, $Y140)</f>
        <v>5.79</v>
      </c>
      <c r="AK140" s="592">
        <f>$AI140*$AJ140</f>
        <v>0</v>
      </c>
      <c r="AL140" s="594"/>
      <c r="AM140" s="597"/>
      <c r="AN140" s="545">
        <f>_xlfn.IFS(AND(AM140&gt;=60,$AG140&lt;&gt;""), $AG140,    AND(AM140&gt;=30,$AF140&lt;&gt;""), $AF140,    AND(AM140&gt;=10,$AE140&lt;&gt;""), $AE140,    TRUE, $Z140)</f>
        <v>7.02</v>
      </c>
      <c r="AO140" s="596">
        <f>AM140*AN140</f>
        <v>0</v>
      </c>
      <c r="AP140" s="595"/>
      <c r="AQ140" s="595"/>
      <c r="AR140" s="594"/>
      <c r="AS140" s="593">
        <f>SUM(AW140,AZ140,BC140,BF140,BI140,BL140,BO140,BR140,BU140,BX140,CA140,CD140,CG140,CJ140,CM140,CP140,CS140,CV140,CY140,DB140)</f>
        <v>0</v>
      </c>
      <c r="AT140" s="545">
        <f>_xlfn.IFS(AND(AS140&gt;=60,$AG140&lt;&gt;""), $AG140,    AND(AS140&gt;=30,$AF140&lt;&gt;""), $AF140,    AND(AS140&gt;=10,$AE140&lt;&gt;""), $AE140,    TRUE, $Z140)</f>
        <v>7.02</v>
      </c>
      <c r="AU140" s="592">
        <f>$AS140*$AT140</f>
        <v>0</v>
      </c>
      <c r="AV140" s="591">
        <f>[1]COMMANDE!O138</f>
        <v>0</v>
      </c>
      <c r="AW140" s="586" t="str">
        <f>_xlfn.IFS(AND($AI140=$AM140,$AI140&gt;0,$AM140&gt;0,AV140&gt;0), AV140,     AND(NOT($AI140=$AM140),$AI140&gt;0,$AM140&gt;0,AV140&gt;0), ($AM140*AV140)/$AI140,     AND($AI140=0,$AM140&gt;0,$AQ140&gt;0), IF(INDEX(AV$12:AV$263,MATCH($AQ140,$AP$12:$AP$263,0))&gt;0,($AM140*INDEX(AV$12:AV$263,MATCH($AQ140,$AP$12:$AP$263,0)))/INDEX($AI$12:$AI$263,MATCH($AQ140,$AP$12:$AP$263,0)), "-"),     TRUE, "0")</f>
        <v>0</v>
      </c>
      <c r="AX140" s="588">
        <f>IF(AW$9&gt;0, IF(OR(AW140="",AW140="-"), 0, AW140*$AT140), AV140*$AJ140)</f>
        <v>0</v>
      </c>
      <c r="AY140" s="587">
        <f>[1]COMMANDE!Q138</f>
        <v>0</v>
      </c>
      <c r="AZ140" s="586" t="str">
        <f>_xlfn.IFS(AND($AI140=$AM140,$AI140&gt;0,$AM140&gt;0,AY140&gt;0), AY140,     AND(NOT($AI140=$AM140),$AI140&gt;0,$AM140&gt;0,AY140&gt;0), ($AM140*AY140)/$AI140,     AND($AI140=0,$AM140&gt;0,$AQ140&gt;0), IF(INDEX(AY$12:AY$263,MATCH($AQ140,$AP$12:$AP$263,0))&gt;0,($AM140*INDEX(AY$12:AY$263,MATCH($AQ140,$AP$12:$AP$263,0)))/INDEX($AI$12:$AI$263,MATCH($AQ140,$AP$12:$AP$263,0)), "-"),     TRUE, "0")</f>
        <v>0</v>
      </c>
      <c r="BA140" s="607">
        <f>IF(AZ$9&gt;0, IF(OR(AZ140="",AZ140="-"), 0, AZ140*$AT140), AY140*$AJ140)</f>
        <v>0</v>
      </c>
      <c r="BB140" s="589">
        <f>[1]COMMANDE!S138</f>
        <v>0</v>
      </c>
      <c r="BC140" s="586" t="str">
        <f>_xlfn.IFS(AND($AI140=$AM140,$AI140&gt;0,$AM140&gt;0,BB140&gt;0), BB140,     AND(NOT($AI140=$AM140),$AI140&gt;0,$AM140&gt;0,BB140&gt;0), ($AM140*BB140)/$AI140,     AND($AI140=0,$AM140&gt;0,$AQ140&gt;0), IF(INDEX(BB$12:BB$263,MATCH($AQ140,$AP$12:$AP$263,0))&gt;0,($AM140*INDEX(BB$12:BB$263,MATCH($AQ140,$AP$12:$AP$263,0)))/INDEX($AI$12:$AI$263,MATCH($AQ140,$AP$12:$AP$263,0)), "-"),     TRUE, "0")</f>
        <v>0</v>
      </c>
      <c r="BD140" s="588">
        <f>IF(BC$9&gt;0, IF(OR(BC140="",BC140="-"), 0, BC140*$AT140), BB140*$AJ140)</f>
        <v>0</v>
      </c>
      <c r="BE140" s="587">
        <f>[1]COMMANDE!U138</f>
        <v>0</v>
      </c>
      <c r="BF140" s="586" t="str">
        <f>_xlfn.IFS(AND($AI140=$AM140,$AI140&gt;0,$AM140&gt;0,BE140&gt;0), BE140,     AND(NOT($AI140=$AM140),$AI140&gt;0,$AM140&gt;0,BE140&gt;0), ($AM140*BE140)/$AI140,     AND($AI140=0,$AM140&gt;0,$AQ140&gt;0), IF(INDEX(BE$12:BE$263,MATCH($AQ140,$AP$12:$AP$263,0))&gt;0,($AM140*INDEX(BE$12:BE$263,MATCH($AQ140,$AP$12:$AP$263,0)))/INDEX($AI$12:$AI$263,MATCH($AQ140,$AP$12:$AP$263,0)), "-"),     TRUE, "0")</f>
        <v>0</v>
      </c>
      <c r="BG140" s="607">
        <f>IF(BF$9&gt;0, IF(OR(BF140="",BF140="-"), 0, BF140*$AT140), BE140*$AJ140)</f>
        <v>0</v>
      </c>
      <c r="BH140" s="589">
        <f>[1]COMMANDE!W138</f>
        <v>0</v>
      </c>
      <c r="BI140" s="586" t="str">
        <f>_xlfn.IFS(AND($AI140=$AM140,$AI140&gt;0,$AM140&gt;0,BH140&gt;0), BH140,     AND(NOT($AI140=$AM140),$AI140&gt;0,$AM140&gt;0,BH140&gt;0), ($AM140*BH140)/$AI140,     AND($AI140=0,$AM140&gt;0,$AQ140&gt;0), IF(INDEX(BH$12:BH$263,MATCH($AQ140,$AP$12:$AP$263,0))&gt;0,($AM140*INDEX(BH$12:BH$263,MATCH($AQ140,$AP$12:$AP$263,0)))/INDEX($AI$12:$AI$263,MATCH($AQ140,$AP$12:$AP$263,0)), "-"),     TRUE, "0")</f>
        <v>0</v>
      </c>
      <c r="BJ140" s="588">
        <f>IF(BI$9&gt;0, IF(OR(BI140="",BI140="-"), 0, BI140*$AT140), BH140*$AJ140)</f>
        <v>0</v>
      </c>
      <c r="BK140" s="587">
        <f>[1]COMMANDE!Y138</f>
        <v>0</v>
      </c>
      <c r="BL140" s="586" t="str">
        <f>_xlfn.IFS(AND($AI140=$AM140,$AI140&gt;0,$AM140&gt;0,BK140&gt;0), BK140,     AND(NOT($AI140=$AM140),$AI140&gt;0,$AM140&gt;0,BK140&gt;0), ($AM140*BK140)/$AI140,     AND($AI140=0,$AM140&gt;0,$AQ140&gt;0), IF(INDEX(BK$12:BK$263,MATCH($AQ140,$AP$12:$AP$263,0))&gt;0,($AM140*INDEX(BK$12:BK$263,MATCH($AQ140,$AP$12:$AP$263,0)))/INDEX($AI$12:$AI$263,MATCH($AQ140,$AP$12:$AP$263,0)), "-"),     TRUE, "0")</f>
        <v>0</v>
      </c>
      <c r="BM140" s="607">
        <f>IF(BL$9&gt;0, IF(OR(BL140="",BL140="-"), 0, BL140*$AT140), BK140*$AJ140)</f>
        <v>0</v>
      </c>
      <c r="BN140" s="589">
        <f>[1]COMMANDE!AA138</f>
        <v>0</v>
      </c>
      <c r="BO140" s="586" t="str">
        <f>_xlfn.IFS(AND($AI140=$AM140,$AI140&gt;0,$AM140&gt;0,BN140&gt;0), BN140,     AND(NOT($AI140=$AM140),$AI140&gt;0,$AM140&gt;0,BN140&gt;0), ($AM140*BN140)/$AI140,     AND($AI140=0,$AM140&gt;0,$AQ140&gt;0), IF(INDEX(BN$12:BN$263,MATCH($AQ140,$AP$12:$AP$263,0))&gt;0,($AM140*INDEX(BN$12:BN$263,MATCH($AQ140,$AP$12:$AP$263,0)))/INDEX($AI$12:$AI$263,MATCH($AQ140,$AP$12:$AP$263,0)), "-"),     TRUE, "0")</f>
        <v>0</v>
      </c>
      <c r="BP140" s="588">
        <f>IF(BO$9&gt;0, IF(OR(BO140="",BO140="-"), 0, BO140*$AT140), BN140*$AJ140)</f>
        <v>0</v>
      </c>
      <c r="BQ140" s="587">
        <f>[1]COMMANDE!AC138</f>
        <v>0</v>
      </c>
      <c r="BR140" s="586" t="str">
        <f>_xlfn.IFS(AND($AI140=$AM140,$AI140&gt;0,$AM140&gt;0,BQ140&gt;0), BQ140,     AND(NOT($AI140=$AM140),$AI140&gt;0,$AM140&gt;0,BQ140&gt;0), ($AM140*BQ140)/$AI140,     AND($AI140=0,$AM140&gt;0,$AQ140&gt;0), IF(INDEX(BQ$12:BQ$263,MATCH($AQ140,$AP$12:$AP$263,0))&gt;0,($AM140*INDEX(BQ$12:BQ$263,MATCH($AQ140,$AP$12:$AP$263,0)))/INDEX($AI$12:$AI$263,MATCH($AQ140,$AP$12:$AP$263,0)), "-"),     TRUE, "0")</f>
        <v>0</v>
      </c>
      <c r="BS140" s="607">
        <f>IF(BR$9&gt;0, IF(OR(BR140="",BR140="-"), 0, BR140*$AT140), BQ140*$AJ140)</f>
        <v>0</v>
      </c>
      <c r="BT140" s="589">
        <f>[1]COMMANDE!AE138</f>
        <v>0</v>
      </c>
      <c r="BU140" s="586" t="str">
        <f>_xlfn.IFS(AND($AI140=$AM140,$AI140&gt;0,$AM140&gt;0,BT140&gt;0), BT140,     AND(NOT($AI140=$AM140),$AI140&gt;0,$AM140&gt;0,BT140&gt;0), ($AM140*BT140)/$AI140,     AND($AI140=0,$AM140&gt;0,$AQ140&gt;0), IF(INDEX(BT$12:BT$263,MATCH($AQ140,$AP$12:$AP$263,0))&gt;0,($AM140*INDEX(BT$12:BT$263,MATCH($AQ140,$AP$12:$AP$263,0)))/INDEX($AI$12:$AI$263,MATCH($AQ140,$AP$12:$AP$263,0)), "-"),     TRUE, "0")</f>
        <v>0</v>
      </c>
      <c r="BV140" s="588">
        <f>IF(BU$9&gt;0, IF(OR(BU140="",BU140="-"), 0, BU140*$AT140), BT140*$AJ140)</f>
        <v>0</v>
      </c>
      <c r="BW140" s="587">
        <f>[1]COMMANDE!AG138</f>
        <v>0</v>
      </c>
      <c r="BX140" s="586" t="str">
        <f>_xlfn.IFS(AND($AI140=$AM140,$AI140&gt;0,$AM140&gt;0,BW140&gt;0), BW140,     AND(NOT($AI140=$AM140),$AI140&gt;0,$AM140&gt;0,BW140&gt;0), ($AM140*BW140)/$AI140,     AND($AI140=0,$AM140&gt;0,$AQ140&gt;0), IF(INDEX(BW$12:BW$263,MATCH($AQ140,$AP$12:$AP$263,0))&gt;0,($AM140*INDEX(BW$12:BW$263,MATCH($AQ140,$AP$12:$AP$263,0)))/INDEX($AI$12:$AI$263,MATCH($AQ140,$AP$12:$AP$263,0)), "-"),     TRUE, "0")</f>
        <v>0</v>
      </c>
      <c r="BY140" s="607">
        <f>IF(BX$9&gt;0, IF(OR(BX140="",BX140="-"), 0, BX140*$AT140), BW140*$AJ140)</f>
        <v>0</v>
      </c>
      <c r="BZ140" s="589">
        <f>[1]COMMANDE!AI138</f>
        <v>0</v>
      </c>
      <c r="CA140" s="586" t="str">
        <f>_xlfn.IFS(AND($AI140=$AM140,$AI140&gt;0,$AM140&gt;0,BZ140&gt;0), BZ140,     AND(NOT($AI140=$AM140),$AI140&gt;0,$AM140&gt;0,BZ140&gt;0), ($AM140*BZ140)/$AI140,     AND($AI140=0,$AM140&gt;0,$AQ140&gt;0), IF(INDEX(BZ$12:BZ$263,MATCH($AQ140,$AP$12:$AP$263,0))&gt;0,($AM140*INDEX(BZ$12:BZ$263,MATCH($AQ140,$AP$12:$AP$263,0)))/INDEX($AI$12:$AI$263,MATCH($AQ140,$AP$12:$AP$263,0)), "-"),     TRUE, "0")</f>
        <v>0</v>
      </c>
      <c r="CB140" s="588">
        <f>IF(CA$9&gt;0, IF(OR(CA140="",CA140="-"), 0, CA140*$AT140), BZ140*$AJ140)</f>
        <v>0</v>
      </c>
      <c r="CC140" s="587">
        <f>[1]COMMANDE!AK138</f>
        <v>0</v>
      </c>
      <c r="CD140" s="586" t="str">
        <f>_xlfn.IFS(AND($AI140=$AM140,$AI140&gt;0,$AM140&gt;0,CC140&gt;0), CC140,     AND(NOT($AI140=$AM140),$AI140&gt;0,$AM140&gt;0,CC140&gt;0), ($AM140*CC140)/$AI140,     AND($AI140=0,$AM140&gt;0,$AQ140&gt;0), IF(INDEX(CC$12:CC$263,MATCH($AQ140,$AP$12:$AP$263,0))&gt;0,($AM140*INDEX(CC$12:CC$263,MATCH($AQ140,$AP$12:$AP$263,0)))/INDEX($AI$12:$AI$263,MATCH($AQ140,$AP$12:$AP$263,0)), "-"),     TRUE, "0")</f>
        <v>0</v>
      </c>
      <c r="CE140" s="607">
        <f>IF(CD$9&gt;0, IF(OR(CD140="",CD140="-"), 0, CD140*$AT140), CC140*$AJ140)</f>
        <v>0</v>
      </c>
      <c r="CF140" s="589">
        <f>[1]COMMANDE!AM138</f>
        <v>0</v>
      </c>
      <c r="CG140" s="586" t="str">
        <f>_xlfn.IFS(AND($AI140=$AM140,$AI140&gt;0,$AM140&gt;0,CF140&gt;0), CF140,     AND(NOT($AI140=$AM140),$AI140&gt;0,$AM140&gt;0,CF140&gt;0), ($AM140*CF140)/$AI140,     AND($AI140=0,$AM140&gt;0,$AQ140&gt;0), IF(INDEX(CF$12:CF$263,MATCH($AQ140,$AP$12:$AP$263,0))&gt;0,($AM140*INDEX(CF$12:CF$263,MATCH($AQ140,$AP$12:$AP$263,0)))/INDEX($AI$12:$AI$263,MATCH($AQ140,$AP$12:$AP$263,0)), "-"),     TRUE, "0")</f>
        <v>0</v>
      </c>
      <c r="CH140" s="588">
        <f>IF(CG$9&gt;0, IF(OR(CG140="",CG140="-"), 0, CG140*$AT140), CF140*$AJ140)</f>
        <v>0</v>
      </c>
      <c r="CI140" s="587">
        <f>[1]COMMANDE!AO138</f>
        <v>0</v>
      </c>
      <c r="CJ140" s="586" t="str">
        <f>_xlfn.IFS(AND($AI140=$AM140,$AI140&gt;0,$AM140&gt;0,CI140&gt;0), CI140,     AND(NOT($AI140=$AM140),$AI140&gt;0,$AM140&gt;0,CI140&gt;0), ($AM140*CI140)/$AI140,     AND($AI140=0,$AM140&gt;0,$AQ140&gt;0), IF(INDEX(CI$12:CI$263,MATCH($AQ140,$AP$12:$AP$263,0))&gt;0,($AM140*INDEX(CI$12:CI$263,MATCH($AQ140,$AP$12:$AP$263,0)))/INDEX($AI$12:$AI$263,MATCH($AQ140,$AP$12:$AP$263,0)), "-"),     TRUE, "0")</f>
        <v>0</v>
      </c>
      <c r="CK140" s="607">
        <f>IF(CJ$9&gt;0, IF(OR(CJ140="",CJ140="-"), 0, CJ140*$AT140), CI140*$AJ140)</f>
        <v>0</v>
      </c>
      <c r="CL140" s="589">
        <f>[1]COMMANDE!AQ138</f>
        <v>0</v>
      </c>
      <c r="CM140" s="586" t="str">
        <f>_xlfn.IFS(AND($AI140=$AM140,$AI140&gt;0,$AM140&gt;0,CL140&gt;0), CL140,     AND(NOT($AI140=$AM140),$AI140&gt;0,$AM140&gt;0,CL140&gt;0), ($AM140*CL140)/$AI140,     AND($AI140=0,$AM140&gt;0,$AQ140&gt;0), IF(INDEX(CL$12:CL$263,MATCH($AQ140,$AP$12:$AP$263,0))&gt;0,($AM140*INDEX(CL$12:CL$263,MATCH($AQ140,$AP$12:$AP$263,0)))/INDEX($AI$12:$AI$263,MATCH($AQ140,$AP$12:$AP$263,0)), "-"),     TRUE, "0")</f>
        <v>0</v>
      </c>
      <c r="CN140" s="588">
        <f>IF(CM$9&gt;0, IF(OR(CM140="",CM140="-"), 0, CM140*$AT140), CL140*$AJ140)</f>
        <v>0</v>
      </c>
      <c r="CO140" s="587">
        <f>[1]COMMANDE!AS138</f>
        <v>0</v>
      </c>
      <c r="CP140" s="586" t="str">
        <f>_xlfn.IFS(AND($AI140=$AM140,$AI140&gt;0,$AM140&gt;0,CO140&gt;0), CO140,     AND(NOT($AI140=$AM140),$AI140&gt;0,$AM140&gt;0,CO140&gt;0), ($AM140*CO140)/$AI140,     AND($AI140=0,$AM140&gt;0,$AQ140&gt;0), IF(INDEX(CO$12:CO$263,MATCH($AQ140,$AP$12:$AP$263,0))&gt;0,($AM140*INDEX(CO$12:CO$263,MATCH($AQ140,$AP$12:$AP$263,0)))/INDEX($AI$12:$AI$263,MATCH($AQ140,$AP$12:$AP$263,0)), "-"),     TRUE, "0")</f>
        <v>0</v>
      </c>
      <c r="CQ140" s="607">
        <f>IF(CP$9&gt;0, IF(OR(CP140="",CP140="-"), 0, CP140*$AT140), CO140*$AJ140)</f>
        <v>0</v>
      </c>
      <c r="CR140" s="589">
        <f>[1]COMMANDE!AU138</f>
        <v>0</v>
      </c>
      <c r="CS140" s="586" t="str">
        <f>_xlfn.IFS(AND($AI140=$AM140,$AI140&gt;0,$AM140&gt;0,CR140&gt;0), CR140,     AND(NOT($AI140=$AM140),$AI140&gt;0,$AM140&gt;0,CR140&gt;0), ($AM140*CR140)/$AI140,     AND($AI140=0,$AM140&gt;0,$AQ140&gt;0), IF(INDEX(CR$12:CR$263,MATCH($AQ140,$AP$12:$AP$263,0))&gt;0,($AM140*INDEX(CR$12:CR$263,MATCH($AQ140,$AP$12:$AP$263,0)))/INDEX($AI$12:$AI$263,MATCH($AQ140,$AP$12:$AP$263,0)), "-"),     TRUE, "0")</f>
        <v>0</v>
      </c>
      <c r="CT140" s="588">
        <f>IF(CS$9&gt;0, IF(OR(CS140="",CS140="-"), 0, CS140*$AT140), CR140*$AJ140)</f>
        <v>0</v>
      </c>
      <c r="CU140" s="587">
        <f>[1]COMMANDE!AW138</f>
        <v>0</v>
      </c>
      <c r="CV140" s="586" t="str">
        <f>_xlfn.IFS(AND($AI140=$AM140,$AI140&gt;0,$AM140&gt;0,CU140&gt;0), CU140,     AND(NOT($AI140=$AM140),$AI140&gt;0,$AM140&gt;0,CU140&gt;0), ($AM140*CU140)/$AI140,     AND($AI140=0,$AM140&gt;0,$AQ140&gt;0), IF(INDEX(CU$12:CU$263,MATCH($AQ140,$AP$12:$AP$263,0))&gt;0,($AM140*INDEX(CU$12:CU$263,MATCH($AQ140,$AP$12:$AP$263,0)))/INDEX($AI$12:$AI$263,MATCH($AQ140,$AP$12:$AP$263,0)), "-"),     TRUE, "0")</f>
        <v>0</v>
      </c>
      <c r="CW140" s="607">
        <f>IF(CV$9&gt;0, IF(OR(CV140="",CV140="-"), 0, CV140*$AT140), CU140*$AJ140)</f>
        <v>0</v>
      </c>
      <c r="CX140" s="589">
        <f>[1]COMMANDE!AY138</f>
        <v>0</v>
      </c>
      <c r="CY140" s="586" t="str">
        <f>_xlfn.IFS(AND($AI140=$AM140,$AI140&gt;0,$AM140&gt;0,CX140&gt;0), CX140,     AND(NOT($AI140=$AM140),$AI140&gt;0,$AM140&gt;0,CX140&gt;0), ($AM140*CX140)/$AI140,     AND($AI140=0,$AM140&gt;0,$AQ140&gt;0), IF(INDEX(CX$12:CX$263,MATCH($AQ140,$AP$12:$AP$263,0))&gt;0,($AM140*INDEX(CX$12:CX$263,MATCH($AQ140,$AP$12:$AP$263,0)))/INDEX($AI$12:$AI$263,MATCH($AQ140,$AP$12:$AP$263,0)), "-"),     TRUE, "0")</f>
        <v>0</v>
      </c>
      <c r="CZ140" s="588">
        <f>IF(CY$9&gt;0, IF(OR(CY140="",CY140="-"), 0, CY140*$AT140), CX140*$AJ140)</f>
        <v>0</v>
      </c>
      <c r="DA140" s="587">
        <f>[1]COMMANDE!BA138</f>
        <v>0</v>
      </c>
      <c r="DB140" s="586" t="str">
        <f>_xlfn.IFS(AND($AI140=$AM140,$AI140&gt;0,$AM140&gt;0,DA140&gt;0), DA140,     AND(NOT($AI140=$AM140),$AI140&gt;0,$AM140&gt;0,DA140&gt;0), ($AM140*DA140)/$AI140,     AND($AI140=0,$AM140&gt;0,$AQ140&gt;0), IF(INDEX(DA$12:DA$263,MATCH($AQ140,$AP$12:$AP$263,0))&gt;0,($AM140*INDEX(DA$12:DA$263,MATCH($AQ140,$AP$12:$AP$263,0)))/INDEX($AI$12:$AI$263,MATCH($AQ140,$AP$12:$AP$263,0)), "-"),     TRUE, "0")</f>
        <v>0</v>
      </c>
      <c r="DC140" s="606">
        <f>IF(DB$9&gt;0, IF(OR(DB140="",DB140="-"), 0, DB140*$AT140), DA140*$AJ140)</f>
        <v>0</v>
      </c>
      <c r="DD140" s="584"/>
      <c r="DE140" s="583"/>
    </row>
    <row r="141" spans="1:128" ht="39.950000000000003" hidden="1" customHeight="1">
      <c r="A141" s="604">
        <f>IF(OR($AV141&gt;0, $AX141&gt;0), 1, 0)</f>
        <v>0</v>
      </c>
      <c r="B141" s="604">
        <f>IF(OR($AY141&gt;0, $BA141&gt;0), 1, 0)</f>
        <v>0</v>
      </c>
      <c r="C141" s="604">
        <f>IF(OR($BB141&gt;0, $BD141&gt;0), 1, 0)</f>
        <v>0</v>
      </c>
      <c r="D141" s="604">
        <f>IF(OR($BE141&gt;0, $BG141&gt;0), 1, 0)</f>
        <v>0</v>
      </c>
      <c r="E141" s="604">
        <f>IF(OR($BH141&gt;0, $BJ141&gt;0), 1, 0)</f>
        <v>0</v>
      </c>
      <c r="F141" s="604">
        <f>IF(OR($BK141&gt;0, $BM141&gt;0), 1, 0)</f>
        <v>0</v>
      </c>
      <c r="G141" s="604">
        <f>IF(OR($BN141&gt;0, $BP141&gt;0), 1, 0)</f>
        <v>0</v>
      </c>
      <c r="H141" s="604">
        <f>IF(OR($BQ141&gt;0, $BS141&gt;0), 1, 0)</f>
        <v>0</v>
      </c>
      <c r="I141" s="604">
        <f>IF(OR($BT141&gt;0, $BV141&gt;0), 1, 0)</f>
        <v>0</v>
      </c>
      <c r="J141" s="604">
        <f>IF(OR($BW141&gt;0, $BY141&gt;0), 1, 0)</f>
        <v>0</v>
      </c>
      <c r="K141" s="604">
        <f>IF(OR($BZ141&gt;0, $CB141&gt;0), 1, 0)</f>
        <v>0</v>
      </c>
      <c r="L141" s="604">
        <f>IF(OR($CC141&gt;0, $CE141&gt;0), 1, 0)</f>
        <v>0</v>
      </c>
      <c r="M141" s="604">
        <f>IF(OR($CF141&gt;0, $CH141&gt;0), 1, 0)</f>
        <v>0</v>
      </c>
      <c r="N141" s="604">
        <f>IF(OR($CI141&gt;0, $CK141&gt;0), 1, 0)</f>
        <v>0</v>
      </c>
      <c r="O141" s="604">
        <f>IF(OR($CL141&gt;0, $CN141&gt;0), 1, 0)</f>
        <v>0</v>
      </c>
      <c r="P141" s="604">
        <f>IF(OR($CO141&gt;0, $CQ141&gt;0), 1, 0)</f>
        <v>0</v>
      </c>
      <c r="Q141" s="604">
        <f>IF(OR($CR141&gt;0, $CT141&gt;0), 1, 0)</f>
        <v>0</v>
      </c>
      <c r="R141" s="604">
        <f>IF(OR($CU141&gt;0, $CW141&gt;0), 1, 0)</f>
        <v>0</v>
      </c>
      <c r="S141" s="604">
        <f>IF(OR($CX141&gt;0, $CZ141&gt;0), 1, 0)</f>
        <v>0</v>
      </c>
      <c r="T141" s="604">
        <f>IF(OR($DA141&gt;0, $DC141&gt;0), 1, 0)</f>
        <v>0</v>
      </c>
      <c r="U141" s="603">
        <f>IF(OR($AI141&gt;0,$AM141&gt;0,$AS141&gt;0), 1, 0)</f>
        <v>0</v>
      </c>
      <c r="V141" s="602" t="str">
        <f>[1]BDD!A131</f>
        <v>5130-3941</v>
      </c>
      <c r="W141" s="601" t="str">
        <f>[1]BDD!B131</f>
        <v>Kiwi jaune Sun Gold</v>
      </c>
      <c r="X141" s="600" t="str">
        <f>IF([1]BDD!F131=0, "", [1]BDD!F131)</f>
        <v>❤️</v>
      </c>
      <c r="Y141" s="542">
        <f>ROUND([1]BDD!G131+FDP_CMD_KG, 2)</f>
        <v>10.17</v>
      </c>
      <c r="Z141" s="542">
        <f>ROUND([1]BDD!G131+FDP_FACT_KG, 2)</f>
        <v>10.17</v>
      </c>
      <c r="AA141" s="543" t="str">
        <f>[1]BDD!H131</f>
        <v>kg</v>
      </c>
      <c r="AB141" s="544" t="str">
        <f>IF(NOT(ISBLANK([1]BDD!I131)), ROUND(SUM(([1]BDD!G131*reduc1),FDP_CMD_KG), 2), "")</f>
        <v/>
      </c>
      <c r="AC141" s="544" t="str">
        <f>IF(NOT(ISBLANK([1]BDD!J131)), ROUND(SUM(([1]BDD!G131*reduc2),FDP_CMD_KG), 2), "")</f>
        <v/>
      </c>
      <c r="AD141" s="544" t="str">
        <f>IF(NOT(ISBLANK([1]BDD!K131)), ROUND(SUM(([1]BDD!G131*reduc3),FDP_CMD_KG), 2), "")</f>
        <v/>
      </c>
      <c r="AE141" s="544" t="str">
        <f>IF(NOT(ISBLANK([1]BDD!I131)), ROUND(SUM(([1]BDD!G131*reduc1),FDP_FACT_KG), 2), "")</f>
        <v/>
      </c>
      <c r="AF141" s="544" t="str">
        <f>IF(NOT(ISBLANK([1]BDD!J131)), ROUND(SUM(([1]BDD!G131*reduc2),FDP_FACT_KG), 2), "")</f>
        <v/>
      </c>
      <c r="AG141" s="544" t="str">
        <f>IF(NOT(ISBLANK([1]BDD!K131)), ROUND(SUM(([1]BDD!G131*reduc3),FDP_FACT_KG), 2), "")</f>
        <v/>
      </c>
      <c r="AH141" s="599" t="str">
        <f>[1]BDD!C131</f>
        <v>Nouvelle
Zélande</v>
      </c>
      <c r="AI141" s="598">
        <f>SUM(AV141,AY141,BB141,BE141,BH141,BK141,BN141,BQ141,BT141,BW141,BZ141,CC141,CF141,CI141,CL141,CO141,CR141,CU141,CX141,DA141)</f>
        <v>0</v>
      </c>
      <c r="AJ141" s="545">
        <f>_xlfn.IFS($AD141&lt;&gt;"", $AD141,    $AC141&lt;&gt;"", $AC141,    $AB141&lt;&gt;"", $AB141,    TRUE, $Y141)</f>
        <v>10.17</v>
      </c>
      <c r="AK141" s="592">
        <f>$AI141*$AJ141</f>
        <v>0</v>
      </c>
      <c r="AL141" s="594"/>
      <c r="AM141" s="597"/>
      <c r="AN141" s="545">
        <f>_xlfn.IFS(AND(AM141&gt;=60,$AG141&lt;&gt;""), $AG141,    AND(AM141&gt;=30,$AF141&lt;&gt;""), $AF141,    AND(AM141&gt;=10,$AE141&lt;&gt;""), $AE141,    TRUE, $Z141)</f>
        <v>10.17</v>
      </c>
      <c r="AO141" s="596">
        <f>AM141*AN141</f>
        <v>0</v>
      </c>
      <c r="AP141" s="595"/>
      <c r="AQ141" s="595"/>
      <c r="AR141" s="594"/>
      <c r="AS141" s="593">
        <f>SUM(AW141,AZ141,BC141,BF141,BI141,BL141,BO141,BR141,BU141,BX141,CA141,CD141,CG141,CJ141,CM141,CP141,CS141,CV141,CY141,DB141)</f>
        <v>0</v>
      </c>
      <c r="AT141" s="545">
        <f>_xlfn.IFS(AND(AS141&gt;=60,$AG141&lt;&gt;""), $AG141,    AND(AS141&gt;=30,$AF141&lt;&gt;""), $AF141,    AND(AS141&gt;=10,$AE141&lt;&gt;""), $AE141,    TRUE, $Z141)</f>
        <v>10.17</v>
      </c>
      <c r="AU141" s="592">
        <f>$AS141*$AT141</f>
        <v>0</v>
      </c>
      <c r="AV141" s="591">
        <f>[1]COMMANDE!O139</f>
        <v>0</v>
      </c>
      <c r="AW141" s="586" t="str">
        <f>_xlfn.IFS(AND($AI141=$AM141,$AI141&gt;0,$AM141&gt;0,AV141&gt;0), AV141,     AND(NOT($AI141=$AM141),$AI141&gt;0,$AM141&gt;0,AV141&gt;0), ($AM141*AV141)/$AI141,     AND($AI141=0,$AM141&gt;0,$AQ141&gt;0), IF(INDEX(AV$12:AV$263,MATCH($AQ141,$AP$12:$AP$263,0))&gt;0,($AM141*INDEX(AV$12:AV$263,MATCH($AQ141,$AP$12:$AP$263,0)))/INDEX($AI$12:$AI$263,MATCH($AQ141,$AP$12:$AP$263,0)), "-"),     TRUE, "0")</f>
        <v>0</v>
      </c>
      <c r="AX141" s="588">
        <f>IF(AW$9&gt;0, IF(OR(AW141="",AW141="-"), 0, AW141*$AT141), AV141*$AJ141)</f>
        <v>0</v>
      </c>
      <c r="AY141" s="587">
        <f>[1]COMMANDE!Q139</f>
        <v>0</v>
      </c>
      <c r="AZ141" s="586" t="str">
        <f>_xlfn.IFS(AND($AI141=$AM141,$AI141&gt;0,$AM141&gt;0,AY141&gt;0), AY141,     AND(NOT($AI141=$AM141),$AI141&gt;0,$AM141&gt;0,AY141&gt;0), ($AM141*AY141)/$AI141,     AND($AI141=0,$AM141&gt;0,$AQ141&gt;0), IF(INDEX(AY$12:AY$263,MATCH($AQ141,$AP$12:$AP$263,0))&gt;0,($AM141*INDEX(AY$12:AY$263,MATCH($AQ141,$AP$12:$AP$263,0)))/INDEX($AI$12:$AI$263,MATCH($AQ141,$AP$12:$AP$263,0)), "-"),     TRUE, "0")</f>
        <v>0</v>
      </c>
      <c r="BA141" s="607">
        <f>IF(AZ$9&gt;0, IF(OR(AZ141="",AZ141="-"), 0, AZ141*$AT141), AY141*$AJ141)</f>
        <v>0</v>
      </c>
      <c r="BB141" s="589">
        <f>[1]COMMANDE!S139</f>
        <v>0</v>
      </c>
      <c r="BC141" s="586" t="str">
        <f>_xlfn.IFS(AND($AI141=$AM141,$AI141&gt;0,$AM141&gt;0,BB141&gt;0), BB141,     AND(NOT($AI141=$AM141),$AI141&gt;0,$AM141&gt;0,BB141&gt;0), ($AM141*BB141)/$AI141,     AND($AI141=0,$AM141&gt;0,$AQ141&gt;0), IF(INDEX(BB$12:BB$263,MATCH($AQ141,$AP$12:$AP$263,0))&gt;0,($AM141*INDEX(BB$12:BB$263,MATCH($AQ141,$AP$12:$AP$263,0)))/INDEX($AI$12:$AI$263,MATCH($AQ141,$AP$12:$AP$263,0)), "-"),     TRUE, "0")</f>
        <v>0</v>
      </c>
      <c r="BD141" s="588">
        <f>IF(BC$9&gt;0, IF(OR(BC141="",BC141="-"), 0, BC141*$AT141), BB141*$AJ141)</f>
        <v>0</v>
      </c>
      <c r="BE141" s="587">
        <f>[1]COMMANDE!U139</f>
        <v>0</v>
      </c>
      <c r="BF141" s="586" t="str">
        <f>_xlfn.IFS(AND($AI141=$AM141,$AI141&gt;0,$AM141&gt;0,BE141&gt;0), BE141,     AND(NOT($AI141=$AM141),$AI141&gt;0,$AM141&gt;0,BE141&gt;0), ($AM141*BE141)/$AI141,     AND($AI141=0,$AM141&gt;0,$AQ141&gt;0), IF(INDEX(BE$12:BE$263,MATCH($AQ141,$AP$12:$AP$263,0))&gt;0,($AM141*INDEX(BE$12:BE$263,MATCH($AQ141,$AP$12:$AP$263,0)))/INDEX($AI$12:$AI$263,MATCH($AQ141,$AP$12:$AP$263,0)), "-"),     TRUE, "0")</f>
        <v>0</v>
      </c>
      <c r="BG141" s="607">
        <f>IF(BF$9&gt;0, IF(OR(BF141="",BF141="-"), 0, BF141*$AT141), BE141*$AJ141)</f>
        <v>0</v>
      </c>
      <c r="BH141" s="589">
        <f>[1]COMMANDE!W139</f>
        <v>0</v>
      </c>
      <c r="BI141" s="586" t="str">
        <f>_xlfn.IFS(AND($AI141=$AM141,$AI141&gt;0,$AM141&gt;0,BH141&gt;0), BH141,     AND(NOT($AI141=$AM141),$AI141&gt;0,$AM141&gt;0,BH141&gt;0), ($AM141*BH141)/$AI141,     AND($AI141=0,$AM141&gt;0,$AQ141&gt;0), IF(INDEX(BH$12:BH$263,MATCH($AQ141,$AP$12:$AP$263,0))&gt;0,($AM141*INDEX(BH$12:BH$263,MATCH($AQ141,$AP$12:$AP$263,0)))/INDEX($AI$12:$AI$263,MATCH($AQ141,$AP$12:$AP$263,0)), "-"),     TRUE, "0")</f>
        <v>0</v>
      </c>
      <c r="BJ141" s="588">
        <f>IF(BI$9&gt;0, IF(OR(BI141="",BI141="-"), 0, BI141*$AT141), BH141*$AJ141)</f>
        <v>0</v>
      </c>
      <c r="BK141" s="587">
        <f>[1]COMMANDE!Y139</f>
        <v>0</v>
      </c>
      <c r="BL141" s="586" t="str">
        <f>_xlfn.IFS(AND($AI141=$AM141,$AI141&gt;0,$AM141&gt;0,BK141&gt;0), BK141,     AND(NOT($AI141=$AM141),$AI141&gt;0,$AM141&gt;0,BK141&gt;0), ($AM141*BK141)/$AI141,     AND($AI141=0,$AM141&gt;0,$AQ141&gt;0), IF(INDEX(BK$12:BK$263,MATCH($AQ141,$AP$12:$AP$263,0))&gt;0,($AM141*INDEX(BK$12:BK$263,MATCH($AQ141,$AP$12:$AP$263,0)))/INDEX($AI$12:$AI$263,MATCH($AQ141,$AP$12:$AP$263,0)), "-"),     TRUE, "0")</f>
        <v>0</v>
      </c>
      <c r="BM141" s="607">
        <f>IF(BL$9&gt;0, IF(OR(BL141="",BL141="-"), 0, BL141*$AT141), BK141*$AJ141)</f>
        <v>0</v>
      </c>
      <c r="BN141" s="589">
        <f>[1]COMMANDE!AA139</f>
        <v>0</v>
      </c>
      <c r="BO141" s="586" t="str">
        <f>_xlfn.IFS(AND($AI141=$AM141,$AI141&gt;0,$AM141&gt;0,BN141&gt;0), BN141,     AND(NOT($AI141=$AM141),$AI141&gt;0,$AM141&gt;0,BN141&gt;0), ($AM141*BN141)/$AI141,     AND($AI141=0,$AM141&gt;0,$AQ141&gt;0), IF(INDEX(BN$12:BN$263,MATCH($AQ141,$AP$12:$AP$263,0))&gt;0,($AM141*INDEX(BN$12:BN$263,MATCH($AQ141,$AP$12:$AP$263,0)))/INDEX($AI$12:$AI$263,MATCH($AQ141,$AP$12:$AP$263,0)), "-"),     TRUE, "0")</f>
        <v>0</v>
      </c>
      <c r="BP141" s="588">
        <f>IF(BO$9&gt;0, IF(OR(BO141="",BO141="-"), 0, BO141*$AT141), BN141*$AJ141)</f>
        <v>0</v>
      </c>
      <c r="BQ141" s="587">
        <f>[1]COMMANDE!AC139</f>
        <v>0</v>
      </c>
      <c r="BR141" s="586" t="str">
        <f>_xlfn.IFS(AND($AI141=$AM141,$AI141&gt;0,$AM141&gt;0,BQ141&gt;0), BQ141,     AND(NOT($AI141=$AM141),$AI141&gt;0,$AM141&gt;0,BQ141&gt;0), ($AM141*BQ141)/$AI141,     AND($AI141=0,$AM141&gt;0,$AQ141&gt;0), IF(INDEX(BQ$12:BQ$263,MATCH($AQ141,$AP$12:$AP$263,0))&gt;0,($AM141*INDEX(BQ$12:BQ$263,MATCH($AQ141,$AP$12:$AP$263,0)))/INDEX($AI$12:$AI$263,MATCH($AQ141,$AP$12:$AP$263,0)), "-"),     TRUE, "0")</f>
        <v>0</v>
      </c>
      <c r="BS141" s="607">
        <f>IF(BR$9&gt;0, IF(OR(BR141="",BR141="-"), 0, BR141*$AT141), BQ141*$AJ141)</f>
        <v>0</v>
      </c>
      <c r="BT141" s="589">
        <f>[1]COMMANDE!AE139</f>
        <v>0</v>
      </c>
      <c r="BU141" s="586" t="str">
        <f>_xlfn.IFS(AND($AI141=$AM141,$AI141&gt;0,$AM141&gt;0,BT141&gt;0), BT141,     AND(NOT($AI141=$AM141),$AI141&gt;0,$AM141&gt;0,BT141&gt;0), ($AM141*BT141)/$AI141,     AND($AI141=0,$AM141&gt;0,$AQ141&gt;0), IF(INDEX(BT$12:BT$263,MATCH($AQ141,$AP$12:$AP$263,0))&gt;0,($AM141*INDEX(BT$12:BT$263,MATCH($AQ141,$AP$12:$AP$263,0)))/INDEX($AI$12:$AI$263,MATCH($AQ141,$AP$12:$AP$263,0)), "-"),     TRUE, "0")</f>
        <v>0</v>
      </c>
      <c r="BV141" s="588">
        <f>IF(BU$9&gt;0, IF(OR(BU141="",BU141="-"), 0, BU141*$AT141), BT141*$AJ141)</f>
        <v>0</v>
      </c>
      <c r="BW141" s="587">
        <f>[1]COMMANDE!AG139</f>
        <v>0</v>
      </c>
      <c r="BX141" s="586" t="str">
        <f>_xlfn.IFS(AND($AI141=$AM141,$AI141&gt;0,$AM141&gt;0,BW141&gt;0), BW141,     AND(NOT($AI141=$AM141),$AI141&gt;0,$AM141&gt;0,BW141&gt;0), ($AM141*BW141)/$AI141,     AND($AI141=0,$AM141&gt;0,$AQ141&gt;0), IF(INDEX(BW$12:BW$263,MATCH($AQ141,$AP$12:$AP$263,0))&gt;0,($AM141*INDEX(BW$12:BW$263,MATCH($AQ141,$AP$12:$AP$263,0)))/INDEX($AI$12:$AI$263,MATCH($AQ141,$AP$12:$AP$263,0)), "-"),     TRUE, "0")</f>
        <v>0</v>
      </c>
      <c r="BY141" s="607">
        <f>IF(BX$9&gt;0, IF(OR(BX141="",BX141="-"), 0, BX141*$AT141), BW141*$AJ141)</f>
        <v>0</v>
      </c>
      <c r="BZ141" s="589">
        <f>[1]COMMANDE!AI139</f>
        <v>0</v>
      </c>
      <c r="CA141" s="586" t="str">
        <f>_xlfn.IFS(AND($AI141=$AM141,$AI141&gt;0,$AM141&gt;0,BZ141&gt;0), BZ141,     AND(NOT($AI141=$AM141),$AI141&gt;0,$AM141&gt;0,BZ141&gt;0), ($AM141*BZ141)/$AI141,     AND($AI141=0,$AM141&gt;0,$AQ141&gt;0), IF(INDEX(BZ$12:BZ$263,MATCH($AQ141,$AP$12:$AP$263,0))&gt;0,($AM141*INDEX(BZ$12:BZ$263,MATCH($AQ141,$AP$12:$AP$263,0)))/INDEX($AI$12:$AI$263,MATCH($AQ141,$AP$12:$AP$263,0)), "-"),     TRUE, "0")</f>
        <v>0</v>
      </c>
      <c r="CB141" s="588">
        <f>IF(CA$9&gt;0, IF(OR(CA141="",CA141="-"), 0, CA141*$AT141), BZ141*$AJ141)</f>
        <v>0</v>
      </c>
      <c r="CC141" s="587">
        <f>[1]COMMANDE!AK139</f>
        <v>0</v>
      </c>
      <c r="CD141" s="586" t="str">
        <f>_xlfn.IFS(AND($AI141=$AM141,$AI141&gt;0,$AM141&gt;0,CC141&gt;0), CC141,     AND(NOT($AI141=$AM141),$AI141&gt;0,$AM141&gt;0,CC141&gt;0), ($AM141*CC141)/$AI141,     AND($AI141=0,$AM141&gt;0,$AQ141&gt;0), IF(INDEX(CC$12:CC$263,MATCH($AQ141,$AP$12:$AP$263,0))&gt;0,($AM141*INDEX(CC$12:CC$263,MATCH($AQ141,$AP$12:$AP$263,0)))/INDEX($AI$12:$AI$263,MATCH($AQ141,$AP$12:$AP$263,0)), "-"),     TRUE, "0")</f>
        <v>0</v>
      </c>
      <c r="CE141" s="607">
        <f>IF(CD$9&gt;0, IF(OR(CD141="",CD141="-"), 0, CD141*$AT141), CC141*$AJ141)</f>
        <v>0</v>
      </c>
      <c r="CF141" s="589">
        <f>[1]COMMANDE!AM139</f>
        <v>0</v>
      </c>
      <c r="CG141" s="586" t="str">
        <f>_xlfn.IFS(AND($AI141=$AM141,$AI141&gt;0,$AM141&gt;0,CF141&gt;0), CF141,     AND(NOT($AI141=$AM141),$AI141&gt;0,$AM141&gt;0,CF141&gt;0), ($AM141*CF141)/$AI141,     AND($AI141=0,$AM141&gt;0,$AQ141&gt;0), IF(INDEX(CF$12:CF$263,MATCH($AQ141,$AP$12:$AP$263,0))&gt;0,($AM141*INDEX(CF$12:CF$263,MATCH($AQ141,$AP$12:$AP$263,0)))/INDEX($AI$12:$AI$263,MATCH($AQ141,$AP$12:$AP$263,0)), "-"),     TRUE, "0")</f>
        <v>0</v>
      </c>
      <c r="CH141" s="588">
        <f>IF(CG$9&gt;0, IF(OR(CG141="",CG141="-"), 0, CG141*$AT141), CF141*$AJ141)</f>
        <v>0</v>
      </c>
      <c r="CI141" s="587">
        <f>[1]COMMANDE!AO139</f>
        <v>0</v>
      </c>
      <c r="CJ141" s="586" t="str">
        <f>_xlfn.IFS(AND($AI141=$AM141,$AI141&gt;0,$AM141&gt;0,CI141&gt;0), CI141,     AND(NOT($AI141=$AM141),$AI141&gt;0,$AM141&gt;0,CI141&gt;0), ($AM141*CI141)/$AI141,     AND($AI141=0,$AM141&gt;0,$AQ141&gt;0), IF(INDEX(CI$12:CI$263,MATCH($AQ141,$AP$12:$AP$263,0))&gt;0,($AM141*INDEX(CI$12:CI$263,MATCH($AQ141,$AP$12:$AP$263,0)))/INDEX($AI$12:$AI$263,MATCH($AQ141,$AP$12:$AP$263,0)), "-"),     TRUE, "0")</f>
        <v>0</v>
      </c>
      <c r="CK141" s="607">
        <f>IF(CJ$9&gt;0, IF(OR(CJ141="",CJ141="-"), 0, CJ141*$AT141), CI141*$AJ141)</f>
        <v>0</v>
      </c>
      <c r="CL141" s="589">
        <f>[1]COMMANDE!AQ139</f>
        <v>0</v>
      </c>
      <c r="CM141" s="586" t="str">
        <f>_xlfn.IFS(AND($AI141=$AM141,$AI141&gt;0,$AM141&gt;0,CL141&gt;0), CL141,     AND(NOT($AI141=$AM141),$AI141&gt;0,$AM141&gt;0,CL141&gt;0), ($AM141*CL141)/$AI141,     AND($AI141=0,$AM141&gt;0,$AQ141&gt;0), IF(INDEX(CL$12:CL$263,MATCH($AQ141,$AP$12:$AP$263,0))&gt;0,($AM141*INDEX(CL$12:CL$263,MATCH($AQ141,$AP$12:$AP$263,0)))/INDEX($AI$12:$AI$263,MATCH($AQ141,$AP$12:$AP$263,0)), "-"),     TRUE, "0")</f>
        <v>0</v>
      </c>
      <c r="CN141" s="588">
        <f>IF(CM$9&gt;0, IF(OR(CM141="",CM141="-"), 0, CM141*$AT141), CL141*$AJ141)</f>
        <v>0</v>
      </c>
      <c r="CO141" s="587">
        <f>[1]COMMANDE!AS139</f>
        <v>0</v>
      </c>
      <c r="CP141" s="586" t="str">
        <f>_xlfn.IFS(AND($AI141=$AM141,$AI141&gt;0,$AM141&gt;0,CO141&gt;0), CO141,     AND(NOT($AI141=$AM141),$AI141&gt;0,$AM141&gt;0,CO141&gt;0), ($AM141*CO141)/$AI141,     AND($AI141=0,$AM141&gt;0,$AQ141&gt;0), IF(INDEX(CO$12:CO$263,MATCH($AQ141,$AP$12:$AP$263,0))&gt;0,($AM141*INDEX(CO$12:CO$263,MATCH($AQ141,$AP$12:$AP$263,0)))/INDEX($AI$12:$AI$263,MATCH($AQ141,$AP$12:$AP$263,0)), "-"),     TRUE, "0")</f>
        <v>0</v>
      </c>
      <c r="CQ141" s="607">
        <f>IF(CP$9&gt;0, IF(OR(CP141="",CP141="-"), 0, CP141*$AT141), CO141*$AJ141)</f>
        <v>0</v>
      </c>
      <c r="CR141" s="589">
        <f>[1]COMMANDE!AU139</f>
        <v>0</v>
      </c>
      <c r="CS141" s="586" t="str">
        <f>_xlfn.IFS(AND($AI141=$AM141,$AI141&gt;0,$AM141&gt;0,CR141&gt;0), CR141,     AND(NOT($AI141=$AM141),$AI141&gt;0,$AM141&gt;0,CR141&gt;0), ($AM141*CR141)/$AI141,     AND($AI141=0,$AM141&gt;0,$AQ141&gt;0), IF(INDEX(CR$12:CR$263,MATCH($AQ141,$AP$12:$AP$263,0))&gt;0,($AM141*INDEX(CR$12:CR$263,MATCH($AQ141,$AP$12:$AP$263,0)))/INDEX($AI$12:$AI$263,MATCH($AQ141,$AP$12:$AP$263,0)), "-"),     TRUE, "0")</f>
        <v>0</v>
      </c>
      <c r="CT141" s="588">
        <f>IF(CS$9&gt;0, IF(OR(CS141="",CS141="-"), 0, CS141*$AT141), CR141*$AJ141)</f>
        <v>0</v>
      </c>
      <c r="CU141" s="587">
        <f>[1]COMMANDE!AW139</f>
        <v>0</v>
      </c>
      <c r="CV141" s="586" t="str">
        <f>_xlfn.IFS(AND($AI141=$AM141,$AI141&gt;0,$AM141&gt;0,CU141&gt;0), CU141,     AND(NOT($AI141=$AM141),$AI141&gt;0,$AM141&gt;0,CU141&gt;0), ($AM141*CU141)/$AI141,     AND($AI141=0,$AM141&gt;0,$AQ141&gt;0), IF(INDEX(CU$12:CU$263,MATCH($AQ141,$AP$12:$AP$263,0))&gt;0,($AM141*INDEX(CU$12:CU$263,MATCH($AQ141,$AP$12:$AP$263,0)))/INDEX($AI$12:$AI$263,MATCH($AQ141,$AP$12:$AP$263,0)), "-"),     TRUE, "0")</f>
        <v>0</v>
      </c>
      <c r="CW141" s="607">
        <f>IF(CV$9&gt;0, IF(OR(CV141="",CV141="-"), 0, CV141*$AT141), CU141*$AJ141)</f>
        <v>0</v>
      </c>
      <c r="CX141" s="589">
        <f>[1]COMMANDE!AY139</f>
        <v>0</v>
      </c>
      <c r="CY141" s="586" t="str">
        <f>_xlfn.IFS(AND($AI141=$AM141,$AI141&gt;0,$AM141&gt;0,CX141&gt;0), CX141,     AND(NOT($AI141=$AM141),$AI141&gt;0,$AM141&gt;0,CX141&gt;0), ($AM141*CX141)/$AI141,     AND($AI141=0,$AM141&gt;0,$AQ141&gt;0), IF(INDEX(CX$12:CX$263,MATCH($AQ141,$AP$12:$AP$263,0))&gt;0,($AM141*INDEX(CX$12:CX$263,MATCH($AQ141,$AP$12:$AP$263,0)))/INDEX($AI$12:$AI$263,MATCH($AQ141,$AP$12:$AP$263,0)), "-"),     TRUE, "0")</f>
        <v>0</v>
      </c>
      <c r="CZ141" s="588">
        <f>IF(CY$9&gt;0, IF(OR(CY141="",CY141="-"), 0, CY141*$AT141), CX141*$AJ141)</f>
        <v>0</v>
      </c>
      <c r="DA141" s="587">
        <f>[1]COMMANDE!BA139</f>
        <v>0</v>
      </c>
      <c r="DB141" s="586" t="str">
        <f>_xlfn.IFS(AND($AI141=$AM141,$AI141&gt;0,$AM141&gt;0,DA141&gt;0), DA141,     AND(NOT($AI141=$AM141),$AI141&gt;0,$AM141&gt;0,DA141&gt;0), ($AM141*DA141)/$AI141,     AND($AI141=0,$AM141&gt;0,$AQ141&gt;0), IF(INDEX(DA$12:DA$263,MATCH($AQ141,$AP$12:$AP$263,0))&gt;0,($AM141*INDEX(DA$12:DA$263,MATCH($AQ141,$AP$12:$AP$263,0)))/INDEX($AI$12:$AI$263,MATCH($AQ141,$AP$12:$AP$263,0)), "-"),     TRUE, "0")</f>
        <v>0</v>
      </c>
      <c r="DC141" s="606">
        <f>IF(DB$9&gt;0, IF(OR(DB141="",DB141="-"), 0, DB141*$AT141), DA141*$AJ141)</f>
        <v>0</v>
      </c>
      <c r="DD141" s="584"/>
      <c r="DE141" s="583"/>
    </row>
    <row r="142" spans="1:128" ht="39.950000000000003" hidden="1" customHeight="1">
      <c r="A142" s="604">
        <f>IF(OR($AV142&gt;0, $AX142&gt;0), 1, 0)</f>
        <v>0</v>
      </c>
      <c r="B142" s="604">
        <f>IF(OR($AY142&gt;0, $BA142&gt;0), 1, 0)</f>
        <v>0</v>
      </c>
      <c r="C142" s="604">
        <f>IF(OR($BB142&gt;0, $BD142&gt;0), 1, 0)</f>
        <v>0</v>
      </c>
      <c r="D142" s="604">
        <f>IF(OR($BE142&gt;0, $BG142&gt;0), 1, 0)</f>
        <v>0</v>
      </c>
      <c r="E142" s="604">
        <f>IF(OR($BH142&gt;0, $BJ142&gt;0), 1, 0)</f>
        <v>0</v>
      </c>
      <c r="F142" s="604">
        <f>IF(OR($BK142&gt;0, $BM142&gt;0), 1, 0)</f>
        <v>0</v>
      </c>
      <c r="G142" s="604">
        <f>IF(OR($BN142&gt;0, $BP142&gt;0), 1, 0)</f>
        <v>0</v>
      </c>
      <c r="H142" s="604">
        <f>IF(OR($BQ142&gt;0, $BS142&gt;0), 1, 0)</f>
        <v>0</v>
      </c>
      <c r="I142" s="604">
        <f>IF(OR($BT142&gt;0, $BV142&gt;0), 1, 0)</f>
        <v>0</v>
      </c>
      <c r="J142" s="604">
        <f>IF(OR($BW142&gt;0, $BY142&gt;0), 1, 0)</f>
        <v>0</v>
      </c>
      <c r="K142" s="604">
        <f>IF(OR($BZ142&gt;0, $CB142&gt;0), 1, 0)</f>
        <v>0</v>
      </c>
      <c r="L142" s="604">
        <f>IF(OR($CC142&gt;0, $CE142&gt;0), 1, 0)</f>
        <v>0</v>
      </c>
      <c r="M142" s="604">
        <f>IF(OR($CF142&gt;0, $CH142&gt;0), 1, 0)</f>
        <v>0</v>
      </c>
      <c r="N142" s="604">
        <f>IF(OR($CI142&gt;0, $CK142&gt;0), 1, 0)</f>
        <v>0</v>
      </c>
      <c r="O142" s="604">
        <f>IF(OR($CL142&gt;0, $CN142&gt;0), 1, 0)</f>
        <v>0</v>
      </c>
      <c r="P142" s="604">
        <f>IF(OR($CO142&gt;0, $CQ142&gt;0), 1, 0)</f>
        <v>0</v>
      </c>
      <c r="Q142" s="604">
        <f>IF(OR($CR142&gt;0, $CT142&gt;0), 1, 0)</f>
        <v>0</v>
      </c>
      <c r="R142" s="604">
        <f>IF(OR($CU142&gt;0, $CW142&gt;0), 1, 0)</f>
        <v>0</v>
      </c>
      <c r="S142" s="604">
        <f>IF(OR($CX142&gt;0, $CZ142&gt;0), 1, 0)</f>
        <v>0</v>
      </c>
      <c r="T142" s="604">
        <f>IF(OR($DA142&gt;0, $DC142&gt;0), 1, 0)</f>
        <v>0</v>
      </c>
      <c r="U142" s="603">
        <f>IF(OR($AI142&gt;0,$AM142&gt;0,$AS142&gt;0), 1, 0)</f>
        <v>0</v>
      </c>
      <c r="V142" s="602">
        <f>[1]BDD!A132</f>
        <v>6093</v>
      </c>
      <c r="W142" s="601" t="str">
        <f>[1]BDD!B132</f>
        <v xml:space="preserve">Kombucha océanique (spiruline et citron) BIO Viver (env. 500ml en verre) </v>
      </c>
      <c r="X142" s="600" t="str">
        <f>IF([1]BDD!F132=0, "", [1]BDD!F132)</f>
        <v/>
      </c>
      <c r="Y142" s="542">
        <f>ROUND([1]BDD!G132+FDP_CMD_KG, 2)</f>
        <v>6.2</v>
      </c>
      <c r="Z142" s="542">
        <f>ROUND([1]BDD!G132+FDP_FACT_KG, 2)</f>
        <v>6.2</v>
      </c>
      <c r="AA142" s="543" t="str">
        <f>[1]BDD!H132</f>
        <v>Pièce</v>
      </c>
      <c r="AB142" s="544" t="str">
        <f>IF(NOT(ISBLANK([1]BDD!I132)), ROUND(SUM(([1]BDD!G132*reduc1),FDP_CMD_KG), 2), "")</f>
        <v/>
      </c>
      <c r="AC142" s="544" t="str">
        <f>IF(NOT(ISBLANK([1]BDD!J132)), ROUND(SUM(([1]BDD!G132*reduc2),FDP_CMD_KG), 2), "")</f>
        <v/>
      </c>
      <c r="AD142" s="544" t="str">
        <f>IF(NOT(ISBLANK([1]BDD!K132)), ROUND(SUM(([1]BDD!G132*reduc3),FDP_CMD_KG), 2), "")</f>
        <v/>
      </c>
      <c r="AE142" s="544" t="str">
        <f>IF(NOT(ISBLANK([1]BDD!I132)), ROUND(SUM(([1]BDD!G132*reduc1),FDP_FACT_KG), 2), "")</f>
        <v/>
      </c>
      <c r="AF142" s="544" t="str">
        <f>IF(NOT(ISBLANK([1]BDD!J132)), ROUND(SUM(([1]BDD!G132*reduc2),FDP_FACT_KG), 2), "")</f>
        <v/>
      </c>
      <c r="AG142" s="544" t="str">
        <f>IF(NOT(ISBLANK([1]BDD!K132)), ROUND(SUM(([1]BDD!G132*reduc3),FDP_FACT_KG), 2), "")</f>
        <v/>
      </c>
      <c r="AH142" s="599" t="str">
        <f>[1]BDD!C132</f>
        <v>Grenade</v>
      </c>
      <c r="AI142" s="598">
        <f>SUM(AV142,AY142,BB142,BE142,BH142,BK142,BN142,BQ142,BT142,BW142,BZ142,CC142,CF142,CI142,CL142,CO142,CR142,CU142,CX142,DA142)</f>
        <v>0</v>
      </c>
      <c r="AJ142" s="545">
        <f>_xlfn.IFS($AD142&lt;&gt;"", $AD142,    $AC142&lt;&gt;"", $AC142,    $AB142&lt;&gt;"", $AB142,    TRUE, $Y142)</f>
        <v>6.2</v>
      </c>
      <c r="AK142" s="592">
        <f>$AI142*$AJ142</f>
        <v>0</v>
      </c>
      <c r="AL142" s="594"/>
      <c r="AM142" s="597"/>
      <c r="AN142" s="545">
        <f>_xlfn.IFS(AND(AM142&gt;=60,$AG142&lt;&gt;""), $AG142,    AND(AM142&gt;=30,$AF142&lt;&gt;""), $AF142,    AND(AM142&gt;=10,$AE142&lt;&gt;""), $AE142,    TRUE, $Z142)</f>
        <v>6.2</v>
      </c>
      <c r="AO142" s="596">
        <f>AM142*AN142</f>
        <v>0</v>
      </c>
      <c r="AP142" s="595"/>
      <c r="AQ142" s="595"/>
      <c r="AR142" s="594"/>
      <c r="AS142" s="593">
        <f>SUM(AW142,AZ142,BC142,BF142,BI142,BL142,BO142,BR142,BU142,BX142,CA142,CD142,CG142,CJ142,CM142,CP142,CS142,CV142,CY142,DB142)</f>
        <v>0</v>
      </c>
      <c r="AT142" s="545">
        <f>_xlfn.IFS(AND(AS142&gt;=60,$AG142&lt;&gt;""), $AG142,    AND(AS142&gt;=30,$AF142&lt;&gt;""), $AF142,    AND(AS142&gt;=10,$AE142&lt;&gt;""), $AE142,    TRUE, $Z142)</f>
        <v>6.2</v>
      </c>
      <c r="AU142" s="592">
        <f>$AS142*$AT142</f>
        <v>0</v>
      </c>
      <c r="AV142" s="591">
        <f>[1]COMMANDE!O140</f>
        <v>0</v>
      </c>
      <c r="AW142" s="586" t="str">
        <f>_xlfn.IFS(AND($AI142=$AM142,$AI142&gt;0,$AM142&gt;0,AV142&gt;0), AV142,     AND(NOT($AI142=$AM142),$AI142&gt;0,$AM142&gt;0,AV142&gt;0), ($AM142*AV142)/$AI142,     AND($AI142=0,$AM142&gt;0,$AQ142&gt;0), IF(INDEX(AV$12:AV$263,MATCH($AQ142,$AP$12:$AP$263,0))&gt;0,($AM142*INDEX(AV$12:AV$263,MATCH($AQ142,$AP$12:$AP$263,0)))/INDEX($AI$12:$AI$263,MATCH($AQ142,$AP$12:$AP$263,0)), "-"),     TRUE, "0")</f>
        <v>0</v>
      </c>
      <c r="AX142" s="588">
        <f>IF(AW$9&gt;0, IF(OR(AW142="",AW142="-"), 0, AW142*$AT142), AV142*$AJ142)</f>
        <v>0</v>
      </c>
      <c r="AY142" s="587">
        <f>[1]COMMANDE!Q140</f>
        <v>0</v>
      </c>
      <c r="AZ142" s="586" t="str">
        <f>_xlfn.IFS(AND($AI142=$AM142,$AI142&gt;0,$AM142&gt;0,AY142&gt;0), AY142,     AND(NOT($AI142=$AM142),$AI142&gt;0,$AM142&gt;0,AY142&gt;0), ($AM142*AY142)/$AI142,     AND($AI142=0,$AM142&gt;0,$AQ142&gt;0), IF(INDEX(AY$12:AY$263,MATCH($AQ142,$AP$12:$AP$263,0))&gt;0,($AM142*INDEX(AY$12:AY$263,MATCH($AQ142,$AP$12:$AP$263,0)))/INDEX($AI$12:$AI$263,MATCH($AQ142,$AP$12:$AP$263,0)), "-"),     TRUE, "0")</f>
        <v>0</v>
      </c>
      <c r="BA142" s="607">
        <f>IF(AZ$9&gt;0, IF(OR(AZ142="",AZ142="-"), 0, AZ142*$AT142), AY142*$AJ142)</f>
        <v>0</v>
      </c>
      <c r="BB142" s="589">
        <f>[1]COMMANDE!S140</f>
        <v>0</v>
      </c>
      <c r="BC142" s="586" t="str">
        <f>_xlfn.IFS(AND($AI142=$AM142,$AI142&gt;0,$AM142&gt;0,BB142&gt;0), BB142,     AND(NOT($AI142=$AM142),$AI142&gt;0,$AM142&gt;0,BB142&gt;0), ($AM142*BB142)/$AI142,     AND($AI142=0,$AM142&gt;0,$AQ142&gt;0), IF(INDEX(BB$12:BB$263,MATCH($AQ142,$AP$12:$AP$263,0))&gt;0,($AM142*INDEX(BB$12:BB$263,MATCH($AQ142,$AP$12:$AP$263,0)))/INDEX($AI$12:$AI$263,MATCH($AQ142,$AP$12:$AP$263,0)), "-"),     TRUE, "0")</f>
        <v>0</v>
      </c>
      <c r="BD142" s="588">
        <f>IF(BC$9&gt;0, IF(OR(BC142="",BC142="-"), 0, BC142*$AT142), BB142*$AJ142)</f>
        <v>0</v>
      </c>
      <c r="BE142" s="587">
        <f>[1]COMMANDE!U140</f>
        <v>0</v>
      </c>
      <c r="BF142" s="586" t="str">
        <f>_xlfn.IFS(AND($AI142=$AM142,$AI142&gt;0,$AM142&gt;0,BE142&gt;0), BE142,     AND(NOT($AI142=$AM142),$AI142&gt;0,$AM142&gt;0,BE142&gt;0), ($AM142*BE142)/$AI142,     AND($AI142=0,$AM142&gt;0,$AQ142&gt;0), IF(INDEX(BE$12:BE$263,MATCH($AQ142,$AP$12:$AP$263,0))&gt;0,($AM142*INDEX(BE$12:BE$263,MATCH($AQ142,$AP$12:$AP$263,0)))/INDEX($AI$12:$AI$263,MATCH($AQ142,$AP$12:$AP$263,0)), "-"),     TRUE, "0")</f>
        <v>0</v>
      </c>
      <c r="BG142" s="607">
        <f>IF(BF$9&gt;0, IF(OR(BF142="",BF142="-"), 0, BF142*$AT142), BE142*$AJ142)</f>
        <v>0</v>
      </c>
      <c r="BH142" s="589">
        <f>[1]COMMANDE!W140</f>
        <v>0</v>
      </c>
      <c r="BI142" s="586" t="str">
        <f>_xlfn.IFS(AND($AI142=$AM142,$AI142&gt;0,$AM142&gt;0,BH142&gt;0), BH142,     AND(NOT($AI142=$AM142),$AI142&gt;0,$AM142&gt;0,BH142&gt;0), ($AM142*BH142)/$AI142,     AND($AI142=0,$AM142&gt;0,$AQ142&gt;0), IF(INDEX(BH$12:BH$263,MATCH($AQ142,$AP$12:$AP$263,0))&gt;0,($AM142*INDEX(BH$12:BH$263,MATCH($AQ142,$AP$12:$AP$263,0)))/INDEX($AI$12:$AI$263,MATCH($AQ142,$AP$12:$AP$263,0)), "-"),     TRUE, "0")</f>
        <v>0</v>
      </c>
      <c r="BJ142" s="588">
        <f>IF(BI$9&gt;0, IF(OR(BI142="",BI142="-"), 0, BI142*$AT142), BH142*$AJ142)</f>
        <v>0</v>
      </c>
      <c r="BK142" s="587">
        <f>[1]COMMANDE!Y140</f>
        <v>0</v>
      </c>
      <c r="BL142" s="586" t="str">
        <f>_xlfn.IFS(AND($AI142=$AM142,$AI142&gt;0,$AM142&gt;0,BK142&gt;0), BK142,     AND(NOT($AI142=$AM142),$AI142&gt;0,$AM142&gt;0,BK142&gt;0), ($AM142*BK142)/$AI142,     AND($AI142=0,$AM142&gt;0,$AQ142&gt;0), IF(INDEX(BK$12:BK$263,MATCH($AQ142,$AP$12:$AP$263,0))&gt;0,($AM142*INDEX(BK$12:BK$263,MATCH($AQ142,$AP$12:$AP$263,0)))/INDEX($AI$12:$AI$263,MATCH($AQ142,$AP$12:$AP$263,0)), "-"),     TRUE, "0")</f>
        <v>0</v>
      </c>
      <c r="BM142" s="607">
        <f>IF(BL$9&gt;0, IF(OR(BL142="",BL142="-"), 0, BL142*$AT142), BK142*$AJ142)</f>
        <v>0</v>
      </c>
      <c r="BN142" s="589">
        <f>[1]COMMANDE!AA140</f>
        <v>0</v>
      </c>
      <c r="BO142" s="586" t="str">
        <f>_xlfn.IFS(AND($AI142=$AM142,$AI142&gt;0,$AM142&gt;0,BN142&gt;0), BN142,     AND(NOT($AI142=$AM142),$AI142&gt;0,$AM142&gt;0,BN142&gt;0), ($AM142*BN142)/$AI142,     AND($AI142=0,$AM142&gt;0,$AQ142&gt;0), IF(INDEX(BN$12:BN$263,MATCH($AQ142,$AP$12:$AP$263,0))&gt;0,($AM142*INDEX(BN$12:BN$263,MATCH($AQ142,$AP$12:$AP$263,0)))/INDEX($AI$12:$AI$263,MATCH($AQ142,$AP$12:$AP$263,0)), "-"),     TRUE, "0")</f>
        <v>0</v>
      </c>
      <c r="BP142" s="588">
        <f>IF(BO$9&gt;0, IF(OR(BO142="",BO142="-"), 0, BO142*$AT142), BN142*$AJ142)</f>
        <v>0</v>
      </c>
      <c r="BQ142" s="587">
        <f>[1]COMMANDE!AC140</f>
        <v>0</v>
      </c>
      <c r="BR142" s="586" t="str">
        <f>_xlfn.IFS(AND($AI142=$AM142,$AI142&gt;0,$AM142&gt;0,BQ142&gt;0), BQ142,     AND(NOT($AI142=$AM142),$AI142&gt;0,$AM142&gt;0,BQ142&gt;0), ($AM142*BQ142)/$AI142,     AND($AI142=0,$AM142&gt;0,$AQ142&gt;0), IF(INDEX(BQ$12:BQ$263,MATCH($AQ142,$AP$12:$AP$263,0))&gt;0,($AM142*INDEX(BQ$12:BQ$263,MATCH($AQ142,$AP$12:$AP$263,0)))/INDEX($AI$12:$AI$263,MATCH($AQ142,$AP$12:$AP$263,0)), "-"),     TRUE, "0")</f>
        <v>0</v>
      </c>
      <c r="BS142" s="607">
        <f>IF(BR$9&gt;0, IF(OR(BR142="",BR142="-"), 0, BR142*$AT142), BQ142*$AJ142)</f>
        <v>0</v>
      </c>
      <c r="BT142" s="589">
        <f>[1]COMMANDE!AE140</f>
        <v>0</v>
      </c>
      <c r="BU142" s="586" t="str">
        <f>_xlfn.IFS(AND($AI142=$AM142,$AI142&gt;0,$AM142&gt;0,BT142&gt;0), BT142,     AND(NOT($AI142=$AM142),$AI142&gt;0,$AM142&gt;0,BT142&gt;0), ($AM142*BT142)/$AI142,     AND($AI142=0,$AM142&gt;0,$AQ142&gt;0), IF(INDEX(BT$12:BT$263,MATCH($AQ142,$AP$12:$AP$263,0))&gt;0,($AM142*INDEX(BT$12:BT$263,MATCH($AQ142,$AP$12:$AP$263,0)))/INDEX($AI$12:$AI$263,MATCH($AQ142,$AP$12:$AP$263,0)), "-"),     TRUE, "0")</f>
        <v>0</v>
      </c>
      <c r="BV142" s="588">
        <f>IF(BU$9&gt;0, IF(OR(BU142="",BU142="-"), 0, BU142*$AT142), BT142*$AJ142)</f>
        <v>0</v>
      </c>
      <c r="BW142" s="587">
        <f>[1]COMMANDE!AG140</f>
        <v>0</v>
      </c>
      <c r="BX142" s="586" t="str">
        <f>_xlfn.IFS(AND($AI142=$AM142,$AI142&gt;0,$AM142&gt;0,BW142&gt;0), BW142,     AND(NOT($AI142=$AM142),$AI142&gt;0,$AM142&gt;0,BW142&gt;0), ($AM142*BW142)/$AI142,     AND($AI142=0,$AM142&gt;0,$AQ142&gt;0), IF(INDEX(BW$12:BW$263,MATCH($AQ142,$AP$12:$AP$263,0))&gt;0,($AM142*INDEX(BW$12:BW$263,MATCH($AQ142,$AP$12:$AP$263,0)))/INDEX($AI$12:$AI$263,MATCH($AQ142,$AP$12:$AP$263,0)), "-"),     TRUE, "0")</f>
        <v>0</v>
      </c>
      <c r="BY142" s="607">
        <f>IF(BX$9&gt;0, IF(OR(BX142="",BX142="-"), 0, BX142*$AT142), BW142*$AJ142)</f>
        <v>0</v>
      </c>
      <c r="BZ142" s="589">
        <f>[1]COMMANDE!AI140</f>
        <v>0</v>
      </c>
      <c r="CA142" s="586" t="str">
        <f>_xlfn.IFS(AND($AI142=$AM142,$AI142&gt;0,$AM142&gt;0,BZ142&gt;0), BZ142,     AND(NOT($AI142=$AM142),$AI142&gt;0,$AM142&gt;0,BZ142&gt;0), ($AM142*BZ142)/$AI142,     AND($AI142=0,$AM142&gt;0,$AQ142&gt;0), IF(INDEX(BZ$12:BZ$263,MATCH($AQ142,$AP$12:$AP$263,0))&gt;0,($AM142*INDEX(BZ$12:BZ$263,MATCH($AQ142,$AP$12:$AP$263,0)))/INDEX($AI$12:$AI$263,MATCH($AQ142,$AP$12:$AP$263,0)), "-"),     TRUE, "0")</f>
        <v>0</v>
      </c>
      <c r="CB142" s="588">
        <f>IF(CA$9&gt;0, IF(OR(CA142="",CA142="-"), 0, CA142*$AT142), BZ142*$AJ142)</f>
        <v>0</v>
      </c>
      <c r="CC142" s="587">
        <f>[1]COMMANDE!AK140</f>
        <v>0</v>
      </c>
      <c r="CD142" s="586" t="str">
        <f>_xlfn.IFS(AND($AI142=$AM142,$AI142&gt;0,$AM142&gt;0,CC142&gt;0), CC142,     AND(NOT($AI142=$AM142),$AI142&gt;0,$AM142&gt;0,CC142&gt;0), ($AM142*CC142)/$AI142,     AND($AI142=0,$AM142&gt;0,$AQ142&gt;0), IF(INDEX(CC$12:CC$263,MATCH($AQ142,$AP$12:$AP$263,0))&gt;0,($AM142*INDEX(CC$12:CC$263,MATCH($AQ142,$AP$12:$AP$263,0)))/INDEX($AI$12:$AI$263,MATCH($AQ142,$AP$12:$AP$263,0)), "-"),     TRUE, "0")</f>
        <v>0</v>
      </c>
      <c r="CE142" s="607">
        <f>IF(CD$9&gt;0, IF(OR(CD142="",CD142="-"), 0, CD142*$AT142), CC142*$AJ142)</f>
        <v>0</v>
      </c>
      <c r="CF142" s="589">
        <f>[1]COMMANDE!AM140</f>
        <v>0</v>
      </c>
      <c r="CG142" s="586" t="str">
        <f>_xlfn.IFS(AND($AI142=$AM142,$AI142&gt;0,$AM142&gt;0,CF142&gt;0), CF142,     AND(NOT($AI142=$AM142),$AI142&gt;0,$AM142&gt;0,CF142&gt;0), ($AM142*CF142)/$AI142,     AND($AI142=0,$AM142&gt;0,$AQ142&gt;0), IF(INDEX(CF$12:CF$263,MATCH($AQ142,$AP$12:$AP$263,0))&gt;0,($AM142*INDEX(CF$12:CF$263,MATCH($AQ142,$AP$12:$AP$263,0)))/INDEX($AI$12:$AI$263,MATCH($AQ142,$AP$12:$AP$263,0)), "-"),     TRUE, "0")</f>
        <v>0</v>
      </c>
      <c r="CH142" s="588">
        <f>IF(CG$9&gt;0, IF(OR(CG142="",CG142="-"), 0, CG142*$AT142), CF142*$AJ142)</f>
        <v>0</v>
      </c>
      <c r="CI142" s="587">
        <f>[1]COMMANDE!AO140</f>
        <v>0</v>
      </c>
      <c r="CJ142" s="586" t="str">
        <f>_xlfn.IFS(AND($AI142=$AM142,$AI142&gt;0,$AM142&gt;0,CI142&gt;0), CI142,     AND(NOT($AI142=$AM142),$AI142&gt;0,$AM142&gt;0,CI142&gt;0), ($AM142*CI142)/$AI142,     AND($AI142=0,$AM142&gt;0,$AQ142&gt;0), IF(INDEX(CI$12:CI$263,MATCH($AQ142,$AP$12:$AP$263,0))&gt;0,($AM142*INDEX(CI$12:CI$263,MATCH($AQ142,$AP$12:$AP$263,0)))/INDEX($AI$12:$AI$263,MATCH($AQ142,$AP$12:$AP$263,0)), "-"),     TRUE, "0")</f>
        <v>0</v>
      </c>
      <c r="CK142" s="607">
        <f>IF(CJ$9&gt;0, IF(OR(CJ142="",CJ142="-"), 0, CJ142*$AT142), CI142*$AJ142)</f>
        <v>0</v>
      </c>
      <c r="CL142" s="589">
        <f>[1]COMMANDE!AQ140</f>
        <v>0</v>
      </c>
      <c r="CM142" s="586" t="str">
        <f>_xlfn.IFS(AND($AI142=$AM142,$AI142&gt;0,$AM142&gt;0,CL142&gt;0), CL142,     AND(NOT($AI142=$AM142),$AI142&gt;0,$AM142&gt;0,CL142&gt;0), ($AM142*CL142)/$AI142,     AND($AI142=0,$AM142&gt;0,$AQ142&gt;0), IF(INDEX(CL$12:CL$263,MATCH($AQ142,$AP$12:$AP$263,0))&gt;0,($AM142*INDEX(CL$12:CL$263,MATCH($AQ142,$AP$12:$AP$263,0)))/INDEX($AI$12:$AI$263,MATCH($AQ142,$AP$12:$AP$263,0)), "-"),     TRUE, "0")</f>
        <v>0</v>
      </c>
      <c r="CN142" s="588">
        <f>IF(CM$9&gt;0, IF(OR(CM142="",CM142="-"), 0, CM142*$AT142), CL142*$AJ142)</f>
        <v>0</v>
      </c>
      <c r="CO142" s="587">
        <f>[1]COMMANDE!AS140</f>
        <v>0</v>
      </c>
      <c r="CP142" s="586" t="str">
        <f>_xlfn.IFS(AND($AI142=$AM142,$AI142&gt;0,$AM142&gt;0,CO142&gt;0), CO142,     AND(NOT($AI142=$AM142),$AI142&gt;0,$AM142&gt;0,CO142&gt;0), ($AM142*CO142)/$AI142,     AND($AI142=0,$AM142&gt;0,$AQ142&gt;0), IF(INDEX(CO$12:CO$263,MATCH($AQ142,$AP$12:$AP$263,0))&gt;0,($AM142*INDEX(CO$12:CO$263,MATCH($AQ142,$AP$12:$AP$263,0)))/INDEX($AI$12:$AI$263,MATCH($AQ142,$AP$12:$AP$263,0)), "-"),     TRUE, "0")</f>
        <v>0</v>
      </c>
      <c r="CQ142" s="607">
        <f>IF(CP$9&gt;0, IF(OR(CP142="",CP142="-"), 0, CP142*$AT142), CO142*$AJ142)</f>
        <v>0</v>
      </c>
      <c r="CR142" s="589">
        <f>[1]COMMANDE!AU140</f>
        <v>0</v>
      </c>
      <c r="CS142" s="586" t="str">
        <f>_xlfn.IFS(AND($AI142=$AM142,$AI142&gt;0,$AM142&gt;0,CR142&gt;0), CR142,     AND(NOT($AI142=$AM142),$AI142&gt;0,$AM142&gt;0,CR142&gt;0), ($AM142*CR142)/$AI142,     AND($AI142=0,$AM142&gt;0,$AQ142&gt;0), IF(INDEX(CR$12:CR$263,MATCH($AQ142,$AP$12:$AP$263,0))&gt;0,($AM142*INDEX(CR$12:CR$263,MATCH($AQ142,$AP$12:$AP$263,0)))/INDEX($AI$12:$AI$263,MATCH($AQ142,$AP$12:$AP$263,0)), "-"),     TRUE, "0")</f>
        <v>0</v>
      </c>
      <c r="CT142" s="588">
        <f>IF(CS$9&gt;0, IF(OR(CS142="",CS142="-"), 0, CS142*$AT142), CR142*$AJ142)</f>
        <v>0</v>
      </c>
      <c r="CU142" s="587">
        <f>[1]COMMANDE!AW140</f>
        <v>0</v>
      </c>
      <c r="CV142" s="586" t="str">
        <f>_xlfn.IFS(AND($AI142=$AM142,$AI142&gt;0,$AM142&gt;0,CU142&gt;0), CU142,     AND(NOT($AI142=$AM142),$AI142&gt;0,$AM142&gt;0,CU142&gt;0), ($AM142*CU142)/$AI142,     AND($AI142=0,$AM142&gt;0,$AQ142&gt;0), IF(INDEX(CU$12:CU$263,MATCH($AQ142,$AP$12:$AP$263,0))&gt;0,($AM142*INDEX(CU$12:CU$263,MATCH($AQ142,$AP$12:$AP$263,0)))/INDEX($AI$12:$AI$263,MATCH($AQ142,$AP$12:$AP$263,0)), "-"),     TRUE, "0")</f>
        <v>0</v>
      </c>
      <c r="CW142" s="607">
        <f>IF(CV$9&gt;0, IF(OR(CV142="",CV142="-"), 0, CV142*$AT142), CU142*$AJ142)</f>
        <v>0</v>
      </c>
      <c r="CX142" s="589">
        <f>[1]COMMANDE!AY140</f>
        <v>0</v>
      </c>
      <c r="CY142" s="586" t="str">
        <f>_xlfn.IFS(AND($AI142=$AM142,$AI142&gt;0,$AM142&gt;0,CX142&gt;0), CX142,     AND(NOT($AI142=$AM142),$AI142&gt;0,$AM142&gt;0,CX142&gt;0), ($AM142*CX142)/$AI142,     AND($AI142=0,$AM142&gt;0,$AQ142&gt;0), IF(INDEX(CX$12:CX$263,MATCH($AQ142,$AP$12:$AP$263,0))&gt;0,($AM142*INDEX(CX$12:CX$263,MATCH($AQ142,$AP$12:$AP$263,0)))/INDEX($AI$12:$AI$263,MATCH($AQ142,$AP$12:$AP$263,0)), "-"),     TRUE, "0")</f>
        <v>0</v>
      </c>
      <c r="CZ142" s="588">
        <f>IF(CY$9&gt;0, IF(OR(CY142="",CY142="-"), 0, CY142*$AT142), CX142*$AJ142)</f>
        <v>0</v>
      </c>
      <c r="DA142" s="587">
        <f>[1]COMMANDE!BA140</f>
        <v>0</v>
      </c>
      <c r="DB142" s="586" t="str">
        <f>_xlfn.IFS(AND($AI142=$AM142,$AI142&gt;0,$AM142&gt;0,DA142&gt;0), DA142,     AND(NOT($AI142=$AM142),$AI142&gt;0,$AM142&gt;0,DA142&gt;0), ($AM142*DA142)/$AI142,     AND($AI142=0,$AM142&gt;0,$AQ142&gt;0), IF(INDEX(DA$12:DA$263,MATCH($AQ142,$AP$12:$AP$263,0))&gt;0,($AM142*INDEX(DA$12:DA$263,MATCH($AQ142,$AP$12:$AP$263,0)))/INDEX($AI$12:$AI$263,MATCH($AQ142,$AP$12:$AP$263,0)), "-"),     TRUE, "0")</f>
        <v>0</v>
      </c>
      <c r="DC142" s="606">
        <f>IF(DB$9&gt;0, IF(OR(DB142="",DB142="-"), 0, DB142*$AT142), DA142*$AJ142)</f>
        <v>0</v>
      </c>
      <c r="DD142" s="584"/>
      <c r="DE142" s="583"/>
    </row>
    <row r="143" spans="1:128" ht="39.950000000000003" hidden="1" customHeight="1">
      <c r="A143" s="604">
        <f>IF(OR($AV143&gt;0, $AX143&gt;0), 1, 0)</f>
        <v>0</v>
      </c>
      <c r="B143" s="604">
        <f>IF(OR($AY143&gt;0, $BA143&gt;0), 1, 0)</f>
        <v>0</v>
      </c>
      <c r="C143" s="604">
        <f>IF(OR($BB143&gt;0, $BD143&gt;0), 1, 0)</f>
        <v>0</v>
      </c>
      <c r="D143" s="604">
        <f>IF(OR($BE143&gt;0, $BG143&gt;0), 1, 0)</f>
        <v>0</v>
      </c>
      <c r="E143" s="604">
        <f>IF(OR($BH143&gt;0, $BJ143&gt;0), 1, 0)</f>
        <v>0</v>
      </c>
      <c r="F143" s="604">
        <f>IF(OR($BK143&gt;0, $BM143&gt;0), 1, 0)</f>
        <v>0</v>
      </c>
      <c r="G143" s="604">
        <f>IF(OR($BN143&gt;0, $BP143&gt;0), 1, 0)</f>
        <v>0</v>
      </c>
      <c r="H143" s="604">
        <f>IF(OR($BQ143&gt;0, $BS143&gt;0), 1, 0)</f>
        <v>0</v>
      </c>
      <c r="I143" s="604">
        <f>IF(OR($BT143&gt;0, $BV143&gt;0), 1, 0)</f>
        <v>0</v>
      </c>
      <c r="J143" s="604">
        <f>IF(OR($BW143&gt;0, $BY143&gt;0), 1, 0)</f>
        <v>0</v>
      </c>
      <c r="K143" s="604">
        <f>IF(OR($BZ143&gt;0, $CB143&gt;0), 1, 0)</f>
        <v>0</v>
      </c>
      <c r="L143" s="604">
        <f>IF(OR($CC143&gt;0, $CE143&gt;0), 1, 0)</f>
        <v>0</v>
      </c>
      <c r="M143" s="604">
        <f>IF(OR($CF143&gt;0, $CH143&gt;0), 1, 0)</f>
        <v>0</v>
      </c>
      <c r="N143" s="604">
        <f>IF(OR($CI143&gt;0, $CK143&gt;0), 1, 0)</f>
        <v>0</v>
      </c>
      <c r="O143" s="604">
        <f>IF(OR($CL143&gt;0, $CN143&gt;0), 1, 0)</f>
        <v>0</v>
      </c>
      <c r="P143" s="604">
        <f>IF(OR($CO143&gt;0, $CQ143&gt;0), 1, 0)</f>
        <v>0</v>
      </c>
      <c r="Q143" s="604">
        <f>IF(OR($CR143&gt;0, $CT143&gt;0), 1, 0)</f>
        <v>0</v>
      </c>
      <c r="R143" s="604">
        <f>IF(OR($CU143&gt;0, $CW143&gt;0), 1, 0)</f>
        <v>0</v>
      </c>
      <c r="S143" s="604">
        <f>IF(OR($CX143&gt;0, $CZ143&gt;0), 1, 0)</f>
        <v>0</v>
      </c>
      <c r="T143" s="604">
        <f>IF(OR($DA143&gt;0, $DC143&gt;0), 1, 0)</f>
        <v>0</v>
      </c>
      <c r="U143" s="603">
        <f>IF(OR($AI143&gt;0,$AM143&gt;0,$AS143&gt;0), 1, 0)</f>
        <v>0</v>
      </c>
      <c r="V143" s="602">
        <f>[1]BDD!A133</f>
        <v>1755</v>
      </c>
      <c r="W143" s="601" t="str">
        <f>[1]BDD!B133</f>
        <v>Lait de coco en poudre CRU BIO (1kg)</v>
      </c>
      <c r="X143" s="600" t="str">
        <f>IF([1]BDD!F133=0, "", [1]BDD!F133)</f>
        <v>❤️</v>
      </c>
      <c r="Y143" s="542">
        <f>ROUND([1]BDD!G133+FDP_CMD_KG, 2)</f>
        <v>35.090000000000003</v>
      </c>
      <c r="Z143" s="542">
        <f>ROUND([1]BDD!G133+FDP_FACT_KG, 2)</f>
        <v>35.090000000000003</v>
      </c>
      <c r="AA143" s="543" t="str">
        <f>[1]BDD!H133</f>
        <v>kg</v>
      </c>
      <c r="AB143" s="544">
        <f>IF(NOT(ISBLANK([1]BDD!I133)), ROUND(SUM(([1]BDD!G133*reduc1),FDP_CMD_KG), 2), "")</f>
        <v>31.67</v>
      </c>
      <c r="AC143" s="544" t="str">
        <f>IF(NOT(ISBLANK([1]BDD!J133)), ROUND(SUM(([1]BDD!G133*reduc2),FDP_CMD_KG), 2), "")</f>
        <v/>
      </c>
      <c r="AD143" s="544" t="str">
        <f>IF(NOT(ISBLANK([1]BDD!K133)), ROUND(SUM(([1]BDD!G133*reduc3),FDP_CMD_KG), 2), "")</f>
        <v/>
      </c>
      <c r="AE143" s="544">
        <f>IF(NOT(ISBLANK([1]BDD!I133)), ROUND(SUM(([1]BDD!G133*reduc1),FDP_FACT_KG), 2), "")</f>
        <v>31.66</v>
      </c>
      <c r="AF143" s="544" t="str">
        <f>IF(NOT(ISBLANK([1]BDD!J133)), ROUND(SUM(([1]BDD!G133*reduc2),FDP_FACT_KG), 2), "")</f>
        <v/>
      </c>
      <c r="AG143" s="544" t="str">
        <f>IF(NOT(ISBLANK([1]BDD!K133)), ROUND(SUM(([1]BDD!G133*reduc3),FDP_FACT_KG), 2), "")</f>
        <v/>
      </c>
      <c r="AH143" s="599" t="str">
        <f>[1]BDD!C133</f>
        <v>Sri Lanka</v>
      </c>
      <c r="AI143" s="598">
        <f>SUM(AV143,AY143,BB143,BE143,BH143,BK143,BN143,BQ143,BT143,BW143,BZ143,CC143,CF143,CI143,CL143,CO143,CR143,CU143,CX143,DA143)</f>
        <v>0</v>
      </c>
      <c r="AJ143" s="545">
        <f>_xlfn.IFS($AD143&lt;&gt;"", $AD143,    $AC143&lt;&gt;"", $AC143,    $AB143&lt;&gt;"", $AB143,    TRUE, $Y143)</f>
        <v>31.67</v>
      </c>
      <c r="AK143" s="592">
        <f>$AI143*$AJ143</f>
        <v>0</v>
      </c>
      <c r="AL143" s="594"/>
      <c r="AM143" s="597"/>
      <c r="AN143" s="545">
        <f>_xlfn.IFS(AND(AM143&gt;=60,$AG143&lt;&gt;""), $AG143,    AND(AM143&gt;=30,$AF143&lt;&gt;""), $AF143,    AND(AM143&gt;=10,$AE143&lt;&gt;""), $AE143,    TRUE, $Z143)</f>
        <v>35.090000000000003</v>
      </c>
      <c r="AO143" s="596">
        <f>AM143*AN143</f>
        <v>0</v>
      </c>
      <c r="AP143" s="595"/>
      <c r="AQ143" s="595"/>
      <c r="AR143" s="594"/>
      <c r="AS143" s="593">
        <f>SUM(AW143,AZ143,BC143,BF143,BI143,BL143,BO143,BR143,BU143,BX143,CA143,CD143,CG143,CJ143,CM143,CP143,CS143,CV143,CY143,DB143)</f>
        <v>0</v>
      </c>
      <c r="AT143" s="545">
        <f>_xlfn.IFS(AND(AS143&gt;=60,$AG143&lt;&gt;""), $AG143,    AND(AS143&gt;=30,$AF143&lt;&gt;""), $AF143,    AND(AS143&gt;=10,$AE143&lt;&gt;""), $AE143,    TRUE, $Z143)</f>
        <v>35.090000000000003</v>
      </c>
      <c r="AU143" s="592">
        <f>$AS143*$AT143</f>
        <v>0</v>
      </c>
      <c r="AV143" s="591">
        <f>[1]COMMANDE!O141</f>
        <v>0</v>
      </c>
      <c r="AW143" s="586" t="str">
        <f>_xlfn.IFS(AND($AI143=$AM143,$AI143&gt;0,$AM143&gt;0,AV143&gt;0), AV143,     AND(NOT($AI143=$AM143),$AI143&gt;0,$AM143&gt;0,AV143&gt;0), ($AM143*AV143)/$AI143,     AND($AI143=0,$AM143&gt;0,$AQ143&gt;0), IF(INDEX(AV$12:AV$263,MATCH($AQ143,$AP$12:$AP$263,0))&gt;0,($AM143*INDEX(AV$12:AV$263,MATCH($AQ143,$AP$12:$AP$263,0)))/INDEX($AI$12:$AI$263,MATCH($AQ143,$AP$12:$AP$263,0)), "-"),     TRUE, "0")</f>
        <v>0</v>
      </c>
      <c r="AX143" s="588">
        <f>IF(AW$9&gt;0, IF(OR(AW143="",AW143="-"), 0, AW143*$AT143), AV143*$AJ143)</f>
        <v>0</v>
      </c>
      <c r="AY143" s="587">
        <f>[1]COMMANDE!Q141</f>
        <v>0</v>
      </c>
      <c r="AZ143" s="586" t="str">
        <f>_xlfn.IFS(AND($AI143=$AM143,$AI143&gt;0,$AM143&gt;0,AY143&gt;0), AY143,     AND(NOT($AI143=$AM143),$AI143&gt;0,$AM143&gt;0,AY143&gt;0), ($AM143*AY143)/$AI143,     AND($AI143=0,$AM143&gt;0,$AQ143&gt;0), IF(INDEX(AY$12:AY$263,MATCH($AQ143,$AP$12:$AP$263,0))&gt;0,($AM143*INDEX(AY$12:AY$263,MATCH($AQ143,$AP$12:$AP$263,0)))/INDEX($AI$12:$AI$263,MATCH($AQ143,$AP$12:$AP$263,0)), "-"),     TRUE, "0")</f>
        <v>0</v>
      </c>
      <c r="BA143" s="607">
        <f>IF(AZ$9&gt;0, IF(OR(AZ143="",AZ143="-"), 0, AZ143*$AT143), AY143*$AJ143)</f>
        <v>0</v>
      </c>
      <c r="BB143" s="589">
        <f>[1]COMMANDE!S141</f>
        <v>0</v>
      </c>
      <c r="BC143" s="586" t="str">
        <f>_xlfn.IFS(AND($AI143=$AM143,$AI143&gt;0,$AM143&gt;0,BB143&gt;0), BB143,     AND(NOT($AI143=$AM143),$AI143&gt;0,$AM143&gt;0,BB143&gt;0), ($AM143*BB143)/$AI143,     AND($AI143=0,$AM143&gt;0,$AQ143&gt;0), IF(INDEX(BB$12:BB$263,MATCH($AQ143,$AP$12:$AP$263,0))&gt;0,($AM143*INDEX(BB$12:BB$263,MATCH($AQ143,$AP$12:$AP$263,0)))/INDEX($AI$12:$AI$263,MATCH($AQ143,$AP$12:$AP$263,0)), "-"),     TRUE, "0")</f>
        <v>0</v>
      </c>
      <c r="BD143" s="588">
        <f>IF(BC$9&gt;0, IF(OR(BC143="",BC143="-"), 0, BC143*$AT143), BB143*$AJ143)</f>
        <v>0</v>
      </c>
      <c r="BE143" s="587">
        <f>[1]COMMANDE!U141</f>
        <v>0</v>
      </c>
      <c r="BF143" s="586" t="str">
        <f>_xlfn.IFS(AND($AI143=$AM143,$AI143&gt;0,$AM143&gt;0,BE143&gt;0), BE143,     AND(NOT($AI143=$AM143),$AI143&gt;0,$AM143&gt;0,BE143&gt;0), ($AM143*BE143)/$AI143,     AND($AI143=0,$AM143&gt;0,$AQ143&gt;0), IF(INDEX(BE$12:BE$263,MATCH($AQ143,$AP$12:$AP$263,0))&gt;0,($AM143*INDEX(BE$12:BE$263,MATCH($AQ143,$AP$12:$AP$263,0)))/INDEX($AI$12:$AI$263,MATCH($AQ143,$AP$12:$AP$263,0)), "-"),     TRUE, "0")</f>
        <v>0</v>
      </c>
      <c r="BG143" s="607">
        <f>IF(BF$9&gt;0, IF(OR(BF143="",BF143="-"), 0, BF143*$AT143), BE143*$AJ143)</f>
        <v>0</v>
      </c>
      <c r="BH143" s="589">
        <f>[1]COMMANDE!W141</f>
        <v>0</v>
      </c>
      <c r="BI143" s="586" t="str">
        <f>_xlfn.IFS(AND($AI143=$AM143,$AI143&gt;0,$AM143&gt;0,BH143&gt;0), BH143,     AND(NOT($AI143=$AM143),$AI143&gt;0,$AM143&gt;0,BH143&gt;0), ($AM143*BH143)/$AI143,     AND($AI143=0,$AM143&gt;0,$AQ143&gt;0), IF(INDEX(BH$12:BH$263,MATCH($AQ143,$AP$12:$AP$263,0))&gt;0,($AM143*INDEX(BH$12:BH$263,MATCH($AQ143,$AP$12:$AP$263,0)))/INDEX($AI$12:$AI$263,MATCH($AQ143,$AP$12:$AP$263,0)), "-"),     TRUE, "0")</f>
        <v>0</v>
      </c>
      <c r="BJ143" s="588">
        <f>IF(BI$9&gt;0, IF(OR(BI143="",BI143="-"), 0, BI143*$AT143), BH143*$AJ143)</f>
        <v>0</v>
      </c>
      <c r="BK143" s="587">
        <f>[1]COMMANDE!Y141</f>
        <v>0</v>
      </c>
      <c r="BL143" s="586" t="str">
        <f>_xlfn.IFS(AND($AI143=$AM143,$AI143&gt;0,$AM143&gt;0,BK143&gt;0), BK143,     AND(NOT($AI143=$AM143),$AI143&gt;0,$AM143&gt;0,BK143&gt;0), ($AM143*BK143)/$AI143,     AND($AI143=0,$AM143&gt;0,$AQ143&gt;0), IF(INDEX(BK$12:BK$263,MATCH($AQ143,$AP$12:$AP$263,0))&gt;0,($AM143*INDEX(BK$12:BK$263,MATCH($AQ143,$AP$12:$AP$263,0)))/INDEX($AI$12:$AI$263,MATCH($AQ143,$AP$12:$AP$263,0)), "-"),     TRUE, "0")</f>
        <v>0</v>
      </c>
      <c r="BM143" s="607">
        <f>IF(BL$9&gt;0, IF(OR(BL143="",BL143="-"), 0, BL143*$AT143), BK143*$AJ143)</f>
        <v>0</v>
      </c>
      <c r="BN143" s="589">
        <f>[1]COMMANDE!AA141</f>
        <v>0</v>
      </c>
      <c r="BO143" s="586" t="str">
        <f>_xlfn.IFS(AND($AI143=$AM143,$AI143&gt;0,$AM143&gt;0,BN143&gt;0), BN143,     AND(NOT($AI143=$AM143),$AI143&gt;0,$AM143&gt;0,BN143&gt;0), ($AM143*BN143)/$AI143,     AND($AI143=0,$AM143&gt;0,$AQ143&gt;0), IF(INDEX(BN$12:BN$263,MATCH($AQ143,$AP$12:$AP$263,0))&gt;0,($AM143*INDEX(BN$12:BN$263,MATCH($AQ143,$AP$12:$AP$263,0)))/INDEX($AI$12:$AI$263,MATCH($AQ143,$AP$12:$AP$263,0)), "-"),     TRUE, "0")</f>
        <v>0</v>
      </c>
      <c r="BP143" s="588">
        <f>IF(BO$9&gt;0, IF(OR(BO143="",BO143="-"), 0, BO143*$AT143), BN143*$AJ143)</f>
        <v>0</v>
      </c>
      <c r="BQ143" s="587">
        <f>[1]COMMANDE!AC141</f>
        <v>0</v>
      </c>
      <c r="BR143" s="586" t="str">
        <f>_xlfn.IFS(AND($AI143=$AM143,$AI143&gt;0,$AM143&gt;0,BQ143&gt;0), BQ143,     AND(NOT($AI143=$AM143),$AI143&gt;0,$AM143&gt;0,BQ143&gt;0), ($AM143*BQ143)/$AI143,     AND($AI143=0,$AM143&gt;0,$AQ143&gt;0), IF(INDEX(BQ$12:BQ$263,MATCH($AQ143,$AP$12:$AP$263,0))&gt;0,($AM143*INDEX(BQ$12:BQ$263,MATCH($AQ143,$AP$12:$AP$263,0)))/INDEX($AI$12:$AI$263,MATCH($AQ143,$AP$12:$AP$263,0)), "-"),     TRUE, "0")</f>
        <v>0</v>
      </c>
      <c r="BS143" s="607">
        <f>IF(BR$9&gt;0, IF(OR(BR143="",BR143="-"), 0, BR143*$AT143), BQ143*$AJ143)</f>
        <v>0</v>
      </c>
      <c r="BT143" s="589">
        <f>[1]COMMANDE!AE141</f>
        <v>0</v>
      </c>
      <c r="BU143" s="586" t="str">
        <f>_xlfn.IFS(AND($AI143=$AM143,$AI143&gt;0,$AM143&gt;0,BT143&gt;0), BT143,     AND(NOT($AI143=$AM143),$AI143&gt;0,$AM143&gt;0,BT143&gt;0), ($AM143*BT143)/$AI143,     AND($AI143=0,$AM143&gt;0,$AQ143&gt;0), IF(INDEX(BT$12:BT$263,MATCH($AQ143,$AP$12:$AP$263,0))&gt;0,($AM143*INDEX(BT$12:BT$263,MATCH($AQ143,$AP$12:$AP$263,0)))/INDEX($AI$12:$AI$263,MATCH($AQ143,$AP$12:$AP$263,0)), "-"),     TRUE, "0")</f>
        <v>0</v>
      </c>
      <c r="BV143" s="588">
        <f>IF(BU$9&gt;0, IF(OR(BU143="",BU143="-"), 0, BU143*$AT143), BT143*$AJ143)</f>
        <v>0</v>
      </c>
      <c r="BW143" s="587">
        <f>[1]COMMANDE!AG141</f>
        <v>0</v>
      </c>
      <c r="BX143" s="586" t="str">
        <f>_xlfn.IFS(AND($AI143=$AM143,$AI143&gt;0,$AM143&gt;0,BW143&gt;0), BW143,     AND(NOT($AI143=$AM143),$AI143&gt;0,$AM143&gt;0,BW143&gt;0), ($AM143*BW143)/$AI143,     AND($AI143=0,$AM143&gt;0,$AQ143&gt;0), IF(INDEX(BW$12:BW$263,MATCH($AQ143,$AP$12:$AP$263,0))&gt;0,($AM143*INDEX(BW$12:BW$263,MATCH($AQ143,$AP$12:$AP$263,0)))/INDEX($AI$12:$AI$263,MATCH($AQ143,$AP$12:$AP$263,0)), "-"),     TRUE, "0")</f>
        <v>0</v>
      </c>
      <c r="BY143" s="607">
        <f>IF(BX$9&gt;0, IF(OR(BX143="",BX143="-"), 0, BX143*$AT143), BW143*$AJ143)</f>
        <v>0</v>
      </c>
      <c r="BZ143" s="589">
        <f>[1]COMMANDE!AI141</f>
        <v>0</v>
      </c>
      <c r="CA143" s="586" t="str">
        <f>_xlfn.IFS(AND($AI143=$AM143,$AI143&gt;0,$AM143&gt;0,BZ143&gt;0), BZ143,     AND(NOT($AI143=$AM143),$AI143&gt;0,$AM143&gt;0,BZ143&gt;0), ($AM143*BZ143)/$AI143,     AND($AI143=0,$AM143&gt;0,$AQ143&gt;0), IF(INDEX(BZ$12:BZ$263,MATCH($AQ143,$AP$12:$AP$263,0))&gt;0,($AM143*INDEX(BZ$12:BZ$263,MATCH($AQ143,$AP$12:$AP$263,0)))/INDEX($AI$12:$AI$263,MATCH($AQ143,$AP$12:$AP$263,0)), "-"),     TRUE, "0")</f>
        <v>0</v>
      </c>
      <c r="CB143" s="588">
        <f>IF(CA$9&gt;0, IF(OR(CA143="",CA143="-"), 0, CA143*$AT143), BZ143*$AJ143)</f>
        <v>0</v>
      </c>
      <c r="CC143" s="587">
        <f>[1]COMMANDE!AK141</f>
        <v>0</v>
      </c>
      <c r="CD143" s="586" t="str">
        <f>_xlfn.IFS(AND($AI143=$AM143,$AI143&gt;0,$AM143&gt;0,CC143&gt;0), CC143,     AND(NOT($AI143=$AM143),$AI143&gt;0,$AM143&gt;0,CC143&gt;0), ($AM143*CC143)/$AI143,     AND($AI143=0,$AM143&gt;0,$AQ143&gt;0), IF(INDEX(CC$12:CC$263,MATCH($AQ143,$AP$12:$AP$263,0))&gt;0,($AM143*INDEX(CC$12:CC$263,MATCH($AQ143,$AP$12:$AP$263,0)))/INDEX($AI$12:$AI$263,MATCH($AQ143,$AP$12:$AP$263,0)), "-"),     TRUE, "0")</f>
        <v>0</v>
      </c>
      <c r="CE143" s="607">
        <f>IF(CD$9&gt;0, IF(OR(CD143="",CD143="-"), 0, CD143*$AT143), CC143*$AJ143)</f>
        <v>0</v>
      </c>
      <c r="CF143" s="589">
        <f>[1]COMMANDE!AM141</f>
        <v>0</v>
      </c>
      <c r="CG143" s="586" t="str">
        <f>_xlfn.IFS(AND($AI143=$AM143,$AI143&gt;0,$AM143&gt;0,CF143&gt;0), CF143,     AND(NOT($AI143=$AM143),$AI143&gt;0,$AM143&gt;0,CF143&gt;0), ($AM143*CF143)/$AI143,     AND($AI143=0,$AM143&gt;0,$AQ143&gt;0), IF(INDEX(CF$12:CF$263,MATCH($AQ143,$AP$12:$AP$263,0))&gt;0,($AM143*INDEX(CF$12:CF$263,MATCH($AQ143,$AP$12:$AP$263,0)))/INDEX($AI$12:$AI$263,MATCH($AQ143,$AP$12:$AP$263,0)), "-"),     TRUE, "0")</f>
        <v>0</v>
      </c>
      <c r="CH143" s="588">
        <f>IF(CG$9&gt;0, IF(OR(CG143="",CG143="-"), 0, CG143*$AT143), CF143*$AJ143)</f>
        <v>0</v>
      </c>
      <c r="CI143" s="587">
        <f>[1]COMMANDE!AO141</f>
        <v>0</v>
      </c>
      <c r="CJ143" s="586" t="str">
        <f>_xlfn.IFS(AND($AI143=$AM143,$AI143&gt;0,$AM143&gt;0,CI143&gt;0), CI143,     AND(NOT($AI143=$AM143),$AI143&gt;0,$AM143&gt;0,CI143&gt;0), ($AM143*CI143)/$AI143,     AND($AI143=0,$AM143&gt;0,$AQ143&gt;0), IF(INDEX(CI$12:CI$263,MATCH($AQ143,$AP$12:$AP$263,0))&gt;0,($AM143*INDEX(CI$12:CI$263,MATCH($AQ143,$AP$12:$AP$263,0)))/INDEX($AI$12:$AI$263,MATCH($AQ143,$AP$12:$AP$263,0)), "-"),     TRUE, "0")</f>
        <v>0</v>
      </c>
      <c r="CK143" s="607">
        <f>IF(CJ$9&gt;0, IF(OR(CJ143="",CJ143="-"), 0, CJ143*$AT143), CI143*$AJ143)</f>
        <v>0</v>
      </c>
      <c r="CL143" s="589">
        <f>[1]COMMANDE!AQ141</f>
        <v>0</v>
      </c>
      <c r="CM143" s="586" t="str">
        <f>_xlfn.IFS(AND($AI143=$AM143,$AI143&gt;0,$AM143&gt;0,CL143&gt;0), CL143,     AND(NOT($AI143=$AM143),$AI143&gt;0,$AM143&gt;0,CL143&gt;0), ($AM143*CL143)/$AI143,     AND($AI143=0,$AM143&gt;0,$AQ143&gt;0), IF(INDEX(CL$12:CL$263,MATCH($AQ143,$AP$12:$AP$263,0))&gt;0,($AM143*INDEX(CL$12:CL$263,MATCH($AQ143,$AP$12:$AP$263,0)))/INDEX($AI$12:$AI$263,MATCH($AQ143,$AP$12:$AP$263,0)), "-"),     TRUE, "0")</f>
        <v>0</v>
      </c>
      <c r="CN143" s="588">
        <f>IF(CM$9&gt;0, IF(OR(CM143="",CM143="-"), 0, CM143*$AT143), CL143*$AJ143)</f>
        <v>0</v>
      </c>
      <c r="CO143" s="587">
        <f>[1]COMMANDE!AS141</f>
        <v>0</v>
      </c>
      <c r="CP143" s="586" t="str">
        <f>_xlfn.IFS(AND($AI143=$AM143,$AI143&gt;0,$AM143&gt;0,CO143&gt;0), CO143,     AND(NOT($AI143=$AM143),$AI143&gt;0,$AM143&gt;0,CO143&gt;0), ($AM143*CO143)/$AI143,     AND($AI143=0,$AM143&gt;0,$AQ143&gt;0), IF(INDEX(CO$12:CO$263,MATCH($AQ143,$AP$12:$AP$263,0))&gt;0,($AM143*INDEX(CO$12:CO$263,MATCH($AQ143,$AP$12:$AP$263,0)))/INDEX($AI$12:$AI$263,MATCH($AQ143,$AP$12:$AP$263,0)), "-"),     TRUE, "0")</f>
        <v>0</v>
      </c>
      <c r="CQ143" s="607">
        <f>IF(CP$9&gt;0, IF(OR(CP143="",CP143="-"), 0, CP143*$AT143), CO143*$AJ143)</f>
        <v>0</v>
      </c>
      <c r="CR143" s="589">
        <f>[1]COMMANDE!AU141</f>
        <v>0</v>
      </c>
      <c r="CS143" s="586" t="str">
        <f>_xlfn.IFS(AND($AI143=$AM143,$AI143&gt;0,$AM143&gt;0,CR143&gt;0), CR143,     AND(NOT($AI143=$AM143),$AI143&gt;0,$AM143&gt;0,CR143&gt;0), ($AM143*CR143)/$AI143,     AND($AI143=0,$AM143&gt;0,$AQ143&gt;0), IF(INDEX(CR$12:CR$263,MATCH($AQ143,$AP$12:$AP$263,0))&gt;0,($AM143*INDEX(CR$12:CR$263,MATCH($AQ143,$AP$12:$AP$263,0)))/INDEX($AI$12:$AI$263,MATCH($AQ143,$AP$12:$AP$263,0)), "-"),     TRUE, "0")</f>
        <v>0</v>
      </c>
      <c r="CT143" s="588">
        <f>IF(CS$9&gt;0, IF(OR(CS143="",CS143="-"), 0, CS143*$AT143), CR143*$AJ143)</f>
        <v>0</v>
      </c>
      <c r="CU143" s="587">
        <f>[1]COMMANDE!AW141</f>
        <v>0</v>
      </c>
      <c r="CV143" s="586" t="str">
        <f>_xlfn.IFS(AND($AI143=$AM143,$AI143&gt;0,$AM143&gt;0,CU143&gt;0), CU143,     AND(NOT($AI143=$AM143),$AI143&gt;0,$AM143&gt;0,CU143&gt;0), ($AM143*CU143)/$AI143,     AND($AI143=0,$AM143&gt;0,$AQ143&gt;0), IF(INDEX(CU$12:CU$263,MATCH($AQ143,$AP$12:$AP$263,0))&gt;0,($AM143*INDEX(CU$12:CU$263,MATCH($AQ143,$AP$12:$AP$263,0)))/INDEX($AI$12:$AI$263,MATCH($AQ143,$AP$12:$AP$263,0)), "-"),     TRUE, "0")</f>
        <v>0</v>
      </c>
      <c r="CW143" s="607">
        <f>IF(CV$9&gt;0, IF(OR(CV143="",CV143="-"), 0, CV143*$AT143), CU143*$AJ143)</f>
        <v>0</v>
      </c>
      <c r="CX143" s="589">
        <f>[1]COMMANDE!AY141</f>
        <v>0</v>
      </c>
      <c r="CY143" s="586" t="str">
        <f>_xlfn.IFS(AND($AI143=$AM143,$AI143&gt;0,$AM143&gt;0,CX143&gt;0), CX143,     AND(NOT($AI143=$AM143),$AI143&gt;0,$AM143&gt;0,CX143&gt;0), ($AM143*CX143)/$AI143,     AND($AI143=0,$AM143&gt;0,$AQ143&gt;0), IF(INDEX(CX$12:CX$263,MATCH($AQ143,$AP$12:$AP$263,0))&gt;0,($AM143*INDEX(CX$12:CX$263,MATCH($AQ143,$AP$12:$AP$263,0)))/INDEX($AI$12:$AI$263,MATCH($AQ143,$AP$12:$AP$263,0)), "-"),     TRUE, "0")</f>
        <v>0</v>
      </c>
      <c r="CZ143" s="588">
        <f>IF(CY$9&gt;0, IF(OR(CY143="",CY143="-"), 0, CY143*$AT143), CX143*$AJ143)</f>
        <v>0</v>
      </c>
      <c r="DA143" s="587">
        <f>[1]COMMANDE!BA141</f>
        <v>0</v>
      </c>
      <c r="DB143" s="586" t="str">
        <f>_xlfn.IFS(AND($AI143=$AM143,$AI143&gt;0,$AM143&gt;0,DA143&gt;0), DA143,     AND(NOT($AI143=$AM143),$AI143&gt;0,$AM143&gt;0,DA143&gt;0), ($AM143*DA143)/$AI143,     AND($AI143=0,$AM143&gt;0,$AQ143&gt;0), IF(INDEX(DA$12:DA$263,MATCH($AQ143,$AP$12:$AP$263,0))&gt;0,($AM143*INDEX(DA$12:DA$263,MATCH($AQ143,$AP$12:$AP$263,0)))/INDEX($AI$12:$AI$263,MATCH($AQ143,$AP$12:$AP$263,0)), "-"),     TRUE, "0")</f>
        <v>0</v>
      </c>
      <c r="DC143" s="606">
        <f>IF(DB$9&gt;0, IF(OR(DB143="",DB143="-"), 0, DB143*$AT143), DA143*$AJ143)</f>
        <v>0</v>
      </c>
      <c r="DD143" s="584"/>
      <c r="DE143" s="583"/>
    </row>
    <row r="144" spans="1:128" ht="39.950000000000003" hidden="1" customHeight="1">
      <c r="A144" s="604">
        <f>IF(OR($AV144&gt;0, $AX144&gt;0), 1, 0)</f>
        <v>0</v>
      </c>
      <c r="B144" s="604">
        <f>IF(OR($AY144&gt;0, $BA144&gt;0), 1, 0)</f>
        <v>0</v>
      </c>
      <c r="C144" s="604">
        <f>IF(OR($BB144&gt;0, $BD144&gt;0), 1, 0)</f>
        <v>0</v>
      </c>
      <c r="D144" s="604">
        <f>IF(OR($BE144&gt;0, $BG144&gt;0), 1, 0)</f>
        <v>0</v>
      </c>
      <c r="E144" s="604">
        <f>IF(OR($BH144&gt;0, $BJ144&gt;0), 1, 0)</f>
        <v>0</v>
      </c>
      <c r="F144" s="604">
        <f>IF(OR($BK144&gt;0, $BM144&gt;0), 1, 0)</f>
        <v>0</v>
      </c>
      <c r="G144" s="604">
        <f>IF(OR($BN144&gt;0, $BP144&gt;0), 1, 0)</f>
        <v>0</v>
      </c>
      <c r="H144" s="604">
        <f>IF(OR($BQ144&gt;0, $BS144&gt;0), 1, 0)</f>
        <v>0</v>
      </c>
      <c r="I144" s="604">
        <f>IF(OR($BT144&gt;0, $BV144&gt;0), 1, 0)</f>
        <v>0</v>
      </c>
      <c r="J144" s="604">
        <f>IF(OR($BW144&gt;0, $BY144&gt;0), 1, 0)</f>
        <v>0</v>
      </c>
      <c r="K144" s="604">
        <f>IF(OR($BZ144&gt;0, $CB144&gt;0), 1, 0)</f>
        <v>0</v>
      </c>
      <c r="L144" s="604">
        <f>IF(OR($CC144&gt;0, $CE144&gt;0), 1, 0)</f>
        <v>0</v>
      </c>
      <c r="M144" s="604">
        <f>IF(OR($CF144&gt;0, $CH144&gt;0), 1, 0)</f>
        <v>0</v>
      </c>
      <c r="N144" s="604">
        <f>IF(OR($CI144&gt;0, $CK144&gt;0), 1, 0)</f>
        <v>0</v>
      </c>
      <c r="O144" s="604">
        <f>IF(OR($CL144&gt;0, $CN144&gt;0), 1, 0)</f>
        <v>0</v>
      </c>
      <c r="P144" s="604">
        <f>IF(OR($CO144&gt;0, $CQ144&gt;0), 1, 0)</f>
        <v>0</v>
      </c>
      <c r="Q144" s="604">
        <f>IF(OR($CR144&gt;0, $CT144&gt;0), 1, 0)</f>
        <v>0</v>
      </c>
      <c r="R144" s="604">
        <f>IF(OR($CU144&gt;0, $CW144&gt;0), 1, 0)</f>
        <v>0</v>
      </c>
      <c r="S144" s="604">
        <f>IF(OR($CX144&gt;0, $CZ144&gt;0), 1, 0)</f>
        <v>0</v>
      </c>
      <c r="T144" s="604">
        <f>IF(OR($DA144&gt;0, $DC144&gt;0), 1, 0)</f>
        <v>0</v>
      </c>
      <c r="U144" s="603">
        <f>IF(OR($AI144&gt;0,$AM144&gt;0,$AS144&gt;0), 1, 0)</f>
        <v>0</v>
      </c>
      <c r="V144" s="602">
        <f>[1]BDD!A134</f>
        <v>1755</v>
      </c>
      <c r="W144" s="601" t="str">
        <f>[1]BDD!B134</f>
        <v>Lait de coco en poudre CRU BIO (500g)</v>
      </c>
      <c r="X144" s="600" t="str">
        <f>IF([1]BDD!F134=0, "", [1]BDD!F134)</f>
        <v>❤️</v>
      </c>
      <c r="Y144" s="542">
        <f>ROUND([1]BDD!G134+FDP_CMD_KG, 2)</f>
        <v>18.649999999999999</v>
      </c>
      <c r="Z144" s="542">
        <f>ROUND([1]BDD!G134+FDP_FACT_KG, 2)</f>
        <v>18.649999999999999</v>
      </c>
      <c r="AA144" s="543" t="str">
        <f>[1]BDD!H134</f>
        <v>kg</v>
      </c>
      <c r="AB144" s="544" t="str">
        <f>IF(NOT(ISBLANK([1]BDD!I134)), ROUND(SUM(([1]BDD!G134*reduc1),FDP_CMD_KG), 2), "")</f>
        <v/>
      </c>
      <c r="AC144" s="544" t="str">
        <f>IF(NOT(ISBLANK([1]BDD!J134)), ROUND(SUM(([1]BDD!G134*reduc2),FDP_CMD_KG), 2), "")</f>
        <v/>
      </c>
      <c r="AD144" s="544" t="str">
        <f>IF(NOT(ISBLANK([1]BDD!K134)), ROUND(SUM(([1]BDD!G134*reduc3),FDP_CMD_KG), 2), "")</f>
        <v/>
      </c>
      <c r="AE144" s="544" t="str">
        <f>IF(NOT(ISBLANK([1]BDD!I134)), ROUND(SUM(([1]BDD!G134*reduc1),FDP_FACT_KG), 2), "")</f>
        <v/>
      </c>
      <c r="AF144" s="544" t="str">
        <f>IF(NOT(ISBLANK([1]BDD!J134)), ROUND(SUM(([1]BDD!G134*reduc2),FDP_FACT_KG), 2), "")</f>
        <v/>
      </c>
      <c r="AG144" s="544" t="str">
        <f>IF(NOT(ISBLANK([1]BDD!K134)), ROUND(SUM(([1]BDD!G134*reduc3),FDP_FACT_KG), 2), "")</f>
        <v/>
      </c>
      <c r="AH144" s="599" t="str">
        <f>[1]BDD!C134</f>
        <v>Sri Lanka</v>
      </c>
      <c r="AI144" s="598">
        <f>SUM(AV144,AY144,BB144,BE144,BH144,BK144,BN144,BQ144,BT144,BW144,BZ144,CC144,CF144,CI144,CL144,CO144,CR144,CU144,CX144,DA144)</f>
        <v>0</v>
      </c>
      <c r="AJ144" s="545">
        <f>_xlfn.IFS($AD144&lt;&gt;"", $AD144,    $AC144&lt;&gt;"", $AC144,    $AB144&lt;&gt;"", $AB144,    TRUE, $Y144)</f>
        <v>18.649999999999999</v>
      </c>
      <c r="AK144" s="592">
        <f>$AI144*$AJ144</f>
        <v>0</v>
      </c>
      <c r="AL144" s="594"/>
      <c r="AM144" s="597"/>
      <c r="AN144" s="545">
        <f>_xlfn.IFS(AND(AM144&gt;=60,$AG144&lt;&gt;""), $AG144,    AND(AM144&gt;=30,$AF144&lt;&gt;""), $AF144,    AND(AM144&gt;=10,$AE144&lt;&gt;""), $AE144,    TRUE, $Z144)</f>
        <v>18.649999999999999</v>
      </c>
      <c r="AO144" s="596">
        <f>AM144*AN144</f>
        <v>0</v>
      </c>
      <c r="AP144" s="595"/>
      <c r="AQ144" s="595"/>
      <c r="AR144" s="594"/>
      <c r="AS144" s="593">
        <f>SUM(AW144,AZ144,BC144,BF144,BI144,BL144,BO144,BR144,BU144,BX144,CA144,CD144,CG144,CJ144,CM144,CP144,CS144,CV144,CY144,DB144)</f>
        <v>0</v>
      </c>
      <c r="AT144" s="545">
        <f>_xlfn.IFS(AND(AS144&gt;=60,$AG144&lt;&gt;""), $AG144,    AND(AS144&gt;=30,$AF144&lt;&gt;""), $AF144,    AND(AS144&gt;=10,$AE144&lt;&gt;""), $AE144,    TRUE, $Z144)</f>
        <v>18.649999999999999</v>
      </c>
      <c r="AU144" s="592">
        <f>$AS144*$AT144</f>
        <v>0</v>
      </c>
      <c r="AV144" s="591">
        <f>[1]COMMANDE!O142</f>
        <v>0</v>
      </c>
      <c r="AW144" s="586" t="str">
        <f>_xlfn.IFS(AND($AI144=$AM144,$AI144&gt;0,$AM144&gt;0,AV144&gt;0), AV144,     AND(NOT($AI144=$AM144),$AI144&gt;0,$AM144&gt;0,AV144&gt;0), ($AM144*AV144)/$AI144,     AND($AI144=0,$AM144&gt;0,$AQ144&gt;0), IF(INDEX(AV$12:AV$263,MATCH($AQ144,$AP$12:$AP$263,0))&gt;0,($AM144*INDEX(AV$12:AV$263,MATCH($AQ144,$AP$12:$AP$263,0)))/INDEX($AI$12:$AI$263,MATCH($AQ144,$AP$12:$AP$263,0)), "-"),     TRUE, "0")</f>
        <v>0</v>
      </c>
      <c r="AX144" s="588">
        <f>IF(AW$9&gt;0, IF(OR(AW144="",AW144="-"), 0, AW144*$AT144), AV144*$AJ144)</f>
        <v>0</v>
      </c>
      <c r="AY144" s="587">
        <f>[1]COMMANDE!Q142</f>
        <v>0</v>
      </c>
      <c r="AZ144" s="586" t="str">
        <f>_xlfn.IFS(AND($AI144=$AM144,$AI144&gt;0,$AM144&gt;0,AY144&gt;0), AY144,     AND(NOT($AI144=$AM144),$AI144&gt;0,$AM144&gt;0,AY144&gt;0), ($AM144*AY144)/$AI144,     AND($AI144=0,$AM144&gt;0,$AQ144&gt;0), IF(INDEX(AY$12:AY$263,MATCH($AQ144,$AP$12:$AP$263,0))&gt;0,($AM144*INDEX(AY$12:AY$263,MATCH($AQ144,$AP$12:$AP$263,0)))/INDEX($AI$12:$AI$263,MATCH($AQ144,$AP$12:$AP$263,0)), "-"),     TRUE, "0")</f>
        <v>0</v>
      </c>
      <c r="BA144" s="607">
        <f>IF(AZ$9&gt;0, IF(OR(AZ144="",AZ144="-"), 0, AZ144*$AT144), AY144*$AJ144)</f>
        <v>0</v>
      </c>
      <c r="BB144" s="589">
        <f>[1]COMMANDE!S142</f>
        <v>0</v>
      </c>
      <c r="BC144" s="586" t="str">
        <f>_xlfn.IFS(AND($AI144=$AM144,$AI144&gt;0,$AM144&gt;0,BB144&gt;0), BB144,     AND(NOT($AI144=$AM144),$AI144&gt;0,$AM144&gt;0,BB144&gt;0), ($AM144*BB144)/$AI144,     AND($AI144=0,$AM144&gt;0,$AQ144&gt;0), IF(INDEX(BB$12:BB$263,MATCH($AQ144,$AP$12:$AP$263,0))&gt;0,($AM144*INDEX(BB$12:BB$263,MATCH($AQ144,$AP$12:$AP$263,0)))/INDEX($AI$12:$AI$263,MATCH($AQ144,$AP$12:$AP$263,0)), "-"),     TRUE, "0")</f>
        <v>0</v>
      </c>
      <c r="BD144" s="588">
        <f>IF(BC$9&gt;0, IF(OR(BC144="",BC144="-"), 0, BC144*$AT144), BB144*$AJ144)</f>
        <v>0</v>
      </c>
      <c r="BE144" s="587">
        <f>[1]COMMANDE!U142</f>
        <v>0</v>
      </c>
      <c r="BF144" s="586" t="str">
        <f>_xlfn.IFS(AND($AI144=$AM144,$AI144&gt;0,$AM144&gt;0,BE144&gt;0), BE144,     AND(NOT($AI144=$AM144),$AI144&gt;0,$AM144&gt;0,BE144&gt;0), ($AM144*BE144)/$AI144,     AND($AI144=0,$AM144&gt;0,$AQ144&gt;0), IF(INDEX(BE$12:BE$263,MATCH($AQ144,$AP$12:$AP$263,0))&gt;0,($AM144*INDEX(BE$12:BE$263,MATCH($AQ144,$AP$12:$AP$263,0)))/INDEX($AI$12:$AI$263,MATCH($AQ144,$AP$12:$AP$263,0)), "-"),     TRUE, "0")</f>
        <v>0</v>
      </c>
      <c r="BG144" s="607">
        <f>IF(BF$9&gt;0, IF(OR(BF144="",BF144="-"), 0, BF144*$AT144), BE144*$AJ144)</f>
        <v>0</v>
      </c>
      <c r="BH144" s="589">
        <f>[1]COMMANDE!W142</f>
        <v>0</v>
      </c>
      <c r="BI144" s="586" t="str">
        <f>_xlfn.IFS(AND($AI144=$AM144,$AI144&gt;0,$AM144&gt;0,BH144&gt;0), BH144,     AND(NOT($AI144=$AM144),$AI144&gt;0,$AM144&gt;0,BH144&gt;0), ($AM144*BH144)/$AI144,     AND($AI144=0,$AM144&gt;0,$AQ144&gt;0), IF(INDEX(BH$12:BH$263,MATCH($AQ144,$AP$12:$AP$263,0))&gt;0,($AM144*INDEX(BH$12:BH$263,MATCH($AQ144,$AP$12:$AP$263,0)))/INDEX($AI$12:$AI$263,MATCH($AQ144,$AP$12:$AP$263,0)), "-"),     TRUE, "0")</f>
        <v>0</v>
      </c>
      <c r="BJ144" s="588">
        <f>IF(BI$9&gt;0, IF(OR(BI144="",BI144="-"), 0, BI144*$AT144), BH144*$AJ144)</f>
        <v>0</v>
      </c>
      <c r="BK144" s="587">
        <f>[1]COMMANDE!Y142</f>
        <v>0</v>
      </c>
      <c r="BL144" s="586" t="str">
        <f>_xlfn.IFS(AND($AI144=$AM144,$AI144&gt;0,$AM144&gt;0,BK144&gt;0), BK144,     AND(NOT($AI144=$AM144),$AI144&gt;0,$AM144&gt;0,BK144&gt;0), ($AM144*BK144)/$AI144,     AND($AI144=0,$AM144&gt;0,$AQ144&gt;0), IF(INDEX(BK$12:BK$263,MATCH($AQ144,$AP$12:$AP$263,0))&gt;0,($AM144*INDEX(BK$12:BK$263,MATCH($AQ144,$AP$12:$AP$263,0)))/INDEX($AI$12:$AI$263,MATCH($AQ144,$AP$12:$AP$263,0)), "-"),     TRUE, "0")</f>
        <v>0</v>
      </c>
      <c r="BM144" s="607">
        <f>IF(BL$9&gt;0, IF(OR(BL144="",BL144="-"), 0, BL144*$AT144), BK144*$AJ144)</f>
        <v>0</v>
      </c>
      <c r="BN144" s="589">
        <f>[1]COMMANDE!AA142</f>
        <v>0</v>
      </c>
      <c r="BO144" s="586" t="str">
        <f>_xlfn.IFS(AND($AI144=$AM144,$AI144&gt;0,$AM144&gt;0,BN144&gt;0), BN144,     AND(NOT($AI144=$AM144),$AI144&gt;0,$AM144&gt;0,BN144&gt;0), ($AM144*BN144)/$AI144,     AND($AI144=0,$AM144&gt;0,$AQ144&gt;0), IF(INDEX(BN$12:BN$263,MATCH($AQ144,$AP$12:$AP$263,0))&gt;0,($AM144*INDEX(BN$12:BN$263,MATCH($AQ144,$AP$12:$AP$263,0)))/INDEX($AI$12:$AI$263,MATCH($AQ144,$AP$12:$AP$263,0)), "-"),     TRUE, "0")</f>
        <v>0</v>
      </c>
      <c r="BP144" s="588">
        <f>IF(BO$9&gt;0, IF(OR(BO144="",BO144="-"), 0, BO144*$AT144), BN144*$AJ144)</f>
        <v>0</v>
      </c>
      <c r="BQ144" s="587">
        <f>[1]COMMANDE!AC142</f>
        <v>0</v>
      </c>
      <c r="BR144" s="586" t="str">
        <f>_xlfn.IFS(AND($AI144=$AM144,$AI144&gt;0,$AM144&gt;0,BQ144&gt;0), BQ144,     AND(NOT($AI144=$AM144),$AI144&gt;0,$AM144&gt;0,BQ144&gt;0), ($AM144*BQ144)/$AI144,     AND($AI144=0,$AM144&gt;0,$AQ144&gt;0), IF(INDEX(BQ$12:BQ$263,MATCH($AQ144,$AP$12:$AP$263,0))&gt;0,($AM144*INDEX(BQ$12:BQ$263,MATCH($AQ144,$AP$12:$AP$263,0)))/INDEX($AI$12:$AI$263,MATCH($AQ144,$AP$12:$AP$263,0)), "-"),     TRUE, "0")</f>
        <v>0</v>
      </c>
      <c r="BS144" s="607">
        <f>IF(BR$9&gt;0, IF(OR(BR144="",BR144="-"), 0, BR144*$AT144), BQ144*$AJ144)</f>
        <v>0</v>
      </c>
      <c r="BT144" s="589">
        <f>[1]COMMANDE!AE142</f>
        <v>0</v>
      </c>
      <c r="BU144" s="586" t="str">
        <f>_xlfn.IFS(AND($AI144=$AM144,$AI144&gt;0,$AM144&gt;0,BT144&gt;0), BT144,     AND(NOT($AI144=$AM144),$AI144&gt;0,$AM144&gt;0,BT144&gt;0), ($AM144*BT144)/$AI144,     AND($AI144=0,$AM144&gt;0,$AQ144&gt;0), IF(INDEX(BT$12:BT$263,MATCH($AQ144,$AP$12:$AP$263,0))&gt;0,($AM144*INDEX(BT$12:BT$263,MATCH($AQ144,$AP$12:$AP$263,0)))/INDEX($AI$12:$AI$263,MATCH($AQ144,$AP$12:$AP$263,0)), "-"),     TRUE, "0")</f>
        <v>0</v>
      </c>
      <c r="BV144" s="588">
        <f>IF(BU$9&gt;0, IF(OR(BU144="",BU144="-"), 0, BU144*$AT144), BT144*$AJ144)</f>
        <v>0</v>
      </c>
      <c r="BW144" s="587">
        <f>[1]COMMANDE!AG142</f>
        <v>0</v>
      </c>
      <c r="BX144" s="586" t="str">
        <f>_xlfn.IFS(AND($AI144=$AM144,$AI144&gt;0,$AM144&gt;0,BW144&gt;0), BW144,     AND(NOT($AI144=$AM144),$AI144&gt;0,$AM144&gt;0,BW144&gt;0), ($AM144*BW144)/$AI144,     AND($AI144=0,$AM144&gt;0,$AQ144&gt;0), IF(INDEX(BW$12:BW$263,MATCH($AQ144,$AP$12:$AP$263,0))&gt;0,($AM144*INDEX(BW$12:BW$263,MATCH($AQ144,$AP$12:$AP$263,0)))/INDEX($AI$12:$AI$263,MATCH($AQ144,$AP$12:$AP$263,0)), "-"),     TRUE, "0")</f>
        <v>0</v>
      </c>
      <c r="BY144" s="607">
        <f>IF(BX$9&gt;0, IF(OR(BX144="",BX144="-"), 0, BX144*$AT144), BW144*$AJ144)</f>
        <v>0</v>
      </c>
      <c r="BZ144" s="589">
        <f>[1]COMMANDE!AI142</f>
        <v>0</v>
      </c>
      <c r="CA144" s="586" t="str">
        <f>_xlfn.IFS(AND($AI144=$AM144,$AI144&gt;0,$AM144&gt;0,BZ144&gt;0), BZ144,     AND(NOT($AI144=$AM144),$AI144&gt;0,$AM144&gt;0,BZ144&gt;0), ($AM144*BZ144)/$AI144,     AND($AI144=0,$AM144&gt;0,$AQ144&gt;0), IF(INDEX(BZ$12:BZ$263,MATCH($AQ144,$AP$12:$AP$263,0))&gt;0,($AM144*INDEX(BZ$12:BZ$263,MATCH($AQ144,$AP$12:$AP$263,0)))/INDEX($AI$12:$AI$263,MATCH($AQ144,$AP$12:$AP$263,0)), "-"),     TRUE, "0")</f>
        <v>0</v>
      </c>
      <c r="CB144" s="588">
        <f>IF(CA$9&gt;0, IF(OR(CA144="",CA144="-"), 0, CA144*$AT144), BZ144*$AJ144)</f>
        <v>0</v>
      </c>
      <c r="CC144" s="587">
        <f>[1]COMMANDE!AK142</f>
        <v>0</v>
      </c>
      <c r="CD144" s="586" t="str">
        <f>_xlfn.IFS(AND($AI144=$AM144,$AI144&gt;0,$AM144&gt;0,CC144&gt;0), CC144,     AND(NOT($AI144=$AM144),$AI144&gt;0,$AM144&gt;0,CC144&gt;0), ($AM144*CC144)/$AI144,     AND($AI144=0,$AM144&gt;0,$AQ144&gt;0), IF(INDEX(CC$12:CC$263,MATCH($AQ144,$AP$12:$AP$263,0))&gt;0,($AM144*INDEX(CC$12:CC$263,MATCH($AQ144,$AP$12:$AP$263,0)))/INDEX($AI$12:$AI$263,MATCH($AQ144,$AP$12:$AP$263,0)), "-"),     TRUE, "0")</f>
        <v>0</v>
      </c>
      <c r="CE144" s="607">
        <f>IF(CD$9&gt;0, IF(OR(CD144="",CD144="-"), 0, CD144*$AT144), CC144*$AJ144)</f>
        <v>0</v>
      </c>
      <c r="CF144" s="589">
        <f>[1]COMMANDE!AM142</f>
        <v>0</v>
      </c>
      <c r="CG144" s="586" t="str">
        <f>_xlfn.IFS(AND($AI144=$AM144,$AI144&gt;0,$AM144&gt;0,CF144&gt;0), CF144,     AND(NOT($AI144=$AM144),$AI144&gt;0,$AM144&gt;0,CF144&gt;0), ($AM144*CF144)/$AI144,     AND($AI144=0,$AM144&gt;0,$AQ144&gt;0), IF(INDEX(CF$12:CF$263,MATCH($AQ144,$AP$12:$AP$263,0))&gt;0,($AM144*INDEX(CF$12:CF$263,MATCH($AQ144,$AP$12:$AP$263,0)))/INDEX($AI$12:$AI$263,MATCH($AQ144,$AP$12:$AP$263,0)), "-"),     TRUE, "0")</f>
        <v>0</v>
      </c>
      <c r="CH144" s="588">
        <f>IF(CG$9&gt;0, IF(OR(CG144="",CG144="-"), 0, CG144*$AT144), CF144*$AJ144)</f>
        <v>0</v>
      </c>
      <c r="CI144" s="587">
        <f>[1]COMMANDE!AO142</f>
        <v>0</v>
      </c>
      <c r="CJ144" s="586" t="str">
        <f>_xlfn.IFS(AND($AI144=$AM144,$AI144&gt;0,$AM144&gt;0,CI144&gt;0), CI144,     AND(NOT($AI144=$AM144),$AI144&gt;0,$AM144&gt;0,CI144&gt;0), ($AM144*CI144)/$AI144,     AND($AI144=0,$AM144&gt;0,$AQ144&gt;0), IF(INDEX(CI$12:CI$263,MATCH($AQ144,$AP$12:$AP$263,0))&gt;0,($AM144*INDEX(CI$12:CI$263,MATCH($AQ144,$AP$12:$AP$263,0)))/INDEX($AI$12:$AI$263,MATCH($AQ144,$AP$12:$AP$263,0)), "-"),     TRUE, "0")</f>
        <v>0</v>
      </c>
      <c r="CK144" s="607">
        <f>IF(CJ$9&gt;0, IF(OR(CJ144="",CJ144="-"), 0, CJ144*$AT144), CI144*$AJ144)</f>
        <v>0</v>
      </c>
      <c r="CL144" s="589">
        <f>[1]COMMANDE!AQ142</f>
        <v>0</v>
      </c>
      <c r="CM144" s="586" t="str">
        <f>_xlfn.IFS(AND($AI144=$AM144,$AI144&gt;0,$AM144&gt;0,CL144&gt;0), CL144,     AND(NOT($AI144=$AM144),$AI144&gt;0,$AM144&gt;0,CL144&gt;0), ($AM144*CL144)/$AI144,     AND($AI144=0,$AM144&gt;0,$AQ144&gt;0), IF(INDEX(CL$12:CL$263,MATCH($AQ144,$AP$12:$AP$263,0))&gt;0,($AM144*INDEX(CL$12:CL$263,MATCH($AQ144,$AP$12:$AP$263,0)))/INDEX($AI$12:$AI$263,MATCH($AQ144,$AP$12:$AP$263,0)), "-"),     TRUE, "0")</f>
        <v>0</v>
      </c>
      <c r="CN144" s="588">
        <f>IF(CM$9&gt;0, IF(OR(CM144="",CM144="-"), 0, CM144*$AT144), CL144*$AJ144)</f>
        <v>0</v>
      </c>
      <c r="CO144" s="587">
        <f>[1]COMMANDE!AS142</f>
        <v>0</v>
      </c>
      <c r="CP144" s="586" t="str">
        <f>_xlfn.IFS(AND($AI144=$AM144,$AI144&gt;0,$AM144&gt;0,CO144&gt;0), CO144,     AND(NOT($AI144=$AM144),$AI144&gt;0,$AM144&gt;0,CO144&gt;0), ($AM144*CO144)/$AI144,     AND($AI144=0,$AM144&gt;0,$AQ144&gt;0), IF(INDEX(CO$12:CO$263,MATCH($AQ144,$AP$12:$AP$263,0))&gt;0,($AM144*INDEX(CO$12:CO$263,MATCH($AQ144,$AP$12:$AP$263,0)))/INDEX($AI$12:$AI$263,MATCH($AQ144,$AP$12:$AP$263,0)), "-"),     TRUE, "0")</f>
        <v>0</v>
      </c>
      <c r="CQ144" s="607">
        <f>IF(CP$9&gt;0, IF(OR(CP144="",CP144="-"), 0, CP144*$AT144), CO144*$AJ144)</f>
        <v>0</v>
      </c>
      <c r="CR144" s="589">
        <f>[1]COMMANDE!AU142</f>
        <v>0</v>
      </c>
      <c r="CS144" s="586" t="str">
        <f>_xlfn.IFS(AND($AI144=$AM144,$AI144&gt;0,$AM144&gt;0,CR144&gt;0), CR144,     AND(NOT($AI144=$AM144),$AI144&gt;0,$AM144&gt;0,CR144&gt;0), ($AM144*CR144)/$AI144,     AND($AI144=0,$AM144&gt;0,$AQ144&gt;0), IF(INDEX(CR$12:CR$263,MATCH($AQ144,$AP$12:$AP$263,0))&gt;0,($AM144*INDEX(CR$12:CR$263,MATCH($AQ144,$AP$12:$AP$263,0)))/INDEX($AI$12:$AI$263,MATCH($AQ144,$AP$12:$AP$263,0)), "-"),     TRUE, "0")</f>
        <v>0</v>
      </c>
      <c r="CT144" s="588">
        <f>IF(CS$9&gt;0, IF(OR(CS144="",CS144="-"), 0, CS144*$AT144), CR144*$AJ144)</f>
        <v>0</v>
      </c>
      <c r="CU144" s="587">
        <f>[1]COMMANDE!AW142</f>
        <v>0</v>
      </c>
      <c r="CV144" s="586" t="str">
        <f>_xlfn.IFS(AND($AI144=$AM144,$AI144&gt;0,$AM144&gt;0,CU144&gt;0), CU144,     AND(NOT($AI144=$AM144),$AI144&gt;0,$AM144&gt;0,CU144&gt;0), ($AM144*CU144)/$AI144,     AND($AI144=0,$AM144&gt;0,$AQ144&gt;0), IF(INDEX(CU$12:CU$263,MATCH($AQ144,$AP$12:$AP$263,0))&gt;0,($AM144*INDEX(CU$12:CU$263,MATCH($AQ144,$AP$12:$AP$263,0)))/INDEX($AI$12:$AI$263,MATCH($AQ144,$AP$12:$AP$263,0)), "-"),     TRUE, "0")</f>
        <v>0</v>
      </c>
      <c r="CW144" s="607">
        <f>IF(CV$9&gt;0, IF(OR(CV144="",CV144="-"), 0, CV144*$AT144), CU144*$AJ144)</f>
        <v>0</v>
      </c>
      <c r="CX144" s="589">
        <f>[1]COMMANDE!AY142</f>
        <v>0</v>
      </c>
      <c r="CY144" s="586" t="str">
        <f>_xlfn.IFS(AND($AI144=$AM144,$AI144&gt;0,$AM144&gt;0,CX144&gt;0), CX144,     AND(NOT($AI144=$AM144),$AI144&gt;0,$AM144&gt;0,CX144&gt;0), ($AM144*CX144)/$AI144,     AND($AI144=0,$AM144&gt;0,$AQ144&gt;0), IF(INDEX(CX$12:CX$263,MATCH($AQ144,$AP$12:$AP$263,0))&gt;0,($AM144*INDEX(CX$12:CX$263,MATCH($AQ144,$AP$12:$AP$263,0)))/INDEX($AI$12:$AI$263,MATCH($AQ144,$AP$12:$AP$263,0)), "-"),     TRUE, "0")</f>
        <v>0</v>
      </c>
      <c r="CZ144" s="588">
        <f>IF(CY$9&gt;0, IF(OR(CY144="",CY144="-"), 0, CY144*$AT144), CX144*$AJ144)</f>
        <v>0</v>
      </c>
      <c r="DA144" s="587">
        <f>[1]COMMANDE!BA142</f>
        <v>0</v>
      </c>
      <c r="DB144" s="586" t="str">
        <f>_xlfn.IFS(AND($AI144=$AM144,$AI144&gt;0,$AM144&gt;0,DA144&gt;0), DA144,     AND(NOT($AI144=$AM144),$AI144&gt;0,$AM144&gt;0,DA144&gt;0), ($AM144*DA144)/$AI144,     AND($AI144=0,$AM144&gt;0,$AQ144&gt;0), IF(INDEX(DA$12:DA$263,MATCH($AQ144,$AP$12:$AP$263,0))&gt;0,($AM144*INDEX(DA$12:DA$263,MATCH($AQ144,$AP$12:$AP$263,0)))/INDEX($AI$12:$AI$263,MATCH($AQ144,$AP$12:$AP$263,0)), "-"),     TRUE, "0")</f>
        <v>0</v>
      </c>
      <c r="DC144" s="606">
        <f>IF(DB$9&gt;0, IF(OR(DB144="",DB144="-"), 0, DB144*$AT144), DA144*$AJ144)</f>
        <v>0</v>
      </c>
      <c r="DD144" s="584"/>
      <c r="DE144" s="583"/>
    </row>
    <row r="145" spans="1:128" ht="39.950000000000003" hidden="1" customHeight="1">
      <c r="A145" s="604">
        <f>IF(OR($AV145&gt;0, $AX145&gt;0), 1, 0)</f>
        <v>0</v>
      </c>
      <c r="B145" s="604">
        <f>IF(OR($AY145&gt;0, $BA145&gt;0), 1, 0)</f>
        <v>0</v>
      </c>
      <c r="C145" s="604">
        <f>IF(OR($BB145&gt;0, $BD145&gt;0), 1, 0)</f>
        <v>0</v>
      </c>
      <c r="D145" s="604">
        <f>IF(OR($BE145&gt;0, $BG145&gt;0), 1, 0)</f>
        <v>0</v>
      </c>
      <c r="E145" s="604">
        <f>IF(OR($BH145&gt;0, $BJ145&gt;0), 1, 0)</f>
        <v>0</v>
      </c>
      <c r="F145" s="604">
        <f>IF(OR($BK145&gt;0, $BM145&gt;0), 1, 0)</f>
        <v>0</v>
      </c>
      <c r="G145" s="604">
        <f>IF(OR($BN145&gt;0, $BP145&gt;0), 1, 0)</f>
        <v>0</v>
      </c>
      <c r="H145" s="604">
        <f>IF(OR($BQ145&gt;0, $BS145&gt;0), 1, 0)</f>
        <v>0</v>
      </c>
      <c r="I145" s="604">
        <f>IF(OR($BT145&gt;0, $BV145&gt;0), 1, 0)</f>
        <v>0</v>
      </c>
      <c r="J145" s="604">
        <f>IF(OR($BW145&gt;0, $BY145&gt;0), 1, 0)</f>
        <v>0</v>
      </c>
      <c r="K145" s="604">
        <f>IF(OR($BZ145&gt;0, $CB145&gt;0), 1, 0)</f>
        <v>0</v>
      </c>
      <c r="L145" s="604">
        <f>IF(OR($CC145&gt;0, $CE145&gt;0), 1, 0)</f>
        <v>0</v>
      </c>
      <c r="M145" s="604">
        <f>IF(OR($CF145&gt;0, $CH145&gt;0), 1, 0)</f>
        <v>0</v>
      </c>
      <c r="N145" s="604">
        <f>IF(OR($CI145&gt;0, $CK145&gt;0), 1, 0)</f>
        <v>0</v>
      </c>
      <c r="O145" s="604">
        <f>IF(OR($CL145&gt;0, $CN145&gt;0), 1, 0)</f>
        <v>0</v>
      </c>
      <c r="P145" s="604">
        <f>IF(OR($CO145&gt;0, $CQ145&gt;0), 1, 0)</f>
        <v>0</v>
      </c>
      <c r="Q145" s="604">
        <f>IF(OR($CR145&gt;0, $CT145&gt;0), 1, 0)</f>
        <v>0</v>
      </c>
      <c r="R145" s="604">
        <f>IF(OR($CU145&gt;0, $CW145&gt;0), 1, 0)</f>
        <v>0</v>
      </c>
      <c r="S145" s="604">
        <f>IF(OR($CX145&gt;0, $CZ145&gt;0), 1, 0)</f>
        <v>0</v>
      </c>
      <c r="T145" s="604">
        <f>IF(OR($DA145&gt;0, $DC145&gt;0), 1, 0)</f>
        <v>0</v>
      </c>
      <c r="U145" s="603">
        <f>IF(OR($AI145&gt;0,$AM145&gt;0,$AS145&gt;0), 1, 0)</f>
        <v>0</v>
      </c>
      <c r="V145" s="602">
        <f>[1]BDD!A135</f>
        <v>6126</v>
      </c>
      <c r="W145" s="601" t="str">
        <f>[1]BDD!B135</f>
        <v>Laitue Maravilla de Verano Neruda BIO (production Rufino)</v>
      </c>
      <c r="X145" s="600" t="str">
        <f>IF([1]BDD!F135=0, "", [1]BDD!F135)</f>
        <v/>
      </c>
      <c r="Y145" s="542">
        <f>ROUND([1]BDD!G135+FDP_CMD_KG, 2)</f>
        <v>2.09</v>
      </c>
      <c r="Z145" s="542">
        <f>ROUND([1]BDD!G135+FDP_FACT_KG, 2)</f>
        <v>2.09</v>
      </c>
      <c r="AA145" s="543" t="str">
        <f>[1]BDD!H135</f>
        <v>Pièce</v>
      </c>
      <c r="AB145" s="544">
        <f>IF(NOT(ISBLANK([1]BDD!I135)), ROUND(SUM(([1]BDD!G135*reduc1),FDP_CMD_KG), 2), "")</f>
        <v>1.97</v>
      </c>
      <c r="AC145" s="544" t="str">
        <f>IF(NOT(ISBLANK([1]BDD!J135)), ROUND(SUM(([1]BDD!G135*reduc2),FDP_CMD_KG), 2), "")</f>
        <v/>
      </c>
      <c r="AD145" s="544" t="str">
        <f>IF(NOT(ISBLANK([1]BDD!K135)), ROUND(SUM(([1]BDD!G135*reduc3),FDP_CMD_KG), 2), "")</f>
        <v/>
      </c>
      <c r="AE145" s="544">
        <f>IF(NOT(ISBLANK([1]BDD!I135)), ROUND(SUM(([1]BDD!G135*reduc1),FDP_FACT_KG), 2), "")</f>
        <v>1.96</v>
      </c>
      <c r="AF145" s="544" t="str">
        <f>IF(NOT(ISBLANK([1]BDD!J135)), ROUND(SUM(([1]BDD!G135*reduc2),FDP_FACT_KG), 2), "")</f>
        <v/>
      </c>
      <c r="AG145" s="544" t="str">
        <f>IF(NOT(ISBLANK([1]BDD!K135)), ROUND(SUM(([1]BDD!G135*reduc3),FDP_FACT_KG), 2), "")</f>
        <v/>
      </c>
      <c r="AH145" s="599" t="str">
        <f>[1]BDD!C135</f>
        <v>Grenade</v>
      </c>
      <c r="AI145" s="598">
        <f>SUM(AV145,AY145,BB145,BE145,BH145,BK145,BN145,BQ145,BT145,BW145,BZ145,CC145,CF145,CI145,CL145,CO145,CR145,CU145,CX145,DA145)</f>
        <v>0</v>
      </c>
      <c r="AJ145" s="545">
        <f>_xlfn.IFS($AD145&lt;&gt;"", $AD145,    $AC145&lt;&gt;"", $AC145,    $AB145&lt;&gt;"", $AB145,    TRUE, $Y145)</f>
        <v>1.97</v>
      </c>
      <c r="AK145" s="592">
        <f>$AI145*$AJ145</f>
        <v>0</v>
      </c>
      <c r="AL145" s="594"/>
      <c r="AM145" s="597"/>
      <c r="AN145" s="545">
        <f>_xlfn.IFS(AND(AM145&gt;=60,$AG145&lt;&gt;""), $AG145,    AND(AM145&gt;=30,$AF145&lt;&gt;""), $AF145,    AND(AM145&gt;=10,$AE145&lt;&gt;""), $AE145,    TRUE, $Z145)</f>
        <v>2.09</v>
      </c>
      <c r="AO145" s="596">
        <f>AM145*AN145</f>
        <v>0</v>
      </c>
      <c r="AP145" s="595"/>
      <c r="AQ145" s="595"/>
      <c r="AR145" s="594"/>
      <c r="AS145" s="593">
        <f>SUM(AW145,AZ145,BC145,BF145,BI145,BL145,BO145,BR145,BU145,BX145,CA145,CD145,CG145,CJ145,CM145,CP145,CS145,CV145,CY145,DB145)</f>
        <v>0</v>
      </c>
      <c r="AT145" s="545">
        <f>_xlfn.IFS(AND(AS145&gt;=60,$AG145&lt;&gt;""), $AG145,    AND(AS145&gt;=30,$AF145&lt;&gt;""), $AF145,    AND(AS145&gt;=10,$AE145&lt;&gt;""), $AE145,    TRUE, $Z145)</f>
        <v>2.09</v>
      </c>
      <c r="AU145" s="592">
        <f>$AS145*$AT145</f>
        <v>0</v>
      </c>
      <c r="AV145" s="591">
        <f>[1]COMMANDE!O143</f>
        <v>0</v>
      </c>
      <c r="AW145" s="586" t="str">
        <f>_xlfn.IFS(AND($AI145=$AM145,$AI145&gt;0,$AM145&gt;0,AV145&gt;0), AV145,     AND(NOT($AI145=$AM145),$AI145&gt;0,$AM145&gt;0,AV145&gt;0), ($AM145*AV145)/$AI145,     AND($AI145=0,$AM145&gt;0,$AQ145&gt;0), IF(INDEX(AV$12:AV$263,MATCH($AQ145,$AP$12:$AP$263,0))&gt;0,($AM145*INDEX(AV$12:AV$263,MATCH($AQ145,$AP$12:$AP$263,0)))/INDEX($AI$12:$AI$263,MATCH($AQ145,$AP$12:$AP$263,0)), "-"),     TRUE, "0")</f>
        <v>0</v>
      </c>
      <c r="AX145" s="588">
        <f>IF(AW$9&gt;0, IF(OR(AW145="",AW145="-"), 0, AW145*$AT145), AV145*$AJ145)</f>
        <v>0</v>
      </c>
      <c r="AY145" s="587">
        <f>[1]COMMANDE!Q143</f>
        <v>0</v>
      </c>
      <c r="AZ145" s="586" t="str">
        <f>_xlfn.IFS(AND($AI145=$AM145,$AI145&gt;0,$AM145&gt;0,AY145&gt;0), AY145,     AND(NOT($AI145=$AM145),$AI145&gt;0,$AM145&gt;0,AY145&gt;0), ($AM145*AY145)/$AI145,     AND($AI145=0,$AM145&gt;0,$AQ145&gt;0), IF(INDEX(AY$12:AY$263,MATCH($AQ145,$AP$12:$AP$263,0))&gt;0,($AM145*INDEX(AY$12:AY$263,MATCH($AQ145,$AP$12:$AP$263,0)))/INDEX($AI$12:$AI$263,MATCH($AQ145,$AP$12:$AP$263,0)), "-"),     TRUE, "0")</f>
        <v>0</v>
      </c>
      <c r="BA145" s="607">
        <f>IF(AZ$9&gt;0, IF(OR(AZ145="",AZ145="-"), 0, AZ145*$AT145), AY145*$AJ145)</f>
        <v>0</v>
      </c>
      <c r="BB145" s="589">
        <f>[1]COMMANDE!S143</f>
        <v>0</v>
      </c>
      <c r="BC145" s="586" t="str">
        <f>_xlfn.IFS(AND($AI145=$AM145,$AI145&gt;0,$AM145&gt;0,BB145&gt;0), BB145,     AND(NOT($AI145=$AM145),$AI145&gt;0,$AM145&gt;0,BB145&gt;0), ($AM145*BB145)/$AI145,     AND($AI145=0,$AM145&gt;0,$AQ145&gt;0), IF(INDEX(BB$12:BB$263,MATCH($AQ145,$AP$12:$AP$263,0))&gt;0,($AM145*INDEX(BB$12:BB$263,MATCH($AQ145,$AP$12:$AP$263,0)))/INDEX($AI$12:$AI$263,MATCH($AQ145,$AP$12:$AP$263,0)), "-"),     TRUE, "0")</f>
        <v>0</v>
      </c>
      <c r="BD145" s="588">
        <f>IF(BC$9&gt;0, IF(OR(BC145="",BC145="-"), 0, BC145*$AT145), BB145*$AJ145)</f>
        <v>0</v>
      </c>
      <c r="BE145" s="587">
        <f>[1]COMMANDE!U143</f>
        <v>0</v>
      </c>
      <c r="BF145" s="586" t="str">
        <f>_xlfn.IFS(AND($AI145=$AM145,$AI145&gt;0,$AM145&gt;0,BE145&gt;0), BE145,     AND(NOT($AI145=$AM145),$AI145&gt;0,$AM145&gt;0,BE145&gt;0), ($AM145*BE145)/$AI145,     AND($AI145=0,$AM145&gt;0,$AQ145&gt;0), IF(INDEX(BE$12:BE$263,MATCH($AQ145,$AP$12:$AP$263,0))&gt;0,($AM145*INDEX(BE$12:BE$263,MATCH($AQ145,$AP$12:$AP$263,0)))/INDEX($AI$12:$AI$263,MATCH($AQ145,$AP$12:$AP$263,0)), "-"),     TRUE, "0")</f>
        <v>0</v>
      </c>
      <c r="BG145" s="607">
        <f>IF(BF$9&gt;0, IF(OR(BF145="",BF145="-"), 0, BF145*$AT145), BE145*$AJ145)</f>
        <v>0</v>
      </c>
      <c r="BH145" s="589">
        <f>[1]COMMANDE!W143</f>
        <v>0</v>
      </c>
      <c r="BI145" s="586" t="str">
        <f>_xlfn.IFS(AND($AI145=$AM145,$AI145&gt;0,$AM145&gt;0,BH145&gt;0), BH145,     AND(NOT($AI145=$AM145),$AI145&gt;0,$AM145&gt;0,BH145&gt;0), ($AM145*BH145)/$AI145,     AND($AI145=0,$AM145&gt;0,$AQ145&gt;0), IF(INDEX(BH$12:BH$263,MATCH($AQ145,$AP$12:$AP$263,0))&gt;0,($AM145*INDEX(BH$12:BH$263,MATCH($AQ145,$AP$12:$AP$263,0)))/INDEX($AI$12:$AI$263,MATCH($AQ145,$AP$12:$AP$263,0)), "-"),     TRUE, "0")</f>
        <v>0</v>
      </c>
      <c r="BJ145" s="588">
        <f>IF(BI$9&gt;0, IF(OR(BI145="",BI145="-"), 0, BI145*$AT145), BH145*$AJ145)</f>
        <v>0</v>
      </c>
      <c r="BK145" s="587">
        <f>[1]COMMANDE!Y143</f>
        <v>0</v>
      </c>
      <c r="BL145" s="586" t="str">
        <f>_xlfn.IFS(AND($AI145=$AM145,$AI145&gt;0,$AM145&gt;0,BK145&gt;0), BK145,     AND(NOT($AI145=$AM145),$AI145&gt;0,$AM145&gt;0,BK145&gt;0), ($AM145*BK145)/$AI145,     AND($AI145=0,$AM145&gt;0,$AQ145&gt;0), IF(INDEX(BK$12:BK$263,MATCH($AQ145,$AP$12:$AP$263,0))&gt;0,($AM145*INDEX(BK$12:BK$263,MATCH($AQ145,$AP$12:$AP$263,0)))/INDEX($AI$12:$AI$263,MATCH($AQ145,$AP$12:$AP$263,0)), "-"),     TRUE, "0")</f>
        <v>0</v>
      </c>
      <c r="BM145" s="607">
        <f>IF(BL$9&gt;0, IF(OR(BL145="",BL145="-"), 0, BL145*$AT145), BK145*$AJ145)</f>
        <v>0</v>
      </c>
      <c r="BN145" s="589">
        <f>[1]COMMANDE!AA143</f>
        <v>0</v>
      </c>
      <c r="BO145" s="586" t="str">
        <f>_xlfn.IFS(AND($AI145=$AM145,$AI145&gt;0,$AM145&gt;0,BN145&gt;0), BN145,     AND(NOT($AI145=$AM145),$AI145&gt;0,$AM145&gt;0,BN145&gt;0), ($AM145*BN145)/$AI145,     AND($AI145=0,$AM145&gt;0,$AQ145&gt;0), IF(INDEX(BN$12:BN$263,MATCH($AQ145,$AP$12:$AP$263,0))&gt;0,($AM145*INDEX(BN$12:BN$263,MATCH($AQ145,$AP$12:$AP$263,0)))/INDEX($AI$12:$AI$263,MATCH($AQ145,$AP$12:$AP$263,0)), "-"),     TRUE, "0")</f>
        <v>0</v>
      </c>
      <c r="BP145" s="588">
        <f>IF(BO$9&gt;0, IF(OR(BO145="",BO145="-"), 0, BO145*$AT145), BN145*$AJ145)</f>
        <v>0</v>
      </c>
      <c r="BQ145" s="587">
        <f>[1]COMMANDE!AC143</f>
        <v>0</v>
      </c>
      <c r="BR145" s="586" t="str">
        <f>_xlfn.IFS(AND($AI145=$AM145,$AI145&gt;0,$AM145&gt;0,BQ145&gt;0), BQ145,     AND(NOT($AI145=$AM145),$AI145&gt;0,$AM145&gt;0,BQ145&gt;0), ($AM145*BQ145)/$AI145,     AND($AI145=0,$AM145&gt;0,$AQ145&gt;0), IF(INDEX(BQ$12:BQ$263,MATCH($AQ145,$AP$12:$AP$263,0))&gt;0,($AM145*INDEX(BQ$12:BQ$263,MATCH($AQ145,$AP$12:$AP$263,0)))/INDEX($AI$12:$AI$263,MATCH($AQ145,$AP$12:$AP$263,0)), "-"),     TRUE, "0")</f>
        <v>0</v>
      </c>
      <c r="BS145" s="607">
        <f>IF(BR$9&gt;0, IF(OR(BR145="",BR145="-"), 0, BR145*$AT145), BQ145*$AJ145)</f>
        <v>0</v>
      </c>
      <c r="BT145" s="589">
        <f>[1]COMMANDE!AE143</f>
        <v>0</v>
      </c>
      <c r="BU145" s="586" t="str">
        <f>_xlfn.IFS(AND($AI145=$AM145,$AI145&gt;0,$AM145&gt;0,BT145&gt;0), BT145,     AND(NOT($AI145=$AM145),$AI145&gt;0,$AM145&gt;0,BT145&gt;0), ($AM145*BT145)/$AI145,     AND($AI145=0,$AM145&gt;0,$AQ145&gt;0), IF(INDEX(BT$12:BT$263,MATCH($AQ145,$AP$12:$AP$263,0))&gt;0,($AM145*INDEX(BT$12:BT$263,MATCH($AQ145,$AP$12:$AP$263,0)))/INDEX($AI$12:$AI$263,MATCH($AQ145,$AP$12:$AP$263,0)), "-"),     TRUE, "0")</f>
        <v>0</v>
      </c>
      <c r="BV145" s="588">
        <f>IF(BU$9&gt;0, IF(OR(BU145="",BU145="-"), 0, BU145*$AT145), BT145*$AJ145)</f>
        <v>0</v>
      </c>
      <c r="BW145" s="587">
        <f>[1]COMMANDE!AG143</f>
        <v>0</v>
      </c>
      <c r="BX145" s="586" t="str">
        <f>_xlfn.IFS(AND($AI145=$AM145,$AI145&gt;0,$AM145&gt;0,BW145&gt;0), BW145,     AND(NOT($AI145=$AM145),$AI145&gt;0,$AM145&gt;0,BW145&gt;0), ($AM145*BW145)/$AI145,     AND($AI145=0,$AM145&gt;0,$AQ145&gt;0), IF(INDEX(BW$12:BW$263,MATCH($AQ145,$AP$12:$AP$263,0))&gt;0,($AM145*INDEX(BW$12:BW$263,MATCH($AQ145,$AP$12:$AP$263,0)))/INDEX($AI$12:$AI$263,MATCH($AQ145,$AP$12:$AP$263,0)), "-"),     TRUE, "0")</f>
        <v>0</v>
      </c>
      <c r="BY145" s="607">
        <f>IF(BX$9&gt;0, IF(OR(BX145="",BX145="-"), 0, BX145*$AT145), BW145*$AJ145)</f>
        <v>0</v>
      </c>
      <c r="BZ145" s="589">
        <f>[1]COMMANDE!AI143</f>
        <v>0</v>
      </c>
      <c r="CA145" s="586" t="str">
        <f>_xlfn.IFS(AND($AI145=$AM145,$AI145&gt;0,$AM145&gt;0,BZ145&gt;0), BZ145,     AND(NOT($AI145=$AM145),$AI145&gt;0,$AM145&gt;0,BZ145&gt;0), ($AM145*BZ145)/$AI145,     AND($AI145=0,$AM145&gt;0,$AQ145&gt;0), IF(INDEX(BZ$12:BZ$263,MATCH($AQ145,$AP$12:$AP$263,0))&gt;0,($AM145*INDEX(BZ$12:BZ$263,MATCH($AQ145,$AP$12:$AP$263,0)))/INDEX($AI$12:$AI$263,MATCH($AQ145,$AP$12:$AP$263,0)), "-"),     TRUE, "0")</f>
        <v>0</v>
      </c>
      <c r="CB145" s="588">
        <f>IF(CA$9&gt;0, IF(OR(CA145="",CA145="-"), 0, CA145*$AT145), BZ145*$AJ145)</f>
        <v>0</v>
      </c>
      <c r="CC145" s="587">
        <f>[1]COMMANDE!AK143</f>
        <v>0</v>
      </c>
      <c r="CD145" s="586" t="str">
        <f>_xlfn.IFS(AND($AI145=$AM145,$AI145&gt;0,$AM145&gt;0,CC145&gt;0), CC145,     AND(NOT($AI145=$AM145),$AI145&gt;0,$AM145&gt;0,CC145&gt;0), ($AM145*CC145)/$AI145,     AND($AI145=0,$AM145&gt;0,$AQ145&gt;0), IF(INDEX(CC$12:CC$263,MATCH($AQ145,$AP$12:$AP$263,0))&gt;0,($AM145*INDEX(CC$12:CC$263,MATCH($AQ145,$AP$12:$AP$263,0)))/INDEX($AI$12:$AI$263,MATCH($AQ145,$AP$12:$AP$263,0)), "-"),     TRUE, "0")</f>
        <v>0</v>
      </c>
      <c r="CE145" s="607">
        <f>IF(CD$9&gt;0, IF(OR(CD145="",CD145="-"), 0, CD145*$AT145), CC145*$AJ145)</f>
        <v>0</v>
      </c>
      <c r="CF145" s="589">
        <f>[1]COMMANDE!AM143</f>
        <v>0</v>
      </c>
      <c r="CG145" s="586" t="str">
        <f>_xlfn.IFS(AND($AI145=$AM145,$AI145&gt;0,$AM145&gt;0,CF145&gt;0), CF145,     AND(NOT($AI145=$AM145),$AI145&gt;0,$AM145&gt;0,CF145&gt;0), ($AM145*CF145)/$AI145,     AND($AI145=0,$AM145&gt;0,$AQ145&gt;0), IF(INDEX(CF$12:CF$263,MATCH($AQ145,$AP$12:$AP$263,0))&gt;0,($AM145*INDEX(CF$12:CF$263,MATCH($AQ145,$AP$12:$AP$263,0)))/INDEX($AI$12:$AI$263,MATCH($AQ145,$AP$12:$AP$263,0)), "-"),     TRUE, "0")</f>
        <v>0</v>
      </c>
      <c r="CH145" s="588">
        <f>IF(CG$9&gt;0, IF(OR(CG145="",CG145="-"), 0, CG145*$AT145), CF145*$AJ145)</f>
        <v>0</v>
      </c>
      <c r="CI145" s="587">
        <f>[1]COMMANDE!AO143</f>
        <v>0</v>
      </c>
      <c r="CJ145" s="586" t="str">
        <f>_xlfn.IFS(AND($AI145=$AM145,$AI145&gt;0,$AM145&gt;0,CI145&gt;0), CI145,     AND(NOT($AI145=$AM145),$AI145&gt;0,$AM145&gt;0,CI145&gt;0), ($AM145*CI145)/$AI145,     AND($AI145=0,$AM145&gt;0,$AQ145&gt;0), IF(INDEX(CI$12:CI$263,MATCH($AQ145,$AP$12:$AP$263,0))&gt;0,($AM145*INDEX(CI$12:CI$263,MATCH($AQ145,$AP$12:$AP$263,0)))/INDEX($AI$12:$AI$263,MATCH($AQ145,$AP$12:$AP$263,0)), "-"),     TRUE, "0")</f>
        <v>0</v>
      </c>
      <c r="CK145" s="607">
        <f>IF(CJ$9&gt;0, IF(OR(CJ145="",CJ145="-"), 0, CJ145*$AT145), CI145*$AJ145)</f>
        <v>0</v>
      </c>
      <c r="CL145" s="589">
        <f>[1]COMMANDE!AQ143</f>
        <v>0</v>
      </c>
      <c r="CM145" s="586" t="str">
        <f>_xlfn.IFS(AND($AI145=$AM145,$AI145&gt;0,$AM145&gt;0,CL145&gt;0), CL145,     AND(NOT($AI145=$AM145),$AI145&gt;0,$AM145&gt;0,CL145&gt;0), ($AM145*CL145)/$AI145,     AND($AI145=0,$AM145&gt;0,$AQ145&gt;0), IF(INDEX(CL$12:CL$263,MATCH($AQ145,$AP$12:$AP$263,0))&gt;0,($AM145*INDEX(CL$12:CL$263,MATCH($AQ145,$AP$12:$AP$263,0)))/INDEX($AI$12:$AI$263,MATCH($AQ145,$AP$12:$AP$263,0)), "-"),     TRUE, "0")</f>
        <v>0</v>
      </c>
      <c r="CN145" s="588">
        <f>IF(CM$9&gt;0, IF(OR(CM145="",CM145="-"), 0, CM145*$AT145), CL145*$AJ145)</f>
        <v>0</v>
      </c>
      <c r="CO145" s="587">
        <f>[1]COMMANDE!AS143</f>
        <v>0</v>
      </c>
      <c r="CP145" s="586" t="str">
        <f>_xlfn.IFS(AND($AI145=$AM145,$AI145&gt;0,$AM145&gt;0,CO145&gt;0), CO145,     AND(NOT($AI145=$AM145),$AI145&gt;0,$AM145&gt;0,CO145&gt;0), ($AM145*CO145)/$AI145,     AND($AI145=0,$AM145&gt;0,$AQ145&gt;0), IF(INDEX(CO$12:CO$263,MATCH($AQ145,$AP$12:$AP$263,0))&gt;0,($AM145*INDEX(CO$12:CO$263,MATCH($AQ145,$AP$12:$AP$263,0)))/INDEX($AI$12:$AI$263,MATCH($AQ145,$AP$12:$AP$263,0)), "-"),     TRUE, "0")</f>
        <v>0</v>
      </c>
      <c r="CQ145" s="607">
        <f>IF(CP$9&gt;0, IF(OR(CP145="",CP145="-"), 0, CP145*$AT145), CO145*$AJ145)</f>
        <v>0</v>
      </c>
      <c r="CR145" s="589">
        <f>[1]COMMANDE!AU143</f>
        <v>0</v>
      </c>
      <c r="CS145" s="586" t="str">
        <f>_xlfn.IFS(AND($AI145=$AM145,$AI145&gt;0,$AM145&gt;0,CR145&gt;0), CR145,     AND(NOT($AI145=$AM145),$AI145&gt;0,$AM145&gt;0,CR145&gt;0), ($AM145*CR145)/$AI145,     AND($AI145=0,$AM145&gt;0,$AQ145&gt;0), IF(INDEX(CR$12:CR$263,MATCH($AQ145,$AP$12:$AP$263,0))&gt;0,($AM145*INDEX(CR$12:CR$263,MATCH($AQ145,$AP$12:$AP$263,0)))/INDEX($AI$12:$AI$263,MATCH($AQ145,$AP$12:$AP$263,0)), "-"),     TRUE, "0")</f>
        <v>0</v>
      </c>
      <c r="CT145" s="588">
        <f>IF(CS$9&gt;0, IF(OR(CS145="",CS145="-"), 0, CS145*$AT145), CR145*$AJ145)</f>
        <v>0</v>
      </c>
      <c r="CU145" s="587">
        <f>[1]COMMANDE!AW143</f>
        <v>0</v>
      </c>
      <c r="CV145" s="586" t="str">
        <f>_xlfn.IFS(AND($AI145=$AM145,$AI145&gt;0,$AM145&gt;0,CU145&gt;0), CU145,     AND(NOT($AI145=$AM145),$AI145&gt;0,$AM145&gt;0,CU145&gt;0), ($AM145*CU145)/$AI145,     AND($AI145=0,$AM145&gt;0,$AQ145&gt;0), IF(INDEX(CU$12:CU$263,MATCH($AQ145,$AP$12:$AP$263,0))&gt;0,($AM145*INDEX(CU$12:CU$263,MATCH($AQ145,$AP$12:$AP$263,0)))/INDEX($AI$12:$AI$263,MATCH($AQ145,$AP$12:$AP$263,0)), "-"),     TRUE, "0")</f>
        <v>0</v>
      </c>
      <c r="CW145" s="607">
        <f>IF(CV$9&gt;0, IF(OR(CV145="",CV145="-"), 0, CV145*$AT145), CU145*$AJ145)</f>
        <v>0</v>
      </c>
      <c r="CX145" s="589">
        <f>[1]COMMANDE!AY143</f>
        <v>0</v>
      </c>
      <c r="CY145" s="586" t="str">
        <f>_xlfn.IFS(AND($AI145=$AM145,$AI145&gt;0,$AM145&gt;0,CX145&gt;0), CX145,     AND(NOT($AI145=$AM145),$AI145&gt;0,$AM145&gt;0,CX145&gt;0), ($AM145*CX145)/$AI145,     AND($AI145=0,$AM145&gt;0,$AQ145&gt;0), IF(INDEX(CX$12:CX$263,MATCH($AQ145,$AP$12:$AP$263,0))&gt;0,($AM145*INDEX(CX$12:CX$263,MATCH($AQ145,$AP$12:$AP$263,0)))/INDEX($AI$12:$AI$263,MATCH($AQ145,$AP$12:$AP$263,0)), "-"),     TRUE, "0")</f>
        <v>0</v>
      </c>
      <c r="CZ145" s="588">
        <f>IF(CY$9&gt;0, IF(OR(CY145="",CY145="-"), 0, CY145*$AT145), CX145*$AJ145)</f>
        <v>0</v>
      </c>
      <c r="DA145" s="587">
        <f>[1]COMMANDE!BA143</f>
        <v>0</v>
      </c>
      <c r="DB145" s="586" t="str">
        <f>_xlfn.IFS(AND($AI145=$AM145,$AI145&gt;0,$AM145&gt;0,DA145&gt;0), DA145,     AND(NOT($AI145=$AM145),$AI145&gt;0,$AM145&gt;0,DA145&gt;0), ($AM145*DA145)/$AI145,     AND($AI145=0,$AM145&gt;0,$AQ145&gt;0), IF(INDEX(DA$12:DA$263,MATCH($AQ145,$AP$12:$AP$263,0))&gt;0,($AM145*INDEX(DA$12:DA$263,MATCH($AQ145,$AP$12:$AP$263,0)))/INDEX($AI$12:$AI$263,MATCH($AQ145,$AP$12:$AP$263,0)), "-"),     TRUE, "0")</f>
        <v>0</v>
      </c>
      <c r="DC145" s="606">
        <f>IF(DB$9&gt;0, IF(OR(DB145="",DB145="-"), 0, DB145*$AT145), DA145*$AJ145)</f>
        <v>0</v>
      </c>
      <c r="DD145" s="584"/>
      <c r="DE145" s="583"/>
    </row>
    <row r="146" spans="1:128" ht="39.950000000000003" hidden="1" customHeight="1">
      <c r="A146" s="604">
        <f>IF(OR($AV146&gt;0, $AX146&gt;0), 1, 0)</f>
        <v>0</v>
      </c>
      <c r="B146" s="604">
        <f>IF(OR($AY146&gt;0, $BA146&gt;0), 1, 0)</f>
        <v>0</v>
      </c>
      <c r="C146" s="604">
        <f>IF(OR($BB146&gt;0, $BD146&gt;0), 1, 0)</f>
        <v>0</v>
      </c>
      <c r="D146" s="604">
        <f>IF(OR($BE146&gt;0, $BG146&gt;0), 1, 0)</f>
        <v>0</v>
      </c>
      <c r="E146" s="604">
        <f>IF(OR($BH146&gt;0, $BJ146&gt;0), 1, 0)</f>
        <v>0</v>
      </c>
      <c r="F146" s="604">
        <f>IF(OR($BK146&gt;0, $BM146&gt;0), 1, 0)</f>
        <v>0</v>
      </c>
      <c r="G146" s="604">
        <f>IF(OR($BN146&gt;0, $BP146&gt;0), 1, 0)</f>
        <v>0</v>
      </c>
      <c r="H146" s="604">
        <f>IF(OR($BQ146&gt;0, $BS146&gt;0), 1, 0)</f>
        <v>0</v>
      </c>
      <c r="I146" s="604">
        <f>IF(OR($BT146&gt;0, $BV146&gt;0), 1, 0)</f>
        <v>0</v>
      </c>
      <c r="J146" s="604">
        <f>IF(OR($BW146&gt;0, $BY146&gt;0), 1, 0)</f>
        <v>0</v>
      </c>
      <c r="K146" s="604">
        <f>IF(OR($BZ146&gt;0, $CB146&gt;0), 1, 0)</f>
        <v>0</v>
      </c>
      <c r="L146" s="604">
        <f>IF(OR($CC146&gt;0, $CE146&gt;0), 1, 0)</f>
        <v>0</v>
      </c>
      <c r="M146" s="604">
        <f>IF(OR($CF146&gt;0, $CH146&gt;0), 1, 0)</f>
        <v>0</v>
      </c>
      <c r="N146" s="604">
        <f>IF(OR($CI146&gt;0, $CK146&gt;0), 1, 0)</f>
        <v>0</v>
      </c>
      <c r="O146" s="604">
        <f>IF(OR($CL146&gt;0, $CN146&gt;0), 1, 0)</f>
        <v>0</v>
      </c>
      <c r="P146" s="604">
        <f>IF(OR($CO146&gt;0, $CQ146&gt;0), 1, 0)</f>
        <v>0</v>
      </c>
      <c r="Q146" s="604">
        <f>IF(OR($CR146&gt;0, $CT146&gt;0), 1, 0)</f>
        <v>0</v>
      </c>
      <c r="R146" s="604">
        <f>IF(OR($CU146&gt;0, $CW146&gt;0), 1, 0)</f>
        <v>0</v>
      </c>
      <c r="S146" s="604">
        <f>IF(OR($CX146&gt;0, $CZ146&gt;0), 1, 0)</f>
        <v>0</v>
      </c>
      <c r="T146" s="604">
        <f>IF(OR($DA146&gt;0, $DC146&gt;0), 1, 0)</f>
        <v>0</v>
      </c>
      <c r="U146" s="603">
        <f>IF(OR($AI146&gt;0,$AM146&gt;0,$AS146&gt;0), 1, 0)</f>
        <v>0</v>
      </c>
      <c r="V146" s="602">
        <f>[1]BDD!A136</f>
        <v>3977</v>
      </c>
      <c r="W146" s="601" t="str">
        <f>[1]BDD!B136</f>
        <v>Levure nutritionnelle + B12 (env. 1 kg)</v>
      </c>
      <c r="X146" s="600" t="str">
        <f>IF([1]BDD!F136=0, "", [1]BDD!F136)</f>
        <v/>
      </c>
      <c r="Y146" s="542">
        <f>ROUND([1]BDD!G136+FDP_CMD_KG, 2)</f>
        <v>21.39</v>
      </c>
      <c r="Z146" s="542">
        <f>ROUND([1]BDD!G136+FDP_FACT_KG, 2)</f>
        <v>21.39</v>
      </c>
      <c r="AA146" s="543" t="str">
        <f>[1]BDD!H136</f>
        <v>Pièce</v>
      </c>
      <c r="AB146" s="544" t="str">
        <f>IF(NOT(ISBLANK([1]BDD!I136)), ROUND(SUM(([1]BDD!G136*reduc1),FDP_CMD_KG), 2), "")</f>
        <v/>
      </c>
      <c r="AC146" s="544" t="str">
        <f>IF(NOT(ISBLANK([1]BDD!J136)), ROUND(SUM(([1]BDD!G136*reduc2),FDP_CMD_KG), 2), "")</f>
        <v/>
      </c>
      <c r="AD146" s="544" t="str">
        <f>IF(NOT(ISBLANK([1]BDD!K136)), ROUND(SUM(([1]BDD!G136*reduc3),FDP_CMD_KG), 2), "")</f>
        <v/>
      </c>
      <c r="AE146" s="544" t="str">
        <f>IF(NOT(ISBLANK([1]BDD!I136)), ROUND(SUM(([1]BDD!G136*reduc1),FDP_FACT_KG), 2), "")</f>
        <v/>
      </c>
      <c r="AF146" s="544" t="str">
        <f>IF(NOT(ISBLANK([1]BDD!J136)), ROUND(SUM(([1]BDD!G136*reduc2),FDP_FACT_KG), 2), "")</f>
        <v/>
      </c>
      <c r="AG146" s="544" t="str">
        <f>IF(NOT(ISBLANK([1]BDD!K136)), ROUND(SUM(([1]BDD!G136*reduc3),FDP_FACT_KG), 2), "")</f>
        <v/>
      </c>
      <c r="AH146" s="599" t="str">
        <f>[1]BDD!C136</f>
        <v>Estonie</v>
      </c>
      <c r="AI146" s="598">
        <f>SUM(AV146,AY146,BB146,BE146,BH146,BK146,BN146,BQ146,BT146,BW146,BZ146,CC146,CF146,CI146,CL146,CO146,CR146,CU146,CX146,DA146)</f>
        <v>0</v>
      </c>
      <c r="AJ146" s="545">
        <f>_xlfn.IFS($AD146&lt;&gt;"", $AD146,    $AC146&lt;&gt;"", $AC146,    $AB146&lt;&gt;"", $AB146,    TRUE, $Y146)</f>
        <v>21.39</v>
      </c>
      <c r="AK146" s="592">
        <f>$AI146*$AJ146</f>
        <v>0</v>
      </c>
      <c r="AL146" s="594"/>
      <c r="AM146" s="597"/>
      <c r="AN146" s="545">
        <f>_xlfn.IFS(AND(AM146&gt;=60,$AG146&lt;&gt;""), $AG146,    AND(AM146&gt;=30,$AF146&lt;&gt;""), $AF146,    AND(AM146&gt;=10,$AE146&lt;&gt;""), $AE146,    TRUE, $Z146)</f>
        <v>21.39</v>
      </c>
      <c r="AO146" s="596">
        <f>AM146*AN146</f>
        <v>0</v>
      </c>
      <c r="AP146" s="595"/>
      <c r="AQ146" s="595"/>
      <c r="AR146" s="594"/>
      <c r="AS146" s="593">
        <f>SUM(AW146,AZ146,BC146,BF146,BI146,BL146,BO146,BR146,BU146,BX146,CA146,CD146,CG146,CJ146,CM146,CP146,CS146,CV146,CY146,DB146)</f>
        <v>0</v>
      </c>
      <c r="AT146" s="545">
        <f>_xlfn.IFS(AND(AS146&gt;=60,$AG146&lt;&gt;""), $AG146,    AND(AS146&gt;=30,$AF146&lt;&gt;""), $AF146,    AND(AS146&gt;=10,$AE146&lt;&gt;""), $AE146,    TRUE, $Z146)</f>
        <v>21.39</v>
      </c>
      <c r="AU146" s="592">
        <f>$AS146*$AT146</f>
        <v>0</v>
      </c>
      <c r="AV146" s="591">
        <f>[1]COMMANDE!O144</f>
        <v>0</v>
      </c>
      <c r="AW146" s="586" t="str">
        <f>_xlfn.IFS(AND($AI146=$AM146,$AI146&gt;0,$AM146&gt;0,AV146&gt;0), AV146,     AND(NOT($AI146=$AM146),$AI146&gt;0,$AM146&gt;0,AV146&gt;0), ($AM146*AV146)/$AI146,     AND($AI146=0,$AM146&gt;0,$AQ146&gt;0), IF(INDEX(AV$12:AV$263,MATCH($AQ146,$AP$12:$AP$263,0))&gt;0,($AM146*INDEX(AV$12:AV$263,MATCH($AQ146,$AP$12:$AP$263,0)))/INDEX($AI$12:$AI$263,MATCH($AQ146,$AP$12:$AP$263,0)), "-"),     TRUE, "0")</f>
        <v>0</v>
      </c>
      <c r="AX146" s="588">
        <f>IF(AW$9&gt;0, IF(OR(AW146="",AW146="-"), 0, AW146*$AT146), AV146*$AJ146)</f>
        <v>0</v>
      </c>
      <c r="AY146" s="587">
        <f>[1]COMMANDE!Q144</f>
        <v>0</v>
      </c>
      <c r="AZ146" s="586" t="str">
        <f>_xlfn.IFS(AND($AI146=$AM146,$AI146&gt;0,$AM146&gt;0,AY146&gt;0), AY146,     AND(NOT($AI146=$AM146),$AI146&gt;0,$AM146&gt;0,AY146&gt;0), ($AM146*AY146)/$AI146,     AND($AI146=0,$AM146&gt;0,$AQ146&gt;0), IF(INDEX(AY$12:AY$263,MATCH($AQ146,$AP$12:$AP$263,0))&gt;0,($AM146*INDEX(AY$12:AY$263,MATCH($AQ146,$AP$12:$AP$263,0)))/INDEX($AI$12:$AI$263,MATCH($AQ146,$AP$12:$AP$263,0)), "-"),     TRUE, "0")</f>
        <v>0</v>
      </c>
      <c r="BA146" s="607">
        <f>IF(AZ$9&gt;0, IF(OR(AZ146="",AZ146="-"), 0, AZ146*$AT146), AY146*$AJ146)</f>
        <v>0</v>
      </c>
      <c r="BB146" s="589">
        <f>[1]COMMANDE!S144</f>
        <v>0</v>
      </c>
      <c r="BC146" s="586" t="str">
        <f>_xlfn.IFS(AND($AI146=$AM146,$AI146&gt;0,$AM146&gt;0,BB146&gt;0), BB146,     AND(NOT($AI146=$AM146),$AI146&gt;0,$AM146&gt;0,BB146&gt;0), ($AM146*BB146)/$AI146,     AND($AI146=0,$AM146&gt;0,$AQ146&gt;0), IF(INDEX(BB$12:BB$263,MATCH($AQ146,$AP$12:$AP$263,0))&gt;0,($AM146*INDEX(BB$12:BB$263,MATCH($AQ146,$AP$12:$AP$263,0)))/INDEX($AI$12:$AI$263,MATCH($AQ146,$AP$12:$AP$263,0)), "-"),     TRUE, "0")</f>
        <v>0</v>
      </c>
      <c r="BD146" s="588">
        <f>IF(BC$9&gt;0, IF(OR(BC146="",BC146="-"), 0, BC146*$AT146), BB146*$AJ146)</f>
        <v>0</v>
      </c>
      <c r="BE146" s="587">
        <f>[1]COMMANDE!U144</f>
        <v>0</v>
      </c>
      <c r="BF146" s="586" t="str">
        <f>_xlfn.IFS(AND($AI146=$AM146,$AI146&gt;0,$AM146&gt;0,BE146&gt;0), BE146,     AND(NOT($AI146=$AM146),$AI146&gt;0,$AM146&gt;0,BE146&gt;0), ($AM146*BE146)/$AI146,     AND($AI146=0,$AM146&gt;0,$AQ146&gt;0), IF(INDEX(BE$12:BE$263,MATCH($AQ146,$AP$12:$AP$263,0))&gt;0,($AM146*INDEX(BE$12:BE$263,MATCH($AQ146,$AP$12:$AP$263,0)))/INDEX($AI$12:$AI$263,MATCH($AQ146,$AP$12:$AP$263,0)), "-"),     TRUE, "0")</f>
        <v>0</v>
      </c>
      <c r="BG146" s="607">
        <f>IF(BF$9&gt;0, IF(OR(BF146="",BF146="-"), 0, BF146*$AT146), BE146*$AJ146)</f>
        <v>0</v>
      </c>
      <c r="BH146" s="589">
        <f>[1]COMMANDE!W144</f>
        <v>0</v>
      </c>
      <c r="BI146" s="586" t="str">
        <f>_xlfn.IFS(AND($AI146=$AM146,$AI146&gt;0,$AM146&gt;0,BH146&gt;0), BH146,     AND(NOT($AI146=$AM146),$AI146&gt;0,$AM146&gt;0,BH146&gt;0), ($AM146*BH146)/$AI146,     AND($AI146=0,$AM146&gt;0,$AQ146&gt;0), IF(INDEX(BH$12:BH$263,MATCH($AQ146,$AP$12:$AP$263,0))&gt;0,($AM146*INDEX(BH$12:BH$263,MATCH($AQ146,$AP$12:$AP$263,0)))/INDEX($AI$12:$AI$263,MATCH($AQ146,$AP$12:$AP$263,0)), "-"),     TRUE, "0")</f>
        <v>0</v>
      </c>
      <c r="BJ146" s="588">
        <f>IF(BI$9&gt;0, IF(OR(BI146="",BI146="-"), 0, BI146*$AT146), BH146*$AJ146)</f>
        <v>0</v>
      </c>
      <c r="BK146" s="587">
        <f>[1]COMMANDE!Y144</f>
        <v>0</v>
      </c>
      <c r="BL146" s="586" t="str">
        <f>_xlfn.IFS(AND($AI146=$AM146,$AI146&gt;0,$AM146&gt;0,BK146&gt;0), BK146,     AND(NOT($AI146=$AM146),$AI146&gt;0,$AM146&gt;0,BK146&gt;0), ($AM146*BK146)/$AI146,     AND($AI146=0,$AM146&gt;0,$AQ146&gt;0), IF(INDEX(BK$12:BK$263,MATCH($AQ146,$AP$12:$AP$263,0))&gt;0,($AM146*INDEX(BK$12:BK$263,MATCH($AQ146,$AP$12:$AP$263,0)))/INDEX($AI$12:$AI$263,MATCH($AQ146,$AP$12:$AP$263,0)), "-"),     TRUE, "0")</f>
        <v>0</v>
      </c>
      <c r="BM146" s="607">
        <f>IF(BL$9&gt;0, IF(OR(BL146="",BL146="-"), 0, BL146*$AT146), BK146*$AJ146)</f>
        <v>0</v>
      </c>
      <c r="BN146" s="589">
        <f>[1]COMMANDE!AA144</f>
        <v>0</v>
      </c>
      <c r="BO146" s="586" t="str">
        <f>_xlfn.IFS(AND($AI146=$AM146,$AI146&gt;0,$AM146&gt;0,BN146&gt;0), BN146,     AND(NOT($AI146=$AM146),$AI146&gt;0,$AM146&gt;0,BN146&gt;0), ($AM146*BN146)/$AI146,     AND($AI146=0,$AM146&gt;0,$AQ146&gt;0), IF(INDEX(BN$12:BN$263,MATCH($AQ146,$AP$12:$AP$263,0))&gt;0,($AM146*INDEX(BN$12:BN$263,MATCH($AQ146,$AP$12:$AP$263,0)))/INDEX($AI$12:$AI$263,MATCH($AQ146,$AP$12:$AP$263,0)), "-"),     TRUE, "0")</f>
        <v>0</v>
      </c>
      <c r="BP146" s="588">
        <f>IF(BO$9&gt;0, IF(OR(BO146="",BO146="-"), 0, BO146*$AT146), BN146*$AJ146)</f>
        <v>0</v>
      </c>
      <c r="BQ146" s="587">
        <f>[1]COMMANDE!AC144</f>
        <v>0</v>
      </c>
      <c r="BR146" s="586" t="str">
        <f>_xlfn.IFS(AND($AI146=$AM146,$AI146&gt;0,$AM146&gt;0,BQ146&gt;0), BQ146,     AND(NOT($AI146=$AM146),$AI146&gt;0,$AM146&gt;0,BQ146&gt;0), ($AM146*BQ146)/$AI146,     AND($AI146=0,$AM146&gt;0,$AQ146&gt;0), IF(INDEX(BQ$12:BQ$263,MATCH($AQ146,$AP$12:$AP$263,0))&gt;0,($AM146*INDEX(BQ$12:BQ$263,MATCH($AQ146,$AP$12:$AP$263,0)))/INDEX($AI$12:$AI$263,MATCH($AQ146,$AP$12:$AP$263,0)), "-"),     TRUE, "0")</f>
        <v>0</v>
      </c>
      <c r="BS146" s="607">
        <f>IF(BR$9&gt;0, IF(OR(BR146="",BR146="-"), 0, BR146*$AT146), BQ146*$AJ146)</f>
        <v>0</v>
      </c>
      <c r="BT146" s="589">
        <f>[1]COMMANDE!AE144</f>
        <v>0</v>
      </c>
      <c r="BU146" s="586" t="str">
        <f>_xlfn.IFS(AND($AI146=$AM146,$AI146&gt;0,$AM146&gt;0,BT146&gt;0), BT146,     AND(NOT($AI146=$AM146),$AI146&gt;0,$AM146&gt;0,BT146&gt;0), ($AM146*BT146)/$AI146,     AND($AI146=0,$AM146&gt;0,$AQ146&gt;0), IF(INDEX(BT$12:BT$263,MATCH($AQ146,$AP$12:$AP$263,0))&gt;0,($AM146*INDEX(BT$12:BT$263,MATCH($AQ146,$AP$12:$AP$263,0)))/INDEX($AI$12:$AI$263,MATCH($AQ146,$AP$12:$AP$263,0)), "-"),     TRUE, "0")</f>
        <v>0</v>
      </c>
      <c r="BV146" s="588">
        <f>IF(BU$9&gt;0, IF(OR(BU146="",BU146="-"), 0, BU146*$AT146), BT146*$AJ146)</f>
        <v>0</v>
      </c>
      <c r="BW146" s="587">
        <f>[1]COMMANDE!AG144</f>
        <v>0</v>
      </c>
      <c r="BX146" s="586" t="str">
        <f>_xlfn.IFS(AND($AI146=$AM146,$AI146&gt;0,$AM146&gt;0,BW146&gt;0), BW146,     AND(NOT($AI146=$AM146),$AI146&gt;0,$AM146&gt;0,BW146&gt;0), ($AM146*BW146)/$AI146,     AND($AI146=0,$AM146&gt;0,$AQ146&gt;0), IF(INDEX(BW$12:BW$263,MATCH($AQ146,$AP$12:$AP$263,0))&gt;0,($AM146*INDEX(BW$12:BW$263,MATCH($AQ146,$AP$12:$AP$263,0)))/INDEX($AI$12:$AI$263,MATCH($AQ146,$AP$12:$AP$263,0)), "-"),     TRUE, "0")</f>
        <v>0</v>
      </c>
      <c r="BY146" s="607">
        <f>IF(BX$9&gt;0, IF(OR(BX146="",BX146="-"), 0, BX146*$AT146), BW146*$AJ146)</f>
        <v>0</v>
      </c>
      <c r="BZ146" s="589">
        <f>[1]COMMANDE!AI144</f>
        <v>0</v>
      </c>
      <c r="CA146" s="586" t="str">
        <f>_xlfn.IFS(AND($AI146=$AM146,$AI146&gt;0,$AM146&gt;0,BZ146&gt;0), BZ146,     AND(NOT($AI146=$AM146),$AI146&gt;0,$AM146&gt;0,BZ146&gt;0), ($AM146*BZ146)/$AI146,     AND($AI146=0,$AM146&gt;0,$AQ146&gt;0), IF(INDEX(BZ$12:BZ$263,MATCH($AQ146,$AP$12:$AP$263,0))&gt;0,($AM146*INDEX(BZ$12:BZ$263,MATCH($AQ146,$AP$12:$AP$263,0)))/INDEX($AI$12:$AI$263,MATCH($AQ146,$AP$12:$AP$263,0)), "-"),     TRUE, "0")</f>
        <v>0</v>
      </c>
      <c r="CB146" s="588">
        <f>IF(CA$9&gt;0, IF(OR(CA146="",CA146="-"), 0, CA146*$AT146), BZ146*$AJ146)</f>
        <v>0</v>
      </c>
      <c r="CC146" s="587">
        <f>[1]COMMANDE!AK144</f>
        <v>0</v>
      </c>
      <c r="CD146" s="586" t="str">
        <f>_xlfn.IFS(AND($AI146=$AM146,$AI146&gt;0,$AM146&gt;0,CC146&gt;0), CC146,     AND(NOT($AI146=$AM146),$AI146&gt;0,$AM146&gt;0,CC146&gt;0), ($AM146*CC146)/$AI146,     AND($AI146=0,$AM146&gt;0,$AQ146&gt;0), IF(INDEX(CC$12:CC$263,MATCH($AQ146,$AP$12:$AP$263,0))&gt;0,($AM146*INDEX(CC$12:CC$263,MATCH($AQ146,$AP$12:$AP$263,0)))/INDEX($AI$12:$AI$263,MATCH($AQ146,$AP$12:$AP$263,0)), "-"),     TRUE, "0")</f>
        <v>0</v>
      </c>
      <c r="CE146" s="607">
        <f>IF(CD$9&gt;0, IF(OR(CD146="",CD146="-"), 0, CD146*$AT146), CC146*$AJ146)</f>
        <v>0</v>
      </c>
      <c r="CF146" s="589">
        <f>[1]COMMANDE!AM144</f>
        <v>0</v>
      </c>
      <c r="CG146" s="586" t="str">
        <f>_xlfn.IFS(AND($AI146=$AM146,$AI146&gt;0,$AM146&gt;0,CF146&gt;0), CF146,     AND(NOT($AI146=$AM146),$AI146&gt;0,$AM146&gt;0,CF146&gt;0), ($AM146*CF146)/$AI146,     AND($AI146=0,$AM146&gt;0,$AQ146&gt;0), IF(INDEX(CF$12:CF$263,MATCH($AQ146,$AP$12:$AP$263,0))&gt;0,($AM146*INDEX(CF$12:CF$263,MATCH($AQ146,$AP$12:$AP$263,0)))/INDEX($AI$12:$AI$263,MATCH($AQ146,$AP$12:$AP$263,0)), "-"),     TRUE, "0")</f>
        <v>0</v>
      </c>
      <c r="CH146" s="588">
        <f>IF(CG$9&gt;0, IF(OR(CG146="",CG146="-"), 0, CG146*$AT146), CF146*$AJ146)</f>
        <v>0</v>
      </c>
      <c r="CI146" s="587">
        <f>[1]COMMANDE!AO144</f>
        <v>0</v>
      </c>
      <c r="CJ146" s="586" t="str">
        <f>_xlfn.IFS(AND($AI146=$AM146,$AI146&gt;0,$AM146&gt;0,CI146&gt;0), CI146,     AND(NOT($AI146=$AM146),$AI146&gt;0,$AM146&gt;0,CI146&gt;0), ($AM146*CI146)/$AI146,     AND($AI146=0,$AM146&gt;0,$AQ146&gt;0), IF(INDEX(CI$12:CI$263,MATCH($AQ146,$AP$12:$AP$263,0))&gt;0,($AM146*INDEX(CI$12:CI$263,MATCH($AQ146,$AP$12:$AP$263,0)))/INDEX($AI$12:$AI$263,MATCH($AQ146,$AP$12:$AP$263,0)), "-"),     TRUE, "0")</f>
        <v>0</v>
      </c>
      <c r="CK146" s="607">
        <f>IF(CJ$9&gt;0, IF(OR(CJ146="",CJ146="-"), 0, CJ146*$AT146), CI146*$AJ146)</f>
        <v>0</v>
      </c>
      <c r="CL146" s="589">
        <f>[1]COMMANDE!AQ144</f>
        <v>0</v>
      </c>
      <c r="CM146" s="586" t="str">
        <f>_xlfn.IFS(AND($AI146=$AM146,$AI146&gt;0,$AM146&gt;0,CL146&gt;0), CL146,     AND(NOT($AI146=$AM146),$AI146&gt;0,$AM146&gt;0,CL146&gt;0), ($AM146*CL146)/$AI146,     AND($AI146=0,$AM146&gt;0,$AQ146&gt;0), IF(INDEX(CL$12:CL$263,MATCH($AQ146,$AP$12:$AP$263,0))&gt;0,($AM146*INDEX(CL$12:CL$263,MATCH($AQ146,$AP$12:$AP$263,0)))/INDEX($AI$12:$AI$263,MATCH($AQ146,$AP$12:$AP$263,0)), "-"),     TRUE, "0")</f>
        <v>0</v>
      </c>
      <c r="CN146" s="588">
        <f>IF(CM$9&gt;0, IF(OR(CM146="",CM146="-"), 0, CM146*$AT146), CL146*$AJ146)</f>
        <v>0</v>
      </c>
      <c r="CO146" s="587">
        <f>[1]COMMANDE!AS144</f>
        <v>0</v>
      </c>
      <c r="CP146" s="586" t="str">
        <f>_xlfn.IFS(AND($AI146=$AM146,$AI146&gt;0,$AM146&gt;0,CO146&gt;0), CO146,     AND(NOT($AI146=$AM146),$AI146&gt;0,$AM146&gt;0,CO146&gt;0), ($AM146*CO146)/$AI146,     AND($AI146=0,$AM146&gt;0,$AQ146&gt;0), IF(INDEX(CO$12:CO$263,MATCH($AQ146,$AP$12:$AP$263,0))&gt;0,($AM146*INDEX(CO$12:CO$263,MATCH($AQ146,$AP$12:$AP$263,0)))/INDEX($AI$12:$AI$263,MATCH($AQ146,$AP$12:$AP$263,0)), "-"),     TRUE, "0")</f>
        <v>0</v>
      </c>
      <c r="CQ146" s="607">
        <f>IF(CP$9&gt;0, IF(OR(CP146="",CP146="-"), 0, CP146*$AT146), CO146*$AJ146)</f>
        <v>0</v>
      </c>
      <c r="CR146" s="589">
        <f>[1]COMMANDE!AU144</f>
        <v>0</v>
      </c>
      <c r="CS146" s="586" t="str">
        <f>_xlfn.IFS(AND($AI146=$AM146,$AI146&gt;0,$AM146&gt;0,CR146&gt;0), CR146,     AND(NOT($AI146=$AM146),$AI146&gt;0,$AM146&gt;0,CR146&gt;0), ($AM146*CR146)/$AI146,     AND($AI146=0,$AM146&gt;0,$AQ146&gt;0), IF(INDEX(CR$12:CR$263,MATCH($AQ146,$AP$12:$AP$263,0))&gt;0,($AM146*INDEX(CR$12:CR$263,MATCH($AQ146,$AP$12:$AP$263,0)))/INDEX($AI$12:$AI$263,MATCH($AQ146,$AP$12:$AP$263,0)), "-"),     TRUE, "0")</f>
        <v>0</v>
      </c>
      <c r="CT146" s="588">
        <f>IF(CS$9&gt;0, IF(OR(CS146="",CS146="-"), 0, CS146*$AT146), CR146*$AJ146)</f>
        <v>0</v>
      </c>
      <c r="CU146" s="587">
        <f>[1]COMMANDE!AW144</f>
        <v>0</v>
      </c>
      <c r="CV146" s="586" t="str">
        <f>_xlfn.IFS(AND($AI146=$AM146,$AI146&gt;0,$AM146&gt;0,CU146&gt;0), CU146,     AND(NOT($AI146=$AM146),$AI146&gt;0,$AM146&gt;0,CU146&gt;0), ($AM146*CU146)/$AI146,     AND($AI146=0,$AM146&gt;0,$AQ146&gt;0), IF(INDEX(CU$12:CU$263,MATCH($AQ146,$AP$12:$AP$263,0))&gt;0,($AM146*INDEX(CU$12:CU$263,MATCH($AQ146,$AP$12:$AP$263,0)))/INDEX($AI$12:$AI$263,MATCH($AQ146,$AP$12:$AP$263,0)), "-"),     TRUE, "0")</f>
        <v>0</v>
      </c>
      <c r="CW146" s="607">
        <f>IF(CV$9&gt;0, IF(OR(CV146="",CV146="-"), 0, CV146*$AT146), CU146*$AJ146)</f>
        <v>0</v>
      </c>
      <c r="CX146" s="589">
        <f>[1]COMMANDE!AY144</f>
        <v>0</v>
      </c>
      <c r="CY146" s="586" t="str">
        <f>_xlfn.IFS(AND($AI146=$AM146,$AI146&gt;0,$AM146&gt;0,CX146&gt;0), CX146,     AND(NOT($AI146=$AM146),$AI146&gt;0,$AM146&gt;0,CX146&gt;0), ($AM146*CX146)/$AI146,     AND($AI146=0,$AM146&gt;0,$AQ146&gt;0), IF(INDEX(CX$12:CX$263,MATCH($AQ146,$AP$12:$AP$263,0))&gt;0,($AM146*INDEX(CX$12:CX$263,MATCH($AQ146,$AP$12:$AP$263,0)))/INDEX($AI$12:$AI$263,MATCH($AQ146,$AP$12:$AP$263,0)), "-"),     TRUE, "0")</f>
        <v>0</v>
      </c>
      <c r="CZ146" s="588">
        <f>IF(CY$9&gt;0, IF(OR(CY146="",CY146="-"), 0, CY146*$AT146), CX146*$AJ146)</f>
        <v>0</v>
      </c>
      <c r="DA146" s="587">
        <f>[1]COMMANDE!BA144</f>
        <v>0</v>
      </c>
      <c r="DB146" s="586" t="str">
        <f>_xlfn.IFS(AND($AI146=$AM146,$AI146&gt;0,$AM146&gt;0,DA146&gt;0), DA146,     AND(NOT($AI146=$AM146),$AI146&gt;0,$AM146&gt;0,DA146&gt;0), ($AM146*DA146)/$AI146,     AND($AI146=0,$AM146&gt;0,$AQ146&gt;0), IF(INDEX(DA$12:DA$263,MATCH($AQ146,$AP$12:$AP$263,0))&gt;0,($AM146*INDEX(DA$12:DA$263,MATCH($AQ146,$AP$12:$AP$263,0)))/INDEX($AI$12:$AI$263,MATCH($AQ146,$AP$12:$AP$263,0)), "-"),     TRUE, "0")</f>
        <v>0</v>
      </c>
      <c r="DC146" s="606">
        <f>IF(DB$9&gt;0, IF(OR(DB146="",DB146="-"), 0, DB146*$AT146), DA146*$AJ146)</f>
        <v>0</v>
      </c>
      <c r="DD146" s="584"/>
      <c r="DE146" s="583"/>
    </row>
    <row r="147" spans="1:128" ht="39.950000000000003" hidden="1" customHeight="1">
      <c r="A147" s="604">
        <f>IF(OR($AV147&gt;0, $AX147&gt;0), 1, 0)</f>
        <v>0</v>
      </c>
      <c r="B147" s="604">
        <f>IF(OR($AY147&gt;0, $BA147&gt;0), 1, 0)</f>
        <v>0</v>
      </c>
      <c r="C147" s="604">
        <f>IF(OR($BB147&gt;0, $BD147&gt;0), 1, 0)</f>
        <v>0</v>
      </c>
      <c r="D147" s="604">
        <f>IF(OR($BE147&gt;0, $BG147&gt;0), 1, 0)</f>
        <v>0</v>
      </c>
      <c r="E147" s="604">
        <f>IF(OR($BH147&gt;0, $BJ147&gt;0), 1, 0)</f>
        <v>0</v>
      </c>
      <c r="F147" s="604">
        <f>IF(OR($BK147&gt;0, $BM147&gt;0), 1, 0)</f>
        <v>0</v>
      </c>
      <c r="G147" s="604">
        <f>IF(OR($BN147&gt;0, $BP147&gt;0), 1, 0)</f>
        <v>0</v>
      </c>
      <c r="H147" s="604">
        <f>IF(OR($BQ147&gt;0, $BS147&gt;0), 1, 0)</f>
        <v>0</v>
      </c>
      <c r="I147" s="604">
        <f>IF(OR($BT147&gt;0, $BV147&gt;0), 1, 0)</f>
        <v>0</v>
      </c>
      <c r="J147" s="604">
        <f>IF(OR($BW147&gt;0, $BY147&gt;0), 1, 0)</f>
        <v>0</v>
      </c>
      <c r="K147" s="604">
        <f>IF(OR($BZ147&gt;0, $CB147&gt;0), 1, 0)</f>
        <v>0</v>
      </c>
      <c r="L147" s="604">
        <f>IF(OR($CC147&gt;0, $CE147&gt;0), 1, 0)</f>
        <v>0</v>
      </c>
      <c r="M147" s="604">
        <f>IF(OR($CF147&gt;0, $CH147&gt;0), 1, 0)</f>
        <v>0</v>
      </c>
      <c r="N147" s="604">
        <f>IF(OR($CI147&gt;0, $CK147&gt;0), 1, 0)</f>
        <v>0</v>
      </c>
      <c r="O147" s="604">
        <f>IF(OR($CL147&gt;0, $CN147&gt;0), 1, 0)</f>
        <v>0</v>
      </c>
      <c r="P147" s="604">
        <f>IF(OR($CO147&gt;0, $CQ147&gt;0), 1, 0)</f>
        <v>0</v>
      </c>
      <c r="Q147" s="604">
        <f>IF(OR($CR147&gt;0, $CT147&gt;0), 1, 0)</f>
        <v>0</v>
      </c>
      <c r="R147" s="604">
        <f>IF(OR($CU147&gt;0, $CW147&gt;0), 1, 0)</f>
        <v>0</v>
      </c>
      <c r="S147" s="604">
        <f>IF(OR($CX147&gt;0, $CZ147&gt;0), 1, 0)</f>
        <v>0</v>
      </c>
      <c r="T147" s="604">
        <f>IF(OR($DA147&gt;0, $DC147&gt;0), 1, 0)</f>
        <v>0</v>
      </c>
      <c r="U147" s="603">
        <f>IF(OR($AI147&gt;0,$AM147&gt;0,$AS147&gt;0), 1, 0)</f>
        <v>0</v>
      </c>
      <c r="V147" s="602">
        <f>[1]BDD!A137</f>
        <v>3977</v>
      </c>
      <c r="W147" s="601" t="str">
        <f>[1]BDD!B137</f>
        <v>Levure nutritionnelle + B12 (env. 500g)</v>
      </c>
      <c r="X147" s="600" t="str">
        <f>IF([1]BDD!F137=0, "", [1]BDD!F137)</f>
        <v/>
      </c>
      <c r="Y147" s="542">
        <f>ROUND([1]BDD!G137+FDP_CMD_KG, 2)</f>
        <v>11.13</v>
      </c>
      <c r="Z147" s="542">
        <f>ROUND([1]BDD!G137+FDP_FACT_KG, 2)</f>
        <v>11.13</v>
      </c>
      <c r="AA147" s="543" t="str">
        <f>[1]BDD!H137</f>
        <v>Pièce</v>
      </c>
      <c r="AB147" s="544" t="str">
        <f>IF(NOT(ISBLANK([1]BDD!I137)), ROUND(SUM(([1]BDD!G137*reduc1),FDP_CMD_KG), 2), "")</f>
        <v/>
      </c>
      <c r="AC147" s="544" t="str">
        <f>IF(NOT(ISBLANK([1]BDD!J137)), ROUND(SUM(([1]BDD!G137*reduc2),FDP_CMD_KG), 2), "")</f>
        <v/>
      </c>
      <c r="AD147" s="544" t="str">
        <f>IF(NOT(ISBLANK([1]BDD!K137)), ROUND(SUM(([1]BDD!G137*reduc3),FDP_CMD_KG), 2), "")</f>
        <v/>
      </c>
      <c r="AE147" s="544" t="str">
        <f>IF(NOT(ISBLANK([1]BDD!I137)), ROUND(SUM(([1]BDD!G137*reduc1),FDP_FACT_KG), 2), "")</f>
        <v/>
      </c>
      <c r="AF147" s="544" t="str">
        <f>IF(NOT(ISBLANK([1]BDD!J137)), ROUND(SUM(([1]BDD!G137*reduc2),FDP_FACT_KG), 2), "")</f>
        <v/>
      </c>
      <c r="AG147" s="544" t="str">
        <f>IF(NOT(ISBLANK([1]BDD!K137)), ROUND(SUM(([1]BDD!G137*reduc3),FDP_FACT_KG), 2), "")</f>
        <v/>
      </c>
      <c r="AH147" s="599" t="str">
        <f>[1]BDD!C137</f>
        <v>Estonie</v>
      </c>
      <c r="AI147" s="598">
        <f>SUM(AV147,AY147,BB147,BE147,BH147,BK147,BN147,BQ147,BT147,BW147,BZ147,CC147,CF147,CI147,CL147,CO147,CR147,CU147,CX147,DA147)</f>
        <v>0</v>
      </c>
      <c r="AJ147" s="545">
        <f>_xlfn.IFS($AD147&lt;&gt;"", $AD147,    $AC147&lt;&gt;"", $AC147,    $AB147&lt;&gt;"", $AB147,    TRUE, $Y147)</f>
        <v>11.13</v>
      </c>
      <c r="AK147" s="592">
        <f>$AI147*$AJ147</f>
        <v>0</v>
      </c>
      <c r="AL147" s="594"/>
      <c r="AM147" s="597"/>
      <c r="AN147" s="545">
        <f>_xlfn.IFS(AND(AM147&gt;=60,$AG147&lt;&gt;""), $AG147,    AND(AM147&gt;=30,$AF147&lt;&gt;""), $AF147,    AND(AM147&gt;=10,$AE147&lt;&gt;""), $AE147,    TRUE, $Z147)</f>
        <v>11.13</v>
      </c>
      <c r="AO147" s="596">
        <f>AM147*AN147</f>
        <v>0</v>
      </c>
      <c r="AP147" s="595"/>
      <c r="AQ147" s="595"/>
      <c r="AR147" s="594"/>
      <c r="AS147" s="593">
        <f>SUM(AW147,AZ147,BC147,BF147,BI147,BL147,BO147,BR147,BU147,BX147,CA147,CD147,CG147,CJ147,CM147,CP147,CS147,CV147,CY147,DB147)</f>
        <v>0</v>
      </c>
      <c r="AT147" s="545">
        <f>_xlfn.IFS(AND(AS147&gt;=60,$AG147&lt;&gt;""), $AG147,    AND(AS147&gt;=30,$AF147&lt;&gt;""), $AF147,    AND(AS147&gt;=10,$AE147&lt;&gt;""), $AE147,    TRUE, $Z147)</f>
        <v>11.13</v>
      </c>
      <c r="AU147" s="592">
        <f>$AS147*$AT147</f>
        <v>0</v>
      </c>
      <c r="AV147" s="591">
        <f>[1]COMMANDE!O145</f>
        <v>0</v>
      </c>
      <c r="AW147" s="586" t="str">
        <f>_xlfn.IFS(AND($AI147=$AM147,$AI147&gt;0,$AM147&gt;0,AV147&gt;0), AV147,     AND(NOT($AI147=$AM147),$AI147&gt;0,$AM147&gt;0,AV147&gt;0), ($AM147*AV147)/$AI147,     AND($AI147=0,$AM147&gt;0,$AQ147&gt;0), IF(INDEX(AV$12:AV$263,MATCH($AQ147,$AP$12:$AP$263,0))&gt;0,($AM147*INDEX(AV$12:AV$263,MATCH($AQ147,$AP$12:$AP$263,0)))/INDEX($AI$12:$AI$263,MATCH($AQ147,$AP$12:$AP$263,0)), "-"),     TRUE, "0")</f>
        <v>0</v>
      </c>
      <c r="AX147" s="588">
        <f>IF(AW$9&gt;0, IF(OR(AW147="",AW147="-"), 0, AW147*$AT147), AV147*$AJ147)</f>
        <v>0</v>
      </c>
      <c r="AY147" s="587">
        <f>[1]COMMANDE!Q145</f>
        <v>0</v>
      </c>
      <c r="AZ147" s="586" t="str">
        <f>_xlfn.IFS(AND($AI147=$AM147,$AI147&gt;0,$AM147&gt;0,AY147&gt;0), AY147,     AND(NOT($AI147=$AM147),$AI147&gt;0,$AM147&gt;0,AY147&gt;0), ($AM147*AY147)/$AI147,     AND($AI147=0,$AM147&gt;0,$AQ147&gt;0), IF(INDEX(AY$12:AY$263,MATCH($AQ147,$AP$12:$AP$263,0))&gt;0,($AM147*INDEX(AY$12:AY$263,MATCH($AQ147,$AP$12:$AP$263,0)))/INDEX($AI$12:$AI$263,MATCH($AQ147,$AP$12:$AP$263,0)), "-"),     TRUE, "0")</f>
        <v>0</v>
      </c>
      <c r="BA147" s="607">
        <f>IF(AZ$9&gt;0, IF(OR(AZ147="",AZ147="-"), 0, AZ147*$AT147), AY147*$AJ147)</f>
        <v>0</v>
      </c>
      <c r="BB147" s="589">
        <f>[1]COMMANDE!S145</f>
        <v>0</v>
      </c>
      <c r="BC147" s="586" t="str">
        <f>_xlfn.IFS(AND($AI147=$AM147,$AI147&gt;0,$AM147&gt;0,BB147&gt;0), BB147,     AND(NOT($AI147=$AM147),$AI147&gt;0,$AM147&gt;0,BB147&gt;0), ($AM147*BB147)/$AI147,     AND($AI147=0,$AM147&gt;0,$AQ147&gt;0), IF(INDEX(BB$12:BB$263,MATCH($AQ147,$AP$12:$AP$263,0))&gt;0,($AM147*INDEX(BB$12:BB$263,MATCH($AQ147,$AP$12:$AP$263,0)))/INDEX($AI$12:$AI$263,MATCH($AQ147,$AP$12:$AP$263,0)), "-"),     TRUE, "0")</f>
        <v>0</v>
      </c>
      <c r="BD147" s="588">
        <f>IF(BC$9&gt;0, IF(OR(BC147="",BC147="-"), 0, BC147*$AT147), BB147*$AJ147)</f>
        <v>0</v>
      </c>
      <c r="BE147" s="587">
        <f>[1]COMMANDE!U145</f>
        <v>0</v>
      </c>
      <c r="BF147" s="586" t="str">
        <f>_xlfn.IFS(AND($AI147=$AM147,$AI147&gt;0,$AM147&gt;0,BE147&gt;0), BE147,     AND(NOT($AI147=$AM147),$AI147&gt;0,$AM147&gt;0,BE147&gt;0), ($AM147*BE147)/$AI147,     AND($AI147=0,$AM147&gt;0,$AQ147&gt;0), IF(INDEX(BE$12:BE$263,MATCH($AQ147,$AP$12:$AP$263,0))&gt;0,($AM147*INDEX(BE$12:BE$263,MATCH($AQ147,$AP$12:$AP$263,0)))/INDEX($AI$12:$AI$263,MATCH($AQ147,$AP$12:$AP$263,0)), "-"),     TRUE, "0")</f>
        <v>0</v>
      </c>
      <c r="BG147" s="607">
        <f>IF(BF$9&gt;0, IF(OR(BF147="",BF147="-"), 0, BF147*$AT147), BE147*$AJ147)</f>
        <v>0</v>
      </c>
      <c r="BH147" s="589">
        <f>[1]COMMANDE!W145</f>
        <v>0</v>
      </c>
      <c r="BI147" s="586" t="str">
        <f>_xlfn.IFS(AND($AI147=$AM147,$AI147&gt;0,$AM147&gt;0,BH147&gt;0), BH147,     AND(NOT($AI147=$AM147),$AI147&gt;0,$AM147&gt;0,BH147&gt;0), ($AM147*BH147)/$AI147,     AND($AI147=0,$AM147&gt;0,$AQ147&gt;0), IF(INDEX(BH$12:BH$263,MATCH($AQ147,$AP$12:$AP$263,0))&gt;0,($AM147*INDEX(BH$12:BH$263,MATCH($AQ147,$AP$12:$AP$263,0)))/INDEX($AI$12:$AI$263,MATCH($AQ147,$AP$12:$AP$263,0)), "-"),     TRUE, "0")</f>
        <v>0</v>
      </c>
      <c r="BJ147" s="588">
        <f>IF(BI$9&gt;0, IF(OR(BI147="",BI147="-"), 0, BI147*$AT147), BH147*$AJ147)</f>
        <v>0</v>
      </c>
      <c r="BK147" s="587">
        <f>[1]COMMANDE!Y145</f>
        <v>0</v>
      </c>
      <c r="BL147" s="586" t="str">
        <f>_xlfn.IFS(AND($AI147=$AM147,$AI147&gt;0,$AM147&gt;0,BK147&gt;0), BK147,     AND(NOT($AI147=$AM147),$AI147&gt;0,$AM147&gt;0,BK147&gt;0), ($AM147*BK147)/$AI147,     AND($AI147=0,$AM147&gt;0,$AQ147&gt;0), IF(INDEX(BK$12:BK$263,MATCH($AQ147,$AP$12:$AP$263,0))&gt;0,($AM147*INDEX(BK$12:BK$263,MATCH($AQ147,$AP$12:$AP$263,0)))/INDEX($AI$12:$AI$263,MATCH($AQ147,$AP$12:$AP$263,0)), "-"),     TRUE, "0")</f>
        <v>0</v>
      </c>
      <c r="BM147" s="607">
        <f>IF(BL$9&gt;0, IF(OR(BL147="",BL147="-"), 0, BL147*$AT147), BK147*$AJ147)</f>
        <v>0</v>
      </c>
      <c r="BN147" s="589">
        <f>[1]COMMANDE!AA145</f>
        <v>0</v>
      </c>
      <c r="BO147" s="586" t="str">
        <f>_xlfn.IFS(AND($AI147=$AM147,$AI147&gt;0,$AM147&gt;0,BN147&gt;0), BN147,     AND(NOT($AI147=$AM147),$AI147&gt;0,$AM147&gt;0,BN147&gt;0), ($AM147*BN147)/$AI147,     AND($AI147=0,$AM147&gt;0,$AQ147&gt;0), IF(INDEX(BN$12:BN$263,MATCH($AQ147,$AP$12:$AP$263,0))&gt;0,($AM147*INDEX(BN$12:BN$263,MATCH($AQ147,$AP$12:$AP$263,0)))/INDEX($AI$12:$AI$263,MATCH($AQ147,$AP$12:$AP$263,0)), "-"),     TRUE, "0")</f>
        <v>0</v>
      </c>
      <c r="BP147" s="588">
        <f>IF(BO$9&gt;0, IF(OR(BO147="",BO147="-"), 0, BO147*$AT147), BN147*$AJ147)</f>
        <v>0</v>
      </c>
      <c r="BQ147" s="587">
        <f>[1]COMMANDE!AC145</f>
        <v>0</v>
      </c>
      <c r="BR147" s="586" t="str">
        <f>_xlfn.IFS(AND($AI147=$AM147,$AI147&gt;0,$AM147&gt;0,BQ147&gt;0), BQ147,     AND(NOT($AI147=$AM147),$AI147&gt;0,$AM147&gt;0,BQ147&gt;0), ($AM147*BQ147)/$AI147,     AND($AI147=0,$AM147&gt;0,$AQ147&gt;0), IF(INDEX(BQ$12:BQ$263,MATCH($AQ147,$AP$12:$AP$263,0))&gt;0,($AM147*INDEX(BQ$12:BQ$263,MATCH($AQ147,$AP$12:$AP$263,0)))/INDEX($AI$12:$AI$263,MATCH($AQ147,$AP$12:$AP$263,0)), "-"),     TRUE, "0")</f>
        <v>0</v>
      </c>
      <c r="BS147" s="607">
        <f>IF(BR$9&gt;0, IF(OR(BR147="",BR147="-"), 0, BR147*$AT147), BQ147*$AJ147)</f>
        <v>0</v>
      </c>
      <c r="BT147" s="589">
        <f>[1]COMMANDE!AE145</f>
        <v>0</v>
      </c>
      <c r="BU147" s="586" t="str">
        <f>_xlfn.IFS(AND($AI147=$AM147,$AI147&gt;0,$AM147&gt;0,BT147&gt;0), BT147,     AND(NOT($AI147=$AM147),$AI147&gt;0,$AM147&gt;0,BT147&gt;0), ($AM147*BT147)/$AI147,     AND($AI147=0,$AM147&gt;0,$AQ147&gt;0), IF(INDEX(BT$12:BT$263,MATCH($AQ147,$AP$12:$AP$263,0))&gt;0,($AM147*INDEX(BT$12:BT$263,MATCH($AQ147,$AP$12:$AP$263,0)))/INDEX($AI$12:$AI$263,MATCH($AQ147,$AP$12:$AP$263,0)), "-"),     TRUE, "0")</f>
        <v>0</v>
      </c>
      <c r="BV147" s="588">
        <f>IF(BU$9&gt;0, IF(OR(BU147="",BU147="-"), 0, BU147*$AT147), BT147*$AJ147)</f>
        <v>0</v>
      </c>
      <c r="BW147" s="587">
        <f>[1]COMMANDE!AG145</f>
        <v>0</v>
      </c>
      <c r="BX147" s="586" t="str">
        <f>_xlfn.IFS(AND($AI147=$AM147,$AI147&gt;0,$AM147&gt;0,BW147&gt;0), BW147,     AND(NOT($AI147=$AM147),$AI147&gt;0,$AM147&gt;0,BW147&gt;0), ($AM147*BW147)/$AI147,     AND($AI147=0,$AM147&gt;0,$AQ147&gt;0), IF(INDEX(BW$12:BW$263,MATCH($AQ147,$AP$12:$AP$263,0))&gt;0,($AM147*INDEX(BW$12:BW$263,MATCH($AQ147,$AP$12:$AP$263,0)))/INDEX($AI$12:$AI$263,MATCH($AQ147,$AP$12:$AP$263,0)), "-"),     TRUE, "0")</f>
        <v>0</v>
      </c>
      <c r="BY147" s="607">
        <f>IF(BX$9&gt;0, IF(OR(BX147="",BX147="-"), 0, BX147*$AT147), BW147*$AJ147)</f>
        <v>0</v>
      </c>
      <c r="BZ147" s="589">
        <f>[1]COMMANDE!AI145</f>
        <v>0</v>
      </c>
      <c r="CA147" s="586" t="str">
        <f>_xlfn.IFS(AND($AI147=$AM147,$AI147&gt;0,$AM147&gt;0,BZ147&gt;0), BZ147,     AND(NOT($AI147=$AM147),$AI147&gt;0,$AM147&gt;0,BZ147&gt;0), ($AM147*BZ147)/$AI147,     AND($AI147=0,$AM147&gt;0,$AQ147&gt;0), IF(INDEX(BZ$12:BZ$263,MATCH($AQ147,$AP$12:$AP$263,0))&gt;0,($AM147*INDEX(BZ$12:BZ$263,MATCH($AQ147,$AP$12:$AP$263,0)))/INDEX($AI$12:$AI$263,MATCH($AQ147,$AP$12:$AP$263,0)), "-"),     TRUE, "0")</f>
        <v>0</v>
      </c>
      <c r="CB147" s="588">
        <f>IF(CA$9&gt;0, IF(OR(CA147="",CA147="-"), 0, CA147*$AT147), BZ147*$AJ147)</f>
        <v>0</v>
      </c>
      <c r="CC147" s="587">
        <f>[1]COMMANDE!AK145</f>
        <v>0</v>
      </c>
      <c r="CD147" s="586" t="str">
        <f>_xlfn.IFS(AND($AI147=$AM147,$AI147&gt;0,$AM147&gt;0,CC147&gt;0), CC147,     AND(NOT($AI147=$AM147),$AI147&gt;0,$AM147&gt;0,CC147&gt;0), ($AM147*CC147)/$AI147,     AND($AI147=0,$AM147&gt;0,$AQ147&gt;0), IF(INDEX(CC$12:CC$263,MATCH($AQ147,$AP$12:$AP$263,0))&gt;0,($AM147*INDEX(CC$12:CC$263,MATCH($AQ147,$AP$12:$AP$263,0)))/INDEX($AI$12:$AI$263,MATCH($AQ147,$AP$12:$AP$263,0)), "-"),     TRUE, "0")</f>
        <v>0</v>
      </c>
      <c r="CE147" s="607">
        <f>IF(CD$9&gt;0, IF(OR(CD147="",CD147="-"), 0, CD147*$AT147), CC147*$AJ147)</f>
        <v>0</v>
      </c>
      <c r="CF147" s="589">
        <f>[1]COMMANDE!AM145</f>
        <v>0</v>
      </c>
      <c r="CG147" s="586" t="str">
        <f>_xlfn.IFS(AND($AI147=$AM147,$AI147&gt;0,$AM147&gt;0,CF147&gt;0), CF147,     AND(NOT($AI147=$AM147),$AI147&gt;0,$AM147&gt;0,CF147&gt;0), ($AM147*CF147)/$AI147,     AND($AI147=0,$AM147&gt;0,$AQ147&gt;0), IF(INDEX(CF$12:CF$263,MATCH($AQ147,$AP$12:$AP$263,0))&gt;0,($AM147*INDEX(CF$12:CF$263,MATCH($AQ147,$AP$12:$AP$263,0)))/INDEX($AI$12:$AI$263,MATCH($AQ147,$AP$12:$AP$263,0)), "-"),     TRUE, "0")</f>
        <v>0</v>
      </c>
      <c r="CH147" s="588">
        <f>IF(CG$9&gt;0, IF(OR(CG147="",CG147="-"), 0, CG147*$AT147), CF147*$AJ147)</f>
        <v>0</v>
      </c>
      <c r="CI147" s="587">
        <f>[1]COMMANDE!AO145</f>
        <v>0</v>
      </c>
      <c r="CJ147" s="586" t="str">
        <f>_xlfn.IFS(AND($AI147=$AM147,$AI147&gt;0,$AM147&gt;0,CI147&gt;0), CI147,     AND(NOT($AI147=$AM147),$AI147&gt;0,$AM147&gt;0,CI147&gt;0), ($AM147*CI147)/$AI147,     AND($AI147=0,$AM147&gt;0,$AQ147&gt;0), IF(INDEX(CI$12:CI$263,MATCH($AQ147,$AP$12:$AP$263,0))&gt;0,($AM147*INDEX(CI$12:CI$263,MATCH($AQ147,$AP$12:$AP$263,0)))/INDEX($AI$12:$AI$263,MATCH($AQ147,$AP$12:$AP$263,0)), "-"),     TRUE, "0")</f>
        <v>0</v>
      </c>
      <c r="CK147" s="607">
        <f>IF(CJ$9&gt;0, IF(OR(CJ147="",CJ147="-"), 0, CJ147*$AT147), CI147*$AJ147)</f>
        <v>0</v>
      </c>
      <c r="CL147" s="589">
        <f>[1]COMMANDE!AQ145</f>
        <v>0</v>
      </c>
      <c r="CM147" s="586" t="str">
        <f>_xlfn.IFS(AND($AI147=$AM147,$AI147&gt;0,$AM147&gt;0,CL147&gt;0), CL147,     AND(NOT($AI147=$AM147),$AI147&gt;0,$AM147&gt;0,CL147&gt;0), ($AM147*CL147)/$AI147,     AND($AI147=0,$AM147&gt;0,$AQ147&gt;0), IF(INDEX(CL$12:CL$263,MATCH($AQ147,$AP$12:$AP$263,0))&gt;0,($AM147*INDEX(CL$12:CL$263,MATCH($AQ147,$AP$12:$AP$263,0)))/INDEX($AI$12:$AI$263,MATCH($AQ147,$AP$12:$AP$263,0)), "-"),     TRUE, "0")</f>
        <v>0</v>
      </c>
      <c r="CN147" s="588">
        <f>IF(CM$9&gt;0, IF(OR(CM147="",CM147="-"), 0, CM147*$AT147), CL147*$AJ147)</f>
        <v>0</v>
      </c>
      <c r="CO147" s="587">
        <f>[1]COMMANDE!AS145</f>
        <v>0</v>
      </c>
      <c r="CP147" s="586" t="str">
        <f>_xlfn.IFS(AND($AI147=$AM147,$AI147&gt;0,$AM147&gt;0,CO147&gt;0), CO147,     AND(NOT($AI147=$AM147),$AI147&gt;0,$AM147&gt;0,CO147&gt;0), ($AM147*CO147)/$AI147,     AND($AI147=0,$AM147&gt;0,$AQ147&gt;0), IF(INDEX(CO$12:CO$263,MATCH($AQ147,$AP$12:$AP$263,0))&gt;0,($AM147*INDEX(CO$12:CO$263,MATCH($AQ147,$AP$12:$AP$263,0)))/INDEX($AI$12:$AI$263,MATCH($AQ147,$AP$12:$AP$263,0)), "-"),     TRUE, "0")</f>
        <v>0</v>
      </c>
      <c r="CQ147" s="607">
        <f>IF(CP$9&gt;0, IF(OR(CP147="",CP147="-"), 0, CP147*$AT147), CO147*$AJ147)</f>
        <v>0</v>
      </c>
      <c r="CR147" s="589">
        <f>[1]COMMANDE!AU145</f>
        <v>0</v>
      </c>
      <c r="CS147" s="586" t="str">
        <f>_xlfn.IFS(AND($AI147=$AM147,$AI147&gt;0,$AM147&gt;0,CR147&gt;0), CR147,     AND(NOT($AI147=$AM147),$AI147&gt;0,$AM147&gt;0,CR147&gt;0), ($AM147*CR147)/$AI147,     AND($AI147=0,$AM147&gt;0,$AQ147&gt;0), IF(INDEX(CR$12:CR$263,MATCH($AQ147,$AP$12:$AP$263,0))&gt;0,($AM147*INDEX(CR$12:CR$263,MATCH($AQ147,$AP$12:$AP$263,0)))/INDEX($AI$12:$AI$263,MATCH($AQ147,$AP$12:$AP$263,0)), "-"),     TRUE, "0")</f>
        <v>0</v>
      </c>
      <c r="CT147" s="588">
        <f>IF(CS$9&gt;0, IF(OR(CS147="",CS147="-"), 0, CS147*$AT147), CR147*$AJ147)</f>
        <v>0</v>
      </c>
      <c r="CU147" s="587">
        <f>[1]COMMANDE!AW145</f>
        <v>0</v>
      </c>
      <c r="CV147" s="586" t="str">
        <f>_xlfn.IFS(AND($AI147=$AM147,$AI147&gt;0,$AM147&gt;0,CU147&gt;0), CU147,     AND(NOT($AI147=$AM147),$AI147&gt;0,$AM147&gt;0,CU147&gt;0), ($AM147*CU147)/$AI147,     AND($AI147=0,$AM147&gt;0,$AQ147&gt;0), IF(INDEX(CU$12:CU$263,MATCH($AQ147,$AP$12:$AP$263,0))&gt;0,($AM147*INDEX(CU$12:CU$263,MATCH($AQ147,$AP$12:$AP$263,0)))/INDEX($AI$12:$AI$263,MATCH($AQ147,$AP$12:$AP$263,0)), "-"),     TRUE, "0")</f>
        <v>0</v>
      </c>
      <c r="CW147" s="607">
        <f>IF(CV$9&gt;0, IF(OR(CV147="",CV147="-"), 0, CV147*$AT147), CU147*$AJ147)</f>
        <v>0</v>
      </c>
      <c r="CX147" s="589">
        <f>[1]COMMANDE!AY145</f>
        <v>0</v>
      </c>
      <c r="CY147" s="586" t="str">
        <f>_xlfn.IFS(AND($AI147=$AM147,$AI147&gt;0,$AM147&gt;0,CX147&gt;0), CX147,     AND(NOT($AI147=$AM147),$AI147&gt;0,$AM147&gt;0,CX147&gt;0), ($AM147*CX147)/$AI147,     AND($AI147=0,$AM147&gt;0,$AQ147&gt;0), IF(INDEX(CX$12:CX$263,MATCH($AQ147,$AP$12:$AP$263,0))&gt;0,($AM147*INDEX(CX$12:CX$263,MATCH($AQ147,$AP$12:$AP$263,0)))/INDEX($AI$12:$AI$263,MATCH($AQ147,$AP$12:$AP$263,0)), "-"),     TRUE, "0")</f>
        <v>0</v>
      </c>
      <c r="CZ147" s="588">
        <f>IF(CY$9&gt;0, IF(OR(CY147="",CY147="-"), 0, CY147*$AT147), CX147*$AJ147)</f>
        <v>0</v>
      </c>
      <c r="DA147" s="587">
        <f>[1]COMMANDE!BA145</f>
        <v>0</v>
      </c>
      <c r="DB147" s="586" t="str">
        <f>_xlfn.IFS(AND($AI147=$AM147,$AI147&gt;0,$AM147&gt;0,DA147&gt;0), DA147,     AND(NOT($AI147=$AM147),$AI147&gt;0,$AM147&gt;0,DA147&gt;0), ($AM147*DA147)/$AI147,     AND($AI147=0,$AM147&gt;0,$AQ147&gt;0), IF(INDEX(DA$12:DA$263,MATCH($AQ147,$AP$12:$AP$263,0))&gt;0,($AM147*INDEX(DA$12:DA$263,MATCH($AQ147,$AP$12:$AP$263,0)))/INDEX($AI$12:$AI$263,MATCH($AQ147,$AP$12:$AP$263,0)), "-"),     TRUE, "0")</f>
        <v>0</v>
      </c>
      <c r="DC147" s="606">
        <f>IF(DB$9&gt;0, IF(OR(DB147="",DB147="-"), 0, DB147*$AT147), DA147*$AJ147)</f>
        <v>0</v>
      </c>
      <c r="DD147" s="584"/>
      <c r="DE147" s="583"/>
    </row>
    <row r="148" spans="1:128" ht="39.950000000000003" hidden="1" customHeight="1">
      <c r="A148" s="604">
        <f>IF(OR($AV148&gt;0, $AX148&gt;0), 1, 0)</f>
        <v>0</v>
      </c>
      <c r="B148" s="604">
        <f>IF(OR($AY148&gt;0, $BA148&gt;0), 1, 0)</f>
        <v>0</v>
      </c>
      <c r="C148" s="604">
        <f>IF(OR($BB148&gt;0, $BD148&gt;0), 1, 0)</f>
        <v>0</v>
      </c>
      <c r="D148" s="604">
        <f>IF(OR($BE148&gt;0, $BG148&gt;0), 1, 0)</f>
        <v>0</v>
      </c>
      <c r="E148" s="604">
        <f>IF(OR($BH148&gt;0, $BJ148&gt;0), 1, 0)</f>
        <v>0</v>
      </c>
      <c r="F148" s="604">
        <f>IF(OR($BK148&gt;0, $BM148&gt;0), 1, 0)</f>
        <v>0</v>
      </c>
      <c r="G148" s="604">
        <f>IF(OR($BN148&gt;0, $BP148&gt;0), 1, 0)</f>
        <v>0</v>
      </c>
      <c r="H148" s="604">
        <f>IF(OR($BQ148&gt;0, $BS148&gt;0), 1, 0)</f>
        <v>0</v>
      </c>
      <c r="I148" s="604">
        <f>IF(OR($BT148&gt;0, $BV148&gt;0), 1, 0)</f>
        <v>0</v>
      </c>
      <c r="J148" s="604">
        <f>IF(OR($BW148&gt;0, $BY148&gt;0), 1, 0)</f>
        <v>0</v>
      </c>
      <c r="K148" s="604">
        <f>IF(OR($BZ148&gt;0, $CB148&gt;0), 1, 0)</f>
        <v>0</v>
      </c>
      <c r="L148" s="604">
        <f>IF(OR($CC148&gt;0, $CE148&gt;0), 1, 0)</f>
        <v>0</v>
      </c>
      <c r="M148" s="604">
        <f>IF(OR($CF148&gt;0, $CH148&gt;0), 1, 0)</f>
        <v>0</v>
      </c>
      <c r="N148" s="604">
        <f>IF(OR($CI148&gt;0, $CK148&gt;0), 1, 0)</f>
        <v>0</v>
      </c>
      <c r="O148" s="604">
        <f>IF(OR($CL148&gt;0, $CN148&gt;0), 1, 0)</f>
        <v>0</v>
      </c>
      <c r="P148" s="604">
        <f>IF(OR($CO148&gt;0, $CQ148&gt;0), 1, 0)</f>
        <v>0</v>
      </c>
      <c r="Q148" s="604">
        <f>IF(OR($CR148&gt;0, $CT148&gt;0), 1, 0)</f>
        <v>0</v>
      </c>
      <c r="R148" s="604">
        <f>IF(OR($CU148&gt;0, $CW148&gt;0), 1, 0)</f>
        <v>0</v>
      </c>
      <c r="S148" s="604">
        <f>IF(OR($CX148&gt;0, $CZ148&gt;0), 1, 0)</f>
        <v>0</v>
      </c>
      <c r="T148" s="604">
        <f>IF(OR($DA148&gt;0, $DC148&gt;0), 1, 0)</f>
        <v>0</v>
      </c>
      <c r="U148" s="603">
        <f>IF(OR($AI148&gt;0,$AM148&gt;0,$AS148&gt;0), 1, 0)</f>
        <v>0</v>
      </c>
      <c r="V148" s="602">
        <f>[1]BDD!A138</f>
        <v>1103</v>
      </c>
      <c r="W148" s="601" t="str">
        <f>[1]BDD!B138</f>
        <v>Lima-Limon BIO (entre citron vert et jaune, cueilli à maturité, variété indienne)</v>
      </c>
      <c r="X148" s="600" t="str">
        <f>IF([1]BDD!F138=0, "", [1]BDD!F138)</f>
        <v>❤️</v>
      </c>
      <c r="Y148" s="542">
        <f>ROUND([1]BDD!G138+FDP_CMD_KG, 2)</f>
        <v>4.01</v>
      </c>
      <c r="Z148" s="542">
        <f>ROUND([1]BDD!G138+FDP_FACT_KG, 2)</f>
        <v>4.01</v>
      </c>
      <c r="AA148" s="543" t="str">
        <f>[1]BDD!H138</f>
        <v>kg</v>
      </c>
      <c r="AB148" s="544">
        <f>IF(NOT(ISBLANK([1]BDD!I138)), ROUND(SUM(([1]BDD!G138*reduc1),FDP_CMD_KG), 2), "")</f>
        <v>3.7</v>
      </c>
      <c r="AC148" s="544">
        <f>IF(NOT(ISBLANK([1]BDD!J138)), ROUND(SUM(([1]BDD!G138*reduc2),FDP_CMD_KG), 2), "")</f>
        <v>3.39</v>
      </c>
      <c r="AD148" s="544">
        <f>IF(NOT(ISBLANK([1]BDD!K138)), ROUND(SUM(([1]BDD!G138*reduc3),FDP_CMD_KG), 2), "")</f>
        <v>3.07</v>
      </c>
      <c r="AE148" s="544">
        <f>IF(NOT(ISBLANK([1]BDD!I138)), ROUND(SUM(([1]BDD!G138*reduc1),FDP_FACT_KG), 2), "")</f>
        <v>3.69</v>
      </c>
      <c r="AF148" s="544">
        <f>IF(NOT(ISBLANK([1]BDD!J138)), ROUND(SUM(([1]BDD!G138*reduc2),FDP_FACT_KG), 2), "")</f>
        <v>3.38</v>
      </c>
      <c r="AG148" s="544">
        <f>IF(NOT(ISBLANK([1]BDD!K138)), ROUND(SUM(([1]BDD!G138*reduc3),FDP_FACT_KG), 2), "")</f>
        <v>3.06</v>
      </c>
      <c r="AH148" s="599" t="str">
        <f>[1]BDD!C138</f>
        <v>Malaga</v>
      </c>
      <c r="AI148" s="598">
        <f>SUM(AV148,AY148,BB148,BE148,BH148,BK148,BN148,BQ148,BT148,BW148,BZ148,CC148,CF148,CI148,CL148,CO148,CR148,CU148,CX148,DA148)</f>
        <v>0</v>
      </c>
      <c r="AJ148" s="545">
        <f>_xlfn.IFS($AD148&lt;&gt;"", $AD148,    $AC148&lt;&gt;"", $AC148,    $AB148&lt;&gt;"", $AB148,    TRUE, $Y148)</f>
        <v>3.07</v>
      </c>
      <c r="AK148" s="592">
        <f>$AI148*$AJ148</f>
        <v>0</v>
      </c>
      <c r="AL148" s="594"/>
      <c r="AM148" s="597"/>
      <c r="AN148" s="545">
        <f>_xlfn.IFS(AND(AM148&gt;=60,$AG148&lt;&gt;""), $AG148,    AND(AM148&gt;=30,$AF148&lt;&gt;""), $AF148,    AND(AM148&gt;=10,$AE148&lt;&gt;""), $AE148,    TRUE, $Z148)</f>
        <v>4.01</v>
      </c>
      <c r="AO148" s="596">
        <f>AM148*AN148</f>
        <v>0</v>
      </c>
      <c r="AP148" s="595"/>
      <c r="AQ148" s="595"/>
      <c r="AR148" s="594"/>
      <c r="AS148" s="593">
        <f>SUM(AW148,AZ148,BC148,BF148,BI148,BL148,BO148,BR148,BU148,BX148,CA148,CD148,CG148,CJ148,CM148,CP148,CS148,CV148,CY148,DB148)</f>
        <v>0</v>
      </c>
      <c r="AT148" s="545">
        <f>_xlfn.IFS(AND(AS148&gt;=60,$AG148&lt;&gt;""), $AG148,    AND(AS148&gt;=30,$AF148&lt;&gt;""), $AF148,    AND(AS148&gt;=10,$AE148&lt;&gt;""), $AE148,    TRUE, $Z148)</f>
        <v>4.01</v>
      </c>
      <c r="AU148" s="592">
        <f>$AS148*$AT148</f>
        <v>0</v>
      </c>
      <c r="AV148" s="591">
        <f>[1]COMMANDE!O146</f>
        <v>0</v>
      </c>
      <c r="AW148" s="586" t="str">
        <f>_xlfn.IFS(AND($AI148=$AM148,$AI148&gt;0,$AM148&gt;0,AV148&gt;0), AV148,     AND(NOT($AI148=$AM148),$AI148&gt;0,$AM148&gt;0,AV148&gt;0), ($AM148*AV148)/$AI148,     AND($AI148=0,$AM148&gt;0,$AQ148&gt;0), IF(INDEX(AV$12:AV$263,MATCH($AQ148,$AP$12:$AP$263,0))&gt;0,($AM148*INDEX(AV$12:AV$263,MATCH($AQ148,$AP$12:$AP$263,0)))/INDEX($AI$12:$AI$263,MATCH($AQ148,$AP$12:$AP$263,0)), "-"),     TRUE, "0")</f>
        <v>0</v>
      </c>
      <c r="AX148" s="588">
        <f>IF(AW$9&gt;0, IF(OR(AW148="",AW148="-"), 0, AW148*$AT148), AV148*$AJ148)</f>
        <v>0</v>
      </c>
      <c r="AY148" s="587">
        <f>[1]COMMANDE!Q146</f>
        <v>0</v>
      </c>
      <c r="AZ148" s="586" t="str">
        <f>_xlfn.IFS(AND($AI148=$AM148,$AI148&gt;0,$AM148&gt;0,AY148&gt;0), AY148,     AND(NOT($AI148=$AM148),$AI148&gt;0,$AM148&gt;0,AY148&gt;0), ($AM148*AY148)/$AI148,     AND($AI148=0,$AM148&gt;0,$AQ148&gt;0), IF(INDEX(AY$12:AY$263,MATCH($AQ148,$AP$12:$AP$263,0))&gt;0,($AM148*INDEX(AY$12:AY$263,MATCH($AQ148,$AP$12:$AP$263,0)))/INDEX($AI$12:$AI$263,MATCH($AQ148,$AP$12:$AP$263,0)), "-"),     TRUE, "0")</f>
        <v>0</v>
      </c>
      <c r="BA148" s="607">
        <f>IF(AZ$9&gt;0, IF(OR(AZ148="",AZ148="-"), 0, AZ148*$AT148), AY148*$AJ148)</f>
        <v>0</v>
      </c>
      <c r="BB148" s="589">
        <f>[1]COMMANDE!S146</f>
        <v>0</v>
      </c>
      <c r="BC148" s="586" t="str">
        <f>_xlfn.IFS(AND($AI148=$AM148,$AI148&gt;0,$AM148&gt;0,BB148&gt;0), BB148,     AND(NOT($AI148=$AM148),$AI148&gt;0,$AM148&gt;0,BB148&gt;0), ($AM148*BB148)/$AI148,     AND($AI148=0,$AM148&gt;0,$AQ148&gt;0), IF(INDEX(BB$12:BB$263,MATCH($AQ148,$AP$12:$AP$263,0))&gt;0,($AM148*INDEX(BB$12:BB$263,MATCH($AQ148,$AP$12:$AP$263,0)))/INDEX($AI$12:$AI$263,MATCH($AQ148,$AP$12:$AP$263,0)), "-"),     TRUE, "0")</f>
        <v>0</v>
      </c>
      <c r="BD148" s="588">
        <f>IF(BC$9&gt;0, IF(OR(BC148="",BC148="-"), 0, BC148*$AT148), BB148*$AJ148)</f>
        <v>0</v>
      </c>
      <c r="BE148" s="587">
        <f>[1]COMMANDE!U146</f>
        <v>0</v>
      </c>
      <c r="BF148" s="586" t="str">
        <f>_xlfn.IFS(AND($AI148=$AM148,$AI148&gt;0,$AM148&gt;0,BE148&gt;0), BE148,     AND(NOT($AI148=$AM148),$AI148&gt;0,$AM148&gt;0,BE148&gt;0), ($AM148*BE148)/$AI148,     AND($AI148=0,$AM148&gt;0,$AQ148&gt;0), IF(INDEX(BE$12:BE$263,MATCH($AQ148,$AP$12:$AP$263,0))&gt;0,($AM148*INDEX(BE$12:BE$263,MATCH($AQ148,$AP$12:$AP$263,0)))/INDEX($AI$12:$AI$263,MATCH($AQ148,$AP$12:$AP$263,0)), "-"),     TRUE, "0")</f>
        <v>0</v>
      </c>
      <c r="BG148" s="607">
        <f>IF(BF$9&gt;0, IF(OR(BF148="",BF148="-"), 0, BF148*$AT148), BE148*$AJ148)</f>
        <v>0</v>
      </c>
      <c r="BH148" s="589">
        <f>[1]COMMANDE!W146</f>
        <v>0</v>
      </c>
      <c r="BI148" s="586" t="str">
        <f>_xlfn.IFS(AND($AI148=$AM148,$AI148&gt;0,$AM148&gt;0,BH148&gt;0), BH148,     AND(NOT($AI148=$AM148),$AI148&gt;0,$AM148&gt;0,BH148&gt;0), ($AM148*BH148)/$AI148,     AND($AI148=0,$AM148&gt;0,$AQ148&gt;0), IF(INDEX(BH$12:BH$263,MATCH($AQ148,$AP$12:$AP$263,0))&gt;0,($AM148*INDEX(BH$12:BH$263,MATCH($AQ148,$AP$12:$AP$263,0)))/INDEX($AI$12:$AI$263,MATCH($AQ148,$AP$12:$AP$263,0)), "-"),     TRUE, "0")</f>
        <v>0</v>
      </c>
      <c r="BJ148" s="588">
        <f>IF(BI$9&gt;0, IF(OR(BI148="",BI148="-"), 0, BI148*$AT148), BH148*$AJ148)</f>
        <v>0</v>
      </c>
      <c r="BK148" s="587">
        <f>[1]COMMANDE!Y146</f>
        <v>0</v>
      </c>
      <c r="BL148" s="586" t="str">
        <f>_xlfn.IFS(AND($AI148=$AM148,$AI148&gt;0,$AM148&gt;0,BK148&gt;0), BK148,     AND(NOT($AI148=$AM148),$AI148&gt;0,$AM148&gt;0,BK148&gt;0), ($AM148*BK148)/$AI148,     AND($AI148=0,$AM148&gt;0,$AQ148&gt;0), IF(INDEX(BK$12:BK$263,MATCH($AQ148,$AP$12:$AP$263,0))&gt;0,($AM148*INDEX(BK$12:BK$263,MATCH($AQ148,$AP$12:$AP$263,0)))/INDEX($AI$12:$AI$263,MATCH($AQ148,$AP$12:$AP$263,0)), "-"),     TRUE, "0")</f>
        <v>0</v>
      </c>
      <c r="BM148" s="607">
        <f>IF(BL$9&gt;0, IF(OR(BL148="",BL148="-"), 0, BL148*$AT148), BK148*$AJ148)</f>
        <v>0</v>
      </c>
      <c r="BN148" s="589">
        <f>[1]COMMANDE!AA146</f>
        <v>0</v>
      </c>
      <c r="BO148" s="586" t="str">
        <f>_xlfn.IFS(AND($AI148=$AM148,$AI148&gt;0,$AM148&gt;0,BN148&gt;0), BN148,     AND(NOT($AI148=$AM148),$AI148&gt;0,$AM148&gt;0,BN148&gt;0), ($AM148*BN148)/$AI148,     AND($AI148=0,$AM148&gt;0,$AQ148&gt;0), IF(INDEX(BN$12:BN$263,MATCH($AQ148,$AP$12:$AP$263,0))&gt;0,($AM148*INDEX(BN$12:BN$263,MATCH($AQ148,$AP$12:$AP$263,0)))/INDEX($AI$12:$AI$263,MATCH($AQ148,$AP$12:$AP$263,0)), "-"),     TRUE, "0")</f>
        <v>0</v>
      </c>
      <c r="BP148" s="588">
        <f>IF(BO$9&gt;0, IF(OR(BO148="",BO148="-"), 0, BO148*$AT148), BN148*$AJ148)</f>
        <v>0</v>
      </c>
      <c r="BQ148" s="587">
        <f>[1]COMMANDE!AC146</f>
        <v>0</v>
      </c>
      <c r="BR148" s="586" t="str">
        <f>_xlfn.IFS(AND($AI148=$AM148,$AI148&gt;0,$AM148&gt;0,BQ148&gt;0), BQ148,     AND(NOT($AI148=$AM148),$AI148&gt;0,$AM148&gt;0,BQ148&gt;0), ($AM148*BQ148)/$AI148,     AND($AI148=0,$AM148&gt;0,$AQ148&gt;0), IF(INDEX(BQ$12:BQ$263,MATCH($AQ148,$AP$12:$AP$263,0))&gt;0,($AM148*INDEX(BQ$12:BQ$263,MATCH($AQ148,$AP$12:$AP$263,0)))/INDEX($AI$12:$AI$263,MATCH($AQ148,$AP$12:$AP$263,0)), "-"),     TRUE, "0")</f>
        <v>0</v>
      </c>
      <c r="BS148" s="607">
        <f>IF(BR$9&gt;0, IF(OR(BR148="",BR148="-"), 0, BR148*$AT148), BQ148*$AJ148)</f>
        <v>0</v>
      </c>
      <c r="BT148" s="589">
        <f>[1]COMMANDE!AE146</f>
        <v>0</v>
      </c>
      <c r="BU148" s="586" t="str">
        <f>_xlfn.IFS(AND($AI148=$AM148,$AI148&gt;0,$AM148&gt;0,BT148&gt;0), BT148,     AND(NOT($AI148=$AM148),$AI148&gt;0,$AM148&gt;0,BT148&gt;0), ($AM148*BT148)/$AI148,     AND($AI148=0,$AM148&gt;0,$AQ148&gt;0), IF(INDEX(BT$12:BT$263,MATCH($AQ148,$AP$12:$AP$263,0))&gt;0,($AM148*INDEX(BT$12:BT$263,MATCH($AQ148,$AP$12:$AP$263,0)))/INDEX($AI$12:$AI$263,MATCH($AQ148,$AP$12:$AP$263,0)), "-"),     TRUE, "0")</f>
        <v>0</v>
      </c>
      <c r="BV148" s="588">
        <f>IF(BU$9&gt;0, IF(OR(BU148="",BU148="-"), 0, BU148*$AT148), BT148*$AJ148)</f>
        <v>0</v>
      </c>
      <c r="BW148" s="587">
        <f>[1]COMMANDE!AG146</f>
        <v>0</v>
      </c>
      <c r="BX148" s="586" t="str">
        <f>_xlfn.IFS(AND($AI148=$AM148,$AI148&gt;0,$AM148&gt;0,BW148&gt;0), BW148,     AND(NOT($AI148=$AM148),$AI148&gt;0,$AM148&gt;0,BW148&gt;0), ($AM148*BW148)/$AI148,     AND($AI148=0,$AM148&gt;0,$AQ148&gt;0), IF(INDEX(BW$12:BW$263,MATCH($AQ148,$AP$12:$AP$263,0))&gt;0,($AM148*INDEX(BW$12:BW$263,MATCH($AQ148,$AP$12:$AP$263,0)))/INDEX($AI$12:$AI$263,MATCH($AQ148,$AP$12:$AP$263,0)), "-"),     TRUE, "0")</f>
        <v>0</v>
      </c>
      <c r="BY148" s="607">
        <f>IF(BX$9&gt;0, IF(OR(BX148="",BX148="-"), 0, BX148*$AT148), BW148*$AJ148)</f>
        <v>0</v>
      </c>
      <c r="BZ148" s="589">
        <f>[1]COMMANDE!AI146</f>
        <v>0</v>
      </c>
      <c r="CA148" s="586" t="str">
        <f>_xlfn.IFS(AND($AI148=$AM148,$AI148&gt;0,$AM148&gt;0,BZ148&gt;0), BZ148,     AND(NOT($AI148=$AM148),$AI148&gt;0,$AM148&gt;0,BZ148&gt;0), ($AM148*BZ148)/$AI148,     AND($AI148=0,$AM148&gt;0,$AQ148&gt;0), IF(INDEX(BZ$12:BZ$263,MATCH($AQ148,$AP$12:$AP$263,0))&gt;0,($AM148*INDEX(BZ$12:BZ$263,MATCH($AQ148,$AP$12:$AP$263,0)))/INDEX($AI$12:$AI$263,MATCH($AQ148,$AP$12:$AP$263,0)), "-"),     TRUE, "0")</f>
        <v>0</v>
      </c>
      <c r="CB148" s="588">
        <f>IF(CA$9&gt;0, IF(OR(CA148="",CA148="-"), 0, CA148*$AT148), BZ148*$AJ148)</f>
        <v>0</v>
      </c>
      <c r="CC148" s="587">
        <f>[1]COMMANDE!AK146</f>
        <v>0</v>
      </c>
      <c r="CD148" s="586" t="str">
        <f>_xlfn.IFS(AND($AI148=$AM148,$AI148&gt;0,$AM148&gt;0,CC148&gt;0), CC148,     AND(NOT($AI148=$AM148),$AI148&gt;0,$AM148&gt;0,CC148&gt;0), ($AM148*CC148)/$AI148,     AND($AI148=0,$AM148&gt;0,$AQ148&gt;0), IF(INDEX(CC$12:CC$263,MATCH($AQ148,$AP$12:$AP$263,0))&gt;0,($AM148*INDEX(CC$12:CC$263,MATCH($AQ148,$AP$12:$AP$263,0)))/INDEX($AI$12:$AI$263,MATCH($AQ148,$AP$12:$AP$263,0)), "-"),     TRUE, "0")</f>
        <v>0</v>
      </c>
      <c r="CE148" s="607">
        <f>IF(CD$9&gt;0, IF(OR(CD148="",CD148="-"), 0, CD148*$AT148), CC148*$AJ148)</f>
        <v>0</v>
      </c>
      <c r="CF148" s="589">
        <f>[1]COMMANDE!AM146</f>
        <v>0</v>
      </c>
      <c r="CG148" s="586" t="str">
        <f>_xlfn.IFS(AND($AI148=$AM148,$AI148&gt;0,$AM148&gt;0,CF148&gt;0), CF148,     AND(NOT($AI148=$AM148),$AI148&gt;0,$AM148&gt;0,CF148&gt;0), ($AM148*CF148)/$AI148,     AND($AI148=0,$AM148&gt;0,$AQ148&gt;0), IF(INDEX(CF$12:CF$263,MATCH($AQ148,$AP$12:$AP$263,0))&gt;0,($AM148*INDEX(CF$12:CF$263,MATCH($AQ148,$AP$12:$AP$263,0)))/INDEX($AI$12:$AI$263,MATCH($AQ148,$AP$12:$AP$263,0)), "-"),     TRUE, "0")</f>
        <v>0</v>
      </c>
      <c r="CH148" s="588">
        <f>IF(CG$9&gt;0, IF(OR(CG148="",CG148="-"), 0, CG148*$AT148), CF148*$AJ148)</f>
        <v>0</v>
      </c>
      <c r="CI148" s="587">
        <f>[1]COMMANDE!AO146</f>
        <v>0</v>
      </c>
      <c r="CJ148" s="586" t="str">
        <f>_xlfn.IFS(AND($AI148=$AM148,$AI148&gt;0,$AM148&gt;0,CI148&gt;0), CI148,     AND(NOT($AI148=$AM148),$AI148&gt;0,$AM148&gt;0,CI148&gt;0), ($AM148*CI148)/$AI148,     AND($AI148=0,$AM148&gt;0,$AQ148&gt;0), IF(INDEX(CI$12:CI$263,MATCH($AQ148,$AP$12:$AP$263,0))&gt;0,($AM148*INDEX(CI$12:CI$263,MATCH($AQ148,$AP$12:$AP$263,0)))/INDEX($AI$12:$AI$263,MATCH($AQ148,$AP$12:$AP$263,0)), "-"),     TRUE, "0")</f>
        <v>0</v>
      </c>
      <c r="CK148" s="607">
        <f>IF(CJ$9&gt;0, IF(OR(CJ148="",CJ148="-"), 0, CJ148*$AT148), CI148*$AJ148)</f>
        <v>0</v>
      </c>
      <c r="CL148" s="589">
        <f>[1]COMMANDE!AQ146</f>
        <v>0</v>
      </c>
      <c r="CM148" s="586" t="str">
        <f>_xlfn.IFS(AND($AI148=$AM148,$AI148&gt;0,$AM148&gt;0,CL148&gt;0), CL148,     AND(NOT($AI148=$AM148),$AI148&gt;0,$AM148&gt;0,CL148&gt;0), ($AM148*CL148)/$AI148,     AND($AI148=0,$AM148&gt;0,$AQ148&gt;0), IF(INDEX(CL$12:CL$263,MATCH($AQ148,$AP$12:$AP$263,0))&gt;0,($AM148*INDEX(CL$12:CL$263,MATCH($AQ148,$AP$12:$AP$263,0)))/INDEX($AI$12:$AI$263,MATCH($AQ148,$AP$12:$AP$263,0)), "-"),     TRUE, "0")</f>
        <v>0</v>
      </c>
      <c r="CN148" s="588">
        <f>IF(CM$9&gt;0, IF(OR(CM148="",CM148="-"), 0, CM148*$AT148), CL148*$AJ148)</f>
        <v>0</v>
      </c>
      <c r="CO148" s="587">
        <f>[1]COMMANDE!AS146</f>
        <v>0</v>
      </c>
      <c r="CP148" s="586" t="str">
        <f>_xlfn.IFS(AND($AI148=$AM148,$AI148&gt;0,$AM148&gt;0,CO148&gt;0), CO148,     AND(NOT($AI148=$AM148),$AI148&gt;0,$AM148&gt;0,CO148&gt;0), ($AM148*CO148)/$AI148,     AND($AI148=0,$AM148&gt;0,$AQ148&gt;0), IF(INDEX(CO$12:CO$263,MATCH($AQ148,$AP$12:$AP$263,0))&gt;0,($AM148*INDEX(CO$12:CO$263,MATCH($AQ148,$AP$12:$AP$263,0)))/INDEX($AI$12:$AI$263,MATCH($AQ148,$AP$12:$AP$263,0)), "-"),     TRUE, "0")</f>
        <v>0</v>
      </c>
      <c r="CQ148" s="607">
        <f>IF(CP$9&gt;0, IF(OR(CP148="",CP148="-"), 0, CP148*$AT148), CO148*$AJ148)</f>
        <v>0</v>
      </c>
      <c r="CR148" s="589">
        <f>[1]COMMANDE!AU146</f>
        <v>0</v>
      </c>
      <c r="CS148" s="586" t="str">
        <f>_xlfn.IFS(AND($AI148=$AM148,$AI148&gt;0,$AM148&gt;0,CR148&gt;0), CR148,     AND(NOT($AI148=$AM148),$AI148&gt;0,$AM148&gt;0,CR148&gt;0), ($AM148*CR148)/$AI148,     AND($AI148=0,$AM148&gt;0,$AQ148&gt;0), IF(INDEX(CR$12:CR$263,MATCH($AQ148,$AP$12:$AP$263,0))&gt;0,($AM148*INDEX(CR$12:CR$263,MATCH($AQ148,$AP$12:$AP$263,0)))/INDEX($AI$12:$AI$263,MATCH($AQ148,$AP$12:$AP$263,0)), "-"),     TRUE, "0")</f>
        <v>0</v>
      </c>
      <c r="CT148" s="588">
        <f>IF(CS$9&gt;0, IF(OR(CS148="",CS148="-"), 0, CS148*$AT148), CR148*$AJ148)</f>
        <v>0</v>
      </c>
      <c r="CU148" s="587">
        <f>[1]COMMANDE!AW146</f>
        <v>0</v>
      </c>
      <c r="CV148" s="586" t="str">
        <f>_xlfn.IFS(AND($AI148=$AM148,$AI148&gt;0,$AM148&gt;0,CU148&gt;0), CU148,     AND(NOT($AI148=$AM148),$AI148&gt;0,$AM148&gt;0,CU148&gt;0), ($AM148*CU148)/$AI148,     AND($AI148=0,$AM148&gt;0,$AQ148&gt;0), IF(INDEX(CU$12:CU$263,MATCH($AQ148,$AP$12:$AP$263,0))&gt;0,($AM148*INDEX(CU$12:CU$263,MATCH($AQ148,$AP$12:$AP$263,0)))/INDEX($AI$12:$AI$263,MATCH($AQ148,$AP$12:$AP$263,0)), "-"),     TRUE, "0")</f>
        <v>0</v>
      </c>
      <c r="CW148" s="607">
        <f>IF(CV$9&gt;0, IF(OR(CV148="",CV148="-"), 0, CV148*$AT148), CU148*$AJ148)</f>
        <v>0</v>
      </c>
      <c r="CX148" s="589">
        <f>[1]COMMANDE!AY146</f>
        <v>0</v>
      </c>
      <c r="CY148" s="586" t="str">
        <f>_xlfn.IFS(AND($AI148=$AM148,$AI148&gt;0,$AM148&gt;0,CX148&gt;0), CX148,     AND(NOT($AI148=$AM148),$AI148&gt;0,$AM148&gt;0,CX148&gt;0), ($AM148*CX148)/$AI148,     AND($AI148=0,$AM148&gt;0,$AQ148&gt;0), IF(INDEX(CX$12:CX$263,MATCH($AQ148,$AP$12:$AP$263,0))&gt;0,($AM148*INDEX(CX$12:CX$263,MATCH($AQ148,$AP$12:$AP$263,0)))/INDEX($AI$12:$AI$263,MATCH($AQ148,$AP$12:$AP$263,0)), "-"),     TRUE, "0")</f>
        <v>0</v>
      </c>
      <c r="CZ148" s="588">
        <f>IF(CY$9&gt;0, IF(OR(CY148="",CY148="-"), 0, CY148*$AT148), CX148*$AJ148)</f>
        <v>0</v>
      </c>
      <c r="DA148" s="587">
        <f>[1]COMMANDE!BA146</f>
        <v>0</v>
      </c>
      <c r="DB148" s="586" t="str">
        <f>_xlfn.IFS(AND($AI148=$AM148,$AI148&gt;0,$AM148&gt;0,DA148&gt;0), DA148,     AND(NOT($AI148=$AM148),$AI148&gt;0,$AM148&gt;0,DA148&gt;0), ($AM148*DA148)/$AI148,     AND($AI148=0,$AM148&gt;0,$AQ148&gt;0), IF(INDEX(DA$12:DA$263,MATCH($AQ148,$AP$12:$AP$263,0))&gt;0,($AM148*INDEX(DA$12:DA$263,MATCH($AQ148,$AP$12:$AP$263,0)))/INDEX($AI$12:$AI$263,MATCH($AQ148,$AP$12:$AP$263,0)), "-"),     TRUE, "0")</f>
        <v>0</v>
      </c>
      <c r="DC148" s="606">
        <f>IF(DB$9&gt;0, IF(OR(DB148="",DB148="-"), 0, DB148*$AT148), DA148*$AJ148)</f>
        <v>0</v>
      </c>
      <c r="DD148" s="584"/>
      <c r="DE148" s="583"/>
    </row>
    <row r="149" spans="1:128" s="610" customFormat="1" ht="39.950000000000003" hidden="1" customHeight="1">
      <c r="A149" s="604">
        <f>IF(OR($AV149&gt;0, $AX149&gt;0), 1, 0)</f>
        <v>0</v>
      </c>
      <c r="B149" s="604">
        <f>IF(OR($AY149&gt;0, $BA149&gt;0), 1, 0)</f>
        <v>0</v>
      </c>
      <c r="C149" s="604">
        <f>IF(OR($BB149&gt;0, $BD149&gt;0), 1, 0)</f>
        <v>0</v>
      </c>
      <c r="D149" s="604">
        <f>IF(OR($BE149&gt;0, $BG149&gt;0), 1, 0)</f>
        <v>0</v>
      </c>
      <c r="E149" s="604">
        <f>IF(OR($BH149&gt;0, $BJ149&gt;0), 1, 0)</f>
        <v>0</v>
      </c>
      <c r="F149" s="604">
        <f>IF(OR($BK149&gt;0, $BM149&gt;0), 1, 0)</f>
        <v>0</v>
      </c>
      <c r="G149" s="604">
        <f>IF(OR($BN149&gt;0, $BP149&gt;0), 1, 0)</f>
        <v>0</v>
      </c>
      <c r="H149" s="604">
        <f>IF(OR($BQ149&gt;0, $BS149&gt;0), 1, 0)</f>
        <v>0</v>
      </c>
      <c r="I149" s="604">
        <f>IF(OR($BT149&gt;0, $BV149&gt;0), 1, 0)</f>
        <v>0</v>
      </c>
      <c r="J149" s="604">
        <f>IF(OR($BW149&gt;0, $BY149&gt;0), 1, 0)</f>
        <v>0</v>
      </c>
      <c r="K149" s="604">
        <f>IF(OR($BZ149&gt;0, $CB149&gt;0), 1, 0)</f>
        <v>0</v>
      </c>
      <c r="L149" s="604">
        <f>IF(OR($CC149&gt;0, $CE149&gt;0), 1, 0)</f>
        <v>0</v>
      </c>
      <c r="M149" s="604">
        <f>IF(OR($CF149&gt;0, $CH149&gt;0), 1, 0)</f>
        <v>0</v>
      </c>
      <c r="N149" s="604">
        <f>IF(OR($CI149&gt;0, $CK149&gt;0), 1, 0)</f>
        <v>0</v>
      </c>
      <c r="O149" s="604">
        <f>IF(OR($CL149&gt;0, $CN149&gt;0), 1, 0)</f>
        <v>0</v>
      </c>
      <c r="P149" s="604">
        <f>IF(OR($CO149&gt;0, $CQ149&gt;0), 1, 0)</f>
        <v>0</v>
      </c>
      <c r="Q149" s="604">
        <f>IF(OR($CR149&gt;0, $CT149&gt;0), 1, 0)</f>
        <v>0</v>
      </c>
      <c r="R149" s="604">
        <f>IF(OR($CU149&gt;0, $CW149&gt;0), 1, 0)</f>
        <v>0</v>
      </c>
      <c r="S149" s="604">
        <f>IF(OR($CX149&gt;0, $CZ149&gt;0), 1, 0)</f>
        <v>0</v>
      </c>
      <c r="T149" s="604">
        <f>IF(OR($DA149&gt;0, $DC149&gt;0), 1, 0)</f>
        <v>0</v>
      </c>
      <c r="U149" s="603">
        <f>IF(OR($AI149&gt;0,$AM149&gt;0,$AS149&gt;0), 1, 0)</f>
        <v>0</v>
      </c>
      <c r="V149" s="602">
        <f>[1]BDD!A139</f>
        <v>1480</v>
      </c>
      <c r="W149" s="601" t="str">
        <f>[1]BDD!B139</f>
        <v>Lin brun BIO (env. 1 kg).</v>
      </c>
      <c r="X149" s="600" t="str">
        <f>IF([1]BDD!F139=0, "", [1]BDD!F139)</f>
        <v/>
      </c>
      <c r="Y149" s="542">
        <f>ROUND([1]BDD!G139+FDP_CMD_KG, 2)</f>
        <v>6.06</v>
      </c>
      <c r="Z149" s="542">
        <f>ROUND([1]BDD!G139+FDP_FACT_KG, 2)</f>
        <v>6.06</v>
      </c>
      <c r="AA149" s="543" t="str">
        <f>[1]BDD!H139</f>
        <v>Pièce</v>
      </c>
      <c r="AB149" s="544">
        <f>IF(NOT(ISBLANK([1]BDD!I139)), ROUND(SUM(([1]BDD!G139*reduc1),FDP_CMD_KG), 2), "")</f>
        <v>5.54</v>
      </c>
      <c r="AC149" s="544" t="str">
        <f>IF(NOT(ISBLANK([1]BDD!J139)), ROUND(SUM(([1]BDD!G139*reduc2),FDP_CMD_KG), 2), "")</f>
        <v/>
      </c>
      <c r="AD149" s="544" t="str">
        <f>IF(NOT(ISBLANK([1]BDD!K139)), ROUND(SUM(([1]BDD!G139*reduc3),FDP_CMD_KG), 2), "")</f>
        <v/>
      </c>
      <c r="AE149" s="544">
        <f>IF(NOT(ISBLANK([1]BDD!I139)), ROUND(SUM(([1]BDD!G139*reduc1),FDP_FACT_KG), 2), "")</f>
        <v>5.54</v>
      </c>
      <c r="AF149" s="544" t="str">
        <f>IF(NOT(ISBLANK([1]BDD!J139)), ROUND(SUM(([1]BDD!G139*reduc2),FDP_FACT_KG), 2), "")</f>
        <v/>
      </c>
      <c r="AG149" s="544" t="str">
        <f>IF(NOT(ISBLANK([1]BDD!K139)), ROUND(SUM(([1]BDD!G139*reduc3),FDP_FACT_KG), 2), "")</f>
        <v/>
      </c>
      <c r="AH149" s="599" t="str">
        <f>[1]BDD!C139</f>
        <v>Kazakhstan</v>
      </c>
      <c r="AI149" s="598">
        <f>SUM(AV149,AY149,BB149,BE149,BH149,BK149,BN149,BQ149,BT149,BW149,BZ149,CC149,CF149,CI149,CL149,CO149,CR149,CU149,CX149,DA149)</f>
        <v>0</v>
      </c>
      <c r="AJ149" s="545">
        <f>_xlfn.IFS($AD149&lt;&gt;"", $AD149,    $AC149&lt;&gt;"", $AC149,    $AB149&lt;&gt;"", $AB149,    TRUE, $Y149)</f>
        <v>5.54</v>
      </c>
      <c r="AK149" s="592">
        <f>$AI149*$AJ149</f>
        <v>0</v>
      </c>
      <c r="AL149" s="594"/>
      <c r="AM149" s="597"/>
      <c r="AN149" s="545">
        <f>_xlfn.IFS(AND(AM149&gt;=60,$AG149&lt;&gt;""), $AG149,    AND(AM149&gt;=30,$AF149&lt;&gt;""), $AF149,    AND(AM149&gt;=10,$AE149&lt;&gt;""), $AE149,    TRUE, $Z149)</f>
        <v>6.06</v>
      </c>
      <c r="AO149" s="596">
        <f>AM149*AN149</f>
        <v>0</v>
      </c>
      <c r="AP149" s="595"/>
      <c r="AQ149" s="595"/>
      <c r="AR149" s="594"/>
      <c r="AS149" s="593">
        <f>SUM(AW149,AZ149,BC149,BF149,BI149,BL149,BO149,BR149,BU149,BX149,CA149,CD149,CG149,CJ149,CM149,CP149,CS149,CV149,CY149,DB149)</f>
        <v>0</v>
      </c>
      <c r="AT149" s="545">
        <f>_xlfn.IFS(AND(AS149&gt;=60,$AG149&lt;&gt;""), $AG149,    AND(AS149&gt;=30,$AF149&lt;&gt;""), $AF149,    AND(AS149&gt;=10,$AE149&lt;&gt;""), $AE149,    TRUE, $Z149)</f>
        <v>6.06</v>
      </c>
      <c r="AU149" s="592">
        <f>$AS149*$AT149</f>
        <v>0</v>
      </c>
      <c r="AV149" s="591">
        <f>[1]COMMANDE!O147</f>
        <v>0</v>
      </c>
      <c r="AW149" s="586" t="str">
        <f>_xlfn.IFS(AND($AI149=$AM149,$AI149&gt;0,$AM149&gt;0,AV149&gt;0), AV149,     AND(NOT($AI149=$AM149),$AI149&gt;0,$AM149&gt;0,AV149&gt;0), ($AM149*AV149)/$AI149,     AND($AI149=0,$AM149&gt;0,$AQ149&gt;0), IF(INDEX(AV$12:AV$263,MATCH($AQ149,$AP$12:$AP$263,0))&gt;0,($AM149*INDEX(AV$12:AV$263,MATCH($AQ149,$AP$12:$AP$263,0)))/INDEX($AI$12:$AI$263,MATCH($AQ149,$AP$12:$AP$263,0)), "-"),     TRUE, "0")</f>
        <v>0</v>
      </c>
      <c r="AX149" s="588">
        <f>IF(AW$9&gt;0, IF(OR(AW149="",AW149="-"), 0, AW149*$AT149), AV149*$AJ149)</f>
        <v>0</v>
      </c>
      <c r="AY149" s="587">
        <f>[1]COMMANDE!Q147</f>
        <v>0</v>
      </c>
      <c r="AZ149" s="586" t="str">
        <f>_xlfn.IFS(AND($AI149=$AM149,$AI149&gt;0,$AM149&gt;0,AY149&gt;0), AY149,     AND(NOT($AI149=$AM149),$AI149&gt;0,$AM149&gt;0,AY149&gt;0), ($AM149*AY149)/$AI149,     AND($AI149=0,$AM149&gt;0,$AQ149&gt;0), IF(INDEX(AY$12:AY$263,MATCH($AQ149,$AP$12:$AP$263,0))&gt;0,($AM149*INDEX(AY$12:AY$263,MATCH($AQ149,$AP$12:$AP$263,0)))/INDEX($AI$12:$AI$263,MATCH($AQ149,$AP$12:$AP$263,0)), "-"),     TRUE, "0")</f>
        <v>0</v>
      </c>
      <c r="BA149" s="607">
        <f>IF(AZ$9&gt;0, IF(OR(AZ149="",AZ149="-"), 0, AZ149*$AT149), AY149*$AJ149)</f>
        <v>0</v>
      </c>
      <c r="BB149" s="589">
        <f>[1]COMMANDE!S147</f>
        <v>0</v>
      </c>
      <c r="BC149" s="586" t="str">
        <f>_xlfn.IFS(AND($AI149=$AM149,$AI149&gt;0,$AM149&gt;0,BB149&gt;0), BB149,     AND(NOT($AI149=$AM149),$AI149&gt;0,$AM149&gt;0,BB149&gt;0), ($AM149*BB149)/$AI149,     AND($AI149=0,$AM149&gt;0,$AQ149&gt;0), IF(INDEX(BB$12:BB$263,MATCH($AQ149,$AP$12:$AP$263,0))&gt;0,($AM149*INDEX(BB$12:BB$263,MATCH($AQ149,$AP$12:$AP$263,0)))/INDEX($AI$12:$AI$263,MATCH($AQ149,$AP$12:$AP$263,0)), "-"),     TRUE, "0")</f>
        <v>0</v>
      </c>
      <c r="BD149" s="588">
        <f>IF(BC$9&gt;0, IF(OR(BC149="",BC149="-"), 0, BC149*$AT149), BB149*$AJ149)</f>
        <v>0</v>
      </c>
      <c r="BE149" s="587">
        <f>[1]COMMANDE!U147</f>
        <v>0</v>
      </c>
      <c r="BF149" s="586" t="str">
        <f>_xlfn.IFS(AND($AI149=$AM149,$AI149&gt;0,$AM149&gt;0,BE149&gt;0), BE149,     AND(NOT($AI149=$AM149),$AI149&gt;0,$AM149&gt;0,BE149&gt;0), ($AM149*BE149)/$AI149,     AND($AI149=0,$AM149&gt;0,$AQ149&gt;0), IF(INDEX(BE$12:BE$263,MATCH($AQ149,$AP$12:$AP$263,0))&gt;0,($AM149*INDEX(BE$12:BE$263,MATCH($AQ149,$AP$12:$AP$263,0)))/INDEX($AI$12:$AI$263,MATCH($AQ149,$AP$12:$AP$263,0)), "-"),     TRUE, "0")</f>
        <v>0</v>
      </c>
      <c r="BG149" s="607">
        <f>IF(BF$9&gt;0, IF(OR(BF149="",BF149="-"), 0, BF149*$AT149), BE149*$AJ149)</f>
        <v>0</v>
      </c>
      <c r="BH149" s="589">
        <f>[1]COMMANDE!W147</f>
        <v>0</v>
      </c>
      <c r="BI149" s="586" t="str">
        <f>_xlfn.IFS(AND($AI149=$AM149,$AI149&gt;0,$AM149&gt;0,BH149&gt;0), BH149,     AND(NOT($AI149=$AM149),$AI149&gt;0,$AM149&gt;0,BH149&gt;0), ($AM149*BH149)/$AI149,     AND($AI149=0,$AM149&gt;0,$AQ149&gt;0), IF(INDEX(BH$12:BH$263,MATCH($AQ149,$AP$12:$AP$263,0))&gt;0,($AM149*INDEX(BH$12:BH$263,MATCH($AQ149,$AP$12:$AP$263,0)))/INDEX($AI$12:$AI$263,MATCH($AQ149,$AP$12:$AP$263,0)), "-"),     TRUE, "0")</f>
        <v>0</v>
      </c>
      <c r="BJ149" s="588">
        <f>IF(BI$9&gt;0, IF(OR(BI149="",BI149="-"), 0, BI149*$AT149), BH149*$AJ149)</f>
        <v>0</v>
      </c>
      <c r="BK149" s="587">
        <f>[1]COMMANDE!Y147</f>
        <v>0</v>
      </c>
      <c r="BL149" s="586" t="str">
        <f>_xlfn.IFS(AND($AI149=$AM149,$AI149&gt;0,$AM149&gt;0,BK149&gt;0), BK149,     AND(NOT($AI149=$AM149),$AI149&gt;0,$AM149&gt;0,BK149&gt;0), ($AM149*BK149)/$AI149,     AND($AI149=0,$AM149&gt;0,$AQ149&gt;0), IF(INDEX(BK$12:BK$263,MATCH($AQ149,$AP$12:$AP$263,0))&gt;0,($AM149*INDEX(BK$12:BK$263,MATCH($AQ149,$AP$12:$AP$263,0)))/INDEX($AI$12:$AI$263,MATCH($AQ149,$AP$12:$AP$263,0)), "-"),     TRUE, "0")</f>
        <v>0</v>
      </c>
      <c r="BM149" s="607">
        <f>IF(BL$9&gt;0, IF(OR(BL149="",BL149="-"), 0, BL149*$AT149), BK149*$AJ149)</f>
        <v>0</v>
      </c>
      <c r="BN149" s="589">
        <f>[1]COMMANDE!AA147</f>
        <v>0</v>
      </c>
      <c r="BO149" s="586" t="str">
        <f>_xlfn.IFS(AND($AI149=$AM149,$AI149&gt;0,$AM149&gt;0,BN149&gt;0), BN149,     AND(NOT($AI149=$AM149),$AI149&gt;0,$AM149&gt;0,BN149&gt;0), ($AM149*BN149)/$AI149,     AND($AI149=0,$AM149&gt;0,$AQ149&gt;0), IF(INDEX(BN$12:BN$263,MATCH($AQ149,$AP$12:$AP$263,0))&gt;0,($AM149*INDEX(BN$12:BN$263,MATCH($AQ149,$AP$12:$AP$263,0)))/INDEX($AI$12:$AI$263,MATCH($AQ149,$AP$12:$AP$263,0)), "-"),     TRUE, "0")</f>
        <v>0</v>
      </c>
      <c r="BP149" s="588">
        <f>IF(BO$9&gt;0, IF(OR(BO149="",BO149="-"), 0, BO149*$AT149), BN149*$AJ149)</f>
        <v>0</v>
      </c>
      <c r="BQ149" s="587">
        <f>[1]COMMANDE!AC147</f>
        <v>0</v>
      </c>
      <c r="BR149" s="586" t="str">
        <f>_xlfn.IFS(AND($AI149=$AM149,$AI149&gt;0,$AM149&gt;0,BQ149&gt;0), BQ149,     AND(NOT($AI149=$AM149),$AI149&gt;0,$AM149&gt;0,BQ149&gt;0), ($AM149*BQ149)/$AI149,     AND($AI149=0,$AM149&gt;0,$AQ149&gt;0), IF(INDEX(BQ$12:BQ$263,MATCH($AQ149,$AP$12:$AP$263,0))&gt;0,($AM149*INDEX(BQ$12:BQ$263,MATCH($AQ149,$AP$12:$AP$263,0)))/INDEX($AI$12:$AI$263,MATCH($AQ149,$AP$12:$AP$263,0)), "-"),     TRUE, "0")</f>
        <v>0</v>
      </c>
      <c r="BS149" s="607">
        <f>IF(BR$9&gt;0, IF(OR(BR149="",BR149="-"), 0, BR149*$AT149), BQ149*$AJ149)</f>
        <v>0</v>
      </c>
      <c r="BT149" s="589">
        <f>[1]COMMANDE!AE147</f>
        <v>0</v>
      </c>
      <c r="BU149" s="586" t="str">
        <f>_xlfn.IFS(AND($AI149=$AM149,$AI149&gt;0,$AM149&gt;0,BT149&gt;0), BT149,     AND(NOT($AI149=$AM149),$AI149&gt;0,$AM149&gt;0,BT149&gt;0), ($AM149*BT149)/$AI149,     AND($AI149=0,$AM149&gt;0,$AQ149&gt;0), IF(INDEX(BT$12:BT$263,MATCH($AQ149,$AP$12:$AP$263,0))&gt;0,($AM149*INDEX(BT$12:BT$263,MATCH($AQ149,$AP$12:$AP$263,0)))/INDEX($AI$12:$AI$263,MATCH($AQ149,$AP$12:$AP$263,0)), "-"),     TRUE, "0")</f>
        <v>0</v>
      </c>
      <c r="BV149" s="588">
        <f>IF(BU$9&gt;0, IF(OR(BU149="",BU149="-"), 0, BU149*$AT149), BT149*$AJ149)</f>
        <v>0</v>
      </c>
      <c r="BW149" s="587">
        <f>[1]COMMANDE!AG147</f>
        <v>0</v>
      </c>
      <c r="BX149" s="586" t="str">
        <f>_xlfn.IFS(AND($AI149=$AM149,$AI149&gt;0,$AM149&gt;0,BW149&gt;0), BW149,     AND(NOT($AI149=$AM149),$AI149&gt;0,$AM149&gt;0,BW149&gt;0), ($AM149*BW149)/$AI149,     AND($AI149=0,$AM149&gt;0,$AQ149&gt;0), IF(INDEX(BW$12:BW$263,MATCH($AQ149,$AP$12:$AP$263,0))&gt;0,($AM149*INDEX(BW$12:BW$263,MATCH($AQ149,$AP$12:$AP$263,0)))/INDEX($AI$12:$AI$263,MATCH($AQ149,$AP$12:$AP$263,0)), "-"),     TRUE, "0")</f>
        <v>0</v>
      </c>
      <c r="BY149" s="607">
        <f>IF(BX$9&gt;0, IF(OR(BX149="",BX149="-"), 0, BX149*$AT149), BW149*$AJ149)</f>
        <v>0</v>
      </c>
      <c r="BZ149" s="589">
        <f>[1]COMMANDE!AI147</f>
        <v>0</v>
      </c>
      <c r="CA149" s="586" t="str">
        <f>_xlfn.IFS(AND($AI149=$AM149,$AI149&gt;0,$AM149&gt;0,BZ149&gt;0), BZ149,     AND(NOT($AI149=$AM149),$AI149&gt;0,$AM149&gt;0,BZ149&gt;0), ($AM149*BZ149)/$AI149,     AND($AI149=0,$AM149&gt;0,$AQ149&gt;0), IF(INDEX(BZ$12:BZ$263,MATCH($AQ149,$AP$12:$AP$263,0))&gt;0,($AM149*INDEX(BZ$12:BZ$263,MATCH($AQ149,$AP$12:$AP$263,0)))/INDEX($AI$12:$AI$263,MATCH($AQ149,$AP$12:$AP$263,0)), "-"),     TRUE, "0")</f>
        <v>0</v>
      </c>
      <c r="CB149" s="588">
        <f>IF(CA$9&gt;0, IF(OR(CA149="",CA149="-"), 0, CA149*$AT149), BZ149*$AJ149)</f>
        <v>0</v>
      </c>
      <c r="CC149" s="587">
        <f>[1]COMMANDE!AK147</f>
        <v>0</v>
      </c>
      <c r="CD149" s="586" t="str">
        <f>_xlfn.IFS(AND($AI149=$AM149,$AI149&gt;0,$AM149&gt;0,CC149&gt;0), CC149,     AND(NOT($AI149=$AM149),$AI149&gt;0,$AM149&gt;0,CC149&gt;0), ($AM149*CC149)/$AI149,     AND($AI149=0,$AM149&gt;0,$AQ149&gt;0), IF(INDEX(CC$12:CC$263,MATCH($AQ149,$AP$12:$AP$263,0))&gt;0,($AM149*INDEX(CC$12:CC$263,MATCH($AQ149,$AP$12:$AP$263,0)))/INDEX($AI$12:$AI$263,MATCH($AQ149,$AP$12:$AP$263,0)), "-"),     TRUE, "0")</f>
        <v>0</v>
      </c>
      <c r="CE149" s="607">
        <f>IF(CD$9&gt;0, IF(OR(CD149="",CD149="-"), 0, CD149*$AT149), CC149*$AJ149)</f>
        <v>0</v>
      </c>
      <c r="CF149" s="589">
        <f>[1]COMMANDE!AM147</f>
        <v>0</v>
      </c>
      <c r="CG149" s="586" t="str">
        <f>_xlfn.IFS(AND($AI149=$AM149,$AI149&gt;0,$AM149&gt;0,CF149&gt;0), CF149,     AND(NOT($AI149=$AM149),$AI149&gt;0,$AM149&gt;0,CF149&gt;0), ($AM149*CF149)/$AI149,     AND($AI149=0,$AM149&gt;0,$AQ149&gt;0), IF(INDEX(CF$12:CF$263,MATCH($AQ149,$AP$12:$AP$263,0))&gt;0,($AM149*INDEX(CF$12:CF$263,MATCH($AQ149,$AP$12:$AP$263,0)))/INDEX($AI$12:$AI$263,MATCH($AQ149,$AP$12:$AP$263,0)), "-"),     TRUE, "0")</f>
        <v>0</v>
      </c>
      <c r="CH149" s="588">
        <f>IF(CG$9&gt;0, IF(OR(CG149="",CG149="-"), 0, CG149*$AT149), CF149*$AJ149)</f>
        <v>0</v>
      </c>
      <c r="CI149" s="587">
        <f>[1]COMMANDE!AO147</f>
        <v>0</v>
      </c>
      <c r="CJ149" s="586" t="str">
        <f>_xlfn.IFS(AND($AI149=$AM149,$AI149&gt;0,$AM149&gt;0,CI149&gt;0), CI149,     AND(NOT($AI149=$AM149),$AI149&gt;0,$AM149&gt;0,CI149&gt;0), ($AM149*CI149)/$AI149,     AND($AI149=0,$AM149&gt;0,$AQ149&gt;0), IF(INDEX(CI$12:CI$263,MATCH($AQ149,$AP$12:$AP$263,0))&gt;0,($AM149*INDEX(CI$12:CI$263,MATCH($AQ149,$AP$12:$AP$263,0)))/INDEX($AI$12:$AI$263,MATCH($AQ149,$AP$12:$AP$263,0)), "-"),     TRUE, "0")</f>
        <v>0</v>
      </c>
      <c r="CK149" s="607">
        <f>IF(CJ$9&gt;0, IF(OR(CJ149="",CJ149="-"), 0, CJ149*$AT149), CI149*$AJ149)</f>
        <v>0</v>
      </c>
      <c r="CL149" s="589">
        <f>[1]COMMANDE!AQ147</f>
        <v>0</v>
      </c>
      <c r="CM149" s="586" t="str">
        <f>_xlfn.IFS(AND($AI149=$AM149,$AI149&gt;0,$AM149&gt;0,CL149&gt;0), CL149,     AND(NOT($AI149=$AM149),$AI149&gt;0,$AM149&gt;0,CL149&gt;0), ($AM149*CL149)/$AI149,     AND($AI149=0,$AM149&gt;0,$AQ149&gt;0), IF(INDEX(CL$12:CL$263,MATCH($AQ149,$AP$12:$AP$263,0))&gt;0,($AM149*INDEX(CL$12:CL$263,MATCH($AQ149,$AP$12:$AP$263,0)))/INDEX($AI$12:$AI$263,MATCH($AQ149,$AP$12:$AP$263,0)), "-"),     TRUE, "0")</f>
        <v>0</v>
      </c>
      <c r="CN149" s="588">
        <f>IF(CM$9&gt;0, IF(OR(CM149="",CM149="-"), 0, CM149*$AT149), CL149*$AJ149)</f>
        <v>0</v>
      </c>
      <c r="CO149" s="587">
        <f>[1]COMMANDE!AS147</f>
        <v>0</v>
      </c>
      <c r="CP149" s="586" t="str">
        <f>_xlfn.IFS(AND($AI149=$AM149,$AI149&gt;0,$AM149&gt;0,CO149&gt;0), CO149,     AND(NOT($AI149=$AM149),$AI149&gt;0,$AM149&gt;0,CO149&gt;0), ($AM149*CO149)/$AI149,     AND($AI149=0,$AM149&gt;0,$AQ149&gt;0), IF(INDEX(CO$12:CO$263,MATCH($AQ149,$AP$12:$AP$263,0))&gt;0,($AM149*INDEX(CO$12:CO$263,MATCH($AQ149,$AP$12:$AP$263,0)))/INDEX($AI$12:$AI$263,MATCH($AQ149,$AP$12:$AP$263,0)), "-"),     TRUE, "0")</f>
        <v>0</v>
      </c>
      <c r="CQ149" s="607">
        <f>IF(CP$9&gt;0, IF(OR(CP149="",CP149="-"), 0, CP149*$AT149), CO149*$AJ149)</f>
        <v>0</v>
      </c>
      <c r="CR149" s="589">
        <f>[1]COMMANDE!AU147</f>
        <v>0</v>
      </c>
      <c r="CS149" s="586" t="str">
        <f>_xlfn.IFS(AND($AI149=$AM149,$AI149&gt;0,$AM149&gt;0,CR149&gt;0), CR149,     AND(NOT($AI149=$AM149),$AI149&gt;0,$AM149&gt;0,CR149&gt;0), ($AM149*CR149)/$AI149,     AND($AI149=0,$AM149&gt;0,$AQ149&gt;0), IF(INDEX(CR$12:CR$263,MATCH($AQ149,$AP$12:$AP$263,0))&gt;0,($AM149*INDEX(CR$12:CR$263,MATCH($AQ149,$AP$12:$AP$263,0)))/INDEX($AI$12:$AI$263,MATCH($AQ149,$AP$12:$AP$263,0)), "-"),     TRUE, "0")</f>
        <v>0</v>
      </c>
      <c r="CT149" s="588">
        <f>IF(CS$9&gt;0, IF(OR(CS149="",CS149="-"), 0, CS149*$AT149), CR149*$AJ149)</f>
        <v>0</v>
      </c>
      <c r="CU149" s="587">
        <f>[1]COMMANDE!AW147</f>
        <v>0</v>
      </c>
      <c r="CV149" s="586" t="str">
        <f>_xlfn.IFS(AND($AI149=$AM149,$AI149&gt;0,$AM149&gt;0,CU149&gt;0), CU149,     AND(NOT($AI149=$AM149),$AI149&gt;0,$AM149&gt;0,CU149&gt;0), ($AM149*CU149)/$AI149,     AND($AI149=0,$AM149&gt;0,$AQ149&gt;0), IF(INDEX(CU$12:CU$263,MATCH($AQ149,$AP$12:$AP$263,0))&gt;0,($AM149*INDEX(CU$12:CU$263,MATCH($AQ149,$AP$12:$AP$263,0)))/INDEX($AI$12:$AI$263,MATCH($AQ149,$AP$12:$AP$263,0)), "-"),     TRUE, "0")</f>
        <v>0</v>
      </c>
      <c r="CW149" s="607">
        <f>IF(CV$9&gt;0, IF(OR(CV149="",CV149="-"), 0, CV149*$AT149), CU149*$AJ149)</f>
        <v>0</v>
      </c>
      <c r="CX149" s="589">
        <f>[1]COMMANDE!AY147</f>
        <v>0</v>
      </c>
      <c r="CY149" s="586" t="str">
        <f>_xlfn.IFS(AND($AI149=$AM149,$AI149&gt;0,$AM149&gt;0,CX149&gt;0), CX149,     AND(NOT($AI149=$AM149),$AI149&gt;0,$AM149&gt;0,CX149&gt;0), ($AM149*CX149)/$AI149,     AND($AI149=0,$AM149&gt;0,$AQ149&gt;0), IF(INDEX(CX$12:CX$263,MATCH($AQ149,$AP$12:$AP$263,0))&gt;0,($AM149*INDEX(CX$12:CX$263,MATCH($AQ149,$AP$12:$AP$263,0)))/INDEX($AI$12:$AI$263,MATCH($AQ149,$AP$12:$AP$263,0)), "-"),     TRUE, "0")</f>
        <v>0</v>
      </c>
      <c r="CZ149" s="588">
        <f>IF(CY$9&gt;0, IF(OR(CY149="",CY149="-"), 0, CY149*$AT149), CX149*$AJ149)</f>
        <v>0</v>
      </c>
      <c r="DA149" s="587">
        <f>[1]COMMANDE!BA147</f>
        <v>0</v>
      </c>
      <c r="DB149" s="586" t="str">
        <f>_xlfn.IFS(AND($AI149=$AM149,$AI149&gt;0,$AM149&gt;0,DA149&gt;0), DA149,     AND(NOT($AI149=$AM149),$AI149&gt;0,$AM149&gt;0,DA149&gt;0), ($AM149*DA149)/$AI149,     AND($AI149=0,$AM149&gt;0,$AQ149&gt;0), IF(INDEX(DA$12:DA$263,MATCH($AQ149,$AP$12:$AP$263,0))&gt;0,($AM149*INDEX(DA$12:DA$263,MATCH($AQ149,$AP$12:$AP$263,0)))/INDEX($AI$12:$AI$263,MATCH($AQ149,$AP$12:$AP$263,0)), "-"),     TRUE, "0")</f>
        <v>0</v>
      </c>
      <c r="DC149" s="606">
        <f>IF(DB$9&gt;0, IF(OR(DB149="",DB149="-"), 0, DB149*$AT149), DA149*$AJ149)</f>
        <v>0</v>
      </c>
      <c r="DD149" s="584"/>
      <c r="DE149" s="583"/>
    </row>
    <row r="150" spans="1:128" s="610" customFormat="1" ht="39.950000000000003" hidden="1" customHeight="1">
      <c r="A150" s="604">
        <f>IF(OR($AV150&gt;0, $AX150&gt;0), 1, 0)</f>
        <v>0</v>
      </c>
      <c r="B150" s="604">
        <f>IF(OR($AY150&gt;0, $BA150&gt;0), 1, 0)</f>
        <v>0</v>
      </c>
      <c r="C150" s="604">
        <f>IF(OR($BB150&gt;0, $BD150&gt;0), 1, 0)</f>
        <v>0</v>
      </c>
      <c r="D150" s="604">
        <f>IF(OR($BE150&gt;0, $BG150&gt;0), 1, 0)</f>
        <v>0</v>
      </c>
      <c r="E150" s="604">
        <f>IF(OR($BH150&gt;0, $BJ150&gt;0), 1, 0)</f>
        <v>0</v>
      </c>
      <c r="F150" s="604">
        <f>IF(OR($BK150&gt;0, $BM150&gt;0), 1, 0)</f>
        <v>0</v>
      </c>
      <c r="G150" s="604">
        <f>IF(OR($BN150&gt;0, $BP150&gt;0), 1, 0)</f>
        <v>0</v>
      </c>
      <c r="H150" s="604">
        <f>IF(OR($BQ150&gt;0, $BS150&gt;0), 1, 0)</f>
        <v>0</v>
      </c>
      <c r="I150" s="604">
        <f>IF(OR($BT150&gt;0, $BV150&gt;0), 1, 0)</f>
        <v>0</v>
      </c>
      <c r="J150" s="604">
        <f>IF(OR($BW150&gt;0, $BY150&gt;0), 1, 0)</f>
        <v>0</v>
      </c>
      <c r="K150" s="604">
        <f>IF(OR($BZ150&gt;0, $CB150&gt;0), 1, 0)</f>
        <v>0</v>
      </c>
      <c r="L150" s="604">
        <f>IF(OR($CC150&gt;0, $CE150&gt;0), 1, 0)</f>
        <v>0</v>
      </c>
      <c r="M150" s="604">
        <f>IF(OR($CF150&gt;0, $CH150&gt;0), 1, 0)</f>
        <v>0</v>
      </c>
      <c r="N150" s="604">
        <f>IF(OR($CI150&gt;0, $CK150&gt;0), 1, 0)</f>
        <v>0</v>
      </c>
      <c r="O150" s="604">
        <f>IF(OR($CL150&gt;0, $CN150&gt;0), 1, 0)</f>
        <v>0</v>
      </c>
      <c r="P150" s="604">
        <f>IF(OR($CO150&gt;0, $CQ150&gt;0), 1, 0)</f>
        <v>0</v>
      </c>
      <c r="Q150" s="604">
        <f>IF(OR($CR150&gt;0, $CT150&gt;0), 1, 0)</f>
        <v>0</v>
      </c>
      <c r="R150" s="604">
        <f>IF(OR($CU150&gt;0, $CW150&gt;0), 1, 0)</f>
        <v>0</v>
      </c>
      <c r="S150" s="604">
        <f>IF(OR($CX150&gt;0, $CZ150&gt;0), 1, 0)</f>
        <v>0</v>
      </c>
      <c r="T150" s="604">
        <f>IF(OR($DA150&gt;0, $DC150&gt;0), 1, 0)</f>
        <v>0</v>
      </c>
      <c r="U150" s="603">
        <f>IF(OR($AI150&gt;0,$AM150&gt;0,$AS150&gt;0), 1, 0)</f>
        <v>0</v>
      </c>
      <c r="V150" s="602">
        <f>[1]BDD!A140</f>
        <v>1480</v>
      </c>
      <c r="W150" s="601" t="str">
        <f>[1]BDD!B140</f>
        <v>Lin brun BIO (env. 500g)</v>
      </c>
      <c r="X150" s="600" t="str">
        <f>IF([1]BDD!F140=0, "", [1]BDD!F140)</f>
        <v/>
      </c>
      <c r="Y150" s="542">
        <f>ROUND([1]BDD!G140+FDP_CMD_KG, 2)</f>
        <v>4.1399999999999997</v>
      </c>
      <c r="Z150" s="542">
        <f>ROUND([1]BDD!G140+FDP_FACT_KG, 2)</f>
        <v>4.1399999999999997</v>
      </c>
      <c r="AA150" s="543" t="str">
        <f>[1]BDD!H140</f>
        <v>Pièce</v>
      </c>
      <c r="AB150" s="544" t="str">
        <f>IF(NOT(ISBLANK([1]BDD!I140)), ROUND(SUM(([1]BDD!G140*reduc1),FDP_CMD_KG), 2), "")</f>
        <v/>
      </c>
      <c r="AC150" s="544" t="str">
        <f>IF(NOT(ISBLANK([1]BDD!J140)), ROUND(SUM(([1]BDD!G140*reduc2),FDP_CMD_KG), 2), "")</f>
        <v/>
      </c>
      <c r="AD150" s="544" t="str">
        <f>IF(NOT(ISBLANK([1]BDD!K140)), ROUND(SUM(([1]BDD!G140*reduc3),FDP_CMD_KG), 2), "")</f>
        <v/>
      </c>
      <c r="AE150" s="544" t="str">
        <f>IF(NOT(ISBLANK([1]BDD!I140)), ROUND(SUM(([1]BDD!G140*reduc1),FDP_FACT_KG), 2), "")</f>
        <v/>
      </c>
      <c r="AF150" s="544" t="str">
        <f>IF(NOT(ISBLANK([1]BDD!J140)), ROUND(SUM(([1]BDD!G140*reduc2),FDP_FACT_KG), 2), "")</f>
        <v/>
      </c>
      <c r="AG150" s="544" t="str">
        <f>IF(NOT(ISBLANK([1]BDD!K140)), ROUND(SUM(([1]BDD!G140*reduc3),FDP_FACT_KG), 2), "")</f>
        <v/>
      </c>
      <c r="AH150" s="599" t="str">
        <f>[1]BDD!C140</f>
        <v>Kazakhstan</v>
      </c>
      <c r="AI150" s="598">
        <f>SUM(AV150,AY150,BB150,BE150,BH150,BK150,BN150,BQ150,BT150,BW150,BZ150,CC150,CF150,CI150,CL150,CO150,CR150,CU150,CX150,DA150)</f>
        <v>0</v>
      </c>
      <c r="AJ150" s="545">
        <f>_xlfn.IFS($AD150&lt;&gt;"", $AD150,    $AC150&lt;&gt;"", $AC150,    $AB150&lt;&gt;"", $AB150,    TRUE, $Y150)</f>
        <v>4.1399999999999997</v>
      </c>
      <c r="AK150" s="592">
        <f>$AI150*$AJ150</f>
        <v>0</v>
      </c>
      <c r="AL150" s="594"/>
      <c r="AM150" s="597"/>
      <c r="AN150" s="545">
        <f>_xlfn.IFS(AND(AM150&gt;=60,$AG150&lt;&gt;""), $AG150,    AND(AM150&gt;=30,$AF150&lt;&gt;""), $AF150,    AND(AM150&gt;=10,$AE150&lt;&gt;""), $AE150,    TRUE, $Z150)</f>
        <v>4.1399999999999997</v>
      </c>
      <c r="AO150" s="596">
        <f>AM150*AN150</f>
        <v>0</v>
      </c>
      <c r="AP150" s="595"/>
      <c r="AQ150" s="595"/>
      <c r="AR150" s="594"/>
      <c r="AS150" s="593">
        <f>SUM(AW150,AZ150,BC150,BF150,BI150,BL150,BO150,BR150,BU150,BX150,CA150,CD150,CG150,CJ150,CM150,CP150,CS150,CV150,CY150,DB150)</f>
        <v>0</v>
      </c>
      <c r="AT150" s="545">
        <f>_xlfn.IFS(AND(AS150&gt;=60,$AG150&lt;&gt;""), $AG150,    AND(AS150&gt;=30,$AF150&lt;&gt;""), $AF150,    AND(AS150&gt;=10,$AE150&lt;&gt;""), $AE150,    TRUE, $Z150)</f>
        <v>4.1399999999999997</v>
      </c>
      <c r="AU150" s="592">
        <f>$AS150*$AT150</f>
        <v>0</v>
      </c>
      <c r="AV150" s="591">
        <f>[1]COMMANDE!O148</f>
        <v>0</v>
      </c>
      <c r="AW150" s="586" t="str">
        <f>_xlfn.IFS(AND($AI150=$AM150,$AI150&gt;0,$AM150&gt;0,AV150&gt;0), AV150,     AND(NOT($AI150=$AM150),$AI150&gt;0,$AM150&gt;0,AV150&gt;0), ($AM150*AV150)/$AI150,     AND($AI150=0,$AM150&gt;0,$AQ150&gt;0), IF(INDEX(AV$12:AV$263,MATCH($AQ150,$AP$12:$AP$263,0))&gt;0,($AM150*INDEX(AV$12:AV$263,MATCH($AQ150,$AP$12:$AP$263,0)))/INDEX($AI$12:$AI$263,MATCH($AQ150,$AP$12:$AP$263,0)), "-"),     TRUE, "0")</f>
        <v>0</v>
      </c>
      <c r="AX150" s="588">
        <f>IF(AW$9&gt;0, IF(OR(AW150="",AW150="-"), 0, AW150*$AT150), AV150*$AJ150)</f>
        <v>0</v>
      </c>
      <c r="AY150" s="587">
        <f>[1]COMMANDE!Q148</f>
        <v>0</v>
      </c>
      <c r="AZ150" s="586" t="str">
        <f>_xlfn.IFS(AND($AI150=$AM150,$AI150&gt;0,$AM150&gt;0,AY150&gt;0), AY150,     AND(NOT($AI150=$AM150),$AI150&gt;0,$AM150&gt;0,AY150&gt;0), ($AM150*AY150)/$AI150,     AND($AI150=0,$AM150&gt;0,$AQ150&gt;0), IF(INDEX(AY$12:AY$263,MATCH($AQ150,$AP$12:$AP$263,0))&gt;0,($AM150*INDEX(AY$12:AY$263,MATCH($AQ150,$AP$12:$AP$263,0)))/INDEX($AI$12:$AI$263,MATCH($AQ150,$AP$12:$AP$263,0)), "-"),     TRUE, "0")</f>
        <v>0</v>
      </c>
      <c r="BA150" s="607">
        <f>IF(AZ$9&gt;0, IF(OR(AZ150="",AZ150="-"), 0, AZ150*$AT150), AY150*$AJ150)</f>
        <v>0</v>
      </c>
      <c r="BB150" s="589">
        <f>[1]COMMANDE!S148</f>
        <v>0</v>
      </c>
      <c r="BC150" s="586" t="str">
        <f>_xlfn.IFS(AND($AI150=$AM150,$AI150&gt;0,$AM150&gt;0,BB150&gt;0), BB150,     AND(NOT($AI150=$AM150),$AI150&gt;0,$AM150&gt;0,BB150&gt;0), ($AM150*BB150)/$AI150,     AND($AI150=0,$AM150&gt;0,$AQ150&gt;0), IF(INDEX(BB$12:BB$263,MATCH($AQ150,$AP$12:$AP$263,0))&gt;0,($AM150*INDEX(BB$12:BB$263,MATCH($AQ150,$AP$12:$AP$263,0)))/INDEX($AI$12:$AI$263,MATCH($AQ150,$AP$12:$AP$263,0)), "-"),     TRUE, "0")</f>
        <v>0</v>
      </c>
      <c r="BD150" s="588">
        <f>IF(BC$9&gt;0, IF(OR(BC150="",BC150="-"), 0, BC150*$AT150), BB150*$AJ150)</f>
        <v>0</v>
      </c>
      <c r="BE150" s="587">
        <f>[1]COMMANDE!U148</f>
        <v>0</v>
      </c>
      <c r="BF150" s="586" t="str">
        <f>_xlfn.IFS(AND($AI150=$AM150,$AI150&gt;0,$AM150&gt;0,BE150&gt;0), BE150,     AND(NOT($AI150=$AM150),$AI150&gt;0,$AM150&gt;0,BE150&gt;0), ($AM150*BE150)/$AI150,     AND($AI150=0,$AM150&gt;0,$AQ150&gt;0), IF(INDEX(BE$12:BE$263,MATCH($AQ150,$AP$12:$AP$263,0))&gt;0,($AM150*INDEX(BE$12:BE$263,MATCH($AQ150,$AP$12:$AP$263,0)))/INDEX($AI$12:$AI$263,MATCH($AQ150,$AP$12:$AP$263,0)), "-"),     TRUE, "0")</f>
        <v>0</v>
      </c>
      <c r="BG150" s="607">
        <f>IF(BF$9&gt;0, IF(OR(BF150="",BF150="-"), 0, BF150*$AT150), BE150*$AJ150)</f>
        <v>0</v>
      </c>
      <c r="BH150" s="589">
        <f>[1]COMMANDE!W148</f>
        <v>0</v>
      </c>
      <c r="BI150" s="586" t="str">
        <f>_xlfn.IFS(AND($AI150=$AM150,$AI150&gt;0,$AM150&gt;0,BH150&gt;0), BH150,     AND(NOT($AI150=$AM150),$AI150&gt;0,$AM150&gt;0,BH150&gt;0), ($AM150*BH150)/$AI150,     AND($AI150=0,$AM150&gt;0,$AQ150&gt;0), IF(INDEX(BH$12:BH$263,MATCH($AQ150,$AP$12:$AP$263,0))&gt;0,($AM150*INDEX(BH$12:BH$263,MATCH($AQ150,$AP$12:$AP$263,0)))/INDEX($AI$12:$AI$263,MATCH($AQ150,$AP$12:$AP$263,0)), "-"),     TRUE, "0")</f>
        <v>0</v>
      </c>
      <c r="BJ150" s="588">
        <f>IF(BI$9&gt;0, IF(OR(BI150="",BI150="-"), 0, BI150*$AT150), BH150*$AJ150)</f>
        <v>0</v>
      </c>
      <c r="BK150" s="587">
        <f>[1]COMMANDE!Y148</f>
        <v>0</v>
      </c>
      <c r="BL150" s="586" t="str">
        <f>_xlfn.IFS(AND($AI150=$AM150,$AI150&gt;0,$AM150&gt;0,BK150&gt;0), BK150,     AND(NOT($AI150=$AM150),$AI150&gt;0,$AM150&gt;0,BK150&gt;0), ($AM150*BK150)/$AI150,     AND($AI150=0,$AM150&gt;0,$AQ150&gt;0), IF(INDEX(BK$12:BK$263,MATCH($AQ150,$AP$12:$AP$263,0))&gt;0,($AM150*INDEX(BK$12:BK$263,MATCH($AQ150,$AP$12:$AP$263,0)))/INDEX($AI$12:$AI$263,MATCH($AQ150,$AP$12:$AP$263,0)), "-"),     TRUE, "0")</f>
        <v>0</v>
      </c>
      <c r="BM150" s="607">
        <f>IF(BL$9&gt;0, IF(OR(BL150="",BL150="-"), 0, BL150*$AT150), BK150*$AJ150)</f>
        <v>0</v>
      </c>
      <c r="BN150" s="589">
        <f>[1]COMMANDE!AA148</f>
        <v>0</v>
      </c>
      <c r="BO150" s="586" t="str">
        <f>_xlfn.IFS(AND($AI150=$AM150,$AI150&gt;0,$AM150&gt;0,BN150&gt;0), BN150,     AND(NOT($AI150=$AM150),$AI150&gt;0,$AM150&gt;0,BN150&gt;0), ($AM150*BN150)/$AI150,     AND($AI150=0,$AM150&gt;0,$AQ150&gt;0), IF(INDEX(BN$12:BN$263,MATCH($AQ150,$AP$12:$AP$263,0))&gt;0,($AM150*INDEX(BN$12:BN$263,MATCH($AQ150,$AP$12:$AP$263,0)))/INDEX($AI$12:$AI$263,MATCH($AQ150,$AP$12:$AP$263,0)), "-"),     TRUE, "0")</f>
        <v>0</v>
      </c>
      <c r="BP150" s="588">
        <f>IF(BO$9&gt;0, IF(OR(BO150="",BO150="-"), 0, BO150*$AT150), BN150*$AJ150)</f>
        <v>0</v>
      </c>
      <c r="BQ150" s="587">
        <f>[1]COMMANDE!AC148</f>
        <v>0</v>
      </c>
      <c r="BR150" s="586" t="str">
        <f>_xlfn.IFS(AND($AI150=$AM150,$AI150&gt;0,$AM150&gt;0,BQ150&gt;0), BQ150,     AND(NOT($AI150=$AM150),$AI150&gt;0,$AM150&gt;0,BQ150&gt;0), ($AM150*BQ150)/$AI150,     AND($AI150=0,$AM150&gt;0,$AQ150&gt;0), IF(INDEX(BQ$12:BQ$263,MATCH($AQ150,$AP$12:$AP$263,0))&gt;0,($AM150*INDEX(BQ$12:BQ$263,MATCH($AQ150,$AP$12:$AP$263,0)))/INDEX($AI$12:$AI$263,MATCH($AQ150,$AP$12:$AP$263,0)), "-"),     TRUE, "0")</f>
        <v>0</v>
      </c>
      <c r="BS150" s="607">
        <f>IF(BR$9&gt;0, IF(OR(BR150="",BR150="-"), 0, BR150*$AT150), BQ150*$AJ150)</f>
        <v>0</v>
      </c>
      <c r="BT150" s="589">
        <f>[1]COMMANDE!AE148</f>
        <v>0</v>
      </c>
      <c r="BU150" s="586" t="str">
        <f>_xlfn.IFS(AND($AI150=$AM150,$AI150&gt;0,$AM150&gt;0,BT150&gt;0), BT150,     AND(NOT($AI150=$AM150),$AI150&gt;0,$AM150&gt;0,BT150&gt;0), ($AM150*BT150)/$AI150,     AND($AI150=0,$AM150&gt;0,$AQ150&gt;0), IF(INDEX(BT$12:BT$263,MATCH($AQ150,$AP$12:$AP$263,0))&gt;0,($AM150*INDEX(BT$12:BT$263,MATCH($AQ150,$AP$12:$AP$263,0)))/INDEX($AI$12:$AI$263,MATCH($AQ150,$AP$12:$AP$263,0)), "-"),     TRUE, "0")</f>
        <v>0</v>
      </c>
      <c r="BV150" s="588">
        <f>IF(BU$9&gt;0, IF(OR(BU150="",BU150="-"), 0, BU150*$AT150), BT150*$AJ150)</f>
        <v>0</v>
      </c>
      <c r="BW150" s="587">
        <f>[1]COMMANDE!AG148</f>
        <v>0</v>
      </c>
      <c r="BX150" s="586" t="str">
        <f>_xlfn.IFS(AND($AI150=$AM150,$AI150&gt;0,$AM150&gt;0,BW150&gt;0), BW150,     AND(NOT($AI150=$AM150),$AI150&gt;0,$AM150&gt;0,BW150&gt;0), ($AM150*BW150)/$AI150,     AND($AI150=0,$AM150&gt;0,$AQ150&gt;0), IF(INDEX(BW$12:BW$263,MATCH($AQ150,$AP$12:$AP$263,0))&gt;0,($AM150*INDEX(BW$12:BW$263,MATCH($AQ150,$AP$12:$AP$263,0)))/INDEX($AI$12:$AI$263,MATCH($AQ150,$AP$12:$AP$263,0)), "-"),     TRUE, "0")</f>
        <v>0</v>
      </c>
      <c r="BY150" s="607">
        <f>IF(BX$9&gt;0, IF(OR(BX150="",BX150="-"), 0, BX150*$AT150), BW150*$AJ150)</f>
        <v>0</v>
      </c>
      <c r="BZ150" s="589">
        <f>[1]COMMANDE!AI148</f>
        <v>0</v>
      </c>
      <c r="CA150" s="586" t="str">
        <f>_xlfn.IFS(AND($AI150=$AM150,$AI150&gt;0,$AM150&gt;0,BZ150&gt;0), BZ150,     AND(NOT($AI150=$AM150),$AI150&gt;0,$AM150&gt;0,BZ150&gt;0), ($AM150*BZ150)/$AI150,     AND($AI150=0,$AM150&gt;0,$AQ150&gt;0), IF(INDEX(BZ$12:BZ$263,MATCH($AQ150,$AP$12:$AP$263,0))&gt;0,($AM150*INDEX(BZ$12:BZ$263,MATCH($AQ150,$AP$12:$AP$263,0)))/INDEX($AI$12:$AI$263,MATCH($AQ150,$AP$12:$AP$263,0)), "-"),     TRUE, "0")</f>
        <v>0</v>
      </c>
      <c r="CB150" s="588">
        <f>IF(CA$9&gt;0, IF(OR(CA150="",CA150="-"), 0, CA150*$AT150), BZ150*$AJ150)</f>
        <v>0</v>
      </c>
      <c r="CC150" s="587">
        <f>[1]COMMANDE!AK148</f>
        <v>0</v>
      </c>
      <c r="CD150" s="586" t="str">
        <f>_xlfn.IFS(AND($AI150=$AM150,$AI150&gt;0,$AM150&gt;0,CC150&gt;0), CC150,     AND(NOT($AI150=$AM150),$AI150&gt;0,$AM150&gt;0,CC150&gt;0), ($AM150*CC150)/$AI150,     AND($AI150=0,$AM150&gt;0,$AQ150&gt;0), IF(INDEX(CC$12:CC$263,MATCH($AQ150,$AP$12:$AP$263,0))&gt;0,($AM150*INDEX(CC$12:CC$263,MATCH($AQ150,$AP$12:$AP$263,0)))/INDEX($AI$12:$AI$263,MATCH($AQ150,$AP$12:$AP$263,0)), "-"),     TRUE, "0")</f>
        <v>0</v>
      </c>
      <c r="CE150" s="607">
        <f>IF(CD$9&gt;0, IF(OR(CD150="",CD150="-"), 0, CD150*$AT150), CC150*$AJ150)</f>
        <v>0</v>
      </c>
      <c r="CF150" s="589">
        <f>[1]COMMANDE!AM148</f>
        <v>0</v>
      </c>
      <c r="CG150" s="586" t="str">
        <f>_xlfn.IFS(AND($AI150=$AM150,$AI150&gt;0,$AM150&gt;0,CF150&gt;0), CF150,     AND(NOT($AI150=$AM150),$AI150&gt;0,$AM150&gt;0,CF150&gt;0), ($AM150*CF150)/$AI150,     AND($AI150=0,$AM150&gt;0,$AQ150&gt;0), IF(INDEX(CF$12:CF$263,MATCH($AQ150,$AP$12:$AP$263,0))&gt;0,($AM150*INDEX(CF$12:CF$263,MATCH($AQ150,$AP$12:$AP$263,0)))/INDEX($AI$12:$AI$263,MATCH($AQ150,$AP$12:$AP$263,0)), "-"),     TRUE, "0")</f>
        <v>0</v>
      </c>
      <c r="CH150" s="588">
        <f>IF(CG$9&gt;0, IF(OR(CG150="",CG150="-"), 0, CG150*$AT150), CF150*$AJ150)</f>
        <v>0</v>
      </c>
      <c r="CI150" s="587">
        <f>[1]COMMANDE!AO148</f>
        <v>0</v>
      </c>
      <c r="CJ150" s="586" t="str">
        <f>_xlfn.IFS(AND($AI150=$AM150,$AI150&gt;0,$AM150&gt;0,CI150&gt;0), CI150,     AND(NOT($AI150=$AM150),$AI150&gt;0,$AM150&gt;0,CI150&gt;0), ($AM150*CI150)/$AI150,     AND($AI150=0,$AM150&gt;0,$AQ150&gt;0), IF(INDEX(CI$12:CI$263,MATCH($AQ150,$AP$12:$AP$263,0))&gt;0,($AM150*INDEX(CI$12:CI$263,MATCH($AQ150,$AP$12:$AP$263,0)))/INDEX($AI$12:$AI$263,MATCH($AQ150,$AP$12:$AP$263,0)), "-"),     TRUE, "0")</f>
        <v>0</v>
      </c>
      <c r="CK150" s="607">
        <f>IF(CJ$9&gt;0, IF(OR(CJ150="",CJ150="-"), 0, CJ150*$AT150), CI150*$AJ150)</f>
        <v>0</v>
      </c>
      <c r="CL150" s="589">
        <f>[1]COMMANDE!AQ148</f>
        <v>0</v>
      </c>
      <c r="CM150" s="586" t="str">
        <f>_xlfn.IFS(AND($AI150=$AM150,$AI150&gt;0,$AM150&gt;0,CL150&gt;0), CL150,     AND(NOT($AI150=$AM150),$AI150&gt;0,$AM150&gt;0,CL150&gt;0), ($AM150*CL150)/$AI150,     AND($AI150=0,$AM150&gt;0,$AQ150&gt;0), IF(INDEX(CL$12:CL$263,MATCH($AQ150,$AP$12:$AP$263,0))&gt;0,($AM150*INDEX(CL$12:CL$263,MATCH($AQ150,$AP$12:$AP$263,0)))/INDEX($AI$12:$AI$263,MATCH($AQ150,$AP$12:$AP$263,0)), "-"),     TRUE, "0")</f>
        <v>0</v>
      </c>
      <c r="CN150" s="588">
        <f>IF(CM$9&gt;0, IF(OR(CM150="",CM150="-"), 0, CM150*$AT150), CL150*$AJ150)</f>
        <v>0</v>
      </c>
      <c r="CO150" s="587">
        <f>[1]COMMANDE!AS148</f>
        <v>0</v>
      </c>
      <c r="CP150" s="586" t="str">
        <f>_xlfn.IFS(AND($AI150=$AM150,$AI150&gt;0,$AM150&gt;0,CO150&gt;0), CO150,     AND(NOT($AI150=$AM150),$AI150&gt;0,$AM150&gt;0,CO150&gt;0), ($AM150*CO150)/$AI150,     AND($AI150=0,$AM150&gt;0,$AQ150&gt;0), IF(INDEX(CO$12:CO$263,MATCH($AQ150,$AP$12:$AP$263,0))&gt;0,($AM150*INDEX(CO$12:CO$263,MATCH($AQ150,$AP$12:$AP$263,0)))/INDEX($AI$12:$AI$263,MATCH($AQ150,$AP$12:$AP$263,0)), "-"),     TRUE, "0")</f>
        <v>0</v>
      </c>
      <c r="CQ150" s="607">
        <f>IF(CP$9&gt;0, IF(OR(CP150="",CP150="-"), 0, CP150*$AT150), CO150*$AJ150)</f>
        <v>0</v>
      </c>
      <c r="CR150" s="589">
        <f>[1]COMMANDE!AU148</f>
        <v>0</v>
      </c>
      <c r="CS150" s="586" t="str">
        <f>_xlfn.IFS(AND($AI150=$AM150,$AI150&gt;0,$AM150&gt;0,CR150&gt;0), CR150,     AND(NOT($AI150=$AM150),$AI150&gt;0,$AM150&gt;0,CR150&gt;0), ($AM150*CR150)/$AI150,     AND($AI150=0,$AM150&gt;0,$AQ150&gt;0), IF(INDEX(CR$12:CR$263,MATCH($AQ150,$AP$12:$AP$263,0))&gt;0,($AM150*INDEX(CR$12:CR$263,MATCH($AQ150,$AP$12:$AP$263,0)))/INDEX($AI$12:$AI$263,MATCH($AQ150,$AP$12:$AP$263,0)), "-"),     TRUE, "0")</f>
        <v>0</v>
      </c>
      <c r="CT150" s="588">
        <f>IF(CS$9&gt;0, IF(OR(CS150="",CS150="-"), 0, CS150*$AT150), CR150*$AJ150)</f>
        <v>0</v>
      </c>
      <c r="CU150" s="587">
        <f>[1]COMMANDE!AW148</f>
        <v>0</v>
      </c>
      <c r="CV150" s="586" t="str">
        <f>_xlfn.IFS(AND($AI150=$AM150,$AI150&gt;0,$AM150&gt;0,CU150&gt;0), CU150,     AND(NOT($AI150=$AM150),$AI150&gt;0,$AM150&gt;0,CU150&gt;0), ($AM150*CU150)/$AI150,     AND($AI150=0,$AM150&gt;0,$AQ150&gt;0), IF(INDEX(CU$12:CU$263,MATCH($AQ150,$AP$12:$AP$263,0))&gt;0,($AM150*INDEX(CU$12:CU$263,MATCH($AQ150,$AP$12:$AP$263,0)))/INDEX($AI$12:$AI$263,MATCH($AQ150,$AP$12:$AP$263,0)), "-"),     TRUE, "0")</f>
        <v>0</v>
      </c>
      <c r="CW150" s="607">
        <f>IF(CV$9&gt;0, IF(OR(CV150="",CV150="-"), 0, CV150*$AT150), CU150*$AJ150)</f>
        <v>0</v>
      </c>
      <c r="CX150" s="589">
        <f>[1]COMMANDE!AY148</f>
        <v>0</v>
      </c>
      <c r="CY150" s="586" t="str">
        <f>_xlfn.IFS(AND($AI150=$AM150,$AI150&gt;0,$AM150&gt;0,CX150&gt;0), CX150,     AND(NOT($AI150=$AM150),$AI150&gt;0,$AM150&gt;0,CX150&gt;0), ($AM150*CX150)/$AI150,     AND($AI150=0,$AM150&gt;0,$AQ150&gt;0), IF(INDEX(CX$12:CX$263,MATCH($AQ150,$AP$12:$AP$263,0))&gt;0,($AM150*INDEX(CX$12:CX$263,MATCH($AQ150,$AP$12:$AP$263,0)))/INDEX($AI$12:$AI$263,MATCH($AQ150,$AP$12:$AP$263,0)), "-"),     TRUE, "0")</f>
        <v>0</v>
      </c>
      <c r="CZ150" s="588">
        <f>IF(CY$9&gt;0, IF(OR(CY150="",CY150="-"), 0, CY150*$AT150), CX150*$AJ150)</f>
        <v>0</v>
      </c>
      <c r="DA150" s="587">
        <f>[1]COMMANDE!BA148</f>
        <v>0</v>
      </c>
      <c r="DB150" s="586" t="str">
        <f>_xlfn.IFS(AND($AI150=$AM150,$AI150&gt;0,$AM150&gt;0,DA150&gt;0), DA150,     AND(NOT($AI150=$AM150),$AI150&gt;0,$AM150&gt;0,DA150&gt;0), ($AM150*DA150)/$AI150,     AND($AI150=0,$AM150&gt;0,$AQ150&gt;0), IF(INDEX(DA$12:DA$263,MATCH($AQ150,$AP$12:$AP$263,0))&gt;0,($AM150*INDEX(DA$12:DA$263,MATCH($AQ150,$AP$12:$AP$263,0)))/INDEX($AI$12:$AI$263,MATCH($AQ150,$AP$12:$AP$263,0)), "-"),     TRUE, "0")</f>
        <v>0</v>
      </c>
      <c r="DC150" s="606">
        <f>IF(DB$9&gt;0, IF(OR(DB150="",DB150="-"), 0, DB150*$AT150), DA150*$AJ150)</f>
        <v>0</v>
      </c>
      <c r="DD150" s="584"/>
      <c r="DE150" s="583"/>
    </row>
    <row r="151" spans="1:128" s="610" customFormat="1" ht="39.950000000000003" hidden="1" customHeight="1">
      <c r="A151" s="604">
        <f>IF(OR($AV151&gt;0, $AX151&gt;0), 1, 0)</f>
        <v>0</v>
      </c>
      <c r="B151" s="604">
        <f>IF(OR($AY151&gt;0, $BA151&gt;0), 1, 0)</f>
        <v>0</v>
      </c>
      <c r="C151" s="604">
        <f>IF(OR($BB151&gt;0, $BD151&gt;0), 1, 0)</f>
        <v>0</v>
      </c>
      <c r="D151" s="604">
        <f>IF(OR($BE151&gt;0, $BG151&gt;0), 1, 0)</f>
        <v>0</v>
      </c>
      <c r="E151" s="604">
        <f>IF(OR($BH151&gt;0, $BJ151&gt;0), 1, 0)</f>
        <v>0</v>
      </c>
      <c r="F151" s="604">
        <f>IF(OR($BK151&gt;0, $BM151&gt;0), 1, 0)</f>
        <v>0</v>
      </c>
      <c r="G151" s="604">
        <f>IF(OR($BN151&gt;0, $BP151&gt;0), 1, 0)</f>
        <v>0</v>
      </c>
      <c r="H151" s="604">
        <f>IF(OR($BQ151&gt;0, $BS151&gt;0), 1, 0)</f>
        <v>0</v>
      </c>
      <c r="I151" s="604">
        <f>IF(OR($BT151&gt;0, $BV151&gt;0), 1, 0)</f>
        <v>0</v>
      </c>
      <c r="J151" s="604">
        <f>IF(OR($BW151&gt;0, $BY151&gt;0), 1, 0)</f>
        <v>0</v>
      </c>
      <c r="K151" s="604">
        <f>IF(OR($BZ151&gt;0, $CB151&gt;0), 1, 0)</f>
        <v>0</v>
      </c>
      <c r="L151" s="604">
        <f>IF(OR($CC151&gt;0, $CE151&gt;0), 1, 0)</f>
        <v>0</v>
      </c>
      <c r="M151" s="604">
        <f>IF(OR($CF151&gt;0, $CH151&gt;0), 1, 0)</f>
        <v>0</v>
      </c>
      <c r="N151" s="604">
        <f>IF(OR($CI151&gt;0, $CK151&gt;0), 1, 0)</f>
        <v>0</v>
      </c>
      <c r="O151" s="604">
        <f>IF(OR($CL151&gt;0, $CN151&gt;0), 1, 0)</f>
        <v>0</v>
      </c>
      <c r="P151" s="604">
        <f>IF(OR($CO151&gt;0, $CQ151&gt;0), 1, 0)</f>
        <v>0</v>
      </c>
      <c r="Q151" s="604">
        <f>IF(OR($CR151&gt;0, $CT151&gt;0), 1, 0)</f>
        <v>0</v>
      </c>
      <c r="R151" s="604">
        <f>IF(OR($CU151&gt;0, $CW151&gt;0), 1, 0)</f>
        <v>0</v>
      </c>
      <c r="S151" s="604">
        <f>IF(OR($CX151&gt;0, $CZ151&gt;0), 1, 0)</f>
        <v>0</v>
      </c>
      <c r="T151" s="604">
        <f>IF(OR($DA151&gt;0, $DC151&gt;0), 1, 0)</f>
        <v>0</v>
      </c>
      <c r="U151" s="603">
        <f>IF(OR($AI151&gt;0,$AM151&gt;0,$AS151&gt;0), 1, 0)</f>
        <v>0</v>
      </c>
      <c r="V151" s="602">
        <f>[1]BDD!A141</f>
        <v>1606</v>
      </c>
      <c r="W151" s="601" t="str">
        <f>[1]BDD!B141</f>
        <v>Lucuma cru en poudre CRU BIO (env. 1 kg)</v>
      </c>
      <c r="X151" s="600" t="str">
        <f>IF([1]BDD!F141=0, "", [1]BDD!F141)</f>
        <v/>
      </c>
      <c r="Y151" s="542">
        <f>ROUND([1]BDD!G141+FDP_CMD_KG, 2)</f>
        <v>30.98</v>
      </c>
      <c r="Z151" s="542">
        <f>ROUND([1]BDD!G141+FDP_FACT_KG, 2)</f>
        <v>30.98</v>
      </c>
      <c r="AA151" s="543" t="str">
        <f>[1]BDD!H141</f>
        <v>Pièce</v>
      </c>
      <c r="AB151" s="544" t="str">
        <f>IF(NOT(ISBLANK([1]BDD!I141)), ROUND(SUM(([1]BDD!G141*reduc1),FDP_CMD_KG), 2), "")</f>
        <v/>
      </c>
      <c r="AC151" s="544" t="str">
        <f>IF(NOT(ISBLANK([1]BDD!J141)), ROUND(SUM(([1]BDD!G141*reduc2),FDP_CMD_KG), 2), "")</f>
        <v/>
      </c>
      <c r="AD151" s="544" t="str">
        <f>IF(NOT(ISBLANK([1]BDD!K141)), ROUND(SUM(([1]BDD!G141*reduc3),FDP_CMD_KG), 2), "")</f>
        <v/>
      </c>
      <c r="AE151" s="544" t="str">
        <f>IF(NOT(ISBLANK([1]BDD!I141)), ROUND(SUM(([1]BDD!G141*reduc1),FDP_FACT_KG), 2), "")</f>
        <v/>
      </c>
      <c r="AF151" s="544" t="str">
        <f>IF(NOT(ISBLANK([1]BDD!J141)), ROUND(SUM(([1]BDD!G141*reduc2),FDP_FACT_KG), 2), "")</f>
        <v/>
      </c>
      <c r="AG151" s="544" t="str">
        <f>IF(NOT(ISBLANK([1]BDD!K141)), ROUND(SUM(([1]BDD!G141*reduc3),FDP_FACT_KG), 2), "")</f>
        <v/>
      </c>
      <c r="AH151" s="599" t="str">
        <f>[1]BDD!C141</f>
        <v>Pérou</v>
      </c>
      <c r="AI151" s="598">
        <f>SUM(AV151,AY151,BB151,BE151,BH151,BK151,BN151,BQ151,BT151,BW151,BZ151,CC151,CF151,CI151,CL151,CO151,CR151,CU151,CX151,DA151)</f>
        <v>0</v>
      </c>
      <c r="AJ151" s="545">
        <f>_xlfn.IFS($AD151&lt;&gt;"", $AD151,    $AC151&lt;&gt;"", $AC151,    $AB151&lt;&gt;"", $AB151,    TRUE, $Y151)</f>
        <v>30.98</v>
      </c>
      <c r="AK151" s="592">
        <f>$AI151*$AJ151</f>
        <v>0</v>
      </c>
      <c r="AL151" s="594"/>
      <c r="AM151" s="597"/>
      <c r="AN151" s="545">
        <f>_xlfn.IFS(AND(AM151&gt;=60,$AG151&lt;&gt;""), $AG151,    AND(AM151&gt;=30,$AF151&lt;&gt;""), $AF151,    AND(AM151&gt;=10,$AE151&lt;&gt;""), $AE151,    TRUE, $Z151)</f>
        <v>30.98</v>
      </c>
      <c r="AO151" s="596">
        <f>AM151*AN151</f>
        <v>0</v>
      </c>
      <c r="AP151" s="595"/>
      <c r="AQ151" s="595"/>
      <c r="AR151" s="594"/>
      <c r="AS151" s="593">
        <f>SUM(AW151,AZ151,BC151,BF151,BI151,BL151,BO151,BR151,BU151,BX151,CA151,CD151,CG151,CJ151,CM151,CP151,CS151,CV151,CY151,DB151)</f>
        <v>0</v>
      </c>
      <c r="AT151" s="545">
        <f>_xlfn.IFS(AND(AS151&gt;=60,$AG151&lt;&gt;""), $AG151,    AND(AS151&gt;=30,$AF151&lt;&gt;""), $AF151,    AND(AS151&gt;=10,$AE151&lt;&gt;""), $AE151,    TRUE, $Z151)</f>
        <v>30.98</v>
      </c>
      <c r="AU151" s="592">
        <f>$AS151*$AT151</f>
        <v>0</v>
      </c>
      <c r="AV151" s="591">
        <f>[1]COMMANDE!O149</f>
        <v>0</v>
      </c>
      <c r="AW151" s="586" t="str">
        <f>_xlfn.IFS(AND($AI151=$AM151,$AI151&gt;0,$AM151&gt;0,AV151&gt;0), AV151,     AND(NOT($AI151=$AM151),$AI151&gt;0,$AM151&gt;0,AV151&gt;0), ($AM151*AV151)/$AI151,     AND($AI151=0,$AM151&gt;0,$AQ151&gt;0), IF(INDEX(AV$12:AV$263,MATCH($AQ151,$AP$12:$AP$263,0))&gt;0,($AM151*INDEX(AV$12:AV$263,MATCH($AQ151,$AP$12:$AP$263,0)))/INDEX($AI$12:$AI$263,MATCH($AQ151,$AP$12:$AP$263,0)), "-"),     TRUE, "0")</f>
        <v>0</v>
      </c>
      <c r="AX151" s="588">
        <f>IF(AW$9&gt;0, IF(OR(AW151="",AW151="-"), 0, AW151*$AT151), AV151*$AJ151)</f>
        <v>0</v>
      </c>
      <c r="AY151" s="587">
        <f>[1]COMMANDE!Q149</f>
        <v>0</v>
      </c>
      <c r="AZ151" s="586" t="str">
        <f>_xlfn.IFS(AND($AI151=$AM151,$AI151&gt;0,$AM151&gt;0,AY151&gt;0), AY151,     AND(NOT($AI151=$AM151),$AI151&gt;0,$AM151&gt;0,AY151&gt;0), ($AM151*AY151)/$AI151,     AND($AI151=0,$AM151&gt;0,$AQ151&gt;0), IF(INDEX(AY$12:AY$263,MATCH($AQ151,$AP$12:$AP$263,0))&gt;0,($AM151*INDEX(AY$12:AY$263,MATCH($AQ151,$AP$12:$AP$263,0)))/INDEX($AI$12:$AI$263,MATCH($AQ151,$AP$12:$AP$263,0)), "-"),     TRUE, "0")</f>
        <v>0</v>
      </c>
      <c r="BA151" s="607">
        <f>IF(AZ$9&gt;0, IF(OR(AZ151="",AZ151="-"), 0, AZ151*$AT151), AY151*$AJ151)</f>
        <v>0</v>
      </c>
      <c r="BB151" s="589">
        <f>[1]COMMANDE!S149</f>
        <v>0</v>
      </c>
      <c r="BC151" s="586" t="str">
        <f>_xlfn.IFS(AND($AI151=$AM151,$AI151&gt;0,$AM151&gt;0,BB151&gt;0), BB151,     AND(NOT($AI151=$AM151),$AI151&gt;0,$AM151&gt;0,BB151&gt;0), ($AM151*BB151)/$AI151,     AND($AI151=0,$AM151&gt;0,$AQ151&gt;0), IF(INDEX(BB$12:BB$263,MATCH($AQ151,$AP$12:$AP$263,0))&gt;0,($AM151*INDEX(BB$12:BB$263,MATCH($AQ151,$AP$12:$AP$263,0)))/INDEX($AI$12:$AI$263,MATCH($AQ151,$AP$12:$AP$263,0)), "-"),     TRUE, "0")</f>
        <v>0</v>
      </c>
      <c r="BD151" s="588">
        <f>IF(BC$9&gt;0, IF(OR(BC151="",BC151="-"), 0, BC151*$AT151), BB151*$AJ151)</f>
        <v>0</v>
      </c>
      <c r="BE151" s="587">
        <f>[1]COMMANDE!U149</f>
        <v>0</v>
      </c>
      <c r="BF151" s="586" t="str">
        <f>_xlfn.IFS(AND($AI151=$AM151,$AI151&gt;0,$AM151&gt;0,BE151&gt;0), BE151,     AND(NOT($AI151=$AM151),$AI151&gt;0,$AM151&gt;0,BE151&gt;0), ($AM151*BE151)/$AI151,     AND($AI151=0,$AM151&gt;0,$AQ151&gt;0), IF(INDEX(BE$12:BE$263,MATCH($AQ151,$AP$12:$AP$263,0))&gt;0,($AM151*INDEX(BE$12:BE$263,MATCH($AQ151,$AP$12:$AP$263,0)))/INDEX($AI$12:$AI$263,MATCH($AQ151,$AP$12:$AP$263,0)), "-"),     TRUE, "0")</f>
        <v>0</v>
      </c>
      <c r="BG151" s="607">
        <f>IF(BF$9&gt;0, IF(OR(BF151="",BF151="-"), 0, BF151*$AT151), BE151*$AJ151)</f>
        <v>0</v>
      </c>
      <c r="BH151" s="589">
        <f>[1]COMMANDE!W149</f>
        <v>0</v>
      </c>
      <c r="BI151" s="586" t="str">
        <f>_xlfn.IFS(AND($AI151=$AM151,$AI151&gt;0,$AM151&gt;0,BH151&gt;0), BH151,     AND(NOT($AI151=$AM151),$AI151&gt;0,$AM151&gt;0,BH151&gt;0), ($AM151*BH151)/$AI151,     AND($AI151=0,$AM151&gt;0,$AQ151&gt;0), IF(INDEX(BH$12:BH$263,MATCH($AQ151,$AP$12:$AP$263,0))&gt;0,($AM151*INDEX(BH$12:BH$263,MATCH($AQ151,$AP$12:$AP$263,0)))/INDEX($AI$12:$AI$263,MATCH($AQ151,$AP$12:$AP$263,0)), "-"),     TRUE, "0")</f>
        <v>0</v>
      </c>
      <c r="BJ151" s="588">
        <f>IF(BI$9&gt;0, IF(OR(BI151="",BI151="-"), 0, BI151*$AT151), BH151*$AJ151)</f>
        <v>0</v>
      </c>
      <c r="BK151" s="587">
        <f>[1]COMMANDE!Y149</f>
        <v>0</v>
      </c>
      <c r="BL151" s="586" t="str">
        <f>_xlfn.IFS(AND($AI151=$AM151,$AI151&gt;0,$AM151&gt;0,BK151&gt;0), BK151,     AND(NOT($AI151=$AM151),$AI151&gt;0,$AM151&gt;0,BK151&gt;0), ($AM151*BK151)/$AI151,     AND($AI151=0,$AM151&gt;0,$AQ151&gt;0), IF(INDEX(BK$12:BK$263,MATCH($AQ151,$AP$12:$AP$263,0))&gt;0,($AM151*INDEX(BK$12:BK$263,MATCH($AQ151,$AP$12:$AP$263,0)))/INDEX($AI$12:$AI$263,MATCH($AQ151,$AP$12:$AP$263,0)), "-"),     TRUE, "0")</f>
        <v>0</v>
      </c>
      <c r="BM151" s="607">
        <f>IF(BL$9&gt;0, IF(OR(BL151="",BL151="-"), 0, BL151*$AT151), BK151*$AJ151)</f>
        <v>0</v>
      </c>
      <c r="BN151" s="589">
        <f>[1]COMMANDE!AA149</f>
        <v>0</v>
      </c>
      <c r="BO151" s="586" t="str">
        <f>_xlfn.IFS(AND($AI151=$AM151,$AI151&gt;0,$AM151&gt;0,BN151&gt;0), BN151,     AND(NOT($AI151=$AM151),$AI151&gt;0,$AM151&gt;0,BN151&gt;0), ($AM151*BN151)/$AI151,     AND($AI151=0,$AM151&gt;0,$AQ151&gt;0), IF(INDEX(BN$12:BN$263,MATCH($AQ151,$AP$12:$AP$263,0))&gt;0,($AM151*INDEX(BN$12:BN$263,MATCH($AQ151,$AP$12:$AP$263,0)))/INDEX($AI$12:$AI$263,MATCH($AQ151,$AP$12:$AP$263,0)), "-"),     TRUE, "0")</f>
        <v>0</v>
      </c>
      <c r="BP151" s="588">
        <f>IF(BO$9&gt;0, IF(OR(BO151="",BO151="-"), 0, BO151*$AT151), BN151*$AJ151)</f>
        <v>0</v>
      </c>
      <c r="BQ151" s="587">
        <f>[1]COMMANDE!AC149</f>
        <v>0</v>
      </c>
      <c r="BR151" s="586" t="str">
        <f>_xlfn.IFS(AND($AI151=$AM151,$AI151&gt;0,$AM151&gt;0,BQ151&gt;0), BQ151,     AND(NOT($AI151=$AM151),$AI151&gt;0,$AM151&gt;0,BQ151&gt;0), ($AM151*BQ151)/$AI151,     AND($AI151=0,$AM151&gt;0,$AQ151&gt;0), IF(INDEX(BQ$12:BQ$263,MATCH($AQ151,$AP$12:$AP$263,0))&gt;0,($AM151*INDEX(BQ$12:BQ$263,MATCH($AQ151,$AP$12:$AP$263,0)))/INDEX($AI$12:$AI$263,MATCH($AQ151,$AP$12:$AP$263,0)), "-"),     TRUE, "0")</f>
        <v>0</v>
      </c>
      <c r="BS151" s="607">
        <f>IF(BR$9&gt;0, IF(OR(BR151="",BR151="-"), 0, BR151*$AT151), BQ151*$AJ151)</f>
        <v>0</v>
      </c>
      <c r="BT151" s="589">
        <f>[1]COMMANDE!AE149</f>
        <v>0</v>
      </c>
      <c r="BU151" s="586" t="str">
        <f>_xlfn.IFS(AND($AI151=$AM151,$AI151&gt;0,$AM151&gt;0,BT151&gt;0), BT151,     AND(NOT($AI151=$AM151),$AI151&gt;0,$AM151&gt;0,BT151&gt;0), ($AM151*BT151)/$AI151,     AND($AI151=0,$AM151&gt;0,$AQ151&gt;0), IF(INDEX(BT$12:BT$263,MATCH($AQ151,$AP$12:$AP$263,0))&gt;0,($AM151*INDEX(BT$12:BT$263,MATCH($AQ151,$AP$12:$AP$263,0)))/INDEX($AI$12:$AI$263,MATCH($AQ151,$AP$12:$AP$263,0)), "-"),     TRUE, "0")</f>
        <v>0</v>
      </c>
      <c r="BV151" s="588">
        <f>IF(BU$9&gt;0, IF(OR(BU151="",BU151="-"), 0, BU151*$AT151), BT151*$AJ151)</f>
        <v>0</v>
      </c>
      <c r="BW151" s="587">
        <f>[1]COMMANDE!AG149</f>
        <v>0</v>
      </c>
      <c r="BX151" s="586" t="str">
        <f>_xlfn.IFS(AND($AI151=$AM151,$AI151&gt;0,$AM151&gt;0,BW151&gt;0), BW151,     AND(NOT($AI151=$AM151),$AI151&gt;0,$AM151&gt;0,BW151&gt;0), ($AM151*BW151)/$AI151,     AND($AI151=0,$AM151&gt;0,$AQ151&gt;0), IF(INDEX(BW$12:BW$263,MATCH($AQ151,$AP$12:$AP$263,0))&gt;0,($AM151*INDEX(BW$12:BW$263,MATCH($AQ151,$AP$12:$AP$263,0)))/INDEX($AI$12:$AI$263,MATCH($AQ151,$AP$12:$AP$263,0)), "-"),     TRUE, "0")</f>
        <v>0</v>
      </c>
      <c r="BY151" s="607">
        <f>IF(BX$9&gt;0, IF(OR(BX151="",BX151="-"), 0, BX151*$AT151), BW151*$AJ151)</f>
        <v>0</v>
      </c>
      <c r="BZ151" s="589">
        <f>[1]COMMANDE!AI149</f>
        <v>0</v>
      </c>
      <c r="CA151" s="586" t="str">
        <f>_xlfn.IFS(AND($AI151=$AM151,$AI151&gt;0,$AM151&gt;0,BZ151&gt;0), BZ151,     AND(NOT($AI151=$AM151),$AI151&gt;0,$AM151&gt;0,BZ151&gt;0), ($AM151*BZ151)/$AI151,     AND($AI151=0,$AM151&gt;0,$AQ151&gt;0), IF(INDEX(BZ$12:BZ$263,MATCH($AQ151,$AP$12:$AP$263,0))&gt;0,($AM151*INDEX(BZ$12:BZ$263,MATCH($AQ151,$AP$12:$AP$263,0)))/INDEX($AI$12:$AI$263,MATCH($AQ151,$AP$12:$AP$263,0)), "-"),     TRUE, "0")</f>
        <v>0</v>
      </c>
      <c r="CB151" s="588">
        <f>IF(CA$9&gt;0, IF(OR(CA151="",CA151="-"), 0, CA151*$AT151), BZ151*$AJ151)</f>
        <v>0</v>
      </c>
      <c r="CC151" s="587">
        <f>[1]COMMANDE!AK149</f>
        <v>0</v>
      </c>
      <c r="CD151" s="586" t="str">
        <f>_xlfn.IFS(AND($AI151=$AM151,$AI151&gt;0,$AM151&gt;0,CC151&gt;0), CC151,     AND(NOT($AI151=$AM151),$AI151&gt;0,$AM151&gt;0,CC151&gt;0), ($AM151*CC151)/$AI151,     AND($AI151=0,$AM151&gt;0,$AQ151&gt;0), IF(INDEX(CC$12:CC$263,MATCH($AQ151,$AP$12:$AP$263,0))&gt;0,($AM151*INDEX(CC$12:CC$263,MATCH($AQ151,$AP$12:$AP$263,0)))/INDEX($AI$12:$AI$263,MATCH($AQ151,$AP$12:$AP$263,0)), "-"),     TRUE, "0")</f>
        <v>0</v>
      </c>
      <c r="CE151" s="607">
        <f>IF(CD$9&gt;0, IF(OR(CD151="",CD151="-"), 0, CD151*$AT151), CC151*$AJ151)</f>
        <v>0</v>
      </c>
      <c r="CF151" s="589">
        <f>[1]COMMANDE!AM149</f>
        <v>0</v>
      </c>
      <c r="CG151" s="586" t="str">
        <f>_xlfn.IFS(AND($AI151=$AM151,$AI151&gt;0,$AM151&gt;0,CF151&gt;0), CF151,     AND(NOT($AI151=$AM151),$AI151&gt;0,$AM151&gt;0,CF151&gt;0), ($AM151*CF151)/$AI151,     AND($AI151=0,$AM151&gt;0,$AQ151&gt;0), IF(INDEX(CF$12:CF$263,MATCH($AQ151,$AP$12:$AP$263,0))&gt;0,($AM151*INDEX(CF$12:CF$263,MATCH($AQ151,$AP$12:$AP$263,0)))/INDEX($AI$12:$AI$263,MATCH($AQ151,$AP$12:$AP$263,0)), "-"),     TRUE, "0")</f>
        <v>0</v>
      </c>
      <c r="CH151" s="588">
        <f>IF(CG$9&gt;0, IF(OR(CG151="",CG151="-"), 0, CG151*$AT151), CF151*$AJ151)</f>
        <v>0</v>
      </c>
      <c r="CI151" s="587">
        <f>[1]COMMANDE!AO149</f>
        <v>0</v>
      </c>
      <c r="CJ151" s="586" t="str">
        <f>_xlfn.IFS(AND($AI151=$AM151,$AI151&gt;0,$AM151&gt;0,CI151&gt;0), CI151,     AND(NOT($AI151=$AM151),$AI151&gt;0,$AM151&gt;0,CI151&gt;0), ($AM151*CI151)/$AI151,     AND($AI151=0,$AM151&gt;0,$AQ151&gt;0), IF(INDEX(CI$12:CI$263,MATCH($AQ151,$AP$12:$AP$263,0))&gt;0,($AM151*INDEX(CI$12:CI$263,MATCH($AQ151,$AP$12:$AP$263,0)))/INDEX($AI$12:$AI$263,MATCH($AQ151,$AP$12:$AP$263,0)), "-"),     TRUE, "0")</f>
        <v>0</v>
      </c>
      <c r="CK151" s="607">
        <f>IF(CJ$9&gt;0, IF(OR(CJ151="",CJ151="-"), 0, CJ151*$AT151), CI151*$AJ151)</f>
        <v>0</v>
      </c>
      <c r="CL151" s="589">
        <f>[1]COMMANDE!AQ149</f>
        <v>0</v>
      </c>
      <c r="CM151" s="586" t="str">
        <f>_xlfn.IFS(AND($AI151=$AM151,$AI151&gt;0,$AM151&gt;0,CL151&gt;0), CL151,     AND(NOT($AI151=$AM151),$AI151&gt;0,$AM151&gt;0,CL151&gt;0), ($AM151*CL151)/$AI151,     AND($AI151=0,$AM151&gt;0,$AQ151&gt;0), IF(INDEX(CL$12:CL$263,MATCH($AQ151,$AP$12:$AP$263,0))&gt;0,($AM151*INDEX(CL$12:CL$263,MATCH($AQ151,$AP$12:$AP$263,0)))/INDEX($AI$12:$AI$263,MATCH($AQ151,$AP$12:$AP$263,0)), "-"),     TRUE, "0")</f>
        <v>0</v>
      </c>
      <c r="CN151" s="588">
        <f>IF(CM$9&gt;0, IF(OR(CM151="",CM151="-"), 0, CM151*$AT151), CL151*$AJ151)</f>
        <v>0</v>
      </c>
      <c r="CO151" s="587">
        <f>[1]COMMANDE!AS149</f>
        <v>0</v>
      </c>
      <c r="CP151" s="586" t="str">
        <f>_xlfn.IFS(AND($AI151=$AM151,$AI151&gt;0,$AM151&gt;0,CO151&gt;0), CO151,     AND(NOT($AI151=$AM151),$AI151&gt;0,$AM151&gt;0,CO151&gt;0), ($AM151*CO151)/$AI151,     AND($AI151=0,$AM151&gt;0,$AQ151&gt;0), IF(INDEX(CO$12:CO$263,MATCH($AQ151,$AP$12:$AP$263,0))&gt;0,($AM151*INDEX(CO$12:CO$263,MATCH($AQ151,$AP$12:$AP$263,0)))/INDEX($AI$12:$AI$263,MATCH($AQ151,$AP$12:$AP$263,0)), "-"),     TRUE, "0")</f>
        <v>0</v>
      </c>
      <c r="CQ151" s="607">
        <f>IF(CP$9&gt;0, IF(OR(CP151="",CP151="-"), 0, CP151*$AT151), CO151*$AJ151)</f>
        <v>0</v>
      </c>
      <c r="CR151" s="589">
        <f>[1]COMMANDE!AU149</f>
        <v>0</v>
      </c>
      <c r="CS151" s="586" t="str">
        <f>_xlfn.IFS(AND($AI151=$AM151,$AI151&gt;0,$AM151&gt;0,CR151&gt;0), CR151,     AND(NOT($AI151=$AM151),$AI151&gt;0,$AM151&gt;0,CR151&gt;0), ($AM151*CR151)/$AI151,     AND($AI151=0,$AM151&gt;0,$AQ151&gt;0), IF(INDEX(CR$12:CR$263,MATCH($AQ151,$AP$12:$AP$263,0))&gt;0,($AM151*INDEX(CR$12:CR$263,MATCH($AQ151,$AP$12:$AP$263,0)))/INDEX($AI$12:$AI$263,MATCH($AQ151,$AP$12:$AP$263,0)), "-"),     TRUE, "0")</f>
        <v>0</v>
      </c>
      <c r="CT151" s="588">
        <f>IF(CS$9&gt;0, IF(OR(CS151="",CS151="-"), 0, CS151*$AT151), CR151*$AJ151)</f>
        <v>0</v>
      </c>
      <c r="CU151" s="587">
        <f>[1]COMMANDE!AW149</f>
        <v>0</v>
      </c>
      <c r="CV151" s="586" t="str">
        <f>_xlfn.IFS(AND($AI151=$AM151,$AI151&gt;0,$AM151&gt;0,CU151&gt;0), CU151,     AND(NOT($AI151=$AM151),$AI151&gt;0,$AM151&gt;0,CU151&gt;0), ($AM151*CU151)/$AI151,     AND($AI151=0,$AM151&gt;0,$AQ151&gt;0), IF(INDEX(CU$12:CU$263,MATCH($AQ151,$AP$12:$AP$263,0))&gt;0,($AM151*INDEX(CU$12:CU$263,MATCH($AQ151,$AP$12:$AP$263,0)))/INDEX($AI$12:$AI$263,MATCH($AQ151,$AP$12:$AP$263,0)), "-"),     TRUE, "0")</f>
        <v>0</v>
      </c>
      <c r="CW151" s="607">
        <f>IF(CV$9&gt;0, IF(OR(CV151="",CV151="-"), 0, CV151*$AT151), CU151*$AJ151)</f>
        <v>0</v>
      </c>
      <c r="CX151" s="589">
        <f>[1]COMMANDE!AY149</f>
        <v>0</v>
      </c>
      <c r="CY151" s="586" t="str">
        <f>_xlfn.IFS(AND($AI151=$AM151,$AI151&gt;0,$AM151&gt;0,CX151&gt;0), CX151,     AND(NOT($AI151=$AM151),$AI151&gt;0,$AM151&gt;0,CX151&gt;0), ($AM151*CX151)/$AI151,     AND($AI151=0,$AM151&gt;0,$AQ151&gt;0), IF(INDEX(CX$12:CX$263,MATCH($AQ151,$AP$12:$AP$263,0))&gt;0,($AM151*INDEX(CX$12:CX$263,MATCH($AQ151,$AP$12:$AP$263,0)))/INDEX($AI$12:$AI$263,MATCH($AQ151,$AP$12:$AP$263,0)), "-"),     TRUE, "0")</f>
        <v>0</v>
      </c>
      <c r="CZ151" s="588">
        <f>IF(CY$9&gt;0, IF(OR(CY151="",CY151="-"), 0, CY151*$AT151), CX151*$AJ151)</f>
        <v>0</v>
      </c>
      <c r="DA151" s="587">
        <f>[1]COMMANDE!BA149</f>
        <v>0</v>
      </c>
      <c r="DB151" s="586" t="str">
        <f>_xlfn.IFS(AND($AI151=$AM151,$AI151&gt;0,$AM151&gt;0,DA151&gt;0), DA151,     AND(NOT($AI151=$AM151),$AI151&gt;0,$AM151&gt;0,DA151&gt;0), ($AM151*DA151)/$AI151,     AND($AI151=0,$AM151&gt;0,$AQ151&gt;0), IF(INDEX(DA$12:DA$263,MATCH($AQ151,$AP$12:$AP$263,0))&gt;0,($AM151*INDEX(DA$12:DA$263,MATCH($AQ151,$AP$12:$AP$263,0)))/INDEX($AI$12:$AI$263,MATCH($AQ151,$AP$12:$AP$263,0)), "-"),     TRUE, "0")</f>
        <v>0</v>
      </c>
      <c r="DC151" s="606">
        <f>IF(DB$9&gt;0, IF(OR(DB151="",DB151="-"), 0, DB151*$AT151), DA151*$AJ151)</f>
        <v>0</v>
      </c>
      <c r="DD151" s="584"/>
      <c r="DE151" s="583"/>
    </row>
    <row r="152" spans="1:128" s="610" customFormat="1" ht="39.950000000000003" hidden="1" customHeight="1">
      <c r="A152" s="604">
        <f>IF(OR($AV152&gt;0, $AX152&gt;0), 1, 0)</f>
        <v>0</v>
      </c>
      <c r="B152" s="604">
        <f>IF(OR($AY152&gt;0, $BA152&gt;0), 1, 0)</f>
        <v>0</v>
      </c>
      <c r="C152" s="604">
        <f>IF(OR($BB152&gt;0, $BD152&gt;0), 1, 0)</f>
        <v>0</v>
      </c>
      <c r="D152" s="604">
        <f>IF(OR($BE152&gt;0, $BG152&gt;0), 1, 0)</f>
        <v>0</v>
      </c>
      <c r="E152" s="604">
        <f>IF(OR($BH152&gt;0, $BJ152&gt;0), 1, 0)</f>
        <v>0</v>
      </c>
      <c r="F152" s="604">
        <f>IF(OR($BK152&gt;0, $BM152&gt;0), 1, 0)</f>
        <v>0</v>
      </c>
      <c r="G152" s="604">
        <f>IF(OR($BN152&gt;0, $BP152&gt;0), 1, 0)</f>
        <v>0</v>
      </c>
      <c r="H152" s="604">
        <f>IF(OR($BQ152&gt;0, $BS152&gt;0), 1, 0)</f>
        <v>0</v>
      </c>
      <c r="I152" s="604">
        <f>IF(OR($BT152&gt;0, $BV152&gt;0), 1, 0)</f>
        <v>0</v>
      </c>
      <c r="J152" s="604">
        <f>IF(OR($BW152&gt;0, $BY152&gt;0), 1, 0)</f>
        <v>0</v>
      </c>
      <c r="K152" s="604">
        <f>IF(OR($BZ152&gt;0, $CB152&gt;0), 1, 0)</f>
        <v>0</v>
      </c>
      <c r="L152" s="604">
        <f>IF(OR($CC152&gt;0, $CE152&gt;0), 1, 0)</f>
        <v>0</v>
      </c>
      <c r="M152" s="604">
        <f>IF(OR($CF152&gt;0, $CH152&gt;0), 1, 0)</f>
        <v>0</v>
      </c>
      <c r="N152" s="604">
        <f>IF(OR($CI152&gt;0, $CK152&gt;0), 1, 0)</f>
        <v>0</v>
      </c>
      <c r="O152" s="604">
        <f>IF(OR($CL152&gt;0, $CN152&gt;0), 1, 0)</f>
        <v>0</v>
      </c>
      <c r="P152" s="604">
        <f>IF(OR($CO152&gt;0, $CQ152&gt;0), 1, 0)</f>
        <v>0</v>
      </c>
      <c r="Q152" s="604">
        <f>IF(OR($CR152&gt;0, $CT152&gt;0), 1, 0)</f>
        <v>0</v>
      </c>
      <c r="R152" s="604">
        <f>IF(OR($CU152&gt;0, $CW152&gt;0), 1, 0)</f>
        <v>0</v>
      </c>
      <c r="S152" s="604">
        <f>IF(OR($CX152&gt;0, $CZ152&gt;0), 1, 0)</f>
        <v>0</v>
      </c>
      <c r="T152" s="604">
        <f>IF(OR($DA152&gt;0, $DC152&gt;0), 1, 0)</f>
        <v>0</v>
      </c>
      <c r="U152" s="603">
        <f>IF(OR($AI152&gt;0,$AM152&gt;0,$AS152&gt;0), 1, 0)</f>
        <v>0</v>
      </c>
      <c r="V152" s="602">
        <f>[1]BDD!A142</f>
        <v>1640</v>
      </c>
      <c r="W152" s="601" t="str">
        <f>[1]BDD!B142</f>
        <v>Maca brute en poudre CRU BIO (env. 1kg)</v>
      </c>
      <c r="X152" s="600" t="str">
        <f>IF([1]BDD!F142=0, "", [1]BDD!F142)</f>
        <v/>
      </c>
      <c r="Y152" s="542">
        <f>ROUND([1]BDD!G142+FDP_CMD_KG, 2)</f>
        <v>17.28</v>
      </c>
      <c r="Z152" s="542">
        <f>ROUND([1]BDD!G142+FDP_FACT_KG, 2)</f>
        <v>17.28</v>
      </c>
      <c r="AA152" s="543" t="str">
        <f>[1]BDD!H142</f>
        <v>Pièce</v>
      </c>
      <c r="AB152" s="544">
        <f>IF(NOT(ISBLANK([1]BDD!I142)), ROUND(SUM(([1]BDD!G142*reduc1),FDP_CMD_KG), 2), "")</f>
        <v>15.64</v>
      </c>
      <c r="AC152" s="544" t="str">
        <f>IF(NOT(ISBLANK([1]BDD!J142)), ROUND(SUM(([1]BDD!G142*reduc2),FDP_CMD_KG), 2), "")</f>
        <v/>
      </c>
      <c r="AD152" s="544" t="str">
        <f>IF(NOT(ISBLANK([1]BDD!K142)), ROUND(SUM(([1]BDD!G142*reduc3),FDP_CMD_KG), 2), "")</f>
        <v/>
      </c>
      <c r="AE152" s="544">
        <f>IF(NOT(ISBLANK([1]BDD!I142)), ROUND(SUM(([1]BDD!G142*reduc1),FDP_FACT_KG), 2), "")</f>
        <v>15.64</v>
      </c>
      <c r="AF152" s="544" t="str">
        <f>IF(NOT(ISBLANK([1]BDD!J142)), ROUND(SUM(([1]BDD!G142*reduc2),FDP_FACT_KG), 2), "")</f>
        <v/>
      </c>
      <c r="AG152" s="544" t="str">
        <f>IF(NOT(ISBLANK([1]BDD!K142)), ROUND(SUM(([1]BDD!G142*reduc3),FDP_FACT_KG), 2), "")</f>
        <v/>
      </c>
      <c r="AH152" s="599" t="str">
        <f>[1]BDD!C142</f>
        <v>Pérou</v>
      </c>
      <c r="AI152" s="598">
        <f>SUM(AV152,AY152,BB152,BE152,BH152,BK152,BN152,BQ152,BT152,BW152,BZ152,CC152,CF152,CI152,CL152,CO152,CR152,CU152,CX152,DA152)</f>
        <v>0</v>
      </c>
      <c r="AJ152" s="545">
        <f>_xlfn.IFS($AD152&lt;&gt;"", $AD152,    $AC152&lt;&gt;"", $AC152,    $AB152&lt;&gt;"", $AB152,    TRUE, $Y152)</f>
        <v>15.64</v>
      </c>
      <c r="AK152" s="592">
        <f>$AI152*$AJ152</f>
        <v>0</v>
      </c>
      <c r="AL152" s="594"/>
      <c r="AM152" s="597"/>
      <c r="AN152" s="545">
        <f>_xlfn.IFS(AND(AM152&gt;=60,$AG152&lt;&gt;""), $AG152,    AND(AM152&gt;=30,$AF152&lt;&gt;""), $AF152,    AND(AM152&gt;=10,$AE152&lt;&gt;""), $AE152,    TRUE, $Z152)</f>
        <v>17.28</v>
      </c>
      <c r="AO152" s="596">
        <f>AM152*AN152</f>
        <v>0</v>
      </c>
      <c r="AP152" s="595"/>
      <c r="AQ152" s="595"/>
      <c r="AR152" s="594"/>
      <c r="AS152" s="593">
        <f>SUM(AW152,AZ152,BC152,BF152,BI152,BL152,BO152,BR152,BU152,BX152,CA152,CD152,CG152,CJ152,CM152,CP152,CS152,CV152,CY152,DB152)</f>
        <v>0</v>
      </c>
      <c r="AT152" s="545">
        <f>_xlfn.IFS(AND(AS152&gt;=60,$AG152&lt;&gt;""), $AG152,    AND(AS152&gt;=30,$AF152&lt;&gt;""), $AF152,    AND(AS152&gt;=10,$AE152&lt;&gt;""), $AE152,    TRUE, $Z152)</f>
        <v>17.28</v>
      </c>
      <c r="AU152" s="592">
        <f>$AS152*$AT152</f>
        <v>0</v>
      </c>
      <c r="AV152" s="591">
        <f>[1]COMMANDE!O150</f>
        <v>0</v>
      </c>
      <c r="AW152" s="586" t="str">
        <f>_xlfn.IFS(AND($AI152=$AM152,$AI152&gt;0,$AM152&gt;0,AV152&gt;0), AV152,     AND(NOT($AI152=$AM152),$AI152&gt;0,$AM152&gt;0,AV152&gt;0), ($AM152*AV152)/$AI152,     AND($AI152=0,$AM152&gt;0,$AQ152&gt;0), IF(INDEX(AV$12:AV$263,MATCH($AQ152,$AP$12:$AP$263,0))&gt;0,($AM152*INDEX(AV$12:AV$263,MATCH($AQ152,$AP$12:$AP$263,0)))/INDEX($AI$12:$AI$263,MATCH($AQ152,$AP$12:$AP$263,0)), "-"),     TRUE, "0")</f>
        <v>0</v>
      </c>
      <c r="AX152" s="588">
        <f>IF(AW$9&gt;0, IF(OR(AW152="",AW152="-"), 0, AW152*$AT152), AV152*$AJ152)</f>
        <v>0</v>
      </c>
      <c r="AY152" s="587">
        <f>[1]COMMANDE!Q150</f>
        <v>0</v>
      </c>
      <c r="AZ152" s="586" t="str">
        <f>_xlfn.IFS(AND($AI152=$AM152,$AI152&gt;0,$AM152&gt;0,AY152&gt;0), AY152,     AND(NOT($AI152=$AM152),$AI152&gt;0,$AM152&gt;0,AY152&gt;0), ($AM152*AY152)/$AI152,     AND($AI152=0,$AM152&gt;0,$AQ152&gt;0), IF(INDEX(AY$12:AY$263,MATCH($AQ152,$AP$12:$AP$263,0))&gt;0,($AM152*INDEX(AY$12:AY$263,MATCH($AQ152,$AP$12:$AP$263,0)))/INDEX($AI$12:$AI$263,MATCH($AQ152,$AP$12:$AP$263,0)), "-"),     TRUE, "0")</f>
        <v>0</v>
      </c>
      <c r="BA152" s="607">
        <f>IF(AZ$9&gt;0, IF(OR(AZ152="",AZ152="-"), 0, AZ152*$AT152), AY152*$AJ152)</f>
        <v>0</v>
      </c>
      <c r="BB152" s="589">
        <f>[1]COMMANDE!S150</f>
        <v>0</v>
      </c>
      <c r="BC152" s="586" t="str">
        <f>_xlfn.IFS(AND($AI152=$AM152,$AI152&gt;0,$AM152&gt;0,BB152&gt;0), BB152,     AND(NOT($AI152=$AM152),$AI152&gt;0,$AM152&gt;0,BB152&gt;0), ($AM152*BB152)/$AI152,     AND($AI152=0,$AM152&gt;0,$AQ152&gt;0), IF(INDEX(BB$12:BB$263,MATCH($AQ152,$AP$12:$AP$263,0))&gt;0,($AM152*INDEX(BB$12:BB$263,MATCH($AQ152,$AP$12:$AP$263,0)))/INDEX($AI$12:$AI$263,MATCH($AQ152,$AP$12:$AP$263,0)), "-"),     TRUE, "0")</f>
        <v>0</v>
      </c>
      <c r="BD152" s="588">
        <f>IF(BC$9&gt;0, IF(OR(BC152="",BC152="-"), 0, BC152*$AT152), BB152*$AJ152)</f>
        <v>0</v>
      </c>
      <c r="BE152" s="587">
        <f>[1]COMMANDE!U150</f>
        <v>0</v>
      </c>
      <c r="BF152" s="586" t="str">
        <f>_xlfn.IFS(AND($AI152=$AM152,$AI152&gt;0,$AM152&gt;0,BE152&gt;0), BE152,     AND(NOT($AI152=$AM152),$AI152&gt;0,$AM152&gt;0,BE152&gt;0), ($AM152*BE152)/$AI152,     AND($AI152=0,$AM152&gt;0,$AQ152&gt;0), IF(INDEX(BE$12:BE$263,MATCH($AQ152,$AP$12:$AP$263,0))&gt;0,($AM152*INDEX(BE$12:BE$263,MATCH($AQ152,$AP$12:$AP$263,0)))/INDEX($AI$12:$AI$263,MATCH($AQ152,$AP$12:$AP$263,0)), "-"),     TRUE, "0")</f>
        <v>0</v>
      </c>
      <c r="BG152" s="607">
        <f>IF(BF$9&gt;0, IF(OR(BF152="",BF152="-"), 0, BF152*$AT152), BE152*$AJ152)</f>
        <v>0</v>
      </c>
      <c r="BH152" s="589">
        <f>[1]COMMANDE!W150</f>
        <v>0</v>
      </c>
      <c r="BI152" s="586" t="str">
        <f>_xlfn.IFS(AND($AI152=$AM152,$AI152&gt;0,$AM152&gt;0,BH152&gt;0), BH152,     AND(NOT($AI152=$AM152),$AI152&gt;0,$AM152&gt;0,BH152&gt;0), ($AM152*BH152)/$AI152,     AND($AI152=0,$AM152&gt;0,$AQ152&gt;0), IF(INDEX(BH$12:BH$263,MATCH($AQ152,$AP$12:$AP$263,0))&gt;0,($AM152*INDEX(BH$12:BH$263,MATCH($AQ152,$AP$12:$AP$263,0)))/INDEX($AI$12:$AI$263,MATCH($AQ152,$AP$12:$AP$263,0)), "-"),     TRUE, "0")</f>
        <v>0</v>
      </c>
      <c r="BJ152" s="588">
        <f>IF(BI$9&gt;0, IF(OR(BI152="",BI152="-"), 0, BI152*$AT152), BH152*$AJ152)</f>
        <v>0</v>
      </c>
      <c r="BK152" s="587">
        <f>[1]COMMANDE!Y150</f>
        <v>0</v>
      </c>
      <c r="BL152" s="586" t="str">
        <f>_xlfn.IFS(AND($AI152=$AM152,$AI152&gt;0,$AM152&gt;0,BK152&gt;0), BK152,     AND(NOT($AI152=$AM152),$AI152&gt;0,$AM152&gt;0,BK152&gt;0), ($AM152*BK152)/$AI152,     AND($AI152=0,$AM152&gt;0,$AQ152&gt;0), IF(INDEX(BK$12:BK$263,MATCH($AQ152,$AP$12:$AP$263,0))&gt;0,($AM152*INDEX(BK$12:BK$263,MATCH($AQ152,$AP$12:$AP$263,0)))/INDEX($AI$12:$AI$263,MATCH($AQ152,$AP$12:$AP$263,0)), "-"),     TRUE, "0")</f>
        <v>0</v>
      </c>
      <c r="BM152" s="607">
        <f>IF(BL$9&gt;0, IF(OR(BL152="",BL152="-"), 0, BL152*$AT152), BK152*$AJ152)</f>
        <v>0</v>
      </c>
      <c r="BN152" s="589">
        <f>[1]COMMANDE!AA150</f>
        <v>0</v>
      </c>
      <c r="BO152" s="586" t="str">
        <f>_xlfn.IFS(AND($AI152=$AM152,$AI152&gt;0,$AM152&gt;0,BN152&gt;0), BN152,     AND(NOT($AI152=$AM152),$AI152&gt;0,$AM152&gt;0,BN152&gt;0), ($AM152*BN152)/$AI152,     AND($AI152=0,$AM152&gt;0,$AQ152&gt;0), IF(INDEX(BN$12:BN$263,MATCH($AQ152,$AP$12:$AP$263,0))&gt;0,($AM152*INDEX(BN$12:BN$263,MATCH($AQ152,$AP$12:$AP$263,0)))/INDEX($AI$12:$AI$263,MATCH($AQ152,$AP$12:$AP$263,0)), "-"),     TRUE, "0")</f>
        <v>0</v>
      </c>
      <c r="BP152" s="588">
        <f>IF(BO$9&gt;0, IF(OR(BO152="",BO152="-"), 0, BO152*$AT152), BN152*$AJ152)</f>
        <v>0</v>
      </c>
      <c r="BQ152" s="587">
        <f>[1]COMMANDE!AC150</f>
        <v>0</v>
      </c>
      <c r="BR152" s="586" t="str">
        <f>_xlfn.IFS(AND($AI152=$AM152,$AI152&gt;0,$AM152&gt;0,BQ152&gt;0), BQ152,     AND(NOT($AI152=$AM152),$AI152&gt;0,$AM152&gt;0,BQ152&gt;0), ($AM152*BQ152)/$AI152,     AND($AI152=0,$AM152&gt;0,$AQ152&gt;0), IF(INDEX(BQ$12:BQ$263,MATCH($AQ152,$AP$12:$AP$263,0))&gt;0,($AM152*INDEX(BQ$12:BQ$263,MATCH($AQ152,$AP$12:$AP$263,0)))/INDEX($AI$12:$AI$263,MATCH($AQ152,$AP$12:$AP$263,0)), "-"),     TRUE, "0")</f>
        <v>0</v>
      </c>
      <c r="BS152" s="607">
        <f>IF(BR$9&gt;0, IF(OR(BR152="",BR152="-"), 0, BR152*$AT152), BQ152*$AJ152)</f>
        <v>0</v>
      </c>
      <c r="BT152" s="589">
        <f>[1]COMMANDE!AE150</f>
        <v>0</v>
      </c>
      <c r="BU152" s="586" t="str">
        <f>_xlfn.IFS(AND($AI152=$AM152,$AI152&gt;0,$AM152&gt;0,BT152&gt;0), BT152,     AND(NOT($AI152=$AM152),$AI152&gt;0,$AM152&gt;0,BT152&gt;0), ($AM152*BT152)/$AI152,     AND($AI152=0,$AM152&gt;0,$AQ152&gt;0), IF(INDEX(BT$12:BT$263,MATCH($AQ152,$AP$12:$AP$263,0))&gt;0,($AM152*INDEX(BT$12:BT$263,MATCH($AQ152,$AP$12:$AP$263,0)))/INDEX($AI$12:$AI$263,MATCH($AQ152,$AP$12:$AP$263,0)), "-"),     TRUE, "0")</f>
        <v>0</v>
      </c>
      <c r="BV152" s="588">
        <f>IF(BU$9&gt;0, IF(OR(BU152="",BU152="-"), 0, BU152*$AT152), BT152*$AJ152)</f>
        <v>0</v>
      </c>
      <c r="BW152" s="587">
        <f>[1]COMMANDE!AG150</f>
        <v>0</v>
      </c>
      <c r="BX152" s="586" t="str">
        <f>_xlfn.IFS(AND($AI152=$AM152,$AI152&gt;0,$AM152&gt;0,BW152&gt;0), BW152,     AND(NOT($AI152=$AM152),$AI152&gt;0,$AM152&gt;0,BW152&gt;0), ($AM152*BW152)/$AI152,     AND($AI152=0,$AM152&gt;0,$AQ152&gt;0), IF(INDEX(BW$12:BW$263,MATCH($AQ152,$AP$12:$AP$263,0))&gt;0,($AM152*INDEX(BW$12:BW$263,MATCH($AQ152,$AP$12:$AP$263,0)))/INDEX($AI$12:$AI$263,MATCH($AQ152,$AP$12:$AP$263,0)), "-"),     TRUE, "0")</f>
        <v>0</v>
      </c>
      <c r="BY152" s="607">
        <f>IF(BX$9&gt;0, IF(OR(BX152="",BX152="-"), 0, BX152*$AT152), BW152*$AJ152)</f>
        <v>0</v>
      </c>
      <c r="BZ152" s="589">
        <f>[1]COMMANDE!AI150</f>
        <v>0</v>
      </c>
      <c r="CA152" s="586" t="str">
        <f>_xlfn.IFS(AND($AI152=$AM152,$AI152&gt;0,$AM152&gt;0,BZ152&gt;0), BZ152,     AND(NOT($AI152=$AM152),$AI152&gt;0,$AM152&gt;0,BZ152&gt;0), ($AM152*BZ152)/$AI152,     AND($AI152=0,$AM152&gt;0,$AQ152&gt;0), IF(INDEX(BZ$12:BZ$263,MATCH($AQ152,$AP$12:$AP$263,0))&gt;0,($AM152*INDEX(BZ$12:BZ$263,MATCH($AQ152,$AP$12:$AP$263,0)))/INDEX($AI$12:$AI$263,MATCH($AQ152,$AP$12:$AP$263,0)), "-"),     TRUE, "0")</f>
        <v>0</v>
      </c>
      <c r="CB152" s="588">
        <f>IF(CA$9&gt;0, IF(OR(CA152="",CA152="-"), 0, CA152*$AT152), BZ152*$AJ152)</f>
        <v>0</v>
      </c>
      <c r="CC152" s="587">
        <f>[1]COMMANDE!AK150</f>
        <v>0</v>
      </c>
      <c r="CD152" s="586" t="str">
        <f>_xlfn.IFS(AND($AI152=$AM152,$AI152&gt;0,$AM152&gt;0,CC152&gt;0), CC152,     AND(NOT($AI152=$AM152),$AI152&gt;0,$AM152&gt;0,CC152&gt;0), ($AM152*CC152)/$AI152,     AND($AI152=0,$AM152&gt;0,$AQ152&gt;0), IF(INDEX(CC$12:CC$263,MATCH($AQ152,$AP$12:$AP$263,0))&gt;0,($AM152*INDEX(CC$12:CC$263,MATCH($AQ152,$AP$12:$AP$263,0)))/INDEX($AI$12:$AI$263,MATCH($AQ152,$AP$12:$AP$263,0)), "-"),     TRUE, "0")</f>
        <v>0</v>
      </c>
      <c r="CE152" s="607">
        <f>IF(CD$9&gt;0, IF(OR(CD152="",CD152="-"), 0, CD152*$AT152), CC152*$AJ152)</f>
        <v>0</v>
      </c>
      <c r="CF152" s="589">
        <f>[1]COMMANDE!AM150</f>
        <v>0</v>
      </c>
      <c r="CG152" s="586" t="str">
        <f>_xlfn.IFS(AND($AI152=$AM152,$AI152&gt;0,$AM152&gt;0,CF152&gt;0), CF152,     AND(NOT($AI152=$AM152),$AI152&gt;0,$AM152&gt;0,CF152&gt;0), ($AM152*CF152)/$AI152,     AND($AI152=0,$AM152&gt;0,$AQ152&gt;0), IF(INDEX(CF$12:CF$263,MATCH($AQ152,$AP$12:$AP$263,0))&gt;0,($AM152*INDEX(CF$12:CF$263,MATCH($AQ152,$AP$12:$AP$263,0)))/INDEX($AI$12:$AI$263,MATCH($AQ152,$AP$12:$AP$263,0)), "-"),     TRUE, "0")</f>
        <v>0</v>
      </c>
      <c r="CH152" s="588">
        <f>IF(CG$9&gt;0, IF(OR(CG152="",CG152="-"), 0, CG152*$AT152), CF152*$AJ152)</f>
        <v>0</v>
      </c>
      <c r="CI152" s="587">
        <f>[1]COMMANDE!AO150</f>
        <v>0</v>
      </c>
      <c r="CJ152" s="586" t="str">
        <f>_xlfn.IFS(AND($AI152=$AM152,$AI152&gt;0,$AM152&gt;0,CI152&gt;0), CI152,     AND(NOT($AI152=$AM152),$AI152&gt;0,$AM152&gt;0,CI152&gt;0), ($AM152*CI152)/$AI152,     AND($AI152=0,$AM152&gt;0,$AQ152&gt;0), IF(INDEX(CI$12:CI$263,MATCH($AQ152,$AP$12:$AP$263,0))&gt;0,($AM152*INDEX(CI$12:CI$263,MATCH($AQ152,$AP$12:$AP$263,0)))/INDEX($AI$12:$AI$263,MATCH($AQ152,$AP$12:$AP$263,0)), "-"),     TRUE, "0")</f>
        <v>0</v>
      </c>
      <c r="CK152" s="607">
        <f>IF(CJ$9&gt;0, IF(OR(CJ152="",CJ152="-"), 0, CJ152*$AT152), CI152*$AJ152)</f>
        <v>0</v>
      </c>
      <c r="CL152" s="589">
        <f>[1]COMMANDE!AQ150</f>
        <v>0</v>
      </c>
      <c r="CM152" s="586" t="str">
        <f>_xlfn.IFS(AND($AI152=$AM152,$AI152&gt;0,$AM152&gt;0,CL152&gt;0), CL152,     AND(NOT($AI152=$AM152),$AI152&gt;0,$AM152&gt;0,CL152&gt;0), ($AM152*CL152)/$AI152,     AND($AI152=0,$AM152&gt;0,$AQ152&gt;0), IF(INDEX(CL$12:CL$263,MATCH($AQ152,$AP$12:$AP$263,0))&gt;0,($AM152*INDEX(CL$12:CL$263,MATCH($AQ152,$AP$12:$AP$263,0)))/INDEX($AI$12:$AI$263,MATCH($AQ152,$AP$12:$AP$263,0)), "-"),     TRUE, "0")</f>
        <v>0</v>
      </c>
      <c r="CN152" s="588">
        <f>IF(CM$9&gt;0, IF(OR(CM152="",CM152="-"), 0, CM152*$AT152), CL152*$AJ152)</f>
        <v>0</v>
      </c>
      <c r="CO152" s="587">
        <f>[1]COMMANDE!AS150</f>
        <v>0</v>
      </c>
      <c r="CP152" s="586" t="str">
        <f>_xlfn.IFS(AND($AI152=$AM152,$AI152&gt;0,$AM152&gt;0,CO152&gt;0), CO152,     AND(NOT($AI152=$AM152),$AI152&gt;0,$AM152&gt;0,CO152&gt;0), ($AM152*CO152)/$AI152,     AND($AI152=0,$AM152&gt;0,$AQ152&gt;0), IF(INDEX(CO$12:CO$263,MATCH($AQ152,$AP$12:$AP$263,0))&gt;0,($AM152*INDEX(CO$12:CO$263,MATCH($AQ152,$AP$12:$AP$263,0)))/INDEX($AI$12:$AI$263,MATCH($AQ152,$AP$12:$AP$263,0)), "-"),     TRUE, "0")</f>
        <v>0</v>
      </c>
      <c r="CQ152" s="607">
        <f>IF(CP$9&gt;0, IF(OR(CP152="",CP152="-"), 0, CP152*$AT152), CO152*$AJ152)</f>
        <v>0</v>
      </c>
      <c r="CR152" s="589">
        <f>[1]COMMANDE!AU150</f>
        <v>0</v>
      </c>
      <c r="CS152" s="586" t="str">
        <f>_xlfn.IFS(AND($AI152=$AM152,$AI152&gt;0,$AM152&gt;0,CR152&gt;0), CR152,     AND(NOT($AI152=$AM152),$AI152&gt;0,$AM152&gt;0,CR152&gt;0), ($AM152*CR152)/$AI152,     AND($AI152=0,$AM152&gt;0,$AQ152&gt;0), IF(INDEX(CR$12:CR$263,MATCH($AQ152,$AP$12:$AP$263,0))&gt;0,($AM152*INDEX(CR$12:CR$263,MATCH($AQ152,$AP$12:$AP$263,0)))/INDEX($AI$12:$AI$263,MATCH($AQ152,$AP$12:$AP$263,0)), "-"),     TRUE, "0")</f>
        <v>0</v>
      </c>
      <c r="CT152" s="588">
        <f>IF(CS$9&gt;0, IF(OR(CS152="",CS152="-"), 0, CS152*$AT152), CR152*$AJ152)</f>
        <v>0</v>
      </c>
      <c r="CU152" s="587">
        <f>[1]COMMANDE!AW150</f>
        <v>0</v>
      </c>
      <c r="CV152" s="586" t="str">
        <f>_xlfn.IFS(AND($AI152=$AM152,$AI152&gt;0,$AM152&gt;0,CU152&gt;0), CU152,     AND(NOT($AI152=$AM152),$AI152&gt;0,$AM152&gt;0,CU152&gt;0), ($AM152*CU152)/$AI152,     AND($AI152=0,$AM152&gt;0,$AQ152&gt;0), IF(INDEX(CU$12:CU$263,MATCH($AQ152,$AP$12:$AP$263,0))&gt;0,($AM152*INDEX(CU$12:CU$263,MATCH($AQ152,$AP$12:$AP$263,0)))/INDEX($AI$12:$AI$263,MATCH($AQ152,$AP$12:$AP$263,0)), "-"),     TRUE, "0")</f>
        <v>0</v>
      </c>
      <c r="CW152" s="607">
        <f>IF(CV$9&gt;0, IF(OR(CV152="",CV152="-"), 0, CV152*$AT152), CU152*$AJ152)</f>
        <v>0</v>
      </c>
      <c r="CX152" s="589">
        <f>[1]COMMANDE!AY150</f>
        <v>0</v>
      </c>
      <c r="CY152" s="586" t="str">
        <f>_xlfn.IFS(AND($AI152=$AM152,$AI152&gt;0,$AM152&gt;0,CX152&gt;0), CX152,     AND(NOT($AI152=$AM152),$AI152&gt;0,$AM152&gt;0,CX152&gt;0), ($AM152*CX152)/$AI152,     AND($AI152=0,$AM152&gt;0,$AQ152&gt;0), IF(INDEX(CX$12:CX$263,MATCH($AQ152,$AP$12:$AP$263,0))&gt;0,($AM152*INDEX(CX$12:CX$263,MATCH($AQ152,$AP$12:$AP$263,0)))/INDEX($AI$12:$AI$263,MATCH($AQ152,$AP$12:$AP$263,0)), "-"),     TRUE, "0")</f>
        <v>0</v>
      </c>
      <c r="CZ152" s="588">
        <f>IF(CY$9&gt;0, IF(OR(CY152="",CY152="-"), 0, CY152*$AT152), CX152*$AJ152)</f>
        <v>0</v>
      </c>
      <c r="DA152" s="587">
        <f>[1]COMMANDE!BA150</f>
        <v>0</v>
      </c>
      <c r="DB152" s="586" t="str">
        <f>_xlfn.IFS(AND($AI152=$AM152,$AI152&gt;0,$AM152&gt;0,DA152&gt;0), DA152,     AND(NOT($AI152=$AM152),$AI152&gt;0,$AM152&gt;0,DA152&gt;0), ($AM152*DA152)/$AI152,     AND($AI152=0,$AM152&gt;0,$AQ152&gt;0), IF(INDEX(DA$12:DA$263,MATCH($AQ152,$AP$12:$AP$263,0))&gt;0,($AM152*INDEX(DA$12:DA$263,MATCH($AQ152,$AP$12:$AP$263,0)))/INDEX($AI$12:$AI$263,MATCH($AQ152,$AP$12:$AP$263,0)), "-"),     TRUE, "0")</f>
        <v>0</v>
      </c>
      <c r="DC152" s="606">
        <f>IF(DB$9&gt;0, IF(OR(DB152="",DB152="-"), 0, DB152*$AT152), DA152*$AJ152)</f>
        <v>0</v>
      </c>
      <c r="DD152" s="584"/>
      <c r="DE152" s="583"/>
    </row>
    <row r="153" spans="1:128" s="610" customFormat="1" ht="39.950000000000003" hidden="1" customHeight="1">
      <c r="A153" s="604">
        <f>IF(OR($AV153&gt;0, $AX153&gt;0), 1, 0)</f>
        <v>0</v>
      </c>
      <c r="B153" s="604">
        <f>IF(OR($AY153&gt;0, $BA153&gt;0), 1, 0)</f>
        <v>0</v>
      </c>
      <c r="C153" s="604">
        <f>IF(OR($BB153&gt;0, $BD153&gt;0), 1, 0)</f>
        <v>0</v>
      </c>
      <c r="D153" s="604">
        <f>IF(OR($BE153&gt;0, $BG153&gt;0), 1, 0)</f>
        <v>0</v>
      </c>
      <c r="E153" s="604">
        <f>IF(OR($BH153&gt;0, $BJ153&gt;0), 1, 0)</f>
        <v>0</v>
      </c>
      <c r="F153" s="604">
        <f>IF(OR($BK153&gt;0, $BM153&gt;0), 1, 0)</f>
        <v>0</v>
      </c>
      <c r="G153" s="604">
        <f>IF(OR($BN153&gt;0, $BP153&gt;0), 1, 0)</f>
        <v>0</v>
      </c>
      <c r="H153" s="604">
        <f>IF(OR($BQ153&gt;0, $BS153&gt;0), 1, 0)</f>
        <v>0</v>
      </c>
      <c r="I153" s="604">
        <f>IF(OR($BT153&gt;0, $BV153&gt;0), 1, 0)</f>
        <v>0</v>
      </c>
      <c r="J153" s="604">
        <f>IF(OR($BW153&gt;0, $BY153&gt;0), 1, 0)</f>
        <v>0</v>
      </c>
      <c r="K153" s="604">
        <f>IF(OR($BZ153&gt;0, $CB153&gt;0), 1, 0)</f>
        <v>0</v>
      </c>
      <c r="L153" s="604">
        <f>IF(OR($CC153&gt;0, $CE153&gt;0), 1, 0)</f>
        <v>0</v>
      </c>
      <c r="M153" s="604">
        <f>IF(OR($CF153&gt;0, $CH153&gt;0), 1, 0)</f>
        <v>0</v>
      </c>
      <c r="N153" s="604">
        <f>IF(OR($CI153&gt;0, $CK153&gt;0), 1, 0)</f>
        <v>0</v>
      </c>
      <c r="O153" s="604">
        <f>IF(OR($CL153&gt;0, $CN153&gt;0), 1, 0)</f>
        <v>0</v>
      </c>
      <c r="P153" s="604">
        <f>IF(OR($CO153&gt;0, $CQ153&gt;0), 1, 0)</f>
        <v>0</v>
      </c>
      <c r="Q153" s="604">
        <f>IF(OR($CR153&gt;0, $CT153&gt;0), 1, 0)</f>
        <v>0</v>
      </c>
      <c r="R153" s="604">
        <f>IF(OR($CU153&gt;0, $CW153&gt;0), 1, 0)</f>
        <v>0</v>
      </c>
      <c r="S153" s="604">
        <f>IF(OR($CX153&gt;0, $CZ153&gt;0), 1, 0)</f>
        <v>0</v>
      </c>
      <c r="T153" s="604">
        <f>IF(OR($DA153&gt;0, $DC153&gt;0), 1, 0)</f>
        <v>0</v>
      </c>
      <c r="U153" s="603">
        <f>IF(OR($AI153&gt;0,$AM153&gt;0,$AS153&gt;0), 1, 0)</f>
        <v>0</v>
      </c>
      <c r="V153" s="602">
        <f>[1]BDD!A143</f>
        <v>1640</v>
      </c>
      <c r="W153" s="601" t="str">
        <f>[1]BDD!B143</f>
        <v>Maca brute en poudre CRU BIO (env. 500g)</v>
      </c>
      <c r="X153" s="600" t="str">
        <f>IF([1]BDD!F143=0, "", [1]BDD!F143)</f>
        <v>❤️</v>
      </c>
      <c r="Y153" s="542">
        <f>ROUND([1]BDD!G143+FDP_CMD_KG, 2)</f>
        <v>9.76</v>
      </c>
      <c r="Z153" s="542">
        <f>ROUND([1]BDD!G143+FDP_FACT_KG, 2)</f>
        <v>9.76</v>
      </c>
      <c r="AA153" s="543" t="str">
        <f>[1]BDD!H143</f>
        <v>Pièce</v>
      </c>
      <c r="AB153" s="544" t="str">
        <f>IF(NOT(ISBLANK([1]BDD!I143)), ROUND(SUM(([1]BDD!G143*reduc1),FDP_CMD_KG), 2), "")</f>
        <v/>
      </c>
      <c r="AC153" s="544" t="str">
        <f>IF(NOT(ISBLANK([1]BDD!J143)), ROUND(SUM(([1]BDD!G143*reduc2),FDP_CMD_KG), 2), "")</f>
        <v/>
      </c>
      <c r="AD153" s="544" t="str">
        <f>IF(NOT(ISBLANK([1]BDD!K143)), ROUND(SUM(([1]BDD!G143*reduc3),FDP_CMD_KG), 2), "")</f>
        <v/>
      </c>
      <c r="AE153" s="544" t="str">
        <f>IF(NOT(ISBLANK([1]BDD!I143)), ROUND(SUM(([1]BDD!G143*reduc1),FDP_FACT_KG), 2), "")</f>
        <v/>
      </c>
      <c r="AF153" s="544" t="str">
        <f>IF(NOT(ISBLANK([1]BDD!J143)), ROUND(SUM(([1]BDD!G143*reduc2),FDP_FACT_KG), 2), "")</f>
        <v/>
      </c>
      <c r="AG153" s="544" t="str">
        <f>IF(NOT(ISBLANK([1]BDD!K143)), ROUND(SUM(([1]BDD!G143*reduc3),FDP_FACT_KG), 2), "")</f>
        <v/>
      </c>
      <c r="AH153" s="599" t="str">
        <f>[1]BDD!C143</f>
        <v>Pérou</v>
      </c>
      <c r="AI153" s="598">
        <f>SUM(AV153,AY153,BB153,BE153,BH153,BK153,BN153,BQ153,BT153,BW153,BZ153,CC153,CF153,CI153,CL153,CO153,CR153,CU153,CX153,DA153)</f>
        <v>0</v>
      </c>
      <c r="AJ153" s="545">
        <f>_xlfn.IFS($AD153&lt;&gt;"", $AD153,    $AC153&lt;&gt;"", $AC153,    $AB153&lt;&gt;"", $AB153,    TRUE, $Y153)</f>
        <v>9.76</v>
      </c>
      <c r="AK153" s="592">
        <f>$AI153*$AJ153</f>
        <v>0</v>
      </c>
      <c r="AL153" s="594"/>
      <c r="AM153" s="597"/>
      <c r="AN153" s="545">
        <f>_xlfn.IFS(AND(AM153&gt;=60,$AG153&lt;&gt;""), $AG153,    AND(AM153&gt;=30,$AF153&lt;&gt;""), $AF153,    AND(AM153&gt;=10,$AE153&lt;&gt;""), $AE153,    TRUE, $Z153)</f>
        <v>9.76</v>
      </c>
      <c r="AO153" s="596">
        <f>AM153*AN153</f>
        <v>0</v>
      </c>
      <c r="AP153" s="595"/>
      <c r="AQ153" s="595"/>
      <c r="AR153" s="594"/>
      <c r="AS153" s="593">
        <f>SUM(AW153,AZ153,BC153,BF153,BI153,BL153,BO153,BR153,BU153,BX153,CA153,CD153,CG153,CJ153,CM153,CP153,CS153,CV153,CY153,DB153)</f>
        <v>0</v>
      </c>
      <c r="AT153" s="545">
        <f>_xlfn.IFS(AND(AS153&gt;=60,$AG153&lt;&gt;""), $AG153,    AND(AS153&gt;=30,$AF153&lt;&gt;""), $AF153,    AND(AS153&gt;=10,$AE153&lt;&gt;""), $AE153,    TRUE, $Z153)</f>
        <v>9.76</v>
      </c>
      <c r="AU153" s="592">
        <f>$AS153*$AT153</f>
        <v>0</v>
      </c>
      <c r="AV153" s="591">
        <f>[1]COMMANDE!O151</f>
        <v>0</v>
      </c>
      <c r="AW153" s="586" t="str">
        <f>_xlfn.IFS(AND($AI153=$AM153,$AI153&gt;0,$AM153&gt;0,AV153&gt;0), AV153,     AND(NOT($AI153=$AM153),$AI153&gt;0,$AM153&gt;0,AV153&gt;0), ($AM153*AV153)/$AI153,     AND($AI153=0,$AM153&gt;0,$AQ153&gt;0), IF(INDEX(AV$12:AV$263,MATCH($AQ153,$AP$12:$AP$263,0))&gt;0,($AM153*INDEX(AV$12:AV$263,MATCH($AQ153,$AP$12:$AP$263,0)))/INDEX($AI$12:$AI$263,MATCH($AQ153,$AP$12:$AP$263,0)), "-"),     TRUE, "0")</f>
        <v>0</v>
      </c>
      <c r="AX153" s="588">
        <f>IF(AW$9&gt;0, IF(OR(AW153="",AW153="-"), 0, AW153*$AT153), AV153*$AJ153)</f>
        <v>0</v>
      </c>
      <c r="AY153" s="587">
        <f>[1]COMMANDE!Q151</f>
        <v>0</v>
      </c>
      <c r="AZ153" s="586" t="str">
        <f>_xlfn.IFS(AND($AI153=$AM153,$AI153&gt;0,$AM153&gt;0,AY153&gt;0), AY153,     AND(NOT($AI153=$AM153),$AI153&gt;0,$AM153&gt;0,AY153&gt;0), ($AM153*AY153)/$AI153,     AND($AI153=0,$AM153&gt;0,$AQ153&gt;0), IF(INDEX(AY$12:AY$263,MATCH($AQ153,$AP$12:$AP$263,0))&gt;0,($AM153*INDEX(AY$12:AY$263,MATCH($AQ153,$AP$12:$AP$263,0)))/INDEX($AI$12:$AI$263,MATCH($AQ153,$AP$12:$AP$263,0)), "-"),     TRUE, "0")</f>
        <v>0</v>
      </c>
      <c r="BA153" s="607">
        <f>IF(AZ$9&gt;0, IF(OR(AZ153="",AZ153="-"), 0, AZ153*$AT153), AY153*$AJ153)</f>
        <v>0</v>
      </c>
      <c r="BB153" s="589">
        <f>[1]COMMANDE!S151</f>
        <v>0</v>
      </c>
      <c r="BC153" s="586" t="str">
        <f>_xlfn.IFS(AND($AI153=$AM153,$AI153&gt;0,$AM153&gt;0,BB153&gt;0), BB153,     AND(NOT($AI153=$AM153),$AI153&gt;0,$AM153&gt;0,BB153&gt;0), ($AM153*BB153)/$AI153,     AND($AI153=0,$AM153&gt;0,$AQ153&gt;0), IF(INDEX(BB$12:BB$263,MATCH($AQ153,$AP$12:$AP$263,0))&gt;0,($AM153*INDEX(BB$12:BB$263,MATCH($AQ153,$AP$12:$AP$263,0)))/INDEX($AI$12:$AI$263,MATCH($AQ153,$AP$12:$AP$263,0)), "-"),     TRUE, "0")</f>
        <v>0</v>
      </c>
      <c r="BD153" s="588">
        <f>IF(BC$9&gt;0, IF(OR(BC153="",BC153="-"), 0, BC153*$AT153), BB153*$AJ153)</f>
        <v>0</v>
      </c>
      <c r="BE153" s="587">
        <f>[1]COMMANDE!U151</f>
        <v>0</v>
      </c>
      <c r="BF153" s="586" t="str">
        <f>_xlfn.IFS(AND($AI153=$AM153,$AI153&gt;0,$AM153&gt;0,BE153&gt;0), BE153,     AND(NOT($AI153=$AM153),$AI153&gt;0,$AM153&gt;0,BE153&gt;0), ($AM153*BE153)/$AI153,     AND($AI153=0,$AM153&gt;0,$AQ153&gt;0), IF(INDEX(BE$12:BE$263,MATCH($AQ153,$AP$12:$AP$263,0))&gt;0,($AM153*INDEX(BE$12:BE$263,MATCH($AQ153,$AP$12:$AP$263,0)))/INDEX($AI$12:$AI$263,MATCH($AQ153,$AP$12:$AP$263,0)), "-"),     TRUE, "0")</f>
        <v>0</v>
      </c>
      <c r="BG153" s="607">
        <f>IF(BF$9&gt;0, IF(OR(BF153="",BF153="-"), 0, BF153*$AT153), BE153*$AJ153)</f>
        <v>0</v>
      </c>
      <c r="BH153" s="589">
        <f>[1]COMMANDE!W151</f>
        <v>0</v>
      </c>
      <c r="BI153" s="586" t="str">
        <f>_xlfn.IFS(AND($AI153=$AM153,$AI153&gt;0,$AM153&gt;0,BH153&gt;0), BH153,     AND(NOT($AI153=$AM153),$AI153&gt;0,$AM153&gt;0,BH153&gt;0), ($AM153*BH153)/$AI153,     AND($AI153=0,$AM153&gt;0,$AQ153&gt;0), IF(INDEX(BH$12:BH$263,MATCH($AQ153,$AP$12:$AP$263,0))&gt;0,($AM153*INDEX(BH$12:BH$263,MATCH($AQ153,$AP$12:$AP$263,0)))/INDEX($AI$12:$AI$263,MATCH($AQ153,$AP$12:$AP$263,0)), "-"),     TRUE, "0")</f>
        <v>0</v>
      </c>
      <c r="BJ153" s="588">
        <f>IF(BI$9&gt;0, IF(OR(BI153="",BI153="-"), 0, BI153*$AT153), BH153*$AJ153)</f>
        <v>0</v>
      </c>
      <c r="BK153" s="587">
        <f>[1]COMMANDE!Y151</f>
        <v>0</v>
      </c>
      <c r="BL153" s="586" t="str">
        <f>_xlfn.IFS(AND($AI153=$AM153,$AI153&gt;0,$AM153&gt;0,BK153&gt;0), BK153,     AND(NOT($AI153=$AM153),$AI153&gt;0,$AM153&gt;0,BK153&gt;0), ($AM153*BK153)/$AI153,     AND($AI153=0,$AM153&gt;0,$AQ153&gt;0), IF(INDEX(BK$12:BK$263,MATCH($AQ153,$AP$12:$AP$263,0))&gt;0,($AM153*INDEX(BK$12:BK$263,MATCH($AQ153,$AP$12:$AP$263,0)))/INDEX($AI$12:$AI$263,MATCH($AQ153,$AP$12:$AP$263,0)), "-"),     TRUE, "0")</f>
        <v>0</v>
      </c>
      <c r="BM153" s="607">
        <f>IF(BL$9&gt;0, IF(OR(BL153="",BL153="-"), 0, BL153*$AT153), BK153*$AJ153)</f>
        <v>0</v>
      </c>
      <c r="BN153" s="589">
        <f>[1]COMMANDE!AA151</f>
        <v>0</v>
      </c>
      <c r="BO153" s="586" t="str">
        <f>_xlfn.IFS(AND($AI153=$AM153,$AI153&gt;0,$AM153&gt;0,BN153&gt;0), BN153,     AND(NOT($AI153=$AM153),$AI153&gt;0,$AM153&gt;0,BN153&gt;0), ($AM153*BN153)/$AI153,     AND($AI153=0,$AM153&gt;0,$AQ153&gt;0), IF(INDEX(BN$12:BN$263,MATCH($AQ153,$AP$12:$AP$263,0))&gt;0,($AM153*INDEX(BN$12:BN$263,MATCH($AQ153,$AP$12:$AP$263,0)))/INDEX($AI$12:$AI$263,MATCH($AQ153,$AP$12:$AP$263,0)), "-"),     TRUE, "0")</f>
        <v>0</v>
      </c>
      <c r="BP153" s="588">
        <f>IF(BO$9&gt;0, IF(OR(BO153="",BO153="-"), 0, BO153*$AT153), BN153*$AJ153)</f>
        <v>0</v>
      </c>
      <c r="BQ153" s="587">
        <f>[1]COMMANDE!AC151</f>
        <v>0</v>
      </c>
      <c r="BR153" s="586" t="str">
        <f>_xlfn.IFS(AND($AI153=$AM153,$AI153&gt;0,$AM153&gt;0,BQ153&gt;0), BQ153,     AND(NOT($AI153=$AM153),$AI153&gt;0,$AM153&gt;0,BQ153&gt;0), ($AM153*BQ153)/$AI153,     AND($AI153=0,$AM153&gt;0,$AQ153&gt;0), IF(INDEX(BQ$12:BQ$263,MATCH($AQ153,$AP$12:$AP$263,0))&gt;0,($AM153*INDEX(BQ$12:BQ$263,MATCH($AQ153,$AP$12:$AP$263,0)))/INDEX($AI$12:$AI$263,MATCH($AQ153,$AP$12:$AP$263,0)), "-"),     TRUE, "0")</f>
        <v>0</v>
      </c>
      <c r="BS153" s="607">
        <f>IF(BR$9&gt;0, IF(OR(BR153="",BR153="-"), 0, BR153*$AT153), BQ153*$AJ153)</f>
        <v>0</v>
      </c>
      <c r="BT153" s="589">
        <f>[1]COMMANDE!AE151</f>
        <v>0</v>
      </c>
      <c r="BU153" s="586" t="str">
        <f>_xlfn.IFS(AND($AI153=$AM153,$AI153&gt;0,$AM153&gt;0,BT153&gt;0), BT153,     AND(NOT($AI153=$AM153),$AI153&gt;0,$AM153&gt;0,BT153&gt;0), ($AM153*BT153)/$AI153,     AND($AI153=0,$AM153&gt;0,$AQ153&gt;0), IF(INDEX(BT$12:BT$263,MATCH($AQ153,$AP$12:$AP$263,0))&gt;0,($AM153*INDEX(BT$12:BT$263,MATCH($AQ153,$AP$12:$AP$263,0)))/INDEX($AI$12:$AI$263,MATCH($AQ153,$AP$12:$AP$263,0)), "-"),     TRUE, "0")</f>
        <v>0</v>
      </c>
      <c r="BV153" s="588">
        <f>IF(BU$9&gt;0, IF(OR(BU153="",BU153="-"), 0, BU153*$AT153), BT153*$AJ153)</f>
        <v>0</v>
      </c>
      <c r="BW153" s="587">
        <f>[1]COMMANDE!AG151</f>
        <v>0</v>
      </c>
      <c r="BX153" s="586" t="str">
        <f>_xlfn.IFS(AND($AI153=$AM153,$AI153&gt;0,$AM153&gt;0,BW153&gt;0), BW153,     AND(NOT($AI153=$AM153),$AI153&gt;0,$AM153&gt;0,BW153&gt;0), ($AM153*BW153)/$AI153,     AND($AI153=0,$AM153&gt;0,$AQ153&gt;0), IF(INDEX(BW$12:BW$263,MATCH($AQ153,$AP$12:$AP$263,0))&gt;0,($AM153*INDEX(BW$12:BW$263,MATCH($AQ153,$AP$12:$AP$263,0)))/INDEX($AI$12:$AI$263,MATCH($AQ153,$AP$12:$AP$263,0)), "-"),     TRUE, "0")</f>
        <v>0</v>
      </c>
      <c r="BY153" s="607">
        <f>IF(BX$9&gt;0, IF(OR(BX153="",BX153="-"), 0, BX153*$AT153), BW153*$AJ153)</f>
        <v>0</v>
      </c>
      <c r="BZ153" s="589">
        <f>[1]COMMANDE!AI151</f>
        <v>0</v>
      </c>
      <c r="CA153" s="586" t="str">
        <f>_xlfn.IFS(AND($AI153=$AM153,$AI153&gt;0,$AM153&gt;0,BZ153&gt;0), BZ153,     AND(NOT($AI153=$AM153),$AI153&gt;0,$AM153&gt;0,BZ153&gt;0), ($AM153*BZ153)/$AI153,     AND($AI153=0,$AM153&gt;0,$AQ153&gt;0), IF(INDEX(BZ$12:BZ$263,MATCH($AQ153,$AP$12:$AP$263,0))&gt;0,($AM153*INDEX(BZ$12:BZ$263,MATCH($AQ153,$AP$12:$AP$263,0)))/INDEX($AI$12:$AI$263,MATCH($AQ153,$AP$12:$AP$263,0)), "-"),     TRUE, "0")</f>
        <v>0</v>
      </c>
      <c r="CB153" s="588">
        <f>IF(CA$9&gt;0, IF(OR(CA153="",CA153="-"), 0, CA153*$AT153), BZ153*$AJ153)</f>
        <v>0</v>
      </c>
      <c r="CC153" s="587">
        <f>[1]COMMANDE!AK151</f>
        <v>0</v>
      </c>
      <c r="CD153" s="586" t="str">
        <f>_xlfn.IFS(AND($AI153=$AM153,$AI153&gt;0,$AM153&gt;0,CC153&gt;0), CC153,     AND(NOT($AI153=$AM153),$AI153&gt;0,$AM153&gt;0,CC153&gt;0), ($AM153*CC153)/$AI153,     AND($AI153=0,$AM153&gt;0,$AQ153&gt;0), IF(INDEX(CC$12:CC$263,MATCH($AQ153,$AP$12:$AP$263,0))&gt;0,($AM153*INDEX(CC$12:CC$263,MATCH($AQ153,$AP$12:$AP$263,0)))/INDEX($AI$12:$AI$263,MATCH($AQ153,$AP$12:$AP$263,0)), "-"),     TRUE, "0")</f>
        <v>0</v>
      </c>
      <c r="CE153" s="607">
        <f>IF(CD$9&gt;0, IF(OR(CD153="",CD153="-"), 0, CD153*$AT153), CC153*$AJ153)</f>
        <v>0</v>
      </c>
      <c r="CF153" s="589">
        <f>[1]COMMANDE!AM151</f>
        <v>0</v>
      </c>
      <c r="CG153" s="586" t="str">
        <f>_xlfn.IFS(AND($AI153=$AM153,$AI153&gt;0,$AM153&gt;0,CF153&gt;0), CF153,     AND(NOT($AI153=$AM153),$AI153&gt;0,$AM153&gt;0,CF153&gt;0), ($AM153*CF153)/$AI153,     AND($AI153=0,$AM153&gt;0,$AQ153&gt;0), IF(INDEX(CF$12:CF$263,MATCH($AQ153,$AP$12:$AP$263,0))&gt;0,($AM153*INDEX(CF$12:CF$263,MATCH($AQ153,$AP$12:$AP$263,0)))/INDEX($AI$12:$AI$263,MATCH($AQ153,$AP$12:$AP$263,0)), "-"),     TRUE, "0")</f>
        <v>0</v>
      </c>
      <c r="CH153" s="588">
        <f>IF(CG$9&gt;0, IF(OR(CG153="",CG153="-"), 0, CG153*$AT153), CF153*$AJ153)</f>
        <v>0</v>
      </c>
      <c r="CI153" s="587">
        <f>[1]COMMANDE!AO151</f>
        <v>0</v>
      </c>
      <c r="CJ153" s="586" t="str">
        <f>_xlfn.IFS(AND($AI153=$AM153,$AI153&gt;0,$AM153&gt;0,CI153&gt;0), CI153,     AND(NOT($AI153=$AM153),$AI153&gt;0,$AM153&gt;0,CI153&gt;0), ($AM153*CI153)/$AI153,     AND($AI153=0,$AM153&gt;0,$AQ153&gt;0), IF(INDEX(CI$12:CI$263,MATCH($AQ153,$AP$12:$AP$263,0))&gt;0,($AM153*INDEX(CI$12:CI$263,MATCH($AQ153,$AP$12:$AP$263,0)))/INDEX($AI$12:$AI$263,MATCH($AQ153,$AP$12:$AP$263,0)), "-"),     TRUE, "0")</f>
        <v>0</v>
      </c>
      <c r="CK153" s="607">
        <f>IF(CJ$9&gt;0, IF(OR(CJ153="",CJ153="-"), 0, CJ153*$AT153), CI153*$AJ153)</f>
        <v>0</v>
      </c>
      <c r="CL153" s="589">
        <f>[1]COMMANDE!AQ151</f>
        <v>0</v>
      </c>
      <c r="CM153" s="586" t="str">
        <f>_xlfn.IFS(AND($AI153=$AM153,$AI153&gt;0,$AM153&gt;0,CL153&gt;0), CL153,     AND(NOT($AI153=$AM153),$AI153&gt;0,$AM153&gt;0,CL153&gt;0), ($AM153*CL153)/$AI153,     AND($AI153=0,$AM153&gt;0,$AQ153&gt;0), IF(INDEX(CL$12:CL$263,MATCH($AQ153,$AP$12:$AP$263,0))&gt;0,($AM153*INDEX(CL$12:CL$263,MATCH($AQ153,$AP$12:$AP$263,0)))/INDEX($AI$12:$AI$263,MATCH($AQ153,$AP$12:$AP$263,0)), "-"),     TRUE, "0")</f>
        <v>0</v>
      </c>
      <c r="CN153" s="588">
        <f>IF(CM$9&gt;0, IF(OR(CM153="",CM153="-"), 0, CM153*$AT153), CL153*$AJ153)</f>
        <v>0</v>
      </c>
      <c r="CO153" s="587">
        <f>[1]COMMANDE!AS151</f>
        <v>0</v>
      </c>
      <c r="CP153" s="586" t="str">
        <f>_xlfn.IFS(AND($AI153=$AM153,$AI153&gt;0,$AM153&gt;0,CO153&gt;0), CO153,     AND(NOT($AI153=$AM153),$AI153&gt;0,$AM153&gt;0,CO153&gt;0), ($AM153*CO153)/$AI153,     AND($AI153=0,$AM153&gt;0,$AQ153&gt;0), IF(INDEX(CO$12:CO$263,MATCH($AQ153,$AP$12:$AP$263,0))&gt;0,($AM153*INDEX(CO$12:CO$263,MATCH($AQ153,$AP$12:$AP$263,0)))/INDEX($AI$12:$AI$263,MATCH($AQ153,$AP$12:$AP$263,0)), "-"),     TRUE, "0")</f>
        <v>0</v>
      </c>
      <c r="CQ153" s="607">
        <f>IF(CP$9&gt;0, IF(OR(CP153="",CP153="-"), 0, CP153*$AT153), CO153*$AJ153)</f>
        <v>0</v>
      </c>
      <c r="CR153" s="589">
        <f>[1]COMMANDE!AU151</f>
        <v>0</v>
      </c>
      <c r="CS153" s="586" t="str">
        <f>_xlfn.IFS(AND($AI153=$AM153,$AI153&gt;0,$AM153&gt;0,CR153&gt;0), CR153,     AND(NOT($AI153=$AM153),$AI153&gt;0,$AM153&gt;0,CR153&gt;0), ($AM153*CR153)/$AI153,     AND($AI153=0,$AM153&gt;0,$AQ153&gt;0), IF(INDEX(CR$12:CR$263,MATCH($AQ153,$AP$12:$AP$263,0))&gt;0,($AM153*INDEX(CR$12:CR$263,MATCH($AQ153,$AP$12:$AP$263,0)))/INDEX($AI$12:$AI$263,MATCH($AQ153,$AP$12:$AP$263,0)), "-"),     TRUE, "0")</f>
        <v>0</v>
      </c>
      <c r="CT153" s="588">
        <f>IF(CS$9&gt;0, IF(OR(CS153="",CS153="-"), 0, CS153*$AT153), CR153*$AJ153)</f>
        <v>0</v>
      </c>
      <c r="CU153" s="587">
        <f>[1]COMMANDE!AW151</f>
        <v>0</v>
      </c>
      <c r="CV153" s="586" t="str">
        <f>_xlfn.IFS(AND($AI153=$AM153,$AI153&gt;0,$AM153&gt;0,CU153&gt;0), CU153,     AND(NOT($AI153=$AM153),$AI153&gt;0,$AM153&gt;0,CU153&gt;0), ($AM153*CU153)/$AI153,     AND($AI153=0,$AM153&gt;0,$AQ153&gt;0), IF(INDEX(CU$12:CU$263,MATCH($AQ153,$AP$12:$AP$263,0))&gt;0,($AM153*INDEX(CU$12:CU$263,MATCH($AQ153,$AP$12:$AP$263,0)))/INDEX($AI$12:$AI$263,MATCH($AQ153,$AP$12:$AP$263,0)), "-"),     TRUE, "0")</f>
        <v>0</v>
      </c>
      <c r="CW153" s="607">
        <f>IF(CV$9&gt;0, IF(OR(CV153="",CV153="-"), 0, CV153*$AT153), CU153*$AJ153)</f>
        <v>0</v>
      </c>
      <c r="CX153" s="589">
        <f>[1]COMMANDE!AY151</f>
        <v>0</v>
      </c>
      <c r="CY153" s="586" t="str">
        <f>_xlfn.IFS(AND($AI153=$AM153,$AI153&gt;0,$AM153&gt;0,CX153&gt;0), CX153,     AND(NOT($AI153=$AM153),$AI153&gt;0,$AM153&gt;0,CX153&gt;0), ($AM153*CX153)/$AI153,     AND($AI153=0,$AM153&gt;0,$AQ153&gt;0), IF(INDEX(CX$12:CX$263,MATCH($AQ153,$AP$12:$AP$263,0))&gt;0,($AM153*INDEX(CX$12:CX$263,MATCH($AQ153,$AP$12:$AP$263,0)))/INDEX($AI$12:$AI$263,MATCH($AQ153,$AP$12:$AP$263,0)), "-"),     TRUE, "0")</f>
        <v>0</v>
      </c>
      <c r="CZ153" s="588">
        <f>IF(CY$9&gt;0, IF(OR(CY153="",CY153="-"), 0, CY153*$AT153), CX153*$AJ153)</f>
        <v>0</v>
      </c>
      <c r="DA153" s="587">
        <f>[1]COMMANDE!BA151</f>
        <v>0</v>
      </c>
      <c r="DB153" s="586" t="str">
        <f>_xlfn.IFS(AND($AI153=$AM153,$AI153&gt;0,$AM153&gt;0,DA153&gt;0), DA153,     AND(NOT($AI153=$AM153),$AI153&gt;0,$AM153&gt;0,DA153&gt;0), ($AM153*DA153)/$AI153,     AND($AI153=0,$AM153&gt;0,$AQ153&gt;0), IF(INDEX(DA$12:DA$263,MATCH($AQ153,$AP$12:$AP$263,0))&gt;0,($AM153*INDEX(DA$12:DA$263,MATCH($AQ153,$AP$12:$AP$263,0)))/INDEX($AI$12:$AI$263,MATCH($AQ153,$AP$12:$AP$263,0)), "-"),     TRUE, "0")</f>
        <v>0</v>
      </c>
      <c r="DC153" s="606">
        <f>IF(DB$9&gt;0, IF(OR(DB153="",DB153="-"), 0, DB153*$AT153), DA153*$AJ153)</f>
        <v>0</v>
      </c>
      <c r="DD153" s="584"/>
      <c r="DE153" s="583"/>
    </row>
    <row r="154" spans="1:128" ht="39.950000000000003" hidden="1" customHeight="1">
      <c r="A154" s="604">
        <f>IF(OR($AV154&gt;0, $AX154&gt;0), 1, 0)</f>
        <v>0</v>
      </c>
      <c r="B154" s="604">
        <f>IF(OR($AY154&gt;0, $BA154&gt;0), 1, 0)</f>
        <v>0</v>
      </c>
      <c r="C154" s="604">
        <f>IF(OR($BB154&gt;0, $BD154&gt;0), 1, 0)</f>
        <v>0</v>
      </c>
      <c r="D154" s="604">
        <f>IF(OR($BE154&gt;0, $BG154&gt;0), 1, 0)</f>
        <v>0</v>
      </c>
      <c r="E154" s="604">
        <f>IF(OR($BH154&gt;0, $BJ154&gt;0), 1, 0)</f>
        <v>0</v>
      </c>
      <c r="F154" s="604">
        <f>IF(OR($BK154&gt;0, $BM154&gt;0), 1, 0)</f>
        <v>0</v>
      </c>
      <c r="G154" s="604">
        <f>IF(OR($BN154&gt;0, $BP154&gt;0), 1, 0)</f>
        <v>0</v>
      </c>
      <c r="H154" s="604">
        <f>IF(OR($BQ154&gt;0, $BS154&gt;0), 1, 0)</f>
        <v>0</v>
      </c>
      <c r="I154" s="604">
        <f>IF(OR($BT154&gt;0, $BV154&gt;0), 1, 0)</f>
        <v>0</v>
      </c>
      <c r="J154" s="604">
        <f>IF(OR($BW154&gt;0, $BY154&gt;0), 1, 0)</f>
        <v>0</v>
      </c>
      <c r="K154" s="604">
        <f>IF(OR($BZ154&gt;0, $CB154&gt;0), 1, 0)</f>
        <v>0</v>
      </c>
      <c r="L154" s="604">
        <f>IF(OR($CC154&gt;0, $CE154&gt;0), 1, 0)</f>
        <v>0</v>
      </c>
      <c r="M154" s="604">
        <f>IF(OR($CF154&gt;0, $CH154&gt;0), 1, 0)</f>
        <v>0</v>
      </c>
      <c r="N154" s="604">
        <f>IF(OR($CI154&gt;0, $CK154&gt;0), 1, 0)</f>
        <v>0</v>
      </c>
      <c r="O154" s="604">
        <f>IF(OR($CL154&gt;0, $CN154&gt;0), 1, 0)</f>
        <v>0</v>
      </c>
      <c r="P154" s="604">
        <f>IF(OR($CO154&gt;0, $CQ154&gt;0), 1, 0)</f>
        <v>0</v>
      </c>
      <c r="Q154" s="604">
        <f>IF(OR($CR154&gt;0, $CT154&gt;0), 1, 0)</f>
        <v>0</v>
      </c>
      <c r="R154" s="604">
        <f>IF(OR($CU154&gt;0, $CW154&gt;0), 1, 0)</f>
        <v>0</v>
      </c>
      <c r="S154" s="604">
        <f>IF(OR($CX154&gt;0, $CZ154&gt;0), 1, 0)</f>
        <v>0</v>
      </c>
      <c r="T154" s="604">
        <f>IF(OR($DA154&gt;0, $DC154&gt;0), 1, 0)</f>
        <v>0</v>
      </c>
      <c r="U154" s="603">
        <f>IF(OR($AI154&gt;0,$AM154&gt;0,$AS154&gt;0), 1, 0)</f>
        <v>0</v>
      </c>
      <c r="V154" s="602">
        <f>[1]BDD!A144</f>
        <v>1639</v>
      </c>
      <c r="W154" s="601" t="str">
        <f>[1]BDD!B144</f>
        <v>Maca noire BIO (env. 1kg)</v>
      </c>
      <c r="X154" s="600" t="str">
        <f>IF([1]BDD!F144=0, "", [1]BDD!F144)</f>
        <v/>
      </c>
      <c r="Y154" s="542">
        <f>ROUND([1]BDD!G144+FDP_CMD_KG, 2)</f>
        <v>28.24</v>
      </c>
      <c r="Z154" s="542">
        <f>ROUND([1]BDD!G144+FDP_FACT_KG, 2)</f>
        <v>28.24</v>
      </c>
      <c r="AA154" s="543" t="str">
        <f>[1]BDD!H144</f>
        <v>Pièce</v>
      </c>
      <c r="AB154" s="544" t="str">
        <f>IF(NOT(ISBLANK([1]BDD!I144)), ROUND(SUM(([1]BDD!G144*reduc1),FDP_CMD_KG), 2), "")</f>
        <v/>
      </c>
      <c r="AC154" s="544" t="str">
        <f>IF(NOT(ISBLANK([1]BDD!J144)), ROUND(SUM(([1]BDD!G144*reduc2),FDP_CMD_KG), 2), "")</f>
        <v/>
      </c>
      <c r="AD154" s="544" t="str">
        <f>IF(NOT(ISBLANK([1]BDD!K144)), ROUND(SUM(([1]BDD!G144*reduc3),FDP_CMD_KG), 2), "")</f>
        <v/>
      </c>
      <c r="AE154" s="544" t="str">
        <f>IF(NOT(ISBLANK([1]BDD!I144)), ROUND(SUM(([1]BDD!G144*reduc1),FDP_FACT_KG), 2), "")</f>
        <v/>
      </c>
      <c r="AF154" s="544" t="str">
        <f>IF(NOT(ISBLANK([1]BDD!J144)), ROUND(SUM(([1]BDD!G144*reduc2),FDP_FACT_KG), 2), "")</f>
        <v/>
      </c>
      <c r="AG154" s="544" t="str">
        <f>IF(NOT(ISBLANK([1]BDD!K144)), ROUND(SUM(([1]BDD!G144*reduc3),FDP_FACT_KG), 2), "")</f>
        <v/>
      </c>
      <c r="AH154" s="599" t="str">
        <f>[1]BDD!C144</f>
        <v>Pérou</v>
      </c>
      <c r="AI154" s="598">
        <f>SUM(AV154,AY154,BB154,BE154,BH154,BK154,BN154,BQ154,BT154,BW154,BZ154,CC154,CF154,CI154,CL154,CO154,CR154,CU154,CX154,DA154)</f>
        <v>0</v>
      </c>
      <c r="AJ154" s="545">
        <f>_xlfn.IFS($AD154&lt;&gt;"", $AD154,    $AC154&lt;&gt;"", $AC154,    $AB154&lt;&gt;"", $AB154,    TRUE, $Y154)</f>
        <v>28.24</v>
      </c>
      <c r="AK154" s="592">
        <f>$AI154*$AJ154</f>
        <v>0</v>
      </c>
      <c r="AL154" s="594"/>
      <c r="AM154" s="597"/>
      <c r="AN154" s="545">
        <f>_xlfn.IFS(AND(AM154&gt;=60,$AG154&lt;&gt;""), $AG154,    AND(AM154&gt;=30,$AF154&lt;&gt;""), $AF154,    AND(AM154&gt;=10,$AE154&lt;&gt;""), $AE154,    TRUE, $Z154)</f>
        <v>28.24</v>
      </c>
      <c r="AO154" s="596">
        <f>AM154*AN154</f>
        <v>0</v>
      </c>
      <c r="AP154" s="595"/>
      <c r="AQ154" s="595"/>
      <c r="AR154" s="594"/>
      <c r="AS154" s="593">
        <f>SUM(AW154,AZ154,BC154,BF154,BI154,BL154,BO154,BR154,BU154,BX154,CA154,CD154,CG154,CJ154,CM154,CP154,CS154,CV154,CY154,DB154)</f>
        <v>0</v>
      </c>
      <c r="AT154" s="545">
        <f>_xlfn.IFS(AND(AS154&gt;=60,$AG154&lt;&gt;""), $AG154,    AND(AS154&gt;=30,$AF154&lt;&gt;""), $AF154,    AND(AS154&gt;=10,$AE154&lt;&gt;""), $AE154,    TRUE, $Z154)</f>
        <v>28.24</v>
      </c>
      <c r="AU154" s="592">
        <f>$AS154*$AT154</f>
        <v>0</v>
      </c>
      <c r="AV154" s="591">
        <f>[1]COMMANDE!O152</f>
        <v>0</v>
      </c>
      <c r="AW154" s="586" t="str">
        <f>_xlfn.IFS(AND($AI154=$AM154,$AI154&gt;0,$AM154&gt;0,AV154&gt;0), AV154,     AND(NOT($AI154=$AM154),$AI154&gt;0,$AM154&gt;0,AV154&gt;0), ($AM154*AV154)/$AI154,     AND($AI154=0,$AM154&gt;0,$AQ154&gt;0), IF(INDEX(AV$12:AV$263,MATCH($AQ154,$AP$12:$AP$263,0))&gt;0,($AM154*INDEX(AV$12:AV$263,MATCH($AQ154,$AP$12:$AP$263,0)))/INDEX($AI$12:$AI$263,MATCH($AQ154,$AP$12:$AP$263,0)), "-"),     TRUE, "0")</f>
        <v>0</v>
      </c>
      <c r="AX154" s="588">
        <f>IF(AW$9&gt;0, IF(OR(AW154="",AW154="-"), 0, AW154*$AT154), AV154*$AJ154)</f>
        <v>0</v>
      </c>
      <c r="AY154" s="587">
        <f>[1]COMMANDE!Q152</f>
        <v>0</v>
      </c>
      <c r="AZ154" s="586" t="str">
        <f>_xlfn.IFS(AND($AI154=$AM154,$AI154&gt;0,$AM154&gt;0,AY154&gt;0), AY154,     AND(NOT($AI154=$AM154),$AI154&gt;0,$AM154&gt;0,AY154&gt;0), ($AM154*AY154)/$AI154,     AND($AI154=0,$AM154&gt;0,$AQ154&gt;0), IF(INDEX(AY$12:AY$263,MATCH($AQ154,$AP$12:$AP$263,0))&gt;0,($AM154*INDEX(AY$12:AY$263,MATCH($AQ154,$AP$12:$AP$263,0)))/INDEX($AI$12:$AI$263,MATCH($AQ154,$AP$12:$AP$263,0)), "-"),     TRUE, "0")</f>
        <v>0</v>
      </c>
      <c r="BA154" s="607">
        <f>IF(AZ$9&gt;0, IF(OR(AZ154="",AZ154="-"), 0, AZ154*$AT154), AY154*$AJ154)</f>
        <v>0</v>
      </c>
      <c r="BB154" s="589">
        <f>[1]COMMANDE!S152</f>
        <v>0</v>
      </c>
      <c r="BC154" s="586" t="str">
        <f>_xlfn.IFS(AND($AI154=$AM154,$AI154&gt;0,$AM154&gt;0,BB154&gt;0), BB154,     AND(NOT($AI154=$AM154),$AI154&gt;0,$AM154&gt;0,BB154&gt;0), ($AM154*BB154)/$AI154,     AND($AI154=0,$AM154&gt;0,$AQ154&gt;0), IF(INDEX(BB$12:BB$263,MATCH($AQ154,$AP$12:$AP$263,0))&gt;0,($AM154*INDEX(BB$12:BB$263,MATCH($AQ154,$AP$12:$AP$263,0)))/INDEX($AI$12:$AI$263,MATCH($AQ154,$AP$12:$AP$263,0)), "-"),     TRUE, "0")</f>
        <v>0</v>
      </c>
      <c r="BD154" s="588">
        <f>IF(BC$9&gt;0, IF(OR(BC154="",BC154="-"), 0, BC154*$AT154), BB154*$AJ154)</f>
        <v>0</v>
      </c>
      <c r="BE154" s="587">
        <f>[1]COMMANDE!U152</f>
        <v>0</v>
      </c>
      <c r="BF154" s="586" t="str">
        <f>_xlfn.IFS(AND($AI154=$AM154,$AI154&gt;0,$AM154&gt;0,BE154&gt;0), BE154,     AND(NOT($AI154=$AM154),$AI154&gt;0,$AM154&gt;0,BE154&gt;0), ($AM154*BE154)/$AI154,     AND($AI154=0,$AM154&gt;0,$AQ154&gt;0), IF(INDEX(BE$12:BE$263,MATCH($AQ154,$AP$12:$AP$263,0))&gt;0,($AM154*INDEX(BE$12:BE$263,MATCH($AQ154,$AP$12:$AP$263,0)))/INDEX($AI$12:$AI$263,MATCH($AQ154,$AP$12:$AP$263,0)), "-"),     TRUE, "0")</f>
        <v>0</v>
      </c>
      <c r="BG154" s="607">
        <f>IF(BF$9&gt;0, IF(OR(BF154="",BF154="-"), 0, BF154*$AT154), BE154*$AJ154)</f>
        <v>0</v>
      </c>
      <c r="BH154" s="589">
        <f>[1]COMMANDE!W152</f>
        <v>0</v>
      </c>
      <c r="BI154" s="586" t="str">
        <f>_xlfn.IFS(AND($AI154=$AM154,$AI154&gt;0,$AM154&gt;0,BH154&gt;0), BH154,     AND(NOT($AI154=$AM154),$AI154&gt;0,$AM154&gt;0,BH154&gt;0), ($AM154*BH154)/$AI154,     AND($AI154=0,$AM154&gt;0,$AQ154&gt;0), IF(INDEX(BH$12:BH$263,MATCH($AQ154,$AP$12:$AP$263,0))&gt;0,($AM154*INDEX(BH$12:BH$263,MATCH($AQ154,$AP$12:$AP$263,0)))/INDEX($AI$12:$AI$263,MATCH($AQ154,$AP$12:$AP$263,0)), "-"),     TRUE, "0")</f>
        <v>0</v>
      </c>
      <c r="BJ154" s="588">
        <f>IF(BI$9&gt;0, IF(OR(BI154="",BI154="-"), 0, BI154*$AT154), BH154*$AJ154)</f>
        <v>0</v>
      </c>
      <c r="BK154" s="587">
        <f>[1]COMMANDE!Y152</f>
        <v>0</v>
      </c>
      <c r="BL154" s="586" t="str">
        <f>_xlfn.IFS(AND($AI154=$AM154,$AI154&gt;0,$AM154&gt;0,BK154&gt;0), BK154,     AND(NOT($AI154=$AM154),$AI154&gt;0,$AM154&gt;0,BK154&gt;0), ($AM154*BK154)/$AI154,     AND($AI154=0,$AM154&gt;0,$AQ154&gt;0), IF(INDEX(BK$12:BK$263,MATCH($AQ154,$AP$12:$AP$263,0))&gt;0,($AM154*INDEX(BK$12:BK$263,MATCH($AQ154,$AP$12:$AP$263,0)))/INDEX($AI$12:$AI$263,MATCH($AQ154,$AP$12:$AP$263,0)), "-"),     TRUE, "0")</f>
        <v>0</v>
      </c>
      <c r="BM154" s="607">
        <f>IF(BL$9&gt;0, IF(OR(BL154="",BL154="-"), 0, BL154*$AT154), BK154*$AJ154)</f>
        <v>0</v>
      </c>
      <c r="BN154" s="589">
        <f>[1]COMMANDE!AA152</f>
        <v>0</v>
      </c>
      <c r="BO154" s="586" t="str">
        <f>_xlfn.IFS(AND($AI154=$AM154,$AI154&gt;0,$AM154&gt;0,BN154&gt;0), BN154,     AND(NOT($AI154=$AM154),$AI154&gt;0,$AM154&gt;0,BN154&gt;0), ($AM154*BN154)/$AI154,     AND($AI154=0,$AM154&gt;0,$AQ154&gt;0), IF(INDEX(BN$12:BN$263,MATCH($AQ154,$AP$12:$AP$263,0))&gt;0,($AM154*INDEX(BN$12:BN$263,MATCH($AQ154,$AP$12:$AP$263,0)))/INDEX($AI$12:$AI$263,MATCH($AQ154,$AP$12:$AP$263,0)), "-"),     TRUE, "0")</f>
        <v>0</v>
      </c>
      <c r="BP154" s="588">
        <f>IF(BO$9&gt;0, IF(OR(BO154="",BO154="-"), 0, BO154*$AT154), BN154*$AJ154)</f>
        <v>0</v>
      </c>
      <c r="BQ154" s="587">
        <f>[1]COMMANDE!AC152</f>
        <v>0</v>
      </c>
      <c r="BR154" s="586" t="str">
        <f>_xlfn.IFS(AND($AI154=$AM154,$AI154&gt;0,$AM154&gt;0,BQ154&gt;0), BQ154,     AND(NOT($AI154=$AM154),$AI154&gt;0,$AM154&gt;0,BQ154&gt;0), ($AM154*BQ154)/$AI154,     AND($AI154=0,$AM154&gt;0,$AQ154&gt;0), IF(INDEX(BQ$12:BQ$263,MATCH($AQ154,$AP$12:$AP$263,0))&gt;0,($AM154*INDEX(BQ$12:BQ$263,MATCH($AQ154,$AP$12:$AP$263,0)))/INDEX($AI$12:$AI$263,MATCH($AQ154,$AP$12:$AP$263,0)), "-"),     TRUE, "0")</f>
        <v>0</v>
      </c>
      <c r="BS154" s="607">
        <f>IF(BR$9&gt;0, IF(OR(BR154="",BR154="-"), 0, BR154*$AT154), BQ154*$AJ154)</f>
        <v>0</v>
      </c>
      <c r="BT154" s="589">
        <f>[1]COMMANDE!AE152</f>
        <v>0</v>
      </c>
      <c r="BU154" s="586" t="str">
        <f>_xlfn.IFS(AND($AI154=$AM154,$AI154&gt;0,$AM154&gt;0,BT154&gt;0), BT154,     AND(NOT($AI154=$AM154),$AI154&gt;0,$AM154&gt;0,BT154&gt;0), ($AM154*BT154)/$AI154,     AND($AI154=0,$AM154&gt;0,$AQ154&gt;0), IF(INDEX(BT$12:BT$263,MATCH($AQ154,$AP$12:$AP$263,0))&gt;0,($AM154*INDEX(BT$12:BT$263,MATCH($AQ154,$AP$12:$AP$263,0)))/INDEX($AI$12:$AI$263,MATCH($AQ154,$AP$12:$AP$263,0)), "-"),     TRUE, "0")</f>
        <v>0</v>
      </c>
      <c r="BV154" s="588">
        <f>IF(BU$9&gt;0, IF(OR(BU154="",BU154="-"), 0, BU154*$AT154), BT154*$AJ154)</f>
        <v>0</v>
      </c>
      <c r="BW154" s="587">
        <f>[1]COMMANDE!AG152</f>
        <v>0</v>
      </c>
      <c r="BX154" s="586" t="str">
        <f>_xlfn.IFS(AND($AI154=$AM154,$AI154&gt;0,$AM154&gt;0,BW154&gt;0), BW154,     AND(NOT($AI154=$AM154),$AI154&gt;0,$AM154&gt;0,BW154&gt;0), ($AM154*BW154)/$AI154,     AND($AI154=0,$AM154&gt;0,$AQ154&gt;0), IF(INDEX(BW$12:BW$263,MATCH($AQ154,$AP$12:$AP$263,0))&gt;0,($AM154*INDEX(BW$12:BW$263,MATCH($AQ154,$AP$12:$AP$263,0)))/INDEX($AI$12:$AI$263,MATCH($AQ154,$AP$12:$AP$263,0)), "-"),     TRUE, "0")</f>
        <v>0</v>
      </c>
      <c r="BY154" s="607">
        <f>IF(BX$9&gt;0, IF(OR(BX154="",BX154="-"), 0, BX154*$AT154), BW154*$AJ154)</f>
        <v>0</v>
      </c>
      <c r="BZ154" s="589">
        <f>[1]COMMANDE!AI152</f>
        <v>0</v>
      </c>
      <c r="CA154" s="586" t="str">
        <f>_xlfn.IFS(AND($AI154=$AM154,$AI154&gt;0,$AM154&gt;0,BZ154&gt;0), BZ154,     AND(NOT($AI154=$AM154),$AI154&gt;0,$AM154&gt;0,BZ154&gt;0), ($AM154*BZ154)/$AI154,     AND($AI154=0,$AM154&gt;0,$AQ154&gt;0), IF(INDEX(BZ$12:BZ$263,MATCH($AQ154,$AP$12:$AP$263,0))&gt;0,($AM154*INDEX(BZ$12:BZ$263,MATCH($AQ154,$AP$12:$AP$263,0)))/INDEX($AI$12:$AI$263,MATCH($AQ154,$AP$12:$AP$263,0)), "-"),     TRUE, "0")</f>
        <v>0</v>
      </c>
      <c r="CB154" s="588">
        <f>IF(CA$9&gt;0, IF(OR(CA154="",CA154="-"), 0, CA154*$AT154), BZ154*$AJ154)</f>
        <v>0</v>
      </c>
      <c r="CC154" s="587">
        <f>[1]COMMANDE!AK152</f>
        <v>0</v>
      </c>
      <c r="CD154" s="586" t="str">
        <f>_xlfn.IFS(AND($AI154=$AM154,$AI154&gt;0,$AM154&gt;0,CC154&gt;0), CC154,     AND(NOT($AI154=$AM154),$AI154&gt;0,$AM154&gt;0,CC154&gt;0), ($AM154*CC154)/$AI154,     AND($AI154=0,$AM154&gt;0,$AQ154&gt;0), IF(INDEX(CC$12:CC$263,MATCH($AQ154,$AP$12:$AP$263,0))&gt;0,($AM154*INDEX(CC$12:CC$263,MATCH($AQ154,$AP$12:$AP$263,0)))/INDEX($AI$12:$AI$263,MATCH($AQ154,$AP$12:$AP$263,0)), "-"),     TRUE, "0")</f>
        <v>0</v>
      </c>
      <c r="CE154" s="607">
        <f>IF(CD$9&gt;0, IF(OR(CD154="",CD154="-"), 0, CD154*$AT154), CC154*$AJ154)</f>
        <v>0</v>
      </c>
      <c r="CF154" s="589">
        <f>[1]COMMANDE!AM152</f>
        <v>0</v>
      </c>
      <c r="CG154" s="586" t="str">
        <f>_xlfn.IFS(AND($AI154=$AM154,$AI154&gt;0,$AM154&gt;0,CF154&gt;0), CF154,     AND(NOT($AI154=$AM154),$AI154&gt;0,$AM154&gt;0,CF154&gt;0), ($AM154*CF154)/$AI154,     AND($AI154=0,$AM154&gt;0,$AQ154&gt;0), IF(INDEX(CF$12:CF$263,MATCH($AQ154,$AP$12:$AP$263,0))&gt;0,($AM154*INDEX(CF$12:CF$263,MATCH($AQ154,$AP$12:$AP$263,0)))/INDEX($AI$12:$AI$263,MATCH($AQ154,$AP$12:$AP$263,0)), "-"),     TRUE, "0")</f>
        <v>0</v>
      </c>
      <c r="CH154" s="588">
        <f>IF(CG$9&gt;0, IF(OR(CG154="",CG154="-"), 0, CG154*$AT154), CF154*$AJ154)</f>
        <v>0</v>
      </c>
      <c r="CI154" s="587">
        <f>[1]COMMANDE!AO152</f>
        <v>0</v>
      </c>
      <c r="CJ154" s="586" t="str">
        <f>_xlfn.IFS(AND($AI154=$AM154,$AI154&gt;0,$AM154&gt;0,CI154&gt;0), CI154,     AND(NOT($AI154=$AM154),$AI154&gt;0,$AM154&gt;0,CI154&gt;0), ($AM154*CI154)/$AI154,     AND($AI154=0,$AM154&gt;0,$AQ154&gt;0), IF(INDEX(CI$12:CI$263,MATCH($AQ154,$AP$12:$AP$263,0))&gt;0,($AM154*INDEX(CI$12:CI$263,MATCH($AQ154,$AP$12:$AP$263,0)))/INDEX($AI$12:$AI$263,MATCH($AQ154,$AP$12:$AP$263,0)), "-"),     TRUE, "0")</f>
        <v>0</v>
      </c>
      <c r="CK154" s="607">
        <f>IF(CJ$9&gt;0, IF(OR(CJ154="",CJ154="-"), 0, CJ154*$AT154), CI154*$AJ154)</f>
        <v>0</v>
      </c>
      <c r="CL154" s="589">
        <f>[1]COMMANDE!AQ152</f>
        <v>0</v>
      </c>
      <c r="CM154" s="586" t="str">
        <f>_xlfn.IFS(AND($AI154=$AM154,$AI154&gt;0,$AM154&gt;0,CL154&gt;0), CL154,     AND(NOT($AI154=$AM154),$AI154&gt;0,$AM154&gt;0,CL154&gt;0), ($AM154*CL154)/$AI154,     AND($AI154=0,$AM154&gt;0,$AQ154&gt;0), IF(INDEX(CL$12:CL$263,MATCH($AQ154,$AP$12:$AP$263,0))&gt;0,($AM154*INDEX(CL$12:CL$263,MATCH($AQ154,$AP$12:$AP$263,0)))/INDEX($AI$12:$AI$263,MATCH($AQ154,$AP$12:$AP$263,0)), "-"),     TRUE, "0")</f>
        <v>0</v>
      </c>
      <c r="CN154" s="588">
        <f>IF(CM$9&gt;0, IF(OR(CM154="",CM154="-"), 0, CM154*$AT154), CL154*$AJ154)</f>
        <v>0</v>
      </c>
      <c r="CO154" s="587">
        <f>[1]COMMANDE!AS152</f>
        <v>0</v>
      </c>
      <c r="CP154" s="586" t="str">
        <f>_xlfn.IFS(AND($AI154=$AM154,$AI154&gt;0,$AM154&gt;0,CO154&gt;0), CO154,     AND(NOT($AI154=$AM154),$AI154&gt;0,$AM154&gt;0,CO154&gt;0), ($AM154*CO154)/$AI154,     AND($AI154=0,$AM154&gt;0,$AQ154&gt;0), IF(INDEX(CO$12:CO$263,MATCH($AQ154,$AP$12:$AP$263,0))&gt;0,($AM154*INDEX(CO$12:CO$263,MATCH($AQ154,$AP$12:$AP$263,0)))/INDEX($AI$12:$AI$263,MATCH($AQ154,$AP$12:$AP$263,0)), "-"),     TRUE, "0")</f>
        <v>0</v>
      </c>
      <c r="CQ154" s="607">
        <f>IF(CP$9&gt;0, IF(OR(CP154="",CP154="-"), 0, CP154*$AT154), CO154*$AJ154)</f>
        <v>0</v>
      </c>
      <c r="CR154" s="589">
        <f>[1]COMMANDE!AU152</f>
        <v>0</v>
      </c>
      <c r="CS154" s="586" t="str">
        <f>_xlfn.IFS(AND($AI154=$AM154,$AI154&gt;0,$AM154&gt;0,CR154&gt;0), CR154,     AND(NOT($AI154=$AM154),$AI154&gt;0,$AM154&gt;0,CR154&gt;0), ($AM154*CR154)/$AI154,     AND($AI154=0,$AM154&gt;0,$AQ154&gt;0), IF(INDEX(CR$12:CR$263,MATCH($AQ154,$AP$12:$AP$263,0))&gt;0,($AM154*INDEX(CR$12:CR$263,MATCH($AQ154,$AP$12:$AP$263,0)))/INDEX($AI$12:$AI$263,MATCH($AQ154,$AP$12:$AP$263,0)), "-"),     TRUE, "0")</f>
        <v>0</v>
      </c>
      <c r="CT154" s="588">
        <f>IF(CS$9&gt;0, IF(OR(CS154="",CS154="-"), 0, CS154*$AT154), CR154*$AJ154)</f>
        <v>0</v>
      </c>
      <c r="CU154" s="587">
        <f>[1]COMMANDE!AW152</f>
        <v>0</v>
      </c>
      <c r="CV154" s="586" t="str">
        <f>_xlfn.IFS(AND($AI154=$AM154,$AI154&gt;0,$AM154&gt;0,CU154&gt;0), CU154,     AND(NOT($AI154=$AM154),$AI154&gt;0,$AM154&gt;0,CU154&gt;0), ($AM154*CU154)/$AI154,     AND($AI154=0,$AM154&gt;0,$AQ154&gt;0), IF(INDEX(CU$12:CU$263,MATCH($AQ154,$AP$12:$AP$263,0))&gt;0,($AM154*INDEX(CU$12:CU$263,MATCH($AQ154,$AP$12:$AP$263,0)))/INDEX($AI$12:$AI$263,MATCH($AQ154,$AP$12:$AP$263,0)), "-"),     TRUE, "0")</f>
        <v>0</v>
      </c>
      <c r="CW154" s="607">
        <f>IF(CV$9&gt;0, IF(OR(CV154="",CV154="-"), 0, CV154*$AT154), CU154*$AJ154)</f>
        <v>0</v>
      </c>
      <c r="CX154" s="589">
        <f>[1]COMMANDE!AY152</f>
        <v>0</v>
      </c>
      <c r="CY154" s="586" t="str">
        <f>_xlfn.IFS(AND($AI154=$AM154,$AI154&gt;0,$AM154&gt;0,CX154&gt;0), CX154,     AND(NOT($AI154=$AM154),$AI154&gt;0,$AM154&gt;0,CX154&gt;0), ($AM154*CX154)/$AI154,     AND($AI154=0,$AM154&gt;0,$AQ154&gt;0), IF(INDEX(CX$12:CX$263,MATCH($AQ154,$AP$12:$AP$263,0))&gt;0,($AM154*INDEX(CX$12:CX$263,MATCH($AQ154,$AP$12:$AP$263,0)))/INDEX($AI$12:$AI$263,MATCH($AQ154,$AP$12:$AP$263,0)), "-"),     TRUE, "0")</f>
        <v>0</v>
      </c>
      <c r="CZ154" s="588">
        <f>IF(CY$9&gt;0, IF(OR(CY154="",CY154="-"), 0, CY154*$AT154), CX154*$AJ154)</f>
        <v>0</v>
      </c>
      <c r="DA154" s="587">
        <f>[1]COMMANDE!BA152</f>
        <v>0</v>
      </c>
      <c r="DB154" s="586" t="str">
        <f>_xlfn.IFS(AND($AI154=$AM154,$AI154&gt;0,$AM154&gt;0,DA154&gt;0), DA154,     AND(NOT($AI154=$AM154),$AI154&gt;0,$AM154&gt;0,DA154&gt;0), ($AM154*DA154)/$AI154,     AND($AI154=0,$AM154&gt;0,$AQ154&gt;0), IF(INDEX(DA$12:DA$263,MATCH($AQ154,$AP$12:$AP$263,0))&gt;0,($AM154*INDEX(DA$12:DA$263,MATCH($AQ154,$AP$12:$AP$263,0)))/INDEX($AI$12:$AI$263,MATCH($AQ154,$AP$12:$AP$263,0)), "-"),     TRUE, "0")</f>
        <v>0</v>
      </c>
      <c r="DC154" s="606">
        <f>IF(DB$9&gt;0, IF(OR(DB154="",DB154="-"), 0, DB154*$AT154), DA154*$AJ154)</f>
        <v>0</v>
      </c>
      <c r="DD154" s="584"/>
      <c r="DE154" s="583"/>
      <c r="DF154" s="610"/>
      <c r="DG154" s="610"/>
      <c r="DH154" s="610"/>
      <c r="DI154" s="610"/>
      <c r="DJ154" s="610"/>
      <c r="DK154" s="610"/>
      <c r="DL154" s="610"/>
      <c r="DM154" s="610"/>
      <c r="DN154" s="610"/>
      <c r="DO154" s="610"/>
      <c r="DP154" s="610"/>
      <c r="DQ154" s="610"/>
      <c r="DR154" s="610"/>
      <c r="DS154" s="610"/>
      <c r="DT154" s="610"/>
      <c r="DU154" s="610"/>
      <c r="DV154" s="610"/>
      <c r="DW154" s="610"/>
      <c r="DX154" s="610"/>
    </row>
    <row r="155" spans="1:128" ht="39.950000000000003" hidden="1" customHeight="1">
      <c r="A155" s="604">
        <f>IF(OR($AV155&gt;0, $AX155&gt;0), 1, 0)</f>
        <v>0</v>
      </c>
      <c r="B155" s="604">
        <f>IF(OR($AY155&gt;0, $BA155&gt;0), 1, 0)</f>
        <v>0</v>
      </c>
      <c r="C155" s="604">
        <f>IF(OR($BB155&gt;0, $BD155&gt;0), 1, 0)</f>
        <v>0</v>
      </c>
      <c r="D155" s="604">
        <f>IF(OR($BE155&gt;0, $BG155&gt;0), 1, 0)</f>
        <v>0</v>
      </c>
      <c r="E155" s="604">
        <f>IF(OR($BH155&gt;0, $BJ155&gt;0), 1, 0)</f>
        <v>0</v>
      </c>
      <c r="F155" s="604">
        <f>IF(OR($BK155&gt;0, $BM155&gt;0), 1, 0)</f>
        <v>0</v>
      </c>
      <c r="G155" s="604">
        <f>IF(OR($BN155&gt;0, $BP155&gt;0), 1, 0)</f>
        <v>0</v>
      </c>
      <c r="H155" s="604">
        <f>IF(OR($BQ155&gt;0, $BS155&gt;0), 1, 0)</f>
        <v>0</v>
      </c>
      <c r="I155" s="604">
        <f>IF(OR($BT155&gt;0, $BV155&gt;0), 1, 0)</f>
        <v>0</v>
      </c>
      <c r="J155" s="604">
        <f>IF(OR($BW155&gt;0, $BY155&gt;0), 1, 0)</f>
        <v>0</v>
      </c>
      <c r="K155" s="604">
        <f>IF(OR($BZ155&gt;0, $CB155&gt;0), 1, 0)</f>
        <v>0</v>
      </c>
      <c r="L155" s="604">
        <f>IF(OR($CC155&gt;0, $CE155&gt;0), 1, 0)</f>
        <v>0</v>
      </c>
      <c r="M155" s="604">
        <f>IF(OR($CF155&gt;0, $CH155&gt;0), 1, 0)</f>
        <v>0</v>
      </c>
      <c r="N155" s="604">
        <f>IF(OR($CI155&gt;0, $CK155&gt;0), 1, 0)</f>
        <v>0</v>
      </c>
      <c r="O155" s="604">
        <f>IF(OR($CL155&gt;0, $CN155&gt;0), 1, 0)</f>
        <v>0</v>
      </c>
      <c r="P155" s="604">
        <f>IF(OR($CO155&gt;0, $CQ155&gt;0), 1, 0)</f>
        <v>0</v>
      </c>
      <c r="Q155" s="604">
        <f>IF(OR($CR155&gt;0, $CT155&gt;0), 1, 0)</f>
        <v>0</v>
      </c>
      <c r="R155" s="604">
        <f>IF(OR($CU155&gt;0, $CW155&gt;0), 1, 0)</f>
        <v>0</v>
      </c>
      <c r="S155" s="604">
        <f>IF(OR($CX155&gt;0, $CZ155&gt;0), 1, 0)</f>
        <v>0</v>
      </c>
      <c r="T155" s="604">
        <f>IF(OR($DA155&gt;0, $DC155&gt;0), 1, 0)</f>
        <v>0</v>
      </c>
      <c r="U155" s="603">
        <f>IF(OR($AI155&gt;0,$AM155&gt;0,$AS155&gt;0), 1, 0)</f>
        <v>0</v>
      </c>
      <c r="V155" s="602">
        <f>[1]BDD!A145</f>
        <v>1639</v>
      </c>
      <c r="W155" s="601" t="str">
        <f>[1]BDD!B145</f>
        <v>Maca noire BIO (env. 500g)</v>
      </c>
      <c r="X155" s="600" t="str">
        <f>IF([1]BDD!F145=0, "", [1]BDD!F145)</f>
        <v/>
      </c>
      <c r="Y155" s="542">
        <f>ROUND([1]BDD!G145+FDP_CMD_KG, 2)</f>
        <v>15.24</v>
      </c>
      <c r="Z155" s="542">
        <f>ROUND([1]BDD!G145+FDP_FACT_KG, 2)</f>
        <v>15.24</v>
      </c>
      <c r="AA155" s="543" t="str">
        <f>[1]BDD!H145</f>
        <v>Pièce</v>
      </c>
      <c r="AB155" s="544" t="str">
        <f>IF(NOT(ISBLANK([1]BDD!I145)), ROUND(SUM(([1]BDD!G145*reduc1),FDP_CMD_KG), 2), "")</f>
        <v/>
      </c>
      <c r="AC155" s="544" t="str">
        <f>IF(NOT(ISBLANK([1]BDD!J145)), ROUND(SUM(([1]BDD!G145*reduc2),FDP_CMD_KG), 2), "")</f>
        <v/>
      </c>
      <c r="AD155" s="544" t="str">
        <f>IF(NOT(ISBLANK([1]BDD!K145)), ROUND(SUM(([1]BDD!G145*reduc3),FDP_CMD_KG), 2), "")</f>
        <v/>
      </c>
      <c r="AE155" s="544" t="str">
        <f>IF(NOT(ISBLANK([1]BDD!I145)), ROUND(SUM(([1]BDD!G145*reduc1),FDP_FACT_KG), 2), "")</f>
        <v/>
      </c>
      <c r="AF155" s="544" t="str">
        <f>IF(NOT(ISBLANK([1]BDD!J145)), ROUND(SUM(([1]BDD!G145*reduc2),FDP_FACT_KG), 2), "")</f>
        <v/>
      </c>
      <c r="AG155" s="544" t="str">
        <f>IF(NOT(ISBLANK([1]BDD!K145)), ROUND(SUM(([1]BDD!G145*reduc3),FDP_FACT_KG), 2), "")</f>
        <v/>
      </c>
      <c r="AH155" s="599" t="str">
        <f>[1]BDD!C145</f>
        <v>Pérou</v>
      </c>
      <c r="AI155" s="598">
        <f>SUM(AV155,AY155,BB155,BE155,BH155,BK155,BN155,BQ155,BT155,BW155,BZ155,CC155,CF155,CI155,CL155,CO155,CR155,CU155,CX155,DA155)</f>
        <v>0</v>
      </c>
      <c r="AJ155" s="545">
        <f>_xlfn.IFS($AD155&lt;&gt;"", $AD155,    $AC155&lt;&gt;"", $AC155,    $AB155&lt;&gt;"", $AB155,    TRUE, $Y155)</f>
        <v>15.24</v>
      </c>
      <c r="AK155" s="592">
        <f>$AI155*$AJ155</f>
        <v>0</v>
      </c>
      <c r="AL155" s="594"/>
      <c r="AM155" s="597"/>
      <c r="AN155" s="545">
        <f>_xlfn.IFS(AND(AM155&gt;=60,$AG155&lt;&gt;""), $AG155,    AND(AM155&gt;=30,$AF155&lt;&gt;""), $AF155,    AND(AM155&gt;=10,$AE155&lt;&gt;""), $AE155,    TRUE, $Z155)</f>
        <v>15.24</v>
      </c>
      <c r="AO155" s="596">
        <f>AM155*AN155</f>
        <v>0</v>
      </c>
      <c r="AP155" s="595"/>
      <c r="AQ155" s="595"/>
      <c r="AR155" s="594"/>
      <c r="AS155" s="593">
        <f>SUM(AW155,AZ155,BC155,BF155,BI155,BL155,BO155,BR155,BU155,BX155,CA155,CD155,CG155,CJ155,CM155,CP155,CS155,CV155,CY155,DB155)</f>
        <v>0</v>
      </c>
      <c r="AT155" s="545">
        <f>_xlfn.IFS(AND(AS155&gt;=60,$AG155&lt;&gt;""), $AG155,    AND(AS155&gt;=30,$AF155&lt;&gt;""), $AF155,    AND(AS155&gt;=10,$AE155&lt;&gt;""), $AE155,    TRUE, $Z155)</f>
        <v>15.24</v>
      </c>
      <c r="AU155" s="592">
        <f>$AS155*$AT155</f>
        <v>0</v>
      </c>
      <c r="AV155" s="591">
        <f>[1]COMMANDE!O153</f>
        <v>0</v>
      </c>
      <c r="AW155" s="586" t="str">
        <f>_xlfn.IFS(AND($AI155=$AM155,$AI155&gt;0,$AM155&gt;0,AV155&gt;0), AV155,     AND(NOT($AI155=$AM155),$AI155&gt;0,$AM155&gt;0,AV155&gt;0), ($AM155*AV155)/$AI155,     AND($AI155=0,$AM155&gt;0,$AQ155&gt;0), IF(INDEX(AV$12:AV$263,MATCH($AQ155,$AP$12:$AP$263,0))&gt;0,($AM155*INDEX(AV$12:AV$263,MATCH($AQ155,$AP$12:$AP$263,0)))/INDEX($AI$12:$AI$263,MATCH($AQ155,$AP$12:$AP$263,0)), "-"),     TRUE, "0")</f>
        <v>0</v>
      </c>
      <c r="AX155" s="588">
        <f>IF(AW$9&gt;0, IF(OR(AW155="",AW155="-"), 0, AW155*$AT155), AV155*$AJ155)</f>
        <v>0</v>
      </c>
      <c r="AY155" s="587">
        <f>[1]COMMANDE!Q153</f>
        <v>0</v>
      </c>
      <c r="AZ155" s="586" t="str">
        <f>_xlfn.IFS(AND($AI155=$AM155,$AI155&gt;0,$AM155&gt;0,AY155&gt;0), AY155,     AND(NOT($AI155=$AM155),$AI155&gt;0,$AM155&gt;0,AY155&gt;0), ($AM155*AY155)/$AI155,     AND($AI155=0,$AM155&gt;0,$AQ155&gt;0), IF(INDEX(AY$12:AY$263,MATCH($AQ155,$AP$12:$AP$263,0))&gt;0,($AM155*INDEX(AY$12:AY$263,MATCH($AQ155,$AP$12:$AP$263,0)))/INDEX($AI$12:$AI$263,MATCH($AQ155,$AP$12:$AP$263,0)), "-"),     TRUE, "0")</f>
        <v>0</v>
      </c>
      <c r="BA155" s="607">
        <f>IF(AZ$9&gt;0, IF(OR(AZ155="",AZ155="-"), 0, AZ155*$AT155), AY155*$AJ155)</f>
        <v>0</v>
      </c>
      <c r="BB155" s="589">
        <f>[1]COMMANDE!S153</f>
        <v>0</v>
      </c>
      <c r="BC155" s="586" t="str">
        <f>_xlfn.IFS(AND($AI155=$AM155,$AI155&gt;0,$AM155&gt;0,BB155&gt;0), BB155,     AND(NOT($AI155=$AM155),$AI155&gt;0,$AM155&gt;0,BB155&gt;0), ($AM155*BB155)/$AI155,     AND($AI155=0,$AM155&gt;0,$AQ155&gt;0), IF(INDEX(BB$12:BB$263,MATCH($AQ155,$AP$12:$AP$263,0))&gt;0,($AM155*INDEX(BB$12:BB$263,MATCH($AQ155,$AP$12:$AP$263,0)))/INDEX($AI$12:$AI$263,MATCH($AQ155,$AP$12:$AP$263,0)), "-"),     TRUE, "0")</f>
        <v>0</v>
      </c>
      <c r="BD155" s="588">
        <f>IF(BC$9&gt;0, IF(OR(BC155="",BC155="-"), 0, BC155*$AT155), BB155*$AJ155)</f>
        <v>0</v>
      </c>
      <c r="BE155" s="587">
        <f>[1]COMMANDE!U153</f>
        <v>0</v>
      </c>
      <c r="BF155" s="586" t="str">
        <f>_xlfn.IFS(AND($AI155=$AM155,$AI155&gt;0,$AM155&gt;0,BE155&gt;0), BE155,     AND(NOT($AI155=$AM155),$AI155&gt;0,$AM155&gt;0,BE155&gt;0), ($AM155*BE155)/$AI155,     AND($AI155=0,$AM155&gt;0,$AQ155&gt;0), IF(INDEX(BE$12:BE$263,MATCH($AQ155,$AP$12:$AP$263,0))&gt;0,($AM155*INDEX(BE$12:BE$263,MATCH($AQ155,$AP$12:$AP$263,0)))/INDEX($AI$12:$AI$263,MATCH($AQ155,$AP$12:$AP$263,0)), "-"),     TRUE, "0")</f>
        <v>0</v>
      </c>
      <c r="BG155" s="607">
        <f>IF(BF$9&gt;0, IF(OR(BF155="",BF155="-"), 0, BF155*$AT155), BE155*$AJ155)</f>
        <v>0</v>
      </c>
      <c r="BH155" s="589">
        <f>[1]COMMANDE!W153</f>
        <v>0</v>
      </c>
      <c r="BI155" s="586" t="str">
        <f>_xlfn.IFS(AND($AI155=$AM155,$AI155&gt;0,$AM155&gt;0,BH155&gt;0), BH155,     AND(NOT($AI155=$AM155),$AI155&gt;0,$AM155&gt;0,BH155&gt;0), ($AM155*BH155)/$AI155,     AND($AI155=0,$AM155&gt;0,$AQ155&gt;0), IF(INDEX(BH$12:BH$263,MATCH($AQ155,$AP$12:$AP$263,0))&gt;0,($AM155*INDEX(BH$12:BH$263,MATCH($AQ155,$AP$12:$AP$263,0)))/INDEX($AI$12:$AI$263,MATCH($AQ155,$AP$12:$AP$263,0)), "-"),     TRUE, "0")</f>
        <v>0</v>
      </c>
      <c r="BJ155" s="588">
        <f>IF(BI$9&gt;0, IF(OR(BI155="",BI155="-"), 0, BI155*$AT155), BH155*$AJ155)</f>
        <v>0</v>
      </c>
      <c r="BK155" s="587">
        <f>[1]COMMANDE!Y153</f>
        <v>0</v>
      </c>
      <c r="BL155" s="586" t="str">
        <f>_xlfn.IFS(AND($AI155=$AM155,$AI155&gt;0,$AM155&gt;0,BK155&gt;0), BK155,     AND(NOT($AI155=$AM155),$AI155&gt;0,$AM155&gt;0,BK155&gt;0), ($AM155*BK155)/$AI155,     AND($AI155=0,$AM155&gt;0,$AQ155&gt;0), IF(INDEX(BK$12:BK$263,MATCH($AQ155,$AP$12:$AP$263,0))&gt;0,($AM155*INDEX(BK$12:BK$263,MATCH($AQ155,$AP$12:$AP$263,0)))/INDEX($AI$12:$AI$263,MATCH($AQ155,$AP$12:$AP$263,0)), "-"),     TRUE, "0")</f>
        <v>0</v>
      </c>
      <c r="BM155" s="607">
        <f>IF(BL$9&gt;0, IF(OR(BL155="",BL155="-"), 0, BL155*$AT155), BK155*$AJ155)</f>
        <v>0</v>
      </c>
      <c r="BN155" s="589">
        <f>[1]COMMANDE!AA153</f>
        <v>0</v>
      </c>
      <c r="BO155" s="586" t="str">
        <f>_xlfn.IFS(AND($AI155=$AM155,$AI155&gt;0,$AM155&gt;0,BN155&gt;0), BN155,     AND(NOT($AI155=$AM155),$AI155&gt;0,$AM155&gt;0,BN155&gt;0), ($AM155*BN155)/$AI155,     AND($AI155=0,$AM155&gt;0,$AQ155&gt;0), IF(INDEX(BN$12:BN$263,MATCH($AQ155,$AP$12:$AP$263,0))&gt;0,($AM155*INDEX(BN$12:BN$263,MATCH($AQ155,$AP$12:$AP$263,0)))/INDEX($AI$12:$AI$263,MATCH($AQ155,$AP$12:$AP$263,0)), "-"),     TRUE, "0")</f>
        <v>0</v>
      </c>
      <c r="BP155" s="588">
        <f>IF(BO$9&gt;0, IF(OR(BO155="",BO155="-"), 0, BO155*$AT155), BN155*$AJ155)</f>
        <v>0</v>
      </c>
      <c r="BQ155" s="587">
        <f>[1]COMMANDE!AC153</f>
        <v>0</v>
      </c>
      <c r="BR155" s="586" t="str">
        <f>_xlfn.IFS(AND($AI155=$AM155,$AI155&gt;0,$AM155&gt;0,BQ155&gt;0), BQ155,     AND(NOT($AI155=$AM155),$AI155&gt;0,$AM155&gt;0,BQ155&gt;0), ($AM155*BQ155)/$AI155,     AND($AI155=0,$AM155&gt;0,$AQ155&gt;0), IF(INDEX(BQ$12:BQ$263,MATCH($AQ155,$AP$12:$AP$263,0))&gt;0,($AM155*INDEX(BQ$12:BQ$263,MATCH($AQ155,$AP$12:$AP$263,0)))/INDEX($AI$12:$AI$263,MATCH($AQ155,$AP$12:$AP$263,0)), "-"),     TRUE, "0")</f>
        <v>0</v>
      </c>
      <c r="BS155" s="607">
        <f>IF(BR$9&gt;0, IF(OR(BR155="",BR155="-"), 0, BR155*$AT155), BQ155*$AJ155)</f>
        <v>0</v>
      </c>
      <c r="BT155" s="589">
        <f>[1]COMMANDE!AE153</f>
        <v>0</v>
      </c>
      <c r="BU155" s="586" t="str">
        <f>_xlfn.IFS(AND($AI155=$AM155,$AI155&gt;0,$AM155&gt;0,BT155&gt;0), BT155,     AND(NOT($AI155=$AM155),$AI155&gt;0,$AM155&gt;0,BT155&gt;0), ($AM155*BT155)/$AI155,     AND($AI155=0,$AM155&gt;0,$AQ155&gt;0), IF(INDEX(BT$12:BT$263,MATCH($AQ155,$AP$12:$AP$263,0))&gt;0,($AM155*INDEX(BT$12:BT$263,MATCH($AQ155,$AP$12:$AP$263,0)))/INDEX($AI$12:$AI$263,MATCH($AQ155,$AP$12:$AP$263,0)), "-"),     TRUE, "0")</f>
        <v>0</v>
      </c>
      <c r="BV155" s="588">
        <f>IF(BU$9&gt;0, IF(OR(BU155="",BU155="-"), 0, BU155*$AT155), BT155*$AJ155)</f>
        <v>0</v>
      </c>
      <c r="BW155" s="587">
        <f>[1]COMMANDE!AG153</f>
        <v>0</v>
      </c>
      <c r="BX155" s="586" t="str">
        <f>_xlfn.IFS(AND($AI155=$AM155,$AI155&gt;0,$AM155&gt;0,BW155&gt;0), BW155,     AND(NOT($AI155=$AM155),$AI155&gt;0,$AM155&gt;0,BW155&gt;0), ($AM155*BW155)/$AI155,     AND($AI155=0,$AM155&gt;0,$AQ155&gt;0), IF(INDEX(BW$12:BW$263,MATCH($AQ155,$AP$12:$AP$263,0))&gt;0,($AM155*INDEX(BW$12:BW$263,MATCH($AQ155,$AP$12:$AP$263,0)))/INDEX($AI$12:$AI$263,MATCH($AQ155,$AP$12:$AP$263,0)), "-"),     TRUE, "0")</f>
        <v>0</v>
      </c>
      <c r="BY155" s="607">
        <f>IF(BX$9&gt;0, IF(OR(BX155="",BX155="-"), 0, BX155*$AT155), BW155*$AJ155)</f>
        <v>0</v>
      </c>
      <c r="BZ155" s="589">
        <f>[1]COMMANDE!AI153</f>
        <v>0</v>
      </c>
      <c r="CA155" s="586" t="str">
        <f>_xlfn.IFS(AND($AI155=$AM155,$AI155&gt;0,$AM155&gt;0,BZ155&gt;0), BZ155,     AND(NOT($AI155=$AM155),$AI155&gt;0,$AM155&gt;0,BZ155&gt;0), ($AM155*BZ155)/$AI155,     AND($AI155=0,$AM155&gt;0,$AQ155&gt;0), IF(INDEX(BZ$12:BZ$263,MATCH($AQ155,$AP$12:$AP$263,0))&gt;0,($AM155*INDEX(BZ$12:BZ$263,MATCH($AQ155,$AP$12:$AP$263,0)))/INDEX($AI$12:$AI$263,MATCH($AQ155,$AP$12:$AP$263,0)), "-"),     TRUE, "0")</f>
        <v>0</v>
      </c>
      <c r="CB155" s="588">
        <f>IF(CA$9&gt;0, IF(OR(CA155="",CA155="-"), 0, CA155*$AT155), BZ155*$AJ155)</f>
        <v>0</v>
      </c>
      <c r="CC155" s="587">
        <f>[1]COMMANDE!AK153</f>
        <v>0</v>
      </c>
      <c r="CD155" s="586" t="str">
        <f>_xlfn.IFS(AND($AI155=$AM155,$AI155&gt;0,$AM155&gt;0,CC155&gt;0), CC155,     AND(NOT($AI155=$AM155),$AI155&gt;0,$AM155&gt;0,CC155&gt;0), ($AM155*CC155)/$AI155,     AND($AI155=0,$AM155&gt;0,$AQ155&gt;0), IF(INDEX(CC$12:CC$263,MATCH($AQ155,$AP$12:$AP$263,0))&gt;0,($AM155*INDEX(CC$12:CC$263,MATCH($AQ155,$AP$12:$AP$263,0)))/INDEX($AI$12:$AI$263,MATCH($AQ155,$AP$12:$AP$263,0)), "-"),     TRUE, "0")</f>
        <v>0</v>
      </c>
      <c r="CE155" s="607">
        <f>IF(CD$9&gt;0, IF(OR(CD155="",CD155="-"), 0, CD155*$AT155), CC155*$AJ155)</f>
        <v>0</v>
      </c>
      <c r="CF155" s="589">
        <f>[1]COMMANDE!AM153</f>
        <v>0</v>
      </c>
      <c r="CG155" s="586" t="str">
        <f>_xlfn.IFS(AND($AI155=$AM155,$AI155&gt;0,$AM155&gt;0,CF155&gt;0), CF155,     AND(NOT($AI155=$AM155),$AI155&gt;0,$AM155&gt;0,CF155&gt;0), ($AM155*CF155)/$AI155,     AND($AI155=0,$AM155&gt;0,$AQ155&gt;0), IF(INDEX(CF$12:CF$263,MATCH($AQ155,$AP$12:$AP$263,0))&gt;0,($AM155*INDEX(CF$12:CF$263,MATCH($AQ155,$AP$12:$AP$263,0)))/INDEX($AI$12:$AI$263,MATCH($AQ155,$AP$12:$AP$263,0)), "-"),     TRUE, "0")</f>
        <v>0</v>
      </c>
      <c r="CH155" s="588">
        <f>IF(CG$9&gt;0, IF(OR(CG155="",CG155="-"), 0, CG155*$AT155), CF155*$AJ155)</f>
        <v>0</v>
      </c>
      <c r="CI155" s="587">
        <f>[1]COMMANDE!AO153</f>
        <v>0</v>
      </c>
      <c r="CJ155" s="586" t="str">
        <f>_xlfn.IFS(AND($AI155=$AM155,$AI155&gt;0,$AM155&gt;0,CI155&gt;0), CI155,     AND(NOT($AI155=$AM155),$AI155&gt;0,$AM155&gt;0,CI155&gt;0), ($AM155*CI155)/$AI155,     AND($AI155=0,$AM155&gt;0,$AQ155&gt;0), IF(INDEX(CI$12:CI$263,MATCH($AQ155,$AP$12:$AP$263,0))&gt;0,($AM155*INDEX(CI$12:CI$263,MATCH($AQ155,$AP$12:$AP$263,0)))/INDEX($AI$12:$AI$263,MATCH($AQ155,$AP$12:$AP$263,0)), "-"),     TRUE, "0")</f>
        <v>0</v>
      </c>
      <c r="CK155" s="607">
        <f>IF(CJ$9&gt;0, IF(OR(CJ155="",CJ155="-"), 0, CJ155*$AT155), CI155*$AJ155)</f>
        <v>0</v>
      </c>
      <c r="CL155" s="589">
        <f>[1]COMMANDE!AQ153</f>
        <v>0</v>
      </c>
      <c r="CM155" s="586" t="str">
        <f>_xlfn.IFS(AND($AI155=$AM155,$AI155&gt;0,$AM155&gt;0,CL155&gt;0), CL155,     AND(NOT($AI155=$AM155),$AI155&gt;0,$AM155&gt;0,CL155&gt;0), ($AM155*CL155)/$AI155,     AND($AI155=0,$AM155&gt;0,$AQ155&gt;0), IF(INDEX(CL$12:CL$263,MATCH($AQ155,$AP$12:$AP$263,0))&gt;0,($AM155*INDEX(CL$12:CL$263,MATCH($AQ155,$AP$12:$AP$263,0)))/INDEX($AI$12:$AI$263,MATCH($AQ155,$AP$12:$AP$263,0)), "-"),     TRUE, "0")</f>
        <v>0</v>
      </c>
      <c r="CN155" s="588">
        <f>IF(CM$9&gt;0, IF(OR(CM155="",CM155="-"), 0, CM155*$AT155), CL155*$AJ155)</f>
        <v>0</v>
      </c>
      <c r="CO155" s="587">
        <f>[1]COMMANDE!AS153</f>
        <v>0</v>
      </c>
      <c r="CP155" s="586" t="str">
        <f>_xlfn.IFS(AND($AI155=$AM155,$AI155&gt;0,$AM155&gt;0,CO155&gt;0), CO155,     AND(NOT($AI155=$AM155),$AI155&gt;0,$AM155&gt;0,CO155&gt;0), ($AM155*CO155)/$AI155,     AND($AI155=0,$AM155&gt;0,$AQ155&gt;0), IF(INDEX(CO$12:CO$263,MATCH($AQ155,$AP$12:$AP$263,0))&gt;0,($AM155*INDEX(CO$12:CO$263,MATCH($AQ155,$AP$12:$AP$263,0)))/INDEX($AI$12:$AI$263,MATCH($AQ155,$AP$12:$AP$263,0)), "-"),     TRUE, "0")</f>
        <v>0</v>
      </c>
      <c r="CQ155" s="607">
        <f>IF(CP$9&gt;0, IF(OR(CP155="",CP155="-"), 0, CP155*$AT155), CO155*$AJ155)</f>
        <v>0</v>
      </c>
      <c r="CR155" s="589">
        <f>[1]COMMANDE!AU153</f>
        <v>0</v>
      </c>
      <c r="CS155" s="586" t="str">
        <f>_xlfn.IFS(AND($AI155=$AM155,$AI155&gt;0,$AM155&gt;0,CR155&gt;0), CR155,     AND(NOT($AI155=$AM155),$AI155&gt;0,$AM155&gt;0,CR155&gt;0), ($AM155*CR155)/$AI155,     AND($AI155=0,$AM155&gt;0,$AQ155&gt;0), IF(INDEX(CR$12:CR$263,MATCH($AQ155,$AP$12:$AP$263,0))&gt;0,($AM155*INDEX(CR$12:CR$263,MATCH($AQ155,$AP$12:$AP$263,0)))/INDEX($AI$12:$AI$263,MATCH($AQ155,$AP$12:$AP$263,0)), "-"),     TRUE, "0")</f>
        <v>0</v>
      </c>
      <c r="CT155" s="588">
        <f>IF(CS$9&gt;0, IF(OR(CS155="",CS155="-"), 0, CS155*$AT155), CR155*$AJ155)</f>
        <v>0</v>
      </c>
      <c r="CU155" s="587">
        <f>[1]COMMANDE!AW153</f>
        <v>0</v>
      </c>
      <c r="CV155" s="586" t="str">
        <f>_xlfn.IFS(AND($AI155=$AM155,$AI155&gt;0,$AM155&gt;0,CU155&gt;0), CU155,     AND(NOT($AI155=$AM155),$AI155&gt;0,$AM155&gt;0,CU155&gt;0), ($AM155*CU155)/$AI155,     AND($AI155=0,$AM155&gt;0,$AQ155&gt;0), IF(INDEX(CU$12:CU$263,MATCH($AQ155,$AP$12:$AP$263,0))&gt;0,($AM155*INDEX(CU$12:CU$263,MATCH($AQ155,$AP$12:$AP$263,0)))/INDEX($AI$12:$AI$263,MATCH($AQ155,$AP$12:$AP$263,0)), "-"),     TRUE, "0")</f>
        <v>0</v>
      </c>
      <c r="CW155" s="607">
        <f>IF(CV$9&gt;0, IF(OR(CV155="",CV155="-"), 0, CV155*$AT155), CU155*$AJ155)</f>
        <v>0</v>
      </c>
      <c r="CX155" s="589">
        <f>[1]COMMANDE!AY153</f>
        <v>0</v>
      </c>
      <c r="CY155" s="586" t="str">
        <f>_xlfn.IFS(AND($AI155=$AM155,$AI155&gt;0,$AM155&gt;0,CX155&gt;0), CX155,     AND(NOT($AI155=$AM155),$AI155&gt;0,$AM155&gt;0,CX155&gt;0), ($AM155*CX155)/$AI155,     AND($AI155=0,$AM155&gt;0,$AQ155&gt;0), IF(INDEX(CX$12:CX$263,MATCH($AQ155,$AP$12:$AP$263,0))&gt;0,($AM155*INDEX(CX$12:CX$263,MATCH($AQ155,$AP$12:$AP$263,0)))/INDEX($AI$12:$AI$263,MATCH($AQ155,$AP$12:$AP$263,0)), "-"),     TRUE, "0")</f>
        <v>0</v>
      </c>
      <c r="CZ155" s="588">
        <f>IF(CY$9&gt;0, IF(OR(CY155="",CY155="-"), 0, CY155*$AT155), CX155*$AJ155)</f>
        <v>0</v>
      </c>
      <c r="DA155" s="587">
        <f>[1]COMMANDE!BA153</f>
        <v>0</v>
      </c>
      <c r="DB155" s="586" t="str">
        <f>_xlfn.IFS(AND($AI155=$AM155,$AI155&gt;0,$AM155&gt;0,DA155&gt;0), DA155,     AND(NOT($AI155=$AM155),$AI155&gt;0,$AM155&gt;0,DA155&gt;0), ($AM155*DA155)/$AI155,     AND($AI155=0,$AM155&gt;0,$AQ155&gt;0), IF(INDEX(DA$12:DA$263,MATCH($AQ155,$AP$12:$AP$263,0))&gt;0,($AM155*INDEX(DA$12:DA$263,MATCH($AQ155,$AP$12:$AP$263,0)))/INDEX($AI$12:$AI$263,MATCH($AQ155,$AP$12:$AP$263,0)), "-"),     TRUE, "0")</f>
        <v>0</v>
      </c>
      <c r="DC155" s="606">
        <f>IF(DB$9&gt;0, IF(OR(DB155="",DB155="-"), 0, DB155*$AT155), DA155*$AJ155)</f>
        <v>0</v>
      </c>
      <c r="DD155" s="584"/>
      <c r="DE155" s="583"/>
    </row>
    <row r="156" spans="1:128" ht="39.950000000000003" customHeight="1">
      <c r="A156" s="604">
        <f>IF(OR($AV156&gt;0, $AX156&gt;0), 1, 0)</f>
        <v>1</v>
      </c>
      <c r="B156" s="604">
        <f>IF(OR($AY156&gt;0, $BA156&gt;0), 1, 0)</f>
        <v>0</v>
      </c>
      <c r="C156" s="604">
        <f>IF(OR($BB156&gt;0, $BD156&gt;0), 1, 0)</f>
        <v>1</v>
      </c>
      <c r="D156" s="604">
        <f>IF(OR($BE156&gt;0, $BG156&gt;0), 1, 0)</f>
        <v>1</v>
      </c>
      <c r="E156" s="604">
        <f>IF(OR($BH156&gt;0, $BJ156&gt;0), 1, 0)</f>
        <v>0</v>
      </c>
      <c r="F156" s="604">
        <f>IF(OR($BK156&gt;0, $BM156&gt;0), 1, 0)</f>
        <v>0</v>
      </c>
      <c r="G156" s="604">
        <f>IF(OR($BN156&gt;0, $BP156&gt;0), 1, 0)</f>
        <v>0</v>
      </c>
      <c r="H156" s="604">
        <f>IF(OR($BQ156&gt;0, $BS156&gt;0), 1, 0)</f>
        <v>0</v>
      </c>
      <c r="I156" s="604">
        <f>IF(OR($BT156&gt;0, $BV156&gt;0), 1, 0)</f>
        <v>0</v>
      </c>
      <c r="J156" s="604">
        <f>IF(OR($BW156&gt;0, $BY156&gt;0), 1, 0)</f>
        <v>0</v>
      </c>
      <c r="K156" s="604">
        <f>IF(OR($BZ156&gt;0, $CB156&gt;0), 1, 0)</f>
        <v>0</v>
      </c>
      <c r="L156" s="604">
        <f>IF(OR($CC156&gt;0, $CE156&gt;0), 1, 0)</f>
        <v>0</v>
      </c>
      <c r="M156" s="604">
        <f>IF(OR($CF156&gt;0, $CH156&gt;0), 1, 0)</f>
        <v>0</v>
      </c>
      <c r="N156" s="604">
        <f>IF(OR($CI156&gt;0, $CK156&gt;0), 1, 0)</f>
        <v>0</v>
      </c>
      <c r="O156" s="604">
        <f>IF(OR($CL156&gt;0, $CN156&gt;0), 1, 0)</f>
        <v>0</v>
      </c>
      <c r="P156" s="604">
        <f>IF(OR($CO156&gt;0, $CQ156&gt;0), 1, 0)</f>
        <v>0</v>
      </c>
      <c r="Q156" s="604">
        <f>IF(OR($CR156&gt;0, $CT156&gt;0), 1, 0)</f>
        <v>0</v>
      </c>
      <c r="R156" s="604">
        <f>IF(OR($CU156&gt;0, $CW156&gt;0), 1, 0)</f>
        <v>0</v>
      </c>
      <c r="S156" s="604">
        <f>IF(OR($CX156&gt;0, $CZ156&gt;0), 1, 0)</f>
        <v>0</v>
      </c>
      <c r="T156" s="604">
        <f>IF(OR($DA156&gt;0, $DC156&gt;0), 1, 0)</f>
        <v>0</v>
      </c>
      <c r="U156" s="603">
        <f>IF(OR($AI156&gt;0,$AM156&gt;0,$AS156&gt;0), 1, 0)</f>
        <v>1</v>
      </c>
      <c r="V156" s="602">
        <f>[1]BDD!A146</f>
        <v>1207</v>
      </c>
      <c r="W156" s="601" t="str">
        <f>[1]BDD!B146</f>
        <v>Mandarine BIO</v>
      </c>
      <c r="X156" s="600" t="str">
        <f>IF([1]BDD!F146=0, "", [1]BDD!F146)</f>
        <v/>
      </c>
      <c r="Y156" s="542">
        <f>ROUND([1]BDD!G146+FDP_CMD_KG, 2)</f>
        <v>3.32</v>
      </c>
      <c r="Z156" s="542">
        <f>ROUND([1]BDD!G146+FDP_FACT_KG, 2)</f>
        <v>3.32</v>
      </c>
      <c r="AA156" s="543" t="str">
        <f>[1]BDD!H146</f>
        <v>kg</v>
      </c>
      <c r="AB156" s="544">
        <f>IF(NOT(ISBLANK([1]BDD!I146)), ROUND(SUM(([1]BDD!G146*reduc1),FDP_CMD_KG), 2), "")</f>
        <v>3.08</v>
      </c>
      <c r="AC156" s="544">
        <f>IF(NOT(ISBLANK([1]BDD!J146)), ROUND(SUM(([1]BDD!G146*reduc2),FDP_CMD_KG), 2), "")</f>
        <v>2.83</v>
      </c>
      <c r="AD156" s="544" t="str">
        <f>IF(NOT(ISBLANK([1]BDD!K146)), ROUND(SUM(([1]BDD!G146*reduc3),FDP_CMD_KG), 2), "")</f>
        <v/>
      </c>
      <c r="AE156" s="544">
        <f>IF(NOT(ISBLANK([1]BDD!I146)), ROUND(SUM(([1]BDD!G146*reduc1),FDP_FACT_KG), 2), "")</f>
        <v>3.07</v>
      </c>
      <c r="AF156" s="544">
        <f>IF(NOT(ISBLANK([1]BDD!J146)), ROUND(SUM(([1]BDD!G146*reduc2),FDP_FACT_KG), 2), "")</f>
        <v>2.83</v>
      </c>
      <c r="AG156" s="544" t="str">
        <f>IF(NOT(ISBLANK([1]BDD!K146)), ROUND(SUM(([1]BDD!G146*reduc3),FDP_FACT_KG), 2), "")</f>
        <v/>
      </c>
      <c r="AH156" s="599" t="str">
        <f>[1]BDD!C146</f>
        <v>Grenade</v>
      </c>
      <c r="AI156" s="598">
        <f>SUM(AV156,AY156,BB156,BE156,BH156,BK156,BN156,BQ156,BT156,BW156,BZ156,CC156,CF156,CI156,CL156,CO156,CR156,CU156,CX156,DA156)</f>
        <v>10</v>
      </c>
      <c r="AJ156" s="545">
        <f>_xlfn.IFS($AD156&lt;&gt;"", $AD156,    $AC156&lt;&gt;"", $AC156,    $AB156&lt;&gt;"", $AB156,    TRUE, $Y156)</f>
        <v>2.83</v>
      </c>
      <c r="AK156" s="592">
        <f>$AI156*$AJ156</f>
        <v>28.3</v>
      </c>
      <c r="AL156" s="594"/>
      <c r="AM156" s="597">
        <v>10</v>
      </c>
      <c r="AN156" s="545">
        <f>_xlfn.IFS(AND(AM156&gt;=60,$AG156&lt;&gt;""), $AG156,    AND(AM156&gt;=30,$AF156&lt;&gt;""), $AF156,    AND(AM156&gt;=10,$AE156&lt;&gt;""), $AE156,    TRUE, $Z156)</f>
        <v>3.07</v>
      </c>
      <c r="AO156" s="596">
        <f>AM156*AN156</f>
        <v>30.7</v>
      </c>
      <c r="AP156" s="595"/>
      <c r="AQ156" s="595"/>
      <c r="AR156" s="594"/>
      <c r="AS156" s="593">
        <f>SUM(AW156,AZ156,BC156,BF156,BI156,BL156,BO156,BR156,BU156,BX156,CA156,CD156,CG156,CJ156,CM156,CP156,CS156,CV156,CY156,DB156)</f>
        <v>10</v>
      </c>
      <c r="AT156" s="545">
        <f>_xlfn.IFS(AND(AS156&gt;=60,$AG156&lt;&gt;""), $AG156,    AND(AS156&gt;=30,$AF156&lt;&gt;""), $AF156,    AND(AS156&gt;=10,$AE156&lt;&gt;""), $AE156,    TRUE, $Z156)</f>
        <v>3.07</v>
      </c>
      <c r="AU156" s="592">
        <f>$AS156*$AT156</f>
        <v>30.7</v>
      </c>
      <c r="AV156" s="591">
        <f>[1]COMMANDE!O154</f>
        <v>5</v>
      </c>
      <c r="AW156" s="586">
        <f>_xlfn.IFS(AND($AI156=$AM156,$AI156&gt;0,$AM156&gt;0,AV156&gt;0), AV156,     AND(NOT($AI156=$AM156),$AI156&gt;0,$AM156&gt;0,AV156&gt;0), ($AM156*AV156)/$AI156,     AND($AI156=0,$AM156&gt;0,$AQ156&gt;0), IF(INDEX(AV$12:AV$263,MATCH($AQ156,$AP$12:$AP$263,0))&gt;0,($AM156*INDEX(AV$12:AV$263,MATCH($AQ156,$AP$12:$AP$263,0)))/INDEX($AI$12:$AI$263,MATCH($AQ156,$AP$12:$AP$263,0)), "-"),     TRUE, "0")</f>
        <v>5</v>
      </c>
      <c r="AX156" s="588">
        <f>IF(AW$9&gt;0, IF(OR(AW156="",AW156="-"), 0, AW156*$AT156), AV156*$AJ156)</f>
        <v>15.35</v>
      </c>
      <c r="AY156" s="587">
        <f>[1]COMMANDE!Q154</f>
        <v>0</v>
      </c>
      <c r="AZ156" s="586" t="str">
        <f>_xlfn.IFS(AND($AI156=$AM156,$AI156&gt;0,$AM156&gt;0,AY156&gt;0), AY156,     AND(NOT($AI156=$AM156),$AI156&gt;0,$AM156&gt;0,AY156&gt;0), ($AM156*AY156)/$AI156,     AND($AI156=0,$AM156&gt;0,$AQ156&gt;0), IF(INDEX(AY$12:AY$263,MATCH($AQ156,$AP$12:$AP$263,0))&gt;0,($AM156*INDEX(AY$12:AY$263,MATCH($AQ156,$AP$12:$AP$263,0)))/INDEX($AI$12:$AI$263,MATCH($AQ156,$AP$12:$AP$263,0)), "-"),     TRUE, "0")</f>
        <v>0</v>
      </c>
      <c r="BA156" s="607">
        <f>IF(AZ$9&gt;0, IF(OR(AZ156="",AZ156="-"), 0, AZ156*$AT156), AY156*$AJ156)</f>
        <v>0</v>
      </c>
      <c r="BB156" s="589">
        <f>[1]COMMANDE!S154</f>
        <v>2</v>
      </c>
      <c r="BC156" s="586">
        <f>_xlfn.IFS(AND($AI156=$AM156,$AI156&gt;0,$AM156&gt;0,BB156&gt;0), BB156,     AND(NOT($AI156=$AM156),$AI156&gt;0,$AM156&gt;0,BB156&gt;0), ($AM156*BB156)/$AI156,     AND($AI156=0,$AM156&gt;0,$AQ156&gt;0), IF(INDEX(BB$12:BB$263,MATCH($AQ156,$AP$12:$AP$263,0))&gt;0,($AM156*INDEX(BB$12:BB$263,MATCH($AQ156,$AP$12:$AP$263,0)))/INDEX($AI$12:$AI$263,MATCH($AQ156,$AP$12:$AP$263,0)), "-"),     TRUE, "0")</f>
        <v>2</v>
      </c>
      <c r="BD156" s="588">
        <f>IF(BC$9&gt;0, IF(OR(BC156="",BC156="-"), 0, BC156*$AT156), BB156*$AJ156)</f>
        <v>6.14</v>
      </c>
      <c r="BE156" s="587">
        <f>[1]COMMANDE!U154</f>
        <v>3</v>
      </c>
      <c r="BF156" s="586">
        <f>_xlfn.IFS(AND($AI156=$AM156,$AI156&gt;0,$AM156&gt;0,BE156&gt;0), BE156,     AND(NOT($AI156=$AM156),$AI156&gt;0,$AM156&gt;0,BE156&gt;0), ($AM156*BE156)/$AI156,     AND($AI156=0,$AM156&gt;0,$AQ156&gt;0), IF(INDEX(BE$12:BE$263,MATCH($AQ156,$AP$12:$AP$263,0))&gt;0,($AM156*INDEX(BE$12:BE$263,MATCH($AQ156,$AP$12:$AP$263,0)))/INDEX($AI$12:$AI$263,MATCH($AQ156,$AP$12:$AP$263,0)), "-"),     TRUE, "0")</f>
        <v>3</v>
      </c>
      <c r="BG156" s="607">
        <f>IF(BF$9&gt;0, IF(OR(BF156="",BF156="-"), 0, BF156*$AT156), BE156*$AJ156)</f>
        <v>9.2099999999999991</v>
      </c>
      <c r="BH156" s="589">
        <f>[1]COMMANDE!W154</f>
        <v>0</v>
      </c>
      <c r="BI156" s="586" t="str">
        <f>_xlfn.IFS(AND($AI156=$AM156,$AI156&gt;0,$AM156&gt;0,BH156&gt;0), BH156,     AND(NOT($AI156=$AM156),$AI156&gt;0,$AM156&gt;0,BH156&gt;0), ($AM156*BH156)/$AI156,     AND($AI156=0,$AM156&gt;0,$AQ156&gt;0), IF(INDEX(BH$12:BH$263,MATCH($AQ156,$AP$12:$AP$263,0))&gt;0,($AM156*INDEX(BH$12:BH$263,MATCH($AQ156,$AP$12:$AP$263,0)))/INDEX($AI$12:$AI$263,MATCH($AQ156,$AP$12:$AP$263,0)), "-"),     TRUE, "0")</f>
        <v>0</v>
      </c>
      <c r="BJ156" s="588">
        <f>IF(BI$9&gt;0, IF(OR(BI156="",BI156="-"), 0, BI156*$AT156), BH156*$AJ156)</f>
        <v>0</v>
      </c>
      <c r="BK156" s="587">
        <f>[1]COMMANDE!Y154</f>
        <v>0</v>
      </c>
      <c r="BL156" s="586" t="str">
        <f>_xlfn.IFS(AND($AI156=$AM156,$AI156&gt;0,$AM156&gt;0,BK156&gt;0), BK156,     AND(NOT($AI156=$AM156),$AI156&gt;0,$AM156&gt;0,BK156&gt;0), ($AM156*BK156)/$AI156,     AND($AI156=0,$AM156&gt;0,$AQ156&gt;0), IF(INDEX(BK$12:BK$263,MATCH($AQ156,$AP$12:$AP$263,0))&gt;0,($AM156*INDEX(BK$12:BK$263,MATCH($AQ156,$AP$12:$AP$263,0)))/INDEX($AI$12:$AI$263,MATCH($AQ156,$AP$12:$AP$263,0)), "-"),     TRUE, "0")</f>
        <v>0</v>
      </c>
      <c r="BM156" s="607">
        <f>IF(BL$9&gt;0, IF(OR(BL156="",BL156="-"), 0, BL156*$AT156), BK156*$AJ156)</f>
        <v>0</v>
      </c>
      <c r="BN156" s="589">
        <f>[1]COMMANDE!AA154</f>
        <v>0</v>
      </c>
      <c r="BO156" s="586" t="str">
        <f>_xlfn.IFS(AND($AI156=$AM156,$AI156&gt;0,$AM156&gt;0,BN156&gt;0), BN156,     AND(NOT($AI156=$AM156),$AI156&gt;0,$AM156&gt;0,BN156&gt;0), ($AM156*BN156)/$AI156,     AND($AI156=0,$AM156&gt;0,$AQ156&gt;0), IF(INDEX(BN$12:BN$263,MATCH($AQ156,$AP$12:$AP$263,0))&gt;0,($AM156*INDEX(BN$12:BN$263,MATCH($AQ156,$AP$12:$AP$263,0)))/INDEX($AI$12:$AI$263,MATCH($AQ156,$AP$12:$AP$263,0)), "-"),     TRUE, "0")</f>
        <v>0</v>
      </c>
      <c r="BP156" s="588">
        <f>IF(BO$9&gt;0, IF(OR(BO156="",BO156="-"), 0, BO156*$AT156), BN156*$AJ156)</f>
        <v>0</v>
      </c>
      <c r="BQ156" s="587">
        <f>[1]COMMANDE!AC154</f>
        <v>0</v>
      </c>
      <c r="BR156" s="586" t="str">
        <f>_xlfn.IFS(AND($AI156=$AM156,$AI156&gt;0,$AM156&gt;0,BQ156&gt;0), BQ156,     AND(NOT($AI156=$AM156),$AI156&gt;0,$AM156&gt;0,BQ156&gt;0), ($AM156*BQ156)/$AI156,     AND($AI156=0,$AM156&gt;0,$AQ156&gt;0), IF(INDEX(BQ$12:BQ$263,MATCH($AQ156,$AP$12:$AP$263,0))&gt;0,($AM156*INDEX(BQ$12:BQ$263,MATCH($AQ156,$AP$12:$AP$263,0)))/INDEX($AI$12:$AI$263,MATCH($AQ156,$AP$12:$AP$263,0)), "-"),     TRUE, "0")</f>
        <v>0</v>
      </c>
      <c r="BS156" s="607">
        <f>IF(BR$9&gt;0, IF(OR(BR156="",BR156="-"), 0, BR156*$AT156), BQ156*$AJ156)</f>
        <v>0</v>
      </c>
      <c r="BT156" s="589">
        <f>[1]COMMANDE!AE154</f>
        <v>0</v>
      </c>
      <c r="BU156" s="586" t="str">
        <f>_xlfn.IFS(AND($AI156=$AM156,$AI156&gt;0,$AM156&gt;0,BT156&gt;0), BT156,     AND(NOT($AI156=$AM156),$AI156&gt;0,$AM156&gt;0,BT156&gt;0), ($AM156*BT156)/$AI156,     AND($AI156=0,$AM156&gt;0,$AQ156&gt;0), IF(INDEX(BT$12:BT$263,MATCH($AQ156,$AP$12:$AP$263,0))&gt;0,($AM156*INDEX(BT$12:BT$263,MATCH($AQ156,$AP$12:$AP$263,0)))/INDEX($AI$12:$AI$263,MATCH($AQ156,$AP$12:$AP$263,0)), "-"),     TRUE, "0")</f>
        <v>0</v>
      </c>
      <c r="BV156" s="588">
        <f>IF(BU$9&gt;0, IF(OR(BU156="",BU156="-"), 0, BU156*$AT156), BT156*$AJ156)</f>
        <v>0</v>
      </c>
      <c r="BW156" s="587">
        <f>[1]COMMANDE!AG154</f>
        <v>0</v>
      </c>
      <c r="BX156" s="586" t="str">
        <f>_xlfn.IFS(AND($AI156=$AM156,$AI156&gt;0,$AM156&gt;0,BW156&gt;0), BW156,     AND(NOT($AI156=$AM156),$AI156&gt;0,$AM156&gt;0,BW156&gt;0), ($AM156*BW156)/$AI156,     AND($AI156=0,$AM156&gt;0,$AQ156&gt;0), IF(INDEX(BW$12:BW$263,MATCH($AQ156,$AP$12:$AP$263,0))&gt;0,($AM156*INDEX(BW$12:BW$263,MATCH($AQ156,$AP$12:$AP$263,0)))/INDEX($AI$12:$AI$263,MATCH($AQ156,$AP$12:$AP$263,0)), "-"),     TRUE, "0")</f>
        <v>0</v>
      </c>
      <c r="BY156" s="607">
        <f>IF(BX$9&gt;0, IF(OR(BX156="",BX156="-"), 0, BX156*$AT156), BW156*$AJ156)</f>
        <v>0</v>
      </c>
      <c r="BZ156" s="589">
        <f>[1]COMMANDE!AI154</f>
        <v>0</v>
      </c>
      <c r="CA156" s="586" t="str">
        <f>_xlfn.IFS(AND($AI156=$AM156,$AI156&gt;0,$AM156&gt;0,BZ156&gt;0), BZ156,     AND(NOT($AI156=$AM156),$AI156&gt;0,$AM156&gt;0,BZ156&gt;0), ($AM156*BZ156)/$AI156,     AND($AI156=0,$AM156&gt;0,$AQ156&gt;0), IF(INDEX(BZ$12:BZ$263,MATCH($AQ156,$AP$12:$AP$263,0))&gt;0,($AM156*INDEX(BZ$12:BZ$263,MATCH($AQ156,$AP$12:$AP$263,0)))/INDEX($AI$12:$AI$263,MATCH($AQ156,$AP$12:$AP$263,0)), "-"),     TRUE, "0")</f>
        <v>0</v>
      </c>
      <c r="CB156" s="588">
        <f>IF(CA$9&gt;0, IF(OR(CA156="",CA156="-"), 0, CA156*$AT156), BZ156*$AJ156)</f>
        <v>0</v>
      </c>
      <c r="CC156" s="587">
        <f>[1]COMMANDE!AK154</f>
        <v>0</v>
      </c>
      <c r="CD156" s="586" t="str">
        <f>_xlfn.IFS(AND($AI156=$AM156,$AI156&gt;0,$AM156&gt;0,CC156&gt;0), CC156,     AND(NOT($AI156=$AM156),$AI156&gt;0,$AM156&gt;0,CC156&gt;0), ($AM156*CC156)/$AI156,     AND($AI156=0,$AM156&gt;0,$AQ156&gt;0), IF(INDEX(CC$12:CC$263,MATCH($AQ156,$AP$12:$AP$263,0))&gt;0,($AM156*INDEX(CC$12:CC$263,MATCH($AQ156,$AP$12:$AP$263,0)))/INDEX($AI$12:$AI$263,MATCH($AQ156,$AP$12:$AP$263,0)), "-"),     TRUE, "0")</f>
        <v>0</v>
      </c>
      <c r="CE156" s="607">
        <f>IF(CD$9&gt;0, IF(OR(CD156="",CD156="-"), 0, CD156*$AT156), CC156*$AJ156)</f>
        <v>0</v>
      </c>
      <c r="CF156" s="589">
        <f>[1]COMMANDE!AM154</f>
        <v>0</v>
      </c>
      <c r="CG156" s="586" t="str">
        <f>_xlfn.IFS(AND($AI156=$AM156,$AI156&gt;0,$AM156&gt;0,CF156&gt;0), CF156,     AND(NOT($AI156=$AM156),$AI156&gt;0,$AM156&gt;0,CF156&gt;0), ($AM156*CF156)/$AI156,     AND($AI156=0,$AM156&gt;0,$AQ156&gt;0), IF(INDEX(CF$12:CF$263,MATCH($AQ156,$AP$12:$AP$263,0))&gt;0,($AM156*INDEX(CF$12:CF$263,MATCH($AQ156,$AP$12:$AP$263,0)))/INDEX($AI$12:$AI$263,MATCH($AQ156,$AP$12:$AP$263,0)), "-"),     TRUE, "0")</f>
        <v>0</v>
      </c>
      <c r="CH156" s="588">
        <f>IF(CG$9&gt;0, IF(OR(CG156="",CG156="-"), 0, CG156*$AT156), CF156*$AJ156)</f>
        <v>0</v>
      </c>
      <c r="CI156" s="587">
        <f>[1]COMMANDE!AO154</f>
        <v>0</v>
      </c>
      <c r="CJ156" s="586" t="str">
        <f>_xlfn.IFS(AND($AI156=$AM156,$AI156&gt;0,$AM156&gt;0,CI156&gt;0), CI156,     AND(NOT($AI156=$AM156),$AI156&gt;0,$AM156&gt;0,CI156&gt;0), ($AM156*CI156)/$AI156,     AND($AI156=0,$AM156&gt;0,$AQ156&gt;0), IF(INDEX(CI$12:CI$263,MATCH($AQ156,$AP$12:$AP$263,0))&gt;0,($AM156*INDEX(CI$12:CI$263,MATCH($AQ156,$AP$12:$AP$263,0)))/INDEX($AI$12:$AI$263,MATCH($AQ156,$AP$12:$AP$263,0)), "-"),     TRUE, "0")</f>
        <v>0</v>
      </c>
      <c r="CK156" s="607">
        <f>IF(CJ$9&gt;0, IF(OR(CJ156="",CJ156="-"), 0, CJ156*$AT156), CI156*$AJ156)</f>
        <v>0</v>
      </c>
      <c r="CL156" s="589">
        <f>[1]COMMANDE!AQ154</f>
        <v>0</v>
      </c>
      <c r="CM156" s="586" t="str">
        <f>_xlfn.IFS(AND($AI156=$AM156,$AI156&gt;0,$AM156&gt;0,CL156&gt;0), CL156,     AND(NOT($AI156=$AM156),$AI156&gt;0,$AM156&gt;0,CL156&gt;0), ($AM156*CL156)/$AI156,     AND($AI156=0,$AM156&gt;0,$AQ156&gt;0), IF(INDEX(CL$12:CL$263,MATCH($AQ156,$AP$12:$AP$263,0))&gt;0,($AM156*INDEX(CL$12:CL$263,MATCH($AQ156,$AP$12:$AP$263,0)))/INDEX($AI$12:$AI$263,MATCH($AQ156,$AP$12:$AP$263,0)), "-"),     TRUE, "0")</f>
        <v>0</v>
      </c>
      <c r="CN156" s="588">
        <f>IF(CM$9&gt;0, IF(OR(CM156="",CM156="-"), 0, CM156*$AT156), CL156*$AJ156)</f>
        <v>0</v>
      </c>
      <c r="CO156" s="587">
        <f>[1]COMMANDE!AS154</f>
        <v>0</v>
      </c>
      <c r="CP156" s="586" t="str">
        <f>_xlfn.IFS(AND($AI156=$AM156,$AI156&gt;0,$AM156&gt;0,CO156&gt;0), CO156,     AND(NOT($AI156=$AM156),$AI156&gt;0,$AM156&gt;0,CO156&gt;0), ($AM156*CO156)/$AI156,     AND($AI156=0,$AM156&gt;0,$AQ156&gt;0), IF(INDEX(CO$12:CO$263,MATCH($AQ156,$AP$12:$AP$263,0))&gt;0,($AM156*INDEX(CO$12:CO$263,MATCH($AQ156,$AP$12:$AP$263,0)))/INDEX($AI$12:$AI$263,MATCH($AQ156,$AP$12:$AP$263,0)), "-"),     TRUE, "0")</f>
        <v>0</v>
      </c>
      <c r="CQ156" s="607">
        <f>IF(CP$9&gt;0, IF(OR(CP156="",CP156="-"), 0, CP156*$AT156), CO156*$AJ156)</f>
        <v>0</v>
      </c>
      <c r="CR156" s="589">
        <f>[1]COMMANDE!AU154</f>
        <v>0</v>
      </c>
      <c r="CS156" s="586" t="str">
        <f>_xlfn.IFS(AND($AI156=$AM156,$AI156&gt;0,$AM156&gt;0,CR156&gt;0), CR156,     AND(NOT($AI156=$AM156),$AI156&gt;0,$AM156&gt;0,CR156&gt;0), ($AM156*CR156)/$AI156,     AND($AI156=0,$AM156&gt;0,$AQ156&gt;0), IF(INDEX(CR$12:CR$263,MATCH($AQ156,$AP$12:$AP$263,0))&gt;0,($AM156*INDEX(CR$12:CR$263,MATCH($AQ156,$AP$12:$AP$263,0)))/INDEX($AI$12:$AI$263,MATCH($AQ156,$AP$12:$AP$263,0)), "-"),     TRUE, "0")</f>
        <v>0</v>
      </c>
      <c r="CT156" s="588">
        <f>IF(CS$9&gt;0, IF(OR(CS156="",CS156="-"), 0, CS156*$AT156), CR156*$AJ156)</f>
        <v>0</v>
      </c>
      <c r="CU156" s="587">
        <f>[1]COMMANDE!AW154</f>
        <v>0</v>
      </c>
      <c r="CV156" s="586" t="str">
        <f>_xlfn.IFS(AND($AI156=$AM156,$AI156&gt;0,$AM156&gt;0,CU156&gt;0), CU156,     AND(NOT($AI156=$AM156),$AI156&gt;0,$AM156&gt;0,CU156&gt;0), ($AM156*CU156)/$AI156,     AND($AI156=0,$AM156&gt;0,$AQ156&gt;0), IF(INDEX(CU$12:CU$263,MATCH($AQ156,$AP$12:$AP$263,0))&gt;0,($AM156*INDEX(CU$12:CU$263,MATCH($AQ156,$AP$12:$AP$263,0)))/INDEX($AI$12:$AI$263,MATCH($AQ156,$AP$12:$AP$263,0)), "-"),     TRUE, "0")</f>
        <v>0</v>
      </c>
      <c r="CW156" s="607">
        <f>IF(CV$9&gt;0, IF(OR(CV156="",CV156="-"), 0, CV156*$AT156), CU156*$AJ156)</f>
        <v>0</v>
      </c>
      <c r="CX156" s="589">
        <f>[1]COMMANDE!AY154</f>
        <v>0</v>
      </c>
      <c r="CY156" s="586" t="str">
        <f>_xlfn.IFS(AND($AI156=$AM156,$AI156&gt;0,$AM156&gt;0,CX156&gt;0), CX156,     AND(NOT($AI156=$AM156),$AI156&gt;0,$AM156&gt;0,CX156&gt;0), ($AM156*CX156)/$AI156,     AND($AI156=0,$AM156&gt;0,$AQ156&gt;0), IF(INDEX(CX$12:CX$263,MATCH($AQ156,$AP$12:$AP$263,0))&gt;0,($AM156*INDEX(CX$12:CX$263,MATCH($AQ156,$AP$12:$AP$263,0)))/INDEX($AI$12:$AI$263,MATCH($AQ156,$AP$12:$AP$263,0)), "-"),     TRUE, "0")</f>
        <v>0</v>
      </c>
      <c r="CZ156" s="588">
        <f>IF(CY$9&gt;0, IF(OR(CY156="",CY156="-"), 0, CY156*$AT156), CX156*$AJ156)</f>
        <v>0</v>
      </c>
      <c r="DA156" s="587">
        <f>[1]COMMANDE!BA154</f>
        <v>0</v>
      </c>
      <c r="DB156" s="586" t="str">
        <f>_xlfn.IFS(AND($AI156=$AM156,$AI156&gt;0,$AM156&gt;0,DA156&gt;0), DA156,     AND(NOT($AI156=$AM156),$AI156&gt;0,$AM156&gt;0,DA156&gt;0), ($AM156*DA156)/$AI156,     AND($AI156=0,$AM156&gt;0,$AQ156&gt;0), IF(INDEX(DA$12:DA$263,MATCH($AQ156,$AP$12:$AP$263,0))&gt;0,($AM156*INDEX(DA$12:DA$263,MATCH($AQ156,$AP$12:$AP$263,0)))/INDEX($AI$12:$AI$263,MATCH($AQ156,$AP$12:$AP$263,0)), "-"),     TRUE, "0")</f>
        <v>0</v>
      </c>
      <c r="DC156" s="606">
        <f>IF(DB$9&gt;0, IF(OR(DB156="",DB156="-"), 0, DB156*$AT156), DA156*$AJ156)</f>
        <v>0</v>
      </c>
      <c r="DD156" s="584"/>
      <c r="DE156" s="583"/>
    </row>
    <row r="157" spans="1:128" ht="39.950000000000003" hidden="1" customHeight="1">
      <c r="A157" s="604">
        <f>IF(OR($AV157&gt;0, $AX157&gt;0), 1, 0)</f>
        <v>0</v>
      </c>
      <c r="B157" s="604">
        <f>IF(OR($AY157&gt;0, $BA157&gt;0), 1, 0)</f>
        <v>0</v>
      </c>
      <c r="C157" s="604">
        <f>IF(OR($BB157&gt;0, $BD157&gt;0), 1, 0)</f>
        <v>0</v>
      </c>
      <c r="D157" s="604">
        <f>IF(OR($BE157&gt;0, $BG157&gt;0), 1, 0)</f>
        <v>0</v>
      </c>
      <c r="E157" s="604">
        <f>IF(OR($BH157&gt;0, $BJ157&gt;0), 1, 0)</f>
        <v>0</v>
      </c>
      <c r="F157" s="604">
        <f>IF(OR($BK157&gt;0, $BM157&gt;0), 1, 0)</f>
        <v>0</v>
      </c>
      <c r="G157" s="604">
        <f>IF(OR($BN157&gt;0, $BP157&gt;0), 1, 0)</f>
        <v>0</v>
      </c>
      <c r="H157" s="604">
        <f>IF(OR($BQ157&gt;0, $BS157&gt;0), 1, 0)</f>
        <v>0</v>
      </c>
      <c r="I157" s="604">
        <f>IF(OR($BT157&gt;0, $BV157&gt;0), 1, 0)</f>
        <v>0</v>
      </c>
      <c r="J157" s="604">
        <f>IF(OR($BW157&gt;0, $BY157&gt;0), 1, 0)</f>
        <v>0</v>
      </c>
      <c r="K157" s="604">
        <f>IF(OR($BZ157&gt;0, $CB157&gt;0), 1, 0)</f>
        <v>0</v>
      </c>
      <c r="L157" s="604">
        <f>IF(OR($CC157&gt;0, $CE157&gt;0), 1, 0)</f>
        <v>0</v>
      </c>
      <c r="M157" s="604">
        <f>IF(OR($CF157&gt;0, $CH157&gt;0), 1, 0)</f>
        <v>0</v>
      </c>
      <c r="N157" s="604">
        <f>IF(OR($CI157&gt;0, $CK157&gt;0), 1, 0)</f>
        <v>0</v>
      </c>
      <c r="O157" s="604">
        <f>IF(OR($CL157&gt;0, $CN157&gt;0), 1, 0)</f>
        <v>0</v>
      </c>
      <c r="P157" s="604">
        <f>IF(OR($CO157&gt;0, $CQ157&gt;0), 1, 0)</f>
        <v>0</v>
      </c>
      <c r="Q157" s="604">
        <f>IF(OR($CR157&gt;0, $CT157&gt;0), 1, 0)</f>
        <v>0</v>
      </c>
      <c r="R157" s="604">
        <f>IF(OR($CU157&gt;0, $CW157&gt;0), 1, 0)</f>
        <v>0</v>
      </c>
      <c r="S157" s="604">
        <f>IF(OR($CX157&gt;0, $CZ157&gt;0), 1, 0)</f>
        <v>0</v>
      </c>
      <c r="T157" s="604">
        <f>IF(OR($DA157&gt;0, $DC157&gt;0), 1, 0)</f>
        <v>0</v>
      </c>
      <c r="U157" s="603">
        <f>IF(OR($AI157&gt;0,$AM157&gt;0,$AS157&gt;0), 1, 0)</f>
        <v>0</v>
      </c>
      <c r="V157" s="602">
        <f>[1]BDD!A147</f>
        <v>3308</v>
      </c>
      <c r="W157" s="601" t="str">
        <f>[1]BDD!B147</f>
        <v>Mandarine Clemenules</v>
      </c>
      <c r="X157" s="600" t="str">
        <f>IF([1]BDD!F147=0, "", [1]BDD!F147)</f>
        <v/>
      </c>
      <c r="Y157" s="542">
        <f>ROUND([1]BDD!G147+FDP_CMD_KG, 2)</f>
        <v>2.91</v>
      </c>
      <c r="Z157" s="542">
        <f>ROUND([1]BDD!G147+FDP_FACT_KG, 2)</f>
        <v>2.91</v>
      </c>
      <c r="AA157" s="543" t="str">
        <f>[1]BDD!H147</f>
        <v>kg</v>
      </c>
      <c r="AB157" s="544">
        <f>IF(NOT(ISBLANK([1]BDD!I147)), ROUND(SUM(([1]BDD!G147*reduc1),FDP_CMD_KG), 2), "")</f>
        <v>2.71</v>
      </c>
      <c r="AC157" s="544" t="str">
        <f>IF(NOT(ISBLANK([1]BDD!J147)), ROUND(SUM(([1]BDD!G147*reduc2),FDP_CMD_KG), 2), "")</f>
        <v/>
      </c>
      <c r="AD157" s="544" t="str">
        <f>IF(NOT(ISBLANK([1]BDD!K147)), ROUND(SUM(([1]BDD!G147*reduc3),FDP_CMD_KG), 2), "")</f>
        <v/>
      </c>
      <c r="AE157" s="544">
        <f>IF(NOT(ISBLANK([1]BDD!I147)), ROUND(SUM(([1]BDD!G147*reduc1),FDP_FACT_KG), 2), "")</f>
        <v>2.7</v>
      </c>
      <c r="AF157" s="544" t="str">
        <f>IF(NOT(ISBLANK([1]BDD!J147)), ROUND(SUM(([1]BDD!G147*reduc2),FDP_FACT_KG), 2), "")</f>
        <v/>
      </c>
      <c r="AG157" s="544" t="str">
        <f>IF(NOT(ISBLANK([1]BDD!K147)), ROUND(SUM(([1]BDD!G147*reduc3),FDP_FACT_KG), 2), "")</f>
        <v/>
      </c>
      <c r="AH157" s="599" t="str">
        <f>[1]BDD!C147</f>
        <v>Grenade</v>
      </c>
      <c r="AI157" s="598">
        <f>SUM(AV157,AY157,BB157,BE157,BH157,BK157,BN157,BQ157,BT157,BW157,BZ157,CC157,CF157,CI157,CL157,CO157,CR157,CU157,CX157,DA157)</f>
        <v>0</v>
      </c>
      <c r="AJ157" s="545">
        <f>_xlfn.IFS($AD157&lt;&gt;"", $AD157,    $AC157&lt;&gt;"", $AC157,    $AB157&lt;&gt;"", $AB157,    TRUE, $Y157)</f>
        <v>2.71</v>
      </c>
      <c r="AK157" s="592">
        <f>$AI157*$AJ157</f>
        <v>0</v>
      </c>
      <c r="AL157" s="594"/>
      <c r="AM157" s="597"/>
      <c r="AN157" s="545">
        <f>_xlfn.IFS(AND(AM157&gt;=60,$AG157&lt;&gt;""), $AG157,    AND(AM157&gt;=30,$AF157&lt;&gt;""), $AF157,    AND(AM157&gt;=10,$AE157&lt;&gt;""), $AE157,    TRUE, $Z157)</f>
        <v>2.91</v>
      </c>
      <c r="AO157" s="596">
        <f>AM157*AN157</f>
        <v>0</v>
      </c>
      <c r="AP157" s="595"/>
      <c r="AQ157" s="595"/>
      <c r="AR157" s="594"/>
      <c r="AS157" s="593">
        <f>SUM(AW157,AZ157,BC157,BF157,BI157,BL157,BO157,BR157,BU157,BX157,CA157,CD157,CG157,CJ157,CM157,CP157,CS157,CV157,CY157,DB157)</f>
        <v>0</v>
      </c>
      <c r="AT157" s="545">
        <f>_xlfn.IFS(AND(AS157&gt;=60,$AG157&lt;&gt;""), $AG157,    AND(AS157&gt;=30,$AF157&lt;&gt;""), $AF157,    AND(AS157&gt;=10,$AE157&lt;&gt;""), $AE157,    TRUE, $Z157)</f>
        <v>2.91</v>
      </c>
      <c r="AU157" s="592">
        <f>$AS157*$AT157</f>
        <v>0</v>
      </c>
      <c r="AV157" s="591">
        <f>[1]COMMANDE!O155</f>
        <v>0</v>
      </c>
      <c r="AW157" s="586" t="str">
        <f>_xlfn.IFS(AND($AI157=$AM157,$AI157&gt;0,$AM157&gt;0,AV157&gt;0), AV157,     AND(NOT($AI157=$AM157),$AI157&gt;0,$AM157&gt;0,AV157&gt;0), ($AM157*AV157)/$AI157,     AND($AI157=0,$AM157&gt;0,$AQ157&gt;0), IF(INDEX(AV$12:AV$263,MATCH($AQ157,$AP$12:$AP$263,0))&gt;0,($AM157*INDEX(AV$12:AV$263,MATCH($AQ157,$AP$12:$AP$263,0)))/INDEX($AI$12:$AI$263,MATCH($AQ157,$AP$12:$AP$263,0)), "-"),     TRUE, "0")</f>
        <v>0</v>
      </c>
      <c r="AX157" s="588">
        <f>IF(AW$9&gt;0, IF(OR(AW157="",AW157="-"), 0, AW157*$AT157), AV157*$AJ157)</f>
        <v>0</v>
      </c>
      <c r="AY157" s="587">
        <f>[1]COMMANDE!Q155</f>
        <v>0</v>
      </c>
      <c r="AZ157" s="586" t="str">
        <f>_xlfn.IFS(AND($AI157=$AM157,$AI157&gt;0,$AM157&gt;0,AY157&gt;0), AY157,     AND(NOT($AI157=$AM157),$AI157&gt;0,$AM157&gt;0,AY157&gt;0), ($AM157*AY157)/$AI157,     AND($AI157=0,$AM157&gt;0,$AQ157&gt;0), IF(INDEX(AY$12:AY$263,MATCH($AQ157,$AP$12:$AP$263,0))&gt;0,($AM157*INDEX(AY$12:AY$263,MATCH($AQ157,$AP$12:$AP$263,0)))/INDEX($AI$12:$AI$263,MATCH($AQ157,$AP$12:$AP$263,0)), "-"),     TRUE, "0")</f>
        <v>0</v>
      </c>
      <c r="BA157" s="607">
        <f>IF(AZ$9&gt;0, IF(OR(AZ157="",AZ157="-"), 0, AZ157*$AT157), AY157*$AJ157)</f>
        <v>0</v>
      </c>
      <c r="BB157" s="589">
        <f>[1]COMMANDE!S155</f>
        <v>0</v>
      </c>
      <c r="BC157" s="586" t="str">
        <f>_xlfn.IFS(AND($AI157=$AM157,$AI157&gt;0,$AM157&gt;0,BB157&gt;0), BB157,     AND(NOT($AI157=$AM157),$AI157&gt;0,$AM157&gt;0,BB157&gt;0), ($AM157*BB157)/$AI157,     AND($AI157=0,$AM157&gt;0,$AQ157&gt;0), IF(INDEX(BB$12:BB$263,MATCH($AQ157,$AP$12:$AP$263,0))&gt;0,($AM157*INDEX(BB$12:BB$263,MATCH($AQ157,$AP$12:$AP$263,0)))/INDEX($AI$12:$AI$263,MATCH($AQ157,$AP$12:$AP$263,0)), "-"),     TRUE, "0")</f>
        <v>0</v>
      </c>
      <c r="BD157" s="588">
        <f>IF(BC$9&gt;0, IF(OR(BC157="",BC157="-"), 0, BC157*$AT157), BB157*$AJ157)</f>
        <v>0</v>
      </c>
      <c r="BE157" s="587">
        <f>[1]COMMANDE!U155</f>
        <v>0</v>
      </c>
      <c r="BF157" s="586" t="str">
        <f>_xlfn.IFS(AND($AI157=$AM157,$AI157&gt;0,$AM157&gt;0,BE157&gt;0), BE157,     AND(NOT($AI157=$AM157),$AI157&gt;0,$AM157&gt;0,BE157&gt;0), ($AM157*BE157)/$AI157,     AND($AI157=0,$AM157&gt;0,$AQ157&gt;0), IF(INDEX(BE$12:BE$263,MATCH($AQ157,$AP$12:$AP$263,0))&gt;0,($AM157*INDEX(BE$12:BE$263,MATCH($AQ157,$AP$12:$AP$263,0)))/INDEX($AI$12:$AI$263,MATCH($AQ157,$AP$12:$AP$263,0)), "-"),     TRUE, "0")</f>
        <v>0</v>
      </c>
      <c r="BG157" s="607">
        <f>IF(BF$9&gt;0, IF(OR(BF157="",BF157="-"), 0, BF157*$AT157), BE157*$AJ157)</f>
        <v>0</v>
      </c>
      <c r="BH157" s="589">
        <f>[1]COMMANDE!W155</f>
        <v>0</v>
      </c>
      <c r="BI157" s="586" t="str">
        <f>_xlfn.IFS(AND($AI157=$AM157,$AI157&gt;0,$AM157&gt;0,BH157&gt;0), BH157,     AND(NOT($AI157=$AM157),$AI157&gt;0,$AM157&gt;0,BH157&gt;0), ($AM157*BH157)/$AI157,     AND($AI157=0,$AM157&gt;0,$AQ157&gt;0), IF(INDEX(BH$12:BH$263,MATCH($AQ157,$AP$12:$AP$263,0))&gt;0,($AM157*INDEX(BH$12:BH$263,MATCH($AQ157,$AP$12:$AP$263,0)))/INDEX($AI$12:$AI$263,MATCH($AQ157,$AP$12:$AP$263,0)), "-"),     TRUE, "0")</f>
        <v>0</v>
      </c>
      <c r="BJ157" s="588">
        <f>IF(BI$9&gt;0, IF(OR(BI157="",BI157="-"), 0, BI157*$AT157), BH157*$AJ157)</f>
        <v>0</v>
      </c>
      <c r="BK157" s="587">
        <f>[1]COMMANDE!Y155</f>
        <v>0</v>
      </c>
      <c r="BL157" s="586" t="str">
        <f>_xlfn.IFS(AND($AI157=$AM157,$AI157&gt;0,$AM157&gt;0,BK157&gt;0), BK157,     AND(NOT($AI157=$AM157),$AI157&gt;0,$AM157&gt;0,BK157&gt;0), ($AM157*BK157)/$AI157,     AND($AI157=0,$AM157&gt;0,$AQ157&gt;0), IF(INDEX(BK$12:BK$263,MATCH($AQ157,$AP$12:$AP$263,0))&gt;0,($AM157*INDEX(BK$12:BK$263,MATCH($AQ157,$AP$12:$AP$263,0)))/INDEX($AI$12:$AI$263,MATCH($AQ157,$AP$12:$AP$263,0)), "-"),     TRUE, "0")</f>
        <v>0</v>
      </c>
      <c r="BM157" s="607">
        <f>IF(BL$9&gt;0, IF(OR(BL157="",BL157="-"), 0, BL157*$AT157), BK157*$AJ157)</f>
        <v>0</v>
      </c>
      <c r="BN157" s="589">
        <f>[1]COMMANDE!AA155</f>
        <v>0</v>
      </c>
      <c r="BO157" s="586" t="str">
        <f>_xlfn.IFS(AND($AI157=$AM157,$AI157&gt;0,$AM157&gt;0,BN157&gt;0), BN157,     AND(NOT($AI157=$AM157),$AI157&gt;0,$AM157&gt;0,BN157&gt;0), ($AM157*BN157)/$AI157,     AND($AI157=0,$AM157&gt;0,$AQ157&gt;0), IF(INDEX(BN$12:BN$263,MATCH($AQ157,$AP$12:$AP$263,0))&gt;0,($AM157*INDEX(BN$12:BN$263,MATCH($AQ157,$AP$12:$AP$263,0)))/INDEX($AI$12:$AI$263,MATCH($AQ157,$AP$12:$AP$263,0)), "-"),     TRUE, "0")</f>
        <v>0</v>
      </c>
      <c r="BP157" s="588">
        <f>IF(BO$9&gt;0, IF(OR(BO157="",BO157="-"), 0, BO157*$AT157), BN157*$AJ157)</f>
        <v>0</v>
      </c>
      <c r="BQ157" s="587">
        <f>[1]COMMANDE!AC155</f>
        <v>0</v>
      </c>
      <c r="BR157" s="586" t="str">
        <f>_xlfn.IFS(AND($AI157=$AM157,$AI157&gt;0,$AM157&gt;0,BQ157&gt;0), BQ157,     AND(NOT($AI157=$AM157),$AI157&gt;0,$AM157&gt;0,BQ157&gt;0), ($AM157*BQ157)/$AI157,     AND($AI157=0,$AM157&gt;0,$AQ157&gt;0), IF(INDEX(BQ$12:BQ$263,MATCH($AQ157,$AP$12:$AP$263,0))&gt;0,($AM157*INDEX(BQ$12:BQ$263,MATCH($AQ157,$AP$12:$AP$263,0)))/INDEX($AI$12:$AI$263,MATCH($AQ157,$AP$12:$AP$263,0)), "-"),     TRUE, "0")</f>
        <v>0</v>
      </c>
      <c r="BS157" s="607">
        <f>IF(BR$9&gt;0, IF(OR(BR157="",BR157="-"), 0, BR157*$AT157), BQ157*$AJ157)</f>
        <v>0</v>
      </c>
      <c r="BT157" s="589">
        <f>[1]COMMANDE!AE155</f>
        <v>0</v>
      </c>
      <c r="BU157" s="586" t="str">
        <f>_xlfn.IFS(AND($AI157=$AM157,$AI157&gt;0,$AM157&gt;0,BT157&gt;0), BT157,     AND(NOT($AI157=$AM157),$AI157&gt;0,$AM157&gt;0,BT157&gt;0), ($AM157*BT157)/$AI157,     AND($AI157=0,$AM157&gt;0,$AQ157&gt;0), IF(INDEX(BT$12:BT$263,MATCH($AQ157,$AP$12:$AP$263,0))&gt;0,($AM157*INDEX(BT$12:BT$263,MATCH($AQ157,$AP$12:$AP$263,0)))/INDEX($AI$12:$AI$263,MATCH($AQ157,$AP$12:$AP$263,0)), "-"),     TRUE, "0")</f>
        <v>0</v>
      </c>
      <c r="BV157" s="588">
        <f>IF(BU$9&gt;0, IF(OR(BU157="",BU157="-"), 0, BU157*$AT157), BT157*$AJ157)</f>
        <v>0</v>
      </c>
      <c r="BW157" s="587">
        <f>[1]COMMANDE!AG155</f>
        <v>0</v>
      </c>
      <c r="BX157" s="586" t="str">
        <f>_xlfn.IFS(AND($AI157=$AM157,$AI157&gt;0,$AM157&gt;0,BW157&gt;0), BW157,     AND(NOT($AI157=$AM157),$AI157&gt;0,$AM157&gt;0,BW157&gt;0), ($AM157*BW157)/$AI157,     AND($AI157=0,$AM157&gt;0,$AQ157&gt;0), IF(INDEX(BW$12:BW$263,MATCH($AQ157,$AP$12:$AP$263,0))&gt;0,($AM157*INDEX(BW$12:BW$263,MATCH($AQ157,$AP$12:$AP$263,0)))/INDEX($AI$12:$AI$263,MATCH($AQ157,$AP$12:$AP$263,0)), "-"),     TRUE, "0")</f>
        <v>0</v>
      </c>
      <c r="BY157" s="607">
        <f>IF(BX$9&gt;0, IF(OR(BX157="",BX157="-"), 0, BX157*$AT157), BW157*$AJ157)</f>
        <v>0</v>
      </c>
      <c r="BZ157" s="589">
        <f>[1]COMMANDE!AI155</f>
        <v>0</v>
      </c>
      <c r="CA157" s="586" t="str">
        <f>_xlfn.IFS(AND($AI157=$AM157,$AI157&gt;0,$AM157&gt;0,BZ157&gt;0), BZ157,     AND(NOT($AI157=$AM157),$AI157&gt;0,$AM157&gt;0,BZ157&gt;0), ($AM157*BZ157)/$AI157,     AND($AI157=0,$AM157&gt;0,$AQ157&gt;0), IF(INDEX(BZ$12:BZ$263,MATCH($AQ157,$AP$12:$AP$263,0))&gt;0,($AM157*INDEX(BZ$12:BZ$263,MATCH($AQ157,$AP$12:$AP$263,0)))/INDEX($AI$12:$AI$263,MATCH($AQ157,$AP$12:$AP$263,0)), "-"),     TRUE, "0")</f>
        <v>0</v>
      </c>
      <c r="CB157" s="588">
        <f>IF(CA$9&gt;0, IF(OR(CA157="",CA157="-"), 0, CA157*$AT157), BZ157*$AJ157)</f>
        <v>0</v>
      </c>
      <c r="CC157" s="587">
        <f>[1]COMMANDE!AK155</f>
        <v>0</v>
      </c>
      <c r="CD157" s="586" t="str">
        <f>_xlfn.IFS(AND($AI157=$AM157,$AI157&gt;0,$AM157&gt;0,CC157&gt;0), CC157,     AND(NOT($AI157=$AM157),$AI157&gt;0,$AM157&gt;0,CC157&gt;0), ($AM157*CC157)/$AI157,     AND($AI157=0,$AM157&gt;0,$AQ157&gt;0), IF(INDEX(CC$12:CC$263,MATCH($AQ157,$AP$12:$AP$263,0))&gt;0,($AM157*INDEX(CC$12:CC$263,MATCH($AQ157,$AP$12:$AP$263,0)))/INDEX($AI$12:$AI$263,MATCH($AQ157,$AP$12:$AP$263,0)), "-"),     TRUE, "0")</f>
        <v>0</v>
      </c>
      <c r="CE157" s="607">
        <f>IF(CD$9&gt;0, IF(OR(CD157="",CD157="-"), 0, CD157*$AT157), CC157*$AJ157)</f>
        <v>0</v>
      </c>
      <c r="CF157" s="589">
        <f>[1]COMMANDE!AM155</f>
        <v>0</v>
      </c>
      <c r="CG157" s="586" t="str">
        <f>_xlfn.IFS(AND($AI157=$AM157,$AI157&gt;0,$AM157&gt;0,CF157&gt;0), CF157,     AND(NOT($AI157=$AM157),$AI157&gt;0,$AM157&gt;0,CF157&gt;0), ($AM157*CF157)/$AI157,     AND($AI157=0,$AM157&gt;0,$AQ157&gt;0), IF(INDEX(CF$12:CF$263,MATCH($AQ157,$AP$12:$AP$263,0))&gt;0,($AM157*INDEX(CF$12:CF$263,MATCH($AQ157,$AP$12:$AP$263,0)))/INDEX($AI$12:$AI$263,MATCH($AQ157,$AP$12:$AP$263,0)), "-"),     TRUE, "0")</f>
        <v>0</v>
      </c>
      <c r="CH157" s="588">
        <f>IF(CG$9&gt;0, IF(OR(CG157="",CG157="-"), 0, CG157*$AT157), CF157*$AJ157)</f>
        <v>0</v>
      </c>
      <c r="CI157" s="587">
        <f>[1]COMMANDE!AO155</f>
        <v>0</v>
      </c>
      <c r="CJ157" s="586" t="str">
        <f>_xlfn.IFS(AND($AI157=$AM157,$AI157&gt;0,$AM157&gt;0,CI157&gt;0), CI157,     AND(NOT($AI157=$AM157),$AI157&gt;0,$AM157&gt;0,CI157&gt;0), ($AM157*CI157)/$AI157,     AND($AI157=0,$AM157&gt;0,$AQ157&gt;0), IF(INDEX(CI$12:CI$263,MATCH($AQ157,$AP$12:$AP$263,0))&gt;0,($AM157*INDEX(CI$12:CI$263,MATCH($AQ157,$AP$12:$AP$263,0)))/INDEX($AI$12:$AI$263,MATCH($AQ157,$AP$12:$AP$263,0)), "-"),     TRUE, "0")</f>
        <v>0</v>
      </c>
      <c r="CK157" s="607">
        <f>IF(CJ$9&gt;0, IF(OR(CJ157="",CJ157="-"), 0, CJ157*$AT157), CI157*$AJ157)</f>
        <v>0</v>
      </c>
      <c r="CL157" s="589">
        <f>[1]COMMANDE!AQ155</f>
        <v>0</v>
      </c>
      <c r="CM157" s="586" t="str">
        <f>_xlfn.IFS(AND($AI157=$AM157,$AI157&gt;0,$AM157&gt;0,CL157&gt;0), CL157,     AND(NOT($AI157=$AM157),$AI157&gt;0,$AM157&gt;0,CL157&gt;0), ($AM157*CL157)/$AI157,     AND($AI157=0,$AM157&gt;0,$AQ157&gt;0), IF(INDEX(CL$12:CL$263,MATCH($AQ157,$AP$12:$AP$263,0))&gt;0,($AM157*INDEX(CL$12:CL$263,MATCH($AQ157,$AP$12:$AP$263,0)))/INDEX($AI$12:$AI$263,MATCH($AQ157,$AP$12:$AP$263,0)), "-"),     TRUE, "0")</f>
        <v>0</v>
      </c>
      <c r="CN157" s="588">
        <f>IF(CM$9&gt;0, IF(OR(CM157="",CM157="-"), 0, CM157*$AT157), CL157*$AJ157)</f>
        <v>0</v>
      </c>
      <c r="CO157" s="587">
        <f>[1]COMMANDE!AS155</f>
        <v>0</v>
      </c>
      <c r="CP157" s="586" t="str">
        <f>_xlfn.IFS(AND($AI157=$AM157,$AI157&gt;0,$AM157&gt;0,CO157&gt;0), CO157,     AND(NOT($AI157=$AM157),$AI157&gt;0,$AM157&gt;0,CO157&gt;0), ($AM157*CO157)/$AI157,     AND($AI157=0,$AM157&gt;0,$AQ157&gt;0), IF(INDEX(CO$12:CO$263,MATCH($AQ157,$AP$12:$AP$263,0))&gt;0,($AM157*INDEX(CO$12:CO$263,MATCH($AQ157,$AP$12:$AP$263,0)))/INDEX($AI$12:$AI$263,MATCH($AQ157,$AP$12:$AP$263,0)), "-"),     TRUE, "0")</f>
        <v>0</v>
      </c>
      <c r="CQ157" s="607">
        <f>IF(CP$9&gt;0, IF(OR(CP157="",CP157="-"), 0, CP157*$AT157), CO157*$AJ157)</f>
        <v>0</v>
      </c>
      <c r="CR157" s="589">
        <f>[1]COMMANDE!AU155</f>
        <v>0</v>
      </c>
      <c r="CS157" s="586" t="str">
        <f>_xlfn.IFS(AND($AI157=$AM157,$AI157&gt;0,$AM157&gt;0,CR157&gt;0), CR157,     AND(NOT($AI157=$AM157),$AI157&gt;0,$AM157&gt;0,CR157&gt;0), ($AM157*CR157)/$AI157,     AND($AI157=0,$AM157&gt;0,$AQ157&gt;0), IF(INDEX(CR$12:CR$263,MATCH($AQ157,$AP$12:$AP$263,0))&gt;0,($AM157*INDEX(CR$12:CR$263,MATCH($AQ157,$AP$12:$AP$263,0)))/INDEX($AI$12:$AI$263,MATCH($AQ157,$AP$12:$AP$263,0)), "-"),     TRUE, "0")</f>
        <v>0</v>
      </c>
      <c r="CT157" s="588">
        <f>IF(CS$9&gt;0, IF(OR(CS157="",CS157="-"), 0, CS157*$AT157), CR157*$AJ157)</f>
        <v>0</v>
      </c>
      <c r="CU157" s="587">
        <f>[1]COMMANDE!AW155</f>
        <v>0</v>
      </c>
      <c r="CV157" s="586" t="str">
        <f>_xlfn.IFS(AND($AI157=$AM157,$AI157&gt;0,$AM157&gt;0,CU157&gt;0), CU157,     AND(NOT($AI157=$AM157),$AI157&gt;0,$AM157&gt;0,CU157&gt;0), ($AM157*CU157)/$AI157,     AND($AI157=0,$AM157&gt;0,$AQ157&gt;0), IF(INDEX(CU$12:CU$263,MATCH($AQ157,$AP$12:$AP$263,0))&gt;0,($AM157*INDEX(CU$12:CU$263,MATCH($AQ157,$AP$12:$AP$263,0)))/INDEX($AI$12:$AI$263,MATCH($AQ157,$AP$12:$AP$263,0)), "-"),     TRUE, "0")</f>
        <v>0</v>
      </c>
      <c r="CW157" s="607">
        <f>IF(CV$9&gt;0, IF(OR(CV157="",CV157="-"), 0, CV157*$AT157), CU157*$AJ157)</f>
        <v>0</v>
      </c>
      <c r="CX157" s="589">
        <f>[1]COMMANDE!AY155</f>
        <v>0</v>
      </c>
      <c r="CY157" s="586" t="str">
        <f>_xlfn.IFS(AND($AI157=$AM157,$AI157&gt;0,$AM157&gt;0,CX157&gt;0), CX157,     AND(NOT($AI157=$AM157),$AI157&gt;0,$AM157&gt;0,CX157&gt;0), ($AM157*CX157)/$AI157,     AND($AI157=0,$AM157&gt;0,$AQ157&gt;0), IF(INDEX(CX$12:CX$263,MATCH($AQ157,$AP$12:$AP$263,0))&gt;0,($AM157*INDEX(CX$12:CX$263,MATCH($AQ157,$AP$12:$AP$263,0)))/INDEX($AI$12:$AI$263,MATCH($AQ157,$AP$12:$AP$263,0)), "-"),     TRUE, "0")</f>
        <v>0</v>
      </c>
      <c r="CZ157" s="588">
        <f>IF(CY$9&gt;0, IF(OR(CY157="",CY157="-"), 0, CY157*$AT157), CX157*$AJ157)</f>
        <v>0</v>
      </c>
      <c r="DA157" s="587">
        <f>[1]COMMANDE!BA155</f>
        <v>0</v>
      </c>
      <c r="DB157" s="586" t="str">
        <f>_xlfn.IFS(AND($AI157=$AM157,$AI157&gt;0,$AM157&gt;0,DA157&gt;0), DA157,     AND(NOT($AI157=$AM157),$AI157&gt;0,$AM157&gt;0,DA157&gt;0), ($AM157*DA157)/$AI157,     AND($AI157=0,$AM157&gt;0,$AQ157&gt;0), IF(INDEX(DA$12:DA$263,MATCH($AQ157,$AP$12:$AP$263,0))&gt;0,($AM157*INDEX(DA$12:DA$263,MATCH($AQ157,$AP$12:$AP$263,0)))/INDEX($AI$12:$AI$263,MATCH($AQ157,$AP$12:$AP$263,0)), "-"),     TRUE, "0")</f>
        <v>0</v>
      </c>
      <c r="DC157" s="606">
        <f>IF(DB$9&gt;0, IF(OR(DB157="",DB157="-"), 0, DB157*$AT157), DA157*$AJ157)</f>
        <v>0</v>
      </c>
      <c r="DD157" s="584"/>
      <c r="DE157" s="583"/>
    </row>
    <row r="158" spans="1:128" ht="39.950000000000003" hidden="1" customHeight="1">
      <c r="A158" s="604">
        <f>IF(OR($AV158&gt;0, $AX158&gt;0), 1, 0)</f>
        <v>0</v>
      </c>
      <c r="B158" s="604">
        <f>IF(OR($AY158&gt;0, $BA158&gt;0), 1, 0)</f>
        <v>0</v>
      </c>
      <c r="C158" s="604">
        <f>IF(OR($BB158&gt;0, $BD158&gt;0), 1, 0)</f>
        <v>0</v>
      </c>
      <c r="D158" s="604">
        <f>IF(OR($BE158&gt;0, $BG158&gt;0), 1, 0)</f>
        <v>0</v>
      </c>
      <c r="E158" s="604">
        <f>IF(OR($BH158&gt;0, $BJ158&gt;0), 1, 0)</f>
        <v>0</v>
      </c>
      <c r="F158" s="604">
        <f>IF(OR($BK158&gt;0, $BM158&gt;0), 1, 0)</f>
        <v>0</v>
      </c>
      <c r="G158" s="604">
        <f>IF(OR($BN158&gt;0, $BP158&gt;0), 1, 0)</f>
        <v>0</v>
      </c>
      <c r="H158" s="604">
        <f>IF(OR($BQ158&gt;0, $BS158&gt;0), 1, 0)</f>
        <v>0</v>
      </c>
      <c r="I158" s="604">
        <f>IF(OR($BT158&gt;0, $BV158&gt;0), 1, 0)</f>
        <v>0</v>
      </c>
      <c r="J158" s="604">
        <f>IF(OR($BW158&gt;0, $BY158&gt;0), 1, 0)</f>
        <v>0</v>
      </c>
      <c r="K158" s="604">
        <f>IF(OR($BZ158&gt;0, $CB158&gt;0), 1, 0)</f>
        <v>0</v>
      </c>
      <c r="L158" s="604">
        <f>IF(OR($CC158&gt;0, $CE158&gt;0), 1, 0)</f>
        <v>0</v>
      </c>
      <c r="M158" s="604">
        <f>IF(OR($CF158&gt;0, $CH158&gt;0), 1, 0)</f>
        <v>0</v>
      </c>
      <c r="N158" s="604">
        <f>IF(OR($CI158&gt;0, $CK158&gt;0), 1, 0)</f>
        <v>0</v>
      </c>
      <c r="O158" s="604">
        <f>IF(OR($CL158&gt;0, $CN158&gt;0), 1, 0)</f>
        <v>0</v>
      </c>
      <c r="P158" s="604">
        <f>IF(OR($CO158&gt;0, $CQ158&gt;0), 1, 0)</f>
        <v>0</v>
      </c>
      <c r="Q158" s="604">
        <f>IF(OR($CR158&gt;0, $CT158&gt;0), 1, 0)</f>
        <v>0</v>
      </c>
      <c r="R158" s="604">
        <f>IF(OR($CU158&gt;0, $CW158&gt;0), 1, 0)</f>
        <v>0</v>
      </c>
      <c r="S158" s="604">
        <f>IF(OR($CX158&gt;0, $CZ158&gt;0), 1, 0)</f>
        <v>0</v>
      </c>
      <c r="T158" s="604">
        <f>IF(OR($DA158&gt;0, $DC158&gt;0), 1, 0)</f>
        <v>0</v>
      </c>
      <c r="U158" s="603">
        <f>IF(OR($AI158&gt;0,$AM158&gt;0,$AS158&gt;0), 1, 0)</f>
        <v>0</v>
      </c>
      <c r="V158" s="602">
        <f>[1]BDD!A148</f>
        <v>6258</v>
      </c>
      <c r="W158" s="601" t="str">
        <f>[1]BDD!B148</f>
        <v>Mangue Adania BIO (production Rufino)</v>
      </c>
      <c r="X158" s="600" t="str">
        <f>IF([1]BDD!F148=0, "", [1]BDD!F148)</f>
        <v/>
      </c>
      <c r="Y158" s="542">
        <f>ROUND([1]BDD!G148+FDP_CMD_KG, 2)</f>
        <v>5.93</v>
      </c>
      <c r="Z158" s="542">
        <f>ROUND([1]BDD!G148+FDP_FACT_KG, 2)</f>
        <v>5.93</v>
      </c>
      <c r="AA158" s="543" t="str">
        <f>[1]BDD!H148</f>
        <v>kg</v>
      </c>
      <c r="AB158" s="544">
        <f>IF(NOT(ISBLANK([1]BDD!I148)), ROUND(SUM(([1]BDD!G148*reduc1),FDP_CMD_KG), 2), "")</f>
        <v>5.43</v>
      </c>
      <c r="AC158" s="544">
        <f>IF(NOT(ISBLANK([1]BDD!J148)), ROUND(SUM(([1]BDD!G148*reduc2),FDP_CMD_KG), 2), "")</f>
        <v>4.92</v>
      </c>
      <c r="AD158" s="544">
        <f>IF(NOT(ISBLANK([1]BDD!K148)), ROUND(SUM(([1]BDD!G148*reduc3),FDP_CMD_KG), 2), "")</f>
        <v>4.42</v>
      </c>
      <c r="AE158" s="544">
        <f>IF(NOT(ISBLANK([1]BDD!I148)), ROUND(SUM(([1]BDD!G148*reduc1),FDP_FACT_KG), 2), "")</f>
        <v>5.42</v>
      </c>
      <c r="AF158" s="544">
        <f>IF(NOT(ISBLANK([1]BDD!J148)), ROUND(SUM(([1]BDD!G148*reduc2),FDP_FACT_KG), 2), "")</f>
        <v>4.91</v>
      </c>
      <c r="AG158" s="544">
        <f>IF(NOT(ISBLANK([1]BDD!K148)), ROUND(SUM(([1]BDD!G148*reduc3),FDP_FACT_KG), 2), "")</f>
        <v>4.41</v>
      </c>
      <c r="AH158" s="599" t="str">
        <f>[1]BDD!C148</f>
        <v>Grenade</v>
      </c>
      <c r="AI158" s="598">
        <f>SUM(AV158,AY158,BB158,BE158,BH158,BK158,BN158,BQ158,BT158,BW158,BZ158,CC158,CF158,CI158,CL158,CO158,CR158,CU158,CX158,DA158)</f>
        <v>0</v>
      </c>
      <c r="AJ158" s="545">
        <f>_xlfn.IFS($AD158&lt;&gt;"", $AD158,    $AC158&lt;&gt;"", $AC158,    $AB158&lt;&gt;"", $AB158,    TRUE, $Y158)</f>
        <v>4.42</v>
      </c>
      <c r="AK158" s="592">
        <f>$AI158*$AJ158</f>
        <v>0</v>
      </c>
      <c r="AL158" s="594"/>
      <c r="AM158" s="597"/>
      <c r="AN158" s="545">
        <f>_xlfn.IFS(AND(AM158&gt;=60,$AG158&lt;&gt;""), $AG158,    AND(AM158&gt;=30,$AF158&lt;&gt;""), $AF158,    AND(AM158&gt;=10,$AE158&lt;&gt;""), $AE158,    TRUE, $Z158)</f>
        <v>5.93</v>
      </c>
      <c r="AO158" s="596">
        <f>AM158*AN158</f>
        <v>0</v>
      </c>
      <c r="AP158" s="595"/>
      <c r="AQ158" s="595"/>
      <c r="AR158" s="594"/>
      <c r="AS158" s="593">
        <f>SUM(AW158,AZ158,BC158,BF158,BI158,BL158,BO158,BR158,BU158,BX158,CA158,CD158,CG158,CJ158,CM158,CP158,CS158,CV158,CY158,DB158)</f>
        <v>0</v>
      </c>
      <c r="AT158" s="545">
        <f>_xlfn.IFS(AND(AS158&gt;=60,$AG158&lt;&gt;""), $AG158,    AND(AS158&gt;=30,$AF158&lt;&gt;""), $AF158,    AND(AS158&gt;=10,$AE158&lt;&gt;""), $AE158,    TRUE, $Z158)</f>
        <v>5.93</v>
      </c>
      <c r="AU158" s="592">
        <f>$AS158*$AT158</f>
        <v>0</v>
      </c>
      <c r="AV158" s="591">
        <f>[1]COMMANDE!O156</f>
        <v>0</v>
      </c>
      <c r="AW158" s="586" t="str">
        <f>_xlfn.IFS(AND($AI158=$AM158,$AI158&gt;0,$AM158&gt;0,AV158&gt;0), AV158,     AND(NOT($AI158=$AM158),$AI158&gt;0,$AM158&gt;0,AV158&gt;0), ($AM158*AV158)/$AI158,     AND($AI158=0,$AM158&gt;0,$AQ158&gt;0), IF(INDEX(AV$12:AV$263,MATCH($AQ158,$AP$12:$AP$263,0))&gt;0,($AM158*INDEX(AV$12:AV$263,MATCH($AQ158,$AP$12:$AP$263,0)))/INDEX($AI$12:$AI$263,MATCH($AQ158,$AP$12:$AP$263,0)), "-"),     TRUE, "0")</f>
        <v>0</v>
      </c>
      <c r="AX158" s="588">
        <f>IF(AW$9&gt;0, IF(OR(AW158="",AW158="-"), 0, AW158*$AT158), AV158*$AJ158)</f>
        <v>0</v>
      </c>
      <c r="AY158" s="587">
        <f>[1]COMMANDE!Q156</f>
        <v>0</v>
      </c>
      <c r="AZ158" s="586" t="str">
        <f>_xlfn.IFS(AND($AI158=$AM158,$AI158&gt;0,$AM158&gt;0,AY158&gt;0), AY158,     AND(NOT($AI158=$AM158),$AI158&gt;0,$AM158&gt;0,AY158&gt;0), ($AM158*AY158)/$AI158,     AND($AI158=0,$AM158&gt;0,$AQ158&gt;0), IF(INDEX(AY$12:AY$263,MATCH($AQ158,$AP$12:$AP$263,0))&gt;0,($AM158*INDEX(AY$12:AY$263,MATCH($AQ158,$AP$12:$AP$263,0)))/INDEX($AI$12:$AI$263,MATCH($AQ158,$AP$12:$AP$263,0)), "-"),     TRUE, "0")</f>
        <v>0</v>
      </c>
      <c r="BA158" s="607">
        <f>IF(AZ$9&gt;0, IF(OR(AZ158="",AZ158="-"), 0, AZ158*$AT158), AY158*$AJ158)</f>
        <v>0</v>
      </c>
      <c r="BB158" s="589">
        <f>[1]COMMANDE!S156</f>
        <v>0</v>
      </c>
      <c r="BC158" s="586" t="str">
        <f>_xlfn.IFS(AND($AI158=$AM158,$AI158&gt;0,$AM158&gt;0,BB158&gt;0), BB158,     AND(NOT($AI158=$AM158),$AI158&gt;0,$AM158&gt;0,BB158&gt;0), ($AM158*BB158)/$AI158,     AND($AI158=0,$AM158&gt;0,$AQ158&gt;0), IF(INDEX(BB$12:BB$263,MATCH($AQ158,$AP$12:$AP$263,0))&gt;0,($AM158*INDEX(BB$12:BB$263,MATCH($AQ158,$AP$12:$AP$263,0)))/INDEX($AI$12:$AI$263,MATCH($AQ158,$AP$12:$AP$263,0)), "-"),     TRUE, "0")</f>
        <v>0</v>
      </c>
      <c r="BD158" s="588">
        <f>IF(BC$9&gt;0, IF(OR(BC158="",BC158="-"), 0, BC158*$AT158), BB158*$AJ158)</f>
        <v>0</v>
      </c>
      <c r="BE158" s="587">
        <f>[1]COMMANDE!U156</f>
        <v>0</v>
      </c>
      <c r="BF158" s="586" t="str">
        <f>_xlfn.IFS(AND($AI158=$AM158,$AI158&gt;0,$AM158&gt;0,BE158&gt;0), BE158,     AND(NOT($AI158=$AM158),$AI158&gt;0,$AM158&gt;0,BE158&gt;0), ($AM158*BE158)/$AI158,     AND($AI158=0,$AM158&gt;0,$AQ158&gt;0), IF(INDEX(BE$12:BE$263,MATCH($AQ158,$AP$12:$AP$263,0))&gt;0,($AM158*INDEX(BE$12:BE$263,MATCH($AQ158,$AP$12:$AP$263,0)))/INDEX($AI$12:$AI$263,MATCH($AQ158,$AP$12:$AP$263,0)), "-"),     TRUE, "0")</f>
        <v>0</v>
      </c>
      <c r="BG158" s="607">
        <f>IF(BF$9&gt;0, IF(OR(BF158="",BF158="-"), 0, BF158*$AT158), BE158*$AJ158)</f>
        <v>0</v>
      </c>
      <c r="BH158" s="589">
        <f>[1]COMMANDE!W156</f>
        <v>0</v>
      </c>
      <c r="BI158" s="586" t="str">
        <f>_xlfn.IFS(AND($AI158=$AM158,$AI158&gt;0,$AM158&gt;0,BH158&gt;0), BH158,     AND(NOT($AI158=$AM158),$AI158&gt;0,$AM158&gt;0,BH158&gt;0), ($AM158*BH158)/$AI158,     AND($AI158=0,$AM158&gt;0,$AQ158&gt;0), IF(INDEX(BH$12:BH$263,MATCH($AQ158,$AP$12:$AP$263,0))&gt;0,($AM158*INDEX(BH$12:BH$263,MATCH($AQ158,$AP$12:$AP$263,0)))/INDEX($AI$12:$AI$263,MATCH($AQ158,$AP$12:$AP$263,0)), "-"),     TRUE, "0")</f>
        <v>0</v>
      </c>
      <c r="BJ158" s="588">
        <f>IF(BI$9&gt;0, IF(OR(BI158="",BI158="-"), 0, BI158*$AT158), BH158*$AJ158)</f>
        <v>0</v>
      </c>
      <c r="BK158" s="587">
        <f>[1]COMMANDE!Y156</f>
        <v>0</v>
      </c>
      <c r="BL158" s="586" t="str">
        <f>_xlfn.IFS(AND($AI158=$AM158,$AI158&gt;0,$AM158&gt;0,BK158&gt;0), BK158,     AND(NOT($AI158=$AM158),$AI158&gt;0,$AM158&gt;0,BK158&gt;0), ($AM158*BK158)/$AI158,     AND($AI158=0,$AM158&gt;0,$AQ158&gt;0), IF(INDEX(BK$12:BK$263,MATCH($AQ158,$AP$12:$AP$263,0))&gt;0,($AM158*INDEX(BK$12:BK$263,MATCH($AQ158,$AP$12:$AP$263,0)))/INDEX($AI$12:$AI$263,MATCH($AQ158,$AP$12:$AP$263,0)), "-"),     TRUE, "0")</f>
        <v>0</v>
      </c>
      <c r="BM158" s="607">
        <f>IF(BL$9&gt;0, IF(OR(BL158="",BL158="-"), 0, BL158*$AT158), BK158*$AJ158)</f>
        <v>0</v>
      </c>
      <c r="BN158" s="589">
        <f>[1]COMMANDE!AA156</f>
        <v>0</v>
      </c>
      <c r="BO158" s="586" t="str">
        <f>_xlfn.IFS(AND($AI158=$AM158,$AI158&gt;0,$AM158&gt;0,BN158&gt;0), BN158,     AND(NOT($AI158=$AM158),$AI158&gt;0,$AM158&gt;0,BN158&gt;0), ($AM158*BN158)/$AI158,     AND($AI158=0,$AM158&gt;0,$AQ158&gt;0), IF(INDEX(BN$12:BN$263,MATCH($AQ158,$AP$12:$AP$263,0))&gt;0,($AM158*INDEX(BN$12:BN$263,MATCH($AQ158,$AP$12:$AP$263,0)))/INDEX($AI$12:$AI$263,MATCH($AQ158,$AP$12:$AP$263,0)), "-"),     TRUE, "0")</f>
        <v>0</v>
      </c>
      <c r="BP158" s="588">
        <f>IF(BO$9&gt;0, IF(OR(BO158="",BO158="-"), 0, BO158*$AT158), BN158*$AJ158)</f>
        <v>0</v>
      </c>
      <c r="BQ158" s="587">
        <f>[1]COMMANDE!AC156</f>
        <v>0</v>
      </c>
      <c r="BR158" s="586" t="str">
        <f>_xlfn.IFS(AND($AI158=$AM158,$AI158&gt;0,$AM158&gt;0,BQ158&gt;0), BQ158,     AND(NOT($AI158=$AM158),$AI158&gt;0,$AM158&gt;0,BQ158&gt;0), ($AM158*BQ158)/$AI158,     AND($AI158=0,$AM158&gt;0,$AQ158&gt;0), IF(INDEX(BQ$12:BQ$263,MATCH($AQ158,$AP$12:$AP$263,0))&gt;0,($AM158*INDEX(BQ$12:BQ$263,MATCH($AQ158,$AP$12:$AP$263,0)))/INDEX($AI$12:$AI$263,MATCH($AQ158,$AP$12:$AP$263,0)), "-"),     TRUE, "0")</f>
        <v>0</v>
      </c>
      <c r="BS158" s="607">
        <f>IF(BR$9&gt;0, IF(OR(BR158="",BR158="-"), 0, BR158*$AT158), BQ158*$AJ158)</f>
        <v>0</v>
      </c>
      <c r="BT158" s="589">
        <f>[1]COMMANDE!AE156</f>
        <v>0</v>
      </c>
      <c r="BU158" s="586" t="str">
        <f>_xlfn.IFS(AND($AI158=$AM158,$AI158&gt;0,$AM158&gt;0,BT158&gt;0), BT158,     AND(NOT($AI158=$AM158),$AI158&gt;0,$AM158&gt;0,BT158&gt;0), ($AM158*BT158)/$AI158,     AND($AI158=0,$AM158&gt;0,$AQ158&gt;0), IF(INDEX(BT$12:BT$263,MATCH($AQ158,$AP$12:$AP$263,0))&gt;0,($AM158*INDEX(BT$12:BT$263,MATCH($AQ158,$AP$12:$AP$263,0)))/INDEX($AI$12:$AI$263,MATCH($AQ158,$AP$12:$AP$263,0)), "-"),     TRUE, "0")</f>
        <v>0</v>
      </c>
      <c r="BV158" s="588">
        <f>IF(BU$9&gt;0, IF(OR(BU158="",BU158="-"), 0, BU158*$AT158), BT158*$AJ158)</f>
        <v>0</v>
      </c>
      <c r="BW158" s="587">
        <f>[1]COMMANDE!AG156</f>
        <v>0</v>
      </c>
      <c r="BX158" s="586" t="str">
        <f>_xlfn.IFS(AND($AI158=$AM158,$AI158&gt;0,$AM158&gt;0,BW158&gt;0), BW158,     AND(NOT($AI158=$AM158),$AI158&gt;0,$AM158&gt;0,BW158&gt;0), ($AM158*BW158)/$AI158,     AND($AI158=0,$AM158&gt;0,$AQ158&gt;0), IF(INDEX(BW$12:BW$263,MATCH($AQ158,$AP$12:$AP$263,0))&gt;0,($AM158*INDEX(BW$12:BW$263,MATCH($AQ158,$AP$12:$AP$263,0)))/INDEX($AI$12:$AI$263,MATCH($AQ158,$AP$12:$AP$263,0)), "-"),     TRUE, "0")</f>
        <v>0</v>
      </c>
      <c r="BY158" s="607">
        <f>IF(BX$9&gt;0, IF(OR(BX158="",BX158="-"), 0, BX158*$AT158), BW158*$AJ158)</f>
        <v>0</v>
      </c>
      <c r="BZ158" s="589">
        <f>[1]COMMANDE!AI156</f>
        <v>0</v>
      </c>
      <c r="CA158" s="586" t="str">
        <f>_xlfn.IFS(AND($AI158=$AM158,$AI158&gt;0,$AM158&gt;0,BZ158&gt;0), BZ158,     AND(NOT($AI158=$AM158),$AI158&gt;0,$AM158&gt;0,BZ158&gt;0), ($AM158*BZ158)/$AI158,     AND($AI158=0,$AM158&gt;0,$AQ158&gt;0), IF(INDEX(BZ$12:BZ$263,MATCH($AQ158,$AP$12:$AP$263,0))&gt;0,($AM158*INDEX(BZ$12:BZ$263,MATCH($AQ158,$AP$12:$AP$263,0)))/INDEX($AI$12:$AI$263,MATCH($AQ158,$AP$12:$AP$263,0)), "-"),     TRUE, "0")</f>
        <v>0</v>
      </c>
      <c r="CB158" s="588">
        <f>IF(CA$9&gt;0, IF(OR(CA158="",CA158="-"), 0, CA158*$AT158), BZ158*$AJ158)</f>
        <v>0</v>
      </c>
      <c r="CC158" s="587">
        <f>[1]COMMANDE!AK156</f>
        <v>0</v>
      </c>
      <c r="CD158" s="586" t="str">
        <f>_xlfn.IFS(AND($AI158=$AM158,$AI158&gt;0,$AM158&gt;0,CC158&gt;0), CC158,     AND(NOT($AI158=$AM158),$AI158&gt;0,$AM158&gt;0,CC158&gt;0), ($AM158*CC158)/$AI158,     AND($AI158=0,$AM158&gt;0,$AQ158&gt;0), IF(INDEX(CC$12:CC$263,MATCH($AQ158,$AP$12:$AP$263,0))&gt;0,($AM158*INDEX(CC$12:CC$263,MATCH($AQ158,$AP$12:$AP$263,0)))/INDEX($AI$12:$AI$263,MATCH($AQ158,$AP$12:$AP$263,0)), "-"),     TRUE, "0")</f>
        <v>0</v>
      </c>
      <c r="CE158" s="607">
        <f>IF(CD$9&gt;0, IF(OR(CD158="",CD158="-"), 0, CD158*$AT158), CC158*$AJ158)</f>
        <v>0</v>
      </c>
      <c r="CF158" s="589">
        <f>[1]COMMANDE!AM156</f>
        <v>0</v>
      </c>
      <c r="CG158" s="586" t="str">
        <f>_xlfn.IFS(AND($AI158=$AM158,$AI158&gt;0,$AM158&gt;0,CF158&gt;0), CF158,     AND(NOT($AI158=$AM158),$AI158&gt;0,$AM158&gt;0,CF158&gt;0), ($AM158*CF158)/$AI158,     AND($AI158=0,$AM158&gt;0,$AQ158&gt;0), IF(INDEX(CF$12:CF$263,MATCH($AQ158,$AP$12:$AP$263,0))&gt;0,($AM158*INDEX(CF$12:CF$263,MATCH($AQ158,$AP$12:$AP$263,0)))/INDEX($AI$12:$AI$263,MATCH($AQ158,$AP$12:$AP$263,0)), "-"),     TRUE, "0")</f>
        <v>0</v>
      </c>
      <c r="CH158" s="588">
        <f>IF(CG$9&gt;0, IF(OR(CG158="",CG158="-"), 0, CG158*$AT158), CF158*$AJ158)</f>
        <v>0</v>
      </c>
      <c r="CI158" s="587">
        <f>[1]COMMANDE!AO156</f>
        <v>0</v>
      </c>
      <c r="CJ158" s="586" t="str">
        <f>_xlfn.IFS(AND($AI158=$AM158,$AI158&gt;0,$AM158&gt;0,CI158&gt;0), CI158,     AND(NOT($AI158=$AM158),$AI158&gt;0,$AM158&gt;0,CI158&gt;0), ($AM158*CI158)/$AI158,     AND($AI158=0,$AM158&gt;0,$AQ158&gt;0), IF(INDEX(CI$12:CI$263,MATCH($AQ158,$AP$12:$AP$263,0))&gt;0,($AM158*INDEX(CI$12:CI$263,MATCH($AQ158,$AP$12:$AP$263,0)))/INDEX($AI$12:$AI$263,MATCH($AQ158,$AP$12:$AP$263,0)), "-"),     TRUE, "0")</f>
        <v>0</v>
      </c>
      <c r="CK158" s="607">
        <f>IF(CJ$9&gt;0, IF(OR(CJ158="",CJ158="-"), 0, CJ158*$AT158), CI158*$AJ158)</f>
        <v>0</v>
      </c>
      <c r="CL158" s="589">
        <f>[1]COMMANDE!AQ156</f>
        <v>0</v>
      </c>
      <c r="CM158" s="586" t="str">
        <f>_xlfn.IFS(AND($AI158=$AM158,$AI158&gt;0,$AM158&gt;0,CL158&gt;0), CL158,     AND(NOT($AI158=$AM158),$AI158&gt;0,$AM158&gt;0,CL158&gt;0), ($AM158*CL158)/$AI158,     AND($AI158=0,$AM158&gt;0,$AQ158&gt;0), IF(INDEX(CL$12:CL$263,MATCH($AQ158,$AP$12:$AP$263,0))&gt;0,($AM158*INDEX(CL$12:CL$263,MATCH($AQ158,$AP$12:$AP$263,0)))/INDEX($AI$12:$AI$263,MATCH($AQ158,$AP$12:$AP$263,0)), "-"),     TRUE, "0")</f>
        <v>0</v>
      </c>
      <c r="CN158" s="588">
        <f>IF(CM$9&gt;0, IF(OR(CM158="",CM158="-"), 0, CM158*$AT158), CL158*$AJ158)</f>
        <v>0</v>
      </c>
      <c r="CO158" s="587">
        <f>[1]COMMANDE!AS156</f>
        <v>0</v>
      </c>
      <c r="CP158" s="586" t="str">
        <f>_xlfn.IFS(AND($AI158=$AM158,$AI158&gt;0,$AM158&gt;0,CO158&gt;0), CO158,     AND(NOT($AI158=$AM158),$AI158&gt;0,$AM158&gt;0,CO158&gt;0), ($AM158*CO158)/$AI158,     AND($AI158=0,$AM158&gt;0,$AQ158&gt;0), IF(INDEX(CO$12:CO$263,MATCH($AQ158,$AP$12:$AP$263,0))&gt;0,($AM158*INDEX(CO$12:CO$263,MATCH($AQ158,$AP$12:$AP$263,0)))/INDEX($AI$12:$AI$263,MATCH($AQ158,$AP$12:$AP$263,0)), "-"),     TRUE, "0")</f>
        <v>0</v>
      </c>
      <c r="CQ158" s="607">
        <f>IF(CP$9&gt;0, IF(OR(CP158="",CP158="-"), 0, CP158*$AT158), CO158*$AJ158)</f>
        <v>0</v>
      </c>
      <c r="CR158" s="589">
        <f>[1]COMMANDE!AU156</f>
        <v>0</v>
      </c>
      <c r="CS158" s="586" t="str">
        <f>_xlfn.IFS(AND($AI158=$AM158,$AI158&gt;0,$AM158&gt;0,CR158&gt;0), CR158,     AND(NOT($AI158=$AM158),$AI158&gt;0,$AM158&gt;0,CR158&gt;0), ($AM158*CR158)/$AI158,     AND($AI158=0,$AM158&gt;0,$AQ158&gt;0), IF(INDEX(CR$12:CR$263,MATCH($AQ158,$AP$12:$AP$263,0))&gt;0,($AM158*INDEX(CR$12:CR$263,MATCH($AQ158,$AP$12:$AP$263,0)))/INDEX($AI$12:$AI$263,MATCH($AQ158,$AP$12:$AP$263,0)), "-"),     TRUE, "0")</f>
        <v>0</v>
      </c>
      <c r="CT158" s="588">
        <f>IF(CS$9&gt;0, IF(OR(CS158="",CS158="-"), 0, CS158*$AT158), CR158*$AJ158)</f>
        <v>0</v>
      </c>
      <c r="CU158" s="587">
        <f>[1]COMMANDE!AW156</f>
        <v>0</v>
      </c>
      <c r="CV158" s="586" t="str">
        <f>_xlfn.IFS(AND($AI158=$AM158,$AI158&gt;0,$AM158&gt;0,CU158&gt;0), CU158,     AND(NOT($AI158=$AM158),$AI158&gt;0,$AM158&gt;0,CU158&gt;0), ($AM158*CU158)/$AI158,     AND($AI158=0,$AM158&gt;0,$AQ158&gt;0), IF(INDEX(CU$12:CU$263,MATCH($AQ158,$AP$12:$AP$263,0))&gt;0,($AM158*INDEX(CU$12:CU$263,MATCH($AQ158,$AP$12:$AP$263,0)))/INDEX($AI$12:$AI$263,MATCH($AQ158,$AP$12:$AP$263,0)), "-"),     TRUE, "0")</f>
        <v>0</v>
      </c>
      <c r="CW158" s="607">
        <f>IF(CV$9&gt;0, IF(OR(CV158="",CV158="-"), 0, CV158*$AT158), CU158*$AJ158)</f>
        <v>0</v>
      </c>
      <c r="CX158" s="589">
        <f>[1]COMMANDE!AY156</f>
        <v>0</v>
      </c>
      <c r="CY158" s="586" t="str">
        <f>_xlfn.IFS(AND($AI158=$AM158,$AI158&gt;0,$AM158&gt;0,CX158&gt;0), CX158,     AND(NOT($AI158=$AM158),$AI158&gt;0,$AM158&gt;0,CX158&gt;0), ($AM158*CX158)/$AI158,     AND($AI158=0,$AM158&gt;0,$AQ158&gt;0), IF(INDEX(CX$12:CX$263,MATCH($AQ158,$AP$12:$AP$263,0))&gt;0,($AM158*INDEX(CX$12:CX$263,MATCH($AQ158,$AP$12:$AP$263,0)))/INDEX($AI$12:$AI$263,MATCH($AQ158,$AP$12:$AP$263,0)), "-"),     TRUE, "0")</f>
        <v>0</v>
      </c>
      <c r="CZ158" s="588">
        <f>IF(CY$9&gt;0, IF(OR(CY158="",CY158="-"), 0, CY158*$AT158), CX158*$AJ158)</f>
        <v>0</v>
      </c>
      <c r="DA158" s="587">
        <f>[1]COMMANDE!BA156</f>
        <v>0</v>
      </c>
      <c r="DB158" s="586" t="str">
        <f>_xlfn.IFS(AND($AI158=$AM158,$AI158&gt;0,$AM158&gt;0,DA158&gt;0), DA158,     AND(NOT($AI158=$AM158),$AI158&gt;0,$AM158&gt;0,DA158&gt;0), ($AM158*DA158)/$AI158,     AND($AI158=0,$AM158&gt;0,$AQ158&gt;0), IF(INDEX(DA$12:DA$263,MATCH($AQ158,$AP$12:$AP$263,0))&gt;0,($AM158*INDEX(DA$12:DA$263,MATCH($AQ158,$AP$12:$AP$263,0)))/INDEX($AI$12:$AI$263,MATCH($AQ158,$AP$12:$AP$263,0)), "-"),     TRUE, "0")</f>
        <v>0</v>
      </c>
      <c r="DC158" s="606">
        <f>IF(DB$9&gt;0, IF(OR(DB158="",DB158="-"), 0, DB158*$AT158), DA158*$AJ158)</f>
        <v>0</v>
      </c>
      <c r="DD158" s="584"/>
      <c r="DE158" s="583"/>
    </row>
    <row r="159" spans="1:128" ht="39.950000000000003" hidden="1" customHeight="1">
      <c r="A159" s="604">
        <f>IF(OR($AV159&gt;0, $AX159&gt;0), 1, 0)</f>
        <v>0</v>
      </c>
      <c r="B159" s="604">
        <f>IF(OR($AY159&gt;0, $BA159&gt;0), 1, 0)</f>
        <v>0</v>
      </c>
      <c r="C159" s="604">
        <f>IF(OR($BB159&gt;0, $BD159&gt;0), 1, 0)</f>
        <v>0</v>
      </c>
      <c r="D159" s="604">
        <f>IF(OR($BE159&gt;0, $BG159&gt;0), 1, 0)</f>
        <v>0</v>
      </c>
      <c r="E159" s="604">
        <f>IF(OR($BH159&gt;0, $BJ159&gt;0), 1, 0)</f>
        <v>0</v>
      </c>
      <c r="F159" s="604">
        <f>IF(OR($BK159&gt;0, $BM159&gt;0), 1, 0)</f>
        <v>0</v>
      </c>
      <c r="G159" s="604">
        <f>IF(OR($BN159&gt;0, $BP159&gt;0), 1, 0)</f>
        <v>0</v>
      </c>
      <c r="H159" s="604">
        <f>IF(OR($BQ159&gt;0, $BS159&gt;0), 1, 0)</f>
        <v>0</v>
      </c>
      <c r="I159" s="604">
        <f>IF(OR($BT159&gt;0, $BV159&gt;0), 1, 0)</f>
        <v>0</v>
      </c>
      <c r="J159" s="604">
        <f>IF(OR($BW159&gt;0, $BY159&gt;0), 1, 0)</f>
        <v>0</v>
      </c>
      <c r="K159" s="604">
        <f>IF(OR($BZ159&gt;0, $CB159&gt;0), 1, 0)</f>
        <v>0</v>
      </c>
      <c r="L159" s="604">
        <f>IF(OR($CC159&gt;0, $CE159&gt;0), 1, 0)</f>
        <v>0</v>
      </c>
      <c r="M159" s="604">
        <f>IF(OR($CF159&gt;0, $CH159&gt;0), 1, 0)</f>
        <v>0</v>
      </c>
      <c r="N159" s="604">
        <f>IF(OR($CI159&gt;0, $CK159&gt;0), 1, 0)</f>
        <v>0</v>
      </c>
      <c r="O159" s="604">
        <f>IF(OR($CL159&gt;0, $CN159&gt;0), 1, 0)</f>
        <v>0</v>
      </c>
      <c r="P159" s="604">
        <f>IF(OR($CO159&gt;0, $CQ159&gt;0), 1, 0)</f>
        <v>0</v>
      </c>
      <c r="Q159" s="604">
        <f>IF(OR($CR159&gt;0, $CT159&gt;0), 1, 0)</f>
        <v>0</v>
      </c>
      <c r="R159" s="604">
        <f>IF(OR($CU159&gt;0, $CW159&gt;0), 1, 0)</f>
        <v>0</v>
      </c>
      <c r="S159" s="604">
        <f>IF(OR($CX159&gt;0, $CZ159&gt;0), 1, 0)</f>
        <v>0</v>
      </c>
      <c r="T159" s="604">
        <f>IF(OR($DA159&gt;0, $DC159&gt;0), 1, 0)</f>
        <v>0</v>
      </c>
      <c r="U159" s="603">
        <f>IF(OR($AI159&gt;0,$AM159&gt;0,$AS159&gt;0), 1, 0)</f>
        <v>0</v>
      </c>
      <c r="V159" s="602">
        <f>[1]BDD!A149</f>
        <v>6066</v>
      </c>
      <c r="W159" s="601" t="str">
        <f>[1]BDD!B149</f>
        <v>Mangue BIO déjà assez mûre
    - (Keitt, Sensacion, Palmer Rojo, ...)</v>
      </c>
      <c r="X159" s="600" t="str">
        <f>IF([1]BDD!F149=0, "", [1]BDD!F149)</f>
        <v/>
      </c>
      <c r="Y159" s="542">
        <f>ROUND([1]BDD!G149+FDP_CMD_KG, 2)</f>
        <v>3.58</v>
      </c>
      <c r="Z159" s="542">
        <f>ROUND([1]BDD!G149+FDP_FACT_KG, 2)</f>
        <v>3.58</v>
      </c>
      <c r="AA159" s="543" t="str">
        <f>[1]BDD!H149</f>
        <v>kg</v>
      </c>
      <c r="AB159" s="544" t="str">
        <f>IF(NOT(ISBLANK([1]BDD!I149)), ROUND(SUM(([1]BDD!G149*reduc1),FDP_CMD_KG), 2), "")</f>
        <v/>
      </c>
      <c r="AC159" s="544" t="str">
        <f>IF(NOT(ISBLANK([1]BDD!J149)), ROUND(SUM(([1]BDD!G149*reduc2),FDP_CMD_KG), 2), "")</f>
        <v/>
      </c>
      <c r="AD159" s="544" t="str">
        <f>IF(NOT(ISBLANK([1]BDD!K149)), ROUND(SUM(([1]BDD!G149*reduc3),FDP_CMD_KG), 2), "")</f>
        <v/>
      </c>
      <c r="AE159" s="544" t="str">
        <f>IF(NOT(ISBLANK([1]BDD!I149)), ROUND(SUM(([1]BDD!G149*reduc1),FDP_FACT_KG), 2), "")</f>
        <v/>
      </c>
      <c r="AF159" s="544" t="str">
        <f>IF(NOT(ISBLANK([1]BDD!J149)), ROUND(SUM(([1]BDD!G149*reduc2),FDP_FACT_KG), 2), "")</f>
        <v/>
      </c>
      <c r="AG159" s="544" t="str">
        <f>IF(NOT(ISBLANK([1]BDD!K149)), ROUND(SUM(([1]BDD!G149*reduc3),FDP_FACT_KG), 2), "")</f>
        <v/>
      </c>
      <c r="AH159" s="599" t="str">
        <f>[1]BDD!C149</f>
        <v>Grenade/Malaga</v>
      </c>
      <c r="AI159" s="598">
        <f>SUM(AV159,AY159,BB159,BE159,BH159,BK159,BN159,BQ159,BT159,BW159,BZ159,CC159,CF159,CI159,CL159,CO159,CR159,CU159,CX159,DA159)</f>
        <v>0</v>
      </c>
      <c r="AJ159" s="545">
        <f>_xlfn.IFS($AD159&lt;&gt;"", $AD159,    $AC159&lt;&gt;"", $AC159,    $AB159&lt;&gt;"", $AB159,    TRUE, $Y159)</f>
        <v>3.58</v>
      </c>
      <c r="AK159" s="592">
        <f>$AI159*$AJ159</f>
        <v>0</v>
      </c>
      <c r="AL159" s="594"/>
      <c r="AM159" s="597"/>
      <c r="AN159" s="545">
        <f>_xlfn.IFS(AND(AM159&gt;=60,$AG159&lt;&gt;""), $AG159,    AND(AM159&gt;=30,$AF159&lt;&gt;""), $AF159,    AND(AM159&gt;=10,$AE159&lt;&gt;""), $AE159,    TRUE, $Z159)</f>
        <v>3.58</v>
      </c>
      <c r="AO159" s="596">
        <f>AM159*AN159</f>
        <v>0</v>
      </c>
      <c r="AP159" s="595"/>
      <c r="AQ159" s="595"/>
      <c r="AR159" s="594"/>
      <c r="AS159" s="593">
        <f>SUM(AW159,AZ159,BC159,BF159,BI159,BL159,BO159,BR159,BU159,BX159,CA159,CD159,CG159,CJ159,CM159,CP159,CS159,CV159,CY159,DB159)</f>
        <v>0</v>
      </c>
      <c r="AT159" s="545">
        <f>_xlfn.IFS(AND(AS159&gt;=60,$AG159&lt;&gt;""), $AG159,    AND(AS159&gt;=30,$AF159&lt;&gt;""), $AF159,    AND(AS159&gt;=10,$AE159&lt;&gt;""), $AE159,    TRUE, $Z159)</f>
        <v>3.58</v>
      </c>
      <c r="AU159" s="592">
        <f>$AS159*$AT159</f>
        <v>0</v>
      </c>
      <c r="AV159" s="591">
        <f>[1]COMMANDE!O157</f>
        <v>0</v>
      </c>
      <c r="AW159" s="586" t="str">
        <f>_xlfn.IFS(AND($AI159=$AM159,$AI159&gt;0,$AM159&gt;0,AV159&gt;0), AV159,     AND(NOT($AI159=$AM159),$AI159&gt;0,$AM159&gt;0,AV159&gt;0), ($AM159*AV159)/$AI159,     AND($AI159=0,$AM159&gt;0,$AQ159&gt;0), IF(INDEX(AV$12:AV$263,MATCH($AQ159,$AP$12:$AP$263,0))&gt;0,($AM159*INDEX(AV$12:AV$263,MATCH($AQ159,$AP$12:$AP$263,0)))/INDEX($AI$12:$AI$263,MATCH($AQ159,$AP$12:$AP$263,0)), "-"),     TRUE, "0")</f>
        <v>0</v>
      </c>
      <c r="AX159" s="588">
        <f>IF(AW$9&gt;0, IF(OR(AW159="",AW159="-"), 0, AW159*$AT159), AV159*$AJ159)</f>
        <v>0</v>
      </c>
      <c r="AY159" s="587">
        <f>[1]COMMANDE!Q157</f>
        <v>0</v>
      </c>
      <c r="AZ159" s="586" t="str">
        <f>_xlfn.IFS(AND($AI159=$AM159,$AI159&gt;0,$AM159&gt;0,AY159&gt;0), AY159,     AND(NOT($AI159=$AM159),$AI159&gt;0,$AM159&gt;0,AY159&gt;0), ($AM159*AY159)/$AI159,     AND($AI159=0,$AM159&gt;0,$AQ159&gt;0), IF(INDEX(AY$12:AY$263,MATCH($AQ159,$AP$12:$AP$263,0))&gt;0,($AM159*INDEX(AY$12:AY$263,MATCH($AQ159,$AP$12:$AP$263,0)))/INDEX($AI$12:$AI$263,MATCH($AQ159,$AP$12:$AP$263,0)), "-"),     TRUE, "0")</f>
        <v>0</v>
      </c>
      <c r="BA159" s="607">
        <f>IF(AZ$9&gt;0, IF(OR(AZ159="",AZ159="-"), 0, AZ159*$AT159), AY159*$AJ159)</f>
        <v>0</v>
      </c>
      <c r="BB159" s="589">
        <f>[1]COMMANDE!S157</f>
        <v>0</v>
      </c>
      <c r="BC159" s="586" t="str">
        <f>_xlfn.IFS(AND($AI159=$AM159,$AI159&gt;0,$AM159&gt;0,BB159&gt;0), BB159,     AND(NOT($AI159=$AM159),$AI159&gt;0,$AM159&gt;0,BB159&gt;0), ($AM159*BB159)/$AI159,     AND($AI159=0,$AM159&gt;0,$AQ159&gt;0), IF(INDEX(BB$12:BB$263,MATCH($AQ159,$AP$12:$AP$263,0))&gt;0,($AM159*INDEX(BB$12:BB$263,MATCH($AQ159,$AP$12:$AP$263,0)))/INDEX($AI$12:$AI$263,MATCH($AQ159,$AP$12:$AP$263,0)), "-"),     TRUE, "0")</f>
        <v>0</v>
      </c>
      <c r="BD159" s="588">
        <f>IF(BC$9&gt;0, IF(OR(BC159="",BC159="-"), 0, BC159*$AT159), BB159*$AJ159)</f>
        <v>0</v>
      </c>
      <c r="BE159" s="587">
        <f>[1]COMMANDE!U157</f>
        <v>0</v>
      </c>
      <c r="BF159" s="586" t="str">
        <f>_xlfn.IFS(AND($AI159=$AM159,$AI159&gt;0,$AM159&gt;0,BE159&gt;0), BE159,     AND(NOT($AI159=$AM159),$AI159&gt;0,$AM159&gt;0,BE159&gt;0), ($AM159*BE159)/$AI159,     AND($AI159=0,$AM159&gt;0,$AQ159&gt;0), IF(INDEX(BE$12:BE$263,MATCH($AQ159,$AP$12:$AP$263,0))&gt;0,($AM159*INDEX(BE$12:BE$263,MATCH($AQ159,$AP$12:$AP$263,0)))/INDEX($AI$12:$AI$263,MATCH($AQ159,$AP$12:$AP$263,0)), "-"),     TRUE, "0")</f>
        <v>0</v>
      </c>
      <c r="BG159" s="607">
        <f>IF(BF$9&gt;0, IF(OR(BF159="",BF159="-"), 0, BF159*$AT159), BE159*$AJ159)</f>
        <v>0</v>
      </c>
      <c r="BH159" s="589">
        <f>[1]COMMANDE!W157</f>
        <v>0</v>
      </c>
      <c r="BI159" s="586" t="str">
        <f>_xlfn.IFS(AND($AI159=$AM159,$AI159&gt;0,$AM159&gt;0,BH159&gt;0), BH159,     AND(NOT($AI159=$AM159),$AI159&gt;0,$AM159&gt;0,BH159&gt;0), ($AM159*BH159)/$AI159,     AND($AI159=0,$AM159&gt;0,$AQ159&gt;0), IF(INDEX(BH$12:BH$263,MATCH($AQ159,$AP$12:$AP$263,0))&gt;0,($AM159*INDEX(BH$12:BH$263,MATCH($AQ159,$AP$12:$AP$263,0)))/INDEX($AI$12:$AI$263,MATCH($AQ159,$AP$12:$AP$263,0)), "-"),     TRUE, "0")</f>
        <v>0</v>
      </c>
      <c r="BJ159" s="588">
        <f>IF(BI$9&gt;0, IF(OR(BI159="",BI159="-"), 0, BI159*$AT159), BH159*$AJ159)</f>
        <v>0</v>
      </c>
      <c r="BK159" s="587">
        <f>[1]COMMANDE!Y157</f>
        <v>0</v>
      </c>
      <c r="BL159" s="586" t="str">
        <f>_xlfn.IFS(AND($AI159=$AM159,$AI159&gt;0,$AM159&gt;0,BK159&gt;0), BK159,     AND(NOT($AI159=$AM159),$AI159&gt;0,$AM159&gt;0,BK159&gt;0), ($AM159*BK159)/$AI159,     AND($AI159=0,$AM159&gt;0,$AQ159&gt;0), IF(INDEX(BK$12:BK$263,MATCH($AQ159,$AP$12:$AP$263,0))&gt;0,($AM159*INDEX(BK$12:BK$263,MATCH($AQ159,$AP$12:$AP$263,0)))/INDEX($AI$12:$AI$263,MATCH($AQ159,$AP$12:$AP$263,0)), "-"),     TRUE, "0")</f>
        <v>0</v>
      </c>
      <c r="BM159" s="607">
        <f>IF(BL$9&gt;0, IF(OR(BL159="",BL159="-"), 0, BL159*$AT159), BK159*$AJ159)</f>
        <v>0</v>
      </c>
      <c r="BN159" s="589">
        <f>[1]COMMANDE!AA157</f>
        <v>0</v>
      </c>
      <c r="BO159" s="586" t="str">
        <f>_xlfn.IFS(AND($AI159=$AM159,$AI159&gt;0,$AM159&gt;0,BN159&gt;0), BN159,     AND(NOT($AI159=$AM159),$AI159&gt;0,$AM159&gt;0,BN159&gt;0), ($AM159*BN159)/$AI159,     AND($AI159=0,$AM159&gt;0,$AQ159&gt;0), IF(INDEX(BN$12:BN$263,MATCH($AQ159,$AP$12:$AP$263,0))&gt;0,($AM159*INDEX(BN$12:BN$263,MATCH($AQ159,$AP$12:$AP$263,0)))/INDEX($AI$12:$AI$263,MATCH($AQ159,$AP$12:$AP$263,0)), "-"),     TRUE, "0")</f>
        <v>0</v>
      </c>
      <c r="BP159" s="588">
        <f>IF(BO$9&gt;0, IF(OR(BO159="",BO159="-"), 0, BO159*$AT159), BN159*$AJ159)</f>
        <v>0</v>
      </c>
      <c r="BQ159" s="587">
        <f>[1]COMMANDE!AC157</f>
        <v>0</v>
      </c>
      <c r="BR159" s="586" t="str">
        <f>_xlfn.IFS(AND($AI159=$AM159,$AI159&gt;0,$AM159&gt;0,BQ159&gt;0), BQ159,     AND(NOT($AI159=$AM159),$AI159&gt;0,$AM159&gt;0,BQ159&gt;0), ($AM159*BQ159)/$AI159,     AND($AI159=0,$AM159&gt;0,$AQ159&gt;0), IF(INDEX(BQ$12:BQ$263,MATCH($AQ159,$AP$12:$AP$263,0))&gt;0,($AM159*INDEX(BQ$12:BQ$263,MATCH($AQ159,$AP$12:$AP$263,0)))/INDEX($AI$12:$AI$263,MATCH($AQ159,$AP$12:$AP$263,0)), "-"),     TRUE, "0")</f>
        <v>0</v>
      </c>
      <c r="BS159" s="607">
        <f>IF(BR$9&gt;0, IF(OR(BR159="",BR159="-"), 0, BR159*$AT159), BQ159*$AJ159)</f>
        <v>0</v>
      </c>
      <c r="BT159" s="589">
        <f>[1]COMMANDE!AE157</f>
        <v>0</v>
      </c>
      <c r="BU159" s="586" t="str">
        <f>_xlfn.IFS(AND($AI159=$AM159,$AI159&gt;0,$AM159&gt;0,BT159&gt;0), BT159,     AND(NOT($AI159=$AM159),$AI159&gt;0,$AM159&gt;0,BT159&gt;0), ($AM159*BT159)/$AI159,     AND($AI159=0,$AM159&gt;0,$AQ159&gt;0), IF(INDEX(BT$12:BT$263,MATCH($AQ159,$AP$12:$AP$263,0))&gt;0,($AM159*INDEX(BT$12:BT$263,MATCH($AQ159,$AP$12:$AP$263,0)))/INDEX($AI$12:$AI$263,MATCH($AQ159,$AP$12:$AP$263,0)), "-"),     TRUE, "0")</f>
        <v>0</v>
      </c>
      <c r="BV159" s="588">
        <f>IF(BU$9&gt;0, IF(OR(BU159="",BU159="-"), 0, BU159*$AT159), BT159*$AJ159)</f>
        <v>0</v>
      </c>
      <c r="BW159" s="587">
        <f>[1]COMMANDE!AG157</f>
        <v>0</v>
      </c>
      <c r="BX159" s="586" t="str">
        <f>_xlfn.IFS(AND($AI159=$AM159,$AI159&gt;0,$AM159&gt;0,BW159&gt;0), BW159,     AND(NOT($AI159=$AM159),$AI159&gt;0,$AM159&gt;0,BW159&gt;0), ($AM159*BW159)/$AI159,     AND($AI159=0,$AM159&gt;0,$AQ159&gt;0), IF(INDEX(BW$12:BW$263,MATCH($AQ159,$AP$12:$AP$263,0))&gt;0,($AM159*INDEX(BW$12:BW$263,MATCH($AQ159,$AP$12:$AP$263,0)))/INDEX($AI$12:$AI$263,MATCH($AQ159,$AP$12:$AP$263,0)), "-"),     TRUE, "0")</f>
        <v>0</v>
      </c>
      <c r="BY159" s="607">
        <f>IF(BX$9&gt;0, IF(OR(BX159="",BX159="-"), 0, BX159*$AT159), BW159*$AJ159)</f>
        <v>0</v>
      </c>
      <c r="BZ159" s="589">
        <f>[1]COMMANDE!AI157</f>
        <v>0</v>
      </c>
      <c r="CA159" s="586" t="str">
        <f>_xlfn.IFS(AND($AI159=$AM159,$AI159&gt;0,$AM159&gt;0,BZ159&gt;0), BZ159,     AND(NOT($AI159=$AM159),$AI159&gt;0,$AM159&gt;0,BZ159&gt;0), ($AM159*BZ159)/$AI159,     AND($AI159=0,$AM159&gt;0,$AQ159&gt;0), IF(INDEX(BZ$12:BZ$263,MATCH($AQ159,$AP$12:$AP$263,0))&gt;0,($AM159*INDEX(BZ$12:BZ$263,MATCH($AQ159,$AP$12:$AP$263,0)))/INDEX($AI$12:$AI$263,MATCH($AQ159,$AP$12:$AP$263,0)), "-"),     TRUE, "0")</f>
        <v>0</v>
      </c>
      <c r="CB159" s="588">
        <f>IF(CA$9&gt;0, IF(OR(CA159="",CA159="-"), 0, CA159*$AT159), BZ159*$AJ159)</f>
        <v>0</v>
      </c>
      <c r="CC159" s="587">
        <f>[1]COMMANDE!AK157</f>
        <v>0</v>
      </c>
      <c r="CD159" s="586" t="str">
        <f>_xlfn.IFS(AND($AI159=$AM159,$AI159&gt;0,$AM159&gt;0,CC159&gt;0), CC159,     AND(NOT($AI159=$AM159),$AI159&gt;0,$AM159&gt;0,CC159&gt;0), ($AM159*CC159)/$AI159,     AND($AI159=0,$AM159&gt;0,$AQ159&gt;0), IF(INDEX(CC$12:CC$263,MATCH($AQ159,$AP$12:$AP$263,0))&gt;0,($AM159*INDEX(CC$12:CC$263,MATCH($AQ159,$AP$12:$AP$263,0)))/INDEX($AI$12:$AI$263,MATCH($AQ159,$AP$12:$AP$263,0)), "-"),     TRUE, "0")</f>
        <v>0</v>
      </c>
      <c r="CE159" s="607">
        <f>IF(CD$9&gt;0, IF(OR(CD159="",CD159="-"), 0, CD159*$AT159), CC159*$AJ159)</f>
        <v>0</v>
      </c>
      <c r="CF159" s="589">
        <f>[1]COMMANDE!AM157</f>
        <v>0</v>
      </c>
      <c r="CG159" s="586" t="str">
        <f>_xlfn.IFS(AND($AI159=$AM159,$AI159&gt;0,$AM159&gt;0,CF159&gt;0), CF159,     AND(NOT($AI159=$AM159),$AI159&gt;0,$AM159&gt;0,CF159&gt;0), ($AM159*CF159)/$AI159,     AND($AI159=0,$AM159&gt;0,$AQ159&gt;0), IF(INDEX(CF$12:CF$263,MATCH($AQ159,$AP$12:$AP$263,0))&gt;0,($AM159*INDEX(CF$12:CF$263,MATCH($AQ159,$AP$12:$AP$263,0)))/INDEX($AI$12:$AI$263,MATCH($AQ159,$AP$12:$AP$263,0)), "-"),     TRUE, "0")</f>
        <v>0</v>
      </c>
      <c r="CH159" s="588">
        <f>IF(CG$9&gt;0, IF(OR(CG159="",CG159="-"), 0, CG159*$AT159), CF159*$AJ159)</f>
        <v>0</v>
      </c>
      <c r="CI159" s="587">
        <f>[1]COMMANDE!AO157</f>
        <v>0</v>
      </c>
      <c r="CJ159" s="586" t="str">
        <f>_xlfn.IFS(AND($AI159=$AM159,$AI159&gt;0,$AM159&gt;0,CI159&gt;0), CI159,     AND(NOT($AI159=$AM159),$AI159&gt;0,$AM159&gt;0,CI159&gt;0), ($AM159*CI159)/$AI159,     AND($AI159=0,$AM159&gt;0,$AQ159&gt;0), IF(INDEX(CI$12:CI$263,MATCH($AQ159,$AP$12:$AP$263,0))&gt;0,($AM159*INDEX(CI$12:CI$263,MATCH($AQ159,$AP$12:$AP$263,0)))/INDEX($AI$12:$AI$263,MATCH($AQ159,$AP$12:$AP$263,0)), "-"),     TRUE, "0")</f>
        <v>0</v>
      </c>
      <c r="CK159" s="607">
        <f>IF(CJ$9&gt;0, IF(OR(CJ159="",CJ159="-"), 0, CJ159*$AT159), CI159*$AJ159)</f>
        <v>0</v>
      </c>
      <c r="CL159" s="589">
        <f>[1]COMMANDE!AQ157</f>
        <v>0</v>
      </c>
      <c r="CM159" s="586" t="str">
        <f>_xlfn.IFS(AND($AI159=$AM159,$AI159&gt;0,$AM159&gt;0,CL159&gt;0), CL159,     AND(NOT($AI159=$AM159),$AI159&gt;0,$AM159&gt;0,CL159&gt;0), ($AM159*CL159)/$AI159,     AND($AI159=0,$AM159&gt;0,$AQ159&gt;0), IF(INDEX(CL$12:CL$263,MATCH($AQ159,$AP$12:$AP$263,0))&gt;0,($AM159*INDEX(CL$12:CL$263,MATCH($AQ159,$AP$12:$AP$263,0)))/INDEX($AI$12:$AI$263,MATCH($AQ159,$AP$12:$AP$263,0)), "-"),     TRUE, "0")</f>
        <v>0</v>
      </c>
      <c r="CN159" s="588">
        <f>IF(CM$9&gt;0, IF(OR(CM159="",CM159="-"), 0, CM159*$AT159), CL159*$AJ159)</f>
        <v>0</v>
      </c>
      <c r="CO159" s="587">
        <f>[1]COMMANDE!AS157</f>
        <v>0</v>
      </c>
      <c r="CP159" s="586" t="str">
        <f>_xlfn.IFS(AND($AI159=$AM159,$AI159&gt;0,$AM159&gt;0,CO159&gt;0), CO159,     AND(NOT($AI159=$AM159),$AI159&gt;0,$AM159&gt;0,CO159&gt;0), ($AM159*CO159)/$AI159,     AND($AI159=0,$AM159&gt;0,$AQ159&gt;0), IF(INDEX(CO$12:CO$263,MATCH($AQ159,$AP$12:$AP$263,0))&gt;0,($AM159*INDEX(CO$12:CO$263,MATCH($AQ159,$AP$12:$AP$263,0)))/INDEX($AI$12:$AI$263,MATCH($AQ159,$AP$12:$AP$263,0)), "-"),     TRUE, "0")</f>
        <v>0</v>
      </c>
      <c r="CQ159" s="607">
        <f>IF(CP$9&gt;0, IF(OR(CP159="",CP159="-"), 0, CP159*$AT159), CO159*$AJ159)</f>
        <v>0</v>
      </c>
      <c r="CR159" s="589">
        <f>[1]COMMANDE!AU157</f>
        <v>0</v>
      </c>
      <c r="CS159" s="586" t="str">
        <f>_xlfn.IFS(AND($AI159=$AM159,$AI159&gt;0,$AM159&gt;0,CR159&gt;0), CR159,     AND(NOT($AI159=$AM159),$AI159&gt;0,$AM159&gt;0,CR159&gt;0), ($AM159*CR159)/$AI159,     AND($AI159=0,$AM159&gt;0,$AQ159&gt;0), IF(INDEX(CR$12:CR$263,MATCH($AQ159,$AP$12:$AP$263,0))&gt;0,($AM159*INDEX(CR$12:CR$263,MATCH($AQ159,$AP$12:$AP$263,0)))/INDEX($AI$12:$AI$263,MATCH($AQ159,$AP$12:$AP$263,0)), "-"),     TRUE, "0")</f>
        <v>0</v>
      </c>
      <c r="CT159" s="588">
        <f>IF(CS$9&gt;0, IF(OR(CS159="",CS159="-"), 0, CS159*$AT159), CR159*$AJ159)</f>
        <v>0</v>
      </c>
      <c r="CU159" s="587">
        <f>[1]COMMANDE!AW157</f>
        <v>0</v>
      </c>
      <c r="CV159" s="586" t="str">
        <f>_xlfn.IFS(AND($AI159=$AM159,$AI159&gt;0,$AM159&gt;0,CU159&gt;0), CU159,     AND(NOT($AI159=$AM159),$AI159&gt;0,$AM159&gt;0,CU159&gt;0), ($AM159*CU159)/$AI159,     AND($AI159=0,$AM159&gt;0,$AQ159&gt;0), IF(INDEX(CU$12:CU$263,MATCH($AQ159,$AP$12:$AP$263,0))&gt;0,($AM159*INDEX(CU$12:CU$263,MATCH($AQ159,$AP$12:$AP$263,0)))/INDEX($AI$12:$AI$263,MATCH($AQ159,$AP$12:$AP$263,0)), "-"),     TRUE, "0")</f>
        <v>0</v>
      </c>
      <c r="CW159" s="607">
        <f>IF(CV$9&gt;0, IF(OR(CV159="",CV159="-"), 0, CV159*$AT159), CU159*$AJ159)</f>
        <v>0</v>
      </c>
      <c r="CX159" s="589">
        <f>[1]COMMANDE!AY157</f>
        <v>0</v>
      </c>
      <c r="CY159" s="586" t="str">
        <f>_xlfn.IFS(AND($AI159=$AM159,$AI159&gt;0,$AM159&gt;0,CX159&gt;0), CX159,     AND(NOT($AI159=$AM159),$AI159&gt;0,$AM159&gt;0,CX159&gt;0), ($AM159*CX159)/$AI159,     AND($AI159=0,$AM159&gt;0,$AQ159&gt;0), IF(INDEX(CX$12:CX$263,MATCH($AQ159,$AP$12:$AP$263,0))&gt;0,($AM159*INDEX(CX$12:CX$263,MATCH($AQ159,$AP$12:$AP$263,0)))/INDEX($AI$12:$AI$263,MATCH($AQ159,$AP$12:$AP$263,0)), "-"),     TRUE, "0")</f>
        <v>0</v>
      </c>
      <c r="CZ159" s="588">
        <f>IF(CY$9&gt;0, IF(OR(CY159="",CY159="-"), 0, CY159*$AT159), CX159*$AJ159)</f>
        <v>0</v>
      </c>
      <c r="DA159" s="587">
        <f>[1]COMMANDE!BA157</f>
        <v>0</v>
      </c>
      <c r="DB159" s="586" t="str">
        <f>_xlfn.IFS(AND($AI159=$AM159,$AI159&gt;0,$AM159&gt;0,DA159&gt;0), DA159,     AND(NOT($AI159=$AM159),$AI159&gt;0,$AM159&gt;0,DA159&gt;0), ($AM159*DA159)/$AI159,     AND($AI159=0,$AM159&gt;0,$AQ159&gt;0), IF(INDEX(DA$12:DA$263,MATCH($AQ159,$AP$12:$AP$263,0))&gt;0,($AM159*INDEX(DA$12:DA$263,MATCH($AQ159,$AP$12:$AP$263,0)))/INDEX($AI$12:$AI$263,MATCH($AQ159,$AP$12:$AP$263,0)), "-"),     TRUE, "0")</f>
        <v>0</v>
      </c>
      <c r="DC159" s="606">
        <f>IF(DB$9&gt;0, IF(OR(DB159="",DB159="-"), 0, DB159*$AT159), DA159*$AJ159)</f>
        <v>0</v>
      </c>
      <c r="DD159" s="584"/>
      <c r="DE159" s="583"/>
    </row>
    <row r="160" spans="1:128" s="608" customFormat="1" ht="39.950000000000003" hidden="1" customHeight="1">
      <c r="A160" s="604">
        <f>IF(OR($AV160&gt;0, $AX160&gt;0), 1, 0)</f>
        <v>0</v>
      </c>
      <c r="B160" s="604">
        <f>IF(OR($AY160&gt;0, $BA160&gt;0), 1, 0)</f>
        <v>0</v>
      </c>
      <c r="C160" s="604">
        <f>IF(OR($BB160&gt;0, $BD160&gt;0), 1, 0)</f>
        <v>0</v>
      </c>
      <c r="D160" s="604">
        <f>IF(OR($BE160&gt;0, $BG160&gt;0), 1, 0)</f>
        <v>0</v>
      </c>
      <c r="E160" s="604">
        <f>IF(OR($BH160&gt;0, $BJ160&gt;0), 1, 0)</f>
        <v>0</v>
      </c>
      <c r="F160" s="604">
        <f>IF(OR($BK160&gt;0, $BM160&gt;0), 1, 0)</f>
        <v>0</v>
      </c>
      <c r="G160" s="604">
        <f>IF(OR($BN160&gt;0, $BP160&gt;0), 1, 0)</f>
        <v>0</v>
      </c>
      <c r="H160" s="604">
        <f>IF(OR($BQ160&gt;0, $BS160&gt;0), 1, 0)</f>
        <v>0</v>
      </c>
      <c r="I160" s="604">
        <f>IF(OR($BT160&gt;0, $BV160&gt;0), 1, 0)</f>
        <v>0</v>
      </c>
      <c r="J160" s="604">
        <f>IF(OR($BW160&gt;0, $BY160&gt;0), 1, 0)</f>
        <v>0</v>
      </c>
      <c r="K160" s="604">
        <f>IF(OR($BZ160&gt;0, $CB160&gt;0), 1, 0)</f>
        <v>0</v>
      </c>
      <c r="L160" s="604">
        <f>IF(OR($CC160&gt;0, $CE160&gt;0), 1, 0)</f>
        <v>0</v>
      </c>
      <c r="M160" s="604">
        <f>IF(OR($CF160&gt;0, $CH160&gt;0), 1, 0)</f>
        <v>0</v>
      </c>
      <c r="N160" s="604">
        <f>IF(OR($CI160&gt;0, $CK160&gt;0), 1, 0)</f>
        <v>0</v>
      </c>
      <c r="O160" s="604">
        <f>IF(OR($CL160&gt;0, $CN160&gt;0), 1, 0)</f>
        <v>0</v>
      </c>
      <c r="P160" s="604">
        <f>IF(OR($CO160&gt;0, $CQ160&gt;0), 1, 0)</f>
        <v>0</v>
      </c>
      <c r="Q160" s="604">
        <f>IF(OR($CR160&gt;0, $CT160&gt;0), 1, 0)</f>
        <v>0</v>
      </c>
      <c r="R160" s="604">
        <f>IF(OR($CU160&gt;0, $CW160&gt;0), 1, 0)</f>
        <v>0</v>
      </c>
      <c r="S160" s="604">
        <f>IF(OR($CX160&gt;0, $CZ160&gt;0), 1, 0)</f>
        <v>0</v>
      </c>
      <c r="T160" s="604">
        <f>IF(OR($DA160&gt;0, $DC160&gt;0), 1, 0)</f>
        <v>0</v>
      </c>
      <c r="U160" s="603">
        <f>IF(OR($AI160&gt;0,$AM160&gt;0,$AS160&gt;0), 1, 0)</f>
        <v>0</v>
      </c>
      <c r="V160" s="602">
        <f>[1]BDD!A150</f>
        <v>5215</v>
      </c>
      <c r="W160" s="601" t="str">
        <f>[1]BDD!B150</f>
        <v>Mangue Irwin gourmet déshydratée en tranche à basse température (40-45°) CRU</v>
      </c>
      <c r="X160" s="600" t="str">
        <f>IF([1]BDD!F150=0, "", [1]BDD!F150)</f>
        <v>❤️</v>
      </c>
      <c r="Y160" s="542">
        <f>ROUND([1]BDD!G150+FDP_CMD_KG, 2)</f>
        <v>54.27</v>
      </c>
      <c r="Z160" s="542">
        <f>ROUND([1]BDD!G150+FDP_FACT_KG, 2)</f>
        <v>54.27</v>
      </c>
      <c r="AA160" s="543" t="str">
        <f>[1]BDD!H150</f>
        <v>kg</v>
      </c>
      <c r="AB160" s="544" t="str">
        <f>IF(NOT(ISBLANK([1]BDD!I150)), ROUND(SUM(([1]BDD!G150*reduc1),FDP_CMD_KG), 2), "")</f>
        <v/>
      </c>
      <c r="AC160" s="544" t="str">
        <f>IF(NOT(ISBLANK([1]BDD!J150)), ROUND(SUM(([1]BDD!G150*reduc2),FDP_CMD_KG), 2), "")</f>
        <v/>
      </c>
      <c r="AD160" s="544" t="str">
        <f>IF(NOT(ISBLANK([1]BDD!K150)), ROUND(SUM(([1]BDD!G150*reduc3),FDP_CMD_KG), 2), "")</f>
        <v/>
      </c>
      <c r="AE160" s="544" t="str">
        <f>IF(NOT(ISBLANK([1]BDD!I150)), ROUND(SUM(([1]BDD!G150*reduc1),FDP_FACT_KG), 2), "")</f>
        <v/>
      </c>
      <c r="AF160" s="544" t="str">
        <f>IF(NOT(ISBLANK([1]BDD!J150)), ROUND(SUM(([1]BDD!G150*reduc2),FDP_FACT_KG), 2), "")</f>
        <v/>
      </c>
      <c r="AG160" s="544" t="str">
        <f>IF(NOT(ISBLANK([1]BDD!K150)), ROUND(SUM(([1]BDD!G150*reduc3),FDP_FACT_KG), 2), "")</f>
        <v/>
      </c>
      <c r="AH160" s="599" t="str">
        <f>[1]BDD!C150</f>
        <v>Grenade</v>
      </c>
      <c r="AI160" s="598">
        <f>SUM(AV160,AY160,BB160,BE160,BH160,BK160,BN160,BQ160,BT160,BW160,BZ160,CC160,CF160,CI160,CL160,CO160,CR160,CU160,CX160,DA160)</f>
        <v>0</v>
      </c>
      <c r="AJ160" s="545">
        <f>_xlfn.IFS($AD160&lt;&gt;"", $AD160,    $AC160&lt;&gt;"", $AC160,    $AB160&lt;&gt;"", $AB160,    TRUE, $Y160)</f>
        <v>54.27</v>
      </c>
      <c r="AK160" s="592">
        <f>$AI160*$AJ160</f>
        <v>0</v>
      </c>
      <c r="AL160" s="594"/>
      <c r="AM160" s="597"/>
      <c r="AN160" s="545">
        <f>_xlfn.IFS(AND(AM160&gt;=60,$AG160&lt;&gt;""), $AG160,    AND(AM160&gt;=30,$AF160&lt;&gt;""), $AF160,    AND(AM160&gt;=10,$AE160&lt;&gt;""), $AE160,    TRUE, $Z160)</f>
        <v>54.27</v>
      </c>
      <c r="AO160" s="596">
        <f>AM160*AN160</f>
        <v>0</v>
      </c>
      <c r="AP160" s="595"/>
      <c r="AQ160" s="595"/>
      <c r="AR160" s="594"/>
      <c r="AS160" s="593">
        <f>SUM(AW160,AZ160,BC160,BF160,BI160,BL160,BO160,BR160,BU160,BX160,CA160,CD160,CG160,CJ160,CM160,CP160,CS160,CV160,CY160,DB160)</f>
        <v>0</v>
      </c>
      <c r="AT160" s="545">
        <f>_xlfn.IFS(AND(AS160&gt;=60,$AG160&lt;&gt;""), $AG160,    AND(AS160&gt;=30,$AF160&lt;&gt;""), $AF160,    AND(AS160&gt;=10,$AE160&lt;&gt;""), $AE160,    TRUE, $Z160)</f>
        <v>54.27</v>
      </c>
      <c r="AU160" s="592">
        <f>$AS160*$AT160</f>
        <v>0</v>
      </c>
      <c r="AV160" s="591">
        <f>[1]COMMANDE!O158</f>
        <v>0</v>
      </c>
      <c r="AW160" s="586" t="str">
        <f>_xlfn.IFS(AND($AI160=$AM160,$AI160&gt;0,$AM160&gt;0,AV160&gt;0), AV160,     AND(NOT($AI160=$AM160),$AI160&gt;0,$AM160&gt;0,AV160&gt;0), ($AM160*AV160)/$AI160,     AND($AI160=0,$AM160&gt;0,$AQ160&gt;0), IF(INDEX(AV$12:AV$263,MATCH($AQ160,$AP$12:$AP$263,0))&gt;0,($AM160*INDEX(AV$12:AV$263,MATCH($AQ160,$AP$12:$AP$263,0)))/INDEX($AI$12:$AI$263,MATCH($AQ160,$AP$12:$AP$263,0)), "-"),     TRUE, "0")</f>
        <v>0</v>
      </c>
      <c r="AX160" s="588">
        <f>IF(AW$9&gt;0, IF(OR(AW160="",AW160="-"), 0, AW160*$AT160), AV160*$AJ160)</f>
        <v>0</v>
      </c>
      <c r="AY160" s="587">
        <f>[1]COMMANDE!Q158</f>
        <v>0</v>
      </c>
      <c r="AZ160" s="586" t="str">
        <f>_xlfn.IFS(AND($AI160=$AM160,$AI160&gt;0,$AM160&gt;0,AY160&gt;0), AY160,     AND(NOT($AI160=$AM160),$AI160&gt;0,$AM160&gt;0,AY160&gt;0), ($AM160*AY160)/$AI160,     AND($AI160=0,$AM160&gt;0,$AQ160&gt;0), IF(INDEX(AY$12:AY$263,MATCH($AQ160,$AP$12:$AP$263,0))&gt;0,($AM160*INDEX(AY$12:AY$263,MATCH($AQ160,$AP$12:$AP$263,0)))/INDEX($AI$12:$AI$263,MATCH($AQ160,$AP$12:$AP$263,0)), "-"),     TRUE, "0")</f>
        <v>0</v>
      </c>
      <c r="BA160" s="607">
        <f>IF(AZ$9&gt;0, IF(OR(AZ160="",AZ160="-"), 0, AZ160*$AT160), AY160*$AJ160)</f>
        <v>0</v>
      </c>
      <c r="BB160" s="589">
        <f>[1]COMMANDE!S158</f>
        <v>0</v>
      </c>
      <c r="BC160" s="586" t="str">
        <f>_xlfn.IFS(AND($AI160=$AM160,$AI160&gt;0,$AM160&gt;0,BB160&gt;0), BB160,     AND(NOT($AI160=$AM160),$AI160&gt;0,$AM160&gt;0,BB160&gt;0), ($AM160*BB160)/$AI160,     AND($AI160=0,$AM160&gt;0,$AQ160&gt;0), IF(INDEX(BB$12:BB$263,MATCH($AQ160,$AP$12:$AP$263,0))&gt;0,($AM160*INDEX(BB$12:BB$263,MATCH($AQ160,$AP$12:$AP$263,0)))/INDEX($AI$12:$AI$263,MATCH($AQ160,$AP$12:$AP$263,0)), "-"),     TRUE, "0")</f>
        <v>0</v>
      </c>
      <c r="BD160" s="588">
        <f>IF(BC$9&gt;0, IF(OR(BC160="",BC160="-"), 0, BC160*$AT160), BB160*$AJ160)</f>
        <v>0</v>
      </c>
      <c r="BE160" s="587">
        <f>[1]COMMANDE!U158</f>
        <v>0</v>
      </c>
      <c r="BF160" s="586" t="str">
        <f>_xlfn.IFS(AND($AI160=$AM160,$AI160&gt;0,$AM160&gt;0,BE160&gt;0), BE160,     AND(NOT($AI160=$AM160),$AI160&gt;0,$AM160&gt;0,BE160&gt;0), ($AM160*BE160)/$AI160,     AND($AI160=0,$AM160&gt;0,$AQ160&gt;0), IF(INDEX(BE$12:BE$263,MATCH($AQ160,$AP$12:$AP$263,0))&gt;0,($AM160*INDEX(BE$12:BE$263,MATCH($AQ160,$AP$12:$AP$263,0)))/INDEX($AI$12:$AI$263,MATCH($AQ160,$AP$12:$AP$263,0)), "-"),     TRUE, "0")</f>
        <v>0</v>
      </c>
      <c r="BG160" s="607">
        <f>IF(BF$9&gt;0, IF(OR(BF160="",BF160="-"), 0, BF160*$AT160), BE160*$AJ160)</f>
        <v>0</v>
      </c>
      <c r="BH160" s="589">
        <f>[1]COMMANDE!W158</f>
        <v>0</v>
      </c>
      <c r="BI160" s="586" t="str">
        <f>_xlfn.IFS(AND($AI160=$AM160,$AI160&gt;0,$AM160&gt;0,BH160&gt;0), BH160,     AND(NOT($AI160=$AM160),$AI160&gt;0,$AM160&gt;0,BH160&gt;0), ($AM160*BH160)/$AI160,     AND($AI160=0,$AM160&gt;0,$AQ160&gt;0), IF(INDEX(BH$12:BH$263,MATCH($AQ160,$AP$12:$AP$263,0))&gt;0,($AM160*INDEX(BH$12:BH$263,MATCH($AQ160,$AP$12:$AP$263,0)))/INDEX($AI$12:$AI$263,MATCH($AQ160,$AP$12:$AP$263,0)), "-"),     TRUE, "0")</f>
        <v>0</v>
      </c>
      <c r="BJ160" s="588">
        <f>IF(BI$9&gt;0, IF(OR(BI160="",BI160="-"), 0, BI160*$AT160), BH160*$AJ160)</f>
        <v>0</v>
      </c>
      <c r="BK160" s="587">
        <f>[1]COMMANDE!Y158</f>
        <v>0</v>
      </c>
      <c r="BL160" s="586" t="str">
        <f>_xlfn.IFS(AND($AI160=$AM160,$AI160&gt;0,$AM160&gt;0,BK160&gt;0), BK160,     AND(NOT($AI160=$AM160),$AI160&gt;0,$AM160&gt;0,BK160&gt;0), ($AM160*BK160)/$AI160,     AND($AI160=0,$AM160&gt;0,$AQ160&gt;0), IF(INDEX(BK$12:BK$263,MATCH($AQ160,$AP$12:$AP$263,0))&gt;0,($AM160*INDEX(BK$12:BK$263,MATCH($AQ160,$AP$12:$AP$263,0)))/INDEX($AI$12:$AI$263,MATCH($AQ160,$AP$12:$AP$263,0)), "-"),     TRUE, "0")</f>
        <v>0</v>
      </c>
      <c r="BM160" s="607">
        <f>IF(BL$9&gt;0, IF(OR(BL160="",BL160="-"), 0, BL160*$AT160), BK160*$AJ160)</f>
        <v>0</v>
      </c>
      <c r="BN160" s="589">
        <f>[1]COMMANDE!AA158</f>
        <v>0</v>
      </c>
      <c r="BO160" s="586" t="str">
        <f>_xlfn.IFS(AND($AI160=$AM160,$AI160&gt;0,$AM160&gt;0,BN160&gt;0), BN160,     AND(NOT($AI160=$AM160),$AI160&gt;0,$AM160&gt;0,BN160&gt;0), ($AM160*BN160)/$AI160,     AND($AI160=0,$AM160&gt;0,$AQ160&gt;0), IF(INDEX(BN$12:BN$263,MATCH($AQ160,$AP$12:$AP$263,0))&gt;0,($AM160*INDEX(BN$12:BN$263,MATCH($AQ160,$AP$12:$AP$263,0)))/INDEX($AI$12:$AI$263,MATCH($AQ160,$AP$12:$AP$263,0)), "-"),     TRUE, "0")</f>
        <v>0</v>
      </c>
      <c r="BP160" s="588">
        <f>IF(BO$9&gt;0, IF(OR(BO160="",BO160="-"), 0, BO160*$AT160), BN160*$AJ160)</f>
        <v>0</v>
      </c>
      <c r="BQ160" s="587">
        <f>[1]COMMANDE!AC158</f>
        <v>0</v>
      </c>
      <c r="BR160" s="586" t="str">
        <f>_xlfn.IFS(AND($AI160=$AM160,$AI160&gt;0,$AM160&gt;0,BQ160&gt;0), BQ160,     AND(NOT($AI160=$AM160),$AI160&gt;0,$AM160&gt;0,BQ160&gt;0), ($AM160*BQ160)/$AI160,     AND($AI160=0,$AM160&gt;0,$AQ160&gt;0), IF(INDEX(BQ$12:BQ$263,MATCH($AQ160,$AP$12:$AP$263,0))&gt;0,($AM160*INDEX(BQ$12:BQ$263,MATCH($AQ160,$AP$12:$AP$263,0)))/INDEX($AI$12:$AI$263,MATCH($AQ160,$AP$12:$AP$263,0)), "-"),     TRUE, "0")</f>
        <v>0</v>
      </c>
      <c r="BS160" s="607">
        <f>IF(BR$9&gt;0, IF(OR(BR160="",BR160="-"), 0, BR160*$AT160), BQ160*$AJ160)</f>
        <v>0</v>
      </c>
      <c r="BT160" s="589">
        <f>[1]COMMANDE!AE158</f>
        <v>0</v>
      </c>
      <c r="BU160" s="586" t="str">
        <f>_xlfn.IFS(AND($AI160=$AM160,$AI160&gt;0,$AM160&gt;0,BT160&gt;0), BT160,     AND(NOT($AI160=$AM160),$AI160&gt;0,$AM160&gt;0,BT160&gt;0), ($AM160*BT160)/$AI160,     AND($AI160=0,$AM160&gt;0,$AQ160&gt;0), IF(INDEX(BT$12:BT$263,MATCH($AQ160,$AP$12:$AP$263,0))&gt;0,($AM160*INDEX(BT$12:BT$263,MATCH($AQ160,$AP$12:$AP$263,0)))/INDEX($AI$12:$AI$263,MATCH($AQ160,$AP$12:$AP$263,0)), "-"),     TRUE, "0")</f>
        <v>0</v>
      </c>
      <c r="BV160" s="588">
        <f>IF(BU$9&gt;0, IF(OR(BU160="",BU160="-"), 0, BU160*$AT160), BT160*$AJ160)</f>
        <v>0</v>
      </c>
      <c r="BW160" s="587">
        <f>[1]COMMANDE!AG158</f>
        <v>0</v>
      </c>
      <c r="BX160" s="586" t="str">
        <f>_xlfn.IFS(AND($AI160=$AM160,$AI160&gt;0,$AM160&gt;0,BW160&gt;0), BW160,     AND(NOT($AI160=$AM160),$AI160&gt;0,$AM160&gt;0,BW160&gt;0), ($AM160*BW160)/$AI160,     AND($AI160=0,$AM160&gt;0,$AQ160&gt;0), IF(INDEX(BW$12:BW$263,MATCH($AQ160,$AP$12:$AP$263,0))&gt;0,($AM160*INDEX(BW$12:BW$263,MATCH($AQ160,$AP$12:$AP$263,0)))/INDEX($AI$12:$AI$263,MATCH($AQ160,$AP$12:$AP$263,0)), "-"),     TRUE, "0")</f>
        <v>0</v>
      </c>
      <c r="BY160" s="607">
        <f>IF(BX$9&gt;0, IF(OR(BX160="",BX160="-"), 0, BX160*$AT160), BW160*$AJ160)</f>
        <v>0</v>
      </c>
      <c r="BZ160" s="589">
        <f>[1]COMMANDE!AI158</f>
        <v>0</v>
      </c>
      <c r="CA160" s="586" t="str">
        <f>_xlfn.IFS(AND($AI160=$AM160,$AI160&gt;0,$AM160&gt;0,BZ160&gt;0), BZ160,     AND(NOT($AI160=$AM160),$AI160&gt;0,$AM160&gt;0,BZ160&gt;0), ($AM160*BZ160)/$AI160,     AND($AI160=0,$AM160&gt;0,$AQ160&gt;0), IF(INDEX(BZ$12:BZ$263,MATCH($AQ160,$AP$12:$AP$263,0))&gt;0,($AM160*INDEX(BZ$12:BZ$263,MATCH($AQ160,$AP$12:$AP$263,0)))/INDEX($AI$12:$AI$263,MATCH($AQ160,$AP$12:$AP$263,0)), "-"),     TRUE, "0")</f>
        <v>0</v>
      </c>
      <c r="CB160" s="588">
        <f>IF(CA$9&gt;0, IF(OR(CA160="",CA160="-"), 0, CA160*$AT160), BZ160*$AJ160)</f>
        <v>0</v>
      </c>
      <c r="CC160" s="587">
        <f>[1]COMMANDE!AK158</f>
        <v>0</v>
      </c>
      <c r="CD160" s="586" t="str">
        <f>_xlfn.IFS(AND($AI160=$AM160,$AI160&gt;0,$AM160&gt;0,CC160&gt;0), CC160,     AND(NOT($AI160=$AM160),$AI160&gt;0,$AM160&gt;0,CC160&gt;0), ($AM160*CC160)/$AI160,     AND($AI160=0,$AM160&gt;0,$AQ160&gt;0), IF(INDEX(CC$12:CC$263,MATCH($AQ160,$AP$12:$AP$263,0))&gt;0,($AM160*INDEX(CC$12:CC$263,MATCH($AQ160,$AP$12:$AP$263,0)))/INDEX($AI$12:$AI$263,MATCH($AQ160,$AP$12:$AP$263,0)), "-"),     TRUE, "0")</f>
        <v>0</v>
      </c>
      <c r="CE160" s="607">
        <f>IF(CD$9&gt;0, IF(OR(CD160="",CD160="-"), 0, CD160*$AT160), CC160*$AJ160)</f>
        <v>0</v>
      </c>
      <c r="CF160" s="589">
        <f>[1]COMMANDE!AM158</f>
        <v>0</v>
      </c>
      <c r="CG160" s="586" t="str">
        <f>_xlfn.IFS(AND($AI160=$AM160,$AI160&gt;0,$AM160&gt;0,CF160&gt;0), CF160,     AND(NOT($AI160=$AM160),$AI160&gt;0,$AM160&gt;0,CF160&gt;0), ($AM160*CF160)/$AI160,     AND($AI160=0,$AM160&gt;0,$AQ160&gt;0), IF(INDEX(CF$12:CF$263,MATCH($AQ160,$AP$12:$AP$263,0))&gt;0,($AM160*INDEX(CF$12:CF$263,MATCH($AQ160,$AP$12:$AP$263,0)))/INDEX($AI$12:$AI$263,MATCH($AQ160,$AP$12:$AP$263,0)), "-"),     TRUE, "0")</f>
        <v>0</v>
      </c>
      <c r="CH160" s="588">
        <f>IF(CG$9&gt;0, IF(OR(CG160="",CG160="-"), 0, CG160*$AT160), CF160*$AJ160)</f>
        <v>0</v>
      </c>
      <c r="CI160" s="587">
        <f>[1]COMMANDE!AO158</f>
        <v>0</v>
      </c>
      <c r="CJ160" s="586" t="str">
        <f>_xlfn.IFS(AND($AI160=$AM160,$AI160&gt;0,$AM160&gt;0,CI160&gt;0), CI160,     AND(NOT($AI160=$AM160),$AI160&gt;0,$AM160&gt;0,CI160&gt;0), ($AM160*CI160)/$AI160,     AND($AI160=0,$AM160&gt;0,$AQ160&gt;0), IF(INDEX(CI$12:CI$263,MATCH($AQ160,$AP$12:$AP$263,0))&gt;0,($AM160*INDEX(CI$12:CI$263,MATCH($AQ160,$AP$12:$AP$263,0)))/INDEX($AI$12:$AI$263,MATCH($AQ160,$AP$12:$AP$263,0)), "-"),     TRUE, "0")</f>
        <v>0</v>
      </c>
      <c r="CK160" s="607">
        <f>IF(CJ$9&gt;0, IF(OR(CJ160="",CJ160="-"), 0, CJ160*$AT160), CI160*$AJ160)</f>
        <v>0</v>
      </c>
      <c r="CL160" s="589">
        <f>[1]COMMANDE!AQ158</f>
        <v>0</v>
      </c>
      <c r="CM160" s="586" t="str">
        <f>_xlfn.IFS(AND($AI160=$AM160,$AI160&gt;0,$AM160&gt;0,CL160&gt;0), CL160,     AND(NOT($AI160=$AM160),$AI160&gt;0,$AM160&gt;0,CL160&gt;0), ($AM160*CL160)/$AI160,     AND($AI160=0,$AM160&gt;0,$AQ160&gt;0), IF(INDEX(CL$12:CL$263,MATCH($AQ160,$AP$12:$AP$263,0))&gt;0,($AM160*INDEX(CL$12:CL$263,MATCH($AQ160,$AP$12:$AP$263,0)))/INDEX($AI$12:$AI$263,MATCH($AQ160,$AP$12:$AP$263,0)), "-"),     TRUE, "0")</f>
        <v>0</v>
      </c>
      <c r="CN160" s="588">
        <f>IF(CM$9&gt;0, IF(OR(CM160="",CM160="-"), 0, CM160*$AT160), CL160*$AJ160)</f>
        <v>0</v>
      </c>
      <c r="CO160" s="587">
        <f>[1]COMMANDE!AS158</f>
        <v>0</v>
      </c>
      <c r="CP160" s="586" t="str">
        <f>_xlfn.IFS(AND($AI160=$AM160,$AI160&gt;0,$AM160&gt;0,CO160&gt;0), CO160,     AND(NOT($AI160=$AM160),$AI160&gt;0,$AM160&gt;0,CO160&gt;0), ($AM160*CO160)/$AI160,     AND($AI160=0,$AM160&gt;0,$AQ160&gt;0), IF(INDEX(CO$12:CO$263,MATCH($AQ160,$AP$12:$AP$263,0))&gt;0,($AM160*INDEX(CO$12:CO$263,MATCH($AQ160,$AP$12:$AP$263,0)))/INDEX($AI$12:$AI$263,MATCH($AQ160,$AP$12:$AP$263,0)), "-"),     TRUE, "0")</f>
        <v>0</v>
      </c>
      <c r="CQ160" s="607">
        <f>IF(CP$9&gt;0, IF(OR(CP160="",CP160="-"), 0, CP160*$AT160), CO160*$AJ160)</f>
        <v>0</v>
      </c>
      <c r="CR160" s="589">
        <f>[1]COMMANDE!AU158</f>
        <v>0</v>
      </c>
      <c r="CS160" s="586" t="str">
        <f>_xlfn.IFS(AND($AI160=$AM160,$AI160&gt;0,$AM160&gt;0,CR160&gt;0), CR160,     AND(NOT($AI160=$AM160),$AI160&gt;0,$AM160&gt;0,CR160&gt;0), ($AM160*CR160)/$AI160,     AND($AI160=0,$AM160&gt;0,$AQ160&gt;0), IF(INDEX(CR$12:CR$263,MATCH($AQ160,$AP$12:$AP$263,0))&gt;0,($AM160*INDEX(CR$12:CR$263,MATCH($AQ160,$AP$12:$AP$263,0)))/INDEX($AI$12:$AI$263,MATCH($AQ160,$AP$12:$AP$263,0)), "-"),     TRUE, "0")</f>
        <v>0</v>
      </c>
      <c r="CT160" s="588">
        <f>IF(CS$9&gt;0, IF(OR(CS160="",CS160="-"), 0, CS160*$AT160), CR160*$AJ160)</f>
        <v>0</v>
      </c>
      <c r="CU160" s="587">
        <f>[1]COMMANDE!AW158</f>
        <v>0</v>
      </c>
      <c r="CV160" s="586" t="str">
        <f>_xlfn.IFS(AND($AI160=$AM160,$AI160&gt;0,$AM160&gt;0,CU160&gt;0), CU160,     AND(NOT($AI160=$AM160),$AI160&gt;0,$AM160&gt;0,CU160&gt;0), ($AM160*CU160)/$AI160,     AND($AI160=0,$AM160&gt;0,$AQ160&gt;0), IF(INDEX(CU$12:CU$263,MATCH($AQ160,$AP$12:$AP$263,0))&gt;0,($AM160*INDEX(CU$12:CU$263,MATCH($AQ160,$AP$12:$AP$263,0)))/INDEX($AI$12:$AI$263,MATCH($AQ160,$AP$12:$AP$263,0)), "-"),     TRUE, "0")</f>
        <v>0</v>
      </c>
      <c r="CW160" s="607">
        <f>IF(CV$9&gt;0, IF(OR(CV160="",CV160="-"), 0, CV160*$AT160), CU160*$AJ160)</f>
        <v>0</v>
      </c>
      <c r="CX160" s="589">
        <f>[1]COMMANDE!AY158</f>
        <v>0</v>
      </c>
      <c r="CY160" s="586" t="str">
        <f>_xlfn.IFS(AND($AI160=$AM160,$AI160&gt;0,$AM160&gt;0,CX160&gt;0), CX160,     AND(NOT($AI160=$AM160),$AI160&gt;0,$AM160&gt;0,CX160&gt;0), ($AM160*CX160)/$AI160,     AND($AI160=0,$AM160&gt;0,$AQ160&gt;0), IF(INDEX(CX$12:CX$263,MATCH($AQ160,$AP$12:$AP$263,0))&gt;0,($AM160*INDEX(CX$12:CX$263,MATCH($AQ160,$AP$12:$AP$263,0)))/INDEX($AI$12:$AI$263,MATCH($AQ160,$AP$12:$AP$263,0)), "-"),     TRUE, "0")</f>
        <v>0</v>
      </c>
      <c r="CZ160" s="588">
        <f>IF(CY$9&gt;0, IF(OR(CY160="",CY160="-"), 0, CY160*$AT160), CX160*$AJ160)</f>
        <v>0</v>
      </c>
      <c r="DA160" s="587">
        <f>[1]COMMANDE!BA158</f>
        <v>0</v>
      </c>
      <c r="DB160" s="586" t="str">
        <f>_xlfn.IFS(AND($AI160=$AM160,$AI160&gt;0,$AM160&gt;0,DA160&gt;0), DA160,     AND(NOT($AI160=$AM160),$AI160&gt;0,$AM160&gt;0,DA160&gt;0), ($AM160*DA160)/$AI160,     AND($AI160=0,$AM160&gt;0,$AQ160&gt;0), IF(INDEX(DA$12:DA$263,MATCH($AQ160,$AP$12:$AP$263,0))&gt;0,($AM160*INDEX(DA$12:DA$263,MATCH($AQ160,$AP$12:$AP$263,0)))/INDEX($AI$12:$AI$263,MATCH($AQ160,$AP$12:$AP$263,0)), "-"),     TRUE, "0")</f>
        <v>0</v>
      </c>
      <c r="DC160" s="606">
        <f>IF(DB$9&gt;0, IF(OR(DB160="",DB160="-"), 0, DB160*$AT160), DA160*$AJ160)</f>
        <v>0</v>
      </c>
      <c r="DD160" s="584"/>
      <c r="DE160" s="609"/>
    </row>
    <row r="161" spans="1:109" ht="39.950000000000003" hidden="1" customHeight="1">
      <c r="A161" s="604">
        <f>IF(OR($AV161&gt;0, $AX161&gt;0), 1, 0)</f>
        <v>0</v>
      </c>
      <c r="B161" s="604">
        <f>IF(OR($AY161&gt;0, $BA161&gt;0), 1, 0)</f>
        <v>0</v>
      </c>
      <c r="C161" s="604">
        <f>IF(OR($BB161&gt;0, $BD161&gt;0), 1, 0)</f>
        <v>0</v>
      </c>
      <c r="D161" s="604">
        <f>IF(OR($BE161&gt;0, $BG161&gt;0), 1, 0)</f>
        <v>0</v>
      </c>
      <c r="E161" s="604">
        <f>IF(OR($BH161&gt;0, $BJ161&gt;0), 1, 0)</f>
        <v>0</v>
      </c>
      <c r="F161" s="604">
        <f>IF(OR($BK161&gt;0, $BM161&gt;0), 1, 0)</f>
        <v>0</v>
      </c>
      <c r="G161" s="604">
        <f>IF(OR($BN161&gt;0, $BP161&gt;0), 1, 0)</f>
        <v>0</v>
      </c>
      <c r="H161" s="604">
        <f>IF(OR($BQ161&gt;0, $BS161&gt;0), 1, 0)</f>
        <v>0</v>
      </c>
      <c r="I161" s="604">
        <f>IF(OR($BT161&gt;0, $BV161&gt;0), 1, 0)</f>
        <v>0</v>
      </c>
      <c r="J161" s="604">
        <f>IF(OR($BW161&gt;0, $BY161&gt;0), 1, 0)</f>
        <v>0</v>
      </c>
      <c r="K161" s="604">
        <f>IF(OR($BZ161&gt;0, $CB161&gt;0), 1, 0)</f>
        <v>0</v>
      </c>
      <c r="L161" s="604">
        <f>IF(OR($CC161&gt;0, $CE161&gt;0), 1, 0)</f>
        <v>0</v>
      </c>
      <c r="M161" s="604">
        <f>IF(OR($CF161&gt;0, $CH161&gt;0), 1, 0)</f>
        <v>0</v>
      </c>
      <c r="N161" s="604">
        <f>IF(OR($CI161&gt;0, $CK161&gt;0), 1, 0)</f>
        <v>0</v>
      </c>
      <c r="O161" s="604">
        <f>IF(OR($CL161&gt;0, $CN161&gt;0), 1, 0)</f>
        <v>0</v>
      </c>
      <c r="P161" s="604">
        <f>IF(OR($CO161&gt;0, $CQ161&gt;0), 1, 0)</f>
        <v>0</v>
      </c>
      <c r="Q161" s="604">
        <f>IF(OR($CR161&gt;0, $CT161&gt;0), 1, 0)</f>
        <v>0</v>
      </c>
      <c r="R161" s="604">
        <f>IF(OR($CU161&gt;0, $CW161&gt;0), 1, 0)</f>
        <v>0</v>
      </c>
      <c r="S161" s="604">
        <f>IF(OR($CX161&gt;0, $CZ161&gt;0), 1, 0)</f>
        <v>0</v>
      </c>
      <c r="T161" s="604">
        <f>IF(OR($DA161&gt;0, $DC161&gt;0), 1, 0)</f>
        <v>0</v>
      </c>
      <c r="U161" s="603">
        <f>IF(OR($AI161&gt;0,$AM161&gt;0,$AS161&gt;0), 1, 0)</f>
        <v>0</v>
      </c>
      <c r="V161" s="602">
        <f>[1]BDD!A151</f>
        <v>3255</v>
      </c>
      <c r="W161" s="601" t="str">
        <f>[1]BDD!B151</f>
        <v>Mangue Keitt</v>
      </c>
      <c r="X161" s="600" t="str">
        <f>IF([1]BDD!F151=0, "", [1]BDD!F151)</f>
        <v>❤️</v>
      </c>
      <c r="Y161" s="542">
        <f>ROUND([1]BDD!G151+FDP_CMD_KG, 2)</f>
        <v>5.0999999999999996</v>
      </c>
      <c r="Z161" s="542">
        <f>ROUND([1]BDD!G151+FDP_FACT_KG, 2)</f>
        <v>5.0999999999999996</v>
      </c>
      <c r="AA161" s="543" t="str">
        <f>[1]BDD!H151</f>
        <v>kg</v>
      </c>
      <c r="AB161" s="544">
        <f>IF(NOT(ISBLANK([1]BDD!I151)), ROUND(SUM(([1]BDD!G151*reduc1),FDP_CMD_KG), 2), "")</f>
        <v>4.68</v>
      </c>
      <c r="AC161" s="544">
        <f>IF(NOT(ISBLANK([1]BDD!J151)), ROUND(SUM(([1]BDD!G151*reduc2),FDP_CMD_KG), 2), "")</f>
        <v>4.26</v>
      </c>
      <c r="AD161" s="544">
        <f>IF(NOT(ISBLANK([1]BDD!K151)), ROUND(SUM(([1]BDD!G151*reduc3),FDP_CMD_KG), 2), "")</f>
        <v>3.83</v>
      </c>
      <c r="AE161" s="544">
        <f>IF(NOT(ISBLANK([1]BDD!I151)), ROUND(SUM(([1]BDD!G151*reduc1),FDP_FACT_KG), 2), "")</f>
        <v>4.67</v>
      </c>
      <c r="AF161" s="544">
        <f>IF(NOT(ISBLANK([1]BDD!J151)), ROUND(SUM(([1]BDD!G151*reduc2),FDP_FACT_KG), 2), "")</f>
        <v>4.25</v>
      </c>
      <c r="AG161" s="544">
        <f>IF(NOT(ISBLANK([1]BDD!K151)), ROUND(SUM(([1]BDD!G151*reduc3),FDP_FACT_KG), 2), "")</f>
        <v>3.83</v>
      </c>
      <c r="AH161" s="599" t="str">
        <f>[1]BDD!C151</f>
        <v>Grenade</v>
      </c>
      <c r="AI161" s="598">
        <f>SUM(AV161,AY161,BB161,BE161,BH161,BK161,BN161,BQ161,BT161,BW161,BZ161,CC161,CF161,CI161,CL161,CO161,CR161,CU161,CX161,DA161)</f>
        <v>0</v>
      </c>
      <c r="AJ161" s="545">
        <f>_xlfn.IFS($AD161&lt;&gt;"", $AD161,    $AC161&lt;&gt;"", $AC161,    $AB161&lt;&gt;"", $AB161,    TRUE, $Y161)</f>
        <v>3.83</v>
      </c>
      <c r="AK161" s="592">
        <f>$AI161*$AJ161</f>
        <v>0</v>
      </c>
      <c r="AL161" s="594"/>
      <c r="AM161" s="597"/>
      <c r="AN161" s="545">
        <f>_xlfn.IFS(AND(AM161&gt;=60,$AG161&lt;&gt;""), $AG161,    AND(AM161&gt;=30,$AF161&lt;&gt;""), $AF161,    AND(AM161&gt;=10,$AE161&lt;&gt;""), $AE161,    TRUE, $Z161)</f>
        <v>5.0999999999999996</v>
      </c>
      <c r="AO161" s="596">
        <f>AM161*AN161</f>
        <v>0</v>
      </c>
      <c r="AP161" s="595"/>
      <c r="AQ161" s="595"/>
      <c r="AR161" s="594"/>
      <c r="AS161" s="593">
        <f>SUM(AW161,AZ161,BC161,BF161,BI161,BL161,BO161,BR161,BU161,BX161,CA161,CD161,CG161,CJ161,CM161,CP161,CS161,CV161,CY161,DB161)</f>
        <v>0</v>
      </c>
      <c r="AT161" s="545">
        <f>_xlfn.IFS(AND(AS161&gt;=60,$AG161&lt;&gt;""), $AG161,    AND(AS161&gt;=30,$AF161&lt;&gt;""), $AF161,    AND(AS161&gt;=10,$AE161&lt;&gt;""), $AE161,    TRUE, $Z161)</f>
        <v>5.0999999999999996</v>
      </c>
      <c r="AU161" s="592">
        <f>$AS161*$AT161</f>
        <v>0</v>
      </c>
      <c r="AV161" s="591">
        <f>[1]COMMANDE!O159</f>
        <v>0</v>
      </c>
      <c r="AW161" s="586" t="str">
        <f>_xlfn.IFS(AND($AI161=$AM161,$AI161&gt;0,$AM161&gt;0,AV161&gt;0), AV161,     AND(NOT($AI161=$AM161),$AI161&gt;0,$AM161&gt;0,AV161&gt;0), ($AM161*AV161)/$AI161,     AND($AI161=0,$AM161&gt;0,$AQ161&gt;0), IF(INDEX(AV$12:AV$263,MATCH($AQ161,$AP$12:$AP$263,0))&gt;0,($AM161*INDEX(AV$12:AV$263,MATCH($AQ161,$AP$12:$AP$263,0)))/INDEX($AI$12:$AI$263,MATCH($AQ161,$AP$12:$AP$263,0)), "-"),     TRUE, "0")</f>
        <v>0</v>
      </c>
      <c r="AX161" s="588">
        <f>IF(AW$9&gt;0, IF(OR(AW161="",AW161="-"), 0, AW161*$AT161), AV161*$AJ161)</f>
        <v>0</v>
      </c>
      <c r="AY161" s="587">
        <f>[1]COMMANDE!Q159</f>
        <v>0</v>
      </c>
      <c r="AZ161" s="586" t="str">
        <f>_xlfn.IFS(AND($AI161=$AM161,$AI161&gt;0,$AM161&gt;0,AY161&gt;0), AY161,     AND(NOT($AI161=$AM161),$AI161&gt;0,$AM161&gt;0,AY161&gt;0), ($AM161*AY161)/$AI161,     AND($AI161=0,$AM161&gt;0,$AQ161&gt;0), IF(INDEX(AY$12:AY$263,MATCH($AQ161,$AP$12:$AP$263,0))&gt;0,($AM161*INDEX(AY$12:AY$263,MATCH($AQ161,$AP$12:$AP$263,0)))/INDEX($AI$12:$AI$263,MATCH($AQ161,$AP$12:$AP$263,0)), "-"),     TRUE, "0")</f>
        <v>0</v>
      </c>
      <c r="BA161" s="607">
        <f>IF(AZ$9&gt;0, IF(OR(AZ161="",AZ161="-"), 0, AZ161*$AT161), AY161*$AJ161)</f>
        <v>0</v>
      </c>
      <c r="BB161" s="589">
        <f>[1]COMMANDE!S159</f>
        <v>0</v>
      </c>
      <c r="BC161" s="586" t="str">
        <f>_xlfn.IFS(AND($AI161=$AM161,$AI161&gt;0,$AM161&gt;0,BB161&gt;0), BB161,     AND(NOT($AI161=$AM161),$AI161&gt;0,$AM161&gt;0,BB161&gt;0), ($AM161*BB161)/$AI161,     AND($AI161=0,$AM161&gt;0,$AQ161&gt;0), IF(INDEX(BB$12:BB$263,MATCH($AQ161,$AP$12:$AP$263,0))&gt;0,($AM161*INDEX(BB$12:BB$263,MATCH($AQ161,$AP$12:$AP$263,0)))/INDEX($AI$12:$AI$263,MATCH($AQ161,$AP$12:$AP$263,0)), "-"),     TRUE, "0")</f>
        <v>0</v>
      </c>
      <c r="BD161" s="588">
        <f>IF(BC$9&gt;0, IF(OR(BC161="",BC161="-"), 0, BC161*$AT161), BB161*$AJ161)</f>
        <v>0</v>
      </c>
      <c r="BE161" s="587">
        <f>[1]COMMANDE!U159</f>
        <v>0</v>
      </c>
      <c r="BF161" s="586" t="str">
        <f>_xlfn.IFS(AND($AI161=$AM161,$AI161&gt;0,$AM161&gt;0,BE161&gt;0), BE161,     AND(NOT($AI161=$AM161),$AI161&gt;0,$AM161&gt;0,BE161&gt;0), ($AM161*BE161)/$AI161,     AND($AI161=0,$AM161&gt;0,$AQ161&gt;0), IF(INDEX(BE$12:BE$263,MATCH($AQ161,$AP$12:$AP$263,0))&gt;0,($AM161*INDEX(BE$12:BE$263,MATCH($AQ161,$AP$12:$AP$263,0)))/INDEX($AI$12:$AI$263,MATCH($AQ161,$AP$12:$AP$263,0)), "-"),     TRUE, "0")</f>
        <v>0</v>
      </c>
      <c r="BG161" s="607">
        <f>IF(BF$9&gt;0, IF(OR(BF161="",BF161="-"), 0, BF161*$AT161), BE161*$AJ161)</f>
        <v>0</v>
      </c>
      <c r="BH161" s="589">
        <f>[1]COMMANDE!W159</f>
        <v>0</v>
      </c>
      <c r="BI161" s="586" t="str">
        <f>_xlfn.IFS(AND($AI161=$AM161,$AI161&gt;0,$AM161&gt;0,BH161&gt;0), BH161,     AND(NOT($AI161=$AM161),$AI161&gt;0,$AM161&gt;0,BH161&gt;0), ($AM161*BH161)/$AI161,     AND($AI161=0,$AM161&gt;0,$AQ161&gt;0), IF(INDEX(BH$12:BH$263,MATCH($AQ161,$AP$12:$AP$263,0))&gt;0,($AM161*INDEX(BH$12:BH$263,MATCH($AQ161,$AP$12:$AP$263,0)))/INDEX($AI$12:$AI$263,MATCH($AQ161,$AP$12:$AP$263,0)), "-"),     TRUE, "0")</f>
        <v>0</v>
      </c>
      <c r="BJ161" s="588">
        <f>IF(BI$9&gt;0, IF(OR(BI161="",BI161="-"), 0, BI161*$AT161), BH161*$AJ161)</f>
        <v>0</v>
      </c>
      <c r="BK161" s="587">
        <f>[1]COMMANDE!Y159</f>
        <v>0</v>
      </c>
      <c r="BL161" s="586" t="str">
        <f>_xlfn.IFS(AND($AI161=$AM161,$AI161&gt;0,$AM161&gt;0,BK161&gt;0), BK161,     AND(NOT($AI161=$AM161),$AI161&gt;0,$AM161&gt;0,BK161&gt;0), ($AM161*BK161)/$AI161,     AND($AI161=0,$AM161&gt;0,$AQ161&gt;0), IF(INDEX(BK$12:BK$263,MATCH($AQ161,$AP$12:$AP$263,0))&gt;0,($AM161*INDEX(BK$12:BK$263,MATCH($AQ161,$AP$12:$AP$263,0)))/INDEX($AI$12:$AI$263,MATCH($AQ161,$AP$12:$AP$263,0)), "-"),     TRUE, "0")</f>
        <v>0</v>
      </c>
      <c r="BM161" s="607">
        <f>IF(BL$9&gt;0, IF(OR(BL161="",BL161="-"), 0, BL161*$AT161), BK161*$AJ161)</f>
        <v>0</v>
      </c>
      <c r="BN161" s="589">
        <f>[1]COMMANDE!AA159</f>
        <v>0</v>
      </c>
      <c r="BO161" s="586" t="str">
        <f>_xlfn.IFS(AND($AI161=$AM161,$AI161&gt;0,$AM161&gt;0,BN161&gt;0), BN161,     AND(NOT($AI161=$AM161),$AI161&gt;0,$AM161&gt;0,BN161&gt;0), ($AM161*BN161)/$AI161,     AND($AI161=0,$AM161&gt;0,$AQ161&gt;0), IF(INDEX(BN$12:BN$263,MATCH($AQ161,$AP$12:$AP$263,0))&gt;0,($AM161*INDEX(BN$12:BN$263,MATCH($AQ161,$AP$12:$AP$263,0)))/INDEX($AI$12:$AI$263,MATCH($AQ161,$AP$12:$AP$263,0)), "-"),     TRUE, "0")</f>
        <v>0</v>
      </c>
      <c r="BP161" s="588">
        <f>IF(BO$9&gt;0, IF(OR(BO161="",BO161="-"), 0, BO161*$AT161), BN161*$AJ161)</f>
        <v>0</v>
      </c>
      <c r="BQ161" s="587">
        <f>[1]COMMANDE!AC159</f>
        <v>0</v>
      </c>
      <c r="BR161" s="586" t="str">
        <f>_xlfn.IFS(AND($AI161=$AM161,$AI161&gt;0,$AM161&gt;0,BQ161&gt;0), BQ161,     AND(NOT($AI161=$AM161),$AI161&gt;0,$AM161&gt;0,BQ161&gt;0), ($AM161*BQ161)/$AI161,     AND($AI161=0,$AM161&gt;0,$AQ161&gt;0), IF(INDEX(BQ$12:BQ$263,MATCH($AQ161,$AP$12:$AP$263,0))&gt;0,($AM161*INDEX(BQ$12:BQ$263,MATCH($AQ161,$AP$12:$AP$263,0)))/INDEX($AI$12:$AI$263,MATCH($AQ161,$AP$12:$AP$263,0)), "-"),     TRUE, "0")</f>
        <v>0</v>
      </c>
      <c r="BS161" s="607">
        <f>IF(BR$9&gt;0, IF(OR(BR161="",BR161="-"), 0, BR161*$AT161), BQ161*$AJ161)</f>
        <v>0</v>
      </c>
      <c r="BT161" s="589">
        <f>[1]COMMANDE!AE159</f>
        <v>0</v>
      </c>
      <c r="BU161" s="586" t="str">
        <f>_xlfn.IFS(AND($AI161=$AM161,$AI161&gt;0,$AM161&gt;0,BT161&gt;0), BT161,     AND(NOT($AI161=$AM161),$AI161&gt;0,$AM161&gt;0,BT161&gt;0), ($AM161*BT161)/$AI161,     AND($AI161=0,$AM161&gt;0,$AQ161&gt;0), IF(INDEX(BT$12:BT$263,MATCH($AQ161,$AP$12:$AP$263,0))&gt;0,($AM161*INDEX(BT$12:BT$263,MATCH($AQ161,$AP$12:$AP$263,0)))/INDEX($AI$12:$AI$263,MATCH($AQ161,$AP$12:$AP$263,0)), "-"),     TRUE, "0")</f>
        <v>0</v>
      </c>
      <c r="BV161" s="588">
        <f>IF(BU$9&gt;0, IF(OR(BU161="",BU161="-"), 0, BU161*$AT161), BT161*$AJ161)</f>
        <v>0</v>
      </c>
      <c r="BW161" s="587">
        <f>[1]COMMANDE!AG159</f>
        <v>0</v>
      </c>
      <c r="BX161" s="586" t="str">
        <f>_xlfn.IFS(AND($AI161=$AM161,$AI161&gt;0,$AM161&gt;0,BW161&gt;0), BW161,     AND(NOT($AI161=$AM161),$AI161&gt;0,$AM161&gt;0,BW161&gt;0), ($AM161*BW161)/$AI161,     AND($AI161=0,$AM161&gt;0,$AQ161&gt;0), IF(INDEX(BW$12:BW$263,MATCH($AQ161,$AP$12:$AP$263,0))&gt;0,($AM161*INDEX(BW$12:BW$263,MATCH($AQ161,$AP$12:$AP$263,0)))/INDEX($AI$12:$AI$263,MATCH($AQ161,$AP$12:$AP$263,0)), "-"),     TRUE, "0")</f>
        <v>0</v>
      </c>
      <c r="BY161" s="607">
        <f>IF(BX$9&gt;0, IF(OR(BX161="",BX161="-"), 0, BX161*$AT161), BW161*$AJ161)</f>
        <v>0</v>
      </c>
      <c r="BZ161" s="589">
        <f>[1]COMMANDE!AI159</f>
        <v>0</v>
      </c>
      <c r="CA161" s="586" t="str">
        <f>_xlfn.IFS(AND($AI161=$AM161,$AI161&gt;0,$AM161&gt;0,BZ161&gt;0), BZ161,     AND(NOT($AI161=$AM161),$AI161&gt;0,$AM161&gt;0,BZ161&gt;0), ($AM161*BZ161)/$AI161,     AND($AI161=0,$AM161&gt;0,$AQ161&gt;0), IF(INDEX(BZ$12:BZ$263,MATCH($AQ161,$AP$12:$AP$263,0))&gt;0,($AM161*INDEX(BZ$12:BZ$263,MATCH($AQ161,$AP$12:$AP$263,0)))/INDEX($AI$12:$AI$263,MATCH($AQ161,$AP$12:$AP$263,0)), "-"),     TRUE, "0")</f>
        <v>0</v>
      </c>
      <c r="CB161" s="588">
        <f>IF(CA$9&gt;0, IF(OR(CA161="",CA161="-"), 0, CA161*$AT161), BZ161*$AJ161)</f>
        <v>0</v>
      </c>
      <c r="CC161" s="587">
        <f>[1]COMMANDE!AK159</f>
        <v>0</v>
      </c>
      <c r="CD161" s="586" t="str">
        <f>_xlfn.IFS(AND($AI161=$AM161,$AI161&gt;0,$AM161&gt;0,CC161&gt;0), CC161,     AND(NOT($AI161=$AM161),$AI161&gt;0,$AM161&gt;0,CC161&gt;0), ($AM161*CC161)/$AI161,     AND($AI161=0,$AM161&gt;0,$AQ161&gt;0), IF(INDEX(CC$12:CC$263,MATCH($AQ161,$AP$12:$AP$263,0))&gt;0,($AM161*INDEX(CC$12:CC$263,MATCH($AQ161,$AP$12:$AP$263,0)))/INDEX($AI$12:$AI$263,MATCH($AQ161,$AP$12:$AP$263,0)), "-"),     TRUE, "0")</f>
        <v>0</v>
      </c>
      <c r="CE161" s="607">
        <f>IF(CD$9&gt;0, IF(OR(CD161="",CD161="-"), 0, CD161*$AT161), CC161*$AJ161)</f>
        <v>0</v>
      </c>
      <c r="CF161" s="589">
        <f>[1]COMMANDE!AM159</f>
        <v>0</v>
      </c>
      <c r="CG161" s="586" t="str">
        <f>_xlfn.IFS(AND($AI161=$AM161,$AI161&gt;0,$AM161&gt;0,CF161&gt;0), CF161,     AND(NOT($AI161=$AM161),$AI161&gt;0,$AM161&gt;0,CF161&gt;0), ($AM161*CF161)/$AI161,     AND($AI161=0,$AM161&gt;0,$AQ161&gt;0), IF(INDEX(CF$12:CF$263,MATCH($AQ161,$AP$12:$AP$263,0))&gt;0,($AM161*INDEX(CF$12:CF$263,MATCH($AQ161,$AP$12:$AP$263,0)))/INDEX($AI$12:$AI$263,MATCH($AQ161,$AP$12:$AP$263,0)), "-"),     TRUE, "0")</f>
        <v>0</v>
      </c>
      <c r="CH161" s="588">
        <f>IF(CG$9&gt;0, IF(OR(CG161="",CG161="-"), 0, CG161*$AT161), CF161*$AJ161)</f>
        <v>0</v>
      </c>
      <c r="CI161" s="587">
        <f>[1]COMMANDE!AO159</f>
        <v>0</v>
      </c>
      <c r="CJ161" s="586" t="str">
        <f>_xlfn.IFS(AND($AI161=$AM161,$AI161&gt;0,$AM161&gt;0,CI161&gt;0), CI161,     AND(NOT($AI161=$AM161),$AI161&gt;0,$AM161&gt;0,CI161&gt;0), ($AM161*CI161)/$AI161,     AND($AI161=0,$AM161&gt;0,$AQ161&gt;0), IF(INDEX(CI$12:CI$263,MATCH($AQ161,$AP$12:$AP$263,0))&gt;0,($AM161*INDEX(CI$12:CI$263,MATCH($AQ161,$AP$12:$AP$263,0)))/INDEX($AI$12:$AI$263,MATCH($AQ161,$AP$12:$AP$263,0)), "-"),     TRUE, "0")</f>
        <v>0</v>
      </c>
      <c r="CK161" s="607">
        <f>IF(CJ$9&gt;0, IF(OR(CJ161="",CJ161="-"), 0, CJ161*$AT161), CI161*$AJ161)</f>
        <v>0</v>
      </c>
      <c r="CL161" s="589">
        <f>[1]COMMANDE!AQ159</f>
        <v>0</v>
      </c>
      <c r="CM161" s="586" t="str">
        <f>_xlfn.IFS(AND($AI161=$AM161,$AI161&gt;0,$AM161&gt;0,CL161&gt;0), CL161,     AND(NOT($AI161=$AM161),$AI161&gt;0,$AM161&gt;0,CL161&gt;0), ($AM161*CL161)/$AI161,     AND($AI161=0,$AM161&gt;0,$AQ161&gt;0), IF(INDEX(CL$12:CL$263,MATCH($AQ161,$AP$12:$AP$263,0))&gt;0,($AM161*INDEX(CL$12:CL$263,MATCH($AQ161,$AP$12:$AP$263,0)))/INDEX($AI$12:$AI$263,MATCH($AQ161,$AP$12:$AP$263,0)), "-"),     TRUE, "0")</f>
        <v>0</v>
      </c>
      <c r="CN161" s="588">
        <f>IF(CM$9&gt;0, IF(OR(CM161="",CM161="-"), 0, CM161*$AT161), CL161*$AJ161)</f>
        <v>0</v>
      </c>
      <c r="CO161" s="587">
        <f>[1]COMMANDE!AS159</f>
        <v>0</v>
      </c>
      <c r="CP161" s="586" t="str">
        <f>_xlfn.IFS(AND($AI161=$AM161,$AI161&gt;0,$AM161&gt;0,CO161&gt;0), CO161,     AND(NOT($AI161=$AM161),$AI161&gt;0,$AM161&gt;0,CO161&gt;0), ($AM161*CO161)/$AI161,     AND($AI161=0,$AM161&gt;0,$AQ161&gt;0), IF(INDEX(CO$12:CO$263,MATCH($AQ161,$AP$12:$AP$263,0))&gt;0,($AM161*INDEX(CO$12:CO$263,MATCH($AQ161,$AP$12:$AP$263,0)))/INDEX($AI$12:$AI$263,MATCH($AQ161,$AP$12:$AP$263,0)), "-"),     TRUE, "0")</f>
        <v>0</v>
      </c>
      <c r="CQ161" s="607">
        <f>IF(CP$9&gt;0, IF(OR(CP161="",CP161="-"), 0, CP161*$AT161), CO161*$AJ161)</f>
        <v>0</v>
      </c>
      <c r="CR161" s="589">
        <f>[1]COMMANDE!AU159</f>
        <v>0</v>
      </c>
      <c r="CS161" s="586" t="str">
        <f>_xlfn.IFS(AND($AI161=$AM161,$AI161&gt;0,$AM161&gt;0,CR161&gt;0), CR161,     AND(NOT($AI161=$AM161),$AI161&gt;0,$AM161&gt;0,CR161&gt;0), ($AM161*CR161)/$AI161,     AND($AI161=0,$AM161&gt;0,$AQ161&gt;0), IF(INDEX(CR$12:CR$263,MATCH($AQ161,$AP$12:$AP$263,0))&gt;0,($AM161*INDEX(CR$12:CR$263,MATCH($AQ161,$AP$12:$AP$263,0)))/INDEX($AI$12:$AI$263,MATCH($AQ161,$AP$12:$AP$263,0)), "-"),     TRUE, "0")</f>
        <v>0</v>
      </c>
      <c r="CT161" s="588">
        <f>IF(CS$9&gt;0, IF(OR(CS161="",CS161="-"), 0, CS161*$AT161), CR161*$AJ161)</f>
        <v>0</v>
      </c>
      <c r="CU161" s="587">
        <f>[1]COMMANDE!AW159</f>
        <v>0</v>
      </c>
      <c r="CV161" s="586" t="str">
        <f>_xlfn.IFS(AND($AI161=$AM161,$AI161&gt;0,$AM161&gt;0,CU161&gt;0), CU161,     AND(NOT($AI161=$AM161),$AI161&gt;0,$AM161&gt;0,CU161&gt;0), ($AM161*CU161)/$AI161,     AND($AI161=0,$AM161&gt;0,$AQ161&gt;0), IF(INDEX(CU$12:CU$263,MATCH($AQ161,$AP$12:$AP$263,0))&gt;0,($AM161*INDEX(CU$12:CU$263,MATCH($AQ161,$AP$12:$AP$263,0)))/INDEX($AI$12:$AI$263,MATCH($AQ161,$AP$12:$AP$263,0)), "-"),     TRUE, "0")</f>
        <v>0</v>
      </c>
      <c r="CW161" s="607">
        <f>IF(CV$9&gt;0, IF(OR(CV161="",CV161="-"), 0, CV161*$AT161), CU161*$AJ161)</f>
        <v>0</v>
      </c>
      <c r="CX161" s="589">
        <f>[1]COMMANDE!AY159</f>
        <v>0</v>
      </c>
      <c r="CY161" s="586" t="str">
        <f>_xlfn.IFS(AND($AI161=$AM161,$AI161&gt;0,$AM161&gt;0,CX161&gt;0), CX161,     AND(NOT($AI161=$AM161),$AI161&gt;0,$AM161&gt;0,CX161&gt;0), ($AM161*CX161)/$AI161,     AND($AI161=0,$AM161&gt;0,$AQ161&gt;0), IF(INDEX(CX$12:CX$263,MATCH($AQ161,$AP$12:$AP$263,0))&gt;0,($AM161*INDEX(CX$12:CX$263,MATCH($AQ161,$AP$12:$AP$263,0)))/INDEX($AI$12:$AI$263,MATCH($AQ161,$AP$12:$AP$263,0)), "-"),     TRUE, "0")</f>
        <v>0</v>
      </c>
      <c r="CZ161" s="588">
        <f>IF(CY$9&gt;0, IF(OR(CY161="",CY161="-"), 0, CY161*$AT161), CX161*$AJ161)</f>
        <v>0</v>
      </c>
      <c r="DA161" s="587">
        <f>[1]COMMANDE!BA159</f>
        <v>0</v>
      </c>
      <c r="DB161" s="586" t="str">
        <f>_xlfn.IFS(AND($AI161=$AM161,$AI161&gt;0,$AM161&gt;0,DA161&gt;0), DA161,     AND(NOT($AI161=$AM161),$AI161&gt;0,$AM161&gt;0,DA161&gt;0), ($AM161*DA161)/$AI161,     AND($AI161=0,$AM161&gt;0,$AQ161&gt;0), IF(INDEX(DA$12:DA$263,MATCH($AQ161,$AP$12:$AP$263,0))&gt;0,($AM161*INDEX(DA$12:DA$263,MATCH($AQ161,$AP$12:$AP$263,0)))/INDEX($AI$12:$AI$263,MATCH($AQ161,$AP$12:$AP$263,0)), "-"),     TRUE, "0")</f>
        <v>0</v>
      </c>
      <c r="DC161" s="606">
        <f>IF(DB$9&gt;0, IF(OR(DB161="",DB161="-"), 0, DB161*$AT161), DA161*$AJ161)</f>
        <v>0</v>
      </c>
      <c r="DD161" s="584"/>
      <c r="DE161" s="583"/>
    </row>
    <row r="162" spans="1:109" ht="39.950000000000003" customHeight="1">
      <c r="A162" s="604">
        <f>IF(OR($AV162&gt;0, $AX162&gt;0), 1, 0)</f>
        <v>1</v>
      </c>
      <c r="B162" s="604">
        <f>IF(OR($AY162&gt;0, $BA162&gt;0), 1, 0)</f>
        <v>0</v>
      </c>
      <c r="C162" s="604">
        <f>IF(OR($BB162&gt;0, $BD162&gt;0), 1, 0)</f>
        <v>1</v>
      </c>
      <c r="D162" s="604">
        <f>IF(OR($BE162&gt;0, $BG162&gt;0), 1, 0)</f>
        <v>1</v>
      </c>
      <c r="E162" s="604">
        <f>IF(OR($BH162&gt;0, $BJ162&gt;0), 1, 0)</f>
        <v>0</v>
      </c>
      <c r="F162" s="604">
        <f>IF(OR($BK162&gt;0, $BM162&gt;0), 1, 0)</f>
        <v>0</v>
      </c>
      <c r="G162" s="604">
        <f>IF(OR($BN162&gt;0, $BP162&gt;0), 1, 0)</f>
        <v>0</v>
      </c>
      <c r="H162" s="604">
        <f>IF(OR($BQ162&gt;0, $BS162&gt;0), 1, 0)</f>
        <v>0</v>
      </c>
      <c r="I162" s="604">
        <f>IF(OR($BT162&gt;0, $BV162&gt;0), 1, 0)</f>
        <v>0</v>
      </c>
      <c r="J162" s="604">
        <f>IF(OR($BW162&gt;0, $BY162&gt;0), 1, 0)</f>
        <v>0</v>
      </c>
      <c r="K162" s="604">
        <f>IF(OR($BZ162&gt;0, $CB162&gt;0), 1, 0)</f>
        <v>0</v>
      </c>
      <c r="L162" s="604">
        <f>IF(OR($CC162&gt;0, $CE162&gt;0), 1, 0)</f>
        <v>0</v>
      </c>
      <c r="M162" s="604">
        <f>IF(OR($CF162&gt;0, $CH162&gt;0), 1, 0)</f>
        <v>0</v>
      </c>
      <c r="N162" s="604">
        <f>IF(OR($CI162&gt;0, $CK162&gt;0), 1, 0)</f>
        <v>0</v>
      </c>
      <c r="O162" s="604">
        <f>IF(OR($CL162&gt;0, $CN162&gt;0), 1, 0)</f>
        <v>0</v>
      </c>
      <c r="P162" s="604">
        <f>IF(OR($CO162&gt;0, $CQ162&gt;0), 1, 0)</f>
        <v>0</v>
      </c>
      <c r="Q162" s="604">
        <f>IF(OR($CR162&gt;0, $CT162&gt;0), 1, 0)</f>
        <v>0</v>
      </c>
      <c r="R162" s="604">
        <f>IF(OR($CU162&gt;0, $CW162&gt;0), 1, 0)</f>
        <v>0</v>
      </c>
      <c r="S162" s="604">
        <f>IF(OR($CX162&gt;0, $CZ162&gt;0), 1, 0)</f>
        <v>0</v>
      </c>
      <c r="T162" s="604">
        <f>IF(OR($DA162&gt;0, $DC162&gt;0), 1, 0)</f>
        <v>0</v>
      </c>
      <c r="U162" s="603">
        <f>IF(OR($AI162&gt;0,$AM162&gt;0,$AS162&gt;0), 1, 0)</f>
        <v>1</v>
      </c>
      <c r="V162" s="602">
        <f>[1]BDD!A152</f>
        <v>1171</v>
      </c>
      <c r="W162" s="601" t="str">
        <f>[1]BDD!B152</f>
        <v>Mangue Keitt BIO</v>
      </c>
      <c r="X162" s="600" t="str">
        <f>IF([1]BDD!F152=0, "", [1]BDD!F152)</f>
        <v>❤️</v>
      </c>
      <c r="Y162" s="542">
        <f>ROUND([1]BDD!G152+FDP_CMD_KG, 2)</f>
        <v>6.06</v>
      </c>
      <c r="Z162" s="542">
        <f>ROUND([1]BDD!G152+FDP_FACT_KG, 2)</f>
        <v>6.06</v>
      </c>
      <c r="AA162" s="543" t="str">
        <f>[1]BDD!H152</f>
        <v>kg</v>
      </c>
      <c r="AB162" s="544">
        <f>IF(NOT(ISBLANK([1]BDD!I152)), ROUND(SUM(([1]BDD!G152*reduc1),FDP_CMD_KG), 2), "")</f>
        <v>5.54</v>
      </c>
      <c r="AC162" s="544">
        <f>IF(NOT(ISBLANK([1]BDD!J152)), ROUND(SUM(([1]BDD!G152*reduc2),FDP_CMD_KG), 2), "")</f>
        <v>5.03</v>
      </c>
      <c r="AD162" s="544">
        <f>IF(NOT(ISBLANK([1]BDD!K152)), ROUND(SUM(([1]BDD!G152*reduc3),FDP_CMD_KG), 2), "")</f>
        <v>4.51</v>
      </c>
      <c r="AE162" s="544">
        <f>IF(NOT(ISBLANK([1]BDD!I152)), ROUND(SUM(([1]BDD!G152*reduc1),FDP_FACT_KG), 2), "")</f>
        <v>5.54</v>
      </c>
      <c r="AF162" s="544">
        <f>IF(NOT(ISBLANK([1]BDD!J152)), ROUND(SUM(([1]BDD!G152*reduc2),FDP_FACT_KG), 2), "")</f>
        <v>5.0199999999999996</v>
      </c>
      <c r="AG162" s="544">
        <f>IF(NOT(ISBLANK([1]BDD!K152)), ROUND(SUM(([1]BDD!G152*reduc3),FDP_FACT_KG), 2), "")</f>
        <v>4.5</v>
      </c>
      <c r="AH162" s="599" t="str">
        <f>[1]BDD!C152</f>
        <v>Grenade</v>
      </c>
      <c r="AI162" s="598">
        <f>SUM(AV162,AY162,BB162,BE162,BH162,BK162,BN162,BQ162,BT162,BW162,BZ162,CC162,CF162,CI162,CL162,CO162,CR162,CU162,CX162,DA162)</f>
        <v>0</v>
      </c>
      <c r="AJ162" s="545">
        <f>_xlfn.IFS($AD162&lt;&gt;"", $AD162,    $AC162&lt;&gt;"", $AC162,    $AB162&lt;&gt;"", $AB162,    TRUE, $Y162)</f>
        <v>4.51</v>
      </c>
      <c r="AK162" s="592">
        <f>$AI162*$AJ162</f>
        <v>0</v>
      </c>
      <c r="AL162" s="594"/>
      <c r="AM162" s="597">
        <v>9.6999999999999993</v>
      </c>
      <c r="AN162" s="545">
        <f>_xlfn.IFS(AND(AM162&gt;=60,$AG162&lt;&gt;""), $AG162,    AND(AM162&gt;=30,$AF162&lt;&gt;""), $AF162,    AND(AM162&gt;=10,$AE162&lt;&gt;""), $AE162,    TRUE, $Z162)</f>
        <v>6.06</v>
      </c>
      <c r="AO162" s="596">
        <f>AM162*AN162</f>
        <v>58.781999999999989</v>
      </c>
      <c r="AP162" s="595"/>
      <c r="AQ162" s="595">
        <v>1</v>
      </c>
      <c r="AR162" s="594"/>
      <c r="AS162" s="593">
        <f>SUM(AW162,AZ162,BC162,BF162,BI162,BL162,BO162,BR162,BU162,BX162,CA162,CD162,CG162,CJ162,CM162,CP162,CS162,CV162,CY162,DB162)</f>
        <v>9.6999999999999993</v>
      </c>
      <c r="AT162" s="545">
        <f>_xlfn.IFS(AND(AS162&gt;=60,$AG162&lt;&gt;""), $AG162,    AND(AS162&gt;=30,$AF162&lt;&gt;""), $AF162,    AND(AS162&gt;=10,$AE162&lt;&gt;""), $AE162,    TRUE, $Z162)</f>
        <v>6.06</v>
      </c>
      <c r="AU162" s="592">
        <f>$AS162*$AT162</f>
        <v>58.781999999999989</v>
      </c>
      <c r="AV162" s="591">
        <f>[1]COMMANDE!O160</f>
        <v>0</v>
      </c>
      <c r="AW162" s="586">
        <f>_xlfn.IFS(AND($AI162=$AM162,$AI162&gt;0,$AM162&gt;0,AV162&gt;0), AV162,     AND(NOT($AI162=$AM162),$AI162&gt;0,$AM162&gt;0,AV162&gt;0), ($AM162*AV162)/$AI162,     AND($AI162=0,$AM162&gt;0,$AQ162&gt;0), IF(INDEX(AV$12:AV$263,MATCH($AQ162,$AP$12:$AP$263,0))&gt;0,($AM162*INDEX(AV$12:AV$263,MATCH($AQ162,$AP$12:$AP$263,0)))/INDEX($AI$12:$AI$263,MATCH($AQ162,$AP$12:$AP$263,0)), "-"),     TRUE, "0")</f>
        <v>6.4666666666666668</v>
      </c>
      <c r="AX162" s="588">
        <f>IF(AW$9&gt;0, IF(OR(AW162="",AW162="-"), 0, AW162*$AT162), AV162*$AJ162)</f>
        <v>39.187999999999995</v>
      </c>
      <c r="AY162" s="587">
        <f>[1]COMMANDE!Q160</f>
        <v>0</v>
      </c>
      <c r="AZ162" s="586" t="str">
        <f>_xlfn.IFS(AND($AI162=$AM162,$AI162&gt;0,$AM162&gt;0,AY162&gt;0), AY162,     AND(NOT($AI162=$AM162),$AI162&gt;0,$AM162&gt;0,AY162&gt;0), ($AM162*AY162)/$AI162,     AND($AI162=0,$AM162&gt;0,$AQ162&gt;0), IF(INDEX(AY$12:AY$263,MATCH($AQ162,$AP$12:$AP$263,0))&gt;0,($AM162*INDEX(AY$12:AY$263,MATCH($AQ162,$AP$12:$AP$263,0)))/INDEX($AI$12:$AI$263,MATCH($AQ162,$AP$12:$AP$263,0)), "-"),     TRUE, "0")</f>
        <v>-</v>
      </c>
      <c r="BA162" s="607">
        <f>IF(AZ$9&gt;0, IF(OR(AZ162="",AZ162="-"), 0, AZ162*$AT162), AY162*$AJ162)</f>
        <v>0</v>
      </c>
      <c r="BB162" s="589">
        <f>[1]COMMANDE!S160</f>
        <v>0</v>
      </c>
      <c r="BC162" s="586">
        <f>_xlfn.IFS(AND($AI162=$AM162,$AI162&gt;0,$AM162&gt;0,BB162&gt;0), BB162,     AND(NOT($AI162=$AM162),$AI162&gt;0,$AM162&gt;0,BB162&gt;0), ($AM162*BB162)/$AI162,     AND($AI162=0,$AM162&gt;0,$AQ162&gt;0), IF(INDEX(BB$12:BB$263,MATCH($AQ162,$AP$12:$AP$263,0))&gt;0,($AM162*INDEX(BB$12:BB$263,MATCH($AQ162,$AP$12:$AP$263,0)))/INDEX($AI$12:$AI$263,MATCH($AQ162,$AP$12:$AP$263,0)), "-"),     TRUE, "0")</f>
        <v>1.94</v>
      </c>
      <c r="BD162" s="588">
        <f>IF(BC$9&gt;0, IF(OR(BC162="",BC162="-"), 0, BC162*$AT162), BB162*$AJ162)</f>
        <v>11.756399999999999</v>
      </c>
      <c r="BE162" s="587">
        <f>[1]COMMANDE!U160</f>
        <v>0</v>
      </c>
      <c r="BF162" s="586">
        <f>_xlfn.IFS(AND($AI162=$AM162,$AI162&gt;0,$AM162&gt;0,BE162&gt;0), BE162,     AND(NOT($AI162=$AM162),$AI162&gt;0,$AM162&gt;0,BE162&gt;0), ($AM162*BE162)/$AI162,     AND($AI162=0,$AM162&gt;0,$AQ162&gt;0), IF(INDEX(BE$12:BE$263,MATCH($AQ162,$AP$12:$AP$263,0))&gt;0,($AM162*INDEX(BE$12:BE$263,MATCH($AQ162,$AP$12:$AP$263,0)))/INDEX($AI$12:$AI$263,MATCH($AQ162,$AP$12:$AP$263,0)), "-"),     TRUE, "0")</f>
        <v>1.2933333333333332</v>
      </c>
      <c r="BG162" s="607">
        <f>IF(BF$9&gt;0, IF(OR(BF162="",BF162="-"), 0, BF162*$AT162), BE162*$AJ162)</f>
        <v>7.8375999999999992</v>
      </c>
      <c r="BH162" s="589">
        <f>[1]COMMANDE!W160</f>
        <v>0</v>
      </c>
      <c r="BI162" s="586" t="str">
        <f>_xlfn.IFS(AND($AI162=$AM162,$AI162&gt;0,$AM162&gt;0,BH162&gt;0), BH162,     AND(NOT($AI162=$AM162),$AI162&gt;0,$AM162&gt;0,BH162&gt;0), ($AM162*BH162)/$AI162,     AND($AI162=0,$AM162&gt;0,$AQ162&gt;0), IF(INDEX(BH$12:BH$263,MATCH($AQ162,$AP$12:$AP$263,0))&gt;0,($AM162*INDEX(BH$12:BH$263,MATCH($AQ162,$AP$12:$AP$263,0)))/INDEX($AI$12:$AI$263,MATCH($AQ162,$AP$12:$AP$263,0)), "-"),     TRUE, "0")</f>
        <v>-</v>
      </c>
      <c r="BJ162" s="588">
        <f>IF(BI$9&gt;0, IF(OR(BI162="",BI162="-"), 0, BI162*$AT162), BH162*$AJ162)</f>
        <v>0</v>
      </c>
      <c r="BK162" s="587">
        <f>[1]COMMANDE!Y160</f>
        <v>0</v>
      </c>
      <c r="BL162" s="586" t="str">
        <f>_xlfn.IFS(AND($AI162=$AM162,$AI162&gt;0,$AM162&gt;0,BK162&gt;0), BK162,     AND(NOT($AI162=$AM162),$AI162&gt;0,$AM162&gt;0,BK162&gt;0), ($AM162*BK162)/$AI162,     AND($AI162=0,$AM162&gt;0,$AQ162&gt;0), IF(INDEX(BK$12:BK$263,MATCH($AQ162,$AP$12:$AP$263,0))&gt;0,($AM162*INDEX(BK$12:BK$263,MATCH($AQ162,$AP$12:$AP$263,0)))/INDEX($AI$12:$AI$263,MATCH($AQ162,$AP$12:$AP$263,0)), "-"),     TRUE, "0")</f>
        <v>-</v>
      </c>
      <c r="BM162" s="607">
        <f>IF(BL$9&gt;0, IF(OR(BL162="",BL162="-"), 0, BL162*$AT162), BK162*$AJ162)</f>
        <v>0</v>
      </c>
      <c r="BN162" s="589">
        <f>[1]COMMANDE!AA160</f>
        <v>0</v>
      </c>
      <c r="BO162" s="586" t="str">
        <f>_xlfn.IFS(AND($AI162=$AM162,$AI162&gt;0,$AM162&gt;0,BN162&gt;0), BN162,     AND(NOT($AI162=$AM162),$AI162&gt;0,$AM162&gt;0,BN162&gt;0), ($AM162*BN162)/$AI162,     AND($AI162=0,$AM162&gt;0,$AQ162&gt;0), IF(INDEX(BN$12:BN$263,MATCH($AQ162,$AP$12:$AP$263,0))&gt;0,($AM162*INDEX(BN$12:BN$263,MATCH($AQ162,$AP$12:$AP$263,0)))/INDEX($AI$12:$AI$263,MATCH($AQ162,$AP$12:$AP$263,0)), "-"),     TRUE, "0")</f>
        <v>-</v>
      </c>
      <c r="BP162" s="588">
        <f>IF(BO$9&gt;0, IF(OR(BO162="",BO162="-"), 0, BO162*$AT162), BN162*$AJ162)</f>
        <v>0</v>
      </c>
      <c r="BQ162" s="587">
        <f>[1]COMMANDE!AC160</f>
        <v>0</v>
      </c>
      <c r="BR162" s="586" t="str">
        <f>_xlfn.IFS(AND($AI162=$AM162,$AI162&gt;0,$AM162&gt;0,BQ162&gt;0), BQ162,     AND(NOT($AI162=$AM162),$AI162&gt;0,$AM162&gt;0,BQ162&gt;0), ($AM162*BQ162)/$AI162,     AND($AI162=0,$AM162&gt;0,$AQ162&gt;0), IF(INDEX(BQ$12:BQ$263,MATCH($AQ162,$AP$12:$AP$263,0))&gt;0,($AM162*INDEX(BQ$12:BQ$263,MATCH($AQ162,$AP$12:$AP$263,0)))/INDEX($AI$12:$AI$263,MATCH($AQ162,$AP$12:$AP$263,0)), "-"),     TRUE, "0")</f>
        <v>-</v>
      </c>
      <c r="BS162" s="607">
        <f>IF(BR$9&gt;0, IF(OR(BR162="",BR162="-"), 0, BR162*$AT162), BQ162*$AJ162)</f>
        <v>0</v>
      </c>
      <c r="BT162" s="589">
        <f>[1]COMMANDE!AE160</f>
        <v>0</v>
      </c>
      <c r="BU162" s="586" t="str">
        <f>_xlfn.IFS(AND($AI162=$AM162,$AI162&gt;0,$AM162&gt;0,BT162&gt;0), BT162,     AND(NOT($AI162=$AM162),$AI162&gt;0,$AM162&gt;0,BT162&gt;0), ($AM162*BT162)/$AI162,     AND($AI162=0,$AM162&gt;0,$AQ162&gt;0), IF(INDEX(BT$12:BT$263,MATCH($AQ162,$AP$12:$AP$263,0))&gt;0,($AM162*INDEX(BT$12:BT$263,MATCH($AQ162,$AP$12:$AP$263,0)))/INDEX($AI$12:$AI$263,MATCH($AQ162,$AP$12:$AP$263,0)), "-"),     TRUE, "0")</f>
        <v>-</v>
      </c>
      <c r="BV162" s="588">
        <f>IF(BU$9&gt;0, IF(OR(BU162="",BU162="-"), 0, BU162*$AT162), BT162*$AJ162)</f>
        <v>0</v>
      </c>
      <c r="BW162" s="587">
        <f>[1]COMMANDE!AG160</f>
        <v>0</v>
      </c>
      <c r="BX162" s="586" t="str">
        <f>_xlfn.IFS(AND($AI162=$AM162,$AI162&gt;0,$AM162&gt;0,BW162&gt;0), BW162,     AND(NOT($AI162=$AM162),$AI162&gt;0,$AM162&gt;0,BW162&gt;0), ($AM162*BW162)/$AI162,     AND($AI162=0,$AM162&gt;0,$AQ162&gt;0), IF(INDEX(BW$12:BW$263,MATCH($AQ162,$AP$12:$AP$263,0))&gt;0,($AM162*INDEX(BW$12:BW$263,MATCH($AQ162,$AP$12:$AP$263,0)))/INDEX($AI$12:$AI$263,MATCH($AQ162,$AP$12:$AP$263,0)), "-"),     TRUE, "0")</f>
        <v>-</v>
      </c>
      <c r="BY162" s="607">
        <f>IF(BX$9&gt;0, IF(OR(BX162="",BX162="-"), 0, BX162*$AT162), BW162*$AJ162)</f>
        <v>0</v>
      </c>
      <c r="BZ162" s="589">
        <f>[1]COMMANDE!AI160</f>
        <v>0</v>
      </c>
      <c r="CA162" s="586" t="str">
        <f>_xlfn.IFS(AND($AI162=$AM162,$AI162&gt;0,$AM162&gt;0,BZ162&gt;0), BZ162,     AND(NOT($AI162=$AM162),$AI162&gt;0,$AM162&gt;0,BZ162&gt;0), ($AM162*BZ162)/$AI162,     AND($AI162=0,$AM162&gt;0,$AQ162&gt;0), IF(INDEX(BZ$12:BZ$263,MATCH($AQ162,$AP$12:$AP$263,0))&gt;0,($AM162*INDEX(BZ$12:BZ$263,MATCH($AQ162,$AP$12:$AP$263,0)))/INDEX($AI$12:$AI$263,MATCH($AQ162,$AP$12:$AP$263,0)), "-"),     TRUE, "0")</f>
        <v>-</v>
      </c>
      <c r="CB162" s="588">
        <f>IF(CA$9&gt;0, IF(OR(CA162="",CA162="-"), 0, CA162*$AT162), BZ162*$AJ162)</f>
        <v>0</v>
      </c>
      <c r="CC162" s="587">
        <f>[1]COMMANDE!AK160</f>
        <v>0</v>
      </c>
      <c r="CD162" s="586" t="str">
        <f>_xlfn.IFS(AND($AI162=$AM162,$AI162&gt;0,$AM162&gt;0,CC162&gt;0), CC162,     AND(NOT($AI162=$AM162),$AI162&gt;0,$AM162&gt;0,CC162&gt;0), ($AM162*CC162)/$AI162,     AND($AI162=0,$AM162&gt;0,$AQ162&gt;0), IF(INDEX(CC$12:CC$263,MATCH($AQ162,$AP$12:$AP$263,0))&gt;0,($AM162*INDEX(CC$12:CC$263,MATCH($AQ162,$AP$12:$AP$263,0)))/INDEX($AI$12:$AI$263,MATCH($AQ162,$AP$12:$AP$263,0)), "-"),     TRUE, "0")</f>
        <v>-</v>
      </c>
      <c r="CE162" s="607">
        <f>IF(CD$9&gt;0, IF(OR(CD162="",CD162="-"), 0, CD162*$AT162), CC162*$AJ162)</f>
        <v>0</v>
      </c>
      <c r="CF162" s="589">
        <f>[1]COMMANDE!AM160</f>
        <v>0</v>
      </c>
      <c r="CG162" s="586" t="str">
        <f>_xlfn.IFS(AND($AI162=$AM162,$AI162&gt;0,$AM162&gt;0,CF162&gt;0), CF162,     AND(NOT($AI162=$AM162),$AI162&gt;0,$AM162&gt;0,CF162&gt;0), ($AM162*CF162)/$AI162,     AND($AI162=0,$AM162&gt;0,$AQ162&gt;0), IF(INDEX(CF$12:CF$263,MATCH($AQ162,$AP$12:$AP$263,0))&gt;0,($AM162*INDEX(CF$12:CF$263,MATCH($AQ162,$AP$12:$AP$263,0)))/INDEX($AI$12:$AI$263,MATCH($AQ162,$AP$12:$AP$263,0)), "-"),     TRUE, "0")</f>
        <v>-</v>
      </c>
      <c r="CH162" s="588">
        <f>IF(CG$9&gt;0, IF(OR(CG162="",CG162="-"), 0, CG162*$AT162), CF162*$AJ162)</f>
        <v>0</v>
      </c>
      <c r="CI162" s="587">
        <f>[1]COMMANDE!AO160</f>
        <v>0</v>
      </c>
      <c r="CJ162" s="586" t="str">
        <f>_xlfn.IFS(AND($AI162=$AM162,$AI162&gt;0,$AM162&gt;0,CI162&gt;0), CI162,     AND(NOT($AI162=$AM162),$AI162&gt;0,$AM162&gt;0,CI162&gt;0), ($AM162*CI162)/$AI162,     AND($AI162=0,$AM162&gt;0,$AQ162&gt;0), IF(INDEX(CI$12:CI$263,MATCH($AQ162,$AP$12:$AP$263,0))&gt;0,($AM162*INDEX(CI$12:CI$263,MATCH($AQ162,$AP$12:$AP$263,0)))/INDEX($AI$12:$AI$263,MATCH($AQ162,$AP$12:$AP$263,0)), "-"),     TRUE, "0")</f>
        <v>-</v>
      </c>
      <c r="CK162" s="607">
        <f>IF(CJ$9&gt;0, IF(OR(CJ162="",CJ162="-"), 0, CJ162*$AT162), CI162*$AJ162)</f>
        <v>0</v>
      </c>
      <c r="CL162" s="589">
        <f>[1]COMMANDE!AQ160</f>
        <v>0</v>
      </c>
      <c r="CM162" s="586" t="str">
        <f>_xlfn.IFS(AND($AI162=$AM162,$AI162&gt;0,$AM162&gt;0,CL162&gt;0), CL162,     AND(NOT($AI162=$AM162),$AI162&gt;0,$AM162&gt;0,CL162&gt;0), ($AM162*CL162)/$AI162,     AND($AI162=0,$AM162&gt;0,$AQ162&gt;0), IF(INDEX(CL$12:CL$263,MATCH($AQ162,$AP$12:$AP$263,0))&gt;0,($AM162*INDEX(CL$12:CL$263,MATCH($AQ162,$AP$12:$AP$263,0)))/INDEX($AI$12:$AI$263,MATCH($AQ162,$AP$12:$AP$263,0)), "-"),     TRUE, "0")</f>
        <v>-</v>
      </c>
      <c r="CN162" s="588">
        <f>IF(CM$9&gt;0, IF(OR(CM162="",CM162="-"), 0, CM162*$AT162), CL162*$AJ162)</f>
        <v>0</v>
      </c>
      <c r="CO162" s="587">
        <f>[1]COMMANDE!AS160</f>
        <v>0</v>
      </c>
      <c r="CP162" s="586" t="str">
        <f>_xlfn.IFS(AND($AI162=$AM162,$AI162&gt;0,$AM162&gt;0,CO162&gt;0), CO162,     AND(NOT($AI162=$AM162),$AI162&gt;0,$AM162&gt;0,CO162&gt;0), ($AM162*CO162)/$AI162,     AND($AI162=0,$AM162&gt;0,$AQ162&gt;0), IF(INDEX(CO$12:CO$263,MATCH($AQ162,$AP$12:$AP$263,0))&gt;0,($AM162*INDEX(CO$12:CO$263,MATCH($AQ162,$AP$12:$AP$263,0)))/INDEX($AI$12:$AI$263,MATCH($AQ162,$AP$12:$AP$263,0)), "-"),     TRUE, "0")</f>
        <v>-</v>
      </c>
      <c r="CQ162" s="607">
        <f>IF(CP$9&gt;0, IF(OR(CP162="",CP162="-"), 0, CP162*$AT162), CO162*$AJ162)</f>
        <v>0</v>
      </c>
      <c r="CR162" s="589">
        <f>[1]COMMANDE!AU160</f>
        <v>0</v>
      </c>
      <c r="CS162" s="586" t="str">
        <f>_xlfn.IFS(AND($AI162=$AM162,$AI162&gt;0,$AM162&gt;0,CR162&gt;0), CR162,     AND(NOT($AI162=$AM162),$AI162&gt;0,$AM162&gt;0,CR162&gt;0), ($AM162*CR162)/$AI162,     AND($AI162=0,$AM162&gt;0,$AQ162&gt;0), IF(INDEX(CR$12:CR$263,MATCH($AQ162,$AP$12:$AP$263,0))&gt;0,($AM162*INDEX(CR$12:CR$263,MATCH($AQ162,$AP$12:$AP$263,0)))/INDEX($AI$12:$AI$263,MATCH($AQ162,$AP$12:$AP$263,0)), "-"),     TRUE, "0")</f>
        <v>-</v>
      </c>
      <c r="CT162" s="588">
        <f>IF(CS$9&gt;0, IF(OR(CS162="",CS162="-"), 0, CS162*$AT162), CR162*$AJ162)</f>
        <v>0</v>
      </c>
      <c r="CU162" s="587">
        <f>[1]COMMANDE!AW160</f>
        <v>0</v>
      </c>
      <c r="CV162" s="586" t="str">
        <f>_xlfn.IFS(AND($AI162=$AM162,$AI162&gt;0,$AM162&gt;0,CU162&gt;0), CU162,     AND(NOT($AI162=$AM162),$AI162&gt;0,$AM162&gt;0,CU162&gt;0), ($AM162*CU162)/$AI162,     AND($AI162=0,$AM162&gt;0,$AQ162&gt;0), IF(INDEX(CU$12:CU$263,MATCH($AQ162,$AP$12:$AP$263,0))&gt;0,($AM162*INDEX(CU$12:CU$263,MATCH($AQ162,$AP$12:$AP$263,0)))/INDEX($AI$12:$AI$263,MATCH($AQ162,$AP$12:$AP$263,0)), "-"),     TRUE, "0")</f>
        <v>-</v>
      </c>
      <c r="CW162" s="607">
        <f>IF(CV$9&gt;0, IF(OR(CV162="",CV162="-"), 0, CV162*$AT162), CU162*$AJ162)</f>
        <v>0</v>
      </c>
      <c r="CX162" s="589">
        <f>[1]COMMANDE!AY160</f>
        <v>0</v>
      </c>
      <c r="CY162" s="586" t="str">
        <f>_xlfn.IFS(AND($AI162=$AM162,$AI162&gt;0,$AM162&gt;0,CX162&gt;0), CX162,     AND(NOT($AI162=$AM162),$AI162&gt;0,$AM162&gt;0,CX162&gt;0), ($AM162*CX162)/$AI162,     AND($AI162=0,$AM162&gt;0,$AQ162&gt;0), IF(INDEX(CX$12:CX$263,MATCH($AQ162,$AP$12:$AP$263,0))&gt;0,($AM162*INDEX(CX$12:CX$263,MATCH($AQ162,$AP$12:$AP$263,0)))/INDEX($AI$12:$AI$263,MATCH($AQ162,$AP$12:$AP$263,0)), "-"),     TRUE, "0")</f>
        <v>-</v>
      </c>
      <c r="CZ162" s="588">
        <f>IF(CY$9&gt;0, IF(OR(CY162="",CY162="-"), 0, CY162*$AT162), CX162*$AJ162)</f>
        <v>0</v>
      </c>
      <c r="DA162" s="587">
        <f>[1]COMMANDE!BA160</f>
        <v>0</v>
      </c>
      <c r="DB162" s="586" t="str">
        <f>_xlfn.IFS(AND($AI162=$AM162,$AI162&gt;0,$AM162&gt;0,DA162&gt;0), DA162,     AND(NOT($AI162=$AM162),$AI162&gt;0,$AM162&gt;0,DA162&gt;0), ($AM162*DA162)/$AI162,     AND($AI162=0,$AM162&gt;0,$AQ162&gt;0), IF(INDEX(DA$12:DA$263,MATCH($AQ162,$AP$12:$AP$263,0))&gt;0,($AM162*INDEX(DA$12:DA$263,MATCH($AQ162,$AP$12:$AP$263,0)))/INDEX($AI$12:$AI$263,MATCH($AQ162,$AP$12:$AP$263,0)), "-"),     TRUE, "0")</f>
        <v>-</v>
      </c>
      <c r="DC162" s="606">
        <f>IF(DB$9&gt;0, IF(OR(DB162="",DB162="-"), 0, DB162*$AT162), DA162*$AJ162)</f>
        <v>0</v>
      </c>
      <c r="DD162" s="584"/>
      <c r="DE162" s="583"/>
    </row>
    <row r="163" spans="1:109" ht="39.950000000000003" hidden="1" customHeight="1">
      <c r="A163" s="604">
        <f>IF(OR($AV163&gt;0, $AX163&gt;0), 1, 0)</f>
        <v>0</v>
      </c>
      <c r="B163" s="604">
        <f>IF(OR($AY163&gt;0, $BA163&gt;0), 1, 0)</f>
        <v>0</v>
      </c>
      <c r="C163" s="604">
        <f>IF(OR($BB163&gt;0, $BD163&gt;0), 1, 0)</f>
        <v>0</v>
      </c>
      <c r="D163" s="604">
        <f>IF(OR($BE163&gt;0, $BG163&gt;0), 1, 0)</f>
        <v>0</v>
      </c>
      <c r="E163" s="604">
        <f>IF(OR($BH163&gt;0, $BJ163&gt;0), 1, 0)</f>
        <v>0</v>
      </c>
      <c r="F163" s="604">
        <f>IF(OR($BK163&gt;0, $BM163&gt;0), 1, 0)</f>
        <v>0</v>
      </c>
      <c r="G163" s="604">
        <f>IF(OR($BN163&gt;0, $BP163&gt;0), 1, 0)</f>
        <v>0</v>
      </c>
      <c r="H163" s="604">
        <f>IF(OR($BQ163&gt;0, $BS163&gt;0), 1, 0)</f>
        <v>0</v>
      </c>
      <c r="I163" s="604">
        <f>IF(OR($BT163&gt;0, $BV163&gt;0), 1, 0)</f>
        <v>0</v>
      </c>
      <c r="J163" s="604">
        <f>IF(OR($BW163&gt;0, $BY163&gt;0), 1, 0)</f>
        <v>0</v>
      </c>
      <c r="K163" s="604">
        <f>IF(OR($BZ163&gt;0, $CB163&gt;0), 1, 0)</f>
        <v>0</v>
      </c>
      <c r="L163" s="604">
        <f>IF(OR($CC163&gt;0, $CE163&gt;0), 1, 0)</f>
        <v>0</v>
      </c>
      <c r="M163" s="604">
        <f>IF(OR($CF163&gt;0, $CH163&gt;0), 1, 0)</f>
        <v>0</v>
      </c>
      <c r="N163" s="604">
        <f>IF(OR($CI163&gt;0, $CK163&gt;0), 1, 0)</f>
        <v>0</v>
      </c>
      <c r="O163" s="604">
        <f>IF(OR($CL163&gt;0, $CN163&gt;0), 1, 0)</f>
        <v>0</v>
      </c>
      <c r="P163" s="604">
        <f>IF(OR($CO163&gt;0, $CQ163&gt;0), 1, 0)</f>
        <v>0</v>
      </c>
      <c r="Q163" s="604">
        <f>IF(OR($CR163&gt;0, $CT163&gt;0), 1, 0)</f>
        <v>0</v>
      </c>
      <c r="R163" s="604">
        <f>IF(OR($CU163&gt;0, $CW163&gt;0), 1, 0)</f>
        <v>0</v>
      </c>
      <c r="S163" s="604">
        <f>IF(OR($CX163&gt;0, $CZ163&gt;0), 1, 0)</f>
        <v>0</v>
      </c>
      <c r="T163" s="604">
        <f>IF(OR($DA163&gt;0, $DC163&gt;0), 1, 0)</f>
        <v>0</v>
      </c>
      <c r="U163" s="603">
        <f>IF(OR($AI163&gt;0,$AM163&gt;0,$AS163&gt;0), 1, 0)</f>
        <v>0</v>
      </c>
      <c r="V163" s="602">
        <f>[1]BDD!A153</f>
        <v>1171</v>
      </c>
      <c r="W163" s="601" t="str">
        <f>[1]BDD!B153</f>
        <v>Mangue Keitt BIO (grande, BIO depuis 1985, BIO Suisse depuis 2009)</v>
      </c>
      <c r="X163" s="600" t="str">
        <f>IF([1]BDD!F153=0, "", [1]BDD!F153)</f>
        <v/>
      </c>
      <c r="Y163" s="542">
        <f>ROUND([1]BDD!G153+FDP_CMD_KG, 2)</f>
        <v>4.42</v>
      </c>
      <c r="Z163" s="542">
        <f>ROUND([1]BDD!G153+FDP_FACT_KG, 2)</f>
        <v>4.42</v>
      </c>
      <c r="AA163" s="543" t="str">
        <f>[1]BDD!H153</f>
        <v>kg</v>
      </c>
      <c r="AB163" s="544">
        <f>IF(NOT(ISBLANK([1]BDD!I153)), ROUND(SUM(([1]BDD!G153*reduc1),FDP_CMD_KG), 2), "")</f>
        <v>4.07</v>
      </c>
      <c r="AC163" s="544">
        <f>IF(NOT(ISBLANK([1]BDD!J153)), ROUND(SUM(([1]BDD!G153*reduc2),FDP_CMD_KG), 2), "")</f>
        <v>3.71</v>
      </c>
      <c r="AD163" s="544">
        <f>IF(NOT(ISBLANK([1]BDD!K153)), ROUND(SUM(([1]BDD!G153*reduc3),FDP_CMD_KG), 2), "")</f>
        <v>3.36</v>
      </c>
      <c r="AE163" s="544">
        <f>IF(NOT(ISBLANK([1]BDD!I153)), ROUND(SUM(([1]BDD!G153*reduc1),FDP_FACT_KG), 2), "")</f>
        <v>4.0599999999999996</v>
      </c>
      <c r="AF163" s="544">
        <f>IF(NOT(ISBLANK([1]BDD!J153)), ROUND(SUM(([1]BDD!G153*reduc2),FDP_FACT_KG), 2), "")</f>
        <v>3.71</v>
      </c>
      <c r="AG163" s="544">
        <f>IF(NOT(ISBLANK([1]BDD!K153)), ROUND(SUM(([1]BDD!G153*reduc3),FDP_FACT_KG), 2), "")</f>
        <v>3.35</v>
      </c>
      <c r="AH163" s="599" t="str">
        <f>[1]BDD!C153</f>
        <v>Malaga</v>
      </c>
      <c r="AI163" s="598">
        <f>SUM(AV163,AY163,BB163,BE163,BH163,BK163,BN163,BQ163,BT163,BW163,BZ163,CC163,CF163,CI163,CL163,CO163,CR163,CU163,CX163,DA163)</f>
        <v>0</v>
      </c>
      <c r="AJ163" s="545">
        <f>_xlfn.IFS($AD163&lt;&gt;"", $AD163,    $AC163&lt;&gt;"", $AC163,    $AB163&lt;&gt;"", $AB163,    TRUE, $Y163)</f>
        <v>3.36</v>
      </c>
      <c r="AK163" s="592">
        <f>$AI163*$AJ163</f>
        <v>0</v>
      </c>
      <c r="AL163" s="594"/>
      <c r="AM163" s="597"/>
      <c r="AN163" s="545">
        <f>_xlfn.IFS(AND(AM163&gt;=60,$AG163&lt;&gt;""), $AG163,    AND(AM163&gt;=30,$AF163&lt;&gt;""), $AF163,    AND(AM163&gt;=10,$AE163&lt;&gt;""), $AE163,    TRUE, $Z163)</f>
        <v>4.42</v>
      </c>
      <c r="AO163" s="596">
        <f>AM163*AN163</f>
        <v>0</v>
      </c>
      <c r="AP163" s="595"/>
      <c r="AQ163" s="595"/>
      <c r="AR163" s="594"/>
      <c r="AS163" s="593">
        <f>SUM(AW163,AZ163,BC163,BF163,BI163,BL163,BO163,BR163,BU163,BX163,CA163,CD163,CG163,CJ163,CM163,CP163,CS163,CV163,CY163,DB163)</f>
        <v>0</v>
      </c>
      <c r="AT163" s="545">
        <f>_xlfn.IFS(AND(AS163&gt;=60,$AG163&lt;&gt;""), $AG163,    AND(AS163&gt;=30,$AF163&lt;&gt;""), $AF163,    AND(AS163&gt;=10,$AE163&lt;&gt;""), $AE163,    TRUE, $Z163)</f>
        <v>4.42</v>
      </c>
      <c r="AU163" s="592">
        <f>$AS163*$AT163</f>
        <v>0</v>
      </c>
      <c r="AV163" s="591">
        <f>[1]COMMANDE!O161</f>
        <v>0</v>
      </c>
      <c r="AW163" s="586" t="str">
        <f>_xlfn.IFS(AND($AI163=$AM163,$AI163&gt;0,$AM163&gt;0,AV163&gt;0), AV163,     AND(NOT($AI163=$AM163),$AI163&gt;0,$AM163&gt;0,AV163&gt;0), ($AM163*AV163)/$AI163,     AND($AI163=0,$AM163&gt;0,$AQ163&gt;0), IF(INDEX(AV$12:AV$263,MATCH($AQ163,$AP$12:$AP$263,0))&gt;0,($AM163*INDEX(AV$12:AV$263,MATCH($AQ163,$AP$12:$AP$263,0)))/INDEX($AI$12:$AI$263,MATCH($AQ163,$AP$12:$AP$263,0)), "-"),     TRUE, "0")</f>
        <v>0</v>
      </c>
      <c r="AX163" s="588">
        <f>IF(AW$9&gt;0, IF(OR(AW163="",AW163="-"), 0, AW163*$AT163), AV163*$AJ163)</f>
        <v>0</v>
      </c>
      <c r="AY163" s="587">
        <f>[1]COMMANDE!Q161</f>
        <v>0</v>
      </c>
      <c r="AZ163" s="586" t="str">
        <f>_xlfn.IFS(AND($AI163=$AM163,$AI163&gt;0,$AM163&gt;0,AY163&gt;0), AY163,     AND(NOT($AI163=$AM163),$AI163&gt;0,$AM163&gt;0,AY163&gt;0), ($AM163*AY163)/$AI163,     AND($AI163=0,$AM163&gt;0,$AQ163&gt;0), IF(INDEX(AY$12:AY$263,MATCH($AQ163,$AP$12:$AP$263,0))&gt;0,($AM163*INDEX(AY$12:AY$263,MATCH($AQ163,$AP$12:$AP$263,0)))/INDEX($AI$12:$AI$263,MATCH($AQ163,$AP$12:$AP$263,0)), "-"),     TRUE, "0")</f>
        <v>0</v>
      </c>
      <c r="BA163" s="607">
        <f>IF(AZ$9&gt;0, IF(OR(AZ163="",AZ163="-"), 0, AZ163*$AT163), AY163*$AJ163)</f>
        <v>0</v>
      </c>
      <c r="BB163" s="589">
        <f>[1]COMMANDE!S161</f>
        <v>0</v>
      </c>
      <c r="BC163" s="586" t="str">
        <f>_xlfn.IFS(AND($AI163=$AM163,$AI163&gt;0,$AM163&gt;0,BB163&gt;0), BB163,     AND(NOT($AI163=$AM163),$AI163&gt;0,$AM163&gt;0,BB163&gt;0), ($AM163*BB163)/$AI163,     AND($AI163=0,$AM163&gt;0,$AQ163&gt;0), IF(INDEX(BB$12:BB$263,MATCH($AQ163,$AP$12:$AP$263,0))&gt;0,($AM163*INDEX(BB$12:BB$263,MATCH($AQ163,$AP$12:$AP$263,0)))/INDEX($AI$12:$AI$263,MATCH($AQ163,$AP$12:$AP$263,0)), "-"),     TRUE, "0")</f>
        <v>0</v>
      </c>
      <c r="BD163" s="588">
        <f>IF(BC$9&gt;0, IF(OR(BC163="",BC163="-"), 0, BC163*$AT163), BB163*$AJ163)</f>
        <v>0</v>
      </c>
      <c r="BE163" s="587">
        <f>[1]COMMANDE!U161</f>
        <v>0</v>
      </c>
      <c r="BF163" s="586" t="str">
        <f>_xlfn.IFS(AND($AI163=$AM163,$AI163&gt;0,$AM163&gt;0,BE163&gt;0), BE163,     AND(NOT($AI163=$AM163),$AI163&gt;0,$AM163&gt;0,BE163&gt;0), ($AM163*BE163)/$AI163,     AND($AI163=0,$AM163&gt;0,$AQ163&gt;0), IF(INDEX(BE$12:BE$263,MATCH($AQ163,$AP$12:$AP$263,0))&gt;0,($AM163*INDEX(BE$12:BE$263,MATCH($AQ163,$AP$12:$AP$263,0)))/INDEX($AI$12:$AI$263,MATCH($AQ163,$AP$12:$AP$263,0)), "-"),     TRUE, "0")</f>
        <v>0</v>
      </c>
      <c r="BG163" s="607">
        <f>IF(BF$9&gt;0, IF(OR(BF163="",BF163="-"), 0, BF163*$AT163), BE163*$AJ163)</f>
        <v>0</v>
      </c>
      <c r="BH163" s="589">
        <f>[1]COMMANDE!W161</f>
        <v>0</v>
      </c>
      <c r="BI163" s="586" t="str">
        <f>_xlfn.IFS(AND($AI163=$AM163,$AI163&gt;0,$AM163&gt;0,BH163&gt;0), BH163,     AND(NOT($AI163=$AM163),$AI163&gt;0,$AM163&gt;0,BH163&gt;0), ($AM163*BH163)/$AI163,     AND($AI163=0,$AM163&gt;0,$AQ163&gt;0), IF(INDEX(BH$12:BH$263,MATCH($AQ163,$AP$12:$AP$263,0))&gt;0,($AM163*INDEX(BH$12:BH$263,MATCH($AQ163,$AP$12:$AP$263,0)))/INDEX($AI$12:$AI$263,MATCH($AQ163,$AP$12:$AP$263,0)), "-"),     TRUE, "0")</f>
        <v>0</v>
      </c>
      <c r="BJ163" s="588">
        <f>IF(BI$9&gt;0, IF(OR(BI163="",BI163="-"), 0, BI163*$AT163), BH163*$AJ163)</f>
        <v>0</v>
      </c>
      <c r="BK163" s="587">
        <f>[1]COMMANDE!Y161</f>
        <v>0</v>
      </c>
      <c r="BL163" s="586" t="str">
        <f>_xlfn.IFS(AND($AI163=$AM163,$AI163&gt;0,$AM163&gt;0,BK163&gt;0), BK163,     AND(NOT($AI163=$AM163),$AI163&gt;0,$AM163&gt;0,BK163&gt;0), ($AM163*BK163)/$AI163,     AND($AI163=0,$AM163&gt;0,$AQ163&gt;0), IF(INDEX(BK$12:BK$263,MATCH($AQ163,$AP$12:$AP$263,0))&gt;0,($AM163*INDEX(BK$12:BK$263,MATCH($AQ163,$AP$12:$AP$263,0)))/INDEX($AI$12:$AI$263,MATCH($AQ163,$AP$12:$AP$263,0)), "-"),     TRUE, "0")</f>
        <v>0</v>
      </c>
      <c r="BM163" s="607">
        <f>IF(BL$9&gt;0, IF(OR(BL163="",BL163="-"), 0, BL163*$AT163), BK163*$AJ163)</f>
        <v>0</v>
      </c>
      <c r="BN163" s="589">
        <f>[1]COMMANDE!AA161</f>
        <v>0</v>
      </c>
      <c r="BO163" s="586" t="str">
        <f>_xlfn.IFS(AND($AI163=$AM163,$AI163&gt;0,$AM163&gt;0,BN163&gt;0), BN163,     AND(NOT($AI163=$AM163),$AI163&gt;0,$AM163&gt;0,BN163&gt;0), ($AM163*BN163)/$AI163,     AND($AI163=0,$AM163&gt;0,$AQ163&gt;0), IF(INDEX(BN$12:BN$263,MATCH($AQ163,$AP$12:$AP$263,0))&gt;0,($AM163*INDEX(BN$12:BN$263,MATCH($AQ163,$AP$12:$AP$263,0)))/INDEX($AI$12:$AI$263,MATCH($AQ163,$AP$12:$AP$263,0)), "-"),     TRUE, "0")</f>
        <v>0</v>
      </c>
      <c r="BP163" s="588">
        <f>IF(BO$9&gt;0, IF(OR(BO163="",BO163="-"), 0, BO163*$AT163), BN163*$AJ163)</f>
        <v>0</v>
      </c>
      <c r="BQ163" s="587">
        <f>[1]COMMANDE!AC161</f>
        <v>0</v>
      </c>
      <c r="BR163" s="586" t="str">
        <f>_xlfn.IFS(AND($AI163=$AM163,$AI163&gt;0,$AM163&gt;0,BQ163&gt;0), BQ163,     AND(NOT($AI163=$AM163),$AI163&gt;0,$AM163&gt;0,BQ163&gt;0), ($AM163*BQ163)/$AI163,     AND($AI163=0,$AM163&gt;0,$AQ163&gt;0), IF(INDEX(BQ$12:BQ$263,MATCH($AQ163,$AP$12:$AP$263,0))&gt;0,($AM163*INDEX(BQ$12:BQ$263,MATCH($AQ163,$AP$12:$AP$263,0)))/INDEX($AI$12:$AI$263,MATCH($AQ163,$AP$12:$AP$263,0)), "-"),     TRUE, "0")</f>
        <v>0</v>
      </c>
      <c r="BS163" s="607">
        <f>IF(BR$9&gt;0, IF(OR(BR163="",BR163="-"), 0, BR163*$AT163), BQ163*$AJ163)</f>
        <v>0</v>
      </c>
      <c r="BT163" s="589">
        <f>[1]COMMANDE!AE161</f>
        <v>0</v>
      </c>
      <c r="BU163" s="586" t="str">
        <f>_xlfn.IFS(AND($AI163=$AM163,$AI163&gt;0,$AM163&gt;0,BT163&gt;0), BT163,     AND(NOT($AI163=$AM163),$AI163&gt;0,$AM163&gt;0,BT163&gt;0), ($AM163*BT163)/$AI163,     AND($AI163=0,$AM163&gt;0,$AQ163&gt;0), IF(INDEX(BT$12:BT$263,MATCH($AQ163,$AP$12:$AP$263,0))&gt;0,($AM163*INDEX(BT$12:BT$263,MATCH($AQ163,$AP$12:$AP$263,0)))/INDEX($AI$12:$AI$263,MATCH($AQ163,$AP$12:$AP$263,0)), "-"),     TRUE, "0")</f>
        <v>0</v>
      </c>
      <c r="BV163" s="588">
        <f>IF(BU$9&gt;0, IF(OR(BU163="",BU163="-"), 0, BU163*$AT163), BT163*$AJ163)</f>
        <v>0</v>
      </c>
      <c r="BW163" s="587">
        <f>[1]COMMANDE!AG161</f>
        <v>0</v>
      </c>
      <c r="BX163" s="586" t="str">
        <f>_xlfn.IFS(AND($AI163=$AM163,$AI163&gt;0,$AM163&gt;0,BW163&gt;0), BW163,     AND(NOT($AI163=$AM163),$AI163&gt;0,$AM163&gt;0,BW163&gt;0), ($AM163*BW163)/$AI163,     AND($AI163=0,$AM163&gt;0,$AQ163&gt;0), IF(INDEX(BW$12:BW$263,MATCH($AQ163,$AP$12:$AP$263,0))&gt;0,($AM163*INDEX(BW$12:BW$263,MATCH($AQ163,$AP$12:$AP$263,0)))/INDEX($AI$12:$AI$263,MATCH($AQ163,$AP$12:$AP$263,0)), "-"),     TRUE, "0")</f>
        <v>0</v>
      </c>
      <c r="BY163" s="607">
        <f>IF(BX$9&gt;0, IF(OR(BX163="",BX163="-"), 0, BX163*$AT163), BW163*$AJ163)</f>
        <v>0</v>
      </c>
      <c r="BZ163" s="589">
        <f>[1]COMMANDE!AI161</f>
        <v>0</v>
      </c>
      <c r="CA163" s="586" t="str">
        <f>_xlfn.IFS(AND($AI163=$AM163,$AI163&gt;0,$AM163&gt;0,BZ163&gt;0), BZ163,     AND(NOT($AI163=$AM163),$AI163&gt;0,$AM163&gt;0,BZ163&gt;0), ($AM163*BZ163)/$AI163,     AND($AI163=0,$AM163&gt;0,$AQ163&gt;0), IF(INDEX(BZ$12:BZ$263,MATCH($AQ163,$AP$12:$AP$263,0))&gt;0,($AM163*INDEX(BZ$12:BZ$263,MATCH($AQ163,$AP$12:$AP$263,0)))/INDEX($AI$12:$AI$263,MATCH($AQ163,$AP$12:$AP$263,0)), "-"),     TRUE, "0")</f>
        <v>0</v>
      </c>
      <c r="CB163" s="588">
        <f>IF(CA$9&gt;0, IF(OR(CA163="",CA163="-"), 0, CA163*$AT163), BZ163*$AJ163)</f>
        <v>0</v>
      </c>
      <c r="CC163" s="587">
        <f>[1]COMMANDE!AK161</f>
        <v>0</v>
      </c>
      <c r="CD163" s="586" t="str">
        <f>_xlfn.IFS(AND($AI163=$AM163,$AI163&gt;0,$AM163&gt;0,CC163&gt;0), CC163,     AND(NOT($AI163=$AM163),$AI163&gt;0,$AM163&gt;0,CC163&gt;0), ($AM163*CC163)/$AI163,     AND($AI163=0,$AM163&gt;0,$AQ163&gt;0), IF(INDEX(CC$12:CC$263,MATCH($AQ163,$AP$12:$AP$263,0))&gt;0,($AM163*INDEX(CC$12:CC$263,MATCH($AQ163,$AP$12:$AP$263,0)))/INDEX($AI$12:$AI$263,MATCH($AQ163,$AP$12:$AP$263,0)), "-"),     TRUE, "0")</f>
        <v>0</v>
      </c>
      <c r="CE163" s="607">
        <f>IF(CD$9&gt;0, IF(OR(CD163="",CD163="-"), 0, CD163*$AT163), CC163*$AJ163)</f>
        <v>0</v>
      </c>
      <c r="CF163" s="589">
        <f>[1]COMMANDE!AM161</f>
        <v>0</v>
      </c>
      <c r="CG163" s="586" t="str">
        <f>_xlfn.IFS(AND($AI163=$AM163,$AI163&gt;0,$AM163&gt;0,CF163&gt;0), CF163,     AND(NOT($AI163=$AM163),$AI163&gt;0,$AM163&gt;0,CF163&gt;0), ($AM163*CF163)/$AI163,     AND($AI163=0,$AM163&gt;0,$AQ163&gt;0), IF(INDEX(CF$12:CF$263,MATCH($AQ163,$AP$12:$AP$263,0))&gt;0,($AM163*INDEX(CF$12:CF$263,MATCH($AQ163,$AP$12:$AP$263,0)))/INDEX($AI$12:$AI$263,MATCH($AQ163,$AP$12:$AP$263,0)), "-"),     TRUE, "0")</f>
        <v>0</v>
      </c>
      <c r="CH163" s="588">
        <f>IF(CG$9&gt;0, IF(OR(CG163="",CG163="-"), 0, CG163*$AT163), CF163*$AJ163)</f>
        <v>0</v>
      </c>
      <c r="CI163" s="587">
        <f>[1]COMMANDE!AO161</f>
        <v>0</v>
      </c>
      <c r="CJ163" s="586" t="str">
        <f>_xlfn.IFS(AND($AI163=$AM163,$AI163&gt;0,$AM163&gt;0,CI163&gt;0), CI163,     AND(NOT($AI163=$AM163),$AI163&gt;0,$AM163&gt;0,CI163&gt;0), ($AM163*CI163)/$AI163,     AND($AI163=0,$AM163&gt;0,$AQ163&gt;0), IF(INDEX(CI$12:CI$263,MATCH($AQ163,$AP$12:$AP$263,0))&gt;0,($AM163*INDEX(CI$12:CI$263,MATCH($AQ163,$AP$12:$AP$263,0)))/INDEX($AI$12:$AI$263,MATCH($AQ163,$AP$12:$AP$263,0)), "-"),     TRUE, "0")</f>
        <v>0</v>
      </c>
      <c r="CK163" s="607">
        <f>IF(CJ$9&gt;0, IF(OR(CJ163="",CJ163="-"), 0, CJ163*$AT163), CI163*$AJ163)</f>
        <v>0</v>
      </c>
      <c r="CL163" s="589">
        <f>[1]COMMANDE!AQ161</f>
        <v>0</v>
      </c>
      <c r="CM163" s="586" t="str">
        <f>_xlfn.IFS(AND($AI163=$AM163,$AI163&gt;0,$AM163&gt;0,CL163&gt;0), CL163,     AND(NOT($AI163=$AM163),$AI163&gt;0,$AM163&gt;0,CL163&gt;0), ($AM163*CL163)/$AI163,     AND($AI163=0,$AM163&gt;0,$AQ163&gt;0), IF(INDEX(CL$12:CL$263,MATCH($AQ163,$AP$12:$AP$263,0))&gt;0,($AM163*INDEX(CL$12:CL$263,MATCH($AQ163,$AP$12:$AP$263,0)))/INDEX($AI$12:$AI$263,MATCH($AQ163,$AP$12:$AP$263,0)), "-"),     TRUE, "0")</f>
        <v>0</v>
      </c>
      <c r="CN163" s="588">
        <f>IF(CM$9&gt;0, IF(OR(CM163="",CM163="-"), 0, CM163*$AT163), CL163*$AJ163)</f>
        <v>0</v>
      </c>
      <c r="CO163" s="587">
        <f>[1]COMMANDE!AS161</f>
        <v>0</v>
      </c>
      <c r="CP163" s="586" t="str">
        <f>_xlfn.IFS(AND($AI163=$AM163,$AI163&gt;0,$AM163&gt;0,CO163&gt;0), CO163,     AND(NOT($AI163=$AM163),$AI163&gt;0,$AM163&gt;0,CO163&gt;0), ($AM163*CO163)/$AI163,     AND($AI163=0,$AM163&gt;0,$AQ163&gt;0), IF(INDEX(CO$12:CO$263,MATCH($AQ163,$AP$12:$AP$263,0))&gt;0,($AM163*INDEX(CO$12:CO$263,MATCH($AQ163,$AP$12:$AP$263,0)))/INDEX($AI$12:$AI$263,MATCH($AQ163,$AP$12:$AP$263,0)), "-"),     TRUE, "0")</f>
        <v>0</v>
      </c>
      <c r="CQ163" s="607">
        <f>IF(CP$9&gt;0, IF(OR(CP163="",CP163="-"), 0, CP163*$AT163), CO163*$AJ163)</f>
        <v>0</v>
      </c>
      <c r="CR163" s="589">
        <f>[1]COMMANDE!AU161</f>
        <v>0</v>
      </c>
      <c r="CS163" s="586" t="str">
        <f>_xlfn.IFS(AND($AI163=$AM163,$AI163&gt;0,$AM163&gt;0,CR163&gt;0), CR163,     AND(NOT($AI163=$AM163),$AI163&gt;0,$AM163&gt;0,CR163&gt;0), ($AM163*CR163)/$AI163,     AND($AI163=0,$AM163&gt;0,$AQ163&gt;0), IF(INDEX(CR$12:CR$263,MATCH($AQ163,$AP$12:$AP$263,0))&gt;0,($AM163*INDEX(CR$12:CR$263,MATCH($AQ163,$AP$12:$AP$263,0)))/INDEX($AI$12:$AI$263,MATCH($AQ163,$AP$12:$AP$263,0)), "-"),     TRUE, "0")</f>
        <v>0</v>
      </c>
      <c r="CT163" s="588">
        <f>IF(CS$9&gt;0, IF(OR(CS163="",CS163="-"), 0, CS163*$AT163), CR163*$AJ163)</f>
        <v>0</v>
      </c>
      <c r="CU163" s="587">
        <f>[1]COMMANDE!AW161</f>
        <v>0</v>
      </c>
      <c r="CV163" s="586" t="str">
        <f>_xlfn.IFS(AND($AI163=$AM163,$AI163&gt;0,$AM163&gt;0,CU163&gt;0), CU163,     AND(NOT($AI163=$AM163),$AI163&gt;0,$AM163&gt;0,CU163&gt;0), ($AM163*CU163)/$AI163,     AND($AI163=0,$AM163&gt;0,$AQ163&gt;0), IF(INDEX(CU$12:CU$263,MATCH($AQ163,$AP$12:$AP$263,0))&gt;0,($AM163*INDEX(CU$12:CU$263,MATCH($AQ163,$AP$12:$AP$263,0)))/INDEX($AI$12:$AI$263,MATCH($AQ163,$AP$12:$AP$263,0)), "-"),     TRUE, "0")</f>
        <v>0</v>
      </c>
      <c r="CW163" s="607">
        <f>IF(CV$9&gt;0, IF(OR(CV163="",CV163="-"), 0, CV163*$AT163), CU163*$AJ163)</f>
        <v>0</v>
      </c>
      <c r="CX163" s="589">
        <f>[1]COMMANDE!AY161</f>
        <v>0</v>
      </c>
      <c r="CY163" s="586" t="str">
        <f>_xlfn.IFS(AND($AI163=$AM163,$AI163&gt;0,$AM163&gt;0,CX163&gt;0), CX163,     AND(NOT($AI163=$AM163),$AI163&gt;0,$AM163&gt;0,CX163&gt;0), ($AM163*CX163)/$AI163,     AND($AI163=0,$AM163&gt;0,$AQ163&gt;0), IF(INDEX(CX$12:CX$263,MATCH($AQ163,$AP$12:$AP$263,0))&gt;0,($AM163*INDEX(CX$12:CX$263,MATCH($AQ163,$AP$12:$AP$263,0)))/INDEX($AI$12:$AI$263,MATCH($AQ163,$AP$12:$AP$263,0)), "-"),     TRUE, "0")</f>
        <v>0</v>
      </c>
      <c r="CZ163" s="588">
        <f>IF(CY$9&gt;0, IF(OR(CY163="",CY163="-"), 0, CY163*$AT163), CX163*$AJ163)</f>
        <v>0</v>
      </c>
      <c r="DA163" s="587">
        <f>[1]COMMANDE!BA161</f>
        <v>0</v>
      </c>
      <c r="DB163" s="586" t="str">
        <f>_xlfn.IFS(AND($AI163=$AM163,$AI163&gt;0,$AM163&gt;0,DA163&gt;0), DA163,     AND(NOT($AI163=$AM163),$AI163&gt;0,$AM163&gt;0,DA163&gt;0), ($AM163*DA163)/$AI163,     AND($AI163=0,$AM163&gt;0,$AQ163&gt;0), IF(INDEX(DA$12:DA$263,MATCH($AQ163,$AP$12:$AP$263,0))&gt;0,($AM163*INDEX(DA$12:DA$263,MATCH($AQ163,$AP$12:$AP$263,0)))/INDEX($AI$12:$AI$263,MATCH($AQ163,$AP$12:$AP$263,0)), "-"),     TRUE, "0")</f>
        <v>0</v>
      </c>
      <c r="DC163" s="606">
        <f>IF(DB$9&gt;0, IF(OR(DB163="",DB163="-"), 0, DB163*$AT163), DA163*$AJ163)</f>
        <v>0</v>
      </c>
      <c r="DD163" s="584"/>
      <c r="DE163" s="583"/>
    </row>
    <row r="164" spans="1:109" ht="39.950000000000003" customHeight="1">
      <c r="A164" s="604">
        <f>IF(OR($AV164&gt;0, $AX164&gt;0), 1, 0)</f>
        <v>1</v>
      </c>
      <c r="B164" s="604">
        <f>IF(OR($AY164&gt;0, $BA164&gt;0), 1, 0)</f>
        <v>0</v>
      </c>
      <c r="C164" s="604">
        <f>IF(OR($BB164&gt;0, $BD164&gt;0), 1, 0)</f>
        <v>1</v>
      </c>
      <c r="D164" s="604">
        <f>IF(OR($BE164&gt;0, $BG164&gt;0), 1, 0)</f>
        <v>1</v>
      </c>
      <c r="E164" s="604">
        <f>IF(OR($BH164&gt;0, $BJ164&gt;0), 1, 0)</f>
        <v>0</v>
      </c>
      <c r="F164" s="604">
        <f>IF(OR($BK164&gt;0, $BM164&gt;0), 1, 0)</f>
        <v>0</v>
      </c>
      <c r="G164" s="604">
        <f>IF(OR($BN164&gt;0, $BP164&gt;0), 1, 0)</f>
        <v>0</v>
      </c>
      <c r="H164" s="604">
        <f>IF(OR($BQ164&gt;0, $BS164&gt;0), 1, 0)</f>
        <v>0</v>
      </c>
      <c r="I164" s="604">
        <f>IF(OR($BT164&gt;0, $BV164&gt;0), 1, 0)</f>
        <v>0</v>
      </c>
      <c r="J164" s="604">
        <f>IF(OR($BW164&gt;0, $BY164&gt;0), 1, 0)</f>
        <v>0</v>
      </c>
      <c r="K164" s="604">
        <f>IF(OR($BZ164&gt;0, $CB164&gt;0), 1, 0)</f>
        <v>0</v>
      </c>
      <c r="L164" s="604">
        <f>IF(OR($CC164&gt;0, $CE164&gt;0), 1, 0)</f>
        <v>0</v>
      </c>
      <c r="M164" s="604">
        <f>IF(OR($CF164&gt;0, $CH164&gt;0), 1, 0)</f>
        <v>0</v>
      </c>
      <c r="N164" s="604">
        <f>IF(OR($CI164&gt;0, $CK164&gt;0), 1, 0)</f>
        <v>0</v>
      </c>
      <c r="O164" s="604">
        <f>IF(OR($CL164&gt;0, $CN164&gt;0), 1, 0)</f>
        <v>0</v>
      </c>
      <c r="P164" s="604">
        <f>IF(OR($CO164&gt;0, $CQ164&gt;0), 1, 0)</f>
        <v>0</v>
      </c>
      <c r="Q164" s="604">
        <f>IF(OR($CR164&gt;0, $CT164&gt;0), 1, 0)</f>
        <v>0</v>
      </c>
      <c r="R164" s="604">
        <f>IF(OR($CU164&gt;0, $CW164&gt;0), 1, 0)</f>
        <v>0</v>
      </c>
      <c r="S164" s="604">
        <f>IF(OR($CX164&gt;0, $CZ164&gt;0), 1, 0)</f>
        <v>0</v>
      </c>
      <c r="T164" s="604">
        <f>IF(OR($DA164&gt;0, $DC164&gt;0), 1, 0)</f>
        <v>0</v>
      </c>
      <c r="U164" s="603">
        <f>IF(OR($AI164&gt;0,$AM164&gt;0,$AS164&gt;0), 1, 0)</f>
        <v>1</v>
      </c>
      <c r="V164" s="602">
        <f>[1]BDD!A154</f>
        <v>6198</v>
      </c>
      <c r="W164" s="601" t="str">
        <f>[1]BDD!B154</f>
        <v>Mangue Keitt BIO (grandes brûlures sur la peau, chair intacte, BIO depuis 1985, BIO Suisse depuis 2009)</v>
      </c>
      <c r="X164" s="600" t="str">
        <f>IF([1]BDD!F154=0, "", [1]BDD!F154)</f>
        <v>OFFRE</v>
      </c>
      <c r="Y164" s="542">
        <f>ROUND([1]BDD!G154+FDP_CMD_KG, 2)</f>
        <v>2.66</v>
      </c>
      <c r="Z164" s="542">
        <f>ROUND([1]BDD!G154+FDP_FACT_KG, 2)</f>
        <v>2.66</v>
      </c>
      <c r="AA164" s="543" t="str">
        <f>[1]BDD!H154</f>
        <v>kg</v>
      </c>
      <c r="AB164" s="544">
        <f>IF(NOT(ISBLANK([1]BDD!I154)), ROUND(SUM(([1]BDD!G154*reduc1),FDP_CMD_KG), 2), "")</f>
        <v>2.48</v>
      </c>
      <c r="AC164" s="544">
        <f>IF(NOT(ISBLANK([1]BDD!J154)), ROUND(SUM(([1]BDD!G154*reduc2),FDP_CMD_KG), 2), "")</f>
        <v>2.31</v>
      </c>
      <c r="AD164" s="544">
        <f>IF(NOT(ISBLANK([1]BDD!K154)), ROUND(SUM(([1]BDD!G154*reduc3),FDP_CMD_KG), 2), "")</f>
        <v>2.13</v>
      </c>
      <c r="AE164" s="544">
        <f>IF(NOT(ISBLANK([1]BDD!I154)), ROUND(SUM(([1]BDD!G154*reduc1),FDP_FACT_KG), 2), "")</f>
        <v>2.48</v>
      </c>
      <c r="AF164" s="544">
        <f>IF(NOT(ISBLANK([1]BDD!J154)), ROUND(SUM(([1]BDD!G154*reduc2),FDP_FACT_KG), 2), "")</f>
        <v>2.2999999999999998</v>
      </c>
      <c r="AG164" s="544">
        <f>IF(NOT(ISBLANK([1]BDD!K154)), ROUND(SUM(([1]BDD!G154*reduc3),FDP_FACT_KG), 2), "")</f>
        <v>2.12</v>
      </c>
      <c r="AH164" s="599" t="str">
        <f>[1]BDD!C154</f>
        <v>Malaga</v>
      </c>
      <c r="AI164" s="598">
        <f>SUM(AV164,AY164,BB164,BE164,BH164,BK164,BN164,BQ164,BT164,BW164,BZ164,CC164,CF164,CI164,CL164,CO164,CR164,CU164,CX164,DA164)</f>
        <v>15</v>
      </c>
      <c r="AJ164" s="545">
        <f>_xlfn.IFS($AD164&lt;&gt;"", $AD164,    $AC164&lt;&gt;"", $AC164,    $AB164&lt;&gt;"", $AB164,    TRUE, $Y164)</f>
        <v>2.13</v>
      </c>
      <c r="AK164" s="592">
        <f>$AI164*$AJ164</f>
        <v>31.95</v>
      </c>
      <c r="AL164" s="594"/>
      <c r="AM164" s="597">
        <v>5.55</v>
      </c>
      <c r="AN164" s="545">
        <f>_xlfn.IFS(AND(AM164&gt;=60,$AG164&lt;&gt;""), $AG164,    AND(AM164&gt;=30,$AF164&lt;&gt;""), $AF164,    AND(AM164&gt;=10,$AE164&lt;&gt;""), $AE164,    TRUE, $Z164)</f>
        <v>2.66</v>
      </c>
      <c r="AO164" s="596">
        <f>AM164*AN164</f>
        <v>14.763</v>
      </c>
      <c r="AP164" s="595">
        <v>1</v>
      </c>
      <c r="AQ164" s="595"/>
      <c r="AR164" s="594"/>
      <c r="AS164" s="593">
        <f>SUM(AW164,AZ164,BC164,BF164,BI164,BL164,BO164,BR164,BU164,BX164,CA164,CD164,CG164,CJ164,CM164,CP164,CS164,CV164,CY164,DB164)</f>
        <v>5.5500000000000007</v>
      </c>
      <c r="AT164" s="545">
        <f>_xlfn.IFS(AND(AS164&gt;=60,$AG164&lt;&gt;""), $AG164,    AND(AS164&gt;=30,$AF164&lt;&gt;""), $AF164,    AND(AS164&gt;=10,$AE164&lt;&gt;""), $AE164,    TRUE, $Z164)</f>
        <v>2.66</v>
      </c>
      <c r="AU164" s="592">
        <f>$AS164*$AT164</f>
        <v>14.763000000000003</v>
      </c>
      <c r="AV164" s="591">
        <f>[1]COMMANDE!O162</f>
        <v>10</v>
      </c>
      <c r="AW164" s="586">
        <f>_xlfn.IFS(AND($AI164=$AM164,$AI164&gt;0,$AM164&gt;0,AV164&gt;0), AV164,     AND(NOT($AI164=$AM164),$AI164&gt;0,$AM164&gt;0,AV164&gt;0), ($AM164*AV164)/$AI164,     AND($AI164=0,$AM164&gt;0,$AQ164&gt;0), IF(INDEX(AV$12:AV$263,MATCH($AQ164,$AP$12:$AP$263,0))&gt;0,($AM164*INDEX(AV$12:AV$263,MATCH($AQ164,$AP$12:$AP$263,0)))/INDEX($AI$12:$AI$263,MATCH($AQ164,$AP$12:$AP$263,0)), "-"),     TRUE, "0")</f>
        <v>3.7</v>
      </c>
      <c r="AX164" s="588">
        <f>IF(AW$9&gt;0, IF(OR(AW164="",AW164="-"), 0, AW164*$AT164), AV164*$AJ164)</f>
        <v>9.8420000000000005</v>
      </c>
      <c r="AY164" s="587">
        <f>[1]COMMANDE!Q162</f>
        <v>0</v>
      </c>
      <c r="AZ164" s="586" t="str">
        <f>_xlfn.IFS(AND($AI164=$AM164,$AI164&gt;0,$AM164&gt;0,AY164&gt;0), AY164,     AND(NOT($AI164=$AM164),$AI164&gt;0,$AM164&gt;0,AY164&gt;0), ($AM164*AY164)/$AI164,     AND($AI164=0,$AM164&gt;0,$AQ164&gt;0), IF(INDEX(AY$12:AY$263,MATCH($AQ164,$AP$12:$AP$263,0))&gt;0,($AM164*INDEX(AY$12:AY$263,MATCH($AQ164,$AP$12:$AP$263,0)))/INDEX($AI$12:$AI$263,MATCH($AQ164,$AP$12:$AP$263,0)), "-"),     TRUE, "0")</f>
        <v>0</v>
      </c>
      <c r="BA164" s="607">
        <f>IF(AZ$9&gt;0, IF(OR(AZ164="",AZ164="-"), 0, AZ164*$AT164), AY164*$AJ164)</f>
        <v>0</v>
      </c>
      <c r="BB164" s="589">
        <f>[1]COMMANDE!S162</f>
        <v>3</v>
      </c>
      <c r="BC164" s="586">
        <f>_xlfn.IFS(AND($AI164=$AM164,$AI164&gt;0,$AM164&gt;0,BB164&gt;0), BB164,     AND(NOT($AI164=$AM164),$AI164&gt;0,$AM164&gt;0,BB164&gt;0), ($AM164*BB164)/$AI164,     AND($AI164=0,$AM164&gt;0,$AQ164&gt;0), IF(INDEX(BB$12:BB$263,MATCH($AQ164,$AP$12:$AP$263,0))&gt;0,($AM164*INDEX(BB$12:BB$263,MATCH($AQ164,$AP$12:$AP$263,0)))/INDEX($AI$12:$AI$263,MATCH($AQ164,$AP$12:$AP$263,0)), "-"),     TRUE, "0")</f>
        <v>1.1099999999999999</v>
      </c>
      <c r="BD164" s="588">
        <f>IF(BC$9&gt;0, IF(OR(BC164="",BC164="-"), 0, BC164*$AT164), BB164*$AJ164)</f>
        <v>2.9525999999999999</v>
      </c>
      <c r="BE164" s="587">
        <f>[1]COMMANDE!U162</f>
        <v>2</v>
      </c>
      <c r="BF164" s="586">
        <f>_xlfn.IFS(AND($AI164=$AM164,$AI164&gt;0,$AM164&gt;0,BE164&gt;0), BE164,     AND(NOT($AI164=$AM164),$AI164&gt;0,$AM164&gt;0,BE164&gt;0), ($AM164*BE164)/$AI164,     AND($AI164=0,$AM164&gt;0,$AQ164&gt;0), IF(INDEX(BE$12:BE$263,MATCH($AQ164,$AP$12:$AP$263,0))&gt;0,($AM164*INDEX(BE$12:BE$263,MATCH($AQ164,$AP$12:$AP$263,0)))/INDEX($AI$12:$AI$263,MATCH($AQ164,$AP$12:$AP$263,0)), "-"),     TRUE, "0")</f>
        <v>0.74</v>
      </c>
      <c r="BG164" s="607">
        <f>IF(BF$9&gt;0, IF(OR(BF164="",BF164="-"), 0, BF164*$AT164), BE164*$AJ164)</f>
        <v>1.9684000000000001</v>
      </c>
      <c r="BH164" s="589">
        <f>[1]COMMANDE!W162</f>
        <v>0</v>
      </c>
      <c r="BI164" s="586" t="str">
        <f>_xlfn.IFS(AND($AI164=$AM164,$AI164&gt;0,$AM164&gt;0,BH164&gt;0), BH164,     AND(NOT($AI164=$AM164),$AI164&gt;0,$AM164&gt;0,BH164&gt;0), ($AM164*BH164)/$AI164,     AND($AI164=0,$AM164&gt;0,$AQ164&gt;0), IF(INDEX(BH$12:BH$263,MATCH($AQ164,$AP$12:$AP$263,0))&gt;0,($AM164*INDEX(BH$12:BH$263,MATCH($AQ164,$AP$12:$AP$263,0)))/INDEX($AI$12:$AI$263,MATCH($AQ164,$AP$12:$AP$263,0)), "-"),     TRUE, "0")</f>
        <v>0</v>
      </c>
      <c r="BJ164" s="588">
        <f>IF(BI$9&gt;0, IF(OR(BI164="",BI164="-"), 0, BI164*$AT164), BH164*$AJ164)</f>
        <v>0</v>
      </c>
      <c r="BK164" s="587">
        <f>[1]COMMANDE!Y162</f>
        <v>0</v>
      </c>
      <c r="BL164" s="586" t="str">
        <f>_xlfn.IFS(AND($AI164=$AM164,$AI164&gt;0,$AM164&gt;0,BK164&gt;0), BK164,     AND(NOT($AI164=$AM164),$AI164&gt;0,$AM164&gt;0,BK164&gt;0), ($AM164*BK164)/$AI164,     AND($AI164=0,$AM164&gt;0,$AQ164&gt;0), IF(INDEX(BK$12:BK$263,MATCH($AQ164,$AP$12:$AP$263,0))&gt;0,($AM164*INDEX(BK$12:BK$263,MATCH($AQ164,$AP$12:$AP$263,0)))/INDEX($AI$12:$AI$263,MATCH($AQ164,$AP$12:$AP$263,0)), "-"),     TRUE, "0")</f>
        <v>0</v>
      </c>
      <c r="BM164" s="607">
        <f>IF(BL$9&gt;0, IF(OR(BL164="",BL164="-"), 0, BL164*$AT164), BK164*$AJ164)</f>
        <v>0</v>
      </c>
      <c r="BN164" s="589">
        <f>[1]COMMANDE!AA162</f>
        <v>0</v>
      </c>
      <c r="BO164" s="586" t="str">
        <f>_xlfn.IFS(AND($AI164=$AM164,$AI164&gt;0,$AM164&gt;0,BN164&gt;0), BN164,     AND(NOT($AI164=$AM164),$AI164&gt;0,$AM164&gt;0,BN164&gt;0), ($AM164*BN164)/$AI164,     AND($AI164=0,$AM164&gt;0,$AQ164&gt;0), IF(INDEX(BN$12:BN$263,MATCH($AQ164,$AP$12:$AP$263,0))&gt;0,($AM164*INDEX(BN$12:BN$263,MATCH($AQ164,$AP$12:$AP$263,0)))/INDEX($AI$12:$AI$263,MATCH($AQ164,$AP$12:$AP$263,0)), "-"),     TRUE, "0")</f>
        <v>0</v>
      </c>
      <c r="BP164" s="588">
        <f>IF(BO$9&gt;0, IF(OR(BO164="",BO164="-"), 0, BO164*$AT164), BN164*$AJ164)</f>
        <v>0</v>
      </c>
      <c r="BQ164" s="587">
        <f>[1]COMMANDE!AC162</f>
        <v>0</v>
      </c>
      <c r="BR164" s="586" t="str">
        <f>_xlfn.IFS(AND($AI164=$AM164,$AI164&gt;0,$AM164&gt;0,BQ164&gt;0), BQ164,     AND(NOT($AI164=$AM164),$AI164&gt;0,$AM164&gt;0,BQ164&gt;0), ($AM164*BQ164)/$AI164,     AND($AI164=0,$AM164&gt;0,$AQ164&gt;0), IF(INDEX(BQ$12:BQ$263,MATCH($AQ164,$AP$12:$AP$263,0))&gt;0,($AM164*INDEX(BQ$12:BQ$263,MATCH($AQ164,$AP$12:$AP$263,0)))/INDEX($AI$12:$AI$263,MATCH($AQ164,$AP$12:$AP$263,0)), "-"),     TRUE, "0")</f>
        <v>0</v>
      </c>
      <c r="BS164" s="607">
        <f>IF(BR$9&gt;0, IF(OR(BR164="",BR164="-"), 0, BR164*$AT164), BQ164*$AJ164)</f>
        <v>0</v>
      </c>
      <c r="BT164" s="589">
        <f>[1]COMMANDE!AE162</f>
        <v>0</v>
      </c>
      <c r="BU164" s="586" t="str">
        <f>_xlfn.IFS(AND($AI164=$AM164,$AI164&gt;0,$AM164&gt;0,BT164&gt;0), BT164,     AND(NOT($AI164=$AM164),$AI164&gt;0,$AM164&gt;0,BT164&gt;0), ($AM164*BT164)/$AI164,     AND($AI164=0,$AM164&gt;0,$AQ164&gt;0), IF(INDEX(BT$12:BT$263,MATCH($AQ164,$AP$12:$AP$263,0))&gt;0,($AM164*INDEX(BT$12:BT$263,MATCH($AQ164,$AP$12:$AP$263,0)))/INDEX($AI$12:$AI$263,MATCH($AQ164,$AP$12:$AP$263,0)), "-"),     TRUE, "0")</f>
        <v>0</v>
      </c>
      <c r="BV164" s="588">
        <f>IF(BU$9&gt;0, IF(OR(BU164="",BU164="-"), 0, BU164*$AT164), BT164*$AJ164)</f>
        <v>0</v>
      </c>
      <c r="BW164" s="587">
        <f>[1]COMMANDE!AG162</f>
        <v>0</v>
      </c>
      <c r="BX164" s="586" t="str">
        <f>_xlfn.IFS(AND($AI164=$AM164,$AI164&gt;0,$AM164&gt;0,BW164&gt;0), BW164,     AND(NOT($AI164=$AM164),$AI164&gt;0,$AM164&gt;0,BW164&gt;0), ($AM164*BW164)/$AI164,     AND($AI164=0,$AM164&gt;0,$AQ164&gt;0), IF(INDEX(BW$12:BW$263,MATCH($AQ164,$AP$12:$AP$263,0))&gt;0,($AM164*INDEX(BW$12:BW$263,MATCH($AQ164,$AP$12:$AP$263,0)))/INDEX($AI$12:$AI$263,MATCH($AQ164,$AP$12:$AP$263,0)), "-"),     TRUE, "0")</f>
        <v>0</v>
      </c>
      <c r="BY164" s="607">
        <f>IF(BX$9&gt;0, IF(OR(BX164="",BX164="-"), 0, BX164*$AT164), BW164*$AJ164)</f>
        <v>0</v>
      </c>
      <c r="BZ164" s="589">
        <f>[1]COMMANDE!AI162</f>
        <v>0</v>
      </c>
      <c r="CA164" s="586" t="str">
        <f>_xlfn.IFS(AND($AI164=$AM164,$AI164&gt;0,$AM164&gt;0,BZ164&gt;0), BZ164,     AND(NOT($AI164=$AM164),$AI164&gt;0,$AM164&gt;0,BZ164&gt;0), ($AM164*BZ164)/$AI164,     AND($AI164=0,$AM164&gt;0,$AQ164&gt;0), IF(INDEX(BZ$12:BZ$263,MATCH($AQ164,$AP$12:$AP$263,0))&gt;0,($AM164*INDEX(BZ$12:BZ$263,MATCH($AQ164,$AP$12:$AP$263,0)))/INDEX($AI$12:$AI$263,MATCH($AQ164,$AP$12:$AP$263,0)), "-"),     TRUE, "0")</f>
        <v>0</v>
      </c>
      <c r="CB164" s="588">
        <f>IF(CA$9&gt;0, IF(OR(CA164="",CA164="-"), 0, CA164*$AT164), BZ164*$AJ164)</f>
        <v>0</v>
      </c>
      <c r="CC164" s="587">
        <f>[1]COMMANDE!AK162</f>
        <v>0</v>
      </c>
      <c r="CD164" s="586" t="str">
        <f>_xlfn.IFS(AND($AI164=$AM164,$AI164&gt;0,$AM164&gt;0,CC164&gt;0), CC164,     AND(NOT($AI164=$AM164),$AI164&gt;0,$AM164&gt;0,CC164&gt;0), ($AM164*CC164)/$AI164,     AND($AI164=0,$AM164&gt;0,$AQ164&gt;0), IF(INDEX(CC$12:CC$263,MATCH($AQ164,$AP$12:$AP$263,0))&gt;0,($AM164*INDEX(CC$12:CC$263,MATCH($AQ164,$AP$12:$AP$263,0)))/INDEX($AI$12:$AI$263,MATCH($AQ164,$AP$12:$AP$263,0)), "-"),     TRUE, "0")</f>
        <v>0</v>
      </c>
      <c r="CE164" s="607">
        <f>IF(CD$9&gt;0, IF(OR(CD164="",CD164="-"), 0, CD164*$AT164), CC164*$AJ164)</f>
        <v>0</v>
      </c>
      <c r="CF164" s="589">
        <f>[1]COMMANDE!AM162</f>
        <v>0</v>
      </c>
      <c r="CG164" s="586" t="str">
        <f>_xlfn.IFS(AND($AI164=$AM164,$AI164&gt;0,$AM164&gt;0,CF164&gt;0), CF164,     AND(NOT($AI164=$AM164),$AI164&gt;0,$AM164&gt;0,CF164&gt;0), ($AM164*CF164)/$AI164,     AND($AI164=0,$AM164&gt;0,$AQ164&gt;0), IF(INDEX(CF$12:CF$263,MATCH($AQ164,$AP$12:$AP$263,0))&gt;0,($AM164*INDEX(CF$12:CF$263,MATCH($AQ164,$AP$12:$AP$263,0)))/INDEX($AI$12:$AI$263,MATCH($AQ164,$AP$12:$AP$263,0)), "-"),     TRUE, "0")</f>
        <v>0</v>
      </c>
      <c r="CH164" s="588">
        <f>IF(CG$9&gt;0, IF(OR(CG164="",CG164="-"), 0, CG164*$AT164), CF164*$AJ164)</f>
        <v>0</v>
      </c>
      <c r="CI164" s="587">
        <f>[1]COMMANDE!AO162</f>
        <v>0</v>
      </c>
      <c r="CJ164" s="586" t="str">
        <f>_xlfn.IFS(AND($AI164=$AM164,$AI164&gt;0,$AM164&gt;0,CI164&gt;0), CI164,     AND(NOT($AI164=$AM164),$AI164&gt;0,$AM164&gt;0,CI164&gt;0), ($AM164*CI164)/$AI164,     AND($AI164=0,$AM164&gt;0,$AQ164&gt;0), IF(INDEX(CI$12:CI$263,MATCH($AQ164,$AP$12:$AP$263,0))&gt;0,($AM164*INDEX(CI$12:CI$263,MATCH($AQ164,$AP$12:$AP$263,0)))/INDEX($AI$12:$AI$263,MATCH($AQ164,$AP$12:$AP$263,0)), "-"),     TRUE, "0")</f>
        <v>0</v>
      </c>
      <c r="CK164" s="607">
        <f>IF(CJ$9&gt;0, IF(OR(CJ164="",CJ164="-"), 0, CJ164*$AT164), CI164*$AJ164)</f>
        <v>0</v>
      </c>
      <c r="CL164" s="589">
        <f>[1]COMMANDE!AQ162</f>
        <v>0</v>
      </c>
      <c r="CM164" s="586" t="str">
        <f>_xlfn.IFS(AND($AI164=$AM164,$AI164&gt;0,$AM164&gt;0,CL164&gt;0), CL164,     AND(NOT($AI164=$AM164),$AI164&gt;0,$AM164&gt;0,CL164&gt;0), ($AM164*CL164)/$AI164,     AND($AI164=0,$AM164&gt;0,$AQ164&gt;0), IF(INDEX(CL$12:CL$263,MATCH($AQ164,$AP$12:$AP$263,0))&gt;0,($AM164*INDEX(CL$12:CL$263,MATCH($AQ164,$AP$12:$AP$263,0)))/INDEX($AI$12:$AI$263,MATCH($AQ164,$AP$12:$AP$263,0)), "-"),     TRUE, "0")</f>
        <v>0</v>
      </c>
      <c r="CN164" s="588">
        <f>IF(CM$9&gt;0, IF(OR(CM164="",CM164="-"), 0, CM164*$AT164), CL164*$AJ164)</f>
        <v>0</v>
      </c>
      <c r="CO164" s="587">
        <f>[1]COMMANDE!AS162</f>
        <v>0</v>
      </c>
      <c r="CP164" s="586" t="str">
        <f>_xlfn.IFS(AND($AI164=$AM164,$AI164&gt;0,$AM164&gt;0,CO164&gt;0), CO164,     AND(NOT($AI164=$AM164),$AI164&gt;0,$AM164&gt;0,CO164&gt;0), ($AM164*CO164)/$AI164,     AND($AI164=0,$AM164&gt;0,$AQ164&gt;0), IF(INDEX(CO$12:CO$263,MATCH($AQ164,$AP$12:$AP$263,0))&gt;0,($AM164*INDEX(CO$12:CO$263,MATCH($AQ164,$AP$12:$AP$263,0)))/INDEX($AI$12:$AI$263,MATCH($AQ164,$AP$12:$AP$263,0)), "-"),     TRUE, "0")</f>
        <v>0</v>
      </c>
      <c r="CQ164" s="607">
        <f>IF(CP$9&gt;0, IF(OR(CP164="",CP164="-"), 0, CP164*$AT164), CO164*$AJ164)</f>
        <v>0</v>
      </c>
      <c r="CR164" s="589">
        <f>[1]COMMANDE!AU162</f>
        <v>0</v>
      </c>
      <c r="CS164" s="586" t="str">
        <f>_xlfn.IFS(AND($AI164=$AM164,$AI164&gt;0,$AM164&gt;0,CR164&gt;0), CR164,     AND(NOT($AI164=$AM164),$AI164&gt;0,$AM164&gt;0,CR164&gt;0), ($AM164*CR164)/$AI164,     AND($AI164=0,$AM164&gt;0,$AQ164&gt;0), IF(INDEX(CR$12:CR$263,MATCH($AQ164,$AP$12:$AP$263,0))&gt;0,($AM164*INDEX(CR$12:CR$263,MATCH($AQ164,$AP$12:$AP$263,0)))/INDEX($AI$12:$AI$263,MATCH($AQ164,$AP$12:$AP$263,0)), "-"),     TRUE, "0")</f>
        <v>0</v>
      </c>
      <c r="CT164" s="588">
        <f>IF(CS$9&gt;0, IF(OR(CS164="",CS164="-"), 0, CS164*$AT164), CR164*$AJ164)</f>
        <v>0</v>
      </c>
      <c r="CU164" s="587">
        <f>[1]COMMANDE!AW162</f>
        <v>0</v>
      </c>
      <c r="CV164" s="586" t="str">
        <f>_xlfn.IFS(AND($AI164=$AM164,$AI164&gt;0,$AM164&gt;0,CU164&gt;0), CU164,     AND(NOT($AI164=$AM164),$AI164&gt;0,$AM164&gt;0,CU164&gt;0), ($AM164*CU164)/$AI164,     AND($AI164=0,$AM164&gt;0,$AQ164&gt;0), IF(INDEX(CU$12:CU$263,MATCH($AQ164,$AP$12:$AP$263,0))&gt;0,($AM164*INDEX(CU$12:CU$263,MATCH($AQ164,$AP$12:$AP$263,0)))/INDEX($AI$12:$AI$263,MATCH($AQ164,$AP$12:$AP$263,0)), "-"),     TRUE, "0")</f>
        <v>0</v>
      </c>
      <c r="CW164" s="607">
        <f>IF(CV$9&gt;0, IF(OR(CV164="",CV164="-"), 0, CV164*$AT164), CU164*$AJ164)</f>
        <v>0</v>
      </c>
      <c r="CX164" s="589">
        <f>[1]COMMANDE!AY162</f>
        <v>0</v>
      </c>
      <c r="CY164" s="586" t="str">
        <f>_xlfn.IFS(AND($AI164=$AM164,$AI164&gt;0,$AM164&gt;0,CX164&gt;0), CX164,     AND(NOT($AI164=$AM164),$AI164&gt;0,$AM164&gt;0,CX164&gt;0), ($AM164*CX164)/$AI164,     AND($AI164=0,$AM164&gt;0,$AQ164&gt;0), IF(INDEX(CX$12:CX$263,MATCH($AQ164,$AP$12:$AP$263,0))&gt;0,($AM164*INDEX(CX$12:CX$263,MATCH($AQ164,$AP$12:$AP$263,0)))/INDEX($AI$12:$AI$263,MATCH($AQ164,$AP$12:$AP$263,0)), "-"),     TRUE, "0")</f>
        <v>0</v>
      </c>
      <c r="CZ164" s="588">
        <f>IF(CY$9&gt;0, IF(OR(CY164="",CY164="-"), 0, CY164*$AT164), CX164*$AJ164)</f>
        <v>0</v>
      </c>
      <c r="DA164" s="587">
        <f>[1]COMMANDE!BA162</f>
        <v>0</v>
      </c>
      <c r="DB164" s="586" t="str">
        <f>_xlfn.IFS(AND($AI164=$AM164,$AI164&gt;0,$AM164&gt;0,DA164&gt;0), DA164,     AND(NOT($AI164=$AM164),$AI164&gt;0,$AM164&gt;0,DA164&gt;0), ($AM164*DA164)/$AI164,     AND($AI164=0,$AM164&gt;0,$AQ164&gt;0), IF(INDEX(DA$12:DA$263,MATCH($AQ164,$AP$12:$AP$263,0))&gt;0,($AM164*INDEX(DA$12:DA$263,MATCH($AQ164,$AP$12:$AP$263,0)))/INDEX($AI$12:$AI$263,MATCH($AQ164,$AP$12:$AP$263,0)), "-"),     TRUE, "0")</f>
        <v>0</v>
      </c>
      <c r="DC164" s="606">
        <f>IF(DB$9&gt;0, IF(OR(DB164="",DB164="-"), 0, DB164*$AT164), DA164*$AJ164)</f>
        <v>0</v>
      </c>
      <c r="DD164" s="584"/>
      <c r="DE164" s="583"/>
    </row>
    <row r="165" spans="1:109" ht="39.950000000000003" hidden="1" customHeight="1">
      <c r="A165" s="604">
        <f>IF(OR($AV165&gt;0, $AX165&gt;0), 1, 0)</f>
        <v>0</v>
      </c>
      <c r="B165" s="604">
        <f>IF(OR($AY165&gt;0, $BA165&gt;0), 1, 0)</f>
        <v>0</v>
      </c>
      <c r="C165" s="604">
        <f>IF(OR($BB165&gt;0, $BD165&gt;0), 1, 0)</f>
        <v>0</v>
      </c>
      <c r="D165" s="604">
        <f>IF(OR($BE165&gt;0, $BG165&gt;0), 1, 0)</f>
        <v>0</v>
      </c>
      <c r="E165" s="604">
        <f>IF(OR($BH165&gt;0, $BJ165&gt;0), 1, 0)</f>
        <v>0</v>
      </c>
      <c r="F165" s="604">
        <f>IF(OR($BK165&gt;0, $BM165&gt;0), 1, 0)</f>
        <v>0</v>
      </c>
      <c r="G165" s="604">
        <f>IF(OR($BN165&gt;0, $BP165&gt;0), 1, 0)</f>
        <v>0</v>
      </c>
      <c r="H165" s="604">
        <f>IF(OR($BQ165&gt;0, $BS165&gt;0), 1, 0)</f>
        <v>0</v>
      </c>
      <c r="I165" s="604">
        <f>IF(OR($BT165&gt;0, $BV165&gt;0), 1, 0)</f>
        <v>0</v>
      </c>
      <c r="J165" s="604">
        <f>IF(OR($BW165&gt;0, $BY165&gt;0), 1, 0)</f>
        <v>0</v>
      </c>
      <c r="K165" s="604">
        <f>IF(OR($BZ165&gt;0, $CB165&gt;0), 1, 0)</f>
        <v>0</v>
      </c>
      <c r="L165" s="604">
        <f>IF(OR($CC165&gt;0, $CE165&gt;0), 1, 0)</f>
        <v>0</v>
      </c>
      <c r="M165" s="604">
        <f>IF(OR($CF165&gt;0, $CH165&gt;0), 1, 0)</f>
        <v>0</v>
      </c>
      <c r="N165" s="604">
        <f>IF(OR($CI165&gt;0, $CK165&gt;0), 1, 0)</f>
        <v>0</v>
      </c>
      <c r="O165" s="604">
        <f>IF(OR($CL165&gt;0, $CN165&gt;0), 1, 0)</f>
        <v>0</v>
      </c>
      <c r="P165" s="604">
        <f>IF(OR($CO165&gt;0, $CQ165&gt;0), 1, 0)</f>
        <v>0</v>
      </c>
      <c r="Q165" s="604">
        <f>IF(OR($CR165&gt;0, $CT165&gt;0), 1, 0)</f>
        <v>0</v>
      </c>
      <c r="R165" s="604">
        <f>IF(OR($CU165&gt;0, $CW165&gt;0), 1, 0)</f>
        <v>0</v>
      </c>
      <c r="S165" s="604">
        <f>IF(OR($CX165&gt;0, $CZ165&gt;0), 1, 0)</f>
        <v>0</v>
      </c>
      <c r="T165" s="604">
        <f>IF(OR($DA165&gt;0, $DC165&gt;0), 1, 0)</f>
        <v>0</v>
      </c>
      <c r="U165" s="603">
        <f>IF(OR($AI165&gt;0,$AM165&gt;0,$AS165&gt;0), 1, 0)</f>
        <v>0</v>
      </c>
      <c r="V165" s="602">
        <f>[1]BDD!A155</f>
        <v>6198</v>
      </c>
      <c r="W165" s="601" t="str">
        <f>[1]BDD!B155</f>
        <v>Mangue Keitt BIO (légères brûlures sur peau , chair intacte,  BIO depuis 1985, BIO Suisse depuis 2009)</v>
      </c>
      <c r="X165" s="600" t="str">
        <f>IF([1]BDD!F155=0, "", [1]BDD!F155)</f>
        <v>OFFRE</v>
      </c>
      <c r="Y165" s="542">
        <f>ROUND([1]BDD!G155+FDP_CMD_KG, 2)</f>
        <v>3.06</v>
      </c>
      <c r="Z165" s="542">
        <f>ROUND([1]BDD!G155+FDP_FACT_KG, 2)</f>
        <v>3.06</v>
      </c>
      <c r="AA165" s="543" t="str">
        <f>[1]BDD!H155</f>
        <v>kg</v>
      </c>
      <c r="AB165" s="544">
        <f>IF(NOT(ISBLANK([1]BDD!I155)), ROUND(SUM(([1]BDD!G155*reduc1),FDP_CMD_KG), 2), "")</f>
        <v>2.84</v>
      </c>
      <c r="AC165" s="544">
        <f>IF(NOT(ISBLANK([1]BDD!J155)), ROUND(SUM(([1]BDD!G155*reduc2),FDP_CMD_KG), 2), "")</f>
        <v>2.63</v>
      </c>
      <c r="AD165" s="544">
        <f>IF(NOT(ISBLANK([1]BDD!K155)), ROUND(SUM(([1]BDD!G155*reduc3),FDP_CMD_KG), 2), "")</f>
        <v>2.41</v>
      </c>
      <c r="AE165" s="544">
        <f>IF(NOT(ISBLANK([1]BDD!I155)), ROUND(SUM(([1]BDD!G155*reduc1),FDP_FACT_KG), 2), "")</f>
        <v>2.84</v>
      </c>
      <c r="AF165" s="544">
        <f>IF(NOT(ISBLANK([1]BDD!J155)), ROUND(SUM(([1]BDD!G155*reduc2),FDP_FACT_KG), 2), "")</f>
        <v>2.62</v>
      </c>
      <c r="AG165" s="544">
        <f>IF(NOT(ISBLANK([1]BDD!K155)), ROUND(SUM(([1]BDD!G155*reduc3),FDP_FACT_KG), 2), "")</f>
        <v>2.4</v>
      </c>
      <c r="AH165" s="599" t="str">
        <f>[1]BDD!C155</f>
        <v>Malaga</v>
      </c>
      <c r="AI165" s="598">
        <f>SUM(AV165,AY165,BB165,BE165,BH165,BK165,BN165,BQ165,BT165,BW165,BZ165,CC165,CF165,CI165,CL165,CO165,CR165,CU165,CX165,DA165)</f>
        <v>0</v>
      </c>
      <c r="AJ165" s="545">
        <f>_xlfn.IFS($AD165&lt;&gt;"", $AD165,    $AC165&lt;&gt;"", $AC165,    $AB165&lt;&gt;"", $AB165,    TRUE, $Y165)</f>
        <v>2.41</v>
      </c>
      <c r="AK165" s="592">
        <f>$AI165*$AJ165</f>
        <v>0</v>
      </c>
      <c r="AL165" s="594"/>
      <c r="AM165" s="597"/>
      <c r="AN165" s="545">
        <f>_xlfn.IFS(AND(AM165&gt;=60,$AG165&lt;&gt;""), $AG165,    AND(AM165&gt;=30,$AF165&lt;&gt;""), $AF165,    AND(AM165&gt;=10,$AE165&lt;&gt;""), $AE165,    TRUE, $Z165)</f>
        <v>3.06</v>
      </c>
      <c r="AO165" s="596">
        <f>AM165*AN165</f>
        <v>0</v>
      </c>
      <c r="AP165" s="595"/>
      <c r="AQ165" s="595"/>
      <c r="AR165" s="594"/>
      <c r="AS165" s="593">
        <f>SUM(AW165,AZ165,BC165,BF165,BI165,BL165,BO165,BR165,BU165,BX165,CA165,CD165,CG165,CJ165,CM165,CP165,CS165,CV165,CY165,DB165)</f>
        <v>0</v>
      </c>
      <c r="AT165" s="545">
        <f>_xlfn.IFS(AND(AS165&gt;=60,$AG165&lt;&gt;""), $AG165,    AND(AS165&gt;=30,$AF165&lt;&gt;""), $AF165,    AND(AS165&gt;=10,$AE165&lt;&gt;""), $AE165,    TRUE, $Z165)</f>
        <v>3.06</v>
      </c>
      <c r="AU165" s="592">
        <f>$AS165*$AT165</f>
        <v>0</v>
      </c>
      <c r="AV165" s="591">
        <f>[1]COMMANDE!O163</f>
        <v>0</v>
      </c>
      <c r="AW165" s="586" t="str">
        <f>_xlfn.IFS(AND($AI165=$AM165,$AI165&gt;0,$AM165&gt;0,AV165&gt;0), AV165,     AND(NOT($AI165=$AM165),$AI165&gt;0,$AM165&gt;0,AV165&gt;0), ($AM165*AV165)/$AI165,     AND($AI165=0,$AM165&gt;0,$AQ165&gt;0), IF(INDEX(AV$12:AV$263,MATCH($AQ165,$AP$12:$AP$263,0))&gt;0,($AM165*INDEX(AV$12:AV$263,MATCH($AQ165,$AP$12:$AP$263,0)))/INDEX($AI$12:$AI$263,MATCH($AQ165,$AP$12:$AP$263,0)), "-"),     TRUE, "0")</f>
        <v>0</v>
      </c>
      <c r="AX165" s="588">
        <f>IF(AW$9&gt;0, IF(OR(AW165="",AW165="-"), 0, AW165*$AT165), AV165*$AJ165)</f>
        <v>0</v>
      </c>
      <c r="AY165" s="587">
        <f>[1]COMMANDE!Q163</f>
        <v>0</v>
      </c>
      <c r="AZ165" s="586" t="str">
        <f>_xlfn.IFS(AND($AI165=$AM165,$AI165&gt;0,$AM165&gt;0,AY165&gt;0), AY165,     AND(NOT($AI165=$AM165),$AI165&gt;0,$AM165&gt;0,AY165&gt;0), ($AM165*AY165)/$AI165,     AND($AI165=0,$AM165&gt;0,$AQ165&gt;0), IF(INDEX(AY$12:AY$263,MATCH($AQ165,$AP$12:$AP$263,0))&gt;0,($AM165*INDEX(AY$12:AY$263,MATCH($AQ165,$AP$12:$AP$263,0)))/INDEX($AI$12:$AI$263,MATCH($AQ165,$AP$12:$AP$263,0)), "-"),     TRUE, "0")</f>
        <v>0</v>
      </c>
      <c r="BA165" s="607">
        <f>IF(AZ$9&gt;0, IF(OR(AZ165="",AZ165="-"), 0, AZ165*$AT165), AY165*$AJ165)</f>
        <v>0</v>
      </c>
      <c r="BB165" s="589">
        <f>[1]COMMANDE!S163</f>
        <v>0</v>
      </c>
      <c r="BC165" s="586" t="str">
        <f>_xlfn.IFS(AND($AI165=$AM165,$AI165&gt;0,$AM165&gt;0,BB165&gt;0), BB165,     AND(NOT($AI165=$AM165),$AI165&gt;0,$AM165&gt;0,BB165&gt;0), ($AM165*BB165)/$AI165,     AND($AI165=0,$AM165&gt;0,$AQ165&gt;0), IF(INDEX(BB$12:BB$263,MATCH($AQ165,$AP$12:$AP$263,0))&gt;0,($AM165*INDEX(BB$12:BB$263,MATCH($AQ165,$AP$12:$AP$263,0)))/INDEX($AI$12:$AI$263,MATCH($AQ165,$AP$12:$AP$263,0)), "-"),     TRUE, "0")</f>
        <v>0</v>
      </c>
      <c r="BD165" s="588">
        <f>IF(BC$9&gt;0, IF(OR(BC165="",BC165="-"), 0, BC165*$AT165), BB165*$AJ165)</f>
        <v>0</v>
      </c>
      <c r="BE165" s="587">
        <f>[1]COMMANDE!U163</f>
        <v>0</v>
      </c>
      <c r="BF165" s="586" t="str">
        <f>_xlfn.IFS(AND($AI165=$AM165,$AI165&gt;0,$AM165&gt;0,BE165&gt;0), BE165,     AND(NOT($AI165=$AM165),$AI165&gt;0,$AM165&gt;0,BE165&gt;0), ($AM165*BE165)/$AI165,     AND($AI165=0,$AM165&gt;0,$AQ165&gt;0), IF(INDEX(BE$12:BE$263,MATCH($AQ165,$AP$12:$AP$263,0))&gt;0,($AM165*INDEX(BE$12:BE$263,MATCH($AQ165,$AP$12:$AP$263,0)))/INDEX($AI$12:$AI$263,MATCH($AQ165,$AP$12:$AP$263,0)), "-"),     TRUE, "0")</f>
        <v>0</v>
      </c>
      <c r="BG165" s="607">
        <f>IF(BF$9&gt;0, IF(OR(BF165="",BF165="-"), 0, BF165*$AT165), BE165*$AJ165)</f>
        <v>0</v>
      </c>
      <c r="BH165" s="589">
        <f>[1]COMMANDE!W163</f>
        <v>0</v>
      </c>
      <c r="BI165" s="586" t="str">
        <f>_xlfn.IFS(AND($AI165=$AM165,$AI165&gt;0,$AM165&gt;0,BH165&gt;0), BH165,     AND(NOT($AI165=$AM165),$AI165&gt;0,$AM165&gt;0,BH165&gt;0), ($AM165*BH165)/$AI165,     AND($AI165=0,$AM165&gt;0,$AQ165&gt;0), IF(INDEX(BH$12:BH$263,MATCH($AQ165,$AP$12:$AP$263,0))&gt;0,($AM165*INDEX(BH$12:BH$263,MATCH($AQ165,$AP$12:$AP$263,0)))/INDEX($AI$12:$AI$263,MATCH($AQ165,$AP$12:$AP$263,0)), "-"),     TRUE, "0")</f>
        <v>0</v>
      </c>
      <c r="BJ165" s="588">
        <f>IF(BI$9&gt;0, IF(OR(BI165="",BI165="-"), 0, BI165*$AT165), BH165*$AJ165)</f>
        <v>0</v>
      </c>
      <c r="BK165" s="587">
        <f>[1]COMMANDE!Y163</f>
        <v>0</v>
      </c>
      <c r="BL165" s="586" t="str">
        <f>_xlfn.IFS(AND($AI165=$AM165,$AI165&gt;0,$AM165&gt;0,BK165&gt;0), BK165,     AND(NOT($AI165=$AM165),$AI165&gt;0,$AM165&gt;0,BK165&gt;0), ($AM165*BK165)/$AI165,     AND($AI165=0,$AM165&gt;0,$AQ165&gt;0), IF(INDEX(BK$12:BK$263,MATCH($AQ165,$AP$12:$AP$263,0))&gt;0,($AM165*INDEX(BK$12:BK$263,MATCH($AQ165,$AP$12:$AP$263,0)))/INDEX($AI$12:$AI$263,MATCH($AQ165,$AP$12:$AP$263,0)), "-"),     TRUE, "0")</f>
        <v>0</v>
      </c>
      <c r="BM165" s="607">
        <f>IF(BL$9&gt;0, IF(OR(BL165="",BL165="-"), 0, BL165*$AT165), BK165*$AJ165)</f>
        <v>0</v>
      </c>
      <c r="BN165" s="589">
        <f>[1]COMMANDE!AA163</f>
        <v>0</v>
      </c>
      <c r="BO165" s="586" t="str">
        <f>_xlfn.IFS(AND($AI165=$AM165,$AI165&gt;0,$AM165&gt;0,BN165&gt;0), BN165,     AND(NOT($AI165=$AM165),$AI165&gt;0,$AM165&gt;0,BN165&gt;0), ($AM165*BN165)/$AI165,     AND($AI165=0,$AM165&gt;0,$AQ165&gt;0), IF(INDEX(BN$12:BN$263,MATCH($AQ165,$AP$12:$AP$263,0))&gt;0,($AM165*INDEX(BN$12:BN$263,MATCH($AQ165,$AP$12:$AP$263,0)))/INDEX($AI$12:$AI$263,MATCH($AQ165,$AP$12:$AP$263,0)), "-"),     TRUE, "0")</f>
        <v>0</v>
      </c>
      <c r="BP165" s="588">
        <f>IF(BO$9&gt;0, IF(OR(BO165="",BO165="-"), 0, BO165*$AT165), BN165*$AJ165)</f>
        <v>0</v>
      </c>
      <c r="BQ165" s="587">
        <f>[1]COMMANDE!AC163</f>
        <v>0</v>
      </c>
      <c r="BR165" s="586" t="str">
        <f>_xlfn.IFS(AND($AI165=$AM165,$AI165&gt;0,$AM165&gt;0,BQ165&gt;0), BQ165,     AND(NOT($AI165=$AM165),$AI165&gt;0,$AM165&gt;0,BQ165&gt;0), ($AM165*BQ165)/$AI165,     AND($AI165=0,$AM165&gt;0,$AQ165&gt;0), IF(INDEX(BQ$12:BQ$263,MATCH($AQ165,$AP$12:$AP$263,0))&gt;0,($AM165*INDEX(BQ$12:BQ$263,MATCH($AQ165,$AP$12:$AP$263,0)))/INDEX($AI$12:$AI$263,MATCH($AQ165,$AP$12:$AP$263,0)), "-"),     TRUE, "0")</f>
        <v>0</v>
      </c>
      <c r="BS165" s="607">
        <f>IF(BR$9&gt;0, IF(OR(BR165="",BR165="-"), 0, BR165*$AT165), BQ165*$AJ165)</f>
        <v>0</v>
      </c>
      <c r="BT165" s="589">
        <f>[1]COMMANDE!AE163</f>
        <v>0</v>
      </c>
      <c r="BU165" s="586" t="str">
        <f>_xlfn.IFS(AND($AI165=$AM165,$AI165&gt;0,$AM165&gt;0,BT165&gt;0), BT165,     AND(NOT($AI165=$AM165),$AI165&gt;0,$AM165&gt;0,BT165&gt;0), ($AM165*BT165)/$AI165,     AND($AI165=0,$AM165&gt;0,$AQ165&gt;0), IF(INDEX(BT$12:BT$263,MATCH($AQ165,$AP$12:$AP$263,0))&gt;0,($AM165*INDEX(BT$12:BT$263,MATCH($AQ165,$AP$12:$AP$263,0)))/INDEX($AI$12:$AI$263,MATCH($AQ165,$AP$12:$AP$263,0)), "-"),     TRUE, "0")</f>
        <v>0</v>
      </c>
      <c r="BV165" s="588">
        <f>IF(BU$9&gt;0, IF(OR(BU165="",BU165="-"), 0, BU165*$AT165), BT165*$AJ165)</f>
        <v>0</v>
      </c>
      <c r="BW165" s="587">
        <f>[1]COMMANDE!AG163</f>
        <v>0</v>
      </c>
      <c r="BX165" s="586" t="str">
        <f>_xlfn.IFS(AND($AI165=$AM165,$AI165&gt;0,$AM165&gt;0,BW165&gt;0), BW165,     AND(NOT($AI165=$AM165),$AI165&gt;0,$AM165&gt;0,BW165&gt;0), ($AM165*BW165)/$AI165,     AND($AI165=0,$AM165&gt;0,$AQ165&gt;0), IF(INDEX(BW$12:BW$263,MATCH($AQ165,$AP$12:$AP$263,0))&gt;0,($AM165*INDEX(BW$12:BW$263,MATCH($AQ165,$AP$12:$AP$263,0)))/INDEX($AI$12:$AI$263,MATCH($AQ165,$AP$12:$AP$263,0)), "-"),     TRUE, "0")</f>
        <v>0</v>
      </c>
      <c r="BY165" s="607">
        <f>IF(BX$9&gt;0, IF(OR(BX165="",BX165="-"), 0, BX165*$AT165), BW165*$AJ165)</f>
        <v>0</v>
      </c>
      <c r="BZ165" s="589">
        <f>[1]COMMANDE!AI163</f>
        <v>0</v>
      </c>
      <c r="CA165" s="586" t="str">
        <f>_xlfn.IFS(AND($AI165=$AM165,$AI165&gt;0,$AM165&gt;0,BZ165&gt;0), BZ165,     AND(NOT($AI165=$AM165),$AI165&gt;0,$AM165&gt;0,BZ165&gt;0), ($AM165*BZ165)/$AI165,     AND($AI165=0,$AM165&gt;0,$AQ165&gt;0), IF(INDEX(BZ$12:BZ$263,MATCH($AQ165,$AP$12:$AP$263,0))&gt;0,($AM165*INDEX(BZ$12:BZ$263,MATCH($AQ165,$AP$12:$AP$263,0)))/INDEX($AI$12:$AI$263,MATCH($AQ165,$AP$12:$AP$263,0)), "-"),     TRUE, "0")</f>
        <v>0</v>
      </c>
      <c r="CB165" s="588">
        <f>IF(CA$9&gt;0, IF(OR(CA165="",CA165="-"), 0, CA165*$AT165), BZ165*$AJ165)</f>
        <v>0</v>
      </c>
      <c r="CC165" s="587">
        <f>[1]COMMANDE!AK163</f>
        <v>0</v>
      </c>
      <c r="CD165" s="586" t="str">
        <f>_xlfn.IFS(AND($AI165=$AM165,$AI165&gt;0,$AM165&gt;0,CC165&gt;0), CC165,     AND(NOT($AI165=$AM165),$AI165&gt;0,$AM165&gt;0,CC165&gt;0), ($AM165*CC165)/$AI165,     AND($AI165=0,$AM165&gt;0,$AQ165&gt;0), IF(INDEX(CC$12:CC$263,MATCH($AQ165,$AP$12:$AP$263,0))&gt;0,($AM165*INDEX(CC$12:CC$263,MATCH($AQ165,$AP$12:$AP$263,0)))/INDEX($AI$12:$AI$263,MATCH($AQ165,$AP$12:$AP$263,0)), "-"),     TRUE, "0")</f>
        <v>0</v>
      </c>
      <c r="CE165" s="607">
        <f>IF(CD$9&gt;0, IF(OR(CD165="",CD165="-"), 0, CD165*$AT165), CC165*$AJ165)</f>
        <v>0</v>
      </c>
      <c r="CF165" s="589">
        <f>[1]COMMANDE!AM163</f>
        <v>0</v>
      </c>
      <c r="CG165" s="586" t="str">
        <f>_xlfn.IFS(AND($AI165=$AM165,$AI165&gt;0,$AM165&gt;0,CF165&gt;0), CF165,     AND(NOT($AI165=$AM165),$AI165&gt;0,$AM165&gt;0,CF165&gt;0), ($AM165*CF165)/$AI165,     AND($AI165=0,$AM165&gt;0,$AQ165&gt;0), IF(INDEX(CF$12:CF$263,MATCH($AQ165,$AP$12:$AP$263,0))&gt;0,($AM165*INDEX(CF$12:CF$263,MATCH($AQ165,$AP$12:$AP$263,0)))/INDEX($AI$12:$AI$263,MATCH($AQ165,$AP$12:$AP$263,0)), "-"),     TRUE, "0")</f>
        <v>0</v>
      </c>
      <c r="CH165" s="588">
        <f>IF(CG$9&gt;0, IF(OR(CG165="",CG165="-"), 0, CG165*$AT165), CF165*$AJ165)</f>
        <v>0</v>
      </c>
      <c r="CI165" s="587">
        <f>[1]COMMANDE!AO163</f>
        <v>0</v>
      </c>
      <c r="CJ165" s="586" t="str">
        <f>_xlfn.IFS(AND($AI165=$AM165,$AI165&gt;0,$AM165&gt;0,CI165&gt;0), CI165,     AND(NOT($AI165=$AM165),$AI165&gt;0,$AM165&gt;0,CI165&gt;0), ($AM165*CI165)/$AI165,     AND($AI165=0,$AM165&gt;0,$AQ165&gt;0), IF(INDEX(CI$12:CI$263,MATCH($AQ165,$AP$12:$AP$263,0))&gt;0,($AM165*INDEX(CI$12:CI$263,MATCH($AQ165,$AP$12:$AP$263,0)))/INDEX($AI$12:$AI$263,MATCH($AQ165,$AP$12:$AP$263,0)), "-"),     TRUE, "0")</f>
        <v>0</v>
      </c>
      <c r="CK165" s="607">
        <f>IF(CJ$9&gt;0, IF(OR(CJ165="",CJ165="-"), 0, CJ165*$AT165), CI165*$AJ165)</f>
        <v>0</v>
      </c>
      <c r="CL165" s="589">
        <f>[1]COMMANDE!AQ163</f>
        <v>0</v>
      </c>
      <c r="CM165" s="586" t="str">
        <f>_xlfn.IFS(AND($AI165=$AM165,$AI165&gt;0,$AM165&gt;0,CL165&gt;0), CL165,     AND(NOT($AI165=$AM165),$AI165&gt;0,$AM165&gt;0,CL165&gt;0), ($AM165*CL165)/$AI165,     AND($AI165=0,$AM165&gt;0,$AQ165&gt;0), IF(INDEX(CL$12:CL$263,MATCH($AQ165,$AP$12:$AP$263,0))&gt;0,($AM165*INDEX(CL$12:CL$263,MATCH($AQ165,$AP$12:$AP$263,0)))/INDEX($AI$12:$AI$263,MATCH($AQ165,$AP$12:$AP$263,0)), "-"),     TRUE, "0")</f>
        <v>0</v>
      </c>
      <c r="CN165" s="588">
        <f>IF(CM$9&gt;0, IF(OR(CM165="",CM165="-"), 0, CM165*$AT165), CL165*$AJ165)</f>
        <v>0</v>
      </c>
      <c r="CO165" s="587">
        <f>[1]COMMANDE!AS163</f>
        <v>0</v>
      </c>
      <c r="CP165" s="586" t="str">
        <f>_xlfn.IFS(AND($AI165=$AM165,$AI165&gt;0,$AM165&gt;0,CO165&gt;0), CO165,     AND(NOT($AI165=$AM165),$AI165&gt;0,$AM165&gt;0,CO165&gt;0), ($AM165*CO165)/$AI165,     AND($AI165=0,$AM165&gt;0,$AQ165&gt;0), IF(INDEX(CO$12:CO$263,MATCH($AQ165,$AP$12:$AP$263,0))&gt;0,($AM165*INDEX(CO$12:CO$263,MATCH($AQ165,$AP$12:$AP$263,0)))/INDEX($AI$12:$AI$263,MATCH($AQ165,$AP$12:$AP$263,0)), "-"),     TRUE, "0")</f>
        <v>0</v>
      </c>
      <c r="CQ165" s="607">
        <f>IF(CP$9&gt;0, IF(OR(CP165="",CP165="-"), 0, CP165*$AT165), CO165*$AJ165)</f>
        <v>0</v>
      </c>
      <c r="CR165" s="589">
        <f>[1]COMMANDE!AU163</f>
        <v>0</v>
      </c>
      <c r="CS165" s="586" t="str">
        <f>_xlfn.IFS(AND($AI165=$AM165,$AI165&gt;0,$AM165&gt;0,CR165&gt;0), CR165,     AND(NOT($AI165=$AM165),$AI165&gt;0,$AM165&gt;0,CR165&gt;0), ($AM165*CR165)/$AI165,     AND($AI165=0,$AM165&gt;0,$AQ165&gt;0), IF(INDEX(CR$12:CR$263,MATCH($AQ165,$AP$12:$AP$263,0))&gt;0,($AM165*INDEX(CR$12:CR$263,MATCH($AQ165,$AP$12:$AP$263,0)))/INDEX($AI$12:$AI$263,MATCH($AQ165,$AP$12:$AP$263,0)), "-"),     TRUE, "0")</f>
        <v>0</v>
      </c>
      <c r="CT165" s="588">
        <f>IF(CS$9&gt;0, IF(OR(CS165="",CS165="-"), 0, CS165*$AT165), CR165*$AJ165)</f>
        <v>0</v>
      </c>
      <c r="CU165" s="587">
        <f>[1]COMMANDE!AW163</f>
        <v>0</v>
      </c>
      <c r="CV165" s="586" t="str">
        <f>_xlfn.IFS(AND($AI165=$AM165,$AI165&gt;0,$AM165&gt;0,CU165&gt;0), CU165,     AND(NOT($AI165=$AM165),$AI165&gt;0,$AM165&gt;0,CU165&gt;0), ($AM165*CU165)/$AI165,     AND($AI165=0,$AM165&gt;0,$AQ165&gt;0), IF(INDEX(CU$12:CU$263,MATCH($AQ165,$AP$12:$AP$263,0))&gt;0,($AM165*INDEX(CU$12:CU$263,MATCH($AQ165,$AP$12:$AP$263,0)))/INDEX($AI$12:$AI$263,MATCH($AQ165,$AP$12:$AP$263,0)), "-"),     TRUE, "0")</f>
        <v>0</v>
      </c>
      <c r="CW165" s="607">
        <f>IF(CV$9&gt;0, IF(OR(CV165="",CV165="-"), 0, CV165*$AT165), CU165*$AJ165)</f>
        <v>0</v>
      </c>
      <c r="CX165" s="589">
        <f>[1]COMMANDE!AY163</f>
        <v>0</v>
      </c>
      <c r="CY165" s="586" t="str">
        <f>_xlfn.IFS(AND($AI165=$AM165,$AI165&gt;0,$AM165&gt;0,CX165&gt;0), CX165,     AND(NOT($AI165=$AM165),$AI165&gt;0,$AM165&gt;0,CX165&gt;0), ($AM165*CX165)/$AI165,     AND($AI165=0,$AM165&gt;0,$AQ165&gt;0), IF(INDEX(CX$12:CX$263,MATCH($AQ165,$AP$12:$AP$263,0))&gt;0,($AM165*INDEX(CX$12:CX$263,MATCH($AQ165,$AP$12:$AP$263,0)))/INDEX($AI$12:$AI$263,MATCH($AQ165,$AP$12:$AP$263,0)), "-"),     TRUE, "0")</f>
        <v>0</v>
      </c>
      <c r="CZ165" s="588">
        <f>IF(CY$9&gt;0, IF(OR(CY165="",CY165="-"), 0, CY165*$AT165), CX165*$AJ165)</f>
        <v>0</v>
      </c>
      <c r="DA165" s="587">
        <f>[1]COMMANDE!BA163</f>
        <v>0</v>
      </c>
      <c r="DB165" s="586" t="str">
        <f>_xlfn.IFS(AND($AI165=$AM165,$AI165&gt;0,$AM165&gt;0,DA165&gt;0), DA165,     AND(NOT($AI165=$AM165),$AI165&gt;0,$AM165&gt;0,DA165&gt;0), ($AM165*DA165)/$AI165,     AND($AI165=0,$AM165&gt;0,$AQ165&gt;0), IF(INDEX(DA$12:DA$263,MATCH($AQ165,$AP$12:$AP$263,0))&gt;0,($AM165*INDEX(DA$12:DA$263,MATCH($AQ165,$AP$12:$AP$263,0)))/INDEX($AI$12:$AI$263,MATCH($AQ165,$AP$12:$AP$263,0)), "-"),     TRUE, "0")</f>
        <v>0</v>
      </c>
      <c r="DC165" s="606">
        <f>IF(DB$9&gt;0, IF(OR(DB165="",DB165="-"), 0, DB165*$AT165), DA165*$AJ165)</f>
        <v>0</v>
      </c>
      <c r="DD165" s="584"/>
      <c r="DE165" s="583"/>
    </row>
    <row r="166" spans="1:109" ht="39.950000000000003" hidden="1" customHeight="1">
      <c r="A166" s="604">
        <f>IF(OR($AV166&gt;0, $AX166&gt;0), 1, 0)</f>
        <v>0</v>
      </c>
      <c r="B166" s="604">
        <f>IF(OR($AY166&gt;0, $BA166&gt;0), 1, 0)</f>
        <v>0</v>
      </c>
      <c r="C166" s="604">
        <f>IF(OR($BB166&gt;0, $BD166&gt;0), 1, 0)</f>
        <v>0</v>
      </c>
      <c r="D166" s="604">
        <f>IF(OR($BE166&gt;0, $BG166&gt;0), 1, 0)</f>
        <v>0</v>
      </c>
      <c r="E166" s="604">
        <f>IF(OR($BH166&gt;0, $BJ166&gt;0), 1, 0)</f>
        <v>0</v>
      </c>
      <c r="F166" s="604">
        <f>IF(OR($BK166&gt;0, $BM166&gt;0), 1, 0)</f>
        <v>0</v>
      </c>
      <c r="G166" s="604">
        <f>IF(OR($BN166&gt;0, $BP166&gt;0), 1, 0)</f>
        <v>0</v>
      </c>
      <c r="H166" s="604">
        <f>IF(OR($BQ166&gt;0, $BS166&gt;0), 1, 0)</f>
        <v>0</v>
      </c>
      <c r="I166" s="604">
        <f>IF(OR($BT166&gt;0, $BV166&gt;0), 1, 0)</f>
        <v>0</v>
      </c>
      <c r="J166" s="604">
        <f>IF(OR($BW166&gt;0, $BY166&gt;0), 1, 0)</f>
        <v>0</v>
      </c>
      <c r="K166" s="604">
        <f>IF(OR($BZ166&gt;0, $CB166&gt;0), 1, 0)</f>
        <v>0</v>
      </c>
      <c r="L166" s="604">
        <f>IF(OR($CC166&gt;0, $CE166&gt;0), 1, 0)</f>
        <v>0</v>
      </c>
      <c r="M166" s="604">
        <f>IF(OR($CF166&gt;0, $CH166&gt;0), 1, 0)</f>
        <v>0</v>
      </c>
      <c r="N166" s="604">
        <f>IF(OR($CI166&gt;0, $CK166&gt;0), 1, 0)</f>
        <v>0</v>
      </c>
      <c r="O166" s="604">
        <f>IF(OR($CL166&gt;0, $CN166&gt;0), 1, 0)</f>
        <v>0</v>
      </c>
      <c r="P166" s="604">
        <f>IF(OR($CO166&gt;0, $CQ166&gt;0), 1, 0)</f>
        <v>0</v>
      </c>
      <c r="Q166" s="604">
        <f>IF(OR($CR166&gt;0, $CT166&gt;0), 1, 0)</f>
        <v>0</v>
      </c>
      <c r="R166" s="604">
        <f>IF(OR($CU166&gt;0, $CW166&gt;0), 1, 0)</f>
        <v>0</v>
      </c>
      <c r="S166" s="604">
        <f>IF(OR($CX166&gt;0, $CZ166&gt;0), 1, 0)</f>
        <v>0</v>
      </c>
      <c r="T166" s="604">
        <f>IF(OR($DA166&gt;0, $DC166&gt;0), 1, 0)</f>
        <v>0</v>
      </c>
      <c r="U166" s="603">
        <f>IF(OR($AI166&gt;0,$AM166&gt;0,$AS166&gt;0), 1, 0)</f>
        <v>0</v>
      </c>
      <c r="V166" s="602">
        <f>[1]BDD!A156</f>
        <v>6127</v>
      </c>
      <c r="W166" s="601" t="str">
        <f>[1]BDD!B156</f>
        <v xml:space="preserve">Mangue Keitt gourmet BIO </v>
      </c>
      <c r="X166" s="600" t="str">
        <f>IF([1]BDD!F156=0, "", [1]BDD!F156)</f>
        <v>❤️</v>
      </c>
      <c r="Y166" s="542">
        <f>ROUND([1]BDD!G156+FDP_CMD_KG, 2)</f>
        <v>4.28</v>
      </c>
      <c r="Z166" s="542">
        <f>ROUND([1]BDD!G156+FDP_FACT_KG, 2)</f>
        <v>4.28</v>
      </c>
      <c r="AA166" s="543" t="str">
        <f>[1]BDD!H156</f>
        <v>kg</v>
      </c>
      <c r="AB166" s="544">
        <f>IF(NOT(ISBLANK([1]BDD!I156)), ROUND(SUM(([1]BDD!G156*reduc1),FDP_CMD_KG), 2), "")</f>
        <v>3.94</v>
      </c>
      <c r="AC166" s="544">
        <f>IF(NOT(ISBLANK([1]BDD!J156)), ROUND(SUM(([1]BDD!G156*reduc2),FDP_CMD_KG), 2), "")</f>
        <v>3.6</v>
      </c>
      <c r="AD166" s="544">
        <f>IF(NOT(ISBLANK([1]BDD!K156)), ROUND(SUM(([1]BDD!G156*reduc3),FDP_CMD_KG), 2), "")</f>
        <v>3.26</v>
      </c>
      <c r="AE166" s="544">
        <f>IF(NOT(ISBLANK([1]BDD!I156)), ROUND(SUM(([1]BDD!G156*reduc1),FDP_FACT_KG), 2), "")</f>
        <v>3.94</v>
      </c>
      <c r="AF166" s="544">
        <f>IF(NOT(ISBLANK([1]BDD!J156)), ROUND(SUM(([1]BDD!G156*reduc2),FDP_FACT_KG), 2), "")</f>
        <v>3.59</v>
      </c>
      <c r="AG166" s="544">
        <f>IF(NOT(ISBLANK([1]BDD!K156)), ROUND(SUM(([1]BDD!G156*reduc3),FDP_FACT_KG), 2), "")</f>
        <v>3.25</v>
      </c>
      <c r="AH166" s="599" t="str">
        <f>[1]BDD!C156</f>
        <v>Malaga</v>
      </c>
      <c r="AI166" s="598">
        <f>SUM(AV166,AY166,BB166,BE166,BH166,BK166,BN166,BQ166,BT166,BW166,BZ166,CC166,CF166,CI166,CL166,CO166,CR166,CU166,CX166,DA166)</f>
        <v>0</v>
      </c>
      <c r="AJ166" s="545">
        <f>_xlfn.IFS($AD166&lt;&gt;"", $AD166,    $AC166&lt;&gt;"", $AC166,    $AB166&lt;&gt;"", $AB166,    TRUE, $Y166)</f>
        <v>3.26</v>
      </c>
      <c r="AK166" s="592">
        <f>$AI166*$AJ166</f>
        <v>0</v>
      </c>
      <c r="AL166" s="594"/>
      <c r="AM166" s="597"/>
      <c r="AN166" s="545">
        <f>_xlfn.IFS(AND(AM166&gt;=60,$AG166&lt;&gt;""), $AG166,    AND(AM166&gt;=30,$AF166&lt;&gt;""), $AF166,    AND(AM166&gt;=10,$AE166&lt;&gt;""), $AE166,    TRUE, $Z166)</f>
        <v>4.28</v>
      </c>
      <c r="AO166" s="596">
        <f>AM166*AN166</f>
        <v>0</v>
      </c>
      <c r="AP166" s="595"/>
      <c r="AQ166" s="595"/>
      <c r="AR166" s="594"/>
      <c r="AS166" s="593">
        <f>SUM(AW166,AZ166,BC166,BF166,BI166,BL166,BO166,BR166,BU166,BX166,CA166,CD166,CG166,CJ166,CM166,CP166,CS166,CV166,CY166,DB166)</f>
        <v>0</v>
      </c>
      <c r="AT166" s="545">
        <f>_xlfn.IFS(AND(AS166&gt;=60,$AG166&lt;&gt;""), $AG166,    AND(AS166&gt;=30,$AF166&lt;&gt;""), $AF166,    AND(AS166&gt;=10,$AE166&lt;&gt;""), $AE166,    TRUE, $Z166)</f>
        <v>4.28</v>
      </c>
      <c r="AU166" s="592">
        <f>$AS166*$AT166</f>
        <v>0</v>
      </c>
      <c r="AV166" s="591">
        <f>[1]COMMANDE!O164</f>
        <v>0</v>
      </c>
      <c r="AW166" s="586" t="str">
        <f>_xlfn.IFS(AND($AI166=$AM166,$AI166&gt;0,$AM166&gt;0,AV166&gt;0), AV166,     AND(NOT($AI166=$AM166),$AI166&gt;0,$AM166&gt;0,AV166&gt;0), ($AM166*AV166)/$AI166,     AND($AI166=0,$AM166&gt;0,$AQ166&gt;0), IF(INDEX(AV$12:AV$263,MATCH($AQ166,$AP$12:$AP$263,0))&gt;0,($AM166*INDEX(AV$12:AV$263,MATCH($AQ166,$AP$12:$AP$263,0)))/INDEX($AI$12:$AI$263,MATCH($AQ166,$AP$12:$AP$263,0)), "-"),     TRUE, "0")</f>
        <v>0</v>
      </c>
      <c r="AX166" s="588">
        <f>IF(AW$9&gt;0, IF(OR(AW166="",AW166="-"), 0, AW166*$AT166), AV166*$AJ166)</f>
        <v>0</v>
      </c>
      <c r="AY166" s="587">
        <f>[1]COMMANDE!Q164</f>
        <v>0</v>
      </c>
      <c r="AZ166" s="586" t="str">
        <f>_xlfn.IFS(AND($AI166=$AM166,$AI166&gt;0,$AM166&gt;0,AY166&gt;0), AY166,     AND(NOT($AI166=$AM166),$AI166&gt;0,$AM166&gt;0,AY166&gt;0), ($AM166*AY166)/$AI166,     AND($AI166=0,$AM166&gt;0,$AQ166&gt;0), IF(INDEX(AY$12:AY$263,MATCH($AQ166,$AP$12:$AP$263,0))&gt;0,($AM166*INDEX(AY$12:AY$263,MATCH($AQ166,$AP$12:$AP$263,0)))/INDEX($AI$12:$AI$263,MATCH($AQ166,$AP$12:$AP$263,0)), "-"),     TRUE, "0")</f>
        <v>0</v>
      </c>
      <c r="BA166" s="607">
        <f>IF(AZ$9&gt;0, IF(OR(AZ166="",AZ166="-"), 0, AZ166*$AT166), AY166*$AJ166)</f>
        <v>0</v>
      </c>
      <c r="BB166" s="589">
        <f>[1]COMMANDE!S164</f>
        <v>0</v>
      </c>
      <c r="BC166" s="586" t="str">
        <f>_xlfn.IFS(AND($AI166=$AM166,$AI166&gt;0,$AM166&gt;0,BB166&gt;0), BB166,     AND(NOT($AI166=$AM166),$AI166&gt;0,$AM166&gt;0,BB166&gt;0), ($AM166*BB166)/$AI166,     AND($AI166=0,$AM166&gt;0,$AQ166&gt;0), IF(INDEX(BB$12:BB$263,MATCH($AQ166,$AP$12:$AP$263,0))&gt;0,($AM166*INDEX(BB$12:BB$263,MATCH($AQ166,$AP$12:$AP$263,0)))/INDEX($AI$12:$AI$263,MATCH($AQ166,$AP$12:$AP$263,0)), "-"),     TRUE, "0")</f>
        <v>0</v>
      </c>
      <c r="BD166" s="588">
        <f>IF(BC$9&gt;0, IF(OR(BC166="",BC166="-"), 0, BC166*$AT166), BB166*$AJ166)</f>
        <v>0</v>
      </c>
      <c r="BE166" s="587">
        <f>[1]COMMANDE!U164</f>
        <v>0</v>
      </c>
      <c r="BF166" s="586" t="str">
        <f>_xlfn.IFS(AND($AI166=$AM166,$AI166&gt;0,$AM166&gt;0,BE166&gt;0), BE166,     AND(NOT($AI166=$AM166),$AI166&gt;0,$AM166&gt;0,BE166&gt;0), ($AM166*BE166)/$AI166,     AND($AI166=0,$AM166&gt;0,$AQ166&gt;0), IF(INDEX(BE$12:BE$263,MATCH($AQ166,$AP$12:$AP$263,0))&gt;0,($AM166*INDEX(BE$12:BE$263,MATCH($AQ166,$AP$12:$AP$263,0)))/INDEX($AI$12:$AI$263,MATCH($AQ166,$AP$12:$AP$263,0)), "-"),     TRUE, "0")</f>
        <v>0</v>
      </c>
      <c r="BG166" s="607">
        <f>IF(BF$9&gt;0, IF(OR(BF166="",BF166="-"), 0, BF166*$AT166), BE166*$AJ166)</f>
        <v>0</v>
      </c>
      <c r="BH166" s="589">
        <f>[1]COMMANDE!W164</f>
        <v>0</v>
      </c>
      <c r="BI166" s="586" t="str">
        <f>_xlfn.IFS(AND($AI166=$AM166,$AI166&gt;0,$AM166&gt;0,BH166&gt;0), BH166,     AND(NOT($AI166=$AM166),$AI166&gt;0,$AM166&gt;0,BH166&gt;0), ($AM166*BH166)/$AI166,     AND($AI166=0,$AM166&gt;0,$AQ166&gt;0), IF(INDEX(BH$12:BH$263,MATCH($AQ166,$AP$12:$AP$263,0))&gt;0,($AM166*INDEX(BH$12:BH$263,MATCH($AQ166,$AP$12:$AP$263,0)))/INDEX($AI$12:$AI$263,MATCH($AQ166,$AP$12:$AP$263,0)), "-"),     TRUE, "0")</f>
        <v>0</v>
      </c>
      <c r="BJ166" s="588">
        <f>IF(BI$9&gt;0, IF(OR(BI166="",BI166="-"), 0, BI166*$AT166), BH166*$AJ166)</f>
        <v>0</v>
      </c>
      <c r="BK166" s="587">
        <f>[1]COMMANDE!Y164</f>
        <v>0</v>
      </c>
      <c r="BL166" s="586" t="str">
        <f>_xlfn.IFS(AND($AI166=$AM166,$AI166&gt;0,$AM166&gt;0,BK166&gt;0), BK166,     AND(NOT($AI166=$AM166),$AI166&gt;0,$AM166&gt;0,BK166&gt;0), ($AM166*BK166)/$AI166,     AND($AI166=0,$AM166&gt;0,$AQ166&gt;0), IF(INDEX(BK$12:BK$263,MATCH($AQ166,$AP$12:$AP$263,0))&gt;0,($AM166*INDEX(BK$12:BK$263,MATCH($AQ166,$AP$12:$AP$263,0)))/INDEX($AI$12:$AI$263,MATCH($AQ166,$AP$12:$AP$263,0)), "-"),     TRUE, "0")</f>
        <v>0</v>
      </c>
      <c r="BM166" s="607">
        <f>IF(BL$9&gt;0, IF(OR(BL166="",BL166="-"), 0, BL166*$AT166), BK166*$AJ166)</f>
        <v>0</v>
      </c>
      <c r="BN166" s="589">
        <f>[1]COMMANDE!AA164</f>
        <v>0</v>
      </c>
      <c r="BO166" s="586" t="str">
        <f>_xlfn.IFS(AND($AI166=$AM166,$AI166&gt;0,$AM166&gt;0,BN166&gt;0), BN166,     AND(NOT($AI166=$AM166),$AI166&gt;0,$AM166&gt;0,BN166&gt;0), ($AM166*BN166)/$AI166,     AND($AI166=0,$AM166&gt;0,$AQ166&gt;0), IF(INDEX(BN$12:BN$263,MATCH($AQ166,$AP$12:$AP$263,0))&gt;0,($AM166*INDEX(BN$12:BN$263,MATCH($AQ166,$AP$12:$AP$263,0)))/INDEX($AI$12:$AI$263,MATCH($AQ166,$AP$12:$AP$263,0)), "-"),     TRUE, "0")</f>
        <v>0</v>
      </c>
      <c r="BP166" s="588">
        <f>IF(BO$9&gt;0, IF(OR(BO166="",BO166="-"), 0, BO166*$AT166), BN166*$AJ166)</f>
        <v>0</v>
      </c>
      <c r="BQ166" s="587">
        <f>[1]COMMANDE!AC164</f>
        <v>0</v>
      </c>
      <c r="BR166" s="586" t="str">
        <f>_xlfn.IFS(AND($AI166=$AM166,$AI166&gt;0,$AM166&gt;0,BQ166&gt;0), BQ166,     AND(NOT($AI166=$AM166),$AI166&gt;0,$AM166&gt;0,BQ166&gt;0), ($AM166*BQ166)/$AI166,     AND($AI166=0,$AM166&gt;0,$AQ166&gt;0), IF(INDEX(BQ$12:BQ$263,MATCH($AQ166,$AP$12:$AP$263,0))&gt;0,($AM166*INDEX(BQ$12:BQ$263,MATCH($AQ166,$AP$12:$AP$263,0)))/INDEX($AI$12:$AI$263,MATCH($AQ166,$AP$12:$AP$263,0)), "-"),     TRUE, "0")</f>
        <v>0</v>
      </c>
      <c r="BS166" s="607">
        <f>IF(BR$9&gt;0, IF(OR(BR166="",BR166="-"), 0, BR166*$AT166), BQ166*$AJ166)</f>
        <v>0</v>
      </c>
      <c r="BT166" s="589">
        <f>[1]COMMANDE!AE164</f>
        <v>0</v>
      </c>
      <c r="BU166" s="586" t="str">
        <f>_xlfn.IFS(AND($AI166=$AM166,$AI166&gt;0,$AM166&gt;0,BT166&gt;0), BT166,     AND(NOT($AI166=$AM166),$AI166&gt;0,$AM166&gt;0,BT166&gt;0), ($AM166*BT166)/$AI166,     AND($AI166=0,$AM166&gt;0,$AQ166&gt;0), IF(INDEX(BT$12:BT$263,MATCH($AQ166,$AP$12:$AP$263,0))&gt;0,($AM166*INDEX(BT$12:BT$263,MATCH($AQ166,$AP$12:$AP$263,0)))/INDEX($AI$12:$AI$263,MATCH($AQ166,$AP$12:$AP$263,0)), "-"),     TRUE, "0")</f>
        <v>0</v>
      </c>
      <c r="BV166" s="588">
        <f>IF(BU$9&gt;0, IF(OR(BU166="",BU166="-"), 0, BU166*$AT166), BT166*$AJ166)</f>
        <v>0</v>
      </c>
      <c r="BW166" s="587">
        <f>[1]COMMANDE!AG164</f>
        <v>0</v>
      </c>
      <c r="BX166" s="586" t="str">
        <f>_xlfn.IFS(AND($AI166=$AM166,$AI166&gt;0,$AM166&gt;0,BW166&gt;0), BW166,     AND(NOT($AI166=$AM166),$AI166&gt;0,$AM166&gt;0,BW166&gt;0), ($AM166*BW166)/$AI166,     AND($AI166=0,$AM166&gt;0,$AQ166&gt;0), IF(INDEX(BW$12:BW$263,MATCH($AQ166,$AP$12:$AP$263,0))&gt;0,($AM166*INDEX(BW$12:BW$263,MATCH($AQ166,$AP$12:$AP$263,0)))/INDEX($AI$12:$AI$263,MATCH($AQ166,$AP$12:$AP$263,0)), "-"),     TRUE, "0")</f>
        <v>0</v>
      </c>
      <c r="BY166" s="607">
        <f>IF(BX$9&gt;0, IF(OR(BX166="",BX166="-"), 0, BX166*$AT166), BW166*$AJ166)</f>
        <v>0</v>
      </c>
      <c r="BZ166" s="589">
        <f>[1]COMMANDE!AI164</f>
        <v>0</v>
      </c>
      <c r="CA166" s="586" t="str">
        <f>_xlfn.IFS(AND($AI166=$AM166,$AI166&gt;0,$AM166&gt;0,BZ166&gt;0), BZ166,     AND(NOT($AI166=$AM166),$AI166&gt;0,$AM166&gt;0,BZ166&gt;0), ($AM166*BZ166)/$AI166,     AND($AI166=0,$AM166&gt;0,$AQ166&gt;0), IF(INDEX(BZ$12:BZ$263,MATCH($AQ166,$AP$12:$AP$263,0))&gt;0,($AM166*INDEX(BZ$12:BZ$263,MATCH($AQ166,$AP$12:$AP$263,0)))/INDEX($AI$12:$AI$263,MATCH($AQ166,$AP$12:$AP$263,0)), "-"),     TRUE, "0")</f>
        <v>0</v>
      </c>
      <c r="CB166" s="588">
        <f>IF(CA$9&gt;0, IF(OR(CA166="",CA166="-"), 0, CA166*$AT166), BZ166*$AJ166)</f>
        <v>0</v>
      </c>
      <c r="CC166" s="587">
        <f>[1]COMMANDE!AK164</f>
        <v>0</v>
      </c>
      <c r="CD166" s="586" t="str">
        <f>_xlfn.IFS(AND($AI166=$AM166,$AI166&gt;0,$AM166&gt;0,CC166&gt;0), CC166,     AND(NOT($AI166=$AM166),$AI166&gt;0,$AM166&gt;0,CC166&gt;0), ($AM166*CC166)/$AI166,     AND($AI166=0,$AM166&gt;0,$AQ166&gt;0), IF(INDEX(CC$12:CC$263,MATCH($AQ166,$AP$12:$AP$263,0))&gt;0,($AM166*INDEX(CC$12:CC$263,MATCH($AQ166,$AP$12:$AP$263,0)))/INDEX($AI$12:$AI$263,MATCH($AQ166,$AP$12:$AP$263,0)), "-"),     TRUE, "0")</f>
        <v>0</v>
      </c>
      <c r="CE166" s="607">
        <f>IF(CD$9&gt;0, IF(OR(CD166="",CD166="-"), 0, CD166*$AT166), CC166*$AJ166)</f>
        <v>0</v>
      </c>
      <c r="CF166" s="589">
        <f>[1]COMMANDE!AM164</f>
        <v>0</v>
      </c>
      <c r="CG166" s="586" t="str">
        <f>_xlfn.IFS(AND($AI166=$AM166,$AI166&gt;0,$AM166&gt;0,CF166&gt;0), CF166,     AND(NOT($AI166=$AM166),$AI166&gt;0,$AM166&gt;0,CF166&gt;0), ($AM166*CF166)/$AI166,     AND($AI166=0,$AM166&gt;0,$AQ166&gt;0), IF(INDEX(CF$12:CF$263,MATCH($AQ166,$AP$12:$AP$263,0))&gt;0,($AM166*INDEX(CF$12:CF$263,MATCH($AQ166,$AP$12:$AP$263,0)))/INDEX($AI$12:$AI$263,MATCH($AQ166,$AP$12:$AP$263,0)), "-"),     TRUE, "0")</f>
        <v>0</v>
      </c>
      <c r="CH166" s="588">
        <f>IF(CG$9&gt;0, IF(OR(CG166="",CG166="-"), 0, CG166*$AT166), CF166*$AJ166)</f>
        <v>0</v>
      </c>
      <c r="CI166" s="587">
        <f>[1]COMMANDE!AO164</f>
        <v>0</v>
      </c>
      <c r="CJ166" s="586" t="str">
        <f>_xlfn.IFS(AND($AI166=$AM166,$AI166&gt;0,$AM166&gt;0,CI166&gt;0), CI166,     AND(NOT($AI166=$AM166),$AI166&gt;0,$AM166&gt;0,CI166&gt;0), ($AM166*CI166)/$AI166,     AND($AI166=0,$AM166&gt;0,$AQ166&gt;0), IF(INDEX(CI$12:CI$263,MATCH($AQ166,$AP$12:$AP$263,0))&gt;0,($AM166*INDEX(CI$12:CI$263,MATCH($AQ166,$AP$12:$AP$263,0)))/INDEX($AI$12:$AI$263,MATCH($AQ166,$AP$12:$AP$263,0)), "-"),     TRUE, "0")</f>
        <v>0</v>
      </c>
      <c r="CK166" s="607">
        <f>IF(CJ$9&gt;0, IF(OR(CJ166="",CJ166="-"), 0, CJ166*$AT166), CI166*$AJ166)</f>
        <v>0</v>
      </c>
      <c r="CL166" s="589">
        <f>[1]COMMANDE!AQ164</f>
        <v>0</v>
      </c>
      <c r="CM166" s="586" t="str">
        <f>_xlfn.IFS(AND($AI166=$AM166,$AI166&gt;0,$AM166&gt;0,CL166&gt;0), CL166,     AND(NOT($AI166=$AM166),$AI166&gt;0,$AM166&gt;0,CL166&gt;0), ($AM166*CL166)/$AI166,     AND($AI166=0,$AM166&gt;0,$AQ166&gt;0), IF(INDEX(CL$12:CL$263,MATCH($AQ166,$AP$12:$AP$263,0))&gt;0,($AM166*INDEX(CL$12:CL$263,MATCH($AQ166,$AP$12:$AP$263,0)))/INDEX($AI$12:$AI$263,MATCH($AQ166,$AP$12:$AP$263,0)), "-"),     TRUE, "0")</f>
        <v>0</v>
      </c>
      <c r="CN166" s="588">
        <f>IF(CM$9&gt;0, IF(OR(CM166="",CM166="-"), 0, CM166*$AT166), CL166*$AJ166)</f>
        <v>0</v>
      </c>
      <c r="CO166" s="587">
        <f>[1]COMMANDE!AS164</f>
        <v>0</v>
      </c>
      <c r="CP166" s="586" t="str">
        <f>_xlfn.IFS(AND($AI166=$AM166,$AI166&gt;0,$AM166&gt;0,CO166&gt;0), CO166,     AND(NOT($AI166=$AM166),$AI166&gt;0,$AM166&gt;0,CO166&gt;0), ($AM166*CO166)/$AI166,     AND($AI166=0,$AM166&gt;0,$AQ166&gt;0), IF(INDEX(CO$12:CO$263,MATCH($AQ166,$AP$12:$AP$263,0))&gt;0,($AM166*INDEX(CO$12:CO$263,MATCH($AQ166,$AP$12:$AP$263,0)))/INDEX($AI$12:$AI$263,MATCH($AQ166,$AP$12:$AP$263,0)), "-"),     TRUE, "0")</f>
        <v>0</v>
      </c>
      <c r="CQ166" s="607">
        <f>IF(CP$9&gt;0, IF(OR(CP166="",CP166="-"), 0, CP166*$AT166), CO166*$AJ166)</f>
        <v>0</v>
      </c>
      <c r="CR166" s="589">
        <f>[1]COMMANDE!AU164</f>
        <v>0</v>
      </c>
      <c r="CS166" s="586" t="str">
        <f>_xlfn.IFS(AND($AI166=$AM166,$AI166&gt;0,$AM166&gt;0,CR166&gt;0), CR166,     AND(NOT($AI166=$AM166),$AI166&gt;0,$AM166&gt;0,CR166&gt;0), ($AM166*CR166)/$AI166,     AND($AI166=0,$AM166&gt;0,$AQ166&gt;0), IF(INDEX(CR$12:CR$263,MATCH($AQ166,$AP$12:$AP$263,0))&gt;0,($AM166*INDEX(CR$12:CR$263,MATCH($AQ166,$AP$12:$AP$263,0)))/INDEX($AI$12:$AI$263,MATCH($AQ166,$AP$12:$AP$263,0)), "-"),     TRUE, "0")</f>
        <v>0</v>
      </c>
      <c r="CT166" s="588">
        <f>IF(CS$9&gt;0, IF(OR(CS166="",CS166="-"), 0, CS166*$AT166), CR166*$AJ166)</f>
        <v>0</v>
      </c>
      <c r="CU166" s="587">
        <f>[1]COMMANDE!AW164</f>
        <v>0</v>
      </c>
      <c r="CV166" s="586" t="str">
        <f>_xlfn.IFS(AND($AI166=$AM166,$AI166&gt;0,$AM166&gt;0,CU166&gt;0), CU166,     AND(NOT($AI166=$AM166),$AI166&gt;0,$AM166&gt;0,CU166&gt;0), ($AM166*CU166)/$AI166,     AND($AI166=0,$AM166&gt;0,$AQ166&gt;0), IF(INDEX(CU$12:CU$263,MATCH($AQ166,$AP$12:$AP$263,0))&gt;0,($AM166*INDEX(CU$12:CU$263,MATCH($AQ166,$AP$12:$AP$263,0)))/INDEX($AI$12:$AI$263,MATCH($AQ166,$AP$12:$AP$263,0)), "-"),     TRUE, "0")</f>
        <v>0</v>
      </c>
      <c r="CW166" s="607">
        <f>IF(CV$9&gt;0, IF(OR(CV166="",CV166="-"), 0, CV166*$AT166), CU166*$AJ166)</f>
        <v>0</v>
      </c>
      <c r="CX166" s="589">
        <f>[1]COMMANDE!AY164</f>
        <v>0</v>
      </c>
      <c r="CY166" s="586" t="str">
        <f>_xlfn.IFS(AND($AI166=$AM166,$AI166&gt;0,$AM166&gt;0,CX166&gt;0), CX166,     AND(NOT($AI166=$AM166),$AI166&gt;0,$AM166&gt;0,CX166&gt;0), ($AM166*CX166)/$AI166,     AND($AI166=0,$AM166&gt;0,$AQ166&gt;0), IF(INDEX(CX$12:CX$263,MATCH($AQ166,$AP$12:$AP$263,0))&gt;0,($AM166*INDEX(CX$12:CX$263,MATCH($AQ166,$AP$12:$AP$263,0)))/INDEX($AI$12:$AI$263,MATCH($AQ166,$AP$12:$AP$263,0)), "-"),     TRUE, "0")</f>
        <v>0</v>
      </c>
      <c r="CZ166" s="588">
        <f>IF(CY$9&gt;0, IF(OR(CY166="",CY166="-"), 0, CY166*$AT166), CX166*$AJ166)</f>
        <v>0</v>
      </c>
      <c r="DA166" s="587">
        <f>[1]COMMANDE!BA164</f>
        <v>0</v>
      </c>
      <c r="DB166" s="586" t="str">
        <f>_xlfn.IFS(AND($AI166=$AM166,$AI166&gt;0,$AM166&gt;0,DA166&gt;0), DA166,     AND(NOT($AI166=$AM166),$AI166&gt;0,$AM166&gt;0,DA166&gt;0), ($AM166*DA166)/$AI166,     AND($AI166=0,$AM166&gt;0,$AQ166&gt;0), IF(INDEX(DA$12:DA$263,MATCH($AQ166,$AP$12:$AP$263,0))&gt;0,($AM166*INDEX(DA$12:DA$263,MATCH($AQ166,$AP$12:$AP$263,0)))/INDEX($AI$12:$AI$263,MATCH($AQ166,$AP$12:$AP$263,0)), "-"),     TRUE, "0")</f>
        <v>0</v>
      </c>
      <c r="DC166" s="606">
        <f>IF(DB$9&gt;0, IF(OR(DB166="",DB166="-"), 0, DB166*$AT166), DA166*$AJ166)</f>
        <v>0</v>
      </c>
      <c r="DD166" s="584"/>
      <c r="DE166" s="583"/>
    </row>
    <row r="167" spans="1:109" ht="39.950000000000003" customHeight="1">
      <c r="A167" s="604">
        <f>IF(OR($AV167&gt;0, $AX167&gt;0), 1, 0)</f>
        <v>1</v>
      </c>
      <c r="B167" s="604">
        <f>IF(OR($AY167&gt;0, $BA167&gt;0), 1, 0)</f>
        <v>1</v>
      </c>
      <c r="C167" s="604">
        <f>IF(OR($BB167&gt;0, $BD167&gt;0), 1, 0)</f>
        <v>0</v>
      </c>
      <c r="D167" s="604">
        <f>IF(OR($BE167&gt;0, $BG167&gt;0), 1, 0)</f>
        <v>0</v>
      </c>
      <c r="E167" s="604">
        <f>IF(OR($BH167&gt;0, $BJ167&gt;0), 1, 0)</f>
        <v>0</v>
      </c>
      <c r="F167" s="604">
        <f>IF(OR($BK167&gt;0, $BM167&gt;0), 1, 0)</f>
        <v>0</v>
      </c>
      <c r="G167" s="604">
        <f>IF(OR($BN167&gt;0, $BP167&gt;0), 1, 0)</f>
        <v>0</v>
      </c>
      <c r="H167" s="604">
        <f>IF(OR($BQ167&gt;0, $BS167&gt;0), 1, 0)</f>
        <v>0</v>
      </c>
      <c r="I167" s="604">
        <f>IF(OR($BT167&gt;0, $BV167&gt;0), 1, 0)</f>
        <v>0</v>
      </c>
      <c r="J167" s="604">
        <f>IF(OR($BW167&gt;0, $BY167&gt;0), 1, 0)</f>
        <v>0</v>
      </c>
      <c r="K167" s="604">
        <f>IF(OR($BZ167&gt;0, $CB167&gt;0), 1, 0)</f>
        <v>0</v>
      </c>
      <c r="L167" s="604">
        <f>IF(OR($CC167&gt;0, $CE167&gt;0), 1, 0)</f>
        <v>0</v>
      </c>
      <c r="M167" s="604">
        <f>IF(OR($CF167&gt;0, $CH167&gt;0), 1, 0)</f>
        <v>0</v>
      </c>
      <c r="N167" s="604">
        <f>IF(OR($CI167&gt;0, $CK167&gt;0), 1, 0)</f>
        <v>0</v>
      </c>
      <c r="O167" s="604">
        <f>IF(OR($CL167&gt;0, $CN167&gt;0), 1, 0)</f>
        <v>0</v>
      </c>
      <c r="P167" s="604">
        <f>IF(OR($CO167&gt;0, $CQ167&gt;0), 1, 0)</f>
        <v>0</v>
      </c>
      <c r="Q167" s="604">
        <f>IF(OR($CR167&gt;0, $CT167&gt;0), 1, 0)</f>
        <v>0</v>
      </c>
      <c r="R167" s="604">
        <f>IF(OR($CU167&gt;0, $CW167&gt;0), 1, 0)</f>
        <v>0</v>
      </c>
      <c r="S167" s="604">
        <f>IF(OR($CX167&gt;0, $CZ167&gt;0), 1, 0)</f>
        <v>0</v>
      </c>
      <c r="T167" s="604">
        <f>IF(OR($DA167&gt;0, $DC167&gt;0), 1, 0)</f>
        <v>0</v>
      </c>
      <c r="U167" s="603">
        <f>IF(OR($AI167&gt;0,$AM167&gt;0,$AS167&gt;0), 1, 0)</f>
        <v>1</v>
      </c>
      <c r="V167" s="602">
        <f>[1]BDD!A157</f>
        <v>3225</v>
      </c>
      <c r="W167" s="601" t="str">
        <f>[1]BDD!B157</f>
        <v>Mangue Kent sélectionnée</v>
      </c>
      <c r="X167" s="600" t="str">
        <f>IF([1]BDD!F157=0, "", [1]BDD!F157)</f>
        <v/>
      </c>
      <c r="Y167" s="542">
        <f>ROUND([1]BDD!G157+FDP_CMD_KG, 2)</f>
        <v>6.32</v>
      </c>
      <c r="Z167" s="542">
        <f>ROUND([1]BDD!G157+FDP_FACT_KG, 2)</f>
        <v>6.32</v>
      </c>
      <c r="AA167" s="543" t="str">
        <f>[1]BDD!H157</f>
        <v>kg</v>
      </c>
      <c r="AB167" s="544">
        <f>IF(NOT(ISBLANK([1]BDD!I157)), ROUND(SUM(([1]BDD!G157*reduc1),FDP_CMD_KG), 2), "")</f>
        <v>5.78</v>
      </c>
      <c r="AC167" s="544">
        <f>IF(NOT(ISBLANK([1]BDD!J157)), ROUND(SUM(([1]BDD!G157*reduc2),FDP_CMD_KG), 2), "")</f>
        <v>5.23</v>
      </c>
      <c r="AD167" s="544">
        <f>IF(NOT(ISBLANK([1]BDD!K157)), ROUND(SUM(([1]BDD!G157*reduc3),FDP_CMD_KG), 2), "")</f>
        <v>4.6900000000000004</v>
      </c>
      <c r="AE167" s="544">
        <f>IF(NOT(ISBLANK([1]BDD!I157)), ROUND(SUM(([1]BDD!G157*reduc1),FDP_FACT_KG), 2), "")</f>
        <v>5.77</v>
      </c>
      <c r="AF167" s="544">
        <f>IF(NOT(ISBLANK([1]BDD!J157)), ROUND(SUM(([1]BDD!G157*reduc2),FDP_FACT_KG), 2), "")</f>
        <v>5.23</v>
      </c>
      <c r="AG167" s="544">
        <f>IF(NOT(ISBLANK([1]BDD!K157)), ROUND(SUM(([1]BDD!G157*reduc3),FDP_FACT_KG), 2), "")</f>
        <v>4.68</v>
      </c>
      <c r="AH167" s="599" t="str">
        <f>[1]BDD!C157</f>
        <v>Malaga</v>
      </c>
      <c r="AI167" s="598">
        <f>SUM(AV167,AY167,BB167,BE167,BH167,BK167,BN167,BQ167,BT167,BW167,BZ167,CC167,CF167,CI167,CL167,CO167,CR167,CU167,CX167,DA167)</f>
        <v>0</v>
      </c>
      <c r="AJ167" s="545">
        <f>_xlfn.IFS($AD167&lt;&gt;"", $AD167,    $AC167&lt;&gt;"", $AC167,    $AB167&lt;&gt;"", $AB167,    TRUE, $Y167)</f>
        <v>4.6900000000000004</v>
      </c>
      <c r="AK167" s="592">
        <f>$AI167*$AJ167</f>
        <v>0</v>
      </c>
      <c r="AL167" s="594"/>
      <c r="AM167" s="597">
        <v>3.17</v>
      </c>
      <c r="AN167" s="545">
        <f>_xlfn.IFS(AND(AM167&gt;=60,$AG167&lt;&gt;""), $AG167,    AND(AM167&gt;=30,$AF167&lt;&gt;""), $AF167,    AND(AM167&gt;=10,$AE167&lt;&gt;""), $AE167,    TRUE, $Z167)</f>
        <v>6.32</v>
      </c>
      <c r="AO167" s="596">
        <f>AM167*AN167</f>
        <v>20.034400000000002</v>
      </c>
      <c r="AP167" s="595"/>
      <c r="AQ167" s="595">
        <v>2</v>
      </c>
      <c r="AR167" s="594"/>
      <c r="AS167" s="593">
        <f>SUM(AW167,AZ167,BC167,BF167,BI167,BL167,BO167,BR167,BU167,BX167,CA167,CD167,CG167,CJ167,CM167,CP167,CS167,CV167,CY167,DB167)</f>
        <v>3.17</v>
      </c>
      <c r="AT167" s="545">
        <f>_xlfn.IFS(AND(AS167&gt;=60,$AG167&lt;&gt;""), $AG167,    AND(AS167&gt;=30,$AF167&lt;&gt;""), $AF167,    AND(AS167&gt;=10,$AE167&lt;&gt;""), $AE167,    TRUE, $Z167)</f>
        <v>6.32</v>
      </c>
      <c r="AU167" s="592">
        <f>$AS167*$AT167</f>
        <v>20.034400000000002</v>
      </c>
      <c r="AV167" s="591">
        <f>[1]COMMANDE!O165</f>
        <v>0</v>
      </c>
      <c r="AW167" s="586">
        <f>_xlfn.IFS(AND($AI167=$AM167,$AI167&gt;0,$AM167&gt;0,AV167&gt;0), AV167,     AND(NOT($AI167=$AM167),$AI167&gt;0,$AM167&gt;0,AV167&gt;0), ($AM167*AV167)/$AI167,     AND($AI167=0,$AM167&gt;0,$AQ167&gt;0), IF(INDEX(AV$12:AV$263,MATCH($AQ167,$AP$12:$AP$263,0))&gt;0,($AM167*INDEX(AV$12:AV$263,MATCH($AQ167,$AP$12:$AP$263,0)))/INDEX($AI$12:$AI$263,MATCH($AQ167,$AP$12:$AP$263,0)), "-"),     TRUE, "0")</f>
        <v>1.585</v>
      </c>
      <c r="AX167" s="588">
        <f>IF(AW$9&gt;0, IF(OR(AW167="",AW167="-"), 0, AW167*$AT167), AV167*$AJ167)</f>
        <v>10.017200000000001</v>
      </c>
      <c r="AY167" s="587">
        <f>[1]COMMANDE!Q165</f>
        <v>0</v>
      </c>
      <c r="AZ167" s="586">
        <f>_xlfn.IFS(AND($AI167=$AM167,$AI167&gt;0,$AM167&gt;0,AY167&gt;0), AY167,     AND(NOT($AI167=$AM167),$AI167&gt;0,$AM167&gt;0,AY167&gt;0), ($AM167*AY167)/$AI167,     AND($AI167=0,$AM167&gt;0,$AQ167&gt;0), IF(INDEX(AY$12:AY$263,MATCH($AQ167,$AP$12:$AP$263,0))&gt;0,($AM167*INDEX(AY$12:AY$263,MATCH($AQ167,$AP$12:$AP$263,0)))/INDEX($AI$12:$AI$263,MATCH($AQ167,$AP$12:$AP$263,0)), "-"),     TRUE, "0")</f>
        <v>1.585</v>
      </c>
      <c r="BA167" s="607">
        <f>IF(AZ$9&gt;0, IF(OR(AZ167="",AZ167="-"), 0, AZ167*$AT167), AY167*$AJ167)</f>
        <v>10.017200000000001</v>
      </c>
      <c r="BB167" s="589">
        <f>[1]COMMANDE!S165</f>
        <v>0</v>
      </c>
      <c r="BC167" s="586" t="str">
        <f>_xlfn.IFS(AND($AI167=$AM167,$AI167&gt;0,$AM167&gt;0,BB167&gt;0), BB167,     AND(NOT($AI167=$AM167),$AI167&gt;0,$AM167&gt;0,BB167&gt;0), ($AM167*BB167)/$AI167,     AND($AI167=0,$AM167&gt;0,$AQ167&gt;0), IF(INDEX(BB$12:BB$263,MATCH($AQ167,$AP$12:$AP$263,0))&gt;0,($AM167*INDEX(BB$12:BB$263,MATCH($AQ167,$AP$12:$AP$263,0)))/INDEX($AI$12:$AI$263,MATCH($AQ167,$AP$12:$AP$263,0)), "-"),     TRUE, "0")</f>
        <v>-</v>
      </c>
      <c r="BD167" s="588">
        <f>IF(BC$9&gt;0, IF(OR(BC167="",BC167="-"), 0, BC167*$AT167), BB167*$AJ167)</f>
        <v>0</v>
      </c>
      <c r="BE167" s="587">
        <f>[1]COMMANDE!U165</f>
        <v>0</v>
      </c>
      <c r="BF167" s="586" t="str">
        <f>_xlfn.IFS(AND($AI167=$AM167,$AI167&gt;0,$AM167&gt;0,BE167&gt;0), BE167,     AND(NOT($AI167=$AM167),$AI167&gt;0,$AM167&gt;0,BE167&gt;0), ($AM167*BE167)/$AI167,     AND($AI167=0,$AM167&gt;0,$AQ167&gt;0), IF(INDEX(BE$12:BE$263,MATCH($AQ167,$AP$12:$AP$263,0))&gt;0,($AM167*INDEX(BE$12:BE$263,MATCH($AQ167,$AP$12:$AP$263,0)))/INDEX($AI$12:$AI$263,MATCH($AQ167,$AP$12:$AP$263,0)), "-"),     TRUE, "0")</f>
        <v>-</v>
      </c>
      <c r="BG167" s="607">
        <f>IF(BF$9&gt;0, IF(OR(BF167="",BF167="-"), 0, BF167*$AT167), BE167*$AJ167)</f>
        <v>0</v>
      </c>
      <c r="BH167" s="589">
        <f>[1]COMMANDE!W165</f>
        <v>0</v>
      </c>
      <c r="BI167" s="586" t="str">
        <f>_xlfn.IFS(AND($AI167=$AM167,$AI167&gt;0,$AM167&gt;0,BH167&gt;0), BH167,     AND(NOT($AI167=$AM167),$AI167&gt;0,$AM167&gt;0,BH167&gt;0), ($AM167*BH167)/$AI167,     AND($AI167=0,$AM167&gt;0,$AQ167&gt;0), IF(INDEX(BH$12:BH$263,MATCH($AQ167,$AP$12:$AP$263,0))&gt;0,($AM167*INDEX(BH$12:BH$263,MATCH($AQ167,$AP$12:$AP$263,0)))/INDEX($AI$12:$AI$263,MATCH($AQ167,$AP$12:$AP$263,0)), "-"),     TRUE, "0")</f>
        <v>-</v>
      </c>
      <c r="BJ167" s="588">
        <f>IF(BI$9&gt;0, IF(OR(BI167="",BI167="-"), 0, BI167*$AT167), BH167*$AJ167)</f>
        <v>0</v>
      </c>
      <c r="BK167" s="587">
        <f>[1]COMMANDE!Y165</f>
        <v>0</v>
      </c>
      <c r="BL167" s="586" t="str">
        <f>_xlfn.IFS(AND($AI167=$AM167,$AI167&gt;0,$AM167&gt;0,BK167&gt;0), BK167,     AND(NOT($AI167=$AM167),$AI167&gt;0,$AM167&gt;0,BK167&gt;0), ($AM167*BK167)/$AI167,     AND($AI167=0,$AM167&gt;0,$AQ167&gt;0), IF(INDEX(BK$12:BK$263,MATCH($AQ167,$AP$12:$AP$263,0))&gt;0,($AM167*INDEX(BK$12:BK$263,MATCH($AQ167,$AP$12:$AP$263,0)))/INDEX($AI$12:$AI$263,MATCH($AQ167,$AP$12:$AP$263,0)), "-"),     TRUE, "0")</f>
        <v>-</v>
      </c>
      <c r="BM167" s="607">
        <f>IF(BL$9&gt;0, IF(OR(BL167="",BL167="-"), 0, BL167*$AT167), BK167*$AJ167)</f>
        <v>0</v>
      </c>
      <c r="BN167" s="589">
        <f>[1]COMMANDE!AA165</f>
        <v>0</v>
      </c>
      <c r="BO167" s="586" t="str">
        <f>_xlfn.IFS(AND($AI167=$AM167,$AI167&gt;0,$AM167&gt;0,BN167&gt;0), BN167,     AND(NOT($AI167=$AM167),$AI167&gt;0,$AM167&gt;0,BN167&gt;0), ($AM167*BN167)/$AI167,     AND($AI167=0,$AM167&gt;0,$AQ167&gt;0), IF(INDEX(BN$12:BN$263,MATCH($AQ167,$AP$12:$AP$263,0))&gt;0,($AM167*INDEX(BN$12:BN$263,MATCH($AQ167,$AP$12:$AP$263,0)))/INDEX($AI$12:$AI$263,MATCH($AQ167,$AP$12:$AP$263,0)), "-"),     TRUE, "0")</f>
        <v>-</v>
      </c>
      <c r="BP167" s="588">
        <f>IF(BO$9&gt;0, IF(OR(BO167="",BO167="-"), 0, BO167*$AT167), BN167*$AJ167)</f>
        <v>0</v>
      </c>
      <c r="BQ167" s="587">
        <f>[1]COMMANDE!AC165</f>
        <v>0</v>
      </c>
      <c r="BR167" s="586" t="str">
        <f>_xlfn.IFS(AND($AI167=$AM167,$AI167&gt;0,$AM167&gt;0,BQ167&gt;0), BQ167,     AND(NOT($AI167=$AM167),$AI167&gt;0,$AM167&gt;0,BQ167&gt;0), ($AM167*BQ167)/$AI167,     AND($AI167=0,$AM167&gt;0,$AQ167&gt;0), IF(INDEX(BQ$12:BQ$263,MATCH($AQ167,$AP$12:$AP$263,0))&gt;0,($AM167*INDEX(BQ$12:BQ$263,MATCH($AQ167,$AP$12:$AP$263,0)))/INDEX($AI$12:$AI$263,MATCH($AQ167,$AP$12:$AP$263,0)), "-"),     TRUE, "0")</f>
        <v>-</v>
      </c>
      <c r="BS167" s="607">
        <f>IF(BR$9&gt;0, IF(OR(BR167="",BR167="-"), 0, BR167*$AT167), BQ167*$AJ167)</f>
        <v>0</v>
      </c>
      <c r="BT167" s="589">
        <f>[1]COMMANDE!AE165</f>
        <v>0</v>
      </c>
      <c r="BU167" s="586" t="str">
        <f>_xlfn.IFS(AND($AI167=$AM167,$AI167&gt;0,$AM167&gt;0,BT167&gt;0), BT167,     AND(NOT($AI167=$AM167),$AI167&gt;0,$AM167&gt;0,BT167&gt;0), ($AM167*BT167)/$AI167,     AND($AI167=0,$AM167&gt;0,$AQ167&gt;0), IF(INDEX(BT$12:BT$263,MATCH($AQ167,$AP$12:$AP$263,0))&gt;0,($AM167*INDEX(BT$12:BT$263,MATCH($AQ167,$AP$12:$AP$263,0)))/INDEX($AI$12:$AI$263,MATCH($AQ167,$AP$12:$AP$263,0)), "-"),     TRUE, "0")</f>
        <v>-</v>
      </c>
      <c r="BV167" s="588">
        <f>IF(BU$9&gt;0, IF(OR(BU167="",BU167="-"), 0, BU167*$AT167), BT167*$AJ167)</f>
        <v>0</v>
      </c>
      <c r="BW167" s="587">
        <f>[1]COMMANDE!AG165</f>
        <v>0</v>
      </c>
      <c r="BX167" s="586" t="str">
        <f>_xlfn.IFS(AND($AI167=$AM167,$AI167&gt;0,$AM167&gt;0,BW167&gt;0), BW167,     AND(NOT($AI167=$AM167),$AI167&gt;0,$AM167&gt;0,BW167&gt;0), ($AM167*BW167)/$AI167,     AND($AI167=0,$AM167&gt;0,$AQ167&gt;0), IF(INDEX(BW$12:BW$263,MATCH($AQ167,$AP$12:$AP$263,0))&gt;0,($AM167*INDEX(BW$12:BW$263,MATCH($AQ167,$AP$12:$AP$263,0)))/INDEX($AI$12:$AI$263,MATCH($AQ167,$AP$12:$AP$263,0)), "-"),     TRUE, "0")</f>
        <v>-</v>
      </c>
      <c r="BY167" s="607">
        <f>IF(BX$9&gt;0, IF(OR(BX167="",BX167="-"), 0, BX167*$AT167), BW167*$AJ167)</f>
        <v>0</v>
      </c>
      <c r="BZ167" s="589">
        <f>[1]COMMANDE!AI165</f>
        <v>0</v>
      </c>
      <c r="CA167" s="586" t="str">
        <f>_xlfn.IFS(AND($AI167=$AM167,$AI167&gt;0,$AM167&gt;0,BZ167&gt;0), BZ167,     AND(NOT($AI167=$AM167),$AI167&gt;0,$AM167&gt;0,BZ167&gt;0), ($AM167*BZ167)/$AI167,     AND($AI167=0,$AM167&gt;0,$AQ167&gt;0), IF(INDEX(BZ$12:BZ$263,MATCH($AQ167,$AP$12:$AP$263,0))&gt;0,($AM167*INDEX(BZ$12:BZ$263,MATCH($AQ167,$AP$12:$AP$263,0)))/INDEX($AI$12:$AI$263,MATCH($AQ167,$AP$12:$AP$263,0)), "-"),     TRUE, "0")</f>
        <v>-</v>
      </c>
      <c r="CB167" s="588">
        <f>IF(CA$9&gt;0, IF(OR(CA167="",CA167="-"), 0, CA167*$AT167), BZ167*$AJ167)</f>
        <v>0</v>
      </c>
      <c r="CC167" s="587">
        <f>[1]COMMANDE!AK165</f>
        <v>0</v>
      </c>
      <c r="CD167" s="586" t="str">
        <f>_xlfn.IFS(AND($AI167=$AM167,$AI167&gt;0,$AM167&gt;0,CC167&gt;0), CC167,     AND(NOT($AI167=$AM167),$AI167&gt;0,$AM167&gt;0,CC167&gt;0), ($AM167*CC167)/$AI167,     AND($AI167=0,$AM167&gt;0,$AQ167&gt;0), IF(INDEX(CC$12:CC$263,MATCH($AQ167,$AP$12:$AP$263,0))&gt;0,($AM167*INDEX(CC$12:CC$263,MATCH($AQ167,$AP$12:$AP$263,0)))/INDEX($AI$12:$AI$263,MATCH($AQ167,$AP$12:$AP$263,0)), "-"),     TRUE, "0")</f>
        <v>-</v>
      </c>
      <c r="CE167" s="607">
        <f>IF(CD$9&gt;0, IF(OR(CD167="",CD167="-"), 0, CD167*$AT167), CC167*$AJ167)</f>
        <v>0</v>
      </c>
      <c r="CF167" s="589">
        <f>[1]COMMANDE!AM165</f>
        <v>0</v>
      </c>
      <c r="CG167" s="586" t="str">
        <f>_xlfn.IFS(AND($AI167=$AM167,$AI167&gt;0,$AM167&gt;0,CF167&gt;0), CF167,     AND(NOT($AI167=$AM167),$AI167&gt;0,$AM167&gt;0,CF167&gt;0), ($AM167*CF167)/$AI167,     AND($AI167=0,$AM167&gt;0,$AQ167&gt;0), IF(INDEX(CF$12:CF$263,MATCH($AQ167,$AP$12:$AP$263,0))&gt;0,($AM167*INDEX(CF$12:CF$263,MATCH($AQ167,$AP$12:$AP$263,0)))/INDEX($AI$12:$AI$263,MATCH($AQ167,$AP$12:$AP$263,0)), "-"),     TRUE, "0")</f>
        <v>-</v>
      </c>
      <c r="CH167" s="588">
        <f>IF(CG$9&gt;0, IF(OR(CG167="",CG167="-"), 0, CG167*$AT167), CF167*$AJ167)</f>
        <v>0</v>
      </c>
      <c r="CI167" s="587">
        <f>[1]COMMANDE!AO165</f>
        <v>0</v>
      </c>
      <c r="CJ167" s="586" t="str">
        <f>_xlfn.IFS(AND($AI167=$AM167,$AI167&gt;0,$AM167&gt;0,CI167&gt;0), CI167,     AND(NOT($AI167=$AM167),$AI167&gt;0,$AM167&gt;0,CI167&gt;0), ($AM167*CI167)/$AI167,     AND($AI167=0,$AM167&gt;0,$AQ167&gt;0), IF(INDEX(CI$12:CI$263,MATCH($AQ167,$AP$12:$AP$263,0))&gt;0,($AM167*INDEX(CI$12:CI$263,MATCH($AQ167,$AP$12:$AP$263,0)))/INDEX($AI$12:$AI$263,MATCH($AQ167,$AP$12:$AP$263,0)), "-"),     TRUE, "0")</f>
        <v>-</v>
      </c>
      <c r="CK167" s="607">
        <f>IF(CJ$9&gt;0, IF(OR(CJ167="",CJ167="-"), 0, CJ167*$AT167), CI167*$AJ167)</f>
        <v>0</v>
      </c>
      <c r="CL167" s="589">
        <f>[1]COMMANDE!AQ165</f>
        <v>0</v>
      </c>
      <c r="CM167" s="586" t="str">
        <f>_xlfn.IFS(AND($AI167=$AM167,$AI167&gt;0,$AM167&gt;0,CL167&gt;0), CL167,     AND(NOT($AI167=$AM167),$AI167&gt;0,$AM167&gt;0,CL167&gt;0), ($AM167*CL167)/$AI167,     AND($AI167=0,$AM167&gt;0,$AQ167&gt;0), IF(INDEX(CL$12:CL$263,MATCH($AQ167,$AP$12:$AP$263,0))&gt;0,($AM167*INDEX(CL$12:CL$263,MATCH($AQ167,$AP$12:$AP$263,0)))/INDEX($AI$12:$AI$263,MATCH($AQ167,$AP$12:$AP$263,0)), "-"),     TRUE, "0")</f>
        <v>-</v>
      </c>
      <c r="CN167" s="588">
        <f>IF(CM$9&gt;0, IF(OR(CM167="",CM167="-"), 0, CM167*$AT167), CL167*$AJ167)</f>
        <v>0</v>
      </c>
      <c r="CO167" s="587">
        <f>[1]COMMANDE!AS165</f>
        <v>0</v>
      </c>
      <c r="CP167" s="586" t="str">
        <f>_xlfn.IFS(AND($AI167=$AM167,$AI167&gt;0,$AM167&gt;0,CO167&gt;0), CO167,     AND(NOT($AI167=$AM167),$AI167&gt;0,$AM167&gt;0,CO167&gt;0), ($AM167*CO167)/$AI167,     AND($AI167=0,$AM167&gt;0,$AQ167&gt;0), IF(INDEX(CO$12:CO$263,MATCH($AQ167,$AP$12:$AP$263,0))&gt;0,($AM167*INDEX(CO$12:CO$263,MATCH($AQ167,$AP$12:$AP$263,0)))/INDEX($AI$12:$AI$263,MATCH($AQ167,$AP$12:$AP$263,0)), "-"),     TRUE, "0")</f>
        <v>-</v>
      </c>
      <c r="CQ167" s="607">
        <f>IF(CP$9&gt;0, IF(OR(CP167="",CP167="-"), 0, CP167*$AT167), CO167*$AJ167)</f>
        <v>0</v>
      </c>
      <c r="CR167" s="589">
        <f>[1]COMMANDE!AU165</f>
        <v>0</v>
      </c>
      <c r="CS167" s="586" t="str">
        <f>_xlfn.IFS(AND($AI167=$AM167,$AI167&gt;0,$AM167&gt;0,CR167&gt;0), CR167,     AND(NOT($AI167=$AM167),$AI167&gt;0,$AM167&gt;0,CR167&gt;0), ($AM167*CR167)/$AI167,     AND($AI167=0,$AM167&gt;0,$AQ167&gt;0), IF(INDEX(CR$12:CR$263,MATCH($AQ167,$AP$12:$AP$263,0))&gt;0,($AM167*INDEX(CR$12:CR$263,MATCH($AQ167,$AP$12:$AP$263,0)))/INDEX($AI$12:$AI$263,MATCH($AQ167,$AP$12:$AP$263,0)), "-"),     TRUE, "0")</f>
        <v>-</v>
      </c>
      <c r="CT167" s="588">
        <f>IF(CS$9&gt;0, IF(OR(CS167="",CS167="-"), 0, CS167*$AT167), CR167*$AJ167)</f>
        <v>0</v>
      </c>
      <c r="CU167" s="587">
        <f>[1]COMMANDE!AW165</f>
        <v>0</v>
      </c>
      <c r="CV167" s="586" t="str">
        <f>_xlfn.IFS(AND($AI167=$AM167,$AI167&gt;0,$AM167&gt;0,CU167&gt;0), CU167,     AND(NOT($AI167=$AM167),$AI167&gt;0,$AM167&gt;0,CU167&gt;0), ($AM167*CU167)/$AI167,     AND($AI167=0,$AM167&gt;0,$AQ167&gt;0), IF(INDEX(CU$12:CU$263,MATCH($AQ167,$AP$12:$AP$263,0))&gt;0,($AM167*INDEX(CU$12:CU$263,MATCH($AQ167,$AP$12:$AP$263,0)))/INDEX($AI$12:$AI$263,MATCH($AQ167,$AP$12:$AP$263,0)), "-"),     TRUE, "0")</f>
        <v>-</v>
      </c>
      <c r="CW167" s="607">
        <f>IF(CV$9&gt;0, IF(OR(CV167="",CV167="-"), 0, CV167*$AT167), CU167*$AJ167)</f>
        <v>0</v>
      </c>
      <c r="CX167" s="589">
        <f>[1]COMMANDE!AY165</f>
        <v>0</v>
      </c>
      <c r="CY167" s="586" t="str">
        <f>_xlfn.IFS(AND($AI167=$AM167,$AI167&gt;0,$AM167&gt;0,CX167&gt;0), CX167,     AND(NOT($AI167=$AM167),$AI167&gt;0,$AM167&gt;0,CX167&gt;0), ($AM167*CX167)/$AI167,     AND($AI167=0,$AM167&gt;0,$AQ167&gt;0), IF(INDEX(CX$12:CX$263,MATCH($AQ167,$AP$12:$AP$263,0))&gt;0,($AM167*INDEX(CX$12:CX$263,MATCH($AQ167,$AP$12:$AP$263,0)))/INDEX($AI$12:$AI$263,MATCH($AQ167,$AP$12:$AP$263,0)), "-"),     TRUE, "0")</f>
        <v>-</v>
      </c>
      <c r="CZ167" s="588">
        <f>IF(CY$9&gt;0, IF(OR(CY167="",CY167="-"), 0, CY167*$AT167), CX167*$AJ167)</f>
        <v>0</v>
      </c>
      <c r="DA167" s="587">
        <f>[1]COMMANDE!BA165</f>
        <v>0</v>
      </c>
      <c r="DB167" s="586" t="str">
        <f>_xlfn.IFS(AND($AI167=$AM167,$AI167&gt;0,$AM167&gt;0,DA167&gt;0), DA167,     AND(NOT($AI167=$AM167),$AI167&gt;0,$AM167&gt;0,DA167&gt;0), ($AM167*DA167)/$AI167,     AND($AI167=0,$AM167&gt;0,$AQ167&gt;0), IF(INDEX(DA$12:DA$263,MATCH($AQ167,$AP$12:$AP$263,0))&gt;0,($AM167*INDEX(DA$12:DA$263,MATCH($AQ167,$AP$12:$AP$263,0)))/INDEX($AI$12:$AI$263,MATCH($AQ167,$AP$12:$AP$263,0)), "-"),     TRUE, "0")</f>
        <v>-</v>
      </c>
      <c r="DC167" s="606">
        <f>IF(DB$9&gt;0, IF(OR(DB167="",DB167="-"), 0, DB167*$AT167), DA167*$AJ167)</f>
        <v>0</v>
      </c>
      <c r="DD167" s="584"/>
      <c r="DE167" s="583"/>
    </row>
    <row r="168" spans="1:109" ht="39.950000000000003" hidden="1" customHeight="1">
      <c r="A168" s="604">
        <f>IF(OR($AV168&gt;0, $AX168&gt;0), 1, 0)</f>
        <v>0</v>
      </c>
      <c r="B168" s="604">
        <f>IF(OR($AY168&gt;0, $BA168&gt;0), 1, 0)</f>
        <v>0</v>
      </c>
      <c r="C168" s="604">
        <f>IF(OR($BB168&gt;0, $BD168&gt;0), 1, 0)</f>
        <v>0</v>
      </c>
      <c r="D168" s="604">
        <f>IF(OR($BE168&gt;0, $BG168&gt;0), 1, 0)</f>
        <v>0</v>
      </c>
      <c r="E168" s="604">
        <f>IF(OR($BH168&gt;0, $BJ168&gt;0), 1, 0)</f>
        <v>0</v>
      </c>
      <c r="F168" s="604">
        <f>IF(OR($BK168&gt;0, $BM168&gt;0), 1, 0)</f>
        <v>0</v>
      </c>
      <c r="G168" s="604">
        <f>IF(OR($BN168&gt;0, $BP168&gt;0), 1, 0)</f>
        <v>0</v>
      </c>
      <c r="H168" s="604">
        <f>IF(OR($BQ168&gt;0, $BS168&gt;0), 1, 0)</f>
        <v>0</v>
      </c>
      <c r="I168" s="604">
        <f>IF(OR($BT168&gt;0, $BV168&gt;0), 1, 0)</f>
        <v>0</v>
      </c>
      <c r="J168" s="604">
        <f>IF(OR($BW168&gt;0, $BY168&gt;0), 1, 0)</f>
        <v>0</v>
      </c>
      <c r="K168" s="604">
        <f>IF(OR($BZ168&gt;0, $CB168&gt;0), 1, 0)</f>
        <v>0</v>
      </c>
      <c r="L168" s="604">
        <f>IF(OR($CC168&gt;0, $CE168&gt;0), 1, 0)</f>
        <v>0</v>
      </c>
      <c r="M168" s="604">
        <f>IF(OR($CF168&gt;0, $CH168&gt;0), 1, 0)</f>
        <v>0</v>
      </c>
      <c r="N168" s="604">
        <f>IF(OR($CI168&gt;0, $CK168&gt;0), 1, 0)</f>
        <v>0</v>
      </c>
      <c r="O168" s="604">
        <f>IF(OR($CL168&gt;0, $CN168&gt;0), 1, 0)</f>
        <v>0</v>
      </c>
      <c r="P168" s="604">
        <f>IF(OR($CO168&gt;0, $CQ168&gt;0), 1, 0)</f>
        <v>0</v>
      </c>
      <c r="Q168" s="604">
        <f>IF(OR($CR168&gt;0, $CT168&gt;0), 1, 0)</f>
        <v>0</v>
      </c>
      <c r="R168" s="604">
        <f>IF(OR($CU168&gt;0, $CW168&gt;0), 1, 0)</f>
        <v>0</v>
      </c>
      <c r="S168" s="604">
        <f>IF(OR($CX168&gt;0, $CZ168&gt;0), 1, 0)</f>
        <v>0</v>
      </c>
      <c r="T168" s="604">
        <f>IF(OR($DA168&gt;0, $DC168&gt;0), 1, 0)</f>
        <v>0</v>
      </c>
      <c r="U168" s="603">
        <f>IF(OR($AI168&gt;0,$AM168&gt;0,$AS168&gt;0), 1, 0)</f>
        <v>0</v>
      </c>
      <c r="V168" s="602">
        <f>[1]BDD!A158</f>
        <v>3190</v>
      </c>
      <c r="W168" s="601" t="str">
        <f>[1]BDD!B158</f>
        <v>Mangue Osteen</v>
      </c>
      <c r="X168" s="600" t="str">
        <f>IF([1]BDD!F158=0, "", [1]BDD!F158)</f>
        <v>❤️</v>
      </c>
      <c r="Y168" s="542">
        <f>ROUND([1]BDD!G158+FDP_CMD_KG, 2)</f>
        <v>5.51</v>
      </c>
      <c r="Z168" s="542">
        <f>ROUND([1]BDD!G158+FDP_FACT_KG, 2)</f>
        <v>5.51</v>
      </c>
      <c r="AA168" s="543" t="str">
        <f>[1]BDD!H158</f>
        <v>kg</v>
      </c>
      <c r="AB168" s="544">
        <f>IF(NOT(ISBLANK([1]BDD!I158)), ROUND(SUM(([1]BDD!G158*reduc1),FDP_CMD_KG), 2), "")</f>
        <v>5.05</v>
      </c>
      <c r="AC168" s="544">
        <f>IF(NOT(ISBLANK([1]BDD!J158)), ROUND(SUM(([1]BDD!G158*reduc2),FDP_CMD_KG), 2), "")</f>
        <v>4.59</v>
      </c>
      <c r="AD168" s="544">
        <f>IF(NOT(ISBLANK([1]BDD!K158)), ROUND(SUM(([1]BDD!G158*reduc3),FDP_CMD_KG), 2), "")</f>
        <v>4.12</v>
      </c>
      <c r="AE168" s="544">
        <f>IF(NOT(ISBLANK([1]BDD!I158)), ROUND(SUM(([1]BDD!G158*reduc1),FDP_FACT_KG), 2), "")</f>
        <v>5.04</v>
      </c>
      <c r="AF168" s="544">
        <f>IF(NOT(ISBLANK([1]BDD!J158)), ROUND(SUM(([1]BDD!G158*reduc2),FDP_FACT_KG), 2), "")</f>
        <v>4.58</v>
      </c>
      <c r="AG168" s="544">
        <f>IF(NOT(ISBLANK([1]BDD!K158)), ROUND(SUM(([1]BDD!G158*reduc3),FDP_FACT_KG), 2), "")</f>
        <v>4.1100000000000003</v>
      </c>
      <c r="AH168" s="599" t="str">
        <f>[1]BDD!C158</f>
        <v>Grenade</v>
      </c>
      <c r="AI168" s="598">
        <f>SUM(AV168,AY168,BB168,BE168,BH168,BK168,BN168,BQ168,BT168,BW168,BZ168,CC168,CF168,CI168,CL168,CO168,CR168,CU168,CX168,DA168)</f>
        <v>0</v>
      </c>
      <c r="AJ168" s="545">
        <f>_xlfn.IFS($AD168&lt;&gt;"", $AD168,    $AC168&lt;&gt;"", $AC168,    $AB168&lt;&gt;"", $AB168,    TRUE, $Y168)</f>
        <v>4.12</v>
      </c>
      <c r="AK168" s="592">
        <f>$AI168*$AJ168</f>
        <v>0</v>
      </c>
      <c r="AL168" s="594"/>
      <c r="AM168" s="597"/>
      <c r="AN168" s="545">
        <f>_xlfn.IFS(AND(AM168&gt;=60,$AG168&lt;&gt;""), $AG168,    AND(AM168&gt;=30,$AF168&lt;&gt;""), $AF168,    AND(AM168&gt;=10,$AE168&lt;&gt;""), $AE168,    TRUE, $Z168)</f>
        <v>5.51</v>
      </c>
      <c r="AO168" s="596">
        <f>AM168*AN168</f>
        <v>0</v>
      </c>
      <c r="AP168" s="595"/>
      <c r="AQ168" s="595"/>
      <c r="AR168" s="594"/>
      <c r="AS168" s="593">
        <f>SUM(AW168,AZ168,BC168,BF168,BI168,BL168,BO168,BR168,BU168,BX168,CA168,CD168,CG168,CJ168,CM168,CP168,CS168,CV168,CY168,DB168)</f>
        <v>0</v>
      </c>
      <c r="AT168" s="545">
        <f>_xlfn.IFS(AND(AS168&gt;=60,$AG168&lt;&gt;""), $AG168,    AND(AS168&gt;=30,$AF168&lt;&gt;""), $AF168,    AND(AS168&gt;=10,$AE168&lt;&gt;""), $AE168,    TRUE, $Z168)</f>
        <v>5.51</v>
      </c>
      <c r="AU168" s="592">
        <f>$AS168*$AT168</f>
        <v>0</v>
      </c>
      <c r="AV168" s="591">
        <f>[1]COMMANDE!O166</f>
        <v>0</v>
      </c>
      <c r="AW168" s="586" t="str">
        <f>_xlfn.IFS(AND($AI168=$AM168,$AI168&gt;0,$AM168&gt;0,AV168&gt;0), AV168,     AND(NOT($AI168=$AM168),$AI168&gt;0,$AM168&gt;0,AV168&gt;0), ($AM168*AV168)/$AI168,     AND($AI168=0,$AM168&gt;0,$AQ168&gt;0), IF(INDEX(AV$12:AV$263,MATCH($AQ168,$AP$12:$AP$263,0))&gt;0,($AM168*INDEX(AV$12:AV$263,MATCH($AQ168,$AP$12:$AP$263,0)))/INDEX($AI$12:$AI$263,MATCH($AQ168,$AP$12:$AP$263,0)), "-"),     TRUE, "0")</f>
        <v>0</v>
      </c>
      <c r="AX168" s="588">
        <f>IF(AW$9&gt;0, IF(OR(AW168="",AW168="-"), 0, AW168*$AT168), AV168*$AJ168)</f>
        <v>0</v>
      </c>
      <c r="AY168" s="587">
        <f>[1]COMMANDE!Q166</f>
        <v>0</v>
      </c>
      <c r="AZ168" s="586" t="str">
        <f>_xlfn.IFS(AND($AI168=$AM168,$AI168&gt;0,$AM168&gt;0,AY168&gt;0), AY168,     AND(NOT($AI168=$AM168),$AI168&gt;0,$AM168&gt;0,AY168&gt;0), ($AM168*AY168)/$AI168,     AND($AI168=0,$AM168&gt;0,$AQ168&gt;0), IF(INDEX(AY$12:AY$263,MATCH($AQ168,$AP$12:$AP$263,0))&gt;0,($AM168*INDEX(AY$12:AY$263,MATCH($AQ168,$AP$12:$AP$263,0)))/INDEX($AI$12:$AI$263,MATCH($AQ168,$AP$12:$AP$263,0)), "-"),     TRUE, "0")</f>
        <v>0</v>
      </c>
      <c r="BA168" s="607">
        <f>IF(AZ$9&gt;0, IF(OR(AZ168="",AZ168="-"), 0, AZ168*$AT168), AY168*$AJ168)</f>
        <v>0</v>
      </c>
      <c r="BB168" s="589">
        <f>[1]COMMANDE!S166</f>
        <v>0</v>
      </c>
      <c r="BC168" s="586" t="str">
        <f>_xlfn.IFS(AND($AI168=$AM168,$AI168&gt;0,$AM168&gt;0,BB168&gt;0), BB168,     AND(NOT($AI168=$AM168),$AI168&gt;0,$AM168&gt;0,BB168&gt;0), ($AM168*BB168)/$AI168,     AND($AI168=0,$AM168&gt;0,$AQ168&gt;0), IF(INDEX(BB$12:BB$263,MATCH($AQ168,$AP$12:$AP$263,0))&gt;0,($AM168*INDEX(BB$12:BB$263,MATCH($AQ168,$AP$12:$AP$263,0)))/INDEX($AI$12:$AI$263,MATCH($AQ168,$AP$12:$AP$263,0)), "-"),     TRUE, "0")</f>
        <v>0</v>
      </c>
      <c r="BD168" s="588">
        <f>IF(BC$9&gt;0, IF(OR(BC168="",BC168="-"), 0, BC168*$AT168), BB168*$AJ168)</f>
        <v>0</v>
      </c>
      <c r="BE168" s="587">
        <f>[1]COMMANDE!U166</f>
        <v>0</v>
      </c>
      <c r="BF168" s="586" t="str">
        <f>_xlfn.IFS(AND($AI168=$AM168,$AI168&gt;0,$AM168&gt;0,BE168&gt;0), BE168,     AND(NOT($AI168=$AM168),$AI168&gt;0,$AM168&gt;0,BE168&gt;0), ($AM168*BE168)/$AI168,     AND($AI168=0,$AM168&gt;0,$AQ168&gt;0), IF(INDEX(BE$12:BE$263,MATCH($AQ168,$AP$12:$AP$263,0))&gt;0,($AM168*INDEX(BE$12:BE$263,MATCH($AQ168,$AP$12:$AP$263,0)))/INDEX($AI$12:$AI$263,MATCH($AQ168,$AP$12:$AP$263,0)), "-"),     TRUE, "0")</f>
        <v>0</v>
      </c>
      <c r="BG168" s="607">
        <f>IF(BF$9&gt;0, IF(OR(BF168="",BF168="-"), 0, BF168*$AT168), BE168*$AJ168)</f>
        <v>0</v>
      </c>
      <c r="BH168" s="589">
        <f>[1]COMMANDE!W166</f>
        <v>0</v>
      </c>
      <c r="BI168" s="586" t="str">
        <f>_xlfn.IFS(AND($AI168=$AM168,$AI168&gt;0,$AM168&gt;0,BH168&gt;0), BH168,     AND(NOT($AI168=$AM168),$AI168&gt;0,$AM168&gt;0,BH168&gt;0), ($AM168*BH168)/$AI168,     AND($AI168=0,$AM168&gt;0,$AQ168&gt;0), IF(INDEX(BH$12:BH$263,MATCH($AQ168,$AP$12:$AP$263,0))&gt;0,($AM168*INDEX(BH$12:BH$263,MATCH($AQ168,$AP$12:$AP$263,0)))/INDEX($AI$12:$AI$263,MATCH($AQ168,$AP$12:$AP$263,0)), "-"),     TRUE, "0")</f>
        <v>0</v>
      </c>
      <c r="BJ168" s="588">
        <f>IF(BI$9&gt;0, IF(OR(BI168="",BI168="-"), 0, BI168*$AT168), BH168*$AJ168)</f>
        <v>0</v>
      </c>
      <c r="BK168" s="587">
        <f>[1]COMMANDE!Y166</f>
        <v>0</v>
      </c>
      <c r="BL168" s="586" t="str">
        <f>_xlfn.IFS(AND($AI168=$AM168,$AI168&gt;0,$AM168&gt;0,BK168&gt;0), BK168,     AND(NOT($AI168=$AM168),$AI168&gt;0,$AM168&gt;0,BK168&gt;0), ($AM168*BK168)/$AI168,     AND($AI168=0,$AM168&gt;0,$AQ168&gt;0), IF(INDEX(BK$12:BK$263,MATCH($AQ168,$AP$12:$AP$263,0))&gt;0,($AM168*INDEX(BK$12:BK$263,MATCH($AQ168,$AP$12:$AP$263,0)))/INDEX($AI$12:$AI$263,MATCH($AQ168,$AP$12:$AP$263,0)), "-"),     TRUE, "0")</f>
        <v>0</v>
      </c>
      <c r="BM168" s="607">
        <f>IF(BL$9&gt;0, IF(OR(BL168="",BL168="-"), 0, BL168*$AT168), BK168*$AJ168)</f>
        <v>0</v>
      </c>
      <c r="BN168" s="589">
        <f>[1]COMMANDE!AA166</f>
        <v>0</v>
      </c>
      <c r="BO168" s="586" t="str">
        <f>_xlfn.IFS(AND($AI168=$AM168,$AI168&gt;0,$AM168&gt;0,BN168&gt;0), BN168,     AND(NOT($AI168=$AM168),$AI168&gt;0,$AM168&gt;0,BN168&gt;0), ($AM168*BN168)/$AI168,     AND($AI168=0,$AM168&gt;0,$AQ168&gt;0), IF(INDEX(BN$12:BN$263,MATCH($AQ168,$AP$12:$AP$263,0))&gt;0,($AM168*INDEX(BN$12:BN$263,MATCH($AQ168,$AP$12:$AP$263,0)))/INDEX($AI$12:$AI$263,MATCH($AQ168,$AP$12:$AP$263,0)), "-"),     TRUE, "0")</f>
        <v>0</v>
      </c>
      <c r="BP168" s="588">
        <f>IF(BO$9&gt;0, IF(OR(BO168="",BO168="-"), 0, BO168*$AT168), BN168*$AJ168)</f>
        <v>0</v>
      </c>
      <c r="BQ168" s="587">
        <f>[1]COMMANDE!AC166</f>
        <v>0</v>
      </c>
      <c r="BR168" s="586" t="str">
        <f>_xlfn.IFS(AND($AI168=$AM168,$AI168&gt;0,$AM168&gt;0,BQ168&gt;0), BQ168,     AND(NOT($AI168=$AM168),$AI168&gt;0,$AM168&gt;0,BQ168&gt;0), ($AM168*BQ168)/$AI168,     AND($AI168=0,$AM168&gt;0,$AQ168&gt;0), IF(INDEX(BQ$12:BQ$263,MATCH($AQ168,$AP$12:$AP$263,0))&gt;0,($AM168*INDEX(BQ$12:BQ$263,MATCH($AQ168,$AP$12:$AP$263,0)))/INDEX($AI$12:$AI$263,MATCH($AQ168,$AP$12:$AP$263,0)), "-"),     TRUE, "0")</f>
        <v>0</v>
      </c>
      <c r="BS168" s="607">
        <f>IF(BR$9&gt;0, IF(OR(BR168="",BR168="-"), 0, BR168*$AT168), BQ168*$AJ168)</f>
        <v>0</v>
      </c>
      <c r="BT168" s="589">
        <f>[1]COMMANDE!AE166</f>
        <v>0</v>
      </c>
      <c r="BU168" s="586" t="str">
        <f>_xlfn.IFS(AND($AI168=$AM168,$AI168&gt;0,$AM168&gt;0,BT168&gt;0), BT168,     AND(NOT($AI168=$AM168),$AI168&gt;0,$AM168&gt;0,BT168&gt;0), ($AM168*BT168)/$AI168,     AND($AI168=0,$AM168&gt;0,$AQ168&gt;0), IF(INDEX(BT$12:BT$263,MATCH($AQ168,$AP$12:$AP$263,0))&gt;0,($AM168*INDEX(BT$12:BT$263,MATCH($AQ168,$AP$12:$AP$263,0)))/INDEX($AI$12:$AI$263,MATCH($AQ168,$AP$12:$AP$263,0)), "-"),     TRUE, "0")</f>
        <v>0</v>
      </c>
      <c r="BV168" s="588">
        <f>IF(BU$9&gt;0, IF(OR(BU168="",BU168="-"), 0, BU168*$AT168), BT168*$AJ168)</f>
        <v>0</v>
      </c>
      <c r="BW168" s="587">
        <f>[1]COMMANDE!AG166</f>
        <v>0</v>
      </c>
      <c r="BX168" s="586" t="str">
        <f>_xlfn.IFS(AND($AI168=$AM168,$AI168&gt;0,$AM168&gt;0,BW168&gt;0), BW168,     AND(NOT($AI168=$AM168),$AI168&gt;0,$AM168&gt;0,BW168&gt;0), ($AM168*BW168)/$AI168,     AND($AI168=0,$AM168&gt;0,$AQ168&gt;0), IF(INDEX(BW$12:BW$263,MATCH($AQ168,$AP$12:$AP$263,0))&gt;0,($AM168*INDEX(BW$12:BW$263,MATCH($AQ168,$AP$12:$AP$263,0)))/INDEX($AI$12:$AI$263,MATCH($AQ168,$AP$12:$AP$263,0)), "-"),     TRUE, "0")</f>
        <v>0</v>
      </c>
      <c r="BY168" s="607">
        <f>IF(BX$9&gt;0, IF(OR(BX168="",BX168="-"), 0, BX168*$AT168), BW168*$AJ168)</f>
        <v>0</v>
      </c>
      <c r="BZ168" s="589">
        <f>[1]COMMANDE!AI166</f>
        <v>0</v>
      </c>
      <c r="CA168" s="586" t="str">
        <f>_xlfn.IFS(AND($AI168=$AM168,$AI168&gt;0,$AM168&gt;0,BZ168&gt;0), BZ168,     AND(NOT($AI168=$AM168),$AI168&gt;0,$AM168&gt;0,BZ168&gt;0), ($AM168*BZ168)/$AI168,     AND($AI168=0,$AM168&gt;0,$AQ168&gt;0), IF(INDEX(BZ$12:BZ$263,MATCH($AQ168,$AP$12:$AP$263,0))&gt;0,($AM168*INDEX(BZ$12:BZ$263,MATCH($AQ168,$AP$12:$AP$263,0)))/INDEX($AI$12:$AI$263,MATCH($AQ168,$AP$12:$AP$263,0)), "-"),     TRUE, "0")</f>
        <v>0</v>
      </c>
      <c r="CB168" s="588">
        <f>IF(CA$9&gt;0, IF(OR(CA168="",CA168="-"), 0, CA168*$AT168), BZ168*$AJ168)</f>
        <v>0</v>
      </c>
      <c r="CC168" s="587">
        <f>[1]COMMANDE!AK166</f>
        <v>0</v>
      </c>
      <c r="CD168" s="586" t="str">
        <f>_xlfn.IFS(AND($AI168=$AM168,$AI168&gt;0,$AM168&gt;0,CC168&gt;0), CC168,     AND(NOT($AI168=$AM168),$AI168&gt;0,$AM168&gt;0,CC168&gt;0), ($AM168*CC168)/$AI168,     AND($AI168=0,$AM168&gt;0,$AQ168&gt;0), IF(INDEX(CC$12:CC$263,MATCH($AQ168,$AP$12:$AP$263,0))&gt;0,($AM168*INDEX(CC$12:CC$263,MATCH($AQ168,$AP$12:$AP$263,0)))/INDEX($AI$12:$AI$263,MATCH($AQ168,$AP$12:$AP$263,0)), "-"),     TRUE, "0")</f>
        <v>0</v>
      </c>
      <c r="CE168" s="607">
        <f>IF(CD$9&gt;0, IF(OR(CD168="",CD168="-"), 0, CD168*$AT168), CC168*$AJ168)</f>
        <v>0</v>
      </c>
      <c r="CF168" s="589">
        <f>[1]COMMANDE!AM166</f>
        <v>0</v>
      </c>
      <c r="CG168" s="586" t="str">
        <f>_xlfn.IFS(AND($AI168=$AM168,$AI168&gt;0,$AM168&gt;0,CF168&gt;0), CF168,     AND(NOT($AI168=$AM168),$AI168&gt;0,$AM168&gt;0,CF168&gt;0), ($AM168*CF168)/$AI168,     AND($AI168=0,$AM168&gt;0,$AQ168&gt;0), IF(INDEX(CF$12:CF$263,MATCH($AQ168,$AP$12:$AP$263,0))&gt;0,($AM168*INDEX(CF$12:CF$263,MATCH($AQ168,$AP$12:$AP$263,0)))/INDEX($AI$12:$AI$263,MATCH($AQ168,$AP$12:$AP$263,0)), "-"),     TRUE, "0")</f>
        <v>0</v>
      </c>
      <c r="CH168" s="588">
        <f>IF(CG$9&gt;0, IF(OR(CG168="",CG168="-"), 0, CG168*$AT168), CF168*$AJ168)</f>
        <v>0</v>
      </c>
      <c r="CI168" s="587">
        <f>[1]COMMANDE!AO166</f>
        <v>0</v>
      </c>
      <c r="CJ168" s="586" t="str">
        <f>_xlfn.IFS(AND($AI168=$AM168,$AI168&gt;0,$AM168&gt;0,CI168&gt;0), CI168,     AND(NOT($AI168=$AM168),$AI168&gt;0,$AM168&gt;0,CI168&gt;0), ($AM168*CI168)/$AI168,     AND($AI168=0,$AM168&gt;0,$AQ168&gt;0), IF(INDEX(CI$12:CI$263,MATCH($AQ168,$AP$12:$AP$263,0))&gt;0,($AM168*INDEX(CI$12:CI$263,MATCH($AQ168,$AP$12:$AP$263,0)))/INDEX($AI$12:$AI$263,MATCH($AQ168,$AP$12:$AP$263,0)), "-"),     TRUE, "0")</f>
        <v>0</v>
      </c>
      <c r="CK168" s="607">
        <f>IF(CJ$9&gt;0, IF(OR(CJ168="",CJ168="-"), 0, CJ168*$AT168), CI168*$AJ168)</f>
        <v>0</v>
      </c>
      <c r="CL168" s="589">
        <f>[1]COMMANDE!AQ166</f>
        <v>0</v>
      </c>
      <c r="CM168" s="586" t="str">
        <f>_xlfn.IFS(AND($AI168=$AM168,$AI168&gt;0,$AM168&gt;0,CL168&gt;0), CL168,     AND(NOT($AI168=$AM168),$AI168&gt;0,$AM168&gt;0,CL168&gt;0), ($AM168*CL168)/$AI168,     AND($AI168=0,$AM168&gt;0,$AQ168&gt;0), IF(INDEX(CL$12:CL$263,MATCH($AQ168,$AP$12:$AP$263,0))&gt;0,($AM168*INDEX(CL$12:CL$263,MATCH($AQ168,$AP$12:$AP$263,0)))/INDEX($AI$12:$AI$263,MATCH($AQ168,$AP$12:$AP$263,0)), "-"),     TRUE, "0")</f>
        <v>0</v>
      </c>
      <c r="CN168" s="588">
        <f>IF(CM$9&gt;0, IF(OR(CM168="",CM168="-"), 0, CM168*$AT168), CL168*$AJ168)</f>
        <v>0</v>
      </c>
      <c r="CO168" s="587">
        <f>[1]COMMANDE!AS166</f>
        <v>0</v>
      </c>
      <c r="CP168" s="586" t="str">
        <f>_xlfn.IFS(AND($AI168=$AM168,$AI168&gt;0,$AM168&gt;0,CO168&gt;0), CO168,     AND(NOT($AI168=$AM168),$AI168&gt;0,$AM168&gt;0,CO168&gt;0), ($AM168*CO168)/$AI168,     AND($AI168=0,$AM168&gt;0,$AQ168&gt;0), IF(INDEX(CO$12:CO$263,MATCH($AQ168,$AP$12:$AP$263,0))&gt;0,($AM168*INDEX(CO$12:CO$263,MATCH($AQ168,$AP$12:$AP$263,0)))/INDEX($AI$12:$AI$263,MATCH($AQ168,$AP$12:$AP$263,0)), "-"),     TRUE, "0")</f>
        <v>0</v>
      </c>
      <c r="CQ168" s="607">
        <f>IF(CP$9&gt;0, IF(OR(CP168="",CP168="-"), 0, CP168*$AT168), CO168*$AJ168)</f>
        <v>0</v>
      </c>
      <c r="CR168" s="589">
        <f>[1]COMMANDE!AU166</f>
        <v>0</v>
      </c>
      <c r="CS168" s="586" t="str">
        <f>_xlfn.IFS(AND($AI168=$AM168,$AI168&gt;0,$AM168&gt;0,CR168&gt;0), CR168,     AND(NOT($AI168=$AM168),$AI168&gt;0,$AM168&gt;0,CR168&gt;0), ($AM168*CR168)/$AI168,     AND($AI168=0,$AM168&gt;0,$AQ168&gt;0), IF(INDEX(CR$12:CR$263,MATCH($AQ168,$AP$12:$AP$263,0))&gt;0,($AM168*INDEX(CR$12:CR$263,MATCH($AQ168,$AP$12:$AP$263,0)))/INDEX($AI$12:$AI$263,MATCH($AQ168,$AP$12:$AP$263,0)), "-"),     TRUE, "0")</f>
        <v>0</v>
      </c>
      <c r="CT168" s="588">
        <f>IF(CS$9&gt;0, IF(OR(CS168="",CS168="-"), 0, CS168*$AT168), CR168*$AJ168)</f>
        <v>0</v>
      </c>
      <c r="CU168" s="587">
        <f>[1]COMMANDE!AW166</f>
        <v>0</v>
      </c>
      <c r="CV168" s="586" t="str">
        <f>_xlfn.IFS(AND($AI168=$AM168,$AI168&gt;0,$AM168&gt;0,CU168&gt;0), CU168,     AND(NOT($AI168=$AM168),$AI168&gt;0,$AM168&gt;0,CU168&gt;0), ($AM168*CU168)/$AI168,     AND($AI168=0,$AM168&gt;0,$AQ168&gt;0), IF(INDEX(CU$12:CU$263,MATCH($AQ168,$AP$12:$AP$263,0))&gt;0,($AM168*INDEX(CU$12:CU$263,MATCH($AQ168,$AP$12:$AP$263,0)))/INDEX($AI$12:$AI$263,MATCH($AQ168,$AP$12:$AP$263,0)), "-"),     TRUE, "0")</f>
        <v>0</v>
      </c>
      <c r="CW168" s="607">
        <f>IF(CV$9&gt;0, IF(OR(CV168="",CV168="-"), 0, CV168*$AT168), CU168*$AJ168)</f>
        <v>0</v>
      </c>
      <c r="CX168" s="589">
        <f>[1]COMMANDE!AY166</f>
        <v>0</v>
      </c>
      <c r="CY168" s="586" t="str">
        <f>_xlfn.IFS(AND($AI168=$AM168,$AI168&gt;0,$AM168&gt;0,CX168&gt;0), CX168,     AND(NOT($AI168=$AM168),$AI168&gt;0,$AM168&gt;0,CX168&gt;0), ($AM168*CX168)/$AI168,     AND($AI168=0,$AM168&gt;0,$AQ168&gt;0), IF(INDEX(CX$12:CX$263,MATCH($AQ168,$AP$12:$AP$263,0))&gt;0,($AM168*INDEX(CX$12:CX$263,MATCH($AQ168,$AP$12:$AP$263,0)))/INDEX($AI$12:$AI$263,MATCH($AQ168,$AP$12:$AP$263,0)), "-"),     TRUE, "0")</f>
        <v>0</v>
      </c>
      <c r="CZ168" s="588">
        <f>IF(CY$9&gt;0, IF(OR(CY168="",CY168="-"), 0, CY168*$AT168), CX168*$AJ168)</f>
        <v>0</v>
      </c>
      <c r="DA168" s="587">
        <f>[1]COMMANDE!BA166</f>
        <v>0</v>
      </c>
      <c r="DB168" s="586" t="str">
        <f>_xlfn.IFS(AND($AI168=$AM168,$AI168&gt;0,$AM168&gt;0,DA168&gt;0), DA168,     AND(NOT($AI168=$AM168),$AI168&gt;0,$AM168&gt;0,DA168&gt;0), ($AM168*DA168)/$AI168,     AND($AI168=0,$AM168&gt;0,$AQ168&gt;0), IF(INDEX(DA$12:DA$263,MATCH($AQ168,$AP$12:$AP$263,0))&gt;0,($AM168*INDEX(DA$12:DA$263,MATCH($AQ168,$AP$12:$AP$263,0)))/INDEX($AI$12:$AI$263,MATCH($AQ168,$AP$12:$AP$263,0)), "-"),     TRUE, "0")</f>
        <v>0</v>
      </c>
      <c r="DC168" s="606">
        <f>IF(DB$9&gt;0, IF(OR(DB168="",DB168="-"), 0, DB168*$AT168), DA168*$AJ168)</f>
        <v>0</v>
      </c>
      <c r="DD168" s="584"/>
      <c r="DE168" s="583"/>
    </row>
    <row r="169" spans="1:109" ht="39.950000000000003" hidden="1" customHeight="1">
      <c r="A169" s="604">
        <f>IF(OR($AV169&gt;0, $AX169&gt;0), 1, 0)</f>
        <v>0</v>
      </c>
      <c r="B169" s="604">
        <f>IF(OR($AY169&gt;0, $BA169&gt;0), 1, 0)</f>
        <v>0</v>
      </c>
      <c r="C169" s="604">
        <f>IF(OR($BB169&gt;0, $BD169&gt;0), 1, 0)</f>
        <v>0</v>
      </c>
      <c r="D169" s="604">
        <f>IF(OR($BE169&gt;0, $BG169&gt;0), 1, 0)</f>
        <v>0</v>
      </c>
      <c r="E169" s="604">
        <f>IF(OR($BH169&gt;0, $BJ169&gt;0), 1, 0)</f>
        <v>0</v>
      </c>
      <c r="F169" s="604">
        <f>IF(OR($BK169&gt;0, $BM169&gt;0), 1, 0)</f>
        <v>0</v>
      </c>
      <c r="G169" s="604">
        <f>IF(OR($BN169&gt;0, $BP169&gt;0), 1, 0)</f>
        <v>0</v>
      </c>
      <c r="H169" s="604">
        <f>IF(OR($BQ169&gt;0, $BS169&gt;0), 1, 0)</f>
        <v>0</v>
      </c>
      <c r="I169" s="604">
        <f>IF(OR($BT169&gt;0, $BV169&gt;0), 1, 0)</f>
        <v>0</v>
      </c>
      <c r="J169" s="604">
        <f>IF(OR($BW169&gt;0, $BY169&gt;0), 1, 0)</f>
        <v>0</v>
      </c>
      <c r="K169" s="604">
        <f>IF(OR($BZ169&gt;0, $CB169&gt;0), 1, 0)</f>
        <v>0</v>
      </c>
      <c r="L169" s="604">
        <f>IF(OR($CC169&gt;0, $CE169&gt;0), 1, 0)</f>
        <v>0</v>
      </c>
      <c r="M169" s="604">
        <f>IF(OR($CF169&gt;0, $CH169&gt;0), 1, 0)</f>
        <v>0</v>
      </c>
      <c r="N169" s="604">
        <f>IF(OR($CI169&gt;0, $CK169&gt;0), 1, 0)</f>
        <v>0</v>
      </c>
      <c r="O169" s="604">
        <f>IF(OR($CL169&gt;0, $CN169&gt;0), 1, 0)</f>
        <v>0</v>
      </c>
      <c r="P169" s="604">
        <f>IF(OR($CO169&gt;0, $CQ169&gt;0), 1, 0)</f>
        <v>0</v>
      </c>
      <c r="Q169" s="604">
        <f>IF(OR($CR169&gt;0, $CT169&gt;0), 1, 0)</f>
        <v>0</v>
      </c>
      <c r="R169" s="604">
        <f>IF(OR($CU169&gt;0, $CW169&gt;0), 1, 0)</f>
        <v>0</v>
      </c>
      <c r="S169" s="604">
        <f>IF(OR($CX169&gt;0, $CZ169&gt;0), 1, 0)</f>
        <v>0</v>
      </c>
      <c r="T169" s="604">
        <f>IF(OR($DA169&gt;0, $DC169&gt;0), 1, 0)</f>
        <v>0</v>
      </c>
      <c r="U169" s="603">
        <f>IF(OR($AI169&gt;0,$AM169&gt;0,$AS169&gt;0), 1, 0)</f>
        <v>0</v>
      </c>
      <c r="V169" s="602">
        <f>[1]BDD!A159</f>
        <v>1115</v>
      </c>
      <c r="W169" s="601" t="str">
        <f>[1]BDD!B159</f>
        <v>Mangue Osteen BIO (Qualité supérieure, mûrie sur plante)</v>
      </c>
      <c r="X169" s="600" t="str">
        <f>IF([1]BDD!F159=0, "", [1]BDD!F159)</f>
        <v>❤️</v>
      </c>
      <c r="Y169" s="542">
        <f>ROUND([1]BDD!G159+FDP_CMD_KG, 2)</f>
        <v>6.32</v>
      </c>
      <c r="Z169" s="542">
        <f>ROUND([1]BDD!G159+FDP_FACT_KG, 2)</f>
        <v>6.32</v>
      </c>
      <c r="AA169" s="543" t="str">
        <f>[1]BDD!H159</f>
        <v>kg</v>
      </c>
      <c r="AB169" s="544">
        <f>IF(NOT(ISBLANK([1]BDD!I159)), ROUND(SUM(([1]BDD!G159*reduc1),FDP_CMD_KG), 2), "")</f>
        <v>5.78</v>
      </c>
      <c r="AC169" s="544">
        <f>IF(NOT(ISBLANK([1]BDD!J159)), ROUND(SUM(([1]BDD!G159*reduc2),FDP_CMD_KG), 2), "")</f>
        <v>5.23</v>
      </c>
      <c r="AD169" s="544" t="str">
        <f>IF(NOT(ISBLANK([1]BDD!K159)), ROUND(SUM(([1]BDD!G159*reduc3),FDP_CMD_KG), 2), "")</f>
        <v/>
      </c>
      <c r="AE169" s="544">
        <f>IF(NOT(ISBLANK([1]BDD!I159)), ROUND(SUM(([1]BDD!G159*reduc1),FDP_FACT_KG), 2), "")</f>
        <v>5.77</v>
      </c>
      <c r="AF169" s="544">
        <f>IF(NOT(ISBLANK([1]BDD!J159)), ROUND(SUM(([1]BDD!G159*reduc2),FDP_FACT_KG), 2), "")</f>
        <v>5.23</v>
      </c>
      <c r="AG169" s="544" t="str">
        <f>IF(NOT(ISBLANK([1]BDD!K159)), ROUND(SUM(([1]BDD!G159*reduc3),FDP_FACT_KG), 2), "")</f>
        <v/>
      </c>
      <c r="AH169" s="599" t="str">
        <f>[1]BDD!C159</f>
        <v>Salobrena</v>
      </c>
      <c r="AI169" s="598">
        <f>SUM(AV169,AY169,BB169,BE169,BH169,BK169,BN169,BQ169,BT169,BW169,BZ169,CC169,CF169,CI169,CL169,CO169,CR169,CU169,CX169,DA169)</f>
        <v>0</v>
      </c>
      <c r="AJ169" s="545">
        <f>_xlfn.IFS($AD169&lt;&gt;"", $AD169,    $AC169&lt;&gt;"", $AC169,    $AB169&lt;&gt;"", $AB169,    TRUE, $Y169)</f>
        <v>5.23</v>
      </c>
      <c r="AK169" s="592">
        <f>$AI169*$AJ169</f>
        <v>0</v>
      </c>
      <c r="AL169" s="594"/>
      <c r="AM169" s="597"/>
      <c r="AN169" s="545">
        <f>_xlfn.IFS(AND(AM169&gt;=60,$AG169&lt;&gt;""), $AG169,    AND(AM169&gt;=30,$AF169&lt;&gt;""), $AF169,    AND(AM169&gt;=10,$AE169&lt;&gt;""), $AE169,    TRUE, $Z169)</f>
        <v>6.32</v>
      </c>
      <c r="AO169" s="596">
        <f>AM169*AN169</f>
        <v>0</v>
      </c>
      <c r="AP169" s="595"/>
      <c r="AQ169" s="595"/>
      <c r="AR169" s="594"/>
      <c r="AS169" s="593">
        <f>SUM(AW169,AZ169,BC169,BF169,BI169,BL169,BO169,BR169,BU169,BX169,CA169,CD169,CG169,CJ169,CM169,CP169,CS169,CV169,CY169,DB169)</f>
        <v>0</v>
      </c>
      <c r="AT169" s="545">
        <f>_xlfn.IFS(AND(AS169&gt;=60,$AG169&lt;&gt;""), $AG169,    AND(AS169&gt;=30,$AF169&lt;&gt;""), $AF169,    AND(AS169&gt;=10,$AE169&lt;&gt;""), $AE169,    TRUE, $Z169)</f>
        <v>6.32</v>
      </c>
      <c r="AU169" s="592">
        <f>$AS169*$AT169</f>
        <v>0</v>
      </c>
      <c r="AV169" s="591">
        <f>[1]COMMANDE!O167</f>
        <v>0</v>
      </c>
      <c r="AW169" s="586" t="str">
        <f>_xlfn.IFS(AND($AI169=$AM169,$AI169&gt;0,$AM169&gt;0,AV169&gt;0), AV169,     AND(NOT($AI169=$AM169),$AI169&gt;0,$AM169&gt;0,AV169&gt;0), ($AM169*AV169)/$AI169,     AND($AI169=0,$AM169&gt;0,$AQ169&gt;0), IF(INDEX(AV$12:AV$263,MATCH($AQ169,$AP$12:$AP$263,0))&gt;0,($AM169*INDEX(AV$12:AV$263,MATCH($AQ169,$AP$12:$AP$263,0)))/INDEX($AI$12:$AI$263,MATCH($AQ169,$AP$12:$AP$263,0)), "-"),     TRUE, "0")</f>
        <v>0</v>
      </c>
      <c r="AX169" s="588">
        <f>IF(AW$9&gt;0, IF(OR(AW169="",AW169="-"), 0, AW169*$AT169), AV169*$AJ169)</f>
        <v>0</v>
      </c>
      <c r="AY169" s="587">
        <f>[1]COMMANDE!Q167</f>
        <v>0</v>
      </c>
      <c r="AZ169" s="586" t="str">
        <f>_xlfn.IFS(AND($AI169=$AM169,$AI169&gt;0,$AM169&gt;0,AY169&gt;0), AY169,     AND(NOT($AI169=$AM169),$AI169&gt;0,$AM169&gt;0,AY169&gt;0), ($AM169*AY169)/$AI169,     AND($AI169=0,$AM169&gt;0,$AQ169&gt;0), IF(INDEX(AY$12:AY$263,MATCH($AQ169,$AP$12:$AP$263,0))&gt;0,($AM169*INDEX(AY$12:AY$263,MATCH($AQ169,$AP$12:$AP$263,0)))/INDEX($AI$12:$AI$263,MATCH($AQ169,$AP$12:$AP$263,0)), "-"),     TRUE, "0")</f>
        <v>0</v>
      </c>
      <c r="BA169" s="607">
        <f>IF(AZ$9&gt;0, IF(OR(AZ169="",AZ169="-"), 0, AZ169*$AT169), AY169*$AJ169)</f>
        <v>0</v>
      </c>
      <c r="BB169" s="589">
        <f>[1]COMMANDE!S167</f>
        <v>0</v>
      </c>
      <c r="BC169" s="586" t="str">
        <f>_xlfn.IFS(AND($AI169=$AM169,$AI169&gt;0,$AM169&gt;0,BB169&gt;0), BB169,     AND(NOT($AI169=$AM169),$AI169&gt;0,$AM169&gt;0,BB169&gt;0), ($AM169*BB169)/$AI169,     AND($AI169=0,$AM169&gt;0,$AQ169&gt;0), IF(INDEX(BB$12:BB$263,MATCH($AQ169,$AP$12:$AP$263,0))&gt;0,($AM169*INDEX(BB$12:BB$263,MATCH($AQ169,$AP$12:$AP$263,0)))/INDEX($AI$12:$AI$263,MATCH($AQ169,$AP$12:$AP$263,0)), "-"),     TRUE, "0")</f>
        <v>0</v>
      </c>
      <c r="BD169" s="588">
        <f>IF(BC$9&gt;0, IF(OR(BC169="",BC169="-"), 0, BC169*$AT169), BB169*$AJ169)</f>
        <v>0</v>
      </c>
      <c r="BE169" s="587">
        <f>[1]COMMANDE!U167</f>
        <v>0</v>
      </c>
      <c r="BF169" s="586" t="str">
        <f>_xlfn.IFS(AND($AI169=$AM169,$AI169&gt;0,$AM169&gt;0,BE169&gt;0), BE169,     AND(NOT($AI169=$AM169),$AI169&gt;0,$AM169&gt;0,BE169&gt;0), ($AM169*BE169)/$AI169,     AND($AI169=0,$AM169&gt;0,$AQ169&gt;0), IF(INDEX(BE$12:BE$263,MATCH($AQ169,$AP$12:$AP$263,0))&gt;0,($AM169*INDEX(BE$12:BE$263,MATCH($AQ169,$AP$12:$AP$263,0)))/INDEX($AI$12:$AI$263,MATCH($AQ169,$AP$12:$AP$263,0)), "-"),     TRUE, "0")</f>
        <v>0</v>
      </c>
      <c r="BG169" s="607">
        <f>IF(BF$9&gt;0, IF(OR(BF169="",BF169="-"), 0, BF169*$AT169), BE169*$AJ169)</f>
        <v>0</v>
      </c>
      <c r="BH169" s="589">
        <f>[1]COMMANDE!W167</f>
        <v>0</v>
      </c>
      <c r="BI169" s="586" t="str">
        <f>_xlfn.IFS(AND($AI169=$AM169,$AI169&gt;0,$AM169&gt;0,BH169&gt;0), BH169,     AND(NOT($AI169=$AM169),$AI169&gt;0,$AM169&gt;0,BH169&gt;0), ($AM169*BH169)/$AI169,     AND($AI169=0,$AM169&gt;0,$AQ169&gt;0), IF(INDEX(BH$12:BH$263,MATCH($AQ169,$AP$12:$AP$263,0))&gt;0,($AM169*INDEX(BH$12:BH$263,MATCH($AQ169,$AP$12:$AP$263,0)))/INDEX($AI$12:$AI$263,MATCH($AQ169,$AP$12:$AP$263,0)), "-"),     TRUE, "0")</f>
        <v>0</v>
      </c>
      <c r="BJ169" s="588">
        <f>IF(BI$9&gt;0, IF(OR(BI169="",BI169="-"), 0, BI169*$AT169), BH169*$AJ169)</f>
        <v>0</v>
      </c>
      <c r="BK169" s="587">
        <f>[1]COMMANDE!Y167</f>
        <v>0</v>
      </c>
      <c r="BL169" s="586" t="str">
        <f>_xlfn.IFS(AND($AI169=$AM169,$AI169&gt;0,$AM169&gt;0,BK169&gt;0), BK169,     AND(NOT($AI169=$AM169),$AI169&gt;0,$AM169&gt;0,BK169&gt;0), ($AM169*BK169)/$AI169,     AND($AI169=0,$AM169&gt;0,$AQ169&gt;0), IF(INDEX(BK$12:BK$263,MATCH($AQ169,$AP$12:$AP$263,0))&gt;0,($AM169*INDEX(BK$12:BK$263,MATCH($AQ169,$AP$12:$AP$263,0)))/INDEX($AI$12:$AI$263,MATCH($AQ169,$AP$12:$AP$263,0)), "-"),     TRUE, "0")</f>
        <v>0</v>
      </c>
      <c r="BM169" s="607">
        <f>IF(BL$9&gt;0, IF(OR(BL169="",BL169="-"), 0, BL169*$AT169), BK169*$AJ169)</f>
        <v>0</v>
      </c>
      <c r="BN169" s="589">
        <f>[1]COMMANDE!AA167</f>
        <v>0</v>
      </c>
      <c r="BO169" s="586" t="str">
        <f>_xlfn.IFS(AND($AI169=$AM169,$AI169&gt;0,$AM169&gt;0,BN169&gt;0), BN169,     AND(NOT($AI169=$AM169),$AI169&gt;0,$AM169&gt;0,BN169&gt;0), ($AM169*BN169)/$AI169,     AND($AI169=0,$AM169&gt;0,$AQ169&gt;0), IF(INDEX(BN$12:BN$263,MATCH($AQ169,$AP$12:$AP$263,0))&gt;0,($AM169*INDEX(BN$12:BN$263,MATCH($AQ169,$AP$12:$AP$263,0)))/INDEX($AI$12:$AI$263,MATCH($AQ169,$AP$12:$AP$263,0)), "-"),     TRUE, "0")</f>
        <v>0</v>
      </c>
      <c r="BP169" s="588">
        <f>IF(BO$9&gt;0, IF(OR(BO169="",BO169="-"), 0, BO169*$AT169), BN169*$AJ169)</f>
        <v>0</v>
      </c>
      <c r="BQ169" s="587">
        <f>[1]COMMANDE!AC167</f>
        <v>0</v>
      </c>
      <c r="BR169" s="586" t="str">
        <f>_xlfn.IFS(AND($AI169=$AM169,$AI169&gt;0,$AM169&gt;0,BQ169&gt;0), BQ169,     AND(NOT($AI169=$AM169),$AI169&gt;0,$AM169&gt;0,BQ169&gt;0), ($AM169*BQ169)/$AI169,     AND($AI169=0,$AM169&gt;0,$AQ169&gt;0), IF(INDEX(BQ$12:BQ$263,MATCH($AQ169,$AP$12:$AP$263,0))&gt;0,($AM169*INDEX(BQ$12:BQ$263,MATCH($AQ169,$AP$12:$AP$263,0)))/INDEX($AI$12:$AI$263,MATCH($AQ169,$AP$12:$AP$263,0)), "-"),     TRUE, "0")</f>
        <v>0</v>
      </c>
      <c r="BS169" s="607">
        <f>IF(BR$9&gt;0, IF(OR(BR169="",BR169="-"), 0, BR169*$AT169), BQ169*$AJ169)</f>
        <v>0</v>
      </c>
      <c r="BT169" s="589">
        <f>[1]COMMANDE!AE167</f>
        <v>0</v>
      </c>
      <c r="BU169" s="586" t="str">
        <f>_xlfn.IFS(AND($AI169=$AM169,$AI169&gt;0,$AM169&gt;0,BT169&gt;0), BT169,     AND(NOT($AI169=$AM169),$AI169&gt;0,$AM169&gt;0,BT169&gt;0), ($AM169*BT169)/$AI169,     AND($AI169=0,$AM169&gt;0,$AQ169&gt;0), IF(INDEX(BT$12:BT$263,MATCH($AQ169,$AP$12:$AP$263,0))&gt;0,($AM169*INDEX(BT$12:BT$263,MATCH($AQ169,$AP$12:$AP$263,0)))/INDEX($AI$12:$AI$263,MATCH($AQ169,$AP$12:$AP$263,0)), "-"),     TRUE, "0")</f>
        <v>0</v>
      </c>
      <c r="BV169" s="588">
        <f>IF(BU$9&gt;0, IF(OR(BU169="",BU169="-"), 0, BU169*$AT169), BT169*$AJ169)</f>
        <v>0</v>
      </c>
      <c r="BW169" s="587">
        <f>[1]COMMANDE!AG167</f>
        <v>0</v>
      </c>
      <c r="BX169" s="586" t="str">
        <f>_xlfn.IFS(AND($AI169=$AM169,$AI169&gt;0,$AM169&gt;0,BW169&gt;0), BW169,     AND(NOT($AI169=$AM169),$AI169&gt;0,$AM169&gt;0,BW169&gt;0), ($AM169*BW169)/$AI169,     AND($AI169=0,$AM169&gt;0,$AQ169&gt;0), IF(INDEX(BW$12:BW$263,MATCH($AQ169,$AP$12:$AP$263,0))&gt;0,($AM169*INDEX(BW$12:BW$263,MATCH($AQ169,$AP$12:$AP$263,0)))/INDEX($AI$12:$AI$263,MATCH($AQ169,$AP$12:$AP$263,0)), "-"),     TRUE, "0")</f>
        <v>0</v>
      </c>
      <c r="BY169" s="607">
        <f>IF(BX$9&gt;0, IF(OR(BX169="",BX169="-"), 0, BX169*$AT169), BW169*$AJ169)</f>
        <v>0</v>
      </c>
      <c r="BZ169" s="589">
        <f>[1]COMMANDE!AI167</f>
        <v>0</v>
      </c>
      <c r="CA169" s="586" t="str">
        <f>_xlfn.IFS(AND($AI169=$AM169,$AI169&gt;0,$AM169&gt;0,BZ169&gt;0), BZ169,     AND(NOT($AI169=$AM169),$AI169&gt;0,$AM169&gt;0,BZ169&gt;0), ($AM169*BZ169)/$AI169,     AND($AI169=0,$AM169&gt;0,$AQ169&gt;0), IF(INDEX(BZ$12:BZ$263,MATCH($AQ169,$AP$12:$AP$263,0))&gt;0,($AM169*INDEX(BZ$12:BZ$263,MATCH($AQ169,$AP$12:$AP$263,0)))/INDEX($AI$12:$AI$263,MATCH($AQ169,$AP$12:$AP$263,0)), "-"),     TRUE, "0")</f>
        <v>0</v>
      </c>
      <c r="CB169" s="588">
        <f>IF(CA$9&gt;0, IF(OR(CA169="",CA169="-"), 0, CA169*$AT169), BZ169*$AJ169)</f>
        <v>0</v>
      </c>
      <c r="CC169" s="587">
        <f>[1]COMMANDE!AK167</f>
        <v>0</v>
      </c>
      <c r="CD169" s="586" t="str">
        <f>_xlfn.IFS(AND($AI169=$AM169,$AI169&gt;0,$AM169&gt;0,CC169&gt;0), CC169,     AND(NOT($AI169=$AM169),$AI169&gt;0,$AM169&gt;0,CC169&gt;0), ($AM169*CC169)/$AI169,     AND($AI169=0,$AM169&gt;0,$AQ169&gt;0), IF(INDEX(CC$12:CC$263,MATCH($AQ169,$AP$12:$AP$263,0))&gt;0,($AM169*INDEX(CC$12:CC$263,MATCH($AQ169,$AP$12:$AP$263,0)))/INDEX($AI$12:$AI$263,MATCH($AQ169,$AP$12:$AP$263,0)), "-"),     TRUE, "0")</f>
        <v>0</v>
      </c>
      <c r="CE169" s="607">
        <f>IF(CD$9&gt;0, IF(OR(CD169="",CD169="-"), 0, CD169*$AT169), CC169*$AJ169)</f>
        <v>0</v>
      </c>
      <c r="CF169" s="589">
        <f>[1]COMMANDE!AM167</f>
        <v>0</v>
      </c>
      <c r="CG169" s="586" t="str">
        <f>_xlfn.IFS(AND($AI169=$AM169,$AI169&gt;0,$AM169&gt;0,CF169&gt;0), CF169,     AND(NOT($AI169=$AM169),$AI169&gt;0,$AM169&gt;0,CF169&gt;0), ($AM169*CF169)/$AI169,     AND($AI169=0,$AM169&gt;0,$AQ169&gt;0), IF(INDEX(CF$12:CF$263,MATCH($AQ169,$AP$12:$AP$263,0))&gt;0,($AM169*INDEX(CF$12:CF$263,MATCH($AQ169,$AP$12:$AP$263,0)))/INDEX($AI$12:$AI$263,MATCH($AQ169,$AP$12:$AP$263,0)), "-"),     TRUE, "0")</f>
        <v>0</v>
      </c>
      <c r="CH169" s="588">
        <f>IF(CG$9&gt;0, IF(OR(CG169="",CG169="-"), 0, CG169*$AT169), CF169*$AJ169)</f>
        <v>0</v>
      </c>
      <c r="CI169" s="587">
        <f>[1]COMMANDE!AO167</f>
        <v>0</v>
      </c>
      <c r="CJ169" s="586" t="str">
        <f>_xlfn.IFS(AND($AI169=$AM169,$AI169&gt;0,$AM169&gt;0,CI169&gt;0), CI169,     AND(NOT($AI169=$AM169),$AI169&gt;0,$AM169&gt;0,CI169&gt;0), ($AM169*CI169)/$AI169,     AND($AI169=0,$AM169&gt;0,$AQ169&gt;0), IF(INDEX(CI$12:CI$263,MATCH($AQ169,$AP$12:$AP$263,0))&gt;0,($AM169*INDEX(CI$12:CI$263,MATCH($AQ169,$AP$12:$AP$263,0)))/INDEX($AI$12:$AI$263,MATCH($AQ169,$AP$12:$AP$263,0)), "-"),     TRUE, "0")</f>
        <v>0</v>
      </c>
      <c r="CK169" s="607">
        <f>IF(CJ$9&gt;0, IF(OR(CJ169="",CJ169="-"), 0, CJ169*$AT169), CI169*$AJ169)</f>
        <v>0</v>
      </c>
      <c r="CL169" s="589">
        <f>[1]COMMANDE!AQ167</f>
        <v>0</v>
      </c>
      <c r="CM169" s="586" t="str">
        <f>_xlfn.IFS(AND($AI169=$AM169,$AI169&gt;0,$AM169&gt;0,CL169&gt;0), CL169,     AND(NOT($AI169=$AM169),$AI169&gt;0,$AM169&gt;0,CL169&gt;0), ($AM169*CL169)/$AI169,     AND($AI169=0,$AM169&gt;0,$AQ169&gt;0), IF(INDEX(CL$12:CL$263,MATCH($AQ169,$AP$12:$AP$263,0))&gt;0,($AM169*INDEX(CL$12:CL$263,MATCH($AQ169,$AP$12:$AP$263,0)))/INDEX($AI$12:$AI$263,MATCH($AQ169,$AP$12:$AP$263,0)), "-"),     TRUE, "0")</f>
        <v>0</v>
      </c>
      <c r="CN169" s="588">
        <f>IF(CM$9&gt;0, IF(OR(CM169="",CM169="-"), 0, CM169*$AT169), CL169*$AJ169)</f>
        <v>0</v>
      </c>
      <c r="CO169" s="587">
        <f>[1]COMMANDE!AS167</f>
        <v>0</v>
      </c>
      <c r="CP169" s="586" t="str">
        <f>_xlfn.IFS(AND($AI169=$AM169,$AI169&gt;0,$AM169&gt;0,CO169&gt;0), CO169,     AND(NOT($AI169=$AM169),$AI169&gt;0,$AM169&gt;0,CO169&gt;0), ($AM169*CO169)/$AI169,     AND($AI169=0,$AM169&gt;0,$AQ169&gt;0), IF(INDEX(CO$12:CO$263,MATCH($AQ169,$AP$12:$AP$263,0))&gt;0,($AM169*INDEX(CO$12:CO$263,MATCH($AQ169,$AP$12:$AP$263,0)))/INDEX($AI$12:$AI$263,MATCH($AQ169,$AP$12:$AP$263,0)), "-"),     TRUE, "0")</f>
        <v>0</v>
      </c>
      <c r="CQ169" s="607">
        <f>IF(CP$9&gt;0, IF(OR(CP169="",CP169="-"), 0, CP169*$AT169), CO169*$AJ169)</f>
        <v>0</v>
      </c>
      <c r="CR169" s="589">
        <f>[1]COMMANDE!AU167</f>
        <v>0</v>
      </c>
      <c r="CS169" s="586" t="str">
        <f>_xlfn.IFS(AND($AI169=$AM169,$AI169&gt;0,$AM169&gt;0,CR169&gt;0), CR169,     AND(NOT($AI169=$AM169),$AI169&gt;0,$AM169&gt;0,CR169&gt;0), ($AM169*CR169)/$AI169,     AND($AI169=0,$AM169&gt;0,$AQ169&gt;0), IF(INDEX(CR$12:CR$263,MATCH($AQ169,$AP$12:$AP$263,0))&gt;0,($AM169*INDEX(CR$12:CR$263,MATCH($AQ169,$AP$12:$AP$263,0)))/INDEX($AI$12:$AI$263,MATCH($AQ169,$AP$12:$AP$263,0)), "-"),     TRUE, "0")</f>
        <v>0</v>
      </c>
      <c r="CT169" s="588">
        <f>IF(CS$9&gt;0, IF(OR(CS169="",CS169="-"), 0, CS169*$AT169), CR169*$AJ169)</f>
        <v>0</v>
      </c>
      <c r="CU169" s="587">
        <f>[1]COMMANDE!AW167</f>
        <v>0</v>
      </c>
      <c r="CV169" s="586" t="str">
        <f>_xlfn.IFS(AND($AI169=$AM169,$AI169&gt;0,$AM169&gt;0,CU169&gt;0), CU169,     AND(NOT($AI169=$AM169),$AI169&gt;0,$AM169&gt;0,CU169&gt;0), ($AM169*CU169)/$AI169,     AND($AI169=0,$AM169&gt;0,$AQ169&gt;0), IF(INDEX(CU$12:CU$263,MATCH($AQ169,$AP$12:$AP$263,0))&gt;0,($AM169*INDEX(CU$12:CU$263,MATCH($AQ169,$AP$12:$AP$263,0)))/INDEX($AI$12:$AI$263,MATCH($AQ169,$AP$12:$AP$263,0)), "-"),     TRUE, "0")</f>
        <v>0</v>
      </c>
      <c r="CW169" s="607">
        <f>IF(CV$9&gt;0, IF(OR(CV169="",CV169="-"), 0, CV169*$AT169), CU169*$AJ169)</f>
        <v>0</v>
      </c>
      <c r="CX169" s="589">
        <f>[1]COMMANDE!AY167</f>
        <v>0</v>
      </c>
      <c r="CY169" s="586" t="str">
        <f>_xlfn.IFS(AND($AI169=$AM169,$AI169&gt;0,$AM169&gt;0,CX169&gt;0), CX169,     AND(NOT($AI169=$AM169),$AI169&gt;0,$AM169&gt;0,CX169&gt;0), ($AM169*CX169)/$AI169,     AND($AI169=0,$AM169&gt;0,$AQ169&gt;0), IF(INDEX(CX$12:CX$263,MATCH($AQ169,$AP$12:$AP$263,0))&gt;0,($AM169*INDEX(CX$12:CX$263,MATCH($AQ169,$AP$12:$AP$263,0)))/INDEX($AI$12:$AI$263,MATCH($AQ169,$AP$12:$AP$263,0)), "-"),     TRUE, "0")</f>
        <v>0</v>
      </c>
      <c r="CZ169" s="588">
        <f>IF(CY$9&gt;0, IF(OR(CY169="",CY169="-"), 0, CY169*$AT169), CX169*$AJ169)</f>
        <v>0</v>
      </c>
      <c r="DA169" s="587">
        <f>[1]COMMANDE!BA167</f>
        <v>0</v>
      </c>
      <c r="DB169" s="586" t="str">
        <f>_xlfn.IFS(AND($AI169=$AM169,$AI169&gt;0,$AM169&gt;0,DA169&gt;0), DA169,     AND(NOT($AI169=$AM169),$AI169&gt;0,$AM169&gt;0,DA169&gt;0), ($AM169*DA169)/$AI169,     AND($AI169=0,$AM169&gt;0,$AQ169&gt;0), IF(INDEX(DA$12:DA$263,MATCH($AQ169,$AP$12:$AP$263,0))&gt;0,($AM169*INDEX(DA$12:DA$263,MATCH($AQ169,$AP$12:$AP$263,0)))/INDEX($AI$12:$AI$263,MATCH($AQ169,$AP$12:$AP$263,0)), "-"),     TRUE, "0")</f>
        <v>0</v>
      </c>
      <c r="DC169" s="606">
        <f>IF(DB$9&gt;0, IF(OR(DB169="",DB169="-"), 0, DB169*$AT169), DA169*$AJ169)</f>
        <v>0</v>
      </c>
      <c r="DD169" s="584"/>
      <c r="DE169" s="583"/>
    </row>
    <row r="170" spans="1:109" ht="39.950000000000003" hidden="1" customHeight="1">
      <c r="A170" s="604">
        <f>IF(OR($AV170&gt;0, $AX170&gt;0), 1, 0)</f>
        <v>0</v>
      </c>
      <c r="B170" s="604">
        <f>IF(OR($AY170&gt;0, $BA170&gt;0), 1, 0)</f>
        <v>0</v>
      </c>
      <c r="C170" s="604">
        <f>IF(OR($BB170&gt;0, $BD170&gt;0), 1, 0)</f>
        <v>0</v>
      </c>
      <c r="D170" s="604">
        <f>IF(OR($BE170&gt;0, $BG170&gt;0), 1, 0)</f>
        <v>0</v>
      </c>
      <c r="E170" s="604">
        <f>IF(OR($BH170&gt;0, $BJ170&gt;0), 1, 0)</f>
        <v>0</v>
      </c>
      <c r="F170" s="604">
        <f>IF(OR($BK170&gt;0, $BM170&gt;0), 1, 0)</f>
        <v>0</v>
      </c>
      <c r="G170" s="604">
        <f>IF(OR($BN170&gt;0, $BP170&gt;0), 1, 0)</f>
        <v>0</v>
      </c>
      <c r="H170" s="604">
        <f>IF(OR($BQ170&gt;0, $BS170&gt;0), 1, 0)</f>
        <v>0</v>
      </c>
      <c r="I170" s="604">
        <f>IF(OR($BT170&gt;0, $BV170&gt;0), 1, 0)</f>
        <v>0</v>
      </c>
      <c r="J170" s="604">
        <f>IF(OR($BW170&gt;0, $BY170&gt;0), 1, 0)</f>
        <v>0</v>
      </c>
      <c r="K170" s="604">
        <f>IF(OR($BZ170&gt;0, $CB170&gt;0), 1, 0)</f>
        <v>0</v>
      </c>
      <c r="L170" s="604">
        <f>IF(OR($CC170&gt;0, $CE170&gt;0), 1, 0)</f>
        <v>0</v>
      </c>
      <c r="M170" s="604">
        <f>IF(OR($CF170&gt;0, $CH170&gt;0), 1, 0)</f>
        <v>0</v>
      </c>
      <c r="N170" s="604">
        <f>IF(OR($CI170&gt;0, $CK170&gt;0), 1, 0)</f>
        <v>0</v>
      </c>
      <c r="O170" s="604">
        <f>IF(OR($CL170&gt;0, $CN170&gt;0), 1, 0)</f>
        <v>0</v>
      </c>
      <c r="P170" s="604">
        <f>IF(OR($CO170&gt;0, $CQ170&gt;0), 1, 0)</f>
        <v>0</v>
      </c>
      <c r="Q170" s="604">
        <f>IF(OR($CR170&gt;0, $CT170&gt;0), 1, 0)</f>
        <v>0</v>
      </c>
      <c r="R170" s="604">
        <f>IF(OR($CU170&gt;0, $CW170&gt;0), 1, 0)</f>
        <v>0</v>
      </c>
      <c r="S170" s="604">
        <f>IF(OR($CX170&gt;0, $CZ170&gt;0), 1, 0)</f>
        <v>0</v>
      </c>
      <c r="T170" s="604">
        <f>IF(OR($DA170&gt;0, $DC170&gt;0), 1, 0)</f>
        <v>0</v>
      </c>
      <c r="U170" s="603">
        <f>IF(OR($AI170&gt;0,$AM170&gt;0,$AS170&gt;0), 1, 0)</f>
        <v>0</v>
      </c>
      <c r="V170" s="602" t="str">
        <f>[1]BDD!A160</f>
        <v>3190. 658</v>
      </c>
      <c r="W170" s="601" t="str">
        <f>[1]BDD!B160</f>
        <v>Mangue Osteen sélectionnée (Ferme Eparadise, mûrie sur plante, récoltée quotidiennement)</v>
      </c>
      <c r="X170" s="600" t="str">
        <f>IF([1]BDD!F160=0, "", [1]BDD!F160)</f>
        <v>❤️</v>
      </c>
      <c r="Y170" s="542">
        <f>ROUND([1]BDD!G160+FDP_CMD_KG, 2)</f>
        <v>6.32</v>
      </c>
      <c r="Z170" s="542">
        <f>ROUND([1]BDD!G160+FDP_FACT_KG, 2)</f>
        <v>6.32</v>
      </c>
      <c r="AA170" s="543" t="str">
        <f>[1]BDD!H160</f>
        <v>kg</v>
      </c>
      <c r="AB170" s="544">
        <f>IF(NOT(ISBLANK([1]BDD!I160)), ROUND(SUM(([1]BDD!G160*reduc1),FDP_CMD_KG), 2), "")</f>
        <v>5.78</v>
      </c>
      <c r="AC170" s="544">
        <f>IF(NOT(ISBLANK([1]BDD!J160)), ROUND(SUM(([1]BDD!G160*reduc2),FDP_CMD_KG), 2), "")</f>
        <v>5.23</v>
      </c>
      <c r="AD170" s="544" t="str">
        <f>IF(NOT(ISBLANK([1]BDD!K160)), ROUND(SUM(([1]BDD!G160*reduc3),FDP_CMD_KG), 2), "")</f>
        <v/>
      </c>
      <c r="AE170" s="544">
        <f>IF(NOT(ISBLANK([1]BDD!I160)), ROUND(SUM(([1]BDD!G160*reduc1),FDP_FACT_KG), 2), "")</f>
        <v>5.77</v>
      </c>
      <c r="AF170" s="544">
        <f>IF(NOT(ISBLANK([1]BDD!J160)), ROUND(SUM(([1]BDD!G160*reduc2),FDP_FACT_KG), 2), "")</f>
        <v>5.23</v>
      </c>
      <c r="AG170" s="544" t="str">
        <f>IF(NOT(ISBLANK([1]BDD!K160)), ROUND(SUM(([1]BDD!G160*reduc3),FDP_FACT_KG), 2), "")</f>
        <v/>
      </c>
      <c r="AH170" s="599" t="str">
        <f>[1]BDD!C160</f>
        <v>Grenade</v>
      </c>
      <c r="AI170" s="598">
        <f>SUM(AV170,AY170,BB170,BE170,BH170,BK170,BN170,BQ170,BT170,BW170,BZ170,CC170,CF170,CI170,CL170,CO170,CR170,CU170,CX170,DA170)</f>
        <v>0</v>
      </c>
      <c r="AJ170" s="545">
        <f>_xlfn.IFS($AD170&lt;&gt;"", $AD170,    $AC170&lt;&gt;"", $AC170,    $AB170&lt;&gt;"", $AB170,    TRUE, $Y170)</f>
        <v>5.23</v>
      </c>
      <c r="AK170" s="592">
        <f>$AI170*$AJ170</f>
        <v>0</v>
      </c>
      <c r="AL170" s="594"/>
      <c r="AM170" s="597"/>
      <c r="AN170" s="545">
        <f>_xlfn.IFS(AND(AM170&gt;=60,$AG170&lt;&gt;""), $AG170,    AND(AM170&gt;=30,$AF170&lt;&gt;""), $AF170,    AND(AM170&gt;=10,$AE170&lt;&gt;""), $AE170,    TRUE, $Z170)</f>
        <v>6.32</v>
      </c>
      <c r="AO170" s="596">
        <f>AM170*AN170</f>
        <v>0</v>
      </c>
      <c r="AP170" s="595"/>
      <c r="AQ170" s="595"/>
      <c r="AR170" s="594"/>
      <c r="AS170" s="593">
        <f>SUM(AW170,AZ170,BC170,BF170,BI170,BL170,BO170,BR170,BU170,BX170,CA170,CD170,CG170,CJ170,CM170,CP170,CS170,CV170,CY170,DB170)</f>
        <v>0</v>
      </c>
      <c r="AT170" s="545">
        <f>_xlfn.IFS(AND(AS170&gt;=60,$AG170&lt;&gt;""), $AG170,    AND(AS170&gt;=30,$AF170&lt;&gt;""), $AF170,    AND(AS170&gt;=10,$AE170&lt;&gt;""), $AE170,    TRUE, $Z170)</f>
        <v>6.32</v>
      </c>
      <c r="AU170" s="592">
        <f>$AS170*$AT170</f>
        <v>0</v>
      </c>
      <c r="AV170" s="591">
        <f>[1]COMMANDE!O168</f>
        <v>0</v>
      </c>
      <c r="AW170" s="586" t="str">
        <f>_xlfn.IFS(AND($AI170=$AM170,$AI170&gt;0,$AM170&gt;0,AV170&gt;0), AV170,     AND(NOT($AI170=$AM170),$AI170&gt;0,$AM170&gt;0,AV170&gt;0), ($AM170*AV170)/$AI170,     AND($AI170=0,$AM170&gt;0,$AQ170&gt;0), IF(INDEX(AV$12:AV$263,MATCH($AQ170,$AP$12:$AP$263,0))&gt;0,($AM170*INDEX(AV$12:AV$263,MATCH($AQ170,$AP$12:$AP$263,0)))/INDEX($AI$12:$AI$263,MATCH($AQ170,$AP$12:$AP$263,0)), "-"),     TRUE, "0")</f>
        <v>0</v>
      </c>
      <c r="AX170" s="588">
        <f>IF(AW$9&gt;0, IF(OR(AW170="",AW170="-"), 0, AW170*$AT170), AV170*$AJ170)</f>
        <v>0</v>
      </c>
      <c r="AY170" s="587">
        <f>[1]COMMANDE!Q168</f>
        <v>0</v>
      </c>
      <c r="AZ170" s="586" t="str">
        <f>_xlfn.IFS(AND($AI170=$AM170,$AI170&gt;0,$AM170&gt;0,AY170&gt;0), AY170,     AND(NOT($AI170=$AM170),$AI170&gt;0,$AM170&gt;0,AY170&gt;0), ($AM170*AY170)/$AI170,     AND($AI170=0,$AM170&gt;0,$AQ170&gt;0), IF(INDEX(AY$12:AY$263,MATCH($AQ170,$AP$12:$AP$263,0))&gt;0,($AM170*INDEX(AY$12:AY$263,MATCH($AQ170,$AP$12:$AP$263,0)))/INDEX($AI$12:$AI$263,MATCH($AQ170,$AP$12:$AP$263,0)), "-"),     TRUE, "0")</f>
        <v>0</v>
      </c>
      <c r="BA170" s="607">
        <f>IF(AZ$9&gt;0, IF(OR(AZ170="",AZ170="-"), 0, AZ170*$AT170), AY170*$AJ170)</f>
        <v>0</v>
      </c>
      <c r="BB170" s="589">
        <f>[1]COMMANDE!S168</f>
        <v>0</v>
      </c>
      <c r="BC170" s="586" t="str">
        <f>_xlfn.IFS(AND($AI170=$AM170,$AI170&gt;0,$AM170&gt;0,BB170&gt;0), BB170,     AND(NOT($AI170=$AM170),$AI170&gt;0,$AM170&gt;0,BB170&gt;0), ($AM170*BB170)/$AI170,     AND($AI170=0,$AM170&gt;0,$AQ170&gt;0), IF(INDEX(BB$12:BB$263,MATCH($AQ170,$AP$12:$AP$263,0))&gt;0,($AM170*INDEX(BB$12:BB$263,MATCH($AQ170,$AP$12:$AP$263,0)))/INDEX($AI$12:$AI$263,MATCH($AQ170,$AP$12:$AP$263,0)), "-"),     TRUE, "0")</f>
        <v>0</v>
      </c>
      <c r="BD170" s="588">
        <f>IF(BC$9&gt;0, IF(OR(BC170="",BC170="-"), 0, BC170*$AT170), BB170*$AJ170)</f>
        <v>0</v>
      </c>
      <c r="BE170" s="587">
        <f>[1]COMMANDE!U168</f>
        <v>0</v>
      </c>
      <c r="BF170" s="586" t="str">
        <f>_xlfn.IFS(AND($AI170=$AM170,$AI170&gt;0,$AM170&gt;0,BE170&gt;0), BE170,     AND(NOT($AI170=$AM170),$AI170&gt;0,$AM170&gt;0,BE170&gt;0), ($AM170*BE170)/$AI170,     AND($AI170=0,$AM170&gt;0,$AQ170&gt;0), IF(INDEX(BE$12:BE$263,MATCH($AQ170,$AP$12:$AP$263,0))&gt;0,($AM170*INDEX(BE$12:BE$263,MATCH($AQ170,$AP$12:$AP$263,0)))/INDEX($AI$12:$AI$263,MATCH($AQ170,$AP$12:$AP$263,0)), "-"),     TRUE, "0")</f>
        <v>0</v>
      </c>
      <c r="BG170" s="607">
        <f>IF(BF$9&gt;0, IF(OR(BF170="",BF170="-"), 0, BF170*$AT170), BE170*$AJ170)</f>
        <v>0</v>
      </c>
      <c r="BH170" s="589">
        <f>[1]COMMANDE!W168</f>
        <v>0</v>
      </c>
      <c r="BI170" s="586" t="str">
        <f>_xlfn.IFS(AND($AI170=$AM170,$AI170&gt;0,$AM170&gt;0,BH170&gt;0), BH170,     AND(NOT($AI170=$AM170),$AI170&gt;0,$AM170&gt;0,BH170&gt;0), ($AM170*BH170)/$AI170,     AND($AI170=0,$AM170&gt;0,$AQ170&gt;0), IF(INDEX(BH$12:BH$263,MATCH($AQ170,$AP$12:$AP$263,0))&gt;0,($AM170*INDEX(BH$12:BH$263,MATCH($AQ170,$AP$12:$AP$263,0)))/INDEX($AI$12:$AI$263,MATCH($AQ170,$AP$12:$AP$263,0)), "-"),     TRUE, "0")</f>
        <v>0</v>
      </c>
      <c r="BJ170" s="588">
        <f>IF(BI$9&gt;0, IF(OR(BI170="",BI170="-"), 0, BI170*$AT170), BH170*$AJ170)</f>
        <v>0</v>
      </c>
      <c r="BK170" s="587">
        <f>[1]COMMANDE!Y168</f>
        <v>0</v>
      </c>
      <c r="BL170" s="586" t="str">
        <f>_xlfn.IFS(AND($AI170=$AM170,$AI170&gt;0,$AM170&gt;0,BK170&gt;0), BK170,     AND(NOT($AI170=$AM170),$AI170&gt;0,$AM170&gt;0,BK170&gt;0), ($AM170*BK170)/$AI170,     AND($AI170=0,$AM170&gt;0,$AQ170&gt;0), IF(INDEX(BK$12:BK$263,MATCH($AQ170,$AP$12:$AP$263,0))&gt;0,($AM170*INDEX(BK$12:BK$263,MATCH($AQ170,$AP$12:$AP$263,0)))/INDEX($AI$12:$AI$263,MATCH($AQ170,$AP$12:$AP$263,0)), "-"),     TRUE, "0")</f>
        <v>0</v>
      </c>
      <c r="BM170" s="607">
        <f>IF(BL$9&gt;0, IF(OR(BL170="",BL170="-"), 0, BL170*$AT170), BK170*$AJ170)</f>
        <v>0</v>
      </c>
      <c r="BN170" s="589">
        <f>[1]COMMANDE!AA168</f>
        <v>0</v>
      </c>
      <c r="BO170" s="586" t="str">
        <f>_xlfn.IFS(AND($AI170=$AM170,$AI170&gt;0,$AM170&gt;0,BN170&gt;0), BN170,     AND(NOT($AI170=$AM170),$AI170&gt;0,$AM170&gt;0,BN170&gt;0), ($AM170*BN170)/$AI170,     AND($AI170=0,$AM170&gt;0,$AQ170&gt;0), IF(INDEX(BN$12:BN$263,MATCH($AQ170,$AP$12:$AP$263,0))&gt;0,($AM170*INDEX(BN$12:BN$263,MATCH($AQ170,$AP$12:$AP$263,0)))/INDEX($AI$12:$AI$263,MATCH($AQ170,$AP$12:$AP$263,0)), "-"),     TRUE, "0")</f>
        <v>0</v>
      </c>
      <c r="BP170" s="588">
        <f>IF(BO$9&gt;0, IF(OR(BO170="",BO170="-"), 0, BO170*$AT170), BN170*$AJ170)</f>
        <v>0</v>
      </c>
      <c r="BQ170" s="587">
        <f>[1]COMMANDE!AC168</f>
        <v>0</v>
      </c>
      <c r="BR170" s="586" t="str">
        <f>_xlfn.IFS(AND($AI170=$AM170,$AI170&gt;0,$AM170&gt;0,BQ170&gt;0), BQ170,     AND(NOT($AI170=$AM170),$AI170&gt;0,$AM170&gt;0,BQ170&gt;0), ($AM170*BQ170)/$AI170,     AND($AI170=0,$AM170&gt;0,$AQ170&gt;0), IF(INDEX(BQ$12:BQ$263,MATCH($AQ170,$AP$12:$AP$263,0))&gt;0,($AM170*INDEX(BQ$12:BQ$263,MATCH($AQ170,$AP$12:$AP$263,0)))/INDEX($AI$12:$AI$263,MATCH($AQ170,$AP$12:$AP$263,0)), "-"),     TRUE, "0")</f>
        <v>0</v>
      </c>
      <c r="BS170" s="607">
        <f>IF(BR$9&gt;0, IF(OR(BR170="",BR170="-"), 0, BR170*$AT170), BQ170*$AJ170)</f>
        <v>0</v>
      </c>
      <c r="BT170" s="589">
        <f>[1]COMMANDE!AE168</f>
        <v>0</v>
      </c>
      <c r="BU170" s="586" t="str">
        <f>_xlfn.IFS(AND($AI170=$AM170,$AI170&gt;0,$AM170&gt;0,BT170&gt;0), BT170,     AND(NOT($AI170=$AM170),$AI170&gt;0,$AM170&gt;0,BT170&gt;0), ($AM170*BT170)/$AI170,     AND($AI170=0,$AM170&gt;0,$AQ170&gt;0), IF(INDEX(BT$12:BT$263,MATCH($AQ170,$AP$12:$AP$263,0))&gt;0,($AM170*INDEX(BT$12:BT$263,MATCH($AQ170,$AP$12:$AP$263,0)))/INDEX($AI$12:$AI$263,MATCH($AQ170,$AP$12:$AP$263,0)), "-"),     TRUE, "0")</f>
        <v>0</v>
      </c>
      <c r="BV170" s="588">
        <f>IF(BU$9&gt;0, IF(OR(BU170="",BU170="-"), 0, BU170*$AT170), BT170*$AJ170)</f>
        <v>0</v>
      </c>
      <c r="BW170" s="587">
        <f>[1]COMMANDE!AG168</f>
        <v>0</v>
      </c>
      <c r="BX170" s="586" t="str">
        <f>_xlfn.IFS(AND($AI170=$AM170,$AI170&gt;0,$AM170&gt;0,BW170&gt;0), BW170,     AND(NOT($AI170=$AM170),$AI170&gt;0,$AM170&gt;0,BW170&gt;0), ($AM170*BW170)/$AI170,     AND($AI170=0,$AM170&gt;0,$AQ170&gt;0), IF(INDEX(BW$12:BW$263,MATCH($AQ170,$AP$12:$AP$263,0))&gt;0,($AM170*INDEX(BW$12:BW$263,MATCH($AQ170,$AP$12:$AP$263,0)))/INDEX($AI$12:$AI$263,MATCH($AQ170,$AP$12:$AP$263,0)), "-"),     TRUE, "0")</f>
        <v>0</v>
      </c>
      <c r="BY170" s="607">
        <f>IF(BX$9&gt;0, IF(OR(BX170="",BX170="-"), 0, BX170*$AT170), BW170*$AJ170)</f>
        <v>0</v>
      </c>
      <c r="BZ170" s="589">
        <f>[1]COMMANDE!AI168</f>
        <v>0</v>
      </c>
      <c r="CA170" s="586" t="str">
        <f>_xlfn.IFS(AND($AI170=$AM170,$AI170&gt;0,$AM170&gt;0,BZ170&gt;0), BZ170,     AND(NOT($AI170=$AM170),$AI170&gt;0,$AM170&gt;0,BZ170&gt;0), ($AM170*BZ170)/$AI170,     AND($AI170=0,$AM170&gt;0,$AQ170&gt;0), IF(INDEX(BZ$12:BZ$263,MATCH($AQ170,$AP$12:$AP$263,0))&gt;0,($AM170*INDEX(BZ$12:BZ$263,MATCH($AQ170,$AP$12:$AP$263,0)))/INDEX($AI$12:$AI$263,MATCH($AQ170,$AP$12:$AP$263,0)), "-"),     TRUE, "0")</f>
        <v>0</v>
      </c>
      <c r="CB170" s="588">
        <f>IF(CA$9&gt;0, IF(OR(CA170="",CA170="-"), 0, CA170*$AT170), BZ170*$AJ170)</f>
        <v>0</v>
      </c>
      <c r="CC170" s="587">
        <f>[1]COMMANDE!AK168</f>
        <v>0</v>
      </c>
      <c r="CD170" s="586" t="str">
        <f>_xlfn.IFS(AND($AI170=$AM170,$AI170&gt;0,$AM170&gt;0,CC170&gt;0), CC170,     AND(NOT($AI170=$AM170),$AI170&gt;0,$AM170&gt;0,CC170&gt;0), ($AM170*CC170)/$AI170,     AND($AI170=0,$AM170&gt;0,$AQ170&gt;0), IF(INDEX(CC$12:CC$263,MATCH($AQ170,$AP$12:$AP$263,0))&gt;0,($AM170*INDEX(CC$12:CC$263,MATCH($AQ170,$AP$12:$AP$263,0)))/INDEX($AI$12:$AI$263,MATCH($AQ170,$AP$12:$AP$263,0)), "-"),     TRUE, "0")</f>
        <v>0</v>
      </c>
      <c r="CE170" s="607">
        <f>IF(CD$9&gt;0, IF(OR(CD170="",CD170="-"), 0, CD170*$AT170), CC170*$AJ170)</f>
        <v>0</v>
      </c>
      <c r="CF170" s="589">
        <f>[1]COMMANDE!AM168</f>
        <v>0</v>
      </c>
      <c r="CG170" s="586" t="str">
        <f>_xlfn.IFS(AND($AI170=$AM170,$AI170&gt;0,$AM170&gt;0,CF170&gt;0), CF170,     AND(NOT($AI170=$AM170),$AI170&gt;0,$AM170&gt;0,CF170&gt;0), ($AM170*CF170)/$AI170,     AND($AI170=0,$AM170&gt;0,$AQ170&gt;0), IF(INDEX(CF$12:CF$263,MATCH($AQ170,$AP$12:$AP$263,0))&gt;0,($AM170*INDEX(CF$12:CF$263,MATCH($AQ170,$AP$12:$AP$263,0)))/INDEX($AI$12:$AI$263,MATCH($AQ170,$AP$12:$AP$263,0)), "-"),     TRUE, "0")</f>
        <v>0</v>
      </c>
      <c r="CH170" s="588">
        <f>IF(CG$9&gt;0, IF(OR(CG170="",CG170="-"), 0, CG170*$AT170), CF170*$AJ170)</f>
        <v>0</v>
      </c>
      <c r="CI170" s="587">
        <f>[1]COMMANDE!AO168</f>
        <v>0</v>
      </c>
      <c r="CJ170" s="586" t="str">
        <f>_xlfn.IFS(AND($AI170=$AM170,$AI170&gt;0,$AM170&gt;0,CI170&gt;0), CI170,     AND(NOT($AI170=$AM170),$AI170&gt;0,$AM170&gt;0,CI170&gt;0), ($AM170*CI170)/$AI170,     AND($AI170=0,$AM170&gt;0,$AQ170&gt;0), IF(INDEX(CI$12:CI$263,MATCH($AQ170,$AP$12:$AP$263,0))&gt;0,($AM170*INDEX(CI$12:CI$263,MATCH($AQ170,$AP$12:$AP$263,0)))/INDEX($AI$12:$AI$263,MATCH($AQ170,$AP$12:$AP$263,0)), "-"),     TRUE, "0")</f>
        <v>0</v>
      </c>
      <c r="CK170" s="607">
        <f>IF(CJ$9&gt;0, IF(OR(CJ170="",CJ170="-"), 0, CJ170*$AT170), CI170*$AJ170)</f>
        <v>0</v>
      </c>
      <c r="CL170" s="589">
        <f>[1]COMMANDE!AQ168</f>
        <v>0</v>
      </c>
      <c r="CM170" s="586" t="str">
        <f>_xlfn.IFS(AND($AI170=$AM170,$AI170&gt;0,$AM170&gt;0,CL170&gt;0), CL170,     AND(NOT($AI170=$AM170),$AI170&gt;0,$AM170&gt;0,CL170&gt;0), ($AM170*CL170)/$AI170,     AND($AI170=0,$AM170&gt;0,$AQ170&gt;0), IF(INDEX(CL$12:CL$263,MATCH($AQ170,$AP$12:$AP$263,0))&gt;0,($AM170*INDEX(CL$12:CL$263,MATCH($AQ170,$AP$12:$AP$263,0)))/INDEX($AI$12:$AI$263,MATCH($AQ170,$AP$12:$AP$263,0)), "-"),     TRUE, "0")</f>
        <v>0</v>
      </c>
      <c r="CN170" s="588">
        <f>IF(CM$9&gt;0, IF(OR(CM170="",CM170="-"), 0, CM170*$AT170), CL170*$AJ170)</f>
        <v>0</v>
      </c>
      <c r="CO170" s="587">
        <f>[1]COMMANDE!AS168</f>
        <v>0</v>
      </c>
      <c r="CP170" s="586" t="str">
        <f>_xlfn.IFS(AND($AI170=$AM170,$AI170&gt;0,$AM170&gt;0,CO170&gt;0), CO170,     AND(NOT($AI170=$AM170),$AI170&gt;0,$AM170&gt;0,CO170&gt;0), ($AM170*CO170)/$AI170,     AND($AI170=0,$AM170&gt;0,$AQ170&gt;0), IF(INDEX(CO$12:CO$263,MATCH($AQ170,$AP$12:$AP$263,0))&gt;0,($AM170*INDEX(CO$12:CO$263,MATCH($AQ170,$AP$12:$AP$263,0)))/INDEX($AI$12:$AI$263,MATCH($AQ170,$AP$12:$AP$263,0)), "-"),     TRUE, "0")</f>
        <v>0</v>
      </c>
      <c r="CQ170" s="607">
        <f>IF(CP$9&gt;0, IF(OR(CP170="",CP170="-"), 0, CP170*$AT170), CO170*$AJ170)</f>
        <v>0</v>
      </c>
      <c r="CR170" s="589">
        <f>[1]COMMANDE!AU168</f>
        <v>0</v>
      </c>
      <c r="CS170" s="586" t="str">
        <f>_xlfn.IFS(AND($AI170=$AM170,$AI170&gt;0,$AM170&gt;0,CR170&gt;0), CR170,     AND(NOT($AI170=$AM170),$AI170&gt;0,$AM170&gt;0,CR170&gt;0), ($AM170*CR170)/$AI170,     AND($AI170=0,$AM170&gt;0,$AQ170&gt;0), IF(INDEX(CR$12:CR$263,MATCH($AQ170,$AP$12:$AP$263,0))&gt;0,($AM170*INDEX(CR$12:CR$263,MATCH($AQ170,$AP$12:$AP$263,0)))/INDEX($AI$12:$AI$263,MATCH($AQ170,$AP$12:$AP$263,0)), "-"),     TRUE, "0")</f>
        <v>0</v>
      </c>
      <c r="CT170" s="588">
        <f>IF(CS$9&gt;0, IF(OR(CS170="",CS170="-"), 0, CS170*$AT170), CR170*$AJ170)</f>
        <v>0</v>
      </c>
      <c r="CU170" s="587">
        <f>[1]COMMANDE!AW168</f>
        <v>0</v>
      </c>
      <c r="CV170" s="586" t="str">
        <f>_xlfn.IFS(AND($AI170=$AM170,$AI170&gt;0,$AM170&gt;0,CU170&gt;0), CU170,     AND(NOT($AI170=$AM170),$AI170&gt;0,$AM170&gt;0,CU170&gt;0), ($AM170*CU170)/$AI170,     AND($AI170=0,$AM170&gt;0,$AQ170&gt;0), IF(INDEX(CU$12:CU$263,MATCH($AQ170,$AP$12:$AP$263,0))&gt;0,($AM170*INDEX(CU$12:CU$263,MATCH($AQ170,$AP$12:$AP$263,0)))/INDEX($AI$12:$AI$263,MATCH($AQ170,$AP$12:$AP$263,0)), "-"),     TRUE, "0")</f>
        <v>0</v>
      </c>
      <c r="CW170" s="607">
        <f>IF(CV$9&gt;0, IF(OR(CV170="",CV170="-"), 0, CV170*$AT170), CU170*$AJ170)</f>
        <v>0</v>
      </c>
      <c r="CX170" s="589">
        <f>[1]COMMANDE!AY168</f>
        <v>0</v>
      </c>
      <c r="CY170" s="586" t="str">
        <f>_xlfn.IFS(AND($AI170=$AM170,$AI170&gt;0,$AM170&gt;0,CX170&gt;0), CX170,     AND(NOT($AI170=$AM170),$AI170&gt;0,$AM170&gt;0,CX170&gt;0), ($AM170*CX170)/$AI170,     AND($AI170=0,$AM170&gt;0,$AQ170&gt;0), IF(INDEX(CX$12:CX$263,MATCH($AQ170,$AP$12:$AP$263,0))&gt;0,($AM170*INDEX(CX$12:CX$263,MATCH($AQ170,$AP$12:$AP$263,0)))/INDEX($AI$12:$AI$263,MATCH($AQ170,$AP$12:$AP$263,0)), "-"),     TRUE, "0")</f>
        <v>0</v>
      </c>
      <c r="CZ170" s="588">
        <f>IF(CY$9&gt;0, IF(OR(CY170="",CY170="-"), 0, CY170*$AT170), CX170*$AJ170)</f>
        <v>0</v>
      </c>
      <c r="DA170" s="587">
        <f>[1]COMMANDE!BA168</f>
        <v>0</v>
      </c>
      <c r="DB170" s="586" t="str">
        <f>_xlfn.IFS(AND($AI170=$AM170,$AI170&gt;0,$AM170&gt;0,DA170&gt;0), DA170,     AND(NOT($AI170=$AM170),$AI170&gt;0,$AM170&gt;0,DA170&gt;0), ($AM170*DA170)/$AI170,     AND($AI170=0,$AM170&gt;0,$AQ170&gt;0), IF(INDEX(DA$12:DA$263,MATCH($AQ170,$AP$12:$AP$263,0))&gt;0,($AM170*INDEX(DA$12:DA$263,MATCH($AQ170,$AP$12:$AP$263,0)))/INDEX($AI$12:$AI$263,MATCH($AQ170,$AP$12:$AP$263,0)), "-"),     TRUE, "0")</f>
        <v>0</v>
      </c>
      <c r="DC170" s="606">
        <f>IF(DB$9&gt;0, IF(OR(DB170="",DB170="-"), 0, DB170*$AT170), DA170*$AJ170)</f>
        <v>0</v>
      </c>
      <c r="DD170" s="584"/>
      <c r="DE170" s="583"/>
    </row>
    <row r="171" spans="1:109" ht="39.950000000000003" hidden="1" customHeight="1">
      <c r="A171" s="604">
        <f>IF(OR($AV171&gt;0, $AX171&gt;0), 1, 0)</f>
        <v>0</v>
      </c>
      <c r="B171" s="604">
        <f>IF(OR($AY171&gt;0, $BA171&gt;0), 1, 0)</f>
        <v>0</v>
      </c>
      <c r="C171" s="604">
        <f>IF(OR($BB171&gt;0, $BD171&gt;0), 1, 0)</f>
        <v>0</v>
      </c>
      <c r="D171" s="604">
        <f>IF(OR($BE171&gt;0, $BG171&gt;0), 1, 0)</f>
        <v>0</v>
      </c>
      <c r="E171" s="604">
        <f>IF(OR($BH171&gt;0, $BJ171&gt;0), 1, 0)</f>
        <v>0</v>
      </c>
      <c r="F171" s="604">
        <f>IF(OR($BK171&gt;0, $BM171&gt;0), 1, 0)</f>
        <v>0</v>
      </c>
      <c r="G171" s="604">
        <f>IF(OR($BN171&gt;0, $BP171&gt;0), 1, 0)</f>
        <v>0</v>
      </c>
      <c r="H171" s="604">
        <f>IF(OR($BQ171&gt;0, $BS171&gt;0), 1, 0)</f>
        <v>0</v>
      </c>
      <c r="I171" s="604">
        <f>IF(OR($BT171&gt;0, $BV171&gt;0), 1, 0)</f>
        <v>0</v>
      </c>
      <c r="J171" s="604">
        <f>IF(OR($BW171&gt;0, $BY171&gt;0), 1, 0)</f>
        <v>0</v>
      </c>
      <c r="K171" s="604">
        <f>IF(OR($BZ171&gt;0, $CB171&gt;0), 1, 0)</f>
        <v>0</v>
      </c>
      <c r="L171" s="604">
        <f>IF(OR($CC171&gt;0, $CE171&gt;0), 1, 0)</f>
        <v>0</v>
      </c>
      <c r="M171" s="604">
        <f>IF(OR($CF171&gt;0, $CH171&gt;0), 1, 0)</f>
        <v>0</v>
      </c>
      <c r="N171" s="604">
        <f>IF(OR($CI171&gt;0, $CK171&gt;0), 1, 0)</f>
        <v>0</v>
      </c>
      <c r="O171" s="604">
        <f>IF(OR($CL171&gt;0, $CN171&gt;0), 1, 0)</f>
        <v>0</v>
      </c>
      <c r="P171" s="604">
        <f>IF(OR($CO171&gt;0, $CQ171&gt;0), 1, 0)</f>
        <v>0</v>
      </c>
      <c r="Q171" s="604">
        <f>IF(OR($CR171&gt;0, $CT171&gt;0), 1, 0)</f>
        <v>0</v>
      </c>
      <c r="R171" s="604">
        <f>IF(OR($CU171&gt;0, $CW171&gt;0), 1, 0)</f>
        <v>0</v>
      </c>
      <c r="S171" s="604">
        <f>IF(OR($CX171&gt;0, $CZ171&gt;0), 1, 0)</f>
        <v>0</v>
      </c>
      <c r="T171" s="604">
        <f>IF(OR($DA171&gt;0, $DC171&gt;0), 1, 0)</f>
        <v>0</v>
      </c>
      <c r="U171" s="603">
        <f>IF(OR($AI171&gt;0,$AM171&gt;0,$AS171&gt;0), 1, 0)</f>
        <v>0</v>
      </c>
      <c r="V171" s="602">
        <f>[1]BDD!A161</f>
        <v>3868</v>
      </c>
      <c r="W171" s="601" t="str">
        <f>[1]BDD!B161</f>
        <v>Mangue Palmer Rojo déshydratée à basse température (40-45°) CRU (env. 500g)</v>
      </c>
      <c r="X171" s="600" t="str">
        <f>IF([1]BDD!F161=0, "", [1]BDD!F161)</f>
        <v/>
      </c>
      <c r="Y171" s="542">
        <f>ROUND([1]BDD!G161+FDP_CMD_KG, 2)</f>
        <v>12.5</v>
      </c>
      <c r="Z171" s="542">
        <f>ROUND([1]BDD!G161+FDP_FACT_KG, 2)</f>
        <v>12.5</v>
      </c>
      <c r="AA171" s="543" t="str">
        <f>[1]BDD!H161</f>
        <v>Pièce</v>
      </c>
      <c r="AB171" s="544" t="str">
        <f>IF(NOT(ISBLANK([1]BDD!I161)), ROUND(SUM(([1]BDD!G161*reduc1),FDP_CMD_KG), 2), "")</f>
        <v/>
      </c>
      <c r="AC171" s="544" t="str">
        <f>IF(NOT(ISBLANK([1]BDD!J161)), ROUND(SUM(([1]BDD!G161*reduc2),FDP_CMD_KG), 2), "")</f>
        <v/>
      </c>
      <c r="AD171" s="544" t="str">
        <f>IF(NOT(ISBLANK([1]BDD!K161)), ROUND(SUM(([1]BDD!G161*reduc3),FDP_CMD_KG), 2), "")</f>
        <v/>
      </c>
      <c r="AE171" s="544" t="str">
        <f>IF(NOT(ISBLANK([1]BDD!I161)), ROUND(SUM(([1]BDD!G161*reduc1),FDP_FACT_KG), 2), "")</f>
        <v/>
      </c>
      <c r="AF171" s="544" t="str">
        <f>IF(NOT(ISBLANK([1]BDD!J161)), ROUND(SUM(([1]BDD!G161*reduc2),FDP_FACT_KG), 2), "")</f>
        <v/>
      </c>
      <c r="AG171" s="544" t="str">
        <f>IF(NOT(ISBLANK([1]BDD!K161)), ROUND(SUM(([1]BDD!G161*reduc3),FDP_FACT_KG), 2), "")</f>
        <v/>
      </c>
      <c r="AH171" s="599" t="str">
        <f>[1]BDD!C161</f>
        <v>Grenade</v>
      </c>
      <c r="AI171" s="598">
        <f>SUM(AV171,AY171,BB171,BE171,BH171,BK171,BN171,BQ171,BT171,BW171,BZ171,CC171,CF171,CI171,CL171,CO171,CR171,CU171,CX171,DA171)</f>
        <v>0</v>
      </c>
      <c r="AJ171" s="545">
        <f>_xlfn.IFS($AD171&lt;&gt;"", $AD171,    $AC171&lt;&gt;"", $AC171,    $AB171&lt;&gt;"", $AB171,    TRUE, $Y171)</f>
        <v>12.5</v>
      </c>
      <c r="AK171" s="592">
        <f>$AI171*$AJ171</f>
        <v>0</v>
      </c>
      <c r="AL171" s="594"/>
      <c r="AM171" s="597"/>
      <c r="AN171" s="545">
        <f>_xlfn.IFS(AND(AM171&gt;=60,$AG171&lt;&gt;""), $AG171,    AND(AM171&gt;=30,$AF171&lt;&gt;""), $AF171,    AND(AM171&gt;=10,$AE171&lt;&gt;""), $AE171,    TRUE, $Z171)</f>
        <v>12.5</v>
      </c>
      <c r="AO171" s="596">
        <f>AM171*AN171</f>
        <v>0</v>
      </c>
      <c r="AP171" s="595"/>
      <c r="AQ171" s="595"/>
      <c r="AR171" s="594"/>
      <c r="AS171" s="593">
        <f>SUM(AW171,AZ171,BC171,BF171,BI171,BL171,BO171,BR171,BU171,BX171,CA171,CD171,CG171,CJ171,CM171,CP171,CS171,CV171,CY171,DB171)</f>
        <v>0</v>
      </c>
      <c r="AT171" s="545">
        <f>_xlfn.IFS(AND(AS171&gt;=60,$AG171&lt;&gt;""), $AG171,    AND(AS171&gt;=30,$AF171&lt;&gt;""), $AF171,    AND(AS171&gt;=10,$AE171&lt;&gt;""), $AE171,    TRUE, $Z171)</f>
        <v>12.5</v>
      </c>
      <c r="AU171" s="592">
        <f>$AS171*$AT171</f>
        <v>0</v>
      </c>
      <c r="AV171" s="591">
        <f>[1]COMMANDE!O169</f>
        <v>0</v>
      </c>
      <c r="AW171" s="586" t="str">
        <f>_xlfn.IFS(AND($AI171=$AM171,$AI171&gt;0,$AM171&gt;0,AV171&gt;0), AV171,     AND(NOT($AI171=$AM171),$AI171&gt;0,$AM171&gt;0,AV171&gt;0), ($AM171*AV171)/$AI171,     AND($AI171=0,$AM171&gt;0,$AQ171&gt;0), IF(INDEX(AV$12:AV$263,MATCH($AQ171,$AP$12:$AP$263,0))&gt;0,($AM171*INDEX(AV$12:AV$263,MATCH($AQ171,$AP$12:$AP$263,0)))/INDEX($AI$12:$AI$263,MATCH($AQ171,$AP$12:$AP$263,0)), "-"),     TRUE, "0")</f>
        <v>0</v>
      </c>
      <c r="AX171" s="588">
        <f>IF(AW$9&gt;0, IF(OR(AW171="",AW171="-"), 0, AW171*$AT171), AV171*$AJ171)</f>
        <v>0</v>
      </c>
      <c r="AY171" s="587">
        <f>[1]COMMANDE!Q169</f>
        <v>0</v>
      </c>
      <c r="AZ171" s="586" t="str">
        <f>_xlfn.IFS(AND($AI171=$AM171,$AI171&gt;0,$AM171&gt;0,AY171&gt;0), AY171,     AND(NOT($AI171=$AM171),$AI171&gt;0,$AM171&gt;0,AY171&gt;0), ($AM171*AY171)/$AI171,     AND($AI171=0,$AM171&gt;0,$AQ171&gt;0), IF(INDEX(AY$12:AY$263,MATCH($AQ171,$AP$12:$AP$263,0))&gt;0,($AM171*INDEX(AY$12:AY$263,MATCH($AQ171,$AP$12:$AP$263,0)))/INDEX($AI$12:$AI$263,MATCH($AQ171,$AP$12:$AP$263,0)), "-"),     TRUE, "0")</f>
        <v>0</v>
      </c>
      <c r="BA171" s="607">
        <f>IF(AZ$9&gt;0, IF(OR(AZ171="",AZ171="-"), 0, AZ171*$AT171), AY171*$AJ171)</f>
        <v>0</v>
      </c>
      <c r="BB171" s="589">
        <f>[1]COMMANDE!S169</f>
        <v>0</v>
      </c>
      <c r="BC171" s="586" t="str">
        <f>_xlfn.IFS(AND($AI171=$AM171,$AI171&gt;0,$AM171&gt;0,BB171&gt;0), BB171,     AND(NOT($AI171=$AM171),$AI171&gt;0,$AM171&gt;0,BB171&gt;0), ($AM171*BB171)/$AI171,     AND($AI171=0,$AM171&gt;0,$AQ171&gt;0), IF(INDEX(BB$12:BB$263,MATCH($AQ171,$AP$12:$AP$263,0))&gt;0,($AM171*INDEX(BB$12:BB$263,MATCH($AQ171,$AP$12:$AP$263,0)))/INDEX($AI$12:$AI$263,MATCH($AQ171,$AP$12:$AP$263,0)), "-"),     TRUE, "0")</f>
        <v>0</v>
      </c>
      <c r="BD171" s="588">
        <f>IF(BC$9&gt;0, IF(OR(BC171="",BC171="-"), 0, BC171*$AT171), BB171*$AJ171)</f>
        <v>0</v>
      </c>
      <c r="BE171" s="587">
        <f>[1]COMMANDE!U169</f>
        <v>0</v>
      </c>
      <c r="BF171" s="586" t="str">
        <f>_xlfn.IFS(AND($AI171=$AM171,$AI171&gt;0,$AM171&gt;0,BE171&gt;0), BE171,     AND(NOT($AI171=$AM171),$AI171&gt;0,$AM171&gt;0,BE171&gt;0), ($AM171*BE171)/$AI171,     AND($AI171=0,$AM171&gt;0,$AQ171&gt;0), IF(INDEX(BE$12:BE$263,MATCH($AQ171,$AP$12:$AP$263,0))&gt;0,($AM171*INDEX(BE$12:BE$263,MATCH($AQ171,$AP$12:$AP$263,0)))/INDEX($AI$12:$AI$263,MATCH($AQ171,$AP$12:$AP$263,0)), "-"),     TRUE, "0")</f>
        <v>0</v>
      </c>
      <c r="BG171" s="607">
        <f>IF(BF$9&gt;0, IF(OR(BF171="",BF171="-"), 0, BF171*$AT171), BE171*$AJ171)</f>
        <v>0</v>
      </c>
      <c r="BH171" s="589">
        <f>[1]COMMANDE!W169</f>
        <v>0</v>
      </c>
      <c r="BI171" s="586" t="str">
        <f>_xlfn.IFS(AND($AI171=$AM171,$AI171&gt;0,$AM171&gt;0,BH171&gt;0), BH171,     AND(NOT($AI171=$AM171),$AI171&gt;0,$AM171&gt;0,BH171&gt;0), ($AM171*BH171)/$AI171,     AND($AI171=0,$AM171&gt;0,$AQ171&gt;0), IF(INDEX(BH$12:BH$263,MATCH($AQ171,$AP$12:$AP$263,0))&gt;0,($AM171*INDEX(BH$12:BH$263,MATCH($AQ171,$AP$12:$AP$263,0)))/INDEX($AI$12:$AI$263,MATCH($AQ171,$AP$12:$AP$263,0)), "-"),     TRUE, "0")</f>
        <v>0</v>
      </c>
      <c r="BJ171" s="588">
        <f>IF(BI$9&gt;0, IF(OR(BI171="",BI171="-"), 0, BI171*$AT171), BH171*$AJ171)</f>
        <v>0</v>
      </c>
      <c r="BK171" s="587">
        <f>[1]COMMANDE!Y169</f>
        <v>0</v>
      </c>
      <c r="BL171" s="586" t="str">
        <f>_xlfn.IFS(AND($AI171=$AM171,$AI171&gt;0,$AM171&gt;0,BK171&gt;0), BK171,     AND(NOT($AI171=$AM171),$AI171&gt;0,$AM171&gt;0,BK171&gt;0), ($AM171*BK171)/$AI171,     AND($AI171=0,$AM171&gt;0,$AQ171&gt;0), IF(INDEX(BK$12:BK$263,MATCH($AQ171,$AP$12:$AP$263,0))&gt;0,($AM171*INDEX(BK$12:BK$263,MATCH($AQ171,$AP$12:$AP$263,0)))/INDEX($AI$12:$AI$263,MATCH($AQ171,$AP$12:$AP$263,0)), "-"),     TRUE, "0")</f>
        <v>0</v>
      </c>
      <c r="BM171" s="607">
        <f>IF(BL$9&gt;0, IF(OR(BL171="",BL171="-"), 0, BL171*$AT171), BK171*$AJ171)</f>
        <v>0</v>
      </c>
      <c r="BN171" s="589">
        <f>[1]COMMANDE!AA169</f>
        <v>0</v>
      </c>
      <c r="BO171" s="586" t="str">
        <f>_xlfn.IFS(AND($AI171=$AM171,$AI171&gt;0,$AM171&gt;0,BN171&gt;0), BN171,     AND(NOT($AI171=$AM171),$AI171&gt;0,$AM171&gt;0,BN171&gt;0), ($AM171*BN171)/$AI171,     AND($AI171=0,$AM171&gt;0,$AQ171&gt;0), IF(INDEX(BN$12:BN$263,MATCH($AQ171,$AP$12:$AP$263,0))&gt;0,($AM171*INDEX(BN$12:BN$263,MATCH($AQ171,$AP$12:$AP$263,0)))/INDEX($AI$12:$AI$263,MATCH($AQ171,$AP$12:$AP$263,0)), "-"),     TRUE, "0")</f>
        <v>0</v>
      </c>
      <c r="BP171" s="588">
        <f>IF(BO$9&gt;0, IF(OR(BO171="",BO171="-"), 0, BO171*$AT171), BN171*$AJ171)</f>
        <v>0</v>
      </c>
      <c r="BQ171" s="587">
        <f>[1]COMMANDE!AC169</f>
        <v>0</v>
      </c>
      <c r="BR171" s="586" t="str">
        <f>_xlfn.IFS(AND($AI171=$AM171,$AI171&gt;0,$AM171&gt;0,BQ171&gt;0), BQ171,     AND(NOT($AI171=$AM171),$AI171&gt;0,$AM171&gt;0,BQ171&gt;0), ($AM171*BQ171)/$AI171,     AND($AI171=0,$AM171&gt;0,$AQ171&gt;0), IF(INDEX(BQ$12:BQ$263,MATCH($AQ171,$AP$12:$AP$263,0))&gt;0,($AM171*INDEX(BQ$12:BQ$263,MATCH($AQ171,$AP$12:$AP$263,0)))/INDEX($AI$12:$AI$263,MATCH($AQ171,$AP$12:$AP$263,0)), "-"),     TRUE, "0")</f>
        <v>0</v>
      </c>
      <c r="BS171" s="607">
        <f>IF(BR$9&gt;0, IF(OR(BR171="",BR171="-"), 0, BR171*$AT171), BQ171*$AJ171)</f>
        <v>0</v>
      </c>
      <c r="BT171" s="589">
        <f>[1]COMMANDE!AE169</f>
        <v>0</v>
      </c>
      <c r="BU171" s="586" t="str">
        <f>_xlfn.IFS(AND($AI171=$AM171,$AI171&gt;0,$AM171&gt;0,BT171&gt;0), BT171,     AND(NOT($AI171=$AM171),$AI171&gt;0,$AM171&gt;0,BT171&gt;0), ($AM171*BT171)/$AI171,     AND($AI171=0,$AM171&gt;0,$AQ171&gt;0), IF(INDEX(BT$12:BT$263,MATCH($AQ171,$AP$12:$AP$263,0))&gt;0,($AM171*INDEX(BT$12:BT$263,MATCH($AQ171,$AP$12:$AP$263,0)))/INDEX($AI$12:$AI$263,MATCH($AQ171,$AP$12:$AP$263,0)), "-"),     TRUE, "0")</f>
        <v>0</v>
      </c>
      <c r="BV171" s="588">
        <f>IF(BU$9&gt;0, IF(OR(BU171="",BU171="-"), 0, BU171*$AT171), BT171*$AJ171)</f>
        <v>0</v>
      </c>
      <c r="BW171" s="587">
        <f>[1]COMMANDE!AG169</f>
        <v>0</v>
      </c>
      <c r="BX171" s="586" t="str">
        <f>_xlfn.IFS(AND($AI171=$AM171,$AI171&gt;0,$AM171&gt;0,BW171&gt;0), BW171,     AND(NOT($AI171=$AM171),$AI171&gt;0,$AM171&gt;0,BW171&gt;0), ($AM171*BW171)/$AI171,     AND($AI171=0,$AM171&gt;0,$AQ171&gt;0), IF(INDEX(BW$12:BW$263,MATCH($AQ171,$AP$12:$AP$263,0))&gt;0,($AM171*INDEX(BW$12:BW$263,MATCH($AQ171,$AP$12:$AP$263,0)))/INDEX($AI$12:$AI$263,MATCH($AQ171,$AP$12:$AP$263,0)), "-"),     TRUE, "0")</f>
        <v>0</v>
      </c>
      <c r="BY171" s="607">
        <f>IF(BX$9&gt;0, IF(OR(BX171="",BX171="-"), 0, BX171*$AT171), BW171*$AJ171)</f>
        <v>0</v>
      </c>
      <c r="BZ171" s="589">
        <f>[1]COMMANDE!AI169</f>
        <v>0</v>
      </c>
      <c r="CA171" s="586" t="str">
        <f>_xlfn.IFS(AND($AI171=$AM171,$AI171&gt;0,$AM171&gt;0,BZ171&gt;0), BZ171,     AND(NOT($AI171=$AM171),$AI171&gt;0,$AM171&gt;0,BZ171&gt;0), ($AM171*BZ171)/$AI171,     AND($AI171=0,$AM171&gt;0,$AQ171&gt;0), IF(INDEX(BZ$12:BZ$263,MATCH($AQ171,$AP$12:$AP$263,0))&gt;0,($AM171*INDEX(BZ$12:BZ$263,MATCH($AQ171,$AP$12:$AP$263,0)))/INDEX($AI$12:$AI$263,MATCH($AQ171,$AP$12:$AP$263,0)), "-"),     TRUE, "0")</f>
        <v>0</v>
      </c>
      <c r="CB171" s="588">
        <f>IF(CA$9&gt;0, IF(OR(CA171="",CA171="-"), 0, CA171*$AT171), BZ171*$AJ171)</f>
        <v>0</v>
      </c>
      <c r="CC171" s="587">
        <f>[1]COMMANDE!AK169</f>
        <v>0</v>
      </c>
      <c r="CD171" s="586" t="str">
        <f>_xlfn.IFS(AND($AI171=$AM171,$AI171&gt;0,$AM171&gt;0,CC171&gt;0), CC171,     AND(NOT($AI171=$AM171),$AI171&gt;0,$AM171&gt;0,CC171&gt;0), ($AM171*CC171)/$AI171,     AND($AI171=0,$AM171&gt;0,$AQ171&gt;0), IF(INDEX(CC$12:CC$263,MATCH($AQ171,$AP$12:$AP$263,0))&gt;0,($AM171*INDEX(CC$12:CC$263,MATCH($AQ171,$AP$12:$AP$263,0)))/INDEX($AI$12:$AI$263,MATCH($AQ171,$AP$12:$AP$263,0)), "-"),     TRUE, "0")</f>
        <v>0</v>
      </c>
      <c r="CE171" s="607">
        <f>IF(CD$9&gt;0, IF(OR(CD171="",CD171="-"), 0, CD171*$AT171), CC171*$AJ171)</f>
        <v>0</v>
      </c>
      <c r="CF171" s="589">
        <f>[1]COMMANDE!AM169</f>
        <v>0</v>
      </c>
      <c r="CG171" s="586" t="str">
        <f>_xlfn.IFS(AND($AI171=$AM171,$AI171&gt;0,$AM171&gt;0,CF171&gt;0), CF171,     AND(NOT($AI171=$AM171),$AI171&gt;0,$AM171&gt;0,CF171&gt;0), ($AM171*CF171)/$AI171,     AND($AI171=0,$AM171&gt;0,$AQ171&gt;0), IF(INDEX(CF$12:CF$263,MATCH($AQ171,$AP$12:$AP$263,0))&gt;0,($AM171*INDEX(CF$12:CF$263,MATCH($AQ171,$AP$12:$AP$263,0)))/INDEX($AI$12:$AI$263,MATCH($AQ171,$AP$12:$AP$263,0)), "-"),     TRUE, "0")</f>
        <v>0</v>
      </c>
      <c r="CH171" s="588">
        <f>IF(CG$9&gt;0, IF(OR(CG171="",CG171="-"), 0, CG171*$AT171), CF171*$AJ171)</f>
        <v>0</v>
      </c>
      <c r="CI171" s="587">
        <f>[1]COMMANDE!AO169</f>
        <v>0</v>
      </c>
      <c r="CJ171" s="586" t="str">
        <f>_xlfn.IFS(AND($AI171=$AM171,$AI171&gt;0,$AM171&gt;0,CI171&gt;0), CI171,     AND(NOT($AI171=$AM171),$AI171&gt;0,$AM171&gt;0,CI171&gt;0), ($AM171*CI171)/$AI171,     AND($AI171=0,$AM171&gt;0,$AQ171&gt;0), IF(INDEX(CI$12:CI$263,MATCH($AQ171,$AP$12:$AP$263,0))&gt;0,($AM171*INDEX(CI$12:CI$263,MATCH($AQ171,$AP$12:$AP$263,0)))/INDEX($AI$12:$AI$263,MATCH($AQ171,$AP$12:$AP$263,0)), "-"),     TRUE, "0")</f>
        <v>0</v>
      </c>
      <c r="CK171" s="607">
        <f>IF(CJ$9&gt;0, IF(OR(CJ171="",CJ171="-"), 0, CJ171*$AT171), CI171*$AJ171)</f>
        <v>0</v>
      </c>
      <c r="CL171" s="589">
        <f>[1]COMMANDE!AQ169</f>
        <v>0</v>
      </c>
      <c r="CM171" s="586" t="str">
        <f>_xlfn.IFS(AND($AI171=$AM171,$AI171&gt;0,$AM171&gt;0,CL171&gt;0), CL171,     AND(NOT($AI171=$AM171),$AI171&gt;0,$AM171&gt;0,CL171&gt;0), ($AM171*CL171)/$AI171,     AND($AI171=0,$AM171&gt;0,$AQ171&gt;0), IF(INDEX(CL$12:CL$263,MATCH($AQ171,$AP$12:$AP$263,0))&gt;0,($AM171*INDEX(CL$12:CL$263,MATCH($AQ171,$AP$12:$AP$263,0)))/INDEX($AI$12:$AI$263,MATCH($AQ171,$AP$12:$AP$263,0)), "-"),     TRUE, "0")</f>
        <v>0</v>
      </c>
      <c r="CN171" s="588">
        <f>IF(CM$9&gt;0, IF(OR(CM171="",CM171="-"), 0, CM171*$AT171), CL171*$AJ171)</f>
        <v>0</v>
      </c>
      <c r="CO171" s="587">
        <f>[1]COMMANDE!AS169</f>
        <v>0</v>
      </c>
      <c r="CP171" s="586" t="str">
        <f>_xlfn.IFS(AND($AI171=$AM171,$AI171&gt;0,$AM171&gt;0,CO171&gt;0), CO171,     AND(NOT($AI171=$AM171),$AI171&gt;0,$AM171&gt;0,CO171&gt;0), ($AM171*CO171)/$AI171,     AND($AI171=0,$AM171&gt;0,$AQ171&gt;0), IF(INDEX(CO$12:CO$263,MATCH($AQ171,$AP$12:$AP$263,0))&gt;0,($AM171*INDEX(CO$12:CO$263,MATCH($AQ171,$AP$12:$AP$263,0)))/INDEX($AI$12:$AI$263,MATCH($AQ171,$AP$12:$AP$263,0)), "-"),     TRUE, "0")</f>
        <v>0</v>
      </c>
      <c r="CQ171" s="607">
        <f>IF(CP$9&gt;0, IF(OR(CP171="",CP171="-"), 0, CP171*$AT171), CO171*$AJ171)</f>
        <v>0</v>
      </c>
      <c r="CR171" s="589">
        <f>[1]COMMANDE!AU169</f>
        <v>0</v>
      </c>
      <c r="CS171" s="586" t="str">
        <f>_xlfn.IFS(AND($AI171=$AM171,$AI171&gt;0,$AM171&gt;0,CR171&gt;0), CR171,     AND(NOT($AI171=$AM171),$AI171&gt;0,$AM171&gt;0,CR171&gt;0), ($AM171*CR171)/$AI171,     AND($AI171=0,$AM171&gt;0,$AQ171&gt;0), IF(INDEX(CR$12:CR$263,MATCH($AQ171,$AP$12:$AP$263,0))&gt;0,($AM171*INDEX(CR$12:CR$263,MATCH($AQ171,$AP$12:$AP$263,0)))/INDEX($AI$12:$AI$263,MATCH($AQ171,$AP$12:$AP$263,0)), "-"),     TRUE, "0")</f>
        <v>0</v>
      </c>
      <c r="CT171" s="588">
        <f>IF(CS$9&gt;0, IF(OR(CS171="",CS171="-"), 0, CS171*$AT171), CR171*$AJ171)</f>
        <v>0</v>
      </c>
      <c r="CU171" s="587">
        <f>[1]COMMANDE!AW169</f>
        <v>0</v>
      </c>
      <c r="CV171" s="586" t="str">
        <f>_xlfn.IFS(AND($AI171=$AM171,$AI171&gt;0,$AM171&gt;0,CU171&gt;0), CU171,     AND(NOT($AI171=$AM171),$AI171&gt;0,$AM171&gt;0,CU171&gt;0), ($AM171*CU171)/$AI171,     AND($AI171=0,$AM171&gt;0,$AQ171&gt;0), IF(INDEX(CU$12:CU$263,MATCH($AQ171,$AP$12:$AP$263,0))&gt;0,($AM171*INDEX(CU$12:CU$263,MATCH($AQ171,$AP$12:$AP$263,0)))/INDEX($AI$12:$AI$263,MATCH($AQ171,$AP$12:$AP$263,0)), "-"),     TRUE, "0")</f>
        <v>0</v>
      </c>
      <c r="CW171" s="607">
        <f>IF(CV$9&gt;0, IF(OR(CV171="",CV171="-"), 0, CV171*$AT171), CU171*$AJ171)</f>
        <v>0</v>
      </c>
      <c r="CX171" s="589">
        <f>[1]COMMANDE!AY169</f>
        <v>0</v>
      </c>
      <c r="CY171" s="586" t="str">
        <f>_xlfn.IFS(AND($AI171=$AM171,$AI171&gt;0,$AM171&gt;0,CX171&gt;0), CX171,     AND(NOT($AI171=$AM171),$AI171&gt;0,$AM171&gt;0,CX171&gt;0), ($AM171*CX171)/$AI171,     AND($AI171=0,$AM171&gt;0,$AQ171&gt;0), IF(INDEX(CX$12:CX$263,MATCH($AQ171,$AP$12:$AP$263,0))&gt;0,($AM171*INDEX(CX$12:CX$263,MATCH($AQ171,$AP$12:$AP$263,0)))/INDEX($AI$12:$AI$263,MATCH($AQ171,$AP$12:$AP$263,0)), "-"),     TRUE, "0")</f>
        <v>0</v>
      </c>
      <c r="CZ171" s="588">
        <f>IF(CY$9&gt;0, IF(OR(CY171="",CY171="-"), 0, CY171*$AT171), CX171*$AJ171)</f>
        <v>0</v>
      </c>
      <c r="DA171" s="587">
        <f>[1]COMMANDE!BA169</f>
        <v>0</v>
      </c>
      <c r="DB171" s="586" t="str">
        <f>_xlfn.IFS(AND($AI171=$AM171,$AI171&gt;0,$AM171&gt;0,DA171&gt;0), DA171,     AND(NOT($AI171=$AM171),$AI171&gt;0,$AM171&gt;0,DA171&gt;0), ($AM171*DA171)/$AI171,     AND($AI171=0,$AM171&gt;0,$AQ171&gt;0), IF(INDEX(DA$12:DA$263,MATCH($AQ171,$AP$12:$AP$263,0))&gt;0,($AM171*INDEX(DA$12:DA$263,MATCH($AQ171,$AP$12:$AP$263,0)))/INDEX($AI$12:$AI$263,MATCH($AQ171,$AP$12:$AP$263,0)), "-"),     TRUE, "0")</f>
        <v>0</v>
      </c>
      <c r="DC171" s="606">
        <f>IF(DB$9&gt;0, IF(OR(DB171="",DB171="-"), 0, DB171*$AT171), DA171*$AJ171)</f>
        <v>0</v>
      </c>
      <c r="DD171" s="584"/>
      <c r="DE171" s="583"/>
    </row>
    <row r="172" spans="1:109" ht="39.950000000000003" hidden="1" customHeight="1">
      <c r="A172" s="604">
        <f>IF(OR($AV172&gt;0, $AX172&gt;0), 1, 0)</f>
        <v>0</v>
      </c>
      <c r="B172" s="604">
        <f>IF(OR($AY172&gt;0, $BA172&gt;0), 1, 0)</f>
        <v>0</v>
      </c>
      <c r="C172" s="604">
        <f>IF(OR($BB172&gt;0, $BD172&gt;0), 1, 0)</f>
        <v>0</v>
      </c>
      <c r="D172" s="604">
        <f>IF(OR($BE172&gt;0, $BG172&gt;0), 1, 0)</f>
        <v>0</v>
      </c>
      <c r="E172" s="604">
        <f>IF(OR($BH172&gt;0, $BJ172&gt;0), 1, 0)</f>
        <v>0</v>
      </c>
      <c r="F172" s="604">
        <f>IF(OR($BK172&gt;0, $BM172&gt;0), 1, 0)</f>
        <v>0</v>
      </c>
      <c r="G172" s="604">
        <f>IF(OR($BN172&gt;0, $BP172&gt;0), 1, 0)</f>
        <v>0</v>
      </c>
      <c r="H172" s="604">
        <f>IF(OR($BQ172&gt;0, $BS172&gt;0), 1, 0)</f>
        <v>0</v>
      </c>
      <c r="I172" s="604">
        <f>IF(OR($BT172&gt;0, $BV172&gt;0), 1, 0)</f>
        <v>0</v>
      </c>
      <c r="J172" s="604">
        <f>IF(OR($BW172&gt;0, $BY172&gt;0), 1, 0)</f>
        <v>0</v>
      </c>
      <c r="K172" s="604">
        <f>IF(OR($BZ172&gt;0, $CB172&gt;0), 1, 0)</f>
        <v>0</v>
      </c>
      <c r="L172" s="604">
        <f>IF(OR($CC172&gt;0, $CE172&gt;0), 1, 0)</f>
        <v>0</v>
      </c>
      <c r="M172" s="604">
        <f>IF(OR($CF172&gt;0, $CH172&gt;0), 1, 0)</f>
        <v>0</v>
      </c>
      <c r="N172" s="604">
        <f>IF(OR($CI172&gt;0, $CK172&gt;0), 1, 0)</f>
        <v>0</v>
      </c>
      <c r="O172" s="604">
        <f>IF(OR($CL172&gt;0, $CN172&gt;0), 1, 0)</f>
        <v>0</v>
      </c>
      <c r="P172" s="604">
        <f>IF(OR($CO172&gt;0, $CQ172&gt;0), 1, 0)</f>
        <v>0</v>
      </c>
      <c r="Q172" s="604">
        <f>IF(OR($CR172&gt;0, $CT172&gt;0), 1, 0)</f>
        <v>0</v>
      </c>
      <c r="R172" s="604">
        <f>IF(OR($CU172&gt;0, $CW172&gt;0), 1, 0)</f>
        <v>0</v>
      </c>
      <c r="S172" s="604">
        <f>IF(OR($CX172&gt;0, $CZ172&gt;0), 1, 0)</f>
        <v>0</v>
      </c>
      <c r="T172" s="604">
        <f>IF(OR($DA172&gt;0, $DC172&gt;0), 1, 0)</f>
        <v>0</v>
      </c>
      <c r="U172" s="603">
        <f>IF(OR($AI172&gt;0,$AM172&gt;0,$AS172&gt;0), 1, 0)</f>
        <v>0</v>
      </c>
      <c r="V172" s="602">
        <f>[1]BDD!A162</f>
        <v>1843</v>
      </c>
      <c r="W172" s="601" t="str">
        <f>[1]BDD!B162</f>
        <v>Mangue Palmer Rouge BIO (Grand)</v>
      </c>
      <c r="X172" s="600" t="str">
        <f>IF([1]BDD!F162=0, "", [1]BDD!F162)</f>
        <v/>
      </c>
      <c r="Y172" s="542">
        <f>ROUND([1]BDD!G162+FDP_CMD_KG, 2)</f>
        <v>6.06</v>
      </c>
      <c r="Z172" s="542">
        <f>ROUND([1]BDD!G162+FDP_FACT_KG, 2)</f>
        <v>6.06</v>
      </c>
      <c r="AA172" s="543" t="str">
        <f>[1]BDD!H162</f>
        <v>kg</v>
      </c>
      <c r="AB172" s="544">
        <f>IF(NOT(ISBLANK([1]BDD!I162)), ROUND(SUM(([1]BDD!G162*reduc1),FDP_CMD_KG), 2), "")</f>
        <v>5.54</v>
      </c>
      <c r="AC172" s="544">
        <f>IF(NOT(ISBLANK([1]BDD!J162)), ROUND(SUM(([1]BDD!G162*reduc2),FDP_CMD_KG), 2), "")</f>
        <v>5.03</v>
      </c>
      <c r="AD172" s="544" t="str">
        <f>IF(NOT(ISBLANK([1]BDD!K162)), ROUND(SUM(([1]BDD!G162*reduc3),FDP_CMD_KG), 2), "")</f>
        <v/>
      </c>
      <c r="AE172" s="544">
        <f>IF(NOT(ISBLANK([1]BDD!I162)), ROUND(SUM(([1]BDD!G162*reduc1),FDP_FACT_KG), 2), "")</f>
        <v>5.54</v>
      </c>
      <c r="AF172" s="544">
        <f>IF(NOT(ISBLANK([1]BDD!J162)), ROUND(SUM(([1]BDD!G162*reduc2),FDP_FACT_KG), 2), "")</f>
        <v>5.0199999999999996</v>
      </c>
      <c r="AG172" s="544" t="str">
        <f>IF(NOT(ISBLANK([1]BDD!K162)), ROUND(SUM(([1]BDD!G162*reduc3),FDP_FACT_KG), 2), "")</f>
        <v/>
      </c>
      <c r="AH172" s="599" t="str">
        <f>[1]BDD!C162</f>
        <v>Grenade</v>
      </c>
      <c r="AI172" s="598">
        <f>SUM(AV172,AY172,BB172,BE172,BH172,BK172,BN172,BQ172,BT172,BW172,BZ172,CC172,CF172,CI172,CL172,CO172,CR172,CU172,CX172,DA172)</f>
        <v>0</v>
      </c>
      <c r="AJ172" s="545">
        <f>_xlfn.IFS($AD172&lt;&gt;"", $AD172,    $AC172&lt;&gt;"", $AC172,    $AB172&lt;&gt;"", $AB172,    TRUE, $Y172)</f>
        <v>5.03</v>
      </c>
      <c r="AK172" s="592">
        <f>$AI172*$AJ172</f>
        <v>0</v>
      </c>
      <c r="AL172" s="594"/>
      <c r="AM172" s="597"/>
      <c r="AN172" s="545">
        <f>_xlfn.IFS(AND(AM172&gt;=60,$AG172&lt;&gt;""), $AG172,    AND(AM172&gt;=30,$AF172&lt;&gt;""), $AF172,    AND(AM172&gt;=10,$AE172&lt;&gt;""), $AE172,    TRUE, $Z172)</f>
        <v>6.06</v>
      </c>
      <c r="AO172" s="596">
        <f>AM172*AN172</f>
        <v>0</v>
      </c>
      <c r="AP172" s="595"/>
      <c r="AQ172" s="595"/>
      <c r="AR172" s="594"/>
      <c r="AS172" s="593">
        <f>SUM(AW172,AZ172,BC172,BF172,BI172,BL172,BO172,BR172,BU172,BX172,CA172,CD172,CG172,CJ172,CM172,CP172,CS172,CV172,CY172,DB172)</f>
        <v>0</v>
      </c>
      <c r="AT172" s="545">
        <f>_xlfn.IFS(AND(AS172&gt;=60,$AG172&lt;&gt;""), $AG172,    AND(AS172&gt;=30,$AF172&lt;&gt;""), $AF172,    AND(AS172&gt;=10,$AE172&lt;&gt;""), $AE172,    TRUE, $Z172)</f>
        <v>6.06</v>
      </c>
      <c r="AU172" s="592">
        <f>$AS172*$AT172</f>
        <v>0</v>
      </c>
      <c r="AV172" s="591">
        <f>[1]COMMANDE!O170</f>
        <v>0</v>
      </c>
      <c r="AW172" s="586" t="str">
        <f>_xlfn.IFS(AND($AI172=$AM172,$AI172&gt;0,$AM172&gt;0,AV172&gt;0), AV172,     AND(NOT($AI172=$AM172),$AI172&gt;0,$AM172&gt;0,AV172&gt;0), ($AM172*AV172)/$AI172,     AND($AI172=0,$AM172&gt;0,$AQ172&gt;0), IF(INDEX(AV$12:AV$263,MATCH($AQ172,$AP$12:$AP$263,0))&gt;0,($AM172*INDEX(AV$12:AV$263,MATCH($AQ172,$AP$12:$AP$263,0)))/INDEX($AI$12:$AI$263,MATCH($AQ172,$AP$12:$AP$263,0)), "-"),     TRUE, "0")</f>
        <v>0</v>
      </c>
      <c r="AX172" s="588">
        <f>IF(AW$9&gt;0, IF(OR(AW172="",AW172="-"), 0, AW172*$AT172), AV172*$AJ172)</f>
        <v>0</v>
      </c>
      <c r="AY172" s="587">
        <f>[1]COMMANDE!Q170</f>
        <v>0</v>
      </c>
      <c r="AZ172" s="586" t="str">
        <f>_xlfn.IFS(AND($AI172=$AM172,$AI172&gt;0,$AM172&gt;0,AY172&gt;0), AY172,     AND(NOT($AI172=$AM172),$AI172&gt;0,$AM172&gt;0,AY172&gt;0), ($AM172*AY172)/$AI172,     AND($AI172=0,$AM172&gt;0,$AQ172&gt;0), IF(INDEX(AY$12:AY$263,MATCH($AQ172,$AP$12:$AP$263,0))&gt;0,($AM172*INDEX(AY$12:AY$263,MATCH($AQ172,$AP$12:$AP$263,0)))/INDEX($AI$12:$AI$263,MATCH($AQ172,$AP$12:$AP$263,0)), "-"),     TRUE, "0")</f>
        <v>0</v>
      </c>
      <c r="BA172" s="607">
        <f>IF(AZ$9&gt;0, IF(OR(AZ172="",AZ172="-"), 0, AZ172*$AT172), AY172*$AJ172)</f>
        <v>0</v>
      </c>
      <c r="BB172" s="589">
        <f>[1]COMMANDE!S170</f>
        <v>0</v>
      </c>
      <c r="BC172" s="586" t="str">
        <f>_xlfn.IFS(AND($AI172=$AM172,$AI172&gt;0,$AM172&gt;0,BB172&gt;0), BB172,     AND(NOT($AI172=$AM172),$AI172&gt;0,$AM172&gt;0,BB172&gt;0), ($AM172*BB172)/$AI172,     AND($AI172=0,$AM172&gt;0,$AQ172&gt;0), IF(INDEX(BB$12:BB$263,MATCH($AQ172,$AP$12:$AP$263,0))&gt;0,($AM172*INDEX(BB$12:BB$263,MATCH($AQ172,$AP$12:$AP$263,0)))/INDEX($AI$12:$AI$263,MATCH($AQ172,$AP$12:$AP$263,0)), "-"),     TRUE, "0")</f>
        <v>0</v>
      </c>
      <c r="BD172" s="588">
        <f>IF(BC$9&gt;0, IF(OR(BC172="",BC172="-"), 0, BC172*$AT172), BB172*$AJ172)</f>
        <v>0</v>
      </c>
      <c r="BE172" s="587">
        <f>[1]COMMANDE!U170</f>
        <v>0</v>
      </c>
      <c r="BF172" s="586" t="str">
        <f>_xlfn.IFS(AND($AI172=$AM172,$AI172&gt;0,$AM172&gt;0,BE172&gt;0), BE172,     AND(NOT($AI172=$AM172),$AI172&gt;0,$AM172&gt;0,BE172&gt;0), ($AM172*BE172)/$AI172,     AND($AI172=0,$AM172&gt;0,$AQ172&gt;0), IF(INDEX(BE$12:BE$263,MATCH($AQ172,$AP$12:$AP$263,0))&gt;0,($AM172*INDEX(BE$12:BE$263,MATCH($AQ172,$AP$12:$AP$263,0)))/INDEX($AI$12:$AI$263,MATCH($AQ172,$AP$12:$AP$263,0)), "-"),     TRUE, "0")</f>
        <v>0</v>
      </c>
      <c r="BG172" s="607">
        <f>IF(BF$9&gt;0, IF(OR(BF172="",BF172="-"), 0, BF172*$AT172), BE172*$AJ172)</f>
        <v>0</v>
      </c>
      <c r="BH172" s="589">
        <f>[1]COMMANDE!W170</f>
        <v>0</v>
      </c>
      <c r="BI172" s="586" t="str">
        <f>_xlfn.IFS(AND($AI172=$AM172,$AI172&gt;0,$AM172&gt;0,BH172&gt;0), BH172,     AND(NOT($AI172=$AM172),$AI172&gt;0,$AM172&gt;0,BH172&gt;0), ($AM172*BH172)/$AI172,     AND($AI172=0,$AM172&gt;0,$AQ172&gt;0), IF(INDEX(BH$12:BH$263,MATCH($AQ172,$AP$12:$AP$263,0))&gt;0,($AM172*INDEX(BH$12:BH$263,MATCH($AQ172,$AP$12:$AP$263,0)))/INDEX($AI$12:$AI$263,MATCH($AQ172,$AP$12:$AP$263,0)), "-"),     TRUE, "0")</f>
        <v>0</v>
      </c>
      <c r="BJ172" s="588">
        <f>IF(BI$9&gt;0, IF(OR(BI172="",BI172="-"), 0, BI172*$AT172), BH172*$AJ172)</f>
        <v>0</v>
      </c>
      <c r="BK172" s="587">
        <f>[1]COMMANDE!Y170</f>
        <v>0</v>
      </c>
      <c r="BL172" s="586" t="str">
        <f>_xlfn.IFS(AND($AI172=$AM172,$AI172&gt;0,$AM172&gt;0,BK172&gt;0), BK172,     AND(NOT($AI172=$AM172),$AI172&gt;0,$AM172&gt;0,BK172&gt;0), ($AM172*BK172)/$AI172,     AND($AI172=0,$AM172&gt;0,$AQ172&gt;0), IF(INDEX(BK$12:BK$263,MATCH($AQ172,$AP$12:$AP$263,0))&gt;0,($AM172*INDEX(BK$12:BK$263,MATCH($AQ172,$AP$12:$AP$263,0)))/INDEX($AI$12:$AI$263,MATCH($AQ172,$AP$12:$AP$263,0)), "-"),     TRUE, "0")</f>
        <v>0</v>
      </c>
      <c r="BM172" s="607">
        <f>IF(BL$9&gt;0, IF(OR(BL172="",BL172="-"), 0, BL172*$AT172), BK172*$AJ172)</f>
        <v>0</v>
      </c>
      <c r="BN172" s="589">
        <f>[1]COMMANDE!AA170</f>
        <v>0</v>
      </c>
      <c r="BO172" s="586" t="str">
        <f>_xlfn.IFS(AND($AI172=$AM172,$AI172&gt;0,$AM172&gt;0,BN172&gt;0), BN172,     AND(NOT($AI172=$AM172),$AI172&gt;0,$AM172&gt;0,BN172&gt;0), ($AM172*BN172)/$AI172,     AND($AI172=0,$AM172&gt;0,$AQ172&gt;0), IF(INDEX(BN$12:BN$263,MATCH($AQ172,$AP$12:$AP$263,0))&gt;0,($AM172*INDEX(BN$12:BN$263,MATCH($AQ172,$AP$12:$AP$263,0)))/INDEX($AI$12:$AI$263,MATCH($AQ172,$AP$12:$AP$263,0)), "-"),     TRUE, "0")</f>
        <v>0</v>
      </c>
      <c r="BP172" s="588">
        <f>IF(BO$9&gt;0, IF(OR(BO172="",BO172="-"), 0, BO172*$AT172), BN172*$AJ172)</f>
        <v>0</v>
      </c>
      <c r="BQ172" s="587">
        <f>[1]COMMANDE!AC170</f>
        <v>0</v>
      </c>
      <c r="BR172" s="586" t="str">
        <f>_xlfn.IFS(AND($AI172=$AM172,$AI172&gt;0,$AM172&gt;0,BQ172&gt;0), BQ172,     AND(NOT($AI172=$AM172),$AI172&gt;0,$AM172&gt;0,BQ172&gt;0), ($AM172*BQ172)/$AI172,     AND($AI172=0,$AM172&gt;0,$AQ172&gt;0), IF(INDEX(BQ$12:BQ$263,MATCH($AQ172,$AP$12:$AP$263,0))&gt;0,($AM172*INDEX(BQ$12:BQ$263,MATCH($AQ172,$AP$12:$AP$263,0)))/INDEX($AI$12:$AI$263,MATCH($AQ172,$AP$12:$AP$263,0)), "-"),     TRUE, "0")</f>
        <v>0</v>
      </c>
      <c r="BS172" s="607">
        <f>IF(BR$9&gt;0, IF(OR(BR172="",BR172="-"), 0, BR172*$AT172), BQ172*$AJ172)</f>
        <v>0</v>
      </c>
      <c r="BT172" s="589">
        <f>[1]COMMANDE!AE170</f>
        <v>0</v>
      </c>
      <c r="BU172" s="586" t="str">
        <f>_xlfn.IFS(AND($AI172=$AM172,$AI172&gt;0,$AM172&gt;0,BT172&gt;0), BT172,     AND(NOT($AI172=$AM172),$AI172&gt;0,$AM172&gt;0,BT172&gt;0), ($AM172*BT172)/$AI172,     AND($AI172=0,$AM172&gt;0,$AQ172&gt;0), IF(INDEX(BT$12:BT$263,MATCH($AQ172,$AP$12:$AP$263,0))&gt;0,($AM172*INDEX(BT$12:BT$263,MATCH($AQ172,$AP$12:$AP$263,0)))/INDEX($AI$12:$AI$263,MATCH($AQ172,$AP$12:$AP$263,0)), "-"),     TRUE, "0")</f>
        <v>0</v>
      </c>
      <c r="BV172" s="588">
        <f>IF(BU$9&gt;0, IF(OR(BU172="",BU172="-"), 0, BU172*$AT172), BT172*$AJ172)</f>
        <v>0</v>
      </c>
      <c r="BW172" s="587">
        <f>[1]COMMANDE!AG170</f>
        <v>0</v>
      </c>
      <c r="BX172" s="586" t="str">
        <f>_xlfn.IFS(AND($AI172=$AM172,$AI172&gt;0,$AM172&gt;0,BW172&gt;0), BW172,     AND(NOT($AI172=$AM172),$AI172&gt;0,$AM172&gt;0,BW172&gt;0), ($AM172*BW172)/$AI172,     AND($AI172=0,$AM172&gt;0,$AQ172&gt;0), IF(INDEX(BW$12:BW$263,MATCH($AQ172,$AP$12:$AP$263,0))&gt;0,($AM172*INDEX(BW$12:BW$263,MATCH($AQ172,$AP$12:$AP$263,0)))/INDEX($AI$12:$AI$263,MATCH($AQ172,$AP$12:$AP$263,0)), "-"),     TRUE, "0")</f>
        <v>0</v>
      </c>
      <c r="BY172" s="607">
        <f>IF(BX$9&gt;0, IF(OR(BX172="",BX172="-"), 0, BX172*$AT172), BW172*$AJ172)</f>
        <v>0</v>
      </c>
      <c r="BZ172" s="589">
        <f>[1]COMMANDE!AI170</f>
        <v>0</v>
      </c>
      <c r="CA172" s="586" t="str">
        <f>_xlfn.IFS(AND($AI172=$AM172,$AI172&gt;0,$AM172&gt;0,BZ172&gt;0), BZ172,     AND(NOT($AI172=$AM172),$AI172&gt;0,$AM172&gt;0,BZ172&gt;0), ($AM172*BZ172)/$AI172,     AND($AI172=0,$AM172&gt;0,$AQ172&gt;0), IF(INDEX(BZ$12:BZ$263,MATCH($AQ172,$AP$12:$AP$263,0))&gt;0,($AM172*INDEX(BZ$12:BZ$263,MATCH($AQ172,$AP$12:$AP$263,0)))/INDEX($AI$12:$AI$263,MATCH($AQ172,$AP$12:$AP$263,0)), "-"),     TRUE, "0")</f>
        <v>0</v>
      </c>
      <c r="CB172" s="588">
        <f>IF(CA$9&gt;0, IF(OR(CA172="",CA172="-"), 0, CA172*$AT172), BZ172*$AJ172)</f>
        <v>0</v>
      </c>
      <c r="CC172" s="587">
        <f>[1]COMMANDE!AK170</f>
        <v>0</v>
      </c>
      <c r="CD172" s="586" t="str">
        <f>_xlfn.IFS(AND($AI172=$AM172,$AI172&gt;0,$AM172&gt;0,CC172&gt;0), CC172,     AND(NOT($AI172=$AM172),$AI172&gt;0,$AM172&gt;0,CC172&gt;0), ($AM172*CC172)/$AI172,     AND($AI172=0,$AM172&gt;0,$AQ172&gt;0), IF(INDEX(CC$12:CC$263,MATCH($AQ172,$AP$12:$AP$263,0))&gt;0,($AM172*INDEX(CC$12:CC$263,MATCH($AQ172,$AP$12:$AP$263,0)))/INDEX($AI$12:$AI$263,MATCH($AQ172,$AP$12:$AP$263,0)), "-"),     TRUE, "0")</f>
        <v>0</v>
      </c>
      <c r="CE172" s="607">
        <f>IF(CD$9&gt;0, IF(OR(CD172="",CD172="-"), 0, CD172*$AT172), CC172*$AJ172)</f>
        <v>0</v>
      </c>
      <c r="CF172" s="589">
        <f>[1]COMMANDE!AM170</f>
        <v>0</v>
      </c>
      <c r="CG172" s="586" t="str">
        <f>_xlfn.IFS(AND($AI172=$AM172,$AI172&gt;0,$AM172&gt;0,CF172&gt;0), CF172,     AND(NOT($AI172=$AM172),$AI172&gt;0,$AM172&gt;0,CF172&gt;0), ($AM172*CF172)/$AI172,     AND($AI172=0,$AM172&gt;0,$AQ172&gt;0), IF(INDEX(CF$12:CF$263,MATCH($AQ172,$AP$12:$AP$263,0))&gt;0,($AM172*INDEX(CF$12:CF$263,MATCH($AQ172,$AP$12:$AP$263,0)))/INDEX($AI$12:$AI$263,MATCH($AQ172,$AP$12:$AP$263,0)), "-"),     TRUE, "0")</f>
        <v>0</v>
      </c>
      <c r="CH172" s="588">
        <f>IF(CG$9&gt;0, IF(OR(CG172="",CG172="-"), 0, CG172*$AT172), CF172*$AJ172)</f>
        <v>0</v>
      </c>
      <c r="CI172" s="587">
        <f>[1]COMMANDE!AO170</f>
        <v>0</v>
      </c>
      <c r="CJ172" s="586" t="str">
        <f>_xlfn.IFS(AND($AI172=$AM172,$AI172&gt;0,$AM172&gt;0,CI172&gt;0), CI172,     AND(NOT($AI172=$AM172),$AI172&gt;0,$AM172&gt;0,CI172&gt;0), ($AM172*CI172)/$AI172,     AND($AI172=0,$AM172&gt;0,$AQ172&gt;0), IF(INDEX(CI$12:CI$263,MATCH($AQ172,$AP$12:$AP$263,0))&gt;0,($AM172*INDEX(CI$12:CI$263,MATCH($AQ172,$AP$12:$AP$263,0)))/INDEX($AI$12:$AI$263,MATCH($AQ172,$AP$12:$AP$263,0)), "-"),     TRUE, "0")</f>
        <v>0</v>
      </c>
      <c r="CK172" s="607">
        <f>IF(CJ$9&gt;0, IF(OR(CJ172="",CJ172="-"), 0, CJ172*$AT172), CI172*$AJ172)</f>
        <v>0</v>
      </c>
      <c r="CL172" s="589">
        <f>[1]COMMANDE!AQ170</f>
        <v>0</v>
      </c>
      <c r="CM172" s="586" t="str">
        <f>_xlfn.IFS(AND($AI172=$AM172,$AI172&gt;0,$AM172&gt;0,CL172&gt;0), CL172,     AND(NOT($AI172=$AM172),$AI172&gt;0,$AM172&gt;0,CL172&gt;0), ($AM172*CL172)/$AI172,     AND($AI172=0,$AM172&gt;0,$AQ172&gt;0), IF(INDEX(CL$12:CL$263,MATCH($AQ172,$AP$12:$AP$263,0))&gt;0,($AM172*INDEX(CL$12:CL$263,MATCH($AQ172,$AP$12:$AP$263,0)))/INDEX($AI$12:$AI$263,MATCH($AQ172,$AP$12:$AP$263,0)), "-"),     TRUE, "0")</f>
        <v>0</v>
      </c>
      <c r="CN172" s="588">
        <f>IF(CM$9&gt;0, IF(OR(CM172="",CM172="-"), 0, CM172*$AT172), CL172*$AJ172)</f>
        <v>0</v>
      </c>
      <c r="CO172" s="587">
        <f>[1]COMMANDE!AS170</f>
        <v>0</v>
      </c>
      <c r="CP172" s="586" t="str">
        <f>_xlfn.IFS(AND($AI172=$AM172,$AI172&gt;0,$AM172&gt;0,CO172&gt;0), CO172,     AND(NOT($AI172=$AM172),$AI172&gt;0,$AM172&gt;0,CO172&gt;0), ($AM172*CO172)/$AI172,     AND($AI172=0,$AM172&gt;0,$AQ172&gt;0), IF(INDEX(CO$12:CO$263,MATCH($AQ172,$AP$12:$AP$263,0))&gt;0,($AM172*INDEX(CO$12:CO$263,MATCH($AQ172,$AP$12:$AP$263,0)))/INDEX($AI$12:$AI$263,MATCH($AQ172,$AP$12:$AP$263,0)), "-"),     TRUE, "0")</f>
        <v>0</v>
      </c>
      <c r="CQ172" s="607">
        <f>IF(CP$9&gt;0, IF(OR(CP172="",CP172="-"), 0, CP172*$AT172), CO172*$AJ172)</f>
        <v>0</v>
      </c>
      <c r="CR172" s="589">
        <f>[1]COMMANDE!AU170</f>
        <v>0</v>
      </c>
      <c r="CS172" s="586" t="str">
        <f>_xlfn.IFS(AND($AI172=$AM172,$AI172&gt;0,$AM172&gt;0,CR172&gt;0), CR172,     AND(NOT($AI172=$AM172),$AI172&gt;0,$AM172&gt;0,CR172&gt;0), ($AM172*CR172)/$AI172,     AND($AI172=0,$AM172&gt;0,$AQ172&gt;0), IF(INDEX(CR$12:CR$263,MATCH($AQ172,$AP$12:$AP$263,0))&gt;0,($AM172*INDEX(CR$12:CR$263,MATCH($AQ172,$AP$12:$AP$263,0)))/INDEX($AI$12:$AI$263,MATCH($AQ172,$AP$12:$AP$263,0)), "-"),     TRUE, "0")</f>
        <v>0</v>
      </c>
      <c r="CT172" s="588">
        <f>IF(CS$9&gt;0, IF(OR(CS172="",CS172="-"), 0, CS172*$AT172), CR172*$AJ172)</f>
        <v>0</v>
      </c>
      <c r="CU172" s="587">
        <f>[1]COMMANDE!AW170</f>
        <v>0</v>
      </c>
      <c r="CV172" s="586" t="str">
        <f>_xlfn.IFS(AND($AI172=$AM172,$AI172&gt;0,$AM172&gt;0,CU172&gt;0), CU172,     AND(NOT($AI172=$AM172),$AI172&gt;0,$AM172&gt;0,CU172&gt;0), ($AM172*CU172)/$AI172,     AND($AI172=0,$AM172&gt;0,$AQ172&gt;0), IF(INDEX(CU$12:CU$263,MATCH($AQ172,$AP$12:$AP$263,0))&gt;0,($AM172*INDEX(CU$12:CU$263,MATCH($AQ172,$AP$12:$AP$263,0)))/INDEX($AI$12:$AI$263,MATCH($AQ172,$AP$12:$AP$263,0)), "-"),     TRUE, "0")</f>
        <v>0</v>
      </c>
      <c r="CW172" s="607">
        <f>IF(CV$9&gt;0, IF(OR(CV172="",CV172="-"), 0, CV172*$AT172), CU172*$AJ172)</f>
        <v>0</v>
      </c>
      <c r="CX172" s="589">
        <f>[1]COMMANDE!AY170</f>
        <v>0</v>
      </c>
      <c r="CY172" s="586" t="str">
        <f>_xlfn.IFS(AND($AI172=$AM172,$AI172&gt;0,$AM172&gt;0,CX172&gt;0), CX172,     AND(NOT($AI172=$AM172),$AI172&gt;0,$AM172&gt;0,CX172&gt;0), ($AM172*CX172)/$AI172,     AND($AI172=0,$AM172&gt;0,$AQ172&gt;0), IF(INDEX(CX$12:CX$263,MATCH($AQ172,$AP$12:$AP$263,0))&gt;0,($AM172*INDEX(CX$12:CX$263,MATCH($AQ172,$AP$12:$AP$263,0)))/INDEX($AI$12:$AI$263,MATCH($AQ172,$AP$12:$AP$263,0)), "-"),     TRUE, "0")</f>
        <v>0</v>
      </c>
      <c r="CZ172" s="588">
        <f>IF(CY$9&gt;0, IF(OR(CY172="",CY172="-"), 0, CY172*$AT172), CX172*$AJ172)</f>
        <v>0</v>
      </c>
      <c r="DA172" s="587">
        <f>[1]COMMANDE!BA170</f>
        <v>0</v>
      </c>
      <c r="DB172" s="586" t="str">
        <f>_xlfn.IFS(AND($AI172=$AM172,$AI172&gt;0,$AM172&gt;0,DA172&gt;0), DA172,     AND(NOT($AI172=$AM172),$AI172&gt;0,$AM172&gt;0,DA172&gt;0), ($AM172*DA172)/$AI172,     AND($AI172=0,$AM172&gt;0,$AQ172&gt;0), IF(INDEX(DA$12:DA$263,MATCH($AQ172,$AP$12:$AP$263,0))&gt;0,($AM172*INDEX(DA$12:DA$263,MATCH($AQ172,$AP$12:$AP$263,0)))/INDEX($AI$12:$AI$263,MATCH($AQ172,$AP$12:$AP$263,0)), "-"),     TRUE, "0")</f>
        <v>0</v>
      </c>
      <c r="DC172" s="606">
        <f>IF(DB$9&gt;0, IF(OR(DB172="",DB172="-"), 0, DB172*$AT172), DA172*$AJ172)</f>
        <v>0</v>
      </c>
      <c r="DD172" s="584"/>
      <c r="DE172" s="583"/>
    </row>
    <row r="173" spans="1:109" ht="39.950000000000003" hidden="1" customHeight="1">
      <c r="A173" s="604">
        <f>IF(OR($AV173&gt;0, $AX173&gt;0), 1, 0)</f>
        <v>0</v>
      </c>
      <c r="B173" s="604">
        <f>IF(OR($AY173&gt;0, $BA173&gt;0), 1, 0)</f>
        <v>0</v>
      </c>
      <c r="C173" s="604">
        <f>IF(OR($BB173&gt;0, $BD173&gt;0), 1, 0)</f>
        <v>0</v>
      </c>
      <c r="D173" s="604">
        <f>IF(OR($BE173&gt;0, $BG173&gt;0), 1, 0)</f>
        <v>0</v>
      </c>
      <c r="E173" s="604">
        <f>IF(OR($BH173&gt;0, $BJ173&gt;0), 1, 0)</f>
        <v>0</v>
      </c>
      <c r="F173" s="604">
        <f>IF(OR($BK173&gt;0, $BM173&gt;0), 1, 0)</f>
        <v>0</v>
      </c>
      <c r="G173" s="604">
        <f>IF(OR($BN173&gt;0, $BP173&gt;0), 1, 0)</f>
        <v>0</v>
      </c>
      <c r="H173" s="604">
        <f>IF(OR($BQ173&gt;0, $BS173&gt;0), 1, 0)</f>
        <v>0</v>
      </c>
      <c r="I173" s="604">
        <f>IF(OR($BT173&gt;0, $BV173&gt;0), 1, 0)</f>
        <v>0</v>
      </c>
      <c r="J173" s="604">
        <f>IF(OR($BW173&gt;0, $BY173&gt;0), 1, 0)</f>
        <v>0</v>
      </c>
      <c r="K173" s="604">
        <f>IF(OR($BZ173&gt;0, $CB173&gt;0), 1, 0)</f>
        <v>0</v>
      </c>
      <c r="L173" s="604">
        <f>IF(OR($CC173&gt;0, $CE173&gt;0), 1, 0)</f>
        <v>0</v>
      </c>
      <c r="M173" s="604">
        <f>IF(OR($CF173&gt;0, $CH173&gt;0), 1, 0)</f>
        <v>0</v>
      </c>
      <c r="N173" s="604">
        <f>IF(OR($CI173&gt;0, $CK173&gt;0), 1, 0)</f>
        <v>0</v>
      </c>
      <c r="O173" s="604">
        <f>IF(OR($CL173&gt;0, $CN173&gt;0), 1, 0)</f>
        <v>0</v>
      </c>
      <c r="P173" s="604">
        <f>IF(OR($CO173&gt;0, $CQ173&gt;0), 1, 0)</f>
        <v>0</v>
      </c>
      <c r="Q173" s="604">
        <f>IF(OR($CR173&gt;0, $CT173&gt;0), 1, 0)</f>
        <v>0</v>
      </c>
      <c r="R173" s="604">
        <f>IF(OR($CU173&gt;0, $CW173&gt;0), 1, 0)</f>
        <v>0</v>
      </c>
      <c r="S173" s="604">
        <f>IF(OR($CX173&gt;0, $CZ173&gt;0), 1, 0)</f>
        <v>0</v>
      </c>
      <c r="T173" s="604">
        <f>IF(OR($DA173&gt;0, $DC173&gt;0), 1, 0)</f>
        <v>0</v>
      </c>
      <c r="U173" s="603">
        <f>IF(OR($AI173&gt;0,$AM173&gt;0,$AS173&gt;0), 1, 0)</f>
        <v>0</v>
      </c>
      <c r="V173" s="602">
        <f>[1]BDD!A163</f>
        <v>1104</v>
      </c>
      <c r="W173" s="601" t="str">
        <f>[1]BDD!B163</f>
        <v>Mangue Tommy Atkins BIO</v>
      </c>
      <c r="X173" s="600" t="str">
        <f>IF([1]BDD!F163=0, "", [1]BDD!F163)</f>
        <v/>
      </c>
      <c r="Y173" s="542">
        <f>ROUND([1]BDD!G163+FDP_CMD_KG, 2)</f>
        <v>4.95</v>
      </c>
      <c r="Z173" s="542">
        <f>ROUND([1]BDD!G163+FDP_FACT_KG, 2)</f>
        <v>4.95</v>
      </c>
      <c r="AA173" s="543" t="str">
        <f>[1]BDD!H163</f>
        <v>kg</v>
      </c>
      <c r="AB173" s="544">
        <f>IF(NOT(ISBLANK([1]BDD!I163)), ROUND(SUM(([1]BDD!G163*reduc1),FDP_CMD_KG), 2), "")</f>
        <v>4.55</v>
      </c>
      <c r="AC173" s="544">
        <f>IF(NOT(ISBLANK([1]BDD!J163)), ROUND(SUM(([1]BDD!G163*reduc2),FDP_CMD_KG), 2), "")</f>
        <v>4.1399999999999997</v>
      </c>
      <c r="AD173" s="544" t="str">
        <f>IF(NOT(ISBLANK([1]BDD!K163)), ROUND(SUM(([1]BDD!G163*reduc3),FDP_CMD_KG), 2), "")</f>
        <v/>
      </c>
      <c r="AE173" s="544">
        <f>IF(NOT(ISBLANK([1]BDD!I163)), ROUND(SUM(([1]BDD!G163*reduc1),FDP_FACT_KG), 2), "")</f>
        <v>4.54</v>
      </c>
      <c r="AF173" s="544">
        <f>IF(NOT(ISBLANK([1]BDD!J163)), ROUND(SUM(([1]BDD!G163*reduc2),FDP_FACT_KG), 2), "")</f>
        <v>4.13</v>
      </c>
      <c r="AG173" s="544" t="str">
        <f>IF(NOT(ISBLANK([1]BDD!K163)), ROUND(SUM(([1]BDD!G163*reduc3),FDP_FACT_KG), 2), "")</f>
        <v/>
      </c>
      <c r="AH173" s="599" t="str">
        <f>[1]BDD!C163</f>
        <v>Grenade</v>
      </c>
      <c r="AI173" s="598">
        <f>SUM(AV173,AY173,BB173,BE173,BH173,BK173,BN173,BQ173,BT173,BW173,BZ173,CC173,CF173,CI173,CL173,CO173,CR173,CU173,CX173,DA173)</f>
        <v>0</v>
      </c>
      <c r="AJ173" s="545">
        <f>_xlfn.IFS($AD173&lt;&gt;"", $AD173,    $AC173&lt;&gt;"", $AC173,    $AB173&lt;&gt;"", $AB173,    TRUE, $Y173)</f>
        <v>4.1399999999999997</v>
      </c>
      <c r="AK173" s="592">
        <f>$AI173*$AJ173</f>
        <v>0</v>
      </c>
      <c r="AL173" s="594"/>
      <c r="AM173" s="597"/>
      <c r="AN173" s="545">
        <f>_xlfn.IFS(AND(AM173&gt;=60,$AG173&lt;&gt;""), $AG173,    AND(AM173&gt;=30,$AF173&lt;&gt;""), $AF173,    AND(AM173&gt;=10,$AE173&lt;&gt;""), $AE173,    TRUE, $Z173)</f>
        <v>4.95</v>
      </c>
      <c r="AO173" s="596">
        <f>AM173*AN173</f>
        <v>0</v>
      </c>
      <c r="AP173" s="595"/>
      <c r="AQ173" s="595"/>
      <c r="AR173" s="594"/>
      <c r="AS173" s="593">
        <f>SUM(AW173,AZ173,BC173,BF173,BI173,BL173,BO173,BR173,BU173,BX173,CA173,CD173,CG173,CJ173,CM173,CP173,CS173,CV173,CY173,DB173)</f>
        <v>0</v>
      </c>
      <c r="AT173" s="545">
        <f>_xlfn.IFS(AND(AS173&gt;=60,$AG173&lt;&gt;""), $AG173,    AND(AS173&gt;=30,$AF173&lt;&gt;""), $AF173,    AND(AS173&gt;=10,$AE173&lt;&gt;""), $AE173,    TRUE, $Z173)</f>
        <v>4.95</v>
      </c>
      <c r="AU173" s="592">
        <f>$AS173*$AT173</f>
        <v>0</v>
      </c>
      <c r="AV173" s="591">
        <f>[1]COMMANDE!O171</f>
        <v>0</v>
      </c>
      <c r="AW173" s="586" t="str">
        <f>_xlfn.IFS(AND($AI173=$AM173,$AI173&gt;0,$AM173&gt;0,AV173&gt;0), AV173,     AND(NOT($AI173=$AM173),$AI173&gt;0,$AM173&gt;0,AV173&gt;0), ($AM173*AV173)/$AI173,     AND($AI173=0,$AM173&gt;0,$AQ173&gt;0), IF(INDEX(AV$12:AV$263,MATCH($AQ173,$AP$12:$AP$263,0))&gt;0,($AM173*INDEX(AV$12:AV$263,MATCH($AQ173,$AP$12:$AP$263,0)))/INDEX($AI$12:$AI$263,MATCH($AQ173,$AP$12:$AP$263,0)), "-"),     TRUE, "0")</f>
        <v>0</v>
      </c>
      <c r="AX173" s="588">
        <f>IF(AW$9&gt;0, IF(OR(AW173="",AW173="-"), 0, AW173*$AT173), AV173*$AJ173)</f>
        <v>0</v>
      </c>
      <c r="AY173" s="587">
        <f>[1]COMMANDE!Q171</f>
        <v>0</v>
      </c>
      <c r="AZ173" s="586" t="str">
        <f>_xlfn.IFS(AND($AI173=$AM173,$AI173&gt;0,$AM173&gt;0,AY173&gt;0), AY173,     AND(NOT($AI173=$AM173),$AI173&gt;0,$AM173&gt;0,AY173&gt;0), ($AM173*AY173)/$AI173,     AND($AI173=0,$AM173&gt;0,$AQ173&gt;0), IF(INDEX(AY$12:AY$263,MATCH($AQ173,$AP$12:$AP$263,0))&gt;0,($AM173*INDEX(AY$12:AY$263,MATCH($AQ173,$AP$12:$AP$263,0)))/INDEX($AI$12:$AI$263,MATCH($AQ173,$AP$12:$AP$263,0)), "-"),     TRUE, "0")</f>
        <v>0</v>
      </c>
      <c r="BA173" s="607">
        <f>IF(AZ$9&gt;0, IF(OR(AZ173="",AZ173="-"), 0, AZ173*$AT173), AY173*$AJ173)</f>
        <v>0</v>
      </c>
      <c r="BB173" s="589">
        <f>[1]COMMANDE!S171</f>
        <v>0</v>
      </c>
      <c r="BC173" s="586" t="str">
        <f>_xlfn.IFS(AND($AI173=$AM173,$AI173&gt;0,$AM173&gt;0,BB173&gt;0), BB173,     AND(NOT($AI173=$AM173),$AI173&gt;0,$AM173&gt;0,BB173&gt;0), ($AM173*BB173)/$AI173,     AND($AI173=0,$AM173&gt;0,$AQ173&gt;0), IF(INDEX(BB$12:BB$263,MATCH($AQ173,$AP$12:$AP$263,0))&gt;0,($AM173*INDEX(BB$12:BB$263,MATCH($AQ173,$AP$12:$AP$263,0)))/INDEX($AI$12:$AI$263,MATCH($AQ173,$AP$12:$AP$263,0)), "-"),     TRUE, "0")</f>
        <v>0</v>
      </c>
      <c r="BD173" s="588">
        <f>IF(BC$9&gt;0, IF(OR(BC173="",BC173="-"), 0, BC173*$AT173), BB173*$AJ173)</f>
        <v>0</v>
      </c>
      <c r="BE173" s="587">
        <f>[1]COMMANDE!U171</f>
        <v>0</v>
      </c>
      <c r="BF173" s="586" t="str">
        <f>_xlfn.IFS(AND($AI173=$AM173,$AI173&gt;0,$AM173&gt;0,BE173&gt;0), BE173,     AND(NOT($AI173=$AM173),$AI173&gt;0,$AM173&gt;0,BE173&gt;0), ($AM173*BE173)/$AI173,     AND($AI173=0,$AM173&gt;0,$AQ173&gt;0), IF(INDEX(BE$12:BE$263,MATCH($AQ173,$AP$12:$AP$263,0))&gt;0,($AM173*INDEX(BE$12:BE$263,MATCH($AQ173,$AP$12:$AP$263,0)))/INDEX($AI$12:$AI$263,MATCH($AQ173,$AP$12:$AP$263,0)), "-"),     TRUE, "0")</f>
        <v>0</v>
      </c>
      <c r="BG173" s="607">
        <f>IF(BF$9&gt;0, IF(OR(BF173="",BF173="-"), 0, BF173*$AT173), BE173*$AJ173)</f>
        <v>0</v>
      </c>
      <c r="BH173" s="589">
        <f>[1]COMMANDE!W171</f>
        <v>0</v>
      </c>
      <c r="BI173" s="586" t="str">
        <f>_xlfn.IFS(AND($AI173=$AM173,$AI173&gt;0,$AM173&gt;0,BH173&gt;0), BH173,     AND(NOT($AI173=$AM173),$AI173&gt;0,$AM173&gt;0,BH173&gt;0), ($AM173*BH173)/$AI173,     AND($AI173=0,$AM173&gt;0,$AQ173&gt;0), IF(INDEX(BH$12:BH$263,MATCH($AQ173,$AP$12:$AP$263,0))&gt;0,($AM173*INDEX(BH$12:BH$263,MATCH($AQ173,$AP$12:$AP$263,0)))/INDEX($AI$12:$AI$263,MATCH($AQ173,$AP$12:$AP$263,0)), "-"),     TRUE, "0")</f>
        <v>0</v>
      </c>
      <c r="BJ173" s="588">
        <f>IF(BI$9&gt;0, IF(OR(BI173="",BI173="-"), 0, BI173*$AT173), BH173*$AJ173)</f>
        <v>0</v>
      </c>
      <c r="BK173" s="587">
        <f>[1]COMMANDE!Y171</f>
        <v>0</v>
      </c>
      <c r="BL173" s="586" t="str">
        <f>_xlfn.IFS(AND($AI173=$AM173,$AI173&gt;0,$AM173&gt;0,BK173&gt;0), BK173,     AND(NOT($AI173=$AM173),$AI173&gt;0,$AM173&gt;0,BK173&gt;0), ($AM173*BK173)/$AI173,     AND($AI173=0,$AM173&gt;0,$AQ173&gt;0), IF(INDEX(BK$12:BK$263,MATCH($AQ173,$AP$12:$AP$263,0))&gt;0,($AM173*INDEX(BK$12:BK$263,MATCH($AQ173,$AP$12:$AP$263,0)))/INDEX($AI$12:$AI$263,MATCH($AQ173,$AP$12:$AP$263,0)), "-"),     TRUE, "0")</f>
        <v>0</v>
      </c>
      <c r="BM173" s="607">
        <f>IF(BL$9&gt;0, IF(OR(BL173="",BL173="-"), 0, BL173*$AT173), BK173*$AJ173)</f>
        <v>0</v>
      </c>
      <c r="BN173" s="589">
        <f>[1]COMMANDE!AA171</f>
        <v>0</v>
      </c>
      <c r="BO173" s="586" t="str">
        <f>_xlfn.IFS(AND($AI173=$AM173,$AI173&gt;0,$AM173&gt;0,BN173&gt;0), BN173,     AND(NOT($AI173=$AM173),$AI173&gt;0,$AM173&gt;0,BN173&gt;0), ($AM173*BN173)/$AI173,     AND($AI173=0,$AM173&gt;0,$AQ173&gt;0), IF(INDEX(BN$12:BN$263,MATCH($AQ173,$AP$12:$AP$263,0))&gt;0,($AM173*INDEX(BN$12:BN$263,MATCH($AQ173,$AP$12:$AP$263,0)))/INDEX($AI$12:$AI$263,MATCH($AQ173,$AP$12:$AP$263,0)), "-"),     TRUE, "0")</f>
        <v>0</v>
      </c>
      <c r="BP173" s="588">
        <f>IF(BO$9&gt;0, IF(OR(BO173="",BO173="-"), 0, BO173*$AT173), BN173*$AJ173)</f>
        <v>0</v>
      </c>
      <c r="BQ173" s="587">
        <f>[1]COMMANDE!AC171</f>
        <v>0</v>
      </c>
      <c r="BR173" s="586" t="str">
        <f>_xlfn.IFS(AND($AI173=$AM173,$AI173&gt;0,$AM173&gt;0,BQ173&gt;0), BQ173,     AND(NOT($AI173=$AM173),$AI173&gt;0,$AM173&gt;0,BQ173&gt;0), ($AM173*BQ173)/$AI173,     AND($AI173=0,$AM173&gt;0,$AQ173&gt;0), IF(INDEX(BQ$12:BQ$263,MATCH($AQ173,$AP$12:$AP$263,0))&gt;0,($AM173*INDEX(BQ$12:BQ$263,MATCH($AQ173,$AP$12:$AP$263,0)))/INDEX($AI$12:$AI$263,MATCH($AQ173,$AP$12:$AP$263,0)), "-"),     TRUE, "0")</f>
        <v>0</v>
      </c>
      <c r="BS173" s="607">
        <f>IF(BR$9&gt;0, IF(OR(BR173="",BR173="-"), 0, BR173*$AT173), BQ173*$AJ173)</f>
        <v>0</v>
      </c>
      <c r="BT173" s="589">
        <f>[1]COMMANDE!AE171</f>
        <v>0</v>
      </c>
      <c r="BU173" s="586" t="str">
        <f>_xlfn.IFS(AND($AI173=$AM173,$AI173&gt;0,$AM173&gt;0,BT173&gt;0), BT173,     AND(NOT($AI173=$AM173),$AI173&gt;0,$AM173&gt;0,BT173&gt;0), ($AM173*BT173)/$AI173,     AND($AI173=0,$AM173&gt;0,$AQ173&gt;0), IF(INDEX(BT$12:BT$263,MATCH($AQ173,$AP$12:$AP$263,0))&gt;0,($AM173*INDEX(BT$12:BT$263,MATCH($AQ173,$AP$12:$AP$263,0)))/INDEX($AI$12:$AI$263,MATCH($AQ173,$AP$12:$AP$263,0)), "-"),     TRUE, "0")</f>
        <v>0</v>
      </c>
      <c r="BV173" s="588">
        <f>IF(BU$9&gt;0, IF(OR(BU173="",BU173="-"), 0, BU173*$AT173), BT173*$AJ173)</f>
        <v>0</v>
      </c>
      <c r="BW173" s="587">
        <f>[1]COMMANDE!AG171</f>
        <v>0</v>
      </c>
      <c r="BX173" s="586" t="str">
        <f>_xlfn.IFS(AND($AI173=$AM173,$AI173&gt;0,$AM173&gt;0,BW173&gt;0), BW173,     AND(NOT($AI173=$AM173),$AI173&gt;0,$AM173&gt;0,BW173&gt;0), ($AM173*BW173)/$AI173,     AND($AI173=0,$AM173&gt;0,$AQ173&gt;0), IF(INDEX(BW$12:BW$263,MATCH($AQ173,$AP$12:$AP$263,0))&gt;0,($AM173*INDEX(BW$12:BW$263,MATCH($AQ173,$AP$12:$AP$263,0)))/INDEX($AI$12:$AI$263,MATCH($AQ173,$AP$12:$AP$263,0)), "-"),     TRUE, "0")</f>
        <v>0</v>
      </c>
      <c r="BY173" s="607">
        <f>IF(BX$9&gt;0, IF(OR(BX173="",BX173="-"), 0, BX173*$AT173), BW173*$AJ173)</f>
        <v>0</v>
      </c>
      <c r="BZ173" s="589">
        <f>[1]COMMANDE!AI171</f>
        <v>0</v>
      </c>
      <c r="CA173" s="586" t="str">
        <f>_xlfn.IFS(AND($AI173=$AM173,$AI173&gt;0,$AM173&gt;0,BZ173&gt;0), BZ173,     AND(NOT($AI173=$AM173),$AI173&gt;0,$AM173&gt;0,BZ173&gt;0), ($AM173*BZ173)/$AI173,     AND($AI173=0,$AM173&gt;0,$AQ173&gt;0), IF(INDEX(BZ$12:BZ$263,MATCH($AQ173,$AP$12:$AP$263,0))&gt;0,($AM173*INDEX(BZ$12:BZ$263,MATCH($AQ173,$AP$12:$AP$263,0)))/INDEX($AI$12:$AI$263,MATCH($AQ173,$AP$12:$AP$263,0)), "-"),     TRUE, "0")</f>
        <v>0</v>
      </c>
      <c r="CB173" s="588">
        <f>IF(CA$9&gt;0, IF(OR(CA173="",CA173="-"), 0, CA173*$AT173), BZ173*$AJ173)</f>
        <v>0</v>
      </c>
      <c r="CC173" s="587">
        <f>[1]COMMANDE!AK171</f>
        <v>0</v>
      </c>
      <c r="CD173" s="586" t="str">
        <f>_xlfn.IFS(AND($AI173=$AM173,$AI173&gt;0,$AM173&gt;0,CC173&gt;0), CC173,     AND(NOT($AI173=$AM173),$AI173&gt;0,$AM173&gt;0,CC173&gt;0), ($AM173*CC173)/$AI173,     AND($AI173=0,$AM173&gt;0,$AQ173&gt;0), IF(INDEX(CC$12:CC$263,MATCH($AQ173,$AP$12:$AP$263,0))&gt;0,($AM173*INDEX(CC$12:CC$263,MATCH($AQ173,$AP$12:$AP$263,0)))/INDEX($AI$12:$AI$263,MATCH($AQ173,$AP$12:$AP$263,0)), "-"),     TRUE, "0")</f>
        <v>0</v>
      </c>
      <c r="CE173" s="607">
        <f>IF(CD$9&gt;0, IF(OR(CD173="",CD173="-"), 0, CD173*$AT173), CC173*$AJ173)</f>
        <v>0</v>
      </c>
      <c r="CF173" s="589">
        <f>[1]COMMANDE!AM171</f>
        <v>0</v>
      </c>
      <c r="CG173" s="586" t="str">
        <f>_xlfn.IFS(AND($AI173=$AM173,$AI173&gt;0,$AM173&gt;0,CF173&gt;0), CF173,     AND(NOT($AI173=$AM173),$AI173&gt;0,$AM173&gt;0,CF173&gt;0), ($AM173*CF173)/$AI173,     AND($AI173=0,$AM173&gt;0,$AQ173&gt;0), IF(INDEX(CF$12:CF$263,MATCH($AQ173,$AP$12:$AP$263,0))&gt;0,($AM173*INDEX(CF$12:CF$263,MATCH($AQ173,$AP$12:$AP$263,0)))/INDEX($AI$12:$AI$263,MATCH($AQ173,$AP$12:$AP$263,0)), "-"),     TRUE, "0")</f>
        <v>0</v>
      </c>
      <c r="CH173" s="588">
        <f>IF(CG$9&gt;0, IF(OR(CG173="",CG173="-"), 0, CG173*$AT173), CF173*$AJ173)</f>
        <v>0</v>
      </c>
      <c r="CI173" s="587">
        <f>[1]COMMANDE!AO171</f>
        <v>0</v>
      </c>
      <c r="CJ173" s="586" t="str">
        <f>_xlfn.IFS(AND($AI173=$AM173,$AI173&gt;0,$AM173&gt;0,CI173&gt;0), CI173,     AND(NOT($AI173=$AM173),$AI173&gt;0,$AM173&gt;0,CI173&gt;0), ($AM173*CI173)/$AI173,     AND($AI173=0,$AM173&gt;0,$AQ173&gt;0), IF(INDEX(CI$12:CI$263,MATCH($AQ173,$AP$12:$AP$263,0))&gt;0,($AM173*INDEX(CI$12:CI$263,MATCH($AQ173,$AP$12:$AP$263,0)))/INDEX($AI$12:$AI$263,MATCH($AQ173,$AP$12:$AP$263,0)), "-"),     TRUE, "0")</f>
        <v>0</v>
      </c>
      <c r="CK173" s="607">
        <f>IF(CJ$9&gt;0, IF(OR(CJ173="",CJ173="-"), 0, CJ173*$AT173), CI173*$AJ173)</f>
        <v>0</v>
      </c>
      <c r="CL173" s="589">
        <f>[1]COMMANDE!AQ171</f>
        <v>0</v>
      </c>
      <c r="CM173" s="586" t="str">
        <f>_xlfn.IFS(AND($AI173=$AM173,$AI173&gt;0,$AM173&gt;0,CL173&gt;0), CL173,     AND(NOT($AI173=$AM173),$AI173&gt;0,$AM173&gt;0,CL173&gt;0), ($AM173*CL173)/$AI173,     AND($AI173=0,$AM173&gt;0,$AQ173&gt;0), IF(INDEX(CL$12:CL$263,MATCH($AQ173,$AP$12:$AP$263,0))&gt;0,($AM173*INDEX(CL$12:CL$263,MATCH($AQ173,$AP$12:$AP$263,0)))/INDEX($AI$12:$AI$263,MATCH($AQ173,$AP$12:$AP$263,0)), "-"),     TRUE, "0")</f>
        <v>0</v>
      </c>
      <c r="CN173" s="588">
        <f>IF(CM$9&gt;0, IF(OR(CM173="",CM173="-"), 0, CM173*$AT173), CL173*$AJ173)</f>
        <v>0</v>
      </c>
      <c r="CO173" s="587">
        <f>[1]COMMANDE!AS171</f>
        <v>0</v>
      </c>
      <c r="CP173" s="586" t="str">
        <f>_xlfn.IFS(AND($AI173=$AM173,$AI173&gt;0,$AM173&gt;0,CO173&gt;0), CO173,     AND(NOT($AI173=$AM173),$AI173&gt;0,$AM173&gt;0,CO173&gt;0), ($AM173*CO173)/$AI173,     AND($AI173=0,$AM173&gt;0,$AQ173&gt;0), IF(INDEX(CO$12:CO$263,MATCH($AQ173,$AP$12:$AP$263,0))&gt;0,($AM173*INDEX(CO$12:CO$263,MATCH($AQ173,$AP$12:$AP$263,0)))/INDEX($AI$12:$AI$263,MATCH($AQ173,$AP$12:$AP$263,0)), "-"),     TRUE, "0")</f>
        <v>0</v>
      </c>
      <c r="CQ173" s="607">
        <f>IF(CP$9&gt;0, IF(OR(CP173="",CP173="-"), 0, CP173*$AT173), CO173*$AJ173)</f>
        <v>0</v>
      </c>
      <c r="CR173" s="589">
        <f>[1]COMMANDE!AU171</f>
        <v>0</v>
      </c>
      <c r="CS173" s="586" t="str">
        <f>_xlfn.IFS(AND($AI173=$AM173,$AI173&gt;0,$AM173&gt;0,CR173&gt;0), CR173,     AND(NOT($AI173=$AM173),$AI173&gt;0,$AM173&gt;0,CR173&gt;0), ($AM173*CR173)/$AI173,     AND($AI173=0,$AM173&gt;0,$AQ173&gt;0), IF(INDEX(CR$12:CR$263,MATCH($AQ173,$AP$12:$AP$263,0))&gt;0,($AM173*INDEX(CR$12:CR$263,MATCH($AQ173,$AP$12:$AP$263,0)))/INDEX($AI$12:$AI$263,MATCH($AQ173,$AP$12:$AP$263,0)), "-"),     TRUE, "0")</f>
        <v>0</v>
      </c>
      <c r="CT173" s="588">
        <f>IF(CS$9&gt;0, IF(OR(CS173="",CS173="-"), 0, CS173*$AT173), CR173*$AJ173)</f>
        <v>0</v>
      </c>
      <c r="CU173" s="587">
        <f>[1]COMMANDE!AW171</f>
        <v>0</v>
      </c>
      <c r="CV173" s="586" t="str">
        <f>_xlfn.IFS(AND($AI173=$AM173,$AI173&gt;0,$AM173&gt;0,CU173&gt;0), CU173,     AND(NOT($AI173=$AM173),$AI173&gt;0,$AM173&gt;0,CU173&gt;0), ($AM173*CU173)/$AI173,     AND($AI173=0,$AM173&gt;0,$AQ173&gt;0), IF(INDEX(CU$12:CU$263,MATCH($AQ173,$AP$12:$AP$263,0))&gt;0,($AM173*INDEX(CU$12:CU$263,MATCH($AQ173,$AP$12:$AP$263,0)))/INDEX($AI$12:$AI$263,MATCH($AQ173,$AP$12:$AP$263,0)), "-"),     TRUE, "0")</f>
        <v>0</v>
      </c>
      <c r="CW173" s="607">
        <f>IF(CV$9&gt;0, IF(OR(CV173="",CV173="-"), 0, CV173*$AT173), CU173*$AJ173)</f>
        <v>0</v>
      </c>
      <c r="CX173" s="589">
        <f>[1]COMMANDE!AY171</f>
        <v>0</v>
      </c>
      <c r="CY173" s="586" t="str">
        <f>_xlfn.IFS(AND($AI173=$AM173,$AI173&gt;0,$AM173&gt;0,CX173&gt;0), CX173,     AND(NOT($AI173=$AM173),$AI173&gt;0,$AM173&gt;0,CX173&gt;0), ($AM173*CX173)/$AI173,     AND($AI173=0,$AM173&gt;0,$AQ173&gt;0), IF(INDEX(CX$12:CX$263,MATCH($AQ173,$AP$12:$AP$263,0))&gt;0,($AM173*INDEX(CX$12:CX$263,MATCH($AQ173,$AP$12:$AP$263,0)))/INDEX($AI$12:$AI$263,MATCH($AQ173,$AP$12:$AP$263,0)), "-"),     TRUE, "0")</f>
        <v>0</v>
      </c>
      <c r="CZ173" s="588">
        <f>IF(CY$9&gt;0, IF(OR(CY173="",CY173="-"), 0, CY173*$AT173), CX173*$AJ173)</f>
        <v>0</v>
      </c>
      <c r="DA173" s="587">
        <f>[1]COMMANDE!BA171</f>
        <v>0</v>
      </c>
      <c r="DB173" s="586" t="str">
        <f>_xlfn.IFS(AND($AI173=$AM173,$AI173&gt;0,$AM173&gt;0,DA173&gt;0), DA173,     AND(NOT($AI173=$AM173),$AI173&gt;0,$AM173&gt;0,DA173&gt;0), ($AM173*DA173)/$AI173,     AND($AI173=0,$AM173&gt;0,$AQ173&gt;0), IF(INDEX(DA$12:DA$263,MATCH($AQ173,$AP$12:$AP$263,0))&gt;0,($AM173*INDEX(DA$12:DA$263,MATCH($AQ173,$AP$12:$AP$263,0)))/INDEX($AI$12:$AI$263,MATCH($AQ173,$AP$12:$AP$263,0)), "-"),     TRUE, "0")</f>
        <v>0</v>
      </c>
      <c r="DC173" s="606">
        <f>IF(DB$9&gt;0, IF(OR(DB173="",DB173="-"), 0, DB173*$AT173), DA173*$AJ173)</f>
        <v>0</v>
      </c>
      <c r="DD173" s="584"/>
      <c r="DE173" s="583"/>
    </row>
    <row r="174" spans="1:109" ht="39.950000000000003" customHeight="1">
      <c r="A174" s="604">
        <f>IF(OR($AV174&gt;0, $AX174&gt;0), 1, 0)</f>
        <v>1</v>
      </c>
      <c r="B174" s="604">
        <f>IF(OR($AY174&gt;0, $BA174&gt;0), 1, 0)</f>
        <v>1</v>
      </c>
      <c r="C174" s="604">
        <f>IF(OR($BB174&gt;0, $BD174&gt;0), 1, 0)</f>
        <v>0</v>
      </c>
      <c r="D174" s="604">
        <f>IF(OR($BE174&gt;0, $BG174&gt;0), 1, 0)</f>
        <v>0</v>
      </c>
      <c r="E174" s="604">
        <f>IF(OR($BH174&gt;0, $BJ174&gt;0), 1, 0)</f>
        <v>0</v>
      </c>
      <c r="F174" s="604">
        <f>IF(OR($BK174&gt;0, $BM174&gt;0), 1, 0)</f>
        <v>0</v>
      </c>
      <c r="G174" s="604">
        <f>IF(OR($BN174&gt;0, $BP174&gt;0), 1, 0)</f>
        <v>0</v>
      </c>
      <c r="H174" s="604">
        <f>IF(OR($BQ174&gt;0, $BS174&gt;0), 1, 0)</f>
        <v>0</v>
      </c>
      <c r="I174" s="604">
        <f>IF(OR($BT174&gt;0, $BV174&gt;0), 1, 0)</f>
        <v>0</v>
      </c>
      <c r="J174" s="604">
        <f>IF(OR($BW174&gt;0, $BY174&gt;0), 1, 0)</f>
        <v>0</v>
      </c>
      <c r="K174" s="604">
        <f>IF(OR($BZ174&gt;0, $CB174&gt;0), 1, 0)</f>
        <v>0</v>
      </c>
      <c r="L174" s="604">
        <f>IF(OR($CC174&gt;0, $CE174&gt;0), 1, 0)</f>
        <v>0</v>
      </c>
      <c r="M174" s="604">
        <f>IF(OR($CF174&gt;0, $CH174&gt;0), 1, 0)</f>
        <v>0</v>
      </c>
      <c r="N174" s="604">
        <f>IF(OR($CI174&gt;0, $CK174&gt;0), 1, 0)</f>
        <v>0</v>
      </c>
      <c r="O174" s="604">
        <f>IF(OR($CL174&gt;0, $CN174&gt;0), 1, 0)</f>
        <v>0</v>
      </c>
      <c r="P174" s="604">
        <f>IF(OR($CO174&gt;0, $CQ174&gt;0), 1, 0)</f>
        <v>0</v>
      </c>
      <c r="Q174" s="604">
        <f>IF(OR($CR174&gt;0, $CT174&gt;0), 1, 0)</f>
        <v>0</v>
      </c>
      <c r="R174" s="604">
        <f>IF(OR($CU174&gt;0, $CW174&gt;0), 1, 0)</f>
        <v>0</v>
      </c>
      <c r="S174" s="604">
        <f>IF(OR($CX174&gt;0, $CZ174&gt;0), 1, 0)</f>
        <v>0</v>
      </c>
      <c r="T174" s="604">
        <f>IF(OR($DA174&gt;0, $DC174&gt;0), 1, 0)</f>
        <v>0</v>
      </c>
      <c r="U174" s="603">
        <f>IF(OR($AI174&gt;0,$AM174&gt;0,$AS174&gt;0), 1, 0)</f>
        <v>1</v>
      </c>
      <c r="V174" s="602" t="str">
        <f>[1]BDD!A164</f>
        <v>3214-3248-3174-3194-3190-3175-3230</v>
      </c>
      <c r="W174" s="601" t="str">
        <f>[1]BDD!B164</f>
        <v>Mangues déjà assez mûres en mélange variétés 
    - (Haden, Irwin, Lipens, Osteen, Tommy Atkins)</v>
      </c>
      <c r="X174" s="600" t="str">
        <f>IF([1]BDD!F164=0, "", [1]BDD!F164)</f>
        <v>❤️</v>
      </c>
      <c r="Y174" s="542">
        <f>ROUND([1]BDD!G164+FDP_CMD_KG, 2)</f>
        <v>3.58</v>
      </c>
      <c r="Z174" s="542">
        <f>ROUND([1]BDD!G164+FDP_FACT_KG, 2)</f>
        <v>3.58</v>
      </c>
      <c r="AA174" s="543" t="str">
        <f>[1]BDD!H164</f>
        <v>kg</v>
      </c>
      <c r="AB174" s="544" t="str">
        <f>IF(NOT(ISBLANK([1]BDD!I164)), ROUND(SUM(([1]BDD!G164*reduc1),FDP_CMD_KG), 2), "")</f>
        <v/>
      </c>
      <c r="AC174" s="544" t="str">
        <f>IF(NOT(ISBLANK([1]BDD!J164)), ROUND(SUM(([1]BDD!G164*reduc2),FDP_CMD_KG), 2), "")</f>
        <v/>
      </c>
      <c r="AD174" s="544" t="str">
        <f>IF(NOT(ISBLANK([1]BDD!K164)), ROUND(SUM(([1]BDD!G164*reduc3),FDP_CMD_KG), 2), "")</f>
        <v/>
      </c>
      <c r="AE174" s="544" t="str">
        <f>IF(NOT(ISBLANK([1]BDD!I164)), ROUND(SUM(([1]BDD!G164*reduc1),FDP_FACT_KG), 2), "")</f>
        <v/>
      </c>
      <c r="AF174" s="544" t="str">
        <f>IF(NOT(ISBLANK([1]BDD!J164)), ROUND(SUM(([1]BDD!G164*reduc2),FDP_FACT_KG), 2), "")</f>
        <v/>
      </c>
      <c r="AG174" s="544" t="str">
        <f>IF(NOT(ISBLANK([1]BDD!K164)), ROUND(SUM(([1]BDD!G164*reduc3),FDP_FACT_KG), 2), "")</f>
        <v/>
      </c>
      <c r="AH174" s="599" t="str">
        <f>[1]BDD!C164</f>
        <v>Grenade</v>
      </c>
      <c r="AI174" s="598">
        <f>SUM(AV174,AY174,BB174,BE174,BH174,BK174,BN174,BQ174,BT174,BW174,BZ174,CC174,CF174,CI174,CL174,CO174,CR174,CU174,CX174,DA174)</f>
        <v>10</v>
      </c>
      <c r="AJ174" s="545">
        <f>_xlfn.IFS($AD174&lt;&gt;"", $AD174,    $AC174&lt;&gt;"", $AC174,    $AB174&lt;&gt;"", $AB174,    TRUE, $Y174)</f>
        <v>3.58</v>
      </c>
      <c r="AK174" s="592">
        <f>$AI174*$AJ174</f>
        <v>35.799999999999997</v>
      </c>
      <c r="AL174" s="594"/>
      <c r="AM174" s="597">
        <v>6.35</v>
      </c>
      <c r="AN174" s="545">
        <f>_xlfn.IFS(AND(AM174&gt;=60,$AG174&lt;&gt;""), $AG174,    AND(AM174&gt;=30,$AF174&lt;&gt;""), $AF174,    AND(AM174&gt;=10,$AE174&lt;&gt;""), $AE174,    TRUE, $Z174)</f>
        <v>3.58</v>
      </c>
      <c r="AO174" s="596">
        <f>AM174*AN174</f>
        <v>22.733000000000001</v>
      </c>
      <c r="AP174" s="595">
        <v>2</v>
      </c>
      <c r="AQ174" s="595"/>
      <c r="AR174" s="594"/>
      <c r="AS174" s="593">
        <f>SUM(AW174,AZ174,BC174,BF174,BI174,BL174,BO174,BR174,BU174,BX174,CA174,CD174,CG174,CJ174,CM174,CP174,CS174,CV174,CY174,DB174)</f>
        <v>6.35</v>
      </c>
      <c r="AT174" s="545">
        <f>_xlfn.IFS(AND(AS174&gt;=60,$AG174&lt;&gt;""), $AG174,    AND(AS174&gt;=30,$AF174&lt;&gt;""), $AF174,    AND(AS174&gt;=10,$AE174&lt;&gt;""), $AE174,    TRUE, $Z174)</f>
        <v>3.58</v>
      </c>
      <c r="AU174" s="592">
        <f>$AS174*$AT174</f>
        <v>22.733000000000001</v>
      </c>
      <c r="AV174" s="591">
        <f>[1]COMMANDE!O172</f>
        <v>5</v>
      </c>
      <c r="AW174" s="586">
        <f>_xlfn.IFS(AND($AI174=$AM174,$AI174&gt;0,$AM174&gt;0,AV174&gt;0), AV174,     AND(NOT($AI174=$AM174),$AI174&gt;0,$AM174&gt;0,AV174&gt;0), ($AM174*AV174)/$AI174,     AND($AI174=0,$AM174&gt;0,$AQ174&gt;0), IF(INDEX(AV$12:AV$263,MATCH($AQ174,$AP$12:$AP$263,0))&gt;0,($AM174*INDEX(AV$12:AV$263,MATCH($AQ174,$AP$12:$AP$263,0)))/INDEX($AI$12:$AI$263,MATCH($AQ174,$AP$12:$AP$263,0)), "-"),     TRUE, "0")</f>
        <v>3.1749999999999998</v>
      </c>
      <c r="AX174" s="588">
        <f>IF(AW$9&gt;0, IF(OR(AW174="",AW174="-"), 0, AW174*$AT174), AV174*$AJ174)</f>
        <v>11.3665</v>
      </c>
      <c r="AY174" s="587">
        <f>[1]COMMANDE!Q172</f>
        <v>5</v>
      </c>
      <c r="AZ174" s="586">
        <f>_xlfn.IFS(AND($AI174=$AM174,$AI174&gt;0,$AM174&gt;0,AY174&gt;0), AY174,     AND(NOT($AI174=$AM174),$AI174&gt;0,$AM174&gt;0,AY174&gt;0), ($AM174*AY174)/$AI174,     AND($AI174=0,$AM174&gt;0,$AQ174&gt;0), IF(INDEX(AY$12:AY$263,MATCH($AQ174,$AP$12:$AP$263,0))&gt;0,($AM174*INDEX(AY$12:AY$263,MATCH($AQ174,$AP$12:$AP$263,0)))/INDEX($AI$12:$AI$263,MATCH($AQ174,$AP$12:$AP$263,0)), "-"),     TRUE, "0")</f>
        <v>3.1749999999999998</v>
      </c>
      <c r="BA174" s="607">
        <f>IF(AZ$9&gt;0, IF(OR(AZ174="",AZ174="-"), 0, AZ174*$AT174), AY174*$AJ174)</f>
        <v>11.3665</v>
      </c>
      <c r="BB174" s="589">
        <f>[1]COMMANDE!S172</f>
        <v>0</v>
      </c>
      <c r="BC174" s="586" t="str">
        <f>_xlfn.IFS(AND($AI174=$AM174,$AI174&gt;0,$AM174&gt;0,BB174&gt;0), BB174,     AND(NOT($AI174=$AM174),$AI174&gt;0,$AM174&gt;0,BB174&gt;0), ($AM174*BB174)/$AI174,     AND($AI174=0,$AM174&gt;0,$AQ174&gt;0), IF(INDEX(BB$12:BB$263,MATCH($AQ174,$AP$12:$AP$263,0))&gt;0,($AM174*INDEX(BB$12:BB$263,MATCH($AQ174,$AP$12:$AP$263,0)))/INDEX($AI$12:$AI$263,MATCH($AQ174,$AP$12:$AP$263,0)), "-"),     TRUE, "0")</f>
        <v>0</v>
      </c>
      <c r="BD174" s="588">
        <f>IF(BC$9&gt;0, IF(OR(BC174="",BC174="-"), 0, BC174*$AT174), BB174*$AJ174)</f>
        <v>0</v>
      </c>
      <c r="BE174" s="587">
        <f>[1]COMMANDE!U172</f>
        <v>0</v>
      </c>
      <c r="BF174" s="586" t="str">
        <f>_xlfn.IFS(AND($AI174=$AM174,$AI174&gt;0,$AM174&gt;0,BE174&gt;0), BE174,     AND(NOT($AI174=$AM174),$AI174&gt;0,$AM174&gt;0,BE174&gt;0), ($AM174*BE174)/$AI174,     AND($AI174=0,$AM174&gt;0,$AQ174&gt;0), IF(INDEX(BE$12:BE$263,MATCH($AQ174,$AP$12:$AP$263,0))&gt;0,($AM174*INDEX(BE$12:BE$263,MATCH($AQ174,$AP$12:$AP$263,0)))/INDEX($AI$12:$AI$263,MATCH($AQ174,$AP$12:$AP$263,0)), "-"),     TRUE, "0")</f>
        <v>0</v>
      </c>
      <c r="BG174" s="607">
        <f>IF(BF$9&gt;0, IF(OR(BF174="",BF174="-"), 0, BF174*$AT174), BE174*$AJ174)</f>
        <v>0</v>
      </c>
      <c r="BH174" s="589">
        <f>[1]COMMANDE!W172</f>
        <v>0</v>
      </c>
      <c r="BI174" s="586" t="str">
        <f>_xlfn.IFS(AND($AI174=$AM174,$AI174&gt;0,$AM174&gt;0,BH174&gt;0), BH174,     AND(NOT($AI174=$AM174),$AI174&gt;0,$AM174&gt;0,BH174&gt;0), ($AM174*BH174)/$AI174,     AND($AI174=0,$AM174&gt;0,$AQ174&gt;0), IF(INDEX(BH$12:BH$263,MATCH($AQ174,$AP$12:$AP$263,0))&gt;0,($AM174*INDEX(BH$12:BH$263,MATCH($AQ174,$AP$12:$AP$263,0)))/INDEX($AI$12:$AI$263,MATCH($AQ174,$AP$12:$AP$263,0)), "-"),     TRUE, "0")</f>
        <v>0</v>
      </c>
      <c r="BJ174" s="588">
        <f>IF(BI$9&gt;0, IF(OR(BI174="",BI174="-"), 0, BI174*$AT174), BH174*$AJ174)</f>
        <v>0</v>
      </c>
      <c r="BK174" s="587">
        <f>[1]COMMANDE!Y172</f>
        <v>0</v>
      </c>
      <c r="BL174" s="586" t="str">
        <f>_xlfn.IFS(AND($AI174=$AM174,$AI174&gt;0,$AM174&gt;0,BK174&gt;0), BK174,     AND(NOT($AI174=$AM174),$AI174&gt;0,$AM174&gt;0,BK174&gt;0), ($AM174*BK174)/$AI174,     AND($AI174=0,$AM174&gt;0,$AQ174&gt;0), IF(INDEX(BK$12:BK$263,MATCH($AQ174,$AP$12:$AP$263,0))&gt;0,($AM174*INDEX(BK$12:BK$263,MATCH($AQ174,$AP$12:$AP$263,0)))/INDEX($AI$12:$AI$263,MATCH($AQ174,$AP$12:$AP$263,0)), "-"),     TRUE, "0")</f>
        <v>0</v>
      </c>
      <c r="BM174" s="607">
        <f>IF(BL$9&gt;0, IF(OR(BL174="",BL174="-"), 0, BL174*$AT174), BK174*$AJ174)</f>
        <v>0</v>
      </c>
      <c r="BN174" s="589">
        <f>[1]COMMANDE!AA172</f>
        <v>0</v>
      </c>
      <c r="BO174" s="586" t="str">
        <f>_xlfn.IFS(AND($AI174=$AM174,$AI174&gt;0,$AM174&gt;0,BN174&gt;0), BN174,     AND(NOT($AI174=$AM174),$AI174&gt;0,$AM174&gt;0,BN174&gt;0), ($AM174*BN174)/$AI174,     AND($AI174=0,$AM174&gt;0,$AQ174&gt;0), IF(INDEX(BN$12:BN$263,MATCH($AQ174,$AP$12:$AP$263,0))&gt;0,($AM174*INDEX(BN$12:BN$263,MATCH($AQ174,$AP$12:$AP$263,0)))/INDEX($AI$12:$AI$263,MATCH($AQ174,$AP$12:$AP$263,0)), "-"),     TRUE, "0")</f>
        <v>0</v>
      </c>
      <c r="BP174" s="588">
        <f>IF(BO$9&gt;0, IF(OR(BO174="",BO174="-"), 0, BO174*$AT174), BN174*$AJ174)</f>
        <v>0</v>
      </c>
      <c r="BQ174" s="587">
        <f>[1]COMMANDE!AC172</f>
        <v>0</v>
      </c>
      <c r="BR174" s="586" t="str">
        <f>_xlfn.IFS(AND($AI174=$AM174,$AI174&gt;0,$AM174&gt;0,BQ174&gt;0), BQ174,     AND(NOT($AI174=$AM174),$AI174&gt;0,$AM174&gt;0,BQ174&gt;0), ($AM174*BQ174)/$AI174,     AND($AI174=0,$AM174&gt;0,$AQ174&gt;0), IF(INDEX(BQ$12:BQ$263,MATCH($AQ174,$AP$12:$AP$263,0))&gt;0,($AM174*INDEX(BQ$12:BQ$263,MATCH($AQ174,$AP$12:$AP$263,0)))/INDEX($AI$12:$AI$263,MATCH($AQ174,$AP$12:$AP$263,0)), "-"),     TRUE, "0")</f>
        <v>0</v>
      </c>
      <c r="BS174" s="607">
        <f>IF(BR$9&gt;0, IF(OR(BR174="",BR174="-"), 0, BR174*$AT174), BQ174*$AJ174)</f>
        <v>0</v>
      </c>
      <c r="BT174" s="589">
        <f>[1]COMMANDE!AE172</f>
        <v>0</v>
      </c>
      <c r="BU174" s="586" t="str">
        <f>_xlfn.IFS(AND($AI174=$AM174,$AI174&gt;0,$AM174&gt;0,BT174&gt;0), BT174,     AND(NOT($AI174=$AM174),$AI174&gt;0,$AM174&gt;0,BT174&gt;0), ($AM174*BT174)/$AI174,     AND($AI174=0,$AM174&gt;0,$AQ174&gt;0), IF(INDEX(BT$12:BT$263,MATCH($AQ174,$AP$12:$AP$263,0))&gt;0,($AM174*INDEX(BT$12:BT$263,MATCH($AQ174,$AP$12:$AP$263,0)))/INDEX($AI$12:$AI$263,MATCH($AQ174,$AP$12:$AP$263,0)), "-"),     TRUE, "0")</f>
        <v>0</v>
      </c>
      <c r="BV174" s="588">
        <f>IF(BU$9&gt;0, IF(OR(BU174="",BU174="-"), 0, BU174*$AT174), BT174*$AJ174)</f>
        <v>0</v>
      </c>
      <c r="BW174" s="587">
        <f>[1]COMMANDE!AG172</f>
        <v>0</v>
      </c>
      <c r="BX174" s="586" t="str">
        <f>_xlfn.IFS(AND($AI174=$AM174,$AI174&gt;0,$AM174&gt;0,BW174&gt;0), BW174,     AND(NOT($AI174=$AM174),$AI174&gt;0,$AM174&gt;0,BW174&gt;0), ($AM174*BW174)/$AI174,     AND($AI174=0,$AM174&gt;0,$AQ174&gt;0), IF(INDEX(BW$12:BW$263,MATCH($AQ174,$AP$12:$AP$263,0))&gt;0,($AM174*INDEX(BW$12:BW$263,MATCH($AQ174,$AP$12:$AP$263,0)))/INDEX($AI$12:$AI$263,MATCH($AQ174,$AP$12:$AP$263,0)), "-"),     TRUE, "0")</f>
        <v>0</v>
      </c>
      <c r="BY174" s="607">
        <f>IF(BX$9&gt;0, IF(OR(BX174="",BX174="-"), 0, BX174*$AT174), BW174*$AJ174)</f>
        <v>0</v>
      </c>
      <c r="BZ174" s="589">
        <f>[1]COMMANDE!AI172</f>
        <v>0</v>
      </c>
      <c r="CA174" s="586" t="str">
        <f>_xlfn.IFS(AND($AI174=$AM174,$AI174&gt;0,$AM174&gt;0,BZ174&gt;0), BZ174,     AND(NOT($AI174=$AM174),$AI174&gt;0,$AM174&gt;0,BZ174&gt;0), ($AM174*BZ174)/$AI174,     AND($AI174=0,$AM174&gt;0,$AQ174&gt;0), IF(INDEX(BZ$12:BZ$263,MATCH($AQ174,$AP$12:$AP$263,0))&gt;0,($AM174*INDEX(BZ$12:BZ$263,MATCH($AQ174,$AP$12:$AP$263,0)))/INDEX($AI$12:$AI$263,MATCH($AQ174,$AP$12:$AP$263,0)), "-"),     TRUE, "0")</f>
        <v>0</v>
      </c>
      <c r="CB174" s="588">
        <f>IF(CA$9&gt;0, IF(OR(CA174="",CA174="-"), 0, CA174*$AT174), BZ174*$AJ174)</f>
        <v>0</v>
      </c>
      <c r="CC174" s="587">
        <f>[1]COMMANDE!AK172</f>
        <v>0</v>
      </c>
      <c r="CD174" s="586" t="str">
        <f>_xlfn.IFS(AND($AI174=$AM174,$AI174&gt;0,$AM174&gt;0,CC174&gt;0), CC174,     AND(NOT($AI174=$AM174),$AI174&gt;0,$AM174&gt;0,CC174&gt;0), ($AM174*CC174)/$AI174,     AND($AI174=0,$AM174&gt;0,$AQ174&gt;0), IF(INDEX(CC$12:CC$263,MATCH($AQ174,$AP$12:$AP$263,0))&gt;0,($AM174*INDEX(CC$12:CC$263,MATCH($AQ174,$AP$12:$AP$263,0)))/INDEX($AI$12:$AI$263,MATCH($AQ174,$AP$12:$AP$263,0)), "-"),     TRUE, "0")</f>
        <v>0</v>
      </c>
      <c r="CE174" s="607">
        <f>IF(CD$9&gt;0, IF(OR(CD174="",CD174="-"), 0, CD174*$AT174), CC174*$AJ174)</f>
        <v>0</v>
      </c>
      <c r="CF174" s="589">
        <f>[1]COMMANDE!AM172</f>
        <v>0</v>
      </c>
      <c r="CG174" s="586" t="str">
        <f>_xlfn.IFS(AND($AI174=$AM174,$AI174&gt;0,$AM174&gt;0,CF174&gt;0), CF174,     AND(NOT($AI174=$AM174),$AI174&gt;0,$AM174&gt;0,CF174&gt;0), ($AM174*CF174)/$AI174,     AND($AI174=0,$AM174&gt;0,$AQ174&gt;0), IF(INDEX(CF$12:CF$263,MATCH($AQ174,$AP$12:$AP$263,0))&gt;0,($AM174*INDEX(CF$12:CF$263,MATCH($AQ174,$AP$12:$AP$263,0)))/INDEX($AI$12:$AI$263,MATCH($AQ174,$AP$12:$AP$263,0)), "-"),     TRUE, "0")</f>
        <v>0</v>
      </c>
      <c r="CH174" s="588">
        <f>IF(CG$9&gt;0, IF(OR(CG174="",CG174="-"), 0, CG174*$AT174), CF174*$AJ174)</f>
        <v>0</v>
      </c>
      <c r="CI174" s="587">
        <f>[1]COMMANDE!AO172</f>
        <v>0</v>
      </c>
      <c r="CJ174" s="586" t="str">
        <f>_xlfn.IFS(AND($AI174=$AM174,$AI174&gt;0,$AM174&gt;0,CI174&gt;0), CI174,     AND(NOT($AI174=$AM174),$AI174&gt;0,$AM174&gt;0,CI174&gt;0), ($AM174*CI174)/$AI174,     AND($AI174=0,$AM174&gt;0,$AQ174&gt;0), IF(INDEX(CI$12:CI$263,MATCH($AQ174,$AP$12:$AP$263,0))&gt;0,($AM174*INDEX(CI$12:CI$263,MATCH($AQ174,$AP$12:$AP$263,0)))/INDEX($AI$12:$AI$263,MATCH($AQ174,$AP$12:$AP$263,0)), "-"),     TRUE, "0")</f>
        <v>0</v>
      </c>
      <c r="CK174" s="607">
        <f>IF(CJ$9&gt;0, IF(OR(CJ174="",CJ174="-"), 0, CJ174*$AT174), CI174*$AJ174)</f>
        <v>0</v>
      </c>
      <c r="CL174" s="589">
        <f>[1]COMMANDE!AQ172</f>
        <v>0</v>
      </c>
      <c r="CM174" s="586" t="str">
        <f>_xlfn.IFS(AND($AI174=$AM174,$AI174&gt;0,$AM174&gt;0,CL174&gt;0), CL174,     AND(NOT($AI174=$AM174),$AI174&gt;0,$AM174&gt;0,CL174&gt;0), ($AM174*CL174)/$AI174,     AND($AI174=0,$AM174&gt;0,$AQ174&gt;0), IF(INDEX(CL$12:CL$263,MATCH($AQ174,$AP$12:$AP$263,0))&gt;0,($AM174*INDEX(CL$12:CL$263,MATCH($AQ174,$AP$12:$AP$263,0)))/INDEX($AI$12:$AI$263,MATCH($AQ174,$AP$12:$AP$263,0)), "-"),     TRUE, "0")</f>
        <v>0</v>
      </c>
      <c r="CN174" s="588">
        <f>IF(CM$9&gt;0, IF(OR(CM174="",CM174="-"), 0, CM174*$AT174), CL174*$AJ174)</f>
        <v>0</v>
      </c>
      <c r="CO174" s="587">
        <f>[1]COMMANDE!AS172</f>
        <v>0</v>
      </c>
      <c r="CP174" s="586" t="str">
        <f>_xlfn.IFS(AND($AI174=$AM174,$AI174&gt;0,$AM174&gt;0,CO174&gt;0), CO174,     AND(NOT($AI174=$AM174),$AI174&gt;0,$AM174&gt;0,CO174&gt;0), ($AM174*CO174)/$AI174,     AND($AI174=0,$AM174&gt;0,$AQ174&gt;0), IF(INDEX(CO$12:CO$263,MATCH($AQ174,$AP$12:$AP$263,0))&gt;0,($AM174*INDEX(CO$12:CO$263,MATCH($AQ174,$AP$12:$AP$263,0)))/INDEX($AI$12:$AI$263,MATCH($AQ174,$AP$12:$AP$263,0)), "-"),     TRUE, "0")</f>
        <v>0</v>
      </c>
      <c r="CQ174" s="607">
        <f>IF(CP$9&gt;0, IF(OR(CP174="",CP174="-"), 0, CP174*$AT174), CO174*$AJ174)</f>
        <v>0</v>
      </c>
      <c r="CR174" s="589">
        <f>[1]COMMANDE!AU172</f>
        <v>0</v>
      </c>
      <c r="CS174" s="586" t="str">
        <f>_xlfn.IFS(AND($AI174=$AM174,$AI174&gt;0,$AM174&gt;0,CR174&gt;0), CR174,     AND(NOT($AI174=$AM174),$AI174&gt;0,$AM174&gt;0,CR174&gt;0), ($AM174*CR174)/$AI174,     AND($AI174=0,$AM174&gt;0,$AQ174&gt;0), IF(INDEX(CR$12:CR$263,MATCH($AQ174,$AP$12:$AP$263,0))&gt;0,($AM174*INDEX(CR$12:CR$263,MATCH($AQ174,$AP$12:$AP$263,0)))/INDEX($AI$12:$AI$263,MATCH($AQ174,$AP$12:$AP$263,0)), "-"),     TRUE, "0")</f>
        <v>0</v>
      </c>
      <c r="CT174" s="588">
        <f>IF(CS$9&gt;0, IF(OR(CS174="",CS174="-"), 0, CS174*$AT174), CR174*$AJ174)</f>
        <v>0</v>
      </c>
      <c r="CU174" s="587">
        <f>[1]COMMANDE!AW172</f>
        <v>0</v>
      </c>
      <c r="CV174" s="586" t="str">
        <f>_xlfn.IFS(AND($AI174=$AM174,$AI174&gt;0,$AM174&gt;0,CU174&gt;0), CU174,     AND(NOT($AI174=$AM174),$AI174&gt;0,$AM174&gt;0,CU174&gt;0), ($AM174*CU174)/$AI174,     AND($AI174=0,$AM174&gt;0,$AQ174&gt;0), IF(INDEX(CU$12:CU$263,MATCH($AQ174,$AP$12:$AP$263,0))&gt;0,($AM174*INDEX(CU$12:CU$263,MATCH($AQ174,$AP$12:$AP$263,0)))/INDEX($AI$12:$AI$263,MATCH($AQ174,$AP$12:$AP$263,0)), "-"),     TRUE, "0")</f>
        <v>0</v>
      </c>
      <c r="CW174" s="607">
        <f>IF(CV$9&gt;0, IF(OR(CV174="",CV174="-"), 0, CV174*$AT174), CU174*$AJ174)</f>
        <v>0</v>
      </c>
      <c r="CX174" s="589">
        <f>[1]COMMANDE!AY172</f>
        <v>0</v>
      </c>
      <c r="CY174" s="586" t="str">
        <f>_xlfn.IFS(AND($AI174=$AM174,$AI174&gt;0,$AM174&gt;0,CX174&gt;0), CX174,     AND(NOT($AI174=$AM174),$AI174&gt;0,$AM174&gt;0,CX174&gt;0), ($AM174*CX174)/$AI174,     AND($AI174=0,$AM174&gt;0,$AQ174&gt;0), IF(INDEX(CX$12:CX$263,MATCH($AQ174,$AP$12:$AP$263,0))&gt;0,($AM174*INDEX(CX$12:CX$263,MATCH($AQ174,$AP$12:$AP$263,0)))/INDEX($AI$12:$AI$263,MATCH($AQ174,$AP$12:$AP$263,0)), "-"),     TRUE, "0")</f>
        <v>0</v>
      </c>
      <c r="CZ174" s="588">
        <f>IF(CY$9&gt;0, IF(OR(CY174="",CY174="-"), 0, CY174*$AT174), CX174*$AJ174)</f>
        <v>0</v>
      </c>
      <c r="DA174" s="587">
        <f>[1]COMMANDE!BA172</f>
        <v>0</v>
      </c>
      <c r="DB174" s="586" t="str">
        <f>_xlfn.IFS(AND($AI174=$AM174,$AI174&gt;0,$AM174&gt;0,DA174&gt;0), DA174,     AND(NOT($AI174=$AM174),$AI174&gt;0,$AM174&gt;0,DA174&gt;0), ($AM174*DA174)/$AI174,     AND($AI174=0,$AM174&gt;0,$AQ174&gt;0), IF(INDEX(DA$12:DA$263,MATCH($AQ174,$AP$12:$AP$263,0))&gt;0,($AM174*INDEX(DA$12:DA$263,MATCH($AQ174,$AP$12:$AP$263,0)))/INDEX($AI$12:$AI$263,MATCH($AQ174,$AP$12:$AP$263,0)), "-"),     TRUE, "0")</f>
        <v>0</v>
      </c>
      <c r="DC174" s="606">
        <f>IF(DB$9&gt;0, IF(OR(DB174="",DB174="-"), 0, DB174*$AT174), DA174*$AJ174)</f>
        <v>0</v>
      </c>
      <c r="DD174" s="584"/>
      <c r="DE174" s="583"/>
    </row>
    <row r="175" spans="1:109" ht="39.950000000000003" hidden="1" customHeight="1">
      <c r="A175" s="604">
        <f>IF(OR($AV175&gt;0, $AX175&gt;0), 1, 0)</f>
        <v>0</v>
      </c>
      <c r="B175" s="604">
        <f>IF(OR($AY175&gt;0, $BA175&gt;0), 1, 0)</f>
        <v>0</v>
      </c>
      <c r="C175" s="604">
        <f>IF(OR($BB175&gt;0, $BD175&gt;0), 1, 0)</f>
        <v>0</v>
      </c>
      <c r="D175" s="604">
        <f>IF(OR($BE175&gt;0, $BG175&gt;0), 1, 0)</f>
        <v>0</v>
      </c>
      <c r="E175" s="604">
        <f>IF(OR($BH175&gt;0, $BJ175&gt;0), 1, 0)</f>
        <v>0</v>
      </c>
      <c r="F175" s="604">
        <f>IF(OR($BK175&gt;0, $BM175&gt;0), 1, 0)</f>
        <v>0</v>
      </c>
      <c r="G175" s="604">
        <f>IF(OR($BN175&gt;0, $BP175&gt;0), 1, 0)</f>
        <v>0</v>
      </c>
      <c r="H175" s="604">
        <f>IF(OR($BQ175&gt;0, $BS175&gt;0), 1, 0)</f>
        <v>0</v>
      </c>
      <c r="I175" s="604">
        <f>IF(OR($BT175&gt;0, $BV175&gt;0), 1, 0)</f>
        <v>0</v>
      </c>
      <c r="J175" s="604">
        <f>IF(OR($BW175&gt;0, $BY175&gt;0), 1, 0)</f>
        <v>0</v>
      </c>
      <c r="K175" s="604">
        <f>IF(OR($BZ175&gt;0, $CB175&gt;0), 1, 0)</f>
        <v>0</v>
      </c>
      <c r="L175" s="604">
        <f>IF(OR($CC175&gt;0, $CE175&gt;0), 1, 0)</f>
        <v>0</v>
      </c>
      <c r="M175" s="604">
        <f>IF(OR($CF175&gt;0, $CH175&gt;0), 1, 0)</f>
        <v>0</v>
      </c>
      <c r="N175" s="604">
        <f>IF(OR($CI175&gt;0, $CK175&gt;0), 1, 0)</f>
        <v>0</v>
      </c>
      <c r="O175" s="604">
        <f>IF(OR($CL175&gt;0, $CN175&gt;0), 1, 0)</f>
        <v>0</v>
      </c>
      <c r="P175" s="604">
        <f>IF(OR($CO175&gt;0, $CQ175&gt;0), 1, 0)</f>
        <v>0</v>
      </c>
      <c r="Q175" s="604">
        <f>IF(OR($CR175&gt;0, $CT175&gt;0), 1, 0)</f>
        <v>0</v>
      </c>
      <c r="R175" s="604">
        <f>IF(OR($CU175&gt;0, $CW175&gt;0), 1, 0)</f>
        <v>0</v>
      </c>
      <c r="S175" s="604">
        <f>IF(OR($CX175&gt;0, $CZ175&gt;0), 1, 0)</f>
        <v>0</v>
      </c>
      <c r="T175" s="604">
        <f>IF(OR($DA175&gt;0, $DC175&gt;0), 1, 0)</f>
        <v>0</v>
      </c>
      <c r="U175" s="603">
        <f>IF(OR($AI175&gt;0,$AM175&gt;0,$AS175&gt;0), 1, 0)</f>
        <v>0</v>
      </c>
      <c r="V175" s="602">
        <f>[1]BDD!A165</f>
        <v>3636</v>
      </c>
      <c r="W175" s="601" t="str">
        <f>[1]BDD!B165</f>
        <v>Mélange de fruits secs (noisette, noix de cajou, noix du brésil, noix de macadamia, amande, cerneau de noix)</v>
      </c>
      <c r="X175" s="600" t="str">
        <f>IF([1]BDD!F165=0, "", [1]BDD!F165)</f>
        <v/>
      </c>
      <c r="Y175" s="542">
        <f>ROUND([1]BDD!G165+FDP_CMD_KG, 2)</f>
        <v>22.09</v>
      </c>
      <c r="Z175" s="542">
        <f>ROUND([1]BDD!G165+FDP_FACT_KG, 2)</f>
        <v>22.09</v>
      </c>
      <c r="AA175" s="543" t="str">
        <f>[1]BDD!H165</f>
        <v>kg</v>
      </c>
      <c r="AB175" s="544" t="str">
        <f>IF(NOT(ISBLANK([1]BDD!I165)), ROUND(SUM(([1]BDD!G165*reduc1),FDP_CMD_KG), 2), "")</f>
        <v/>
      </c>
      <c r="AC175" s="544" t="str">
        <f>IF(NOT(ISBLANK([1]BDD!J165)), ROUND(SUM(([1]BDD!G165*reduc2),FDP_CMD_KG), 2), "")</f>
        <v/>
      </c>
      <c r="AD175" s="544" t="str">
        <f>IF(NOT(ISBLANK([1]BDD!K165)), ROUND(SUM(([1]BDD!G165*reduc3),FDP_CMD_KG), 2), "")</f>
        <v/>
      </c>
      <c r="AE175" s="544" t="str">
        <f>IF(NOT(ISBLANK([1]BDD!I165)), ROUND(SUM(([1]BDD!G165*reduc1),FDP_FACT_KG), 2), "")</f>
        <v/>
      </c>
      <c r="AF175" s="544" t="str">
        <f>IF(NOT(ISBLANK([1]BDD!J165)), ROUND(SUM(([1]BDD!G165*reduc2),FDP_FACT_KG), 2), "")</f>
        <v/>
      </c>
      <c r="AG175" s="544" t="str">
        <f>IF(NOT(ISBLANK([1]BDD!K165)), ROUND(SUM(([1]BDD!G165*reduc3),FDP_FACT_KG), 2), "")</f>
        <v/>
      </c>
      <c r="AH175" s="599" t="str">
        <f>[1]BDD!C165</f>
        <v>National</v>
      </c>
      <c r="AI175" s="598">
        <f>SUM(AV175,AY175,BB175,BE175,BH175,BK175,BN175,BQ175,BT175,BW175,BZ175,CC175,CF175,CI175,CL175,CO175,CR175,CU175,CX175,DA175)</f>
        <v>0</v>
      </c>
      <c r="AJ175" s="545">
        <f>_xlfn.IFS($AD175&lt;&gt;"", $AD175,    $AC175&lt;&gt;"", $AC175,    $AB175&lt;&gt;"", $AB175,    TRUE, $Y175)</f>
        <v>22.09</v>
      </c>
      <c r="AK175" s="592">
        <f>$AI175*$AJ175</f>
        <v>0</v>
      </c>
      <c r="AL175" s="594"/>
      <c r="AM175" s="597"/>
      <c r="AN175" s="545">
        <f>_xlfn.IFS(AND(AM175&gt;=60,$AG175&lt;&gt;""), $AG175,    AND(AM175&gt;=30,$AF175&lt;&gt;""), $AF175,    AND(AM175&gt;=10,$AE175&lt;&gt;""), $AE175,    TRUE, $Z175)</f>
        <v>22.09</v>
      </c>
      <c r="AO175" s="596">
        <f>AM175*AN175</f>
        <v>0</v>
      </c>
      <c r="AP175" s="595"/>
      <c r="AQ175" s="595"/>
      <c r="AR175" s="594"/>
      <c r="AS175" s="593">
        <f>SUM(AW175,AZ175,BC175,BF175,BI175,BL175,BO175,BR175,BU175,BX175,CA175,CD175,CG175,CJ175,CM175,CP175,CS175,CV175,CY175,DB175)</f>
        <v>0</v>
      </c>
      <c r="AT175" s="545">
        <f>_xlfn.IFS(AND(AS175&gt;=60,$AG175&lt;&gt;""), $AG175,    AND(AS175&gt;=30,$AF175&lt;&gt;""), $AF175,    AND(AS175&gt;=10,$AE175&lt;&gt;""), $AE175,    TRUE, $Z175)</f>
        <v>22.09</v>
      </c>
      <c r="AU175" s="592">
        <f>$AS175*$AT175</f>
        <v>0</v>
      </c>
      <c r="AV175" s="591">
        <f>[1]COMMANDE!O173</f>
        <v>0</v>
      </c>
      <c r="AW175" s="586" t="str">
        <f>_xlfn.IFS(AND($AI175=$AM175,$AI175&gt;0,$AM175&gt;0,AV175&gt;0), AV175,     AND(NOT($AI175=$AM175),$AI175&gt;0,$AM175&gt;0,AV175&gt;0), ($AM175*AV175)/$AI175,     AND($AI175=0,$AM175&gt;0,$AQ175&gt;0), IF(INDEX(AV$12:AV$263,MATCH($AQ175,$AP$12:$AP$263,0))&gt;0,($AM175*INDEX(AV$12:AV$263,MATCH($AQ175,$AP$12:$AP$263,0)))/INDEX($AI$12:$AI$263,MATCH($AQ175,$AP$12:$AP$263,0)), "-"),     TRUE, "0")</f>
        <v>0</v>
      </c>
      <c r="AX175" s="588">
        <f>IF(AW$9&gt;0, IF(OR(AW175="",AW175="-"), 0, AW175*$AT175), AV175*$AJ175)</f>
        <v>0</v>
      </c>
      <c r="AY175" s="587">
        <f>[1]COMMANDE!Q173</f>
        <v>0</v>
      </c>
      <c r="AZ175" s="586" t="str">
        <f>_xlfn.IFS(AND($AI175=$AM175,$AI175&gt;0,$AM175&gt;0,AY175&gt;0), AY175,     AND(NOT($AI175=$AM175),$AI175&gt;0,$AM175&gt;0,AY175&gt;0), ($AM175*AY175)/$AI175,     AND($AI175=0,$AM175&gt;0,$AQ175&gt;0), IF(INDEX(AY$12:AY$263,MATCH($AQ175,$AP$12:$AP$263,0))&gt;0,($AM175*INDEX(AY$12:AY$263,MATCH($AQ175,$AP$12:$AP$263,0)))/INDEX($AI$12:$AI$263,MATCH($AQ175,$AP$12:$AP$263,0)), "-"),     TRUE, "0")</f>
        <v>0</v>
      </c>
      <c r="BA175" s="607">
        <f>IF(AZ$9&gt;0, IF(OR(AZ175="",AZ175="-"), 0, AZ175*$AT175), AY175*$AJ175)</f>
        <v>0</v>
      </c>
      <c r="BB175" s="589">
        <f>[1]COMMANDE!S173</f>
        <v>0</v>
      </c>
      <c r="BC175" s="586" t="str">
        <f>_xlfn.IFS(AND($AI175=$AM175,$AI175&gt;0,$AM175&gt;0,BB175&gt;0), BB175,     AND(NOT($AI175=$AM175),$AI175&gt;0,$AM175&gt;0,BB175&gt;0), ($AM175*BB175)/$AI175,     AND($AI175=0,$AM175&gt;0,$AQ175&gt;0), IF(INDEX(BB$12:BB$263,MATCH($AQ175,$AP$12:$AP$263,0))&gt;0,($AM175*INDEX(BB$12:BB$263,MATCH($AQ175,$AP$12:$AP$263,0)))/INDEX($AI$12:$AI$263,MATCH($AQ175,$AP$12:$AP$263,0)), "-"),     TRUE, "0")</f>
        <v>0</v>
      </c>
      <c r="BD175" s="588">
        <f>IF(BC$9&gt;0, IF(OR(BC175="",BC175="-"), 0, BC175*$AT175), BB175*$AJ175)</f>
        <v>0</v>
      </c>
      <c r="BE175" s="587">
        <f>[1]COMMANDE!U173</f>
        <v>0</v>
      </c>
      <c r="BF175" s="586" t="str">
        <f>_xlfn.IFS(AND($AI175=$AM175,$AI175&gt;0,$AM175&gt;0,BE175&gt;0), BE175,     AND(NOT($AI175=$AM175),$AI175&gt;0,$AM175&gt;0,BE175&gt;0), ($AM175*BE175)/$AI175,     AND($AI175=0,$AM175&gt;0,$AQ175&gt;0), IF(INDEX(BE$12:BE$263,MATCH($AQ175,$AP$12:$AP$263,0))&gt;0,($AM175*INDEX(BE$12:BE$263,MATCH($AQ175,$AP$12:$AP$263,0)))/INDEX($AI$12:$AI$263,MATCH($AQ175,$AP$12:$AP$263,0)), "-"),     TRUE, "0")</f>
        <v>0</v>
      </c>
      <c r="BG175" s="607">
        <f>IF(BF$9&gt;0, IF(OR(BF175="",BF175="-"), 0, BF175*$AT175), BE175*$AJ175)</f>
        <v>0</v>
      </c>
      <c r="BH175" s="589">
        <f>[1]COMMANDE!W173</f>
        <v>0</v>
      </c>
      <c r="BI175" s="586" t="str">
        <f>_xlfn.IFS(AND($AI175=$AM175,$AI175&gt;0,$AM175&gt;0,BH175&gt;0), BH175,     AND(NOT($AI175=$AM175),$AI175&gt;0,$AM175&gt;0,BH175&gt;0), ($AM175*BH175)/$AI175,     AND($AI175=0,$AM175&gt;0,$AQ175&gt;0), IF(INDEX(BH$12:BH$263,MATCH($AQ175,$AP$12:$AP$263,0))&gt;0,($AM175*INDEX(BH$12:BH$263,MATCH($AQ175,$AP$12:$AP$263,0)))/INDEX($AI$12:$AI$263,MATCH($AQ175,$AP$12:$AP$263,0)), "-"),     TRUE, "0")</f>
        <v>0</v>
      </c>
      <c r="BJ175" s="588">
        <f>IF(BI$9&gt;0, IF(OR(BI175="",BI175="-"), 0, BI175*$AT175), BH175*$AJ175)</f>
        <v>0</v>
      </c>
      <c r="BK175" s="587">
        <f>[1]COMMANDE!Y173</f>
        <v>0</v>
      </c>
      <c r="BL175" s="586" t="str">
        <f>_xlfn.IFS(AND($AI175=$AM175,$AI175&gt;0,$AM175&gt;0,BK175&gt;0), BK175,     AND(NOT($AI175=$AM175),$AI175&gt;0,$AM175&gt;0,BK175&gt;0), ($AM175*BK175)/$AI175,     AND($AI175=0,$AM175&gt;0,$AQ175&gt;0), IF(INDEX(BK$12:BK$263,MATCH($AQ175,$AP$12:$AP$263,0))&gt;0,($AM175*INDEX(BK$12:BK$263,MATCH($AQ175,$AP$12:$AP$263,0)))/INDEX($AI$12:$AI$263,MATCH($AQ175,$AP$12:$AP$263,0)), "-"),     TRUE, "0")</f>
        <v>0</v>
      </c>
      <c r="BM175" s="607">
        <f>IF(BL$9&gt;0, IF(OR(BL175="",BL175="-"), 0, BL175*$AT175), BK175*$AJ175)</f>
        <v>0</v>
      </c>
      <c r="BN175" s="589">
        <f>[1]COMMANDE!AA173</f>
        <v>0</v>
      </c>
      <c r="BO175" s="586" t="str">
        <f>_xlfn.IFS(AND($AI175=$AM175,$AI175&gt;0,$AM175&gt;0,BN175&gt;0), BN175,     AND(NOT($AI175=$AM175),$AI175&gt;0,$AM175&gt;0,BN175&gt;0), ($AM175*BN175)/$AI175,     AND($AI175=0,$AM175&gt;0,$AQ175&gt;0), IF(INDEX(BN$12:BN$263,MATCH($AQ175,$AP$12:$AP$263,0))&gt;0,($AM175*INDEX(BN$12:BN$263,MATCH($AQ175,$AP$12:$AP$263,0)))/INDEX($AI$12:$AI$263,MATCH($AQ175,$AP$12:$AP$263,0)), "-"),     TRUE, "0")</f>
        <v>0</v>
      </c>
      <c r="BP175" s="588">
        <f>IF(BO$9&gt;0, IF(OR(BO175="",BO175="-"), 0, BO175*$AT175), BN175*$AJ175)</f>
        <v>0</v>
      </c>
      <c r="BQ175" s="587">
        <f>[1]COMMANDE!AC173</f>
        <v>0</v>
      </c>
      <c r="BR175" s="586" t="str">
        <f>_xlfn.IFS(AND($AI175=$AM175,$AI175&gt;0,$AM175&gt;0,BQ175&gt;0), BQ175,     AND(NOT($AI175=$AM175),$AI175&gt;0,$AM175&gt;0,BQ175&gt;0), ($AM175*BQ175)/$AI175,     AND($AI175=0,$AM175&gt;0,$AQ175&gt;0), IF(INDEX(BQ$12:BQ$263,MATCH($AQ175,$AP$12:$AP$263,0))&gt;0,($AM175*INDEX(BQ$12:BQ$263,MATCH($AQ175,$AP$12:$AP$263,0)))/INDEX($AI$12:$AI$263,MATCH($AQ175,$AP$12:$AP$263,0)), "-"),     TRUE, "0")</f>
        <v>0</v>
      </c>
      <c r="BS175" s="607">
        <f>IF(BR$9&gt;0, IF(OR(BR175="",BR175="-"), 0, BR175*$AT175), BQ175*$AJ175)</f>
        <v>0</v>
      </c>
      <c r="BT175" s="589">
        <f>[1]COMMANDE!AE173</f>
        <v>0</v>
      </c>
      <c r="BU175" s="586" t="str">
        <f>_xlfn.IFS(AND($AI175=$AM175,$AI175&gt;0,$AM175&gt;0,BT175&gt;0), BT175,     AND(NOT($AI175=$AM175),$AI175&gt;0,$AM175&gt;0,BT175&gt;0), ($AM175*BT175)/$AI175,     AND($AI175=0,$AM175&gt;0,$AQ175&gt;0), IF(INDEX(BT$12:BT$263,MATCH($AQ175,$AP$12:$AP$263,0))&gt;0,($AM175*INDEX(BT$12:BT$263,MATCH($AQ175,$AP$12:$AP$263,0)))/INDEX($AI$12:$AI$263,MATCH($AQ175,$AP$12:$AP$263,0)), "-"),     TRUE, "0")</f>
        <v>0</v>
      </c>
      <c r="BV175" s="588">
        <f>IF(BU$9&gt;0, IF(OR(BU175="",BU175="-"), 0, BU175*$AT175), BT175*$AJ175)</f>
        <v>0</v>
      </c>
      <c r="BW175" s="587">
        <f>[1]COMMANDE!AG173</f>
        <v>0</v>
      </c>
      <c r="BX175" s="586" t="str">
        <f>_xlfn.IFS(AND($AI175=$AM175,$AI175&gt;0,$AM175&gt;0,BW175&gt;0), BW175,     AND(NOT($AI175=$AM175),$AI175&gt;0,$AM175&gt;0,BW175&gt;0), ($AM175*BW175)/$AI175,     AND($AI175=0,$AM175&gt;0,$AQ175&gt;0), IF(INDEX(BW$12:BW$263,MATCH($AQ175,$AP$12:$AP$263,0))&gt;0,($AM175*INDEX(BW$12:BW$263,MATCH($AQ175,$AP$12:$AP$263,0)))/INDEX($AI$12:$AI$263,MATCH($AQ175,$AP$12:$AP$263,0)), "-"),     TRUE, "0")</f>
        <v>0</v>
      </c>
      <c r="BY175" s="607">
        <f>IF(BX$9&gt;0, IF(OR(BX175="",BX175="-"), 0, BX175*$AT175), BW175*$AJ175)</f>
        <v>0</v>
      </c>
      <c r="BZ175" s="589">
        <f>[1]COMMANDE!AI173</f>
        <v>0</v>
      </c>
      <c r="CA175" s="586" t="str">
        <f>_xlfn.IFS(AND($AI175=$AM175,$AI175&gt;0,$AM175&gt;0,BZ175&gt;0), BZ175,     AND(NOT($AI175=$AM175),$AI175&gt;0,$AM175&gt;0,BZ175&gt;0), ($AM175*BZ175)/$AI175,     AND($AI175=0,$AM175&gt;0,$AQ175&gt;0), IF(INDEX(BZ$12:BZ$263,MATCH($AQ175,$AP$12:$AP$263,0))&gt;0,($AM175*INDEX(BZ$12:BZ$263,MATCH($AQ175,$AP$12:$AP$263,0)))/INDEX($AI$12:$AI$263,MATCH($AQ175,$AP$12:$AP$263,0)), "-"),     TRUE, "0")</f>
        <v>0</v>
      </c>
      <c r="CB175" s="588">
        <f>IF(CA$9&gt;0, IF(OR(CA175="",CA175="-"), 0, CA175*$AT175), BZ175*$AJ175)</f>
        <v>0</v>
      </c>
      <c r="CC175" s="587">
        <f>[1]COMMANDE!AK173</f>
        <v>0</v>
      </c>
      <c r="CD175" s="586" t="str">
        <f>_xlfn.IFS(AND($AI175=$AM175,$AI175&gt;0,$AM175&gt;0,CC175&gt;0), CC175,     AND(NOT($AI175=$AM175),$AI175&gt;0,$AM175&gt;0,CC175&gt;0), ($AM175*CC175)/$AI175,     AND($AI175=0,$AM175&gt;0,$AQ175&gt;0), IF(INDEX(CC$12:CC$263,MATCH($AQ175,$AP$12:$AP$263,0))&gt;0,($AM175*INDEX(CC$12:CC$263,MATCH($AQ175,$AP$12:$AP$263,0)))/INDEX($AI$12:$AI$263,MATCH($AQ175,$AP$12:$AP$263,0)), "-"),     TRUE, "0")</f>
        <v>0</v>
      </c>
      <c r="CE175" s="607">
        <f>IF(CD$9&gt;0, IF(OR(CD175="",CD175="-"), 0, CD175*$AT175), CC175*$AJ175)</f>
        <v>0</v>
      </c>
      <c r="CF175" s="589">
        <f>[1]COMMANDE!AM173</f>
        <v>0</v>
      </c>
      <c r="CG175" s="586" t="str">
        <f>_xlfn.IFS(AND($AI175=$AM175,$AI175&gt;0,$AM175&gt;0,CF175&gt;0), CF175,     AND(NOT($AI175=$AM175),$AI175&gt;0,$AM175&gt;0,CF175&gt;0), ($AM175*CF175)/$AI175,     AND($AI175=0,$AM175&gt;0,$AQ175&gt;0), IF(INDEX(CF$12:CF$263,MATCH($AQ175,$AP$12:$AP$263,0))&gt;0,($AM175*INDEX(CF$12:CF$263,MATCH($AQ175,$AP$12:$AP$263,0)))/INDEX($AI$12:$AI$263,MATCH($AQ175,$AP$12:$AP$263,0)), "-"),     TRUE, "0")</f>
        <v>0</v>
      </c>
      <c r="CH175" s="588">
        <f>IF(CG$9&gt;0, IF(OR(CG175="",CG175="-"), 0, CG175*$AT175), CF175*$AJ175)</f>
        <v>0</v>
      </c>
      <c r="CI175" s="587">
        <f>[1]COMMANDE!AO173</f>
        <v>0</v>
      </c>
      <c r="CJ175" s="586" t="str">
        <f>_xlfn.IFS(AND($AI175=$AM175,$AI175&gt;0,$AM175&gt;0,CI175&gt;0), CI175,     AND(NOT($AI175=$AM175),$AI175&gt;0,$AM175&gt;0,CI175&gt;0), ($AM175*CI175)/$AI175,     AND($AI175=0,$AM175&gt;0,$AQ175&gt;0), IF(INDEX(CI$12:CI$263,MATCH($AQ175,$AP$12:$AP$263,0))&gt;0,($AM175*INDEX(CI$12:CI$263,MATCH($AQ175,$AP$12:$AP$263,0)))/INDEX($AI$12:$AI$263,MATCH($AQ175,$AP$12:$AP$263,0)), "-"),     TRUE, "0")</f>
        <v>0</v>
      </c>
      <c r="CK175" s="607">
        <f>IF(CJ$9&gt;0, IF(OR(CJ175="",CJ175="-"), 0, CJ175*$AT175), CI175*$AJ175)</f>
        <v>0</v>
      </c>
      <c r="CL175" s="589">
        <f>[1]COMMANDE!AQ173</f>
        <v>0</v>
      </c>
      <c r="CM175" s="586" t="str">
        <f>_xlfn.IFS(AND($AI175=$AM175,$AI175&gt;0,$AM175&gt;0,CL175&gt;0), CL175,     AND(NOT($AI175=$AM175),$AI175&gt;0,$AM175&gt;0,CL175&gt;0), ($AM175*CL175)/$AI175,     AND($AI175=0,$AM175&gt;0,$AQ175&gt;0), IF(INDEX(CL$12:CL$263,MATCH($AQ175,$AP$12:$AP$263,0))&gt;0,($AM175*INDEX(CL$12:CL$263,MATCH($AQ175,$AP$12:$AP$263,0)))/INDEX($AI$12:$AI$263,MATCH($AQ175,$AP$12:$AP$263,0)), "-"),     TRUE, "0")</f>
        <v>0</v>
      </c>
      <c r="CN175" s="588">
        <f>IF(CM$9&gt;0, IF(OR(CM175="",CM175="-"), 0, CM175*$AT175), CL175*$AJ175)</f>
        <v>0</v>
      </c>
      <c r="CO175" s="587">
        <f>[1]COMMANDE!AS173</f>
        <v>0</v>
      </c>
      <c r="CP175" s="586" t="str">
        <f>_xlfn.IFS(AND($AI175=$AM175,$AI175&gt;0,$AM175&gt;0,CO175&gt;0), CO175,     AND(NOT($AI175=$AM175),$AI175&gt;0,$AM175&gt;0,CO175&gt;0), ($AM175*CO175)/$AI175,     AND($AI175=0,$AM175&gt;0,$AQ175&gt;0), IF(INDEX(CO$12:CO$263,MATCH($AQ175,$AP$12:$AP$263,0))&gt;0,($AM175*INDEX(CO$12:CO$263,MATCH($AQ175,$AP$12:$AP$263,0)))/INDEX($AI$12:$AI$263,MATCH($AQ175,$AP$12:$AP$263,0)), "-"),     TRUE, "0")</f>
        <v>0</v>
      </c>
      <c r="CQ175" s="607">
        <f>IF(CP$9&gt;0, IF(OR(CP175="",CP175="-"), 0, CP175*$AT175), CO175*$AJ175)</f>
        <v>0</v>
      </c>
      <c r="CR175" s="589">
        <f>[1]COMMANDE!AU173</f>
        <v>0</v>
      </c>
      <c r="CS175" s="586" t="str">
        <f>_xlfn.IFS(AND($AI175=$AM175,$AI175&gt;0,$AM175&gt;0,CR175&gt;0), CR175,     AND(NOT($AI175=$AM175),$AI175&gt;0,$AM175&gt;0,CR175&gt;0), ($AM175*CR175)/$AI175,     AND($AI175=0,$AM175&gt;0,$AQ175&gt;0), IF(INDEX(CR$12:CR$263,MATCH($AQ175,$AP$12:$AP$263,0))&gt;0,($AM175*INDEX(CR$12:CR$263,MATCH($AQ175,$AP$12:$AP$263,0)))/INDEX($AI$12:$AI$263,MATCH($AQ175,$AP$12:$AP$263,0)), "-"),     TRUE, "0")</f>
        <v>0</v>
      </c>
      <c r="CT175" s="588">
        <f>IF(CS$9&gt;0, IF(OR(CS175="",CS175="-"), 0, CS175*$AT175), CR175*$AJ175)</f>
        <v>0</v>
      </c>
      <c r="CU175" s="587">
        <f>[1]COMMANDE!AW173</f>
        <v>0</v>
      </c>
      <c r="CV175" s="586" t="str">
        <f>_xlfn.IFS(AND($AI175=$AM175,$AI175&gt;0,$AM175&gt;0,CU175&gt;0), CU175,     AND(NOT($AI175=$AM175),$AI175&gt;0,$AM175&gt;0,CU175&gt;0), ($AM175*CU175)/$AI175,     AND($AI175=0,$AM175&gt;0,$AQ175&gt;0), IF(INDEX(CU$12:CU$263,MATCH($AQ175,$AP$12:$AP$263,0))&gt;0,($AM175*INDEX(CU$12:CU$263,MATCH($AQ175,$AP$12:$AP$263,0)))/INDEX($AI$12:$AI$263,MATCH($AQ175,$AP$12:$AP$263,0)), "-"),     TRUE, "0")</f>
        <v>0</v>
      </c>
      <c r="CW175" s="607">
        <f>IF(CV$9&gt;0, IF(OR(CV175="",CV175="-"), 0, CV175*$AT175), CU175*$AJ175)</f>
        <v>0</v>
      </c>
      <c r="CX175" s="589">
        <f>[1]COMMANDE!AY173</f>
        <v>0</v>
      </c>
      <c r="CY175" s="586" t="str">
        <f>_xlfn.IFS(AND($AI175=$AM175,$AI175&gt;0,$AM175&gt;0,CX175&gt;0), CX175,     AND(NOT($AI175=$AM175),$AI175&gt;0,$AM175&gt;0,CX175&gt;0), ($AM175*CX175)/$AI175,     AND($AI175=0,$AM175&gt;0,$AQ175&gt;0), IF(INDEX(CX$12:CX$263,MATCH($AQ175,$AP$12:$AP$263,0))&gt;0,($AM175*INDEX(CX$12:CX$263,MATCH($AQ175,$AP$12:$AP$263,0)))/INDEX($AI$12:$AI$263,MATCH($AQ175,$AP$12:$AP$263,0)), "-"),     TRUE, "0")</f>
        <v>0</v>
      </c>
      <c r="CZ175" s="588">
        <f>IF(CY$9&gt;0, IF(OR(CY175="",CY175="-"), 0, CY175*$AT175), CX175*$AJ175)</f>
        <v>0</v>
      </c>
      <c r="DA175" s="587">
        <f>[1]COMMANDE!BA173</f>
        <v>0</v>
      </c>
      <c r="DB175" s="586" t="str">
        <f>_xlfn.IFS(AND($AI175=$AM175,$AI175&gt;0,$AM175&gt;0,DA175&gt;0), DA175,     AND(NOT($AI175=$AM175),$AI175&gt;0,$AM175&gt;0,DA175&gt;0), ($AM175*DA175)/$AI175,     AND($AI175=0,$AM175&gt;0,$AQ175&gt;0), IF(INDEX(DA$12:DA$263,MATCH($AQ175,$AP$12:$AP$263,0))&gt;0,($AM175*INDEX(DA$12:DA$263,MATCH($AQ175,$AP$12:$AP$263,0)))/INDEX($AI$12:$AI$263,MATCH($AQ175,$AP$12:$AP$263,0)), "-"),     TRUE, "0")</f>
        <v>0</v>
      </c>
      <c r="DC175" s="606">
        <f>IF(DB$9&gt;0, IF(OR(DB175="",DB175="-"), 0, DB175*$AT175), DA175*$AJ175)</f>
        <v>0</v>
      </c>
      <c r="DD175" s="584"/>
      <c r="DE175" s="583"/>
    </row>
    <row r="176" spans="1:109" ht="39.950000000000003" hidden="1" customHeight="1">
      <c r="A176" s="604">
        <f>IF(OR($AV176&gt;0, $AX176&gt;0), 1, 0)</f>
        <v>0</v>
      </c>
      <c r="B176" s="604">
        <f>IF(OR($AY176&gt;0, $BA176&gt;0), 1, 0)</f>
        <v>0</v>
      </c>
      <c r="C176" s="604">
        <f>IF(OR($BB176&gt;0, $BD176&gt;0), 1, 0)</f>
        <v>0</v>
      </c>
      <c r="D176" s="604">
        <f>IF(OR($BE176&gt;0, $BG176&gt;0), 1, 0)</f>
        <v>0</v>
      </c>
      <c r="E176" s="604">
        <f>IF(OR($BH176&gt;0, $BJ176&gt;0), 1, 0)</f>
        <v>0</v>
      </c>
      <c r="F176" s="604">
        <f>IF(OR($BK176&gt;0, $BM176&gt;0), 1, 0)</f>
        <v>0</v>
      </c>
      <c r="G176" s="604">
        <f>IF(OR($BN176&gt;0, $BP176&gt;0), 1, 0)</f>
        <v>0</v>
      </c>
      <c r="H176" s="604">
        <f>IF(OR($BQ176&gt;0, $BS176&gt;0), 1, 0)</f>
        <v>0</v>
      </c>
      <c r="I176" s="604">
        <f>IF(OR($BT176&gt;0, $BV176&gt;0), 1, 0)</f>
        <v>0</v>
      </c>
      <c r="J176" s="604">
        <f>IF(OR($BW176&gt;0, $BY176&gt;0), 1, 0)</f>
        <v>0</v>
      </c>
      <c r="K176" s="604">
        <f>IF(OR($BZ176&gt;0, $CB176&gt;0), 1, 0)</f>
        <v>0</v>
      </c>
      <c r="L176" s="604">
        <f>IF(OR($CC176&gt;0, $CE176&gt;0), 1, 0)</f>
        <v>0</v>
      </c>
      <c r="M176" s="604">
        <f>IF(OR($CF176&gt;0, $CH176&gt;0), 1, 0)</f>
        <v>0</v>
      </c>
      <c r="N176" s="604">
        <f>IF(OR($CI176&gt;0, $CK176&gt;0), 1, 0)</f>
        <v>0</v>
      </c>
      <c r="O176" s="604">
        <f>IF(OR($CL176&gt;0, $CN176&gt;0), 1, 0)</f>
        <v>0</v>
      </c>
      <c r="P176" s="604">
        <f>IF(OR($CO176&gt;0, $CQ176&gt;0), 1, 0)</f>
        <v>0</v>
      </c>
      <c r="Q176" s="604">
        <f>IF(OR($CR176&gt;0, $CT176&gt;0), 1, 0)</f>
        <v>0</v>
      </c>
      <c r="R176" s="604">
        <f>IF(OR($CU176&gt;0, $CW176&gt;0), 1, 0)</f>
        <v>0</v>
      </c>
      <c r="S176" s="604">
        <f>IF(OR($CX176&gt;0, $CZ176&gt;0), 1, 0)</f>
        <v>0</v>
      </c>
      <c r="T176" s="604">
        <f>IF(OR($DA176&gt;0, $DC176&gt;0), 1, 0)</f>
        <v>0</v>
      </c>
      <c r="U176" s="603">
        <f>IF(OR($AI176&gt;0,$AM176&gt;0,$AS176&gt;0), 1, 0)</f>
        <v>0</v>
      </c>
      <c r="V176" s="602">
        <f>[1]BDD!A166</f>
        <v>3112</v>
      </c>
      <c r="W176" s="601" t="str">
        <f>[1]BDD!B166</f>
        <v>Melon peau de crapaud</v>
      </c>
      <c r="X176" s="600" t="str">
        <f>IF([1]BDD!F166=0, "", [1]BDD!F166)</f>
        <v>❤️</v>
      </c>
      <c r="Y176" s="542">
        <f>ROUND([1]BDD!G166+FDP_CMD_KG, 2)</f>
        <v>3.05</v>
      </c>
      <c r="Z176" s="542">
        <f>ROUND([1]BDD!G166+FDP_FACT_KG, 2)</f>
        <v>3.05</v>
      </c>
      <c r="AA176" s="543" t="str">
        <f>[1]BDD!H166</f>
        <v>kg</v>
      </c>
      <c r="AB176" s="544">
        <f>IF(NOT(ISBLANK([1]BDD!I166)), ROUND(SUM(([1]BDD!G166*reduc1),FDP_CMD_KG), 2), "")</f>
        <v>2.84</v>
      </c>
      <c r="AC176" s="544">
        <f>IF(NOT(ISBLANK([1]BDD!J166)), ROUND(SUM(([1]BDD!G166*reduc2),FDP_CMD_KG), 2), "")</f>
        <v>2.62</v>
      </c>
      <c r="AD176" s="544">
        <f>IF(NOT(ISBLANK([1]BDD!K166)), ROUND(SUM(([1]BDD!G166*reduc3),FDP_CMD_KG), 2), "")</f>
        <v>2.4</v>
      </c>
      <c r="AE176" s="544">
        <f>IF(NOT(ISBLANK([1]BDD!I166)), ROUND(SUM(([1]BDD!G166*reduc1),FDP_FACT_KG), 2), "")</f>
        <v>2.83</v>
      </c>
      <c r="AF176" s="544">
        <f>IF(NOT(ISBLANK([1]BDD!J166)), ROUND(SUM(([1]BDD!G166*reduc2),FDP_FACT_KG), 2), "")</f>
        <v>2.61</v>
      </c>
      <c r="AG176" s="544">
        <f>IF(NOT(ISBLANK([1]BDD!K166)), ROUND(SUM(([1]BDD!G166*reduc3),FDP_FACT_KG), 2), "")</f>
        <v>2.39</v>
      </c>
      <c r="AH176" s="599" t="str">
        <f>[1]BDD!C166</f>
        <v>Cordova</v>
      </c>
      <c r="AI176" s="598">
        <f>SUM(AV176,AY176,BB176,BE176,BH176,BK176,BN176,BQ176,BT176,BW176,BZ176,CC176,CF176,CI176,CL176,CO176,CR176,CU176,CX176,DA176)</f>
        <v>0</v>
      </c>
      <c r="AJ176" s="545">
        <f>_xlfn.IFS($AD176&lt;&gt;"", $AD176,    $AC176&lt;&gt;"", $AC176,    $AB176&lt;&gt;"", $AB176,    TRUE, $Y176)</f>
        <v>2.4</v>
      </c>
      <c r="AK176" s="592">
        <f>$AI176*$AJ176</f>
        <v>0</v>
      </c>
      <c r="AL176" s="594"/>
      <c r="AM176" s="597"/>
      <c r="AN176" s="545">
        <f>_xlfn.IFS(AND(AM176&gt;=60,$AG176&lt;&gt;""), $AG176,    AND(AM176&gt;=30,$AF176&lt;&gt;""), $AF176,    AND(AM176&gt;=10,$AE176&lt;&gt;""), $AE176,    TRUE, $Z176)</f>
        <v>3.05</v>
      </c>
      <c r="AO176" s="596">
        <f>AM176*AN176</f>
        <v>0</v>
      </c>
      <c r="AP176" s="595"/>
      <c r="AQ176" s="595"/>
      <c r="AR176" s="594"/>
      <c r="AS176" s="593">
        <f>SUM(AW176,AZ176,BC176,BF176,BI176,BL176,BO176,BR176,BU176,BX176,CA176,CD176,CG176,CJ176,CM176,CP176,CS176,CV176,CY176,DB176)</f>
        <v>0</v>
      </c>
      <c r="AT176" s="545">
        <f>_xlfn.IFS(AND(AS176&gt;=60,$AG176&lt;&gt;""), $AG176,    AND(AS176&gt;=30,$AF176&lt;&gt;""), $AF176,    AND(AS176&gt;=10,$AE176&lt;&gt;""), $AE176,    TRUE, $Z176)</f>
        <v>3.05</v>
      </c>
      <c r="AU176" s="592">
        <f>$AS176*$AT176</f>
        <v>0</v>
      </c>
      <c r="AV176" s="591">
        <f>[1]COMMANDE!O174</f>
        <v>0</v>
      </c>
      <c r="AW176" s="586" t="str">
        <f>_xlfn.IFS(AND($AI176=$AM176,$AI176&gt;0,$AM176&gt;0,AV176&gt;0), AV176,     AND(NOT($AI176=$AM176),$AI176&gt;0,$AM176&gt;0,AV176&gt;0), ($AM176*AV176)/$AI176,     AND($AI176=0,$AM176&gt;0,$AQ176&gt;0), IF(INDEX(AV$12:AV$263,MATCH($AQ176,$AP$12:$AP$263,0))&gt;0,($AM176*INDEX(AV$12:AV$263,MATCH($AQ176,$AP$12:$AP$263,0)))/INDEX($AI$12:$AI$263,MATCH($AQ176,$AP$12:$AP$263,0)), "-"),     TRUE, "0")</f>
        <v>0</v>
      </c>
      <c r="AX176" s="588">
        <f>IF(AW$9&gt;0, IF(OR(AW176="",AW176="-"), 0, AW176*$AT176), AV176*$AJ176)</f>
        <v>0</v>
      </c>
      <c r="AY176" s="587">
        <f>[1]COMMANDE!Q174</f>
        <v>0</v>
      </c>
      <c r="AZ176" s="586" t="str">
        <f>_xlfn.IFS(AND($AI176=$AM176,$AI176&gt;0,$AM176&gt;0,AY176&gt;0), AY176,     AND(NOT($AI176=$AM176),$AI176&gt;0,$AM176&gt;0,AY176&gt;0), ($AM176*AY176)/$AI176,     AND($AI176=0,$AM176&gt;0,$AQ176&gt;0), IF(INDEX(AY$12:AY$263,MATCH($AQ176,$AP$12:$AP$263,0))&gt;0,($AM176*INDEX(AY$12:AY$263,MATCH($AQ176,$AP$12:$AP$263,0)))/INDEX($AI$12:$AI$263,MATCH($AQ176,$AP$12:$AP$263,0)), "-"),     TRUE, "0")</f>
        <v>0</v>
      </c>
      <c r="BA176" s="607">
        <f>IF(AZ$9&gt;0, IF(OR(AZ176="",AZ176="-"), 0, AZ176*$AT176), AY176*$AJ176)</f>
        <v>0</v>
      </c>
      <c r="BB176" s="589">
        <f>[1]COMMANDE!S174</f>
        <v>0</v>
      </c>
      <c r="BC176" s="586" t="str">
        <f>_xlfn.IFS(AND($AI176=$AM176,$AI176&gt;0,$AM176&gt;0,BB176&gt;0), BB176,     AND(NOT($AI176=$AM176),$AI176&gt;0,$AM176&gt;0,BB176&gt;0), ($AM176*BB176)/$AI176,     AND($AI176=0,$AM176&gt;0,$AQ176&gt;0), IF(INDEX(BB$12:BB$263,MATCH($AQ176,$AP$12:$AP$263,0))&gt;0,($AM176*INDEX(BB$12:BB$263,MATCH($AQ176,$AP$12:$AP$263,0)))/INDEX($AI$12:$AI$263,MATCH($AQ176,$AP$12:$AP$263,0)), "-"),     TRUE, "0")</f>
        <v>0</v>
      </c>
      <c r="BD176" s="588">
        <f>IF(BC$9&gt;0, IF(OR(BC176="",BC176="-"), 0, BC176*$AT176), BB176*$AJ176)</f>
        <v>0</v>
      </c>
      <c r="BE176" s="587">
        <f>[1]COMMANDE!U174</f>
        <v>0</v>
      </c>
      <c r="BF176" s="586" t="str">
        <f>_xlfn.IFS(AND($AI176=$AM176,$AI176&gt;0,$AM176&gt;0,BE176&gt;0), BE176,     AND(NOT($AI176=$AM176),$AI176&gt;0,$AM176&gt;0,BE176&gt;0), ($AM176*BE176)/$AI176,     AND($AI176=0,$AM176&gt;0,$AQ176&gt;0), IF(INDEX(BE$12:BE$263,MATCH($AQ176,$AP$12:$AP$263,0))&gt;0,($AM176*INDEX(BE$12:BE$263,MATCH($AQ176,$AP$12:$AP$263,0)))/INDEX($AI$12:$AI$263,MATCH($AQ176,$AP$12:$AP$263,0)), "-"),     TRUE, "0")</f>
        <v>0</v>
      </c>
      <c r="BG176" s="607">
        <f>IF(BF$9&gt;0, IF(OR(BF176="",BF176="-"), 0, BF176*$AT176), BE176*$AJ176)</f>
        <v>0</v>
      </c>
      <c r="BH176" s="589">
        <f>[1]COMMANDE!W174</f>
        <v>0</v>
      </c>
      <c r="BI176" s="586" t="str">
        <f>_xlfn.IFS(AND($AI176=$AM176,$AI176&gt;0,$AM176&gt;0,BH176&gt;0), BH176,     AND(NOT($AI176=$AM176),$AI176&gt;0,$AM176&gt;0,BH176&gt;0), ($AM176*BH176)/$AI176,     AND($AI176=0,$AM176&gt;0,$AQ176&gt;0), IF(INDEX(BH$12:BH$263,MATCH($AQ176,$AP$12:$AP$263,0))&gt;0,($AM176*INDEX(BH$12:BH$263,MATCH($AQ176,$AP$12:$AP$263,0)))/INDEX($AI$12:$AI$263,MATCH($AQ176,$AP$12:$AP$263,0)), "-"),     TRUE, "0")</f>
        <v>0</v>
      </c>
      <c r="BJ176" s="588">
        <f>IF(BI$9&gt;0, IF(OR(BI176="",BI176="-"), 0, BI176*$AT176), BH176*$AJ176)</f>
        <v>0</v>
      </c>
      <c r="BK176" s="587">
        <f>[1]COMMANDE!Y174</f>
        <v>0</v>
      </c>
      <c r="BL176" s="586" t="str">
        <f>_xlfn.IFS(AND($AI176=$AM176,$AI176&gt;0,$AM176&gt;0,BK176&gt;0), BK176,     AND(NOT($AI176=$AM176),$AI176&gt;0,$AM176&gt;0,BK176&gt;0), ($AM176*BK176)/$AI176,     AND($AI176=0,$AM176&gt;0,$AQ176&gt;0), IF(INDEX(BK$12:BK$263,MATCH($AQ176,$AP$12:$AP$263,0))&gt;0,($AM176*INDEX(BK$12:BK$263,MATCH($AQ176,$AP$12:$AP$263,0)))/INDEX($AI$12:$AI$263,MATCH($AQ176,$AP$12:$AP$263,0)), "-"),     TRUE, "0")</f>
        <v>0</v>
      </c>
      <c r="BM176" s="607">
        <f>IF(BL$9&gt;0, IF(OR(BL176="",BL176="-"), 0, BL176*$AT176), BK176*$AJ176)</f>
        <v>0</v>
      </c>
      <c r="BN176" s="589">
        <f>[1]COMMANDE!AA174</f>
        <v>0</v>
      </c>
      <c r="BO176" s="586" t="str">
        <f>_xlfn.IFS(AND($AI176=$AM176,$AI176&gt;0,$AM176&gt;0,BN176&gt;0), BN176,     AND(NOT($AI176=$AM176),$AI176&gt;0,$AM176&gt;0,BN176&gt;0), ($AM176*BN176)/$AI176,     AND($AI176=0,$AM176&gt;0,$AQ176&gt;0), IF(INDEX(BN$12:BN$263,MATCH($AQ176,$AP$12:$AP$263,0))&gt;0,($AM176*INDEX(BN$12:BN$263,MATCH($AQ176,$AP$12:$AP$263,0)))/INDEX($AI$12:$AI$263,MATCH($AQ176,$AP$12:$AP$263,0)), "-"),     TRUE, "0")</f>
        <v>0</v>
      </c>
      <c r="BP176" s="588">
        <f>IF(BO$9&gt;0, IF(OR(BO176="",BO176="-"), 0, BO176*$AT176), BN176*$AJ176)</f>
        <v>0</v>
      </c>
      <c r="BQ176" s="587">
        <f>[1]COMMANDE!AC174</f>
        <v>0</v>
      </c>
      <c r="BR176" s="586" t="str">
        <f>_xlfn.IFS(AND($AI176=$AM176,$AI176&gt;0,$AM176&gt;0,BQ176&gt;0), BQ176,     AND(NOT($AI176=$AM176),$AI176&gt;0,$AM176&gt;0,BQ176&gt;0), ($AM176*BQ176)/$AI176,     AND($AI176=0,$AM176&gt;0,$AQ176&gt;0), IF(INDEX(BQ$12:BQ$263,MATCH($AQ176,$AP$12:$AP$263,0))&gt;0,($AM176*INDEX(BQ$12:BQ$263,MATCH($AQ176,$AP$12:$AP$263,0)))/INDEX($AI$12:$AI$263,MATCH($AQ176,$AP$12:$AP$263,0)), "-"),     TRUE, "0")</f>
        <v>0</v>
      </c>
      <c r="BS176" s="607">
        <f>IF(BR$9&gt;0, IF(OR(BR176="",BR176="-"), 0, BR176*$AT176), BQ176*$AJ176)</f>
        <v>0</v>
      </c>
      <c r="BT176" s="589">
        <f>[1]COMMANDE!AE174</f>
        <v>0</v>
      </c>
      <c r="BU176" s="586" t="str">
        <f>_xlfn.IFS(AND($AI176=$AM176,$AI176&gt;0,$AM176&gt;0,BT176&gt;0), BT176,     AND(NOT($AI176=$AM176),$AI176&gt;0,$AM176&gt;0,BT176&gt;0), ($AM176*BT176)/$AI176,     AND($AI176=0,$AM176&gt;0,$AQ176&gt;0), IF(INDEX(BT$12:BT$263,MATCH($AQ176,$AP$12:$AP$263,0))&gt;0,($AM176*INDEX(BT$12:BT$263,MATCH($AQ176,$AP$12:$AP$263,0)))/INDEX($AI$12:$AI$263,MATCH($AQ176,$AP$12:$AP$263,0)), "-"),     TRUE, "0")</f>
        <v>0</v>
      </c>
      <c r="BV176" s="588">
        <f>IF(BU$9&gt;0, IF(OR(BU176="",BU176="-"), 0, BU176*$AT176), BT176*$AJ176)</f>
        <v>0</v>
      </c>
      <c r="BW176" s="587">
        <f>[1]COMMANDE!AG174</f>
        <v>0</v>
      </c>
      <c r="BX176" s="586" t="str">
        <f>_xlfn.IFS(AND($AI176=$AM176,$AI176&gt;0,$AM176&gt;0,BW176&gt;0), BW176,     AND(NOT($AI176=$AM176),$AI176&gt;0,$AM176&gt;0,BW176&gt;0), ($AM176*BW176)/$AI176,     AND($AI176=0,$AM176&gt;0,$AQ176&gt;0), IF(INDEX(BW$12:BW$263,MATCH($AQ176,$AP$12:$AP$263,0))&gt;0,($AM176*INDEX(BW$12:BW$263,MATCH($AQ176,$AP$12:$AP$263,0)))/INDEX($AI$12:$AI$263,MATCH($AQ176,$AP$12:$AP$263,0)), "-"),     TRUE, "0")</f>
        <v>0</v>
      </c>
      <c r="BY176" s="607">
        <f>IF(BX$9&gt;0, IF(OR(BX176="",BX176="-"), 0, BX176*$AT176), BW176*$AJ176)</f>
        <v>0</v>
      </c>
      <c r="BZ176" s="589">
        <f>[1]COMMANDE!AI174</f>
        <v>0</v>
      </c>
      <c r="CA176" s="586" t="str">
        <f>_xlfn.IFS(AND($AI176=$AM176,$AI176&gt;0,$AM176&gt;0,BZ176&gt;0), BZ176,     AND(NOT($AI176=$AM176),$AI176&gt;0,$AM176&gt;0,BZ176&gt;0), ($AM176*BZ176)/$AI176,     AND($AI176=0,$AM176&gt;0,$AQ176&gt;0), IF(INDEX(BZ$12:BZ$263,MATCH($AQ176,$AP$12:$AP$263,0))&gt;0,($AM176*INDEX(BZ$12:BZ$263,MATCH($AQ176,$AP$12:$AP$263,0)))/INDEX($AI$12:$AI$263,MATCH($AQ176,$AP$12:$AP$263,0)), "-"),     TRUE, "0")</f>
        <v>0</v>
      </c>
      <c r="CB176" s="588">
        <f>IF(CA$9&gt;0, IF(OR(CA176="",CA176="-"), 0, CA176*$AT176), BZ176*$AJ176)</f>
        <v>0</v>
      </c>
      <c r="CC176" s="587">
        <f>[1]COMMANDE!AK174</f>
        <v>0</v>
      </c>
      <c r="CD176" s="586" t="str">
        <f>_xlfn.IFS(AND($AI176=$AM176,$AI176&gt;0,$AM176&gt;0,CC176&gt;0), CC176,     AND(NOT($AI176=$AM176),$AI176&gt;0,$AM176&gt;0,CC176&gt;0), ($AM176*CC176)/$AI176,     AND($AI176=0,$AM176&gt;0,$AQ176&gt;0), IF(INDEX(CC$12:CC$263,MATCH($AQ176,$AP$12:$AP$263,0))&gt;0,($AM176*INDEX(CC$12:CC$263,MATCH($AQ176,$AP$12:$AP$263,0)))/INDEX($AI$12:$AI$263,MATCH($AQ176,$AP$12:$AP$263,0)), "-"),     TRUE, "0")</f>
        <v>0</v>
      </c>
      <c r="CE176" s="607">
        <f>IF(CD$9&gt;0, IF(OR(CD176="",CD176="-"), 0, CD176*$AT176), CC176*$AJ176)</f>
        <v>0</v>
      </c>
      <c r="CF176" s="589">
        <f>[1]COMMANDE!AM174</f>
        <v>0</v>
      </c>
      <c r="CG176" s="586" t="str">
        <f>_xlfn.IFS(AND($AI176=$AM176,$AI176&gt;0,$AM176&gt;0,CF176&gt;0), CF176,     AND(NOT($AI176=$AM176),$AI176&gt;0,$AM176&gt;0,CF176&gt;0), ($AM176*CF176)/$AI176,     AND($AI176=0,$AM176&gt;0,$AQ176&gt;0), IF(INDEX(CF$12:CF$263,MATCH($AQ176,$AP$12:$AP$263,0))&gt;0,($AM176*INDEX(CF$12:CF$263,MATCH($AQ176,$AP$12:$AP$263,0)))/INDEX($AI$12:$AI$263,MATCH($AQ176,$AP$12:$AP$263,0)), "-"),     TRUE, "0")</f>
        <v>0</v>
      </c>
      <c r="CH176" s="588">
        <f>IF(CG$9&gt;0, IF(OR(CG176="",CG176="-"), 0, CG176*$AT176), CF176*$AJ176)</f>
        <v>0</v>
      </c>
      <c r="CI176" s="587">
        <f>[1]COMMANDE!AO174</f>
        <v>0</v>
      </c>
      <c r="CJ176" s="586" t="str">
        <f>_xlfn.IFS(AND($AI176=$AM176,$AI176&gt;0,$AM176&gt;0,CI176&gt;0), CI176,     AND(NOT($AI176=$AM176),$AI176&gt;0,$AM176&gt;0,CI176&gt;0), ($AM176*CI176)/$AI176,     AND($AI176=0,$AM176&gt;0,$AQ176&gt;0), IF(INDEX(CI$12:CI$263,MATCH($AQ176,$AP$12:$AP$263,0))&gt;0,($AM176*INDEX(CI$12:CI$263,MATCH($AQ176,$AP$12:$AP$263,0)))/INDEX($AI$12:$AI$263,MATCH($AQ176,$AP$12:$AP$263,0)), "-"),     TRUE, "0")</f>
        <v>0</v>
      </c>
      <c r="CK176" s="607">
        <f>IF(CJ$9&gt;0, IF(OR(CJ176="",CJ176="-"), 0, CJ176*$AT176), CI176*$AJ176)</f>
        <v>0</v>
      </c>
      <c r="CL176" s="589">
        <f>[1]COMMANDE!AQ174</f>
        <v>0</v>
      </c>
      <c r="CM176" s="586" t="str">
        <f>_xlfn.IFS(AND($AI176=$AM176,$AI176&gt;0,$AM176&gt;0,CL176&gt;0), CL176,     AND(NOT($AI176=$AM176),$AI176&gt;0,$AM176&gt;0,CL176&gt;0), ($AM176*CL176)/$AI176,     AND($AI176=0,$AM176&gt;0,$AQ176&gt;0), IF(INDEX(CL$12:CL$263,MATCH($AQ176,$AP$12:$AP$263,0))&gt;0,($AM176*INDEX(CL$12:CL$263,MATCH($AQ176,$AP$12:$AP$263,0)))/INDEX($AI$12:$AI$263,MATCH($AQ176,$AP$12:$AP$263,0)), "-"),     TRUE, "0")</f>
        <v>0</v>
      </c>
      <c r="CN176" s="588">
        <f>IF(CM$9&gt;0, IF(OR(CM176="",CM176="-"), 0, CM176*$AT176), CL176*$AJ176)</f>
        <v>0</v>
      </c>
      <c r="CO176" s="587">
        <f>[1]COMMANDE!AS174</f>
        <v>0</v>
      </c>
      <c r="CP176" s="586" t="str">
        <f>_xlfn.IFS(AND($AI176=$AM176,$AI176&gt;0,$AM176&gt;0,CO176&gt;0), CO176,     AND(NOT($AI176=$AM176),$AI176&gt;0,$AM176&gt;0,CO176&gt;0), ($AM176*CO176)/$AI176,     AND($AI176=0,$AM176&gt;0,$AQ176&gt;0), IF(INDEX(CO$12:CO$263,MATCH($AQ176,$AP$12:$AP$263,0))&gt;0,($AM176*INDEX(CO$12:CO$263,MATCH($AQ176,$AP$12:$AP$263,0)))/INDEX($AI$12:$AI$263,MATCH($AQ176,$AP$12:$AP$263,0)), "-"),     TRUE, "0")</f>
        <v>0</v>
      </c>
      <c r="CQ176" s="607">
        <f>IF(CP$9&gt;0, IF(OR(CP176="",CP176="-"), 0, CP176*$AT176), CO176*$AJ176)</f>
        <v>0</v>
      </c>
      <c r="CR176" s="589">
        <f>[1]COMMANDE!AU174</f>
        <v>0</v>
      </c>
      <c r="CS176" s="586" t="str">
        <f>_xlfn.IFS(AND($AI176=$AM176,$AI176&gt;0,$AM176&gt;0,CR176&gt;0), CR176,     AND(NOT($AI176=$AM176),$AI176&gt;0,$AM176&gt;0,CR176&gt;0), ($AM176*CR176)/$AI176,     AND($AI176=0,$AM176&gt;0,$AQ176&gt;0), IF(INDEX(CR$12:CR$263,MATCH($AQ176,$AP$12:$AP$263,0))&gt;0,($AM176*INDEX(CR$12:CR$263,MATCH($AQ176,$AP$12:$AP$263,0)))/INDEX($AI$12:$AI$263,MATCH($AQ176,$AP$12:$AP$263,0)), "-"),     TRUE, "0")</f>
        <v>0</v>
      </c>
      <c r="CT176" s="588">
        <f>IF(CS$9&gt;0, IF(OR(CS176="",CS176="-"), 0, CS176*$AT176), CR176*$AJ176)</f>
        <v>0</v>
      </c>
      <c r="CU176" s="587">
        <f>[1]COMMANDE!AW174</f>
        <v>0</v>
      </c>
      <c r="CV176" s="586" t="str">
        <f>_xlfn.IFS(AND($AI176=$AM176,$AI176&gt;0,$AM176&gt;0,CU176&gt;0), CU176,     AND(NOT($AI176=$AM176),$AI176&gt;0,$AM176&gt;0,CU176&gt;0), ($AM176*CU176)/$AI176,     AND($AI176=0,$AM176&gt;0,$AQ176&gt;0), IF(INDEX(CU$12:CU$263,MATCH($AQ176,$AP$12:$AP$263,0))&gt;0,($AM176*INDEX(CU$12:CU$263,MATCH($AQ176,$AP$12:$AP$263,0)))/INDEX($AI$12:$AI$263,MATCH($AQ176,$AP$12:$AP$263,0)), "-"),     TRUE, "0")</f>
        <v>0</v>
      </c>
      <c r="CW176" s="607">
        <f>IF(CV$9&gt;0, IF(OR(CV176="",CV176="-"), 0, CV176*$AT176), CU176*$AJ176)</f>
        <v>0</v>
      </c>
      <c r="CX176" s="589">
        <f>[1]COMMANDE!AY174</f>
        <v>0</v>
      </c>
      <c r="CY176" s="586" t="str">
        <f>_xlfn.IFS(AND($AI176=$AM176,$AI176&gt;0,$AM176&gt;0,CX176&gt;0), CX176,     AND(NOT($AI176=$AM176),$AI176&gt;0,$AM176&gt;0,CX176&gt;0), ($AM176*CX176)/$AI176,     AND($AI176=0,$AM176&gt;0,$AQ176&gt;0), IF(INDEX(CX$12:CX$263,MATCH($AQ176,$AP$12:$AP$263,0))&gt;0,($AM176*INDEX(CX$12:CX$263,MATCH($AQ176,$AP$12:$AP$263,0)))/INDEX($AI$12:$AI$263,MATCH($AQ176,$AP$12:$AP$263,0)), "-"),     TRUE, "0")</f>
        <v>0</v>
      </c>
      <c r="CZ176" s="588">
        <f>IF(CY$9&gt;0, IF(OR(CY176="",CY176="-"), 0, CY176*$AT176), CX176*$AJ176)</f>
        <v>0</v>
      </c>
      <c r="DA176" s="587">
        <f>[1]COMMANDE!BA174</f>
        <v>0</v>
      </c>
      <c r="DB176" s="586" t="str">
        <f>_xlfn.IFS(AND($AI176=$AM176,$AI176&gt;0,$AM176&gt;0,DA176&gt;0), DA176,     AND(NOT($AI176=$AM176),$AI176&gt;0,$AM176&gt;0,DA176&gt;0), ($AM176*DA176)/$AI176,     AND($AI176=0,$AM176&gt;0,$AQ176&gt;0), IF(INDEX(DA$12:DA$263,MATCH($AQ176,$AP$12:$AP$263,0))&gt;0,($AM176*INDEX(DA$12:DA$263,MATCH($AQ176,$AP$12:$AP$263,0)))/INDEX($AI$12:$AI$263,MATCH($AQ176,$AP$12:$AP$263,0)), "-"),     TRUE, "0")</f>
        <v>0</v>
      </c>
      <c r="DC176" s="606">
        <f>IF(DB$9&gt;0, IF(OR(DB176="",DB176="-"), 0, DB176*$AT176), DA176*$AJ176)</f>
        <v>0</v>
      </c>
      <c r="DD176" s="584"/>
      <c r="DE176" s="583"/>
    </row>
    <row r="177" spans="1:109" ht="39.950000000000003" hidden="1" customHeight="1">
      <c r="A177" s="604">
        <f>IF(OR($AV177&gt;0, $AX177&gt;0), 1, 0)</f>
        <v>0</v>
      </c>
      <c r="B177" s="604">
        <f>IF(OR($AY177&gt;0, $BA177&gt;0), 1, 0)</f>
        <v>0</v>
      </c>
      <c r="C177" s="604">
        <f>IF(OR($BB177&gt;0, $BD177&gt;0), 1, 0)</f>
        <v>0</v>
      </c>
      <c r="D177" s="604">
        <f>IF(OR($BE177&gt;0, $BG177&gt;0), 1, 0)</f>
        <v>0</v>
      </c>
      <c r="E177" s="604">
        <f>IF(OR($BH177&gt;0, $BJ177&gt;0), 1, 0)</f>
        <v>0</v>
      </c>
      <c r="F177" s="604">
        <f>IF(OR($BK177&gt;0, $BM177&gt;0), 1, 0)</f>
        <v>0</v>
      </c>
      <c r="G177" s="604">
        <f>IF(OR($BN177&gt;0, $BP177&gt;0), 1, 0)</f>
        <v>0</v>
      </c>
      <c r="H177" s="604">
        <f>IF(OR($BQ177&gt;0, $BS177&gt;0), 1, 0)</f>
        <v>0</v>
      </c>
      <c r="I177" s="604">
        <f>IF(OR($BT177&gt;0, $BV177&gt;0), 1, 0)</f>
        <v>0</v>
      </c>
      <c r="J177" s="604">
        <f>IF(OR($BW177&gt;0, $BY177&gt;0), 1, 0)</f>
        <v>0</v>
      </c>
      <c r="K177" s="604">
        <f>IF(OR($BZ177&gt;0, $CB177&gt;0), 1, 0)</f>
        <v>0</v>
      </c>
      <c r="L177" s="604">
        <f>IF(OR($CC177&gt;0, $CE177&gt;0), 1, 0)</f>
        <v>0</v>
      </c>
      <c r="M177" s="604">
        <f>IF(OR($CF177&gt;0, $CH177&gt;0), 1, 0)</f>
        <v>0</v>
      </c>
      <c r="N177" s="604">
        <f>IF(OR($CI177&gt;0, $CK177&gt;0), 1, 0)</f>
        <v>0</v>
      </c>
      <c r="O177" s="604">
        <f>IF(OR($CL177&gt;0, $CN177&gt;0), 1, 0)</f>
        <v>0</v>
      </c>
      <c r="P177" s="604">
        <f>IF(OR($CO177&gt;0, $CQ177&gt;0), 1, 0)</f>
        <v>0</v>
      </c>
      <c r="Q177" s="604">
        <f>IF(OR($CR177&gt;0, $CT177&gt;0), 1, 0)</f>
        <v>0</v>
      </c>
      <c r="R177" s="604">
        <f>IF(OR($CU177&gt;0, $CW177&gt;0), 1, 0)</f>
        <v>0</v>
      </c>
      <c r="S177" s="604">
        <f>IF(OR($CX177&gt;0, $CZ177&gt;0), 1, 0)</f>
        <v>0</v>
      </c>
      <c r="T177" s="604">
        <f>IF(OR($DA177&gt;0, $DC177&gt;0), 1, 0)</f>
        <v>0</v>
      </c>
      <c r="U177" s="603">
        <f>IF(OR($AI177&gt;0,$AM177&gt;0,$AS177&gt;0), 1, 0)</f>
        <v>0</v>
      </c>
      <c r="V177" s="602">
        <f>[1]BDD!A167</f>
        <v>1052</v>
      </c>
      <c r="W177" s="601" t="str">
        <f>[1]BDD!B167</f>
        <v>Melon peau de crapaud BIO</v>
      </c>
      <c r="X177" s="600" t="str">
        <f>IF([1]BDD!F167=0, "", [1]BDD!F167)</f>
        <v/>
      </c>
      <c r="Y177" s="542">
        <f>ROUND([1]BDD!G167+FDP_CMD_KG, 2)</f>
        <v>3.73</v>
      </c>
      <c r="Z177" s="542">
        <f>ROUND([1]BDD!G167+FDP_FACT_KG, 2)</f>
        <v>3.73</v>
      </c>
      <c r="AA177" s="543" t="str">
        <f>[1]BDD!H167</f>
        <v>kg</v>
      </c>
      <c r="AB177" s="544">
        <f>IF(NOT(ISBLANK([1]BDD!I167)), ROUND(SUM(([1]BDD!G167*reduc1),FDP_CMD_KG), 2), "")</f>
        <v>3.45</v>
      </c>
      <c r="AC177" s="544">
        <f>IF(NOT(ISBLANK([1]BDD!J167)), ROUND(SUM(([1]BDD!G167*reduc2),FDP_CMD_KG), 2), "")</f>
        <v>3.16</v>
      </c>
      <c r="AD177" s="544" t="str">
        <f>IF(NOT(ISBLANK([1]BDD!K167)), ROUND(SUM(([1]BDD!G167*reduc3),FDP_CMD_KG), 2), "")</f>
        <v/>
      </c>
      <c r="AE177" s="544">
        <f>IF(NOT(ISBLANK([1]BDD!I167)), ROUND(SUM(([1]BDD!G167*reduc1),FDP_FACT_KG), 2), "")</f>
        <v>3.44</v>
      </c>
      <c r="AF177" s="544">
        <f>IF(NOT(ISBLANK([1]BDD!J167)), ROUND(SUM(([1]BDD!G167*reduc2),FDP_FACT_KG), 2), "")</f>
        <v>3.15</v>
      </c>
      <c r="AG177" s="544" t="str">
        <f>IF(NOT(ISBLANK([1]BDD!K167)), ROUND(SUM(([1]BDD!G167*reduc3),FDP_FACT_KG), 2), "")</f>
        <v/>
      </c>
      <c r="AH177" s="599" t="str">
        <f>[1]BDD!C167</f>
        <v>Andalousie</v>
      </c>
      <c r="AI177" s="598">
        <f>SUM(AV177,AY177,BB177,BE177,BH177,BK177,BN177,BQ177,BT177,BW177,BZ177,CC177,CF177,CI177,CL177,CO177,CR177,CU177,CX177,DA177)</f>
        <v>0</v>
      </c>
      <c r="AJ177" s="545">
        <f>_xlfn.IFS($AD177&lt;&gt;"", $AD177,    $AC177&lt;&gt;"", $AC177,    $AB177&lt;&gt;"", $AB177,    TRUE, $Y177)</f>
        <v>3.16</v>
      </c>
      <c r="AK177" s="592">
        <f>$AI177*$AJ177</f>
        <v>0</v>
      </c>
      <c r="AL177" s="594"/>
      <c r="AM177" s="597"/>
      <c r="AN177" s="545">
        <f>_xlfn.IFS(AND(AM177&gt;=60,$AG177&lt;&gt;""), $AG177,    AND(AM177&gt;=30,$AF177&lt;&gt;""), $AF177,    AND(AM177&gt;=10,$AE177&lt;&gt;""), $AE177,    TRUE, $Z177)</f>
        <v>3.73</v>
      </c>
      <c r="AO177" s="596">
        <f>AM177*AN177</f>
        <v>0</v>
      </c>
      <c r="AP177" s="595"/>
      <c r="AQ177" s="595"/>
      <c r="AR177" s="594"/>
      <c r="AS177" s="593">
        <f>SUM(AW177,AZ177,BC177,BF177,BI177,BL177,BO177,BR177,BU177,BX177,CA177,CD177,CG177,CJ177,CM177,CP177,CS177,CV177,CY177,DB177)</f>
        <v>0</v>
      </c>
      <c r="AT177" s="545">
        <f>_xlfn.IFS(AND(AS177&gt;=60,$AG177&lt;&gt;""), $AG177,    AND(AS177&gt;=30,$AF177&lt;&gt;""), $AF177,    AND(AS177&gt;=10,$AE177&lt;&gt;""), $AE177,    TRUE, $Z177)</f>
        <v>3.73</v>
      </c>
      <c r="AU177" s="592">
        <f>$AS177*$AT177</f>
        <v>0</v>
      </c>
      <c r="AV177" s="591">
        <f>[1]COMMANDE!O175</f>
        <v>0</v>
      </c>
      <c r="AW177" s="586" t="str">
        <f>_xlfn.IFS(AND($AI177=$AM177,$AI177&gt;0,$AM177&gt;0,AV177&gt;0), AV177,     AND(NOT($AI177=$AM177),$AI177&gt;0,$AM177&gt;0,AV177&gt;0), ($AM177*AV177)/$AI177,     AND($AI177=0,$AM177&gt;0,$AQ177&gt;0), IF(INDEX(AV$12:AV$263,MATCH($AQ177,$AP$12:$AP$263,0))&gt;0,($AM177*INDEX(AV$12:AV$263,MATCH($AQ177,$AP$12:$AP$263,0)))/INDEX($AI$12:$AI$263,MATCH($AQ177,$AP$12:$AP$263,0)), "-"),     TRUE, "0")</f>
        <v>0</v>
      </c>
      <c r="AX177" s="588">
        <f>IF(AW$9&gt;0, IF(OR(AW177="",AW177="-"), 0, AW177*$AT177), AV177*$AJ177)</f>
        <v>0</v>
      </c>
      <c r="AY177" s="587">
        <f>[1]COMMANDE!Q175</f>
        <v>0</v>
      </c>
      <c r="AZ177" s="586" t="str">
        <f>_xlfn.IFS(AND($AI177=$AM177,$AI177&gt;0,$AM177&gt;0,AY177&gt;0), AY177,     AND(NOT($AI177=$AM177),$AI177&gt;0,$AM177&gt;0,AY177&gt;0), ($AM177*AY177)/$AI177,     AND($AI177=0,$AM177&gt;0,$AQ177&gt;0), IF(INDEX(AY$12:AY$263,MATCH($AQ177,$AP$12:$AP$263,0))&gt;0,($AM177*INDEX(AY$12:AY$263,MATCH($AQ177,$AP$12:$AP$263,0)))/INDEX($AI$12:$AI$263,MATCH($AQ177,$AP$12:$AP$263,0)), "-"),     TRUE, "0")</f>
        <v>0</v>
      </c>
      <c r="BA177" s="607">
        <f>IF(AZ$9&gt;0, IF(OR(AZ177="",AZ177="-"), 0, AZ177*$AT177), AY177*$AJ177)</f>
        <v>0</v>
      </c>
      <c r="BB177" s="589">
        <f>[1]COMMANDE!S175</f>
        <v>0</v>
      </c>
      <c r="BC177" s="586" t="str">
        <f>_xlfn.IFS(AND($AI177=$AM177,$AI177&gt;0,$AM177&gt;0,BB177&gt;0), BB177,     AND(NOT($AI177=$AM177),$AI177&gt;0,$AM177&gt;0,BB177&gt;0), ($AM177*BB177)/$AI177,     AND($AI177=0,$AM177&gt;0,$AQ177&gt;0), IF(INDEX(BB$12:BB$263,MATCH($AQ177,$AP$12:$AP$263,0))&gt;0,($AM177*INDEX(BB$12:BB$263,MATCH($AQ177,$AP$12:$AP$263,0)))/INDEX($AI$12:$AI$263,MATCH($AQ177,$AP$12:$AP$263,0)), "-"),     TRUE, "0")</f>
        <v>0</v>
      </c>
      <c r="BD177" s="588">
        <f>IF(BC$9&gt;0, IF(OR(BC177="",BC177="-"), 0, BC177*$AT177), BB177*$AJ177)</f>
        <v>0</v>
      </c>
      <c r="BE177" s="587">
        <f>[1]COMMANDE!U175</f>
        <v>0</v>
      </c>
      <c r="BF177" s="586" t="str">
        <f>_xlfn.IFS(AND($AI177=$AM177,$AI177&gt;0,$AM177&gt;0,BE177&gt;0), BE177,     AND(NOT($AI177=$AM177),$AI177&gt;0,$AM177&gt;0,BE177&gt;0), ($AM177*BE177)/$AI177,     AND($AI177=0,$AM177&gt;0,$AQ177&gt;0), IF(INDEX(BE$12:BE$263,MATCH($AQ177,$AP$12:$AP$263,0))&gt;0,($AM177*INDEX(BE$12:BE$263,MATCH($AQ177,$AP$12:$AP$263,0)))/INDEX($AI$12:$AI$263,MATCH($AQ177,$AP$12:$AP$263,0)), "-"),     TRUE, "0")</f>
        <v>0</v>
      </c>
      <c r="BG177" s="607">
        <f>IF(BF$9&gt;0, IF(OR(BF177="",BF177="-"), 0, BF177*$AT177), BE177*$AJ177)</f>
        <v>0</v>
      </c>
      <c r="BH177" s="589">
        <f>[1]COMMANDE!W175</f>
        <v>0</v>
      </c>
      <c r="BI177" s="586" t="str">
        <f>_xlfn.IFS(AND($AI177=$AM177,$AI177&gt;0,$AM177&gt;0,BH177&gt;0), BH177,     AND(NOT($AI177=$AM177),$AI177&gt;0,$AM177&gt;0,BH177&gt;0), ($AM177*BH177)/$AI177,     AND($AI177=0,$AM177&gt;0,$AQ177&gt;0), IF(INDEX(BH$12:BH$263,MATCH($AQ177,$AP$12:$AP$263,0))&gt;0,($AM177*INDEX(BH$12:BH$263,MATCH($AQ177,$AP$12:$AP$263,0)))/INDEX($AI$12:$AI$263,MATCH($AQ177,$AP$12:$AP$263,0)), "-"),     TRUE, "0")</f>
        <v>0</v>
      </c>
      <c r="BJ177" s="588">
        <f>IF(BI$9&gt;0, IF(OR(BI177="",BI177="-"), 0, BI177*$AT177), BH177*$AJ177)</f>
        <v>0</v>
      </c>
      <c r="BK177" s="587">
        <f>[1]COMMANDE!Y175</f>
        <v>0</v>
      </c>
      <c r="BL177" s="586" t="str">
        <f>_xlfn.IFS(AND($AI177=$AM177,$AI177&gt;0,$AM177&gt;0,BK177&gt;0), BK177,     AND(NOT($AI177=$AM177),$AI177&gt;0,$AM177&gt;0,BK177&gt;0), ($AM177*BK177)/$AI177,     AND($AI177=0,$AM177&gt;0,$AQ177&gt;0), IF(INDEX(BK$12:BK$263,MATCH($AQ177,$AP$12:$AP$263,0))&gt;0,($AM177*INDEX(BK$12:BK$263,MATCH($AQ177,$AP$12:$AP$263,0)))/INDEX($AI$12:$AI$263,MATCH($AQ177,$AP$12:$AP$263,0)), "-"),     TRUE, "0")</f>
        <v>0</v>
      </c>
      <c r="BM177" s="607">
        <f>IF(BL$9&gt;0, IF(OR(BL177="",BL177="-"), 0, BL177*$AT177), BK177*$AJ177)</f>
        <v>0</v>
      </c>
      <c r="BN177" s="589">
        <f>[1]COMMANDE!AA175</f>
        <v>0</v>
      </c>
      <c r="BO177" s="586" t="str">
        <f>_xlfn.IFS(AND($AI177=$AM177,$AI177&gt;0,$AM177&gt;0,BN177&gt;0), BN177,     AND(NOT($AI177=$AM177),$AI177&gt;0,$AM177&gt;0,BN177&gt;0), ($AM177*BN177)/$AI177,     AND($AI177=0,$AM177&gt;0,$AQ177&gt;0), IF(INDEX(BN$12:BN$263,MATCH($AQ177,$AP$12:$AP$263,0))&gt;0,($AM177*INDEX(BN$12:BN$263,MATCH($AQ177,$AP$12:$AP$263,0)))/INDEX($AI$12:$AI$263,MATCH($AQ177,$AP$12:$AP$263,0)), "-"),     TRUE, "0")</f>
        <v>0</v>
      </c>
      <c r="BP177" s="588">
        <f>IF(BO$9&gt;0, IF(OR(BO177="",BO177="-"), 0, BO177*$AT177), BN177*$AJ177)</f>
        <v>0</v>
      </c>
      <c r="BQ177" s="587">
        <f>[1]COMMANDE!AC175</f>
        <v>0</v>
      </c>
      <c r="BR177" s="586" t="str">
        <f>_xlfn.IFS(AND($AI177=$AM177,$AI177&gt;0,$AM177&gt;0,BQ177&gt;0), BQ177,     AND(NOT($AI177=$AM177),$AI177&gt;0,$AM177&gt;0,BQ177&gt;0), ($AM177*BQ177)/$AI177,     AND($AI177=0,$AM177&gt;0,$AQ177&gt;0), IF(INDEX(BQ$12:BQ$263,MATCH($AQ177,$AP$12:$AP$263,0))&gt;0,($AM177*INDEX(BQ$12:BQ$263,MATCH($AQ177,$AP$12:$AP$263,0)))/INDEX($AI$12:$AI$263,MATCH($AQ177,$AP$12:$AP$263,0)), "-"),     TRUE, "0")</f>
        <v>0</v>
      </c>
      <c r="BS177" s="607">
        <f>IF(BR$9&gt;0, IF(OR(BR177="",BR177="-"), 0, BR177*$AT177), BQ177*$AJ177)</f>
        <v>0</v>
      </c>
      <c r="BT177" s="589">
        <f>[1]COMMANDE!AE175</f>
        <v>0</v>
      </c>
      <c r="BU177" s="586" t="str">
        <f>_xlfn.IFS(AND($AI177=$AM177,$AI177&gt;0,$AM177&gt;0,BT177&gt;0), BT177,     AND(NOT($AI177=$AM177),$AI177&gt;0,$AM177&gt;0,BT177&gt;0), ($AM177*BT177)/$AI177,     AND($AI177=0,$AM177&gt;0,$AQ177&gt;0), IF(INDEX(BT$12:BT$263,MATCH($AQ177,$AP$12:$AP$263,0))&gt;0,($AM177*INDEX(BT$12:BT$263,MATCH($AQ177,$AP$12:$AP$263,0)))/INDEX($AI$12:$AI$263,MATCH($AQ177,$AP$12:$AP$263,0)), "-"),     TRUE, "0")</f>
        <v>0</v>
      </c>
      <c r="BV177" s="588">
        <f>IF(BU$9&gt;0, IF(OR(BU177="",BU177="-"), 0, BU177*$AT177), BT177*$AJ177)</f>
        <v>0</v>
      </c>
      <c r="BW177" s="587">
        <f>[1]COMMANDE!AG175</f>
        <v>0</v>
      </c>
      <c r="BX177" s="586" t="str">
        <f>_xlfn.IFS(AND($AI177=$AM177,$AI177&gt;0,$AM177&gt;0,BW177&gt;0), BW177,     AND(NOT($AI177=$AM177),$AI177&gt;0,$AM177&gt;0,BW177&gt;0), ($AM177*BW177)/$AI177,     AND($AI177=0,$AM177&gt;0,$AQ177&gt;0), IF(INDEX(BW$12:BW$263,MATCH($AQ177,$AP$12:$AP$263,0))&gt;0,($AM177*INDEX(BW$12:BW$263,MATCH($AQ177,$AP$12:$AP$263,0)))/INDEX($AI$12:$AI$263,MATCH($AQ177,$AP$12:$AP$263,0)), "-"),     TRUE, "0")</f>
        <v>0</v>
      </c>
      <c r="BY177" s="607">
        <f>IF(BX$9&gt;0, IF(OR(BX177="",BX177="-"), 0, BX177*$AT177), BW177*$AJ177)</f>
        <v>0</v>
      </c>
      <c r="BZ177" s="589">
        <f>[1]COMMANDE!AI175</f>
        <v>0</v>
      </c>
      <c r="CA177" s="586" t="str">
        <f>_xlfn.IFS(AND($AI177=$AM177,$AI177&gt;0,$AM177&gt;0,BZ177&gt;0), BZ177,     AND(NOT($AI177=$AM177),$AI177&gt;0,$AM177&gt;0,BZ177&gt;0), ($AM177*BZ177)/$AI177,     AND($AI177=0,$AM177&gt;0,$AQ177&gt;0), IF(INDEX(BZ$12:BZ$263,MATCH($AQ177,$AP$12:$AP$263,0))&gt;0,($AM177*INDEX(BZ$12:BZ$263,MATCH($AQ177,$AP$12:$AP$263,0)))/INDEX($AI$12:$AI$263,MATCH($AQ177,$AP$12:$AP$263,0)), "-"),     TRUE, "0")</f>
        <v>0</v>
      </c>
      <c r="CB177" s="588">
        <f>IF(CA$9&gt;0, IF(OR(CA177="",CA177="-"), 0, CA177*$AT177), BZ177*$AJ177)</f>
        <v>0</v>
      </c>
      <c r="CC177" s="587">
        <f>[1]COMMANDE!AK175</f>
        <v>0</v>
      </c>
      <c r="CD177" s="586" t="str">
        <f>_xlfn.IFS(AND($AI177=$AM177,$AI177&gt;0,$AM177&gt;0,CC177&gt;0), CC177,     AND(NOT($AI177=$AM177),$AI177&gt;0,$AM177&gt;0,CC177&gt;0), ($AM177*CC177)/$AI177,     AND($AI177=0,$AM177&gt;0,$AQ177&gt;0), IF(INDEX(CC$12:CC$263,MATCH($AQ177,$AP$12:$AP$263,0))&gt;0,($AM177*INDEX(CC$12:CC$263,MATCH($AQ177,$AP$12:$AP$263,0)))/INDEX($AI$12:$AI$263,MATCH($AQ177,$AP$12:$AP$263,0)), "-"),     TRUE, "0")</f>
        <v>0</v>
      </c>
      <c r="CE177" s="607">
        <f>IF(CD$9&gt;0, IF(OR(CD177="",CD177="-"), 0, CD177*$AT177), CC177*$AJ177)</f>
        <v>0</v>
      </c>
      <c r="CF177" s="589">
        <f>[1]COMMANDE!AM175</f>
        <v>0</v>
      </c>
      <c r="CG177" s="586" t="str">
        <f>_xlfn.IFS(AND($AI177=$AM177,$AI177&gt;0,$AM177&gt;0,CF177&gt;0), CF177,     AND(NOT($AI177=$AM177),$AI177&gt;0,$AM177&gt;0,CF177&gt;0), ($AM177*CF177)/$AI177,     AND($AI177=0,$AM177&gt;0,$AQ177&gt;0), IF(INDEX(CF$12:CF$263,MATCH($AQ177,$AP$12:$AP$263,0))&gt;0,($AM177*INDEX(CF$12:CF$263,MATCH($AQ177,$AP$12:$AP$263,0)))/INDEX($AI$12:$AI$263,MATCH($AQ177,$AP$12:$AP$263,0)), "-"),     TRUE, "0")</f>
        <v>0</v>
      </c>
      <c r="CH177" s="588">
        <f>IF(CG$9&gt;0, IF(OR(CG177="",CG177="-"), 0, CG177*$AT177), CF177*$AJ177)</f>
        <v>0</v>
      </c>
      <c r="CI177" s="587">
        <f>[1]COMMANDE!AO175</f>
        <v>0</v>
      </c>
      <c r="CJ177" s="586" t="str">
        <f>_xlfn.IFS(AND($AI177=$AM177,$AI177&gt;0,$AM177&gt;0,CI177&gt;0), CI177,     AND(NOT($AI177=$AM177),$AI177&gt;0,$AM177&gt;0,CI177&gt;0), ($AM177*CI177)/$AI177,     AND($AI177=0,$AM177&gt;0,$AQ177&gt;0), IF(INDEX(CI$12:CI$263,MATCH($AQ177,$AP$12:$AP$263,0))&gt;0,($AM177*INDEX(CI$12:CI$263,MATCH($AQ177,$AP$12:$AP$263,0)))/INDEX($AI$12:$AI$263,MATCH($AQ177,$AP$12:$AP$263,0)), "-"),     TRUE, "0")</f>
        <v>0</v>
      </c>
      <c r="CK177" s="607">
        <f>IF(CJ$9&gt;0, IF(OR(CJ177="",CJ177="-"), 0, CJ177*$AT177), CI177*$AJ177)</f>
        <v>0</v>
      </c>
      <c r="CL177" s="589">
        <f>[1]COMMANDE!AQ175</f>
        <v>0</v>
      </c>
      <c r="CM177" s="586" t="str">
        <f>_xlfn.IFS(AND($AI177=$AM177,$AI177&gt;0,$AM177&gt;0,CL177&gt;0), CL177,     AND(NOT($AI177=$AM177),$AI177&gt;0,$AM177&gt;0,CL177&gt;0), ($AM177*CL177)/$AI177,     AND($AI177=0,$AM177&gt;0,$AQ177&gt;0), IF(INDEX(CL$12:CL$263,MATCH($AQ177,$AP$12:$AP$263,0))&gt;0,($AM177*INDEX(CL$12:CL$263,MATCH($AQ177,$AP$12:$AP$263,0)))/INDEX($AI$12:$AI$263,MATCH($AQ177,$AP$12:$AP$263,0)), "-"),     TRUE, "0")</f>
        <v>0</v>
      </c>
      <c r="CN177" s="588">
        <f>IF(CM$9&gt;0, IF(OR(CM177="",CM177="-"), 0, CM177*$AT177), CL177*$AJ177)</f>
        <v>0</v>
      </c>
      <c r="CO177" s="587">
        <f>[1]COMMANDE!AS175</f>
        <v>0</v>
      </c>
      <c r="CP177" s="586" t="str">
        <f>_xlfn.IFS(AND($AI177=$AM177,$AI177&gt;0,$AM177&gt;0,CO177&gt;0), CO177,     AND(NOT($AI177=$AM177),$AI177&gt;0,$AM177&gt;0,CO177&gt;0), ($AM177*CO177)/$AI177,     AND($AI177=0,$AM177&gt;0,$AQ177&gt;0), IF(INDEX(CO$12:CO$263,MATCH($AQ177,$AP$12:$AP$263,0))&gt;0,($AM177*INDEX(CO$12:CO$263,MATCH($AQ177,$AP$12:$AP$263,0)))/INDEX($AI$12:$AI$263,MATCH($AQ177,$AP$12:$AP$263,0)), "-"),     TRUE, "0")</f>
        <v>0</v>
      </c>
      <c r="CQ177" s="607">
        <f>IF(CP$9&gt;0, IF(OR(CP177="",CP177="-"), 0, CP177*$AT177), CO177*$AJ177)</f>
        <v>0</v>
      </c>
      <c r="CR177" s="589">
        <f>[1]COMMANDE!AU175</f>
        <v>0</v>
      </c>
      <c r="CS177" s="586" t="str">
        <f>_xlfn.IFS(AND($AI177=$AM177,$AI177&gt;0,$AM177&gt;0,CR177&gt;0), CR177,     AND(NOT($AI177=$AM177),$AI177&gt;0,$AM177&gt;0,CR177&gt;0), ($AM177*CR177)/$AI177,     AND($AI177=0,$AM177&gt;0,$AQ177&gt;0), IF(INDEX(CR$12:CR$263,MATCH($AQ177,$AP$12:$AP$263,0))&gt;0,($AM177*INDEX(CR$12:CR$263,MATCH($AQ177,$AP$12:$AP$263,0)))/INDEX($AI$12:$AI$263,MATCH($AQ177,$AP$12:$AP$263,0)), "-"),     TRUE, "0")</f>
        <v>0</v>
      </c>
      <c r="CT177" s="588">
        <f>IF(CS$9&gt;0, IF(OR(CS177="",CS177="-"), 0, CS177*$AT177), CR177*$AJ177)</f>
        <v>0</v>
      </c>
      <c r="CU177" s="587">
        <f>[1]COMMANDE!AW175</f>
        <v>0</v>
      </c>
      <c r="CV177" s="586" t="str">
        <f>_xlfn.IFS(AND($AI177=$AM177,$AI177&gt;0,$AM177&gt;0,CU177&gt;0), CU177,     AND(NOT($AI177=$AM177),$AI177&gt;0,$AM177&gt;0,CU177&gt;0), ($AM177*CU177)/$AI177,     AND($AI177=0,$AM177&gt;0,$AQ177&gt;0), IF(INDEX(CU$12:CU$263,MATCH($AQ177,$AP$12:$AP$263,0))&gt;0,($AM177*INDEX(CU$12:CU$263,MATCH($AQ177,$AP$12:$AP$263,0)))/INDEX($AI$12:$AI$263,MATCH($AQ177,$AP$12:$AP$263,0)), "-"),     TRUE, "0")</f>
        <v>0</v>
      </c>
      <c r="CW177" s="607">
        <f>IF(CV$9&gt;0, IF(OR(CV177="",CV177="-"), 0, CV177*$AT177), CU177*$AJ177)</f>
        <v>0</v>
      </c>
      <c r="CX177" s="589">
        <f>[1]COMMANDE!AY175</f>
        <v>0</v>
      </c>
      <c r="CY177" s="586" t="str">
        <f>_xlfn.IFS(AND($AI177=$AM177,$AI177&gt;0,$AM177&gt;0,CX177&gt;0), CX177,     AND(NOT($AI177=$AM177),$AI177&gt;0,$AM177&gt;0,CX177&gt;0), ($AM177*CX177)/$AI177,     AND($AI177=0,$AM177&gt;0,$AQ177&gt;0), IF(INDEX(CX$12:CX$263,MATCH($AQ177,$AP$12:$AP$263,0))&gt;0,($AM177*INDEX(CX$12:CX$263,MATCH($AQ177,$AP$12:$AP$263,0)))/INDEX($AI$12:$AI$263,MATCH($AQ177,$AP$12:$AP$263,0)), "-"),     TRUE, "0")</f>
        <v>0</v>
      </c>
      <c r="CZ177" s="588">
        <f>IF(CY$9&gt;0, IF(OR(CY177="",CY177="-"), 0, CY177*$AT177), CX177*$AJ177)</f>
        <v>0</v>
      </c>
      <c r="DA177" s="587">
        <f>[1]COMMANDE!BA175</f>
        <v>0</v>
      </c>
      <c r="DB177" s="586" t="str">
        <f>_xlfn.IFS(AND($AI177=$AM177,$AI177&gt;0,$AM177&gt;0,DA177&gt;0), DA177,     AND(NOT($AI177=$AM177),$AI177&gt;0,$AM177&gt;0,DA177&gt;0), ($AM177*DA177)/$AI177,     AND($AI177=0,$AM177&gt;0,$AQ177&gt;0), IF(INDEX(DA$12:DA$263,MATCH($AQ177,$AP$12:$AP$263,0))&gt;0,($AM177*INDEX(DA$12:DA$263,MATCH($AQ177,$AP$12:$AP$263,0)))/INDEX($AI$12:$AI$263,MATCH($AQ177,$AP$12:$AP$263,0)), "-"),     TRUE, "0")</f>
        <v>0</v>
      </c>
      <c r="DC177" s="606">
        <f>IF(DB$9&gt;0, IF(OR(DB177="",DB177="-"), 0, DB177*$AT177), DA177*$AJ177)</f>
        <v>0</v>
      </c>
      <c r="DD177" s="584"/>
      <c r="DE177" s="583"/>
    </row>
    <row r="178" spans="1:109" ht="39.950000000000003" hidden="1" customHeight="1">
      <c r="A178" s="604">
        <f>IF(OR($AV178&gt;0, $AX178&gt;0), 1, 0)</f>
        <v>0</v>
      </c>
      <c r="B178" s="604">
        <f>IF(OR($AY178&gt;0, $BA178&gt;0), 1, 0)</f>
        <v>0</v>
      </c>
      <c r="C178" s="604">
        <f>IF(OR($BB178&gt;0, $BD178&gt;0), 1, 0)</f>
        <v>0</v>
      </c>
      <c r="D178" s="604">
        <f>IF(OR($BE178&gt;0, $BG178&gt;0), 1, 0)</f>
        <v>0</v>
      </c>
      <c r="E178" s="604">
        <f>IF(OR($BH178&gt;0, $BJ178&gt;0), 1, 0)</f>
        <v>0</v>
      </c>
      <c r="F178" s="604">
        <f>IF(OR($BK178&gt;0, $BM178&gt;0), 1, 0)</f>
        <v>0</v>
      </c>
      <c r="G178" s="604">
        <f>IF(OR($BN178&gt;0, $BP178&gt;0), 1, 0)</f>
        <v>0</v>
      </c>
      <c r="H178" s="604">
        <f>IF(OR($BQ178&gt;0, $BS178&gt;0), 1, 0)</f>
        <v>0</v>
      </c>
      <c r="I178" s="604">
        <f>IF(OR($BT178&gt;0, $BV178&gt;0), 1, 0)</f>
        <v>0</v>
      </c>
      <c r="J178" s="604">
        <f>IF(OR($BW178&gt;0, $BY178&gt;0), 1, 0)</f>
        <v>0</v>
      </c>
      <c r="K178" s="604">
        <f>IF(OR($BZ178&gt;0, $CB178&gt;0), 1, 0)</f>
        <v>0</v>
      </c>
      <c r="L178" s="604">
        <f>IF(OR($CC178&gt;0, $CE178&gt;0), 1, 0)</f>
        <v>0</v>
      </c>
      <c r="M178" s="604">
        <f>IF(OR($CF178&gt;0, $CH178&gt;0), 1, 0)</f>
        <v>0</v>
      </c>
      <c r="N178" s="604">
        <f>IF(OR($CI178&gt;0, $CK178&gt;0), 1, 0)</f>
        <v>0</v>
      </c>
      <c r="O178" s="604">
        <f>IF(OR($CL178&gt;0, $CN178&gt;0), 1, 0)</f>
        <v>0</v>
      </c>
      <c r="P178" s="604">
        <f>IF(OR($CO178&gt;0, $CQ178&gt;0), 1, 0)</f>
        <v>0</v>
      </c>
      <c r="Q178" s="604">
        <f>IF(OR($CR178&gt;0, $CT178&gt;0), 1, 0)</f>
        <v>0</v>
      </c>
      <c r="R178" s="604">
        <f>IF(OR($CU178&gt;0, $CW178&gt;0), 1, 0)</f>
        <v>0</v>
      </c>
      <c r="S178" s="604">
        <f>IF(OR($CX178&gt;0, $CZ178&gt;0), 1, 0)</f>
        <v>0</v>
      </c>
      <c r="T178" s="604">
        <f>IF(OR($DA178&gt;0, $DC178&gt;0), 1, 0)</f>
        <v>0</v>
      </c>
      <c r="U178" s="603">
        <f>IF(OR($AI178&gt;0,$AM178&gt;0,$AS178&gt;0), 1, 0)</f>
        <v>0</v>
      </c>
      <c r="V178" s="602">
        <f>[1]BDD!A168</f>
        <v>3925</v>
      </c>
      <c r="W178" s="601" t="str">
        <f>[1]BDD!B168</f>
        <v>Miel d'avocat (Bocal en verre env. 1kg)</v>
      </c>
      <c r="X178" s="600" t="str">
        <f>IF([1]BDD!F168=0, "", [1]BDD!F168)</f>
        <v>❤️</v>
      </c>
      <c r="Y178" s="542">
        <f>ROUND([1]BDD!G168+FDP_CMD_KG, 2)</f>
        <v>13.6</v>
      </c>
      <c r="Z178" s="542">
        <f>ROUND([1]BDD!G168+FDP_FACT_KG, 2)</f>
        <v>13.6</v>
      </c>
      <c r="AA178" s="543" t="str">
        <f>[1]BDD!H168</f>
        <v>Pièce</v>
      </c>
      <c r="AB178" s="544">
        <f>IF(NOT(ISBLANK([1]BDD!I168)), ROUND(SUM(([1]BDD!G168*reduc1),FDP_CMD_KG), 2), "")</f>
        <v>12.33</v>
      </c>
      <c r="AC178" s="544" t="str">
        <f>IF(NOT(ISBLANK([1]BDD!J168)), ROUND(SUM(([1]BDD!G168*reduc2),FDP_CMD_KG), 2), "")</f>
        <v/>
      </c>
      <c r="AD178" s="544" t="str">
        <f>IF(NOT(ISBLANK([1]BDD!K168)), ROUND(SUM(([1]BDD!G168*reduc3),FDP_CMD_KG), 2), "")</f>
        <v/>
      </c>
      <c r="AE178" s="544">
        <f>IF(NOT(ISBLANK([1]BDD!I168)), ROUND(SUM(([1]BDD!G168*reduc1),FDP_FACT_KG), 2), "")</f>
        <v>12.32</v>
      </c>
      <c r="AF178" s="544" t="str">
        <f>IF(NOT(ISBLANK([1]BDD!J168)), ROUND(SUM(([1]BDD!G168*reduc2),FDP_FACT_KG), 2), "")</f>
        <v/>
      </c>
      <c r="AG178" s="544" t="str">
        <f>IF(NOT(ISBLANK([1]BDD!K168)), ROUND(SUM(([1]BDD!G168*reduc3),FDP_FACT_KG), 2), "")</f>
        <v/>
      </c>
      <c r="AH178" s="599" t="str">
        <f>[1]BDD!C168</f>
        <v>Grenade</v>
      </c>
      <c r="AI178" s="598">
        <f>SUM(AV178,AY178,BB178,BE178,BH178,BK178,BN178,BQ178,BT178,BW178,BZ178,CC178,CF178,CI178,CL178,CO178,CR178,CU178,CX178,DA178)</f>
        <v>0</v>
      </c>
      <c r="AJ178" s="545">
        <f>_xlfn.IFS($AD178&lt;&gt;"", $AD178,    $AC178&lt;&gt;"", $AC178,    $AB178&lt;&gt;"", $AB178,    TRUE, $Y178)</f>
        <v>12.33</v>
      </c>
      <c r="AK178" s="592">
        <f>$AI178*$AJ178</f>
        <v>0</v>
      </c>
      <c r="AL178" s="594"/>
      <c r="AM178" s="597"/>
      <c r="AN178" s="545">
        <f>_xlfn.IFS(AND(AM178&gt;=60,$AG178&lt;&gt;""), $AG178,    AND(AM178&gt;=30,$AF178&lt;&gt;""), $AF178,    AND(AM178&gt;=10,$AE178&lt;&gt;""), $AE178,    TRUE, $Z178)</f>
        <v>13.6</v>
      </c>
      <c r="AO178" s="596">
        <f>AM178*AN178</f>
        <v>0</v>
      </c>
      <c r="AP178" s="595"/>
      <c r="AQ178" s="595"/>
      <c r="AR178" s="594"/>
      <c r="AS178" s="593">
        <f>SUM(AW178,AZ178,BC178,BF178,BI178,BL178,BO178,BR178,BU178,BX178,CA178,CD178,CG178,CJ178,CM178,CP178,CS178,CV178,CY178,DB178)</f>
        <v>0</v>
      </c>
      <c r="AT178" s="545">
        <f>_xlfn.IFS(AND(AS178&gt;=60,$AG178&lt;&gt;""), $AG178,    AND(AS178&gt;=30,$AF178&lt;&gt;""), $AF178,    AND(AS178&gt;=10,$AE178&lt;&gt;""), $AE178,    TRUE, $Z178)</f>
        <v>13.6</v>
      </c>
      <c r="AU178" s="592">
        <f>$AS178*$AT178</f>
        <v>0</v>
      </c>
      <c r="AV178" s="591">
        <f>[1]COMMANDE!O176</f>
        <v>0</v>
      </c>
      <c r="AW178" s="586" t="str">
        <f>_xlfn.IFS(AND($AI178=$AM178,$AI178&gt;0,$AM178&gt;0,AV178&gt;0), AV178,     AND(NOT($AI178=$AM178),$AI178&gt;0,$AM178&gt;0,AV178&gt;0), ($AM178*AV178)/$AI178,     AND($AI178=0,$AM178&gt;0,$AQ178&gt;0), IF(INDEX(AV$12:AV$263,MATCH($AQ178,$AP$12:$AP$263,0))&gt;0,($AM178*INDEX(AV$12:AV$263,MATCH($AQ178,$AP$12:$AP$263,0)))/INDEX($AI$12:$AI$263,MATCH($AQ178,$AP$12:$AP$263,0)), "-"),     TRUE, "0")</f>
        <v>0</v>
      </c>
      <c r="AX178" s="588">
        <f>IF(AW$9&gt;0, IF(OR(AW178="",AW178="-"), 0, AW178*$AT178), AV178*$AJ178)</f>
        <v>0</v>
      </c>
      <c r="AY178" s="587">
        <f>[1]COMMANDE!Q176</f>
        <v>0</v>
      </c>
      <c r="AZ178" s="586" t="str">
        <f>_xlfn.IFS(AND($AI178=$AM178,$AI178&gt;0,$AM178&gt;0,AY178&gt;0), AY178,     AND(NOT($AI178=$AM178),$AI178&gt;0,$AM178&gt;0,AY178&gt;0), ($AM178*AY178)/$AI178,     AND($AI178=0,$AM178&gt;0,$AQ178&gt;0), IF(INDEX(AY$12:AY$263,MATCH($AQ178,$AP$12:$AP$263,0))&gt;0,($AM178*INDEX(AY$12:AY$263,MATCH($AQ178,$AP$12:$AP$263,0)))/INDEX($AI$12:$AI$263,MATCH($AQ178,$AP$12:$AP$263,0)), "-"),     TRUE, "0")</f>
        <v>0</v>
      </c>
      <c r="BA178" s="607">
        <f>IF(AZ$9&gt;0, IF(OR(AZ178="",AZ178="-"), 0, AZ178*$AT178), AY178*$AJ178)</f>
        <v>0</v>
      </c>
      <c r="BB178" s="589">
        <f>[1]COMMANDE!S176</f>
        <v>0</v>
      </c>
      <c r="BC178" s="586" t="str">
        <f>_xlfn.IFS(AND($AI178=$AM178,$AI178&gt;0,$AM178&gt;0,BB178&gt;0), BB178,     AND(NOT($AI178=$AM178),$AI178&gt;0,$AM178&gt;0,BB178&gt;0), ($AM178*BB178)/$AI178,     AND($AI178=0,$AM178&gt;0,$AQ178&gt;0), IF(INDEX(BB$12:BB$263,MATCH($AQ178,$AP$12:$AP$263,0))&gt;0,($AM178*INDEX(BB$12:BB$263,MATCH($AQ178,$AP$12:$AP$263,0)))/INDEX($AI$12:$AI$263,MATCH($AQ178,$AP$12:$AP$263,0)), "-"),     TRUE, "0")</f>
        <v>0</v>
      </c>
      <c r="BD178" s="588">
        <f>IF(BC$9&gt;0, IF(OR(BC178="",BC178="-"), 0, BC178*$AT178), BB178*$AJ178)</f>
        <v>0</v>
      </c>
      <c r="BE178" s="587">
        <f>[1]COMMANDE!U176</f>
        <v>0</v>
      </c>
      <c r="BF178" s="586" t="str">
        <f>_xlfn.IFS(AND($AI178=$AM178,$AI178&gt;0,$AM178&gt;0,BE178&gt;0), BE178,     AND(NOT($AI178=$AM178),$AI178&gt;0,$AM178&gt;0,BE178&gt;0), ($AM178*BE178)/$AI178,     AND($AI178=0,$AM178&gt;0,$AQ178&gt;0), IF(INDEX(BE$12:BE$263,MATCH($AQ178,$AP$12:$AP$263,0))&gt;0,($AM178*INDEX(BE$12:BE$263,MATCH($AQ178,$AP$12:$AP$263,0)))/INDEX($AI$12:$AI$263,MATCH($AQ178,$AP$12:$AP$263,0)), "-"),     TRUE, "0")</f>
        <v>0</v>
      </c>
      <c r="BG178" s="607">
        <f>IF(BF$9&gt;0, IF(OR(BF178="",BF178="-"), 0, BF178*$AT178), BE178*$AJ178)</f>
        <v>0</v>
      </c>
      <c r="BH178" s="589">
        <f>[1]COMMANDE!W176</f>
        <v>0</v>
      </c>
      <c r="BI178" s="586" t="str">
        <f>_xlfn.IFS(AND($AI178=$AM178,$AI178&gt;0,$AM178&gt;0,BH178&gt;0), BH178,     AND(NOT($AI178=$AM178),$AI178&gt;0,$AM178&gt;0,BH178&gt;0), ($AM178*BH178)/$AI178,     AND($AI178=0,$AM178&gt;0,$AQ178&gt;0), IF(INDEX(BH$12:BH$263,MATCH($AQ178,$AP$12:$AP$263,0))&gt;0,($AM178*INDEX(BH$12:BH$263,MATCH($AQ178,$AP$12:$AP$263,0)))/INDEX($AI$12:$AI$263,MATCH($AQ178,$AP$12:$AP$263,0)), "-"),     TRUE, "0")</f>
        <v>0</v>
      </c>
      <c r="BJ178" s="588">
        <f>IF(BI$9&gt;0, IF(OR(BI178="",BI178="-"), 0, BI178*$AT178), BH178*$AJ178)</f>
        <v>0</v>
      </c>
      <c r="BK178" s="587">
        <f>[1]COMMANDE!Y176</f>
        <v>0</v>
      </c>
      <c r="BL178" s="586" t="str">
        <f>_xlfn.IFS(AND($AI178=$AM178,$AI178&gt;0,$AM178&gt;0,BK178&gt;0), BK178,     AND(NOT($AI178=$AM178),$AI178&gt;0,$AM178&gt;0,BK178&gt;0), ($AM178*BK178)/$AI178,     AND($AI178=0,$AM178&gt;0,$AQ178&gt;0), IF(INDEX(BK$12:BK$263,MATCH($AQ178,$AP$12:$AP$263,0))&gt;0,($AM178*INDEX(BK$12:BK$263,MATCH($AQ178,$AP$12:$AP$263,0)))/INDEX($AI$12:$AI$263,MATCH($AQ178,$AP$12:$AP$263,0)), "-"),     TRUE, "0")</f>
        <v>0</v>
      </c>
      <c r="BM178" s="607">
        <f>IF(BL$9&gt;0, IF(OR(BL178="",BL178="-"), 0, BL178*$AT178), BK178*$AJ178)</f>
        <v>0</v>
      </c>
      <c r="BN178" s="589">
        <f>[1]COMMANDE!AA176</f>
        <v>0</v>
      </c>
      <c r="BO178" s="586" t="str">
        <f>_xlfn.IFS(AND($AI178=$AM178,$AI178&gt;0,$AM178&gt;0,BN178&gt;0), BN178,     AND(NOT($AI178=$AM178),$AI178&gt;0,$AM178&gt;0,BN178&gt;0), ($AM178*BN178)/$AI178,     AND($AI178=0,$AM178&gt;0,$AQ178&gt;0), IF(INDEX(BN$12:BN$263,MATCH($AQ178,$AP$12:$AP$263,0))&gt;0,($AM178*INDEX(BN$12:BN$263,MATCH($AQ178,$AP$12:$AP$263,0)))/INDEX($AI$12:$AI$263,MATCH($AQ178,$AP$12:$AP$263,0)), "-"),     TRUE, "0")</f>
        <v>0</v>
      </c>
      <c r="BP178" s="588">
        <f>IF(BO$9&gt;0, IF(OR(BO178="",BO178="-"), 0, BO178*$AT178), BN178*$AJ178)</f>
        <v>0</v>
      </c>
      <c r="BQ178" s="587">
        <f>[1]COMMANDE!AC176</f>
        <v>0</v>
      </c>
      <c r="BR178" s="586" t="str">
        <f>_xlfn.IFS(AND($AI178=$AM178,$AI178&gt;0,$AM178&gt;0,BQ178&gt;0), BQ178,     AND(NOT($AI178=$AM178),$AI178&gt;0,$AM178&gt;0,BQ178&gt;0), ($AM178*BQ178)/$AI178,     AND($AI178=0,$AM178&gt;0,$AQ178&gt;0), IF(INDEX(BQ$12:BQ$263,MATCH($AQ178,$AP$12:$AP$263,0))&gt;0,($AM178*INDEX(BQ$12:BQ$263,MATCH($AQ178,$AP$12:$AP$263,0)))/INDEX($AI$12:$AI$263,MATCH($AQ178,$AP$12:$AP$263,0)), "-"),     TRUE, "0")</f>
        <v>0</v>
      </c>
      <c r="BS178" s="607">
        <f>IF(BR$9&gt;0, IF(OR(BR178="",BR178="-"), 0, BR178*$AT178), BQ178*$AJ178)</f>
        <v>0</v>
      </c>
      <c r="BT178" s="589">
        <f>[1]COMMANDE!AE176</f>
        <v>0</v>
      </c>
      <c r="BU178" s="586" t="str">
        <f>_xlfn.IFS(AND($AI178=$AM178,$AI178&gt;0,$AM178&gt;0,BT178&gt;0), BT178,     AND(NOT($AI178=$AM178),$AI178&gt;0,$AM178&gt;0,BT178&gt;0), ($AM178*BT178)/$AI178,     AND($AI178=0,$AM178&gt;0,$AQ178&gt;0), IF(INDEX(BT$12:BT$263,MATCH($AQ178,$AP$12:$AP$263,0))&gt;0,($AM178*INDEX(BT$12:BT$263,MATCH($AQ178,$AP$12:$AP$263,0)))/INDEX($AI$12:$AI$263,MATCH($AQ178,$AP$12:$AP$263,0)), "-"),     TRUE, "0")</f>
        <v>0</v>
      </c>
      <c r="BV178" s="588">
        <f>IF(BU$9&gt;0, IF(OR(BU178="",BU178="-"), 0, BU178*$AT178), BT178*$AJ178)</f>
        <v>0</v>
      </c>
      <c r="BW178" s="587">
        <f>[1]COMMANDE!AG176</f>
        <v>0</v>
      </c>
      <c r="BX178" s="586" t="str">
        <f>_xlfn.IFS(AND($AI178=$AM178,$AI178&gt;0,$AM178&gt;0,BW178&gt;0), BW178,     AND(NOT($AI178=$AM178),$AI178&gt;0,$AM178&gt;0,BW178&gt;0), ($AM178*BW178)/$AI178,     AND($AI178=0,$AM178&gt;0,$AQ178&gt;0), IF(INDEX(BW$12:BW$263,MATCH($AQ178,$AP$12:$AP$263,0))&gt;0,($AM178*INDEX(BW$12:BW$263,MATCH($AQ178,$AP$12:$AP$263,0)))/INDEX($AI$12:$AI$263,MATCH($AQ178,$AP$12:$AP$263,0)), "-"),     TRUE, "0")</f>
        <v>0</v>
      </c>
      <c r="BY178" s="607">
        <f>IF(BX$9&gt;0, IF(OR(BX178="",BX178="-"), 0, BX178*$AT178), BW178*$AJ178)</f>
        <v>0</v>
      </c>
      <c r="BZ178" s="589">
        <f>[1]COMMANDE!AI176</f>
        <v>0</v>
      </c>
      <c r="CA178" s="586" t="str">
        <f>_xlfn.IFS(AND($AI178=$AM178,$AI178&gt;0,$AM178&gt;0,BZ178&gt;0), BZ178,     AND(NOT($AI178=$AM178),$AI178&gt;0,$AM178&gt;0,BZ178&gt;0), ($AM178*BZ178)/$AI178,     AND($AI178=0,$AM178&gt;0,$AQ178&gt;0), IF(INDEX(BZ$12:BZ$263,MATCH($AQ178,$AP$12:$AP$263,0))&gt;0,($AM178*INDEX(BZ$12:BZ$263,MATCH($AQ178,$AP$12:$AP$263,0)))/INDEX($AI$12:$AI$263,MATCH($AQ178,$AP$12:$AP$263,0)), "-"),     TRUE, "0")</f>
        <v>0</v>
      </c>
      <c r="CB178" s="588">
        <f>IF(CA$9&gt;0, IF(OR(CA178="",CA178="-"), 0, CA178*$AT178), BZ178*$AJ178)</f>
        <v>0</v>
      </c>
      <c r="CC178" s="587">
        <f>[1]COMMANDE!AK176</f>
        <v>0</v>
      </c>
      <c r="CD178" s="586" t="str">
        <f>_xlfn.IFS(AND($AI178=$AM178,$AI178&gt;0,$AM178&gt;0,CC178&gt;0), CC178,     AND(NOT($AI178=$AM178),$AI178&gt;0,$AM178&gt;0,CC178&gt;0), ($AM178*CC178)/$AI178,     AND($AI178=0,$AM178&gt;0,$AQ178&gt;0), IF(INDEX(CC$12:CC$263,MATCH($AQ178,$AP$12:$AP$263,0))&gt;0,($AM178*INDEX(CC$12:CC$263,MATCH($AQ178,$AP$12:$AP$263,0)))/INDEX($AI$12:$AI$263,MATCH($AQ178,$AP$12:$AP$263,0)), "-"),     TRUE, "0")</f>
        <v>0</v>
      </c>
      <c r="CE178" s="607">
        <f>IF(CD$9&gt;0, IF(OR(CD178="",CD178="-"), 0, CD178*$AT178), CC178*$AJ178)</f>
        <v>0</v>
      </c>
      <c r="CF178" s="589">
        <f>[1]COMMANDE!AM176</f>
        <v>0</v>
      </c>
      <c r="CG178" s="586" t="str">
        <f>_xlfn.IFS(AND($AI178=$AM178,$AI178&gt;0,$AM178&gt;0,CF178&gt;0), CF178,     AND(NOT($AI178=$AM178),$AI178&gt;0,$AM178&gt;0,CF178&gt;0), ($AM178*CF178)/$AI178,     AND($AI178=0,$AM178&gt;0,$AQ178&gt;0), IF(INDEX(CF$12:CF$263,MATCH($AQ178,$AP$12:$AP$263,0))&gt;0,($AM178*INDEX(CF$12:CF$263,MATCH($AQ178,$AP$12:$AP$263,0)))/INDEX($AI$12:$AI$263,MATCH($AQ178,$AP$12:$AP$263,0)), "-"),     TRUE, "0")</f>
        <v>0</v>
      </c>
      <c r="CH178" s="588">
        <f>IF(CG$9&gt;0, IF(OR(CG178="",CG178="-"), 0, CG178*$AT178), CF178*$AJ178)</f>
        <v>0</v>
      </c>
      <c r="CI178" s="587">
        <f>[1]COMMANDE!AO176</f>
        <v>0</v>
      </c>
      <c r="CJ178" s="586" t="str">
        <f>_xlfn.IFS(AND($AI178=$AM178,$AI178&gt;0,$AM178&gt;0,CI178&gt;0), CI178,     AND(NOT($AI178=$AM178),$AI178&gt;0,$AM178&gt;0,CI178&gt;0), ($AM178*CI178)/$AI178,     AND($AI178=0,$AM178&gt;0,$AQ178&gt;0), IF(INDEX(CI$12:CI$263,MATCH($AQ178,$AP$12:$AP$263,0))&gt;0,($AM178*INDEX(CI$12:CI$263,MATCH($AQ178,$AP$12:$AP$263,0)))/INDEX($AI$12:$AI$263,MATCH($AQ178,$AP$12:$AP$263,0)), "-"),     TRUE, "0")</f>
        <v>0</v>
      </c>
      <c r="CK178" s="607">
        <f>IF(CJ$9&gt;0, IF(OR(CJ178="",CJ178="-"), 0, CJ178*$AT178), CI178*$AJ178)</f>
        <v>0</v>
      </c>
      <c r="CL178" s="589">
        <f>[1]COMMANDE!AQ176</f>
        <v>0</v>
      </c>
      <c r="CM178" s="586" t="str">
        <f>_xlfn.IFS(AND($AI178=$AM178,$AI178&gt;0,$AM178&gt;0,CL178&gt;0), CL178,     AND(NOT($AI178=$AM178),$AI178&gt;0,$AM178&gt;0,CL178&gt;0), ($AM178*CL178)/$AI178,     AND($AI178=0,$AM178&gt;0,$AQ178&gt;0), IF(INDEX(CL$12:CL$263,MATCH($AQ178,$AP$12:$AP$263,0))&gt;0,($AM178*INDEX(CL$12:CL$263,MATCH($AQ178,$AP$12:$AP$263,0)))/INDEX($AI$12:$AI$263,MATCH($AQ178,$AP$12:$AP$263,0)), "-"),     TRUE, "0")</f>
        <v>0</v>
      </c>
      <c r="CN178" s="588">
        <f>IF(CM$9&gt;0, IF(OR(CM178="",CM178="-"), 0, CM178*$AT178), CL178*$AJ178)</f>
        <v>0</v>
      </c>
      <c r="CO178" s="587">
        <f>[1]COMMANDE!AS176</f>
        <v>0</v>
      </c>
      <c r="CP178" s="586" t="str">
        <f>_xlfn.IFS(AND($AI178=$AM178,$AI178&gt;0,$AM178&gt;0,CO178&gt;0), CO178,     AND(NOT($AI178=$AM178),$AI178&gt;0,$AM178&gt;0,CO178&gt;0), ($AM178*CO178)/$AI178,     AND($AI178=0,$AM178&gt;0,$AQ178&gt;0), IF(INDEX(CO$12:CO$263,MATCH($AQ178,$AP$12:$AP$263,0))&gt;0,($AM178*INDEX(CO$12:CO$263,MATCH($AQ178,$AP$12:$AP$263,0)))/INDEX($AI$12:$AI$263,MATCH($AQ178,$AP$12:$AP$263,0)), "-"),     TRUE, "0")</f>
        <v>0</v>
      </c>
      <c r="CQ178" s="607">
        <f>IF(CP$9&gt;0, IF(OR(CP178="",CP178="-"), 0, CP178*$AT178), CO178*$AJ178)</f>
        <v>0</v>
      </c>
      <c r="CR178" s="589">
        <f>[1]COMMANDE!AU176</f>
        <v>0</v>
      </c>
      <c r="CS178" s="586" t="str">
        <f>_xlfn.IFS(AND($AI178=$AM178,$AI178&gt;0,$AM178&gt;0,CR178&gt;0), CR178,     AND(NOT($AI178=$AM178),$AI178&gt;0,$AM178&gt;0,CR178&gt;0), ($AM178*CR178)/$AI178,     AND($AI178=0,$AM178&gt;0,$AQ178&gt;0), IF(INDEX(CR$12:CR$263,MATCH($AQ178,$AP$12:$AP$263,0))&gt;0,($AM178*INDEX(CR$12:CR$263,MATCH($AQ178,$AP$12:$AP$263,0)))/INDEX($AI$12:$AI$263,MATCH($AQ178,$AP$12:$AP$263,0)), "-"),     TRUE, "0")</f>
        <v>0</v>
      </c>
      <c r="CT178" s="588">
        <f>IF(CS$9&gt;0, IF(OR(CS178="",CS178="-"), 0, CS178*$AT178), CR178*$AJ178)</f>
        <v>0</v>
      </c>
      <c r="CU178" s="587">
        <f>[1]COMMANDE!AW176</f>
        <v>0</v>
      </c>
      <c r="CV178" s="586" t="str">
        <f>_xlfn.IFS(AND($AI178=$AM178,$AI178&gt;0,$AM178&gt;0,CU178&gt;0), CU178,     AND(NOT($AI178=$AM178),$AI178&gt;0,$AM178&gt;0,CU178&gt;0), ($AM178*CU178)/$AI178,     AND($AI178=0,$AM178&gt;0,$AQ178&gt;0), IF(INDEX(CU$12:CU$263,MATCH($AQ178,$AP$12:$AP$263,0))&gt;0,($AM178*INDEX(CU$12:CU$263,MATCH($AQ178,$AP$12:$AP$263,0)))/INDEX($AI$12:$AI$263,MATCH($AQ178,$AP$12:$AP$263,0)), "-"),     TRUE, "0")</f>
        <v>0</v>
      </c>
      <c r="CW178" s="607">
        <f>IF(CV$9&gt;0, IF(OR(CV178="",CV178="-"), 0, CV178*$AT178), CU178*$AJ178)</f>
        <v>0</v>
      </c>
      <c r="CX178" s="589">
        <f>[1]COMMANDE!AY176</f>
        <v>0</v>
      </c>
      <c r="CY178" s="586" t="str">
        <f>_xlfn.IFS(AND($AI178=$AM178,$AI178&gt;0,$AM178&gt;0,CX178&gt;0), CX178,     AND(NOT($AI178=$AM178),$AI178&gt;0,$AM178&gt;0,CX178&gt;0), ($AM178*CX178)/$AI178,     AND($AI178=0,$AM178&gt;0,$AQ178&gt;0), IF(INDEX(CX$12:CX$263,MATCH($AQ178,$AP$12:$AP$263,0))&gt;0,($AM178*INDEX(CX$12:CX$263,MATCH($AQ178,$AP$12:$AP$263,0)))/INDEX($AI$12:$AI$263,MATCH($AQ178,$AP$12:$AP$263,0)), "-"),     TRUE, "0")</f>
        <v>0</v>
      </c>
      <c r="CZ178" s="588">
        <f>IF(CY$9&gt;0, IF(OR(CY178="",CY178="-"), 0, CY178*$AT178), CX178*$AJ178)</f>
        <v>0</v>
      </c>
      <c r="DA178" s="587">
        <f>[1]COMMANDE!BA176</f>
        <v>0</v>
      </c>
      <c r="DB178" s="586" t="str">
        <f>_xlfn.IFS(AND($AI178=$AM178,$AI178&gt;0,$AM178&gt;0,DA178&gt;0), DA178,     AND(NOT($AI178=$AM178),$AI178&gt;0,$AM178&gt;0,DA178&gt;0), ($AM178*DA178)/$AI178,     AND($AI178=0,$AM178&gt;0,$AQ178&gt;0), IF(INDEX(DA$12:DA$263,MATCH($AQ178,$AP$12:$AP$263,0))&gt;0,($AM178*INDEX(DA$12:DA$263,MATCH($AQ178,$AP$12:$AP$263,0)))/INDEX($AI$12:$AI$263,MATCH($AQ178,$AP$12:$AP$263,0)), "-"),     TRUE, "0")</f>
        <v>0</v>
      </c>
      <c r="DC178" s="606">
        <f>IF(DB$9&gt;0, IF(OR(DB178="",DB178="-"), 0, DB178*$AT178), DA178*$AJ178)</f>
        <v>0</v>
      </c>
      <c r="DD178" s="584"/>
      <c r="DE178" s="583"/>
    </row>
    <row r="179" spans="1:109" ht="39.950000000000003" hidden="1" customHeight="1">
      <c r="A179" s="604">
        <f>IF(OR($AV179&gt;0, $AX179&gt;0), 1, 0)</f>
        <v>0</v>
      </c>
      <c r="B179" s="604">
        <f>IF(OR($AY179&gt;0, $BA179&gt;0), 1, 0)</f>
        <v>0</v>
      </c>
      <c r="C179" s="604">
        <f>IF(OR($BB179&gt;0, $BD179&gt;0), 1, 0)</f>
        <v>0</v>
      </c>
      <c r="D179" s="604">
        <f>IF(OR($BE179&gt;0, $BG179&gt;0), 1, 0)</f>
        <v>0</v>
      </c>
      <c r="E179" s="604">
        <f>IF(OR($BH179&gt;0, $BJ179&gt;0), 1, 0)</f>
        <v>0</v>
      </c>
      <c r="F179" s="604">
        <f>IF(OR($BK179&gt;0, $BM179&gt;0), 1, 0)</f>
        <v>0</v>
      </c>
      <c r="G179" s="604">
        <f>IF(OR($BN179&gt;0, $BP179&gt;0), 1, 0)</f>
        <v>0</v>
      </c>
      <c r="H179" s="604">
        <f>IF(OR($BQ179&gt;0, $BS179&gt;0), 1, 0)</f>
        <v>0</v>
      </c>
      <c r="I179" s="604">
        <f>IF(OR($BT179&gt;0, $BV179&gt;0), 1, 0)</f>
        <v>0</v>
      </c>
      <c r="J179" s="604">
        <f>IF(OR($BW179&gt;0, $BY179&gt;0), 1, 0)</f>
        <v>0</v>
      </c>
      <c r="K179" s="604">
        <f>IF(OR($BZ179&gt;0, $CB179&gt;0), 1, 0)</f>
        <v>0</v>
      </c>
      <c r="L179" s="604">
        <f>IF(OR($CC179&gt;0, $CE179&gt;0), 1, 0)</f>
        <v>0</v>
      </c>
      <c r="M179" s="604">
        <f>IF(OR($CF179&gt;0, $CH179&gt;0), 1, 0)</f>
        <v>0</v>
      </c>
      <c r="N179" s="604">
        <f>IF(OR($CI179&gt;0, $CK179&gt;0), 1, 0)</f>
        <v>0</v>
      </c>
      <c r="O179" s="604">
        <f>IF(OR($CL179&gt;0, $CN179&gt;0), 1, 0)</f>
        <v>0</v>
      </c>
      <c r="P179" s="604">
        <f>IF(OR($CO179&gt;0, $CQ179&gt;0), 1, 0)</f>
        <v>0</v>
      </c>
      <c r="Q179" s="604">
        <f>IF(OR($CR179&gt;0, $CT179&gt;0), 1, 0)</f>
        <v>0</v>
      </c>
      <c r="R179" s="604">
        <f>IF(OR($CU179&gt;0, $CW179&gt;0), 1, 0)</f>
        <v>0</v>
      </c>
      <c r="S179" s="604">
        <f>IF(OR($CX179&gt;0, $CZ179&gt;0), 1, 0)</f>
        <v>0</v>
      </c>
      <c r="T179" s="604">
        <f>IF(OR($DA179&gt;0, $DC179&gt;0), 1, 0)</f>
        <v>0</v>
      </c>
      <c r="U179" s="603">
        <f>IF(OR($AI179&gt;0,$AM179&gt;0,$AS179&gt;0), 1, 0)</f>
        <v>0</v>
      </c>
      <c r="V179" s="602">
        <f>[1]BDD!A169</f>
        <v>1324</v>
      </c>
      <c r="W179" s="601" t="str">
        <f>[1]BDD!B169</f>
        <v>Miel d'eucalyptus BIO (Bocal en verre env. 1kg)</v>
      </c>
      <c r="X179" s="600" t="str">
        <f>IF([1]BDD!F169=0, "", [1]BDD!F169)</f>
        <v>❤️</v>
      </c>
      <c r="Y179" s="542">
        <f>ROUND([1]BDD!G169+FDP_CMD_KG, 2)</f>
        <v>20.72</v>
      </c>
      <c r="Z179" s="542">
        <f>ROUND([1]BDD!G169+FDP_FACT_KG, 2)</f>
        <v>20.72</v>
      </c>
      <c r="AA179" s="543" t="str">
        <f>[1]BDD!H169</f>
        <v>Pièce</v>
      </c>
      <c r="AB179" s="544">
        <f>IF(NOT(ISBLANK([1]BDD!I169)), ROUND(SUM(([1]BDD!G169*reduc1),FDP_CMD_KG), 2), "")</f>
        <v>18.739999999999998</v>
      </c>
      <c r="AC179" s="544" t="str">
        <f>IF(NOT(ISBLANK([1]BDD!J169)), ROUND(SUM(([1]BDD!G169*reduc2),FDP_CMD_KG), 2), "")</f>
        <v/>
      </c>
      <c r="AD179" s="544" t="str">
        <f>IF(NOT(ISBLANK([1]BDD!K169)), ROUND(SUM(([1]BDD!G169*reduc3),FDP_CMD_KG), 2), "")</f>
        <v/>
      </c>
      <c r="AE179" s="544">
        <f>IF(NOT(ISBLANK([1]BDD!I169)), ROUND(SUM(([1]BDD!G169*reduc1),FDP_FACT_KG), 2), "")</f>
        <v>18.73</v>
      </c>
      <c r="AF179" s="544" t="str">
        <f>IF(NOT(ISBLANK([1]BDD!J169)), ROUND(SUM(([1]BDD!G169*reduc2),FDP_FACT_KG), 2), "")</f>
        <v/>
      </c>
      <c r="AG179" s="544" t="str">
        <f>IF(NOT(ISBLANK([1]BDD!K169)), ROUND(SUM(([1]BDD!G169*reduc3),FDP_FACT_KG), 2), "")</f>
        <v/>
      </c>
      <c r="AH179" s="599" t="str">
        <f>[1]BDD!C169</f>
        <v>Huelva</v>
      </c>
      <c r="AI179" s="598">
        <f>SUM(AV179,AY179,BB179,BE179,BH179,BK179,BN179,BQ179,BT179,BW179,BZ179,CC179,CF179,CI179,CL179,CO179,CR179,CU179,CX179,DA179)</f>
        <v>0</v>
      </c>
      <c r="AJ179" s="545">
        <f>_xlfn.IFS($AD179&lt;&gt;"", $AD179,    $AC179&lt;&gt;"", $AC179,    $AB179&lt;&gt;"", $AB179,    TRUE, $Y179)</f>
        <v>18.739999999999998</v>
      </c>
      <c r="AK179" s="592">
        <f>$AI179*$AJ179</f>
        <v>0</v>
      </c>
      <c r="AL179" s="594"/>
      <c r="AM179" s="597"/>
      <c r="AN179" s="545">
        <f>_xlfn.IFS(AND(AM179&gt;=60,$AG179&lt;&gt;""), $AG179,    AND(AM179&gt;=30,$AF179&lt;&gt;""), $AF179,    AND(AM179&gt;=10,$AE179&lt;&gt;""), $AE179,    TRUE, $Z179)</f>
        <v>20.72</v>
      </c>
      <c r="AO179" s="596">
        <f>AM179*AN179</f>
        <v>0</v>
      </c>
      <c r="AP179" s="595"/>
      <c r="AQ179" s="595"/>
      <c r="AR179" s="594"/>
      <c r="AS179" s="593">
        <f>SUM(AW179,AZ179,BC179,BF179,BI179,BL179,BO179,BR179,BU179,BX179,CA179,CD179,CG179,CJ179,CM179,CP179,CS179,CV179,CY179,DB179)</f>
        <v>0</v>
      </c>
      <c r="AT179" s="545">
        <f>_xlfn.IFS(AND(AS179&gt;=60,$AG179&lt;&gt;""), $AG179,    AND(AS179&gt;=30,$AF179&lt;&gt;""), $AF179,    AND(AS179&gt;=10,$AE179&lt;&gt;""), $AE179,    TRUE, $Z179)</f>
        <v>20.72</v>
      </c>
      <c r="AU179" s="592">
        <f>$AS179*$AT179</f>
        <v>0</v>
      </c>
      <c r="AV179" s="591">
        <f>[1]COMMANDE!O177</f>
        <v>0</v>
      </c>
      <c r="AW179" s="586" t="str">
        <f>_xlfn.IFS(AND($AI179=$AM179,$AI179&gt;0,$AM179&gt;0,AV179&gt;0), AV179,     AND(NOT($AI179=$AM179),$AI179&gt;0,$AM179&gt;0,AV179&gt;0), ($AM179*AV179)/$AI179,     AND($AI179=0,$AM179&gt;0,$AQ179&gt;0), IF(INDEX(AV$12:AV$263,MATCH($AQ179,$AP$12:$AP$263,0))&gt;0,($AM179*INDEX(AV$12:AV$263,MATCH($AQ179,$AP$12:$AP$263,0)))/INDEX($AI$12:$AI$263,MATCH($AQ179,$AP$12:$AP$263,0)), "-"),     TRUE, "0")</f>
        <v>0</v>
      </c>
      <c r="AX179" s="588">
        <f>IF(AW$9&gt;0, IF(OR(AW179="",AW179="-"), 0, AW179*$AT179), AV179*$AJ179)</f>
        <v>0</v>
      </c>
      <c r="AY179" s="587">
        <f>[1]COMMANDE!Q177</f>
        <v>0</v>
      </c>
      <c r="AZ179" s="586" t="str">
        <f>_xlfn.IFS(AND($AI179=$AM179,$AI179&gt;0,$AM179&gt;0,AY179&gt;0), AY179,     AND(NOT($AI179=$AM179),$AI179&gt;0,$AM179&gt;0,AY179&gt;0), ($AM179*AY179)/$AI179,     AND($AI179=0,$AM179&gt;0,$AQ179&gt;0), IF(INDEX(AY$12:AY$263,MATCH($AQ179,$AP$12:$AP$263,0))&gt;0,($AM179*INDEX(AY$12:AY$263,MATCH($AQ179,$AP$12:$AP$263,0)))/INDEX($AI$12:$AI$263,MATCH($AQ179,$AP$12:$AP$263,0)), "-"),     TRUE, "0")</f>
        <v>0</v>
      </c>
      <c r="BA179" s="607">
        <f>IF(AZ$9&gt;0, IF(OR(AZ179="",AZ179="-"), 0, AZ179*$AT179), AY179*$AJ179)</f>
        <v>0</v>
      </c>
      <c r="BB179" s="589">
        <f>[1]COMMANDE!S177</f>
        <v>0</v>
      </c>
      <c r="BC179" s="586" t="str">
        <f>_xlfn.IFS(AND($AI179=$AM179,$AI179&gt;0,$AM179&gt;0,BB179&gt;0), BB179,     AND(NOT($AI179=$AM179),$AI179&gt;0,$AM179&gt;0,BB179&gt;0), ($AM179*BB179)/$AI179,     AND($AI179=0,$AM179&gt;0,$AQ179&gt;0), IF(INDEX(BB$12:BB$263,MATCH($AQ179,$AP$12:$AP$263,0))&gt;0,($AM179*INDEX(BB$12:BB$263,MATCH($AQ179,$AP$12:$AP$263,0)))/INDEX($AI$12:$AI$263,MATCH($AQ179,$AP$12:$AP$263,0)), "-"),     TRUE, "0")</f>
        <v>0</v>
      </c>
      <c r="BD179" s="588">
        <f>IF(BC$9&gt;0, IF(OR(BC179="",BC179="-"), 0, BC179*$AT179), BB179*$AJ179)</f>
        <v>0</v>
      </c>
      <c r="BE179" s="587">
        <f>[1]COMMANDE!U177</f>
        <v>0</v>
      </c>
      <c r="BF179" s="586" t="str">
        <f>_xlfn.IFS(AND($AI179=$AM179,$AI179&gt;0,$AM179&gt;0,BE179&gt;0), BE179,     AND(NOT($AI179=$AM179),$AI179&gt;0,$AM179&gt;0,BE179&gt;0), ($AM179*BE179)/$AI179,     AND($AI179=0,$AM179&gt;0,$AQ179&gt;0), IF(INDEX(BE$12:BE$263,MATCH($AQ179,$AP$12:$AP$263,0))&gt;0,($AM179*INDEX(BE$12:BE$263,MATCH($AQ179,$AP$12:$AP$263,0)))/INDEX($AI$12:$AI$263,MATCH($AQ179,$AP$12:$AP$263,0)), "-"),     TRUE, "0")</f>
        <v>0</v>
      </c>
      <c r="BG179" s="607">
        <f>IF(BF$9&gt;0, IF(OR(BF179="",BF179="-"), 0, BF179*$AT179), BE179*$AJ179)</f>
        <v>0</v>
      </c>
      <c r="BH179" s="589">
        <f>[1]COMMANDE!W177</f>
        <v>0</v>
      </c>
      <c r="BI179" s="586" t="str">
        <f>_xlfn.IFS(AND($AI179=$AM179,$AI179&gt;0,$AM179&gt;0,BH179&gt;0), BH179,     AND(NOT($AI179=$AM179),$AI179&gt;0,$AM179&gt;0,BH179&gt;0), ($AM179*BH179)/$AI179,     AND($AI179=0,$AM179&gt;0,$AQ179&gt;0), IF(INDEX(BH$12:BH$263,MATCH($AQ179,$AP$12:$AP$263,0))&gt;0,($AM179*INDEX(BH$12:BH$263,MATCH($AQ179,$AP$12:$AP$263,0)))/INDEX($AI$12:$AI$263,MATCH($AQ179,$AP$12:$AP$263,0)), "-"),     TRUE, "0")</f>
        <v>0</v>
      </c>
      <c r="BJ179" s="588">
        <f>IF(BI$9&gt;0, IF(OR(BI179="",BI179="-"), 0, BI179*$AT179), BH179*$AJ179)</f>
        <v>0</v>
      </c>
      <c r="BK179" s="587">
        <f>[1]COMMANDE!Y177</f>
        <v>0</v>
      </c>
      <c r="BL179" s="586" t="str">
        <f>_xlfn.IFS(AND($AI179=$AM179,$AI179&gt;0,$AM179&gt;0,BK179&gt;0), BK179,     AND(NOT($AI179=$AM179),$AI179&gt;0,$AM179&gt;0,BK179&gt;0), ($AM179*BK179)/$AI179,     AND($AI179=0,$AM179&gt;0,$AQ179&gt;0), IF(INDEX(BK$12:BK$263,MATCH($AQ179,$AP$12:$AP$263,0))&gt;0,($AM179*INDEX(BK$12:BK$263,MATCH($AQ179,$AP$12:$AP$263,0)))/INDEX($AI$12:$AI$263,MATCH($AQ179,$AP$12:$AP$263,0)), "-"),     TRUE, "0")</f>
        <v>0</v>
      </c>
      <c r="BM179" s="607">
        <f>IF(BL$9&gt;0, IF(OR(BL179="",BL179="-"), 0, BL179*$AT179), BK179*$AJ179)</f>
        <v>0</v>
      </c>
      <c r="BN179" s="589">
        <f>[1]COMMANDE!AA177</f>
        <v>0</v>
      </c>
      <c r="BO179" s="586" t="str">
        <f>_xlfn.IFS(AND($AI179=$AM179,$AI179&gt;0,$AM179&gt;0,BN179&gt;0), BN179,     AND(NOT($AI179=$AM179),$AI179&gt;0,$AM179&gt;0,BN179&gt;0), ($AM179*BN179)/$AI179,     AND($AI179=0,$AM179&gt;0,$AQ179&gt;0), IF(INDEX(BN$12:BN$263,MATCH($AQ179,$AP$12:$AP$263,0))&gt;0,($AM179*INDEX(BN$12:BN$263,MATCH($AQ179,$AP$12:$AP$263,0)))/INDEX($AI$12:$AI$263,MATCH($AQ179,$AP$12:$AP$263,0)), "-"),     TRUE, "0")</f>
        <v>0</v>
      </c>
      <c r="BP179" s="588">
        <f>IF(BO$9&gt;0, IF(OR(BO179="",BO179="-"), 0, BO179*$AT179), BN179*$AJ179)</f>
        <v>0</v>
      </c>
      <c r="BQ179" s="587">
        <f>[1]COMMANDE!AC177</f>
        <v>0</v>
      </c>
      <c r="BR179" s="586" t="str">
        <f>_xlfn.IFS(AND($AI179=$AM179,$AI179&gt;0,$AM179&gt;0,BQ179&gt;0), BQ179,     AND(NOT($AI179=$AM179),$AI179&gt;0,$AM179&gt;0,BQ179&gt;0), ($AM179*BQ179)/$AI179,     AND($AI179=0,$AM179&gt;0,$AQ179&gt;0), IF(INDEX(BQ$12:BQ$263,MATCH($AQ179,$AP$12:$AP$263,0))&gt;0,($AM179*INDEX(BQ$12:BQ$263,MATCH($AQ179,$AP$12:$AP$263,0)))/INDEX($AI$12:$AI$263,MATCH($AQ179,$AP$12:$AP$263,0)), "-"),     TRUE, "0")</f>
        <v>0</v>
      </c>
      <c r="BS179" s="607">
        <f>IF(BR$9&gt;0, IF(OR(BR179="",BR179="-"), 0, BR179*$AT179), BQ179*$AJ179)</f>
        <v>0</v>
      </c>
      <c r="BT179" s="589">
        <f>[1]COMMANDE!AE177</f>
        <v>0</v>
      </c>
      <c r="BU179" s="586" t="str">
        <f>_xlfn.IFS(AND($AI179=$AM179,$AI179&gt;0,$AM179&gt;0,BT179&gt;0), BT179,     AND(NOT($AI179=$AM179),$AI179&gt;0,$AM179&gt;0,BT179&gt;0), ($AM179*BT179)/$AI179,     AND($AI179=0,$AM179&gt;0,$AQ179&gt;0), IF(INDEX(BT$12:BT$263,MATCH($AQ179,$AP$12:$AP$263,0))&gt;0,($AM179*INDEX(BT$12:BT$263,MATCH($AQ179,$AP$12:$AP$263,0)))/INDEX($AI$12:$AI$263,MATCH($AQ179,$AP$12:$AP$263,0)), "-"),     TRUE, "0")</f>
        <v>0</v>
      </c>
      <c r="BV179" s="588">
        <f>IF(BU$9&gt;0, IF(OR(BU179="",BU179="-"), 0, BU179*$AT179), BT179*$AJ179)</f>
        <v>0</v>
      </c>
      <c r="BW179" s="587">
        <f>[1]COMMANDE!AG177</f>
        <v>0</v>
      </c>
      <c r="BX179" s="586" t="str">
        <f>_xlfn.IFS(AND($AI179=$AM179,$AI179&gt;0,$AM179&gt;0,BW179&gt;0), BW179,     AND(NOT($AI179=$AM179),$AI179&gt;0,$AM179&gt;0,BW179&gt;0), ($AM179*BW179)/$AI179,     AND($AI179=0,$AM179&gt;0,$AQ179&gt;0), IF(INDEX(BW$12:BW$263,MATCH($AQ179,$AP$12:$AP$263,0))&gt;0,($AM179*INDEX(BW$12:BW$263,MATCH($AQ179,$AP$12:$AP$263,0)))/INDEX($AI$12:$AI$263,MATCH($AQ179,$AP$12:$AP$263,0)), "-"),     TRUE, "0")</f>
        <v>0</v>
      </c>
      <c r="BY179" s="607">
        <f>IF(BX$9&gt;0, IF(OR(BX179="",BX179="-"), 0, BX179*$AT179), BW179*$AJ179)</f>
        <v>0</v>
      </c>
      <c r="BZ179" s="589">
        <f>[1]COMMANDE!AI177</f>
        <v>0</v>
      </c>
      <c r="CA179" s="586" t="str">
        <f>_xlfn.IFS(AND($AI179=$AM179,$AI179&gt;0,$AM179&gt;0,BZ179&gt;0), BZ179,     AND(NOT($AI179=$AM179),$AI179&gt;0,$AM179&gt;0,BZ179&gt;0), ($AM179*BZ179)/$AI179,     AND($AI179=0,$AM179&gt;0,$AQ179&gt;0), IF(INDEX(BZ$12:BZ$263,MATCH($AQ179,$AP$12:$AP$263,0))&gt;0,($AM179*INDEX(BZ$12:BZ$263,MATCH($AQ179,$AP$12:$AP$263,0)))/INDEX($AI$12:$AI$263,MATCH($AQ179,$AP$12:$AP$263,0)), "-"),     TRUE, "0")</f>
        <v>0</v>
      </c>
      <c r="CB179" s="588">
        <f>IF(CA$9&gt;0, IF(OR(CA179="",CA179="-"), 0, CA179*$AT179), BZ179*$AJ179)</f>
        <v>0</v>
      </c>
      <c r="CC179" s="587">
        <f>[1]COMMANDE!AK177</f>
        <v>0</v>
      </c>
      <c r="CD179" s="586" t="str">
        <f>_xlfn.IFS(AND($AI179=$AM179,$AI179&gt;0,$AM179&gt;0,CC179&gt;0), CC179,     AND(NOT($AI179=$AM179),$AI179&gt;0,$AM179&gt;0,CC179&gt;0), ($AM179*CC179)/$AI179,     AND($AI179=0,$AM179&gt;0,$AQ179&gt;0), IF(INDEX(CC$12:CC$263,MATCH($AQ179,$AP$12:$AP$263,0))&gt;0,($AM179*INDEX(CC$12:CC$263,MATCH($AQ179,$AP$12:$AP$263,0)))/INDEX($AI$12:$AI$263,MATCH($AQ179,$AP$12:$AP$263,0)), "-"),     TRUE, "0")</f>
        <v>0</v>
      </c>
      <c r="CE179" s="607">
        <f>IF(CD$9&gt;0, IF(OR(CD179="",CD179="-"), 0, CD179*$AT179), CC179*$AJ179)</f>
        <v>0</v>
      </c>
      <c r="CF179" s="589">
        <f>[1]COMMANDE!AM177</f>
        <v>0</v>
      </c>
      <c r="CG179" s="586" t="str">
        <f>_xlfn.IFS(AND($AI179=$AM179,$AI179&gt;0,$AM179&gt;0,CF179&gt;0), CF179,     AND(NOT($AI179=$AM179),$AI179&gt;0,$AM179&gt;0,CF179&gt;0), ($AM179*CF179)/$AI179,     AND($AI179=0,$AM179&gt;0,$AQ179&gt;0), IF(INDEX(CF$12:CF$263,MATCH($AQ179,$AP$12:$AP$263,0))&gt;0,($AM179*INDEX(CF$12:CF$263,MATCH($AQ179,$AP$12:$AP$263,0)))/INDEX($AI$12:$AI$263,MATCH($AQ179,$AP$12:$AP$263,0)), "-"),     TRUE, "0")</f>
        <v>0</v>
      </c>
      <c r="CH179" s="588">
        <f>IF(CG$9&gt;0, IF(OR(CG179="",CG179="-"), 0, CG179*$AT179), CF179*$AJ179)</f>
        <v>0</v>
      </c>
      <c r="CI179" s="587">
        <f>[1]COMMANDE!AO177</f>
        <v>0</v>
      </c>
      <c r="CJ179" s="586" t="str">
        <f>_xlfn.IFS(AND($AI179=$AM179,$AI179&gt;0,$AM179&gt;0,CI179&gt;0), CI179,     AND(NOT($AI179=$AM179),$AI179&gt;0,$AM179&gt;0,CI179&gt;0), ($AM179*CI179)/$AI179,     AND($AI179=0,$AM179&gt;0,$AQ179&gt;0), IF(INDEX(CI$12:CI$263,MATCH($AQ179,$AP$12:$AP$263,0))&gt;0,($AM179*INDEX(CI$12:CI$263,MATCH($AQ179,$AP$12:$AP$263,0)))/INDEX($AI$12:$AI$263,MATCH($AQ179,$AP$12:$AP$263,0)), "-"),     TRUE, "0")</f>
        <v>0</v>
      </c>
      <c r="CK179" s="607">
        <f>IF(CJ$9&gt;0, IF(OR(CJ179="",CJ179="-"), 0, CJ179*$AT179), CI179*$AJ179)</f>
        <v>0</v>
      </c>
      <c r="CL179" s="589">
        <f>[1]COMMANDE!AQ177</f>
        <v>0</v>
      </c>
      <c r="CM179" s="586" t="str">
        <f>_xlfn.IFS(AND($AI179=$AM179,$AI179&gt;0,$AM179&gt;0,CL179&gt;0), CL179,     AND(NOT($AI179=$AM179),$AI179&gt;0,$AM179&gt;0,CL179&gt;0), ($AM179*CL179)/$AI179,     AND($AI179=0,$AM179&gt;0,$AQ179&gt;0), IF(INDEX(CL$12:CL$263,MATCH($AQ179,$AP$12:$AP$263,0))&gt;0,($AM179*INDEX(CL$12:CL$263,MATCH($AQ179,$AP$12:$AP$263,0)))/INDEX($AI$12:$AI$263,MATCH($AQ179,$AP$12:$AP$263,0)), "-"),     TRUE, "0")</f>
        <v>0</v>
      </c>
      <c r="CN179" s="588">
        <f>IF(CM$9&gt;0, IF(OR(CM179="",CM179="-"), 0, CM179*$AT179), CL179*$AJ179)</f>
        <v>0</v>
      </c>
      <c r="CO179" s="587">
        <f>[1]COMMANDE!AS177</f>
        <v>0</v>
      </c>
      <c r="CP179" s="586" t="str">
        <f>_xlfn.IFS(AND($AI179=$AM179,$AI179&gt;0,$AM179&gt;0,CO179&gt;0), CO179,     AND(NOT($AI179=$AM179),$AI179&gt;0,$AM179&gt;0,CO179&gt;0), ($AM179*CO179)/$AI179,     AND($AI179=0,$AM179&gt;0,$AQ179&gt;0), IF(INDEX(CO$12:CO$263,MATCH($AQ179,$AP$12:$AP$263,0))&gt;0,($AM179*INDEX(CO$12:CO$263,MATCH($AQ179,$AP$12:$AP$263,0)))/INDEX($AI$12:$AI$263,MATCH($AQ179,$AP$12:$AP$263,0)), "-"),     TRUE, "0")</f>
        <v>0</v>
      </c>
      <c r="CQ179" s="607">
        <f>IF(CP$9&gt;0, IF(OR(CP179="",CP179="-"), 0, CP179*$AT179), CO179*$AJ179)</f>
        <v>0</v>
      </c>
      <c r="CR179" s="589">
        <f>[1]COMMANDE!AU177</f>
        <v>0</v>
      </c>
      <c r="CS179" s="586" t="str">
        <f>_xlfn.IFS(AND($AI179=$AM179,$AI179&gt;0,$AM179&gt;0,CR179&gt;0), CR179,     AND(NOT($AI179=$AM179),$AI179&gt;0,$AM179&gt;0,CR179&gt;0), ($AM179*CR179)/$AI179,     AND($AI179=0,$AM179&gt;0,$AQ179&gt;0), IF(INDEX(CR$12:CR$263,MATCH($AQ179,$AP$12:$AP$263,0))&gt;0,($AM179*INDEX(CR$12:CR$263,MATCH($AQ179,$AP$12:$AP$263,0)))/INDEX($AI$12:$AI$263,MATCH($AQ179,$AP$12:$AP$263,0)), "-"),     TRUE, "0")</f>
        <v>0</v>
      </c>
      <c r="CT179" s="588">
        <f>IF(CS$9&gt;0, IF(OR(CS179="",CS179="-"), 0, CS179*$AT179), CR179*$AJ179)</f>
        <v>0</v>
      </c>
      <c r="CU179" s="587">
        <f>[1]COMMANDE!AW177</f>
        <v>0</v>
      </c>
      <c r="CV179" s="586" t="str">
        <f>_xlfn.IFS(AND($AI179=$AM179,$AI179&gt;0,$AM179&gt;0,CU179&gt;0), CU179,     AND(NOT($AI179=$AM179),$AI179&gt;0,$AM179&gt;0,CU179&gt;0), ($AM179*CU179)/$AI179,     AND($AI179=0,$AM179&gt;0,$AQ179&gt;0), IF(INDEX(CU$12:CU$263,MATCH($AQ179,$AP$12:$AP$263,0))&gt;0,($AM179*INDEX(CU$12:CU$263,MATCH($AQ179,$AP$12:$AP$263,0)))/INDEX($AI$12:$AI$263,MATCH($AQ179,$AP$12:$AP$263,0)), "-"),     TRUE, "0")</f>
        <v>0</v>
      </c>
      <c r="CW179" s="607">
        <f>IF(CV$9&gt;0, IF(OR(CV179="",CV179="-"), 0, CV179*$AT179), CU179*$AJ179)</f>
        <v>0</v>
      </c>
      <c r="CX179" s="589">
        <f>[1]COMMANDE!AY177</f>
        <v>0</v>
      </c>
      <c r="CY179" s="586" t="str">
        <f>_xlfn.IFS(AND($AI179=$AM179,$AI179&gt;0,$AM179&gt;0,CX179&gt;0), CX179,     AND(NOT($AI179=$AM179),$AI179&gt;0,$AM179&gt;0,CX179&gt;0), ($AM179*CX179)/$AI179,     AND($AI179=0,$AM179&gt;0,$AQ179&gt;0), IF(INDEX(CX$12:CX$263,MATCH($AQ179,$AP$12:$AP$263,0))&gt;0,($AM179*INDEX(CX$12:CX$263,MATCH($AQ179,$AP$12:$AP$263,0)))/INDEX($AI$12:$AI$263,MATCH($AQ179,$AP$12:$AP$263,0)), "-"),     TRUE, "0")</f>
        <v>0</v>
      </c>
      <c r="CZ179" s="588">
        <f>IF(CY$9&gt;0, IF(OR(CY179="",CY179="-"), 0, CY179*$AT179), CX179*$AJ179)</f>
        <v>0</v>
      </c>
      <c r="DA179" s="587">
        <f>[1]COMMANDE!BA177</f>
        <v>0</v>
      </c>
      <c r="DB179" s="586" t="str">
        <f>_xlfn.IFS(AND($AI179=$AM179,$AI179&gt;0,$AM179&gt;0,DA179&gt;0), DA179,     AND(NOT($AI179=$AM179),$AI179&gt;0,$AM179&gt;0,DA179&gt;0), ($AM179*DA179)/$AI179,     AND($AI179=0,$AM179&gt;0,$AQ179&gt;0), IF(INDEX(DA$12:DA$263,MATCH($AQ179,$AP$12:$AP$263,0))&gt;0,($AM179*INDEX(DA$12:DA$263,MATCH($AQ179,$AP$12:$AP$263,0)))/INDEX($AI$12:$AI$263,MATCH($AQ179,$AP$12:$AP$263,0)), "-"),     TRUE, "0")</f>
        <v>0</v>
      </c>
      <c r="DC179" s="606">
        <f>IF(DB$9&gt;0, IF(OR(DB179="",DB179="-"), 0, DB179*$AT179), DA179*$AJ179)</f>
        <v>0</v>
      </c>
      <c r="DD179" s="584"/>
      <c r="DE179" s="583"/>
    </row>
    <row r="180" spans="1:109" ht="39.950000000000003" hidden="1" customHeight="1">
      <c r="A180" s="604">
        <f>IF(OR($AV180&gt;0, $AX180&gt;0), 1, 0)</f>
        <v>0</v>
      </c>
      <c r="B180" s="604">
        <f>IF(OR($AY180&gt;0, $BA180&gt;0), 1, 0)</f>
        <v>0</v>
      </c>
      <c r="C180" s="604">
        <f>IF(OR($BB180&gt;0, $BD180&gt;0), 1, 0)</f>
        <v>0</v>
      </c>
      <c r="D180" s="604">
        <f>IF(OR($BE180&gt;0, $BG180&gt;0), 1, 0)</f>
        <v>0</v>
      </c>
      <c r="E180" s="604">
        <f>IF(OR($BH180&gt;0, $BJ180&gt;0), 1, 0)</f>
        <v>0</v>
      </c>
      <c r="F180" s="604">
        <f>IF(OR($BK180&gt;0, $BM180&gt;0), 1, 0)</f>
        <v>0</v>
      </c>
      <c r="G180" s="604">
        <f>IF(OR($BN180&gt;0, $BP180&gt;0), 1, 0)</f>
        <v>0</v>
      </c>
      <c r="H180" s="604">
        <f>IF(OR($BQ180&gt;0, $BS180&gt;0), 1, 0)</f>
        <v>0</v>
      </c>
      <c r="I180" s="604">
        <f>IF(OR($BT180&gt;0, $BV180&gt;0), 1, 0)</f>
        <v>0</v>
      </c>
      <c r="J180" s="604">
        <f>IF(OR($BW180&gt;0, $BY180&gt;0), 1, 0)</f>
        <v>0</v>
      </c>
      <c r="K180" s="604">
        <f>IF(OR($BZ180&gt;0, $CB180&gt;0), 1, 0)</f>
        <v>0</v>
      </c>
      <c r="L180" s="604">
        <f>IF(OR($CC180&gt;0, $CE180&gt;0), 1, 0)</f>
        <v>0</v>
      </c>
      <c r="M180" s="604">
        <f>IF(OR($CF180&gt;0, $CH180&gt;0), 1, 0)</f>
        <v>0</v>
      </c>
      <c r="N180" s="604">
        <f>IF(OR($CI180&gt;0, $CK180&gt;0), 1, 0)</f>
        <v>0</v>
      </c>
      <c r="O180" s="604">
        <f>IF(OR($CL180&gt;0, $CN180&gt;0), 1, 0)</f>
        <v>0</v>
      </c>
      <c r="P180" s="604">
        <f>IF(OR($CO180&gt;0, $CQ180&gt;0), 1, 0)</f>
        <v>0</v>
      </c>
      <c r="Q180" s="604">
        <f>IF(OR($CR180&gt;0, $CT180&gt;0), 1, 0)</f>
        <v>0</v>
      </c>
      <c r="R180" s="604">
        <f>IF(OR($CU180&gt;0, $CW180&gt;0), 1, 0)</f>
        <v>0</v>
      </c>
      <c r="S180" s="604">
        <f>IF(OR($CX180&gt;0, $CZ180&gt;0), 1, 0)</f>
        <v>0</v>
      </c>
      <c r="T180" s="604">
        <f>IF(OR($DA180&gt;0, $DC180&gt;0), 1, 0)</f>
        <v>0</v>
      </c>
      <c r="U180" s="603">
        <f>IF(OR($AI180&gt;0,$AM180&gt;0,$AS180&gt;0), 1, 0)</f>
        <v>0</v>
      </c>
      <c r="V180" s="602">
        <f>[1]BDD!A170</f>
        <v>5113</v>
      </c>
      <c r="W180" s="601" t="str">
        <f>[1]BDD!B170</f>
        <v>Miel de Fleur d'oranger (Bocal en verre env. 1kg)</v>
      </c>
      <c r="X180" s="600" t="str">
        <f>IF([1]BDD!F170=0, "", [1]BDD!F170)</f>
        <v>❤️</v>
      </c>
      <c r="Y180" s="542">
        <f>ROUND([1]BDD!G170+FDP_CMD_KG, 2)</f>
        <v>13.6</v>
      </c>
      <c r="Z180" s="542">
        <f>ROUND([1]BDD!G170+FDP_FACT_KG, 2)</f>
        <v>13.6</v>
      </c>
      <c r="AA180" s="543" t="str">
        <f>[1]BDD!H170</f>
        <v>Pièce</v>
      </c>
      <c r="AB180" s="544">
        <f>IF(NOT(ISBLANK([1]BDD!I170)), ROUND(SUM(([1]BDD!G170*reduc1),FDP_CMD_KG), 2), "")</f>
        <v>12.33</v>
      </c>
      <c r="AC180" s="544" t="str">
        <f>IF(NOT(ISBLANK([1]BDD!J170)), ROUND(SUM(([1]BDD!G170*reduc2),FDP_CMD_KG), 2), "")</f>
        <v/>
      </c>
      <c r="AD180" s="544" t="str">
        <f>IF(NOT(ISBLANK([1]BDD!K170)), ROUND(SUM(([1]BDD!G170*reduc3),FDP_CMD_KG), 2), "")</f>
        <v/>
      </c>
      <c r="AE180" s="544">
        <f>IF(NOT(ISBLANK([1]BDD!I170)), ROUND(SUM(([1]BDD!G170*reduc1),FDP_FACT_KG), 2), "")</f>
        <v>12.32</v>
      </c>
      <c r="AF180" s="544" t="str">
        <f>IF(NOT(ISBLANK([1]BDD!J170)), ROUND(SUM(([1]BDD!G170*reduc2),FDP_FACT_KG), 2), "")</f>
        <v/>
      </c>
      <c r="AG180" s="544" t="str">
        <f>IF(NOT(ISBLANK([1]BDD!K170)), ROUND(SUM(([1]BDD!G170*reduc3),FDP_FACT_KG), 2), "")</f>
        <v/>
      </c>
      <c r="AH180" s="599" t="str">
        <f>[1]BDD!C170</f>
        <v>Grenade</v>
      </c>
      <c r="AI180" s="598">
        <f>SUM(AV180,AY180,BB180,BE180,BH180,BK180,BN180,BQ180,BT180,BW180,BZ180,CC180,CF180,CI180,CL180,CO180,CR180,CU180,CX180,DA180)</f>
        <v>0</v>
      </c>
      <c r="AJ180" s="545">
        <f>_xlfn.IFS($AD180&lt;&gt;"", $AD180,    $AC180&lt;&gt;"", $AC180,    $AB180&lt;&gt;"", $AB180,    TRUE, $Y180)</f>
        <v>12.33</v>
      </c>
      <c r="AK180" s="592">
        <f>$AI180*$AJ180</f>
        <v>0</v>
      </c>
      <c r="AL180" s="594"/>
      <c r="AM180" s="597"/>
      <c r="AN180" s="545">
        <f>_xlfn.IFS(AND(AM180&gt;=60,$AG180&lt;&gt;""), $AG180,    AND(AM180&gt;=30,$AF180&lt;&gt;""), $AF180,    AND(AM180&gt;=10,$AE180&lt;&gt;""), $AE180,    TRUE, $Z180)</f>
        <v>13.6</v>
      </c>
      <c r="AO180" s="596">
        <f>AM180*AN180</f>
        <v>0</v>
      </c>
      <c r="AP180" s="595"/>
      <c r="AQ180" s="595"/>
      <c r="AR180" s="594"/>
      <c r="AS180" s="593">
        <f>SUM(AW180,AZ180,BC180,BF180,BI180,BL180,BO180,BR180,BU180,BX180,CA180,CD180,CG180,CJ180,CM180,CP180,CS180,CV180,CY180,DB180)</f>
        <v>0</v>
      </c>
      <c r="AT180" s="545">
        <f>_xlfn.IFS(AND(AS180&gt;=60,$AG180&lt;&gt;""), $AG180,    AND(AS180&gt;=30,$AF180&lt;&gt;""), $AF180,    AND(AS180&gt;=10,$AE180&lt;&gt;""), $AE180,    TRUE, $Z180)</f>
        <v>13.6</v>
      </c>
      <c r="AU180" s="592">
        <f>$AS180*$AT180</f>
        <v>0</v>
      </c>
      <c r="AV180" s="591">
        <f>[1]COMMANDE!O178</f>
        <v>0</v>
      </c>
      <c r="AW180" s="586" t="str">
        <f>_xlfn.IFS(AND($AI180=$AM180,$AI180&gt;0,$AM180&gt;0,AV180&gt;0), AV180,     AND(NOT($AI180=$AM180),$AI180&gt;0,$AM180&gt;0,AV180&gt;0), ($AM180*AV180)/$AI180,     AND($AI180=0,$AM180&gt;0,$AQ180&gt;0), IF(INDEX(AV$12:AV$263,MATCH($AQ180,$AP$12:$AP$263,0))&gt;0,($AM180*INDEX(AV$12:AV$263,MATCH($AQ180,$AP$12:$AP$263,0)))/INDEX($AI$12:$AI$263,MATCH($AQ180,$AP$12:$AP$263,0)), "-"),     TRUE, "0")</f>
        <v>0</v>
      </c>
      <c r="AX180" s="588">
        <f>IF(AW$9&gt;0, IF(OR(AW180="",AW180="-"), 0, AW180*$AT180), AV180*$AJ180)</f>
        <v>0</v>
      </c>
      <c r="AY180" s="587">
        <f>[1]COMMANDE!Q178</f>
        <v>0</v>
      </c>
      <c r="AZ180" s="586" t="str">
        <f>_xlfn.IFS(AND($AI180=$AM180,$AI180&gt;0,$AM180&gt;0,AY180&gt;0), AY180,     AND(NOT($AI180=$AM180),$AI180&gt;0,$AM180&gt;0,AY180&gt;0), ($AM180*AY180)/$AI180,     AND($AI180=0,$AM180&gt;0,$AQ180&gt;0), IF(INDEX(AY$12:AY$263,MATCH($AQ180,$AP$12:$AP$263,0))&gt;0,($AM180*INDEX(AY$12:AY$263,MATCH($AQ180,$AP$12:$AP$263,0)))/INDEX($AI$12:$AI$263,MATCH($AQ180,$AP$12:$AP$263,0)), "-"),     TRUE, "0")</f>
        <v>0</v>
      </c>
      <c r="BA180" s="607">
        <f>IF(AZ$9&gt;0, IF(OR(AZ180="",AZ180="-"), 0, AZ180*$AT180), AY180*$AJ180)</f>
        <v>0</v>
      </c>
      <c r="BB180" s="589">
        <f>[1]COMMANDE!S178</f>
        <v>0</v>
      </c>
      <c r="BC180" s="586" t="str">
        <f>_xlfn.IFS(AND($AI180=$AM180,$AI180&gt;0,$AM180&gt;0,BB180&gt;0), BB180,     AND(NOT($AI180=$AM180),$AI180&gt;0,$AM180&gt;0,BB180&gt;0), ($AM180*BB180)/$AI180,     AND($AI180=0,$AM180&gt;0,$AQ180&gt;0), IF(INDEX(BB$12:BB$263,MATCH($AQ180,$AP$12:$AP$263,0))&gt;0,($AM180*INDEX(BB$12:BB$263,MATCH($AQ180,$AP$12:$AP$263,0)))/INDEX($AI$12:$AI$263,MATCH($AQ180,$AP$12:$AP$263,0)), "-"),     TRUE, "0")</f>
        <v>0</v>
      </c>
      <c r="BD180" s="588">
        <f>IF(BC$9&gt;0, IF(OR(BC180="",BC180="-"), 0, BC180*$AT180), BB180*$AJ180)</f>
        <v>0</v>
      </c>
      <c r="BE180" s="587">
        <f>[1]COMMANDE!U178</f>
        <v>0</v>
      </c>
      <c r="BF180" s="586" t="str">
        <f>_xlfn.IFS(AND($AI180=$AM180,$AI180&gt;0,$AM180&gt;0,BE180&gt;0), BE180,     AND(NOT($AI180=$AM180),$AI180&gt;0,$AM180&gt;0,BE180&gt;0), ($AM180*BE180)/$AI180,     AND($AI180=0,$AM180&gt;0,$AQ180&gt;0), IF(INDEX(BE$12:BE$263,MATCH($AQ180,$AP$12:$AP$263,0))&gt;0,($AM180*INDEX(BE$12:BE$263,MATCH($AQ180,$AP$12:$AP$263,0)))/INDEX($AI$12:$AI$263,MATCH($AQ180,$AP$12:$AP$263,0)), "-"),     TRUE, "0")</f>
        <v>0</v>
      </c>
      <c r="BG180" s="607">
        <f>IF(BF$9&gt;0, IF(OR(BF180="",BF180="-"), 0, BF180*$AT180), BE180*$AJ180)</f>
        <v>0</v>
      </c>
      <c r="BH180" s="589">
        <f>[1]COMMANDE!W178</f>
        <v>0</v>
      </c>
      <c r="BI180" s="586" t="str">
        <f>_xlfn.IFS(AND($AI180=$AM180,$AI180&gt;0,$AM180&gt;0,BH180&gt;0), BH180,     AND(NOT($AI180=$AM180),$AI180&gt;0,$AM180&gt;0,BH180&gt;0), ($AM180*BH180)/$AI180,     AND($AI180=0,$AM180&gt;0,$AQ180&gt;0), IF(INDEX(BH$12:BH$263,MATCH($AQ180,$AP$12:$AP$263,0))&gt;0,($AM180*INDEX(BH$12:BH$263,MATCH($AQ180,$AP$12:$AP$263,0)))/INDEX($AI$12:$AI$263,MATCH($AQ180,$AP$12:$AP$263,0)), "-"),     TRUE, "0")</f>
        <v>0</v>
      </c>
      <c r="BJ180" s="588">
        <f>IF(BI$9&gt;0, IF(OR(BI180="",BI180="-"), 0, BI180*$AT180), BH180*$AJ180)</f>
        <v>0</v>
      </c>
      <c r="BK180" s="587">
        <f>[1]COMMANDE!Y178</f>
        <v>0</v>
      </c>
      <c r="BL180" s="586" t="str">
        <f>_xlfn.IFS(AND($AI180=$AM180,$AI180&gt;0,$AM180&gt;0,BK180&gt;0), BK180,     AND(NOT($AI180=$AM180),$AI180&gt;0,$AM180&gt;0,BK180&gt;0), ($AM180*BK180)/$AI180,     AND($AI180=0,$AM180&gt;0,$AQ180&gt;0), IF(INDEX(BK$12:BK$263,MATCH($AQ180,$AP$12:$AP$263,0))&gt;0,($AM180*INDEX(BK$12:BK$263,MATCH($AQ180,$AP$12:$AP$263,0)))/INDEX($AI$12:$AI$263,MATCH($AQ180,$AP$12:$AP$263,0)), "-"),     TRUE, "0")</f>
        <v>0</v>
      </c>
      <c r="BM180" s="607">
        <f>IF(BL$9&gt;0, IF(OR(BL180="",BL180="-"), 0, BL180*$AT180), BK180*$AJ180)</f>
        <v>0</v>
      </c>
      <c r="BN180" s="589">
        <f>[1]COMMANDE!AA178</f>
        <v>0</v>
      </c>
      <c r="BO180" s="586" t="str">
        <f>_xlfn.IFS(AND($AI180=$AM180,$AI180&gt;0,$AM180&gt;0,BN180&gt;0), BN180,     AND(NOT($AI180=$AM180),$AI180&gt;0,$AM180&gt;0,BN180&gt;0), ($AM180*BN180)/$AI180,     AND($AI180=0,$AM180&gt;0,$AQ180&gt;0), IF(INDEX(BN$12:BN$263,MATCH($AQ180,$AP$12:$AP$263,0))&gt;0,($AM180*INDEX(BN$12:BN$263,MATCH($AQ180,$AP$12:$AP$263,0)))/INDEX($AI$12:$AI$263,MATCH($AQ180,$AP$12:$AP$263,0)), "-"),     TRUE, "0")</f>
        <v>0</v>
      </c>
      <c r="BP180" s="588">
        <f>IF(BO$9&gt;0, IF(OR(BO180="",BO180="-"), 0, BO180*$AT180), BN180*$AJ180)</f>
        <v>0</v>
      </c>
      <c r="BQ180" s="587">
        <f>[1]COMMANDE!AC178</f>
        <v>0</v>
      </c>
      <c r="BR180" s="586" t="str">
        <f>_xlfn.IFS(AND($AI180=$AM180,$AI180&gt;0,$AM180&gt;0,BQ180&gt;0), BQ180,     AND(NOT($AI180=$AM180),$AI180&gt;0,$AM180&gt;0,BQ180&gt;0), ($AM180*BQ180)/$AI180,     AND($AI180=0,$AM180&gt;0,$AQ180&gt;0), IF(INDEX(BQ$12:BQ$263,MATCH($AQ180,$AP$12:$AP$263,0))&gt;0,($AM180*INDEX(BQ$12:BQ$263,MATCH($AQ180,$AP$12:$AP$263,0)))/INDEX($AI$12:$AI$263,MATCH($AQ180,$AP$12:$AP$263,0)), "-"),     TRUE, "0")</f>
        <v>0</v>
      </c>
      <c r="BS180" s="607">
        <f>IF(BR$9&gt;0, IF(OR(BR180="",BR180="-"), 0, BR180*$AT180), BQ180*$AJ180)</f>
        <v>0</v>
      </c>
      <c r="BT180" s="589">
        <f>[1]COMMANDE!AE178</f>
        <v>0</v>
      </c>
      <c r="BU180" s="586" t="str">
        <f>_xlfn.IFS(AND($AI180=$AM180,$AI180&gt;0,$AM180&gt;0,BT180&gt;0), BT180,     AND(NOT($AI180=$AM180),$AI180&gt;0,$AM180&gt;0,BT180&gt;0), ($AM180*BT180)/$AI180,     AND($AI180=0,$AM180&gt;0,$AQ180&gt;0), IF(INDEX(BT$12:BT$263,MATCH($AQ180,$AP$12:$AP$263,0))&gt;0,($AM180*INDEX(BT$12:BT$263,MATCH($AQ180,$AP$12:$AP$263,0)))/INDEX($AI$12:$AI$263,MATCH($AQ180,$AP$12:$AP$263,0)), "-"),     TRUE, "0")</f>
        <v>0</v>
      </c>
      <c r="BV180" s="588">
        <f>IF(BU$9&gt;0, IF(OR(BU180="",BU180="-"), 0, BU180*$AT180), BT180*$AJ180)</f>
        <v>0</v>
      </c>
      <c r="BW180" s="587">
        <f>[1]COMMANDE!AG178</f>
        <v>0</v>
      </c>
      <c r="BX180" s="586" t="str">
        <f>_xlfn.IFS(AND($AI180=$AM180,$AI180&gt;0,$AM180&gt;0,BW180&gt;0), BW180,     AND(NOT($AI180=$AM180),$AI180&gt;0,$AM180&gt;0,BW180&gt;0), ($AM180*BW180)/$AI180,     AND($AI180=0,$AM180&gt;0,$AQ180&gt;0), IF(INDEX(BW$12:BW$263,MATCH($AQ180,$AP$12:$AP$263,0))&gt;0,($AM180*INDEX(BW$12:BW$263,MATCH($AQ180,$AP$12:$AP$263,0)))/INDEX($AI$12:$AI$263,MATCH($AQ180,$AP$12:$AP$263,0)), "-"),     TRUE, "0")</f>
        <v>0</v>
      </c>
      <c r="BY180" s="607">
        <f>IF(BX$9&gt;0, IF(OR(BX180="",BX180="-"), 0, BX180*$AT180), BW180*$AJ180)</f>
        <v>0</v>
      </c>
      <c r="BZ180" s="589">
        <f>[1]COMMANDE!AI178</f>
        <v>0</v>
      </c>
      <c r="CA180" s="586" t="str">
        <f>_xlfn.IFS(AND($AI180=$AM180,$AI180&gt;0,$AM180&gt;0,BZ180&gt;0), BZ180,     AND(NOT($AI180=$AM180),$AI180&gt;0,$AM180&gt;0,BZ180&gt;0), ($AM180*BZ180)/$AI180,     AND($AI180=0,$AM180&gt;0,$AQ180&gt;0), IF(INDEX(BZ$12:BZ$263,MATCH($AQ180,$AP$12:$AP$263,0))&gt;0,($AM180*INDEX(BZ$12:BZ$263,MATCH($AQ180,$AP$12:$AP$263,0)))/INDEX($AI$12:$AI$263,MATCH($AQ180,$AP$12:$AP$263,0)), "-"),     TRUE, "0")</f>
        <v>0</v>
      </c>
      <c r="CB180" s="588">
        <f>IF(CA$9&gt;0, IF(OR(CA180="",CA180="-"), 0, CA180*$AT180), BZ180*$AJ180)</f>
        <v>0</v>
      </c>
      <c r="CC180" s="587">
        <f>[1]COMMANDE!AK178</f>
        <v>0</v>
      </c>
      <c r="CD180" s="586" t="str">
        <f>_xlfn.IFS(AND($AI180=$AM180,$AI180&gt;0,$AM180&gt;0,CC180&gt;0), CC180,     AND(NOT($AI180=$AM180),$AI180&gt;0,$AM180&gt;0,CC180&gt;0), ($AM180*CC180)/$AI180,     AND($AI180=0,$AM180&gt;0,$AQ180&gt;0), IF(INDEX(CC$12:CC$263,MATCH($AQ180,$AP$12:$AP$263,0))&gt;0,($AM180*INDEX(CC$12:CC$263,MATCH($AQ180,$AP$12:$AP$263,0)))/INDEX($AI$12:$AI$263,MATCH($AQ180,$AP$12:$AP$263,0)), "-"),     TRUE, "0")</f>
        <v>0</v>
      </c>
      <c r="CE180" s="607">
        <f>IF(CD$9&gt;0, IF(OR(CD180="",CD180="-"), 0, CD180*$AT180), CC180*$AJ180)</f>
        <v>0</v>
      </c>
      <c r="CF180" s="589">
        <f>[1]COMMANDE!AM178</f>
        <v>0</v>
      </c>
      <c r="CG180" s="586" t="str">
        <f>_xlfn.IFS(AND($AI180=$AM180,$AI180&gt;0,$AM180&gt;0,CF180&gt;0), CF180,     AND(NOT($AI180=$AM180),$AI180&gt;0,$AM180&gt;0,CF180&gt;0), ($AM180*CF180)/$AI180,     AND($AI180=0,$AM180&gt;0,$AQ180&gt;0), IF(INDEX(CF$12:CF$263,MATCH($AQ180,$AP$12:$AP$263,0))&gt;0,($AM180*INDEX(CF$12:CF$263,MATCH($AQ180,$AP$12:$AP$263,0)))/INDEX($AI$12:$AI$263,MATCH($AQ180,$AP$12:$AP$263,0)), "-"),     TRUE, "0")</f>
        <v>0</v>
      </c>
      <c r="CH180" s="588">
        <f>IF(CG$9&gt;0, IF(OR(CG180="",CG180="-"), 0, CG180*$AT180), CF180*$AJ180)</f>
        <v>0</v>
      </c>
      <c r="CI180" s="587">
        <f>[1]COMMANDE!AO178</f>
        <v>0</v>
      </c>
      <c r="CJ180" s="586" t="str">
        <f>_xlfn.IFS(AND($AI180=$AM180,$AI180&gt;0,$AM180&gt;0,CI180&gt;0), CI180,     AND(NOT($AI180=$AM180),$AI180&gt;0,$AM180&gt;0,CI180&gt;0), ($AM180*CI180)/$AI180,     AND($AI180=0,$AM180&gt;0,$AQ180&gt;0), IF(INDEX(CI$12:CI$263,MATCH($AQ180,$AP$12:$AP$263,0))&gt;0,($AM180*INDEX(CI$12:CI$263,MATCH($AQ180,$AP$12:$AP$263,0)))/INDEX($AI$12:$AI$263,MATCH($AQ180,$AP$12:$AP$263,0)), "-"),     TRUE, "0")</f>
        <v>0</v>
      </c>
      <c r="CK180" s="607">
        <f>IF(CJ$9&gt;0, IF(OR(CJ180="",CJ180="-"), 0, CJ180*$AT180), CI180*$AJ180)</f>
        <v>0</v>
      </c>
      <c r="CL180" s="589">
        <f>[1]COMMANDE!AQ178</f>
        <v>0</v>
      </c>
      <c r="CM180" s="586" t="str">
        <f>_xlfn.IFS(AND($AI180=$AM180,$AI180&gt;0,$AM180&gt;0,CL180&gt;0), CL180,     AND(NOT($AI180=$AM180),$AI180&gt;0,$AM180&gt;0,CL180&gt;0), ($AM180*CL180)/$AI180,     AND($AI180=0,$AM180&gt;0,$AQ180&gt;0), IF(INDEX(CL$12:CL$263,MATCH($AQ180,$AP$12:$AP$263,0))&gt;0,($AM180*INDEX(CL$12:CL$263,MATCH($AQ180,$AP$12:$AP$263,0)))/INDEX($AI$12:$AI$263,MATCH($AQ180,$AP$12:$AP$263,0)), "-"),     TRUE, "0")</f>
        <v>0</v>
      </c>
      <c r="CN180" s="588">
        <f>IF(CM$9&gt;0, IF(OR(CM180="",CM180="-"), 0, CM180*$AT180), CL180*$AJ180)</f>
        <v>0</v>
      </c>
      <c r="CO180" s="587">
        <f>[1]COMMANDE!AS178</f>
        <v>0</v>
      </c>
      <c r="CP180" s="586" t="str">
        <f>_xlfn.IFS(AND($AI180=$AM180,$AI180&gt;0,$AM180&gt;0,CO180&gt;0), CO180,     AND(NOT($AI180=$AM180),$AI180&gt;0,$AM180&gt;0,CO180&gt;0), ($AM180*CO180)/$AI180,     AND($AI180=0,$AM180&gt;0,$AQ180&gt;0), IF(INDEX(CO$12:CO$263,MATCH($AQ180,$AP$12:$AP$263,0))&gt;0,($AM180*INDEX(CO$12:CO$263,MATCH($AQ180,$AP$12:$AP$263,0)))/INDEX($AI$12:$AI$263,MATCH($AQ180,$AP$12:$AP$263,0)), "-"),     TRUE, "0")</f>
        <v>0</v>
      </c>
      <c r="CQ180" s="607">
        <f>IF(CP$9&gt;0, IF(OR(CP180="",CP180="-"), 0, CP180*$AT180), CO180*$AJ180)</f>
        <v>0</v>
      </c>
      <c r="CR180" s="589">
        <f>[1]COMMANDE!AU178</f>
        <v>0</v>
      </c>
      <c r="CS180" s="586" t="str">
        <f>_xlfn.IFS(AND($AI180=$AM180,$AI180&gt;0,$AM180&gt;0,CR180&gt;0), CR180,     AND(NOT($AI180=$AM180),$AI180&gt;0,$AM180&gt;0,CR180&gt;0), ($AM180*CR180)/$AI180,     AND($AI180=0,$AM180&gt;0,$AQ180&gt;0), IF(INDEX(CR$12:CR$263,MATCH($AQ180,$AP$12:$AP$263,0))&gt;0,($AM180*INDEX(CR$12:CR$263,MATCH($AQ180,$AP$12:$AP$263,0)))/INDEX($AI$12:$AI$263,MATCH($AQ180,$AP$12:$AP$263,0)), "-"),     TRUE, "0")</f>
        <v>0</v>
      </c>
      <c r="CT180" s="588">
        <f>IF(CS$9&gt;0, IF(OR(CS180="",CS180="-"), 0, CS180*$AT180), CR180*$AJ180)</f>
        <v>0</v>
      </c>
      <c r="CU180" s="587">
        <f>[1]COMMANDE!AW178</f>
        <v>0</v>
      </c>
      <c r="CV180" s="586" t="str">
        <f>_xlfn.IFS(AND($AI180=$AM180,$AI180&gt;0,$AM180&gt;0,CU180&gt;0), CU180,     AND(NOT($AI180=$AM180),$AI180&gt;0,$AM180&gt;0,CU180&gt;0), ($AM180*CU180)/$AI180,     AND($AI180=0,$AM180&gt;0,$AQ180&gt;0), IF(INDEX(CU$12:CU$263,MATCH($AQ180,$AP$12:$AP$263,0))&gt;0,($AM180*INDEX(CU$12:CU$263,MATCH($AQ180,$AP$12:$AP$263,0)))/INDEX($AI$12:$AI$263,MATCH($AQ180,$AP$12:$AP$263,0)), "-"),     TRUE, "0")</f>
        <v>0</v>
      </c>
      <c r="CW180" s="607">
        <f>IF(CV$9&gt;0, IF(OR(CV180="",CV180="-"), 0, CV180*$AT180), CU180*$AJ180)</f>
        <v>0</v>
      </c>
      <c r="CX180" s="589">
        <f>[1]COMMANDE!AY178</f>
        <v>0</v>
      </c>
      <c r="CY180" s="586" t="str">
        <f>_xlfn.IFS(AND($AI180=$AM180,$AI180&gt;0,$AM180&gt;0,CX180&gt;0), CX180,     AND(NOT($AI180=$AM180),$AI180&gt;0,$AM180&gt;0,CX180&gt;0), ($AM180*CX180)/$AI180,     AND($AI180=0,$AM180&gt;0,$AQ180&gt;0), IF(INDEX(CX$12:CX$263,MATCH($AQ180,$AP$12:$AP$263,0))&gt;0,($AM180*INDEX(CX$12:CX$263,MATCH($AQ180,$AP$12:$AP$263,0)))/INDEX($AI$12:$AI$263,MATCH($AQ180,$AP$12:$AP$263,0)), "-"),     TRUE, "0")</f>
        <v>0</v>
      </c>
      <c r="CZ180" s="588">
        <f>IF(CY$9&gt;0, IF(OR(CY180="",CY180="-"), 0, CY180*$AT180), CX180*$AJ180)</f>
        <v>0</v>
      </c>
      <c r="DA180" s="587">
        <f>[1]COMMANDE!BA178</f>
        <v>0</v>
      </c>
      <c r="DB180" s="586" t="str">
        <f>_xlfn.IFS(AND($AI180=$AM180,$AI180&gt;0,$AM180&gt;0,DA180&gt;0), DA180,     AND(NOT($AI180=$AM180),$AI180&gt;0,$AM180&gt;0,DA180&gt;0), ($AM180*DA180)/$AI180,     AND($AI180=0,$AM180&gt;0,$AQ180&gt;0), IF(INDEX(DA$12:DA$263,MATCH($AQ180,$AP$12:$AP$263,0))&gt;0,($AM180*INDEX(DA$12:DA$263,MATCH($AQ180,$AP$12:$AP$263,0)))/INDEX($AI$12:$AI$263,MATCH($AQ180,$AP$12:$AP$263,0)), "-"),     TRUE, "0")</f>
        <v>0</v>
      </c>
      <c r="DC180" s="606">
        <f>IF(DB$9&gt;0, IF(OR(DB180="",DB180="-"), 0, DB180*$AT180), DA180*$AJ180)</f>
        <v>0</v>
      </c>
      <c r="DD180" s="584"/>
      <c r="DE180" s="583"/>
    </row>
    <row r="181" spans="1:109" ht="39.950000000000003" hidden="1" customHeight="1">
      <c r="A181" s="604">
        <f>IF(OR($AV181&gt;0, $AX181&gt;0), 1, 0)</f>
        <v>0</v>
      </c>
      <c r="B181" s="604">
        <f>IF(OR($AY181&gt;0, $BA181&gt;0), 1, 0)</f>
        <v>0</v>
      </c>
      <c r="C181" s="604">
        <f>IF(OR($BB181&gt;0, $BD181&gt;0), 1, 0)</f>
        <v>0</v>
      </c>
      <c r="D181" s="604">
        <f>IF(OR($BE181&gt;0, $BG181&gt;0), 1, 0)</f>
        <v>0</v>
      </c>
      <c r="E181" s="604">
        <f>IF(OR($BH181&gt;0, $BJ181&gt;0), 1, 0)</f>
        <v>0</v>
      </c>
      <c r="F181" s="604">
        <f>IF(OR($BK181&gt;0, $BM181&gt;0), 1, 0)</f>
        <v>0</v>
      </c>
      <c r="G181" s="604">
        <f>IF(OR($BN181&gt;0, $BP181&gt;0), 1, 0)</f>
        <v>0</v>
      </c>
      <c r="H181" s="604">
        <f>IF(OR($BQ181&gt;0, $BS181&gt;0), 1, 0)</f>
        <v>0</v>
      </c>
      <c r="I181" s="604">
        <f>IF(OR($BT181&gt;0, $BV181&gt;0), 1, 0)</f>
        <v>0</v>
      </c>
      <c r="J181" s="604">
        <f>IF(OR($BW181&gt;0, $BY181&gt;0), 1, 0)</f>
        <v>0</v>
      </c>
      <c r="K181" s="604">
        <f>IF(OR($BZ181&gt;0, $CB181&gt;0), 1, 0)</f>
        <v>0</v>
      </c>
      <c r="L181" s="604">
        <f>IF(OR($CC181&gt;0, $CE181&gt;0), 1, 0)</f>
        <v>0</v>
      </c>
      <c r="M181" s="604">
        <f>IF(OR($CF181&gt;0, $CH181&gt;0), 1, 0)</f>
        <v>0</v>
      </c>
      <c r="N181" s="604">
        <f>IF(OR($CI181&gt;0, $CK181&gt;0), 1, 0)</f>
        <v>0</v>
      </c>
      <c r="O181" s="604">
        <f>IF(OR($CL181&gt;0, $CN181&gt;0), 1, 0)</f>
        <v>0</v>
      </c>
      <c r="P181" s="604">
        <f>IF(OR($CO181&gt;0, $CQ181&gt;0), 1, 0)</f>
        <v>0</v>
      </c>
      <c r="Q181" s="604">
        <f>IF(OR($CR181&gt;0, $CT181&gt;0), 1, 0)</f>
        <v>0</v>
      </c>
      <c r="R181" s="604">
        <f>IF(OR($CU181&gt;0, $CW181&gt;0), 1, 0)</f>
        <v>0</v>
      </c>
      <c r="S181" s="604">
        <f>IF(OR($CX181&gt;0, $CZ181&gt;0), 1, 0)</f>
        <v>0</v>
      </c>
      <c r="T181" s="604">
        <f>IF(OR($DA181&gt;0, $DC181&gt;0), 1, 0)</f>
        <v>0</v>
      </c>
      <c r="U181" s="603">
        <f>IF(OR($AI181&gt;0,$AM181&gt;0,$AS181&gt;0), 1, 0)</f>
        <v>0</v>
      </c>
      <c r="V181" s="602">
        <f>[1]BDD!A171</f>
        <v>1444</v>
      </c>
      <c r="W181" s="601" t="str">
        <f>[1]BDD!B171</f>
        <v>Miel de Huelva multifleurs sans filtration CRU BIO  
    - (Bocal en verre env. 1kg)</v>
      </c>
      <c r="X181" s="600" t="str">
        <f>IF([1]BDD!F171=0, "", [1]BDD!F171)</f>
        <v>❤️</v>
      </c>
      <c r="Y181" s="542">
        <f>ROUND([1]BDD!G171+FDP_CMD_KG, 2)</f>
        <v>15.91</v>
      </c>
      <c r="Z181" s="542">
        <f>ROUND([1]BDD!G171+FDP_FACT_KG, 2)</f>
        <v>15.91</v>
      </c>
      <c r="AA181" s="543" t="str">
        <f>[1]BDD!H171</f>
        <v>Pièce</v>
      </c>
      <c r="AB181" s="544">
        <f>IF(NOT(ISBLANK([1]BDD!I171)), ROUND(SUM(([1]BDD!G171*reduc1),FDP_CMD_KG), 2), "")</f>
        <v>14.41</v>
      </c>
      <c r="AC181" s="544" t="str">
        <f>IF(NOT(ISBLANK([1]BDD!J171)), ROUND(SUM(([1]BDD!G171*reduc2),FDP_CMD_KG), 2), "")</f>
        <v/>
      </c>
      <c r="AD181" s="544" t="str">
        <f>IF(NOT(ISBLANK([1]BDD!K171)), ROUND(SUM(([1]BDD!G171*reduc3),FDP_CMD_KG), 2), "")</f>
        <v/>
      </c>
      <c r="AE181" s="544">
        <f>IF(NOT(ISBLANK([1]BDD!I171)), ROUND(SUM(([1]BDD!G171*reduc1),FDP_FACT_KG), 2), "")</f>
        <v>14.4</v>
      </c>
      <c r="AF181" s="544" t="str">
        <f>IF(NOT(ISBLANK([1]BDD!J171)), ROUND(SUM(([1]BDD!G171*reduc2),FDP_FACT_KG), 2), "")</f>
        <v/>
      </c>
      <c r="AG181" s="544" t="str">
        <f>IF(NOT(ISBLANK([1]BDD!K171)), ROUND(SUM(([1]BDD!G171*reduc3),FDP_FACT_KG), 2), "")</f>
        <v/>
      </c>
      <c r="AH181" s="599" t="str">
        <f>[1]BDD!C171</f>
        <v>Huelva</v>
      </c>
      <c r="AI181" s="598">
        <f>SUM(AV181,AY181,BB181,BE181,BH181,BK181,BN181,BQ181,BT181,BW181,BZ181,CC181,CF181,CI181,CL181,CO181,CR181,CU181,CX181,DA181)</f>
        <v>0</v>
      </c>
      <c r="AJ181" s="545">
        <f>_xlfn.IFS($AD181&lt;&gt;"", $AD181,    $AC181&lt;&gt;"", $AC181,    $AB181&lt;&gt;"", $AB181,    TRUE, $Y181)</f>
        <v>14.41</v>
      </c>
      <c r="AK181" s="592">
        <f>$AI181*$AJ181</f>
        <v>0</v>
      </c>
      <c r="AL181" s="594"/>
      <c r="AM181" s="597"/>
      <c r="AN181" s="545">
        <f>_xlfn.IFS(AND(AM181&gt;=60,$AG181&lt;&gt;""), $AG181,    AND(AM181&gt;=30,$AF181&lt;&gt;""), $AF181,    AND(AM181&gt;=10,$AE181&lt;&gt;""), $AE181,    TRUE, $Z181)</f>
        <v>15.91</v>
      </c>
      <c r="AO181" s="596">
        <f>AM181*AN181</f>
        <v>0</v>
      </c>
      <c r="AP181" s="595"/>
      <c r="AQ181" s="595"/>
      <c r="AR181" s="594"/>
      <c r="AS181" s="593">
        <f>SUM(AW181,AZ181,BC181,BF181,BI181,BL181,BO181,BR181,BU181,BX181,CA181,CD181,CG181,CJ181,CM181,CP181,CS181,CV181,CY181,DB181)</f>
        <v>0</v>
      </c>
      <c r="AT181" s="545">
        <f>_xlfn.IFS(AND(AS181&gt;=60,$AG181&lt;&gt;""), $AG181,    AND(AS181&gt;=30,$AF181&lt;&gt;""), $AF181,    AND(AS181&gt;=10,$AE181&lt;&gt;""), $AE181,    TRUE, $Z181)</f>
        <v>15.91</v>
      </c>
      <c r="AU181" s="592">
        <f>$AS181*$AT181</f>
        <v>0</v>
      </c>
      <c r="AV181" s="591">
        <f>[1]COMMANDE!O179</f>
        <v>0</v>
      </c>
      <c r="AW181" s="586" t="str">
        <f>_xlfn.IFS(AND($AI181=$AM181,$AI181&gt;0,$AM181&gt;0,AV181&gt;0), AV181,     AND(NOT($AI181=$AM181),$AI181&gt;0,$AM181&gt;0,AV181&gt;0), ($AM181*AV181)/$AI181,     AND($AI181=0,$AM181&gt;0,$AQ181&gt;0), IF(INDEX(AV$12:AV$263,MATCH($AQ181,$AP$12:$AP$263,0))&gt;0,($AM181*INDEX(AV$12:AV$263,MATCH($AQ181,$AP$12:$AP$263,0)))/INDEX($AI$12:$AI$263,MATCH($AQ181,$AP$12:$AP$263,0)), "-"),     TRUE, "0")</f>
        <v>0</v>
      </c>
      <c r="AX181" s="588">
        <f>IF(AW$9&gt;0, IF(OR(AW181="",AW181="-"), 0, AW181*$AT181), AV181*$AJ181)</f>
        <v>0</v>
      </c>
      <c r="AY181" s="587">
        <f>[1]COMMANDE!Q179</f>
        <v>0</v>
      </c>
      <c r="AZ181" s="586" t="str">
        <f>_xlfn.IFS(AND($AI181=$AM181,$AI181&gt;0,$AM181&gt;0,AY181&gt;0), AY181,     AND(NOT($AI181=$AM181),$AI181&gt;0,$AM181&gt;0,AY181&gt;0), ($AM181*AY181)/$AI181,     AND($AI181=0,$AM181&gt;0,$AQ181&gt;0), IF(INDEX(AY$12:AY$263,MATCH($AQ181,$AP$12:$AP$263,0))&gt;0,($AM181*INDEX(AY$12:AY$263,MATCH($AQ181,$AP$12:$AP$263,0)))/INDEX($AI$12:$AI$263,MATCH($AQ181,$AP$12:$AP$263,0)), "-"),     TRUE, "0")</f>
        <v>0</v>
      </c>
      <c r="BA181" s="607">
        <f>IF(AZ$9&gt;0, IF(OR(AZ181="",AZ181="-"), 0, AZ181*$AT181), AY181*$AJ181)</f>
        <v>0</v>
      </c>
      <c r="BB181" s="589">
        <f>[1]COMMANDE!S179</f>
        <v>0</v>
      </c>
      <c r="BC181" s="586" t="str">
        <f>_xlfn.IFS(AND($AI181=$AM181,$AI181&gt;0,$AM181&gt;0,BB181&gt;0), BB181,     AND(NOT($AI181=$AM181),$AI181&gt;0,$AM181&gt;0,BB181&gt;0), ($AM181*BB181)/$AI181,     AND($AI181=0,$AM181&gt;0,$AQ181&gt;0), IF(INDEX(BB$12:BB$263,MATCH($AQ181,$AP$12:$AP$263,0))&gt;0,($AM181*INDEX(BB$12:BB$263,MATCH($AQ181,$AP$12:$AP$263,0)))/INDEX($AI$12:$AI$263,MATCH($AQ181,$AP$12:$AP$263,0)), "-"),     TRUE, "0")</f>
        <v>0</v>
      </c>
      <c r="BD181" s="588">
        <f>IF(BC$9&gt;0, IF(OR(BC181="",BC181="-"), 0, BC181*$AT181), BB181*$AJ181)</f>
        <v>0</v>
      </c>
      <c r="BE181" s="587">
        <f>[1]COMMANDE!U179</f>
        <v>0</v>
      </c>
      <c r="BF181" s="586" t="str">
        <f>_xlfn.IFS(AND($AI181=$AM181,$AI181&gt;0,$AM181&gt;0,BE181&gt;0), BE181,     AND(NOT($AI181=$AM181),$AI181&gt;0,$AM181&gt;0,BE181&gt;0), ($AM181*BE181)/$AI181,     AND($AI181=0,$AM181&gt;0,$AQ181&gt;0), IF(INDEX(BE$12:BE$263,MATCH($AQ181,$AP$12:$AP$263,0))&gt;0,($AM181*INDEX(BE$12:BE$263,MATCH($AQ181,$AP$12:$AP$263,0)))/INDEX($AI$12:$AI$263,MATCH($AQ181,$AP$12:$AP$263,0)), "-"),     TRUE, "0")</f>
        <v>0</v>
      </c>
      <c r="BG181" s="607">
        <f>IF(BF$9&gt;0, IF(OR(BF181="",BF181="-"), 0, BF181*$AT181), BE181*$AJ181)</f>
        <v>0</v>
      </c>
      <c r="BH181" s="589">
        <f>[1]COMMANDE!W179</f>
        <v>0</v>
      </c>
      <c r="BI181" s="586" t="str">
        <f>_xlfn.IFS(AND($AI181=$AM181,$AI181&gt;0,$AM181&gt;0,BH181&gt;0), BH181,     AND(NOT($AI181=$AM181),$AI181&gt;0,$AM181&gt;0,BH181&gt;0), ($AM181*BH181)/$AI181,     AND($AI181=0,$AM181&gt;0,$AQ181&gt;0), IF(INDEX(BH$12:BH$263,MATCH($AQ181,$AP$12:$AP$263,0))&gt;0,($AM181*INDEX(BH$12:BH$263,MATCH($AQ181,$AP$12:$AP$263,0)))/INDEX($AI$12:$AI$263,MATCH($AQ181,$AP$12:$AP$263,0)), "-"),     TRUE, "0")</f>
        <v>0</v>
      </c>
      <c r="BJ181" s="588">
        <f>IF(BI$9&gt;0, IF(OR(BI181="",BI181="-"), 0, BI181*$AT181), BH181*$AJ181)</f>
        <v>0</v>
      </c>
      <c r="BK181" s="587">
        <f>[1]COMMANDE!Y179</f>
        <v>0</v>
      </c>
      <c r="BL181" s="586" t="str">
        <f>_xlfn.IFS(AND($AI181=$AM181,$AI181&gt;0,$AM181&gt;0,BK181&gt;0), BK181,     AND(NOT($AI181=$AM181),$AI181&gt;0,$AM181&gt;0,BK181&gt;0), ($AM181*BK181)/$AI181,     AND($AI181=0,$AM181&gt;0,$AQ181&gt;0), IF(INDEX(BK$12:BK$263,MATCH($AQ181,$AP$12:$AP$263,0))&gt;0,($AM181*INDEX(BK$12:BK$263,MATCH($AQ181,$AP$12:$AP$263,0)))/INDEX($AI$12:$AI$263,MATCH($AQ181,$AP$12:$AP$263,0)), "-"),     TRUE, "0")</f>
        <v>0</v>
      </c>
      <c r="BM181" s="607">
        <f>IF(BL$9&gt;0, IF(OR(BL181="",BL181="-"), 0, BL181*$AT181), BK181*$AJ181)</f>
        <v>0</v>
      </c>
      <c r="BN181" s="589">
        <f>[1]COMMANDE!AA179</f>
        <v>0</v>
      </c>
      <c r="BO181" s="586" t="str">
        <f>_xlfn.IFS(AND($AI181=$AM181,$AI181&gt;0,$AM181&gt;0,BN181&gt;0), BN181,     AND(NOT($AI181=$AM181),$AI181&gt;0,$AM181&gt;0,BN181&gt;0), ($AM181*BN181)/$AI181,     AND($AI181=0,$AM181&gt;0,$AQ181&gt;0), IF(INDEX(BN$12:BN$263,MATCH($AQ181,$AP$12:$AP$263,0))&gt;0,($AM181*INDEX(BN$12:BN$263,MATCH($AQ181,$AP$12:$AP$263,0)))/INDEX($AI$12:$AI$263,MATCH($AQ181,$AP$12:$AP$263,0)), "-"),     TRUE, "0")</f>
        <v>0</v>
      </c>
      <c r="BP181" s="588">
        <f>IF(BO$9&gt;0, IF(OR(BO181="",BO181="-"), 0, BO181*$AT181), BN181*$AJ181)</f>
        <v>0</v>
      </c>
      <c r="BQ181" s="587">
        <f>[1]COMMANDE!AC179</f>
        <v>0</v>
      </c>
      <c r="BR181" s="586" t="str">
        <f>_xlfn.IFS(AND($AI181=$AM181,$AI181&gt;0,$AM181&gt;0,BQ181&gt;0), BQ181,     AND(NOT($AI181=$AM181),$AI181&gt;0,$AM181&gt;0,BQ181&gt;0), ($AM181*BQ181)/$AI181,     AND($AI181=0,$AM181&gt;0,$AQ181&gt;0), IF(INDEX(BQ$12:BQ$263,MATCH($AQ181,$AP$12:$AP$263,0))&gt;0,($AM181*INDEX(BQ$12:BQ$263,MATCH($AQ181,$AP$12:$AP$263,0)))/INDEX($AI$12:$AI$263,MATCH($AQ181,$AP$12:$AP$263,0)), "-"),     TRUE, "0")</f>
        <v>0</v>
      </c>
      <c r="BS181" s="607">
        <f>IF(BR$9&gt;0, IF(OR(BR181="",BR181="-"), 0, BR181*$AT181), BQ181*$AJ181)</f>
        <v>0</v>
      </c>
      <c r="BT181" s="589">
        <f>[1]COMMANDE!AE179</f>
        <v>0</v>
      </c>
      <c r="BU181" s="586" t="str">
        <f>_xlfn.IFS(AND($AI181=$AM181,$AI181&gt;0,$AM181&gt;0,BT181&gt;0), BT181,     AND(NOT($AI181=$AM181),$AI181&gt;0,$AM181&gt;0,BT181&gt;0), ($AM181*BT181)/$AI181,     AND($AI181=0,$AM181&gt;0,$AQ181&gt;0), IF(INDEX(BT$12:BT$263,MATCH($AQ181,$AP$12:$AP$263,0))&gt;0,($AM181*INDEX(BT$12:BT$263,MATCH($AQ181,$AP$12:$AP$263,0)))/INDEX($AI$12:$AI$263,MATCH($AQ181,$AP$12:$AP$263,0)), "-"),     TRUE, "0")</f>
        <v>0</v>
      </c>
      <c r="BV181" s="588">
        <f>IF(BU$9&gt;0, IF(OR(BU181="",BU181="-"), 0, BU181*$AT181), BT181*$AJ181)</f>
        <v>0</v>
      </c>
      <c r="BW181" s="587">
        <f>[1]COMMANDE!AG179</f>
        <v>0</v>
      </c>
      <c r="BX181" s="586" t="str">
        <f>_xlfn.IFS(AND($AI181=$AM181,$AI181&gt;0,$AM181&gt;0,BW181&gt;0), BW181,     AND(NOT($AI181=$AM181),$AI181&gt;0,$AM181&gt;0,BW181&gt;0), ($AM181*BW181)/$AI181,     AND($AI181=0,$AM181&gt;0,$AQ181&gt;0), IF(INDEX(BW$12:BW$263,MATCH($AQ181,$AP$12:$AP$263,0))&gt;0,($AM181*INDEX(BW$12:BW$263,MATCH($AQ181,$AP$12:$AP$263,0)))/INDEX($AI$12:$AI$263,MATCH($AQ181,$AP$12:$AP$263,0)), "-"),     TRUE, "0")</f>
        <v>0</v>
      </c>
      <c r="BY181" s="607">
        <f>IF(BX$9&gt;0, IF(OR(BX181="",BX181="-"), 0, BX181*$AT181), BW181*$AJ181)</f>
        <v>0</v>
      </c>
      <c r="BZ181" s="589">
        <f>[1]COMMANDE!AI179</f>
        <v>0</v>
      </c>
      <c r="CA181" s="586" t="str">
        <f>_xlfn.IFS(AND($AI181=$AM181,$AI181&gt;0,$AM181&gt;0,BZ181&gt;0), BZ181,     AND(NOT($AI181=$AM181),$AI181&gt;0,$AM181&gt;0,BZ181&gt;0), ($AM181*BZ181)/$AI181,     AND($AI181=0,$AM181&gt;0,$AQ181&gt;0), IF(INDEX(BZ$12:BZ$263,MATCH($AQ181,$AP$12:$AP$263,0))&gt;0,($AM181*INDEX(BZ$12:BZ$263,MATCH($AQ181,$AP$12:$AP$263,0)))/INDEX($AI$12:$AI$263,MATCH($AQ181,$AP$12:$AP$263,0)), "-"),     TRUE, "0")</f>
        <v>0</v>
      </c>
      <c r="CB181" s="588">
        <f>IF(CA$9&gt;0, IF(OR(CA181="",CA181="-"), 0, CA181*$AT181), BZ181*$AJ181)</f>
        <v>0</v>
      </c>
      <c r="CC181" s="587">
        <f>[1]COMMANDE!AK179</f>
        <v>0</v>
      </c>
      <c r="CD181" s="586" t="str">
        <f>_xlfn.IFS(AND($AI181=$AM181,$AI181&gt;0,$AM181&gt;0,CC181&gt;0), CC181,     AND(NOT($AI181=$AM181),$AI181&gt;0,$AM181&gt;0,CC181&gt;0), ($AM181*CC181)/$AI181,     AND($AI181=0,$AM181&gt;0,$AQ181&gt;0), IF(INDEX(CC$12:CC$263,MATCH($AQ181,$AP$12:$AP$263,0))&gt;0,($AM181*INDEX(CC$12:CC$263,MATCH($AQ181,$AP$12:$AP$263,0)))/INDEX($AI$12:$AI$263,MATCH($AQ181,$AP$12:$AP$263,0)), "-"),     TRUE, "0")</f>
        <v>0</v>
      </c>
      <c r="CE181" s="607">
        <f>IF(CD$9&gt;0, IF(OR(CD181="",CD181="-"), 0, CD181*$AT181), CC181*$AJ181)</f>
        <v>0</v>
      </c>
      <c r="CF181" s="589">
        <f>[1]COMMANDE!AM179</f>
        <v>0</v>
      </c>
      <c r="CG181" s="586" t="str">
        <f>_xlfn.IFS(AND($AI181=$AM181,$AI181&gt;0,$AM181&gt;0,CF181&gt;0), CF181,     AND(NOT($AI181=$AM181),$AI181&gt;0,$AM181&gt;0,CF181&gt;0), ($AM181*CF181)/$AI181,     AND($AI181=0,$AM181&gt;0,$AQ181&gt;0), IF(INDEX(CF$12:CF$263,MATCH($AQ181,$AP$12:$AP$263,0))&gt;0,($AM181*INDEX(CF$12:CF$263,MATCH($AQ181,$AP$12:$AP$263,0)))/INDEX($AI$12:$AI$263,MATCH($AQ181,$AP$12:$AP$263,0)), "-"),     TRUE, "0")</f>
        <v>0</v>
      </c>
      <c r="CH181" s="588">
        <f>IF(CG$9&gt;0, IF(OR(CG181="",CG181="-"), 0, CG181*$AT181), CF181*$AJ181)</f>
        <v>0</v>
      </c>
      <c r="CI181" s="587">
        <f>[1]COMMANDE!AO179</f>
        <v>0</v>
      </c>
      <c r="CJ181" s="586" t="str">
        <f>_xlfn.IFS(AND($AI181=$AM181,$AI181&gt;0,$AM181&gt;0,CI181&gt;0), CI181,     AND(NOT($AI181=$AM181),$AI181&gt;0,$AM181&gt;0,CI181&gt;0), ($AM181*CI181)/$AI181,     AND($AI181=0,$AM181&gt;0,$AQ181&gt;0), IF(INDEX(CI$12:CI$263,MATCH($AQ181,$AP$12:$AP$263,0))&gt;0,($AM181*INDEX(CI$12:CI$263,MATCH($AQ181,$AP$12:$AP$263,0)))/INDEX($AI$12:$AI$263,MATCH($AQ181,$AP$12:$AP$263,0)), "-"),     TRUE, "0")</f>
        <v>0</v>
      </c>
      <c r="CK181" s="607">
        <f>IF(CJ$9&gt;0, IF(OR(CJ181="",CJ181="-"), 0, CJ181*$AT181), CI181*$AJ181)</f>
        <v>0</v>
      </c>
      <c r="CL181" s="589">
        <f>[1]COMMANDE!AQ179</f>
        <v>0</v>
      </c>
      <c r="CM181" s="586" t="str">
        <f>_xlfn.IFS(AND($AI181=$AM181,$AI181&gt;0,$AM181&gt;0,CL181&gt;0), CL181,     AND(NOT($AI181=$AM181),$AI181&gt;0,$AM181&gt;0,CL181&gt;0), ($AM181*CL181)/$AI181,     AND($AI181=0,$AM181&gt;0,$AQ181&gt;0), IF(INDEX(CL$12:CL$263,MATCH($AQ181,$AP$12:$AP$263,0))&gt;0,($AM181*INDEX(CL$12:CL$263,MATCH($AQ181,$AP$12:$AP$263,0)))/INDEX($AI$12:$AI$263,MATCH($AQ181,$AP$12:$AP$263,0)), "-"),     TRUE, "0")</f>
        <v>0</v>
      </c>
      <c r="CN181" s="588">
        <f>IF(CM$9&gt;0, IF(OR(CM181="",CM181="-"), 0, CM181*$AT181), CL181*$AJ181)</f>
        <v>0</v>
      </c>
      <c r="CO181" s="587">
        <f>[1]COMMANDE!AS179</f>
        <v>0</v>
      </c>
      <c r="CP181" s="586" t="str">
        <f>_xlfn.IFS(AND($AI181=$AM181,$AI181&gt;0,$AM181&gt;0,CO181&gt;0), CO181,     AND(NOT($AI181=$AM181),$AI181&gt;0,$AM181&gt;0,CO181&gt;0), ($AM181*CO181)/$AI181,     AND($AI181=0,$AM181&gt;0,$AQ181&gt;0), IF(INDEX(CO$12:CO$263,MATCH($AQ181,$AP$12:$AP$263,0))&gt;0,($AM181*INDEX(CO$12:CO$263,MATCH($AQ181,$AP$12:$AP$263,0)))/INDEX($AI$12:$AI$263,MATCH($AQ181,$AP$12:$AP$263,0)), "-"),     TRUE, "0")</f>
        <v>0</v>
      </c>
      <c r="CQ181" s="607">
        <f>IF(CP$9&gt;0, IF(OR(CP181="",CP181="-"), 0, CP181*$AT181), CO181*$AJ181)</f>
        <v>0</v>
      </c>
      <c r="CR181" s="589">
        <f>[1]COMMANDE!AU179</f>
        <v>0</v>
      </c>
      <c r="CS181" s="586" t="str">
        <f>_xlfn.IFS(AND($AI181=$AM181,$AI181&gt;0,$AM181&gt;0,CR181&gt;0), CR181,     AND(NOT($AI181=$AM181),$AI181&gt;0,$AM181&gt;0,CR181&gt;0), ($AM181*CR181)/$AI181,     AND($AI181=0,$AM181&gt;0,$AQ181&gt;0), IF(INDEX(CR$12:CR$263,MATCH($AQ181,$AP$12:$AP$263,0))&gt;0,($AM181*INDEX(CR$12:CR$263,MATCH($AQ181,$AP$12:$AP$263,0)))/INDEX($AI$12:$AI$263,MATCH($AQ181,$AP$12:$AP$263,0)), "-"),     TRUE, "0")</f>
        <v>0</v>
      </c>
      <c r="CT181" s="588">
        <f>IF(CS$9&gt;0, IF(OR(CS181="",CS181="-"), 0, CS181*$AT181), CR181*$AJ181)</f>
        <v>0</v>
      </c>
      <c r="CU181" s="587">
        <f>[1]COMMANDE!AW179</f>
        <v>0</v>
      </c>
      <c r="CV181" s="586" t="str">
        <f>_xlfn.IFS(AND($AI181=$AM181,$AI181&gt;0,$AM181&gt;0,CU181&gt;0), CU181,     AND(NOT($AI181=$AM181),$AI181&gt;0,$AM181&gt;0,CU181&gt;0), ($AM181*CU181)/$AI181,     AND($AI181=0,$AM181&gt;0,$AQ181&gt;0), IF(INDEX(CU$12:CU$263,MATCH($AQ181,$AP$12:$AP$263,0))&gt;0,($AM181*INDEX(CU$12:CU$263,MATCH($AQ181,$AP$12:$AP$263,0)))/INDEX($AI$12:$AI$263,MATCH($AQ181,$AP$12:$AP$263,0)), "-"),     TRUE, "0")</f>
        <v>0</v>
      </c>
      <c r="CW181" s="607">
        <f>IF(CV$9&gt;0, IF(OR(CV181="",CV181="-"), 0, CV181*$AT181), CU181*$AJ181)</f>
        <v>0</v>
      </c>
      <c r="CX181" s="589">
        <f>[1]COMMANDE!AY179</f>
        <v>0</v>
      </c>
      <c r="CY181" s="586" t="str">
        <f>_xlfn.IFS(AND($AI181=$AM181,$AI181&gt;0,$AM181&gt;0,CX181&gt;0), CX181,     AND(NOT($AI181=$AM181),$AI181&gt;0,$AM181&gt;0,CX181&gt;0), ($AM181*CX181)/$AI181,     AND($AI181=0,$AM181&gt;0,$AQ181&gt;0), IF(INDEX(CX$12:CX$263,MATCH($AQ181,$AP$12:$AP$263,0))&gt;0,($AM181*INDEX(CX$12:CX$263,MATCH($AQ181,$AP$12:$AP$263,0)))/INDEX($AI$12:$AI$263,MATCH($AQ181,$AP$12:$AP$263,0)), "-"),     TRUE, "0")</f>
        <v>0</v>
      </c>
      <c r="CZ181" s="588">
        <f>IF(CY$9&gt;0, IF(OR(CY181="",CY181="-"), 0, CY181*$AT181), CX181*$AJ181)</f>
        <v>0</v>
      </c>
      <c r="DA181" s="587">
        <f>[1]COMMANDE!BA179</f>
        <v>0</v>
      </c>
      <c r="DB181" s="586" t="str">
        <f>_xlfn.IFS(AND($AI181=$AM181,$AI181&gt;0,$AM181&gt;0,DA181&gt;0), DA181,     AND(NOT($AI181=$AM181),$AI181&gt;0,$AM181&gt;0,DA181&gt;0), ($AM181*DA181)/$AI181,     AND($AI181=0,$AM181&gt;0,$AQ181&gt;0), IF(INDEX(DA$12:DA$263,MATCH($AQ181,$AP$12:$AP$263,0))&gt;0,($AM181*INDEX(DA$12:DA$263,MATCH($AQ181,$AP$12:$AP$263,0)))/INDEX($AI$12:$AI$263,MATCH($AQ181,$AP$12:$AP$263,0)), "-"),     TRUE, "0")</f>
        <v>0</v>
      </c>
      <c r="DC181" s="606">
        <f>IF(DB$9&gt;0, IF(OR(DB181="",DB181="-"), 0, DB181*$AT181), DA181*$AJ181)</f>
        <v>0</v>
      </c>
      <c r="DD181" s="584"/>
      <c r="DE181" s="583"/>
    </row>
    <row r="182" spans="1:109" ht="39.950000000000003" hidden="1" customHeight="1">
      <c r="A182" s="604">
        <f>IF(OR($AV182&gt;0, $AX182&gt;0), 1, 0)</f>
        <v>0</v>
      </c>
      <c r="B182" s="604">
        <f>IF(OR($AY182&gt;0, $BA182&gt;0), 1, 0)</f>
        <v>0</v>
      </c>
      <c r="C182" s="604">
        <f>IF(OR($BB182&gt;0, $BD182&gt;0), 1, 0)</f>
        <v>0</v>
      </c>
      <c r="D182" s="604">
        <f>IF(OR($BE182&gt;0, $BG182&gt;0), 1, 0)</f>
        <v>0</v>
      </c>
      <c r="E182" s="604">
        <f>IF(OR($BH182&gt;0, $BJ182&gt;0), 1, 0)</f>
        <v>0</v>
      </c>
      <c r="F182" s="604">
        <f>IF(OR($BK182&gt;0, $BM182&gt;0), 1, 0)</f>
        <v>0</v>
      </c>
      <c r="G182" s="604">
        <f>IF(OR($BN182&gt;0, $BP182&gt;0), 1, 0)</f>
        <v>0</v>
      </c>
      <c r="H182" s="604">
        <f>IF(OR($BQ182&gt;0, $BS182&gt;0), 1, 0)</f>
        <v>0</v>
      </c>
      <c r="I182" s="604">
        <f>IF(OR($BT182&gt;0, $BV182&gt;0), 1, 0)</f>
        <v>0</v>
      </c>
      <c r="J182" s="604">
        <f>IF(OR($BW182&gt;0, $BY182&gt;0), 1, 0)</f>
        <v>0</v>
      </c>
      <c r="K182" s="604">
        <f>IF(OR($BZ182&gt;0, $CB182&gt;0), 1, 0)</f>
        <v>0</v>
      </c>
      <c r="L182" s="604">
        <f>IF(OR($CC182&gt;0, $CE182&gt;0), 1, 0)</f>
        <v>0</v>
      </c>
      <c r="M182" s="604">
        <f>IF(OR($CF182&gt;0, $CH182&gt;0), 1, 0)</f>
        <v>0</v>
      </c>
      <c r="N182" s="604">
        <f>IF(OR($CI182&gt;0, $CK182&gt;0), 1, 0)</f>
        <v>0</v>
      </c>
      <c r="O182" s="604">
        <f>IF(OR($CL182&gt;0, $CN182&gt;0), 1, 0)</f>
        <v>0</v>
      </c>
      <c r="P182" s="604">
        <f>IF(OR($CO182&gt;0, $CQ182&gt;0), 1, 0)</f>
        <v>0</v>
      </c>
      <c r="Q182" s="604">
        <f>IF(OR($CR182&gt;0, $CT182&gt;0), 1, 0)</f>
        <v>0</v>
      </c>
      <c r="R182" s="604">
        <f>IF(OR($CU182&gt;0, $CW182&gt;0), 1, 0)</f>
        <v>0</v>
      </c>
      <c r="S182" s="604">
        <f>IF(OR($CX182&gt;0, $CZ182&gt;0), 1, 0)</f>
        <v>0</v>
      </c>
      <c r="T182" s="604">
        <f>IF(OR($DA182&gt;0, $DC182&gt;0), 1, 0)</f>
        <v>0</v>
      </c>
      <c r="U182" s="603">
        <f>IF(OR($AI182&gt;0,$AM182&gt;0,$AS182&gt;0), 1, 0)</f>
        <v>0</v>
      </c>
      <c r="V182" s="602">
        <f>[1]BDD!A172</f>
        <v>5107</v>
      </c>
      <c r="W182" s="601" t="str">
        <f>[1]BDD!B172</f>
        <v>Miel de montagne (Bocal en verre env. 1kg)</v>
      </c>
      <c r="X182" s="600" t="str">
        <f>IF([1]BDD!F172=0, "", [1]BDD!F172)</f>
        <v>❤️</v>
      </c>
      <c r="Y182" s="542">
        <f>ROUND([1]BDD!G172+FDP_CMD_KG, 2)</f>
        <v>13.6</v>
      </c>
      <c r="Z182" s="542">
        <f>ROUND([1]BDD!G172+FDP_FACT_KG, 2)</f>
        <v>13.6</v>
      </c>
      <c r="AA182" s="543" t="str">
        <f>[1]BDD!H172</f>
        <v>Pièce</v>
      </c>
      <c r="AB182" s="544">
        <f>IF(NOT(ISBLANK([1]BDD!I172)), ROUND(SUM(([1]BDD!G172*reduc1),FDP_CMD_KG), 2), "")</f>
        <v>12.33</v>
      </c>
      <c r="AC182" s="544" t="str">
        <f>IF(NOT(ISBLANK([1]BDD!J172)), ROUND(SUM(([1]BDD!G172*reduc2),FDP_CMD_KG), 2), "")</f>
        <v/>
      </c>
      <c r="AD182" s="544" t="str">
        <f>IF(NOT(ISBLANK([1]BDD!K172)), ROUND(SUM(([1]BDD!G172*reduc3),FDP_CMD_KG), 2), "")</f>
        <v/>
      </c>
      <c r="AE182" s="544">
        <f>IF(NOT(ISBLANK([1]BDD!I172)), ROUND(SUM(([1]BDD!G172*reduc1),FDP_FACT_KG), 2), "")</f>
        <v>12.32</v>
      </c>
      <c r="AF182" s="544" t="str">
        <f>IF(NOT(ISBLANK([1]BDD!J172)), ROUND(SUM(([1]BDD!G172*reduc2),FDP_FACT_KG), 2), "")</f>
        <v/>
      </c>
      <c r="AG182" s="544" t="str">
        <f>IF(NOT(ISBLANK([1]BDD!K172)), ROUND(SUM(([1]BDD!G172*reduc3),FDP_FACT_KG), 2), "")</f>
        <v/>
      </c>
      <c r="AH182" s="599" t="str">
        <f>[1]BDD!C172</f>
        <v>Grenade</v>
      </c>
      <c r="AI182" s="598">
        <f>SUM(AV182,AY182,BB182,BE182,BH182,BK182,BN182,BQ182,BT182,BW182,BZ182,CC182,CF182,CI182,CL182,CO182,CR182,CU182,CX182,DA182)</f>
        <v>0</v>
      </c>
      <c r="AJ182" s="545">
        <f>_xlfn.IFS($AD182&lt;&gt;"", $AD182,    $AC182&lt;&gt;"", $AC182,    $AB182&lt;&gt;"", $AB182,    TRUE, $Y182)</f>
        <v>12.33</v>
      </c>
      <c r="AK182" s="592">
        <f>$AI182*$AJ182</f>
        <v>0</v>
      </c>
      <c r="AL182" s="594"/>
      <c r="AM182" s="597"/>
      <c r="AN182" s="545">
        <f>_xlfn.IFS(AND(AM182&gt;=60,$AG182&lt;&gt;""), $AG182,    AND(AM182&gt;=30,$AF182&lt;&gt;""), $AF182,    AND(AM182&gt;=10,$AE182&lt;&gt;""), $AE182,    TRUE, $Z182)</f>
        <v>13.6</v>
      </c>
      <c r="AO182" s="596">
        <f>AM182*AN182</f>
        <v>0</v>
      </c>
      <c r="AP182" s="595"/>
      <c r="AQ182" s="595"/>
      <c r="AR182" s="594"/>
      <c r="AS182" s="593">
        <f>SUM(AW182,AZ182,BC182,BF182,BI182,BL182,BO182,BR182,BU182,BX182,CA182,CD182,CG182,CJ182,CM182,CP182,CS182,CV182,CY182,DB182)</f>
        <v>0</v>
      </c>
      <c r="AT182" s="545">
        <f>_xlfn.IFS(AND(AS182&gt;=60,$AG182&lt;&gt;""), $AG182,    AND(AS182&gt;=30,$AF182&lt;&gt;""), $AF182,    AND(AS182&gt;=10,$AE182&lt;&gt;""), $AE182,    TRUE, $Z182)</f>
        <v>13.6</v>
      </c>
      <c r="AU182" s="592">
        <f>$AS182*$AT182</f>
        <v>0</v>
      </c>
      <c r="AV182" s="591">
        <f>[1]COMMANDE!O180</f>
        <v>0</v>
      </c>
      <c r="AW182" s="586" t="str">
        <f>_xlfn.IFS(AND($AI182=$AM182,$AI182&gt;0,$AM182&gt;0,AV182&gt;0), AV182,     AND(NOT($AI182=$AM182),$AI182&gt;0,$AM182&gt;0,AV182&gt;0), ($AM182*AV182)/$AI182,     AND($AI182=0,$AM182&gt;0,$AQ182&gt;0), IF(INDEX(AV$12:AV$263,MATCH($AQ182,$AP$12:$AP$263,0))&gt;0,($AM182*INDEX(AV$12:AV$263,MATCH($AQ182,$AP$12:$AP$263,0)))/INDEX($AI$12:$AI$263,MATCH($AQ182,$AP$12:$AP$263,0)), "-"),     TRUE, "0")</f>
        <v>0</v>
      </c>
      <c r="AX182" s="588">
        <f>IF(AW$9&gt;0, IF(OR(AW182="",AW182="-"), 0, AW182*$AT182), AV182*$AJ182)</f>
        <v>0</v>
      </c>
      <c r="AY182" s="587">
        <f>[1]COMMANDE!Q180</f>
        <v>0</v>
      </c>
      <c r="AZ182" s="586" t="str">
        <f>_xlfn.IFS(AND($AI182=$AM182,$AI182&gt;0,$AM182&gt;0,AY182&gt;0), AY182,     AND(NOT($AI182=$AM182),$AI182&gt;0,$AM182&gt;0,AY182&gt;0), ($AM182*AY182)/$AI182,     AND($AI182=0,$AM182&gt;0,$AQ182&gt;0), IF(INDEX(AY$12:AY$263,MATCH($AQ182,$AP$12:$AP$263,0))&gt;0,($AM182*INDEX(AY$12:AY$263,MATCH($AQ182,$AP$12:$AP$263,0)))/INDEX($AI$12:$AI$263,MATCH($AQ182,$AP$12:$AP$263,0)), "-"),     TRUE, "0")</f>
        <v>0</v>
      </c>
      <c r="BA182" s="607">
        <f>IF(AZ$9&gt;0, IF(OR(AZ182="",AZ182="-"), 0, AZ182*$AT182), AY182*$AJ182)</f>
        <v>0</v>
      </c>
      <c r="BB182" s="589">
        <f>[1]COMMANDE!S180</f>
        <v>0</v>
      </c>
      <c r="BC182" s="586" t="str">
        <f>_xlfn.IFS(AND($AI182=$AM182,$AI182&gt;0,$AM182&gt;0,BB182&gt;0), BB182,     AND(NOT($AI182=$AM182),$AI182&gt;0,$AM182&gt;0,BB182&gt;0), ($AM182*BB182)/$AI182,     AND($AI182=0,$AM182&gt;0,$AQ182&gt;0), IF(INDEX(BB$12:BB$263,MATCH($AQ182,$AP$12:$AP$263,0))&gt;0,($AM182*INDEX(BB$12:BB$263,MATCH($AQ182,$AP$12:$AP$263,0)))/INDEX($AI$12:$AI$263,MATCH($AQ182,$AP$12:$AP$263,0)), "-"),     TRUE, "0")</f>
        <v>0</v>
      </c>
      <c r="BD182" s="588">
        <f>IF(BC$9&gt;0, IF(OR(BC182="",BC182="-"), 0, BC182*$AT182), BB182*$AJ182)</f>
        <v>0</v>
      </c>
      <c r="BE182" s="587">
        <f>[1]COMMANDE!U180</f>
        <v>0</v>
      </c>
      <c r="BF182" s="586" t="str">
        <f>_xlfn.IFS(AND($AI182=$AM182,$AI182&gt;0,$AM182&gt;0,BE182&gt;0), BE182,     AND(NOT($AI182=$AM182),$AI182&gt;0,$AM182&gt;0,BE182&gt;0), ($AM182*BE182)/$AI182,     AND($AI182=0,$AM182&gt;0,$AQ182&gt;0), IF(INDEX(BE$12:BE$263,MATCH($AQ182,$AP$12:$AP$263,0))&gt;0,($AM182*INDEX(BE$12:BE$263,MATCH($AQ182,$AP$12:$AP$263,0)))/INDEX($AI$12:$AI$263,MATCH($AQ182,$AP$12:$AP$263,0)), "-"),     TRUE, "0")</f>
        <v>0</v>
      </c>
      <c r="BG182" s="607">
        <f>IF(BF$9&gt;0, IF(OR(BF182="",BF182="-"), 0, BF182*$AT182), BE182*$AJ182)</f>
        <v>0</v>
      </c>
      <c r="BH182" s="589">
        <f>[1]COMMANDE!W180</f>
        <v>0</v>
      </c>
      <c r="BI182" s="586" t="str">
        <f>_xlfn.IFS(AND($AI182=$AM182,$AI182&gt;0,$AM182&gt;0,BH182&gt;0), BH182,     AND(NOT($AI182=$AM182),$AI182&gt;0,$AM182&gt;0,BH182&gt;0), ($AM182*BH182)/$AI182,     AND($AI182=0,$AM182&gt;0,$AQ182&gt;0), IF(INDEX(BH$12:BH$263,MATCH($AQ182,$AP$12:$AP$263,0))&gt;0,($AM182*INDEX(BH$12:BH$263,MATCH($AQ182,$AP$12:$AP$263,0)))/INDEX($AI$12:$AI$263,MATCH($AQ182,$AP$12:$AP$263,0)), "-"),     TRUE, "0")</f>
        <v>0</v>
      </c>
      <c r="BJ182" s="588">
        <f>IF(BI$9&gt;0, IF(OR(BI182="",BI182="-"), 0, BI182*$AT182), BH182*$AJ182)</f>
        <v>0</v>
      </c>
      <c r="BK182" s="587">
        <f>[1]COMMANDE!Y180</f>
        <v>0</v>
      </c>
      <c r="BL182" s="586" t="str">
        <f>_xlfn.IFS(AND($AI182=$AM182,$AI182&gt;0,$AM182&gt;0,BK182&gt;0), BK182,     AND(NOT($AI182=$AM182),$AI182&gt;0,$AM182&gt;0,BK182&gt;0), ($AM182*BK182)/$AI182,     AND($AI182=0,$AM182&gt;0,$AQ182&gt;0), IF(INDEX(BK$12:BK$263,MATCH($AQ182,$AP$12:$AP$263,0))&gt;0,($AM182*INDEX(BK$12:BK$263,MATCH($AQ182,$AP$12:$AP$263,0)))/INDEX($AI$12:$AI$263,MATCH($AQ182,$AP$12:$AP$263,0)), "-"),     TRUE, "0")</f>
        <v>0</v>
      </c>
      <c r="BM182" s="607">
        <f>IF(BL$9&gt;0, IF(OR(BL182="",BL182="-"), 0, BL182*$AT182), BK182*$AJ182)</f>
        <v>0</v>
      </c>
      <c r="BN182" s="589">
        <f>[1]COMMANDE!AA180</f>
        <v>0</v>
      </c>
      <c r="BO182" s="586" t="str">
        <f>_xlfn.IFS(AND($AI182=$AM182,$AI182&gt;0,$AM182&gt;0,BN182&gt;0), BN182,     AND(NOT($AI182=$AM182),$AI182&gt;0,$AM182&gt;0,BN182&gt;0), ($AM182*BN182)/$AI182,     AND($AI182=0,$AM182&gt;0,$AQ182&gt;0), IF(INDEX(BN$12:BN$263,MATCH($AQ182,$AP$12:$AP$263,0))&gt;0,($AM182*INDEX(BN$12:BN$263,MATCH($AQ182,$AP$12:$AP$263,0)))/INDEX($AI$12:$AI$263,MATCH($AQ182,$AP$12:$AP$263,0)), "-"),     TRUE, "0")</f>
        <v>0</v>
      </c>
      <c r="BP182" s="588">
        <f>IF(BO$9&gt;0, IF(OR(BO182="",BO182="-"), 0, BO182*$AT182), BN182*$AJ182)</f>
        <v>0</v>
      </c>
      <c r="BQ182" s="587">
        <f>[1]COMMANDE!AC180</f>
        <v>0</v>
      </c>
      <c r="BR182" s="586" t="str">
        <f>_xlfn.IFS(AND($AI182=$AM182,$AI182&gt;0,$AM182&gt;0,BQ182&gt;0), BQ182,     AND(NOT($AI182=$AM182),$AI182&gt;0,$AM182&gt;0,BQ182&gt;0), ($AM182*BQ182)/$AI182,     AND($AI182=0,$AM182&gt;0,$AQ182&gt;0), IF(INDEX(BQ$12:BQ$263,MATCH($AQ182,$AP$12:$AP$263,0))&gt;0,($AM182*INDEX(BQ$12:BQ$263,MATCH($AQ182,$AP$12:$AP$263,0)))/INDEX($AI$12:$AI$263,MATCH($AQ182,$AP$12:$AP$263,0)), "-"),     TRUE, "0")</f>
        <v>0</v>
      </c>
      <c r="BS182" s="607">
        <f>IF(BR$9&gt;0, IF(OR(BR182="",BR182="-"), 0, BR182*$AT182), BQ182*$AJ182)</f>
        <v>0</v>
      </c>
      <c r="BT182" s="589">
        <f>[1]COMMANDE!AE180</f>
        <v>0</v>
      </c>
      <c r="BU182" s="586" t="str">
        <f>_xlfn.IFS(AND($AI182=$AM182,$AI182&gt;0,$AM182&gt;0,BT182&gt;0), BT182,     AND(NOT($AI182=$AM182),$AI182&gt;0,$AM182&gt;0,BT182&gt;0), ($AM182*BT182)/$AI182,     AND($AI182=0,$AM182&gt;0,$AQ182&gt;0), IF(INDEX(BT$12:BT$263,MATCH($AQ182,$AP$12:$AP$263,0))&gt;0,($AM182*INDEX(BT$12:BT$263,MATCH($AQ182,$AP$12:$AP$263,0)))/INDEX($AI$12:$AI$263,MATCH($AQ182,$AP$12:$AP$263,0)), "-"),     TRUE, "0")</f>
        <v>0</v>
      </c>
      <c r="BV182" s="588">
        <f>IF(BU$9&gt;0, IF(OR(BU182="",BU182="-"), 0, BU182*$AT182), BT182*$AJ182)</f>
        <v>0</v>
      </c>
      <c r="BW182" s="587">
        <f>[1]COMMANDE!AG180</f>
        <v>0</v>
      </c>
      <c r="BX182" s="586" t="str">
        <f>_xlfn.IFS(AND($AI182=$AM182,$AI182&gt;0,$AM182&gt;0,BW182&gt;0), BW182,     AND(NOT($AI182=$AM182),$AI182&gt;0,$AM182&gt;0,BW182&gt;0), ($AM182*BW182)/$AI182,     AND($AI182=0,$AM182&gt;0,$AQ182&gt;0), IF(INDEX(BW$12:BW$263,MATCH($AQ182,$AP$12:$AP$263,0))&gt;0,($AM182*INDEX(BW$12:BW$263,MATCH($AQ182,$AP$12:$AP$263,0)))/INDEX($AI$12:$AI$263,MATCH($AQ182,$AP$12:$AP$263,0)), "-"),     TRUE, "0")</f>
        <v>0</v>
      </c>
      <c r="BY182" s="607">
        <f>IF(BX$9&gt;0, IF(OR(BX182="",BX182="-"), 0, BX182*$AT182), BW182*$AJ182)</f>
        <v>0</v>
      </c>
      <c r="BZ182" s="589">
        <f>[1]COMMANDE!AI180</f>
        <v>0</v>
      </c>
      <c r="CA182" s="586" t="str">
        <f>_xlfn.IFS(AND($AI182=$AM182,$AI182&gt;0,$AM182&gt;0,BZ182&gt;0), BZ182,     AND(NOT($AI182=$AM182),$AI182&gt;0,$AM182&gt;0,BZ182&gt;0), ($AM182*BZ182)/$AI182,     AND($AI182=0,$AM182&gt;0,$AQ182&gt;0), IF(INDEX(BZ$12:BZ$263,MATCH($AQ182,$AP$12:$AP$263,0))&gt;0,($AM182*INDEX(BZ$12:BZ$263,MATCH($AQ182,$AP$12:$AP$263,0)))/INDEX($AI$12:$AI$263,MATCH($AQ182,$AP$12:$AP$263,0)), "-"),     TRUE, "0")</f>
        <v>0</v>
      </c>
      <c r="CB182" s="588">
        <f>IF(CA$9&gt;0, IF(OR(CA182="",CA182="-"), 0, CA182*$AT182), BZ182*$AJ182)</f>
        <v>0</v>
      </c>
      <c r="CC182" s="587">
        <f>[1]COMMANDE!AK180</f>
        <v>0</v>
      </c>
      <c r="CD182" s="586" t="str">
        <f>_xlfn.IFS(AND($AI182=$AM182,$AI182&gt;0,$AM182&gt;0,CC182&gt;0), CC182,     AND(NOT($AI182=$AM182),$AI182&gt;0,$AM182&gt;0,CC182&gt;0), ($AM182*CC182)/$AI182,     AND($AI182=0,$AM182&gt;0,$AQ182&gt;0), IF(INDEX(CC$12:CC$263,MATCH($AQ182,$AP$12:$AP$263,0))&gt;0,($AM182*INDEX(CC$12:CC$263,MATCH($AQ182,$AP$12:$AP$263,0)))/INDEX($AI$12:$AI$263,MATCH($AQ182,$AP$12:$AP$263,0)), "-"),     TRUE, "0")</f>
        <v>0</v>
      </c>
      <c r="CE182" s="607">
        <f>IF(CD$9&gt;0, IF(OR(CD182="",CD182="-"), 0, CD182*$AT182), CC182*$AJ182)</f>
        <v>0</v>
      </c>
      <c r="CF182" s="589">
        <f>[1]COMMANDE!AM180</f>
        <v>0</v>
      </c>
      <c r="CG182" s="586" t="str">
        <f>_xlfn.IFS(AND($AI182=$AM182,$AI182&gt;0,$AM182&gt;0,CF182&gt;0), CF182,     AND(NOT($AI182=$AM182),$AI182&gt;0,$AM182&gt;0,CF182&gt;0), ($AM182*CF182)/$AI182,     AND($AI182=0,$AM182&gt;0,$AQ182&gt;0), IF(INDEX(CF$12:CF$263,MATCH($AQ182,$AP$12:$AP$263,0))&gt;0,($AM182*INDEX(CF$12:CF$263,MATCH($AQ182,$AP$12:$AP$263,0)))/INDEX($AI$12:$AI$263,MATCH($AQ182,$AP$12:$AP$263,0)), "-"),     TRUE, "0")</f>
        <v>0</v>
      </c>
      <c r="CH182" s="588">
        <f>IF(CG$9&gt;0, IF(OR(CG182="",CG182="-"), 0, CG182*$AT182), CF182*$AJ182)</f>
        <v>0</v>
      </c>
      <c r="CI182" s="587">
        <f>[1]COMMANDE!AO180</f>
        <v>0</v>
      </c>
      <c r="CJ182" s="586" t="str">
        <f>_xlfn.IFS(AND($AI182=$AM182,$AI182&gt;0,$AM182&gt;0,CI182&gt;0), CI182,     AND(NOT($AI182=$AM182),$AI182&gt;0,$AM182&gt;0,CI182&gt;0), ($AM182*CI182)/$AI182,     AND($AI182=0,$AM182&gt;0,$AQ182&gt;0), IF(INDEX(CI$12:CI$263,MATCH($AQ182,$AP$12:$AP$263,0))&gt;0,($AM182*INDEX(CI$12:CI$263,MATCH($AQ182,$AP$12:$AP$263,0)))/INDEX($AI$12:$AI$263,MATCH($AQ182,$AP$12:$AP$263,0)), "-"),     TRUE, "0")</f>
        <v>0</v>
      </c>
      <c r="CK182" s="607">
        <f>IF(CJ$9&gt;0, IF(OR(CJ182="",CJ182="-"), 0, CJ182*$AT182), CI182*$AJ182)</f>
        <v>0</v>
      </c>
      <c r="CL182" s="589">
        <f>[1]COMMANDE!AQ180</f>
        <v>0</v>
      </c>
      <c r="CM182" s="586" t="str">
        <f>_xlfn.IFS(AND($AI182=$AM182,$AI182&gt;0,$AM182&gt;0,CL182&gt;0), CL182,     AND(NOT($AI182=$AM182),$AI182&gt;0,$AM182&gt;0,CL182&gt;0), ($AM182*CL182)/$AI182,     AND($AI182=0,$AM182&gt;0,$AQ182&gt;0), IF(INDEX(CL$12:CL$263,MATCH($AQ182,$AP$12:$AP$263,0))&gt;0,($AM182*INDEX(CL$12:CL$263,MATCH($AQ182,$AP$12:$AP$263,0)))/INDEX($AI$12:$AI$263,MATCH($AQ182,$AP$12:$AP$263,0)), "-"),     TRUE, "0")</f>
        <v>0</v>
      </c>
      <c r="CN182" s="588">
        <f>IF(CM$9&gt;0, IF(OR(CM182="",CM182="-"), 0, CM182*$AT182), CL182*$AJ182)</f>
        <v>0</v>
      </c>
      <c r="CO182" s="587">
        <f>[1]COMMANDE!AS180</f>
        <v>0</v>
      </c>
      <c r="CP182" s="586" t="str">
        <f>_xlfn.IFS(AND($AI182=$AM182,$AI182&gt;0,$AM182&gt;0,CO182&gt;0), CO182,     AND(NOT($AI182=$AM182),$AI182&gt;0,$AM182&gt;0,CO182&gt;0), ($AM182*CO182)/$AI182,     AND($AI182=0,$AM182&gt;0,$AQ182&gt;0), IF(INDEX(CO$12:CO$263,MATCH($AQ182,$AP$12:$AP$263,0))&gt;0,($AM182*INDEX(CO$12:CO$263,MATCH($AQ182,$AP$12:$AP$263,0)))/INDEX($AI$12:$AI$263,MATCH($AQ182,$AP$12:$AP$263,0)), "-"),     TRUE, "0")</f>
        <v>0</v>
      </c>
      <c r="CQ182" s="607">
        <f>IF(CP$9&gt;0, IF(OR(CP182="",CP182="-"), 0, CP182*$AT182), CO182*$AJ182)</f>
        <v>0</v>
      </c>
      <c r="CR182" s="589">
        <f>[1]COMMANDE!AU180</f>
        <v>0</v>
      </c>
      <c r="CS182" s="586" t="str">
        <f>_xlfn.IFS(AND($AI182=$AM182,$AI182&gt;0,$AM182&gt;0,CR182&gt;0), CR182,     AND(NOT($AI182=$AM182),$AI182&gt;0,$AM182&gt;0,CR182&gt;0), ($AM182*CR182)/$AI182,     AND($AI182=0,$AM182&gt;0,$AQ182&gt;0), IF(INDEX(CR$12:CR$263,MATCH($AQ182,$AP$12:$AP$263,0))&gt;0,($AM182*INDEX(CR$12:CR$263,MATCH($AQ182,$AP$12:$AP$263,0)))/INDEX($AI$12:$AI$263,MATCH($AQ182,$AP$12:$AP$263,0)), "-"),     TRUE, "0")</f>
        <v>0</v>
      </c>
      <c r="CT182" s="588">
        <f>IF(CS$9&gt;0, IF(OR(CS182="",CS182="-"), 0, CS182*$AT182), CR182*$AJ182)</f>
        <v>0</v>
      </c>
      <c r="CU182" s="587">
        <f>[1]COMMANDE!AW180</f>
        <v>0</v>
      </c>
      <c r="CV182" s="586" t="str">
        <f>_xlfn.IFS(AND($AI182=$AM182,$AI182&gt;0,$AM182&gt;0,CU182&gt;0), CU182,     AND(NOT($AI182=$AM182),$AI182&gt;0,$AM182&gt;0,CU182&gt;0), ($AM182*CU182)/$AI182,     AND($AI182=0,$AM182&gt;0,$AQ182&gt;0), IF(INDEX(CU$12:CU$263,MATCH($AQ182,$AP$12:$AP$263,0))&gt;0,($AM182*INDEX(CU$12:CU$263,MATCH($AQ182,$AP$12:$AP$263,0)))/INDEX($AI$12:$AI$263,MATCH($AQ182,$AP$12:$AP$263,0)), "-"),     TRUE, "0")</f>
        <v>0</v>
      </c>
      <c r="CW182" s="607">
        <f>IF(CV$9&gt;0, IF(OR(CV182="",CV182="-"), 0, CV182*$AT182), CU182*$AJ182)</f>
        <v>0</v>
      </c>
      <c r="CX182" s="589">
        <f>[1]COMMANDE!AY180</f>
        <v>0</v>
      </c>
      <c r="CY182" s="586" t="str">
        <f>_xlfn.IFS(AND($AI182=$AM182,$AI182&gt;0,$AM182&gt;0,CX182&gt;0), CX182,     AND(NOT($AI182=$AM182),$AI182&gt;0,$AM182&gt;0,CX182&gt;0), ($AM182*CX182)/$AI182,     AND($AI182=0,$AM182&gt;0,$AQ182&gt;0), IF(INDEX(CX$12:CX$263,MATCH($AQ182,$AP$12:$AP$263,0))&gt;0,($AM182*INDEX(CX$12:CX$263,MATCH($AQ182,$AP$12:$AP$263,0)))/INDEX($AI$12:$AI$263,MATCH($AQ182,$AP$12:$AP$263,0)), "-"),     TRUE, "0")</f>
        <v>0</v>
      </c>
      <c r="CZ182" s="588">
        <f>IF(CY$9&gt;0, IF(OR(CY182="",CY182="-"), 0, CY182*$AT182), CX182*$AJ182)</f>
        <v>0</v>
      </c>
      <c r="DA182" s="587">
        <f>[1]COMMANDE!BA180</f>
        <v>0</v>
      </c>
      <c r="DB182" s="586" t="str">
        <f>_xlfn.IFS(AND($AI182=$AM182,$AI182&gt;0,$AM182&gt;0,DA182&gt;0), DA182,     AND(NOT($AI182=$AM182),$AI182&gt;0,$AM182&gt;0,DA182&gt;0), ($AM182*DA182)/$AI182,     AND($AI182=0,$AM182&gt;0,$AQ182&gt;0), IF(INDEX(DA$12:DA$263,MATCH($AQ182,$AP$12:$AP$263,0))&gt;0,($AM182*INDEX(DA$12:DA$263,MATCH($AQ182,$AP$12:$AP$263,0)))/INDEX($AI$12:$AI$263,MATCH($AQ182,$AP$12:$AP$263,0)), "-"),     TRUE, "0")</f>
        <v>0</v>
      </c>
      <c r="DC182" s="606">
        <f>IF(DB$9&gt;0, IF(OR(DB182="",DB182="-"), 0, DB182*$AT182), DA182*$AJ182)</f>
        <v>0</v>
      </c>
      <c r="DD182" s="584"/>
      <c r="DE182" s="583"/>
    </row>
    <row r="183" spans="1:109" ht="39.950000000000003" hidden="1" customHeight="1">
      <c r="A183" s="604">
        <f>IF(OR($AV183&gt;0, $AX183&gt;0), 1, 0)</f>
        <v>0</v>
      </c>
      <c r="B183" s="604">
        <f>IF(OR($AY183&gt;0, $BA183&gt;0), 1, 0)</f>
        <v>0</v>
      </c>
      <c r="C183" s="604">
        <f>IF(OR($BB183&gt;0, $BD183&gt;0), 1, 0)</f>
        <v>0</v>
      </c>
      <c r="D183" s="604">
        <f>IF(OR($BE183&gt;0, $BG183&gt;0), 1, 0)</f>
        <v>0</v>
      </c>
      <c r="E183" s="604">
        <f>IF(OR($BH183&gt;0, $BJ183&gt;0), 1, 0)</f>
        <v>0</v>
      </c>
      <c r="F183" s="604">
        <f>IF(OR($BK183&gt;0, $BM183&gt;0), 1, 0)</f>
        <v>0</v>
      </c>
      <c r="G183" s="604">
        <f>IF(OR($BN183&gt;0, $BP183&gt;0), 1, 0)</f>
        <v>0</v>
      </c>
      <c r="H183" s="604">
        <f>IF(OR($BQ183&gt;0, $BS183&gt;0), 1, 0)</f>
        <v>0</v>
      </c>
      <c r="I183" s="604">
        <f>IF(OR($BT183&gt;0, $BV183&gt;0), 1, 0)</f>
        <v>0</v>
      </c>
      <c r="J183" s="604">
        <f>IF(OR($BW183&gt;0, $BY183&gt;0), 1, 0)</f>
        <v>0</v>
      </c>
      <c r="K183" s="604">
        <f>IF(OR($BZ183&gt;0, $CB183&gt;0), 1, 0)</f>
        <v>0</v>
      </c>
      <c r="L183" s="604">
        <f>IF(OR($CC183&gt;0, $CE183&gt;0), 1, 0)</f>
        <v>0</v>
      </c>
      <c r="M183" s="604">
        <f>IF(OR($CF183&gt;0, $CH183&gt;0), 1, 0)</f>
        <v>0</v>
      </c>
      <c r="N183" s="604">
        <f>IF(OR($CI183&gt;0, $CK183&gt;0), 1, 0)</f>
        <v>0</v>
      </c>
      <c r="O183" s="604">
        <f>IF(OR($CL183&gt;0, $CN183&gt;0), 1, 0)</f>
        <v>0</v>
      </c>
      <c r="P183" s="604">
        <f>IF(OR($CO183&gt;0, $CQ183&gt;0), 1, 0)</f>
        <v>0</v>
      </c>
      <c r="Q183" s="604">
        <f>IF(OR($CR183&gt;0, $CT183&gt;0), 1, 0)</f>
        <v>0</v>
      </c>
      <c r="R183" s="604">
        <f>IF(OR($CU183&gt;0, $CW183&gt;0), 1, 0)</f>
        <v>0</v>
      </c>
      <c r="S183" s="604">
        <f>IF(OR($CX183&gt;0, $CZ183&gt;0), 1, 0)</f>
        <v>0</v>
      </c>
      <c r="T183" s="604">
        <f>IF(OR($DA183&gt;0, $DC183&gt;0), 1, 0)</f>
        <v>0</v>
      </c>
      <c r="U183" s="603">
        <f>IF(OR($AI183&gt;0,$AM183&gt;0,$AS183&gt;0), 1, 0)</f>
        <v>0</v>
      </c>
      <c r="V183" s="602">
        <f>[1]BDD!A173</f>
        <v>3585</v>
      </c>
      <c r="W183" s="601" t="str">
        <f>[1]BDD!B173</f>
        <v>Miel de Romarin (Bocal en verre env. 1kg)</v>
      </c>
      <c r="X183" s="600" t="str">
        <f>IF([1]BDD!F173=0, "", [1]BDD!F173)</f>
        <v>❤️</v>
      </c>
      <c r="Y183" s="542">
        <f>ROUND([1]BDD!G173+FDP_CMD_KG, 2)</f>
        <v>13.6</v>
      </c>
      <c r="Z183" s="542">
        <f>ROUND([1]BDD!G173+FDP_FACT_KG, 2)</f>
        <v>13.6</v>
      </c>
      <c r="AA183" s="543" t="str">
        <f>[1]BDD!H173</f>
        <v>Pièce</v>
      </c>
      <c r="AB183" s="544">
        <f>IF(NOT(ISBLANK([1]BDD!I173)), ROUND(SUM(([1]BDD!G173*reduc1),FDP_CMD_KG), 2), "")</f>
        <v>12.33</v>
      </c>
      <c r="AC183" s="544" t="str">
        <f>IF(NOT(ISBLANK([1]BDD!J173)), ROUND(SUM(([1]BDD!G173*reduc2),FDP_CMD_KG), 2), "")</f>
        <v/>
      </c>
      <c r="AD183" s="544" t="str">
        <f>IF(NOT(ISBLANK([1]BDD!K173)), ROUND(SUM(([1]BDD!G173*reduc3),FDP_CMD_KG), 2), "")</f>
        <v/>
      </c>
      <c r="AE183" s="544">
        <f>IF(NOT(ISBLANK([1]BDD!I173)), ROUND(SUM(([1]BDD!G173*reduc1),FDP_FACT_KG), 2), "")</f>
        <v>12.32</v>
      </c>
      <c r="AF183" s="544" t="str">
        <f>IF(NOT(ISBLANK([1]BDD!J173)), ROUND(SUM(([1]BDD!G173*reduc2),FDP_FACT_KG), 2), "")</f>
        <v/>
      </c>
      <c r="AG183" s="544" t="str">
        <f>IF(NOT(ISBLANK([1]BDD!K173)), ROUND(SUM(([1]BDD!G173*reduc3),FDP_FACT_KG), 2), "")</f>
        <v/>
      </c>
      <c r="AH183" s="599" t="str">
        <f>[1]BDD!C173</f>
        <v>Grenade</v>
      </c>
      <c r="AI183" s="598">
        <f>SUM(AV183,AY183,BB183,BE183,BH183,BK183,BN183,BQ183,BT183,BW183,BZ183,CC183,CF183,CI183,CL183,CO183,CR183,CU183,CX183,DA183)</f>
        <v>0</v>
      </c>
      <c r="AJ183" s="545">
        <f>_xlfn.IFS($AD183&lt;&gt;"", $AD183,    $AC183&lt;&gt;"", $AC183,    $AB183&lt;&gt;"", $AB183,    TRUE, $Y183)</f>
        <v>12.33</v>
      </c>
      <c r="AK183" s="592">
        <f>$AI183*$AJ183</f>
        <v>0</v>
      </c>
      <c r="AL183" s="594"/>
      <c r="AM183" s="597"/>
      <c r="AN183" s="545">
        <f>_xlfn.IFS(AND(AM183&gt;=60,$AG183&lt;&gt;""), $AG183,    AND(AM183&gt;=30,$AF183&lt;&gt;""), $AF183,    AND(AM183&gt;=10,$AE183&lt;&gt;""), $AE183,    TRUE, $Z183)</f>
        <v>13.6</v>
      </c>
      <c r="AO183" s="596">
        <f>AM183*AN183</f>
        <v>0</v>
      </c>
      <c r="AP183" s="595"/>
      <c r="AQ183" s="595"/>
      <c r="AR183" s="594"/>
      <c r="AS183" s="593">
        <f>SUM(AW183,AZ183,BC183,BF183,BI183,BL183,BO183,BR183,BU183,BX183,CA183,CD183,CG183,CJ183,CM183,CP183,CS183,CV183,CY183,DB183)</f>
        <v>0</v>
      </c>
      <c r="AT183" s="545">
        <f>_xlfn.IFS(AND(AS183&gt;=60,$AG183&lt;&gt;""), $AG183,    AND(AS183&gt;=30,$AF183&lt;&gt;""), $AF183,    AND(AS183&gt;=10,$AE183&lt;&gt;""), $AE183,    TRUE, $Z183)</f>
        <v>13.6</v>
      </c>
      <c r="AU183" s="592">
        <f>$AS183*$AT183</f>
        <v>0</v>
      </c>
      <c r="AV183" s="591">
        <f>[1]COMMANDE!O181</f>
        <v>0</v>
      </c>
      <c r="AW183" s="586" t="str">
        <f>_xlfn.IFS(AND($AI183=$AM183,$AI183&gt;0,$AM183&gt;0,AV183&gt;0), AV183,     AND(NOT($AI183=$AM183),$AI183&gt;0,$AM183&gt;0,AV183&gt;0), ($AM183*AV183)/$AI183,     AND($AI183=0,$AM183&gt;0,$AQ183&gt;0), IF(INDEX(AV$12:AV$263,MATCH($AQ183,$AP$12:$AP$263,0))&gt;0,($AM183*INDEX(AV$12:AV$263,MATCH($AQ183,$AP$12:$AP$263,0)))/INDEX($AI$12:$AI$263,MATCH($AQ183,$AP$12:$AP$263,0)), "-"),     TRUE, "0")</f>
        <v>0</v>
      </c>
      <c r="AX183" s="588">
        <f>IF(AW$9&gt;0, IF(OR(AW183="",AW183="-"), 0, AW183*$AT183), AV183*$AJ183)</f>
        <v>0</v>
      </c>
      <c r="AY183" s="587">
        <f>[1]COMMANDE!Q181</f>
        <v>0</v>
      </c>
      <c r="AZ183" s="586" t="str">
        <f>_xlfn.IFS(AND($AI183=$AM183,$AI183&gt;0,$AM183&gt;0,AY183&gt;0), AY183,     AND(NOT($AI183=$AM183),$AI183&gt;0,$AM183&gt;0,AY183&gt;0), ($AM183*AY183)/$AI183,     AND($AI183=0,$AM183&gt;0,$AQ183&gt;0), IF(INDEX(AY$12:AY$263,MATCH($AQ183,$AP$12:$AP$263,0))&gt;0,($AM183*INDEX(AY$12:AY$263,MATCH($AQ183,$AP$12:$AP$263,0)))/INDEX($AI$12:$AI$263,MATCH($AQ183,$AP$12:$AP$263,0)), "-"),     TRUE, "0")</f>
        <v>0</v>
      </c>
      <c r="BA183" s="607">
        <f>IF(AZ$9&gt;0, IF(OR(AZ183="",AZ183="-"), 0, AZ183*$AT183), AY183*$AJ183)</f>
        <v>0</v>
      </c>
      <c r="BB183" s="589">
        <f>[1]COMMANDE!S181</f>
        <v>0</v>
      </c>
      <c r="BC183" s="586" t="str">
        <f>_xlfn.IFS(AND($AI183=$AM183,$AI183&gt;0,$AM183&gt;0,BB183&gt;0), BB183,     AND(NOT($AI183=$AM183),$AI183&gt;0,$AM183&gt;0,BB183&gt;0), ($AM183*BB183)/$AI183,     AND($AI183=0,$AM183&gt;0,$AQ183&gt;0), IF(INDEX(BB$12:BB$263,MATCH($AQ183,$AP$12:$AP$263,0))&gt;0,($AM183*INDEX(BB$12:BB$263,MATCH($AQ183,$AP$12:$AP$263,0)))/INDEX($AI$12:$AI$263,MATCH($AQ183,$AP$12:$AP$263,0)), "-"),     TRUE, "0")</f>
        <v>0</v>
      </c>
      <c r="BD183" s="588">
        <f>IF(BC$9&gt;0, IF(OR(BC183="",BC183="-"), 0, BC183*$AT183), BB183*$AJ183)</f>
        <v>0</v>
      </c>
      <c r="BE183" s="587">
        <f>[1]COMMANDE!U181</f>
        <v>0</v>
      </c>
      <c r="BF183" s="586" t="str">
        <f>_xlfn.IFS(AND($AI183=$AM183,$AI183&gt;0,$AM183&gt;0,BE183&gt;0), BE183,     AND(NOT($AI183=$AM183),$AI183&gt;0,$AM183&gt;0,BE183&gt;0), ($AM183*BE183)/$AI183,     AND($AI183=0,$AM183&gt;0,$AQ183&gt;0), IF(INDEX(BE$12:BE$263,MATCH($AQ183,$AP$12:$AP$263,0))&gt;0,($AM183*INDEX(BE$12:BE$263,MATCH($AQ183,$AP$12:$AP$263,0)))/INDEX($AI$12:$AI$263,MATCH($AQ183,$AP$12:$AP$263,0)), "-"),     TRUE, "0")</f>
        <v>0</v>
      </c>
      <c r="BG183" s="607">
        <f>IF(BF$9&gt;0, IF(OR(BF183="",BF183="-"), 0, BF183*$AT183), BE183*$AJ183)</f>
        <v>0</v>
      </c>
      <c r="BH183" s="589">
        <f>[1]COMMANDE!W181</f>
        <v>0</v>
      </c>
      <c r="BI183" s="586" t="str">
        <f>_xlfn.IFS(AND($AI183=$AM183,$AI183&gt;0,$AM183&gt;0,BH183&gt;0), BH183,     AND(NOT($AI183=$AM183),$AI183&gt;0,$AM183&gt;0,BH183&gt;0), ($AM183*BH183)/$AI183,     AND($AI183=0,$AM183&gt;0,$AQ183&gt;0), IF(INDEX(BH$12:BH$263,MATCH($AQ183,$AP$12:$AP$263,0))&gt;0,($AM183*INDEX(BH$12:BH$263,MATCH($AQ183,$AP$12:$AP$263,0)))/INDEX($AI$12:$AI$263,MATCH($AQ183,$AP$12:$AP$263,0)), "-"),     TRUE, "0")</f>
        <v>0</v>
      </c>
      <c r="BJ183" s="588">
        <f>IF(BI$9&gt;0, IF(OR(BI183="",BI183="-"), 0, BI183*$AT183), BH183*$AJ183)</f>
        <v>0</v>
      </c>
      <c r="BK183" s="587">
        <f>[1]COMMANDE!Y181</f>
        <v>0</v>
      </c>
      <c r="BL183" s="586" t="str">
        <f>_xlfn.IFS(AND($AI183=$AM183,$AI183&gt;0,$AM183&gt;0,BK183&gt;0), BK183,     AND(NOT($AI183=$AM183),$AI183&gt;0,$AM183&gt;0,BK183&gt;0), ($AM183*BK183)/$AI183,     AND($AI183=0,$AM183&gt;0,$AQ183&gt;0), IF(INDEX(BK$12:BK$263,MATCH($AQ183,$AP$12:$AP$263,0))&gt;0,($AM183*INDEX(BK$12:BK$263,MATCH($AQ183,$AP$12:$AP$263,0)))/INDEX($AI$12:$AI$263,MATCH($AQ183,$AP$12:$AP$263,0)), "-"),     TRUE, "0")</f>
        <v>0</v>
      </c>
      <c r="BM183" s="607">
        <f>IF(BL$9&gt;0, IF(OR(BL183="",BL183="-"), 0, BL183*$AT183), BK183*$AJ183)</f>
        <v>0</v>
      </c>
      <c r="BN183" s="589">
        <f>[1]COMMANDE!AA181</f>
        <v>0</v>
      </c>
      <c r="BO183" s="586" t="str">
        <f>_xlfn.IFS(AND($AI183=$AM183,$AI183&gt;0,$AM183&gt;0,BN183&gt;0), BN183,     AND(NOT($AI183=$AM183),$AI183&gt;0,$AM183&gt;0,BN183&gt;0), ($AM183*BN183)/$AI183,     AND($AI183=0,$AM183&gt;0,$AQ183&gt;0), IF(INDEX(BN$12:BN$263,MATCH($AQ183,$AP$12:$AP$263,0))&gt;0,($AM183*INDEX(BN$12:BN$263,MATCH($AQ183,$AP$12:$AP$263,0)))/INDEX($AI$12:$AI$263,MATCH($AQ183,$AP$12:$AP$263,0)), "-"),     TRUE, "0")</f>
        <v>0</v>
      </c>
      <c r="BP183" s="588">
        <f>IF(BO$9&gt;0, IF(OR(BO183="",BO183="-"), 0, BO183*$AT183), BN183*$AJ183)</f>
        <v>0</v>
      </c>
      <c r="BQ183" s="587">
        <f>[1]COMMANDE!AC181</f>
        <v>0</v>
      </c>
      <c r="BR183" s="586" t="str">
        <f>_xlfn.IFS(AND($AI183=$AM183,$AI183&gt;0,$AM183&gt;0,BQ183&gt;0), BQ183,     AND(NOT($AI183=$AM183),$AI183&gt;0,$AM183&gt;0,BQ183&gt;0), ($AM183*BQ183)/$AI183,     AND($AI183=0,$AM183&gt;0,$AQ183&gt;0), IF(INDEX(BQ$12:BQ$263,MATCH($AQ183,$AP$12:$AP$263,0))&gt;0,($AM183*INDEX(BQ$12:BQ$263,MATCH($AQ183,$AP$12:$AP$263,0)))/INDEX($AI$12:$AI$263,MATCH($AQ183,$AP$12:$AP$263,0)), "-"),     TRUE, "0")</f>
        <v>0</v>
      </c>
      <c r="BS183" s="607">
        <f>IF(BR$9&gt;0, IF(OR(BR183="",BR183="-"), 0, BR183*$AT183), BQ183*$AJ183)</f>
        <v>0</v>
      </c>
      <c r="BT183" s="589">
        <f>[1]COMMANDE!AE181</f>
        <v>0</v>
      </c>
      <c r="BU183" s="586" t="str">
        <f>_xlfn.IFS(AND($AI183=$AM183,$AI183&gt;0,$AM183&gt;0,BT183&gt;0), BT183,     AND(NOT($AI183=$AM183),$AI183&gt;0,$AM183&gt;0,BT183&gt;0), ($AM183*BT183)/$AI183,     AND($AI183=0,$AM183&gt;0,$AQ183&gt;0), IF(INDEX(BT$12:BT$263,MATCH($AQ183,$AP$12:$AP$263,0))&gt;0,($AM183*INDEX(BT$12:BT$263,MATCH($AQ183,$AP$12:$AP$263,0)))/INDEX($AI$12:$AI$263,MATCH($AQ183,$AP$12:$AP$263,0)), "-"),     TRUE, "0")</f>
        <v>0</v>
      </c>
      <c r="BV183" s="588">
        <f>IF(BU$9&gt;0, IF(OR(BU183="",BU183="-"), 0, BU183*$AT183), BT183*$AJ183)</f>
        <v>0</v>
      </c>
      <c r="BW183" s="587">
        <f>[1]COMMANDE!AG181</f>
        <v>0</v>
      </c>
      <c r="BX183" s="586" t="str">
        <f>_xlfn.IFS(AND($AI183=$AM183,$AI183&gt;0,$AM183&gt;0,BW183&gt;0), BW183,     AND(NOT($AI183=$AM183),$AI183&gt;0,$AM183&gt;0,BW183&gt;0), ($AM183*BW183)/$AI183,     AND($AI183=0,$AM183&gt;0,$AQ183&gt;0), IF(INDEX(BW$12:BW$263,MATCH($AQ183,$AP$12:$AP$263,0))&gt;0,($AM183*INDEX(BW$12:BW$263,MATCH($AQ183,$AP$12:$AP$263,0)))/INDEX($AI$12:$AI$263,MATCH($AQ183,$AP$12:$AP$263,0)), "-"),     TRUE, "0")</f>
        <v>0</v>
      </c>
      <c r="BY183" s="607">
        <f>IF(BX$9&gt;0, IF(OR(BX183="",BX183="-"), 0, BX183*$AT183), BW183*$AJ183)</f>
        <v>0</v>
      </c>
      <c r="BZ183" s="589">
        <f>[1]COMMANDE!AI181</f>
        <v>0</v>
      </c>
      <c r="CA183" s="586" t="str">
        <f>_xlfn.IFS(AND($AI183=$AM183,$AI183&gt;0,$AM183&gt;0,BZ183&gt;0), BZ183,     AND(NOT($AI183=$AM183),$AI183&gt;0,$AM183&gt;0,BZ183&gt;0), ($AM183*BZ183)/$AI183,     AND($AI183=0,$AM183&gt;0,$AQ183&gt;0), IF(INDEX(BZ$12:BZ$263,MATCH($AQ183,$AP$12:$AP$263,0))&gt;0,($AM183*INDEX(BZ$12:BZ$263,MATCH($AQ183,$AP$12:$AP$263,0)))/INDEX($AI$12:$AI$263,MATCH($AQ183,$AP$12:$AP$263,0)), "-"),     TRUE, "0")</f>
        <v>0</v>
      </c>
      <c r="CB183" s="588">
        <f>IF(CA$9&gt;0, IF(OR(CA183="",CA183="-"), 0, CA183*$AT183), BZ183*$AJ183)</f>
        <v>0</v>
      </c>
      <c r="CC183" s="587">
        <f>[1]COMMANDE!AK181</f>
        <v>0</v>
      </c>
      <c r="CD183" s="586" t="str">
        <f>_xlfn.IFS(AND($AI183=$AM183,$AI183&gt;0,$AM183&gt;0,CC183&gt;0), CC183,     AND(NOT($AI183=$AM183),$AI183&gt;0,$AM183&gt;0,CC183&gt;0), ($AM183*CC183)/$AI183,     AND($AI183=0,$AM183&gt;0,$AQ183&gt;0), IF(INDEX(CC$12:CC$263,MATCH($AQ183,$AP$12:$AP$263,0))&gt;0,($AM183*INDEX(CC$12:CC$263,MATCH($AQ183,$AP$12:$AP$263,0)))/INDEX($AI$12:$AI$263,MATCH($AQ183,$AP$12:$AP$263,0)), "-"),     TRUE, "0")</f>
        <v>0</v>
      </c>
      <c r="CE183" s="607">
        <f>IF(CD$9&gt;0, IF(OR(CD183="",CD183="-"), 0, CD183*$AT183), CC183*$AJ183)</f>
        <v>0</v>
      </c>
      <c r="CF183" s="589">
        <f>[1]COMMANDE!AM181</f>
        <v>0</v>
      </c>
      <c r="CG183" s="586" t="str">
        <f>_xlfn.IFS(AND($AI183=$AM183,$AI183&gt;0,$AM183&gt;0,CF183&gt;0), CF183,     AND(NOT($AI183=$AM183),$AI183&gt;0,$AM183&gt;0,CF183&gt;0), ($AM183*CF183)/$AI183,     AND($AI183=0,$AM183&gt;0,$AQ183&gt;0), IF(INDEX(CF$12:CF$263,MATCH($AQ183,$AP$12:$AP$263,0))&gt;0,($AM183*INDEX(CF$12:CF$263,MATCH($AQ183,$AP$12:$AP$263,0)))/INDEX($AI$12:$AI$263,MATCH($AQ183,$AP$12:$AP$263,0)), "-"),     TRUE, "0")</f>
        <v>0</v>
      </c>
      <c r="CH183" s="588">
        <f>IF(CG$9&gt;0, IF(OR(CG183="",CG183="-"), 0, CG183*$AT183), CF183*$AJ183)</f>
        <v>0</v>
      </c>
      <c r="CI183" s="587">
        <f>[1]COMMANDE!AO181</f>
        <v>0</v>
      </c>
      <c r="CJ183" s="586" t="str">
        <f>_xlfn.IFS(AND($AI183=$AM183,$AI183&gt;0,$AM183&gt;0,CI183&gt;0), CI183,     AND(NOT($AI183=$AM183),$AI183&gt;0,$AM183&gt;0,CI183&gt;0), ($AM183*CI183)/$AI183,     AND($AI183=0,$AM183&gt;0,$AQ183&gt;0), IF(INDEX(CI$12:CI$263,MATCH($AQ183,$AP$12:$AP$263,0))&gt;0,($AM183*INDEX(CI$12:CI$263,MATCH($AQ183,$AP$12:$AP$263,0)))/INDEX($AI$12:$AI$263,MATCH($AQ183,$AP$12:$AP$263,0)), "-"),     TRUE, "0")</f>
        <v>0</v>
      </c>
      <c r="CK183" s="607">
        <f>IF(CJ$9&gt;0, IF(OR(CJ183="",CJ183="-"), 0, CJ183*$AT183), CI183*$AJ183)</f>
        <v>0</v>
      </c>
      <c r="CL183" s="589">
        <f>[1]COMMANDE!AQ181</f>
        <v>0</v>
      </c>
      <c r="CM183" s="586" t="str">
        <f>_xlfn.IFS(AND($AI183=$AM183,$AI183&gt;0,$AM183&gt;0,CL183&gt;0), CL183,     AND(NOT($AI183=$AM183),$AI183&gt;0,$AM183&gt;0,CL183&gt;0), ($AM183*CL183)/$AI183,     AND($AI183=0,$AM183&gt;0,$AQ183&gt;0), IF(INDEX(CL$12:CL$263,MATCH($AQ183,$AP$12:$AP$263,0))&gt;0,($AM183*INDEX(CL$12:CL$263,MATCH($AQ183,$AP$12:$AP$263,0)))/INDEX($AI$12:$AI$263,MATCH($AQ183,$AP$12:$AP$263,0)), "-"),     TRUE, "0")</f>
        <v>0</v>
      </c>
      <c r="CN183" s="588">
        <f>IF(CM$9&gt;0, IF(OR(CM183="",CM183="-"), 0, CM183*$AT183), CL183*$AJ183)</f>
        <v>0</v>
      </c>
      <c r="CO183" s="587">
        <f>[1]COMMANDE!AS181</f>
        <v>0</v>
      </c>
      <c r="CP183" s="586" t="str">
        <f>_xlfn.IFS(AND($AI183=$AM183,$AI183&gt;0,$AM183&gt;0,CO183&gt;0), CO183,     AND(NOT($AI183=$AM183),$AI183&gt;0,$AM183&gt;0,CO183&gt;0), ($AM183*CO183)/$AI183,     AND($AI183=0,$AM183&gt;0,$AQ183&gt;0), IF(INDEX(CO$12:CO$263,MATCH($AQ183,$AP$12:$AP$263,0))&gt;0,($AM183*INDEX(CO$12:CO$263,MATCH($AQ183,$AP$12:$AP$263,0)))/INDEX($AI$12:$AI$263,MATCH($AQ183,$AP$12:$AP$263,0)), "-"),     TRUE, "0")</f>
        <v>0</v>
      </c>
      <c r="CQ183" s="607">
        <f>IF(CP$9&gt;0, IF(OR(CP183="",CP183="-"), 0, CP183*$AT183), CO183*$AJ183)</f>
        <v>0</v>
      </c>
      <c r="CR183" s="589">
        <f>[1]COMMANDE!AU181</f>
        <v>0</v>
      </c>
      <c r="CS183" s="586" t="str">
        <f>_xlfn.IFS(AND($AI183=$AM183,$AI183&gt;0,$AM183&gt;0,CR183&gt;0), CR183,     AND(NOT($AI183=$AM183),$AI183&gt;0,$AM183&gt;0,CR183&gt;0), ($AM183*CR183)/$AI183,     AND($AI183=0,$AM183&gt;0,$AQ183&gt;0), IF(INDEX(CR$12:CR$263,MATCH($AQ183,$AP$12:$AP$263,0))&gt;0,($AM183*INDEX(CR$12:CR$263,MATCH($AQ183,$AP$12:$AP$263,0)))/INDEX($AI$12:$AI$263,MATCH($AQ183,$AP$12:$AP$263,0)), "-"),     TRUE, "0")</f>
        <v>0</v>
      </c>
      <c r="CT183" s="588">
        <f>IF(CS$9&gt;0, IF(OR(CS183="",CS183="-"), 0, CS183*$AT183), CR183*$AJ183)</f>
        <v>0</v>
      </c>
      <c r="CU183" s="587">
        <f>[1]COMMANDE!AW181</f>
        <v>0</v>
      </c>
      <c r="CV183" s="586" t="str">
        <f>_xlfn.IFS(AND($AI183=$AM183,$AI183&gt;0,$AM183&gt;0,CU183&gt;0), CU183,     AND(NOT($AI183=$AM183),$AI183&gt;0,$AM183&gt;0,CU183&gt;0), ($AM183*CU183)/$AI183,     AND($AI183=0,$AM183&gt;0,$AQ183&gt;0), IF(INDEX(CU$12:CU$263,MATCH($AQ183,$AP$12:$AP$263,0))&gt;0,($AM183*INDEX(CU$12:CU$263,MATCH($AQ183,$AP$12:$AP$263,0)))/INDEX($AI$12:$AI$263,MATCH($AQ183,$AP$12:$AP$263,0)), "-"),     TRUE, "0")</f>
        <v>0</v>
      </c>
      <c r="CW183" s="607">
        <f>IF(CV$9&gt;0, IF(OR(CV183="",CV183="-"), 0, CV183*$AT183), CU183*$AJ183)</f>
        <v>0</v>
      </c>
      <c r="CX183" s="589">
        <f>[1]COMMANDE!AY181</f>
        <v>0</v>
      </c>
      <c r="CY183" s="586" t="str">
        <f>_xlfn.IFS(AND($AI183=$AM183,$AI183&gt;0,$AM183&gt;0,CX183&gt;0), CX183,     AND(NOT($AI183=$AM183),$AI183&gt;0,$AM183&gt;0,CX183&gt;0), ($AM183*CX183)/$AI183,     AND($AI183=0,$AM183&gt;0,$AQ183&gt;0), IF(INDEX(CX$12:CX$263,MATCH($AQ183,$AP$12:$AP$263,0))&gt;0,($AM183*INDEX(CX$12:CX$263,MATCH($AQ183,$AP$12:$AP$263,0)))/INDEX($AI$12:$AI$263,MATCH($AQ183,$AP$12:$AP$263,0)), "-"),     TRUE, "0")</f>
        <v>0</v>
      </c>
      <c r="CZ183" s="588">
        <f>IF(CY$9&gt;0, IF(OR(CY183="",CY183="-"), 0, CY183*$AT183), CX183*$AJ183)</f>
        <v>0</v>
      </c>
      <c r="DA183" s="587">
        <f>[1]COMMANDE!BA181</f>
        <v>0</v>
      </c>
      <c r="DB183" s="586" t="str">
        <f>_xlfn.IFS(AND($AI183=$AM183,$AI183&gt;0,$AM183&gt;0,DA183&gt;0), DA183,     AND(NOT($AI183=$AM183),$AI183&gt;0,$AM183&gt;0,DA183&gt;0), ($AM183*DA183)/$AI183,     AND($AI183=0,$AM183&gt;0,$AQ183&gt;0), IF(INDEX(DA$12:DA$263,MATCH($AQ183,$AP$12:$AP$263,0))&gt;0,($AM183*INDEX(DA$12:DA$263,MATCH($AQ183,$AP$12:$AP$263,0)))/INDEX($AI$12:$AI$263,MATCH($AQ183,$AP$12:$AP$263,0)), "-"),     TRUE, "0")</f>
        <v>0</v>
      </c>
      <c r="DC183" s="606">
        <f>IF(DB$9&gt;0, IF(OR(DB183="",DB183="-"), 0, DB183*$AT183), DA183*$AJ183)</f>
        <v>0</v>
      </c>
      <c r="DD183" s="584"/>
      <c r="DE183" s="583"/>
    </row>
    <row r="184" spans="1:109" ht="39.950000000000003" hidden="1" customHeight="1">
      <c r="A184" s="604">
        <f>IF(OR($AV184&gt;0, $AX184&gt;0), 1, 0)</f>
        <v>0</v>
      </c>
      <c r="B184" s="604">
        <f>IF(OR($AY184&gt;0, $BA184&gt;0), 1, 0)</f>
        <v>0</v>
      </c>
      <c r="C184" s="604">
        <f>IF(OR($BB184&gt;0, $BD184&gt;0), 1, 0)</f>
        <v>0</v>
      </c>
      <c r="D184" s="604">
        <f>IF(OR($BE184&gt;0, $BG184&gt;0), 1, 0)</f>
        <v>0</v>
      </c>
      <c r="E184" s="604">
        <f>IF(OR($BH184&gt;0, $BJ184&gt;0), 1, 0)</f>
        <v>0</v>
      </c>
      <c r="F184" s="604">
        <f>IF(OR($BK184&gt;0, $BM184&gt;0), 1, 0)</f>
        <v>0</v>
      </c>
      <c r="G184" s="604">
        <f>IF(OR($BN184&gt;0, $BP184&gt;0), 1, 0)</f>
        <v>0</v>
      </c>
      <c r="H184" s="604">
        <f>IF(OR($BQ184&gt;0, $BS184&gt;0), 1, 0)</f>
        <v>0</v>
      </c>
      <c r="I184" s="604">
        <f>IF(OR($BT184&gt;0, $BV184&gt;0), 1, 0)</f>
        <v>0</v>
      </c>
      <c r="J184" s="604">
        <f>IF(OR($BW184&gt;0, $BY184&gt;0), 1, 0)</f>
        <v>0</v>
      </c>
      <c r="K184" s="604">
        <f>IF(OR($BZ184&gt;0, $CB184&gt;0), 1, 0)</f>
        <v>0</v>
      </c>
      <c r="L184" s="604">
        <f>IF(OR($CC184&gt;0, $CE184&gt;0), 1, 0)</f>
        <v>0</v>
      </c>
      <c r="M184" s="604">
        <f>IF(OR($CF184&gt;0, $CH184&gt;0), 1, 0)</f>
        <v>0</v>
      </c>
      <c r="N184" s="604">
        <f>IF(OR($CI184&gt;0, $CK184&gt;0), 1, 0)</f>
        <v>0</v>
      </c>
      <c r="O184" s="604">
        <f>IF(OR($CL184&gt;0, $CN184&gt;0), 1, 0)</f>
        <v>0</v>
      </c>
      <c r="P184" s="604">
        <f>IF(OR($CO184&gt;0, $CQ184&gt;0), 1, 0)</f>
        <v>0</v>
      </c>
      <c r="Q184" s="604">
        <f>IF(OR($CR184&gt;0, $CT184&gt;0), 1, 0)</f>
        <v>0</v>
      </c>
      <c r="R184" s="604">
        <f>IF(OR($CU184&gt;0, $CW184&gt;0), 1, 0)</f>
        <v>0</v>
      </c>
      <c r="S184" s="604">
        <f>IF(OR($CX184&gt;0, $CZ184&gt;0), 1, 0)</f>
        <v>0</v>
      </c>
      <c r="T184" s="604">
        <f>IF(OR($DA184&gt;0, $DC184&gt;0), 1, 0)</f>
        <v>0</v>
      </c>
      <c r="U184" s="603">
        <f>IF(OR($AI184&gt;0,$AM184&gt;0,$AS184&gt;0), 1, 0)</f>
        <v>0</v>
      </c>
      <c r="V184" s="602">
        <f>[1]BDD!A174</f>
        <v>5114</v>
      </c>
      <c r="W184" s="601" t="str">
        <f>[1]BDD!B174</f>
        <v>Miel multi-fleurs (Bocal en verre env. 1kg)</v>
      </c>
      <c r="X184" s="600" t="str">
        <f>IF([1]BDD!F174=0, "", [1]BDD!F174)</f>
        <v>❤️</v>
      </c>
      <c r="Y184" s="542">
        <f>ROUND([1]BDD!G174+FDP_CMD_KG, 2)</f>
        <v>11.54</v>
      </c>
      <c r="Z184" s="542">
        <f>ROUND([1]BDD!G174+FDP_FACT_KG, 2)</f>
        <v>11.54</v>
      </c>
      <c r="AA184" s="543" t="str">
        <f>[1]BDD!H174</f>
        <v>Pièce</v>
      </c>
      <c r="AB184" s="544">
        <f>IF(NOT(ISBLANK([1]BDD!I174)), ROUND(SUM(([1]BDD!G174*reduc1),FDP_CMD_KG), 2), "")</f>
        <v>10.48</v>
      </c>
      <c r="AC184" s="544" t="str">
        <f>IF(NOT(ISBLANK([1]BDD!J174)), ROUND(SUM(([1]BDD!G174*reduc2),FDP_CMD_KG), 2), "")</f>
        <v/>
      </c>
      <c r="AD184" s="544" t="str">
        <f>IF(NOT(ISBLANK([1]BDD!K174)), ROUND(SUM(([1]BDD!G174*reduc3),FDP_CMD_KG), 2), "")</f>
        <v/>
      </c>
      <c r="AE184" s="544">
        <f>IF(NOT(ISBLANK([1]BDD!I174)), ROUND(SUM(([1]BDD!G174*reduc1),FDP_FACT_KG), 2), "")</f>
        <v>10.47</v>
      </c>
      <c r="AF184" s="544" t="str">
        <f>IF(NOT(ISBLANK([1]BDD!J174)), ROUND(SUM(([1]BDD!G174*reduc2),FDP_FACT_KG), 2), "")</f>
        <v/>
      </c>
      <c r="AG184" s="544" t="str">
        <f>IF(NOT(ISBLANK([1]BDD!K174)), ROUND(SUM(([1]BDD!G174*reduc3),FDP_FACT_KG), 2), "")</f>
        <v/>
      </c>
      <c r="AH184" s="599" t="str">
        <f>[1]BDD!C174</f>
        <v>Grenade</v>
      </c>
      <c r="AI184" s="598">
        <f>SUM(AV184,AY184,BB184,BE184,BH184,BK184,BN184,BQ184,BT184,BW184,BZ184,CC184,CF184,CI184,CL184,CO184,CR184,CU184,CX184,DA184)</f>
        <v>0</v>
      </c>
      <c r="AJ184" s="545">
        <f>_xlfn.IFS($AD184&lt;&gt;"", $AD184,    $AC184&lt;&gt;"", $AC184,    $AB184&lt;&gt;"", $AB184,    TRUE, $Y184)</f>
        <v>10.48</v>
      </c>
      <c r="AK184" s="592">
        <f>$AI184*$AJ184</f>
        <v>0</v>
      </c>
      <c r="AL184" s="594"/>
      <c r="AM184" s="597"/>
      <c r="AN184" s="545">
        <f>_xlfn.IFS(AND(AM184&gt;=60,$AG184&lt;&gt;""), $AG184,    AND(AM184&gt;=30,$AF184&lt;&gt;""), $AF184,    AND(AM184&gt;=10,$AE184&lt;&gt;""), $AE184,    TRUE, $Z184)</f>
        <v>11.54</v>
      </c>
      <c r="AO184" s="596">
        <f>AM184*AN184</f>
        <v>0</v>
      </c>
      <c r="AP184" s="595"/>
      <c r="AQ184" s="595"/>
      <c r="AR184" s="594"/>
      <c r="AS184" s="593">
        <f>SUM(AW184,AZ184,BC184,BF184,BI184,BL184,BO184,BR184,BU184,BX184,CA184,CD184,CG184,CJ184,CM184,CP184,CS184,CV184,CY184,DB184)</f>
        <v>0</v>
      </c>
      <c r="AT184" s="545">
        <f>_xlfn.IFS(AND(AS184&gt;=60,$AG184&lt;&gt;""), $AG184,    AND(AS184&gt;=30,$AF184&lt;&gt;""), $AF184,    AND(AS184&gt;=10,$AE184&lt;&gt;""), $AE184,    TRUE, $Z184)</f>
        <v>11.54</v>
      </c>
      <c r="AU184" s="592">
        <f>$AS184*$AT184</f>
        <v>0</v>
      </c>
      <c r="AV184" s="591">
        <f>[1]COMMANDE!O182</f>
        <v>0</v>
      </c>
      <c r="AW184" s="586" t="str">
        <f>_xlfn.IFS(AND($AI184=$AM184,$AI184&gt;0,$AM184&gt;0,AV184&gt;0), AV184,     AND(NOT($AI184=$AM184),$AI184&gt;0,$AM184&gt;0,AV184&gt;0), ($AM184*AV184)/$AI184,     AND($AI184=0,$AM184&gt;0,$AQ184&gt;0), IF(INDEX(AV$12:AV$263,MATCH($AQ184,$AP$12:$AP$263,0))&gt;0,($AM184*INDEX(AV$12:AV$263,MATCH($AQ184,$AP$12:$AP$263,0)))/INDEX($AI$12:$AI$263,MATCH($AQ184,$AP$12:$AP$263,0)), "-"),     TRUE, "0")</f>
        <v>0</v>
      </c>
      <c r="AX184" s="588">
        <f>IF(AW$9&gt;0, IF(OR(AW184="",AW184="-"), 0, AW184*$AT184), AV184*$AJ184)</f>
        <v>0</v>
      </c>
      <c r="AY184" s="587">
        <f>[1]COMMANDE!Q182</f>
        <v>0</v>
      </c>
      <c r="AZ184" s="586" t="str">
        <f>_xlfn.IFS(AND($AI184=$AM184,$AI184&gt;0,$AM184&gt;0,AY184&gt;0), AY184,     AND(NOT($AI184=$AM184),$AI184&gt;0,$AM184&gt;0,AY184&gt;0), ($AM184*AY184)/$AI184,     AND($AI184=0,$AM184&gt;0,$AQ184&gt;0), IF(INDEX(AY$12:AY$263,MATCH($AQ184,$AP$12:$AP$263,0))&gt;0,($AM184*INDEX(AY$12:AY$263,MATCH($AQ184,$AP$12:$AP$263,0)))/INDEX($AI$12:$AI$263,MATCH($AQ184,$AP$12:$AP$263,0)), "-"),     TRUE, "0")</f>
        <v>0</v>
      </c>
      <c r="BA184" s="607">
        <f>IF(AZ$9&gt;0, IF(OR(AZ184="",AZ184="-"), 0, AZ184*$AT184), AY184*$AJ184)</f>
        <v>0</v>
      </c>
      <c r="BB184" s="589">
        <f>[1]COMMANDE!S182</f>
        <v>0</v>
      </c>
      <c r="BC184" s="586" t="str">
        <f>_xlfn.IFS(AND($AI184=$AM184,$AI184&gt;0,$AM184&gt;0,BB184&gt;0), BB184,     AND(NOT($AI184=$AM184),$AI184&gt;0,$AM184&gt;0,BB184&gt;0), ($AM184*BB184)/$AI184,     AND($AI184=0,$AM184&gt;0,$AQ184&gt;0), IF(INDEX(BB$12:BB$263,MATCH($AQ184,$AP$12:$AP$263,0))&gt;0,($AM184*INDEX(BB$12:BB$263,MATCH($AQ184,$AP$12:$AP$263,0)))/INDEX($AI$12:$AI$263,MATCH($AQ184,$AP$12:$AP$263,0)), "-"),     TRUE, "0")</f>
        <v>0</v>
      </c>
      <c r="BD184" s="588">
        <f>IF(BC$9&gt;0, IF(OR(BC184="",BC184="-"), 0, BC184*$AT184), BB184*$AJ184)</f>
        <v>0</v>
      </c>
      <c r="BE184" s="587">
        <f>[1]COMMANDE!U182</f>
        <v>0</v>
      </c>
      <c r="BF184" s="586" t="str">
        <f>_xlfn.IFS(AND($AI184=$AM184,$AI184&gt;0,$AM184&gt;0,BE184&gt;0), BE184,     AND(NOT($AI184=$AM184),$AI184&gt;0,$AM184&gt;0,BE184&gt;0), ($AM184*BE184)/$AI184,     AND($AI184=0,$AM184&gt;0,$AQ184&gt;0), IF(INDEX(BE$12:BE$263,MATCH($AQ184,$AP$12:$AP$263,0))&gt;0,($AM184*INDEX(BE$12:BE$263,MATCH($AQ184,$AP$12:$AP$263,0)))/INDEX($AI$12:$AI$263,MATCH($AQ184,$AP$12:$AP$263,0)), "-"),     TRUE, "0")</f>
        <v>0</v>
      </c>
      <c r="BG184" s="607">
        <f>IF(BF$9&gt;0, IF(OR(BF184="",BF184="-"), 0, BF184*$AT184), BE184*$AJ184)</f>
        <v>0</v>
      </c>
      <c r="BH184" s="589">
        <f>[1]COMMANDE!W182</f>
        <v>0</v>
      </c>
      <c r="BI184" s="586" t="str">
        <f>_xlfn.IFS(AND($AI184=$AM184,$AI184&gt;0,$AM184&gt;0,BH184&gt;0), BH184,     AND(NOT($AI184=$AM184),$AI184&gt;0,$AM184&gt;0,BH184&gt;0), ($AM184*BH184)/$AI184,     AND($AI184=0,$AM184&gt;0,$AQ184&gt;0), IF(INDEX(BH$12:BH$263,MATCH($AQ184,$AP$12:$AP$263,0))&gt;0,($AM184*INDEX(BH$12:BH$263,MATCH($AQ184,$AP$12:$AP$263,0)))/INDEX($AI$12:$AI$263,MATCH($AQ184,$AP$12:$AP$263,0)), "-"),     TRUE, "0")</f>
        <v>0</v>
      </c>
      <c r="BJ184" s="588">
        <f>IF(BI$9&gt;0, IF(OR(BI184="",BI184="-"), 0, BI184*$AT184), BH184*$AJ184)</f>
        <v>0</v>
      </c>
      <c r="BK184" s="587">
        <f>[1]COMMANDE!Y182</f>
        <v>0</v>
      </c>
      <c r="BL184" s="586" t="str">
        <f>_xlfn.IFS(AND($AI184=$AM184,$AI184&gt;0,$AM184&gt;0,BK184&gt;0), BK184,     AND(NOT($AI184=$AM184),$AI184&gt;0,$AM184&gt;0,BK184&gt;0), ($AM184*BK184)/$AI184,     AND($AI184=0,$AM184&gt;0,$AQ184&gt;0), IF(INDEX(BK$12:BK$263,MATCH($AQ184,$AP$12:$AP$263,0))&gt;0,($AM184*INDEX(BK$12:BK$263,MATCH($AQ184,$AP$12:$AP$263,0)))/INDEX($AI$12:$AI$263,MATCH($AQ184,$AP$12:$AP$263,0)), "-"),     TRUE, "0")</f>
        <v>0</v>
      </c>
      <c r="BM184" s="607">
        <f>IF(BL$9&gt;0, IF(OR(BL184="",BL184="-"), 0, BL184*$AT184), BK184*$AJ184)</f>
        <v>0</v>
      </c>
      <c r="BN184" s="589">
        <f>[1]COMMANDE!AA182</f>
        <v>0</v>
      </c>
      <c r="BO184" s="586" t="str">
        <f>_xlfn.IFS(AND($AI184=$AM184,$AI184&gt;0,$AM184&gt;0,BN184&gt;0), BN184,     AND(NOT($AI184=$AM184),$AI184&gt;0,$AM184&gt;0,BN184&gt;0), ($AM184*BN184)/$AI184,     AND($AI184=0,$AM184&gt;0,$AQ184&gt;0), IF(INDEX(BN$12:BN$263,MATCH($AQ184,$AP$12:$AP$263,0))&gt;0,($AM184*INDEX(BN$12:BN$263,MATCH($AQ184,$AP$12:$AP$263,0)))/INDEX($AI$12:$AI$263,MATCH($AQ184,$AP$12:$AP$263,0)), "-"),     TRUE, "0")</f>
        <v>0</v>
      </c>
      <c r="BP184" s="588">
        <f>IF(BO$9&gt;0, IF(OR(BO184="",BO184="-"), 0, BO184*$AT184), BN184*$AJ184)</f>
        <v>0</v>
      </c>
      <c r="BQ184" s="587">
        <f>[1]COMMANDE!AC182</f>
        <v>0</v>
      </c>
      <c r="BR184" s="586" t="str">
        <f>_xlfn.IFS(AND($AI184=$AM184,$AI184&gt;0,$AM184&gt;0,BQ184&gt;0), BQ184,     AND(NOT($AI184=$AM184),$AI184&gt;0,$AM184&gt;0,BQ184&gt;0), ($AM184*BQ184)/$AI184,     AND($AI184=0,$AM184&gt;0,$AQ184&gt;0), IF(INDEX(BQ$12:BQ$263,MATCH($AQ184,$AP$12:$AP$263,0))&gt;0,($AM184*INDEX(BQ$12:BQ$263,MATCH($AQ184,$AP$12:$AP$263,0)))/INDEX($AI$12:$AI$263,MATCH($AQ184,$AP$12:$AP$263,0)), "-"),     TRUE, "0")</f>
        <v>0</v>
      </c>
      <c r="BS184" s="607">
        <f>IF(BR$9&gt;0, IF(OR(BR184="",BR184="-"), 0, BR184*$AT184), BQ184*$AJ184)</f>
        <v>0</v>
      </c>
      <c r="BT184" s="589">
        <f>[1]COMMANDE!AE182</f>
        <v>0</v>
      </c>
      <c r="BU184" s="586" t="str">
        <f>_xlfn.IFS(AND($AI184=$AM184,$AI184&gt;0,$AM184&gt;0,BT184&gt;0), BT184,     AND(NOT($AI184=$AM184),$AI184&gt;0,$AM184&gt;0,BT184&gt;0), ($AM184*BT184)/$AI184,     AND($AI184=0,$AM184&gt;0,$AQ184&gt;0), IF(INDEX(BT$12:BT$263,MATCH($AQ184,$AP$12:$AP$263,0))&gt;0,($AM184*INDEX(BT$12:BT$263,MATCH($AQ184,$AP$12:$AP$263,0)))/INDEX($AI$12:$AI$263,MATCH($AQ184,$AP$12:$AP$263,0)), "-"),     TRUE, "0")</f>
        <v>0</v>
      </c>
      <c r="BV184" s="588">
        <f>IF(BU$9&gt;0, IF(OR(BU184="",BU184="-"), 0, BU184*$AT184), BT184*$AJ184)</f>
        <v>0</v>
      </c>
      <c r="BW184" s="587">
        <f>[1]COMMANDE!AG182</f>
        <v>0</v>
      </c>
      <c r="BX184" s="586" t="str">
        <f>_xlfn.IFS(AND($AI184=$AM184,$AI184&gt;0,$AM184&gt;0,BW184&gt;0), BW184,     AND(NOT($AI184=$AM184),$AI184&gt;0,$AM184&gt;0,BW184&gt;0), ($AM184*BW184)/$AI184,     AND($AI184=0,$AM184&gt;0,$AQ184&gt;0), IF(INDEX(BW$12:BW$263,MATCH($AQ184,$AP$12:$AP$263,0))&gt;0,($AM184*INDEX(BW$12:BW$263,MATCH($AQ184,$AP$12:$AP$263,0)))/INDEX($AI$12:$AI$263,MATCH($AQ184,$AP$12:$AP$263,0)), "-"),     TRUE, "0")</f>
        <v>0</v>
      </c>
      <c r="BY184" s="607">
        <f>IF(BX$9&gt;0, IF(OR(BX184="",BX184="-"), 0, BX184*$AT184), BW184*$AJ184)</f>
        <v>0</v>
      </c>
      <c r="BZ184" s="589">
        <f>[1]COMMANDE!AI182</f>
        <v>0</v>
      </c>
      <c r="CA184" s="586" t="str">
        <f>_xlfn.IFS(AND($AI184=$AM184,$AI184&gt;0,$AM184&gt;0,BZ184&gt;0), BZ184,     AND(NOT($AI184=$AM184),$AI184&gt;0,$AM184&gt;0,BZ184&gt;0), ($AM184*BZ184)/$AI184,     AND($AI184=0,$AM184&gt;0,$AQ184&gt;0), IF(INDEX(BZ$12:BZ$263,MATCH($AQ184,$AP$12:$AP$263,0))&gt;0,($AM184*INDEX(BZ$12:BZ$263,MATCH($AQ184,$AP$12:$AP$263,0)))/INDEX($AI$12:$AI$263,MATCH($AQ184,$AP$12:$AP$263,0)), "-"),     TRUE, "0")</f>
        <v>0</v>
      </c>
      <c r="CB184" s="588">
        <f>IF(CA$9&gt;0, IF(OR(CA184="",CA184="-"), 0, CA184*$AT184), BZ184*$AJ184)</f>
        <v>0</v>
      </c>
      <c r="CC184" s="587">
        <f>[1]COMMANDE!AK182</f>
        <v>0</v>
      </c>
      <c r="CD184" s="586" t="str">
        <f>_xlfn.IFS(AND($AI184=$AM184,$AI184&gt;0,$AM184&gt;0,CC184&gt;0), CC184,     AND(NOT($AI184=$AM184),$AI184&gt;0,$AM184&gt;0,CC184&gt;0), ($AM184*CC184)/$AI184,     AND($AI184=0,$AM184&gt;0,$AQ184&gt;0), IF(INDEX(CC$12:CC$263,MATCH($AQ184,$AP$12:$AP$263,0))&gt;0,($AM184*INDEX(CC$12:CC$263,MATCH($AQ184,$AP$12:$AP$263,0)))/INDEX($AI$12:$AI$263,MATCH($AQ184,$AP$12:$AP$263,0)), "-"),     TRUE, "0")</f>
        <v>0</v>
      </c>
      <c r="CE184" s="607">
        <f>IF(CD$9&gt;0, IF(OR(CD184="",CD184="-"), 0, CD184*$AT184), CC184*$AJ184)</f>
        <v>0</v>
      </c>
      <c r="CF184" s="589">
        <f>[1]COMMANDE!AM182</f>
        <v>0</v>
      </c>
      <c r="CG184" s="586" t="str">
        <f>_xlfn.IFS(AND($AI184=$AM184,$AI184&gt;0,$AM184&gt;0,CF184&gt;0), CF184,     AND(NOT($AI184=$AM184),$AI184&gt;0,$AM184&gt;0,CF184&gt;0), ($AM184*CF184)/$AI184,     AND($AI184=0,$AM184&gt;0,$AQ184&gt;0), IF(INDEX(CF$12:CF$263,MATCH($AQ184,$AP$12:$AP$263,0))&gt;0,($AM184*INDEX(CF$12:CF$263,MATCH($AQ184,$AP$12:$AP$263,0)))/INDEX($AI$12:$AI$263,MATCH($AQ184,$AP$12:$AP$263,0)), "-"),     TRUE, "0")</f>
        <v>0</v>
      </c>
      <c r="CH184" s="588">
        <f>IF(CG$9&gt;0, IF(OR(CG184="",CG184="-"), 0, CG184*$AT184), CF184*$AJ184)</f>
        <v>0</v>
      </c>
      <c r="CI184" s="587">
        <f>[1]COMMANDE!AO182</f>
        <v>0</v>
      </c>
      <c r="CJ184" s="586" t="str">
        <f>_xlfn.IFS(AND($AI184=$AM184,$AI184&gt;0,$AM184&gt;0,CI184&gt;0), CI184,     AND(NOT($AI184=$AM184),$AI184&gt;0,$AM184&gt;0,CI184&gt;0), ($AM184*CI184)/$AI184,     AND($AI184=0,$AM184&gt;0,$AQ184&gt;0), IF(INDEX(CI$12:CI$263,MATCH($AQ184,$AP$12:$AP$263,0))&gt;0,($AM184*INDEX(CI$12:CI$263,MATCH($AQ184,$AP$12:$AP$263,0)))/INDEX($AI$12:$AI$263,MATCH($AQ184,$AP$12:$AP$263,0)), "-"),     TRUE, "0")</f>
        <v>0</v>
      </c>
      <c r="CK184" s="607">
        <f>IF(CJ$9&gt;0, IF(OR(CJ184="",CJ184="-"), 0, CJ184*$AT184), CI184*$AJ184)</f>
        <v>0</v>
      </c>
      <c r="CL184" s="589">
        <f>[1]COMMANDE!AQ182</f>
        <v>0</v>
      </c>
      <c r="CM184" s="586" t="str">
        <f>_xlfn.IFS(AND($AI184=$AM184,$AI184&gt;0,$AM184&gt;0,CL184&gt;0), CL184,     AND(NOT($AI184=$AM184),$AI184&gt;0,$AM184&gt;0,CL184&gt;0), ($AM184*CL184)/$AI184,     AND($AI184=0,$AM184&gt;0,$AQ184&gt;0), IF(INDEX(CL$12:CL$263,MATCH($AQ184,$AP$12:$AP$263,0))&gt;0,($AM184*INDEX(CL$12:CL$263,MATCH($AQ184,$AP$12:$AP$263,0)))/INDEX($AI$12:$AI$263,MATCH($AQ184,$AP$12:$AP$263,0)), "-"),     TRUE, "0")</f>
        <v>0</v>
      </c>
      <c r="CN184" s="588">
        <f>IF(CM$9&gt;0, IF(OR(CM184="",CM184="-"), 0, CM184*$AT184), CL184*$AJ184)</f>
        <v>0</v>
      </c>
      <c r="CO184" s="587">
        <f>[1]COMMANDE!AS182</f>
        <v>0</v>
      </c>
      <c r="CP184" s="586" t="str">
        <f>_xlfn.IFS(AND($AI184=$AM184,$AI184&gt;0,$AM184&gt;0,CO184&gt;0), CO184,     AND(NOT($AI184=$AM184),$AI184&gt;0,$AM184&gt;0,CO184&gt;0), ($AM184*CO184)/$AI184,     AND($AI184=0,$AM184&gt;0,$AQ184&gt;0), IF(INDEX(CO$12:CO$263,MATCH($AQ184,$AP$12:$AP$263,0))&gt;0,($AM184*INDEX(CO$12:CO$263,MATCH($AQ184,$AP$12:$AP$263,0)))/INDEX($AI$12:$AI$263,MATCH($AQ184,$AP$12:$AP$263,0)), "-"),     TRUE, "0")</f>
        <v>0</v>
      </c>
      <c r="CQ184" s="607">
        <f>IF(CP$9&gt;0, IF(OR(CP184="",CP184="-"), 0, CP184*$AT184), CO184*$AJ184)</f>
        <v>0</v>
      </c>
      <c r="CR184" s="589">
        <f>[1]COMMANDE!AU182</f>
        <v>0</v>
      </c>
      <c r="CS184" s="586" t="str">
        <f>_xlfn.IFS(AND($AI184=$AM184,$AI184&gt;0,$AM184&gt;0,CR184&gt;0), CR184,     AND(NOT($AI184=$AM184),$AI184&gt;0,$AM184&gt;0,CR184&gt;0), ($AM184*CR184)/$AI184,     AND($AI184=0,$AM184&gt;0,$AQ184&gt;0), IF(INDEX(CR$12:CR$263,MATCH($AQ184,$AP$12:$AP$263,0))&gt;0,($AM184*INDEX(CR$12:CR$263,MATCH($AQ184,$AP$12:$AP$263,0)))/INDEX($AI$12:$AI$263,MATCH($AQ184,$AP$12:$AP$263,0)), "-"),     TRUE, "0")</f>
        <v>0</v>
      </c>
      <c r="CT184" s="588">
        <f>IF(CS$9&gt;0, IF(OR(CS184="",CS184="-"), 0, CS184*$AT184), CR184*$AJ184)</f>
        <v>0</v>
      </c>
      <c r="CU184" s="587">
        <f>[1]COMMANDE!AW182</f>
        <v>0</v>
      </c>
      <c r="CV184" s="586" t="str">
        <f>_xlfn.IFS(AND($AI184=$AM184,$AI184&gt;0,$AM184&gt;0,CU184&gt;0), CU184,     AND(NOT($AI184=$AM184),$AI184&gt;0,$AM184&gt;0,CU184&gt;0), ($AM184*CU184)/$AI184,     AND($AI184=0,$AM184&gt;0,$AQ184&gt;0), IF(INDEX(CU$12:CU$263,MATCH($AQ184,$AP$12:$AP$263,0))&gt;0,($AM184*INDEX(CU$12:CU$263,MATCH($AQ184,$AP$12:$AP$263,0)))/INDEX($AI$12:$AI$263,MATCH($AQ184,$AP$12:$AP$263,0)), "-"),     TRUE, "0")</f>
        <v>0</v>
      </c>
      <c r="CW184" s="607">
        <f>IF(CV$9&gt;0, IF(OR(CV184="",CV184="-"), 0, CV184*$AT184), CU184*$AJ184)</f>
        <v>0</v>
      </c>
      <c r="CX184" s="589">
        <f>[1]COMMANDE!AY182</f>
        <v>0</v>
      </c>
      <c r="CY184" s="586" t="str">
        <f>_xlfn.IFS(AND($AI184=$AM184,$AI184&gt;0,$AM184&gt;0,CX184&gt;0), CX184,     AND(NOT($AI184=$AM184),$AI184&gt;0,$AM184&gt;0,CX184&gt;0), ($AM184*CX184)/$AI184,     AND($AI184=0,$AM184&gt;0,$AQ184&gt;0), IF(INDEX(CX$12:CX$263,MATCH($AQ184,$AP$12:$AP$263,0))&gt;0,($AM184*INDEX(CX$12:CX$263,MATCH($AQ184,$AP$12:$AP$263,0)))/INDEX($AI$12:$AI$263,MATCH($AQ184,$AP$12:$AP$263,0)), "-"),     TRUE, "0")</f>
        <v>0</v>
      </c>
      <c r="CZ184" s="588">
        <f>IF(CY$9&gt;0, IF(OR(CY184="",CY184="-"), 0, CY184*$AT184), CX184*$AJ184)</f>
        <v>0</v>
      </c>
      <c r="DA184" s="587">
        <f>[1]COMMANDE!BA182</f>
        <v>0</v>
      </c>
      <c r="DB184" s="586" t="str">
        <f>_xlfn.IFS(AND($AI184=$AM184,$AI184&gt;0,$AM184&gt;0,DA184&gt;0), DA184,     AND(NOT($AI184=$AM184),$AI184&gt;0,$AM184&gt;0,DA184&gt;0), ($AM184*DA184)/$AI184,     AND($AI184=0,$AM184&gt;0,$AQ184&gt;0), IF(INDEX(DA$12:DA$263,MATCH($AQ184,$AP$12:$AP$263,0))&gt;0,($AM184*INDEX(DA$12:DA$263,MATCH($AQ184,$AP$12:$AP$263,0)))/INDEX($AI$12:$AI$263,MATCH($AQ184,$AP$12:$AP$263,0)), "-"),     TRUE, "0")</f>
        <v>0</v>
      </c>
      <c r="DC184" s="606">
        <f>IF(DB$9&gt;0, IF(OR(DB184="",DB184="-"), 0, DB184*$AT184), DA184*$AJ184)</f>
        <v>0</v>
      </c>
      <c r="DD184" s="584"/>
      <c r="DE184" s="583"/>
    </row>
    <row r="185" spans="1:109" ht="39.950000000000003" hidden="1" customHeight="1">
      <c r="A185" s="604">
        <f>IF(OR($AV185&gt;0, $AX185&gt;0), 1, 0)</f>
        <v>0</v>
      </c>
      <c r="B185" s="604">
        <f>IF(OR($AY185&gt;0, $BA185&gt;0), 1, 0)</f>
        <v>0</v>
      </c>
      <c r="C185" s="604">
        <f>IF(OR($BB185&gt;0, $BD185&gt;0), 1, 0)</f>
        <v>0</v>
      </c>
      <c r="D185" s="604">
        <f>IF(OR($BE185&gt;0, $BG185&gt;0), 1, 0)</f>
        <v>0</v>
      </c>
      <c r="E185" s="604">
        <f>IF(OR($BH185&gt;0, $BJ185&gt;0), 1, 0)</f>
        <v>0</v>
      </c>
      <c r="F185" s="604">
        <f>IF(OR($BK185&gt;0, $BM185&gt;0), 1, 0)</f>
        <v>0</v>
      </c>
      <c r="G185" s="604">
        <f>IF(OR($BN185&gt;0, $BP185&gt;0), 1, 0)</f>
        <v>0</v>
      </c>
      <c r="H185" s="604">
        <f>IF(OR($BQ185&gt;0, $BS185&gt;0), 1, 0)</f>
        <v>0</v>
      </c>
      <c r="I185" s="604">
        <f>IF(OR($BT185&gt;0, $BV185&gt;0), 1, 0)</f>
        <v>0</v>
      </c>
      <c r="J185" s="604">
        <f>IF(OR($BW185&gt;0, $BY185&gt;0), 1, 0)</f>
        <v>0</v>
      </c>
      <c r="K185" s="604">
        <f>IF(OR($BZ185&gt;0, $CB185&gt;0), 1, 0)</f>
        <v>0</v>
      </c>
      <c r="L185" s="604">
        <f>IF(OR($CC185&gt;0, $CE185&gt;0), 1, 0)</f>
        <v>0</v>
      </c>
      <c r="M185" s="604">
        <f>IF(OR($CF185&gt;0, $CH185&gt;0), 1, 0)</f>
        <v>0</v>
      </c>
      <c r="N185" s="604">
        <f>IF(OR($CI185&gt;0, $CK185&gt;0), 1, 0)</f>
        <v>0</v>
      </c>
      <c r="O185" s="604">
        <f>IF(OR($CL185&gt;0, $CN185&gt;0), 1, 0)</f>
        <v>0</v>
      </c>
      <c r="P185" s="604">
        <f>IF(OR($CO185&gt;0, $CQ185&gt;0), 1, 0)</f>
        <v>0</v>
      </c>
      <c r="Q185" s="604">
        <f>IF(OR($CR185&gt;0, $CT185&gt;0), 1, 0)</f>
        <v>0</v>
      </c>
      <c r="R185" s="604">
        <f>IF(OR($CU185&gt;0, $CW185&gt;0), 1, 0)</f>
        <v>0</v>
      </c>
      <c r="S185" s="604">
        <f>IF(OR($CX185&gt;0, $CZ185&gt;0), 1, 0)</f>
        <v>0</v>
      </c>
      <c r="T185" s="604">
        <f>IF(OR($DA185&gt;0, $DC185&gt;0), 1, 0)</f>
        <v>0</v>
      </c>
      <c r="U185" s="603">
        <f>IF(OR($AI185&gt;0,$AM185&gt;0,$AS185&gt;0), 1, 0)</f>
        <v>0</v>
      </c>
      <c r="V185" s="602">
        <f>[1]BDD!A175</f>
        <v>1707</v>
      </c>
      <c r="W185" s="601" t="str">
        <f>[1]BDD!B175</f>
        <v>Moringa en poudre BIO (capsules végétales) (env. 100 pcs.)</v>
      </c>
      <c r="X185" s="600" t="str">
        <f>IF([1]BDD!F175=0, "", [1]BDD!F175)</f>
        <v/>
      </c>
      <c r="Y185" s="542">
        <f>ROUND([1]BDD!G175+FDP_CMD_KG, 2)</f>
        <v>6.32</v>
      </c>
      <c r="Z185" s="542">
        <f>ROUND([1]BDD!G175+FDP_FACT_KG, 2)</f>
        <v>6.32</v>
      </c>
      <c r="AA185" s="543" t="str">
        <f>[1]BDD!H175</f>
        <v>Pièce</v>
      </c>
      <c r="AB185" s="544" t="str">
        <f>IF(NOT(ISBLANK([1]BDD!I175)), ROUND(SUM(([1]BDD!G175*reduc1),FDP_CMD_KG), 2), "")</f>
        <v/>
      </c>
      <c r="AC185" s="544" t="str">
        <f>IF(NOT(ISBLANK([1]BDD!J175)), ROUND(SUM(([1]BDD!G175*reduc2),FDP_CMD_KG), 2), "")</f>
        <v/>
      </c>
      <c r="AD185" s="544" t="str">
        <f>IF(NOT(ISBLANK([1]BDD!K175)), ROUND(SUM(([1]BDD!G175*reduc3),FDP_CMD_KG), 2), "")</f>
        <v/>
      </c>
      <c r="AE185" s="544" t="str">
        <f>IF(NOT(ISBLANK([1]BDD!I175)), ROUND(SUM(([1]BDD!G175*reduc1),FDP_FACT_KG), 2), "")</f>
        <v/>
      </c>
      <c r="AF185" s="544" t="str">
        <f>IF(NOT(ISBLANK([1]BDD!J175)), ROUND(SUM(([1]BDD!G175*reduc2),FDP_FACT_KG), 2), "")</f>
        <v/>
      </c>
      <c r="AG185" s="544" t="str">
        <f>IF(NOT(ISBLANK([1]BDD!K175)), ROUND(SUM(([1]BDD!G175*reduc3),FDP_FACT_KG), 2), "")</f>
        <v/>
      </c>
      <c r="AH185" s="599" t="str">
        <f>[1]BDD!C175</f>
        <v>Andalousie</v>
      </c>
      <c r="AI185" s="598">
        <f>SUM(AV185,AY185,BB185,BE185,BH185,BK185,BN185,BQ185,BT185,BW185,BZ185,CC185,CF185,CI185,CL185,CO185,CR185,CU185,CX185,DA185)</f>
        <v>0</v>
      </c>
      <c r="AJ185" s="545">
        <f>_xlfn.IFS($AD185&lt;&gt;"", $AD185,    $AC185&lt;&gt;"", $AC185,    $AB185&lt;&gt;"", $AB185,    TRUE, $Y185)</f>
        <v>6.32</v>
      </c>
      <c r="AK185" s="592">
        <f>$AI185*$AJ185</f>
        <v>0</v>
      </c>
      <c r="AL185" s="594"/>
      <c r="AM185" s="597"/>
      <c r="AN185" s="545">
        <f>_xlfn.IFS(AND(AM185&gt;=60,$AG185&lt;&gt;""), $AG185,    AND(AM185&gt;=30,$AF185&lt;&gt;""), $AF185,    AND(AM185&gt;=10,$AE185&lt;&gt;""), $AE185,    TRUE, $Z185)</f>
        <v>6.32</v>
      </c>
      <c r="AO185" s="596">
        <f>AM185*AN185</f>
        <v>0</v>
      </c>
      <c r="AP185" s="595"/>
      <c r="AQ185" s="595"/>
      <c r="AR185" s="594"/>
      <c r="AS185" s="593">
        <f>SUM(AW185,AZ185,BC185,BF185,BI185,BL185,BO185,BR185,BU185,BX185,CA185,CD185,CG185,CJ185,CM185,CP185,CS185,CV185,CY185,DB185)</f>
        <v>0</v>
      </c>
      <c r="AT185" s="545">
        <f>_xlfn.IFS(AND(AS185&gt;=60,$AG185&lt;&gt;""), $AG185,    AND(AS185&gt;=30,$AF185&lt;&gt;""), $AF185,    AND(AS185&gt;=10,$AE185&lt;&gt;""), $AE185,    TRUE, $Z185)</f>
        <v>6.32</v>
      </c>
      <c r="AU185" s="592">
        <f>$AS185*$AT185</f>
        <v>0</v>
      </c>
      <c r="AV185" s="591">
        <f>[1]COMMANDE!O183</f>
        <v>0</v>
      </c>
      <c r="AW185" s="586" t="str">
        <f>_xlfn.IFS(AND($AI185=$AM185,$AI185&gt;0,$AM185&gt;0,AV185&gt;0), AV185,     AND(NOT($AI185=$AM185),$AI185&gt;0,$AM185&gt;0,AV185&gt;0), ($AM185*AV185)/$AI185,     AND($AI185=0,$AM185&gt;0,$AQ185&gt;0), IF(INDEX(AV$12:AV$263,MATCH($AQ185,$AP$12:$AP$263,0))&gt;0,($AM185*INDEX(AV$12:AV$263,MATCH($AQ185,$AP$12:$AP$263,0)))/INDEX($AI$12:$AI$263,MATCH($AQ185,$AP$12:$AP$263,0)), "-"),     TRUE, "0")</f>
        <v>0</v>
      </c>
      <c r="AX185" s="588">
        <f>IF(AW$9&gt;0, IF(OR(AW185="",AW185="-"), 0, AW185*$AT185), AV185*$AJ185)</f>
        <v>0</v>
      </c>
      <c r="AY185" s="587">
        <f>[1]COMMANDE!Q183</f>
        <v>0</v>
      </c>
      <c r="AZ185" s="586" t="str">
        <f>_xlfn.IFS(AND($AI185=$AM185,$AI185&gt;0,$AM185&gt;0,AY185&gt;0), AY185,     AND(NOT($AI185=$AM185),$AI185&gt;0,$AM185&gt;0,AY185&gt;0), ($AM185*AY185)/$AI185,     AND($AI185=0,$AM185&gt;0,$AQ185&gt;0), IF(INDEX(AY$12:AY$263,MATCH($AQ185,$AP$12:$AP$263,0))&gt;0,($AM185*INDEX(AY$12:AY$263,MATCH($AQ185,$AP$12:$AP$263,0)))/INDEX($AI$12:$AI$263,MATCH($AQ185,$AP$12:$AP$263,0)), "-"),     TRUE, "0")</f>
        <v>0</v>
      </c>
      <c r="BA185" s="607">
        <f>IF(AZ$9&gt;0, IF(OR(AZ185="",AZ185="-"), 0, AZ185*$AT185), AY185*$AJ185)</f>
        <v>0</v>
      </c>
      <c r="BB185" s="589">
        <f>[1]COMMANDE!S183</f>
        <v>0</v>
      </c>
      <c r="BC185" s="586" t="str">
        <f>_xlfn.IFS(AND($AI185=$AM185,$AI185&gt;0,$AM185&gt;0,BB185&gt;0), BB185,     AND(NOT($AI185=$AM185),$AI185&gt;0,$AM185&gt;0,BB185&gt;0), ($AM185*BB185)/$AI185,     AND($AI185=0,$AM185&gt;0,$AQ185&gt;0), IF(INDEX(BB$12:BB$263,MATCH($AQ185,$AP$12:$AP$263,0))&gt;0,($AM185*INDEX(BB$12:BB$263,MATCH($AQ185,$AP$12:$AP$263,0)))/INDEX($AI$12:$AI$263,MATCH($AQ185,$AP$12:$AP$263,0)), "-"),     TRUE, "0")</f>
        <v>0</v>
      </c>
      <c r="BD185" s="588">
        <f>IF(BC$9&gt;0, IF(OR(BC185="",BC185="-"), 0, BC185*$AT185), BB185*$AJ185)</f>
        <v>0</v>
      </c>
      <c r="BE185" s="587">
        <f>[1]COMMANDE!U183</f>
        <v>0</v>
      </c>
      <c r="BF185" s="586" t="str">
        <f>_xlfn.IFS(AND($AI185=$AM185,$AI185&gt;0,$AM185&gt;0,BE185&gt;0), BE185,     AND(NOT($AI185=$AM185),$AI185&gt;0,$AM185&gt;0,BE185&gt;0), ($AM185*BE185)/$AI185,     AND($AI185=0,$AM185&gt;0,$AQ185&gt;0), IF(INDEX(BE$12:BE$263,MATCH($AQ185,$AP$12:$AP$263,0))&gt;0,($AM185*INDEX(BE$12:BE$263,MATCH($AQ185,$AP$12:$AP$263,0)))/INDEX($AI$12:$AI$263,MATCH($AQ185,$AP$12:$AP$263,0)), "-"),     TRUE, "0")</f>
        <v>0</v>
      </c>
      <c r="BG185" s="607">
        <f>IF(BF$9&gt;0, IF(OR(BF185="",BF185="-"), 0, BF185*$AT185), BE185*$AJ185)</f>
        <v>0</v>
      </c>
      <c r="BH185" s="589">
        <f>[1]COMMANDE!W183</f>
        <v>0</v>
      </c>
      <c r="BI185" s="586" t="str">
        <f>_xlfn.IFS(AND($AI185=$AM185,$AI185&gt;0,$AM185&gt;0,BH185&gt;0), BH185,     AND(NOT($AI185=$AM185),$AI185&gt;0,$AM185&gt;0,BH185&gt;0), ($AM185*BH185)/$AI185,     AND($AI185=0,$AM185&gt;0,$AQ185&gt;0), IF(INDEX(BH$12:BH$263,MATCH($AQ185,$AP$12:$AP$263,0))&gt;0,($AM185*INDEX(BH$12:BH$263,MATCH($AQ185,$AP$12:$AP$263,0)))/INDEX($AI$12:$AI$263,MATCH($AQ185,$AP$12:$AP$263,0)), "-"),     TRUE, "0")</f>
        <v>0</v>
      </c>
      <c r="BJ185" s="588">
        <f>IF(BI$9&gt;0, IF(OR(BI185="",BI185="-"), 0, BI185*$AT185), BH185*$AJ185)</f>
        <v>0</v>
      </c>
      <c r="BK185" s="587">
        <f>[1]COMMANDE!Y183</f>
        <v>0</v>
      </c>
      <c r="BL185" s="586" t="str">
        <f>_xlfn.IFS(AND($AI185=$AM185,$AI185&gt;0,$AM185&gt;0,BK185&gt;0), BK185,     AND(NOT($AI185=$AM185),$AI185&gt;0,$AM185&gt;0,BK185&gt;0), ($AM185*BK185)/$AI185,     AND($AI185=0,$AM185&gt;0,$AQ185&gt;0), IF(INDEX(BK$12:BK$263,MATCH($AQ185,$AP$12:$AP$263,0))&gt;0,($AM185*INDEX(BK$12:BK$263,MATCH($AQ185,$AP$12:$AP$263,0)))/INDEX($AI$12:$AI$263,MATCH($AQ185,$AP$12:$AP$263,0)), "-"),     TRUE, "0")</f>
        <v>0</v>
      </c>
      <c r="BM185" s="607">
        <f>IF(BL$9&gt;0, IF(OR(BL185="",BL185="-"), 0, BL185*$AT185), BK185*$AJ185)</f>
        <v>0</v>
      </c>
      <c r="BN185" s="589">
        <f>[1]COMMANDE!AA183</f>
        <v>0</v>
      </c>
      <c r="BO185" s="586" t="str">
        <f>_xlfn.IFS(AND($AI185=$AM185,$AI185&gt;0,$AM185&gt;0,BN185&gt;0), BN185,     AND(NOT($AI185=$AM185),$AI185&gt;0,$AM185&gt;0,BN185&gt;0), ($AM185*BN185)/$AI185,     AND($AI185=0,$AM185&gt;0,$AQ185&gt;0), IF(INDEX(BN$12:BN$263,MATCH($AQ185,$AP$12:$AP$263,0))&gt;0,($AM185*INDEX(BN$12:BN$263,MATCH($AQ185,$AP$12:$AP$263,0)))/INDEX($AI$12:$AI$263,MATCH($AQ185,$AP$12:$AP$263,0)), "-"),     TRUE, "0")</f>
        <v>0</v>
      </c>
      <c r="BP185" s="588">
        <f>IF(BO$9&gt;0, IF(OR(BO185="",BO185="-"), 0, BO185*$AT185), BN185*$AJ185)</f>
        <v>0</v>
      </c>
      <c r="BQ185" s="587">
        <f>[1]COMMANDE!AC183</f>
        <v>0</v>
      </c>
      <c r="BR185" s="586" t="str">
        <f>_xlfn.IFS(AND($AI185=$AM185,$AI185&gt;0,$AM185&gt;0,BQ185&gt;0), BQ185,     AND(NOT($AI185=$AM185),$AI185&gt;0,$AM185&gt;0,BQ185&gt;0), ($AM185*BQ185)/$AI185,     AND($AI185=0,$AM185&gt;0,$AQ185&gt;0), IF(INDEX(BQ$12:BQ$263,MATCH($AQ185,$AP$12:$AP$263,0))&gt;0,($AM185*INDEX(BQ$12:BQ$263,MATCH($AQ185,$AP$12:$AP$263,0)))/INDEX($AI$12:$AI$263,MATCH($AQ185,$AP$12:$AP$263,0)), "-"),     TRUE, "0")</f>
        <v>0</v>
      </c>
      <c r="BS185" s="607">
        <f>IF(BR$9&gt;0, IF(OR(BR185="",BR185="-"), 0, BR185*$AT185), BQ185*$AJ185)</f>
        <v>0</v>
      </c>
      <c r="BT185" s="589">
        <f>[1]COMMANDE!AE183</f>
        <v>0</v>
      </c>
      <c r="BU185" s="586" t="str">
        <f>_xlfn.IFS(AND($AI185=$AM185,$AI185&gt;0,$AM185&gt;0,BT185&gt;0), BT185,     AND(NOT($AI185=$AM185),$AI185&gt;0,$AM185&gt;0,BT185&gt;0), ($AM185*BT185)/$AI185,     AND($AI185=0,$AM185&gt;0,$AQ185&gt;0), IF(INDEX(BT$12:BT$263,MATCH($AQ185,$AP$12:$AP$263,0))&gt;0,($AM185*INDEX(BT$12:BT$263,MATCH($AQ185,$AP$12:$AP$263,0)))/INDEX($AI$12:$AI$263,MATCH($AQ185,$AP$12:$AP$263,0)), "-"),     TRUE, "0")</f>
        <v>0</v>
      </c>
      <c r="BV185" s="588">
        <f>IF(BU$9&gt;0, IF(OR(BU185="",BU185="-"), 0, BU185*$AT185), BT185*$AJ185)</f>
        <v>0</v>
      </c>
      <c r="BW185" s="587">
        <f>[1]COMMANDE!AG183</f>
        <v>0</v>
      </c>
      <c r="BX185" s="586" t="str">
        <f>_xlfn.IFS(AND($AI185=$AM185,$AI185&gt;0,$AM185&gt;0,BW185&gt;0), BW185,     AND(NOT($AI185=$AM185),$AI185&gt;0,$AM185&gt;0,BW185&gt;0), ($AM185*BW185)/$AI185,     AND($AI185=0,$AM185&gt;0,$AQ185&gt;0), IF(INDEX(BW$12:BW$263,MATCH($AQ185,$AP$12:$AP$263,0))&gt;0,($AM185*INDEX(BW$12:BW$263,MATCH($AQ185,$AP$12:$AP$263,0)))/INDEX($AI$12:$AI$263,MATCH($AQ185,$AP$12:$AP$263,0)), "-"),     TRUE, "0")</f>
        <v>0</v>
      </c>
      <c r="BY185" s="607">
        <f>IF(BX$9&gt;0, IF(OR(BX185="",BX185="-"), 0, BX185*$AT185), BW185*$AJ185)</f>
        <v>0</v>
      </c>
      <c r="BZ185" s="589">
        <f>[1]COMMANDE!AI183</f>
        <v>0</v>
      </c>
      <c r="CA185" s="586" t="str">
        <f>_xlfn.IFS(AND($AI185=$AM185,$AI185&gt;0,$AM185&gt;0,BZ185&gt;0), BZ185,     AND(NOT($AI185=$AM185),$AI185&gt;0,$AM185&gt;0,BZ185&gt;0), ($AM185*BZ185)/$AI185,     AND($AI185=0,$AM185&gt;0,$AQ185&gt;0), IF(INDEX(BZ$12:BZ$263,MATCH($AQ185,$AP$12:$AP$263,0))&gt;0,($AM185*INDEX(BZ$12:BZ$263,MATCH($AQ185,$AP$12:$AP$263,0)))/INDEX($AI$12:$AI$263,MATCH($AQ185,$AP$12:$AP$263,0)), "-"),     TRUE, "0")</f>
        <v>0</v>
      </c>
      <c r="CB185" s="588">
        <f>IF(CA$9&gt;0, IF(OR(CA185="",CA185="-"), 0, CA185*$AT185), BZ185*$AJ185)</f>
        <v>0</v>
      </c>
      <c r="CC185" s="587">
        <f>[1]COMMANDE!AK183</f>
        <v>0</v>
      </c>
      <c r="CD185" s="586" t="str">
        <f>_xlfn.IFS(AND($AI185=$AM185,$AI185&gt;0,$AM185&gt;0,CC185&gt;0), CC185,     AND(NOT($AI185=$AM185),$AI185&gt;0,$AM185&gt;0,CC185&gt;0), ($AM185*CC185)/$AI185,     AND($AI185=0,$AM185&gt;0,$AQ185&gt;0), IF(INDEX(CC$12:CC$263,MATCH($AQ185,$AP$12:$AP$263,0))&gt;0,($AM185*INDEX(CC$12:CC$263,MATCH($AQ185,$AP$12:$AP$263,0)))/INDEX($AI$12:$AI$263,MATCH($AQ185,$AP$12:$AP$263,0)), "-"),     TRUE, "0")</f>
        <v>0</v>
      </c>
      <c r="CE185" s="607">
        <f>IF(CD$9&gt;0, IF(OR(CD185="",CD185="-"), 0, CD185*$AT185), CC185*$AJ185)</f>
        <v>0</v>
      </c>
      <c r="CF185" s="589">
        <f>[1]COMMANDE!AM183</f>
        <v>0</v>
      </c>
      <c r="CG185" s="586" t="str">
        <f>_xlfn.IFS(AND($AI185=$AM185,$AI185&gt;0,$AM185&gt;0,CF185&gt;0), CF185,     AND(NOT($AI185=$AM185),$AI185&gt;0,$AM185&gt;0,CF185&gt;0), ($AM185*CF185)/$AI185,     AND($AI185=0,$AM185&gt;0,$AQ185&gt;0), IF(INDEX(CF$12:CF$263,MATCH($AQ185,$AP$12:$AP$263,0))&gt;0,($AM185*INDEX(CF$12:CF$263,MATCH($AQ185,$AP$12:$AP$263,0)))/INDEX($AI$12:$AI$263,MATCH($AQ185,$AP$12:$AP$263,0)), "-"),     TRUE, "0")</f>
        <v>0</v>
      </c>
      <c r="CH185" s="588">
        <f>IF(CG$9&gt;0, IF(OR(CG185="",CG185="-"), 0, CG185*$AT185), CF185*$AJ185)</f>
        <v>0</v>
      </c>
      <c r="CI185" s="587">
        <f>[1]COMMANDE!AO183</f>
        <v>0</v>
      </c>
      <c r="CJ185" s="586" t="str">
        <f>_xlfn.IFS(AND($AI185=$AM185,$AI185&gt;0,$AM185&gt;0,CI185&gt;0), CI185,     AND(NOT($AI185=$AM185),$AI185&gt;0,$AM185&gt;0,CI185&gt;0), ($AM185*CI185)/$AI185,     AND($AI185=0,$AM185&gt;0,$AQ185&gt;0), IF(INDEX(CI$12:CI$263,MATCH($AQ185,$AP$12:$AP$263,0))&gt;0,($AM185*INDEX(CI$12:CI$263,MATCH($AQ185,$AP$12:$AP$263,0)))/INDEX($AI$12:$AI$263,MATCH($AQ185,$AP$12:$AP$263,0)), "-"),     TRUE, "0")</f>
        <v>0</v>
      </c>
      <c r="CK185" s="607">
        <f>IF(CJ$9&gt;0, IF(OR(CJ185="",CJ185="-"), 0, CJ185*$AT185), CI185*$AJ185)</f>
        <v>0</v>
      </c>
      <c r="CL185" s="589">
        <f>[1]COMMANDE!AQ183</f>
        <v>0</v>
      </c>
      <c r="CM185" s="586" t="str">
        <f>_xlfn.IFS(AND($AI185=$AM185,$AI185&gt;0,$AM185&gt;0,CL185&gt;0), CL185,     AND(NOT($AI185=$AM185),$AI185&gt;0,$AM185&gt;0,CL185&gt;0), ($AM185*CL185)/$AI185,     AND($AI185=0,$AM185&gt;0,$AQ185&gt;0), IF(INDEX(CL$12:CL$263,MATCH($AQ185,$AP$12:$AP$263,0))&gt;0,($AM185*INDEX(CL$12:CL$263,MATCH($AQ185,$AP$12:$AP$263,0)))/INDEX($AI$12:$AI$263,MATCH($AQ185,$AP$12:$AP$263,0)), "-"),     TRUE, "0")</f>
        <v>0</v>
      </c>
      <c r="CN185" s="588">
        <f>IF(CM$9&gt;0, IF(OR(CM185="",CM185="-"), 0, CM185*$AT185), CL185*$AJ185)</f>
        <v>0</v>
      </c>
      <c r="CO185" s="587">
        <f>[1]COMMANDE!AS183</f>
        <v>0</v>
      </c>
      <c r="CP185" s="586" t="str">
        <f>_xlfn.IFS(AND($AI185=$AM185,$AI185&gt;0,$AM185&gt;0,CO185&gt;0), CO185,     AND(NOT($AI185=$AM185),$AI185&gt;0,$AM185&gt;0,CO185&gt;0), ($AM185*CO185)/$AI185,     AND($AI185=0,$AM185&gt;0,$AQ185&gt;0), IF(INDEX(CO$12:CO$263,MATCH($AQ185,$AP$12:$AP$263,0))&gt;0,($AM185*INDEX(CO$12:CO$263,MATCH($AQ185,$AP$12:$AP$263,0)))/INDEX($AI$12:$AI$263,MATCH($AQ185,$AP$12:$AP$263,0)), "-"),     TRUE, "0")</f>
        <v>0</v>
      </c>
      <c r="CQ185" s="607">
        <f>IF(CP$9&gt;0, IF(OR(CP185="",CP185="-"), 0, CP185*$AT185), CO185*$AJ185)</f>
        <v>0</v>
      </c>
      <c r="CR185" s="589">
        <f>[1]COMMANDE!AU183</f>
        <v>0</v>
      </c>
      <c r="CS185" s="586" t="str">
        <f>_xlfn.IFS(AND($AI185=$AM185,$AI185&gt;0,$AM185&gt;0,CR185&gt;0), CR185,     AND(NOT($AI185=$AM185),$AI185&gt;0,$AM185&gt;0,CR185&gt;0), ($AM185*CR185)/$AI185,     AND($AI185=0,$AM185&gt;0,$AQ185&gt;0), IF(INDEX(CR$12:CR$263,MATCH($AQ185,$AP$12:$AP$263,0))&gt;0,($AM185*INDEX(CR$12:CR$263,MATCH($AQ185,$AP$12:$AP$263,0)))/INDEX($AI$12:$AI$263,MATCH($AQ185,$AP$12:$AP$263,0)), "-"),     TRUE, "0")</f>
        <v>0</v>
      </c>
      <c r="CT185" s="588">
        <f>IF(CS$9&gt;0, IF(OR(CS185="",CS185="-"), 0, CS185*$AT185), CR185*$AJ185)</f>
        <v>0</v>
      </c>
      <c r="CU185" s="587">
        <f>[1]COMMANDE!AW183</f>
        <v>0</v>
      </c>
      <c r="CV185" s="586" t="str">
        <f>_xlfn.IFS(AND($AI185=$AM185,$AI185&gt;0,$AM185&gt;0,CU185&gt;0), CU185,     AND(NOT($AI185=$AM185),$AI185&gt;0,$AM185&gt;0,CU185&gt;0), ($AM185*CU185)/$AI185,     AND($AI185=0,$AM185&gt;0,$AQ185&gt;0), IF(INDEX(CU$12:CU$263,MATCH($AQ185,$AP$12:$AP$263,0))&gt;0,($AM185*INDEX(CU$12:CU$263,MATCH($AQ185,$AP$12:$AP$263,0)))/INDEX($AI$12:$AI$263,MATCH($AQ185,$AP$12:$AP$263,0)), "-"),     TRUE, "0")</f>
        <v>0</v>
      </c>
      <c r="CW185" s="607">
        <f>IF(CV$9&gt;0, IF(OR(CV185="",CV185="-"), 0, CV185*$AT185), CU185*$AJ185)</f>
        <v>0</v>
      </c>
      <c r="CX185" s="589">
        <f>[1]COMMANDE!AY183</f>
        <v>0</v>
      </c>
      <c r="CY185" s="586" t="str">
        <f>_xlfn.IFS(AND($AI185=$AM185,$AI185&gt;0,$AM185&gt;0,CX185&gt;0), CX185,     AND(NOT($AI185=$AM185),$AI185&gt;0,$AM185&gt;0,CX185&gt;0), ($AM185*CX185)/$AI185,     AND($AI185=0,$AM185&gt;0,$AQ185&gt;0), IF(INDEX(CX$12:CX$263,MATCH($AQ185,$AP$12:$AP$263,0))&gt;0,($AM185*INDEX(CX$12:CX$263,MATCH($AQ185,$AP$12:$AP$263,0)))/INDEX($AI$12:$AI$263,MATCH($AQ185,$AP$12:$AP$263,0)), "-"),     TRUE, "0")</f>
        <v>0</v>
      </c>
      <c r="CZ185" s="588">
        <f>IF(CY$9&gt;0, IF(OR(CY185="",CY185="-"), 0, CY185*$AT185), CX185*$AJ185)</f>
        <v>0</v>
      </c>
      <c r="DA185" s="587">
        <f>[1]COMMANDE!BA183</f>
        <v>0</v>
      </c>
      <c r="DB185" s="586" t="str">
        <f>_xlfn.IFS(AND($AI185=$AM185,$AI185&gt;0,$AM185&gt;0,DA185&gt;0), DA185,     AND(NOT($AI185=$AM185),$AI185&gt;0,$AM185&gt;0,DA185&gt;0), ($AM185*DA185)/$AI185,     AND($AI185=0,$AM185&gt;0,$AQ185&gt;0), IF(INDEX(DA$12:DA$263,MATCH($AQ185,$AP$12:$AP$263,0))&gt;0,($AM185*INDEX(DA$12:DA$263,MATCH($AQ185,$AP$12:$AP$263,0)))/INDEX($AI$12:$AI$263,MATCH($AQ185,$AP$12:$AP$263,0)), "-"),     TRUE, "0")</f>
        <v>0</v>
      </c>
      <c r="DC185" s="606">
        <f>IF(DB$9&gt;0, IF(OR(DB185="",DB185="-"), 0, DB185*$AT185), DA185*$AJ185)</f>
        <v>0</v>
      </c>
      <c r="DD185" s="584"/>
      <c r="DE185" s="583"/>
    </row>
    <row r="186" spans="1:109" ht="39.950000000000003" hidden="1" customHeight="1">
      <c r="A186" s="604">
        <f>IF(OR($AV186&gt;0, $AX186&gt;0), 1, 0)</f>
        <v>0</v>
      </c>
      <c r="B186" s="604">
        <f>IF(OR($AY186&gt;0, $BA186&gt;0), 1, 0)</f>
        <v>0</v>
      </c>
      <c r="C186" s="604">
        <f>IF(OR($BB186&gt;0, $BD186&gt;0), 1, 0)</f>
        <v>0</v>
      </c>
      <c r="D186" s="604">
        <f>IF(OR($BE186&gt;0, $BG186&gt;0), 1, 0)</f>
        <v>0</v>
      </c>
      <c r="E186" s="604">
        <f>IF(OR($BH186&gt;0, $BJ186&gt;0), 1, 0)</f>
        <v>0</v>
      </c>
      <c r="F186" s="604">
        <f>IF(OR($BK186&gt;0, $BM186&gt;0), 1, 0)</f>
        <v>0</v>
      </c>
      <c r="G186" s="604">
        <f>IF(OR($BN186&gt;0, $BP186&gt;0), 1, 0)</f>
        <v>0</v>
      </c>
      <c r="H186" s="604">
        <f>IF(OR($BQ186&gt;0, $BS186&gt;0), 1, 0)</f>
        <v>0</v>
      </c>
      <c r="I186" s="604">
        <f>IF(OR($BT186&gt;0, $BV186&gt;0), 1, 0)</f>
        <v>0</v>
      </c>
      <c r="J186" s="604">
        <f>IF(OR($BW186&gt;0, $BY186&gt;0), 1, 0)</f>
        <v>0</v>
      </c>
      <c r="K186" s="604">
        <f>IF(OR($BZ186&gt;0, $CB186&gt;0), 1, 0)</f>
        <v>0</v>
      </c>
      <c r="L186" s="604">
        <f>IF(OR($CC186&gt;0, $CE186&gt;0), 1, 0)</f>
        <v>0</v>
      </c>
      <c r="M186" s="604">
        <f>IF(OR($CF186&gt;0, $CH186&gt;0), 1, 0)</f>
        <v>0</v>
      </c>
      <c r="N186" s="604">
        <f>IF(OR($CI186&gt;0, $CK186&gt;0), 1, 0)</f>
        <v>0</v>
      </c>
      <c r="O186" s="604">
        <f>IF(OR($CL186&gt;0, $CN186&gt;0), 1, 0)</f>
        <v>0</v>
      </c>
      <c r="P186" s="604">
        <f>IF(OR($CO186&gt;0, $CQ186&gt;0), 1, 0)</f>
        <v>0</v>
      </c>
      <c r="Q186" s="604">
        <f>IF(OR($CR186&gt;0, $CT186&gt;0), 1, 0)</f>
        <v>0</v>
      </c>
      <c r="R186" s="604">
        <f>IF(OR($CU186&gt;0, $CW186&gt;0), 1, 0)</f>
        <v>0</v>
      </c>
      <c r="S186" s="604">
        <f>IF(OR($CX186&gt;0, $CZ186&gt;0), 1, 0)</f>
        <v>0</v>
      </c>
      <c r="T186" s="604">
        <f>IF(OR($DA186&gt;0, $DC186&gt;0), 1, 0)</f>
        <v>0</v>
      </c>
      <c r="U186" s="603">
        <f>IF(OR($AI186&gt;0,$AM186&gt;0,$AS186&gt;0), 1, 0)</f>
        <v>0</v>
      </c>
      <c r="V186" s="602">
        <f>[1]BDD!A176</f>
        <v>1730</v>
      </c>
      <c r="W186" s="601" t="str">
        <f>[1]BDD!B176</f>
        <v>Moringa en poudre BIO (env. 500g)</v>
      </c>
      <c r="X186" s="600" t="str">
        <f>IF([1]BDD!F176=0, "", [1]BDD!F176)</f>
        <v/>
      </c>
      <c r="Y186" s="542">
        <f>ROUND([1]BDD!G176+FDP_CMD_KG, 2)</f>
        <v>17.28</v>
      </c>
      <c r="Z186" s="542">
        <f>ROUND([1]BDD!G176+FDP_FACT_KG, 2)</f>
        <v>17.28</v>
      </c>
      <c r="AA186" s="543" t="str">
        <f>[1]BDD!H176</f>
        <v>Pièce</v>
      </c>
      <c r="AB186" s="544" t="str">
        <f>IF(NOT(ISBLANK([1]BDD!I176)), ROUND(SUM(([1]BDD!G176*reduc1),FDP_CMD_KG), 2), "")</f>
        <v/>
      </c>
      <c r="AC186" s="544" t="str">
        <f>IF(NOT(ISBLANK([1]BDD!J176)), ROUND(SUM(([1]BDD!G176*reduc2),FDP_CMD_KG), 2), "")</f>
        <v/>
      </c>
      <c r="AD186" s="544" t="str">
        <f>IF(NOT(ISBLANK([1]BDD!K176)), ROUND(SUM(([1]BDD!G176*reduc3),FDP_CMD_KG), 2), "")</f>
        <v/>
      </c>
      <c r="AE186" s="544" t="str">
        <f>IF(NOT(ISBLANK([1]BDD!I176)), ROUND(SUM(([1]BDD!G176*reduc1),FDP_FACT_KG), 2), "")</f>
        <v/>
      </c>
      <c r="AF186" s="544" t="str">
        <f>IF(NOT(ISBLANK([1]BDD!J176)), ROUND(SUM(([1]BDD!G176*reduc2),FDP_FACT_KG), 2), "")</f>
        <v/>
      </c>
      <c r="AG186" s="544" t="str">
        <f>IF(NOT(ISBLANK([1]BDD!K176)), ROUND(SUM(([1]BDD!G176*reduc3),FDP_FACT_KG), 2), "")</f>
        <v/>
      </c>
      <c r="AH186" s="599" t="str">
        <f>[1]BDD!C176</f>
        <v>Andalousie</v>
      </c>
      <c r="AI186" s="598">
        <f>SUM(AV186,AY186,BB186,BE186,BH186,BK186,BN186,BQ186,BT186,BW186,BZ186,CC186,CF186,CI186,CL186,CO186,CR186,CU186,CX186,DA186)</f>
        <v>0</v>
      </c>
      <c r="AJ186" s="545">
        <f>_xlfn.IFS($AD186&lt;&gt;"", $AD186,    $AC186&lt;&gt;"", $AC186,    $AB186&lt;&gt;"", $AB186,    TRUE, $Y186)</f>
        <v>17.28</v>
      </c>
      <c r="AK186" s="592">
        <f>$AI186*$AJ186</f>
        <v>0</v>
      </c>
      <c r="AL186" s="594"/>
      <c r="AM186" s="597"/>
      <c r="AN186" s="545">
        <f>_xlfn.IFS(AND(AM186&gt;=60,$AG186&lt;&gt;""), $AG186,    AND(AM186&gt;=30,$AF186&lt;&gt;""), $AF186,    AND(AM186&gt;=10,$AE186&lt;&gt;""), $AE186,    TRUE, $Z186)</f>
        <v>17.28</v>
      </c>
      <c r="AO186" s="596">
        <f>AM186*AN186</f>
        <v>0</v>
      </c>
      <c r="AP186" s="595"/>
      <c r="AQ186" s="595"/>
      <c r="AR186" s="594"/>
      <c r="AS186" s="593">
        <f>SUM(AW186,AZ186,BC186,BF186,BI186,BL186,BO186,BR186,BU186,BX186,CA186,CD186,CG186,CJ186,CM186,CP186,CS186,CV186,CY186,DB186)</f>
        <v>0</v>
      </c>
      <c r="AT186" s="545">
        <f>_xlfn.IFS(AND(AS186&gt;=60,$AG186&lt;&gt;""), $AG186,    AND(AS186&gt;=30,$AF186&lt;&gt;""), $AF186,    AND(AS186&gt;=10,$AE186&lt;&gt;""), $AE186,    TRUE, $Z186)</f>
        <v>17.28</v>
      </c>
      <c r="AU186" s="592">
        <f>$AS186*$AT186</f>
        <v>0</v>
      </c>
      <c r="AV186" s="591">
        <f>[1]COMMANDE!O184</f>
        <v>0</v>
      </c>
      <c r="AW186" s="586" t="str">
        <f>_xlfn.IFS(AND($AI186=$AM186,$AI186&gt;0,$AM186&gt;0,AV186&gt;0), AV186,     AND(NOT($AI186=$AM186),$AI186&gt;0,$AM186&gt;0,AV186&gt;0), ($AM186*AV186)/$AI186,     AND($AI186=0,$AM186&gt;0,$AQ186&gt;0), IF(INDEX(AV$12:AV$263,MATCH($AQ186,$AP$12:$AP$263,0))&gt;0,($AM186*INDEX(AV$12:AV$263,MATCH($AQ186,$AP$12:$AP$263,0)))/INDEX($AI$12:$AI$263,MATCH($AQ186,$AP$12:$AP$263,0)), "-"),     TRUE, "0")</f>
        <v>0</v>
      </c>
      <c r="AX186" s="588">
        <f>IF(AW$9&gt;0, IF(OR(AW186="",AW186="-"), 0, AW186*$AT186), AV186*$AJ186)</f>
        <v>0</v>
      </c>
      <c r="AY186" s="587">
        <f>[1]COMMANDE!Q184</f>
        <v>0</v>
      </c>
      <c r="AZ186" s="586" t="str">
        <f>_xlfn.IFS(AND($AI186=$AM186,$AI186&gt;0,$AM186&gt;0,AY186&gt;0), AY186,     AND(NOT($AI186=$AM186),$AI186&gt;0,$AM186&gt;0,AY186&gt;0), ($AM186*AY186)/$AI186,     AND($AI186=0,$AM186&gt;0,$AQ186&gt;0), IF(INDEX(AY$12:AY$263,MATCH($AQ186,$AP$12:$AP$263,0))&gt;0,($AM186*INDEX(AY$12:AY$263,MATCH($AQ186,$AP$12:$AP$263,0)))/INDEX($AI$12:$AI$263,MATCH($AQ186,$AP$12:$AP$263,0)), "-"),     TRUE, "0")</f>
        <v>0</v>
      </c>
      <c r="BA186" s="607">
        <f>IF(AZ$9&gt;0, IF(OR(AZ186="",AZ186="-"), 0, AZ186*$AT186), AY186*$AJ186)</f>
        <v>0</v>
      </c>
      <c r="BB186" s="589">
        <f>[1]COMMANDE!S184</f>
        <v>0</v>
      </c>
      <c r="BC186" s="586" t="str">
        <f>_xlfn.IFS(AND($AI186=$AM186,$AI186&gt;0,$AM186&gt;0,BB186&gt;0), BB186,     AND(NOT($AI186=$AM186),$AI186&gt;0,$AM186&gt;0,BB186&gt;0), ($AM186*BB186)/$AI186,     AND($AI186=0,$AM186&gt;0,$AQ186&gt;0), IF(INDEX(BB$12:BB$263,MATCH($AQ186,$AP$12:$AP$263,0))&gt;0,($AM186*INDEX(BB$12:BB$263,MATCH($AQ186,$AP$12:$AP$263,0)))/INDEX($AI$12:$AI$263,MATCH($AQ186,$AP$12:$AP$263,0)), "-"),     TRUE, "0")</f>
        <v>0</v>
      </c>
      <c r="BD186" s="588">
        <f>IF(BC$9&gt;0, IF(OR(BC186="",BC186="-"), 0, BC186*$AT186), BB186*$AJ186)</f>
        <v>0</v>
      </c>
      <c r="BE186" s="587">
        <f>[1]COMMANDE!U184</f>
        <v>0</v>
      </c>
      <c r="BF186" s="586" t="str">
        <f>_xlfn.IFS(AND($AI186=$AM186,$AI186&gt;0,$AM186&gt;0,BE186&gt;0), BE186,     AND(NOT($AI186=$AM186),$AI186&gt;0,$AM186&gt;0,BE186&gt;0), ($AM186*BE186)/$AI186,     AND($AI186=0,$AM186&gt;0,$AQ186&gt;0), IF(INDEX(BE$12:BE$263,MATCH($AQ186,$AP$12:$AP$263,0))&gt;0,($AM186*INDEX(BE$12:BE$263,MATCH($AQ186,$AP$12:$AP$263,0)))/INDEX($AI$12:$AI$263,MATCH($AQ186,$AP$12:$AP$263,0)), "-"),     TRUE, "0")</f>
        <v>0</v>
      </c>
      <c r="BG186" s="607">
        <f>IF(BF$9&gt;0, IF(OR(BF186="",BF186="-"), 0, BF186*$AT186), BE186*$AJ186)</f>
        <v>0</v>
      </c>
      <c r="BH186" s="589">
        <f>[1]COMMANDE!W184</f>
        <v>0</v>
      </c>
      <c r="BI186" s="586" t="str">
        <f>_xlfn.IFS(AND($AI186=$AM186,$AI186&gt;0,$AM186&gt;0,BH186&gt;0), BH186,     AND(NOT($AI186=$AM186),$AI186&gt;0,$AM186&gt;0,BH186&gt;0), ($AM186*BH186)/$AI186,     AND($AI186=0,$AM186&gt;0,$AQ186&gt;0), IF(INDEX(BH$12:BH$263,MATCH($AQ186,$AP$12:$AP$263,0))&gt;0,($AM186*INDEX(BH$12:BH$263,MATCH($AQ186,$AP$12:$AP$263,0)))/INDEX($AI$12:$AI$263,MATCH($AQ186,$AP$12:$AP$263,0)), "-"),     TRUE, "0")</f>
        <v>0</v>
      </c>
      <c r="BJ186" s="588">
        <f>IF(BI$9&gt;0, IF(OR(BI186="",BI186="-"), 0, BI186*$AT186), BH186*$AJ186)</f>
        <v>0</v>
      </c>
      <c r="BK186" s="587">
        <f>[1]COMMANDE!Y184</f>
        <v>0</v>
      </c>
      <c r="BL186" s="586" t="str">
        <f>_xlfn.IFS(AND($AI186=$AM186,$AI186&gt;0,$AM186&gt;0,BK186&gt;0), BK186,     AND(NOT($AI186=$AM186),$AI186&gt;0,$AM186&gt;0,BK186&gt;0), ($AM186*BK186)/$AI186,     AND($AI186=0,$AM186&gt;0,$AQ186&gt;0), IF(INDEX(BK$12:BK$263,MATCH($AQ186,$AP$12:$AP$263,0))&gt;0,($AM186*INDEX(BK$12:BK$263,MATCH($AQ186,$AP$12:$AP$263,0)))/INDEX($AI$12:$AI$263,MATCH($AQ186,$AP$12:$AP$263,0)), "-"),     TRUE, "0")</f>
        <v>0</v>
      </c>
      <c r="BM186" s="607">
        <f>IF(BL$9&gt;0, IF(OR(BL186="",BL186="-"), 0, BL186*$AT186), BK186*$AJ186)</f>
        <v>0</v>
      </c>
      <c r="BN186" s="589">
        <f>[1]COMMANDE!AA184</f>
        <v>0</v>
      </c>
      <c r="BO186" s="586" t="str">
        <f>_xlfn.IFS(AND($AI186=$AM186,$AI186&gt;0,$AM186&gt;0,BN186&gt;0), BN186,     AND(NOT($AI186=$AM186),$AI186&gt;0,$AM186&gt;0,BN186&gt;0), ($AM186*BN186)/$AI186,     AND($AI186=0,$AM186&gt;0,$AQ186&gt;0), IF(INDEX(BN$12:BN$263,MATCH($AQ186,$AP$12:$AP$263,0))&gt;0,($AM186*INDEX(BN$12:BN$263,MATCH($AQ186,$AP$12:$AP$263,0)))/INDEX($AI$12:$AI$263,MATCH($AQ186,$AP$12:$AP$263,0)), "-"),     TRUE, "0")</f>
        <v>0</v>
      </c>
      <c r="BP186" s="588">
        <f>IF(BO$9&gt;0, IF(OR(BO186="",BO186="-"), 0, BO186*$AT186), BN186*$AJ186)</f>
        <v>0</v>
      </c>
      <c r="BQ186" s="587">
        <f>[1]COMMANDE!AC184</f>
        <v>0</v>
      </c>
      <c r="BR186" s="586" t="str">
        <f>_xlfn.IFS(AND($AI186=$AM186,$AI186&gt;0,$AM186&gt;0,BQ186&gt;0), BQ186,     AND(NOT($AI186=$AM186),$AI186&gt;0,$AM186&gt;0,BQ186&gt;0), ($AM186*BQ186)/$AI186,     AND($AI186=0,$AM186&gt;0,$AQ186&gt;0), IF(INDEX(BQ$12:BQ$263,MATCH($AQ186,$AP$12:$AP$263,0))&gt;0,($AM186*INDEX(BQ$12:BQ$263,MATCH($AQ186,$AP$12:$AP$263,0)))/INDEX($AI$12:$AI$263,MATCH($AQ186,$AP$12:$AP$263,0)), "-"),     TRUE, "0")</f>
        <v>0</v>
      </c>
      <c r="BS186" s="607">
        <f>IF(BR$9&gt;0, IF(OR(BR186="",BR186="-"), 0, BR186*$AT186), BQ186*$AJ186)</f>
        <v>0</v>
      </c>
      <c r="BT186" s="589">
        <f>[1]COMMANDE!AE184</f>
        <v>0</v>
      </c>
      <c r="BU186" s="586" t="str">
        <f>_xlfn.IFS(AND($AI186=$AM186,$AI186&gt;0,$AM186&gt;0,BT186&gt;0), BT186,     AND(NOT($AI186=$AM186),$AI186&gt;0,$AM186&gt;0,BT186&gt;0), ($AM186*BT186)/$AI186,     AND($AI186=0,$AM186&gt;0,$AQ186&gt;0), IF(INDEX(BT$12:BT$263,MATCH($AQ186,$AP$12:$AP$263,0))&gt;0,($AM186*INDEX(BT$12:BT$263,MATCH($AQ186,$AP$12:$AP$263,0)))/INDEX($AI$12:$AI$263,MATCH($AQ186,$AP$12:$AP$263,0)), "-"),     TRUE, "0")</f>
        <v>0</v>
      </c>
      <c r="BV186" s="588">
        <f>IF(BU$9&gt;0, IF(OR(BU186="",BU186="-"), 0, BU186*$AT186), BT186*$AJ186)</f>
        <v>0</v>
      </c>
      <c r="BW186" s="587">
        <f>[1]COMMANDE!AG184</f>
        <v>0</v>
      </c>
      <c r="BX186" s="586" t="str">
        <f>_xlfn.IFS(AND($AI186=$AM186,$AI186&gt;0,$AM186&gt;0,BW186&gt;0), BW186,     AND(NOT($AI186=$AM186),$AI186&gt;0,$AM186&gt;0,BW186&gt;0), ($AM186*BW186)/$AI186,     AND($AI186=0,$AM186&gt;0,$AQ186&gt;0), IF(INDEX(BW$12:BW$263,MATCH($AQ186,$AP$12:$AP$263,0))&gt;0,($AM186*INDEX(BW$12:BW$263,MATCH($AQ186,$AP$12:$AP$263,0)))/INDEX($AI$12:$AI$263,MATCH($AQ186,$AP$12:$AP$263,0)), "-"),     TRUE, "0")</f>
        <v>0</v>
      </c>
      <c r="BY186" s="607">
        <f>IF(BX$9&gt;0, IF(OR(BX186="",BX186="-"), 0, BX186*$AT186), BW186*$AJ186)</f>
        <v>0</v>
      </c>
      <c r="BZ186" s="589">
        <f>[1]COMMANDE!AI184</f>
        <v>0</v>
      </c>
      <c r="CA186" s="586" t="str">
        <f>_xlfn.IFS(AND($AI186=$AM186,$AI186&gt;0,$AM186&gt;0,BZ186&gt;0), BZ186,     AND(NOT($AI186=$AM186),$AI186&gt;0,$AM186&gt;0,BZ186&gt;0), ($AM186*BZ186)/$AI186,     AND($AI186=0,$AM186&gt;0,$AQ186&gt;0), IF(INDEX(BZ$12:BZ$263,MATCH($AQ186,$AP$12:$AP$263,0))&gt;0,($AM186*INDEX(BZ$12:BZ$263,MATCH($AQ186,$AP$12:$AP$263,0)))/INDEX($AI$12:$AI$263,MATCH($AQ186,$AP$12:$AP$263,0)), "-"),     TRUE, "0")</f>
        <v>0</v>
      </c>
      <c r="CB186" s="588">
        <f>IF(CA$9&gt;0, IF(OR(CA186="",CA186="-"), 0, CA186*$AT186), BZ186*$AJ186)</f>
        <v>0</v>
      </c>
      <c r="CC186" s="587">
        <f>[1]COMMANDE!AK184</f>
        <v>0</v>
      </c>
      <c r="CD186" s="586" t="str">
        <f>_xlfn.IFS(AND($AI186=$AM186,$AI186&gt;0,$AM186&gt;0,CC186&gt;0), CC186,     AND(NOT($AI186=$AM186),$AI186&gt;0,$AM186&gt;0,CC186&gt;0), ($AM186*CC186)/$AI186,     AND($AI186=0,$AM186&gt;0,$AQ186&gt;0), IF(INDEX(CC$12:CC$263,MATCH($AQ186,$AP$12:$AP$263,0))&gt;0,($AM186*INDEX(CC$12:CC$263,MATCH($AQ186,$AP$12:$AP$263,0)))/INDEX($AI$12:$AI$263,MATCH($AQ186,$AP$12:$AP$263,0)), "-"),     TRUE, "0")</f>
        <v>0</v>
      </c>
      <c r="CE186" s="607">
        <f>IF(CD$9&gt;0, IF(OR(CD186="",CD186="-"), 0, CD186*$AT186), CC186*$AJ186)</f>
        <v>0</v>
      </c>
      <c r="CF186" s="589">
        <f>[1]COMMANDE!AM184</f>
        <v>0</v>
      </c>
      <c r="CG186" s="586" t="str">
        <f>_xlfn.IFS(AND($AI186=$AM186,$AI186&gt;0,$AM186&gt;0,CF186&gt;0), CF186,     AND(NOT($AI186=$AM186),$AI186&gt;0,$AM186&gt;0,CF186&gt;0), ($AM186*CF186)/$AI186,     AND($AI186=0,$AM186&gt;0,$AQ186&gt;0), IF(INDEX(CF$12:CF$263,MATCH($AQ186,$AP$12:$AP$263,0))&gt;0,($AM186*INDEX(CF$12:CF$263,MATCH($AQ186,$AP$12:$AP$263,0)))/INDEX($AI$12:$AI$263,MATCH($AQ186,$AP$12:$AP$263,0)), "-"),     TRUE, "0")</f>
        <v>0</v>
      </c>
      <c r="CH186" s="588">
        <f>IF(CG$9&gt;0, IF(OR(CG186="",CG186="-"), 0, CG186*$AT186), CF186*$AJ186)</f>
        <v>0</v>
      </c>
      <c r="CI186" s="587">
        <f>[1]COMMANDE!AO184</f>
        <v>0</v>
      </c>
      <c r="CJ186" s="586" t="str">
        <f>_xlfn.IFS(AND($AI186=$AM186,$AI186&gt;0,$AM186&gt;0,CI186&gt;0), CI186,     AND(NOT($AI186=$AM186),$AI186&gt;0,$AM186&gt;0,CI186&gt;0), ($AM186*CI186)/$AI186,     AND($AI186=0,$AM186&gt;0,$AQ186&gt;0), IF(INDEX(CI$12:CI$263,MATCH($AQ186,$AP$12:$AP$263,0))&gt;0,($AM186*INDEX(CI$12:CI$263,MATCH($AQ186,$AP$12:$AP$263,0)))/INDEX($AI$12:$AI$263,MATCH($AQ186,$AP$12:$AP$263,0)), "-"),     TRUE, "0")</f>
        <v>0</v>
      </c>
      <c r="CK186" s="607">
        <f>IF(CJ$9&gt;0, IF(OR(CJ186="",CJ186="-"), 0, CJ186*$AT186), CI186*$AJ186)</f>
        <v>0</v>
      </c>
      <c r="CL186" s="589">
        <f>[1]COMMANDE!AQ184</f>
        <v>0</v>
      </c>
      <c r="CM186" s="586" t="str">
        <f>_xlfn.IFS(AND($AI186=$AM186,$AI186&gt;0,$AM186&gt;0,CL186&gt;0), CL186,     AND(NOT($AI186=$AM186),$AI186&gt;0,$AM186&gt;0,CL186&gt;0), ($AM186*CL186)/$AI186,     AND($AI186=0,$AM186&gt;0,$AQ186&gt;0), IF(INDEX(CL$12:CL$263,MATCH($AQ186,$AP$12:$AP$263,0))&gt;0,($AM186*INDEX(CL$12:CL$263,MATCH($AQ186,$AP$12:$AP$263,0)))/INDEX($AI$12:$AI$263,MATCH($AQ186,$AP$12:$AP$263,0)), "-"),     TRUE, "0")</f>
        <v>0</v>
      </c>
      <c r="CN186" s="588">
        <f>IF(CM$9&gt;0, IF(OR(CM186="",CM186="-"), 0, CM186*$AT186), CL186*$AJ186)</f>
        <v>0</v>
      </c>
      <c r="CO186" s="587">
        <f>[1]COMMANDE!AS184</f>
        <v>0</v>
      </c>
      <c r="CP186" s="586" t="str">
        <f>_xlfn.IFS(AND($AI186=$AM186,$AI186&gt;0,$AM186&gt;0,CO186&gt;0), CO186,     AND(NOT($AI186=$AM186),$AI186&gt;0,$AM186&gt;0,CO186&gt;0), ($AM186*CO186)/$AI186,     AND($AI186=0,$AM186&gt;0,$AQ186&gt;0), IF(INDEX(CO$12:CO$263,MATCH($AQ186,$AP$12:$AP$263,0))&gt;0,($AM186*INDEX(CO$12:CO$263,MATCH($AQ186,$AP$12:$AP$263,0)))/INDEX($AI$12:$AI$263,MATCH($AQ186,$AP$12:$AP$263,0)), "-"),     TRUE, "0")</f>
        <v>0</v>
      </c>
      <c r="CQ186" s="607">
        <f>IF(CP$9&gt;0, IF(OR(CP186="",CP186="-"), 0, CP186*$AT186), CO186*$AJ186)</f>
        <v>0</v>
      </c>
      <c r="CR186" s="589">
        <f>[1]COMMANDE!AU184</f>
        <v>0</v>
      </c>
      <c r="CS186" s="586" t="str">
        <f>_xlfn.IFS(AND($AI186=$AM186,$AI186&gt;0,$AM186&gt;0,CR186&gt;0), CR186,     AND(NOT($AI186=$AM186),$AI186&gt;0,$AM186&gt;0,CR186&gt;0), ($AM186*CR186)/$AI186,     AND($AI186=0,$AM186&gt;0,$AQ186&gt;0), IF(INDEX(CR$12:CR$263,MATCH($AQ186,$AP$12:$AP$263,0))&gt;0,($AM186*INDEX(CR$12:CR$263,MATCH($AQ186,$AP$12:$AP$263,0)))/INDEX($AI$12:$AI$263,MATCH($AQ186,$AP$12:$AP$263,0)), "-"),     TRUE, "0")</f>
        <v>0</v>
      </c>
      <c r="CT186" s="588">
        <f>IF(CS$9&gt;0, IF(OR(CS186="",CS186="-"), 0, CS186*$AT186), CR186*$AJ186)</f>
        <v>0</v>
      </c>
      <c r="CU186" s="587">
        <f>[1]COMMANDE!AW184</f>
        <v>0</v>
      </c>
      <c r="CV186" s="586" t="str">
        <f>_xlfn.IFS(AND($AI186=$AM186,$AI186&gt;0,$AM186&gt;0,CU186&gt;0), CU186,     AND(NOT($AI186=$AM186),$AI186&gt;0,$AM186&gt;0,CU186&gt;0), ($AM186*CU186)/$AI186,     AND($AI186=0,$AM186&gt;0,$AQ186&gt;0), IF(INDEX(CU$12:CU$263,MATCH($AQ186,$AP$12:$AP$263,0))&gt;0,($AM186*INDEX(CU$12:CU$263,MATCH($AQ186,$AP$12:$AP$263,0)))/INDEX($AI$12:$AI$263,MATCH($AQ186,$AP$12:$AP$263,0)), "-"),     TRUE, "0")</f>
        <v>0</v>
      </c>
      <c r="CW186" s="607">
        <f>IF(CV$9&gt;0, IF(OR(CV186="",CV186="-"), 0, CV186*$AT186), CU186*$AJ186)</f>
        <v>0</v>
      </c>
      <c r="CX186" s="589">
        <f>[1]COMMANDE!AY184</f>
        <v>0</v>
      </c>
      <c r="CY186" s="586" t="str">
        <f>_xlfn.IFS(AND($AI186=$AM186,$AI186&gt;0,$AM186&gt;0,CX186&gt;0), CX186,     AND(NOT($AI186=$AM186),$AI186&gt;0,$AM186&gt;0,CX186&gt;0), ($AM186*CX186)/$AI186,     AND($AI186=0,$AM186&gt;0,$AQ186&gt;0), IF(INDEX(CX$12:CX$263,MATCH($AQ186,$AP$12:$AP$263,0))&gt;0,($AM186*INDEX(CX$12:CX$263,MATCH($AQ186,$AP$12:$AP$263,0)))/INDEX($AI$12:$AI$263,MATCH($AQ186,$AP$12:$AP$263,0)), "-"),     TRUE, "0")</f>
        <v>0</v>
      </c>
      <c r="CZ186" s="588">
        <f>IF(CY$9&gt;0, IF(OR(CY186="",CY186="-"), 0, CY186*$AT186), CX186*$AJ186)</f>
        <v>0</v>
      </c>
      <c r="DA186" s="587">
        <f>[1]COMMANDE!BA184</f>
        <v>0</v>
      </c>
      <c r="DB186" s="586" t="str">
        <f>_xlfn.IFS(AND($AI186=$AM186,$AI186&gt;0,$AM186&gt;0,DA186&gt;0), DA186,     AND(NOT($AI186=$AM186),$AI186&gt;0,$AM186&gt;0,DA186&gt;0), ($AM186*DA186)/$AI186,     AND($AI186=0,$AM186&gt;0,$AQ186&gt;0), IF(INDEX(DA$12:DA$263,MATCH($AQ186,$AP$12:$AP$263,0))&gt;0,($AM186*INDEX(DA$12:DA$263,MATCH($AQ186,$AP$12:$AP$263,0)))/INDEX($AI$12:$AI$263,MATCH($AQ186,$AP$12:$AP$263,0)), "-"),     TRUE, "0")</f>
        <v>0</v>
      </c>
      <c r="DC186" s="606">
        <f>IF(DB$9&gt;0, IF(OR(DB186="",DB186="-"), 0, DB186*$AT186), DA186*$AJ186)</f>
        <v>0</v>
      </c>
      <c r="DD186" s="584"/>
      <c r="DE186" s="583"/>
    </row>
    <row r="187" spans="1:109" ht="39.950000000000003" hidden="1" customHeight="1">
      <c r="A187" s="604">
        <f>IF(OR($AV187&gt;0, $AX187&gt;0), 1, 0)</f>
        <v>0</v>
      </c>
      <c r="B187" s="604">
        <f>IF(OR($AY187&gt;0, $BA187&gt;0), 1, 0)</f>
        <v>0</v>
      </c>
      <c r="C187" s="604">
        <f>IF(OR($BB187&gt;0, $BD187&gt;0), 1, 0)</f>
        <v>0</v>
      </c>
      <c r="D187" s="604">
        <f>IF(OR($BE187&gt;0, $BG187&gt;0), 1, 0)</f>
        <v>0</v>
      </c>
      <c r="E187" s="604">
        <f>IF(OR($BH187&gt;0, $BJ187&gt;0), 1, 0)</f>
        <v>0</v>
      </c>
      <c r="F187" s="604">
        <f>IF(OR($BK187&gt;0, $BM187&gt;0), 1, 0)</f>
        <v>0</v>
      </c>
      <c r="G187" s="604">
        <f>IF(OR($BN187&gt;0, $BP187&gt;0), 1, 0)</f>
        <v>0</v>
      </c>
      <c r="H187" s="604">
        <f>IF(OR($BQ187&gt;0, $BS187&gt;0), 1, 0)</f>
        <v>0</v>
      </c>
      <c r="I187" s="604">
        <f>IF(OR($BT187&gt;0, $BV187&gt;0), 1, 0)</f>
        <v>0</v>
      </c>
      <c r="J187" s="604">
        <f>IF(OR($BW187&gt;0, $BY187&gt;0), 1, 0)</f>
        <v>0</v>
      </c>
      <c r="K187" s="604">
        <f>IF(OR($BZ187&gt;0, $CB187&gt;0), 1, 0)</f>
        <v>0</v>
      </c>
      <c r="L187" s="604">
        <f>IF(OR($CC187&gt;0, $CE187&gt;0), 1, 0)</f>
        <v>0</v>
      </c>
      <c r="M187" s="604">
        <f>IF(OR($CF187&gt;0, $CH187&gt;0), 1, 0)</f>
        <v>0</v>
      </c>
      <c r="N187" s="604">
        <f>IF(OR($CI187&gt;0, $CK187&gt;0), 1, 0)</f>
        <v>0</v>
      </c>
      <c r="O187" s="604">
        <f>IF(OR($CL187&gt;0, $CN187&gt;0), 1, 0)</f>
        <v>0</v>
      </c>
      <c r="P187" s="604">
        <f>IF(OR($CO187&gt;0, $CQ187&gt;0), 1, 0)</f>
        <v>0</v>
      </c>
      <c r="Q187" s="604">
        <f>IF(OR($CR187&gt;0, $CT187&gt;0), 1, 0)</f>
        <v>0</v>
      </c>
      <c r="R187" s="604">
        <f>IF(OR($CU187&gt;0, $CW187&gt;0), 1, 0)</f>
        <v>0</v>
      </c>
      <c r="S187" s="604">
        <f>IF(OR($CX187&gt;0, $CZ187&gt;0), 1, 0)</f>
        <v>0</v>
      </c>
      <c r="T187" s="604">
        <f>IF(OR($DA187&gt;0, $DC187&gt;0), 1, 0)</f>
        <v>0</v>
      </c>
      <c r="U187" s="603">
        <f>IF(OR($AI187&gt;0,$AM187&gt;0,$AS187&gt;0), 1, 0)</f>
        <v>0</v>
      </c>
      <c r="V187" s="602">
        <f>[1]BDD!A177</f>
        <v>1729</v>
      </c>
      <c r="W187" s="601" t="str">
        <f>[1]BDD!B177</f>
        <v>Moringa feuille sèche BIO (env. 500g)</v>
      </c>
      <c r="X187" s="600" t="str">
        <f>IF([1]BDD!F177=0, "", [1]BDD!F177)</f>
        <v/>
      </c>
      <c r="Y187" s="542">
        <f>ROUND([1]BDD!G177+FDP_CMD_KG, 2)</f>
        <v>18.260000000000002</v>
      </c>
      <c r="Z187" s="542">
        <f>ROUND([1]BDD!G177+FDP_FACT_KG, 2)</f>
        <v>18.260000000000002</v>
      </c>
      <c r="AA187" s="543" t="str">
        <f>[1]BDD!H177</f>
        <v>Pièce</v>
      </c>
      <c r="AB187" s="544" t="str">
        <f>IF(NOT(ISBLANK([1]BDD!I177)), ROUND(SUM(([1]BDD!G177*reduc1),FDP_CMD_KG), 2), "")</f>
        <v/>
      </c>
      <c r="AC187" s="544" t="str">
        <f>IF(NOT(ISBLANK([1]BDD!J177)), ROUND(SUM(([1]BDD!G177*reduc2),FDP_CMD_KG), 2), "")</f>
        <v/>
      </c>
      <c r="AD187" s="544" t="str">
        <f>IF(NOT(ISBLANK([1]BDD!K177)), ROUND(SUM(([1]BDD!G177*reduc3),FDP_CMD_KG), 2), "")</f>
        <v/>
      </c>
      <c r="AE187" s="544" t="str">
        <f>IF(NOT(ISBLANK([1]BDD!I177)), ROUND(SUM(([1]BDD!G177*reduc1),FDP_FACT_KG), 2), "")</f>
        <v/>
      </c>
      <c r="AF187" s="544" t="str">
        <f>IF(NOT(ISBLANK([1]BDD!J177)), ROUND(SUM(([1]BDD!G177*reduc2),FDP_FACT_KG), 2), "")</f>
        <v/>
      </c>
      <c r="AG187" s="544" t="str">
        <f>IF(NOT(ISBLANK([1]BDD!K177)), ROUND(SUM(([1]BDD!G177*reduc3),FDP_FACT_KG), 2), "")</f>
        <v/>
      </c>
      <c r="AH187" s="599" t="str">
        <f>[1]BDD!C177</f>
        <v>Andalousie</v>
      </c>
      <c r="AI187" s="598">
        <f>SUM(AV187,AY187,BB187,BE187,BH187,BK187,BN187,BQ187,BT187,BW187,BZ187,CC187,CF187,CI187,CL187,CO187,CR187,CU187,CX187,DA187)</f>
        <v>0</v>
      </c>
      <c r="AJ187" s="545">
        <f>_xlfn.IFS($AD187&lt;&gt;"", $AD187,    $AC187&lt;&gt;"", $AC187,    $AB187&lt;&gt;"", $AB187,    TRUE, $Y187)</f>
        <v>18.260000000000002</v>
      </c>
      <c r="AK187" s="592">
        <f>$AI187*$AJ187</f>
        <v>0</v>
      </c>
      <c r="AL187" s="594"/>
      <c r="AM187" s="597"/>
      <c r="AN187" s="545">
        <f>_xlfn.IFS(AND(AM187&gt;=60,$AG187&lt;&gt;""), $AG187,    AND(AM187&gt;=30,$AF187&lt;&gt;""), $AF187,    AND(AM187&gt;=10,$AE187&lt;&gt;""), $AE187,    TRUE, $Z187)</f>
        <v>18.260000000000002</v>
      </c>
      <c r="AO187" s="596">
        <f>AM187*AN187</f>
        <v>0</v>
      </c>
      <c r="AP187" s="595"/>
      <c r="AQ187" s="595"/>
      <c r="AR187" s="594"/>
      <c r="AS187" s="593">
        <f>SUM(AW187,AZ187,BC187,BF187,BI187,BL187,BO187,BR187,BU187,BX187,CA187,CD187,CG187,CJ187,CM187,CP187,CS187,CV187,CY187,DB187)</f>
        <v>0</v>
      </c>
      <c r="AT187" s="545">
        <f>_xlfn.IFS(AND(AS187&gt;=60,$AG187&lt;&gt;""), $AG187,    AND(AS187&gt;=30,$AF187&lt;&gt;""), $AF187,    AND(AS187&gt;=10,$AE187&lt;&gt;""), $AE187,    TRUE, $Z187)</f>
        <v>18.260000000000002</v>
      </c>
      <c r="AU187" s="592">
        <f>$AS187*$AT187</f>
        <v>0</v>
      </c>
      <c r="AV187" s="591">
        <f>[1]COMMANDE!O185</f>
        <v>0</v>
      </c>
      <c r="AW187" s="586" t="str">
        <f>_xlfn.IFS(AND($AI187=$AM187,$AI187&gt;0,$AM187&gt;0,AV187&gt;0), AV187,     AND(NOT($AI187=$AM187),$AI187&gt;0,$AM187&gt;0,AV187&gt;0), ($AM187*AV187)/$AI187,     AND($AI187=0,$AM187&gt;0,$AQ187&gt;0), IF(INDEX(AV$12:AV$263,MATCH($AQ187,$AP$12:$AP$263,0))&gt;0,($AM187*INDEX(AV$12:AV$263,MATCH($AQ187,$AP$12:$AP$263,0)))/INDEX($AI$12:$AI$263,MATCH($AQ187,$AP$12:$AP$263,0)), "-"),     TRUE, "0")</f>
        <v>0</v>
      </c>
      <c r="AX187" s="588">
        <f>IF(AW$9&gt;0, IF(OR(AW187="",AW187="-"), 0, AW187*$AT187), AV187*$AJ187)</f>
        <v>0</v>
      </c>
      <c r="AY187" s="587">
        <f>[1]COMMANDE!Q185</f>
        <v>0</v>
      </c>
      <c r="AZ187" s="586" t="str">
        <f>_xlfn.IFS(AND($AI187=$AM187,$AI187&gt;0,$AM187&gt;0,AY187&gt;0), AY187,     AND(NOT($AI187=$AM187),$AI187&gt;0,$AM187&gt;0,AY187&gt;0), ($AM187*AY187)/$AI187,     AND($AI187=0,$AM187&gt;0,$AQ187&gt;0), IF(INDEX(AY$12:AY$263,MATCH($AQ187,$AP$12:$AP$263,0))&gt;0,($AM187*INDEX(AY$12:AY$263,MATCH($AQ187,$AP$12:$AP$263,0)))/INDEX($AI$12:$AI$263,MATCH($AQ187,$AP$12:$AP$263,0)), "-"),     TRUE, "0")</f>
        <v>0</v>
      </c>
      <c r="BA187" s="607">
        <f>IF(AZ$9&gt;0, IF(OR(AZ187="",AZ187="-"), 0, AZ187*$AT187), AY187*$AJ187)</f>
        <v>0</v>
      </c>
      <c r="BB187" s="589">
        <f>[1]COMMANDE!S185</f>
        <v>0</v>
      </c>
      <c r="BC187" s="586" t="str">
        <f>_xlfn.IFS(AND($AI187=$AM187,$AI187&gt;0,$AM187&gt;0,BB187&gt;0), BB187,     AND(NOT($AI187=$AM187),$AI187&gt;0,$AM187&gt;0,BB187&gt;0), ($AM187*BB187)/$AI187,     AND($AI187=0,$AM187&gt;0,$AQ187&gt;0), IF(INDEX(BB$12:BB$263,MATCH($AQ187,$AP$12:$AP$263,0))&gt;0,($AM187*INDEX(BB$12:BB$263,MATCH($AQ187,$AP$12:$AP$263,0)))/INDEX($AI$12:$AI$263,MATCH($AQ187,$AP$12:$AP$263,0)), "-"),     TRUE, "0")</f>
        <v>0</v>
      </c>
      <c r="BD187" s="588">
        <f>IF(BC$9&gt;0, IF(OR(BC187="",BC187="-"), 0, BC187*$AT187), BB187*$AJ187)</f>
        <v>0</v>
      </c>
      <c r="BE187" s="587">
        <f>[1]COMMANDE!U185</f>
        <v>0</v>
      </c>
      <c r="BF187" s="586" t="str">
        <f>_xlfn.IFS(AND($AI187=$AM187,$AI187&gt;0,$AM187&gt;0,BE187&gt;0), BE187,     AND(NOT($AI187=$AM187),$AI187&gt;0,$AM187&gt;0,BE187&gt;0), ($AM187*BE187)/$AI187,     AND($AI187=0,$AM187&gt;0,$AQ187&gt;0), IF(INDEX(BE$12:BE$263,MATCH($AQ187,$AP$12:$AP$263,0))&gt;0,($AM187*INDEX(BE$12:BE$263,MATCH($AQ187,$AP$12:$AP$263,0)))/INDEX($AI$12:$AI$263,MATCH($AQ187,$AP$12:$AP$263,0)), "-"),     TRUE, "0")</f>
        <v>0</v>
      </c>
      <c r="BG187" s="607">
        <f>IF(BF$9&gt;0, IF(OR(BF187="",BF187="-"), 0, BF187*$AT187), BE187*$AJ187)</f>
        <v>0</v>
      </c>
      <c r="BH187" s="589">
        <f>[1]COMMANDE!W185</f>
        <v>0</v>
      </c>
      <c r="BI187" s="586" t="str">
        <f>_xlfn.IFS(AND($AI187=$AM187,$AI187&gt;0,$AM187&gt;0,BH187&gt;0), BH187,     AND(NOT($AI187=$AM187),$AI187&gt;0,$AM187&gt;0,BH187&gt;0), ($AM187*BH187)/$AI187,     AND($AI187=0,$AM187&gt;0,$AQ187&gt;0), IF(INDEX(BH$12:BH$263,MATCH($AQ187,$AP$12:$AP$263,0))&gt;0,($AM187*INDEX(BH$12:BH$263,MATCH($AQ187,$AP$12:$AP$263,0)))/INDEX($AI$12:$AI$263,MATCH($AQ187,$AP$12:$AP$263,0)), "-"),     TRUE, "0")</f>
        <v>0</v>
      </c>
      <c r="BJ187" s="588">
        <f>IF(BI$9&gt;0, IF(OR(BI187="",BI187="-"), 0, BI187*$AT187), BH187*$AJ187)</f>
        <v>0</v>
      </c>
      <c r="BK187" s="587">
        <f>[1]COMMANDE!Y185</f>
        <v>0</v>
      </c>
      <c r="BL187" s="586" t="str">
        <f>_xlfn.IFS(AND($AI187=$AM187,$AI187&gt;0,$AM187&gt;0,BK187&gt;0), BK187,     AND(NOT($AI187=$AM187),$AI187&gt;0,$AM187&gt;0,BK187&gt;0), ($AM187*BK187)/$AI187,     AND($AI187=0,$AM187&gt;0,$AQ187&gt;0), IF(INDEX(BK$12:BK$263,MATCH($AQ187,$AP$12:$AP$263,0))&gt;0,($AM187*INDEX(BK$12:BK$263,MATCH($AQ187,$AP$12:$AP$263,0)))/INDEX($AI$12:$AI$263,MATCH($AQ187,$AP$12:$AP$263,0)), "-"),     TRUE, "0")</f>
        <v>0</v>
      </c>
      <c r="BM187" s="607">
        <f>IF(BL$9&gt;0, IF(OR(BL187="",BL187="-"), 0, BL187*$AT187), BK187*$AJ187)</f>
        <v>0</v>
      </c>
      <c r="BN187" s="589">
        <f>[1]COMMANDE!AA185</f>
        <v>0</v>
      </c>
      <c r="BO187" s="586" t="str">
        <f>_xlfn.IFS(AND($AI187=$AM187,$AI187&gt;0,$AM187&gt;0,BN187&gt;0), BN187,     AND(NOT($AI187=$AM187),$AI187&gt;0,$AM187&gt;0,BN187&gt;0), ($AM187*BN187)/$AI187,     AND($AI187=0,$AM187&gt;0,$AQ187&gt;0), IF(INDEX(BN$12:BN$263,MATCH($AQ187,$AP$12:$AP$263,0))&gt;0,($AM187*INDEX(BN$12:BN$263,MATCH($AQ187,$AP$12:$AP$263,0)))/INDEX($AI$12:$AI$263,MATCH($AQ187,$AP$12:$AP$263,0)), "-"),     TRUE, "0")</f>
        <v>0</v>
      </c>
      <c r="BP187" s="588">
        <f>IF(BO$9&gt;0, IF(OR(BO187="",BO187="-"), 0, BO187*$AT187), BN187*$AJ187)</f>
        <v>0</v>
      </c>
      <c r="BQ187" s="587">
        <f>[1]COMMANDE!AC185</f>
        <v>0</v>
      </c>
      <c r="BR187" s="586" t="str">
        <f>_xlfn.IFS(AND($AI187=$AM187,$AI187&gt;0,$AM187&gt;0,BQ187&gt;0), BQ187,     AND(NOT($AI187=$AM187),$AI187&gt;0,$AM187&gt;0,BQ187&gt;0), ($AM187*BQ187)/$AI187,     AND($AI187=0,$AM187&gt;0,$AQ187&gt;0), IF(INDEX(BQ$12:BQ$263,MATCH($AQ187,$AP$12:$AP$263,0))&gt;0,($AM187*INDEX(BQ$12:BQ$263,MATCH($AQ187,$AP$12:$AP$263,0)))/INDEX($AI$12:$AI$263,MATCH($AQ187,$AP$12:$AP$263,0)), "-"),     TRUE, "0")</f>
        <v>0</v>
      </c>
      <c r="BS187" s="607">
        <f>IF(BR$9&gt;0, IF(OR(BR187="",BR187="-"), 0, BR187*$AT187), BQ187*$AJ187)</f>
        <v>0</v>
      </c>
      <c r="BT187" s="589">
        <f>[1]COMMANDE!AE185</f>
        <v>0</v>
      </c>
      <c r="BU187" s="586" t="str">
        <f>_xlfn.IFS(AND($AI187=$AM187,$AI187&gt;0,$AM187&gt;0,BT187&gt;0), BT187,     AND(NOT($AI187=$AM187),$AI187&gt;0,$AM187&gt;0,BT187&gt;0), ($AM187*BT187)/$AI187,     AND($AI187=0,$AM187&gt;0,$AQ187&gt;0), IF(INDEX(BT$12:BT$263,MATCH($AQ187,$AP$12:$AP$263,0))&gt;0,($AM187*INDEX(BT$12:BT$263,MATCH($AQ187,$AP$12:$AP$263,0)))/INDEX($AI$12:$AI$263,MATCH($AQ187,$AP$12:$AP$263,0)), "-"),     TRUE, "0")</f>
        <v>0</v>
      </c>
      <c r="BV187" s="588">
        <f>IF(BU$9&gt;0, IF(OR(BU187="",BU187="-"), 0, BU187*$AT187), BT187*$AJ187)</f>
        <v>0</v>
      </c>
      <c r="BW187" s="587">
        <f>[1]COMMANDE!AG185</f>
        <v>0</v>
      </c>
      <c r="BX187" s="586" t="str">
        <f>_xlfn.IFS(AND($AI187=$AM187,$AI187&gt;0,$AM187&gt;0,BW187&gt;0), BW187,     AND(NOT($AI187=$AM187),$AI187&gt;0,$AM187&gt;0,BW187&gt;0), ($AM187*BW187)/$AI187,     AND($AI187=0,$AM187&gt;0,$AQ187&gt;0), IF(INDEX(BW$12:BW$263,MATCH($AQ187,$AP$12:$AP$263,0))&gt;0,($AM187*INDEX(BW$12:BW$263,MATCH($AQ187,$AP$12:$AP$263,0)))/INDEX($AI$12:$AI$263,MATCH($AQ187,$AP$12:$AP$263,0)), "-"),     TRUE, "0")</f>
        <v>0</v>
      </c>
      <c r="BY187" s="607">
        <f>IF(BX$9&gt;0, IF(OR(BX187="",BX187="-"), 0, BX187*$AT187), BW187*$AJ187)</f>
        <v>0</v>
      </c>
      <c r="BZ187" s="589">
        <f>[1]COMMANDE!AI185</f>
        <v>0</v>
      </c>
      <c r="CA187" s="586" t="str">
        <f>_xlfn.IFS(AND($AI187=$AM187,$AI187&gt;0,$AM187&gt;0,BZ187&gt;0), BZ187,     AND(NOT($AI187=$AM187),$AI187&gt;0,$AM187&gt;0,BZ187&gt;0), ($AM187*BZ187)/$AI187,     AND($AI187=0,$AM187&gt;0,$AQ187&gt;0), IF(INDEX(BZ$12:BZ$263,MATCH($AQ187,$AP$12:$AP$263,0))&gt;0,($AM187*INDEX(BZ$12:BZ$263,MATCH($AQ187,$AP$12:$AP$263,0)))/INDEX($AI$12:$AI$263,MATCH($AQ187,$AP$12:$AP$263,0)), "-"),     TRUE, "0")</f>
        <v>0</v>
      </c>
      <c r="CB187" s="588">
        <f>IF(CA$9&gt;0, IF(OR(CA187="",CA187="-"), 0, CA187*$AT187), BZ187*$AJ187)</f>
        <v>0</v>
      </c>
      <c r="CC187" s="587">
        <f>[1]COMMANDE!AK185</f>
        <v>0</v>
      </c>
      <c r="CD187" s="586" t="str">
        <f>_xlfn.IFS(AND($AI187=$AM187,$AI187&gt;0,$AM187&gt;0,CC187&gt;0), CC187,     AND(NOT($AI187=$AM187),$AI187&gt;0,$AM187&gt;0,CC187&gt;0), ($AM187*CC187)/$AI187,     AND($AI187=0,$AM187&gt;0,$AQ187&gt;0), IF(INDEX(CC$12:CC$263,MATCH($AQ187,$AP$12:$AP$263,0))&gt;0,($AM187*INDEX(CC$12:CC$263,MATCH($AQ187,$AP$12:$AP$263,0)))/INDEX($AI$12:$AI$263,MATCH($AQ187,$AP$12:$AP$263,0)), "-"),     TRUE, "0")</f>
        <v>0</v>
      </c>
      <c r="CE187" s="607">
        <f>IF(CD$9&gt;0, IF(OR(CD187="",CD187="-"), 0, CD187*$AT187), CC187*$AJ187)</f>
        <v>0</v>
      </c>
      <c r="CF187" s="589">
        <f>[1]COMMANDE!AM185</f>
        <v>0</v>
      </c>
      <c r="CG187" s="586" t="str">
        <f>_xlfn.IFS(AND($AI187=$AM187,$AI187&gt;0,$AM187&gt;0,CF187&gt;0), CF187,     AND(NOT($AI187=$AM187),$AI187&gt;0,$AM187&gt;0,CF187&gt;0), ($AM187*CF187)/$AI187,     AND($AI187=0,$AM187&gt;0,$AQ187&gt;0), IF(INDEX(CF$12:CF$263,MATCH($AQ187,$AP$12:$AP$263,0))&gt;0,($AM187*INDEX(CF$12:CF$263,MATCH($AQ187,$AP$12:$AP$263,0)))/INDEX($AI$12:$AI$263,MATCH($AQ187,$AP$12:$AP$263,0)), "-"),     TRUE, "0")</f>
        <v>0</v>
      </c>
      <c r="CH187" s="588">
        <f>IF(CG$9&gt;0, IF(OR(CG187="",CG187="-"), 0, CG187*$AT187), CF187*$AJ187)</f>
        <v>0</v>
      </c>
      <c r="CI187" s="587">
        <f>[1]COMMANDE!AO185</f>
        <v>0</v>
      </c>
      <c r="CJ187" s="586" t="str">
        <f>_xlfn.IFS(AND($AI187=$AM187,$AI187&gt;0,$AM187&gt;0,CI187&gt;0), CI187,     AND(NOT($AI187=$AM187),$AI187&gt;0,$AM187&gt;0,CI187&gt;0), ($AM187*CI187)/$AI187,     AND($AI187=0,$AM187&gt;0,$AQ187&gt;0), IF(INDEX(CI$12:CI$263,MATCH($AQ187,$AP$12:$AP$263,0))&gt;0,($AM187*INDEX(CI$12:CI$263,MATCH($AQ187,$AP$12:$AP$263,0)))/INDEX($AI$12:$AI$263,MATCH($AQ187,$AP$12:$AP$263,0)), "-"),     TRUE, "0")</f>
        <v>0</v>
      </c>
      <c r="CK187" s="607">
        <f>IF(CJ$9&gt;0, IF(OR(CJ187="",CJ187="-"), 0, CJ187*$AT187), CI187*$AJ187)</f>
        <v>0</v>
      </c>
      <c r="CL187" s="589">
        <f>[1]COMMANDE!AQ185</f>
        <v>0</v>
      </c>
      <c r="CM187" s="586" t="str">
        <f>_xlfn.IFS(AND($AI187=$AM187,$AI187&gt;0,$AM187&gt;0,CL187&gt;0), CL187,     AND(NOT($AI187=$AM187),$AI187&gt;0,$AM187&gt;0,CL187&gt;0), ($AM187*CL187)/$AI187,     AND($AI187=0,$AM187&gt;0,$AQ187&gt;0), IF(INDEX(CL$12:CL$263,MATCH($AQ187,$AP$12:$AP$263,0))&gt;0,($AM187*INDEX(CL$12:CL$263,MATCH($AQ187,$AP$12:$AP$263,0)))/INDEX($AI$12:$AI$263,MATCH($AQ187,$AP$12:$AP$263,0)), "-"),     TRUE, "0")</f>
        <v>0</v>
      </c>
      <c r="CN187" s="588">
        <f>IF(CM$9&gt;0, IF(OR(CM187="",CM187="-"), 0, CM187*$AT187), CL187*$AJ187)</f>
        <v>0</v>
      </c>
      <c r="CO187" s="587">
        <f>[1]COMMANDE!AS185</f>
        <v>0</v>
      </c>
      <c r="CP187" s="586" t="str">
        <f>_xlfn.IFS(AND($AI187=$AM187,$AI187&gt;0,$AM187&gt;0,CO187&gt;0), CO187,     AND(NOT($AI187=$AM187),$AI187&gt;0,$AM187&gt;0,CO187&gt;0), ($AM187*CO187)/$AI187,     AND($AI187=0,$AM187&gt;0,$AQ187&gt;0), IF(INDEX(CO$12:CO$263,MATCH($AQ187,$AP$12:$AP$263,0))&gt;0,($AM187*INDEX(CO$12:CO$263,MATCH($AQ187,$AP$12:$AP$263,0)))/INDEX($AI$12:$AI$263,MATCH($AQ187,$AP$12:$AP$263,0)), "-"),     TRUE, "0")</f>
        <v>0</v>
      </c>
      <c r="CQ187" s="607">
        <f>IF(CP$9&gt;0, IF(OR(CP187="",CP187="-"), 0, CP187*$AT187), CO187*$AJ187)</f>
        <v>0</v>
      </c>
      <c r="CR187" s="589">
        <f>[1]COMMANDE!AU185</f>
        <v>0</v>
      </c>
      <c r="CS187" s="586" t="str">
        <f>_xlfn.IFS(AND($AI187=$AM187,$AI187&gt;0,$AM187&gt;0,CR187&gt;0), CR187,     AND(NOT($AI187=$AM187),$AI187&gt;0,$AM187&gt;0,CR187&gt;0), ($AM187*CR187)/$AI187,     AND($AI187=0,$AM187&gt;0,$AQ187&gt;0), IF(INDEX(CR$12:CR$263,MATCH($AQ187,$AP$12:$AP$263,0))&gt;0,($AM187*INDEX(CR$12:CR$263,MATCH($AQ187,$AP$12:$AP$263,0)))/INDEX($AI$12:$AI$263,MATCH($AQ187,$AP$12:$AP$263,0)), "-"),     TRUE, "0")</f>
        <v>0</v>
      </c>
      <c r="CT187" s="588">
        <f>IF(CS$9&gt;0, IF(OR(CS187="",CS187="-"), 0, CS187*$AT187), CR187*$AJ187)</f>
        <v>0</v>
      </c>
      <c r="CU187" s="587">
        <f>[1]COMMANDE!AW185</f>
        <v>0</v>
      </c>
      <c r="CV187" s="586" t="str">
        <f>_xlfn.IFS(AND($AI187=$AM187,$AI187&gt;0,$AM187&gt;0,CU187&gt;0), CU187,     AND(NOT($AI187=$AM187),$AI187&gt;0,$AM187&gt;0,CU187&gt;0), ($AM187*CU187)/$AI187,     AND($AI187=0,$AM187&gt;0,$AQ187&gt;0), IF(INDEX(CU$12:CU$263,MATCH($AQ187,$AP$12:$AP$263,0))&gt;0,($AM187*INDEX(CU$12:CU$263,MATCH($AQ187,$AP$12:$AP$263,0)))/INDEX($AI$12:$AI$263,MATCH($AQ187,$AP$12:$AP$263,0)), "-"),     TRUE, "0")</f>
        <v>0</v>
      </c>
      <c r="CW187" s="607">
        <f>IF(CV$9&gt;0, IF(OR(CV187="",CV187="-"), 0, CV187*$AT187), CU187*$AJ187)</f>
        <v>0</v>
      </c>
      <c r="CX187" s="589">
        <f>[1]COMMANDE!AY185</f>
        <v>0</v>
      </c>
      <c r="CY187" s="586" t="str">
        <f>_xlfn.IFS(AND($AI187=$AM187,$AI187&gt;0,$AM187&gt;0,CX187&gt;0), CX187,     AND(NOT($AI187=$AM187),$AI187&gt;0,$AM187&gt;0,CX187&gt;0), ($AM187*CX187)/$AI187,     AND($AI187=0,$AM187&gt;0,$AQ187&gt;0), IF(INDEX(CX$12:CX$263,MATCH($AQ187,$AP$12:$AP$263,0))&gt;0,($AM187*INDEX(CX$12:CX$263,MATCH($AQ187,$AP$12:$AP$263,0)))/INDEX($AI$12:$AI$263,MATCH($AQ187,$AP$12:$AP$263,0)), "-"),     TRUE, "0")</f>
        <v>0</v>
      </c>
      <c r="CZ187" s="588">
        <f>IF(CY$9&gt;0, IF(OR(CY187="",CY187="-"), 0, CY187*$AT187), CX187*$AJ187)</f>
        <v>0</v>
      </c>
      <c r="DA187" s="587">
        <f>[1]COMMANDE!BA185</f>
        <v>0</v>
      </c>
      <c r="DB187" s="586" t="str">
        <f>_xlfn.IFS(AND($AI187=$AM187,$AI187&gt;0,$AM187&gt;0,DA187&gt;0), DA187,     AND(NOT($AI187=$AM187),$AI187&gt;0,$AM187&gt;0,DA187&gt;0), ($AM187*DA187)/$AI187,     AND($AI187=0,$AM187&gt;0,$AQ187&gt;0), IF(INDEX(DA$12:DA$263,MATCH($AQ187,$AP$12:$AP$263,0))&gt;0,($AM187*INDEX(DA$12:DA$263,MATCH($AQ187,$AP$12:$AP$263,0)))/INDEX($AI$12:$AI$263,MATCH($AQ187,$AP$12:$AP$263,0)), "-"),     TRUE, "0")</f>
        <v>0</v>
      </c>
      <c r="DC187" s="606">
        <f>IF(DB$9&gt;0, IF(OR(DB187="",DB187="-"), 0, DB187*$AT187), DA187*$AJ187)</f>
        <v>0</v>
      </c>
      <c r="DD187" s="584"/>
      <c r="DE187" s="583"/>
    </row>
    <row r="188" spans="1:109" ht="39.950000000000003" hidden="1" customHeight="1">
      <c r="A188" s="604">
        <f>IF(OR($AV188&gt;0, $AX188&gt;0), 1, 0)</f>
        <v>0</v>
      </c>
      <c r="B188" s="604">
        <f>IF(OR($AY188&gt;0, $BA188&gt;0), 1, 0)</f>
        <v>0</v>
      </c>
      <c r="C188" s="604">
        <f>IF(OR($BB188&gt;0, $BD188&gt;0), 1, 0)</f>
        <v>0</v>
      </c>
      <c r="D188" s="604">
        <f>IF(OR($BE188&gt;0, $BG188&gt;0), 1, 0)</f>
        <v>0</v>
      </c>
      <c r="E188" s="604">
        <f>IF(OR($BH188&gt;0, $BJ188&gt;0), 1, 0)</f>
        <v>0</v>
      </c>
      <c r="F188" s="604">
        <f>IF(OR($BK188&gt;0, $BM188&gt;0), 1, 0)</f>
        <v>0</v>
      </c>
      <c r="G188" s="604">
        <f>IF(OR($BN188&gt;0, $BP188&gt;0), 1, 0)</f>
        <v>0</v>
      </c>
      <c r="H188" s="604">
        <f>IF(OR($BQ188&gt;0, $BS188&gt;0), 1, 0)</f>
        <v>0</v>
      </c>
      <c r="I188" s="604">
        <f>IF(OR($BT188&gt;0, $BV188&gt;0), 1, 0)</f>
        <v>0</v>
      </c>
      <c r="J188" s="604">
        <f>IF(OR($BW188&gt;0, $BY188&gt;0), 1, 0)</f>
        <v>0</v>
      </c>
      <c r="K188" s="604">
        <f>IF(OR($BZ188&gt;0, $CB188&gt;0), 1, 0)</f>
        <v>0</v>
      </c>
      <c r="L188" s="604">
        <f>IF(OR($CC188&gt;0, $CE188&gt;0), 1, 0)</f>
        <v>0</v>
      </c>
      <c r="M188" s="604">
        <f>IF(OR($CF188&gt;0, $CH188&gt;0), 1, 0)</f>
        <v>0</v>
      </c>
      <c r="N188" s="604">
        <f>IF(OR($CI188&gt;0, $CK188&gt;0), 1, 0)</f>
        <v>0</v>
      </c>
      <c r="O188" s="604">
        <f>IF(OR($CL188&gt;0, $CN188&gt;0), 1, 0)</f>
        <v>0</v>
      </c>
      <c r="P188" s="604">
        <f>IF(OR($CO188&gt;0, $CQ188&gt;0), 1, 0)</f>
        <v>0</v>
      </c>
      <c r="Q188" s="604">
        <f>IF(OR($CR188&gt;0, $CT188&gt;0), 1, 0)</f>
        <v>0</v>
      </c>
      <c r="R188" s="604">
        <f>IF(OR($CU188&gt;0, $CW188&gt;0), 1, 0)</f>
        <v>0</v>
      </c>
      <c r="S188" s="604">
        <f>IF(OR($CX188&gt;0, $CZ188&gt;0), 1, 0)</f>
        <v>0</v>
      </c>
      <c r="T188" s="604">
        <f>IF(OR($DA188&gt;0, $DC188&gt;0), 1, 0)</f>
        <v>0</v>
      </c>
      <c r="U188" s="603">
        <f>IF(OR($AI188&gt;0,$AM188&gt;0,$AS188&gt;0), 1, 0)</f>
        <v>0</v>
      </c>
      <c r="V188" s="602">
        <f>[1]BDD!A178</f>
        <v>6180</v>
      </c>
      <c r="W188" s="601" t="str">
        <f>[1]BDD!B178</f>
        <v>Noisette sans coque CRU BIO (env. 1kg)</v>
      </c>
      <c r="X188" s="600" t="str">
        <f>IF([1]BDD!F178=0, "", [1]BDD!F178)</f>
        <v>❤️</v>
      </c>
      <c r="Y188" s="542">
        <f>ROUND([1]BDD!G178+FDP_CMD_KG, 2)</f>
        <v>20.72</v>
      </c>
      <c r="Z188" s="542">
        <f>ROUND([1]BDD!G178+FDP_FACT_KG, 2)</f>
        <v>20.72</v>
      </c>
      <c r="AA188" s="543" t="str">
        <f>[1]BDD!H178</f>
        <v>Pièce</v>
      </c>
      <c r="AB188" s="544">
        <f>IF(NOT(ISBLANK([1]BDD!I178)), ROUND(SUM(([1]BDD!G178*reduc1),FDP_CMD_KG), 2), "")</f>
        <v>18.739999999999998</v>
      </c>
      <c r="AC188" s="544" t="str">
        <f>IF(NOT(ISBLANK([1]BDD!J178)), ROUND(SUM(([1]BDD!G178*reduc2),FDP_CMD_KG), 2), "")</f>
        <v/>
      </c>
      <c r="AD188" s="544" t="str">
        <f>IF(NOT(ISBLANK([1]BDD!K178)), ROUND(SUM(([1]BDD!G178*reduc3),FDP_CMD_KG), 2), "")</f>
        <v/>
      </c>
      <c r="AE188" s="544">
        <f>IF(NOT(ISBLANK([1]BDD!I178)), ROUND(SUM(([1]BDD!G178*reduc1),FDP_FACT_KG), 2), "")</f>
        <v>18.73</v>
      </c>
      <c r="AF188" s="544" t="str">
        <f>IF(NOT(ISBLANK([1]BDD!J178)), ROUND(SUM(([1]BDD!G178*reduc2),FDP_FACT_KG), 2), "")</f>
        <v/>
      </c>
      <c r="AG188" s="544" t="str">
        <f>IF(NOT(ISBLANK([1]BDD!K178)), ROUND(SUM(([1]BDD!G178*reduc3),FDP_FACT_KG), 2), "")</f>
        <v/>
      </c>
      <c r="AH188" s="599" t="str">
        <f>[1]BDD!C178</f>
        <v>National</v>
      </c>
      <c r="AI188" s="598">
        <f>SUM(AV188,AY188,BB188,BE188,BH188,BK188,BN188,BQ188,BT188,BW188,BZ188,CC188,CF188,CI188,CL188,CO188,CR188,CU188,CX188,DA188)</f>
        <v>0</v>
      </c>
      <c r="AJ188" s="545">
        <f>_xlfn.IFS($AD188&lt;&gt;"", $AD188,    $AC188&lt;&gt;"", $AC188,    $AB188&lt;&gt;"", $AB188,    TRUE, $Y188)</f>
        <v>18.739999999999998</v>
      </c>
      <c r="AK188" s="592">
        <f>$AI188*$AJ188</f>
        <v>0</v>
      </c>
      <c r="AL188" s="594"/>
      <c r="AM188" s="597"/>
      <c r="AN188" s="545">
        <f>_xlfn.IFS(AND(AM188&gt;=60,$AG188&lt;&gt;""), $AG188,    AND(AM188&gt;=30,$AF188&lt;&gt;""), $AF188,    AND(AM188&gt;=10,$AE188&lt;&gt;""), $AE188,    TRUE, $Z188)</f>
        <v>20.72</v>
      </c>
      <c r="AO188" s="596">
        <f>AM188*AN188</f>
        <v>0</v>
      </c>
      <c r="AP188" s="595"/>
      <c r="AQ188" s="595"/>
      <c r="AR188" s="594"/>
      <c r="AS188" s="593">
        <f>SUM(AW188,AZ188,BC188,BF188,BI188,BL188,BO188,BR188,BU188,BX188,CA188,CD188,CG188,CJ188,CM188,CP188,CS188,CV188,CY188,DB188)</f>
        <v>0</v>
      </c>
      <c r="AT188" s="545">
        <f>_xlfn.IFS(AND(AS188&gt;=60,$AG188&lt;&gt;""), $AG188,    AND(AS188&gt;=30,$AF188&lt;&gt;""), $AF188,    AND(AS188&gt;=10,$AE188&lt;&gt;""), $AE188,    TRUE, $Z188)</f>
        <v>20.72</v>
      </c>
      <c r="AU188" s="592">
        <f>$AS188*$AT188</f>
        <v>0</v>
      </c>
      <c r="AV188" s="591">
        <f>[1]COMMANDE!O186</f>
        <v>0</v>
      </c>
      <c r="AW188" s="586" t="str">
        <f>_xlfn.IFS(AND($AI188=$AM188,$AI188&gt;0,$AM188&gt;0,AV188&gt;0), AV188,     AND(NOT($AI188=$AM188),$AI188&gt;0,$AM188&gt;0,AV188&gt;0), ($AM188*AV188)/$AI188,     AND($AI188=0,$AM188&gt;0,$AQ188&gt;0), IF(INDEX(AV$12:AV$263,MATCH($AQ188,$AP$12:$AP$263,0))&gt;0,($AM188*INDEX(AV$12:AV$263,MATCH($AQ188,$AP$12:$AP$263,0)))/INDEX($AI$12:$AI$263,MATCH($AQ188,$AP$12:$AP$263,0)), "-"),     TRUE, "0")</f>
        <v>0</v>
      </c>
      <c r="AX188" s="588">
        <f>IF(AW$9&gt;0, IF(OR(AW188="",AW188="-"), 0, AW188*$AT188), AV188*$AJ188)</f>
        <v>0</v>
      </c>
      <c r="AY188" s="587">
        <f>[1]COMMANDE!Q186</f>
        <v>0</v>
      </c>
      <c r="AZ188" s="586" t="str">
        <f>_xlfn.IFS(AND($AI188=$AM188,$AI188&gt;0,$AM188&gt;0,AY188&gt;0), AY188,     AND(NOT($AI188=$AM188),$AI188&gt;0,$AM188&gt;0,AY188&gt;0), ($AM188*AY188)/$AI188,     AND($AI188=0,$AM188&gt;0,$AQ188&gt;0), IF(INDEX(AY$12:AY$263,MATCH($AQ188,$AP$12:$AP$263,0))&gt;0,($AM188*INDEX(AY$12:AY$263,MATCH($AQ188,$AP$12:$AP$263,0)))/INDEX($AI$12:$AI$263,MATCH($AQ188,$AP$12:$AP$263,0)), "-"),     TRUE, "0")</f>
        <v>0</v>
      </c>
      <c r="BA188" s="607">
        <f>IF(AZ$9&gt;0, IF(OR(AZ188="",AZ188="-"), 0, AZ188*$AT188), AY188*$AJ188)</f>
        <v>0</v>
      </c>
      <c r="BB188" s="589">
        <f>[1]COMMANDE!S186</f>
        <v>0</v>
      </c>
      <c r="BC188" s="586" t="str">
        <f>_xlfn.IFS(AND($AI188=$AM188,$AI188&gt;0,$AM188&gt;0,BB188&gt;0), BB188,     AND(NOT($AI188=$AM188),$AI188&gt;0,$AM188&gt;0,BB188&gt;0), ($AM188*BB188)/$AI188,     AND($AI188=0,$AM188&gt;0,$AQ188&gt;0), IF(INDEX(BB$12:BB$263,MATCH($AQ188,$AP$12:$AP$263,0))&gt;0,($AM188*INDEX(BB$12:BB$263,MATCH($AQ188,$AP$12:$AP$263,0)))/INDEX($AI$12:$AI$263,MATCH($AQ188,$AP$12:$AP$263,0)), "-"),     TRUE, "0")</f>
        <v>0</v>
      </c>
      <c r="BD188" s="588">
        <f>IF(BC$9&gt;0, IF(OR(BC188="",BC188="-"), 0, BC188*$AT188), BB188*$AJ188)</f>
        <v>0</v>
      </c>
      <c r="BE188" s="587">
        <f>[1]COMMANDE!U186</f>
        <v>0</v>
      </c>
      <c r="BF188" s="586" t="str">
        <f>_xlfn.IFS(AND($AI188=$AM188,$AI188&gt;0,$AM188&gt;0,BE188&gt;0), BE188,     AND(NOT($AI188=$AM188),$AI188&gt;0,$AM188&gt;0,BE188&gt;0), ($AM188*BE188)/$AI188,     AND($AI188=0,$AM188&gt;0,$AQ188&gt;0), IF(INDEX(BE$12:BE$263,MATCH($AQ188,$AP$12:$AP$263,0))&gt;0,($AM188*INDEX(BE$12:BE$263,MATCH($AQ188,$AP$12:$AP$263,0)))/INDEX($AI$12:$AI$263,MATCH($AQ188,$AP$12:$AP$263,0)), "-"),     TRUE, "0")</f>
        <v>0</v>
      </c>
      <c r="BG188" s="607">
        <f>IF(BF$9&gt;0, IF(OR(BF188="",BF188="-"), 0, BF188*$AT188), BE188*$AJ188)</f>
        <v>0</v>
      </c>
      <c r="BH188" s="589">
        <f>[1]COMMANDE!W186</f>
        <v>0</v>
      </c>
      <c r="BI188" s="586" t="str">
        <f>_xlfn.IFS(AND($AI188=$AM188,$AI188&gt;0,$AM188&gt;0,BH188&gt;0), BH188,     AND(NOT($AI188=$AM188),$AI188&gt;0,$AM188&gt;0,BH188&gt;0), ($AM188*BH188)/$AI188,     AND($AI188=0,$AM188&gt;0,$AQ188&gt;0), IF(INDEX(BH$12:BH$263,MATCH($AQ188,$AP$12:$AP$263,0))&gt;0,($AM188*INDEX(BH$12:BH$263,MATCH($AQ188,$AP$12:$AP$263,0)))/INDEX($AI$12:$AI$263,MATCH($AQ188,$AP$12:$AP$263,0)), "-"),     TRUE, "0")</f>
        <v>0</v>
      </c>
      <c r="BJ188" s="588">
        <f>IF(BI$9&gt;0, IF(OR(BI188="",BI188="-"), 0, BI188*$AT188), BH188*$AJ188)</f>
        <v>0</v>
      </c>
      <c r="BK188" s="587">
        <f>[1]COMMANDE!Y186</f>
        <v>0</v>
      </c>
      <c r="BL188" s="586" t="str">
        <f>_xlfn.IFS(AND($AI188=$AM188,$AI188&gt;0,$AM188&gt;0,BK188&gt;0), BK188,     AND(NOT($AI188=$AM188),$AI188&gt;0,$AM188&gt;0,BK188&gt;0), ($AM188*BK188)/$AI188,     AND($AI188=0,$AM188&gt;0,$AQ188&gt;0), IF(INDEX(BK$12:BK$263,MATCH($AQ188,$AP$12:$AP$263,0))&gt;0,($AM188*INDEX(BK$12:BK$263,MATCH($AQ188,$AP$12:$AP$263,0)))/INDEX($AI$12:$AI$263,MATCH($AQ188,$AP$12:$AP$263,0)), "-"),     TRUE, "0")</f>
        <v>0</v>
      </c>
      <c r="BM188" s="607">
        <f>IF(BL$9&gt;0, IF(OR(BL188="",BL188="-"), 0, BL188*$AT188), BK188*$AJ188)</f>
        <v>0</v>
      </c>
      <c r="BN188" s="589">
        <f>[1]COMMANDE!AA186</f>
        <v>0</v>
      </c>
      <c r="BO188" s="586" t="str">
        <f>_xlfn.IFS(AND($AI188=$AM188,$AI188&gt;0,$AM188&gt;0,BN188&gt;0), BN188,     AND(NOT($AI188=$AM188),$AI188&gt;0,$AM188&gt;0,BN188&gt;0), ($AM188*BN188)/$AI188,     AND($AI188=0,$AM188&gt;0,$AQ188&gt;0), IF(INDEX(BN$12:BN$263,MATCH($AQ188,$AP$12:$AP$263,0))&gt;0,($AM188*INDEX(BN$12:BN$263,MATCH($AQ188,$AP$12:$AP$263,0)))/INDEX($AI$12:$AI$263,MATCH($AQ188,$AP$12:$AP$263,0)), "-"),     TRUE, "0")</f>
        <v>0</v>
      </c>
      <c r="BP188" s="588">
        <f>IF(BO$9&gt;0, IF(OR(BO188="",BO188="-"), 0, BO188*$AT188), BN188*$AJ188)</f>
        <v>0</v>
      </c>
      <c r="BQ188" s="587">
        <f>[1]COMMANDE!AC186</f>
        <v>0</v>
      </c>
      <c r="BR188" s="586" t="str">
        <f>_xlfn.IFS(AND($AI188=$AM188,$AI188&gt;0,$AM188&gt;0,BQ188&gt;0), BQ188,     AND(NOT($AI188=$AM188),$AI188&gt;0,$AM188&gt;0,BQ188&gt;0), ($AM188*BQ188)/$AI188,     AND($AI188=0,$AM188&gt;0,$AQ188&gt;0), IF(INDEX(BQ$12:BQ$263,MATCH($AQ188,$AP$12:$AP$263,0))&gt;0,($AM188*INDEX(BQ$12:BQ$263,MATCH($AQ188,$AP$12:$AP$263,0)))/INDEX($AI$12:$AI$263,MATCH($AQ188,$AP$12:$AP$263,0)), "-"),     TRUE, "0")</f>
        <v>0</v>
      </c>
      <c r="BS188" s="607">
        <f>IF(BR$9&gt;0, IF(OR(BR188="",BR188="-"), 0, BR188*$AT188), BQ188*$AJ188)</f>
        <v>0</v>
      </c>
      <c r="BT188" s="589">
        <f>[1]COMMANDE!AE186</f>
        <v>0</v>
      </c>
      <c r="BU188" s="586" t="str">
        <f>_xlfn.IFS(AND($AI188=$AM188,$AI188&gt;0,$AM188&gt;0,BT188&gt;0), BT188,     AND(NOT($AI188=$AM188),$AI188&gt;0,$AM188&gt;0,BT188&gt;0), ($AM188*BT188)/$AI188,     AND($AI188=0,$AM188&gt;0,$AQ188&gt;0), IF(INDEX(BT$12:BT$263,MATCH($AQ188,$AP$12:$AP$263,0))&gt;0,($AM188*INDEX(BT$12:BT$263,MATCH($AQ188,$AP$12:$AP$263,0)))/INDEX($AI$12:$AI$263,MATCH($AQ188,$AP$12:$AP$263,0)), "-"),     TRUE, "0")</f>
        <v>0</v>
      </c>
      <c r="BV188" s="588">
        <f>IF(BU$9&gt;0, IF(OR(BU188="",BU188="-"), 0, BU188*$AT188), BT188*$AJ188)</f>
        <v>0</v>
      </c>
      <c r="BW188" s="587">
        <f>[1]COMMANDE!AG186</f>
        <v>0</v>
      </c>
      <c r="BX188" s="586" t="str">
        <f>_xlfn.IFS(AND($AI188=$AM188,$AI188&gt;0,$AM188&gt;0,BW188&gt;0), BW188,     AND(NOT($AI188=$AM188),$AI188&gt;0,$AM188&gt;0,BW188&gt;0), ($AM188*BW188)/$AI188,     AND($AI188=0,$AM188&gt;0,$AQ188&gt;0), IF(INDEX(BW$12:BW$263,MATCH($AQ188,$AP$12:$AP$263,0))&gt;0,($AM188*INDEX(BW$12:BW$263,MATCH($AQ188,$AP$12:$AP$263,0)))/INDEX($AI$12:$AI$263,MATCH($AQ188,$AP$12:$AP$263,0)), "-"),     TRUE, "0")</f>
        <v>0</v>
      </c>
      <c r="BY188" s="607">
        <f>IF(BX$9&gt;0, IF(OR(BX188="",BX188="-"), 0, BX188*$AT188), BW188*$AJ188)</f>
        <v>0</v>
      </c>
      <c r="BZ188" s="589">
        <f>[1]COMMANDE!AI186</f>
        <v>0</v>
      </c>
      <c r="CA188" s="586" t="str">
        <f>_xlfn.IFS(AND($AI188=$AM188,$AI188&gt;0,$AM188&gt;0,BZ188&gt;0), BZ188,     AND(NOT($AI188=$AM188),$AI188&gt;0,$AM188&gt;0,BZ188&gt;0), ($AM188*BZ188)/$AI188,     AND($AI188=0,$AM188&gt;0,$AQ188&gt;0), IF(INDEX(BZ$12:BZ$263,MATCH($AQ188,$AP$12:$AP$263,0))&gt;0,($AM188*INDEX(BZ$12:BZ$263,MATCH($AQ188,$AP$12:$AP$263,0)))/INDEX($AI$12:$AI$263,MATCH($AQ188,$AP$12:$AP$263,0)), "-"),     TRUE, "0")</f>
        <v>0</v>
      </c>
      <c r="CB188" s="588">
        <f>IF(CA$9&gt;0, IF(OR(CA188="",CA188="-"), 0, CA188*$AT188), BZ188*$AJ188)</f>
        <v>0</v>
      </c>
      <c r="CC188" s="587">
        <f>[1]COMMANDE!AK186</f>
        <v>0</v>
      </c>
      <c r="CD188" s="586" t="str">
        <f>_xlfn.IFS(AND($AI188=$AM188,$AI188&gt;0,$AM188&gt;0,CC188&gt;0), CC188,     AND(NOT($AI188=$AM188),$AI188&gt;0,$AM188&gt;0,CC188&gt;0), ($AM188*CC188)/$AI188,     AND($AI188=0,$AM188&gt;0,$AQ188&gt;0), IF(INDEX(CC$12:CC$263,MATCH($AQ188,$AP$12:$AP$263,0))&gt;0,($AM188*INDEX(CC$12:CC$263,MATCH($AQ188,$AP$12:$AP$263,0)))/INDEX($AI$12:$AI$263,MATCH($AQ188,$AP$12:$AP$263,0)), "-"),     TRUE, "0")</f>
        <v>0</v>
      </c>
      <c r="CE188" s="607">
        <f>IF(CD$9&gt;0, IF(OR(CD188="",CD188="-"), 0, CD188*$AT188), CC188*$AJ188)</f>
        <v>0</v>
      </c>
      <c r="CF188" s="589">
        <f>[1]COMMANDE!AM186</f>
        <v>0</v>
      </c>
      <c r="CG188" s="586" t="str">
        <f>_xlfn.IFS(AND($AI188=$AM188,$AI188&gt;0,$AM188&gt;0,CF188&gt;0), CF188,     AND(NOT($AI188=$AM188),$AI188&gt;0,$AM188&gt;0,CF188&gt;0), ($AM188*CF188)/$AI188,     AND($AI188=0,$AM188&gt;0,$AQ188&gt;0), IF(INDEX(CF$12:CF$263,MATCH($AQ188,$AP$12:$AP$263,0))&gt;0,($AM188*INDEX(CF$12:CF$263,MATCH($AQ188,$AP$12:$AP$263,0)))/INDEX($AI$12:$AI$263,MATCH($AQ188,$AP$12:$AP$263,0)), "-"),     TRUE, "0")</f>
        <v>0</v>
      </c>
      <c r="CH188" s="588">
        <f>IF(CG$9&gt;0, IF(OR(CG188="",CG188="-"), 0, CG188*$AT188), CF188*$AJ188)</f>
        <v>0</v>
      </c>
      <c r="CI188" s="587">
        <f>[1]COMMANDE!AO186</f>
        <v>0</v>
      </c>
      <c r="CJ188" s="586" t="str">
        <f>_xlfn.IFS(AND($AI188=$AM188,$AI188&gt;0,$AM188&gt;0,CI188&gt;0), CI188,     AND(NOT($AI188=$AM188),$AI188&gt;0,$AM188&gt;0,CI188&gt;0), ($AM188*CI188)/$AI188,     AND($AI188=0,$AM188&gt;0,$AQ188&gt;0), IF(INDEX(CI$12:CI$263,MATCH($AQ188,$AP$12:$AP$263,0))&gt;0,($AM188*INDEX(CI$12:CI$263,MATCH($AQ188,$AP$12:$AP$263,0)))/INDEX($AI$12:$AI$263,MATCH($AQ188,$AP$12:$AP$263,0)), "-"),     TRUE, "0")</f>
        <v>0</v>
      </c>
      <c r="CK188" s="607">
        <f>IF(CJ$9&gt;0, IF(OR(CJ188="",CJ188="-"), 0, CJ188*$AT188), CI188*$AJ188)</f>
        <v>0</v>
      </c>
      <c r="CL188" s="589">
        <f>[1]COMMANDE!AQ186</f>
        <v>0</v>
      </c>
      <c r="CM188" s="586" t="str">
        <f>_xlfn.IFS(AND($AI188=$AM188,$AI188&gt;0,$AM188&gt;0,CL188&gt;0), CL188,     AND(NOT($AI188=$AM188),$AI188&gt;0,$AM188&gt;0,CL188&gt;0), ($AM188*CL188)/$AI188,     AND($AI188=0,$AM188&gt;0,$AQ188&gt;0), IF(INDEX(CL$12:CL$263,MATCH($AQ188,$AP$12:$AP$263,0))&gt;0,($AM188*INDEX(CL$12:CL$263,MATCH($AQ188,$AP$12:$AP$263,0)))/INDEX($AI$12:$AI$263,MATCH($AQ188,$AP$12:$AP$263,0)), "-"),     TRUE, "0")</f>
        <v>0</v>
      </c>
      <c r="CN188" s="588">
        <f>IF(CM$9&gt;0, IF(OR(CM188="",CM188="-"), 0, CM188*$AT188), CL188*$AJ188)</f>
        <v>0</v>
      </c>
      <c r="CO188" s="587">
        <f>[1]COMMANDE!AS186</f>
        <v>0</v>
      </c>
      <c r="CP188" s="586" t="str">
        <f>_xlfn.IFS(AND($AI188=$AM188,$AI188&gt;0,$AM188&gt;0,CO188&gt;0), CO188,     AND(NOT($AI188=$AM188),$AI188&gt;0,$AM188&gt;0,CO188&gt;0), ($AM188*CO188)/$AI188,     AND($AI188=0,$AM188&gt;0,$AQ188&gt;0), IF(INDEX(CO$12:CO$263,MATCH($AQ188,$AP$12:$AP$263,0))&gt;0,($AM188*INDEX(CO$12:CO$263,MATCH($AQ188,$AP$12:$AP$263,0)))/INDEX($AI$12:$AI$263,MATCH($AQ188,$AP$12:$AP$263,0)), "-"),     TRUE, "0")</f>
        <v>0</v>
      </c>
      <c r="CQ188" s="607">
        <f>IF(CP$9&gt;0, IF(OR(CP188="",CP188="-"), 0, CP188*$AT188), CO188*$AJ188)</f>
        <v>0</v>
      </c>
      <c r="CR188" s="589">
        <f>[1]COMMANDE!AU186</f>
        <v>0</v>
      </c>
      <c r="CS188" s="586" t="str">
        <f>_xlfn.IFS(AND($AI188=$AM188,$AI188&gt;0,$AM188&gt;0,CR188&gt;0), CR188,     AND(NOT($AI188=$AM188),$AI188&gt;0,$AM188&gt;0,CR188&gt;0), ($AM188*CR188)/$AI188,     AND($AI188=0,$AM188&gt;0,$AQ188&gt;0), IF(INDEX(CR$12:CR$263,MATCH($AQ188,$AP$12:$AP$263,0))&gt;0,($AM188*INDEX(CR$12:CR$263,MATCH($AQ188,$AP$12:$AP$263,0)))/INDEX($AI$12:$AI$263,MATCH($AQ188,$AP$12:$AP$263,0)), "-"),     TRUE, "0")</f>
        <v>0</v>
      </c>
      <c r="CT188" s="588">
        <f>IF(CS$9&gt;0, IF(OR(CS188="",CS188="-"), 0, CS188*$AT188), CR188*$AJ188)</f>
        <v>0</v>
      </c>
      <c r="CU188" s="587">
        <f>[1]COMMANDE!AW186</f>
        <v>0</v>
      </c>
      <c r="CV188" s="586" t="str">
        <f>_xlfn.IFS(AND($AI188=$AM188,$AI188&gt;0,$AM188&gt;0,CU188&gt;0), CU188,     AND(NOT($AI188=$AM188),$AI188&gt;0,$AM188&gt;0,CU188&gt;0), ($AM188*CU188)/$AI188,     AND($AI188=0,$AM188&gt;0,$AQ188&gt;0), IF(INDEX(CU$12:CU$263,MATCH($AQ188,$AP$12:$AP$263,0))&gt;0,($AM188*INDEX(CU$12:CU$263,MATCH($AQ188,$AP$12:$AP$263,0)))/INDEX($AI$12:$AI$263,MATCH($AQ188,$AP$12:$AP$263,0)), "-"),     TRUE, "0")</f>
        <v>0</v>
      </c>
      <c r="CW188" s="607">
        <f>IF(CV$9&gt;0, IF(OR(CV188="",CV188="-"), 0, CV188*$AT188), CU188*$AJ188)</f>
        <v>0</v>
      </c>
      <c r="CX188" s="589">
        <f>[1]COMMANDE!AY186</f>
        <v>0</v>
      </c>
      <c r="CY188" s="586" t="str">
        <f>_xlfn.IFS(AND($AI188=$AM188,$AI188&gt;0,$AM188&gt;0,CX188&gt;0), CX188,     AND(NOT($AI188=$AM188),$AI188&gt;0,$AM188&gt;0,CX188&gt;0), ($AM188*CX188)/$AI188,     AND($AI188=0,$AM188&gt;0,$AQ188&gt;0), IF(INDEX(CX$12:CX$263,MATCH($AQ188,$AP$12:$AP$263,0))&gt;0,($AM188*INDEX(CX$12:CX$263,MATCH($AQ188,$AP$12:$AP$263,0)))/INDEX($AI$12:$AI$263,MATCH($AQ188,$AP$12:$AP$263,0)), "-"),     TRUE, "0")</f>
        <v>0</v>
      </c>
      <c r="CZ188" s="588">
        <f>IF(CY$9&gt;0, IF(OR(CY188="",CY188="-"), 0, CY188*$AT188), CX188*$AJ188)</f>
        <v>0</v>
      </c>
      <c r="DA188" s="587">
        <f>[1]COMMANDE!BA186</f>
        <v>0</v>
      </c>
      <c r="DB188" s="586" t="str">
        <f>_xlfn.IFS(AND($AI188=$AM188,$AI188&gt;0,$AM188&gt;0,DA188&gt;0), DA188,     AND(NOT($AI188=$AM188),$AI188&gt;0,$AM188&gt;0,DA188&gt;0), ($AM188*DA188)/$AI188,     AND($AI188=0,$AM188&gt;0,$AQ188&gt;0), IF(INDEX(DA$12:DA$263,MATCH($AQ188,$AP$12:$AP$263,0))&gt;0,($AM188*INDEX(DA$12:DA$263,MATCH($AQ188,$AP$12:$AP$263,0)))/INDEX($AI$12:$AI$263,MATCH($AQ188,$AP$12:$AP$263,0)), "-"),     TRUE, "0")</f>
        <v>0</v>
      </c>
      <c r="DC188" s="606">
        <f>IF(DB$9&gt;0, IF(OR(DB188="",DB188="-"), 0, DB188*$AT188), DA188*$AJ188)</f>
        <v>0</v>
      </c>
      <c r="DD188" s="584"/>
      <c r="DE188" s="583"/>
    </row>
    <row r="189" spans="1:109" ht="39.950000000000003" hidden="1" customHeight="1">
      <c r="A189" s="604">
        <f>IF(OR($AV189&gt;0, $AX189&gt;0), 1, 0)</f>
        <v>0</v>
      </c>
      <c r="B189" s="604">
        <f>IF(OR($AY189&gt;0, $BA189&gt;0), 1, 0)</f>
        <v>0</v>
      </c>
      <c r="C189" s="604">
        <f>IF(OR($BB189&gt;0, $BD189&gt;0), 1, 0)</f>
        <v>0</v>
      </c>
      <c r="D189" s="604">
        <f>IF(OR($BE189&gt;0, $BG189&gt;0), 1, 0)</f>
        <v>0</v>
      </c>
      <c r="E189" s="604">
        <f>IF(OR($BH189&gt;0, $BJ189&gt;0), 1, 0)</f>
        <v>0</v>
      </c>
      <c r="F189" s="604">
        <f>IF(OR($BK189&gt;0, $BM189&gt;0), 1, 0)</f>
        <v>0</v>
      </c>
      <c r="G189" s="604">
        <f>IF(OR($BN189&gt;0, $BP189&gt;0), 1, 0)</f>
        <v>0</v>
      </c>
      <c r="H189" s="604">
        <f>IF(OR($BQ189&gt;0, $BS189&gt;0), 1, 0)</f>
        <v>0</v>
      </c>
      <c r="I189" s="604">
        <f>IF(OR($BT189&gt;0, $BV189&gt;0), 1, 0)</f>
        <v>0</v>
      </c>
      <c r="J189" s="604">
        <f>IF(OR($BW189&gt;0, $BY189&gt;0), 1, 0)</f>
        <v>0</v>
      </c>
      <c r="K189" s="604">
        <f>IF(OR($BZ189&gt;0, $CB189&gt;0), 1, 0)</f>
        <v>0</v>
      </c>
      <c r="L189" s="604">
        <f>IF(OR($CC189&gt;0, $CE189&gt;0), 1, 0)</f>
        <v>0</v>
      </c>
      <c r="M189" s="604">
        <f>IF(OR($CF189&gt;0, $CH189&gt;0), 1, 0)</f>
        <v>0</v>
      </c>
      <c r="N189" s="604">
        <f>IF(OR($CI189&gt;0, $CK189&gt;0), 1, 0)</f>
        <v>0</v>
      </c>
      <c r="O189" s="604">
        <f>IF(OR($CL189&gt;0, $CN189&gt;0), 1, 0)</f>
        <v>0</v>
      </c>
      <c r="P189" s="604">
        <f>IF(OR($CO189&gt;0, $CQ189&gt;0), 1, 0)</f>
        <v>0</v>
      </c>
      <c r="Q189" s="604">
        <f>IF(OR($CR189&gt;0, $CT189&gt;0), 1, 0)</f>
        <v>0</v>
      </c>
      <c r="R189" s="604">
        <f>IF(OR($CU189&gt;0, $CW189&gt;0), 1, 0)</f>
        <v>0</v>
      </c>
      <c r="S189" s="604">
        <f>IF(OR($CX189&gt;0, $CZ189&gt;0), 1, 0)</f>
        <v>0</v>
      </c>
      <c r="T189" s="604">
        <f>IF(OR($DA189&gt;0, $DC189&gt;0), 1, 0)</f>
        <v>0</v>
      </c>
      <c r="U189" s="603">
        <f>IF(OR($AI189&gt;0,$AM189&gt;0,$AS189&gt;0), 1, 0)</f>
        <v>0</v>
      </c>
      <c r="V189" s="602">
        <f>[1]BDD!A179</f>
        <v>1027</v>
      </c>
      <c r="W189" s="601" t="str">
        <f>[1]BDD!B179</f>
        <v>Noix de cajou BIO (env. 1kg)</v>
      </c>
      <c r="X189" s="600" t="str">
        <f>IF([1]BDD!F179=0, "", [1]BDD!F179)</f>
        <v>❤️</v>
      </c>
      <c r="Y189" s="542">
        <f>ROUND([1]BDD!G179+FDP_CMD_KG, 2)</f>
        <v>21.39</v>
      </c>
      <c r="Z189" s="542">
        <f>ROUND([1]BDD!G179+FDP_FACT_KG, 2)</f>
        <v>21.39</v>
      </c>
      <c r="AA189" s="543" t="str">
        <f>[1]BDD!H179</f>
        <v>Pièce</v>
      </c>
      <c r="AB189" s="544">
        <f>IF(NOT(ISBLANK([1]BDD!I179)), ROUND(SUM(([1]BDD!G179*reduc1),FDP_CMD_KG), 2), "")</f>
        <v>19.34</v>
      </c>
      <c r="AC189" s="544">
        <f>IF(NOT(ISBLANK([1]BDD!J179)), ROUND(SUM(([1]BDD!G179*reduc2),FDP_CMD_KG), 2), "")</f>
        <v>17.29</v>
      </c>
      <c r="AD189" s="544" t="str">
        <f>IF(NOT(ISBLANK([1]BDD!K179)), ROUND(SUM(([1]BDD!G179*reduc3),FDP_CMD_KG), 2), "")</f>
        <v/>
      </c>
      <c r="AE189" s="544">
        <f>IF(NOT(ISBLANK([1]BDD!I179)), ROUND(SUM(([1]BDD!G179*reduc1),FDP_FACT_KG), 2), "")</f>
        <v>19.329999999999998</v>
      </c>
      <c r="AF189" s="544">
        <f>IF(NOT(ISBLANK([1]BDD!J179)), ROUND(SUM(([1]BDD!G179*reduc2),FDP_FACT_KG), 2), "")</f>
        <v>17.28</v>
      </c>
      <c r="AG189" s="544" t="str">
        <f>IF(NOT(ISBLANK([1]BDD!K179)), ROUND(SUM(([1]BDD!G179*reduc3),FDP_FACT_KG), 2), "")</f>
        <v/>
      </c>
      <c r="AH189" s="599" t="str">
        <f>[1]BDD!C179</f>
        <v>Indes</v>
      </c>
      <c r="AI189" s="598">
        <f>SUM(AV189,AY189,BB189,BE189,BH189,BK189,BN189,BQ189,BT189,BW189,BZ189,CC189,CF189,CI189,CL189,CO189,CR189,CU189,CX189,DA189)</f>
        <v>0</v>
      </c>
      <c r="AJ189" s="545">
        <f>_xlfn.IFS($AD189&lt;&gt;"", $AD189,    $AC189&lt;&gt;"", $AC189,    $AB189&lt;&gt;"", $AB189,    TRUE, $Y189)</f>
        <v>17.29</v>
      </c>
      <c r="AK189" s="592">
        <f>$AI189*$AJ189</f>
        <v>0</v>
      </c>
      <c r="AL189" s="594"/>
      <c r="AM189" s="597"/>
      <c r="AN189" s="545">
        <f>_xlfn.IFS(AND(AM189&gt;=60,$AG189&lt;&gt;""), $AG189,    AND(AM189&gt;=30,$AF189&lt;&gt;""), $AF189,    AND(AM189&gt;=10,$AE189&lt;&gt;""), $AE189,    TRUE, $Z189)</f>
        <v>21.39</v>
      </c>
      <c r="AO189" s="596">
        <f>AM189*AN189</f>
        <v>0</v>
      </c>
      <c r="AP189" s="595"/>
      <c r="AQ189" s="595"/>
      <c r="AR189" s="594"/>
      <c r="AS189" s="593">
        <f>SUM(AW189,AZ189,BC189,BF189,BI189,BL189,BO189,BR189,BU189,BX189,CA189,CD189,CG189,CJ189,CM189,CP189,CS189,CV189,CY189,DB189)</f>
        <v>0</v>
      </c>
      <c r="AT189" s="545">
        <f>_xlfn.IFS(AND(AS189&gt;=60,$AG189&lt;&gt;""), $AG189,    AND(AS189&gt;=30,$AF189&lt;&gt;""), $AF189,    AND(AS189&gt;=10,$AE189&lt;&gt;""), $AE189,    TRUE, $Z189)</f>
        <v>21.39</v>
      </c>
      <c r="AU189" s="592">
        <f>$AS189*$AT189</f>
        <v>0</v>
      </c>
      <c r="AV189" s="591">
        <f>[1]COMMANDE!O187</f>
        <v>0</v>
      </c>
      <c r="AW189" s="586" t="str">
        <f>_xlfn.IFS(AND($AI189=$AM189,$AI189&gt;0,$AM189&gt;0,AV189&gt;0), AV189,     AND(NOT($AI189=$AM189),$AI189&gt;0,$AM189&gt;0,AV189&gt;0), ($AM189*AV189)/$AI189,     AND($AI189=0,$AM189&gt;0,$AQ189&gt;0), IF(INDEX(AV$12:AV$263,MATCH($AQ189,$AP$12:$AP$263,0))&gt;0,($AM189*INDEX(AV$12:AV$263,MATCH($AQ189,$AP$12:$AP$263,0)))/INDEX($AI$12:$AI$263,MATCH($AQ189,$AP$12:$AP$263,0)), "-"),     TRUE, "0")</f>
        <v>0</v>
      </c>
      <c r="AX189" s="588">
        <f>IF(AW$9&gt;0, IF(OR(AW189="",AW189="-"), 0, AW189*$AT189), AV189*$AJ189)</f>
        <v>0</v>
      </c>
      <c r="AY189" s="587">
        <f>[1]COMMANDE!Q187</f>
        <v>0</v>
      </c>
      <c r="AZ189" s="586" t="str">
        <f>_xlfn.IFS(AND($AI189=$AM189,$AI189&gt;0,$AM189&gt;0,AY189&gt;0), AY189,     AND(NOT($AI189=$AM189),$AI189&gt;0,$AM189&gt;0,AY189&gt;0), ($AM189*AY189)/$AI189,     AND($AI189=0,$AM189&gt;0,$AQ189&gt;0), IF(INDEX(AY$12:AY$263,MATCH($AQ189,$AP$12:$AP$263,0))&gt;0,($AM189*INDEX(AY$12:AY$263,MATCH($AQ189,$AP$12:$AP$263,0)))/INDEX($AI$12:$AI$263,MATCH($AQ189,$AP$12:$AP$263,0)), "-"),     TRUE, "0")</f>
        <v>0</v>
      </c>
      <c r="BA189" s="607">
        <f>IF(AZ$9&gt;0, IF(OR(AZ189="",AZ189="-"), 0, AZ189*$AT189), AY189*$AJ189)</f>
        <v>0</v>
      </c>
      <c r="BB189" s="589">
        <f>[1]COMMANDE!S187</f>
        <v>0</v>
      </c>
      <c r="BC189" s="586" t="str">
        <f>_xlfn.IFS(AND($AI189=$AM189,$AI189&gt;0,$AM189&gt;0,BB189&gt;0), BB189,     AND(NOT($AI189=$AM189),$AI189&gt;0,$AM189&gt;0,BB189&gt;0), ($AM189*BB189)/$AI189,     AND($AI189=0,$AM189&gt;0,$AQ189&gt;0), IF(INDEX(BB$12:BB$263,MATCH($AQ189,$AP$12:$AP$263,0))&gt;0,($AM189*INDEX(BB$12:BB$263,MATCH($AQ189,$AP$12:$AP$263,0)))/INDEX($AI$12:$AI$263,MATCH($AQ189,$AP$12:$AP$263,0)), "-"),     TRUE, "0")</f>
        <v>0</v>
      </c>
      <c r="BD189" s="588">
        <f>IF(BC$9&gt;0, IF(OR(BC189="",BC189="-"), 0, BC189*$AT189), BB189*$AJ189)</f>
        <v>0</v>
      </c>
      <c r="BE189" s="587">
        <f>[1]COMMANDE!U187</f>
        <v>0</v>
      </c>
      <c r="BF189" s="586" t="str">
        <f>_xlfn.IFS(AND($AI189=$AM189,$AI189&gt;0,$AM189&gt;0,BE189&gt;0), BE189,     AND(NOT($AI189=$AM189),$AI189&gt;0,$AM189&gt;0,BE189&gt;0), ($AM189*BE189)/$AI189,     AND($AI189=0,$AM189&gt;0,$AQ189&gt;0), IF(INDEX(BE$12:BE$263,MATCH($AQ189,$AP$12:$AP$263,0))&gt;0,($AM189*INDEX(BE$12:BE$263,MATCH($AQ189,$AP$12:$AP$263,0)))/INDEX($AI$12:$AI$263,MATCH($AQ189,$AP$12:$AP$263,0)), "-"),     TRUE, "0")</f>
        <v>0</v>
      </c>
      <c r="BG189" s="607">
        <f>IF(BF$9&gt;0, IF(OR(BF189="",BF189="-"), 0, BF189*$AT189), BE189*$AJ189)</f>
        <v>0</v>
      </c>
      <c r="BH189" s="589">
        <f>[1]COMMANDE!W187</f>
        <v>0</v>
      </c>
      <c r="BI189" s="586" t="str">
        <f>_xlfn.IFS(AND($AI189=$AM189,$AI189&gt;0,$AM189&gt;0,BH189&gt;0), BH189,     AND(NOT($AI189=$AM189),$AI189&gt;0,$AM189&gt;0,BH189&gt;0), ($AM189*BH189)/$AI189,     AND($AI189=0,$AM189&gt;0,$AQ189&gt;0), IF(INDEX(BH$12:BH$263,MATCH($AQ189,$AP$12:$AP$263,0))&gt;0,($AM189*INDEX(BH$12:BH$263,MATCH($AQ189,$AP$12:$AP$263,0)))/INDEX($AI$12:$AI$263,MATCH($AQ189,$AP$12:$AP$263,0)), "-"),     TRUE, "0")</f>
        <v>0</v>
      </c>
      <c r="BJ189" s="588">
        <f>IF(BI$9&gt;0, IF(OR(BI189="",BI189="-"), 0, BI189*$AT189), BH189*$AJ189)</f>
        <v>0</v>
      </c>
      <c r="BK189" s="587">
        <f>[1]COMMANDE!Y187</f>
        <v>0</v>
      </c>
      <c r="BL189" s="586" t="str">
        <f>_xlfn.IFS(AND($AI189=$AM189,$AI189&gt;0,$AM189&gt;0,BK189&gt;0), BK189,     AND(NOT($AI189=$AM189),$AI189&gt;0,$AM189&gt;0,BK189&gt;0), ($AM189*BK189)/$AI189,     AND($AI189=0,$AM189&gt;0,$AQ189&gt;0), IF(INDEX(BK$12:BK$263,MATCH($AQ189,$AP$12:$AP$263,0))&gt;0,($AM189*INDEX(BK$12:BK$263,MATCH($AQ189,$AP$12:$AP$263,0)))/INDEX($AI$12:$AI$263,MATCH($AQ189,$AP$12:$AP$263,0)), "-"),     TRUE, "0")</f>
        <v>0</v>
      </c>
      <c r="BM189" s="607">
        <f>IF(BL$9&gt;0, IF(OR(BL189="",BL189="-"), 0, BL189*$AT189), BK189*$AJ189)</f>
        <v>0</v>
      </c>
      <c r="BN189" s="589">
        <f>[1]COMMANDE!AA187</f>
        <v>0</v>
      </c>
      <c r="BO189" s="586" t="str">
        <f>_xlfn.IFS(AND($AI189=$AM189,$AI189&gt;0,$AM189&gt;0,BN189&gt;0), BN189,     AND(NOT($AI189=$AM189),$AI189&gt;0,$AM189&gt;0,BN189&gt;0), ($AM189*BN189)/$AI189,     AND($AI189=0,$AM189&gt;0,$AQ189&gt;0), IF(INDEX(BN$12:BN$263,MATCH($AQ189,$AP$12:$AP$263,0))&gt;0,($AM189*INDEX(BN$12:BN$263,MATCH($AQ189,$AP$12:$AP$263,0)))/INDEX($AI$12:$AI$263,MATCH($AQ189,$AP$12:$AP$263,0)), "-"),     TRUE, "0")</f>
        <v>0</v>
      </c>
      <c r="BP189" s="588">
        <f>IF(BO$9&gt;0, IF(OR(BO189="",BO189="-"), 0, BO189*$AT189), BN189*$AJ189)</f>
        <v>0</v>
      </c>
      <c r="BQ189" s="587">
        <f>[1]COMMANDE!AC187</f>
        <v>0</v>
      </c>
      <c r="BR189" s="586" t="str">
        <f>_xlfn.IFS(AND($AI189=$AM189,$AI189&gt;0,$AM189&gt;0,BQ189&gt;0), BQ189,     AND(NOT($AI189=$AM189),$AI189&gt;0,$AM189&gt;0,BQ189&gt;0), ($AM189*BQ189)/$AI189,     AND($AI189=0,$AM189&gt;0,$AQ189&gt;0), IF(INDEX(BQ$12:BQ$263,MATCH($AQ189,$AP$12:$AP$263,0))&gt;0,($AM189*INDEX(BQ$12:BQ$263,MATCH($AQ189,$AP$12:$AP$263,0)))/INDEX($AI$12:$AI$263,MATCH($AQ189,$AP$12:$AP$263,0)), "-"),     TRUE, "0")</f>
        <v>0</v>
      </c>
      <c r="BS189" s="607">
        <f>IF(BR$9&gt;0, IF(OR(BR189="",BR189="-"), 0, BR189*$AT189), BQ189*$AJ189)</f>
        <v>0</v>
      </c>
      <c r="BT189" s="589">
        <f>[1]COMMANDE!AE187</f>
        <v>0</v>
      </c>
      <c r="BU189" s="586" t="str">
        <f>_xlfn.IFS(AND($AI189=$AM189,$AI189&gt;0,$AM189&gt;0,BT189&gt;0), BT189,     AND(NOT($AI189=$AM189),$AI189&gt;0,$AM189&gt;0,BT189&gt;0), ($AM189*BT189)/$AI189,     AND($AI189=0,$AM189&gt;0,$AQ189&gt;0), IF(INDEX(BT$12:BT$263,MATCH($AQ189,$AP$12:$AP$263,0))&gt;0,($AM189*INDEX(BT$12:BT$263,MATCH($AQ189,$AP$12:$AP$263,0)))/INDEX($AI$12:$AI$263,MATCH($AQ189,$AP$12:$AP$263,0)), "-"),     TRUE, "0")</f>
        <v>0</v>
      </c>
      <c r="BV189" s="588">
        <f>IF(BU$9&gt;0, IF(OR(BU189="",BU189="-"), 0, BU189*$AT189), BT189*$AJ189)</f>
        <v>0</v>
      </c>
      <c r="BW189" s="587">
        <f>[1]COMMANDE!AG187</f>
        <v>0</v>
      </c>
      <c r="BX189" s="586" t="str">
        <f>_xlfn.IFS(AND($AI189=$AM189,$AI189&gt;0,$AM189&gt;0,BW189&gt;0), BW189,     AND(NOT($AI189=$AM189),$AI189&gt;0,$AM189&gt;0,BW189&gt;0), ($AM189*BW189)/$AI189,     AND($AI189=0,$AM189&gt;0,$AQ189&gt;0), IF(INDEX(BW$12:BW$263,MATCH($AQ189,$AP$12:$AP$263,0))&gt;0,($AM189*INDEX(BW$12:BW$263,MATCH($AQ189,$AP$12:$AP$263,0)))/INDEX($AI$12:$AI$263,MATCH($AQ189,$AP$12:$AP$263,0)), "-"),     TRUE, "0")</f>
        <v>0</v>
      </c>
      <c r="BY189" s="607">
        <f>IF(BX$9&gt;0, IF(OR(BX189="",BX189="-"), 0, BX189*$AT189), BW189*$AJ189)</f>
        <v>0</v>
      </c>
      <c r="BZ189" s="589">
        <f>[1]COMMANDE!AI187</f>
        <v>0</v>
      </c>
      <c r="CA189" s="586" t="str">
        <f>_xlfn.IFS(AND($AI189=$AM189,$AI189&gt;0,$AM189&gt;0,BZ189&gt;0), BZ189,     AND(NOT($AI189=$AM189),$AI189&gt;0,$AM189&gt;0,BZ189&gt;0), ($AM189*BZ189)/$AI189,     AND($AI189=0,$AM189&gt;0,$AQ189&gt;0), IF(INDEX(BZ$12:BZ$263,MATCH($AQ189,$AP$12:$AP$263,0))&gt;0,($AM189*INDEX(BZ$12:BZ$263,MATCH($AQ189,$AP$12:$AP$263,0)))/INDEX($AI$12:$AI$263,MATCH($AQ189,$AP$12:$AP$263,0)), "-"),     TRUE, "0")</f>
        <v>0</v>
      </c>
      <c r="CB189" s="588">
        <f>IF(CA$9&gt;0, IF(OR(CA189="",CA189="-"), 0, CA189*$AT189), BZ189*$AJ189)</f>
        <v>0</v>
      </c>
      <c r="CC189" s="587">
        <f>[1]COMMANDE!AK187</f>
        <v>0</v>
      </c>
      <c r="CD189" s="586" t="str">
        <f>_xlfn.IFS(AND($AI189=$AM189,$AI189&gt;0,$AM189&gt;0,CC189&gt;0), CC189,     AND(NOT($AI189=$AM189),$AI189&gt;0,$AM189&gt;0,CC189&gt;0), ($AM189*CC189)/$AI189,     AND($AI189=0,$AM189&gt;0,$AQ189&gt;0), IF(INDEX(CC$12:CC$263,MATCH($AQ189,$AP$12:$AP$263,0))&gt;0,($AM189*INDEX(CC$12:CC$263,MATCH($AQ189,$AP$12:$AP$263,0)))/INDEX($AI$12:$AI$263,MATCH($AQ189,$AP$12:$AP$263,0)), "-"),     TRUE, "0")</f>
        <v>0</v>
      </c>
      <c r="CE189" s="607">
        <f>IF(CD$9&gt;0, IF(OR(CD189="",CD189="-"), 0, CD189*$AT189), CC189*$AJ189)</f>
        <v>0</v>
      </c>
      <c r="CF189" s="589">
        <f>[1]COMMANDE!AM187</f>
        <v>0</v>
      </c>
      <c r="CG189" s="586" t="str">
        <f>_xlfn.IFS(AND($AI189=$AM189,$AI189&gt;0,$AM189&gt;0,CF189&gt;0), CF189,     AND(NOT($AI189=$AM189),$AI189&gt;0,$AM189&gt;0,CF189&gt;0), ($AM189*CF189)/$AI189,     AND($AI189=0,$AM189&gt;0,$AQ189&gt;0), IF(INDEX(CF$12:CF$263,MATCH($AQ189,$AP$12:$AP$263,0))&gt;0,($AM189*INDEX(CF$12:CF$263,MATCH($AQ189,$AP$12:$AP$263,0)))/INDEX($AI$12:$AI$263,MATCH($AQ189,$AP$12:$AP$263,0)), "-"),     TRUE, "0")</f>
        <v>0</v>
      </c>
      <c r="CH189" s="588">
        <f>IF(CG$9&gt;0, IF(OR(CG189="",CG189="-"), 0, CG189*$AT189), CF189*$AJ189)</f>
        <v>0</v>
      </c>
      <c r="CI189" s="587">
        <f>[1]COMMANDE!AO187</f>
        <v>0</v>
      </c>
      <c r="CJ189" s="586" t="str">
        <f>_xlfn.IFS(AND($AI189=$AM189,$AI189&gt;0,$AM189&gt;0,CI189&gt;0), CI189,     AND(NOT($AI189=$AM189),$AI189&gt;0,$AM189&gt;0,CI189&gt;0), ($AM189*CI189)/$AI189,     AND($AI189=0,$AM189&gt;0,$AQ189&gt;0), IF(INDEX(CI$12:CI$263,MATCH($AQ189,$AP$12:$AP$263,0))&gt;0,($AM189*INDEX(CI$12:CI$263,MATCH($AQ189,$AP$12:$AP$263,0)))/INDEX($AI$12:$AI$263,MATCH($AQ189,$AP$12:$AP$263,0)), "-"),     TRUE, "0")</f>
        <v>0</v>
      </c>
      <c r="CK189" s="607">
        <f>IF(CJ$9&gt;0, IF(OR(CJ189="",CJ189="-"), 0, CJ189*$AT189), CI189*$AJ189)</f>
        <v>0</v>
      </c>
      <c r="CL189" s="589">
        <f>[1]COMMANDE!AQ187</f>
        <v>0</v>
      </c>
      <c r="CM189" s="586" t="str">
        <f>_xlfn.IFS(AND($AI189=$AM189,$AI189&gt;0,$AM189&gt;0,CL189&gt;0), CL189,     AND(NOT($AI189=$AM189),$AI189&gt;0,$AM189&gt;0,CL189&gt;0), ($AM189*CL189)/$AI189,     AND($AI189=0,$AM189&gt;0,$AQ189&gt;0), IF(INDEX(CL$12:CL$263,MATCH($AQ189,$AP$12:$AP$263,0))&gt;0,($AM189*INDEX(CL$12:CL$263,MATCH($AQ189,$AP$12:$AP$263,0)))/INDEX($AI$12:$AI$263,MATCH($AQ189,$AP$12:$AP$263,0)), "-"),     TRUE, "0")</f>
        <v>0</v>
      </c>
      <c r="CN189" s="588">
        <f>IF(CM$9&gt;0, IF(OR(CM189="",CM189="-"), 0, CM189*$AT189), CL189*$AJ189)</f>
        <v>0</v>
      </c>
      <c r="CO189" s="587">
        <f>[1]COMMANDE!AS187</f>
        <v>0</v>
      </c>
      <c r="CP189" s="586" t="str">
        <f>_xlfn.IFS(AND($AI189=$AM189,$AI189&gt;0,$AM189&gt;0,CO189&gt;0), CO189,     AND(NOT($AI189=$AM189),$AI189&gt;0,$AM189&gt;0,CO189&gt;0), ($AM189*CO189)/$AI189,     AND($AI189=0,$AM189&gt;0,$AQ189&gt;0), IF(INDEX(CO$12:CO$263,MATCH($AQ189,$AP$12:$AP$263,0))&gt;0,($AM189*INDEX(CO$12:CO$263,MATCH($AQ189,$AP$12:$AP$263,0)))/INDEX($AI$12:$AI$263,MATCH($AQ189,$AP$12:$AP$263,0)), "-"),     TRUE, "0")</f>
        <v>0</v>
      </c>
      <c r="CQ189" s="607">
        <f>IF(CP$9&gt;0, IF(OR(CP189="",CP189="-"), 0, CP189*$AT189), CO189*$AJ189)</f>
        <v>0</v>
      </c>
      <c r="CR189" s="589">
        <f>[1]COMMANDE!AU187</f>
        <v>0</v>
      </c>
      <c r="CS189" s="586" t="str">
        <f>_xlfn.IFS(AND($AI189=$AM189,$AI189&gt;0,$AM189&gt;0,CR189&gt;0), CR189,     AND(NOT($AI189=$AM189),$AI189&gt;0,$AM189&gt;0,CR189&gt;0), ($AM189*CR189)/$AI189,     AND($AI189=0,$AM189&gt;0,$AQ189&gt;0), IF(INDEX(CR$12:CR$263,MATCH($AQ189,$AP$12:$AP$263,0))&gt;0,($AM189*INDEX(CR$12:CR$263,MATCH($AQ189,$AP$12:$AP$263,0)))/INDEX($AI$12:$AI$263,MATCH($AQ189,$AP$12:$AP$263,0)), "-"),     TRUE, "0")</f>
        <v>0</v>
      </c>
      <c r="CT189" s="588">
        <f>IF(CS$9&gt;0, IF(OR(CS189="",CS189="-"), 0, CS189*$AT189), CR189*$AJ189)</f>
        <v>0</v>
      </c>
      <c r="CU189" s="587">
        <f>[1]COMMANDE!AW187</f>
        <v>0</v>
      </c>
      <c r="CV189" s="586" t="str">
        <f>_xlfn.IFS(AND($AI189=$AM189,$AI189&gt;0,$AM189&gt;0,CU189&gt;0), CU189,     AND(NOT($AI189=$AM189),$AI189&gt;0,$AM189&gt;0,CU189&gt;0), ($AM189*CU189)/$AI189,     AND($AI189=0,$AM189&gt;0,$AQ189&gt;0), IF(INDEX(CU$12:CU$263,MATCH($AQ189,$AP$12:$AP$263,0))&gt;0,($AM189*INDEX(CU$12:CU$263,MATCH($AQ189,$AP$12:$AP$263,0)))/INDEX($AI$12:$AI$263,MATCH($AQ189,$AP$12:$AP$263,0)), "-"),     TRUE, "0")</f>
        <v>0</v>
      </c>
      <c r="CW189" s="607">
        <f>IF(CV$9&gt;0, IF(OR(CV189="",CV189="-"), 0, CV189*$AT189), CU189*$AJ189)</f>
        <v>0</v>
      </c>
      <c r="CX189" s="589">
        <f>[1]COMMANDE!AY187</f>
        <v>0</v>
      </c>
      <c r="CY189" s="586" t="str">
        <f>_xlfn.IFS(AND($AI189=$AM189,$AI189&gt;0,$AM189&gt;0,CX189&gt;0), CX189,     AND(NOT($AI189=$AM189),$AI189&gt;0,$AM189&gt;0,CX189&gt;0), ($AM189*CX189)/$AI189,     AND($AI189=0,$AM189&gt;0,$AQ189&gt;0), IF(INDEX(CX$12:CX$263,MATCH($AQ189,$AP$12:$AP$263,0))&gt;0,($AM189*INDEX(CX$12:CX$263,MATCH($AQ189,$AP$12:$AP$263,0)))/INDEX($AI$12:$AI$263,MATCH($AQ189,$AP$12:$AP$263,0)), "-"),     TRUE, "0")</f>
        <v>0</v>
      </c>
      <c r="CZ189" s="588">
        <f>IF(CY$9&gt;0, IF(OR(CY189="",CY189="-"), 0, CY189*$AT189), CX189*$AJ189)</f>
        <v>0</v>
      </c>
      <c r="DA189" s="587">
        <f>[1]COMMANDE!BA187</f>
        <v>0</v>
      </c>
      <c r="DB189" s="586" t="str">
        <f>_xlfn.IFS(AND($AI189=$AM189,$AI189&gt;0,$AM189&gt;0,DA189&gt;0), DA189,     AND(NOT($AI189=$AM189),$AI189&gt;0,$AM189&gt;0,DA189&gt;0), ($AM189*DA189)/$AI189,     AND($AI189=0,$AM189&gt;0,$AQ189&gt;0), IF(INDEX(DA$12:DA$263,MATCH($AQ189,$AP$12:$AP$263,0))&gt;0,($AM189*INDEX(DA$12:DA$263,MATCH($AQ189,$AP$12:$AP$263,0)))/INDEX($AI$12:$AI$263,MATCH($AQ189,$AP$12:$AP$263,0)), "-"),     TRUE, "0")</f>
        <v>0</v>
      </c>
      <c r="DC189" s="606">
        <f>IF(DB$9&gt;0, IF(OR(DB189="",DB189="-"), 0, DB189*$AT189), DA189*$AJ189)</f>
        <v>0</v>
      </c>
      <c r="DD189" s="584"/>
      <c r="DE189" s="583"/>
    </row>
    <row r="190" spans="1:109" ht="39.950000000000003" hidden="1" customHeight="1">
      <c r="A190" s="604">
        <f>IF(OR($AV190&gt;0, $AX190&gt;0), 1, 0)</f>
        <v>0</v>
      </c>
      <c r="B190" s="604">
        <f>IF(OR($AY190&gt;0, $BA190&gt;0), 1, 0)</f>
        <v>0</v>
      </c>
      <c r="C190" s="604">
        <f>IF(OR($BB190&gt;0, $BD190&gt;0), 1, 0)</f>
        <v>0</v>
      </c>
      <c r="D190" s="604">
        <f>IF(OR($BE190&gt;0, $BG190&gt;0), 1, 0)</f>
        <v>0</v>
      </c>
      <c r="E190" s="604">
        <f>IF(OR($BH190&gt;0, $BJ190&gt;0), 1, 0)</f>
        <v>0</v>
      </c>
      <c r="F190" s="604">
        <f>IF(OR($BK190&gt;0, $BM190&gt;0), 1, 0)</f>
        <v>0</v>
      </c>
      <c r="G190" s="604">
        <f>IF(OR($BN190&gt;0, $BP190&gt;0), 1, 0)</f>
        <v>0</v>
      </c>
      <c r="H190" s="604">
        <f>IF(OR($BQ190&gt;0, $BS190&gt;0), 1, 0)</f>
        <v>0</v>
      </c>
      <c r="I190" s="604">
        <f>IF(OR($BT190&gt;0, $BV190&gt;0), 1, 0)</f>
        <v>0</v>
      </c>
      <c r="J190" s="604">
        <f>IF(OR($BW190&gt;0, $BY190&gt;0), 1, 0)</f>
        <v>0</v>
      </c>
      <c r="K190" s="604">
        <f>IF(OR($BZ190&gt;0, $CB190&gt;0), 1, 0)</f>
        <v>0</v>
      </c>
      <c r="L190" s="604">
        <f>IF(OR($CC190&gt;0, $CE190&gt;0), 1, 0)</f>
        <v>0</v>
      </c>
      <c r="M190" s="604">
        <f>IF(OR($CF190&gt;0, $CH190&gt;0), 1, 0)</f>
        <v>0</v>
      </c>
      <c r="N190" s="604">
        <f>IF(OR($CI190&gt;0, $CK190&gt;0), 1, 0)</f>
        <v>0</v>
      </c>
      <c r="O190" s="604">
        <f>IF(OR($CL190&gt;0, $CN190&gt;0), 1, 0)</f>
        <v>0</v>
      </c>
      <c r="P190" s="604">
        <f>IF(OR($CO190&gt;0, $CQ190&gt;0), 1, 0)</f>
        <v>0</v>
      </c>
      <c r="Q190" s="604">
        <f>IF(OR($CR190&gt;0, $CT190&gt;0), 1, 0)</f>
        <v>0</v>
      </c>
      <c r="R190" s="604">
        <f>IF(OR($CU190&gt;0, $CW190&gt;0), 1, 0)</f>
        <v>0</v>
      </c>
      <c r="S190" s="604">
        <f>IF(OR($CX190&gt;0, $CZ190&gt;0), 1, 0)</f>
        <v>0</v>
      </c>
      <c r="T190" s="604">
        <f>IF(OR($DA190&gt;0, $DC190&gt;0), 1, 0)</f>
        <v>0</v>
      </c>
      <c r="U190" s="603">
        <f>IF(OR($AI190&gt;0,$AM190&gt;0,$AS190&gt;0), 1, 0)</f>
        <v>0</v>
      </c>
      <c r="V190" s="602" t="str">
        <f>[1]BDD!A180</f>
        <v>1816</v>
      </c>
      <c r="W190" s="601" t="str">
        <f>[1]BDD!B180</f>
        <v>Noix de Macadamia sans coque BIO
    - (env. 1kg)</v>
      </c>
      <c r="X190" s="600" t="str">
        <f>IF([1]BDD!F180=0, "", [1]BDD!F180)</f>
        <v>❤️</v>
      </c>
      <c r="Y190" s="542">
        <f>ROUND([1]BDD!G180+FDP_CMD_KG, 2)</f>
        <v>44.68</v>
      </c>
      <c r="Z190" s="542">
        <f>ROUND([1]BDD!G180+FDP_FACT_KG, 2)</f>
        <v>44.68</v>
      </c>
      <c r="AA190" s="543" t="str">
        <f>[1]BDD!H180</f>
        <v>Pièce</v>
      </c>
      <c r="AB190" s="544" t="str">
        <f>IF(NOT(ISBLANK([1]BDD!I180)), ROUND(SUM(([1]BDD!G180*reduc1),FDP_CMD_KG), 2), "")</f>
        <v/>
      </c>
      <c r="AC190" s="544" t="str">
        <f>IF(NOT(ISBLANK([1]BDD!J180)), ROUND(SUM(([1]BDD!G180*reduc2),FDP_CMD_KG), 2), "")</f>
        <v/>
      </c>
      <c r="AD190" s="544" t="str">
        <f>IF(NOT(ISBLANK([1]BDD!K180)), ROUND(SUM(([1]BDD!G180*reduc3),FDP_CMD_KG), 2), "")</f>
        <v/>
      </c>
      <c r="AE190" s="544" t="str">
        <f>IF(NOT(ISBLANK([1]BDD!I180)), ROUND(SUM(([1]BDD!G180*reduc1),FDP_FACT_KG), 2), "")</f>
        <v/>
      </c>
      <c r="AF190" s="544" t="str">
        <f>IF(NOT(ISBLANK([1]BDD!J180)), ROUND(SUM(([1]BDD!G180*reduc2),FDP_FACT_KG), 2), "")</f>
        <v/>
      </c>
      <c r="AG190" s="544" t="str">
        <f>IF(NOT(ISBLANK([1]BDD!K180)), ROUND(SUM(([1]BDD!G180*reduc3),FDP_FACT_KG), 2), "")</f>
        <v/>
      </c>
      <c r="AH190" s="599" t="str">
        <f>[1]BDD!C180</f>
        <v>Kenya</v>
      </c>
      <c r="AI190" s="598">
        <f>SUM(AV190,AY190,BB190,BE190,BH190,BK190,BN190,BQ190,BT190,BW190,BZ190,CC190,CF190,CI190,CL190,CO190,CR190,CU190,CX190,DA190)</f>
        <v>0</v>
      </c>
      <c r="AJ190" s="545">
        <f>_xlfn.IFS($AD190&lt;&gt;"", $AD190,    $AC190&lt;&gt;"", $AC190,    $AB190&lt;&gt;"", $AB190,    TRUE, $Y190)</f>
        <v>44.68</v>
      </c>
      <c r="AK190" s="592">
        <f>$AI190*$AJ190</f>
        <v>0</v>
      </c>
      <c r="AL190" s="594"/>
      <c r="AM190" s="597"/>
      <c r="AN190" s="545">
        <f>_xlfn.IFS(AND(AM190&gt;=60,$AG190&lt;&gt;""), $AG190,    AND(AM190&gt;=30,$AF190&lt;&gt;""), $AF190,    AND(AM190&gt;=10,$AE190&lt;&gt;""), $AE190,    TRUE, $Z190)</f>
        <v>44.68</v>
      </c>
      <c r="AO190" s="596">
        <f>AM190*AN190</f>
        <v>0</v>
      </c>
      <c r="AP190" s="595"/>
      <c r="AQ190" s="595"/>
      <c r="AR190" s="594"/>
      <c r="AS190" s="593">
        <f>SUM(AW190,AZ190,BC190,BF190,BI190,BL190,BO190,BR190,BU190,BX190,CA190,CD190,CG190,CJ190,CM190,CP190,CS190,CV190,CY190,DB190)</f>
        <v>0</v>
      </c>
      <c r="AT190" s="545">
        <f>_xlfn.IFS(AND(AS190&gt;=60,$AG190&lt;&gt;""), $AG190,    AND(AS190&gt;=30,$AF190&lt;&gt;""), $AF190,    AND(AS190&gt;=10,$AE190&lt;&gt;""), $AE190,    TRUE, $Z190)</f>
        <v>44.68</v>
      </c>
      <c r="AU190" s="592">
        <f>$AS190*$AT190</f>
        <v>0</v>
      </c>
      <c r="AV190" s="591">
        <f>[1]COMMANDE!O188</f>
        <v>0</v>
      </c>
      <c r="AW190" s="586" t="str">
        <f>_xlfn.IFS(AND($AI190=$AM190,$AI190&gt;0,$AM190&gt;0,AV190&gt;0), AV190,     AND(NOT($AI190=$AM190),$AI190&gt;0,$AM190&gt;0,AV190&gt;0), ($AM190*AV190)/$AI190,     AND($AI190=0,$AM190&gt;0,$AQ190&gt;0), IF(INDEX(AV$12:AV$263,MATCH($AQ190,$AP$12:$AP$263,0))&gt;0,($AM190*INDEX(AV$12:AV$263,MATCH($AQ190,$AP$12:$AP$263,0)))/INDEX($AI$12:$AI$263,MATCH($AQ190,$AP$12:$AP$263,0)), "-"),     TRUE, "0")</f>
        <v>0</v>
      </c>
      <c r="AX190" s="588">
        <f>IF(AW$9&gt;0, IF(OR(AW190="",AW190="-"), 0, AW190*$AT190), AV190*$AJ190)</f>
        <v>0</v>
      </c>
      <c r="AY190" s="587">
        <f>[1]COMMANDE!Q188</f>
        <v>0</v>
      </c>
      <c r="AZ190" s="586" t="str">
        <f>_xlfn.IFS(AND($AI190=$AM190,$AI190&gt;0,$AM190&gt;0,AY190&gt;0), AY190,     AND(NOT($AI190=$AM190),$AI190&gt;0,$AM190&gt;0,AY190&gt;0), ($AM190*AY190)/$AI190,     AND($AI190=0,$AM190&gt;0,$AQ190&gt;0), IF(INDEX(AY$12:AY$263,MATCH($AQ190,$AP$12:$AP$263,0))&gt;0,($AM190*INDEX(AY$12:AY$263,MATCH($AQ190,$AP$12:$AP$263,0)))/INDEX($AI$12:$AI$263,MATCH($AQ190,$AP$12:$AP$263,0)), "-"),     TRUE, "0")</f>
        <v>0</v>
      </c>
      <c r="BA190" s="607">
        <f>IF(AZ$9&gt;0, IF(OR(AZ190="",AZ190="-"), 0, AZ190*$AT190), AY190*$AJ190)</f>
        <v>0</v>
      </c>
      <c r="BB190" s="589">
        <f>[1]COMMANDE!S188</f>
        <v>0</v>
      </c>
      <c r="BC190" s="586" t="str">
        <f>_xlfn.IFS(AND($AI190=$AM190,$AI190&gt;0,$AM190&gt;0,BB190&gt;0), BB190,     AND(NOT($AI190=$AM190),$AI190&gt;0,$AM190&gt;0,BB190&gt;0), ($AM190*BB190)/$AI190,     AND($AI190=0,$AM190&gt;0,$AQ190&gt;0), IF(INDEX(BB$12:BB$263,MATCH($AQ190,$AP$12:$AP$263,0))&gt;0,($AM190*INDEX(BB$12:BB$263,MATCH($AQ190,$AP$12:$AP$263,0)))/INDEX($AI$12:$AI$263,MATCH($AQ190,$AP$12:$AP$263,0)), "-"),     TRUE, "0")</f>
        <v>0</v>
      </c>
      <c r="BD190" s="588">
        <f>IF(BC$9&gt;0, IF(OR(BC190="",BC190="-"), 0, BC190*$AT190), BB190*$AJ190)</f>
        <v>0</v>
      </c>
      <c r="BE190" s="587">
        <f>[1]COMMANDE!U188</f>
        <v>0</v>
      </c>
      <c r="BF190" s="586" t="str">
        <f>_xlfn.IFS(AND($AI190=$AM190,$AI190&gt;0,$AM190&gt;0,BE190&gt;0), BE190,     AND(NOT($AI190=$AM190),$AI190&gt;0,$AM190&gt;0,BE190&gt;0), ($AM190*BE190)/$AI190,     AND($AI190=0,$AM190&gt;0,$AQ190&gt;0), IF(INDEX(BE$12:BE$263,MATCH($AQ190,$AP$12:$AP$263,0))&gt;0,($AM190*INDEX(BE$12:BE$263,MATCH($AQ190,$AP$12:$AP$263,0)))/INDEX($AI$12:$AI$263,MATCH($AQ190,$AP$12:$AP$263,0)), "-"),     TRUE, "0")</f>
        <v>0</v>
      </c>
      <c r="BG190" s="607">
        <f>IF(BF$9&gt;0, IF(OR(BF190="",BF190="-"), 0, BF190*$AT190), BE190*$AJ190)</f>
        <v>0</v>
      </c>
      <c r="BH190" s="589">
        <f>[1]COMMANDE!W188</f>
        <v>0</v>
      </c>
      <c r="BI190" s="586" t="str">
        <f>_xlfn.IFS(AND($AI190=$AM190,$AI190&gt;0,$AM190&gt;0,BH190&gt;0), BH190,     AND(NOT($AI190=$AM190),$AI190&gt;0,$AM190&gt;0,BH190&gt;0), ($AM190*BH190)/$AI190,     AND($AI190=0,$AM190&gt;0,$AQ190&gt;0), IF(INDEX(BH$12:BH$263,MATCH($AQ190,$AP$12:$AP$263,0))&gt;0,($AM190*INDEX(BH$12:BH$263,MATCH($AQ190,$AP$12:$AP$263,0)))/INDEX($AI$12:$AI$263,MATCH($AQ190,$AP$12:$AP$263,0)), "-"),     TRUE, "0")</f>
        <v>0</v>
      </c>
      <c r="BJ190" s="588">
        <f>IF(BI$9&gt;0, IF(OR(BI190="",BI190="-"), 0, BI190*$AT190), BH190*$AJ190)</f>
        <v>0</v>
      </c>
      <c r="BK190" s="587">
        <f>[1]COMMANDE!Y188</f>
        <v>0</v>
      </c>
      <c r="BL190" s="586" t="str">
        <f>_xlfn.IFS(AND($AI190=$AM190,$AI190&gt;0,$AM190&gt;0,BK190&gt;0), BK190,     AND(NOT($AI190=$AM190),$AI190&gt;0,$AM190&gt;0,BK190&gt;0), ($AM190*BK190)/$AI190,     AND($AI190=0,$AM190&gt;0,$AQ190&gt;0), IF(INDEX(BK$12:BK$263,MATCH($AQ190,$AP$12:$AP$263,0))&gt;0,($AM190*INDEX(BK$12:BK$263,MATCH($AQ190,$AP$12:$AP$263,0)))/INDEX($AI$12:$AI$263,MATCH($AQ190,$AP$12:$AP$263,0)), "-"),     TRUE, "0")</f>
        <v>0</v>
      </c>
      <c r="BM190" s="607">
        <f>IF(BL$9&gt;0, IF(OR(BL190="",BL190="-"), 0, BL190*$AT190), BK190*$AJ190)</f>
        <v>0</v>
      </c>
      <c r="BN190" s="589">
        <f>[1]COMMANDE!AA188</f>
        <v>0</v>
      </c>
      <c r="BO190" s="586" t="str">
        <f>_xlfn.IFS(AND($AI190=$AM190,$AI190&gt;0,$AM190&gt;0,BN190&gt;0), BN190,     AND(NOT($AI190=$AM190),$AI190&gt;0,$AM190&gt;0,BN190&gt;0), ($AM190*BN190)/$AI190,     AND($AI190=0,$AM190&gt;0,$AQ190&gt;0), IF(INDEX(BN$12:BN$263,MATCH($AQ190,$AP$12:$AP$263,0))&gt;0,($AM190*INDEX(BN$12:BN$263,MATCH($AQ190,$AP$12:$AP$263,0)))/INDEX($AI$12:$AI$263,MATCH($AQ190,$AP$12:$AP$263,0)), "-"),     TRUE, "0")</f>
        <v>0</v>
      </c>
      <c r="BP190" s="588">
        <f>IF(BO$9&gt;0, IF(OR(BO190="",BO190="-"), 0, BO190*$AT190), BN190*$AJ190)</f>
        <v>0</v>
      </c>
      <c r="BQ190" s="587">
        <f>[1]COMMANDE!AC188</f>
        <v>0</v>
      </c>
      <c r="BR190" s="586" t="str">
        <f>_xlfn.IFS(AND($AI190=$AM190,$AI190&gt;0,$AM190&gt;0,BQ190&gt;0), BQ190,     AND(NOT($AI190=$AM190),$AI190&gt;0,$AM190&gt;0,BQ190&gt;0), ($AM190*BQ190)/$AI190,     AND($AI190=0,$AM190&gt;0,$AQ190&gt;0), IF(INDEX(BQ$12:BQ$263,MATCH($AQ190,$AP$12:$AP$263,0))&gt;0,($AM190*INDEX(BQ$12:BQ$263,MATCH($AQ190,$AP$12:$AP$263,0)))/INDEX($AI$12:$AI$263,MATCH($AQ190,$AP$12:$AP$263,0)), "-"),     TRUE, "0")</f>
        <v>0</v>
      </c>
      <c r="BS190" s="607">
        <f>IF(BR$9&gt;0, IF(OR(BR190="",BR190="-"), 0, BR190*$AT190), BQ190*$AJ190)</f>
        <v>0</v>
      </c>
      <c r="BT190" s="589">
        <f>[1]COMMANDE!AE188</f>
        <v>0</v>
      </c>
      <c r="BU190" s="586" t="str">
        <f>_xlfn.IFS(AND($AI190=$AM190,$AI190&gt;0,$AM190&gt;0,BT190&gt;0), BT190,     AND(NOT($AI190=$AM190),$AI190&gt;0,$AM190&gt;0,BT190&gt;0), ($AM190*BT190)/$AI190,     AND($AI190=0,$AM190&gt;0,$AQ190&gt;0), IF(INDEX(BT$12:BT$263,MATCH($AQ190,$AP$12:$AP$263,0))&gt;0,($AM190*INDEX(BT$12:BT$263,MATCH($AQ190,$AP$12:$AP$263,0)))/INDEX($AI$12:$AI$263,MATCH($AQ190,$AP$12:$AP$263,0)), "-"),     TRUE, "0")</f>
        <v>0</v>
      </c>
      <c r="BV190" s="588">
        <f>IF(BU$9&gt;0, IF(OR(BU190="",BU190="-"), 0, BU190*$AT190), BT190*$AJ190)</f>
        <v>0</v>
      </c>
      <c r="BW190" s="587">
        <f>[1]COMMANDE!AG188</f>
        <v>0</v>
      </c>
      <c r="BX190" s="586" t="str">
        <f>_xlfn.IFS(AND($AI190=$AM190,$AI190&gt;0,$AM190&gt;0,BW190&gt;0), BW190,     AND(NOT($AI190=$AM190),$AI190&gt;0,$AM190&gt;0,BW190&gt;0), ($AM190*BW190)/$AI190,     AND($AI190=0,$AM190&gt;0,$AQ190&gt;0), IF(INDEX(BW$12:BW$263,MATCH($AQ190,$AP$12:$AP$263,0))&gt;0,($AM190*INDEX(BW$12:BW$263,MATCH($AQ190,$AP$12:$AP$263,0)))/INDEX($AI$12:$AI$263,MATCH($AQ190,$AP$12:$AP$263,0)), "-"),     TRUE, "0")</f>
        <v>0</v>
      </c>
      <c r="BY190" s="607">
        <f>IF(BX$9&gt;0, IF(OR(BX190="",BX190="-"), 0, BX190*$AT190), BW190*$AJ190)</f>
        <v>0</v>
      </c>
      <c r="BZ190" s="589">
        <f>[1]COMMANDE!AI188</f>
        <v>0</v>
      </c>
      <c r="CA190" s="586" t="str">
        <f>_xlfn.IFS(AND($AI190=$AM190,$AI190&gt;0,$AM190&gt;0,BZ190&gt;0), BZ190,     AND(NOT($AI190=$AM190),$AI190&gt;0,$AM190&gt;0,BZ190&gt;0), ($AM190*BZ190)/$AI190,     AND($AI190=0,$AM190&gt;0,$AQ190&gt;0), IF(INDEX(BZ$12:BZ$263,MATCH($AQ190,$AP$12:$AP$263,0))&gt;0,($AM190*INDEX(BZ$12:BZ$263,MATCH($AQ190,$AP$12:$AP$263,0)))/INDEX($AI$12:$AI$263,MATCH($AQ190,$AP$12:$AP$263,0)), "-"),     TRUE, "0")</f>
        <v>0</v>
      </c>
      <c r="CB190" s="588">
        <f>IF(CA$9&gt;0, IF(OR(CA190="",CA190="-"), 0, CA190*$AT190), BZ190*$AJ190)</f>
        <v>0</v>
      </c>
      <c r="CC190" s="587">
        <f>[1]COMMANDE!AK188</f>
        <v>0</v>
      </c>
      <c r="CD190" s="586" t="str">
        <f>_xlfn.IFS(AND($AI190=$AM190,$AI190&gt;0,$AM190&gt;0,CC190&gt;0), CC190,     AND(NOT($AI190=$AM190),$AI190&gt;0,$AM190&gt;0,CC190&gt;0), ($AM190*CC190)/$AI190,     AND($AI190=0,$AM190&gt;0,$AQ190&gt;0), IF(INDEX(CC$12:CC$263,MATCH($AQ190,$AP$12:$AP$263,0))&gt;0,($AM190*INDEX(CC$12:CC$263,MATCH($AQ190,$AP$12:$AP$263,0)))/INDEX($AI$12:$AI$263,MATCH($AQ190,$AP$12:$AP$263,0)), "-"),     TRUE, "0")</f>
        <v>0</v>
      </c>
      <c r="CE190" s="607">
        <f>IF(CD$9&gt;0, IF(OR(CD190="",CD190="-"), 0, CD190*$AT190), CC190*$AJ190)</f>
        <v>0</v>
      </c>
      <c r="CF190" s="589">
        <f>[1]COMMANDE!AM188</f>
        <v>0</v>
      </c>
      <c r="CG190" s="586" t="str">
        <f>_xlfn.IFS(AND($AI190=$AM190,$AI190&gt;0,$AM190&gt;0,CF190&gt;0), CF190,     AND(NOT($AI190=$AM190),$AI190&gt;0,$AM190&gt;0,CF190&gt;0), ($AM190*CF190)/$AI190,     AND($AI190=0,$AM190&gt;0,$AQ190&gt;0), IF(INDEX(CF$12:CF$263,MATCH($AQ190,$AP$12:$AP$263,0))&gt;0,($AM190*INDEX(CF$12:CF$263,MATCH($AQ190,$AP$12:$AP$263,0)))/INDEX($AI$12:$AI$263,MATCH($AQ190,$AP$12:$AP$263,0)), "-"),     TRUE, "0")</f>
        <v>0</v>
      </c>
      <c r="CH190" s="588">
        <f>IF(CG$9&gt;0, IF(OR(CG190="",CG190="-"), 0, CG190*$AT190), CF190*$AJ190)</f>
        <v>0</v>
      </c>
      <c r="CI190" s="587">
        <f>[1]COMMANDE!AO188</f>
        <v>0</v>
      </c>
      <c r="CJ190" s="586" t="str">
        <f>_xlfn.IFS(AND($AI190=$AM190,$AI190&gt;0,$AM190&gt;0,CI190&gt;0), CI190,     AND(NOT($AI190=$AM190),$AI190&gt;0,$AM190&gt;0,CI190&gt;0), ($AM190*CI190)/$AI190,     AND($AI190=0,$AM190&gt;0,$AQ190&gt;0), IF(INDEX(CI$12:CI$263,MATCH($AQ190,$AP$12:$AP$263,0))&gt;0,($AM190*INDEX(CI$12:CI$263,MATCH($AQ190,$AP$12:$AP$263,0)))/INDEX($AI$12:$AI$263,MATCH($AQ190,$AP$12:$AP$263,0)), "-"),     TRUE, "0")</f>
        <v>0</v>
      </c>
      <c r="CK190" s="607">
        <f>IF(CJ$9&gt;0, IF(OR(CJ190="",CJ190="-"), 0, CJ190*$AT190), CI190*$AJ190)</f>
        <v>0</v>
      </c>
      <c r="CL190" s="589">
        <f>[1]COMMANDE!AQ188</f>
        <v>0</v>
      </c>
      <c r="CM190" s="586" t="str">
        <f>_xlfn.IFS(AND($AI190=$AM190,$AI190&gt;0,$AM190&gt;0,CL190&gt;0), CL190,     AND(NOT($AI190=$AM190),$AI190&gt;0,$AM190&gt;0,CL190&gt;0), ($AM190*CL190)/$AI190,     AND($AI190=0,$AM190&gt;0,$AQ190&gt;0), IF(INDEX(CL$12:CL$263,MATCH($AQ190,$AP$12:$AP$263,0))&gt;0,($AM190*INDEX(CL$12:CL$263,MATCH($AQ190,$AP$12:$AP$263,0)))/INDEX($AI$12:$AI$263,MATCH($AQ190,$AP$12:$AP$263,0)), "-"),     TRUE, "0")</f>
        <v>0</v>
      </c>
      <c r="CN190" s="588">
        <f>IF(CM$9&gt;0, IF(OR(CM190="",CM190="-"), 0, CM190*$AT190), CL190*$AJ190)</f>
        <v>0</v>
      </c>
      <c r="CO190" s="587">
        <f>[1]COMMANDE!AS188</f>
        <v>0</v>
      </c>
      <c r="CP190" s="586" t="str">
        <f>_xlfn.IFS(AND($AI190=$AM190,$AI190&gt;0,$AM190&gt;0,CO190&gt;0), CO190,     AND(NOT($AI190=$AM190),$AI190&gt;0,$AM190&gt;0,CO190&gt;0), ($AM190*CO190)/$AI190,     AND($AI190=0,$AM190&gt;0,$AQ190&gt;0), IF(INDEX(CO$12:CO$263,MATCH($AQ190,$AP$12:$AP$263,0))&gt;0,($AM190*INDEX(CO$12:CO$263,MATCH($AQ190,$AP$12:$AP$263,0)))/INDEX($AI$12:$AI$263,MATCH($AQ190,$AP$12:$AP$263,0)), "-"),     TRUE, "0")</f>
        <v>0</v>
      </c>
      <c r="CQ190" s="607">
        <f>IF(CP$9&gt;0, IF(OR(CP190="",CP190="-"), 0, CP190*$AT190), CO190*$AJ190)</f>
        <v>0</v>
      </c>
      <c r="CR190" s="589">
        <f>[1]COMMANDE!AU188</f>
        <v>0</v>
      </c>
      <c r="CS190" s="586" t="str">
        <f>_xlfn.IFS(AND($AI190=$AM190,$AI190&gt;0,$AM190&gt;0,CR190&gt;0), CR190,     AND(NOT($AI190=$AM190),$AI190&gt;0,$AM190&gt;0,CR190&gt;0), ($AM190*CR190)/$AI190,     AND($AI190=0,$AM190&gt;0,$AQ190&gt;0), IF(INDEX(CR$12:CR$263,MATCH($AQ190,$AP$12:$AP$263,0))&gt;0,($AM190*INDEX(CR$12:CR$263,MATCH($AQ190,$AP$12:$AP$263,0)))/INDEX($AI$12:$AI$263,MATCH($AQ190,$AP$12:$AP$263,0)), "-"),     TRUE, "0")</f>
        <v>0</v>
      </c>
      <c r="CT190" s="588">
        <f>IF(CS$9&gt;0, IF(OR(CS190="",CS190="-"), 0, CS190*$AT190), CR190*$AJ190)</f>
        <v>0</v>
      </c>
      <c r="CU190" s="587">
        <f>[1]COMMANDE!AW188</f>
        <v>0</v>
      </c>
      <c r="CV190" s="586" t="str">
        <f>_xlfn.IFS(AND($AI190=$AM190,$AI190&gt;0,$AM190&gt;0,CU190&gt;0), CU190,     AND(NOT($AI190=$AM190),$AI190&gt;0,$AM190&gt;0,CU190&gt;0), ($AM190*CU190)/$AI190,     AND($AI190=0,$AM190&gt;0,$AQ190&gt;0), IF(INDEX(CU$12:CU$263,MATCH($AQ190,$AP$12:$AP$263,0))&gt;0,($AM190*INDEX(CU$12:CU$263,MATCH($AQ190,$AP$12:$AP$263,0)))/INDEX($AI$12:$AI$263,MATCH($AQ190,$AP$12:$AP$263,0)), "-"),     TRUE, "0")</f>
        <v>0</v>
      </c>
      <c r="CW190" s="607">
        <f>IF(CV$9&gt;0, IF(OR(CV190="",CV190="-"), 0, CV190*$AT190), CU190*$AJ190)</f>
        <v>0</v>
      </c>
      <c r="CX190" s="589">
        <f>[1]COMMANDE!AY188</f>
        <v>0</v>
      </c>
      <c r="CY190" s="586" t="str">
        <f>_xlfn.IFS(AND($AI190=$AM190,$AI190&gt;0,$AM190&gt;0,CX190&gt;0), CX190,     AND(NOT($AI190=$AM190),$AI190&gt;0,$AM190&gt;0,CX190&gt;0), ($AM190*CX190)/$AI190,     AND($AI190=0,$AM190&gt;0,$AQ190&gt;0), IF(INDEX(CX$12:CX$263,MATCH($AQ190,$AP$12:$AP$263,0))&gt;0,($AM190*INDEX(CX$12:CX$263,MATCH($AQ190,$AP$12:$AP$263,0)))/INDEX($AI$12:$AI$263,MATCH($AQ190,$AP$12:$AP$263,0)), "-"),     TRUE, "0")</f>
        <v>0</v>
      </c>
      <c r="CZ190" s="588">
        <f>IF(CY$9&gt;0, IF(OR(CY190="",CY190="-"), 0, CY190*$AT190), CX190*$AJ190)</f>
        <v>0</v>
      </c>
      <c r="DA190" s="587">
        <f>[1]COMMANDE!BA188</f>
        <v>0</v>
      </c>
      <c r="DB190" s="586" t="str">
        <f>_xlfn.IFS(AND($AI190=$AM190,$AI190&gt;0,$AM190&gt;0,DA190&gt;0), DA190,     AND(NOT($AI190=$AM190),$AI190&gt;0,$AM190&gt;0,DA190&gt;0), ($AM190*DA190)/$AI190,     AND($AI190=0,$AM190&gt;0,$AQ190&gt;0), IF(INDEX(DA$12:DA$263,MATCH($AQ190,$AP$12:$AP$263,0))&gt;0,($AM190*INDEX(DA$12:DA$263,MATCH($AQ190,$AP$12:$AP$263,0)))/INDEX($AI$12:$AI$263,MATCH($AQ190,$AP$12:$AP$263,0)), "-"),     TRUE, "0")</f>
        <v>0</v>
      </c>
      <c r="DC190" s="606">
        <f>IF(DB$9&gt;0, IF(OR(DB190="",DB190="-"), 0, DB190*$AT190), DA190*$AJ190)</f>
        <v>0</v>
      </c>
      <c r="DD190" s="584"/>
      <c r="DE190" s="583"/>
    </row>
    <row r="191" spans="1:109" ht="39.950000000000003" hidden="1" customHeight="1">
      <c r="A191" s="604">
        <f>IF(OR($AV191&gt;0, $AX191&gt;0), 1, 0)</f>
        <v>0</v>
      </c>
      <c r="B191" s="604">
        <f>IF(OR($AY191&gt;0, $BA191&gt;0), 1, 0)</f>
        <v>0</v>
      </c>
      <c r="C191" s="604">
        <f>IF(OR($BB191&gt;0, $BD191&gt;0), 1, 0)</f>
        <v>0</v>
      </c>
      <c r="D191" s="604">
        <f>IF(OR($BE191&gt;0, $BG191&gt;0), 1, 0)</f>
        <v>0</v>
      </c>
      <c r="E191" s="604">
        <f>IF(OR($BH191&gt;0, $BJ191&gt;0), 1, 0)</f>
        <v>0</v>
      </c>
      <c r="F191" s="604">
        <f>IF(OR($BK191&gt;0, $BM191&gt;0), 1, 0)</f>
        <v>0</v>
      </c>
      <c r="G191" s="604">
        <f>IF(OR($BN191&gt;0, $BP191&gt;0), 1, 0)</f>
        <v>0</v>
      </c>
      <c r="H191" s="604">
        <f>IF(OR($BQ191&gt;0, $BS191&gt;0), 1, 0)</f>
        <v>0</v>
      </c>
      <c r="I191" s="604">
        <f>IF(OR($BT191&gt;0, $BV191&gt;0), 1, 0)</f>
        <v>0</v>
      </c>
      <c r="J191" s="604">
        <f>IF(OR($BW191&gt;0, $BY191&gt;0), 1, 0)</f>
        <v>0</v>
      </c>
      <c r="K191" s="604">
        <f>IF(OR($BZ191&gt;0, $CB191&gt;0), 1, 0)</f>
        <v>0</v>
      </c>
      <c r="L191" s="604">
        <f>IF(OR($CC191&gt;0, $CE191&gt;0), 1, 0)</f>
        <v>0</v>
      </c>
      <c r="M191" s="604">
        <f>IF(OR($CF191&gt;0, $CH191&gt;0), 1, 0)</f>
        <v>0</v>
      </c>
      <c r="N191" s="604">
        <f>IF(OR($CI191&gt;0, $CK191&gt;0), 1, 0)</f>
        <v>0</v>
      </c>
      <c r="O191" s="604">
        <f>IF(OR($CL191&gt;0, $CN191&gt;0), 1, 0)</f>
        <v>0</v>
      </c>
      <c r="P191" s="604">
        <f>IF(OR($CO191&gt;0, $CQ191&gt;0), 1, 0)</f>
        <v>0</v>
      </c>
      <c r="Q191" s="604">
        <f>IF(OR($CR191&gt;0, $CT191&gt;0), 1, 0)</f>
        <v>0</v>
      </c>
      <c r="R191" s="604">
        <f>IF(OR($CU191&gt;0, $CW191&gt;0), 1, 0)</f>
        <v>0</v>
      </c>
      <c r="S191" s="604">
        <f>IF(OR($CX191&gt;0, $CZ191&gt;0), 1, 0)</f>
        <v>0</v>
      </c>
      <c r="T191" s="604">
        <f>IF(OR($DA191&gt;0, $DC191&gt;0), 1, 0)</f>
        <v>0</v>
      </c>
      <c r="U191" s="603">
        <f>IF(OR($AI191&gt;0,$AM191&gt;0,$AS191&gt;0), 1, 0)</f>
        <v>0</v>
      </c>
      <c r="V191" s="602" t="str">
        <f>[1]BDD!A181</f>
        <v>1816</v>
      </c>
      <c r="W191" s="601" t="str">
        <f>[1]BDD!B181</f>
        <v>Noix de Macadamia sans coque BIO
    - (env. 500g)</v>
      </c>
      <c r="X191" s="600" t="str">
        <f>IF([1]BDD!F181=0, "", [1]BDD!F181)</f>
        <v>❤️</v>
      </c>
      <c r="Y191" s="542">
        <f>ROUND([1]BDD!G181+FDP_CMD_KG, 2)</f>
        <v>23.46</v>
      </c>
      <c r="Z191" s="542">
        <f>ROUND([1]BDD!G181+FDP_FACT_KG, 2)</f>
        <v>23.46</v>
      </c>
      <c r="AA191" s="543" t="str">
        <f>[1]BDD!H181</f>
        <v>Pièce</v>
      </c>
      <c r="AB191" s="544" t="str">
        <f>IF(NOT(ISBLANK([1]BDD!I181)), ROUND(SUM(([1]BDD!G181*reduc1),FDP_CMD_KG), 2), "")</f>
        <v/>
      </c>
      <c r="AC191" s="544" t="str">
        <f>IF(NOT(ISBLANK([1]BDD!J181)), ROUND(SUM(([1]BDD!G181*reduc2),FDP_CMD_KG), 2), "")</f>
        <v/>
      </c>
      <c r="AD191" s="544" t="str">
        <f>IF(NOT(ISBLANK([1]BDD!K181)), ROUND(SUM(([1]BDD!G181*reduc3),FDP_CMD_KG), 2), "")</f>
        <v/>
      </c>
      <c r="AE191" s="544" t="str">
        <f>IF(NOT(ISBLANK([1]BDD!I181)), ROUND(SUM(([1]BDD!G181*reduc1),FDP_FACT_KG), 2), "")</f>
        <v/>
      </c>
      <c r="AF191" s="544" t="str">
        <f>IF(NOT(ISBLANK([1]BDD!J181)), ROUND(SUM(([1]BDD!G181*reduc2),FDP_FACT_KG), 2), "")</f>
        <v/>
      </c>
      <c r="AG191" s="544" t="str">
        <f>IF(NOT(ISBLANK([1]BDD!K181)), ROUND(SUM(([1]BDD!G181*reduc3),FDP_FACT_KG), 2), "")</f>
        <v/>
      </c>
      <c r="AH191" s="599" t="str">
        <f>[1]BDD!C181</f>
        <v>Kenya</v>
      </c>
      <c r="AI191" s="598">
        <f>SUM(AV191,AY191,BB191,BE191,BH191,BK191,BN191,BQ191,BT191,BW191,BZ191,CC191,CF191,CI191,CL191,CO191,CR191,CU191,CX191,DA191)</f>
        <v>0</v>
      </c>
      <c r="AJ191" s="545">
        <f>_xlfn.IFS($AD191&lt;&gt;"", $AD191,    $AC191&lt;&gt;"", $AC191,    $AB191&lt;&gt;"", $AB191,    TRUE, $Y191)</f>
        <v>23.46</v>
      </c>
      <c r="AK191" s="592">
        <f>$AI191*$AJ191</f>
        <v>0</v>
      </c>
      <c r="AL191" s="594"/>
      <c r="AM191" s="597"/>
      <c r="AN191" s="545">
        <f>_xlfn.IFS(AND(AM191&gt;=60,$AG191&lt;&gt;""), $AG191,    AND(AM191&gt;=30,$AF191&lt;&gt;""), $AF191,    AND(AM191&gt;=10,$AE191&lt;&gt;""), $AE191,    TRUE, $Z191)</f>
        <v>23.46</v>
      </c>
      <c r="AO191" s="596">
        <f>AM191*AN191</f>
        <v>0</v>
      </c>
      <c r="AP191" s="595"/>
      <c r="AQ191" s="595"/>
      <c r="AR191" s="594"/>
      <c r="AS191" s="593">
        <f>SUM(AW191,AZ191,BC191,BF191,BI191,BL191,BO191,BR191,BU191,BX191,CA191,CD191,CG191,CJ191,CM191,CP191,CS191,CV191,CY191,DB191)</f>
        <v>0</v>
      </c>
      <c r="AT191" s="545">
        <f>_xlfn.IFS(AND(AS191&gt;=60,$AG191&lt;&gt;""), $AG191,    AND(AS191&gt;=30,$AF191&lt;&gt;""), $AF191,    AND(AS191&gt;=10,$AE191&lt;&gt;""), $AE191,    TRUE, $Z191)</f>
        <v>23.46</v>
      </c>
      <c r="AU191" s="592">
        <f>$AS191*$AT191</f>
        <v>0</v>
      </c>
      <c r="AV191" s="591">
        <f>[1]COMMANDE!O189</f>
        <v>0</v>
      </c>
      <c r="AW191" s="586" t="str">
        <f>_xlfn.IFS(AND($AI191=$AM191,$AI191&gt;0,$AM191&gt;0,AV191&gt;0), AV191,     AND(NOT($AI191=$AM191),$AI191&gt;0,$AM191&gt;0,AV191&gt;0), ($AM191*AV191)/$AI191,     AND($AI191=0,$AM191&gt;0,$AQ191&gt;0), IF(INDEX(AV$12:AV$263,MATCH($AQ191,$AP$12:$AP$263,0))&gt;0,($AM191*INDEX(AV$12:AV$263,MATCH($AQ191,$AP$12:$AP$263,0)))/INDEX($AI$12:$AI$263,MATCH($AQ191,$AP$12:$AP$263,0)), "-"),     TRUE, "0")</f>
        <v>0</v>
      </c>
      <c r="AX191" s="588">
        <f>IF(AW$9&gt;0, IF(OR(AW191="",AW191="-"), 0, AW191*$AT191), AV191*$AJ191)</f>
        <v>0</v>
      </c>
      <c r="AY191" s="587">
        <f>[1]COMMANDE!Q189</f>
        <v>0</v>
      </c>
      <c r="AZ191" s="586" t="str">
        <f>_xlfn.IFS(AND($AI191=$AM191,$AI191&gt;0,$AM191&gt;0,AY191&gt;0), AY191,     AND(NOT($AI191=$AM191),$AI191&gt;0,$AM191&gt;0,AY191&gt;0), ($AM191*AY191)/$AI191,     AND($AI191=0,$AM191&gt;0,$AQ191&gt;0), IF(INDEX(AY$12:AY$263,MATCH($AQ191,$AP$12:$AP$263,0))&gt;0,($AM191*INDEX(AY$12:AY$263,MATCH($AQ191,$AP$12:$AP$263,0)))/INDEX($AI$12:$AI$263,MATCH($AQ191,$AP$12:$AP$263,0)), "-"),     TRUE, "0")</f>
        <v>0</v>
      </c>
      <c r="BA191" s="607">
        <f>IF(AZ$9&gt;0, IF(OR(AZ191="",AZ191="-"), 0, AZ191*$AT191), AY191*$AJ191)</f>
        <v>0</v>
      </c>
      <c r="BB191" s="589">
        <f>[1]COMMANDE!S189</f>
        <v>0</v>
      </c>
      <c r="BC191" s="586" t="str">
        <f>_xlfn.IFS(AND($AI191=$AM191,$AI191&gt;0,$AM191&gt;0,BB191&gt;0), BB191,     AND(NOT($AI191=$AM191),$AI191&gt;0,$AM191&gt;0,BB191&gt;0), ($AM191*BB191)/$AI191,     AND($AI191=0,$AM191&gt;0,$AQ191&gt;0), IF(INDEX(BB$12:BB$263,MATCH($AQ191,$AP$12:$AP$263,0))&gt;0,($AM191*INDEX(BB$12:BB$263,MATCH($AQ191,$AP$12:$AP$263,0)))/INDEX($AI$12:$AI$263,MATCH($AQ191,$AP$12:$AP$263,0)), "-"),     TRUE, "0")</f>
        <v>0</v>
      </c>
      <c r="BD191" s="588">
        <f>IF(BC$9&gt;0, IF(OR(BC191="",BC191="-"), 0, BC191*$AT191), BB191*$AJ191)</f>
        <v>0</v>
      </c>
      <c r="BE191" s="587">
        <f>[1]COMMANDE!U189</f>
        <v>0</v>
      </c>
      <c r="BF191" s="586" t="str">
        <f>_xlfn.IFS(AND($AI191=$AM191,$AI191&gt;0,$AM191&gt;0,BE191&gt;0), BE191,     AND(NOT($AI191=$AM191),$AI191&gt;0,$AM191&gt;0,BE191&gt;0), ($AM191*BE191)/$AI191,     AND($AI191=0,$AM191&gt;0,$AQ191&gt;0), IF(INDEX(BE$12:BE$263,MATCH($AQ191,$AP$12:$AP$263,0))&gt;0,($AM191*INDEX(BE$12:BE$263,MATCH($AQ191,$AP$12:$AP$263,0)))/INDEX($AI$12:$AI$263,MATCH($AQ191,$AP$12:$AP$263,0)), "-"),     TRUE, "0")</f>
        <v>0</v>
      </c>
      <c r="BG191" s="607">
        <f>IF(BF$9&gt;0, IF(OR(BF191="",BF191="-"), 0, BF191*$AT191), BE191*$AJ191)</f>
        <v>0</v>
      </c>
      <c r="BH191" s="589">
        <f>[1]COMMANDE!W189</f>
        <v>0</v>
      </c>
      <c r="BI191" s="586" t="str">
        <f>_xlfn.IFS(AND($AI191=$AM191,$AI191&gt;0,$AM191&gt;0,BH191&gt;0), BH191,     AND(NOT($AI191=$AM191),$AI191&gt;0,$AM191&gt;0,BH191&gt;0), ($AM191*BH191)/$AI191,     AND($AI191=0,$AM191&gt;0,$AQ191&gt;0), IF(INDEX(BH$12:BH$263,MATCH($AQ191,$AP$12:$AP$263,0))&gt;0,($AM191*INDEX(BH$12:BH$263,MATCH($AQ191,$AP$12:$AP$263,0)))/INDEX($AI$12:$AI$263,MATCH($AQ191,$AP$12:$AP$263,0)), "-"),     TRUE, "0")</f>
        <v>0</v>
      </c>
      <c r="BJ191" s="588">
        <f>IF(BI$9&gt;0, IF(OR(BI191="",BI191="-"), 0, BI191*$AT191), BH191*$AJ191)</f>
        <v>0</v>
      </c>
      <c r="BK191" s="587">
        <f>[1]COMMANDE!Y189</f>
        <v>0</v>
      </c>
      <c r="BL191" s="586" t="str">
        <f>_xlfn.IFS(AND($AI191=$AM191,$AI191&gt;0,$AM191&gt;0,BK191&gt;0), BK191,     AND(NOT($AI191=$AM191),$AI191&gt;0,$AM191&gt;0,BK191&gt;0), ($AM191*BK191)/$AI191,     AND($AI191=0,$AM191&gt;0,$AQ191&gt;0), IF(INDEX(BK$12:BK$263,MATCH($AQ191,$AP$12:$AP$263,0))&gt;0,($AM191*INDEX(BK$12:BK$263,MATCH($AQ191,$AP$12:$AP$263,0)))/INDEX($AI$12:$AI$263,MATCH($AQ191,$AP$12:$AP$263,0)), "-"),     TRUE, "0")</f>
        <v>0</v>
      </c>
      <c r="BM191" s="607">
        <f>IF(BL$9&gt;0, IF(OR(BL191="",BL191="-"), 0, BL191*$AT191), BK191*$AJ191)</f>
        <v>0</v>
      </c>
      <c r="BN191" s="589">
        <f>[1]COMMANDE!AA189</f>
        <v>0</v>
      </c>
      <c r="BO191" s="586" t="str">
        <f>_xlfn.IFS(AND($AI191=$AM191,$AI191&gt;0,$AM191&gt;0,BN191&gt;0), BN191,     AND(NOT($AI191=$AM191),$AI191&gt;0,$AM191&gt;0,BN191&gt;0), ($AM191*BN191)/$AI191,     AND($AI191=0,$AM191&gt;0,$AQ191&gt;0), IF(INDEX(BN$12:BN$263,MATCH($AQ191,$AP$12:$AP$263,0))&gt;0,($AM191*INDEX(BN$12:BN$263,MATCH($AQ191,$AP$12:$AP$263,0)))/INDEX($AI$12:$AI$263,MATCH($AQ191,$AP$12:$AP$263,0)), "-"),     TRUE, "0")</f>
        <v>0</v>
      </c>
      <c r="BP191" s="588">
        <f>IF(BO$9&gt;0, IF(OR(BO191="",BO191="-"), 0, BO191*$AT191), BN191*$AJ191)</f>
        <v>0</v>
      </c>
      <c r="BQ191" s="587">
        <f>[1]COMMANDE!AC189</f>
        <v>0</v>
      </c>
      <c r="BR191" s="586" t="str">
        <f>_xlfn.IFS(AND($AI191=$AM191,$AI191&gt;0,$AM191&gt;0,BQ191&gt;0), BQ191,     AND(NOT($AI191=$AM191),$AI191&gt;0,$AM191&gt;0,BQ191&gt;0), ($AM191*BQ191)/$AI191,     AND($AI191=0,$AM191&gt;0,$AQ191&gt;0), IF(INDEX(BQ$12:BQ$263,MATCH($AQ191,$AP$12:$AP$263,0))&gt;0,($AM191*INDEX(BQ$12:BQ$263,MATCH($AQ191,$AP$12:$AP$263,0)))/INDEX($AI$12:$AI$263,MATCH($AQ191,$AP$12:$AP$263,0)), "-"),     TRUE, "0")</f>
        <v>0</v>
      </c>
      <c r="BS191" s="607">
        <f>IF(BR$9&gt;0, IF(OR(BR191="",BR191="-"), 0, BR191*$AT191), BQ191*$AJ191)</f>
        <v>0</v>
      </c>
      <c r="BT191" s="589">
        <f>[1]COMMANDE!AE189</f>
        <v>0</v>
      </c>
      <c r="BU191" s="586" t="str">
        <f>_xlfn.IFS(AND($AI191=$AM191,$AI191&gt;0,$AM191&gt;0,BT191&gt;0), BT191,     AND(NOT($AI191=$AM191),$AI191&gt;0,$AM191&gt;0,BT191&gt;0), ($AM191*BT191)/$AI191,     AND($AI191=0,$AM191&gt;0,$AQ191&gt;0), IF(INDEX(BT$12:BT$263,MATCH($AQ191,$AP$12:$AP$263,0))&gt;0,($AM191*INDEX(BT$12:BT$263,MATCH($AQ191,$AP$12:$AP$263,0)))/INDEX($AI$12:$AI$263,MATCH($AQ191,$AP$12:$AP$263,0)), "-"),     TRUE, "0")</f>
        <v>0</v>
      </c>
      <c r="BV191" s="588">
        <f>IF(BU$9&gt;0, IF(OR(BU191="",BU191="-"), 0, BU191*$AT191), BT191*$AJ191)</f>
        <v>0</v>
      </c>
      <c r="BW191" s="587">
        <f>[1]COMMANDE!AG189</f>
        <v>0</v>
      </c>
      <c r="BX191" s="586" t="str">
        <f>_xlfn.IFS(AND($AI191=$AM191,$AI191&gt;0,$AM191&gt;0,BW191&gt;0), BW191,     AND(NOT($AI191=$AM191),$AI191&gt;0,$AM191&gt;0,BW191&gt;0), ($AM191*BW191)/$AI191,     AND($AI191=0,$AM191&gt;0,$AQ191&gt;0), IF(INDEX(BW$12:BW$263,MATCH($AQ191,$AP$12:$AP$263,0))&gt;0,($AM191*INDEX(BW$12:BW$263,MATCH($AQ191,$AP$12:$AP$263,0)))/INDEX($AI$12:$AI$263,MATCH($AQ191,$AP$12:$AP$263,0)), "-"),     TRUE, "0")</f>
        <v>0</v>
      </c>
      <c r="BY191" s="607">
        <f>IF(BX$9&gt;0, IF(OR(BX191="",BX191="-"), 0, BX191*$AT191), BW191*$AJ191)</f>
        <v>0</v>
      </c>
      <c r="BZ191" s="589">
        <f>[1]COMMANDE!AI189</f>
        <v>0</v>
      </c>
      <c r="CA191" s="586" t="str">
        <f>_xlfn.IFS(AND($AI191=$AM191,$AI191&gt;0,$AM191&gt;0,BZ191&gt;0), BZ191,     AND(NOT($AI191=$AM191),$AI191&gt;0,$AM191&gt;0,BZ191&gt;0), ($AM191*BZ191)/$AI191,     AND($AI191=0,$AM191&gt;0,$AQ191&gt;0), IF(INDEX(BZ$12:BZ$263,MATCH($AQ191,$AP$12:$AP$263,0))&gt;0,($AM191*INDEX(BZ$12:BZ$263,MATCH($AQ191,$AP$12:$AP$263,0)))/INDEX($AI$12:$AI$263,MATCH($AQ191,$AP$12:$AP$263,0)), "-"),     TRUE, "0")</f>
        <v>0</v>
      </c>
      <c r="CB191" s="588">
        <f>IF(CA$9&gt;0, IF(OR(CA191="",CA191="-"), 0, CA191*$AT191), BZ191*$AJ191)</f>
        <v>0</v>
      </c>
      <c r="CC191" s="587">
        <f>[1]COMMANDE!AK189</f>
        <v>0</v>
      </c>
      <c r="CD191" s="586" t="str">
        <f>_xlfn.IFS(AND($AI191=$AM191,$AI191&gt;0,$AM191&gt;0,CC191&gt;0), CC191,     AND(NOT($AI191=$AM191),$AI191&gt;0,$AM191&gt;0,CC191&gt;0), ($AM191*CC191)/$AI191,     AND($AI191=0,$AM191&gt;0,$AQ191&gt;0), IF(INDEX(CC$12:CC$263,MATCH($AQ191,$AP$12:$AP$263,0))&gt;0,($AM191*INDEX(CC$12:CC$263,MATCH($AQ191,$AP$12:$AP$263,0)))/INDEX($AI$12:$AI$263,MATCH($AQ191,$AP$12:$AP$263,0)), "-"),     TRUE, "0")</f>
        <v>0</v>
      </c>
      <c r="CE191" s="607">
        <f>IF(CD$9&gt;0, IF(OR(CD191="",CD191="-"), 0, CD191*$AT191), CC191*$AJ191)</f>
        <v>0</v>
      </c>
      <c r="CF191" s="589">
        <f>[1]COMMANDE!AM189</f>
        <v>0</v>
      </c>
      <c r="CG191" s="586" t="str">
        <f>_xlfn.IFS(AND($AI191=$AM191,$AI191&gt;0,$AM191&gt;0,CF191&gt;0), CF191,     AND(NOT($AI191=$AM191),$AI191&gt;0,$AM191&gt;0,CF191&gt;0), ($AM191*CF191)/$AI191,     AND($AI191=0,$AM191&gt;0,$AQ191&gt;0), IF(INDEX(CF$12:CF$263,MATCH($AQ191,$AP$12:$AP$263,0))&gt;0,($AM191*INDEX(CF$12:CF$263,MATCH($AQ191,$AP$12:$AP$263,0)))/INDEX($AI$12:$AI$263,MATCH($AQ191,$AP$12:$AP$263,0)), "-"),     TRUE, "0")</f>
        <v>0</v>
      </c>
      <c r="CH191" s="588">
        <f>IF(CG$9&gt;0, IF(OR(CG191="",CG191="-"), 0, CG191*$AT191), CF191*$AJ191)</f>
        <v>0</v>
      </c>
      <c r="CI191" s="587">
        <f>[1]COMMANDE!AO189</f>
        <v>0</v>
      </c>
      <c r="CJ191" s="586" t="str">
        <f>_xlfn.IFS(AND($AI191=$AM191,$AI191&gt;0,$AM191&gt;0,CI191&gt;0), CI191,     AND(NOT($AI191=$AM191),$AI191&gt;0,$AM191&gt;0,CI191&gt;0), ($AM191*CI191)/$AI191,     AND($AI191=0,$AM191&gt;0,$AQ191&gt;0), IF(INDEX(CI$12:CI$263,MATCH($AQ191,$AP$12:$AP$263,0))&gt;0,($AM191*INDEX(CI$12:CI$263,MATCH($AQ191,$AP$12:$AP$263,0)))/INDEX($AI$12:$AI$263,MATCH($AQ191,$AP$12:$AP$263,0)), "-"),     TRUE, "0")</f>
        <v>0</v>
      </c>
      <c r="CK191" s="607">
        <f>IF(CJ$9&gt;0, IF(OR(CJ191="",CJ191="-"), 0, CJ191*$AT191), CI191*$AJ191)</f>
        <v>0</v>
      </c>
      <c r="CL191" s="589">
        <f>[1]COMMANDE!AQ189</f>
        <v>0</v>
      </c>
      <c r="CM191" s="586" t="str">
        <f>_xlfn.IFS(AND($AI191=$AM191,$AI191&gt;0,$AM191&gt;0,CL191&gt;0), CL191,     AND(NOT($AI191=$AM191),$AI191&gt;0,$AM191&gt;0,CL191&gt;0), ($AM191*CL191)/$AI191,     AND($AI191=0,$AM191&gt;0,$AQ191&gt;0), IF(INDEX(CL$12:CL$263,MATCH($AQ191,$AP$12:$AP$263,0))&gt;0,($AM191*INDEX(CL$12:CL$263,MATCH($AQ191,$AP$12:$AP$263,0)))/INDEX($AI$12:$AI$263,MATCH($AQ191,$AP$12:$AP$263,0)), "-"),     TRUE, "0")</f>
        <v>0</v>
      </c>
      <c r="CN191" s="588">
        <f>IF(CM$9&gt;0, IF(OR(CM191="",CM191="-"), 0, CM191*$AT191), CL191*$AJ191)</f>
        <v>0</v>
      </c>
      <c r="CO191" s="587">
        <f>[1]COMMANDE!AS189</f>
        <v>0</v>
      </c>
      <c r="CP191" s="586" t="str">
        <f>_xlfn.IFS(AND($AI191=$AM191,$AI191&gt;0,$AM191&gt;0,CO191&gt;0), CO191,     AND(NOT($AI191=$AM191),$AI191&gt;0,$AM191&gt;0,CO191&gt;0), ($AM191*CO191)/$AI191,     AND($AI191=0,$AM191&gt;0,$AQ191&gt;0), IF(INDEX(CO$12:CO$263,MATCH($AQ191,$AP$12:$AP$263,0))&gt;0,($AM191*INDEX(CO$12:CO$263,MATCH($AQ191,$AP$12:$AP$263,0)))/INDEX($AI$12:$AI$263,MATCH($AQ191,$AP$12:$AP$263,0)), "-"),     TRUE, "0")</f>
        <v>0</v>
      </c>
      <c r="CQ191" s="607">
        <f>IF(CP$9&gt;0, IF(OR(CP191="",CP191="-"), 0, CP191*$AT191), CO191*$AJ191)</f>
        <v>0</v>
      </c>
      <c r="CR191" s="589">
        <f>[1]COMMANDE!AU189</f>
        <v>0</v>
      </c>
      <c r="CS191" s="586" t="str">
        <f>_xlfn.IFS(AND($AI191=$AM191,$AI191&gt;0,$AM191&gt;0,CR191&gt;0), CR191,     AND(NOT($AI191=$AM191),$AI191&gt;0,$AM191&gt;0,CR191&gt;0), ($AM191*CR191)/$AI191,     AND($AI191=0,$AM191&gt;0,$AQ191&gt;0), IF(INDEX(CR$12:CR$263,MATCH($AQ191,$AP$12:$AP$263,0))&gt;0,($AM191*INDEX(CR$12:CR$263,MATCH($AQ191,$AP$12:$AP$263,0)))/INDEX($AI$12:$AI$263,MATCH($AQ191,$AP$12:$AP$263,0)), "-"),     TRUE, "0")</f>
        <v>0</v>
      </c>
      <c r="CT191" s="588">
        <f>IF(CS$9&gt;0, IF(OR(CS191="",CS191="-"), 0, CS191*$AT191), CR191*$AJ191)</f>
        <v>0</v>
      </c>
      <c r="CU191" s="587">
        <f>[1]COMMANDE!AW189</f>
        <v>0</v>
      </c>
      <c r="CV191" s="586" t="str">
        <f>_xlfn.IFS(AND($AI191=$AM191,$AI191&gt;0,$AM191&gt;0,CU191&gt;0), CU191,     AND(NOT($AI191=$AM191),$AI191&gt;0,$AM191&gt;0,CU191&gt;0), ($AM191*CU191)/$AI191,     AND($AI191=0,$AM191&gt;0,$AQ191&gt;0), IF(INDEX(CU$12:CU$263,MATCH($AQ191,$AP$12:$AP$263,0))&gt;0,($AM191*INDEX(CU$12:CU$263,MATCH($AQ191,$AP$12:$AP$263,0)))/INDEX($AI$12:$AI$263,MATCH($AQ191,$AP$12:$AP$263,0)), "-"),     TRUE, "0")</f>
        <v>0</v>
      </c>
      <c r="CW191" s="607">
        <f>IF(CV$9&gt;0, IF(OR(CV191="",CV191="-"), 0, CV191*$AT191), CU191*$AJ191)</f>
        <v>0</v>
      </c>
      <c r="CX191" s="589">
        <f>[1]COMMANDE!AY189</f>
        <v>0</v>
      </c>
      <c r="CY191" s="586" t="str">
        <f>_xlfn.IFS(AND($AI191=$AM191,$AI191&gt;0,$AM191&gt;0,CX191&gt;0), CX191,     AND(NOT($AI191=$AM191),$AI191&gt;0,$AM191&gt;0,CX191&gt;0), ($AM191*CX191)/$AI191,     AND($AI191=0,$AM191&gt;0,$AQ191&gt;0), IF(INDEX(CX$12:CX$263,MATCH($AQ191,$AP$12:$AP$263,0))&gt;0,($AM191*INDEX(CX$12:CX$263,MATCH($AQ191,$AP$12:$AP$263,0)))/INDEX($AI$12:$AI$263,MATCH($AQ191,$AP$12:$AP$263,0)), "-"),     TRUE, "0")</f>
        <v>0</v>
      </c>
      <c r="CZ191" s="588">
        <f>IF(CY$9&gt;0, IF(OR(CY191="",CY191="-"), 0, CY191*$AT191), CX191*$AJ191)</f>
        <v>0</v>
      </c>
      <c r="DA191" s="587">
        <f>[1]COMMANDE!BA189</f>
        <v>0</v>
      </c>
      <c r="DB191" s="586" t="str">
        <f>_xlfn.IFS(AND($AI191=$AM191,$AI191&gt;0,$AM191&gt;0,DA191&gt;0), DA191,     AND(NOT($AI191=$AM191),$AI191&gt;0,$AM191&gt;0,DA191&gt;0), ($AM191*DA191)/$AI191,     AND($AI191=0,$AM191&gt;0,$AQ191&gt;0), IF(INDEX(DA$12:DA$263,MATCH($AQ191,$AP$12:$AP$263,0))&gt;0,($AM191*INDEX(DA$12:DA$263,MATCH($AQ191,$AP$12:$AP$263,0)))/INDEX($AI$12:$AI$263,MATCH($AQ191,$AP$12:$AP$263,0)), "-"),     TRUE, "0")</f>
        <v>0</v>
      </c>
      <c r="DC191" s="606">
        <f>IF(DB$9&gt;0, IF(OR(DB191="",DB191="-"), 0, DB191*$AT191), DA191*$AJ191)</f>
        <v>0</v>
      </c>
      <c r="DD191" s="584"/>
      <c r="DE191" s="583"/>
    </row>
    <row r="192" spans="1:109" ht="39.950000000000003" hidden="1" customHeight="1">
      <c r="A192" s="604">
        <f>IF(OR($AV192&gt;0, $AX192&gt;0), 1, 0)</f>
        <v>0</v>
      </c>
      <c r="B192" s="604">
        <f>IF(OR($AY192&gt;0, $BA192&gt;0), 1, 0)</f>
        <v>0</v>
      </c>
      <c r="C192" s="604">
        <f>IF(OR($BB192&gt;0, $BD192&gt;0), 1, 0)</f>
        <v>0</v>
      </c>
      <c r="D192" s="604">
        <f>IF(OR($BE192&gt;0, $BG192&gt;0), 1, 0)</f>
        <v>0</v>
      </c>
      <c r="E192" s="604">
        <f>IF(OR($BH192&gt;0, $BJ192&gt;0), 1, 0)</f>
        <v>0</v>
      </c>
      <c r="F192" s="604">
        <f>IF(OR($BK192&gt;0, $BM192&gt;0), 1, 0)</f>
        <v>0</v>
      </c>
      <c r="G192" s="604">
        <f>IF(OR($BN192&gt;0, $BP192&gt;0), 1, 0)</f>
        <v>0</v>
      </c>
      <c r="H192" s="604">
        <f>IF(OR($BQ192&gt;0, $BS192&gt;0), 1, 0)</f>
        <v>0</v>
      </c>
      <c r="I192" s="604">
        <f>IF(OR($BT192&gt;0, $BV192&gt;0), 1, 0)</f>
        <v>0</v>
      </c>
      <c r="J192" s="604">
        <f>IF(OR($BW192&gt;0, $BY192&gt;0), 1, 0)</f>
        <v>0</v>
      </c>
      <c r="K192" s="604">
        <f>IF(OR($BZ192&gt;0, $CB192&gt;0), 1, 0)</f>
        <v>0</v>
      </c>
      <c r="L192" s="604">
        <f>IF(OR($CC192&gt;0, $CE192&gt;0), 1, 0)</f>
        <v>0</v>
      </c>
      <c r="M192" s="604">
        <f>IF(OR($CF192&gt;0, $CH192&gt;0), 1, 0)</f>
        <v>0</v>
      </c>
      <c r="N192" s="604">
        <f>IF(OR($CI192&gt;0, $CK192&gt;0), 1, 0)</f>
        <v>0</v>
      </c>
      <c r="O192" s="604">
        <f>IF(OR($CL192&gt;0, $CN192&gt;0), 1, 0)</f>
        <v>0</v>
      </c>
      <c r="P192" s="604">
        <f>IF(OR($CO192&gt;0, $CQ192&gt;0), 1, 0)</f>
        <v>0</v>
      </c>
      <c r="Q192" s="604">
        <f>IF(OR($CR192&gt;0, $CT192&gt;0), 1, 0)</f>
        <v>0</v>
      </c>
      <c r="R192" s="604">
        <f>IF(OR($CU192&gt;0, $CW192&gt;0), 1, 0)</f>
        <v>0</v>
      </c>
      <c r="S192" s="604">
        <f>IF(OR($CX192&gt;0, $CZ192&gt;0), 1, 0)</f>
        <v>0</v>
      </c>
      <c r="T192" s="604">
        <f>IF(OR($DA192&gt;0, $DC192&gt;0), 1, 0)</f>
        <v>0</v>
      </c>
      <c r="U192" s="603">
        <f>IF(OR($AI192&gt;0,$AM192&gt;0,$AS192&gt;0), 1, 0)</f>
        <v>0</v>
      </c>
      <c r="V192" s="602">
        <f>[1]BDD!A182</f>
        <v>6005</v>
      </c>
      <c r="W192" s="601" t="str">
        <f>[1]BDD!B182</f>
        <v>Noix de Pécan sans coque BIO (env. 1kg)</v>
      </c>
      <c r="X192" s="600" t="str">
        <f>IF([1]BDD!F182=0, "", [1]BDD!F182)</f>
        <v>❤️</v>
      </c>
      <c r="Y192" s="542">
        <f>ROUND([1]BDD!G182+FDP_CMD_KG, 2)</f>
        <v>36.46</v>
      </c>
      <c r="Z192" s="542">
        <f>ROUND([1]BDD!G182+FDP_FACT_KG, 2)</f>
        <v>36.46</v>
      </c>
      <c r="AA192" s="543" t="str">
        <f>[1]BDD!H182</f>
        <v>Pièce</v>
      </c>
      <c r="AB192" s="544">
        <f>IF(NOT(ISBLANK([1]BDD!I182)), ROUND(SUM(([1]BDD!G182*reduc1),FDP_CMD_KG), 2), "")</f>
        <v>32.9</v>
      </c>
      <c r="AC192" s="544" t="str">
        <f>IF(NOT(ISBLANK([1]BDD!J182)), ROUND(SUM(([1]BDD!G182*reduc2),FDP_CMD_KG), 2), "")</f>
        <v/>
      </c>
      <c r="AD192" s="544" t="str">
        <f>IF(NOT(ISBLANK([1]BDD!K182)), ROUND(SUM(([1]BDD!G182*reduc3),FDP_CMD_KG), 2), "")</f>
        <v/>
      </c>
      <c r="AE192" s="544">
        <f>IF(NOT(ISBLANK([1]BDD!I182)), ROUND(SUM(([1]BDD!G182*reduc1),FDP_FACT_KG), 2), "")</f>
        <v>32.9</v>
      </c>
      <c r="AF192" s="544" t="str">
        <f>IF(NOT(ISBLANK([1]BDD!J182)), ROUND(SUM(([1]BDD!G182*reduc2),FDP_FACT_KG), 2), "")</f>
        <v/>
      </c>
      <c r="AG192" s="544" t="str">
        <f>IF(NOT(ISBLANK([1]BDD!K182)), ROUND(SUM(([1]BDD!G182*reduc3),FDP_FACT_KG), 2), "")</f>
        <v/>
      </c>
      <c r="AH192" s="599" t="str">
        <f>[1]BDD!C182</f>
        <v>Mexique</v>
      </c>
      <c r="AI192" s="598">
        <f>SUM(AV192,AY192,BB192,BE192,BH192,BK192,BN192,BQ192,BT192,BW192,BZ192,CC192,CF192,CI192,CL192,CO192,CR192,CU192,CX192,DA192)</f>
        <v>0</v>
      </c>
      <c r="AJ192" s="545">
        <f>_xlfn.IFS($AD192&lt;&gt;"", $AD192,    $AC192&lt;&gt;"", $AC192,    $AB192&lt;&gt;"", $AB192,    TRUE, $Y192)</f>
        <v>32.9</v>
      </c>
      <c r="AK192" s="592">
        <f>$AI192*$AJ192</f>
        <v>0</v>
      </c>
      <c r="AL192" s="594"/>
      <c r="AM192" s="597"/>
      <c r="AN192" s="545">
        <f>_xlfn.IFS(AND(AM192&gt;=60,$AG192&lt;&gt;""), $AG192,    AND(AM192&gt;=30,$AF192&lt;&gt;""), $AF192,    AND(AM192&gt;=10,$AE192&lt;&gt;""), $AE192,    TRUE, $Z192)</f>
        <v>36.46</v>
      </c>
      <c r="AO192" s="596">
        <f>AM192*AN192</f>
        <v>0</v>
      </c>
      <c r="AP192" s="595"/>
      <c r="AQ192" s="595"/>
      <c r="AR192" s="594"/>
      <c r="AS192" s="593">
        <f>SUM(AW192,AZ192,BC192,BF192,BI192,BL192,BO192,BR192,BU192,BX192,CA192,CD192,CG192,CJ192,CM192,CP192,CS192,CV192,CY192,DB192)</f>
        <v>0</v>
      </c>
      <c r="AT192" s="545">
        <f>_xlfn.IFS(AND(AS192&gt;=60,$AG192&lt;&gt;""), $AG192,    AND(AS192&gt;=30,$AF192&lt;&gt;""), $AF192,    AND(AS192&gt;=10,$AE192&lt;&gt;""), $AE192,    TRUE, $Z192)</f>
        <v>36.46</v>
      </c>
      <c r="AU192" s="592">
        <f>$AS192*$AT192</f>
        <v>0</v>
      </c>
      <c r="AV192" s="591">
        <f>[1]COMMANDE!O190</f>
        <v>0</v>
      </c>
      <c r="AW192" s="586" t="str">
        <f>_xlfn.IFS(AND($AI192=$AM192,$AI192&gt;0,$AM192&gt;0,AV192&gt;0), AV192,     AND(NOT($AI192=$AM192),$AI192&gt;0,$AM192&gt;0,AV192&gt;0), ($AM192*AV192)/$AI192,     AND($AI192=0,$AM192&gt;0,$AQ192&gt;0), IF(INDEX(AV$12:AV$263,MATCH($AQ192,$AP$12:$AP$263,0))&gt;0,($AM192*INDEX(AV$12:AV$263,MATCH($AQ192,$AP$12:$AP$263,0)))/INDEX($AI$12:$AI$263,MATCH($AQ192,$AP$12:$AP$263,0)), "-"),     TRUE, "0")</f>
        <v>0</v>
      </c>
      <c r="AX192" s="588">
        <f>IF(AW$9&gt;0, IF(OR(AW192="",AW192="-"), 0, AW192*$AT192), AV192*$AJ192)</f>
        <v>0</v>
      </c>
      <c r="AY192" s="587">
        <f>[1]COMMANDE!Q190</f>
        <v>0</v>
      </c>
      <c r="AZ192" s="586" t="str">
        <f>_xlfn.IFS(AND($AI192=$AM192,$AI192&gt;0,$AM192&gt;0,AY192&gt;0), AY192,     AND(NOT($AI192=$AM192),$AI192&gt;0,$AM192&gt;0,AY192&gt;0), ($AM192*AY192)/$AI192,     AND($AI192=0,$AM192&gt;0,$AQ192&gt;0), IF(INDEX(AY$12:AY$263,MATCH($AQ192,$AP$12:$AP$263,0))&gt;0,($AM192*INDEX(AY$12:AY$263,MATCH($AQ192,$AP$12:$AP$263,0)))/INDEX($AI$12:$AI$263,MATCH($AQ192,$AP$12:$AP$263,0)), "-"),     TRUE, "0")</f>
        <v>0</v>
      </c>
      <c r="BA192" s="607">
        <f>IF(AZ$9&gt;0, IF(OR(AZ192="",AZ192="-"), 0, AZ192*$AT192), AY192*$AJ192)</f>
        <v>0</v>
      </c>
      <c r="BB192" s="589">
        <f>[1]COMMANDE!S190</f>
        <v>0</v>
      </c>
      <c r="BC192" s="586" t="str">
        <f>_xlfn.IFS(AND($AI192=$AM192,$AI192&gt;0,$AM192&gt;0,BB192&gt;0), BB192,     AND(NOT($AI192=$AM192),$AI192&gt;0,$AM192&gt;0,BB192&gt;0), ($AM192*BB192)/$AI192,     AND($AI192=0,$AM192&gt;0,$AQ192&gt;0), IF(INDEX(BB$12:BB$263,MATCH($AQ192,$AP$12:$AP$263,0))&gt;0,($AM192*INDEX(BB$12:BB$263,MATCH($AQ192,$AP$12:$AP$263,0)))/INDEX($AI$12:$AI$263,MATCH($AQ192,$AP$12:$AP$263,0)), "-"),     TRUE, "0")</f>
        <v>0</v>
      </c>
      <c r="BD192" s="588">
        <f>IF(BC$9&gt;0, IF(OR(BC192="",BC192="-"), 0, BC192*$AT192), BB192*$AJ192)</f>
        <v>0</v>
      </c>
      <c r="BE192" s="587">
        <f>[1]COMMANDE!U190</f>
        <v>0</v>
      </c>
      <c r="BF192" s="586" t="str">
        <f>_xlfn.IFS(AND($AI192=$AM192,$AI192&gt;0,$AM192&gt;0,BE192&gt;0), BE192,     AND(NOT($AI192=$AM192),$AI192&gt;0,$AM192&gt;0,BE192&gt;0), ($AM192*BE192)/$AI192,     AND($AI192=0,$AM192&gt;0,$AQ192&gt;0), IF(INDEX(BE$12:BE$263,MATCH($AQ192,$AP$12:$AP$263,0))&gt;0,($AM192*INDEX(BE$12:BE$263,MATCH($AQ192,$AP$12:$AP$263,0)))/INDEX($AI$12:$AI$263,MATCH($AQ192,$AP$12:$AP$263,0)), "-"),     TRUE, "0")</f>
        <v>0</v>
      </c>
      <c r="BG192" s="607">
        <f>IF(BF$9&gt;0, IF(OR(BF192="",BF192="-"), 0, BF192*$AT192), BE192*$AJ192)</f>
        <v>0</v>
      </c>
      <c r="BH192" s="589">
        <f>[1]COMMANDE!W190</f>
        <v>0</v>
      </c>
      <c r="BI192" s="586" t="str">
        <f>_xlfn.IFS(AND($AI192=$AM192,$AI192&gt;0,$AM192&gt;0,BH192&gt;0), BH192,     AND(NOT($AI192=$AM192),$AI192&gt;0,$AM192&gt;0,BH192&gt;0), ($AM192*BH192)/$AI192,     AND($AI192=0,$AM192&gt;0,$AQ192&gt;0), IF(INDEX(BH$12:BH$263,MATCH($AQ192,$AP$12:$AP$263,0))&gt;0,($AM192*INDEX(BH$12:BH$263,MATCH($AQ192,$AP$12:$AP$263,0)))/INDEX($AI$12:$AI$263,MATCH($AQ192,$AP$12:$AP$263,0)), "-"),     TRUE, "0")</f>
        <v>0</v>
      </c>
      <c r="BJ192" s="588">
        <f>IF(BI$9&gt;0, IF(OR(BI192="",BI192="-"), 0, BI192*$AT192), BH192*$AJ192)</f>
        <v>0</v>
      </c>
      <c r="BK192" s="587">
        <f>[1]COMMANDE!Y190</f>
        <v>0</v>
      </c>
      <c r="BL192" s="586" t="str">
        <f>_xlfn.IFS(AND($AI192=$AM192,$AI192&gt;0,$AM192&gt;0,BK192&gt;0), BK192,     AND(NOT($AI192=$AM192),$AI192&gt;0,$AM192&gt;0,BK192&gt;0), ($AM192*BK192)/$AI192,     AND($AI192=0,$AM192&gt;0,$AQ192&gt;0), IF(INDEX(BK$12:BK$263,MATCH($AQ192,$AP$12:$AP$263,0))&gt;0,($AM192*INDEX(BK$12:BK$263,MATCH($AQ192,$AP$12:$AP$263,0)))/INDEX($AI$12:$AI$263,MATCH($AQ192,$AP$12:$AP$263,0)), "-"),     TRUE, "0")</f>
        <v>0</v>
      </c>
      <c r="BM192" s="607">
        <f>IF(BL$9&gt;0, IF(OR(BL192="",BL192="-"), 0, BL192*$AT192), BK192*$AJ192)</f>
        <v>0</v>
      </c>
      <c r="BN192" s="589">
        <f>[1]COMMANDE!AA190</f>
        <v>0</v>
      </c>
      <c r="BO192" s="586" t="str">
        <f>_xlfn.IFS(AND($AI192=$AM192,$AI192&gt;0,$AM192&gt;0,BN192&gt;0), BN192,     AND(NOT($AI192=$AM192),$AI192&gt;0,$AM192&gt;0,BN192&gt;0), ($AM192*BN192)/$AI192,     AND($AI192=0,$AM192&gt;0,$AQ192&gt;0), IF(INDEX(BN$12:BN$263,MATCH($AQ192,$AP$12:$AP$263,0))&gt;0,($AM192*INDEX(BN$12:BN$263,MATCH($AQ192,$AP$12:$AP$263,0)))/INDEX($AI$12:$AI$263,MATCH($AQ192,$AP$12:$AP$263,0)), "-"),     TRUE, "0")</f>
        <v>0</v>
      </c>
      <c r="BP192" s="588">
        <f>IF(BO$9&gt;0, IF(OR(BO192="",BO192="-"), 0, BO192*$AT192), BN192*$AJ192)</f>
        <v>0</v>
      </c>
      <c r="BQ192" s="587">
        <f>[1]COMMANDE!AC190</f>
        <v>0</v>
      </c>
      <c r="BR192" s="586" t="str">
        <f>_xlfn.IFS(AND($AI192=$AM192,$AI192&gt;0,$AM192&gt;0,BQ192&gt;0), BQ192,     AND(NOT($AI192=$AM192),$AI192&gt;0,$AM192&gt;0,BQ192&gt;0), ($AM192*BQ192)/$AI192,     AND($AI192=0,$AM192&gt;0,$AQ192&gt;0), IF(INDEX(BQ$12:BQ$263,MATCH($AQ192,$AP$12:$AP$263,0))&gt;0,($AM192*INDEX(BQ$12:BQ$263,MATCH($AQ192,$AP$12:$AP$263,0)))/INDEX($AI$12:$AI$263,MATCH($AQ192,$AP$12:$AP$263,0)), "-"),     TRUE, "0")</f>
        <v>0</v>
      </c>
      <c r="BS192" s="607">
        <f>IF(BR$9&gt;0, IF(OR(BR192="",BR192="-"), 0, BR192*$AT192), BQ192*$AJ192)</f>
        <v>0</v>
      </c>
      <c r="BT192" s="589">
        <f>[1]COMMANDE!AE190</f>
        <v>0</v>
      </c>
      <c r="BU192" s="586" t="str">
        <f>_xlfn.IFS(AND($AI192=$AM192,$AI192&gt;0,$AM192&gt;0,BT192&gt;0), BT192,     AND(NOT($AI192=$AM192),$AI192&gt;0,$AM192&gt;0,BT192&gt;0), ($AM192*BT192)/$AI192,     AND($AI192=0,$AM192&gt;0,$AQ192&gt;0), IF(INDEX(BT$12:BT$263,MATCH($AQ192,$AP$12:$AP$263,0))&gt;0,($AM192*INDEX(BT$12:BT$263,MATCH($AQ192,$AP$12:$AP$263,0)))/INDEX($AI$12:$AI$263,MATCH($AQ192,$AP$12:$AP$263,0)), "-"),     TRUE, "0")</f>
        <v>0</v>
      </c>
      <c r="BV192" s="588">
        <f>IF(BU$9&gt;0, IF(OR(BU192="",BU192="-"), 0, BU192*$AT192), BT192*$AJ192)</f>
        <v>0</v>
      </c>
      <c r="BW192" s="587">
        <f>[1]COMMANDE!AG190</f>
        <v>0</v>
      </c>
      <c r="BX192" s="586" t="str">
        <f>_xlfn.IFS(AND($AI192=$AM192,$AI192&gt;0,$AM192&gt;0,BW192&gt;0), BW192,     AND(NOT($AI192=$AM192),$AI192&gt;0,$AM192&gt;0,BW192&gt;0), ($AM192*BW192)/$AI192,     AND($AI192=0,$AM192&gt;0,$AQ192&gt;0), IF(INDEX(BW$12:BW$263,MATCH($AQ192,$AP$12:$AP$263,0))&gt;0,($AM192*INDEX(BW$12:BW$263,MATCH($AQ192,$AP$12:$AP$263,0)))/INDEX($AI$12:$AI$263,MATCH($AQ192,$AP$12:$AP$263,0)), "-"),     TRUE, "0")</f>
        <v>0</v>
      </c>
      <c r="BY192" s="607">
        <f>IF(BX$9&gt;0, IF(OR(BX192="",BX192="-"), 0, BX192*$AT192), BW192*$AJ192)</f>
        <v>0</v>
      </c>
      <c r="BZ192" s="589">
        <f>[1]COMMANDE!AI190</f>
        <v>0</v>
      </c>
      <c r="CA192" s="586" t="str">
        <f>_xlfn.IFS(AND($AI192=$AM192,$AI192&gt;0,$AM192&gt;0,BZ192&gt;0), BZ192,     AND(NOT($AI192=$AM192),$AI192&gt;0,$AM192&gt;0,BZ192&gt;0), ($AM192*BZ192)/$AI192,     AND($AI192=0,$AM192&gt;0,$AQ192&gt;0), IF(INDEX(BZ$12:BZ$263,MATCH($AQ192,$AP$12:$AP$263,0))&gt;0,($AM192*INDEX(BZ$12:BZ$263,MATCH($AQ192,$AP$12:$AP$263,0)))/INDEX($AI$12:$AI$263,MATCH($AQ192,$AP$12:$AP$263,0)), "-"),     TRUE, "0")</f>
        <v>0</v>
      </c>
      <c r="CB192" s="588">
        <f>IF(CA$9&gt;0, IF(OR(CA192="",CA192="-"), 0, CA192*$AT192), BZ192*$AJ192)</f>
        <v>0</v>
      </c>
      <c r="CC192" s="587">
        <f>[1]COMMANDE!AK190</f>
        <v>0</v>
      </c>
      <c r="CD192" s="586" t="str">
        <f>_xlfn.IFS(AND($AI192=$AM192,$AI192&gt;0,$AM192&gt;0,CC192&gt;0), CC192,     AND(NOT($AI192=$AM192),$AI192&gt;0,$AM192&gt;0,CC192&gt;0), ($AM192*CC192)/$AI192,     AND($AI192=0,$AM192&gt;0,$AQ192&gt;0), IF(INDEX(CC$12:CC$263,MATCH($AQ192,$AP$12:$AP$263,0))&gt;0,($AM192*INDEX(CC$12:CC$263,MATCH($AQ192,$AP$12:$AP$263,0)))/INDEX($AI$12:$AI$263,MATCH($AQ192,$AP$12:$AP$263,0)), "-"),     TRUE, "0")</f>
        <v>0</v>
      </c>
      <c r="CE192" s="607">
        <f>IF(CD$9&gt;0, IF(OR(CD192="",CD192="-"), 0, CD192*$AT192), CC192*$AJ192)</f>
        <v>0</v>
      </c>
      <c r="CF192" s="589">
        <f>[1]COMMANDE!AM190</f>
        <v>0</v>
      </c>
      <c r="CG192" s="586" t="str">
        <f>_xlfn.IFS(AND($AI192=$AM192,$AI192&gt;0,$AM192&gt;0,CF192&gt;0), CF192,     AND(NOT($AI192=$AM192),$AI192&gt;0,$AM192&gt;0,CF192&gt;0), ($AM192*CF192)/$AI192,     AND($AI192=0,$AM192&gt;0,$AQ192&gt;0), IF(INDEX(CF$12:CF$263,MATCH($AQ192,$AP$12:$AP$263,0))&gt;0,($AM192*INDEX(CF$12:CF$263,MATCH($AQ192,$AP$12:$AP$263,0)))/INDEX($AI$12:$AI$263,MATCH($AQ192,$AP$12:$AP$263,0)), "-"),     TRUE, "0")</f>
        <v>0</v>
      </c>
      <c r="CH192" s="588">
        <f>IF(CG$9&gt;0, IF(OR(CG192="",CG192="-"), 0, CG192*$AT192), CF192*$AJ192)</f>
        <v>0</v>
      </c>
      <c r="CI192" s="587">
        <f>[1]COMMANDE!AO190</f>
        <v>0</v>
      </c>
      <c r="CJ192" s="586" t="str">
        <f>_xlfn.IFS(AND($AI192=$AM192,$AI192&gt;0,$AM192&gt;0,CI192&gt;0), CI192,     AND(NOT($AI192=$AM192),$AI192&gt;0,$AM192&gt;0,CI192&gt;0), ($AM192*CI192)/$AI192,     AND($AI192=0,$AM192&gt;0,$AQ192&gt;0), IF(INDEX(CI$12:CI$263,MATCH($AQ192,$AP$12:$AP$263,0))&gt;0,($AM192*INDEX(CI$12:CI$263,MATCH($AQ192,$AP$12:$AP$263,0)))/INDEX($AI$12:$AI$263,MATCH($AQ192,$AP$12:$AP$263,0)), "-"),     TRUE, "0")</f>
        <v>0</v>
      </c>
      <c r="CK192" s="607">
        <f>IF(CJ$9&gt;0, IF(OR(CJ192="",CJ192="-"), 0, CJ192*$AT192), CI192*$AJ192)</f>
        <v>0</v>
      </c>
      <c r="CL192" s="589">
        <f>[1]COMMANDE!AQ190</f>
        <v>0</v>
      </c>
      <c r="CM192" s="586" t="str">
        <f>_xlfn.IFS(AND($AI192=$AM192,$AI192&gt;0,$AM192&gt;0,CL192&gt;0), CL192,     AND(NOT($AI192=$AM192),$AI192&gt;0,$AM192&gt;0,CL192&gt;0), ($AM192*CL192)/$AI192,     AND($AI192=0,$AM192&gt;0,$AQ192&gt;0), IF(INDEX(CL$12:CL$263,MATCH($AQ192,$AP$12:$AP$263,0))&gt;0,($AM192*INDEX(CL$12:CL$263,MATCH($AQ192,$AP$12:$AP$263,0)))/INDEX($AI$12:$AI$263,MATCH($AQ192,$AP$12:$AP$263,0)), "-"),     TRUE, "0")</f>
        <v>0</v>
      </c>
      <c r="CN192" s="588">
        <f>IF(CM$9&gt;0, IF(OR(CM192="",CM192="-"), 0, CM192*$AT192), CL192*$AJ192)</f>
        <v>0</v>
      </c>
      <c r="CO192" s="587">
        <f>[1]COMMANDE!AS190</f>
        <v>0</v>
      </c>
      <c r="CP192" s="586" t="str">
        <f>_xlfn.IFS(AND($AI192=$AM192,$AI192&gt;0,$AM192&gt;0,CO192&gt;0), CO192,     AND(NOT($AI192=$AM192),$AI192&gt;0,$AM192&gt;0,CO192&gt;0), ($AM192*CO192)/$AI192,     AND($AI192=0,$AM192&gt;0,$AQ192&gt;0), IF(INDEX(CO$12:CO$263,MATCH($AQ192,$AP$12:$AP$263,0))&gt;0,($AM192*INDEX(CO$12:CO$263,MATCH($AQ192,$AP$12:$AP$263,0)))/INDEX($AI$12:$AI$263,MATCH($AQ192,$AP$12:$AP$263,0)), "-"),     TRUE, "0")</f>
        <v>0</v>
      </c>
      <c r="CQ192" s="607">
        <f>IF(CP$9&gt;0, IF(OR(CP192="",CP192="-"), 0, CP192*$AT192), CO192*$AJ192)</f>
        <v>0</v>
      </c>
      <c r="CR192" s="589">
        <f>[1]COMMANDE!AU190</f>
        <v>0</v>
      </c>
      <c r="CS192" s="586" t="str">
        <f>_xlfn.IFS(AND($AI192=$AM192,$AI192&gt;0,$AM192&gt;0,CR192&gt;0), CR192,     AND(NOT($AI192=$AM192),$AI192&gt;0,$AM192&gt;0,CR192&gt;0), ($AM192*CR192)/$AI192,     AND($AI192=0,$AM192&gt;0,$AQ192&gt;0), IF(INDEX(CR$12:CR$263,MATCH($AQ192,$AP$12:$AP$263,0))&gt;0,($AM192*INDEX(CR$12:CR$263,MATCH($AQ192,$AP$12:$AP$263,0)))/INDEX($AI$12:$AI$263,MATCH($AQ192,$AP$12:$AP$263,0)), "-"),     TRUE, "0")</f>
        <v>0</v>
      </c>
      <c r="CT192" s="588">
        <f>IF(CS$9&gt;0, IF(OR(CS192="",CS192="-"), 0, CS192*$AT192), CR192*$AJ192)</f>
        <v>0</v>
      </c>
      <c r="CU192" s="587">
        <f>[1]COMMANDE!AW190</f>
        <v>0</v>
      </c>
      <c r="CV192" s="586" t="str">
        <f>_xlfn.IFS(AND($AI192=$AM192,$AI192&gt;0,$AM192&gt;0,CU192&gt;0), CU192,     AND(NOT($AI192=$AM192),$AI192&gt;0,$AM192&gt;0,CU192&gt;0), ($AM192*CU192)/$AI192,     AND($AI192=0,$AM192&gt;0,$AQ192&gt;0), IF(INDEX(CU$12:CU$263,MATCH($AQ192,$AP$12:$AP$263,0))&gt;0,($AM192*INDEX(CU$12:CU$263,MATCH($AQ192,$AP$12:$AP$263,0)))/INDEX($AI$12:$AI$263,MATCH($AQ192,$AP$12:$AP$263,0)), "-"),     TRUE, "0")</f>
        <v>0</v>
      </c>
      <c r="CW192" s="607">
        <f>IF(CV$9&gt;0, IF(OR(CV192="",CV192="-"), 0, CV192*$AT192), CU192*$AJ192)</f>
        <v>0</v>
      </c>
      <c r="CX192" s="589">
        <f>[1]COMMANDE!AY190</f>
        <v>0</v>
      </c>
      <c r="CY192" s="586" t="str">
        <f>_xlfn.IFS(AND($AI192=$AM192,$AI192&gt;0,$AM192&gt;0,CX192&gt;0), CX192,     AND(NOT($AI192=$AM192),$AI192&gt;0,$AM192&gt;0,CX192&gt;0), ($AM192*CX192)/$AI192,     AND($AI192=0,$AM192&gt;0,$AQ192&gt;0), IF(INDEX(CX$12:CX$263,MATCH($AQ192,$AP$12:$AP$263,0))&gt;0,($AM192*INDEX(CX$12:CX$263,MATCH($AQ192,$AP$12:$AP$263,0)))/INDEX($AI$12:$AI$263,MATCH($AQ192,$AP$12:$AP$263,0)), "-"),     TRUE, "0")</f>
        <v>0</v>
      </c>
      <c r="CZ192" s="588">
        <f>IF(CY$9&gt;0, IF(OR(CY192="",CY192="-"), 0, CY192*$AT192), CX192*$AJ192)</f>
        <v>0</v>
      </c>
      <c r="DA192" s="587">
        <f>[1]COMMANDE!BA190</f>
        <v>0</v>
      </c>
      <c r="DB192" s="586" t="str">
        <f>_xlfn.IFS(AND($AI192=$AM192,$AI192&gt;0,$AM192&gt;0,DA192&gt;0), DA192,     AND(NOT($AI192=$AM192),$AI192&gt;0,$AM192&gt;0,DA192&gt;0), ($AM192*DA192)/$AI192,     AND($AI192=0,$AM192&gt;0,$AQ192&gt;0), IF(INDEX(DA$12:DA$263,MATCH($AQ192,$AP$12:$AP$263,0))&gt;0,($AM192*INDEX(DA$12:DA$263,MATCH($AQ192,$AP$12:$AP$263,0)))/INDEX($AI$12:$AI$263,MATCH($AQ192,$AP$12:$AP$263,0)), "-"),     TRUE, "0")</f>
        <v>0</v>
      </c>
      <c r="DC192" s="606">
        <f>IF(DB$9&gt;0, IF(OR(DB192="",DB192="-"), 0, DB192*$AT192), DA192*$AJ192)</f>
        <v>0</v>
      </c>
      <c r="DD192" s="584"/>
      <c r="DE192" s="583"/>
    </row>
    <row r="193" spans="1:109" ht="39.950000000000003" hidden="1" customHeight="1">
      <c r="A193" s="604">
        <f>IF(OR($AV193&gt;0, $AX193&gt;0), 1, 0)</f>
        <v>0</v>
      </c>
      <c r="B193" s="604">
        <f>IF(OR($AY193&gt;0, $BA193&gt;0), 1, 0)</f>
        <v>0</v>
      </c>
      <c r="C193" s="604">
        <f>IF(OR($BB193&gt;0, $BD193&gt;0), 1, 0)</f>
        <v>0</v>
      </c>
      <c r="D193" s="604">
        <f>IF(OR($BE193&gt;0, $BG193&gt;0), 1, 0)</f>
        <v>0</v>
      </c>
      <c r="E193" s="604">
        <f>IF(OR($BH193&gt;0, $BJ193&gt;0), 1, 0)</f>
        <v>0</v>
      </c>
      <c r="F193" s="604">
        <f>IF(OR($BK193&gt;0, $BM193&gt;0), 1, 0)</f>
        <v>0</v>
      </c>
      <c r="G193" s="604">
        <f>IF(OR($BN193&gt;0, $BP193&gt;0), 1, 0)</f>
        <v>0</v>
      </c>
      <c r="H193" s="604">
        <f>IF(OR($BQ193&gt;0, $BS193&gt;0), 1, 0)</f>
        <v>0</v>
      </c>
      <c r="I193" s="604">
        <f>IF(OR($BT193&gt;0, $BV193&gt;0), 1, 0)</f>
        <v>0</v>
      </c>
      <c r="J193" s="604">
        <f>IF(OR($BW193&gt;0, $BY193&gt;0), 1, 0)</f>
        <v>0</v>
      </c>
      <c r="K193" s="604">
        <f>IF(OR($BZ193&gt;0, $CB193&gt;0), 1, 0)</f>
        <v>0</v>
      </c>
      <c r="L193" s="604">
        <f>IF(OR($CC193&gt;0, $CE193&gt;0), 1, 0)</f>
        <v>0</v>
      </c>
      <c r="M193" s="604">
        <f>IF(OR($CF193&gt;0, $CH193&gt;0), 1, 0)</f>
        <v>0</v>
      </c>
      <c r="N193" s="604">
        <f>IF(OR($CI193&gt;0, $CK193&gt;0), 1, 0)</f>
        <v>0</v>
      </c>
      <c r="O193" s="604">
        <f>IF(OR($CL193&gt;0, $CN193&gt;0), 1, 0)</f>
        <v>0</v>
      </c>
      <c r="P193" s="604">
        <f>IF(OR($CO193&gt;0, $CQ193&gt;0), 1, 0)</f>
        <v>0</v>
      </c>
      <c r="Q193" s="604">
        <f>IF(OR($CR193&gt;0, $CT193&gt;0), 1, 0)</f>
        <v>0</v>
      </c>
      <c r="R193" s="604">
        <f>IF(OR($CU193&gt;0, $CW193&gt;0), 1, 0)</f>
        <v>0</v>
      </c>
      <c r="S193" s="604">
        <f>IF(OR($CX193&gt;0, $CZ193&gt;0), 1, 0)</f>
        <v>0</v>
      </c>
      <c r="T193" s="604">
        <f>IF(OR($DA193&gt;0, $DC193&gt;0), 1, 0)</f>
        <v>0</v>
      </c>
      <c r="U193" s="603">
        <f>IF(OR($AI193&gt;0,$AM193&gt;0,$AS193&gt;0), 1, 0)</f>
        <v>0</v>
      </c>
      <c r="V193" s="602">
        <f>[1]BDD!A183</f>
        <v>6005</v>
      </c>
      <c r="W193" s="601" t="str">
        <f>[1]BDD!B183</f>
        <v>Noix de Pécan sans coque BIO (env. 500g)</v>
      </c>
      <c r="X193" s="600" t="str">
        <f>IF([1]BDD!F183=0, "", [1]BDD!F183)</f>
        <v>❤️</v>
      </c>
      <c r="Y193" s="542">
        <f>ROUND([1]BDD!G183+FDP_CMD_KG, 2)</f>
        <v>19.63</v>
      </c>
      <c r="Z193" s="542">
        <f>ROUND([1]BDD!G183+FDP_FACT_KG, 2)</f>
        <v>19.63</v>
      </c>
      <c r="AA193" s="543" t="str">
        <f>[1]BDD!H183</f>
        <v>Pièce</v>
      </c>
      <c r="AB193" s="544" t="str">
        <f>IF(NOT(ISBLANK([1]BDD!I183)), ROUND(SUM(([1]BDD!G183*reduc1),FDP_CMD_KG), 2), "")</f>
        <v/>
      </c>
      <c r="AC193" s="544" t="str">
        <f>IF(NOT(ISBLANK([1]BDD!J183)), ROUND(SUM(([1]BDD!G183*reduc2),FDP_CMD_KG), 2), "")</f>
        <v/>
      </c>
      <c r="AD193" s="544" t="str">
        <f>IF(NOT(ISBLANK([1]BDD!K183)), ROUND(SUM(([1]BDD!G183*reduc3),FDP_CMD_KG), 2), "")</f>
        <v/>
      </c>
      <c r="AE193" s="544" t="str">
        <f>IF(NOT(ISBLANK([1]BDD!I183)), ROUND(SUM(([1]BDD!G183*reduc1),FDP_FACT_KG), 2), "")</f>
        <v/>
      </c>
      <c r="AF193" s="544" t="str">
        <f>IF(NOT(ISBLANK([1]BDD!J183)), ROUND(SUM(([1]BDD!G183*reduc2),FDP_FACT_KG), 2), "")</f>
        <v/>
      </c>
      <c r="AG193" s="544" t="str">
        <f>IF(NOT(ISBLANK([1]BDD!K183)), ROUND(SUM(([1]BDD!G183*reduc3),FDP_FACT_KG), 2), "")</f>
        <v/>
      </c>
      <c r="AH193" s="599" t="str">
        <f>[1]BDD!C183</f>
        <v>Mexique</v>
      </c>
      <c r="AI193" s="598">
        <f>SUM(AV193,AY193,BB193,BE193,BH193,BK193,BN193,BQ193,BT193,BW193,BZ193,CC193,CF193,CI193,CL193,CO193,CR193,CU193,CX193,DA193)</f>
        <v>0</v>
      </c>
      <c r="AJ193" s="545">
        <f>_xlfn.IFS($AD193&lt;&gt;"", $AD193,    $AC193&lt;&gt;"", $AC193,    $AB193&lt;&gt;"", $AB193,    TRUE, $Y193)</f>
        <v>19.63</v>
      </c>
      <c r="AK193" s="592">
        <f>$AI193*$AJ193</f>
        <v>0</v>
      </c>
      <c r="AL193" s="594"/>
      <c r="AM193" s="597"/>
      <c r="AN193" s="545">
        <f>_xlfn.IFS(AND(AM193&gt;=60,$AG193&lt;&gt;""), $AG193,    AND(AM193&gt;=30,$AF193&lt;&gt;""), $AF193,    AND(AM193&gt;=10,$AE193&lt;&gt;""), $AE193,    TRUE, $Z193)</f>
        <v>19.63</v>
      </c>
      <c r="AO193" s="596">
        <f>AM193*AN193</f>
        <v>0</v>
      </c>
      <c r="AP193" s="595"/>
      <c r="AQ193" s="595"/>
      <c r="AR193" s="594"/>
      <c r="AS193" s="593">
        <f>SUM(AW193,AZ193,BC193,BF193,BI193,BL193,BO193,BR193,BU193,BX193,CA193,CD193,CG193,CJ193,CM193,CP193,CS193,CV193,CY193,DB193)</f>
        <v>0</v>
      </c>
      <c r="AT193" s="545">
        <f>_xlfn.IFS(AND(AS193&gt;=60,$AG193&lt;&gt;""), $AG193,    AND(AS193&gt;=30,$AF193&lt;&gt;""), $AF193,    AND(AS193&gt;=10,$AE193&lt;&gt;""), $AE193,    TRUE, $Z193)</f>
        <v>19.63</v>
      </c>
      <c r="AU193" s="592">
        <f>$AS193*$AT193</f>
        <v>0</v>
      </c>
      <c r="AV193" s="591">
        <f>[1]COMMANDE!O191</f>
        <v>0</v>
      </c>
      <c r="AW193" s="586" t="str">
        <f>_xlfn.IFS(AND($AI193=$AM193,$AI193&gt;0,$AM193&gt;0,AV193&gt;0), AV193,     AND(NOT($AI193=$AM193),$AI193&gt;0,$AM193&gt;0,AV193&gt;0), ($AM193*AV193)/$AI193,     AND($AI193=0,$AM193&gt;0,$AQ193&gt;0), IF(INDEX(AV$12:AV$263,MATCH($AQ193,$AP$12:$AP$263,0))&gt;0,($AM193*INDEX(AV$12:AV$263,MATCH($AQ193,$AP$12:$AP$263,0)))/INDEX($AI$12:$AI$263,MATCH($AQ193,$AP$12:$AP$263,0)), "-"),     TRUE, "0")</f>
        <v>0</v>
      </c>
      <c r="AX193" s="588">
        <f>IF(AW$9&gt;0, IF(OR(AW193="",AW193="-"), 0, AW193*$AT193), AV193*$AJ193)</f>
        <v>0</v>
      </c>
      <c r="AY193" s="587">
        <f>[1]COMMANDE!Q191</f>
        <v>0</v>
      </c>
      <c r="AZ193" s="586" t="str">
        <f>_xlfn.IFS(AND($AI193=$AM193,$AI193&gt;0,$AM193&gt;0,AY193&gt;0), AY193,     AND(NOT($AI193=$AM193),$AI193&gt;0,$AM193&gt;0,AY193&gt;0), ($AM193*AY193)/$AI193,     AND($AI193=0,$AM193&gt;0,$AQ193&gt;0), IF(INDEX(AY$12:AY$263,MATCH($AQ193,$AP$12:$AP$263,0))&gt;0,($AM193*INDEX(AY$12:AY$263,MATCH($AQ193,$AP$12:$AP$263,0)))/INDEX($AI$12:$AI$263,MATCH($AQ193,$AP$12:$AP$263,0)), "-"),     TRUE, "0")</f>
        <v>0</v>
      </c>
      <c r="BA193" s="607">
        <f>IF(AZ$9&gt;0, IF(OR(AZ193="",AZ193="-"), 0, AZ193*$AT193), AY193*$AJ193)</f>
        <v>0</v>
      </c>
      <c r="BB193" s="589">
        <f>[1]COMMANDE!S191</f>
        <v>0</v>
      </c>
      <c r="BC193" s="586" t="str">
        <f>_xlfn.IFS(AND($AI193=$AM193,$AI193&gt;0,$AM193&gt;0,BB193&gt;0), BB193,     AND(NOT($AI193=$AM193),$AI193&gt;0,$AM193&gt;0,BB193&gt;0), ($AM193*BB193)/$AI193,     AND($AI193=0,$AM193&gt;0,$AQ193&gt;0), IF(INDEX(BB$12:BB$263,MATCH($AQ193,$AP$12:$AP$263,0))&gt;0,($AM193*INDEX(BB$12:BB$263,MATCH($AQ193,$AP$12:$AP$263,0)))/INDEX($AI$12:$AI$263,MATCH($AQ193,$AP$12:$AP$263,0)), "-"),     TRUE, "0")</f>
        <v>0</v>
      </c>
      <c r="BD193" s="588">
        <f>IF(BC$9&gt;0, IF(OR(BC193="",BC193="-"), 0, BC193*$AT193), BB193*$AJ193)</f>
        <v>0</v>
      </c>
      <c r="BE193" s="587">
        <f>[1]COMMANDE!U191</f>
        <v>0</v>
      </c>
      <c r="BF193" s="586" t="str">
        <f>_xlfn.IFS(AND($AI193=$AM193,$AI193&gt;0,$AM193&gt;0,BE193&gt;0), BE193,     AND(NOT($AI193=$AM193),$AI193&gt;0,$AM193&gt;0,BE193&gt;0), ($AM193*BE193)/$AI193,     AND($AI193=0,$AM193&gt;0,$AQ193&gt;0), IF(INDEX(BE$12:BE$263,MATCH($AQ193,$AP$12:$AP$263,0))&gt;0,($AM193*INDEX(BE$12:BE$263,MATCH($AQ193,$AP$12:$AP$263,0)))/INDEX($AI$12:$AI$263,MATCH($AQ193,$AP$12:$AP$263,0)), "-"),     TRUE, "0")</f>
        <v>0</v>
      </c>
      <c r="BG193" s="607">
        <f>IF(BF$9&gt;0, IF(OR(BF193="",BF193="-"), 0, BF193*$AT193), BE193*$AJ193)</f>
        <v>0</v>
      </c>
      <c r="BH193" s="589">
        <f>[1]COMMANDE!W191</f>
        <v>0</v>
      </c>
      <c r="BI193" s="586" t="str">
        <f>_xlfn.IFS(AND($AI193=$AM193,$AI193&gt;0,$AM193&gt;0,BH193&gt;0), BH193,     AND(NOT($AI193=$AM193),$AI193&gt;0,$AM193&gt;0,BH193&gt;0), ($AM193*BH193)/$AI193,     AND($AI193=0,$AM193&gt;0,$AQ193&gt;0), IF(INDEX(BH$12:BH$263,MATCH($AQ193,$AP$12:$AP$263,0))&gt;0,($AM193*INDEX(BH$12:BH$263,MATCH($AQ193,$AP$12:$AP$263,0)))/INDEX($AI$12:$AI$263,MATCH($AQ193,$AP$12:$AP$263,0)), "-"),     TRUE, "0")</f>
        <v>0</v>
      </c>
      <c r="BJ193" s="588">
        <f>IF(BI$9&gt;0, IF(OR(BI193="",BI193="-"), 0, BI193*$AT193), BH193*$AJ193)</f>
        <v>0</v>
      </c>
      <c r="BK193" s="587">
        <f>[1]COMMANDE!Y191</f>
        <v>0</v>
      </c>
      <c r="BL193" s="586" t="str">
        <f>_xlfn.IFS(AND($AI193=$AM193,$AI193&gt;0,$AM193&gt;0,BK193&gt;0), BK193,     AND(NOT($AI193=$AM193),$AI193&gt;0,$AM193&gt;0,BK193&gt;0), ($AM193*BK193)/$AI193,     AND($AI193=0,$AM193&gt;0,$AQ193&gt;0), IF(INDEX(BK$12:BK$263,MATCH($AQ193,$AP$12:$AP$263,0))&gt;0,($AM193*INDEX(BK$12:BK$263,MATCH($AQ193,$AP$12:$AP$263,0)))/INDEX($AI$12:$AI$263,MATCH($AQ193,$AP$12:$AP$263,0)), "-"),     TRUE, "0")</f>
        <v>0</v>
      </c>
      <c r="BM193" s="607">
        <f>IF(BL$9&gt;0, IF(OR(BL193="",BL193="-"), 0, BL193*$AT193), BK193*$AJ193)</f>
        <v>0</v>
      </c>
      <c r="BN193" s="589">
        <f>[1]COMMANDE!AA191</f>
        <v>0</v>
      </c>
      <c r="BO193" s="586" t="str">
        <f>_xlfn.IFS(AND($AI193=$AM193,$AI193&gt;0,$AM193&gt;0,BN193&gt;0), BN193,     AND(NOT($AI193=$AM193),$AI193&gt;0,$AM193&gt;0,BN193&gt;0), ($AM193*BN193)/$AI193,     AND($AI193=0,$AM193&gt;0,$AQ193&gt;0), IF(INDEX(BN$12:BN$263,MATCH($AQ193,$AP$12:$AP$263,0))&gt;0,($AM193*INDEX(BN$12:BN$263,MATCH($AQ193,$AP$12:$AP$263,0)))/INDEX($AI$12:$AI$263,MATCH($AQ193,$AP$12:$AP$263,0)), "-"),     TRUE, "0")</f>
        <v>0</v>
      </c>
      <c r="BP193" s="588">
        <f>IF(BO$9&gt;0, IF(OR(BO193="",BO193="-"), 0, BO193*$AT193), BN193*$AJ193)</f>
        <v>0</v>
      </c>
      <c r="BQ193" s="587">
        <f>[1]COMMANDE!AC191</f>
        <v>0</v>
      </c>
      <c r="BR193" s="586" t="str">
        <f>_xlfn.IFS(AND($AI193=$AM193,$AI193&gt;0,$AM193&gt;0,BQ193&gt;0), BQ193,     AND(NOT($AI193=$AM193),$AI193&gt;0,$AM193&gt;0,BQ193&gt;0), ($AM193*BQ193)/$AI193,     AND($AI193=0,$AM193&gt;0,$AQ193&gt;0), IF(INDEX(BQ$12:BQ$263,MATCH($AQ193,$AP$12:$AP$263,0))&gt;0,($AM193*INDEX(BQ$12:BQ$263,MATCH($AQ193,$AP$12:$AP$263,0)))/INDEX($AI$12:$AI$263,MATCH($AQ193,$AP$12:$AP$263,0)), "-"),     TRUE, "0")</f>
        <v>0</v>
      </c>
      <c r="BS193" s="607">
        <f>IF(BR$9&gt;0, IF(OR(BR193="",BR193="-"), 0, BR193*$AT193), BQ193*$AJ193)</f>
        <v>0</v>
      </c>
      <c r="BT193" s="589">
        <f>[1]COMMANDE!AE191</f>
        <v>0</v>
      </c>
      <c r="BU193" s="586" t="str">
        <f>_xlfn.IFS(AND($AI193=$AM193,$AI193&gt;0,$AM193&gt;0,BT193&gt;0), BT193,     AND(NOT($AI193=$AM193),$AI193&gt;0,$AM193&gt;0,BT193&gt;0), ($AM193*BT193)/$AI193,     AND($AI193=0,$AM193&gt;0,$AQ193&gt;0), IF(INDEX(BT$12:BT$263,MATCH($AQ193,$AP$12:$AP$263,0))&gt;0,($AM193*INDEX(BT$12:BT$263,MATCH($AQ193,$AP$12:$AP$263,0)))/INDEX($AI$12:$AI$263,MATCH($AQ193,$AP$12:$AP$263,0)), "-"),     TRUE, "0")</f>
        <v>0</v>
      </c>
      <c r="BV193" s="588">
        <f>IF(BU$9&gt;0, IF(OR(BU193="",BU193="-"), 0, BU193*$AT193), BT193*$AJ193)</f>
        <v>0</v>
      </c>
      <c r="BW193" s="587">
        <f>[1]COMMANDE!AG191</f>
        <v>0</v>
      </c>
      <c r="BX193" s="586" t="str">
        <f>_xlfn.IFS(AND($AI193=$AM193,$AI193&gt;0,$AM193&gt;0,BW193&gt;0), BW193,     AND(NOT($AI193=$AM193),$AI193&gt;0,$AM193&gt;0,BW193&gt;0), ($AM193*BW193)/$AI193,     AND($AI193=0,$AM193&gt;0,$AQ193&gt;0), IF(INDEX(BW$12:BW$263,MATCH($AQ193,$AP$12:$AP$263,0))&gt;0,($AM193*INDEX(BW$12:BW$263,MATCH($AQ193,$AP$12:$AP$263,0)))/INDEX($AI$12:$AI$263,MATCH($AQ193,$AP$12:$AP$263,0)), "-"),     TRUE, "0")</f>
        <v>0</v>
      </c>
      <c r="BY193" s="607">
        <f>IF(BX$9&gt;0, IF(OR(BX193="",BX193="-"), 0, BX193*$AT193), BW193*$AJ193)</f>
        <v>0</v>
      </c>
      <c r="BZ193" s="589">
        <f>[1]COMMANDE!AI191</f>
        <v>0</v>
      </c>
      <c r="CA193" s="586" t="str">
        <f>_xlfn.IFS(AND($AI193=$AM193,$AI193&gt;0,$AM193&gt;0,BZ193&gt;0), BZ193,     AND(NOT($AI193=$AM193),$AI193&gt;0,$AM193&gt;0,BZ193&gt;0), ($AM193*BZ193)/$AI193,     AND($AI193=0,$AM193&gt;0,$AQ193&gt;0), IF(INDEX(BZ$12:BZ$263,MATCH($AQ193,$AP$12:$AP$263,0))&gt;0,($AM193*INDEX(BZ$12:BZ$263,MATCH($AQ193,$AP$12:$AP$263,0)))/INDEX($AI$12:$AI$263,MATCH($AQ193,$AP$12:$AP$263,0)), "-"),     TRUE, "0")</f>
        <v>0</v>
      </c>
      <c r="CB193" s="588">
        <f>IF(CA$9&gt;0, IF(OR(CA193="",CA193="-"), 0, CA193*$AT193), BZ193*$AJ193)</f>
        <v>0</v>
      </c>
      <c r="CC193" s="587">
        <f>[1]COMMANDE!AK191</f>
        <v>0</v>
      </c>
      <c r="CD193" s="586" t="str">
        <f>_xlfn.IFS(AND($AI193=$AM193,$AI193&gt;0,$AM193&gt;0,CC193&gt;0), CC193,     AND(NOT($AI193=$AM193),$AI193&gt;0,$AM193&gt;0,CC193&gt;0), ($AM193*CC193)/$AI193,     AND($AI193=0,$AM193&gt;0,$AQ193&gt;0), IF(INDEX(CC$12:CC$263,MATCH($AQ193,$AP$12:$AP$263,0))&gt;0,($AM193*INDEX(CC$12:CC$263,MATCH($AQ193,$AP$12:$AP$263,0)))/INDEX($AI$12:$AI$263,MATCH($AQ193,$AP$12:$AP$263,0)), "-"),     TRUE, "0")</f>
        <v>0</v>
      </c>
      <c r="CE193" s="607">
        <f>IF(CD$9&gt;0, IF(OR(CD193="",CD193="-"), 0, CD193*$AT193), CC193*$AJ193)</f>
        <v>0</v>
      </c>
      <c r="CF193" s="589">
        <f>[1]COMMANDE!AM191</f>
        <v>0</v>
      </c>
      <c r="CG193" s="586" t="str">
        <f>_xlfn.IFS(AND($AI193=$AM193,$AI193&gt;0,$AM193&gt;0,CF193&gt;0), CF193,     AND(NOT($AI193=$AM193),$AI193&gt;0,$AM193&gt;0,CF193&gt;0), ($AM193*CF193)/$AI193,     AND($AI193=0,$AM193&gt;0,$AQ193&gt;0), IF(INDEX(CF$12:CF$263,MATCH($AQ193,$AP$12:$AP$263,0))&gt;0,($AM193*INDEX(CF$12:CF$263,MATCH($AQ193,$AP$12:$AP$263,0)))/INDEX($AI$12:$AI$263,MATCH($AQ193,$AP$12:$AP$263,0)), "-"),     TRUE, "0")</f>
        <v>0</v>
      </c>
      <c r="CH193" s="588">
        <f>IF(CG$9&gt;0, IF(OR(CG193="",CG193="-"), 0, CG193*$AT193), CF193*$AJ193)</f>
        <v>0</v>
      </c>
      <c r="CI193" s="587">
        <f>[1]COMMANDE!AO191</f>
        <v>0</v>
      </c>
      <c r="CJ193" s="586" t="str">
        <f>_xlfn.IFS(AND($AI193=$AM193,$AI193&gt;0,$AM193&gt;0,CI193&gt;0), CI193,     AND(NOT($AI193=$AM193),$AI193&gt;0,$AM193&gt;0,CI193&gt;0), ($AM193*CI193)/$AI193,     AND($AI193=0,$AM193&gt;0,$AQ193&gt;0), IF(INDEX(CI$12:CI$263,MATCH($AQ193,$AP$12:$AP$263,0))&gt;0,($AM193*INDEX(CI$12:CI$263,MATCH($AQ193,$AP$12:$AP$263,0)))/INDEX($AI$12:$AI$263,MATCH($AQ193,$AP$12:$AP$263,0)), "-"),     TRUE, "0")</f>
        <v>0</v>
      </c>
      <c r="CK193" s="607">
        <f>IF(CJ$9&gt;0, IF(OR(CJ193="",CJ193="-"), 0, CJ193*$AT193), CI193*$AJ193)</f>
        <v>0</v>
      </c>
      <c r="CL193" s="589">
        <f>[1]COMMANDE!AQ191</f>
        <v>0</v>
      </c>
      <c r="CM193" s="586" t="str">
        <f>_xlfn.IFS(AND($AI193=$AM193,$AI193&gt;0,$AM193&gt;0,CL193&gt;0), CL193,     AND(NOT($AI193=$AM193),$AI193&gt;0,$AM193&gt;0,CL193&gt;0), ($AM193*CL193)/$AI193,     AND($AI193=0,$AM193&gt;0,$AQ193&gt;0), IF(INDEX(CL$12:CL$263,MATCH($AQ193,$AP$12:$AP$263,0))&gt;0,($AM193*INDEX(CL$12:CL$263,MATCH($AQ193,$AP$12:$AP$263,0)))/INDEX($AI$12:$AI$263,MATCH($AQ193,$AP$12:$AP$263,0)), "-"),     TRUE, "0")</f>
        <v>0</v>
      </c>
      <c r="CN193" s="588">
        <f>IF(CM$9&gt;0, IF(OR(CM193="",CM193="-"), 0, CM193*$AT193), CL193*$AJ193)</f>
        <v>0</v>
      </c>
      <c r="CO193" s="587">
        <f>[1]COMMANDE!AS191</f>
        <v>0</v>
      </c>
      <c r="CP193" s="586" t="str">
        <f>_xlfn.IFS(AND($AI193=$AM193,$AI193&gt;0,$AM193&gt;0,CO193&gt;0), CO193,     AND(NOT($AI193=$AM193),$AI193&gt;0,$AM193&gt;0,CO193&gt;0), ($AM193*CO193)/$AI193,     AND($AI193=0,$AM193&gt;0,$AQ193&gt;0), IF(INDEX(CO$12:CO$263,MATCH($AQ193,$AP$12:$AP$263,0))&gt;0,($AM193*INDEX(CO$12:CO$263,MATCH($AQ193,$AP$12:$AP$263,0)))/INDEX($AI$12:$AI$263,MATCH($AQ193,$AP$12:$AP$263,0)), "-"),     TRUE, "0")</f>
        <v>0</v>
      </c>
      <c r="CQ193" s="607">
        <f>IF(CP$9&gt;0, IF(OR(CP193="",CP193="-"), 0, CP193*$AT193), CO193*$AJ193)</f>
        <v>0</v>
      </c>
      <c r="CR193" s="589">
        <f>[1]COMMANDE!AU191</f>
        <v>0</v>
      </c>
      <c r="CS193" s="586" t="str">
        <f>_xlfn.IFS(AND($AI193=$AM193,$AI193&gt;0,$AM193&gt;0,CR193&gt;0), CR193,     AND(NOT($AI193=$AM193),$AI193&gt;0,$AM193&gt;0,CR193&gt;0), ($AM193*CR193)/$AI193,     AND($AI193=0,$AM193&gt;0,$AQ193&gt;0), IF(INDEX(CR$12:CR$263,MATCH($AQ193,$AP$12:$AP$263,0))&gt;0,($AM193*INDEX(CR$12:CR$263,MATCH($AQ193,$AP$12:$AP$263,0)))/INDEX($AI$12:$AI$263,MATCH($AQ193,$AP$12:$AP$263,0)), "-"),     TRUE, "0")</f>
        <v>0</v>
      </c>
      <c r="CT193" s="588">
        <f>IF(CS$9&gt;0, IF(OR(CS193="",CS193="-"), 0, CS193*$AT193), CR193*$AJ193)</f>
        <v>0</v>
      </c>
      <c r="CU193" s="587">
        <f>[1]COMMANDE!AW191</f>
        <v>0</v>
      </c>
      <c r="CV193" s="586" t="str">
        <f>_xlfn.IFS(AND($AI193=$AM193,$AI193&gt;0,$AM193&gt;0,CU193&gt;0), CU193,     AND(NOT($AI193=$AM193),$AI193&gt;0,$AM193&gt;0,CU193&gt;0), ($AM193*CU193)/$AI193,     AND($AI193=0,$AM193&gt;0,$AQ193&gt;0), IF(INDEX(CU$12:CU$263,MATCH($AQ193,$AP$12:$AP$263,0))&gt;0,($AM193*INDEX(CU$12:CU$263,MATCH($AQ193,$AP$12:$AP$263,0)))/INDEX($AI$12:$AI$263,MATCH($AQ193,$AP$12:$AP$263,0)), "-"),     TRUE, "0")</f>
        <v>0</v>
      </c>
      <c r="CW193" s="607">
        <f>IF(CV$9&gt;0, IF(OR(CV193="",CV193="-"), 0, CV193*$AT193), CU193*$AJ193)</f>
        <v>0</v>
      </c>
      <c r="CX193" s="589">
        <f>[1]COMMANDE!AY191</f>
        <v>0</v>
      </c>
      <c r="CY193" s="586" t="str">
        <f>_xlfn.IFS(AND($AI193=$AM193,$AI193&gt;0,$AM193&gt;0,CX193&gt;0), CX193,     AND(NOT($AI193=$AM193),$AI193&gt;0,$AM193&gt;0,CX193&gt;0), ($AM193*CX193)/$AI193,     AND($AI193=0,$AM193&gt;0,$AQ193&gt;0), IF(INDEX(CX$12:CX$263,MATCH($AQ193,$AP$12:$AP$263,0))&gt;0,($AM193*INDEX(CX$12:CX$263,MATCH($AQ193,$AP$12:$AP$263,0)))/INDEX($AI$12:$AI$263,MATCH($AQ193,$AP$12:$AP$263,0)), "-"),     TRUE, "0")</f>
        <v>0</v>
      </c>
      <c r="CZ193" s="588">
        <f>IF(CY$9&gt;0, IF(OR(CY193="",CY193="-"), 0, CY193*$AT193), CX193*$AJ193)</f>
        <v>0</v>
      </c>
      <c r="DA193" s="587">
        <f>[1]COMMANDE!BA191</f>
        <v>0</v>
      </c>
      <c r="DB193" s="586" t="str">
        <f>_xlfn.IFS(AND($AI193=$AM193,$AI193&gt;0,$AM193&gt;0,DA193&gt;0), DA193,     AND(NOT($AI193=$AM193),$AI193&gt;0,$AM193&gt;0,DA193&gt;0), ($AM193*DA193)/$AI193,     AND($AI193=0,$AM193&gt;0,$AQ193&gt;0), IF(INDEX(DA$12:DA$263,MATCH($AQ193,$AP$12:$AP$263,0))&gt;0,($AM193*INDEX(DA$12:DA$263,MATCH($AQ193,$AP$12:$AP$263,0)))/INDEX($AI$12:$AI$263,MATCH($AQ193,$AP$12:$AP$263,0)), "-"),     TRUE, "0")</f>
        <v>0</v>
      </c>
      <c r="DC193" s="606">
        <f>IF(DB$9&gt;0, IF(OR(DB193="",DB193="-"), 0, DB193*$AT193), DA193*$AJ193)</f>
        <v>0</v>
      </c>
      <c r="DD193" s="584"/>
      <c r="DE193" s="583"/>
    </row>
    <row r="194" spans="1:109" ht="39.950000000000003" hidden="1" customHeight="1">
      <c r="A194" s="604">
        <f>IF(OR($AV194&gt;0, $AX194&gt;0), 1, 0)</f>
        <v>0</v>
      </c>
      <c r="B194" s="604">
        <f>IF(OR($AY194&gt;0, $BA194&gt;0), 1, 0)</f>
        <v>0</v>
      </c>
      <c r="C194" s="604">
        <f>IF(OR($BB194&gt;0, $BD194&gt;0), 1, 0)</f>
        <v>0</v>
      </c>
      <c r="D194" s="604">
        <f>IF(OR($BE194&gt;0, $BG194&gt;0), 1, 0)</f>
        <v>0</v>
      </c>
      <c r="E194" s="604">
        <f>IF(OR($BH194&gt;0, $BJ194&gt;0), 1, 0)</f>
        <v>0</v>
      </c>
      <c r="F194" s="604">
        <f>IF(OR($BK194&gt;0, $BM194&gt;0), 1, 0)</f>
        <v>0</v>
      </c>
      <c r="G194" s="604">
        <f>IF(OR($BN194&gt;0, $BP194&gt;0), 1, 0)</f>
        <v>0</v>
      </c>
      <c r="H194" s="604">
        <f>IF(OR($BQ194&gt;0, $BS194&gt;0), 1, 0)</f>
        <v>0</v>
      </c>
      <c r="I194" s="604">
        <f>IF(OR($BT194&gt;0, $BV194&gt;0), 1, 0)</f>
        <v>0</v>
      </c>
      <c r="J194" s="604">
        <f>IF(OR($BW194&gt;0, $BY194&gt;0), 1, 0)</f>
        <v>0</v>
      </c>
      <c r="K194" s="604">
        <f>IF(OR($BZ194&gt;0, $CB194&gt;0), 1, 0)</f>
        <v>0</v>
      </c>
      <c r="L194" s="604">
        <f>IF(OR($CC194&gt;0, $CE194&gt;0), 1, 0)</f>
        <v>0</v>
      </c>
      <c r="M194" s="604">
        <f>IF(OR($CF194&gt;0, $CH194&gt;0), 1, 0)</f>
        <v>0</v>
      </c>
      <c r="N194" s="604">
        <f>IF(OR($CI194&gt;0, $CK194&gt;0), 1, 0)</f>
        <v>0</v>
      </c>
      <c r="O194" s="604">
        <f>IF(OR($CL194&gt;0, $CN194&gt;0), 1, 0)</f>
        <v>0</v>
      </c>
      <c r="P194" s="604">
        <f>IF(OR($CO194&gt;0, $CQ194&gt;0), 1, 0)</f>
        <v>0</v>
      </c>
      <c r="Q194" s="604">
        <f>IF(OR($CR194&gt;0, $CT194&gt;0), 1, 0)</f>
        <v>0</v>
      </c>
      <c r="R194" s="604">
        <f>IF(OR($CU194&gt;0, $CW194&gt;0), 1, 0)</f>
        <v>0</v>
      </c>
      <c r="S194" s="604">
        <f>IF(OR($CX194&gt;0, $CZ194&gt;0), 1, 0)</f>
        <v>0</v>
      </c>
      <c r="T194" s="604">
        <f>IF(OR($DA194&gt;0, $DC194&gt;0), 1, 0)</f>
        <v>0</v>
      </c>
      <c r="U194" s="603">
        <f>IF(OR($AI194&gt;0,$AM194&gt;0,$AS194&gt;0), 1, 0)</f>
        <v>0</v>
      </c>
      <c r="V194" s="602">
        <f>[1]BDD!A184</f>
        <v>1101</v>
      </c>
      <c r="W194" s="601" t="str">
        <f>[1]BDD!B184</f>
        <v>Oignon blanc BIO</v>
      </c>
      <c r="X194" s="600" t="str">
        <f>IF([1]BDD!F184=0, "", [1]BDD!F184)</f>
        <v/>
      </c>
      <c r="Y194" s="542">
        <f>ROUND([1]BDD!G184+FDP_CMD_KG, 2)</f>
        <v>2.64</v>
      </c>
      <c r="Z194" s="542">
        <f>ROUND([1]BDD!G184+FDP_FACT_KG, 2)</f>
        <v>2.64</v>
      </c>
      <c r="AA194" s="543" t="str">
        <f>[1]BDD!H184</f>
        <v>kg</v>
      </c>
      <c r="AB194" s="544">
        <f>IF(NOT(ISBLANK([1]BDD!I184)), ROUND(SUM(([1]BDD!G184*reduc1),FDP_CMD_KG), 2), "")</f>
        <v>2.4700000000000002</v>
      </c>
      <c r="AC194" s="544">
        <f>IF(NOT(ISBLANK([1]BDD!J184)), ROUND(SUM(([1]BDD!G184*reduc2),FDP_CMD_KG), 2), "")</f>
        <v>2.29</v>
      </c>
      <c r="AD194" s="544" t="str">
        <f>IF(NOT(ISBLANK([1]BDD!K184)), ROUND(SUM(([1]BDD!G184*reduc3),FDP_CMD_KG), 2), "")</f>
        <v/>
      </c>
      <c r="AE194" s="544">
        <f>IF(NOT(ISBLANK([1]BDD!I184)), ROUND(SUM(([1]BDD!G184*reduc1),FDP_FACT_KG), 2), "")</f>
        <v>2.46</v>
      </c>
      <c r="AF194" s="544">
        <f>IF(NOT(ISBLANK([1]BDD!J184)), ROUND(SUM(([1]BDD!G184*reduc2),FDP_FACT_KG), 2), "")</f>
        <v>2.2799999999999998</v>
      </c>
      <c r="AG194" s="544" t="str">
        <f>IF(NOT(ISBLANK([1]BDD!K184)), ROUND(SUM(([1]BDD!G184*reduc3),FDP_FACT_KG), 2), "")</f>
        <v/>
      </c>
      <c r="AH194" s="599" t="str">
        <f>[1]BDD!C184</f>
        <v>Malaga</v>
      </c>
      <c r="AI194" s="598">
        <f>SUM(AV194,AY194,BB194,BE194,BH194,BK194,BN194,BQ194,BT194,BW194,BZ194,CC194,CF194,CI194,CL194,CO194,CR194,CU194,CX194,DA194)</f>
        <v>0</v>
      </c>
      <c r="AJ194" s="545">
        <f>_xlfn.IFS($AD194&lt;&gt;"", $AD194,    $AC194&lt;&gt;"", $AC194,    $AB194&lt;&gt;"", $AB194,    TRUE, $Y194)</f>
        <v>2.29</v>
      </c>
      <c r="AK194" s="592">
        <f>$AI194*$AJ194</f>
        <v>0</v>
      </c>
      <c r="AL194" s="594"/>
      <c r="AM194" s="597"/>
      <c r="AN194" s="545">
        <f>_xlfn.IFS(AND(AM194&gt;=60,$AG194&lt;&gt;""), $AG194,    AND(AM194&gt;=30,$AF194&lt;&gt;""), $AF194,    AND(AM194&gt;=10,$AE194&lt;&gt;""), $AE194,    TRUE, $Z194)</f>
        <v>2.64</v>
      </c>
      <c r="AO194" s="596">
        <f>AM194*AN194</f>
        <v>0</v>
      </c>
      <c r="AP194" s="595"/>
      <c r="AQ194" s="595"/>
      <c r="AR194" s="594"/>
      <c r="AS194" s="593">
        <f>SUM(AW194,AZ194,BC194,BF194,BI194,BL194,BO194,BR194,BU194,BX194,CA194,CD194,CG194,CJ194,CM194,CP194,CS194,CV194,CY194,DB194)</f>
        <v>0</v>
      </c>
      <c r="AT194" s="545">
        <f>_xlfn.IFS(AND(AS194&gt;=60,$AG194&lt;&gt;""), $AG194,    AND(AS194&gt;=30,$AF194&lt;&gt;""), $AF194,    AND(AS194&gt;=10,$AE194&lt;&gt;""), $AE194,    TRUE, $Z194)</f>
        <v>2.64</v>
      </c>
      <c r="AU194" s="592">
        <f>$AS194*$AT194</f>
        <v>0</v>
      </c>
      <c r="AV194" s="591">
        <f>[1]COMMANDE!O192</f>
        <v>0</v>
      </c>
      <c r="AW194" s="586" t="str">
        <f>_xlfn.IFS(AND($AI194=$AM194,$AI194&gt;0,$AM194&gt;0,AV194&gt;0), AV194,     AND(NOT($AI194=$AM194),$AI194&gt;0,$AM194&gt;0,AV194&gt;0), ($AM194*AV194)/$AI194,     AND($AI194=0,$AM194&gt;0,$AQ194&gt;0), IF(INDEX(AV$12:AV$263,MATCH($AQ194,$AP$12:$AP$263,0))&gt;0,($AM194*INDEX(AV$12:AV$263,MATCH($AQ194,$AP$12:$AP$263,0)))/INDEX($AI$12:$AI$263,MATCH($AQ194,$AP$12:$AP$263,0)), "-"),     TRUE, "0")</f>
        <v>0</v>
      </c>
      <c r="AX194" s="588">
        <f>IF(AW$9&gt;0, IF(OR(AW194="",AW194="-"), 0, AW194*$AT194), AV194*$AJ194)</f>
        <v>0</v>
      </c>
      <c r="AY194" s="587">
        <f>[1]COMMANDE!Q192</f>
        <v>0</v>
      </c>
      <c r="AZ194" s="586" t="str">
        <f>_xlfn.IFS(AND($AI194=$AM194,$AI194&gt;0,$AM194&gt;0,AY194&gt;0), AY194,     AND(NOT($AI194=$AM194),$AI194&gt;0,$AM194&gt;0,AY194&gt;0), ($AM194*AY194)/$AI194,     AND($AI194=0,$AM194&gt;0,$AQ194&gt;0), IF(INDEX(AY$12:AY$263,MATCH($AQ194,$AP$12:$AP$263,0))&gt;0,($AM194*INDEX(AY$12:AY$263,MATCH($AQ194,$AP$12:$AP$263,0)))/INDEX($AI$12:$AI$263,MATCH($AQ194,$AP$12:$AP$263,0)), "-"),     TRUE, "0")</f>
        <v>0</v>
      </c>
      <c r="BA194" s="607">
        <f>IF(AZ$9&gt;0, IF(OR(AZ194="",AZ194="-"), 0, AZ194*$AT194), AY194*$AJ194)</f>
        <v>0</v>
      </c>
      <c r="BB194" s="589">
        <f>[1]COMMANDE!S192</f>
        <v>0</v>
      </c>
      <c r="BC194" s="586" t="str">
        <f>_xlfn.IFS(AND($AI194=$AM194,$AI194&gt;0,$AM194&gt;0,BB194&gt;0), BB194,     AND(NOT($AI194=$AM194),$AI194&gt;0,$AM194&gt;0,BB194&gt;0), ($AM194*BB194)/$AI194,     AND($AI194=0,$AM194&gt;0,$AQ194&gt;0), IF(INDEX(BB$12:BB$263,MATCH($AQ194,$AP$12:$AP$263,0))&gt;0,($AM194*INDEX(BB$12:BB$263,MATCH($AQ194,$AP$12:$AP$263,0)))/INDEX($AI$12:$AI$263,MATCH($AQ194,$AP$12:$AP$263,0)), "-"),     TRUE, "0")</f>
        <v>0</v>
      </c>
      <c r="BD194" s="588">
        <f>IF(BC$9&gt;0, IF(OR(BC194="",BC194="-"), 0, BC194*$AT194), BB194*$AJ194)</f>
        <v>0</v>
      </c>
      <c r="BE194" s="587">
        <f>[1]COMMANDE!U192</f>
        <v>0</v>
      </c>
      <c r="BF194" s="586" t="str">
        <f>_xlfn.IFS(AND($AI194=$AM194,$AI194&gt;0,$AM194&gt;0,BE194&gt;0), BE194,     AND(NOT($AI194=$AM194),$AI194&gt;0,$AM194&gt;0,BE194&gt;0), ($AM194*BE194)/$AI194,     AND($AI194=0,$AM194&gt;0,$AQ194&gt;0), IF(INDEX(BE$12:BE$263,MATCH($AQ194,$AP$12:$AP$263,0))&gt;0,($AM194*INDEX(BE$12:BE$263,MATCH($AQ194,$AP$12:$AP$263,0)))/INDEX($AI$12:$AI$263,MATCH($AQ194,$AP$12:$AP$263,0)), "-"),     TRUE, "0")</f>
        <v>0</v>
      </c>
      <c r="BG194" s="607">
        <f>IF(BF$9&gt;0, IF(OR(BF194="",BF194="-"), 0, BF194*$AT194), BE194*$AJ194)</f>
        <v>0</v>
      </c>
      <c r="BH194" s="589">
        <f>[1]COMMANDE!W192</f>
        <v>0</v>
      </c>
      <c r="BI194" s="586" t="str">
        <f>_xlfn.IFS(AND($AI194=$AM194,$AI194&gt;0,$AM194&gt;0,BH194&gt;0), BH194,     AND(NOT($AI194=$AM194),$AI194&gt;0,$AM194&gt;0,BH194&gt;0), ($AM194*BH194)/$AI194,     AND($AI194=0,$AM194&gt;0,$AQ194&gt;0), IF(INDEX(BH$12:BH$263,MATCH($AQ194,$AP$12:$AP$263,0))&gt;0,($AM194*INDEX(BH$12:BH$263,MATCH($AQ194,$AP$12:$AP$263,0)))/INDEX($AI$12:$AI$263,MATCH($AQ194,$AP$12:$AP$263,0)), "-"),     TRUE, "0")</f>
        <v>0</v>
      </c>
      <c r="BJ194" s="588">
        <f>IF(BI$9&gt;0, IF(OR(BI194="",BI194="-"), 0, BI194*$AT194), BH194*$AJ194)</f>
        <v>0</v>
      </c>
      <c r="BK194" s="587">
        <f>[1]COMMANDE!Y192</f>
        <v>0</v>
      </c>
      <c r="BL194" s="586" t="str">
        <f>_xlfn.IFS(AND($AI194=$AM194,$AI194&gt;0,$AM194&gt;0,BK194&gt;0), BK194,     AND(NOT($AI194=$AM194),$AI194&gt;0,$AM194&gt;0,BK194&gt;0), ($AM194*BK194)/$AI194,     AND($AI194=0,$AM194&gt;0,$AQ194&gt;0), IF(INDEX(BK$12:BK$263,MATCH($AQ194,$AP$12:$AP$263,0))&gt;0,($AM194*INDEX(BK$12:BK$263,MATCH($AQ194,$AP$12:$AP$263,0)))/INDEX($AI$12:$AI$263,MATCH($AQ194,$AP$12:$AP$263,0)), "-"),     TRUE, "0")</f>
        <v>0</v>
      </c>
      <c r="BM194" s="607">
        <f>IF(BL$9&gt;0, IF(OR(BL194="",BL194="-"), 0, BL194*$AT194), BK194*$AJ194)</f>
        <v>0</v>
      </c>
      <c r="BN194" s="589">
        <f>[1]COMMANDE!AA192</f>
        <v>0</v>
      </c>
      <c r="BO194" s="586" t="str">
        <f>_xlfn.IFS(AND($AI194=$AM194,$AI194&gt;0,$AM194&gt;0,BN194&gt;0), BN194,     AND(NOT($AI194=$AM194),$AI194&gt;0,$AM194&gt;0,BN194&gt;0), ($AM194*BN194)/$AI194,     AND($AI194=0,$AM194&gt;0,$AQ194&gt;0), IF(INDEX(BN$12:BN$263,MATCH($AQ194,$AP$12:$AP$263,0))&gt;0,($AM194*INDEX(BN$12:BN$263,MATCH($AQ194,$AP$12:$AP$263,0)))/INDEX($AI$12:$AI$263,MATCH($AQ194,$AP$12:$AP$263,0)), "-"),     TRUE, "0")</f>
        <v>0</v>
      </c>
      <c r="BP194" s="588">
        <f>IF(BO$9&gt;0, IF(OR(BO194="",BO194="-"), 0, BO194*$AT194), BN194*$AJ194)</f>
        <v>0</v>
      </c>
      <c r="BQ194" s="587">
        <f>[1]COMMANDE!AC192</f>
        <v>0</v>
      </c>
      <c r="BR194" s="586" t="str">
        <f>_xlfn.IFS(AND($AI194=$AM194,$AI194&gt;0,$AM194&gt;0,BQ194&gt;0), BQ194,     AND(NOT($AI194=$AM194),$AI194&gt;0,$AM194&gt;0,BQ194&gt;0), ($AM194*BQ194)/$AI194,     AND($AI194=0,$AM194&gt;0,$AQ194&gt;0), IF(INDEX(BQ$12:BQ$263,MATCH($AQ194,$AP$12:$AP$263,0))&gt;0,($AM194*INDEX(BQ$12:BQ$263,MATCH($AQ194,$AP$12:$AP$263,0)))/INDEX($AI$12:$AI$263,MATCH($AQ194,$AP$12:$AP$263,0)), "-"),     TRUE, "0")</f>
        <v>0</v>
      </c>
      <c r="BS194" s="607">
        <f>IF(BR$9&gt;0, IF(OR(BR194="",BR194="-"), 0, BR194*$AT194), BQ194*$AJ194)</f>
        <v>0</v>
      </c>
      <c r="BT194" s="589">
        <f>[1]COMMANDE!AE192</f>
        <v>0</v>
      </c>
      <c r="BU194" s="586" t="str">
        <f>_xlfn.IFS(AND($AI194=$AM194,$AI194&gt;0,$AM194&gt;0,BT194&gt;0), BT194,     AND(NOT($AI194=$AM194),$AI194&gt;0,$AM194&gt;0,BT194&gt;0), ($AM194*BT194)/$AI194,     AND($AI194=0,$AM194&gt;0,$AQ194&gt;0), IF(INDEX(BT$12:BT$263,MATCH($AQ194,$AP$12:$AP$263,0))&gt;0,($AM194*INDEX(BT$12:BT$263,MATCH($AQ194,$AP$12:$AP$263,0)))/INDEX($AI$12:$AI$263,MATCH($AQ194,$AP$12:$AP$263,0)), "-"),     TRUE, "0")</f>
        <v>0</v>
      </c>
      <c r="BV194" s="588">
        <f>IF(BU$9&gt;0, IF(OR(BU194="",BU194="-"), 0, BU194*$AT194), BT194*$AJ194)</f>
        <v>0</v>
      </c>
      <c r="BW194" s="587">
        <f>[1]COMMANDE!AG192</f>
        <v>0</v>
      </c>
      <c r="BX194" s="586" t="str">
        <f>_xlfn.IFS(AND($AI194=$AM194,$AI194&gt;0,$AM194&gt;0,BW194&gt;0), BW194,     AND(NOT($AI194=$AM194),$AI194&gt;0,$AM194&gt;0,BW194&gt;0), ($AM194*BW194)/$AI194,     AND($AI194=0,$AM194&gt;0,$AQ194&gt;0), IF(INDEX(BW$12:BW$263,MATCH($AQ194,$AP$12:$AP$263,0))&gt;0,($AM194*INDEX(BW$12:BW$263,MATCH($AQ194,$AP$12:$AP$263,0)))/INDEX($AI$12:$AI$263,MATCH($AQ194,$AP$12:$AP$263,0)), "-"),     TRUE, "0")</f>
        <v>0</v>
      </c>
      <c r="BY194" s="607">
        <f>IF(BX$9&gt;0, IF(OR(BX194="",BX194="-"), 0, BX194*$AT194), BW194*$AJ194)</f>
        <v>0</v>
      </c>
      <c r="BZ194" s="589">
        <f>[1]COMMANDE!AI192</f>
        <v>0</v>
      </c>
      <c r="CA194" s="586" t="str">
        <f>_xlfn.IFS(AND($AI194=$AM194,$AI194&gt;0,$AM194&gt;0,BZ194&gt;0), BZ194,     AND(NOT($AI194=$AM194),$AI194&gt;0,$AM194&gt;0,BZ194&gt;0), ($AM194*BZ194)/$AI194,     AND($AI194=0,$AM194&gt;0,$AQ194&gt;0), IF(INDEX(BZ$12:BZ$263,MATCH($AQ194,$AP$12:$AP$263,0))&gt;0,($AM194*INDEX(BZ$12:BZ$263,MATCH($AQ194,$AP$12:$AP$263,0)))/INDEX($AI$12:$AI$263,MATCH($AQ194,$AP$12:$AP$263,0)), "-"),     TRUE, "0")</f>
        <v>0</v>
      </c>
      <c r="CB194" s="588">
        <f>IF(CA$9&gt;0, IF(OR(CA194="",CA194="-"), 0, CA194*$AT194), BZ194*$AJ194)</f>
        <v>0</v>
      </c>
      <c r="CC194" s="587">
        <f>[1]COMMANDE!AK192</f>
        <v>0</v>
      </c>
      <c r="CD194" s="586" t="str">
        <f>_xlfn.IFS(AND($AI194=$AM194,$AI194&gt;0,$AM194&gt;0,CC194&gt;0), CC194,     AND(NOT($AI194=$AM194),$AI194&gt;0,$AM194&gt;0,CC194&gt;0), ($AM194*CC194)/$AI194,     AND($AI194=0,$AM194&gt;0,$AQ194&gt;0), IF(INDEX(CC$12:CC$263,MATCH($AQ194,$AP$12:$AP$263,0))&gt;0,($AM194*INDEX(CC$12:CC$263,MATCH($AQ194,$AP$12:$AP$263,0)))/INDEX($AI$12:$AI$263,MATCH($AQ194,$AP$12:$AP$263,0)), "-"),     TRUE, "0")</f>
        <v>0</v>
      </c>
      <c r="CE194" s="607">
        <f>IF(CD$9&gt;0, IF(OR(CD194="",CD194="-"), 0, CD194*$AT194), CC194*$AJ194)</f>
        <v>0</v>
      </c>
      <c r="CF194" s="589">
        <f>[1]COMMANDE!AM192</f>
        <v>0</v>
      </c>
      <c r="CG194" s="586" t="str">
        <f>_xlfn.IFS(AND($AI194=$AM194,$AI194&gt;0,$AM194&gt;0,CF194&gt;0), CF194,     AND(NOT($AI194=$AM194),$AI194&gt;0,$AM194&gt;0,CF194&gt;0), ($AM194*CF194)/$AI194,     AND($AI194=0,$AM194&gt;0,$AQ194&gt;0), IF(INDEX(CF$12:CF$263,MATCH($AQ194,$AP$12:$AP$263,0))&gt;0,($AM194*INDEX(CF$12:CF$263,MATCH($AQ194,$AP$12:$AP$263,0)))/INDEX($AI$12:$AI$263,MATCH($AQ194,$AP$12:$AP$263,0)), "-"),     TRUE, "0")</f>
        <v>0</v>
      </c>
      <c r="CH194" s="588">
        <f>IF(CG$9&gt;0, IF(OR(CG194="",CG194="-"), 0, CG194*$AT194), CF194*$AJ194)</f>
        <v>0</v>
      </c>
      <c r="CI194" s="587">
        <f>[1]COMMANDE!AO192</f>
        <v>0</v>
      </c>
      <c r="CJ194" s="586" t="str">
        <f>_xlfn.IFS(AND($AI194=$AM194,$AI194&gt;0,$AM194&gt;0,CI194&gt;0), CI194,     AND(NOT($AI194=$AM194),$AI194&gt;0,$AM194&gt;0,CI194&gt;0), ($AM194*CI194)/$AI194,     AND($AI194=0,$AM194&gt;0,$AQ194&gt;0), IF(INDEX(CI$12:CI$263,MATCH($AQ194,$AP$12:$AP$263,0))&gt;0,($AM194*INDEX(CI$12:CI$263,MATCH($AQ194,$AP$12:$AP$263,0)))/INDEX($AI$12:$AI$263,MATCH($AQ194,$AP$12:$AP$263,0)), "-"),     TRUE, "0")</f>
        <v>0</v>
      </c>
      <c r="CK194" s="607">
        <f>IF(CJ$9&gt;0, IF(OR(CJ194="",CJ194="-"), 0, CJ194*$AT194), CI194*$AJ194)</f>
        <v>0</v>
      </c>
      <c r="CL194" s="589">
        <f>[1]COMMANDE!AQ192</f>
        <v>0</v>
      </c>
      <c r="CM194" s="586" t="str">
        <f>_xlfn.IFS(AND($AI194=$AM194,$AI194&gt;0,$AM194&gt;0,CL194&gt;0), CL194,     AND(NOT($AI194=$AM194),$AI194&gt;0,$AM194&gt;0,CL194&gt;0), ($AM194*CL194)/$AI194,     AND($AI194=0,$AM194&gt;0,$AQ194&gt;0), IF(INDEX(CL$12:CL$263,MATCH($AQ194,$AP$12:$AP$263,0))&gt;0,($AM194*INDEX(CL$12:CL$263,MATCH($AQ194,$AP$12:$AP$263,0)))/INDEX($AI$12:$AI$263,MATCH($AQ194,$AP$12:$AP$263,0)), "-"),     TRUE, "0")</f>
        <v>0</v>
      </c>
      <c r="CN194" s="588">
        <f>IF(CM$9&gt;0, IF(OR(CM194="",CM194="-"), 0, CM194*$AT194), CL194*$AJ194)</f>
        <v>0</v>
      </c>
      <c r="CO194" s="587">
        <f>[1]COMMANDE!AS192</f>
        <v>0</v>
      </c>
      <c r="CP194" s="586" t="str">
        <f>_xlfn.IFS(AND($AI194=$AM194,$AI194&gt;0,$AM194&gt;0,CO194&gt;0), CO194,     AND(NOT($AI194=$AM194),$AI194&gt;0,$AM194&gt;0,CO194&gt;0), ($AM194*CO194)/$AI194,     AND($AI194=0,$AM194&gt;0,$AQ194&gt;0), IF(INDEX(CO$12:CO$263,MATCH($AQ194,$AP$12:$AP$263,0))&gt;0,($AM194*INDEX(CO$12:CO$263,MATCH($AQ194,$AP$12:$AP$263,0)))/INDEX($AI$12:$AI$263,MATCH($AQ194,$AP$12:$AP$263,0)), "-"),     TRUE, "0")</f>
        <v>0</v>
      </c>
      <c r="CQ194" s="607">
        <f>IF(CP$9&gt;0, IF(OR(CP194="",CP194="-"), 0, CP194*$AT194), CO194*$AJ194)</f>
        <v>0</v>
      </c>
      <c r="CR194" s="589">
        <f>[1]COMMANDE!AU192</f>
        <v>0</v>
      </c>
      <c r="CS194" s="586" t="str">
        <f>_xlfn.IFS(AND($AI194=$AM194,$AI194&gt;0,$AM194&gt;0,CR194&gt;0), CR194,     AND(NOT($AI194=$AM194),$AI194&gt;0,$AM194&gt;0,CR194&gt;0), ($AM194*CR194)/$AI194,     AND($AI194=0,$AM194&gt;0,$AQ194&gt;0), IF(INDEX(CR$12:CR$263,MATCH($AQ194,$AP$12:$AP$263,0))&gt;0,($AM194*INDEX(CR$12:CR$263,MATCH($AQ194,$AP$12:$AP$263,0)))/INDEX($AI$12:$AI$263,MATCH($AQ194,$AP$12:$AP$263,0)), "-"),     TRUE, "0")</f>
        <v>0</v>
      </c>
      <c r="CT194" s="588">
        <f>IF(CS$9&gt;0, IF(OR(CS194="",CS194="-"), 0, CS194*$AT194), CR194*$AJ194)</f>
        <v>0</v>
      </c>
      <c r="CU194" s="587">
        <f>[1]COMMANDE!AW192</f>
        <v>0</v>
      </c>
      <c r="CV194" s="586" t="str">
        <f>_xlfn.IFS(AND($AI194=$AM194,$AI194&gt;0,$AM194&gt;0,CU194&gt;0), CU194,     AND(NOT($AI194=$AM194),$AI194&gt;0,$AM194&gt;0,CU194&gt;0), ($AM194*CU194)/$AI194,     AND($AI194=0,$AM194&gt;0,$AQ194&gt;0), IF(INDEX(CU$12:CU$263,MATCH($AQ194,$AP$12:$AP$263,0))&gt;0,($AM194*INDEX(CU$12:CU$263,MATCH($AQ194,$AP$12:$AP$263,0)))/INDEX($AI$12:$AI$263,MATCH($AQ194,$AP$12:$AP$263,0)), "-"),     TRUE, "0")</f>
        <v>0</v>
      </c>
      <c r="CW194" s="607">
        <f>IF(CV$9&gt;0, IF(OR(CV194="",CV194="-"), 0, CV194*$AT194), CU194*$AJ194)</f>
        <v>0</v>
      </c>
      <c r="CX194" s="589">
        <f>[1]COMMANDE!AY192</f>
        <v>0</v>
      </c>
      <c r="CY194" s="586" t="str">
        <f>_xlfn.IFS(AND($AI194=$AM194,$AI194&gt;0,$AM194&gt;0,CX194&gt;0), CX194,     AND(NOT($AI194=$AM194),$AI194&gt;0,$AM194&gt;0,CX194&gt;0), ($AM194*CX194)/$AI194,     AND($AI194=0,$AM194&gt;0,$AQ194&gt;0), IF(INDEX(CX$12:CX$263,MATCH($AQ194,$AP$12:$AP$263,0))&gt;0,($AM194*INDEX(CX$12:CX$263,MATCH($AQ194,$AP$12:$AP$263,0)))/INDEX($AI$12:$AI$263,MATCH($AQ194,$AP$12:$AP$263,0)), "-"),     TRUE, "0")</f>
        <v>0</v>
      </c>
      <c r="CZ194" s="588">
        <f>IF(CY$9&gt;0, IF(OR(CY194="",CY194="-"), 0, CY194*$AT194), CX194*$AJ194)</f>
        <v>0</v>
      </c>
      <c r="DA194" s="587">
        <f>[1]COMMANDE!BA192</f>
        <v>0</v>
      </c>
      <c r="DB194" s="586" t="str">
        <f>_xlfn.IFS(AND($AI194=$AM194,$AI194&gt;0,$AM194&gt;0,DA194&gt;0), DA194,     AND(NOT($AI194=$AM194),$AI194&gt;0,$AM194&gt;0,DA194&gt;0), ($AM194*DA194)/$AI194,     AND($AI194=0,$AM194&gt;0,$AQ194&gt;0), IF(INDEX(DA$12:DA$263,MATCH($AQ194,$AP$12:$AP$263,0))&gt;0,($AM194*INDEX(DA$12:DA$263,MATCH($AQ194,$AP$12:$AP$263,0)))/INDEX($AI$12:$AI$263,MATCH($AQ194,$AP$12:$AP$263,0)), "-"),     TRUE, "0")</f>
        <v>0</v>
      </c>
      <c r="DC194" s="606">
        <f>IF(DB$9&gt;0, IF(OR(DB194="",DB194="-"), 0, DB194*$AT194), DA194*$AJ194)</f>
        <v>0</v>
      </c>
      <c r="DD194" s="584"/>
      <c r="DE194" s="583"/>
    </row>
    <row r="195" spans="1:109" ht="39.950000000000003" hidden="1" customHeight="1">
      <c r="A195" s="604">
        <f>IF(OR($AV195&gt;0, $AX195&gt;0), 1, 0)</f>
        <v>0</v>
      </c>
      <c r="B195" s="604">
        <f>IF(OR($AY195&gt;0, $BA195&gt;0), 1, 0)</f>
        <v>0</v>
      </c>
      <c r="C195" s="604">
        <f>IF(OR($BB195&gt;0, $BD195&gt;0), 1, 0)</f>
        <v>0</v>
      </c>
      <c r="D195" s="604">
        <f>IF(OR($BE195&gt;0, $BG195&gt;0), 1, 0)</f>
        <v>0</v>
      </c>
      <c r="E195" s="604">
        <f>IF(OR($BH195&gt;0, $BJ195&gt;0), 1, 0)</f>
        <v>0</v>
      </c>
      <c r="F195" s="604">
        <f>IF(OR($BK195&gt;0, $BM195&gt;0), 1, 0)</f>
        <v>0</v>
      </c>
      <c r="G195" s="604">
        <f>IF(OR($BN195&gt;0, $BP195&gt;0), 1, 0)</f>
        <v>0</v>
      </c>
      <c r="H195" s="604">
        <f>IF(OR($BQ195&gt;0, $BS195&gt;0), 1, 0)</f>
        <v>0</v>
      </c>
      <c r="I195" s="604">
        <f>IF(OR($BT195&gt;0, $BV195&gt;0), 1, 0)</f>
        <v>0</v>
      </c>
      <c r="J195" s="604">
        <f>IF(OR($BW195&gt;0, $BY195&gt;0), 1, 0)</f>
        <v>0</v>
      </c>
      <c r="K195" s="604">
        <f>IF(OR($BZ195&gt;0, $CB195&gt;0), 1, 0)</f>
        <v>0</v>
      </c>
      <c r="L195" s="604">
        <f>IF(OR($CC195&gt;0, $CE195&gt;0), 1, 0)</f>
        <v>0</v>
      </c>
      <c r="M195" s="604">
        <f>IF(OR($CF195&gt;0, $CH195&gt;0), 1, 0)</f>
        <v>0</v>
      </c>
      <c r="N195" s="604">
        <f>IF(OR($CI195&gt;0, $CK195&gt;0), 1, 0)</f>
        <v>0</v>
      </c>
      <c r="O195" s="604">
        <f>IF(OR($CL195&gt;0, $CN195&gt;0), 1, 0)</f>
        <v>0</v>
      </c>
      <c r="P195" s="604">
        <f>IF(OR($CO195&gt;0, $CQ195&gt;0), 1, 0)</f>
        <v>0</v>
      </c>
      <c r="Q195" s="604">
        <f>IF(OR($CR195&gt;0, $CT195&gt;0), 1, 0)</f>
        <v>0</v>
      </c>
      <c r="R195" s="604">
        <f>IF(OR($CU195&gt;0, $CW195&gt;0), 1, 0)</f>
        <v>0</v>
      </c>
      <c r="S195" s="604">
        <f>IF(OR($CX195&gt;0, $CZ195&gt;0), 1, 0)</f>
        <v>0</v>
      </c>
      <c r="T195" s="604">
        <f>IF(OR($DA195&gt;0, $DC195&gt;0), 1, 0)</f>
        <v>0</v>
      </c>
      <c r="U195" s="603">
        <f>IF(OR($AI195&gt;0,$AM195&gt;0,$AS195&gt;0), 1, 0)</f>
        <v>0</v>
      </c>
      <c r="V195" s="602">
        <f>[1]BDD!A185</f>
        <v>1151</v>
      </c>
      <c r="W195" s="601" t="str">
        <f>[1]BDD!B185</f>
        <v>Oignon rouge BIO</v>
      </c>
      <c r="X195" s="600" t="str">
        <f>IF([1]BDD!F185=0, "", [1]BDD!F185)</f>
        <v>❤️</v>
      </c>
      <c r="Y195" s="542">
        <f>ROUND([1]BDD!G185+FDP_CMD_KG, 2)</f>
        <v>2.91</v>
      </c>
      <c r="Z195" s="542">
        <f>ROUND([1]BDD!G185+FDP_FACT_KG, 2)</f>
        <v>2.91</v>
      </c>
      <c r="AA195" s="543" t="str">
        <f>[1]BDD!H185</f>
        <v>kg</v>
      </c>
      <c r="AB195" s="544">
        <f>IF(NOT(ISBLANK([1]BDD!I185)), ROUND(SUM(([1]BDD!G185*reduc1),FDP_CMD_KG), 2), "")</f>
        <v>2.71</v>
      </c>
      <c r="AC195" s="544">
        <f>IF(NOT(ISBLANK([1]BDD!J185)), ROUND(SUM(([1]BDD!G185*reduc2),FDP_CMD_KG), 2), "")</f>
        <v>2.5099999999999998</v>
      </c>
      <c r="AD195" s="544" t="str">
        <f>IF(NOT(ISBLANK([1]BDD!K185)), ROUND(SUM(([1]BDD!G185*reduc3),FDP_CMD_KG), 2), "")</f>
        <v/>
      </c>
      <c r="AE195" s="544">
        <f>IF(NOT(ISBLANK([1]BDD!I185)), ROUND(SUM(([1]BDD!G185*reduc1),FDP_FACT_KG), 2), "")</f>
        <v>2.7</v>
      </c>
      <c r="AF195" s="544">
        <f>IF(NOT(ISBLANK([1]BDD!J185)), ROUND(SUM(([1]BDD!G185*reduc2),FDP_FACT_KG), 2), "")</f>
        <v>2.5</v>
      </c>
      <c r="AG195" s="544" t="str">
        <f>IF(NOT(ISBLANK([1]BDD!K185)), ROUND(SUM(([1]BDD!G185*reduc3),FDP_FACT_KG), 2), "")</f>
        <v/>
      </c>
      <c r="AH195" s="599" t="str">
        <f>[1]BDD!C185</f>
        <v>Malaga</v>
      </c>
      <c r="AI195" s="598">
        <f>SUM(AV195,AY195,BB195,BE195,BH195,BK195,BN195,BQ195,BT195,BW195,BZ195,CC195,CF195,CI195,CL195,CO195,CR195,CU195,CX195,DA195)</f>
        <v>0</v>
      </c>
      <c r="AJ195" s="545">
        <f>_xlfn.IFS($AD195&lt;&gt;"", $AD195,    $AC195&lt;&gt;"", $AC195,    $AB195&lt;&gt;"", $AB195,    TRUE, $Y195)</f>
        <v>2.5099999999999998</v>
      </c>
      <c r="AK195" s="592">
        <f>$AI195*$AJ195</f>
        <v>0</v>
      </c>
      <c r="AL195" s="594"/>
      <c r="AM195" s="597"/>
      <c r="AN195" s="545">
        <f>_xlfn.IFS(AND(AM195&gt;=60,$AG195&lt;&gt;""), $AG195,    AND(AM195&gt;=30,$AF195&lt;&gt;""), $AF195,    AND(AM195&gt;=10,$AE195&lt;&gt;""), $AE195,    TRUE, $Z195)</f>
        <v>2.91</v>
      </c>
      <c r="AO195" s="596">
        <f>AM195*AN195</f>
        <v>0</v>
      </c>
      <c r="AP195" s="595"/>
      <c r="AQ195" s="595"/>
      <c r="AR195" s="594"/>
      <c r="AS195" s="593">
        <f>SUM(AW195,AZ195,BC195,BF195,BI195,BL195,BO195,BR195,BU195,BX195,CA195,CD195,CG195,CJ195,CM195,CP195,CS195,CV195,CY195,DB195)</f>
        <v>0</v>
      </c>
      <c r="AT195" s="545">
        <f>_xlfn.IFS(AND(AS195&gt;=60,$AG195&lt;&gt;""), $AG195,    AND(AS195&gt;=30,$AF195&lt;&gt;""), $AF195,    AND(AS195&gt;=10,$AE195&lt;&gt;""), $AE195,    TRUE, $Z195)</f>
        <v>2.91</v>
      </c>
      <c r="AU195" s="592">
        <f>$AS195*$AT195</f>
        <v>0</v>
      </c>
      <c r="AV195" s="591">
        <f>[1]COMMANDE!O193</f>
        <v>0</v>
      </c>
      <c r="AW195" s="586" t="str">
        <f>_xlfn.IFS(AND($AI195=$AM195,$AI195&gt;0,$AM195&gt;0,AV195&gt;0), AV195,     AND(NOT($AI195=$AM195),$AI195&gt;0,$AM195&gt;0,AV195&gt;0), ($AM195*AV195)/$AI195,     AND($AI195=0,$AM195&gt;0,$AQ195&gt;0), IF(INDEX(AV$12:AV$263,MATCH($AQ195,$AP$12:$AP$263,0))&gt;0,($AM195*INDEX(AV$12:AV$263,MATCH($AQ195,$AP$12:$AP$263,0)))/INDEX($AI$12:$AI$263,MATCH($AQ195,$AP$12:$AP$263,0)), "-"),     TRUE, "0")</f>
        <v>0</v>
      </c>
      <c r="AX195" s="588">
        <f>IF(AW$9&gt;0, IF(OR(AW195="",AW195="-"), 0, AW195*$AT195), AV195*$AJ195)</f>
        <v>0</v>
      </c>
      <c r="AY195" s="587">
        <f>[1]COMMANDE!Q193</f>
        <v>0</v>
      </c>
      <c r="AZ195" s="586" t="str">
        <f>_xlfn.IFS(AND($AI195=$AM195,$AI195&gt;0,$AM195&gt;0,AY195&gt;0), AY195,     AND(NOT($AI195=$AM195),$AI195&gt;0,$AM195&gt;0,AY195&gt;0), ($AM195*AY195)/$AI195,     AND($AI195=0,$AM195&gt;0,$AQ195&gt;0), IF(INDEX(AY$12:AY$263,MATCH($AQ195,$AP$12:$AP$263,0))&gt;0,($AM195*INDEX(AY$12:AY$263,MATCH($AQ195,$AP$12:$AP$263,0)))/INDEX($AI$12:$AI$263,MATCH($AQ195,$AP$12:$AP$263,0)), "-"),     TRUE, "0")</f>
        <v>0</v>
      </c>
      <c r="BA195" s="607">
        <f>IF(AZ$9&gt;0, IF(OR(AZ195="",AZ195="-"), 0, AZ195*$AT195), AY195*$AJ195)</f>
        <v>0</v>
      </c>
      <c r="BB195" s="589">
        <f>[1]COMMANDE!S193</f>
        <v>0</v>
      </c>
      <c r="BC195" s="586" t="str">
        <f>_xlfn.IFS(AND($AI195=$AM195,$AI195&gt;0,$AM195&gt;0,BB195&gt;0), BB195,     AND(NOT($AI195=$AM195),$AI195&gt;0,$AM195&gt;0,BB195&gt;0), ($AM195*BB195)/$AI195,     AND($AI195=0,$AM195&gt;0,$AQ195&gt;0), IF(INDEX(BB$12:BB$263,MATCH($AQ195,$AP$12:$AP$263,0))&gt;0,($AM195*INDEX(BB$12:BB$263,MATCH($AQ195,$AP$12:$AP$263,0)))/INDEX($AI$12:$AI$263,MATCH($AQ195,$AP$12:$AP$263,0)), "-"),     TRUE, "0")</f>
        <v>0</v>
      </c>
      <c r="BD195" s="588">
        <f>IF(BC$9&gt;0, IF(OR(BC195="",BC195="-"), 0, BC195*$AT195), BB195*$AJ195)</f>
        <v>0</v>
      </c>
      <c r="BE195" s="587">
        <f>[1]COMMANDE!U193</f>
        <v>0</v>
      </c>
      <c r="BF195" s="586" t="str">
        <f>_xlfn.IFS(AND($AI195=$AM195,$AI195&gt;0,$AM195&gt;0,BE195&gt;0), BE195,     AND(NOT($AI195=$AM195),$AI195&gt;0,$AM195&gt;0,BE195&gt;0), ($AM195*BE195)/$AI195,     AND($AI195=0,$AM195&gt;0,$AQ195&gt;0), IF(INDEX(BE$12:BE$263,MATCH($AQ195,$AP$12:$AP$263,0))&gt;0,($AM195*INDEX(BE$12:BE$263,MATCH($AQ195,$AP$12:$AP$263,0)))/INDEX($AI$12:$AI$263,MATCH($AQ195,$AP$12:$AP$263,0)), "-"),     TRUE, "0")</f>
        <v>0</v>
      </c>
      <c r="BG195" s="607">
        <f>IF(BF$9&gt;0, IF(OR(BF195="",BF195="-"), 0, BF195*$AT195), BE195*$AJ195)</f>
        <v>0</v>
      </c>
      <c r="BH195" s="589">
        <f>[1]COMMANDE!W193</f>
        <v>0</v>
      </c>
      <c r="BI195" s="586" t="str">
        <f>_xlfn.IFS(AND($AI195=$AM195,$AI195&gt;0,$AM195&gt;0,BH195&gt;0), BH195,     AND(NOT($AI195=$AM195),$AI195&gt;0,$AM195&gt;0,BH195&gt;0), ($AM195*BH195)/$AI195,     AND($AI195=0,$AM195&gt;0,$AQ195&gt;0), IF(INDEX(BH$12:BH$263,MATCH($AQ195,$AP$12:$AP$263,0))&gt;0,($AM195*INDEX(BH$12:BH$263,MATCH($AQ195,$AP$12:$AP$263,0)))/INDEX($AI$12:$AI$263,MATCH($AQ195,$AP$12:$AP$263,0)), "-"),     TRUE, "0")</f>
        <v>0</v>
      </c>
      <c r="BJ195" s="588">
        <f>IF(BI$9&gt;0, IF(OR(BI195="",BI195="-"), 0, BI195*$AT195), BH195*$AJ195)</f>
        <v>0</v>
      </c>
      <c r="BK195" s="587">
        <f>[1]COMMANDE!Y193</f>
        <v>0</v>
      </c>
      <c r="BL195" s="586" t="str">
        <f>_xlfn.IFS(AND($AI195=$AM195,$AI195&gt;0,$AM195&gt;0,BK195&gt;0), BK195,     AND(NOT($AI195=$AM195),$AI195&gt;0,$AM195&gt;0,BK195&gt;0), ($AM195*BK195)/$AI195,     AND($AI195=0,$AM195&gt;0,$AQ195&gt;0), IF(INDEX(BK$12:BK$263,MATCH($AQ195,$AP$12:$AP$263,0))&gt;0,($AM195*INDEX(BK$12:BK$263,MATCH($AQ195,$AP$12:$AP$263,0)))/INDEX($AI$12:$AI$263,MATCH($AQ195,$AP$12:$AP$263,0)), "-"),     TRUE, "0")</f>
        <v>0</v>
      </c>
      <c r="BM195" s="607">
        <f>IF(BL$9&gt;0, IF(OR(BL195="",BL195="-"), 0, BL195*$AT195), BK195*$AJ195)</f>
        <v>0</v>
      </c>
      <c r="BN195" s="589">
        <f>[1]COMMANDE!AA193</f>
        <v>0</v>
      </c>
      <c r="BO195" s="586" t="str">
        <f>_xlfn.IFS(AND($AI195=$AM195,$AI195&gt;0,$AM195&gt;0,BN195&gt;0), BN195,     AND(NOT($AI195=$AM195),$AI195&gt;0,$AM195&gt;0,BN195&gt;0), ($AM195*BN195)/$AI195,     AND($AI195=0,$AM195&gt;0,$AQ195&gt;0), IF(INDEX(BN$12:BN$263,MATCH($AQ195,$AP$12:$AP$263,0))&gt;0,($AM195*INDEX(BN$12:BN$263,MATCH($AQ195,$AP$12:$AP$263,0)))/INDEX($AI$12:$AI$263,MATCH($AQ195,$AP$12:$AP$263,0)), "-"),     TRUE, "0")</f>
        <v>0</v>
      </c>
      <c r="BP195" s="588">
        <f>IF(BO$9&gt;0, IF(OR(BO195="",BO195="-"), 0, BO195*$AT195), BN195*$AJ195)</f>
        <v>0</v>
      </c>
      <c r="BQ195" s="587">
        <f>[1]COMMANDE!AC193</f>
        <v>0</v>
      </c>
      <c r="BR195" s="586" t="str">
        <f>_xlfn.IFS(AND($AI195=$AM195,$AI195&gt;0,$AM195&gt;0,BQ195&gt;0), BQ195,     AND(NOT($AI195=$AM195),$AI195&gt;0,$AM195&gt;0,BQ195&gt;0), ($AM195*BQ195)/$AI195,     AND($AI195=0,$AM195&gt;0,$AQ195&gt;0), IF(INDEX(BQ$12:BQ$263,MATCH($AQ195,$AP$12:$AP$263,0))&gt;0,($AM195*INDEX(BQ$12:BQ$263,MATCH($AQ195,$AP$12:$AP$263,0)))/INDEX($AI$12:$AI$263,MATCH($AQ195,$AP$12:$AP$263,0)), "-"),     TRUE, "0")</f>
        <v>0</v>
      </c>
      <c r="BS195" s="607">
        <f>IF(BR$9&gt;0, IF(OR(BR195="",BR195="-"), 0, BR195*$AT195), BQ195*$AJ195)</f>
        <v>0</v>
      </c>
      <c r="BT195" s="589">
        <f>[1]COMMANDE!AE193</f>
        <v>0</v>
      </c>
      <c r="BU195" s="586" t="str">
        <f>_xlfn.IFS(AND($AI195=$AM195,$AI195&gt;0,$AM195&gt;0,BT195&gt;0), BT195,     AND(NOT($AI195=$AM195),$AI195&gt;0,$AM195&gt;0,BT195&gt;0), ($AM195*BT195)/$AI195,     AND($AI195=0,$AM195&gt;0,$AQ195&gt;0), IF(INDEX(BT$12:BT$263,MATCH($AQ195,$AP$12:$AP$263,0))&gt;0,($AM195*INDEX(BT$12:BT$263,MATCH($AQ195,$AP$12:$AP$263,0)))/INDEX($AI$12:$AI$263,MATCH($AQ195,$AP$12:$AP$263,0)), "-"),     TRUE, "0")</f>
        <v>0</v>
      </c>
      <c r="BV195" s="588">
        <f>IF(BU$9&gt;0, IF(OR(BU195="",BU195="-"), 0, BU195*$AT195), BT195*$AJ195)</f>
        <v>0</v>
      </c>
      <c r="BW195" s="587">
        <f>[1]COMMANDE!AG193</f>
        <v>0</v>
      </c>
      <c r="BX195" s="586" t="str">
        <f>_xlfn.IFS(AND($AI195=$AM195,$AI195&gt;0,$AM195&gt;0,BW195&gt;0), BW195,     AND(NOT($AI195=$AM195),$AI195&gt;0,$AM195&gt;0,BW195&gt;0), ($AM195*BW195)/$AI195,     AND($AI195=0,$AM195&gt;0,$AQ195&gt;0), IF(INDEX(BW$12:BW$263,MATCH($AQ195,$AP$12:$AP$263,0))&gt;0,($AM195*INDEX(BW$12:BW$263,MATCH($AQ195,$AP$12:$AP$263,0)))/INDEX($AI$12:$AI$263,MATCH($AQ195,$AP$12:$AP$263,0)), "-"),     TRUE, "0")</f>
        <v>0</v>
      </c>
      <c r="BY195" s="607">
        <f>IF(BX$9&gt;0, IF(OR(BX195="",BX195="-"), 0, BX195*$AT195), BW195*$AJ195)</f>
        <v>0</v>
      </c>
      <c r="BZ195" s="589">
        <f>[1]COMMANDE!AI193</f>
        <v>0</v>
      </c>
      <c r="CA195" s="586" t="str">
        <f>_xlfn.IFS(AND($AI195=$AM195,$AI195&gt;0,$AM195&gt;0,BZ195&gt;0), BZ195,     AND(NOT($AI195=$AM195),$AI195&gt;0,$AM195&gt;0,BZ195&gt;0), ($AM195*BZ195)/$AI195,     AND($AI195=0,$AM195&gt;0,$AQ195&gt;0), IF(INDEX(BZ$12:BZ$263,MATCH($AQ195,$AP$12:$AP$263,0))&gt;0,($AM195*INDEX(BZ$12:BZ$263,MATCH($AQ195,$AP$12:$AP$263,0)))/INDEX($AI$12:$AI$263,MATCH($AQ195,$AP$12:$AP$263,0)), "-"),     TRUE, "0")</f>
        <v>0</v>
      </c>
      <c r="CB195" s="588">
        <f>IF(CA$9&gt;0, IF(OR(CA195="",CA195="-"), 0, CA195*$AT195), BZ195*$AJ195)</f>
        <v>0</v>
      </c>
      <c r="CC195" s="587">
        <f>[1]COMMANDE!AK193</f>
        <v>0</v>
      </c>
      <c r="CD195" s="586" t="str">
        <f>_xlfn.IFS(AND($AI195=$AM195,$AI195&gt;0,$AM195&gt;0,CC195&gt;0), CC195,     AND(NOT($AI195=$AM195),$AI195&gt;0,$AM195&gt;0,CC195&gt;0), ($AM195*CC195)/$AI195,     AND($AI195=0,$AM195&gt;0,$AQ195&gt;0), IF(INDEX(CC$12:CC$263,MATCH($AQ195,$AP$12:$AP$263,0))&gt;0,($AM195*INDEX(CC$12:CC$263,MATCH($AQ195,$AP$12:$AP$263,0)))/INDEX($AI$12:$AI$263,MATCH($AQ195,$AP$12:$AP$263,0)), "-"),     TRUE, "0")</f>
        <v>0</v>
      </c>
      <c r="CE195" s="607">
        <f>IF(CD$9&gt;0, IF(OR(CD195="",CD195="-"), 0, CD195*$AT195), CC195*$AJ195)</f>
        <v>0</v>
      </c>
      <c r="CF195" s="589">
        <f>[1]COMMANDE!AM193</f>
        <v>0</v>
      </c>
      <c r="CG195" s="586" t="str">
        <f>_xlfn.IFS(AND($AI195=$AM195,$AI195&gt;0,$AM195&gt;0,CF195&gt;0), CF195,     AND(NOT($AI195=$AM195),$AI195&gt;0,$AM195&gt;0,CF195&gt;0), ($AM195*CF195)/$AI195,     AND($AI195=0,$AM195&gt;0,$AQ195&gt;0), IF(INDEX(CF$12:CF$263,MATCH($AQ195,$AP$12:$AP$263,0))&gt;0,($AM195*INDEX(CF$12:CF$263,MATCH($AQ195,$AP$12:$AP$263,0)))/INDEX($AI$12:$AI$263,MATCH($AQ195,$AP$12:$AP$263,0)), "-"),     TRUE, "0")</f>
        <v>0</v>
      </c>
      <c r="CH195" s="588">
        <f>IF(CG$9&gt;0, IF(OR(CG195="",CG195="-"), 0, CG195*$AT195), CF195*$AJ195)</f>
        <v>0</v>
      </c>
      <c r="CI195" s="587">
        <f>[1]COMMANDE!AO193</f>
        <v>0</v>
      </c>
      <c r="CJ195" s="586" t="str">
        <f>_xlfn.IFS(AND($AI195=$AM195,$AI195&gt;0,$AM195&gt;0,CI195&gt;0), CI195,     AND(NOT($AI195=$AM195),$AI195&gt;0,$AM195&gt;0,CI195&gt;0), ($AM195*CI195)/$AI195,     AND($AI195=0,$AM195&gt;0,$AQ195&gt;0), IF(INDEX(CI$12:CI$263,MATCH($AQ195,$AP$12:$AP$263,0))&gt;0,($AM195*INDEX(CI$12:CI$263,MATCH($AQ195,$AP$12:$AP$263,0)))/INDEX($AI$12:$AI$263,MATCH($AQ195,$AP$12:$AP$263,0)), "-"),     TRUE, "0")</f>
        <v>0</v>
      </c>
      <c r="CK195" s="607">
        <f>IF(CJ$9&gt;0, IF(OR(CJ195="",CJ195="-"), 0, CJ195*$AT195), CI195*$AJ195)</f>
        <v>0</v>
      </c>
      <c r="CL195" s="589">
        <f>[1]COMMANDE!AQ193</f>
        <v>0</v>
      </c>
      <c r="CM195" s="586" t="str">
        <f>_xlfn.IFS(AND($AI195=$AM195,$AI195&gt;0,$AM195&gt;0,CL195&gt;0), CL195,     AND(NOT($AI195=$AM195),$AI195&gt;0,$AM195&gt;0,CL195&gt;0), ($AM195*CL195)/$AI195,     AND($AI195=0,$AM195&gt;0,$AQ195&gt;0), IF(INDEX(CL$12:CL$263,MATCH($AQ195,$AP$12:$AP$263,0))&gt;0,($AM195*INDEX(CL$12:CL$263,MATCH($AQ195,$AP$12:$AP$263,0)))/INDEX($AI$12:$AI$263,MATCH($AQ195,$AP$12:$AP$263,0)), "-"),     TRUE, "0")</f>
        <v>0</v>
      </c>
      <c r="CN195" s="588">
        <f>IF(CM$9&gt;0, IF(OR(CM195="",CM195="-"), 0, CM195*$AT195), CL195*$AJ195)</f>
        <v>0</v>
      </c>
      <c r="CO195" s="587">
        <f>[1]COMMANDE!AS193</f>
        <v>0</v>
      </c>
      <c r="CP195" s="586" t="str">
        <f>_xlfn.IFS(AND($AI195=$AM195,$AI195&gt;0,$AM195&gt;0,CO195&gt;0), CO195,     AND(NOT($AI195=$AM195),$AI195&gt;0,$AM195&gt;0,CO195&gt;0), ($AM195*CO195)/$AI195,     AND($AI195=0,$AM195&gt;0,$AQ195&gt;0), IF(INDEX(CO$12:CO$263,MATCH($AQ195,$AP$12:$AP$263,0))&gt;0,($AM195*INDEX(CO$12:CO$263,MATCH($AQ195,$AP$12:$AP$263,0)))/INDEX($AI$12:$AI$263,MATCH($AQ195,$AP$12:$AP$263,0)), "-"),     TRUE, "0")</f>
        <v>0</v>
      </c>
      <c r="CQ195" s="607">
        <f>IF(CP$9&gt;0, IF(OR(CP195="",CP195="-"), 0, CP195*$AT195), CO195*$AJ195)</f>
        <v>0</v>
      </c>
      <c r="CR195" s="589">
        <f>[1]COMMANDE!AU193</f>
        <v>0</v>
      </c>
      <c r="CS195" s="586" t="str">
        <f>_xlfn.IFS(AND($AI195=$AM195,$AI195&gt;0,$AM195&gt;0,CR195&gt;0), CR195,     AND(NOT($AI195=$AM195),$AI195&gt;0,$AM195&gt;0,CR195&gt;0), ($AM195*CR195)/$AI195,     AND($AI195=0,$AM195&gt;0,$AQ195&gt;0), IF(INDEX(CR$12:CR$263,MATCH($AQ195,$AP$12:$AP$263,0))&gt;0,($AM195*INDEX(CR$12:CR$263,MATCH($AQ195,$AP$12:$AP$263,0)))/INDEX($AI$12:$AI$263,MATCH($AQ195,$AP$12:$AP$263,0)), "-"),     TRUE, "0")</f>
        <v>0</v>
      </c>
      <c r="CT195" s="588">
        <f>IF(CS$9&gt;0, IF(OR(CS195="",CS195="-"), 0, CS195*$AT195), CR195*$AJ195)</f>
        <v>0</v>
      </c>
      <c r="CU195" s="587">
        <f>[1]COMMANDE!AW193</f>
        <v>0</v>
      </c>
      <c r="CV195" s="586" t="str">
        <f>_xlfn.IFS(AND($AI195=$AM195,$AI195&gt;0,$AM195&gt;0,CU195&gt;0), CU195,     AND(NOT($AI195=$AM195),$AI195&gt;0,$AM195&gt;0,CU195&gt;0), ($AM195*CU195)/$AI195,     AND($AI195=0,$AM195&gt;0,$AQ195&gt;0), IF(INDEX(CU$12:CU$263,MATCH($AQ195,$AP$12:$AP$263,0))&gt;0,($AM195*INDEX(CU$12:CU$263,MATCH($AQ195,$AP$12:$AP$263,0)))/INDEX($AI$12:$AI$263,MATCH($AQ195,$AP$12:$AP$263,0)), "-"),     TRUE, "0")</f>
        <v>0</v>
      </c>
      <c r="CW195" s="607">
        <f>IF(CV$9&gt;0, IF(OR(CV195="",CV195="-"), 0, CV195*$AT195), CU195*$AJ195)</f>
        <v>0</v>
      </c>
      <c r="CX195" s="589">
        <f>[1]COMMANDE!AY193</f>
        <v>0</v>
      </c>
      <c r="CY195" s="586" t="str">
        <f>_xlfn.IFS(AND($AI195=$AM195,$AI195&gt;0,$AM195&gt;0,CX195&gt;0), CX195,     AND(NOT($AI195=$AM195),$AI195&gt;0,$AM195&gt;0,CX195&gt;0), ($AM195*CX195)/$AI195,     AND($AI195=0,$AM195&gt;0,$AQ195&gt;0), IF(INDEX(CX$12:CX$263,MATCH($AQ195,$AP$12:$AP$263,0))&gt;0,($AM195*INDEX(CX$12:CX$263,MATCH($AQ195,$AP$12:$AP$263,0)))/INDEX($AI$12:$AI$263,MATCH($AQ195,$AP$12:$AP$263,0)), "-"),     TRUE, "0")</f>
        <v>0</v>
      </c>
      <c r="CZ195" s="588">
        <f>IF(CY$9&gt;0, IF(OR(CY195="",CY195="-"), 0, CY195*$AT195), CX195*$AJ195)</f>
        <v>0</v>
      </c>
      <c r="DA195" s="587">
        <f>[1]COMMANDE!BA193</f>
        <v>0</v>
      </c>
      <c r="DB195" s="586" t="str">
        <f>_xlfn.IFS(AND($AI195=$AM195,$AI195&gt;0,$AM195&gt;0,DA195&gt;0), DA195,     AND(NOT($AI195=$AM195),$AI195&gt;0,$AM195&gt;0,DA195&gt;0), ($AM195*DA195)/$AI195,     AND($AI195=0,$AM195&gt;0,$AQ195&gt;0), IF(INDEX(DA$12:DA$263,MATCH($AQ195,$AP$12:$AP$263,0))&gt;0,($AM195*INDEX(DA$12:DA$263,MATCH($AQ195,$AP$12:$AP$263,0)))/INDEX($AI$12:$AI$263,MATCH($AQ195,$AP$12:$AP$263,0)), "-"),     TRUE, "0")</f>
        <v>0</v>
      </c>
      <c r="DC195" s="606">
        <f>IF(DB$9&gt;0, IF(OR(DB195="",DB195="-"), 0, DB195*$AT195), DA195*$AJ195)</f>
        <v>0</v>
      </c>
      <c r="DD195" s="584"/>
      <c r="DE195" s="583"/>
    </row>
    <row r="196" spans="1:109" ht="39.950000000000003" hidden="1" customHeight="1">
      <c r="A196" s="604">
        <f>IF(OR($AV196&gt;0, $AX196&gt;0), 1, 0)</f>
        <v>0</v>
      </c>
      <c r="B196" s="604">
        <f>IF(OR($AY196&gt;0, $BA196&gt;0), 1, 0)</f>
        <v>0</v>
      </c>
      <c r="C196" s="604">
        <f>IF(OR($BB196&gt;0, $BD196&gt;0), 1, 0)</f>
        <v>0</v>
      </c>
      <c r="D196" s="604">
        <f>IF(OR($BE196&gt;0, $BG196&gt;0), 1, 0)</f>
        <v>0</v>
      </c>
      <c r="E196" s="604">
        <f>IF(OR($BH196&gt;0, $BJ196&gt;0), 1, 0)</f>
        <v>0</v>
      </c>
      <c r="F196" s="604">
        <f>IF(OR($BK196&gt;0, $BM196&gt;0), 1, 0)</f>
        <v>0</v>
      </c>
      <c r="G196" s="604">
        <f>IF(OR($BN196&gt;0, $BP196&gt;0), 1, 0)</f>
        <v>0</v>
      </c>
      <c r="H196" s="604">
        <f>IF(OR($BQ196&gt;0, $BS196&gt;0), 1, 0)</f>
        <v>0</v>
      </c>
      <c r="I196" s="604">
        <f>IF(OR($BT196&gt;0, $BV196&gt;0), 1, 0)</f>
        <v>0</v>
      </c>
      <c r="J196" s="604">
        <f>IF(OR($BW196&gt;0, $BY196&gt;0), 1, 0)</f>
        <v>0</v>
      </c>
      <c r="K196" s="604">
        <f>IF(OR($BZ196&gt;0, $CB196&gt;0), 1, 0)</f>
        <v>0</v>
      </c>
      <c r="L196" s="604">
        <f>IF(OR($CC196&gt;0, $CE196&gt;0), 1, 0)</f>
        <v>0</v>
      </c>
      <c r="M196" s="604">
        <f>IF(OR($CF196&gt;0, $CH196&gt;0), 1, 0)</f>
        <v>0</v>
      </c>
      <c r="N196" s="604">
        <f>IF(OR($CI196&gt;0, $CK196&gt;0), 1, 0)</f>
        <v>0</v>
      </c>
      <c r="O196" s="604">
        <f>IF(OR($CL196&gt;0, $CN196&gt;0), 1, 0)</f>
        <v>0</v>
      </c>
      <c r="P196" s="604">
        <f>IF(OR($CO196&gt;0, $CQ196&gt;0), 1, 0)</f>
        <v>0</v>
      </c>
      <c r="Q196" s="604">
        <f>IF(OR($CR196&gt;0, $CT196&gt;0), 1, 0)</f>
        <v>0</v>
      </c>
      <c r="R196" s="604">
        <f>IF(OR($CU196&gt;0, $CW196&gt;0), 1, 0)</f>
        <v>0</v>
      </c>
      <c r="S196" s="604">
        <f>IF(OR($CX196&gt;0, $CZ196&gt;0), 1, 0)</f>
        <v>0</v>
      </c>
      <c r="T196" s="604">
        <f>IF(OR($DA196&gt;0, $DC196&gt;0), 1, 0)</f>
        <v>0</v>
      </c>
      <c r="U196" s="603">
        <f>IF(OR($AI196&gt;0,$AM196&gt;0,$AS196&gt;0), 1, 0)</f>
        <v>0</v>
      </c>
      <c r="V196" s="602">
        <f>[1]BDD!A186</f>
        <v>6025</v>
      </c>
      <c r="W196" s="601" t="str">
        <f>[1]BDD!B186</f>
        <v>Olives Aloreña BIO saumurées non pasteurisées (Bocal 800g)</v>
      </c>
      <c r="X196" s="600" t="str">
        <f>IF([1]BDD!F186=0, "", [1]BDD!F186)</f>
        <v/>
      </c>
      <c r="Y196" s="542">
        <f>ROUND([1]BDD!G186+FDP_CMD_KG, 2)</f>
        <v>6.32</v>
      </c>
      <c r="Z196" s="542">
        <f>ROUND([1]BDD!G186+FDP_FACT_KG, 2)</f>
        <v>6.32</v>
      </c>
      <c r="AA196" s="543" t="str">
        <f>[1]BDD!H186</f>
        <v>Pièce</v>
      </c>
      <c r="AB196" s="544">
        <f>IF(NOT(ISBLANK([1]BDD!I186)), ROUND(SUM(([1]BDD!G186*reduc1),FDP_CMD_KG), 2), "")</f>
        <v>5.78</v>
      </c>
      <c r="AC196" s="544" t="str">
        <f>IF(NOT(ISBLANK([1]BDD!J186)), ROUND(SUM(([1]BDD!G186*reduc2),FDP_CMD_KG), 2), "")</f>
        <v/>
      </c>
      <c r="AD196" s="544" t="str">
        <f>IF(NOT(ISBLANK([1]BDD!K186)), ROUND(SUM(([1]BDD!G186*reduc3),FDP_CMD_KG), 2), "")</f>
        <v/>
      </c>
      <c r="AE196" s="544">
        <f>IF(NOT(ISBLANK([1]BDD!I186)), ROUND(SUM(([1]BDD!G186*reduc1),FDP_FACT_KG), 2), "")</f>
        <v>5.77</v>
      </c>
      <c r="AF196" s="544" t="str">
        <f>IF(NOT(ISBLANK([1]BDD!J186)), ROUND(SUM(([1]BDD!G186*reduc2),FDP_FACT_KG), 2), "")</f>
        <v/>
      </c>
      <c r="AG196" s="544" t="str">
        <f>IF(NOT(ISBLANK([1]BDD!K186)), ROUND(SUM(([1]BDD!G186*reduc3),FDP_FACT_KG), 2), "")</f>
        <v/>
      </c>
      <c r="AH196" s="599" t="str">
        <f>[1]BDD!C186</f>
        <v>Malaga</v>
      </c>
      <c r="AI196" s="598">
        <f>SUM(AV196,AY196,BB196,BE196,BH196,BK196,BN196,BQ196,BT196,BW196,BZ196,CC196,CF196,CI196,CL196,CO196,CR196,CU196,CX196,DA196)</f>
        <v>0</v>
      </c>
      <c r="AJ196" s="545">
        <f>_xlfn.IFS($AD196&lt;&gt;"", $AD196,    $AC196&lt;&gt;"", $AC196,    $AB196&lt;&gt;"", $AB196,    TRUE, $Y196)</f>
        <v>5.78</v>
      </c>
      <c r="AK196" s="592">
        <f>$AI196*$AJ196</f>
        <v>0</v>
      </c>
      <c r="AL196" s="594"/>
      <c r="AM196" s="597"/>
      <c r="AN196" s="545">
        <f>_xlfn.IFS(AND(AM196&gt;=60,$AG196&lt;&gt;""), $AG196,    AND(AM196&gt;=30,$AF196&lt;&gt;""), $AF196,    AND(AM196&gt;=10,$AE196&lt;&gt;""), $AE196,    TRUE, $Z196)</f>
        <v>6.32</v>
      </c>
      <c r="AO196" s="596">
        <f>AM196*AN196</f>
        <v>0</v>
      </c>
      <c r="AP196" s="595"/>
      <c r="AQ196" s="595"/>
      <c r="AR196" s="594"/>
      <c r="AS196" s="593">
        <f>SUM(AW196,AZ196,BC196,BF196,BI196,BL196,BO196,BR196,BU196,BX196,CA196,CD196,CG196,CJ196,CM196,CP196,CS196,CV196,CY196,DB196)</f>
        <v>0</v>
      </c>
      <c r="AT196" s="545">
        <f>_xlfn.IFS(AND(AS196&gt;=60,$AG196&lt;&gt;""), $AG196,    AND(AS196&gt;=30,$AF196&lt;&gt;""), $AF196,    AND(AS196&gt;=10,$AE196&lt;&gt;""), $AE196,    TRUE, $Z196)</f>
        <v>6.32</v>
      </c>
      <c r="AU196" s="592">
        <f>$AS196*$AT196</f>
        <v>0</v>
      </c>
      <c r="AV196" s="591">
        <f>[1]COMMANDE!O194</f>
        <v>0</v>
      </c>
      <c r="AW196" s="586" t="str">
        <f>_xlfn.IFS(AND($AI196=$AM196,$AI196&gt;0,$AM196&gt;0,AV196&gt;0), AV196,     AND(NOT($AI196=$AM196),$AI196&gt;0,$AM196&gt;0,AV196&gt;0), ($AM196*AV196)/$AI196,     AND($AI196=0,$AM196&gt;0,$AQ196&gt;0), IF(INDEX(AV$12:AV$263,MATCH($AQ196,$AP$12:$AP$263,0))&gt;0,($AM196*INDEX(AV$12:AV$263,MATCH($AQ196,$AP$12:$AP$263,0)))/INDEX($AI$12:$AI$263,MATCH($AQ196,$AP$12:$AP$263,0)), "-"),     TRUE, "0")</f>
        <v>0</v>
      </c>
      <c r="AX196" s="588">
        <f>IF(AW$9&gt;0, IF(OR(AW196="",AW196="-"), 0, AW196*$AT196), AV196*$AJ196)</f>
        <v>0</v>
      </c>
      <c r="AY196" s="587">
        <f>[1]COMMANDE!Q194</f>
        <v>0</v>
      </c>
      <c r="AZ196" s="586" t="str">
        <f>_xlfn.IFS(AND($AI196=$AM196,$AI196&gt;0,$AM196&gt;0,AY196&gt;0), AY196,     AND(NOT($AI196=$AM196),$AI196&gt;0,$AM196&gt;0,AY196&gt;0), ($AM196*AY196)/$AI196,     AND($AI196=0,$AM196&gt;0,$AQ196&gt;0), IF(INDEX(AY$12:AY$263,MATCH($AQ196,$AP$12:$AP$263,0))&gt;0,($AM196*INDEX(AY$12:AY$263,MATCH($AQ196,$AP$12:$AP$263,0)))/INDEX($AI$12:$AI$263,MATCH($AQ196,$AP$12:$AP$263,0)), "-"),     TRUE, "0")</f>
        <v>0</v>
      </c>
      <c r="BA196" s="607">
        <f>IF(AZ$9&gt;0, IF(OR(AZ196="",AZ196="-"), 0, AZ196*$AT196), AY196*$AJ196)</f>
        <v>0</v>
      </c>
      <c r="BB196" s="589">
        <f>[1]COMMANDE!S194</f>
        <v>0</v>
      </c>
      <c r="BC196" s="586" t="str">
        <f>_xlfn.IFS(AND($AI196=$AM196,$AI196&gt;0,$AM196&gt;0,BB196&gt;0), BB196,     AND(NOT($AI196=$AM196),$AI196&gt;0,$AM196&gt;0,BB196&gt;0), ($AM196*BB196)/$AI196,     AND($AI196=0,$AM196&gt;0,$AQ196&gt;0), IF(INDEX(BB$12:BB$263,MATCH($AQ196,$AP$12:$AP$263,0))&gt;0,($AM196*INDEX(BB$12:BB$263,MATCH($AQ196,$AP$12:$AP$263,0)))/INDEX($AI$12:$AI$263,MATCH($AQ196,$AP$12:$AP$263,0)), "-"),     TRUE, "0")</f>
        <v>0</v>
      </c>
      <c r="BD196" s="588">
        <f>IF(BC$9&gt;0, IF(OR(BC196="",BC196="-"), 0, BC196*$AT196), BB196*$AJ196)</f>
        <v>0</v>
      </c>
      <c r="BE196" s="587">
        <f>[1]COMMANDE!U194</f>
        <v>0</v>
      </c>
      <c r="BF196" s="586" t="str">
        <f>_xlfn.IFS(AND($AI196=$AM196,$AI196&gt;0,$AM196&gt;0,BE196&gt;0), BE196,     AND(NOT($AI196=$AM196),$AI196&gt;0,$AM196&gt;0,BE196&gt;0), ($AM196*BE196)/$AI196,     AND($AI196=0,$AM196&gt;0,$AQ196&gt;0), IF(INDEX(BE$12:BE$263,MATCH($AQ196,$AP$12:$AP$263,0))&gt;0,($AM196*INDEX(BE$12:BE$263,MATCH($AQ196,$AP$12:$AP$263,0)))/INDEX($AI$12:$AI$263,MATCH($AQ196,$AP$12:$AP$263,0)), "-"),     TRUE, "0")</f>
        <v>0</v>
      </c>
      <c r="BG196" s="607">
        <f>IF(BF$9&gt;0, IF(OR(BF196="",BF196="-"), 0, BF196*$AT196), BE196*$AJ196)</f>
        <v>0</v>
      </c>
      <c r="BH196" s="589">
        <f>[1]COMMANDE!W194</f>
        <v>0</v>
      </c>
      <c r="BI196" s="586" t="str">
        <f>_xlfn.IFS(AND($AI196=$AM196,$AI196&gt;0,$AM196&gt;0,BH196&gt;0), BH196,     AND(NOT($AI196=$AM196),$AI196&gt;0,$AM196&gt;0,BH196&gt;0), ($AM196*BH196)/$AI196,     AND($AI196=0,$AM196&gt;0,$AQ196&gt;0), IF(INDEX(BH$12:BH$263,MATCH($AQ196,$AP$12:$AP$263,0))&gt;0,($AM196*INDEX(BH$12:BH$263,MATCH($AQ196,$AP$12:$AP$263,0)))/INDEX($AI$12:$AI$263,MATCH($AQ196,$AP$12:$AP$263,0)), "-"),     TRUE, "0")</f>
        <v>0</v>
      </c>
      <c r="BJ196" s="588">
        <f>IF(BI$9&gt;0, IF(OR(BI196="",BI196="-"), 0, BI196*$AT196), BH196*$AJ196)</f>
        <v>0</v>
      </c>
      <c r="BK196" s="587">
        <f>[1]COMMANDE!Y194</f>
        <v>0</v>
      </c>
      <c r="BL196" s="586" t="str">
        <f>_xlfn.IFS(AND($AI196=$AM196,$AI196&gt;0,$AM196&gt;0,BK196&gt;0), BK196,     AND(NOT($AI196=$AM196),$AI196&gt;0,$AM196&gt;0,BK196&gt;0), ($AM196*BK196)/$AI196,     AND($AI196=0,$AM196&gt;0,$AQ196&gt;0), IF(INDEX(BK$12:BK$263,MATCH($AQ196,$AP$12:$AP$263,0))&gt;0,($AM196*INDEX(BK$12:BK$263,MATCH($AQ196,$AP$12:$AP$263,0)))/INDEX($AI$12:$AI$263,MATCH($AQ196,$AP$12:$AP$263,0)), "-"),     TRUE, "0")</f>
        <v>0</v>
      </c>
      <c r="BM196" s="607">
        <f>IF(BL$9&gt;0, IF(OR(BL196="",BL196="-"), 0, BL196*$AT196), BK196*$AJ196)</f>
        <v>0</v>
      </c>
      <c r="BN196" s="589">
        <f>[1]COMMANDE!AA194</f>
        <v>0</v>
      </c>
      <c r="BO196" s="586" t="str">
        <f>_xlfn.IFS(AND($AI196=$AM196,$AI196&gt;0,$AM196&gt;0,BN196&gt;0), BN196,     AND(NOT($AI196=$AM196),$AI196&gt;0,$AM196&gt;0,BN196&gt;0), ($AM196*BN196)/$AI196,     AND($AI196=0,$AM196&gt;0,$AQ196&gt;0), IF(INDEX(BN$12:BN$263,MATCH($AQ196,$AP$12:$AP$263,0))&gt;0,($AM196*INDEX(BN$12:BN$263,MATCH($AQ196,$AP$12:$AP$263,0)))/INDEX($AI$12:$AI$263,MATCH($AQ196,$AP$12:$AP$263,0)), "-"),     TRUE, "0")</f>
        <v>0</v>
      </c>
      <c r="BP196" s="588">
        <f>IF(BO$9&gt;0, IF(OR(BO196="",BO196="-"), 0, BO196*$AT196), BN196*$AJ196)</f>
        <v>0</v>
      </c>
      <c r="BQ196" s="587">
        <f>[1]COMMANDE!AC194</f>
        <v>0</v>
      </c>
      <c r="BR196" s="586" t="str">
        <f>_xlfn.IFS(AND($AI196=$AM196,$AI196&gt;0,$AM196&gt;0,BQ196&gt;0), BQ196,     AND(NOT($AI196=$AM196),$AI196&gt;0,$AM196&gt;0,BQ196&gt;0), ($AM196*BQ196)/$AI196,     AND($AI196=0,$AM196&gt;0,$AQ196&gt;0), IF(INDEX(BQ$12:BQ$263,MATCH($AQ196,$AP$12:$AP$263,0))&gt;0,($AM196*INDEX(BQ$12:BQ$263,MATCH($AQ196,$AP$12:$AP$263,0)))/INDEX($AI$12:$AI$263,MATCH($AQ196,$AP$12:$AP$263,0)), "-"),     TRUE, "0")</f>
        <v>0</v>
      </c>
      <c r="BS196" s="607">
        <f>IF(BR$9&gt;0, IF(OR(BR196="",BR196="-"), 0, BR196*$AT196), BQ196*$AJ196)</f>
        <v>0</v>
      </c>
      <c r="BT196" s="589">
        <f>[1]COMMANDE!AE194</f>
        <v>0</v>
      </c>
      <c r="BU196" s="586" t="str">
        <f>_xlfn.IFS(AND($AI196=$AM196,$AI196&gt;0,$AM196&gt;0,BT196&gt;0), BT196,     AND(NOT($AI196=$AM196),$AI196&gt;0,$AM196&gt;0,BT196&gt;0), ($AM196*BT196)/$AI196,     AND($AI196=0,$AM196&gt;0,$AQ196&gt;0), IF(INDEX(BT$12:BT$263,MATCH($AQ196,$AP$12:$AP$263,0))&gt;0,($AM196*INDEX(BT$12:BT$263,MATCH($AQ196,$AP$12:$AP$263,0)))/INDEX($AI$12:$AI$263,MATCH($AQ196,$AP$12:$AP$263,0)), "-"),     TRUE, "0")</f>
        <v>0</v>
      </c>
      <c r="BV196" s="588">
        <f>IF(BU$9&gt;0, IF(OR(BU196="",BU196="-"), 0, BU196*$AT196), BT196*$AJ196)</f>
        <v>0</v>
      </c>
      <c r="BW196" s="587">
        <f>[1]COMMANDE!AG194</f>
        <v>0</v>
      </c>
      <c r="BX196" s="586" t="str">
        <f>_xlfn.IFS(AND($AI196=$AM196,$AI196&gt;0,$AM196&gt;0,BW196&gt;0), BW196,     AND(NOT($AI196=$AM196),$AI196&gt;0,$AM196&gt;0,BW196&gt;0), ($AM196*BW196)/$AI196,     AND($AI196=0,$AM196&gt;0,$AQ196&gt;0), IF(INDEX(BW$12:BW$263,MATCH($AQ196,$AP$12:$AP$263,0))&gt;0,($AM196*INDEX(BW$12:BW$263,MATCH($AQ196,$AP$12:$AP$263,0)))/INDEX($AI$12:$AI$263,MATCH($AQ196,$AP$12:$AP$263,0)), "-"),     TRUE, "0")</f>
        <v>0</v>
      </c>
      <c r="BY196" s="607">
        <f>IF(BX$9&gt;0, IF(OR(BX196="",BX196="-"), 0, BX196*$AT196), BW196*$AJ196)</f>
        <v>0</v>
      </c>
      <c r="BZ196" s="589">
        <f>[1]COMMANDE!AI194</f>
        <v>0</v>
      </c>
      <c r="CA196" s="586" t="str">
        <f>_xlfn.IFS(AND($AI196=$AM196,$AI196&gt;0,$AM196&gt;0,BZ196&gt;0), BZ196,     AND(NOT($AI196=$AM196),$AI196&gt;0,$AM196&gt;0,BZ196&gt;0), ($AM196*BZ196)/$AI196,     AND($AI196=0,$AM196&gt;0,$AQ196&gt;0), IF(INDEX(BZ$12:BZ$263,MATCH($AQ196,$AP$12:$AP$263,0))&gt;0,($AM196*INDEX(BZ$12:BZ$263,MATCH($AQ196,$AP$12:$AP$263,0)))/INDEX($AI$12:$AI$263,MATCH($AQ196,$AP$12:$AP$263,0)), "-"),     TRUE, "0")</f>
        <v>0</v>
      </c>
      <c r="CB196" s="588">
        <f>IF(CA$9&gt;0, IF(OR(CA196="",CA196="-"), 0, CA196*$AT196), BZ196*$AJ196)</f>
        <v>0</v>
      </c>
      <c r="CC196" s="587">
        <f>[1]COMMANDE!AK194</f>
        <v>0</v>
      </c>
      <c r="CD196" s="586" t="str">
        <f>_xlfn.IFS(AND($AI196=$AM196,$AI196&gt;0,$AM196&gt;0,CC196&gt;0), CC196,     AND(NOT($AI196=$AM196),$AI196&gt;0,$AM196&gt;0,CC196&gt;0), ($AM196*CC196)/$AI196,     AND($AI196=0,$AM196&gt;0,$AQ196&gt;0), IF(INDEX(CC$12:CC$263,MATCH($AQ196,$AP$12:$AP$263,0))&gt;0,($AM196*INDEX(CC$12:CC$263,MATCH($AQ196,$AP$12:$AP$263,0)))/INDEX($AI$12:$AI$263,MATCH($AQ196,$AP$12:$AP$263,0)), "-"),     TRUE, "0")</f>
        <v>0</v>
      </c>
      <c r="CE196" s="607">
        <f>IF(CD$9&gt;0, IF(OR(CD196="",CD196="-"), 0, CD196*$AT196), CC196*$AJ196)</f>
        <v>0</v>
      </c>
      <c r="CF196" s="589">
        <f>[1]COMMANDE!AM194</f>
        <v>0</v>
      </c>
      <c r="CG196" s="586" t="str">
        <f>_xlfn.IFS(AND($AI196=$AM196,$AI196&gt;0,$AM196&gt;0,CF196&gt;0), CF196,     AND(NOT($AI196=$AM196),$AI196&gt;0,$AM196&gt;0,CF196&gt;0), ($AM196*CF196)/$AI196,     AND($AI196=0,$AM196&gt;0,$AQ196&gt;0), IF(INDEX(CF$12:CF$263,MATCH($AQ196,$AP$12:$AP$263,0))&gt;0,($AM196*INDEX(CF$12:CF$263,MATCH($AQ196,$AP$12:$AP$263,0)))/INDEX($AI$12:$AI$263,MATCH($AQ196,$AP$12:$AP$263,0)), "-"),     TRUE, "0")</f>
        <v>0</v>
      </c>
      <c r="CH196" s="588">
        <f>IF(CG$9&gt;0, IF(OR(CG196="",CG196="-"), 0, CG196*$AT196), CF196*$AJ196)</f>
        <v>0</v>
      </c>
      <c r="CI196" s="587">
        <f>[1]COMMANDE!AO194</f>
        <v>0</v>
      </c>
      <c r="CJ196" s="586" t="str">
        <f>_xlfn.IFS(AND($AI196=$AM196,$AI196&gt;0,$AM196&gt;0,CI196&gt;0), CI196,     AND(NOT($AI196=$AM196),$AI196&gt;0,$AM196&gt;0,CI196&gt;0), ($AM196*CI196)/$AI196,     AND($AI196=0,$AM196&gt;0,$AQ196&gt;0), IF(INDEX(CI$12:CI$263,MATCH($AQ196,$AP$12:$AP$263,0))&gt;0,($AM196*INDEX(CI$12:CI$263,MATCH($AQ196,$AP$12:$AP$263,0)))/INDEX($AI$12:$AI$263,MATCH($AQ196,$AP$12:$AP$263,0)), "-"),     TRUE, "0")</f>
        <v>0</v>
      </c>
      <c r="CK196" s="607">
        <f>IF(CJ$9&gt;0, IF(OR(CJ196="",CJ196="-"), 0, CJ196*$AT196), CI196*$AJ196)</f>
        <v>0</v>
      </c>
      <c r="CL196" s="589">
        <f>[1]COMMANDE!AQ194</f>
        <v>0</v>
      </c>
      <c r="CM196" s="586" t="str">
        <f>_xlfn.IFS(AND($AI196=$AM196,$AI196&gt;0,$AM196&gt;0,CL196&gt;0), CL196,     AND(NOT($AI196=$AM196),$AI196&gt;0,$AM196&gt;0,CL196&gt;0), ($AM196*CL196)/$AI196,     AND($AI196=0,$AM196&gt;0,$AQ196&gt;0), IF(INDEX(CL$12:CL$263,MATCH($AQ196,$AP$12:$AP$263,0))&gt;0,($AM196*INDEX(CL$12:CL$263,MATCH($AQ196,$AP$12:$AP$263,0)))/INDEX($AI$12:$AI$263,MATCH($AQ196,$AP$12:$AP$263,0)), "-"),     TRUE, "0")</f>
        <v>0</v>
      </c>
      <c r="CN196" s="588">
        <f>IF(CM$9&gt;0, IF(OR(CM196="",CM196="-"), 0, CM196*$AT196), CL196*$AJ196)</f>
        <v>0</v>
      </c>
      <c r="CO196" s="587">
        <f>[1]COMMANDE!AS194</f>
        <v>0</v>
      </c>
      <c r="CP196" s="586" t="str">
        <f>_xlfn.IFS(AND($AI196=$AM196,$AI196&gt;0,$AM196&gt;0,CO196&gt;0), CO196,     AND(NOT($AI196=$AM196),$AI196&gt;0,$AM196&gt;0,CO196&gt;0), ($AM196*CO196)/$AI196,     AND($AI196=0,$AM196&gt;0,$AQ196&gt;0), IF(INDEX(CO$12:CO$263,MATCH($AQ196,$AP$12:$AP$263,0))&gt;0,($AM196*INDEX(CO$12:CO$263,MATCH($AQ196,$AP$12:$AP$263,0)))/INDEX($AI$12:$AI$263,MATCH($AQ196,$AP$12:$AP$263,0)), "-"),     TRUE, "0")</f>
        <v>0</v>
      </c>
      <c r="CQ196" s="607">
        <f>IF(CP$9&gt;0, IF(OR(CP196="",CP196="-"), 0, CP196*$AT196), CO196*$AJ196)</f>
        <v>0</v>
      </c>
      <c r="CR196" s="589">
        <f>[1]COMMANDE!AU194</f>
        <v>0</v>
      </c>
      <c r="CS196" s="586" t="str">
        <f>_xlfn.IFS(AND($AI196=$AM196,$AI196&gt;0,$AM196&gt;0,CR196&gt;0), CR196,     AND(NOT($AI196=$AM196),$AI196&gt;0,$AM196&gt;0,CR196&gt;0), ($AM196*CR196)/$AI196,     AND($AI196=0,$AM196&gt;0,$AQ196&gt;0), IF(INDEX(CR$12:CR$263,MATCH($AQ196,$AP$12:$AP$263,0))&gt;0,($AM196*INDEX(CR$12:CR$263,MATCH($AQ196,$AP$12:$AP$263,0)))/INDEX($AI$12:$AI$263,MATCH($AQ196,$AP$12:$AP$263,0)), "-"),     TRUE, "0")</f>
        <v>0</v>
      </c>
      <c r="CT196" s="588">
        <f>IF(CS$9&gt;0, IF(OR(CS196="",CS196="-"), 0, CS196*$AT196), CR196*$AJ196)</f>
        <v>0</v>
      </c>
      <c r="CU196" s="587">
        <f>[1]COMMANDE!AW194</f>
        <v>0</v>
      </c>
      <c r="CV196" s="586" t="str">
        <f>_xlfn.IFS(AND($AI196=$AM196,$AI196&gt;0,$AM196&gt;0,CU196&gt;0), CU196,     AND(NOT($AI196=$AM196),$AI196&gt;0,$AM196&gt;0,CU196&gt;0), ($AM196*CU196)/$AI196,     AND($AI196=0,$AM196&gt;0,$AQ196&gt;0), IF(INDEX(CU$12:CU$263,MATCH($AQ196,$AP$12:$AP$263,0))&gt;0,($AM196*INDEX(CU$12:CU$263,MATCH($AQ196,$AP$12:$AP$263,0)))/INDEX($AI$12:$AI$263,MATCH($AQ196,$AP$12:$AP$263,0)), "-"),     TRUE, "0")</f>
        <v>0</v>
      </c>
      <c r="CW196" s="607">
        <f>IF(CV$9&gt;0, IF(OR(CV196="",CV196="-"), 0, CV196*$AT196), CU196*$AJ196)</f>
        <v>0</v>
      </c>
      <c r="CX196" s="589">
        <f>[1]COMMANDE!AY194</f>
        <v>0</v>
      </c>
      <c r="CY196" s="586" t="str">
        <f>_xlfn.IFS(AND($AI196=$AM196,$AI196&gt;0,$AM196&gt;0,CX196&gt;0), CX196,     AND(NOT($AI196=$AM196),$AI196&gt;0,$AM196&gt;0,CX196&gt;0), ($AM196*CX196)/$AI196,     AND($AI196=0,$AM196&gt;0,$AQ196&gt;0), IF(INDEX(CX$12:CX$263,MATCH($AQ196,$AP$12:$AP$263,0))&gt;0,($AM196*INDEX(CX$12:CX$263,MATCH($AQ196,$AP$12:$AP$263,0)))/INDEX($AI$12:$AI$263,MATCH($AQ196,$AP$12:$AP$263,0)), "-"),     TRUE, "0")</f>
        <v>0</v>
      </c>
      <c r="CZ196" s="588">
        <f>IF(CY$9&gt;0, IF(OR(CY196="",CY196="-"), 0, CY196*$AT196), CX196*$AJ196)</f>
        <v>0</v>
      </c>
      <c r="DA196" s="587">
        <f>[1]COMMANDE!BA194</f>
        <v>0</v>
      </c>
      <c r="DB196" s="586" t="str">
        <f>_xlfn.IFS(AND($AI196=$AM196,$AI196&gt;0,$AM196&gt;0,DA196&gt;0), DA196,     AND(NOT($AI196=$AM196),$AI196&gt;0,$AM196&gt;0,DA196&gt;0), ($AM196*DA196)/$AI196,     AND($AI196=0,$AM196&gt;0,$AQ196&gt;0), IF(INDEX(DA$12:DA$263,MATCH($AQ196,$AP$12:$AP$263,0))&gt;0,($AM196*INDEX(DA$12:DA$263,MATCH($AQ196,$AP$12:$AP$263,0)))/INDEX($AI$12:$AI$263,MATCH($AQ196,$AP$12:$AP$263,0)), "-"),     TRUE, "0")</f>
        <v>0</v>
      </c>
      <c r="DC196" s="606">
        <f>IF(DB$9&gt;0, IF(OR(DB196="",DB196="-"), 0, DB196*$AT196), DA196*$AJ196)</f>
        <v>0</v>
      </c>
      <c r="DD196" s="584"/>
      <c r="DE196" s="583"/>
    </row>
    <row r="197" spans="1:109" ht="39.950000000000003" hidden="1" customHeight="1">
      <c r="A197" s="604">
        <f>IF(OR($AV197&gt;0, $AX197&gt;0), 1, 0)</f>
        <v>0</v>
      </c>
      <c r="B197" s="604">
        <f>IF(OR($AY197&gt;0, $BA197&gt;0), 1, 0)</f>
        <v>0</v>
      </c>
      <c r="C197" s="604">
        <f>IF(OR($BB197&gt;0, $BD197&gt;0), 1, 0)</f>
        <v>0</v>
      </c>
      <c r="D197" s="604">
        <f>IF(OR($BE197&gt;0, $BG197&gt;0), 1, 0)</f>
        <v>0</v>
      </c>
      <c r="E197" s="604">
        <f>IF(OR($BH197&gt;0, $BJ197&gt;0), 1, 0)</f>
        <v>0</v>
      </c>
      <c r="F197" s="604">
        <f>IF(OR($BK197&gt;0, $BM197&gt;0), 1, 0)</f>
        <v>0</v>
      </c>
      <c r="G197" s="604">
        <f>IF(OR($BN197&gt;0, $BP197&gt;0), 1, 0)</f>
        <v>0</v>
      </c>
      <c r="H197" s="604">
        <f>IF(OR($BQ197&gt;0, $BS197&gt;0), 1, 0)</f>
        <v>0</v>
      </c>
      <c r="I197" s="604">
        <f>IF(OR($BT197&gt;0, $BV197&gt;0), 1, 0)</f>
        <v>0</v>
      </c>
      <c r="J197" s="604">
        <f>IF(OR($BW197&gt;0, $BY197&gt;0), 1, 0)</f>
        <v>0</v>
      </c>
      <c r="K197" s="604">
        <f>IF(OR($BZ197&gt;0, $CB197&gt;0), 1, 0)</f>
        <v>0</v>
      </c>
      <c r="L197" s="604">
        <f>IF(OR($CC197&gt;0, $CE197&gt;0), 1, 0)</f>
        <v>0</v>
      </c>
      <c r="M197" s="604">
        <f>IF(OR($CF197&gt;0, $CH197&gt;0), 1, 0)</f>
        <v>0</v>
      </c>
      <c r="N197" s="604">
        <f>IF(OR($CI197&gt;0, $CK197&gt;0), 1, 0)</f>
        <v>0</v>
      </c>
      <c r="O197" s="604">
        <f>IF(OR($CL197&gt;0, $CN197&gt;0), 1, 0)</f>
        <v>0</v>
      </c>
      <c r="P197" s="604">
        <f>IF(OR($CO197&gt;0, $CQ197&gt;0), 1, 0)</f>
        <v>0</v>
      </c>
      <c r="Q197" s="604">
        <f>IF(OR($CR197&gt;0, $CT197&gt;0), 1, 0)</f>
        <v>0</v>
      </c>
      <c r="R197" s="604">
        <f>IF(OR($CU197&gt;0, $CW197&gt;0), 1, 0)</f>
        <v>0</v>
      </c>
      <c r="S197" s="604">
        <f>IF(OR($CX197&gt;0, $CZ197&gt;0), 1, 0)</f>
        <v>0</v>
      </c>
      <c r="T197" s="604">
        <f>IF(OR($DA197&gt;0, $DC197&gt;0), 1, 0)</f>
        <v>0</v>
      </c>
      <c r="U197" s="603">
        <f>IF(OR($AI197&gt;0,$AM197&gt;0,$AS197&gt;0), 1, 0)</f>
        <v>0</v>
      </c>
      <c r="V197" s="602" t="str">
        <f>[1]BDD!A187</f>
        <v>5119-F</v>
      </c>
      <c r="W197" s="601" t="str">
        <f>[1]BDD!B187</f>
        <v>Olives fermentées fraîches non pasteurisées (env. 400g) - production artisanale</v>
      </c>
      <c r="X197" s="600" t="str">
        <f>IF([1]BDD!F187=0, "", [1]BDD!F187)</f>
        <v/>
      </c>
      <c r="Y197" s="542">
        <f>ROUND([1]BDD!G187+FDP_CMD_KG, 2)</f>
        <v>11.27</v>
      </c>
      <c r="Z197" s="542">
        <f>ROUND([1]BDD!G187+FDP_FACT_KG, 2)</f>
        <v>11.27</v>
      </c>
      <c r="AA197" s="543" t="str">
        <f>[1]BDD!H187</f>
        <v>Pièce</v>
      </c>
      <c r="AB197" s="544" t="str">
        <f>IF(NOT(ISBLANK([1]BDD!I187)), ROUND(SUM(([1]BDD!G187*reduc1),FDP_CMD_KG), 2), "")</f>
        <v/>
      </c>
      <c r="AC197" s="544" t="str">
        <f>IF(NOT(ISBLANK([1]BDD!J187)), ROUND(SUM(([1]BDD!G187*reduc2),FDP_CMD_KG), 2), "")</f>
        <v/>
      </c>
      <c r="AD197" s="544" t="str">
        <f>IF(NOT(ISBLANK([1]BDD!K187)), ROUND(SUM(([1]BDD!G187*reduc3),FDP_CMD_KG), 2), "")</f>
        <v/>
      </c>
      <c r="AE197" s="544" t="str">
        <f>IF(NOT(ISBLANK([1]BDD!I187)), ROUND(SUM(([1]BDD!G187*reduc1),FDP_FACT_KG), 2), "")</f>
        <v/>
      </c>
      <c r="AF197" s="544" t="str">
        <f>IF(NOT(ISBLANK([1]BDD!J187)), ROUND(SUM(([1]BDD!G187*reduc2),FDP_FACT_KG), 2), "")</f>
        <v/>
      </c>
      <c r="AG197" s="544" t="str">
        <f>IF(NOT(ISBLANK([1]BDD!K187)), ROUND(SUM(([1]BDD!G187*reduc3),FDP_FACT_KG), 2), "")</f>
        <v/>
      </c>
      <c r="AH197" s="599" t="str">
        <f>[1]BDD!C187</f>
        <v>Valence</v>
      </c>
      <c r="AI197" s="598">
        <f>SUM(AV197,AY197,BB197,BE197,BH197,BK197,BN197,BQ197,BT197,BW197,BZ197,CC197,CF197,CI197,CL197,CO197,CR197,CU197,CX197,DA197)</f>
        <v>0</v>
      </c>
      <c r="AJ197" s="545">
        <f>_xlfn.IFS($AD197&lt;&gt;"", $AD197,    $AC197&lt;&gt;"", $AC197,    $AB197&lt;&gt;"", $AB197,    TRUE, $Y197)</f>
        <v>11.27</v>
      </c>
      <c r="AK197" s="592">
        <f>$AI197*$AJ197</f>
        <v>0</v>
      </c>
      <c r="AL197" s="594"/>
      <c r="AM197" s="597"/>
      <c r="AN197" s="545">
        <f>_xlfn.IFS(AND(AM197&gt;=60,$AG197&lt;&gt;""), $AG197,    AND(AM197&gt;=30,$AF197&lt;&gt;""), $AF197,    AND(AM197&gt;=10,$AE197&lt;&gt;""), $AE197,    TRUE, $Z197)</f>
        <v>11.27</v>
      </c>
      <c r="AO197" s="596">
        <f>AM197*AN197</f>
        <v>0</v>
      </c>
      <c r="AP197" s="595"/>
      <c r="AQ197" s="595"/>
      <c r="AR197" s="594"/>
      <c r="AS197" s="593">
        <f>SUM(AW197,AZ197,BC197,BF197,BI197,BL197,BO197,BR197,BU197,BX197,CA197,CD197,CG197,CJ197,CM197,CP197,CS197,CV197,CY197,DB197)</f>
        <v>0</v>
      </c>
      <c r="AT197" s="545">
        <f>_xlfn.IFS(AND(AS197&gt;=60,$AG197&lt;&gt;""), $AG197,    AND(AS197&gt;=30,$AF197&lt;&gt;""), $AF197,    AND(AS197&gt;=10,$AE197&lt;&gt;""), $AE197,    TRUE, $Z197)</f>
        <v>11.27</v>
      </c>
      <c r="AU197" s="592">
        <f>$AS197*$AT197</f>
        <v>0</v>
      </c>
      <c r="AV197" s="591">
        <f>[1]COMMANDE!O195</f>
        <v>0</v>
      </c>
      <c r="AW197" s="586" t="str">
        <f>_xlfn.IFS(AND($AI197=$AM197,$AI197&gt;0,$AM197&gt;0,AV197&gt;0), AV197,     AND(NOT($AI197=$AM197),$AI197&gt;0,$AM197&gt;0,AV197&gt;0), ($AM197*AV197)/$AI197,     AND($AI197=0,$AM197&gt;0,$AQ197&gt;0), IF(INDEX(AV$12:AV$263,MATCH($AQ197,$AP$12:$AP$263,0))&gt;0,($AM197*INDEX(AV$12:AV$263,MATCH($AQ197,$AP$12:$AP$263,0)))/INDEX($AI$12:$AI$263,MATCH($AQ197,$AP$12:$AP$263,0)), "-"),     TRUE, "0")</f>
        <v>0</v>
      </c>
      <c r="AX197" s="588">
        <f>IF(AW$9&gt;0, IF(OR(AW197="",AW197="-"), 0, AW197*$AT197), AV197*$AJ197)</f>
        <v>0</v>
      </c>
      <c r="AY197" s="587">
        <f>[1]COMMANDE!Q195</f>
        <v>0</v>
      </c>
      <c r="AZ197" s="586" t="str">
        <f>_xlfn.IFS(AND($AI197=$AM197,$AI197&gt;0,$AM197&gt;0,AY197&gt;0), AY197,     AND(NOT($AI197=$AM197),$AI197&gt;0,$AM197&gt;0,AY197&gt;0), ($AM197*AY197)/$AI197,     AND($AI197=0,$AM197&gt;0,$AQ197&gt;0), IF(INDEX(AY$12:AY$263,MATCH($AQ197,$AP$12:$AP$263,0))&gt;0,($AM197*INDEX(AY$12:AY$263,MATCH($AQ197,$AP$12:$AP$263,0)))/INDEX($AI$12:$AI$263,MATCH($AQ197,$AP$12:$AP$263,0)), "-"),     TRUE, "0")</f>
        <v>0</v>
      </c>
      <c r="BA197" s="607">
        <f>IF(AZ$9&gt;0, IF(OR(AZ197="",AZ197="-"), 0, AZ197*$AT197), AY197*$AJ197)</f>
        <v>0</v>
      </c>
      <c r="BB197" s="589">
        <f>[1]COMMANDE!S195</f>
        <v>0</v>
      </c>
      <c r="BC197" s="586" t="str">
        <f>_xlfn.IFS(AND($AI197=$AM197,$AI197&gt;0,$AM197&gt;0,BB197&gt;0), BB197,     AND(NOT($AI197=$AM197),$AI197&gt;0,$AM197&gt;0,BB197&gt;0), ($AM197*BB197)/$AI197,     AND($AI197=0,$AM197&gt;0,$AQ197&gt;0), IF(INDEX(BB$12:BB$263,MATCH($AQ197,$AP$12:$AP$263,0))&gt;0,($AM197*INDEX(BB$12:BB$263,MATCH($AQ197,$AP$12:$AP$263,0)))/INDEX($AI$12:$AI$263,MATCH($AQ197,$AP$12:$AP$263,0)), "-"),     TRUE, "0")</f>
        <v>0</v>
      </c>
      <c r="BD197" s="588">
        <f>IF(BC$9&gt;0, IF(OR(BC197="",BC197="-"), 0, BC197*$AT197), BB197*$AJ197)</f>
        <v>0</v>
      </c>
      <c r="BE197" s="587">
        <f>[1]COMMANDE!U195</f>
        <v>0</v>
      </c>
      <c r="BF197" s="586" t="str">
        <f>_xlfn.IFS(AND($AI197=$AM197,$AI197&gt;0,$AM197&gt;0,BE197&gt;0), BE197,     AND(NOT($AI197=$AM197),$AI197&gt;0,$AM197&gt;0,BE197&gt;0), ($AM197*BE197)/$AI197,     AND($AI197=0,$AM197&gt;0,$AQ197&gt;0), IF(INDEX(BE$12:BE$263,MATCH($AQ197,$AP$12:$AP$263,0))&gt;0,($AM197*INDEX(BE$12:BE$263,MATCH($AQ197,$AP$12:$AP$263,0)))/INDEX($AI$12:$AI$263,MATCH($AQ197,$AP$12:$AP$263,0)), "-"),     TRUE, "0")</f>
        <v>0</v>
      </c>
      <c r="BG197" s="607">
        <f>IF(BF$9&gt;0, IF(OR(BF197="",BF197="-"), 0, BF197*$AT197), BE197*$AJ197)</f>
        <v>0</v>
      </c>
      <c r="BH197" s="589">
        <f>[1]COMMANDE!W195</f>
        <v>0</v>
      </c>
      <c r="BI197" s="586" t="str">
        <f>_xlfn.IFS(AND($AI197=$AM197,$AI197&gt;0,$AM197&gt;0,BH197&gt;0), BH197,     AND(NOT($AI197=$AM197),$AI197&gt;0,$AM197&gt;0,BH197&gt;0), ($AM197*BH197)/$AI197,     AND($AI197=0,$AM197&gt;0,$AQ197&gt;0), IF(INDEX(BH$12:BH$263,MATCH($AQ197,$AP$12:$AP$263,0))&gt;0,($AM197*INDEX(BH$12:BH$263,MATCH($AQ197,$AP$12:$AP$263,0)))/INDEX($AI$12:$AI$263,MATCH($AQ197,$AP$12:$AP$263,0)), "-"),     TRUE, "0")</f>
        <v>0</v>
      </c>
      <c r="BJ197" s="588">
        <f>IF(BI$9&gt;0, IF(OR(BI197="",BI197="-"), 0, BI197*$AT197), BH197*$AJ197)</f>
        <v>0</v>
      </c>
      <c r="BK197" s="587">
        <f>[1]COMMANDE!Y195</f>
        <v>0</v>
      </c>
      <c r="BL197" s="586" t="str">
        <f>_xlfn.IFS(AND($AI197=$AM197,$AI197&gt;0,$AM197&gt;0,BK197&gt;0), BK197,     AND(NOT($AI197=$AM197),$AI197&gt;0,$AM197&gt;0,BK197&gt;0), ($AM197*BK197)/$AI197,     AND($AI197=0,$AM197&gt;0,$AQ197&gt;0), IF(INDEX(BK$12:BK$263,MATCH($AQ197,$AP$12:$AP$263,0))&gt;0,($AM197*INDEX(BK$12:BK$263,MATCH($AQ197,$AP$12:$AP$263,0)))/INDEX($AI$12:$AI$263,MATCH($AQ197,$AP$12:$AP$263,0)), "-"),     TRUE, "0")</f>
        <v>0</v>
      </c>
      <c r="BM197" s="607">
        <f>IF(BL$9&gt;0, IF(OR(BL197="",BL197="-"), 0, BL197*$AT197), BK197*$AJ197)</f>
        <v>0</v>
      </c>
      <c r="BN197" s="589">
        <f>[1]COMMANDE!AA195</f>
        <v>0</v>
      </c>
      <c r="BO197" s="586" t="str">
        <f>_xlfn.IFS(AND($AI197=$AM197,$AI197&gt;0,$AM197&gt;0,BN197&gt;0), BN197,     AND(NOT($AI197=$AM197),$AI197&gt;0,$AM197&gt;0,BN197&gt;0), ($AM197*BN197)/$AI197,     AND($AI197=0,$AM197&gt;0,$AQ197&gt;0), IF(INDEX(BN$12:BN$263,MATCH($AQ197,$AP$12:$AP$263,0))&gt;0,($AM197*INDEX(BN$12:BN$263,MATCH($AQ197,$AP$12:$AP$263,0)))/INDEX($AI$12:$AI$263,MATCH($AQ197,$AP$12:$AP$263,0)), "-"),     TRUE, "0")</f>
        <v>0</v>
      </c>
      <c r="BP197" s="588">
        <f>IF(BO$9&gt;0, IF(OR(BO197="",BO197="-"), 0, BO197*$AT197), BN197*$AJ197)</f>
        <v>0</v>
      </c>
      <c r="BQ197" s="587">
        <f>[1]COMMANDE!AC195</f>
        <v>0</v>
      </c>
      <c r="BR197" s="586" t="str">
        <f>_xlfn.IFS(AND($AI197=$AM197,$AI197&gt;0,$AM197&gt;0,BQ197&gt;0), BQ197,     AND(NOT($AI197=$AM197),$AI197&gt;0,$AM197&gt;0,BQ197&gt;0), ($AM197*BQ197)/$AI197,     AND($AI197=0,$AM197&gt;0,$AQ197&gt;0), IF(INDEX(BQ$12:BQ$263,MATCH($AQ197,$AP$12:$AP$263,0))&gt;0,($AM197*INDEX(BQ$12:BQ$263,MATCH($AQ197,$AP$12:$AP$263,0)))/INDEX($AI$12:$AI$263,MATCH($AQ197,$AP$12:$AP$263,0)), "-"),     TRUE, "0")</f>
        <v>0</v>
      </c>
      <c r="BS197" s="607">
        <f>IF(BR$9&gt;0, IF(OR(BR197="",BR197="-"), 0, BR197*$AT197), BQ197*$AJ197)</f>
        <v>0</v>
      </c>
      <c r="BT197" s="589">
        <f>[1]COMMANDE!AE195</f>
        <v>0</v>
      </c>
      <c r="BU197" s="586" t="str">
        <f>_xlfn.IFS(AND($AI197=$AM197,$AI197&gt;0,$AM197&gt;0,BT197&gt;0), BT197,     AND(NOT($AI197=$AM197),$AI197&gt;0,$AM197&gt;0,BT197&gt;0), ($AM197*BT197)/$AI197,     AND($AI197=0,$AM197&gt;0,$AQ197&gt;0), IF(INDEX(BT$12:BT$263,MATCH($AQ197,$AP$12:$AP$263,0))&gt;0,($AM197*INDEX(BT$12:BT$263,MATCH($AQ197,$AP$12:$AP$263,0)))/INDEX($AI$12:$AI$263,MATCH($AQ197,$AP$12:$AP$263,0)), "-"),     TRUE, "0")</f>
        <v>0</v>
      </c>
      <c r="BV197" s="588">
        <f>IF(BU$9&gt;0, IF(OR(BU197="",BU197="-"), 0, BU197*$AT197), BT197*$AJ197)</f>
        <v>0</v>
      </c>
      <c r="BW197" s="587">
        <f>[1]COMMANDE!AG195</f>
        <v>0</v>
      </c>
      <c r="BX197" s="586" t="str">
        <f>_xlfn.IFS(AND($AI197=$AM197,$AI197&gt;0,$AM197&gt;0,BW197&gt;0), BW197,     AND(NOT($AI197=$AM197),$AI197&gt;0,$AM197&gt;0,BW197&gt;0), ($AM197*BW197)/$AI197,     AND($AI197=0,$AM197&gt;0,$AQ197&gt;0), IF(INDEX(BW$12:BW$263,MATCH($AQ197,$AP$12:$AP$263,0))&gt;0,($AM197*INDEX(BW$12:BW$263,MATCH($AQ197,$AP$12:$AP$263,0)))/INDEX($AI$12:$AI$263,MATCH($AQ197,$AP$12:$AP$263,0)), "-"),     TRUE, "0")</f>
        <v>0</v>
      </c>
      <c r="BY197" s="607">
        <f>IF(BX$9&gt;0, IF(OR(BX197="",BX197="-"), 0, BX197*$AT197), BW197*$AJ197)</f>
        <v>0</v>
      </c>
      <c r="BZ197" s="589">
        <f>[1]COMMANDE!AI195</f>
        <v>0</v>
      </c>
      <c r="CA197" s="586" t="str">
        <f>_xlfn.IFS(AND($AI197=$AM197,$AI197&gt;0,$AM197&gt;0,BZ197&gt;0), BZ197,     AND(NOT($AI197=$AM197),$AI197&gt;0,$AM197&gt;0,BZ197&gt;0), ($AM197*BZ197)/$AI197,     AND($AI197=0,$AM197&gt;0,$AQ197&gt;0), IF(INDEX(BZ$12:BZ$263,MATCH($AQ197,$AP$12:$AP$263,0))&gt;0,($AM197*INDEX(BZ$12:BZ$263,MATCH($AQ197,$AP$12:$AP$263,0)))/INDEX($AI$12:$AI$263,MATCH($AQ197,$AP$12:$AP$263,0)), "-"),     TRUE, "0")</f>
        <v>0</v>
      </c>
      <c r="CB197" s="588">
        <f>IF(CA$9&gt;0, IF(OR(CA197="",CA197="-"), 0, CA197*$AT197), BZ197*$AJ197)</f>
        <v>0</v>
      </c>
      <c r="CC197" s="587">
        <f>[1]COMMANDE!AK195</f>
        <v>0</v>
      </c>
      <c r="CD197" s="586" t="str">
        <f>_xlfn.IFS(AND($AI197=$AM197,$AI197&gt;0,$AM197&gt;0,CC197&gt;0), CC197,     AND(NOT($AI197=$AM197),$AI197&gt;0,$AM197&gt;0,CC197&gt;0), ($AM197*CC197)/$AI197,     AND($AI197=0,$AM197&gt;0,$AQ197&gt;0), IF(INDEX(CC$12:CC$263,MATCH($AQ197,$AP$12:$AP$263,0))&gt;0,($AM197*INDEX(CC$12:CC$263,MATCH($AQ197,$AP$12:$AP$263,0)))/INDEX($AI$12:$AI$263,MATCH($AQ197,$AP$12:$AP$263,0)), "-"),     TRUE, "0")</f>
        <v>0</v>
      </c>
      <c r="CE197" s="607">
        <f>IF(CD$9&gt;0, IF(OR(CD197="",CD197="-"), 0, CD197*$AT197), CC197*$AJ197)</f>
        <v>0</v>
      </c>
      <c r="CF197" s="589">
        <f>[1]COMMANDE!AM195</f>
        <v>0</v>
      </c>
      <c r="CG197" s="586" t="str">
        <f>_xlfn.IFS(AND($AI197=$AM197,$AI197&gt;0,$AM197&gt;0,CF197&gt;0), CF197,     AND(NOT($AI197=$AM197),$AI197&gt;0,$AM197&gt;0,CF197&gt;0), ($AM197*CF197)/$AI197,     AND($AI197=0,$AM197&gt;0,$AQ197&gt;0), IF(INDEX(CF$12:CF$263,MATCH($AQ197,$AP$12:$AP$263,0))&gt;0,($AM197*INDEX(CF$12:CF$263,MATCH($AQ197,$AP$12:$AP$263,0)))/INDEX($AI$12:$AI$263,MATCH($AQ197,$AP$12:$AP$263,0)), "-"),     TRUE, "0")</f>
        <v>0</v>
      </c>
      <c r="CH197" s="588">
        <f>IF(CG$9&gt;0, IF(OR(CG197="",CG197="-"), 0, CG197*$AT197), CF197*$AJ197)</f>
        <v>0</v>
      </c>
      <c r="CI197" s="587">
        <f>[1]COMMANDE!AO195</f>
        <v>0</v>
      </c>
      <c r="CJ197" s="586" t="str">
        <f>_xlfn.IFS(AND($AI197=$AM197,$AI197&gt;0,$AM197&gt;0,CI197&gt;0), CI197,     AND(NOT($AI197=$AM197),$AI197&gt;0,$AM197&gt;0,CI197&gt;0), ($AM197*CI197)/$AI197,     AND($AI197=0,$AM197&gt;0,$AQ197&gt;0), IF(INDEX(CI$12:CI$263,MATCH($AQ197,$AP$12:$AP$263,0))&gt;0,($AM197*INDEX(CI$12:CI$263,MATCH($AQ197,$AP$12:$AP$263,0)))/INDEX($AI$12:$AI$263,MATCH($AQ197,$AP$12:$AP$263,0)), "-"),     TRUE, "0")</f>
        <v>0</v>
      </c>
      <c r="CK197" s="607">
        <f>IF(CJ$9&gt;0, IF(OR(CJ197="",CJ197="-"), 0, CJ197*$AT197), CI197*$AJ197)</f>
        <v>0</v>
      </c>
      <c r="CL197" s="589">
        <f>[1]COMMANDE!AQ195</f>
        <v>0</v>
      </c>
      <c r="CM197" s="586" t="str">
        <f>_xlfn.IFS(AND($AI197=$AM197,$AI197&gt;0,$AM197&gt;0,CL197&gt;0), CL197,     AND(NOT($AI197=$AM197),$AI197&gt;0,$AM197&gt;0,CL197&gt;0), ($AM197*CL197)/$AI197,     AND($AI197=0,$AM197&gt;0,$AQ197&gt;0), IF(INDEX(CL$12:CL$263,MATCH($AQ197,$AP$12:$AP$263,0))&gt;0,($AM197*INDEX(CL$12:CL$263,MATCH($AQ197,$AP$12:$AP$263,0)))/INDEX($AI$12:$AI$263,MATCH($AQ197,$AP$12:$AP$263,0)), "-"),     TRUE, "0")</f>
        <v>0</v>
      </c>
      <c r="CN197" s="588">
        <f>IF(CM$9&gt;0, IF(OR(CM197="",CM197="-"), 0, CM197*$AT197), CL197*$AJ197)</f>
        <v>0</v>
      </c>
      <c r="CO197" s="587">
        <f>[1]COMMANDE!AS195</f>
        <v>0</v>
      </c>
      <c r="CP197" s="586" t="str">
        <f>_xlfn.IFS(AND($AI197=$AM197,$AI197&gt;0,$AM197&gt;0,CO197&gt;0), CO197,     AND(NOT($AI197=$AM197),$AI197&gt;0,$AM197&gt;0,CO197&gt;0), ($AM197*CO197)/$AI197,     AND($AI197=0,$AM197&gt;0,$AQ197&gt;0), IF(INDEX(CO$12:CO$263,MATCH($AQ197,$AP$12:$AP$263,0))&gt;0,($AM197*INDEX(CO$12:CO$263,MATCH($AQ197,$AP$12:$AP$263,0)))/INDEX($AI$12:$AI$263,MATCH($AQ197,$AP$12:$AP$263,0)), "-"),     TRUE, "0")</f>
        <v>0</v>
      </c>
      <c r="CQ197" s="607">
        <f>IF(CP$9&gt;0, IF(OR(CP197="",CP197="-"), 0, CP197*$AT197), CO197*$AJ197)</f>
        <v>0</v>
      </c>
      <c r="CR197" s="589">
        <f>[1]COMMANDE!AU195</f>
        <v>0</v>
      </c>
      <c r="CS197" s="586" t="str">
        <f>_xlfn.IFS(AND($AI197=$AM197,$AI197&gt;0,$AM197&gt;0,CR197&gt;0), CR197,     AND(NOT($AI197=$AM197),$AI197&gt;0,$AM197&gt;0,CR197&gt;0), ($AM197*CR197)/$AI197,     AND($AI197=0,$AM197&gt;0,$AQ197&gt;0), IF(INDEX(CR$12:CR$263,MATCH($AQ197,$AP$12:$AP$263,0))&gt;0,($AM197*INDEX(CR$12:CR$263,MATCH($AQ197,$AP$12:$AP$263,0)))/INDEX($AI$12:$AI$263,MATCH($AQ197,$AP$12:$AP$263,0)), "-"),     TRUE, "0")</f>
        <v>0</v>
      </c>
      <c r="CT197" s="588">
        <f>IF(CS$9&gt;0, IF(OR(CS197="",CS197="-"), 0, CS197*$AT197), CR197*$AJ197)</f>
        <v>0</v>
      </c>
      <c r="CU197" s="587">
        <f>[1]COMMANDE!AW195</f>
        <v>0</v>
      </c>
      <c r="CV197" s="586" t="str">
        <f>_xlfn.IFS(AND($AI197=$AM197,$AI197&gt;0,$AM197&gt;0,CU197&gt;0), CU197,     AND(NOT($AI197=$AM197),$AI197&gt;0,$AM197&gt;0,CU197&gt;0), ($AM197*CU197)/$AI197,     AND($AI197=0,$AM197&gt;0,$AQ197&gt;0), IF(INDEX(CU$12:CU$263,MATCH($AQ197,$AP$12:$AP$263,0))&gt;0,($AM197*INDEX(CU$12:CU$263,MATCH($AQ197,$AP$12:$AP$263,0)))/INDEX($AI$12:$AI$263,MATCH($AQ197,$AP$12:$AP$263,0)), "-"),     TRUE, "0")</f>
        <v>0</v>
      </c>
      <c r="CW197" s="607">
        <f>IF(CV$9&gt;0, IF(OR(CV197="",CV197="-"), 0, CV197*$AT197), CU197*$AJ197)</f>
        <v>0</v>
      </c>
      <c r="CX197" s="589">
        <f>[1]COMMANDE!AY195</f>
        <v>0</v>
      </c>
      <c r="CY197" s="586" t="str">
        <f>_xlfn.IFS(AND($AI197=$AM197,$AI197&gt;0,$AM197&gt;0,CX197&gt;0), CX197,     AND(NOT($AI197=$AM197),$AI197&gt;0,$AM197&gt;0,CX197&gt;0), ($AM197*CX197)/$AI197,     AND($AI197=0,$AM197&gt;0,$AQ197&gt;0), IF(INDEX(CX$12:CX$263,MATCH($AQ197,$AP$12:$AP$263,0))&gt;0,($AM197*INDEX(CX$12:CX$263,MATCH($AQ197,$AP$12:$AP$263,0)))/INDEX($AI$12:$AI$263,MATCH($AQ197,$AP$12:$AP$263,0)), "-"),     TRUE, "0")</f>
        <v>0</v>
      </c>
      <c r="CZ197" s="588">
        <f>IF(CY$9&gt;0, IF(OR(CY197="",CY197="-"), 0, CY197*$AT197), CX197*$AJ197)</f>
        <v>0</v>
      </c>
      <c r="DA197" s="587">
        <f>[1]COMMANDE!BA195</f>
        <v>0</v>
      </c>
      <c r="DB197" s="586" t="str">
        <f>_xlfn.IFS(AND($AI197=$AM197,$AI197&gt;0,$AM197&gt;0,DA197&gt;0), DA197,     AND(NOT($AI197=$AM197),$AI197&gt;0,$AM197&gt;0,DA197&gt;0), ($AM197*DA197)/$AI197,     AND($AI197=0,$AM197&gt;0,$AQ197&gt;0), IF(INDEX(DA$12:DA$263,MATCH($AQ197,$AP$12:$AP$263,0))&gt;0,($AM197*INDEX(DA$12:DA$263,MATCH($AQ197,$AP$12:$AP$263,0)))/INDEX($AI$12:$AI$263,MATCH($AQ197,$AP$12:$AP$263,0)), "-"),     TRUE, "0")</f>
        <v>0</v>
      </c>
      <c r="DC197" s="606">
        <f>IF(DB$9&gt;0, IF(OR(DB197="",DB197="-"), 0, DB197*$AT197), DA197*$AJ197)</f>
        <v>0</v>
      </c>
      <c r="DD197" s="584"/>
      <c r="DE197" s="583"/>
    </row>
    <row r="198" spans="1:109" ht="39.950000000000003" hidden="1" customHeight="1">
      <c r="A198" s="604">
        <f>IF(OR($AV198&gt;0, $AX198&gt;0), 1, 0)</f>
        <v>0</v>
      </c>
      <c r="B198" s="604">
        <f>IF(OR($AY198&gt;0, $BA198&gt;0), 1, 0)</f>
        <v>0</v>
      </c>
      <c r="C198" s="604">
        <f>IF(OR($BB198&gt;0, $BD198&gt;0), 1, 0)</f>
        <v>0</v>
      </c>
      <c r="D198" s="604">
        <f>IF(OR($BE198&gt;0, $BG198&gt;0), 1, 0)</f>
        <v>0</v>
      </c>
      <c r="E198" s="604">
        <f>IF(OR($BH198&gt;0, $BJ198&gt;0), 1, 0)</f>
        <v>0</v>
      </c>
      <c r="F198" s="604">
        <f>IF(OR($BK198&gt;0, $BM198&gt;0), 1, 0)</f>
        <v>0</v>
      </c>
      <c r="G198" s="604">
        <f>IF(OR($BN198&gt;0, $BP198&gt;0), 1, 0)</f>
        <v>0</v>
      </c>
      <c r="H198" s="604">
        <f>IF(OR($BQ198&gt;0, $BS198&gt;0), 1, 0)</f>
        <v>0</v>
      </c>
      <c r="I198" s="604">
        <f>IF(OR($BT198&gt;0, $BV198&gt;0), 1, 0)</f>
        <v>0</v>
      </c>
      <c r="J198" s="604">
        <f>IF(OR($BW198&gt;0, $BY198&gt;0), 1, 0)</f>
        <v>0</v>
      </c>
      <c r="K198" s="604">
        <f>IF(OR($BZ198&gt;0, $CB198&gt;0), 1, 0)</f>
        <v>0</v>
      </c>
      <c r="L198" s="604">
        <f>IF(OR($CC198&gt;0, $CE198&gt;0), 1, 0)</f>
        <v>0</v>
      </c>
      <c r="M198" s="604">
        <f>IF(OR($CF198&gt;0, $CH198&gt;0), 1, 0)</f>
        <v>0</v>
      </c>
      <c r="N198" s="604">
        <f>IF(OR($CI198&gt;0, $CK198&gt;0), 1, 0)</f>
        <v>0</v>
      </c>
      <c r="O198" s="604">
        <f>IF(OR($CL198&gt;0, $CN198&gt;0), 1, 0)</f>
        <v>0</v>
      </c>
      <c r="P198" s="604">
        <f>IF(OR($CO198&gt;0, $CQ198&gt;0), 1, 0)</f>
        <v>0</v>
      </c>
      <c r="Q198" s="604">
        <f>IF(OR($CR198&gt;0, $CT198&gt;0), 1, 0)</f>
        <v>0</v>
      </c>
      <c r="R198" s="604">
        <f>IF(OR($CU198&gt;0, $CW198&gt;0), 1, 0)</f>
        <v>0</v>
      </c>
      <c r="S198" s="604">
        <f>IF(OR($CX198&gt;0, $CZ198&gt;0), 1, 0)</f>
        <v>0</v>
      </c>
      <c r="T198" s="604">
        <f>IF(OR($DA198&gt;0, $DC198&gt;0), 1, 0)</f>
        <v>0</v>
      </c>
      <c r="U198" s="603">
        <f>IF(OR($AI198&gt;0,$AM198&gt;0,$AS198&gt;0), 1, 0)</f>
        <v>0</v>
      </c>
      <c r="V198" s="602" t="str">
        <f>[1]BDD!A188</f>
        <v>5119-S</v>
      </c>
      <c r="W198" s="601" t="str">
        <f>[1]BDD!B188</f>
        <v>Olives fermentées sèches non pasteurisées (env. 400g) - production artisanale</v>
      </c>
      <c r="X198" s="600" t="str">
        <f>IF([1]BDD!F188=0, "", [1]BDD!F188)</f>
        <v/>
      </c>
      <c r="Y198" s="542">
        <f>ROUND([1]BDD!G188+FDP_CMD_KG, 2)</f>
        <v>11.27</v>
      </c>
      <c r="Z198" s="542">
        <f>ROUND([1]BDD!G188+FDP_FACT_KG, 2)</f>
        <v>11.27</v>
      </c>
      <c r="AA198" s="543" t="str">
        <f>[1]BDD!H188</f>
        <v>Pièce</v>
      </c>
      <c r="AB198" s="544" t="str">
        <f>IF(NOT(ISBLANK([1]BDD!I188)), ROUND(SUM(([1]BDD!G188*reduc1),FDP_CMD_KG), 2), "")</f>
        <v/>
      </c>
      <c r="AC198" s="544" t="str">
        <f>IF(NOT(ISBLANK([1]BDD!J188)), ROUND(SUM(([1]BDD!G188*reduc2),FDP_CMD_KG), 2), "")</f>
        <v/>
      </c>
      <c r="AD198" s="544" t="str">
        <f>IF(NOT(ISBLANK([1]BDD!K188)), ROUND(SUM(([1]BDD!G188*reduc3),FDP_CMD_KG), 2), "")</f>
        <v/>
      </c>
      <c r="AE198" s="544" t="str">
        <f>IF(NOT(ISBLANK([1]BDD!I188)), ROUND(SUM(([1]BDD!G188*reduc1),FDP_FACT_KG), 2), "")</f>
        <v/>
      </c>
      <c r="AF198" s="544" t="str">
        <f>IF(NOT(ISBLANK([1]BDD!J188)), ROUND(SUM(([1]BDD!G188*reduc2),FDP_FACT_KG), 2), "")</f>
        <v/>
      </c>
      <c r="AG198" s="544" t="str">
        <f>IF(NOT(ISBLANK([1]BDD!K188)), ROUND(SUM(([1]BDD!G188*reduc3),FDP_FACT_KG), 2), "")</f>
        <v/>
      </c>
      <c r="AH198" s="599" t="str">
        <f>[1]BDD!C188</f>
        <v>Valence</v>
      </c>
      <c r="AI198" s="598">
        <f>SUM(AV198,AY198,BB198,BE198,BH198,BK198,BN198,BQ198,BT198,BW198,BZ198,CC198,CF198,CI198,CL198,CO198,CR198,CU198,CX198,DA198)</f>
        <v>0</v>
      </c>
      <c r="AJ198" s="545">
        <f>_xlfn.IFS($AD198&lt;&gt;"", $AD198,    $AC198&lt;&gt;"", $AC198,    $AB198&lt;&gt;"", $AB198,    TRUE, $Y198)</f>
        <v>11.27</v>
      </c>
      <c r="AK198" s="592">
        <f>$AI198*$AJ198</f>
        <v>0</v>
      </c>
      <c r="AL198" s="594"/>
      <c r="AM198" s="597"/>
      <c r="AN198" s="545">
        <f>_xlfn.IFS(AND(AM198&gt;=60,$AG198&lt;&gt;""), $AG198,    AND(AM198&gt;=30,$AF198&lt;&gt;""), $AF198,    AND(AM198&gt;=10,$AE198&lt;&gt;""), $AE198,    TRUE, $Z198)</f>
        <v>11.27</v>
      </c>
      <c r="AO198" s="596">
        <f>AM198*AN198</f>
        <v>0</v>
      </c>
      <c r="AP198" s="595"/>
      <c r="AQ198" s="595"/>
      <c r="AR198" s="594"/>
      <c r="AS198" s="593">
        <f>SUM(AW198,AZ198,BC198,BF198,BI198,BL198,BO198,BR198,BU198,BX198,CA198,CD198,CG198,CJ198,CM198,CP198,CS198,CV198,CY198,DB198)</f>
        <v>0</v>
      </c>
      <c r="AT198" s="545">
        <f>_xlfn.IFS(AND(AS198&gt;=60,$AG198&lt;&gt;""), $AG198,    AND(AS198&gt;=30,$AF198&lt;&gt;""), $AF198,    AND(AS198&gt;=10,$AE198&lt;&gt;""), $AE198,    TRUE, $Z198)</f>
        <v>11.27</v>
      </c>
      <c r="AU198" s="592">
        <f>$AS198*$AT198</f>
        <v>0</v>
      </c>
      <c r="AV198" s="591">
        <f>[1]COMMANDE!O196</f>
        <v>0</v>
      </c>
      <c r="AW198" s="586" t="str">
        <f>_xlfn.IFS(AND($AI198=$AM198,$AI198&gt;0,$AM198&gt;0,AV198&gt;0), AV198,     AND(NOT($AI198=$AM198),$AI198&gt;0,$AM198&gt;0,AV198&gt;0), ($AM198*AV198)/$AI198,     AND($AI198=0,$AM198&gt;0,$AQ198&gt;0), IF(INDEX(AV$12:AV$263,MATCH($AQ198,$AP$12:$AP$263,0))&gt;0,($AM198*INDEX(AV$12:AV$263,MATCH($AQ198,$AP$12:$AP$263,0)))/INDEX($AI$12:$AI$263,MATCH($AQ198,$AP$12:$AP$263,0)), "-"),     TRUE, "0")</f>
        <v>0</v>
      </c>
      <c r="AX198" s="588">
        <f>IF(AW$9&gt;0, IF(OR(AW198="",AW198="-"), 0, AW198*$AT198), AV198*$AJ198)</f>
        <v>0</v>
      </c>
      <c r="AY198" s="587">
        <f>[1]COMMANDE!Q196</f>
        <v>0</v>
      </c>
      <c r="AZ198" s="586" t="str">
        <f>_xlfn.IFS(AND($AI198=$AM198,$AI198&gt;0,$AM198&gt;0,AY198&gt;0), AY198,     AND(NOT($AI198=$AM198),$AI198&gt;0,$AM198&gt;0,AY198&gt;0), ($AM198*AY198)/$AI198,     AND($AI198=0,$AM198&gt;0,$AQ198&gt;0), IF(INDEX(AY$12:AY$263,MATCH($AQ198,$AP$12:$AP$263,0))&gt;0,($AM198*INDEX(AY$12:AY$263,MATCH($AQ198,$AP$12:$AP$263,0)))/INDEX($AI$12:$AI$263,MATCH($AQ198,$AP$12:$AP$263,0)), "-"),     TRUE, "0")</f>
        <v>0</v>
      </c>
      <c r="BA198" s="607">
        <f>IF(AZ$9&gt;0, IF(OR(AZ198="",AZ198="-"), 0, AZ198*$AT198), AY198*$AJ198)</f>
        <v>0</v>
      </c>
      <c r="BB198" s="589">
        <f>[1]COMMANDE!S196</f>
        <v>0</v>
      </c>
      <c r="BC198" s="586" t="str">
        <f>_xlfn.IFS(AND($AI198=$AM198,$AI198&gt;0,$AM198&gt;0,BB198&gt;0), BB198,     AND(NOT($AI198=$AM198),$AI198&gt;0,$AM198&gt;0,BB198&gt;0), ($AM198*BB198)/$AI198,     AND($AI198=0,$AM198&gt;0,$AQ198&gt;0), IF(INDEX(BB$12:BB$263,MATCH($AQ198,$AP$12:$AP$263,0))&gt;0,($AM198*INDEX(BB$12:BB$263,MATCH($AQ198,$AP$12:$AP$263,0)))/INDEX($AI$12:$AI$263,MATCH($AQ198,$AP$12:$AP$263,0)), "-"),     TRUE, "0")</f>
        <v>0</v>
      </c>
      <c r="BD198" s="588">
        <f>IF(BC$9&gt;0, IF(OR(BC198="",BC198="-"), 0, BC198*$AT198), BB198*$AJ198)</f>
        <v>0</v>
      </c>
      <c r="BE198" s="587">
        <f>[1]COMMANDE!U196</f>
        <v>0</v>
      </c>
      <c r="BF198" s="586" t="str">
        <f>_xlfn.IFS(AND($AI198=$AM198,$AI198&gt;0,$AM198&gt;0,BE198&gt;0), BE198,     AND(NOT($AI198=$AM198),$AI198&gt;0,$AM198&gt;0,BE198&gt;0), ($AM198*BE198)/$AI198,     AND($AI198=0,$AM198&gt;0,$AQ198&gt;0), IF(INDEX(BE$12:BE$263,MATCH($AQ198,$AP$12:$AP$263,0))&gt;0,($AM198*INDEX(BE$12:BE$263,MATCH($AQ198,$AP$12:$AP$263,0)))/INDEX($AI$12:$AI$263,MATCH($AQ198,$AP$12:$AP$263,0)), "-"),     TRUE, "0")</f>
        <v>0</v>
      </c>
      <c r="BG198" s="607">
        <f>IF(BF$9&gt;0, IF(OR(BF198="",BF198="-"), 0, BF198*$AT198), BE198*$AJ198)</f>
        <v>0</v>
      </c>
      <c r="BH198" s="589">
        <f>[1]COMMANDE!W196</f>
        <v>0</v>
      </c>
      <c r="BI198" s="586" t="str">
        <f>_xlfn.IFS(AND($AI198=$AM198,$AI198&gt;0,$AM198&gt;0,BH198&gt;0), BH198,     AND(NOT($AI198=$AM198),$AI198&gt;0,$AM198&gt;0,BH198&gt;0), ($AM198*BH198)/$AI198,     AND($AI198=0,$AM198&gt;0,$AQ198&gt;0), IF(INDEX(BH$12:BH$263,MATCH($AQ198,$AP$12:$AP$263,0))&gt;0,($AM198*INDEX(BH$12:BH$263,MATCH($AQ198,$AP$12:$AP$263,0)))/INDEX($AI$12:$AI$263,MATCH($AQ198,$AP$12:$AP$263,0)), "-"),     TRUE, "0")</f>
        <v>0</v>
      </c>
      <c r="BJ198" s="588">
        <f>IF(BI$9&gt;0, IF(OR(BI198="",BI198="-"), 0, BI198*$AT198), BH198*$AJ198)</f>
        <v>0</v>
      </c>
      <c r="BK198" s="587">
        <f>[1]COMMANDE!Y196</f>
        <v>0</v>
      </c>
      <c r="BL198" s="586" t="str">
        <f>_xlfn.IFS(AND($AI198=$AM198,$AI198&gt;0,$AM198&gt;0,BK198&gt;0), BK198,     AND(NOT($AI198=$AM198),$AI198&gt;0,$AM198&gt;0,BK198&gt;0), ($AM198*BK198)/$AI198,     AND($AI198=0,$AM198&gt;0,$AQ198&gt;0), IF(INDEX(BK$12:BK$263,MATCH($AQ198,$AP$12:$AP$263,0))&gt;0,($AM198*INDEX(BK$12:BK$263,MATCH($AQ198,$AP$12:$AP$263,0)))/INDEX($AI$12:$AI$263,MATCH($AQ198,$AP$12:$AP$263,0)), "-"),     TRUE, "0")</f>
        <v>0</v>
      </c>
      <c r="BM198" s="607">
        <f>IF(BL$9&gt;0, IF(OR(BL198="",BL198="-"), 0, BL198*$AT198), BK198*$AJ198)</f>
        <v>0</v>
      </c>
      <c r="BN198" s="589">
        <f>[1]COMMANDE!AA196</f>
        <v>0</v>
      </c>
      <c r="BO198" s="586" t="str">
        <f>_xlfn.IFS(AND($AI198=$AM198,$AI198&gt;0,$AM198&gt;0,BN198&gt;0), BN198,     AND(NOT($AI198=$AM198),$AI198&gt;0,$AM198&gt;0,BN198&gt;0), ($AM198*BN198)/$AI198,     AND($AI198=0,$AM198&gt;0,$AQ198&gt;0), IF(INDEX(BN$12:BN$263,MATCH($AQ198,$AP$12:$AP$263,0))&gt;0,($AM198*INDEX(BN$12:BN$263,MATCH($AQ198,$AP$12:$AP$263,0)))/INDEX($AI$12:$AI$263,MATCH($AQ198,$AP$12:$AP$263,0)), "-"),     TRUE, "0")</f>
        <v>0</v>
      </c>
      <c r="BP198" s="588">
        <f>IF(BO$9&gt;0, IF(OR(BO198="",BO198="-"), 0, BO198*$AT198), BN198*$AJ198)</f>
        <v>0</v>
      </c>
      <c r="BQ198" s="587">
        <f>[1]COMMANDE!AC196</f>
        <v>0</v>
      </c>
      <c r="BR198" s="586" t="str">
        <f>_xlfn.IFS(AND($AI198=$AM198,$AI198&gt;0,$AM198&gt;0,BQ198&gt;0), BQ198,     AND(NOT($AI198=$AM198),$AI198&gt;0,$AM198&gt;0,BQ198&gt;0), ($AM198*BQ198)/$AI198,     AND($AI198=0,$AM198&gt;0,$AQ198&gt;0), IF(INDEX(BQ$12:BQ$263,MATCH($AQ198,$AP$12:$AP$263,0))&gt;0,($AM198*INDEX(BQ$12:BQ$263,MATCH($AQ198,$AP$12:$AP$263,0)))/INDEX($AI$12:$AI$263,MATCH($AQ198,$AP$12:$AP$263,0)), "-"),     TRUE, "0")</f>
        <v>0</v>
      </c>
      <c r="BS198" s="607">
        <f>IF(BR$9&gt;0, IF(OR(BR198="",BR198="-"), 0, BR198*$AT198), BQ198*$AJ198)</f>
        <v>0</v>
      </c>
      <c r="BT198" s="589">
        <f>[1]COMMANDE!AE196</f>
        <v>0</v>
      </c>
      <c r="BU198" s="586" t="str">
        <f>_xlfn.IFS(AND($AI198=$AM198,$AI198&gt;0,$AM198&gt;0,BT198&gt;0), BT198,     AND(NOT($AI198=$AM198),$AI198&gt;0,$AM198&gt;0,BT198&gt;0), ($AM198*BT198)/$AI198,     AND($AI198=0,$AM198&gt;0,$AQ198&gt;0), IF(INDEX(BT$12:BT$263,MATCH($AQ198,$AP$12:$AP$263,0))&gt;0,($AM198*INDEX(BT$12:BT$263,MATCH($AQ198,$AP$12:$AP$263,0)))/INDEX($AI$12:$AI$263,MATCH($AQ198,$AP$12:$AP$263,0)), "-"),     TRUE, "0")</f>
        <v>0</v>
      </c>
      <c r="BV198" s="588">
        <f>IF(BU$9&gt;0, IF(OR(BU198="",BU198="-"), 0, BU198*$AT198), BT198*$AJ198)</f>
        <v>0</v>
      </c>
      <c r="BW198" s="587">
        <f>[1]COMMANDE!AG196</f>
        <v>0</v>
      </c>
      <c r="BX198" s="586" t="str">
        <f>_xlfn.IFS(AND($AI198=$AM198,$AI198&gt;0,$AM198&gt;0,BW198&gt;0), BW198,     AND(NOT($AI198=$AM198),$AI198&gt;0,$AM198&gt;0,BW198&gt;0), ($AM198*BW198)/$AI198,     AND($AI198=0,$AM198&gt;0,$AQ198&gt;0), IF(INDEX(BW$12:BW$263,MATCH($AQ198,$AP$12:$AP$263,0))&gt;0,($AM198*INDEX(BW$12:BW$263,MATCH($AQ198,$AP$12:$AP$263,0)))/INDEX($AI$12:$AI$263,MATCH($AQ198,$AP$12:$AP$263,0)), "-"),     TRUE, "0")</f>
        <v>0</v>
      </c>
      <c r="BY198" s="607">
        <f>IF(BX$9&gt;0, IF(OR(BX198="",BX198="-"), 0, BX198*$AT198), BW198*$AJ198)</f>
        <v>0</v>
      </c>
      <c r="BZ198" s="589">
        <f>[1]COMMANDE!AI196</f>
        <v>0</v>
      </c>
      <c r="CA198" s="586" t="str">
        <f>_xlfn.IFS(AND($AI198=$AM198,$AI198&gt;0,$AM198&gt;0,BZ198&gt;0), BZ198,     AND(NOT($AI198=$AM198),$AI198&gt;0,$AM198&gt;0,BZ198&gt;0), ($AM198*BZ198)/$AI198,     AND($AI198=0,$AM198&gt;0,$AQ198&gt;0), IF(INDEX(BZ$12:BZ$263,MATCH($AQ198,$AP$12:$AP$263,0))&gt;0,($AM198*INDEX(BZ$12:BZ$263,MATCH($AQ198,$AP$12:$AP$263,0)))/INDEX($AI$12:$AI$263,MATCH($AQ198,$AP$12:$AP$263,0)), "-"),     TRUE, "0")</f>
        <v>0</v>
      </c>
      <c r="CB198" s="588">
        <f>IF(CA$9&gt;0, IF(OR(CA198="",CA198="-"), 0, CA198*$AT198), BZ198*$AJ198)</f>
        <v>0</v>
      </c>
      <c r="CC198" s="587">
        <f>[1]COMMANDE!AK196</f>
        <v>0</v>
      </c>
      <c r="CD198" s="586" t="str">
        <f>_xlfn.IFS(AND($AI198=$AM198,$AI198&gt;0,$AM198&gt;0,CC198&gt;0), CC198,     AND(NOT($AI198=$AM198),$AI198&gt;0,$AM198&gt;0,CC198&gt;0), ($AM198*CC198)/$AI198,     AND($AI198=0,$AM198&gt;0,$AQ198&gt;0), IF(INDEX(CC$12:CC$263,MATCH($AQ198,$AP$12:$AP$263,0))&gt;0,($AM198*INDEX(CC$12:CC$263,MATCH($AQ198,$AP$12:$AP$263,0)))/INDEX($AI$12:$AI$263,MATCH($AQ198,$AP$12:$AP$263,0)), "-"),     TRUE, "0")</f>
        <v>0</v>
      </c>
      <c r="CE198" s="607">
        <f>IF(CD$9&gt;0, IF(OR(CD198="",CD198="-"), 0, CD198*$AT198), CC198*$AJ198)</f>
        <v>0</v>
      </c>
      <c r="CF198" s="589">
        <f>[1]COMMANDE!AM196</f>
        <v>0</v>
      </c>
      <c r="CG198" s="586" t="str">
        <f>_xlfn.IFS(AND($AI198=$AM198,$AI198&gt;0,$AM198&gt;0,CF198&gt;0), CF198,     AND(NOT($AI198=$AM198),$AI198&gt;0,$AM198&gt;0,CF198&gt;0), ($AM198*CF198)/$AI198,     AND($AI198=0,$AM198&gt;0,$AQ198&gt;0), IF(INDEX(CF$12:CF$263,MATCH($AQ198,$AP$12:$AP$263,0))&gt;0,($AM198*INDEX(CF$12:CF$263,MATCH($AQ198,$AP$12:$AP$263,0)))/INDEX($AI$12:$AI$263,MATCH($AQ198,$AP$12:$AP$263,0)), "-"),     TRUE, "0")</f>
        <v>0</v>
      </c>
      <c r="CH198" s="588">
        <f>IF(CG$9&gt;0, IF(OR(CG198="",CG198="-"), 0, CG198*$AT198), CF198*$AJ198)</f>
        <v>0</v>
      </c>
      <c r="CI198" s="587">
        <f>[1]COMMANDE!AO196</f>
        <v>0</v>
      </c>
      <c r="CJ198" s="586" t="str">
        <f>_xlfn.IFS(AND($AI198=$AM198,$AI198&gt;0,$AM198&gt;0,CI198&gt;0), CI198,     AND(NOT($AI198=$AM198),$AI198&gt;0,$AM198&gt;0,CI198&gt;0), ($AM198*CI198)/$AI198,     AND($AI198=0,$AM198&gt;0,$AQ198&gt;0), IF(INDEX(CI$12:CI$263,MATCH($AQ198,$AP$12:$AP$263,0))&gt;0,($AM198*INDEX(CI$12:CI$263,MATCH($AQ198,$AP$12:$AP$263,0)))/INDEX($AI$12:$AI$263,MATCH($AQ198,$AP$12:$AP$263,0)), "-"),     TRUE, "0")</f>
        <v>0</v>
      </c>
      <c r="CK198" s="607">
        <f>IF(CJ$9&gt;0, IF(OR(CJ198="",CJ198="-"), 0, CJ198*$AT198), CI198*$AJ198)</f>
        <v>0</v>
      </c>
      <c r="CL198" s="589">
        <f>[1]COMMANDE!AQ196</f>
        <v>0</v>
      </c>
      <c r="CM198" s="586" t="str">
        <f>_xlfn.IFS(AND($AI198=$AM198,$AI198&gt;0,$AM198&gt;0,CL198&gt;0), CL198,     AND(NOT($AI198=$AM198),$AI198&gt;0,$AM198&gt;0,CL198&gt;0), ($AM198*CL198)/$AI198,     AND($AI198=0,$AM198&gt;0,$AQ198&gt;0), IF(INDEX(CL$12:CL$263,MATCH($AQ198,$AP$12:$AP$263,0))&gt;0,($AM198*INDEX(CL$12:CL$263,MATCH($AQ198,$AP$12:$AP$263,0)))/INDEX($AI$12:$AI$263,MATCH($AQ198,$AP$12:$AP$263,0)), "-"),     TRUE, "0")</f>
        <v>0</v>
      </c>
      <c r="CN198" s="588">
        <f>IF(CM$9&gt;0, IF(OR(CM198="",CM198="-"), 0, CM198*$AT198), CL198*$AJ198)</f>
        <v>0</v>
      </c>
      <c r="CO198" s="587">
        <f>[1]COMMANDE!AS196</f>
        <v>0</v>
      </c>
      <c r="CP198" s="586" t="str">
        <f>_xlfn.IFS(AND($AI198=$AM198,$AI198&gt;0,$AM198&gt;0,CO198&gt;0), CO198,     AND(NOT($AI198=$AM198),$AI198&gt;0,$AM198&gt;0,CO198&gt;0), ($AM198*CO198)/$AI198,     AND($AI198=0,$AM198&gt;0,$AQ198&gt;0), IF(INDEX(CO$12:CO$263,MATCH($AQ198,$AP$12:$AP$263,0))&gt;0,($AM198*INDEX(CO$12:CO$263,MATCH($AQ198,$AP$12:$AP$263,0)))/INDEX($AI$12:$AI$263,MATCH($AQ198,$AP$12:$AP$263,0)), "-"),     TRUE, "0")</f>
        <v>0</v>
      </c>
      <c r="CQ198" s="607">
        <f>IF(CP$9&gt;0, IF(OR(CP198="",CP198="-"), 0, CP198*$AT198), CO198*$AJ198)</f>
        <v>0</v>
      </c>
      <c r="CR198" s="589">
        <f>[1]COMMANDE!AU196</f>
        <v>0</v>
      </c>
      <c r="CS198" s="586" t="str">
        <f>_xlfn.IFS(AND($AI198=$AM198,$AI198&gt;0,$AM198&gt;0,CR198&gt;0), CR198,     AND(NOT($AI198=$AM198),$AI198&gt;0,$AM198&gt;0,CR198&gt;0), ($AM198*CR198)/$AI198,     AND($AI198=0,$AM198&gt;0,$AQ198&gt;0), IF(INDEX(CR$12:CR$263,MATCH($AQ198,$AP$12:$AP$263,0))&gt;0,($AM198*INDEX(CR$12:CR$263,MATCH($AQ198,$AP$12:$AP$263,0)))/INDEX($AI$12:$AI$263,MATCH($AQ198,$AP$12:$AP$263,0)), "-"),     TRUE, "0")</f>
        <v>0</v>
      </c>
      <c r="CT198" s="588">
        <f>IF(CS$9&gt;0, IF(OR(CS198="",CS198="-"), 0, CS198*$AT198), CR198*$AJ198)</f>
        <v>0</v>
      </c>
      <c r="CU198" s="587">
        <f>[1]COMMANDE!AW196</f>
        <v>0</v>
      </c>
      <c r="CV198" s="586" t="str">
        <f>_xlfn.IFS(AND($AI198=$AM198,$AI198&gt;0,$AM198&gt;0,CU198&gt;0), CU198,     AND(NOT($AI198=$AM198),$AI198&gt;0,$AM198&gt;0,CU198&gt;0), ($AM198*CU198)/$AI198,     AND($AI198=0,$AM198&gt;0,$AQ198&gt;0), IF(INDEX(CU$12:CU$263,MATCH($AQ198,$AP$12:$AP$263,0))&gt;0,($AM198*INDEX(CU$12:CU$263,MATCH($AQ198,$AP$12:$AP$263,0)))/INDEX($AI$12:$AI$263,MATCH($AQ198,$AP$12:$AP$263,0)), "-"),     TRUE, "0")</f>
        <v>0</v>
      </c>
      <c r="CW198" s="607">
        <f>IF(CV$9&gt;0, IF(OR(CV198="",CV198="-"), 0, CV198*$AT198), CU198*$AJ198)</f>
        <v>0</v>
      </c>
      <c r="CX198" s="589">
        <f>[1]COMMANDE!AY196</f>
        <v>0</v>
      </c>
      <c r="CY198" s="586" t="str">
        <f>_xlfn.IFS(AND($AI198=$AM198,$AI198&gt;0,$AM198&gt;0,CX198&gt;0), CX198,     AND(NOT($AI198=$AM198),$AI198&gt;0,$AM198&gt;0,CX198&gt;0), ($AM198*CX198)/$AI198,     AND($AI198=0,$AM198&gt;0,$AQ198&gt;0), IF(INDEX(CX$12:CX$263,MATCH($AQ198,$AP$12:$AP$263,0))&gt;0,($AM198*INDEX(CX$12:CX$263,MATCH($AQ198,$AP$12:$AP$263,0)))/INDEX($AI$12:$AI$263,MATCH($AQ198,$AP$12:$AP$263,0)), "-"),     TRUE, "0")</f>
        <v>0</v>
      </c>
      <c r="CZ198" s="588">
        <f>IF(CY$9&gt;0, IF(OR(CY198="",CY198="-"), 0, CY198*$AT198), CX198*$AJ198)</f>
        <v>0</v>
      </c>
      <c r="DA198" s="587">
        <f>[1]COMMANDE!BA196</f>
        <v>0</v>
      </c>
      <c r="DB198" s="586" t="str">
        <f>_xlfn.IFS(AND($AI198=$AM198,$AI198&gt;0,$AM198&gt;0,DA198&gt;0), DA198,     AND(NOT($AI198=$AM198),$AI198&gt;0,$AM198&gt;0,DA198&gt;0), ($AM198*DA198)/$AI198,     AND($AI198=0,$AM198&gt;0,$AQ198&gt;0), IF(INDEX(DA$12:DA$263,MATCH($AQ198,$AP$12:$AP$263,0))&gt;0,($AM198*INDEX(DA$12:DA$263,MATCH($AQ198,$AP$12:$AP$263,0)))/INDEX($AI$12:$AI$263,MATCH($AQ198,$AP$12:$AP$263,0)), "-"),     TRUE, "0")</f>
        <v>0</v>
      </c>
      <c r="DC198" s="606">
        <f>IF(DB$9&gt;0, IF(OR(DB198="",DB198="-"), 0, DB198*$AT198), DA198*$AJ198)</f>
        <v>0</v>
      </c>
      <c r="DD198" s="584"/>
      <c r="DE198" s="583"/>
    </row>
    <row r="199" spans="1:109" ht="39.950000000000003" hidden="1" customHeight="1">
      <c r="A199" s="604">
        <f>IF(OR($AV199&gt;0, $AX199&gt;0), 1, 0)</f>
        <v>0</v>
      </c>
      <c r="B199" s="604">
        <f>IF(OR($AY199&gt;0, $BA199&gt;0), 1, 0)</f>
        <v>0</v>
      </c>
      <c r="C199" s="604">
        <f>IF(OR($BB199&gt;0, $BD199&gt;0), 1, 0)</f>
        <v>0</v>
      </c>
      <c r="D199" s="604">
        <f>IF(OR($BE199&gt;0, $BG199&gt;0), 1, 0)</f>
        <v>0</v>
      </c>
      <c r="E199" s="604">
        <f>IF(OR($BH199&gt;0, $BJ199&gt;0), 1, 0)</f>
        <v>0</v>
      </c>
      <c r="F199" s="604">
        <f>IF(OR($BK199&gt;0, $BM199&gt;0), 1, 0)</f>
        <v>0</v>
      </c>
      <c r="G199" s="604">
        <f>IF(OR($BN199&gt;0, $BP199&gt;0), 1, 0)</f>
        <v>0</v>
      </c>
      <c r="H199" s="604">
        <f>IF(OR($BQ199&gt;0, $BS199&gt;0), 1, 0)</f>
        <v>0</v>
      </c>
      <c r="I199" s="604">
        <f>IF(OR($BT199&gt;0, $BV199&gt;0), 1, 0)</f>
        <v>0</v>
      </c>
      <c r="J199" s="604">
        <f>IF(OR($BW199&gt;0, $BY199&gt;0), 1, 0)</f>
        <v>0</v>
      </c>
      <c r="K199" s="604">
        <f>IF(OR($BZ199&gt;0, $CB199&gt;0), 1, 0)</f>
        <v>0</v>
      </c>
      <c r="L199" s="604">
        <f>IF(OR($CC199&gt;0, $CE199&gt;0), 1, 0)</f>
        <v>0</v>
      </c>
      <c r="M199" s="604">
        <f>IF(OR($CF199&gt;0, $CH199&gt;0), 1, 0)</f>
        <v>0</v>
      </c>
      <c r="N199" s="604">
        <f>IF(OR($CI199&gt;0, $CK199&gt;0), 1, 0)</f>
        <v>0</v>
      </c>
      <c r="O199" s="604">
        <f>IF(OR($CL199&gt;0, $CN199&gt;0), 1, 0)</f>
        <v>0</v>
      </c>
      <c r="P199" s="604">
        <f>IF(OR($CO199&gt;0, $CQ199&gt;0), 1, 0)</f>
        <v>0</v>
      </c>
      <c r="Q199" s="604">
        <f>IF(OR($CR199&gt;0, $CT199&gt;0), 1, 0)</f>
        <v>0</v>
      </c>
      <c r="R199" s="604">
        <f>IF(OR($CU199&gt;0, $CW199&gt;0), 1, 0)</f>
        <v>0</v>
      </c>
      <c r="S199" s="604">
        <f>IF(OR($CX199&gt;0, $CZ199&gt;0), 1, 0)</f>
        <v>0</v>
      </c>
      <c r="T199" s="604">
        <f>IF(OR($DA199&gt;0, $DC199&gt;0), 1, 0)</f>
        <v>0</v>
      </c>
      <c r="U199" s="603">
        <f>IF(OR($AI199&gt;0,$AM199&gt;0,$AS199&gt;0), 1, 0)</f>
        <v>0</v>
      </c>
      <c r="V199" s="602" t="str">
        <f>[1]BDD!A189</f>
        <v>5119-SF</v>
      </c>
      <c r="W199" s="601" t="str">
        <f>[1]BDD!B189</f>
        <v>Olives fermentées semi-fraîches non pasteurisées (env. 400g) - production artisanale</v>
      </c>
      <c r="X199" s="600" t="str">
        <f>IF([1]BDD!F189=0, "", [1]BDD!F189)</f>
        <v/>
      </c>
      <c r="Y199" s="542">
        <f>ROUND([1]BDD!G189+FDP_CMD_KG, 2)</f>
        <v>11.27</v>
      </c>
      <c r="Z199" s="542">
        <f>ROUND([1]BDD!G189+FDP_FACT_KG, 2)</f>
        <v>11.27</v>
      </c>
      <c r="AA199" s="543" t="str">
        <f>[1]BDD!H189</f>
        <v>Pièce</v>
      </c>
      <c r="AB199" s="544" t="str">
        <f>IF(NOT(ISBLANK([1]BDD!I189)), ROUND(SUM(([1]BDD!G189*reduc1),FDP_CMD_KG), 2), "")</f>
        <v/>
      </c>
      <c r="AC199" s="544" t="str">
        <f>IF(NOT(ISBLANK([1]BDD!J189)), ROUND(SUM(([1]BDD!G189*reduc2),FDP_CMD_KG), 2), "")</f>
        <v/>
      </c>
      <c r="AD199" s="544" t="str">
        <f>IF(NOT(ISBLANK([1]BDD!K189)), ROUND(SUM(([1]BDD!G189*reduc3),FDP_CMD_KG), 2), "")</f>
        <v/>
      </c>
      <c r="AE199" s="544" t="str">
        <f>IF(NOT(ISBLANK([1]BDD!I189)), ROUND(SUM(([1]BDD!G189*reduc1),FDP_FACT_KG), 2), "")</f>
        <v/>
      </c>
      <c r="AF199" s="544" t="str">
        <f>IF(NOT(ISBLANK([1]BDD!J189)), ROUND(SUM(([1]BDD!G189*reduc2),FDP_FACT_KG), 2), "")</f>
        <v/>
      </c>
      <c r="AG199" s="544" t="str">
        <f>IF(NOT(ISBLANK([1]BDD!K189)), ROUND(SUM(([1]BDD!G189*reduc3),FDP_FACT_KG), 2), "")</f>
        <v/>
      </c>
      <c r="AH199" s="599" t="str">
        <f>[1]BDD!C189</f>
        <v>Valence</v>
      </c>
      <c r="AI199" s="598">
        <f>SUM(AV199,AY199,BB199,BE199,BH199,BK199,BN199,BQ199,BT199,BW199,BZ199,CC199,CF199,CI199,CL199,CO199,CR199,CU199,CX199,DA199)</f>
        <v>0</v>
      </c>
      <c r="AJ199" s="545">
        <f>_xlfn.IFS($AD199&lt;&gt;"", $AD199,    $AC199&lt;&gt;"", $AC199,    $AB199&lt;&gt;"", $AB199,    TRUE, $Y199)</f>
        <v>11.27</v>
      </c>
      <c r="AK199" s="592">
        <f>$AI199*$AJ199</f>
        <v>0</v>
      </c>
      <c r="AL199" s="594"/>
      <c r="AM199" s="597"/>
      <c r="AN199" s="545">
        <f>_xlfn.IFS(AND(AM199&gt;=60,$AG199&lt;&gt;""), $AG199,    AND(AM199&gt;=30,$AF199&lt;&gt;""), $AF199,    AND(AM199&gt;=10,$AE199&lt;&gt;""), $AE199,    TRUE, $Z199)</f>
        <v>11.27</v>
      </c>
      <c r="AO199" s="596">
        <f>AM199*AN199</f>
        <v>0</v>
      </c>
      <c r="AP199" s="595"/>
      <c r="AQ199" s="595"/>
      <c r="AR199" s="594"/>
      <c r="AS199" s="593">
        <f>SUM(AW199,AZ199,BC199,BF199,BI199,BL199,BO199,BR199,BU199,BX199,CA199,CD199,CG199,CJ199,CM199,CP199,CS199,CV199,CY199,DB199)</f>
        <v>0</v>
      </c>
      <c r="AT199" s="545">
        <f>_xlfn.IFS(AND(AS199&gt;=60,$AG199&lt;&gt;""), $AG199,    AND(AS199&gt;=30,$AF199&lt;&gt;""), $AF199,    AND(AS199&gt;=10,$AE199&lt;&gt;""), $AE199,    TRUE, $Z199)</f>
        <v>11.27</v>
      </c>
      <c r="AU199" s="592">
        <f>$AS199*$AT199</f>
        <v>0</v>
      </c>
      <c r="AV199" s="591">
        <f>[1]COMMANDE!O197</f>
        <v>0</v>
      </c>
      <c r="AW199" s="586" t="str">
        <f>_xlfn.IFS(AND($AI199=$AM199,$AI199&gt;0,$AM199&gt;0,AV199&gt;0), AV199,     AND(NOT($AI199=$AM199),$AI199&gt;0,$AM199&gt;0,AV199&gt;0), ($AM199*AV199)/$AI199,     AND($AI199=0,$AM199&gt;0,$AQ199&gt;0), IF(INDEX(AV$12:AV$263,MATCH($AQ199,$AP$12:$AP$263,0))&gt;0,($AM199*INDEX(AV$12:AV$263,MATCH($AQ199,$AP$12:$AP$263,0)))/INDEX($AI$12:$AI$263,MATCH($AQ199,$AP$12:$AP$263,0)), "-"),     TRUE, "0")</f>
        <v>0</v>
      </c>
      <c r="AX199" s="588">
        <f>IF(AW$9&gt;0, IF(OR(AW199="",AW199="-"), 0, AW199*$AT199), AV199*$AJ199)</f>
        <v>0</v>
      </c>
      <c r="AY199" s="587">
        <f>[1]COMMANDE!Q197</f>
        <v>0</v>
      </c>
      <c r="AZ199" s="586" t="str">
        <f>_xlfn.IFS(AND($AI199=$AM199,$AI199&gt;0,$AM199&gt;0,AY199&gt;0), AY199,     AND(NOT($AI199=$AM199),$AI199&gt;0,$AM199&gt;0,AY199&gt;0), ($AM199*AY199)/$AI199,     AND($AI199=0,$AM199&gt;0,$AQ199&gt;0), IF(INDEX(AY$12:AY$263,MATCH($AQ199,$AP$12:$AP$263,0))&gt;0,($AM199*INDEX(AY$12:AY$263,MATCH($AQ199,$AP$12:$AP$263,0)))/INDEX($AI$12:$AI$263,MATCH($AQ199,$AP$12:$AP$263,0)), "-"),     TRUE, "0")</f>
        <v>0</v>
      </c>
      <c r="BA199" s="607">
        <f>IF(AZ$9&gt;0, IF(OR(AZ199="",AZ199="-"), 0, AZ199*$AT199), AY199*$AJ199)</f>
        <v>0</v>
      </c>
      <c r="BB199" s="589">
        <f>[1]COMMANDE!S197</f>
        <v>0</v>
      </c>
      <c r="BC199" s="586" t="str">
        <f>_xlfn.IFS(AND($AI199=$AM199,$AI199&gt;0,$AM199&gt;0,BB199&gt;0), BB199,     AND(NOT($AI199=$AM199),$AI199&gt;0,$AM199&gt;0,BB199&gt;0), ($AM199*BB199)/$AI199,     AND($AI199=0,$AM199&gt;0,$AQ199&gt;0), IF(INDEX(BB$12:BB$263,MATCH($AQ199,$AP$12:$AP$263,0))&gt;0,($AM199*INDEX(BB$12:BB$263,MATCH($AQ199,$AP$12:$AP$263,0)))/INDEX($AI$12:$AI$263,MATCH($AQ199,$AP$12:$AP$263,0)), "-"),     TRUE, "0")</f>
        <v>0</v>
      </c>
      <c r="BD199" s="588">
        <f>IF(BC$9&gt;0, IF(OR(BC199="",BC199="-"), 0, BC199*$AT199), BB199*$AJ199)</f>
        <v>0</v>
      </c>
      <c r="BE199" s="587">
        <f>[1]COMMANDE!U197</f>
        <v>0</v>
      </c>
      <c r="BF199" s="586" t="str">
        <f>_xlfn.IFS(AND($AI199=$AM199,$AI199&gt;0,$AM199&gt;0,BE199&gt;0), BE199,     AND(NOT($AI199=$AM199),$AI199&gt;0,$AM199&gt;0,BE199&gt;0), ($AM199*BE199)/$AI199,     AND($AI199=0,$AM199&gt;0,$AQ199&gt;0), IF(INDEX(BE$12:BE$263,MATCH($AQ199,$AP$12:$AP$263,0))&gt;0,($AM199*INDEX(BE$12:BE$263,MATCH($AQ199,$AP$12:$AP$263,0)))/INDEX($AI$12:$AI$263,MATCH($AQ199,$AP$12:$AP$263,0)), "-"),     TRUE, "0")</f>
        <v>0</v>
      </c>
      <c r="BG199" s="607">
        <f>IF(BF$9&gt;0, IF(OR(BF199="",BF199="-"), 0, BF199*$AT199), BE199*$AJ199)</f>
        <v>0</v>
      </c>
      <c r="BH199" s="589">
        <f>[1]COMMANDE!W197</f>
        <v>0</v>
      </c>
      <c r="BI199" s="586" t="str">
        <f>_xlfn.IFS(AND($AI199=$AM199,$AI199&gt;0,$AM199&gt;0,BH199&gt;0), BH199,     AND(NOT($AI199=$AM199),$AI199&gt;0,$AM199&gt;0,BH199&gt;0), ($AM199*BH199)/$AI199,     AND($AI199=0,$AM199&gt;0,$AQ199&gt;0), IF(INDEX(BH$12:BH$263,MATCH($AQ199,$AP$12:$AP$263,0))&gt;0,($AM199*INDEX(BH$12:BH$263,MATCH($AQ199,$AP$12:$AP$263,0)))/INDEX($AI$12:$AI$263,MATCH($AQ199,$AP$12:$AP$263,0)), "-"),     TRUE, "0")</f>
        <v>0</v>
      </c>
      <c r="BJ199" s="588">
        <f>IF(BI$9&gt;0, IF(OR(BI199="",BI199="-"), 0, BI199*$AT199), BH199*$AJ199)</f>
        <v>0</v>
      </c>
      <c r="BK199" s="587">
        <f>[1]COMMANDE!Y197</f>
        <v>0</v>
      </c>
      <c r="BL199" s="586" t="str">
        <f>_xlfn.IFS(AND($AI199=$AM199,$AI199&gt;0,$AM199&gt;0,BK199&gt;0), BK199,     AND(NOT($AI199=$AM199),$AI199&gt;0,$AM199&gt;0,BK199&gt;0), ($AM199*BK199)/$AI199,     AND($AI199=0,$AM199&gt;0,$AQ199&gt;0), IF(INDEX(BK$12:BK$263,MATCH($AQ199,$AP$12:$AP$263,0))&gt;0,($AM199*INDEX(BK$12:BK$263,MATCH($AQ199,$AP$12:$AP$263,0)))/INDEX($AI$12:$AI$263,MATCH($AQ199,$AP$12:$AP$263,0)), "-"),     TRUE, "0")</f>
        <v>0</v>
      </c>
      <c r="BM199" s="607">
        <f>IF(BL$9&gt;0, IF(OR(BL199="",BL199="-"), 0, BL199*$AT199), BK199*$AJ199)</f>
        <v>0</v>
      </c>
      <c r="BN199" s="589">
        <f>[1]COMMANDE!AA197</f>
        <v>0</v>
      </c>
      <c r="BO199" s="586" t="str">
        <f>_xlfn.IFS(AND($AI199=$AM199,$AI199&gt;0,$AM199&gt;0,BN199&gt;0), BN199,     AND(NOT($AI199=$AM199),$AI199&gt;0,$AM199&gt;0,BN199&gt;0), ($AM199*BN199)/$AI199,     AND($AI199=0,$AM199&gt;0,$AQ199&gt;0), IF(INDEX(BN$12:BN$263,MATCH($AQ199,$AP$12:$AP$263,0))&gt;0,($AM199*INDEX(BN$12:BN$263,MATCH($AQ199,$AP$12:$AP$263,0)))/INDEX($AI$12:$AI$263,MATCH($AQ199,$AP$12:$AP$263,0)), "-"),     TRUE, "0")</f>
        <v>0</v>
      </c>
      <c r="BP199" s="588">
        <f>IF(BO$9&gt;0, IF(OR(BO199="",BO199="-"), 0, BO199*$AT199), BN199*$AJ199)</f>
        <v>0</v>
      </c>
      <c r="BQ199" s="587">
        <f>[1]COMMANDE!AC197</f>
        <v>0</v>
      </c>
      <c r="BR199" s="586" t="str">
        <f>_xlfn.IFS(AND($AI199=$AM199,$AI199&gt;0,$AM199&gt;0,BQ199&gt;0), BQ199,     AND(NOT($AI199=$AM199),$AI199&gt;0,$AM199&gt;0,BQ199&gt;0), ($AM199*BQ199)/$AI199,     AND($AI199=0,$AM199&gt;0,$AQ199&gt;0), IF(INDEX(BQ$12:BQ$263,MATCH($AQ199,$AP$12:$AP$263,0))&gt;0,($AM199*INDEX(BQ$12:BQ$263,MATCH($AQ199,$AP$12:$AP$263,0)))/INDEX($AI$12:$AI$263,MATCH($AQ199,$AP$12:$AP$263,0)), "-"),     TRUE, "0")</f>
        <v>0</v>
      </c>
      <c r="BS199" s="607">
        <f>IF(BR$9&gt;0, IF(OR(BR199="",BR199="-"), 0, BR199*$AT199), BQ199*$AJ199)</f>
        <v>0</v>
      </c>
      <c r="BT199" s="589">
        <f>[1]COMMANDE!AE197</f>
        <v>0</v>
      </c>
      <c r="BU199" s="586" t="str">
        <f>_xlfn.IFS(AND($AI199=$AM199,$AI199&gt;0,$AM199&gt;0,BT199&gt;0), BT199,     AND(NOT($AI199=$AM199),$AI199&gt;0,$AM199&gt;0,BT199&gt;0), ($AM199*BT199)/$AI199,     AND($AI199=0,$AM199&gt;0,$AQ199&gt;0), IF(INDEX(BT$12:BT$263,MATCH($AQ199,$AP$12:$AP$263,0))&gt;0,($AM199*INDEX(BT$12:BT$263,MATCH($AQ199,$AP$12:$AP$263,0)))/INDEX($AI$12:$AI$263,MATCH($AQ199,$AP$12:$AP$263,0)), "-"),     TRUE, "0")</f>
        <v>0</v>
      </c>
      <c r="BV199" s="588">
        <f>IF(BU$9&gt;0, IF(OR(BU199="",BU199="-"), 0, BU199*$AT199), BT199*$AJ199)</f>
        <v>0</v>
      </c>
      <c r="BW199" s="587">
        <f>[1]COMMANDE!AG197</f>
        <v>0</v>
      </c>
      <c r="BX199" s="586" t="str">
        <f>_xlfn.IFS(AND($AI199=$AM199,$AI199&gt;0,$AM199&gt;0,BW199&gt;0), BW199,     AND(NOT($AI199=$AM199),$AI199&gt;0,$AM199&gt;0,BW199&gt;0), ($AM199*BW199)/$AI199,     AND($AI199=0,$AM199&gt;0,$AQ199&gt;0), IF(INDEX(BW$12:BW$263,MATCH($AQ199,$AP$12:$AP$263,0))&gt;0,($AM199*INDEX(BW$12:BW$263,MATCH($AQ199,$AP$12:$AP$263,0)))/INDEX($AI$12:$AI$263,MATCH($AQ199,$AP$12:$AP$263,0)), "-"),     TRUE, "0")</f>
        <v>0</v>
      </c>
      <c r="BY199" s="607">
        <f>IF(BX$9&gt;0, IF(OR(BX199="",BX199="-"), 0, BX199*$AT199), BW199*$AJ199)</f>
        <v>0</v>
      </c>
      <c r="BZ199" s="589">
        <f>[1]COMMANDE!AI197</f>
        <v>0</v>
      </c>
      <c r="CA199" s="586" t="str">
        <f>_xlfn.IFS(AND($AI199=$AM199,$AI199&gt;0,$AM199&gt;0,BZ199&gt;0), BZ199,     AND(NOT($AI199=$AM199),$AI199&gt;0,$AM199&gt;0,BZ199&gt;0), ($AM199*BZ199)/$AI199,     AND($AI199=0,$AM199&gt;0,$AQ199&gt;0), IF(INDEX(BZ$12:BZ$263,MATCH($AQ199,$AP$12:$AP$263,0))&gt;0,($AM199*INDEX(BZ$12:BZ$263,MATCH($AQ199,$AP$12:$AP$263,0)))/INDEX($AI$12:$AI$263,MATCH($AQ199,$AP$12:$AP$263,0)), "-"),     TRUE, "0")</f>
        <v>0</v>
      </c>
      <c r="CB199" s="588">
        <f>IF(CA$9&gt;0, IF(OR(CA199="",CA199="-"), 0, CA199*$AT199), BZ199*$AJ199)</f>
        <v>0</v>
      </c>
      <c r="CC199" s="587">
        <f>[1]COMMANDE!AK197</f>
        <v>0</v>
      </c>
      <c r="CD199" s="586" t="str">
        <f>_xlfn.IFS(AND($AI199=$AM199,$AI199&gt;0,$AM199&gt;0,CC199&gt;0), CC199,     AND(NOT($AI199=$AM199),$AI199&gt;0,$AM199&gt;0,CC199&gt;0), ($AM199*CC199)/$AI199,     AND($AI199=0,$AM199&gt;0,$AQ199&gt;0), IF(INDEX(CC$12:CC$263,MATCH($AQ199,$AP$12:$AP$263,0))&gt;0,($AM199*INDEX(CC$12:CC$263,MATCH($AQ199,$AP$12:$AP$263,0)))/INDEX($AI$12:$AI$263,MATCH($AQ199,$AP$12:$AP$263,0)), "-"),     TRUE, "0")</f>
        <v>0</v>
      </c>
      <c r="CE199" s="607">
        <f>IF(CD$9&gt;0, IF(OR(CD199="",CD199="-"), 0, CD199*$AT199), CC199*$AJ199)</f>
        <v>0</v>
      </c>
      <c r="CF199" s="589">
        <f>[1]COMMANDE!AM197</f>
        <v>0</v>
      </c>
      <c r="CG199" s="586" t="str">
        <f>_xlfn.IFS(AND($AI199=$AM199,$AI199&gt;0,$AM199&gt;0,CF199&gt;0), CF199,     AND(NOT($AI199=$AM199),$AI199&gt;0,$AM199&gt;0,CF199&gt;0), ($AM199*CF199)/$AI199,     AND($AI199=0,$AM199&gt;0,$AQ199&gt;0), IF(INDEX(CF$12:CF$263,MATCH($AQ199,$AP$12:$AP$263,0))&gt;0,($AM199*INDEX(CF$12:CF$263,MATCH($AQ199,$AP$12:$AP$263,0)))/INDEX($AI$12:$AI$263,MATCH($AQ199,$AP$12:$AP$263,0)), "-"),     TRUE, "0")</f>
        <v>0</v>
      </c>
      <c r="CH199" s="588">
        <f>IF(CG$9&gt;0, IF(OR(CG199="",CG199="-"), 0, CG199*$AT199), CF199*$AJ199)</f>
        <v>0</v>
      </c>
      <c r="CI199" s="587">
        <f>[1]COMMANDE!AO197</f>
        <v>0</v>
      </c>
      <c r="CJ199" s="586" t="str">
        <f>_xlfn.IFS(AND($AI199=$AM199,$AI199&gt;0,$AM199&gt;0,CI199&gt;0), CI199,     AND(NOT($AI199=$AM199),$AI199&gt;0,$AM199&gt;0,CI199&gt;0), ($AM199*CI199)/$AI199,     AND($AI199=0,$AM199&gt;0,$AQ199&gt;0), IF(INDEX(CI$12:CI$263,MATCH($AQ199,$AP$12:$AP$263,0))&gt;0,($AM199*INDEX(CI$12:CI$263,MATCH($AQ199,$AP$12:$AP$263,0)))/INDEX($AI$12:$AI$263,MATCH($AQ199,$AP$12:$AP$263,0)), "-"),     TRUE, "0")</f>
        <v>0</v>
      </c>
      <c r="CK199" s="607">
        <f>IF(CJ$9&gt;0, IF(OR(CJ199="",CJ199="-"), 0, CJ199*$AT199), CI199*$AJ199)</f>
        <v>0</v>
      </c>
      <c r="CL199" s="589">
        <f>[1]COMMANDE!AQ197</f>
        <v>0</v>
      </c>
      <c r="CM199" s="586" t="str">
        <f>_xlfn.IFS(AND($AI199=$AM199,$AI199&gt;0,$AM199&gt;0,CL199&gt;0), CL199,     AND(NOT($AI199=$AM199),$AI199&gt;0,$AM199&gt;0,CL199&gt;0), ($AM199*CL199)/$AI199,     AND($AI199=0,$AM199&gt;0,$AQ199&gt;0), IF(INDEX(CL$12:CL$263,MATCH($AQ199,$AP$12:$AP$263,0))&gt;0,($AM199*INDEX(CL$12:CL$263,MATCH($AQ199,$AP$12:$AP$263,0)))/INDEX($AI$12:$AI$263,MATCH($AQ199,$AP$12:$AP$263,0)), "-"),     TRUE, "0")</f>
        <v>0</v>
      </c>
      <c r="CN199" s="588">
        <f>IF(CM$9&gt;0, IF(OR(CM199="",CM199="-"), 0, CM199*$AT199), CL199*$AJ199)</f>
        <v>0</v>
      </c>
      <c r="CO199" s="587">
        <f>[1]COMMANDE!AS197</f>
        <v>0</v>
      </c>
      <c r="CP199" s="586" t="str">
        <f>_xlfn.IFS(AND($AI199=$AM199,$AI199&gt;0,$AM199&gt;0,CO199&gt;0), CO199,     AND(NOT($AI199=$AM199),$AI199&gt;0,$AM199&gt;0,CO199&gt;0), ($AM199*CO199)/$AI199,     AND($AI199=0,$AM199&gt;0,$AQ199&gt;0), IF(INDEX(CO$12:CO$263,MATCH($AQ199,$AP$12:$AP$263,0))&gt;0,($AM199*INDEX(CO$12:CO$263,MATCH($AQ199,$AP$12:$AP$263,0)))/INDEX($AI$12:$AI$263,MATCH($AQ199,$AP$12:$AP$263,0)), "-"),     TRUE, "0")</f>
        <v>0</v>
      </c>
      <c r="CQ199" s="607">
        <f>IF(CP$9&gt;0, IF(OR(CP199="",CP199="-"), 0, CP199*$AT199), CO199*$AJ199)</f>
        <v>0</v>
      </c>
      <c r="CR199" s="589">
        <f>[1]COMMANDE!AU197</f>
        <v>0</v>
      </c>
      <c r="CS199" s="586" t="str">
        <f>_xlfn.IFS(AND($AI199=$AM199,$AI199&gt;0,$AM199&gt;0,CR199&gt;0), CR199,     AND(NOT($AI199=$AM199),$AI199&gt;0,$AM199&gt;0,CR199&gt;0), ($AM199*CR199)/$AI199,     AND($AI199=0,$AM199&gt;0,$AQ199&gt;0), IF(INDEX(CR$12:CR$263,MATCH($AQ199,$AP$12:$AP$263,0))&gt;0,($AM199*INDEX(CR$12:CR$263,MATCH($AQ199,$AP$12:$AP$263,0)))/INDEX($AI$12:$AI$263,MATCH($AQ199,$AP$12:$AP$263,0)), "-"),     TRUE, "0")</f>
        <v>0</v>
      </c>
      <c r="CT199" s="588">
        <f>IF(CS$9&gt;0, IF(OR(CS199="",CS199="-"), 0, CS199*$AT199), CR199*$AJ199)</f>
        <v>0</v>
      </c>
      <c r="CU199" s="587">
        <f>[1]COMMANDE!AW197</f>
        <v>0</v>
      </c>
      <c r="CV199" s="586" t="str">
        <f>_xlfn.IFS(AND($AI199=$AM199,$AI199&gt;0,$AM199&gt;0,CU199&gt;0), CU199,     AND(NOT($AI199=$AM199),$AI199&gt;0,$AM199&gt;0,CU199&gt;0), ($AM199*CU199)/$AI199,     AND($AI199=0,$AM199&gt;0,$AQ199&gt;0), IF(INDEX(CU$12:CU$263,MATCH($AQ199,$AP$12:$AP$263,0))&gt;0,($AM199*INDEX(CU$12:CU$263,MATCH($AQ199,$AP$12:$AP$263,0)))/INDEX($AI$12:$AI$263,MATCH($AQ199,$AP$12:$AP$263,0)), "-"),     TRUE, "0")</f>
        <v>0</v>
      </c>
      <c r="CW199" s="607">
        <f>IF(CV$9&gt;0, IF(OR(CV199="",CV199="-"), 0, CV199*$AT199), CU199*$AJ199)</f>
        <v>0</v>
      </c>
      <c r="CX199" s="589">
        <f>[1]COMMANDE!AY197</f>
        <v>0</v>
      </c>
      <c r="CY199" s="586" t="str">
        <f>_xlfn.IFS(AND($AI199=$AM199,$AI199&gt;0,$AM199&gt;0,CX199&gt;0), CX199,     AND(NOT($AI199=$AM199),$AI199&gt;0,$AM199&gt;0,CX199&gt;0), ($AM199*CX199)/$AI199,     AND($AI199=0,$AM199&gt;0,$AQ199&gt;0), IF(INDEX(CX$12:CX$263,MATCH($AQ199,$AP$12:$AP$263,0))&gt;0,($AM199*INDEX(CX$12:CX$263,MATCH($AQ199,$AP$12:$AP$263,0)))/INDEX($AI$12:$AI$263,MATCH($AQ199,$AP$12:$AP$263,0)), "-"),     TRUE, "0")</f>
        <v>0</v>
      </c>
      <c r="CZ199" s="588">
        <f>IF(CY$9&gt;0, IF(OR(CY199="",CY199="-"), 0, CY199*$AT199), CX199*$AJ199)</f>
        <v>0</v>
      </c>
      <c r="DA199" s="587">
        <f>[1]COMMANDE!BA197</f>
        <v>0</v>
      </c>
      <c r="DB199" s="586" t="str">
        <f>_xlfn.IFS(AND($AI199=$AM199,$AI199&gt;0,$AM199&gt;0,DA199&gt;0), DA199,     AND(NOT($AI199=$AM199),$AI199&gt;0,$AM199&gt;0,DA199&gt;0), ($AM199*DA199)/$AI199,     AND($AI199=0,$AM199&gt;0,$AQ199&gt;0), IF(INDEX(DA$12:DA$263,MATCH($AQ199,$AP$12:$AP$263,0))&gt;0,($AM199*INDEX(DA$12:DA$263,MATCH($AQ199,$AP$12:$AP$263,0)))/INDEX($AI$12:$AI$263,MATCH($AQ199,$AP$12:$AP$263,0)), "-"),     TRUE, "0")</f>
        <v>0</v>
      </c>
      <c r="DC199" s="606">
        <f>IF(DB$9&gt;0, IF(OR(DB199="",DB199="-"), 0, DB199*$AT199), DA199*$AJ199)</f>
        <v>0</v>
      </c>
      <c r="DD199" s="584"/>
      <c r="DE199" s="583"/>
    </row>
    <row r="200" spans="1:109" ht="39.950000000000003" hidden="1" customHeight="1">
      <c r="A200" s="604">
        <f>IF(OR($AV200&gt;0, $AX200&gt;0), 1, 0)</f>
        <v>0</v>
      </c>
      <c r="B200" s="604">
        <f>IF(OR($AY200&gt;0, $BA200&gt;0), 1, 0)</f>
        <v>0</v>
      </c>
      <c r="C200" s="604">
        <f>IF(OR($BB200&gt;0, $BD200&gt;0), 1, 0)</f>
        <v>0</v>
      </c>
      <c r="D200" s="604">
        <f>IF(OR($BE200&gt;0, $BG200&gt;0), 1, 0)</f>
        <v>0</v>
      </c>
      <c r="E200" s="604">
        <f>IF(OR($BH200&gt;0, $BJ200&gt;0), 1, 0)</f>
        <v>0</v>
      </c>
      <c r="F200" s="604">
        <f>IF(OR($BK200&gt;0, $BM200&gt;0), 1, 0)</f>
        <v>0</v>
      </c>
      <c r="G200" s="604">
        <f>IF(OR($BN200&gt;0, $BP200&gt;0), 1, 0)</f>
        <v>0</v>
      </c>
      <c r="H200" s="604">
        <f>IF(OR($BQ200&gt;0, $BS200&gt;0), 1, 0)</f>
        <v>0</v>
      </c>
      <c r="I200" s="604">
        <f>IF(OR($BT200&gt;0, $BV200&gt;0), 1, 0)</f>
        <v>0</v>
      </c>
      <c r="J200" s="604">
        <f>IF(OR($BW200&gt;0, $BY200&gt;0), 1, 0)</f>
        <v>0</v>
      </c>
      <c r="K200" s="604">
        <f>IF(OR($BZ200&gt;0, $CB200&gt;0), 1, 0)</f>
        <v>0</v>
      </c>
      <c r="L200" s="604">
        <f>IF(OR($CC200&gt;0, $CE200&gt;0), 1, 0)</f>
        <v>0</v>
      </c>
      <c r="M200" s="604">
        <f>IF(OR($CF200&gt;0, $CH200&gt;0), 1, 0)</f>
        <v>0</v>
      </c>
      <c r="N200" s="604">
        <f>IF(OR($CI200&gt;0, $CK200&gt;0), 1, 0)</f>
        <v>0</v>
      </c>
      <c r="O200" s="604">
        <f>IF(OR($CL200&gt;0, $CN200&gt;0), 1, 0)</f>
        <v>0</v>
      </c>
      <c r="P200" s="604">
        <f>IF(OR($CO200&gt;0, $CQ200&gt;0), 1, 0)</f>
        <v>0</v>
      </c>
      <c r="Q200" s="604">
        <f>IF(OR($CR200&gt;0, $CT200&gt;0), 1, 0)</f>
        <v>0</v>
      </c>
      <c r="R200" s="604">
        <f>IF(OR($CU200&gt;0, $CW200&gt;0), 1, 0)</f>
        <v>0</v>
      </c>
      <c r="S200" s="604">
        <f>IF(OR($CX200&gt;0, $CZ200&gt;0), 1, 0)</f>
        <v>0</v>
      </c>
      <c r="T200" s="604">
        <f>IF(OR($DA200&gt;0, $DC200&gt;0), 1, 0)</f>
        <v>0</v>
      </c>
      <c r="U200" s="603">
        <f>IF(OR($AI200&gt;0,$AM200&gt;0,$AS200&gt;0), 1, 0)</f>
        <v>0</v>
      </c>
      <c r="V200" s="602" t="str">
        <f>[1]BDD!A190</f>
        <v>5119-SS</v>
      </c>
      <c r="W200" s="601" t="str">
        <f>[1]BDD!B190</f>
        <v>Olives fermentées semi-sèches non pasteurisées (env. 400g) - production artisanale</v>
      </c>
      <c r="X200" s="600" t="str">
        <f>IF([1]BDD!F190=0, "", [1]BDD!F190)</f>
        <v/>
      </c>
      <c r="Y200" s="542">
        <f>ROUND([1]BDD!G190+FDP_CMD_KG, 2)</f>
        <v>11.27</v>
      </c>
      <c r="Z200" s="542">
        <f>ROUND([1]BDD!G190+FDP_FACT_KG, 2)</f>
        <v>11.27</v>
      </c>
      <c r="AA200" s="543" t="str">
        <f>[1]BDD!H190</f>
        <v>Pièce</v>
      </c>
      <c r="AB200" s="544" t="str">
        <f>IF(NOT(ISBLANK([1]BDD!I190)), ROUND(SUM(([1]BDD!G190*reduc1),FDP_CMD_KG), 2), "")</f>
        <v/>
      </c>
      <c r="AC200" s="544" t="str">
        <f>IF(NOT(ISBLANK([1]BDD!J190)), ROUND(SUM(([1]BDD!G190*reduc2),FDP_CMD_KG), 2), "")</f>
        <v/>
      </c>
      <c r="AD200" s="544" t="str">
        <f>IF(NOT(ISBLANK([1]BDD!K190)), ROUND(SUM(([1]BDD!G190*reduc3),FDP_CMD_KG), 2), "")</f>
        <v/>
      </c>
      <c r="AE200" s="544" t="str">
        <f>IF(NOT(ISBLANK([1]BDD!I190)), ROUND(SUM(([1]BDD!G190*reduc1),FDP_FACT_KG), 2), "")</f>
        <v/>
      </c>
      <c r="AF200" s="544" t="str">
        <f>IF(NOT(ISBLANK([1]BDD!J190)), ROUND(SUM(([1]BDD!G190*reduc2),FDP_FACT_KG), 2), "")</f>
        <v/>
      </c>
      <c r="AG200" s="544" t="str">
        <f>IF(NOT(ISBLANK([1]BDD!K190)), ROUND(SUM(([1]BDD!G190*reduc3),FDP_FACT_KG), 2), "")</f>
        <v/>
      </c>
      <c r="AH200" s="599" t="str">
        <f>[1]BDD!C190</f>
        <v>Valence</v>
      </c>
      <c r="AI200" s="598">
        <f>SUM(AV200,AY200,BB200,BE200,BH200,BK200,BN200,BQ200,BT200,BW200,BZ200,CC200,CF200,CI200,CL200,CO200,CR200,CU200,CX200,DA200)</f>
        <v>0</v>
      </c>
      <c r="AJ200" s="545">
        <f>_xlfn.IFS($AD200&lt;&gt;"", $AD200,    $AC200&lt;&gt;"", $AC200,    $AB200&lt;&gt;"", $AB200,    TRUE, $Y200)</f>
        <v>11.27</v>
      </c>
      <c r="AK200" s="592">
        <f>$AI200*$AJ200</f>
        <v>0</v>
      </c>
      <c r="AL200" s="594"/>
      <c r="AM200" s="597"/>
      <c r="AN200" s="545">
        <f>_xlfn.IFS(AND(AM200&gt;=60,$AG200&lt;&gt;""), $AG200,    AND(AM200&gt;=30,$AF200&lt;&gt;""), $AF200,    AND(AM200&gt;=10,$AE200&lt;&gt;""), $AE200,    TRUE, $Z200)</f>
        <v>11.27</v>
      </c>
      <c r="AO200" s="596">
        <f>AM200*AN200</f>
        <v>0</v>
      </c>
      <c r="AP200" s="595"/>
      <c r="AQ200" s="595"/>
      <c r="AR200" s="594"/>
      <c r="AS200" s="593">
        <f>SUM(AW200,AZ200,BC200,BF200,BI200,BL200,BO200,BR200,BU200,BX200,CA200,CD200,CG200,CJ200,CM200,CP200,CS200,CV200,CY200,DB200)</f>
        <v>0</v>
      </c>
      <c r="AT200" s="545">
        <f>_xlfn.IFS(AND(AS200&gt;=60,$AG200&lt;&gt;""), $AG200,    AND(AS200&gt;=30,$AF200&lt;&gt;""), $AF200,    AND(AS200&gt;=10,$AE200&lt;&gt;""), $AE200,    TRUE, $Z200)</f>
        <v>11.27</v>
      </c>
      <c r="AU200" s="592">
        <f>$AS200*$AT200</f>
        <v>0</v>
      </c>
      <c r="AV200" s="591">
        <f>[1]COMMANDE!O198</f>
        <v>0</v>
      </c>
      <c r="AW200" s="586" t="str">
        <f>_xlfn.IFS(AND($AI200=$AM200,$AI200&gt;0,$AM200&gt;0,AV200&gt;0), AV200,     AND(NOT($AI200=$AM200),$AI200&gt;0,$AM200&gt;0,AV200&gt;0), ($AM200*AV200)/$AI200,     AND($AI200=0,$AM200&gt;0,$AQ200&gt;0), IF(INDEX(AV$12:AV$263,MATCH($AQ200,$AP$12:$AP$263,0))&gt;0,($AM200*INDEX(AV$12:AV$263,MATCH($AQ200,$AP$12:$AP$263,0)))/INDEX($AI$12:$AI$263,MATCH($AQ200,$AP$12:$AP$263,0)), "-"),     TRUE, "0")</f>
        <v>0</v>
      </c>
      <c r="AX200" s="588">
        <f>IF(AW$9&gt;0, IF(OR(AW200="",AW200="-"), 0, AW200*$AT200), AV200*$AJ200)</f>
        <v>0</v>
      </c>
      <c r="AY200" s="587">
        <f>[1]COMMANDE!Q198</f>
        <v>0</v>
      </c>
      <c r="AZ200" s="586" t="str">
        <f>_xlfn.IFS(AND($AI200=$AM200,$AI200&gt;0,$AM200&gt;0,AY200&gt;0), AY200,     AND(NOT($AI200=$AM200),$AI200&gt;0,$AM200&gt;0,AY200&gt;0), ($AM200*AY200)/$AI200,     AND($AI200=0,$AM200&gt;0,$AQ200&gt;0), IF(INDEX(AY$12:AY$263,MATCH($AQ200,$AP$12:$AP$263,0))&gt;0,($AM200*INDEX(AY$12:AY$263,MATCH($AQ200,$AP$12:$AP$263,0)))/INDEX($AI$12:$AI$263,MATCH($AQ200,$AP$12:$AP$263,0)), "-"),     TRUE, "0")</f>
        <v>0</v>
      </c>
      <c r="BA200" s="607">
        <f>IF(AZ$9&gt;0, IF(OR(AZ200="",AZ200="-"), 0, AZ200*$AT200), AY200*$AJ200)</f>
        <v>0</v>
      </c>
      <c r="BB200" s="589">
        <f>[1]COMMANDE!S198</f>
        <v>0</v>
      </c>
      <c r="BC200" s="586" t="str">
        <f>_xlfn.IFS(AND($AI200=$AM200,$AI200&gt;0,$AM200&gt;0,BB200&gt;0), BB200,     AND(NOT($AI200=$AM200),$AI200&gt;0,$AM200&gt;0,BB200&gt;0), ($AM200*BB200)/$AI200,     AND($AI200=0,$AM200&gt;0,$AQ200&gt;0), IF(INDEX(BB$12:BB$263,MATCH($AQ200,$AP$12:$AP$263,0))&gt;0,($AM200*INDEX(BB$12:BB$263,MATCH($AQ200,$AP$12:$AP$263,0)))/INDEX($AI$12:$AI$263,MATCH($AQ200,$AP$12:$AP$263,0)), "-"),     TRUE, "0")</f>
        <v>0</v>
      </c>
      <c r="BD200" s="588">
        <f>IF(BC$9&gt;0, IF(OR(BC200="",BC200="-"), 0, BC200*$AT200), BB200*$AJ200)</f>
        <v>0</v>
      </c>
      <c r="BE200" s="587">
        <f>[1]COMMANDE!U198</f>
        <v>0</v>
      </c>
      <c r="BF200" s="586" t="str">
        <f>_xlfn.IFS(AND($AI200=$AM200,$AI200&gt;0,$AM200&gt;0,BE200&gt;0), BE200,     AND(NOT($AI200=$AM200),$AI200&gt;0,$AM200&gt;0,BE200&gt;0), ($AM200*BE200)/$AI200,     AND($AI200=0,$AM200&gt;0,$AQ200&gt;0), IF(INDEX(BE$12:BE$263,MATCH($AQ200,$AP$12:$AP$263,0))&gt;0,($AM200*INDEX(BE$12:BE$263,MATCH($AQ200,$AP$12:$AP$263,0)))/INDEX($AI$12:$AI$263,MATCH($AQ200,$AP$12:$AP$263,0)), "-"),     TRUE, "0")</f>
        <v>0</v>
      </c>
      <c r="BG200" s="607">
        <f>IF(BF$9&gt;0, IF(OR(BF200="",BF200="-"), 0, BF200*$AT200), BE200*$AJ200)</f>
        <v>0</v>
      </c>
      <c r="BH200" s="589">
        <f>[1]COMMANDE!W198</f>
        <v>0</v>
      </c>
      <c r="BI200" s="586" t="str">
        <f>_xlfn.IFS(AND($AI200=$AM200,$AI200&gt;0,$AM200&gt;0,BH200&gt;0), BH200,     AND(NOT($AI200=$AM200),$AI200&gt;0,$AM200&gt;0,BH200&gt;0), ($AM200*BH200)/$AI200,     AND($AI200=0,$AM200&gt;0,$AQ200&gt;0), IF(INDEX(BH$12:BH$263,MATCH($AQ200,$AP$12:$AP$263,0))&gt;0,($AM200*INDEX(BH$12:BH$263,MATCH($AQ200,$AP$12:$AP$263,0)))/INDEX($AI$12:$AI$263,MATCH($AQ200,$AP$12:$AP$263,0)), "-"),     TRUE, "0")</f>
        <v>0</v>
      </c>
      <c r="BJ200" s="588">
        <f>IF(BI$9&gt;0, IF(OR(BI200="",BI200="-"), 0, BI200*$AT200), BH200*$AJ200)</f>
        <v>0</v>
      </c>
      <c r="BK200" s="587">
        <f>[1]COMMANDE!Y198</f>
        <v>0</v>
      </c>
      <c r="BL200" s="586" t="str">
        <f>_xlfn.IFS(AND($AI200=$AM200,$AI200&gt;0,$AM200&gt;0,BK200&gt;0), BK200,     AND(NOT($AI200=$AM200),$AI200&gt;0,$AM200&gt;0,BK200&gt;0), ($AM200*BK200)/$AI200,     AND($AI200=0,$AM200&gt;0,$AQ200&gt;0), IF(INDEX(BK$12:BK$263,MATCH($AQ200,$AP$12:$AP$263,0))&gt;0,($AM200*INDEX(BK$12:BK$263,MATCH($AQ200,$AP$12:$AP$263,0)))/INDEX($AI$12:$AI$263,MATCH($AQ200,$AP$12:$AP$263,0)), "-"),     TRUE, "0")</f>
        <v>0</v>
      </c>
      <c r="BM200" s="607">
        <f>IF(BL$9&gt;0, IF(OR(BL200="",BL200="-"), 0, BL200*$AT200), BK200*$AJ200)</f>
        <v>0</v>
      </c>
      <c r="BN200" s="589">
        <f>[1]COMMANDE!AA198</f>
        <v>0</v>
      </c>
      <c r="BO200" s="586" t="str">
        <f>_xlfn.IFS(AND($AI200=$AM200,$AI200&gt;0,$AM200&gt;0,BN200&gt;0), BN200,     AND(NOT($AI200=$AM200),$AI200&gt;0,$AM200&gt;0,BN200&gt;0), ($AM200*BN200)/$AI200,     AND($AI200=0,$AM200&gt;0,$AQ200&gt;0), IF(INDEX(BN$12:BN$263,MATCH($AQ200,$AP$12:$AP$263,0))&gt;0,($AM200*INDEX(BN$12:BN$263,MATCH($AQ200,$AP$12:$AP$263,0)))/INDEX($AI$12:$AI$263,MATCH($AQ200,$AP$12:$AP$263,0)), "-"),     TRUE, "0")</f>
        <v>0</v>
      </c>
      <c r="BP200" s="588">
        <f>IF(BO$9&gt;0, IF(OR(BO200="",BO200="-"), 0, BO200*$AT200), BN200*$AJ200)</f>
        <v>0</v>
      </c>
      <c r="BQ200" s="587">
        <f>[1]COMMANDE!AC198</f>
        <v>0</v>
      </c>
      <c r="BR200" s="586" t="str">
        <f>_xlfn.IFS(AND($AI200=$AM200,$AI200&gt;0,$AM200&gt;0,BQ200&gt;0), BQ200,     AND(NOT($AI200=$AM200),$AI200&gt;0,$AM200&gt;0,BQ200&gt;0), ($AM200*BQ200)/$AI200,     AND($AI200=0,$AM200&gt;0,$AQ200&gt;0), IF(INDEX(BQ$12:BQ$263,MATCH($AQ200,$AP$12:$AP$263,0))&gt;0,($AM200*INDEX(BQ$12:BQ$263,MATCH($AQ200,$AP$12:$AP$263,0)))/INDEX($AI$12:$AI$263,MATCH($AQ200,$AP$12:$AP$263,0)), "-"),     TRUE, "0")</f>
        <v>0</v>
      </c>
      <c r="BS200" s="607">
        <f>IF(BR$9&gt;0, IF(OR(BR200="",BR200="-"), 0, BR200*$AT200), BQ200*$AJ200)</f>
        <v>0</v>
      </c>
      <c r="BT200" s="589">
        <f>[1]COMMANDE!AE198</f>
        <v>0</v>
      </c>
      <c r="BU200" s="586" t="str">
        <f>_xlfn.IFS(AND($AI200=$AM200,$AI200&gt;0,$AM200&gt;0,BT200&gt;0), BT200,     AND(NOT($AI200=$AM200),$AI200&gt;0,$AM200&gt;0,BT200&gt;0), ($AM200*BT200)/$AI200,     AND($AI200=0,$AM200&gt;0,$AQ200&gt;0), IF(INDEX(BT$12:BT$263,MATCH($AQ200,$AP$12:$AP$263,0))&gt;0,($AM200*INDEX(BT$12:BT$263,MATCH($AQ200,$AP$12:$AP$263,0)))/INDEX($AI$12:$AI$263,MATCH($AQ200,$AP$12:$AP$263,0)), "-"),     TRUE, "0")</f>
        <v>0</v>
      </c>
      <c r="BV200" s="588">
        <f>IF(BU$9&gt;0, IF(OR(BU200="",BU200="-"), 0, BU200*$AT200), BT200*$AJ200)</f>
        <v>0</v>
      </c>
      <c r="BW200" s="587">
        <f>[1]COMMANDE!AG198</f>
        <v>0</v>
      </c>
      <c r="BX200" s="586" t="str">
        <f>_xlfn.IFS(AND($AI200=$AM200,$AI200&gt;0,$AM200&gt;0,BW200&gt;0), BW200,     AND(NOT($AI200=$AM200),$AI200&gt;0,$AM200&gt;0,BW200&gt;0), ($AM200*BW200)/$AI200,     AND($AI200=0,$AM200&gt;0,$AQ200&gt;0), IF(INDEX(BW$12:BW$263,MATCH($AQ200,$AP$12:$AP$263,0))&gt;0,($AM200*INDEX(BW$12:BW$263,MATCH($AQ200,$AP$12:$AP$263,0)))/INDEX($AI$12:$AI$263,MATCH($AQ200,$AP$12:$AP$263,0)), "-"),     TRUE, "0")</f>
        <v>0</v>
      </c>
      <c r="BY200" s="607">
        <f>IF(BX$9&gt;0, IF(OR(BX200="",BX200="-"), 0, BX200*$AT200), BW200*$AJ200)</f>
        <v>0</v>
      </c>
      <c r="BZ200" s="589">
        <f>[1]COMMANDE!AI198</f>
        <v>0</v>
      </c>
      <c r="CA200" s="586" t="str">
        <f>_xlfn.IFS(AND($AI200=$AM200,$AI200&gt;0,$AM200&gt;0,BZ200&gt;0), BZ200,     AND(NOT($AI200=$AM200),$AI200&gt;0,$AM200&gt;0,BZ200&gt;0), ($AM200*BZ200)/$AI200,     AND($AI200=0,$AM200&gt;0,$AQ200&gt;0), IF(INDEX(BZ$12:BZ$263,MATCH($AQ200,$AP$12:$AP$263,0))&gt;0,($AM200*INDEX(BZ$12:BZ$263,MATCH($AQ200,$AP$12:$AP$263,0)))/INDEX($AI$12:$AI$263,MATCH($AQ200,$AP$12:$AP$263,0)), "-"),     TRUE, "0")</f>
        <v>0</v>
      </c>
      <c r="CB200" s="588">
        <f>IF(CA$9&gt;0, IF(OR(CA200="",CA200="-"), 0, CA200*$AT200), BZ200*$AJ200)</f>
        <v>0</v>
      </c>
      <c r="CC200" s="587">
        <f>[1]COMMANDE!AK198</f>
        <v>0</v>
      </c>
      <c r="CD200" s="586" t="str">
        <f>_xlfn.IFS(AND($AI200=$AM200,$AI200&gt;0,$AM200&gt;0,CC200&gt;0), CC200,     AND(NOT($AI200=$AM200),$AI200&gt;0,$AM200&gt;0,CC200&gt;0), ($AM200*CC200)/$AI200,     AND($AI200=0,$AM200&gt;0,$AQ200&gt;0), IF(INDEX(CC$12:CC$263,MATCH($AQ200,$AP$12:$AP$263,0))&gt;0,($AM200*INDEX(CC$12:CC$263,MATCH($AQ200,$AP$12:$AP$263,0)))/INDEX($AI$12:$AI$263,MATCH($AQ200,$AP$12:$AP$263,0)), "-"),     TRUE, "0")</f>
        <v>0</v>
      </c>
      <c r="CE200" s="607">
        <f>IF(CD$9&gt;0, IF(OR(CD200="",CD200="-"), 0, CD200*$AT200), CC200*$AJ200)</f>
        <v>0</v>
      </c>
      <c r="CF200" s="589">
        <f>[1]COMMANDE!AM198</f>
        <v>0</v>
      </c>
      <c r="CG200" s="586" t="str">
        <f>_xlfn.IFS(AND($AI200=$AM200,$AI200&gt;0,$AM200&gt;0,CF200&gt;0), CF200,     AND(NOT($AI200=$AM200),$AI200&gt;0,$AM200&gt;0,CF200&gt;0), ($AM200*CF200)/$AI200,     AND($AI200=0,$AM200&gt;0,$AQ200&gt;0), IF(INDEX(CF$12:CF$263,MATCH($AQ200,$AP$12:$AP$263,0))&gt;0,($AM200*INDEX(CF$12:CF$263,MATCH($AQ200,$AP$12:$AP$263,0)))/INDEX($AI$12:$AI$263,MATCH($AQ200,$AP$12:$AP$263,0)), "-"),     TRUE, "0")</f>
        <v>0</v>
      </c>
      <c r="CH200" s="588">
        <f>IF(CG$9&gt;0, IF(OR(CG200="",CG200="-"), 0, CG200*$AT200), CF200*$AJ200)</f>
        <v>0</v>
      </c>
      <c r="CI200" s="587">
        <f>[1]COMMANDE!AO198</f>
        <v>0</v>
      </c>
      <c r="CJ200" s="586" t="str">
        <f>_xlfn.IFS(AND($AI200=$AM200,$AI200&gt;0,$AM200&gt;0,CI200&gt;0), CI200,     AND(NOT($AI200=$AM200),$AI200&gt;0,$AM200&gt;0,CI200&gt;0), ($AM200*CI200)/$AI200,     AND($AI200=0,$AM200&gt;0,$AQ200&gt;0), IF(INDEX(CI$12:CI$263,MATCH($AQ200,$AP$12:$AP$263,0))&gt;0,($AM200*INDEX(CI$12:CI$263,MATCH($AQ200,$AP$12:$AP$263,0)))/INDEX($AI$12:$AI$263,MATCH($AQ200,$AP$12:$AP$263,0)), "-"),     TRUE, "0")</f>
        <v>0</v>
      </c>
      <c r="CK200" s="607">
        <f>IF(CJ$9&gt;0, IF(OR(CJ200="",CJ200="-"), 0, CJ200*$AT200), CI200*$AJ200)</f>
        <v>0</v>
      </c>
      <c r="CL200" s="589">
        <f>[1]COMMANDE!AQ198</f>
        <v>0</v>
      </c>
      <c r="CM200" s="586" t="str">
        <f>_xlfn.IFS(AND($AI200=$AM200,$AI200&gt;0,$AM200&gt;0,CL200&gt;0), CL200,     AND(NOT($AI200=$AM200),$AI200&gt;0,$AM200&gt;0,CL200&gt;0), ($AM200*CL200)/$AI200,     AND($AI200=0,$AM200&gt;0,$AQ200&gt;0), IF(INDEX(CL$12:CL$263,MATCH($AQ200,$AP$12:$AP$263,0))&gt;0,($AM200*INDEX(CL$12:CL$263,MATCH($AQ200,$AP$12:$AP$263,0)))/INDEX($AI$12:$AI$263,MATCH($AQ200,$AP$12:$AP$263,0)), "-"),     TRUE, "0")</f>
        <v>0</v>
      </c>
      <c r="CN200" s="588">
        <f>IF(CM$9&gt;0, IF(OR(CM200="",CM200="-"), 0, CM200*$AT200), CL200*$AJ200)</f>
        <v>0</v>
      </c>
      <c r="CO200" s="587">
        <f>[1]COMMANDE!AS198</f>
        <v>0</v>
      </c>
      <c r="CP200" s="586" t="str">
        <f>_xlfn.IFS(AND($AI200=$AM200,$AI200&gt;0,$AM200&gt;0,CO200&gt;0), CO200,     AND(NOT($AI200=$AM200),$AI200&gt;0,$AM200&gt;0,CO200&gt;0), ($AM200*CO200)/$AI200,     AND($AI200=0,$AM200&gt;0,$AQ200&gt;0), IF(INDEX(CO$12:CO$263,MATCH($AQ200,$AP$12:$AP$263,0))&gt;0,($AM200*INDEX(CO$12:CO$263,MATCH($AQ200,$AP$12:$AP$263,0)))/INDEX($AI$12:$AI$263,MATCH($AQ200,$AP$12:$AP$263,0)), "-"),     TRUE, "0")</f>
        <v>0</v>
      </c>
      <c r="CQ200" s="607">
        <f>IF(CP$9&gt;0, IF(OR(CP200="",CP200="-"), 0, CP200*$AT200), CO200*$AJ200)</f>
        <v>0</v>
      </c>
      <c r="CR200" s="589">
        <f>[1]COMMANDE!AU198</f>
        <v>0</v>
      </c>
      <c r="CS200" s="586" t="str">
        <f>_xlfn.IFS(AND($AI200=$AM200,$AI200&gt;0,$AM200&gt;0,CR200&gt;0), CR200,     AND(NOT($AI200=$AM200),$AI200&gt;0,$AM200&gt;0,CR200&gt;0), ($AM200*CR200)/$AI200,     AND($AI200=0,$AM200&gt;0,$AQ200&gt;0), IF(INDEX(CR$12:CR$263,MATCH($AQ200,$AP$12:$AP$263,0))&gt;0,($AM200*INDEX(CR$12:CR$263,MATCH($AQ200,$AP$12:$AP$263,0)))/INDEX($AI$12:$AI$263,MATCH($AQ200,$AP$12:$AP$263,0)), "-"),     TRUE, "0")</f>
        <v>0</v>
      </c>
      <c r="CT200" s="588">
        <f>IF(CS$9&gt;0, IF(OR(CS200="",CS200="-"), 0, CS200*$AT200), CR200*$AJ200)</f>
        <v>0</v>
      </c>
      <c r="CU200" s="587">
        <f>[1]COMMANDE!AW198</f>
        <v>0</v>
      </c>
      <c r="CV200" s="586" t="str">
        <f>_xlfn.IFS(AND($AI200=$AM200,$AI200&gt;0,$AM200&gt;0,CU200&gt;0), CU200,     AND(NOT($AI200=$AM200),$AI200&gt;0,$AM200&gt;0,CU200&gt;0), ($AM200*CU200)/$AI200,     AND($AI200=0,$AM200&gt;0,$AQ200&gt;0), IF(INDEX(CU$12:CU$263,MATCH($AQ200,$AP$12:$AP$263,0))&gt;0,($AM200*INDEX(CU$12:CU$263,MATCH($AQ200,$AP$12:$AP$263,0)))/INDEX($AI$12:$AI$263,MATCH($AQ200,$AP$12:$AP$263,0)), "-"),     TRUE, "0")</f>
        <v>0</v>
      </c>
      <c r="CW200" s="607">
        <f>IF(CV$9&gt;0, IF(OR(CV200="",CV200="-"), 0, CV200*$AT200), CU200*$AJ200)</f>
        <v>0</v>
      </c>
      <c r="CX200" s="589">
        <f>[1]COMMANDE!AY198</f>
        <v>0</v>
      </c>
      <c r="CY200" s="586" t="str">
        <f>_xlfn.IFS(AND($AI200=$AM200,$AI200&gt;0,$AM200&gt;0,CX200&gt;0), CX200,     AND(NOT($AI200=$AM200),$AI200&gt;0,$AM200&gt;0,CX200&gt;0), ($AM200*CX200)/$AI200,     AND($AI200=0,$AM200&gt;0,$AQ200&gt;0), IF(INDEX(CX$12:CX$263,MATCH($AQ200,$AP$12:$AP$263,0))&gt;0,($AM200*INDEX(CX$12:CX$263,MATCH($AQ200,$AP$12:$AP$263,0)))/INDEX($AI$12:$AI$263,MATCH($AQ200,$AP$12:$AP$263,0)), "-"),     TRUE, "0")</f>
        <v>0</v>
      </c>
      <c r="CZ200" s="588">
        <f>IF(CY$9&gt;0, IF(OR(CY200="",CY200="-"), 0, CY200*$AT200), CX200*$AJ200)</f>
        <v>0</v>
      </c>
      <c r="DA200" s="587">
        <f>[1]COMMANDE!BA198</f>
        <v>0</v>
      </c>
      <c r="DB200" s="586" t="str">
        <f>_xlfn.IFS(AND($AI200=$AM200,$AI200&gt;0,$AM200&gt;0,DA200&gt;0), DA200,     AND(NOT($AI200=$AM200),$AI200&gt;0,$AM200&gt;0,DA200&gt;0), ($AM200*DA200)/$AI200,     AND($AI200=0,$AM200&gt;0,$AQ200&gt;0), IF(INDEX(DA$12:DA$263,MATCH($AQ200,$AP$12:$AP$263,0))&gt;0,($AM200*INDEX(DA$12:DA$263,MATCH($AQ200,$AP$12:$AP$263,0)))/INDEX($AI$12:$AI$263,MATCH($AQ200,$AP$12:$AP$263,0)), "-"),     TRUE, "0")</f>
        <v>0</v>
      </c>
      <c r="DC200" s="606">
        <f>IF(DB$9&gt;0, IF(OR(DB200="",DB200="-"), 0, DB200*$AT200), DA200*$AJ200)</f>
        <v>0</v>
      </c>
      <c r="DD200" s="584"/>
      <c r="DE200" s="583"/>
    </row>
    <row r="201" spans="1:109" ht="39.950000000000003" hidden="1" customHeight="1">
      <c r="A201" s="604">
        <f>IF(OR($AV201&gt;0, $AX201&gt;0), 1, 0)</f>
        <v>0</v>
      </c>
      <c r="B201" s="604">
        <f>IF(OR($AY201&gt;0, $BA201&gt;0), 1, 0)</f>
        <v>0</v>
      </c>
      <c r="C201" s="604">
        <f>IF(OR($BB201&gt;0, $BD201&gt;0), 1, 0)</f>
        <v>0</v>
      </c>
      <c r="D201" s="604">
        <f>IF(OR($BE201&gt;0, $BG201&gt;0), 1, 0)</f>
        <v>0</v>
      </c>
      <c r="E201" s="604">
        <f>IF(OR($BH201&gt;0, $BJ201&gt;0), 1, 0)</f>
        <v>0</v>
      </c>
      <c r="F201" s="604">
        <f>IF(OR($BK201&gt;0, $BM201&gt;0), 1, 0)</f>
        <v>0</v>
      </c>
      <c r="G201" s="604">
        <f>IF(OR($BN201&gt;0, $BP201&gt;0), 1, 0)</f>
        <v>0</v>
      </c>
      <c r="H201" s="604">
        <f>IF(OR($BQ201&gt;0, $BS201&gt;0), 1, 0)</f>
        <v>0</v>
      </c>
      <c r="I201" s="604">
        <f>IF(OR($BT201&gt;0, $BV201&gt;0), 1, 0)</f>
        <v>0</v>
      </c>
      <c r="J201" s="604">
        <f>IF(OR($BW201&gt;0, $BY201&gt;0), 1, 0)</f>
        <v>0</v>
      </c>
      <c r="K201" s="604">
        <f>IF(OR($BZ201&gt;0, $CB201&gt;0), 1, 0)</f>
        <v>0</v>
      </c>
      <c r="L201" s="604">
        <f>IF(OR($CC201&gt;0, $CE201&gt;0), 1, 0)</f>
        <v>0</v>
      </c>
      <c r="M201" s="604">
        <f>IF(OR($CF201&gt;0, $CH201&gt;0), 1, 0)</f>
        <v>0</v>
      </c>
      <c r="N201" s="604">
        <f>IF(OR($CI201&gt;0, $CK201&gt;0), 1, 0)</f>
        <v>0</v>
      </c>
      <c r="O201" s="604">
        <f>IF(OR($CL201&gt;0, $CN201&gt;0), 1, 0)</f>
        <v>0</v>
      </c>
      <c r="P201" s="604">
        <f>IF(OR($CO201&gt;0, $CQ201&gt;0), 1, 0)</f>
        <v>0</v>
      </c>
      <c r="Q201" s="604">
        <f>IF(OR($CR201&gt;0, $CT201&gt;0), 1, 0)</f>
        <v>0</v>
      </c>
      <c r="R201" s="604">
        <f>IF(OR($CU201&gt;0, $CW201&gt;0), 1, 0)</f>
        <v>0</v>
      </c>
      <c r="S201" s="604">
        <f>IF(OR($CX201&gt;0, $CZ201&gt;0), 1, 0)</f>
        <v>0</v>
      </c>
      <c r="T201" s="604">
        <f>IF(OR($DA201&gt;0, $DC201&gt;0), 1, 0)</f>
        <v>0</v>
      </c>
      <c r="U201" s="603">
        <f>IF(OR($AI201&gt;0,$AM201&gt;0,$AS201&gt;0), 1, 0)</f>
        <v>0</v>
      </c>
      <c r="V201" s="602">
        <f>[1]BDD!A191</f>
        <v>5159</v>
      </c>
      <c r="W201" s="601" t="str">
        <f>[1]BDD!B191</f>
        <v>Olives Manzanilla fraîche noire</v>
      </c>
      <c r="X201" s="600" t="str">
        <f>IF([1]BDD!F191=0, "", [1]BDD!F191)</f>
        <v/>
      </c>
      <c r="Y201" s="542">
        <f>ROUND([1]BDD!G191+FDP_CMD_KG, 2)</f>
        <v>4.28</v>
      </c>
      <c r="Z201" s="542">
        <f>ROUND([1]BDD!G191+FDP_FACT_KG, 2)</f>
        <v>4.28</v>
      </c>
      <c r="AA201" s="543" t="str">
        <f>[1]BDD!H191</f>
        <v>kg</v>
      </c>
      <c r="AB201" s="544">
        <f>IF(NOT(ISBLANK([1]BDD!I191)), ROUND(SUM(([1]BDD!G191*reduc1),FDP_CMD_KG), 2), "")</f>
        <v>3.94</v>
      </c>
      <c r="AC201" s="544" t="str">
        <f>IF(NOT(ISBLANK([1]BDD!J191)), ROUND(SUM(([1]BDD!G191*reduc2),FDP_CMD_KG), 2), "")</f>
        <v/>
      </c>
      <c r="AD201" s="544" t="str">
        <f>IF(NOT(ISBLANK([1]BDD!K191)), ROUND(SUM(([1]BDD!G191*reduc3),FDP_CMD_KG), 2), "")</f>
        <v/>
      </c>
      <c r="AE201" s="544">
        <f>IF(NOT(ISBLANK([1]BDD!I191)), ROUND(SUM(([1]BDD!G191*reduc1),FDP_FACT_KG), 2), "")</f>
        <v>3.94</v>
      </c>
      <c r="AF201" s="544" t="str">
        <f>IF(NOT(ISBLANK([1]BDD!J191)), ROUND(SUM(([1]BDD!G191*reduc2),FDP_FACT_KG), 2), "")</f>
        <v/>
      </c>
      <c r="AG201" s="544" t="str">
        <f>IF(NOT(ISBLANK([1]BDD!K191)), ROUND(SUM(([1]BDD!G191*reduc3),FDP_FACT_KG), 2), "")</f>
        <v/>
      </c>
      <c r="AH201" s="599" t="str">
        <f>[1]BDD!C191</f>
        <v>Grenade</v>
      </c>
      <c r="AI201" s="598">
        <f>SUM(AV201,AY201,BB201,BE201,BH201,BK201,BN201,BQ201,BT201,BW201,BZ201,CC201,CF201,CI201,CL201,CO201,CR201,CU201,CX201,DA201)</f>
        <v>0</v>
      </c>
      <c r="AJ201" s="545">
        <f>_xlfn.IFS($AD201&lt;&gt;"", $AD201,    $AC201&lt;&gt;"", $AC201,    $AB201&lt;&gt;"", $AB201,    TRUE, $Y201)</f>
        <v>3.94</v>
      </c>
      <c r="AK201" s="592">
        <f>$AI201*$AJ201</f>
        <v>0</v>
      </c>
      <c r="AL201" s="594"/>
      <c r="AM201" s="597"/>
      <c r="AN201" s="545">
        <f>_xlfn.IFS(AND(AM201&gt;=60,$AG201&lt;&gt;""), $AG201,    AND(AM201&gt;=30,$AF201&lt;&gt;""), $AF201,    AND(AM201&gt;=10,$AE201&lt;&gt;""), $AE201,    TRUE, $Z201)</f>
        <v>4.28</v>
      </c>
      <c r="AO201" s="596">
        <f>AM201*AN201</f>
        <v>0</v>
      </c>
      <c r="AP201" s="595"/>
      <c r="AQ201" s="595"/>
      <c r="AR201" s="594"/>
      <c r="AS201" s="593">
        <f>SUM(AW201,AZ201,BC201,BF201,BI201,BL201,BO201,BR201,BU201,BX201,CA201,CD201,CG201,CJ201,CM201,CP201,CS201,CV201,CY201,DB201)</f>
        <v>0</v>
      </c>
      <c r="AT201" s="545">
        <f>_xlfn.IFS(AND(AS201&gt;=60,$AG201&lt;&gt;""), $AG201,    AND(AS201&gt;=30,$AF201&lt;&gt;""), $AF201,    AND(AS201&gt;=10,$AE201&lt;&gt;""), $AE201,    TRUE, $Z201)</f>
        <v>4.28</v>
      </c>
      <c r="AU201" s="592">
        <f>$AS201*$AT201</f>
        <v>0</v>
      </c>
      <c r="AV201" s="591">
        <f>[1]COMMANDE!O199</f>
        <v>0</v>
      </c>
      <c r="AW201" s="586" t="str">
        <f>_xlfn.IFS(AND($AI201=$AM201,$AI201&gt;0,$AM201&gt;0,AV201&gt;0), AV201,     AND(NOT($AI201=$AM201),$AI201&gt;0,$AM201&gt;0,AV201&gt;0), ($AM201*AV201)/$AI201,     AND($AI201=0,$AM201&gt;0,$AQ201&gt;0), IF(INDEX(AV$12:AV$263,MATCH($AQ201,$AP$12:$AP$263,0))&gt;0,($AM201*INDEX(AV$12:AV$263,MATCH($AQ201,$AP$12:$AP$263,0)))/INDEX($AI$12:$AI$263,MATCH($AQ201,$AP$12:$AP$263,0)), "-"),     TRUE, "0")</f>
        <v>0</v>
      </c>
      <c r="AX201" s="588">
        <f>IF(AW$9&gt;0, IF(OR(AW201="",AW201="-"), 0, AW201*$AT201), AV201*$AJ201)</f>
        <v>0</v>
      </c>
      <c r="AY201" s="587">
        <f>[1]COMMANDE!Q199</f>
        <v>0</v>
      </c>
      <c r="AZ201" s="586" t="str">
        <f>_xlfn.IFS(AND($AI201=$AM201,$AI201&gt;0,$AM201&gt;0,AY201&gt;0), AY201,     AND(NOT($AI201=$AM201),$AI201&gt;0,$AM201&gt;0,AY201&gt;0), ($AM201*AY201)/$AI201,     AND($AI201=0,$AM201&gt;0,$AQ201&gt;0), IF(INDEX(AY$12:AY$263,MATCH($AQ201,$AP$12:$AP$263,0))&gt;0,($AM201*INDEX(AY$12:AY$263,MATCH($AQ201,$AP$12:$AP$263,0)))/INDEX($AI$12:$AI$263,MATCH($AQ201,$AP$12:$AP$263,0)), "-"),     TRUE, "0")</f>
        <v>0</v>
      </c>
      <c r="BA201" s="607">
        <f>IF(AZ$9&gt;0, IF(OR(AZ201="",AZ201="-"), 0, AZ201*$AT201), AY201*$AJ201)</f>
        <v>0</v>
      </c>
      <c r="BB201" s="589">
        <f>[1]COMMANDE!S199</f>
        <v>0</v>
      </c>
      <c r="BC201" s="586" t="str">
        <f>_xlfn.IFS(AND($AI201=$AM201,$AI201&gt;0,$AM201&gt;0,BB201&gt;0), BB201,     AND(NOT($AI201=$AM201),$AI201&gt;0,$AM201&gt;0,BB201&gt;0), ($AM201*BB201)/$AI201,     AND($AI201=0,$AM201&gt;0,$AQ201&gt;0), IF(INDEX(BB$12:BB$263,MATCH($AQ201,$AP$12:$AP$263,0))&gt;0,($AM201*INDEX(BB$12:BB$263,MATCH($AQ201,$AP$12:$AP$263,0)))/INDEX($AI$12:$AI$263,MATCH($AQ201,$AP$12:$AP$263,0)), "-"),     TRUE, "0")</f>
        <v>0</v>
      </c>
      <c r="BD201" s="588">
        <f>IF(BC$9&gt;0, IF(OR(BC201="",BC201="-"), 0, BC201*$AT201), BB201*$AJ201)</f>
        <v>0</v>
      </c>
      <c r="BE201" s="587">
        <f>[1]COMMANDE!U199</f>
        <v>0</v>
      </c>
      <c r="BF201" s="586" t="str">
        <f>_xlfn.IFS(AND($AI201=$AM201,$AI201&gt;0,$AM201&gt;0,BE201&gt;0), BE201,     AND(NOT($AI201=$AM201),$AI201&gt;0,$AM201&gt;0,BE201&gt;0), ($AM201*BE201)/$AI201,     AND($AI201=0,$AM201&gt;0,$AQ201&gt;0), IF(INDEX(BE$12:BE$263,MATCH($AQ201,$AP$12:$AP$263,0))&gt;0,($AM201*INDEX(BE$12:BE$263,MATCH($AQ201,$AP$12:$AP$263,0)))/INDEX($AI$12:$AI$263,MATCH($AQ201,$AP$12:$AP$263,0)), "-"),     TRUE, "0")</f>
        <v>0</v>
      </c>
      <c r="BG201" s="607">
        <f>IF(BF$9&gt;0, IF(OR(BF201="",BF201="-"), 0, BF201*$AT201), BE201*$AJ201)</f>
        <v>0</v>
      </c>
      <c r="BH201" s="589">
        <f>[1]COMMANDE!W199</f>
        <v>0</v>
      </c>
      <c r="BI201" s="586" t="str">
        <f>_xlfn.IFS(AND($AI201=$AM201,$AI201&gt;0,$AM201&gt;0,BH201&gt;0), BH201,     AND(NOT($AI201=$AM201),$AI201&gt;0,$AM201&gt;0,BH201&gt;0), ($AM201*BH201)/$AI201,     AND($AI201=0,$AM201&gt;0,$AQ201&gt;0), IF(INDEX(BH$12:BH$263,MATCH($AQ201,$AP$12:$AP$263,0))&gt;0,($AM201*INDEX(BH$12:BH$263,MATCH($AQ201,$AP$12:$AP$263,0)))/INDEX($AI$12:$AI$263,MATCH($AQ201,$AP$12:$AP$263,0)), "-"),     TRUE, "0")</f>
        <v>0</v>
      </c>
      <c r="BJ201" s="588">
        <f>IF(BI$9&gt;0, IF(OR(BI201="",BI201="-"), 0, BI201*$AT201), BH201*$AJ201)</f>
        <v>0</v>
      </c>
      <c r="BK201" s="587">
        <f>[1]COMMANDE!Y199</f>
        <v>0</v>
      </c>
      <c r="BL201" s="586" t="str">
        <f>_xlfn.IFS(AND($AI201=$AM201,$AI201&gt;0,$AM201&gt;0,BK201&gt;0), BK201,     AND(NOT($AI201=$AM201),$AI201&gt;0,$AM201&gt;0,BK201&gt;0), ($AM201*BK201)/$AI201,     AND($AI201=0,$AM201&gt;0,$AQ201&gt;0), IF(INDEX(BK$12:BK$263,MATCH($AQ201,$AP$12:$AP$263,0))&gt;0,($AM201*INDEX(BK$12:BK$263,MATCH($AQ201,$AP$12:$AP$263,0)))/INDEX($AI$12:$AI$263,MATCH($AQ201,$AP$12:$AP$263,0)), "-"),     TRUE, "0")</f>
        <v>0</v>
      </c>
      <c r="BM201" s="607">
        <f>IF(BL$9&gt;0, IF(OR(BL201="",BL201="-"), 0, BL201*$AT201), BK201*$AJ201)</f>
        <v>0</v>
      </c>
      <c r="BN201" s="589">
        <f>[1]COMMANDE!AA199</f>
        <v>0</v>
      </c>
      <c r="BO201" s="586" t="str">
        <f>_xlfn.IFS(AND($AI201=$AM201,$AI201&gt;0,$AM201&gt;0,BN201&gt;0), BN201,     AND(NOT($AI201=$AM201),$AI201&gt;0,$AM201&gt;0,BN201&gt;0), ($AM201*BN201)/$AI201,     AND($AI201=0,$AM201&gt;0,$AQ201&gt;0), IF(INDEX(BN$12:BN$263,MATCH($AQ201,$AP$12:$AP$263,0))&gt;0,($AM201*INDEX(BN$12:BN$263,MATCH($AQ201,$AP$12:$AP$263,0)))/INDEX($AI$12:$AI$263,MATCH($AQ201,$AP$12:$AP$263,0)), "-"),     TRUE, "0")</f>
        <v>0</v>
      </c>
      <c r="BP201" s="588">
        <f>IF(BO$9&gt;0, IF(OR(BO201="",BO201="-"), 0, BO201*$AT201), BN201*$AJ201)</f>
        <v>0</v>
      </c>
      <c r="BQ201" s="587">
        <f>[1]COMMANDE!AC199</f>
        <v>0</v>
      </c>
      <c r="BR201" s="586" t="str">
        <f>_xlfn.IFS(AND($AI201=$AM201,$AI201&gt;0,$AM201&gt;0,BQ201&gt;0), BQ201,     AND(NOT($AI201=$AM201),$AI201&gt;0,$AM201&gt;0,BQ201&gt;0), ($AM201*BQ201)/$AI201,     AND($AI201=0,$AM201&gt;0,$AQ201&gt;0), IF(INDEX(BQ$12:BQ$263,MATCH($AQ201,$AP$12:$AP$263,0))&gt;0,($AM201*INDEX(BQ$12:BQ$263,MATCH($AQ201,$AP$12:$AP$263,0)))/INDEX($AI$12:$AI$263,MATCH($AQ201,$AP$12:$AP$263,0)), "-"),     TRUE, "0")</f>
        <v>0</v>
      </c>
      <c r="BS201" s="607">
        <f>IF(BR$9&gt;0, IF(OR(BR201="",BR201="-"), 0, BR201*$AT201), BQ201*$AJ201)</f>
        <v>0</v>
      </c>
      <c r="BT201" s="589">
        <f>[1]COMMANDE!AE199</f>
        <v>0</v>
      </c>
      <c r="BU201" s="586" t="str">
        <f>_xlfn.IFS(AND($AI201=$AM201,$AI201&gt;0,$AM201&gt;0,BT201&gt;0), BT201,     AND(NOT($AI201=$AM201),$AI201&gt;0,$AM201&gt;0,BT201&gt;0), ($AM201*BT201)/$AI201,     AND($AI201=0,$AM201&gt;0,$AQ201&gt;0), IF(INDEX(BT$12:BT$263,MATCH($AQ201,$AP$12:$AP$263,0))&gt;0,($AM201*INDEX(BT$12:BT$263,MATCH($AQ201,$AP$12:$AP$263,0)))/INDEX($AI$12:$AI$263,MATCH($AQ201,$AP$12:$AP$263,0)), "-"),     TRUE, "0")</f>
        <v>0</v>
      </c>
      <c r="BV201" s="588">
        <f>IF(BU$9&gt;0, IF(OR(BU201="",BU201="-"), 0, BU201*$AT201), BT201*$AJ201)</f>
        <v>0</v>
      </c>
      <c r="BW201" s="587">
        <f>[1]COMMANDE!AG199</f>
        <v>0</v>
      </c>
      <c r="BX201" s="586" t="str">
        <f>_xlfn.IFS(AND($AI201=$AM201,$AI201&gt;0,$AM201&gt;0,BW201&gt;0), BW201,     AND(NOT($AI201=$AM201),$AI201&gt;0,$AM201&gt;0,BW201&gt;0), ($AM201*BW201)/$AI201,     AND($AI201=0,$AM201&gt;0,$AQ201&gt;0), IF(INDEX(BW$12:BW$263,MATCH($AQ201,$AP$12:$AP$263,0))&gt;0,($AM201*INDEX(BW$12:BW$263,MATCH($AQ201,$AP$12:$AP$263,0)))/INDEX($AI$12:$AI$263,MATCH($AQ201,$AP$12:$AP$263,0)), "-"),     TRUE, "0")</f>
        <v>0</v>
      </c>
      <c r="BY201" s="607">
        <f>IF(BX$9&gt;0, IF(OR(BX201="",BX201="-"), 0, BX201*$AT201), BW201*$AJ201)</f>
        <v>0</v>
      </c>
      <c r="BZ201" s="589">
        <f>[1]COMMANDE!AI199</f>
        <v>0</v>
      </c>
      <c r="CA201" s="586" t="str">
        <f>_xlfn.IFS(AND($AI201=$AM201,$AI201&gt;0,$AM201&gt;0,BZ201&gt;0), BZ201,     AND(NOT($AI201=$AM201),$AI201&gt;0,$AM201&gt;0,BZ201&gt;0), ($AM201*BZ201)/$AI201,     AND($AI201=0,$AM201&gt;0,$AQ201&gt;0), IF(INDEX(BZ$12:BZ$263,MATCH($AQ201,$AP$12:$AP$263,0))&gt;0,($AM201*INDEX(BZ$12:BZ$263,MATCH($AQ201,$AP$12:$AP$263,0)))/INDEX($AI$12:$AI$263,MATCH($AQ201,$AP$12:$AP$263,0)), "-"),     TRUE, "0")</f>
        <v>0</v>
      </c>
      <c r="CB201" s="588">
        <f>IF(CA$9&gt;0, IF(OR(CA201="",CA201="-"), 0, CA201*$AT201), BZ201*$AJ201)</f>
        <v>0</v>
      </c>
      <c r="CC201" s="587">
        <f>[1]COMMANDE!AK199</f>
        <v>0</v>
      </c>
      <c r="CD201" s="586" t="str">
        <f>_xlfn.IFS(AND($AI201=$AM201,$AI201&gt;0,$AM201&gt;0,CC201&gt;0), CC201,     AND(NOT($AI201=$AM201),$AI201&gt;0,$AM201&gt;0,CC201&gt;0), ($AM201*CC201)/$AI201,     AND($AI201=0,$AM201&gt;0,$AQ201&gt;0), IF(INDEX(CC$12:CC$263,MATCH($AQ201,$AP$12:$AP$263,0))&gt;0,($AM201*INDEX(CC$12:CC$263,MATCH($AQ201,$AP$12:$AP$263,0)))/INDEX($AI$12:$AI$263,MATCH($AQ201,$AP$12:$AP$263,0)), "-"),     TRUE, "0")</f>
        <v>0</v>
      </c>
      <c r="CE201" s="607">
        <f>IF(CD$9&gt;0, IF(OR(CD201="",CD201="-"), 0, CD201*$AT201), CC201*$AJ201)</f>
        <v>0</v>
      </c>
      <c r="CF201" s="589">
        <f>[1]COMMANDE!AM199</f>
        <v>0</v>
      </c>
      <c r="CG201" s="586" t="str">
        <f>_xlfn.IFS(AND($AI201=$AM201,$AI201&gt;0,$AM201&gt;0,CF201&gt;0), CF201,     AND(NOT($AI201=$AM201),$AI201&gt;0,$AM201&gt;0,CF201&gt;0), ($AM201*CF201)/$AI201,     AND($AI201=0,$AM201&gt;0,$AQ201&gt;0), IF(INDEX(CF$12:CF$263,MATCH($AQ201,$AP$12:$AP$263,0))&gt;0,($AM201*INDEX(CF$12:CF$263,MATCH($AQ201,$AP$12:$AP$263,0)))/INDEX($AI$12:$AI$263,MATCH($AQ201,$AP$12:$AP$263,0)), "-"),     TRUE, "0")</f>
        <v>0</v>
      </c>
      <c r="CH201" s="588">
        <f>IF(CG$9&gt;0, IF(OR(CG201="",CG201="-"), 0, CG201*$AT201), CF201*$AJ201)</f>
        <v>0</v>
      </c>
      <c r="CI201" s="587">
        <f>[1]COMMANDE!AO199</f>
        <v>0</v>
      </c>
      <c r="CJ201" s="586" t="str">
        <f>_xlfn.IFS(AND($AI201=$AM201,$AI201&gt;0,$AM201&gt;0,CI201&gt;0), CI201,     AND(NOT($AI201=$AM201),$AI201&gt;0,$AM201&gt;0,CI201&gt;0), ($AM201*CI201)/$AI201,     AND($AI201=0,$AM201&gt;0,$AQ201&gt;0), IF(INDEX(CI$12:CI$263,MATCH($AQ201,$AP$12:$AP$263,0))&gt;0,($AM201*INDEX(CI$12:CI$263,MATCH($AQ201,$AP$12:$AP$263,0)))/INDEX($AI$12:$AI$263,MATCH($AQ201,$AP$12:$AP$263,0)), "-"),     TRUE, "0")</f>
        <v>0</v>
      </c>
      <c r="CK201" s="607">
        <f>IF(CJ$9&gt;0, IF(OR(CJ201="",CJ201="-"), 0, CJ201*$AT201), CI201*$AJ201)</f>
        <v>0</v>
      </c>
      <c r="CL201" s="589">
        <f>[1]COMMANDE!AQ199</f>
        <v>0</v>
      </c>
      <c r="CM201" s="586" t="str">
        <f>_xlfn.IFS(AND($AI201=$AM201,$AI201&gt;0,$AM201&gt;0,CL201&gt;0), CL201,     AND(NOT($AI201=$AM201),$AI201&gt;0,$AM201&gt;0,CL201&gt;0), ($AM201*CL201)/$AI201,     AND($AI201=0,$AM201&gt;0,$AQ201&gt;0), IF(INDEX(CL$12:CL$263,MATCH($AQ201,$AP$12:$AP$263,0))&gt;0,($AM201*INDEX(CL$12:CL$263,MATCH($AQ201,$AP$12:$AP$263,0)))/INDEX($AI$12:$AI$263,MATCH($AQ201,$AP$12:$AP$263,0)), "-"),     TRUE, "0")</f>
        <v>0</v>
      </c>
      <c r="CN201" s="588">
        <f>IF(CM$9&gt;0, IF(OR(CM201="",CM201="-"), 0, CM201*$AT201), CL201*$AJ201)</f>
        <v>0</v>
      </c>
      <c r="CO201" s="587">
        <f>[1]COMMANDE!AS199</f>
        <v>0</v>
      </c>
      <c r="CP201" s="586" t="str">
        <f>_xlfn.IFS(AND($AI201=$AM201,$AI201&gt;0,$AM201&gt;0,CO201&gt;0), CO201,     AND(NOT($AI201=$AM201),$AI201&gt;0,$AM201&gt;0,CO201&gt;0), ($AM201*CO201)/$AI201,     AND($AI201=0,$AM201&gt;0,$AQ201&gt;0), IF(INDEX(CO$12:CO$263,MATCH($AQ201,$AP$12:$AP$263,0))&gt;0,($AM201*INDEX(CO$12:CO$263,MATCH($AQ201,$AP$12:$AP$263,0)))/INDEX($AI$12:$AI$263,MATCH($AQ201,$AP$12:$AP$263,0)), "-"),     TRUE, "0")</f>
        <v>0</v>
      </c>
      <c r="CQ201" s="607">
        <f>IF(CP$9&gt;0, IF(OR(CP201="",CP201="-"), 0, CP201*$AT201), CO201*$AJ201)</f>
        <v>0</v>
      </c>
      <c r="CR201" s="589">
        <f>[1]COMMANDE!AU199</f>
        <v>0</v>
      </c>
      <c r="CS201" s="586" t="str">
        <f>_xlfn.IFS(AND($AI201=$AM201,$AI201&gt;0,$AM201&gt;0,CR201&gt;0), CR201,     AND(NOT($AI201=$AM201),$AI201&gt;0,$AM201&gt;0,CR201&gt;0), ($AM201*CR201)/$AI201,     AND($AI201=0,$AM201&gt;0,$AQ201&gt;0), IF(INDEX(CR$12:CR$263,MATCH($AQ201,$AP$12:$AP$263,0))&gt;0,($AM201*INDEX(CR$12:CR$263,MATCH($AQ201,$AP$12:$AP$263,0)))/INDEX($AI$12:$AI$263,MATCH($AQ201,$AP$12:$AP$263,0)), "-"),     TRUE, "0")</f>
        <v>0</v>
      </c>
      <c r="CT201" s="588">
        <f>IF(CS$9&gt;0, IF(OR(CS201="",CS201="-"), 0, CS201*$AT201), CR201*$AJ201)</f>
        <v>0</v>
      </c>
      <c r="CU201" s="587">
        <f>[1]COMMANDE!AW199</f>
        <v>0</v>
      </c>
      <c r="CV201" s="586" t="str">
        <f>_xlfn.IFS(AND($AI201=$AM201,$AI201&gt;0,$AM201&gt;0,CU201&gt;0), CU201,     AND(NOT($AI201=$AM201),$AI201&gt;0,$AM201&gt;0,CU201&gt;0), ($AM201*CU201)/$AI201,     AND($AI201=0,$AM201&gt;0,$AQ201&gt;0), IF(INDEX(CU$12:CU$263,MATCH($AQ201,$AP$12:$AP$263,0))&gt;0,($AM201*INDEX(CU$12:CU$263,MATCH($AQ201,$AP$12:$AP$263,0)))/INDEX($AI$12:$AI$263,MATCH($AQ201,$AP$12:$AP$263,0)), "-"),     TRUE, "0")</f>
        <v>0</v>
      </c>
      <c r="CW201" s="607">
        <f>IF(CV$9&gt;0, IF(OR(CV201="",CV201="-"), 0, CV201*$AT201), CU201*$AJ201)</f>
        <v>0</v>
      </c>
      <c r="CX201" s="589">
        <f>[1]COMMANDE!AY199</f>
        <v>0</v>
      </c>
      <c r="CY201" s="586" t="str">
        <f>_xlfn.IFS(AND($AI201=$AM201,$AI201&gt;0,$AM201&gt;0,CX201&gt;0), CX201,     AND(NOT($AI201=$AM201),$AI201&gt;0,$AM201&gt;0,CX201&gt;0), ($AM201*CX201)/$AI201,     AND($AI201=0,$AM201&gt;0,$AQ201&gt;0), IF(INDEX(CX$12:CX$263,MATCH($AQ201,$AP$12:$AP$263,0))&gt;0,($AM201*INDEX(CX$12:CX$263,MATCH($AQ201,$AP$12:$AP$263,0)))/INDEX($AI$12:$AI$263,MATCH($AQ201,$AP$12:$AP$263,0)), "-"),     TRUE, "0")</f>
        <v>0</v>
      </c>
      <c r="CZ201" s="588">
        <f>IF(CY$9&gt;0, IF(OR(CY201="",CY201="-"), 0, CY201*$AT201), CX201*$AJ201)</f>
        <v>0</v>
      </c>
      <c r="DA201" s="587">
        <f>[1]COMMANDE!BA199</f>
        <v>0</v>
      </c>
      <c r="DB201" s="586" t="str">
        <f>_xlfn.IFS(AND($AI201=$AM201,$AI201&gt;0,$AM201&gt;0,DA201&gt;0), DA201,     AND(NOT($AI201=$AM201),$AI201&gt;0,$AM201&gt;0,DA201&gt;0), ($AM201*DA201)/$AI201,     AND($AI201=0,$AM201&gt;0,$AQ201&gt;0), IF(INDEX(DA$12:DA$263,MATCH($AQ201,$AP$12:$AP$263,0))&gt;0,($AM201*INDEX(DA$12:DA$263,MATCH($AQ201,$AP$12:$AP$263,0)))/INDEX($AI$12:$AI$263,MATCH($AQ201,$AP$12:$AP$263,0)), "-"),     TRUE, "0")</f>
        <v>0</v>
      </c>
      <c r="DC201" s="606">
        <f>IF(DB$9&gt;0, IF(OR(DB201="",DB201="-"), 0, DB201*$AT201), DA201*$AJ201)</f>
        <v>0</v>
      </c>
      <c r="DD201" s="584"/>
      <c r="DE201" s="583"/>
    </row>
    <row r="202" spans="1:109" ht="39.950000000000003" hidden="1" customHeight="1">
      <c r="A202" s="604">
        <f>IF(OR($AV202&gt;0, $AX202&gt;0), 1, 0)</f>
        <v>0</v>
      </c>
      <c r="B202" s="604">
        <f>IF(OR($AY202&gt;0, $BA202&gt;0), 1, 0)</f>
        <v>0</v>
      </c>
      <c r="C202" s="604">
        <f>IF(OR($BB202&gt;0, $BD202&gt;0), 1, 0)</f>
        <v>0</v>
      </c>
      <c r="D202" s="604">
        <f>IF(OR($BE202&gt;0, $BG202&gt;0), 1, 0)</f>
        <v>0</v>
      </c>
      <c r="E202" s="604">
        <f>IF(OR($BH202&gt;0, $BJ202&gt;0), 1, 0)</f>
        <v>0</v>
      </c>
      <c r="F202" s="604">
        <f>IF(OR($BK202&gt;0, $BM202&gt;0), 1, 0)</f>
        <v>0</v>
      </c>
      <c r="G202" s="604">
        <f>IF(OR($BN202&gt;0, $BP202&gt;0), 1, 0)</f>
        <v>0</v>
      </c>
      <c r="H202" s="604">
        <f>IF(OR($BQ202&gt;0, $BS202&gt;0), 1, 0)</f>
        <v>0</v>
      </c>
      <c r="I202" s="604">
        <f>IF(OR($BT202&gt;0, $BV202&gt;0), 1, 0)</f>
        <v>0</v>
      </c>
      <c r="J202" s="604">
        <f>IF(OR($BW202&gt;0, $BY202&gt;0), 1, 0)</f>
        <v>0</v>
      </c>
      <c r="K202" s="604">
        <f>IF(OR($BZ202&gt;0, $CB202&gt;0), 1, 0)</f>
        <v>0</v>
      </c>
      <c r="L202" s="604">
        <f>IF(OR($CC202&gt;0, $CE202&gt;0), 1, 0)</f>
        <v>0</v>
      </c>
      <c r="M202" s="604">
        <f>IF(OR($CF202&gt;0, $CH202&gt;0), 1, 0)</f>
        <v>0</v>
      </c>
      <c r="N202" s="604">
        <f>IF(OR($CI202&gt;0, $CK202&gt;0), 1, 0)</f>
        <v>0</v>
      </c>
      <c r="O202" s="604">
        <f>IF(OR($CL202&gt;0, $CN202&gt;0), 1, 0)</f>
        <v>0</v>
      </c>
      <c r="P202" s="604">
        <f>IF(OR($CO202&gt;0, $CQ202&gt;0), 1, 0)</f>
        <v>0</v>
      </c>
      <c r="Q202" s="604">
        <f>IF(OR($CR202&gt;0, $CT202&gt;0), 1, 0)</f>
        <v>0</v>
      </c>
      <c r="R202" s="604">
        <f>IF(OR($CU202&gt;0, $CW202&gt;0), 1, 0)</f>
        <v>0</v>
      </c>
      <c r="S202" s="604">
        <f>IF(OR($CX202&gt;0, $CZ202&gt;0), 1, 0)</f>
        <v>0</v>
      </c>
      <c r="T202" s="604">
        <f>IF(OR($DA202&gt;0, $DC202&gt;0), 1, 0)</f>
        <v>0</v>
      </c>
      <c r="U202" s="603">
        <f>IF(OR($AI202&gt;0,$AM202&gt;0,$AS202&gt;0), 1, 0)</f>
        <v>0</v>
      </c>
      <c r="V202" s="602">
        <f>[1]BDD!A192</f>
        <v>1541</v>
      </c>
      <c r="W202" s="601" t="str">
        <f>[1]BDD!B192</f>
        <v>Olives noires BIO (bocal 500g, dénoyautées, semi-séchées, non pasteurisées)</v>
      </c>
      <c r="X202" s="600" t="str">
        <f>IF([1]BDD!F192=0, "", [1]BDD!F192)</f>
        <v>❤️</v>
      </c>
      <c r="Y202" s="542">
        <f>ROUND([1]BDD!G192+FDP_CMD_KG, 2)</f>
        <v>10.17</v>
      </c>
      <c r="Z202" s="542">
        <f>ROUND([1]BDD!G192+FDP_FACT_KG, 2)</f>
        <v>10.17</v>
      </c>
      <c r="AA202" s="543" t="str">
        <f>[1]BDD!H192</f>
        <v>Pièce</v>
      </c>
      <c r="AB202" s="544" t="str">
        <f>IF(NOT(ISBLANK([1]BDD!I192)), ROUND(SUM(([1]BDD!G192*reduc1),FDP_CMD_KG), 2), "")</f>
        <v/>
      </c>
      <c r="AC202" s="544" t="str">
        <f>IF(NOT(ISBLANK([1]BDD!J192)), ROUND(SUM(([1]BDD!G192*reduc2),FDP_CMD_KG), 2), "")</f>
        <v/>
      </c>
      <c r="AD202" s="544" t="str">
        <f>IF(NOT(ISBLANK([1]BDD!K192)), ROUND(SUM(([1]BDD!G192*reduc3),FDP_CMD_KG), 2), "")</f>
        <v/>
      </c>
      <c r="AE202" s="544" t="str">
        <f>IF(NOT(ISBLANK([1]BDD!I192)), ROUND(SUM(([1]BDD!G192*reduc1),FDP_FACT_KG), 2), "")</f>
        <v/>
      </c>
      <c r="AF202" s="544" t="str">
        <f>IF(NOT(ISBLANK([1]BDD!J192)), ROUND(SUM(([1]BDD!G192*reduc2),FDP_FACT_KG), 2), "")</f>
        <v/>
      </c>
      <c r="AG202" s="544" t="str">
        <f>IF(NOT(ISBLANK([1]BDD!K192)), ROUND(SUM(([1]BDD!G192*reduc3),FDP_FACT_KG), 2), "")</f>
        <v/>
      </c>
      <c r="AH202" s="599" t="str">
        <f>[1]BDD!C192</f>
        <v>Import</v>
      </c>
      <c r="AI202" s="598">
        <f>SUM(AV202,AY202,BB202,BE202,BH202,BK202,BN202,BQ202,BT202,BW202,BZ202,CC202,CF202,CI202,CL202,CO202,CR202,CU202,CX202,DA202)</f>
        <v>0</v>
      </c>
      <c r="AJ202" s="545">
        <f>_xlfn.IFS($AD202&lt;&gt;"", $AD202,    $AC202&lt;&gt;"", $AC202,    $AB202&lt;&gt;"", $AB202,    TRUE, $Y202)</f>
        <v>10.17</v>
      </c>
      <c r="AK202" s="592">
        <f>$AI202*$AJ202</f>
        <v>0</v>
      </c>
      <c r="AL202" s="594"/>
      <c r="AM202" s="597"/>
      <c r="AN202" s="545">
        <f>_xlfn.IFS(AND(AM202&gt;=60,$AG202&lt;&gt;""), $AG202,    AND(AM202&gt;=30,$AF202&lt;&gt;""), $AF202,    AND(AM202&gt;=10,$AE202&lt;&gt;""), $AE202,    TRUE, $Z202)</f>
        <v>10.17</v>
      </c>
      <c r="AO202" s="596">
        <f>AM202*AN202</f>
        <v>0</v>
      </c>
      <c r="AP202" s="595"/>
      <c r="AQ202" s="595"/>
      <c r="AR202" s="594"/>
      <c r="AS202" s="593">
        <f>SUM(AW202,AZ202,BC202,BF202,BI202,BL202,BO202,BR202,BU202,BX202,CA202,CD202,CG202,CJ202,CM202,CP202,CS202,CV202,CY202,DB202)</f>
        <v>0</v>
      </c>
      <c r="AT202" s="545">
        <f>_xlfn.IFS(AND(AS202&gt;=60,$AG202&lt;&gt;""), $AG202,    AND(AS202&gt;=30,$AF202&lt;&gt;""), $AF202,    AND(AS202&gt;=10,$AE202&lt;&gt;""), $AE202,    TRUE, $Z202)</f>
        <v>10.17</v>
      </c>
      <c r="AU202" s="592">
        <f>$AS202*$AT202</f>
        <v>0</v>
      </c>
      <c r="AV202" s="591">
        <f>[1]COMMANDE!O200</f>
        <v>0</v>
      </c>
      <c r="AW202" s="586" t="str">
        <f>_xlfn.IFS(AND($AI202=$AM202,$AI202&gt;0,$AM202&gt;0,AV202&gt;0), AV202,     AND(NOT($AI202=$AM202),$AI202&gt;0,$AM202&gt;0,AV202&gt;0), ($AM202*AV202)/$AI202,     AND($AI202=0,$AM202&gt;0,$AQ202&gt;0), IF(INDEX(AV$12:AV$263,MATCH($AQ202,$AP$12:$AP$263,0))&gt;0,($AM202*INDEX(AV$12:AV$263,MATCH($AQ202,$AP$12:$AP$263,0)))/INDEX($AI$12:$AI$263,MATCH($AQ202,$AP$12:$AP$263,0)), "-"),     TRUE, "0")</f>
        <v>0</v>
      </c>
      <c r="AX202" s="588">
        <f>IF(AW$9&gt;0, IF(OR(AW202="",AW202="-"), 0, AW202*$AT202), AV202*$AJ202)</f>
        <v>0</v>
      </c>
      <c r="AY202" s="587">
        <f>[1]COMMANDE!Q200</f>
        <v>0</v>
      </c>
      <c r="AZ202" s="586" t="str">
        <f>_xlfn.IFS(AND($AI202=$AM202,$AI202&gt;0,$AM202&gt;0,AY202&gt;0), AY202,     AND(NOT($AI202=$AM202),$AI202&gt;0,$AM202&gt;0,AY202&gt;0), ($AM202*AY202)/$AI202,     AND($AI202=0,$AM202&gt;0,$AQ202&gt;0), IF(INDEX(AY$12:AY$263,MATCH($AQ202,$AP$12:$AP$263,0))&gt;0,($AM202*INDEX(AY$12:AY$263,MATCH($AQ202,$AP$12:$AP$263,0)))/INDEX($AI$12:$AI$263,MATCH($AQ202,$AP$12:$AP$263,0)), "-"),     TRUE, "0")</f>
        <v>0</v>
      </c>
      <c r="BA202" s="607">
        <f>IF(AZ$9&gt;0, IF(OR(AZ202="",AZ202="-"), 0, AZ202*$AT202), AY202*$AJ202)</f>
        <v>0</v>
      </c>
      <c r="BB202" s="589">
        <f>[1]COMMANDE!S200</f>
        <v>0</v>
      </c>
      <c r="BC202" s="586" t="str">
        <f>_xlfn.IFS(AND($AI202=$AM202,$AI202&gt;0,$AM202&gt;0,BB202&gt;0), BB202,     AND(NOT($AI202=$AM202),$AI202&gt;0,$AM202&gt;0,BB202&gt;0), ($AM202*BB202)/$AI202,     AND($AI202=0,$AM202&gt;0,$AQ202&gt;0), IF(INDEX(BB$12:BB$263,MATCH($AQ202,$AP$12:$AP$263,0))&gt;0,($AM202*INDEX(BB$12:BB$263,MATCH($AQ202,$AP$12:$AP$263,0)))/INDEX($AI$12:$AI$263,MATCH($AQ202,$AP$12:$AP$263,0)), "-"),     TRUE, "0")</f>
        <v>0</v>
      </c>
      <c r="BD202" s="588">
        <f>IF(BC$9&gt;0, IF(OR(BC202="",BC202="-"), 0, BC202*$AT202), BB202*$AJ202)</f>
        <v>0</v>
      </c>
      <c r="BE202" s="587">
        <f>[1]COMMANDE!U200</f>
        <v>0</v>
      </c>
      <c r="BF202" s="586" t="str">
        <f>_xlfn.IFS(AND($AI202=$AM202,$AI202&gt;0,$AM202&gt;0,BE202&gt;0), BE202,     AND(NOT($AI202=$AM202),$AI202&gt;0,$AM202&gt;0,BE202&gt;0), ($AM202*BE202)/$AI202,     AND($AI202=0,$AM202&gt;0,$AQ202&gt;0), IF(INDEX(BE$12:BE$263,MATCH($AQ202,$AP$12:$AP$263,0))&gt;0,($AM202*INDEX(BE$12:BE$263,MATCH($AQ202,$AP$12:$AP$263,0)))/INDEX($AI$12:$AI$263,MATCH($AQ202,$AP$12:$AP$263,0)), "-"),     TRUE, "0")</f>
        <v>0</v>
      </c>
      <c r="BG202" s="607">
        <f>IF(BF$9&gt;0, IF(OR(BF202="",BF202="-"), 0, BF202*$AT202), BE202*$AJ202)</f>
        <v>0</v>
      </c>
      <c r="BH202" s="589">
        <f>[1]COMMANDE!W200</f>
        <v>0</v>
      </c>
      <c r="BI202" s="586" t="str">
        <f>_xlfn.IFS(AND($AI202=$AM202,$AI202&gt;0,$AM202&gt;0,BH202&gt;0), BH202,     AND(NOT($AI202=$AM202),$AI202&gt;0,$AM202&gt;0,BH202&gt;0), ($AM202*BH202)/$AI202,     AND($AI202=0,$AM202&gt;0,$AQ202&gt;0), IF(INDEX(BH$12:BH$263,MATCH($AQ202,$AP$12:$AP$263,0))&gt;0,($AM202*INDEX(BH$12:BH$263,MATCH($AQ202,$AP$12:$AP$263,0)))/INDEX($AI$12:$AI$263,MATCH($AQ202,$AP$12:$AP$263,0)), "-"),     TRUE, "0")</f>
        <v>0</v>
      </c>
      <c r="BJ202" s="588">
        <f>IF(BI$9&gt;0, IF(OR(BI202="",BI202="-"), 0, BI202*$AT202), BH202*$AJ202)</f>
        <v>0</v>
      </c>
      <c r="BK202" s="587">
        <f>[1]COMMANDE!Y200</f>
        <v>0</v>
      </c>
      <c r="BL202" s="586" t="str">
        <f>_xlfn.IFS(AND($AI202=$AM202,$AI202&gt;0,$AM202&gt;0,BK202&gt;0), BK202,     AND(NOT($AI202=$AM202),$AI202&gt;0,$AM202&gt;0,BK202&gt;0), ($AM202*BK202)/$AI202,     AND($AI202=0,$AM202&gt;0,$AQ202&gt;0), IF(INDEX(BK$12:BK$263,MATCH($AQ202,$AP$12:$AP$263,0))&gt;0,($AM202*INDEX(BK$12:BK$263,MATCH($AQ202,$AP$12:$AP$263,0)))/INDEX($AI$12:$AI$263,MATCH($AQ202,$AP$12:$AP$263,0)), "-"),     TRUE, "0")</f>
        <v>0</v>
      </c>
      <c r="BM202" s="607">
        <f>IF(BL$9&gt;0, IF(OR(BL202="",BL202="-"), 0, BL202*$AT202), BK202*$AJ202)</f>
        <v>0</v>
      </c>
      <c r="BN202" s="589">
        <f>[1]COMMANDE!AA200</f>
        <v>0</v>
      </c>
      <c r="BO202" s="586" t="str">
        <f>_xlfn.IFS(AND($AI202=$AM202,$AI202&gt;0,$AM202&gt;0,BN202&gt;0), BN202,     AND(NOT($AI202=$AM202),$AI202&gt;0,$AM202&gt;0,BN202&gt;0), ($AM202*BN202)/$AI202,     AND($AI202=0,$AM202&gt;0,$AQ202&gt;0), IF(INDEX(BN$12:BN$263,MATCH($AQ202,$AP$12:$AP$263,0))&gt;0,($AM202*INDEX(BN$12:BN$263,MATCH($AQ202,$AP$12:$AP$263,0)))/INDEX($AI$12:$AI$263,MATCH($AQ202,$AP$12:$AP$263,0)), "-"),     TRUE, "0")</f>
        <v>0</v>
      </c>
      <c r="BP202" s="588">
        <f>IF(BO$9&gt;0, IF(OR(BO202="",BO202="-"), 0, BO202*$AT202), BN202*$AJ202)</f>
        <v>0</v>
      </c>
      <c r="BQ202" s="587">
        <f>[1]COMMANDE!AC200</f>
        <v>0</v>
      </c>
      <c r="BR202" s="586" t="str">
        <f>_xlfn.IFS(AND($AI202=$AM202,$AI202&gt;0,$AM202&gt;0,BQ202&gt;0), BQ202,     AND(NOT($AI202=$AM202),$AI202&gt;0,$AM202&gt;0,BQ202&gt;0), ($AM202*BQ202)/$AI202,     AND($AI202=0,$AM202&gt;0,$AQ202&gt;0), IF(INDEX(BQ$12:BQ$263,MATCH($AQ202,$AP$12:$AP$263,0))&gt;0,($AM202*INDEX(BQ$12:BQ$263,MATCH($AQ202,$AP$12:$AP$263,0)))/INDEX($AI$12:$AI$263,MATCH($AQ202,$AP$12:$AP$263,0)), "-"),     TRUE, "0")</f>
        <v>0</v>
      </c>
      <c r="BS202" s="607">
        <f>IF(BR$9&gt;0, IF(OR(BR202="",BR202="-"), 0, BR202*$AT202), BQ202*$AJ202)</f>
        <v>0</v>
      </c>
      <c r="BT202" s="589">
        <f>[1]COMMANDE!AE200</f>
        <v>0</v>
      </c>
      <c r="BU202" s="586" t="str">
        <f>_xlfn.IFS(AND($AI202=$AM202,$AI202&gt;0,$AM202&gt;0,BT202&gt;0), BT202,     AND(NOT($AI202=$AM202),$AI202&gt;0,$AM202&gt;0,BT202&gt;0), ($AM202*BT202)/$AI202,     AND($AI202=0,$AM202&gt;0,$AQ202&gt;0), IF(INDEX(BT$12:BT$263,MATCH($AQ202,$AP$12:$AP$263,0))&gt;0,($AM202*INDEX(BT$12:BT$263,MATCH($AQ202,$AP$12:$AP$263,0)))/INDEX($AI$12:$AI$263,MATCH($AQ202,$AP$12:$AP$263,0)), "-"),     TRUE, "0")</f>
        <v>0</v>
      </c>
      <c r="BV202" s="588">
        <f>IF(BU$9&gt;0, IF(OR(BU202="",BU202="-"), 0, BU202*$AT202), BT202*$AJ202)</f>
        <v>0</v>
      </c>
      <c r="BW202" s="587">
        <f>[1]COMMANDE!AG200</f>
        <v>0</v>
      </c>
      <c r="BX202" s="586" t="str">
        <f>_xlfn.IFS(AND($AI202=$AM202,$AI202&gt;0,$AM202&gt;0,BW202&gt;0), BW202,     AND(NOT($AI202=$AM202),$AI202&gt;0,$AM202&gt;0,BW202&gt;0), ($AM202*BW202)/$AI202,     AND($AI202=0,$AM202&gt;0,$AQ202&gt;0), IF(INDEX(BW$12:BW$263,MATCH($AQ202,$AP$12:$AP$263,0))&gt;0,($AM202*INDEX(BW$12:BW$263,MATCH($AQ202,$AP$12:$AP$263,0)))/INDEX($AI$12:$AI$263,MATCH($AQ202,$AP$12:$AP$263,0)), "-"),     TRUE, "0")</f>
        <v>0</v>
      </c>
      <c r="BY202" s="607">
        <f>IF(BX$9&gt;0, IF(OR(BX202="",BX202="-"), 0, BX202*$AT202), BW202*$AJ202)</f>
        <v>0</v>
      </c>
      <c r="BZ202" s="589">
        <f>[1]COMMANDE!AI200</f>
        <v>0</v>
      </c>
      <c r="CA202" s="586" t="str">
        <f>_xlfn.IFS(AND($AI202=$AM202,$AI202&gt;0,$AM202&gt;0,BZ202&gt;0), BZ202,     AND(NOT($AI202=$AM202),$AI202&gt;0,$AM202&gt;0,BZ202&gt;0), ($AM202*BZ202)/$AI202,     AND($AI202=0,$AM202&gt;0,$AQ202&gt;0), IF(INDEX(BZ$12:BZ$263,MATCH($AQ202,$AP$12:$AP$263,0))&gt;0,($AM202*INDEX(BZ$12:BZ$263,MATCH($AQ202,$AP$12:$AP$263,0)))/INDEX($AI$12:$AI$263,MATCH($AQ202,$AP$12:$AP$263,0)), "-"),     TRUE, "0")</f>
        <v>0</v>
      </c>
      <c r="CB202" s="588">
        <f>IF(CA$9&gt;0, IF(OR(CA202="",CA202="-"), 0, CA202*$AT202), BZ202*$AJ202)</f>
        <v>0</v>
      </c>
      <c r="CC202" s="587">
        <f>[1]COMMANDE!AK200</f>
        <v>0</v>
      </c>
      <c r="CD202" s="586" t="str">
        <f>_xlfn.IFS(AND($AI202=$AM202,$AI202&gt;0,$AM202&gt;0,CC202&gt;0), CC202,     AND(NOT($AI202=$AM202),$AI202&gt;0,$AM202&gt;0,CC202&gt;0), ($AM202*CC202)/$AI202,     AND($AI202=0,$AM202&gt;0,$AQ202&gt;0), IF(INDEX(CC$12:CC$263,MATCH($AQ202,$AP$12:$AP$263,0))&gt;0,($AM202*INDEX(CC$12:CC$263,MATCH($AQ202,$AP$12:$AP$263,0)))/INDEX($AI$12:$AI$263,MATCH($AQ202,$AP$12:$AP$263,0)), "-"),     TRUE, "0")</f>
        <v>0</v>
      </c>
      <c r="CE202" s="607">
        <f>IF(CD$9&gt;0, IF(OR(CD202="",CD202="-"), 0, CD202*$AT202), CC202*$AJ202)</f>
        <v>0</v>
      </c>
      <c r="CF202" s="589">
        <f>[1]COMMANDE!AM200</f>
        <v>0</v>
      </c>
      <c r="CG202" s="586" t="str">
        <f>_xlfn.IFS(AND($AI202=$AM202,$AI202&gt;0,$AM202&gt;0,CF202&gt;0), CF202,     AND(NOT($AI202=$AM202),$AI202&gt;0,$AM202&gt;0,CF202&gt;0), ($AM202*CF202)/$AI202,     AND($AI202=0,$AM202&gt;0,$AQ202&gt;0), IF(INDEX(CF$12:CF$263,MATCH($AQ202,$AP$12:$AP$263,0))&gt;0,($AM202*INDEX(CF$12:CF$263,MATCH($AQ202,$AP$12:$AP$263,0)))/INDEX($AI$12:$AI$263,MATCH($AQ202,$AP$12:$AP$263,0)), "-"),     TRUE, "0")</f>
        <v>0</v>
      </c>
      <c r="CH202" s="588">
        <f>IF(CG$9&gt;0, IF(OR(CG202="",CG202="-"), 0, CG202*$AT202), CF202*$AJ202)</f>
        <v>0</v>
      </c>
      <c r="CI202" s="587">
        <f>[1]COMMANDE!AO200</f>
        <v>0</v>
      </c>
      <c r="CJ202" s="586" t="str">
        <f>_xlfn.IFS(AND($AI202=$AM202,$AI202&gt;0,$AM202&gt;0,CI202&gt;0), CI202,     AND(NOT($AI202=$AM202),$AI202&gt;0,$AM202&gt;0,CI202&gt;0), ($AM202*CI202)/$AI202,     AND($AI202=0,$AM202&gt;0,$AQ202&gt;0), IF(INDEX(CI$12:CI$263,MATCH($AQ202,$AP$12:$AP$263,0))&gt;0,($AM202*INDEX(CI$12:CI$263,MATCH($AQ202,$AP$12:$AP$263,0)))/INDEX($AI$12:$AI$263,MATCH($AQ202,$AP$12:$AP$263,0)), "-"),     TRUE, "0")</f>
        <v>0</v>
      </c>
      <c r="CK202" s="607">
        <f>IF(CJ$9&gt;0, IF(OR(CJ202="",CJ202="-"), 0, CJ202*$AT202), CI202*$AJ202)</f>
        <v>0</v>
      </c>
      <c r="CL202" s="589">
        <f>[1]COMMANDE!AQ200</f>
        <v>0</v>
      </c>
      <c r="CM202" s="586" t="str">
        <f>_xlfn.IFS(AND($AI202=$AM202,$AI202&gt;0,$AM202&gt;0,CL202&gt;0), CL202,     AND(NOT($AI202=$AM202),$AI202&gt;0,$AM202&gt;0,CL202&gt;0), ($AM202*CL202)/$AI202,     AND($AI202=0,$AM202&gt;0,$AQ202&gt;0), IF(INDEX(CL$12:CL$263,MATCH($AQ202,$AP$12:$AP$263,0))&gt;0,($AM202*INDEX(CL$12:CL$263,MATCH($AQ202,$AP$12:$AP$263,0)))/INDEX($AI$12:$AI$263,MATCH($AQ202,$AP$12:$AP$263,0)), "-"),     TRUE, "0")</f>
        <v>0</v>
      </c>
      <c r="CN202" s="588">
        <f>IF(CM$9&gt;0, IF(OR(CM202="",CM202="-"), 0, CM202*$AT202), CL202*$AJ202)</f>
        <v>0</v>
      </c>
      <c r="CO202" s="587">
        <f>[1]COMMANDE!AS200</f>
        <v>0</v>
      </c>
      <c r="CP202" s="586" t="str">
        <f>_xlfn.IFS(AND($AI202=$AM202,$AI202&gt;0,$AM202&gt;0,CO202&gt;0), CO202,     AND(NOT($AI202=$AM202),$AI202&gt;0,$AM202&gt;0,CO202&gt;0), ($AM202*CO202)/$AI202,     AND($AI202=0,$AM202&gt;0,$AQ202&gt;0), IF(INDEX(CO$12:CO$263,MATCH($AQ202,$AP$12:$AP$263,0))&gt;0,($AM202*INDEX(CO$12:CO$263,MATCH($AQ202,$AP$12:$AP$263,0)))/INDEX($AI$12:$AI$263,MATCH($AQ202,$AP$12:$AP$263,0)), "-"),     TRUE, "0")</f>
        <v>0</v>
      </c>
      <c r="CQ202" s="607">
        <f>IF(CP$9&gt;0, IF(OR(CP202="",CP202="-"), 0, CP202*$AT202), CO202*$AJ202)</f>
        <v>0</v>
      </c>
      <c r="CR202" s="589">
        <f>[1]COMMANDE!AU200</f>
        <v>0</v>
      </c>
      <c r="CS202" s="586" t="str">
        <f>_xlfn.IFS(AND($AI202=$AM202,$AI202&gt;0,$AM202&gt;0,CR202&gt;0), CR202,     AND(NOT($AI202=$AM202),$AI202&gt;0,$AM202&gt;0,CR202&gt;0), ($AM202*CR202)/$AI202,     AND($AI202=0,$AM202&gt;0,$AQ202&gt;0), IF(INDEX(CR$12:CR$263,MATCH($AQ202,$AP$12:$AP$263,0))&gt;0,($AM202*INDEX(CR$12:CR$263,MATCH($AQ202,$AP$12:$AP$263,0)))/INDEX($AI$12:$AI$263,MATCH($AQ202,$AP$12:$AP$263,0)), "-"),     TRUE, "0")</f>
        <v>0</v>
      </c>
      <c r="CT202" s="588">
        <f>IF(CS$9&gt;0, IF(OR(CS202="",CS202="-"), 0, CS202*$AT202), CR202*$AJ202)</f>
        <v>0</v>
      </c>
      <c r="CU202" s="587">
        <f>[1]COMMANDE!AW200</f>
        <v>0</v>
      </c>
      <c r="CV202" s="586" t="str">
        <f>_xlfn.IFS(AND($AI202=$AM202,$AI202&gt;0,$AM202&gt;0,CU202&gt;0), CU202,     AND(NOT($AI202=$AM202),$AI202&gt;0,$AM202&gt;0,CU202&gt;0), ($AM202*CU202)/$AI202,     AND($AI202=0,$AM202&gt;0,$AQ202&gt;0), IF(INDEX(CU$12:CU$263,MATCH($AQ202,$AP$12:$AP$263,0))&gt;0,($AM202*INDEX(CU$12:CU$263,MATCH($AQ202,$AP$12:$AP$263,0)))/INDEX($AI$12:$AI$263,MATCH($AQ202,$AP$12:$AP$263,0)), "-"),     TRUE, "0")</f>
        <v>0</v>
      </c>
      <c r="CW202" s="607">
        <f>IF(CV$9&gt;0, IF(OR(CV202="",CV202="-"), 0, CV202*$AT202), CU202*$AJ202)</f>
        <v>0</v>
      </c>
      <c r="CX202" s="589">
        <f>[1]COMMANDE!AY200</f>
        <v>0</v>
      </c>
      <c r="CY202" s="586" t="str">
        <f>_xlfn.IFS(AND($AI202=$AM202,$AI202&gt;0,$AM202&gt;0,CX202&gt;0), CX202,     AND(NOT($AI202=$AM202),$AI202&gt;0,$AM202&gt;0,CX202&gt;0), ($AM202*CX202)/$AI202,     AND($AI202=0,$AM202&gt;0,$AQ202&gt;0), IF(INDEX(CX$12:CX$263,MATCH($AQ202,$AP$12:$AP$263,0))&gt;0,($AM202*INDEX(CX$12:CX$263,MATCH($AQ202,$AP$12:$AP$263,0)))/INDEX($AI$12:$AI$263,MATCH($AQ202,$AP$12:$AP$263,0)), "-"),     TRUE, "0")</f>
        <v>0</v>
      </c>
      <c r="CZ202" s="588">
        <f>IF(CY$9&gt;0, IF(OR(CY202="",CY202="-"), 0, CY202*$AT202), CX202*$AJ202)</f>
        <v>0</v>
      </c>
      <c r="DA202" s="587">
        <f>[1]COMMANDE!BA200</f>
        <v>0</v>
      </c>
      <c r="DB202" s="586" t="str">
        <f>_xlfn.IFS(AND($AI202=$AM202,$AI202&gt;0,$AM202&gt;0,DA202&gt;0), DA202,     AND(NOT($AI202=$AM202),$AI202&gt;0,$AM202&gt;0,DA202&gt;0), ($AM202*DA202)/$AI202,     AND($AI202=0,$AM202&gt;0,$AQ202&gt;0), IF(INDEX(DA$12:DA$263,MATCH($AQ202,$AP$12:$AP$263,0))&gt;0,($AM202*INDEX(DA$12:DA$263,MATCH($AQ202,$AP$12:$AP$263,0)))/INDEX($AI$12:$AI$263,MATCH($AQ202,$AP$12:$AP$263,0)), "-"),     TRUE, "0")</f>
        <v>0</v>
      </c>
      <c r="DC202" s="606">
        <f>IF(DB$9&gt;0, IF(OR(DB202="",DB202="-"), 0, DB202*$AT202), DA202*$AJ202)</f>
        <v>0</v>
      </c>
      <c r="DD202" s="584"/>
      <c r="DE202" s="583"/>
    </row>
    <row r="203" spans="1:109" ht="39.950000000000003" hidden="1" customHeight="1">
      <c r="A203" s="604">
        <f>IF(OR($AV203&gt;0, $AX203&gt;0), 1, 0)</f>
        <v>0</v>
      </c>
      <c r="B203" s="604">
        <f>IF(OR($AY203&gt;0, $BA203&gt;0), 1, 0)</f>
        <v>0</v>
      </c>
      <c r="C203" s="604">
        <f>IF(OR($BB203&gt;0, $BD203&gt;0), 1, 0)</f>
        <v>0</v>
      </c>
      <c r="D203" s="604">
        <f>IF(OR($BE203&gt;0, $BG203&gt;0), 1, 0)</f>
        <v>0</v>
      </c>
      <c r="E203" s="604">
        <f>IF(OR($BH203&gt;0, $BJ203&gt;0), 1, 0)</f>
        <v>0</v>
      </c>
      <c r="F203" s="604">
        <f>IF(OR($BK203&gt;0, $BM203&gt;0), 1, 0)</f>
        <v>0</v>
      </c>
      <c r="G203" s="604">
        <f>IF(OR($BN203&gt;0, $BP203&gt;0), 1, 0)</f>
        <v>0</v>
      </c>
      <c r="H203" s="604">
        <f>IF(OR($BQ203&gt;0, $BS203&gt;0), 1, 0)</f>
        <v>0</v>
      </c>
      <c r="I203" s="604">
        <f>IF(OR($BT203&gt;0, $BV203&gt;0), 1, 0)</f>
        <v>0</v>
      </c>
      <c r="J203" s="604">
        <f>IF(OR($BW203&gt;0, $BY203&gt;0), 1, 0)</f>
        <v>0</v>
      </c>
      <c r="K203" s="604">
        <f>IF(OR($BZ203&gt;0, $CB203&gt;0), 1, 0)</f>
        <v>0</v>
      </c>
      <c r="L203" s="604">
        <f>IF(OR($CC203&gt;0, $CE203&gt;0), 1, 0)</f>
        <v>0</v>
      </c>
      <c r="M203" s="604">
        <f>IF(OR($CF203&gt;0, $CH203&gt;0), 1, 0)</f>
        <v>0</v>
      </c>
      <c r="N203" s="604">
        <f>IF(OR($CI203&gt;0, $CK203&gt;0), 1, 0)</f>
        <v>0</v>
      </c>
      <c r="O203" s="604">
        <f>IF(OR($CL203&gt;0, $CN203&gt;0), 1, 0)</f>
        <v>0</v>
      </c>
      <c r="P203" s="604">
        <f>IF(OR($CO203&gt;0, $CQ203&gt;0), 1, 0)</f>
        <v>0</v>
      </c>
      <c r="Q203" s="604">
        <f>IF(OR($CR203&gt;0, $CT203&gt;0), 1, 0)</f>
        <v>0</v>
      </c>
      <c r="R203" s="604">
        <f>IF(OR($CU203&gt;0, $CW203&gt;0), 1, 0)</f>
        <v>0</v>
      </c>
      <c r="S203" s="604">
        <f>IF(OR($CX203&gt;0, $CZ203&gt;0), 1, 0)</f>
        <v>0</v>
      </c>
      <c r="T203" s="604">
        <f>IF(OR($DA203&gt;0, $DC203&gt;0), 1, 0)</f>
        <v>0</v>
      </c>
      <c r="U203" s="603">
        <f>IF(OR($AI203&gt;0,$AM203&gt;0,$AS203&gt;0), 1, 0)</f>
        <v>0</v>
      </c>
      <c r="V203" s="602">
        <f>[1]BDD!A193</f>
        <v>3136</v>
      </c>
      <c r="W203" s="601" t="str">
        <f>[1]BDD!B193</f>
        <v>Orange Naveline de table (nouvelle récolte)</v>
      </c>
      <c r="X203" s="600" t="str">
        <f>IF([1]BDD!F193=0, "", [1]BDD!F193)</f>
        <v/>
      </c>
      <c r="Y203" s="542">
        <f>ROUND([1]BDD!G193+FDP_CMD_KG, 2)</f>
        <v>2.64</v>
      </c>
      <c r="Z203" s="542">
        <f>ROUND([1]BDD!G193+FDP_FACT_KG, 2)</f>
        <v>2.64</v>
      </c>
      <c r="AA203" s="543" t="str">
        <f>[1]BDD!H193</f>
        <v>kg</v>
      </c>
      <c r="AB203" s="544">
        <f>IF(NOT(ISBLANK([1]BDD!I193)), ROUND(SUM(([1]BDD!G193*reduc1),FDP_CMD_KG), 2), "")</f>
        <v>2.4700000000000002</v>
      </c>
      <c r="AC203" s="544">
        <f>IF(NOT(ISBLANK([1]BDD!J193)), ROUND(SUM(([1]BDD!G193*reduc2),FDP_CMD_KG), 2), "")</f>
        <v>2.29</v>
      </c>
      <c r="AD203" s="544" t="str">
        <f>IF(NOT(ISBLANK([1]BDD!K193)), ROUND(SUM(([1]BDD!G193*reduc3),FDP_CMD_KG), 2), "")</f>
        <v/>
      </c>
      <c r="AE203" s="544">
        <f>IF(NOT(ISBLANK([1]BDD!I193)), ROUND(SUM(([1]BDD!G193*reduc1),FDP_FACT_KG), 2), "")</f>
        <v>2.46</v>
      </c>
      <c r="AF203" s="544">
        <f>IF(NOT(ISBLANK([1]BDD!J193)), ROUND(SUM(([1]BDD!G193*reduc2),FDP_FACT_KG), 2), "")</f>
        <v>2.2799999999999998</v>
      </c>
      <c r="AG203" s="544" t="str">
        <f>IF(NOT(ISBLANK([1]BDD!K193)), ROUND(SUM(([1]BDD!G193*reduc3),FDP_FACT_KG), 2), "")</f>
        <v/>
      </c>
      <c r="AH203" s="599" t="str">
        <f>[1]BDD!C193</f>
        <v>Grenade</v>
      </c>
      <c r="AI203" s="598">
        <f>SUM(AV203,AY203,BB203,BE203,BH203,BK203,BN203,BQ203,BT203,BW203,BZ203,CC203,CF203,CI203,CL203,CO203,CR203,CU203,CX203,DA203)</f>
        <v>0</v>
      </c>
      <c r="AJ203" s="545">
        <f>_xlfn.IFS($AD203&lt;&gt;"", $AD203,    $AC203&lt;&gt;"", $AC203,    $AB203&lt;&gt;"", $AB203,    TRUE, $Y203)</f>
        <v>2.29</v>
      </c>
      <c r="AK203" s="592">
        <f>$AI203*$AJ203</f>
        <v>0</v>
      </c>
      <c r="AL203" s="594"/>
      <c r="AM203" s="597"/>
      <c r="AN203" s="545">
        <f>_xlfn.IFS(AND(AM203&gt;=60,$AG203&lt;&gt;""), $AG203,    AND(AM203&gt;=30,$AF203&lt;&gt;""), $AF203,    AND(AM203&gt;=10,$AE203&lt;&gt;""), $AE203,    TRUE, $Z203)</f>
        <v>2.64</v>
      </c>
      <c r="AO203" s="596">
        <f>AM203*AN203</f>
        <v>0</v>
      </c>
      <c r="AP203" s="595"/>
      <c r="AQ203" s="595"/>
      <c r="AR203" s="594"/>
      <c r="AS203" s="593">
        <f>SUM(AW203,AZ203,BC203,BF203,BI203,BL203,BO203,BR203,BU203,BX203,CA203,CD203,CG203,CJ203,CM203,CP203,CS203,CV203,CY203,DB203)</f>
        <v>0</v>
      </c>
      <c r="AT203" s="545">
        <f>_xlfn.IFS(AND(AS203&gt;=60,$AG203&lt;&gt;""), $AG203,    AND(AS203&gt;=30,$AF203&lt;&gt;""), $AF203,    AND(AS203&gt;=10,$AE203&lt;&gt;""), $AE203,    TRUE, $Z203)</f>
        <v>2.64</v>
      </c>
      <c r="AU203" s="592">
        <f>$AS203*$AT203</f>
        <v>0</v>
      </c>
      <c r="AV203" s="591">
        <f>[1]COMMANDE!O201</f>
        <v>0</v>
      </c>
      <c r="AW203" s="586" t="str">
        <f>_xlfn.IFS(AND($AI203=$AM203,$AI203&gt;0,$AM203&gt;0,AV203&gt;0), AV203,     AND(NOT($AI203=$AM203),$AI203&gt;0,$AM203&gt;0,AV203&gt;0), ($AM203*AV203)/$AI203,     AND($AI203=0,$AM203&gt;0,$AQ203&gt;0), IF(INDEX(AV$12:AV$263,MATCH($AQ203,$AP$12:$AP$263,0))&gt;0,($AM203*INDEX(AV$12:AV$263,MATCH($AQ203,$AP$12:$AP$263,0)))/INDEX($AI$12:$AI$263,MATCH($AQ203,$AP$12:$AP$263,0)), "-"),     TRUE, "0")</f>
        <v>0</v>
      </c>
      <c r="AX203" s="588">
        <f>IF(AW$9&gt;0, IF(OR(AW203="",AW203="-"), 0, AW203*$AT203), AV203*$AJ203)</f>
        <v>0</v>
      </c>
      <c r="AY203" s="587">
        <f>[1]COMMANDE!Q201</f>
        <v>0</v>
      </c>
      <c r="AZ203" s="586" t="str">
        <f>_xlfn.IFS(AND($AI203=$AM203,$AI203&gt;0,$AM203&gt;0,AY203&gt;0), AY203,     AND(NOT($AI203=$AM203),$AI203&gt;0,$AM203&gt;0,AY203&gt;0), ($AM203*AY203)/$AI203,     AND($AI203=0,$AM203&gt;0,$AQ203&gt;0), IF(INDEX(AY$12:AY$263,MATCH($AQ203,$AP$12:$AP$263,0))&gt;0,($AM203*INDEX(AY$12:AY$263,MATCH($AQ203,$AP$12:$AP$263,0)))/INDEX($AI$12:$AI$263,MATCH($AQ203,$AP$12:$AP$263,0)), "-"),     TRUE, "0")</f>
        <v>0</v>
      </c>
      <c r="BA203" s="607">
        <f>IF(AZ$9&gt;0, IF(OR(AZ203="",AZ203="-"), 0, AZ203*$AT203), AY203*$AJ203)</f>
        <v>0</v>
      </c>
      <c r="BB203" s="589">
        <f>[1]COMMANDE!S201</f>
        <v>0</v>
      </c>
      <c r="BC203" s="586" t="str">
        <f>_xlfn.IFS(AND($AI203=$AM203,$AI203&gt;0,$AM203&gt;0,BB203&gt;0), BB203,     AND(NOT($AI203=$AM203),$AI203&gt;0,$AM203&gt;0,BB203&gt;0), ($AM203*BB203)/$AI203,     AND($AI203=0,$AM203&gt;0,$AQ203&gt;0), IF(INDEX(BB$12:BB$263,MATCH($AQ203,$AP$12:$AP$263,0))&gt;0,($AM203*INDEX(BB$12:BB$263,MATCH($AQ203,$AP$12:$AP$263,0)))/INDEX($AI$12:$AI$263,MATCH($AQ203,$AP$12:$AP$263,0)), "-"),     TRUE, "0")</f>
        <v>0</v>
      </c>
      <c r="BD203" s="588">
        <f>IF(BC$9&gt;0, IF(OR(BC203="",BC203="-"), 0, BC203*$AT203), BB203*$AJ203)</f>
        <v>0</v>
      </c>
      <c r="BE203" s="587">
        <f>[1]COMMANDE!U201</f>
        <v>0</v>
      </c>
      <c r="BF203" s="586" t="str">
        <f>_xlfn.IFS(AND($AI203=$AM203,$AI203&gt;0,$AM203&gt;0,BE203&gt;0), BE203,     AND(NOT($AI203=$AM203),$AI203&gt;0,$AM203&gt;0,BE203&gt;0), ($AM203*BE203)/$AI203,     AND($AI203=0,$AM203&gt;0,$AQ203&gt;0), IF(INDEX(BE$12:BE$263,MATCH($AQ203,$AP$12:$AP$263,0))&gt;0,($AM203*INDEX(BE$12:BE$263,MATCH($AQ203,$AP$12:$AP$263,0)))/INDEX($AI$12:$AI$263,MATCH($AQ203,$AP$12:$AP$263,0)), "-"),     TRUE, "0")</f>
        <v>0</v>
      </c>
      <c r="BG203" s="607">
        <f>IF(BF$9&gt;0, IF(OR(BF203="",BF203="-"), 0, BF203*$AT203), BE203*$AJ203)</f>
        <v>0</v>
      </c>
      <c r="BH203" s="589">
        <f>[1]COMMANDE!W201</f>
        <v>0</v>
      </c>
      <c r="BI203" s="586" t="str">
        <f>_xlfn.IFS(AND($AI203=$AM203,$AI203&gt;0,$AM203&gt;0,BH203&gt;0), BH203,     AND(NOT($AI203=$AM203),$AI203&gt;0,$AM203&gt;0,BH203&gt;0), ($AM203*BH203)/$AI203,     AND($AI203=0,$AM203&gt;0,$AQ203&gt;0), IF(INDEX(BH$12:BH$263,MATCH($AQ203,$AP$12:$AP$263,0))&gt;0,($AM203*INDEX(BH$12:BH$263,MATCH($AQ203,$AP$12:$AP$263,0)))/INDEX($AI$12:$AI$263,MATCH($AQ203,$AP$12:$AP$263,0)), "-"),     TRUE, "0")</f>
        <v>0</v>
      </c>
      <c r="BJ203" s="588">
        <f>IF(BI$9&gt;0, IF(OR(BI203="",BI203="-"), 0, BI203*$AT203), BH203*$AJ203)</f>
        <v>0</v>
      </c>
      <c r="BK203" s="587">
        <f>[1]COMMANDE!Y201</f>
        <v>0</v>
      </c>
      <c r="BL203" s="586" t="str">
        <f>_xlfn.IFS(AND($AI203=$AM203,$AI203&gt;0,$AM203&gt;0,BK203&gt;0), BK203,     AND(NOT($AI203=$AM203),$AI203&gt;0,$AM203&gt;0,BK203&gt;0), ($AM203*BK203)/$AI203,     AND($AI203=0,$AM203&gt;0,$AQ203&gt;0), IF(INDEX(BK$12:BK$263,MATCH($AQ203,$AP$12:$AP$263,0))&gt;0,($AM203*INDEX(BK$12:BK$263,MATCH($AQ203,$AP$12:$AP$263,0)))/INDEX($AI$12:$AI$263,MATCH($AQ203,$AP$12:$AP$263,0)), "-"),     TRUE, "0")</f>
        <v>0</v>
      </c>
      <c r="BM203" s="607">
        <f>IF(BL$9&gt;0, IF(OR(BL203="",BL203="-"), 0, BL203*$AT203), BK203*$AJ203)</f>
        <v>0</v>
      </c>
      <c r="BN203" s="589">
        <f>[1]COMMANDE!AA201</f>
        <v>0</v>
      </c>
      <c r="BO203" s="586" t="str">
        <f>_xlfn.IFS(AND($AI203=$AM203,$AI203&gt;0,$AM203&gt;0,BN203&gt;0), BN203,     AND(NOT($AI203=$AM203),$AI203&gt;0,$AM203&gt;0,BN203&gt;0), ($AM203*BN203)/$AI203,     AND($AI203=0,$AM203&gt;0,$AQ203&gt;0), IF(INDEX(BN$12:BN$263,MATCH($AQ203,$AP$12:$AP$263,0))&gt;0,($AM203*INDEX(BN$12:BN$263,MATCH($AQ203,$AP$12:$AP$263,0)))/INDEX($AI$12:$AI$263,MATCH($AQ203,$AP$12:$AP$263,0)), "-"),     TRUE, "0")</f>
        <v>0</v>
      </c>
      <c r="BP203" s="588">
        <f>IF(BO$9&gt;0, IF(OR(BO203="",BO203="-"), 0, BO203*$AT203), BN203*$AJ203)</f>
        <v>0</v>
      </c>
      <c r="BQ203" s="587">
        <f>[1]COMMANDE!AC201</f>
        <v>0</v>
      </c>
      <c r="BR203" s="586" t="str">
        <f>_xlfn.IFS(AND($AI203=$AM203,$AI203&gt;0,$AM203&gt;0,BQ203&gt;0), BQ203,     AND(NOT($AI203=$AM203),$AI203&gt;0,$AM203&gt;0,BQ203&gt;0), ($AM203*BQ203)/$AI203,     AND($AI203=0,$AM203&gt;0,$AQ203&gt;0), IF(INDEX(BQ$12:BQ$263,MATCH($AQ203,$AP$12:$AP$263,0))&gt;0,($AM203*INDEX(BQ$12:BQ$263,MATCH($AQ203,$AP$12:$AP$263,0)))/INDEX($AI$12:$AI$263,MATCH($AQ203,$AP$12:$AP$263,0)), "-"),     TRUE, "0")</f>
        <v>0</v>
      </c>
      <c r="BS203" s="607">
        <f>IF(BR$9&gt;0, IF(OR(BR203="",BR203="-"), 0, BR203*$AT203), BQ203*$AJ203)</f>
        <v>0</v>
      </c>
      <c r="BT203" s="589">
        <f>[1]COMMANDE!AE201</f>
        <v>0</v>
      </c>
      <c r="BU203" s="586" t="str">
        <f>_xlfn.IFS(AND($AI203=$AM203,$AI203&gt;0,$AM203&gt;0,BT203&gt;0), BT203,     AND(NOT($AI203=$AM203),$AI203&gt;0,$AM203&gt;0,BT203&gt;0), ($AM203*BT203)/$AI203,     AND($AI203=0,$AM203&gt;0,$AQ203&gt;0), IF(INDEX(BT$12:BT$263,MATCH($AQ203,$AP$12:$AP$263,0))&gt;0,($AM203*INDEX(BT$12:BT$263,MATCH($AQ203,$AP$12:$AP$263,0)))/INDEX($AI$12:$AI$263,MATCH($AQ203,$AP$12:$AP$263,0)), "-"),     TRUE, "0")</f>
        <v>0</v>
      </c>
      <c r="BV203" s="588">
        <f>IF(BU$9&gt;0, IF(OR(BU203="",BU203="-"), 0, BU203*$AT203), BT203*$AJ203)</f>
        <v>0</v>
      </c>
      <c r="BW203" s="587">
        <f>[1]COMMANDE!AG201</f>
        <v>0</v>
      </c>
      <c r="BX203" s="586" t="str">
        <f>_xlfn.IFS(AND($AI203=$AM203,$AI203&gt;0,$AM203&gt;0,BW203&gt;0), BW203,     AND(NOT($AI203=$AM203),$AI203&gt;0,$AM203&gt;0,BW203&gt;0), ($AM203*BW203)/$AI203,     AND($AI203=0,$AM203&gt;0,$AQ203&gt;0), IF(INDEX(BW$12:BW$263,MATCH($AQ203,$AP$12:$AP$263,0))&gt;0,($AM203*INDEX(BW$12:BW$263,MATCH($AQ203,$AP$12:$AP$263,0)))/INDEX($AI$12:$AI$263,MATCH($AQ203,$AP$12:$AP$263,0)), "-"),     TRUE, "0")</f>
        <v>0</v>
      </c>
      <c r="BY203" s="607">
        <f>IF(BX$9&gt;0, IF(OR(BX203="",BX203="-"), 0, BX203*$AT203), BW203*$AJ203)</f>
        <v>0</v>
      </c>
      <c r="BZ203" s="589">
        <f>[1]COMMANDE!AI201</f>
        <v>0</v>
      </c>
      <c r="CA203" s="586" t="str">
        <f>_xlfn.IFS(AND($AI203=$AM203,$AI203&gt;0,$AM203&gt;0,BZ203&gt;0), BZ203,     AND(NOT($AI203=$AM203),$AI203&gt;0,$AM203&gt;0,BZ203&gt;0), ($AM203*BZ203)/$AI203,     AND($AI203=0,$AM203&gt;0,$AQ203&gt;0), IF(INDEX(BZ$12:BZ$263,MATCH($AQ203,$AP$12:$AP$263,0))&gt;0,($AM203*INDEX(BZ$12:BZ$263,MATCH($AQ203,$AP$12:$AP$263,0)))/INDEX($AI$12:$AI$263,MATCH($AQ203,$AP$12:$AP$263,0)), "-"),     TRUE, "0")</f>
        <v>0</v>
      </c>
      <c r="CB203" s="588">
        <f>IF(CA$9&gt;0, IF(OR(CA203="",CA203="-"), 0, CA203*$AT203), BZ203*$AJ203)</f>
        <v>0</v>
      </c>
      <c r="CC203" s="587">
        <f>[1]COMMANDE!AK201</f>
        <v>0</v>
      </c>
      <c r="CD203" s="586" t="str">
        <f>_xlfn.IFS(AND($AI203=$AM203,$AI203&gt;0,$AM203&gt;0,CC203&gt;0), CC203,     AND(NOT($AI203=$AM203),$AI203&gt;0,$AM203&gt;0,CC203&gt;0), ($AM203*CC203)/$AI203,     AND($AI203=0,$AM203&gt;0,$AQ203&gt;0), IF(INDEX(CC$12:CC$263,MATCH($AQ203,$AP$12:$AP$263,0))&gt;0,($AM203*INDEX(CC$12:CC$263,MATCH($AQ203,$AP$12:$AP$263,0)))/INDEX($AI$12:$AI$263,MATCH($AQ203,$AP$12:$AP$263,0)), "-"),     TRUE, "0")</f>
        <v>0</v>
      </c>
      <c r="CE203" s="607">
        <f>IF(CD$9&gt;0, IF(OR(CD203="",CD203="-"), 0, CD203*$AT203), CC203*$AJ203)</f>
        <v>0</v>
      </c>
      <c r="CF203" s="589">
        <f>[1]COMMANDE!AM201</f>
        <v>0</v>
      </c>
      <c r="CG203" s="586" t="str">
        <f>_xlfn.IFS(AND($AI203=$AM203,$AI203&gt;0,$AM203&gt;0,CF203&gt;0), CF203,     AND(NOT($AI203=$AM203),$AI203&gt;0,$AM203&gt;0,CF203&gt;0), ($AM203*CF203)/$AI203,     AND($AI203=0,$AM203&gt;0,$AQ203&gt;0), IF(INDEX(CF$12:CF$263,MATCH($AQ203,$AP$12:$AP$263,0))&gt;0,($AM203*INDEX(CF$12:CF$263,MATCH($AQ203,$AP$12:$AP$263,0)))/INDEX($AI$12:$AI$263,MATCH($AQ203,$AP$12:$AP$263,0)), "-"),     TRUE, "0")</f>
        <v>0</v>
      </c>
      <c r="CH203" s="588">
        <f>IF(CG$9&gt;0, IF(OR(CG203="",CG203="-"), 0, CG203*$AT203), CF203*$AJ203)</f>
        <v>0</v>
      </c>
      <c r="CI203" s="587">
        <f>[1]COMMANDE!AO201</f>
        <v>0</v>
      </c>
      <c r="CJ203" s="586" t="str">
        <f>_xlfn.IFS(AND($AI203=$AM203,$AI203&gt;0,$AM203&gt;0,CI203&gt;0), CI203,     AND(NOT($AI203=$AM203),$AI203&gt;0,$AM203&gt;0,CI203&gt;0), ($AM203*CI203)/$AI203,     AND($AI203=0,$AM203&gt;0,$AQ203&gt;0), IF(INDEX(CI$12:CI$263,MATCH($AQ203,$AP$12:$AP$263,0))&gt;0,($AM203*INDEX(CI$12:CI$263,MATCH($AQ203,$AP$12:$AP$263,0)))/INDEX($AI$12:$AI$263,MATCH($AQ203,$AP$12:$AP$263,0)), "-"),     TRUE, "0")</f>
        <v>0</v>
      </c>
      <c r="CK203" s="607">
        <f>IF(CJ$9&gt;0, IF(OR(CJ203="",CJ203="-"), 0, CJ203*$AT203), CI203*$AJ203)</f>
        <v>0</v>
      </c>
      <c r="CL203" s="589">
        <f>[1]COMMANDE!AQ201</f>
        <v>0</v>
      </c>
      <c r="CM203" s="586" t="str">
        <f>_xlfn.IFS(AND($AI203=$AM203,$AI203&gt;0,$AM203&gt;0,CL203&gt;0), CL203,     AND(NOT($AI203=$AM203),$AI203&gt;0,$AM203&gt;0,CL203&gt;0), ($AM203*CL203)/$AI203,     AND($AI203=0,$AM203&gt;0,$AQ203&gt;0), IF(INDEX(CL$12:CL$263,MATCH($AQ203,$AP$12:$AP$263,0))&gt;0,($AM203*INDEX(CL$12:CL$263,MATCH($AQ203,$AP$12:$AP$263,0)))/INDEX($AI$12:$AI$263,MATCH($AQ203,$AP$12:$AP$263,0)), "-"),     TRUE, "0")</f>
        <v>0</v>
      </c>
      <c r="CN203" s="588">
        <f>IF(CM$9&gt;0, IF(OR(CM203="",CM203="-"), 0, CM203*$AT203), CL203*$AJ203)</f>
        <v>0</v>
      </c>
      <c r="CO203" s="587">
        <f>[1]COMMANDE!AS201</f>
        <v>0</v>
      </c>
      <c r="CP203" s="586" t="str">
        <f>_xlfn.IFS(AND($AI203=$AM203,$AI203&gt;0,$AM203&gt;0,CO203&gt;0), CO203,     AND(NOT($AI203=$AM203),$AI203&gt;0,$AM203&gt;0,CO203&gt;0), ($AM203*CO203)/$AI203,     AND($AI203=0,$AM203&gt;0,$AQ203&gt;0), IF(INDEX(CO$12:CO$263,MATCH($AQ203,$AP$12:$AP$263,0))&gt;0,($AM203*INDEX(CO$12:CO$263,MATCH($AQ203,$AP$12:$AP$263,0)))/INDEX($AI$12:$AI$263,MATCH($AQ203,$AP$12:$AP$263,0)), "-"),     TRUE, "0")</f>
        <v>0</v>
      </c>
      <c r="CQ203" s="607">
        <f>IF(CP$9&gt;0, IF(OR(CP203="",CP203="-"), 0, CP203*$AT203), CO203*$AJ203)</f>
        <v>0</v>
      </c>
      <c r="CR203" s="589">
        <f>[1]COMMANDE!AU201</f>
        <v>0</v>
      </c>
      <c r="CS203" s="586" t="str">
        <f>_xlfn.IFS(AND($AI203=$AM203,$AI203&gt;0,$AM203&gt;0,CR203&gt;0), CR203,     AND(NOT($AI203=$AM203),$AI203&gt;0,$AM203&gt;0,CR203&gt;0), ($AM203*CR203)/$AI203,     AND($AI203=0,$AM203&gt;0,$AQ203&gt;0), IF(INDEX(CR$12:CR$263,MATCH($AQ203,$AP$12:$AP$263,0))&gt;0,($AM203*INDEX(CR$12:CR$263,MATCH($AQ203,$AP$12:$AP$263,0)))/INDEX($AI$12:$AI$263,MATCH($AQ203,$AP$12:$AP$263,0)), "-"),     TRUE, "0")</f>
        <v>0</v>
      </c>
      <c r="CT203" s="588">
        <f>IF(CS$9&gt;0, IF(OR(CS203="",CS203="-"), 0, CS203*$AT203), CR203*$AJ203)</f>
        <v>0</v>
      </c>
      <c r="CU203" s="587">
        <f>[1]COMMANDE!AW201</f>
        <v>0</v>
      </c>
      <c r="CV203" s="586" t="str">
        <f>_xlfn.IFS(AND($AI203=$AM203,$AI203&gt;0,$AM203&gt;0,CU203&gt;0), CU203,     AND(NOT($AI203=$AM203),$AI203&gt;0,$AM203&gt;0,CU203&gt;0), ($AM203*CU203)/$AI203,     AND($AI203=0,$AM203&gt;0,$AQ203&gt;0), IF(INDEX(CU$12:CU$263,MATCH($AQ203,$AP$12:$AP$263,0))&gt;0,($AM203*INDEX(CU$12:CU$263,MATCH($AQ203,$AP$12:$AP$263,0)))/INDEX($AI$12:$AI$263,MATCH($AQ203,$AP$12:$AP$263,0)), "-"),     TRUE, "0")</f>
        <v>0</v>
      </c>
      <c r="CW203" s="607">
        <f>IF(CV$9&gt;0, IF(OR(CV203="",CV203="-"), 0, CV203*$AT203), CU203*$AJ203)</f>
        <v>0</v>
      </c>
      <c r="CX203" s="589">
        <f>[1]COMMANDE!AY201</f>
        <v>0</v>
      </c>
      <c r="CY203" s="586" t="str">
        <f>_xlfn.IFS(AND($AI203=$AM203,$AI203&gt;0,$AM203&gt;0,CX203&gt;0), CX203,     AND(NOT($AI203=$AM203),$AI203&gt;0,$AM203&gt;0,CX203&gt;0), ($AM203*CX203)/$AI203,     AND($AI203=0,$AM203&gt;0,$AQ203&gt;0), IF(INDEX(CX$12:CX$263,MATCH($AQ203,$AP$12:$AP$263,0))&gt;0,($AM203*INDEX(CX$12:CX$263,MATCH($AQ203,$AP$12:$AP$263,0)))/INDEX($AI$12:$AI$263,MATCH($AQ203,$AP$12:$AP$263,0)), "-"),     TRUE, "0")</f>
        <v>0</v>
      </c>
      <c r="CZ203" s="588">
        <f>IF(CY$9&gt;0, IF(OR(CY203="",CY203="-"), 0, CY203*$AT203), CX203*$AJ203)</f>
        <v>0</v>
      </c>
      <c r="DA203" s="587">
        <f>[1]COMMANDE!BA201</f>
        <v>0</v>
      </c>
      <c r="DB203" s="586" t="str">
        <f>_xlfn.IFS(AND($AI203=$AM203,$AI203&gt;0,$AM203&gt;0,DA203&gt;0), DA203,     AND(NOT($AI203=$AM203),$AI203&gt;0,$AM203&gt;0,DA203&gt;0), ($AM203*DA203)/$AI203,     AND($AI203=0,$AM203&gt;0,$AQ203&gt;0), IF(INDEX(DA$12:DA$263,MATCH($AQ203,$AP$12:$AP$263,0))&gt;0,($AM203*INDEX(DA$12:DA$263,MATCH($AQ203,$AP$12:$AP$263,0)))/INDEX($AI$12:$AI$263,MATCH($AQ203,$AP$12:$AP$263,0)), "-"),     TRUE, "0")</f>
        <v>0</v>
      </c>
      <c r="DC203" s="606">
        <f>IF(DB$9&gt;0, IF(OR(DB203="",DB203="-"), 0, DB203*$AT203), DA203*$AJ203)</f>
        <v>0</v>
      </c>
      <c r="DD203" s="584"/>
      <c r="DE203" s="583"/>
    </row>
    <row r="204" spans="1:109" ht="39.950000000000003" customHeight="1">
      <c r="A204" s="605">
        <f>IF(OR($AV204&gt;0, $AX204&gt;0), 1, 0)</f>
        <v>1</v>
      </c>
      <c r="B204" s="605">
        <f>IF(OR($AY204&gt;0, $BA204&gt;0), 1, 0)</f>
        <v>0</v>
      </c>
      <c r="C204" s="605">
        <f>IF(OR($BB204&gt;0, $BD204&gt;0), 1, 0)</f>
        <v>1</v>
      </c>
      <c r="D204" s="605">
        <f>IF(OR($BE204&gt;0, $BG204&gt;0), 1, 0)</f>
        <v>1</v>
      </c>
      <c r="E204" s="605">
        <f>IF(OR($BH204&gt;0, $BJ204&gt;0), 1, 0)</f>
        <v>0</v>
      </c>
      <c r="F204" s="605">
        <f>IF(OR($BK204&gt;0, $BM204&gt;0), 1, 0)</f>
        <v>0</v>
      </c>
      <c r="G204" s="605">
        <f>IF(OR($BN204&gt;0, $BP204&gt;0), 1, 0)</f>
        <v>0</v>
      </c>
      <c r="H204" s="605">
        <f>IF(OR($BQ204&gt;0, $BS204&gt;0), 1, 0)</f>
        <v>0</v>
      </c>
      <c r="I204" s="605">
        <f>IF(OR($BT204&gt;0, $BV204&gt;0), 1, 0)</f>
        <v>0</v>
      </c>
      <c r="J204" s="605">
        <f>IF(OR($BW204&gt;0, $BY204&gt;0), 1, 0)</f>
        <v>0</v>
      </c>
      <c r="K204" s="605">
        <f>IF(OR($BZ204&gt;0, $CB204&gt;0), 1, 0)</f>
        <v>0</v>
      </c>
      <c r="L204" s="605">
        <f>IF(OR($CC204&gt;0, $CE204&gt;0), 1, 0)</f>
        <v>0</v>
      </c>
      <c r="M204" s="605">
        <f>IF(OR($CF204&gt;0, $CH204&gt;0), 1, 0)</f>
        <v>0</v>
      </c>
      <c r="N204" s="605">
        <f>IF(OR($CI204&gt;0, $CK204&gt;0), 1, 0)</f>
        <v>0</v>
      </c>
      <c r="O204" s="605">
        <f>IF(OR($CL204&gt;0, $CN204&gt;0), 1, 0)</f>
        <v>0</v>
      </c>
      <c r="P204" s="604">
        <f>IF(OR($CO204&gt;0, $CQ204&gt;0), 1, 0)</f>
        <v>0</v>
      </c>
      <c r="Q204" s="604">
        <f>IF(OR($CR204&gt;0, $CT204&gt;0), 1, 0)</f>
        <v>0</v>
      </c>
      <c r="R204" s="604">
        <f>IF(OR($CU204&gt;0, $CW204&gt;0), 1, 0)</f>
        <v>0</v>
      </c>
      <c r="S204" s="604">
        <f>IF(OR($CX204&gt;0, $CZ204&gt;0), 1, 0)</f>
        <v>0</v>
      </c>
      <c r="T204" s="604">
        <f>IF(OR($DA204&gt;0, $DC204&gt;0), 1, 0)</f>
        <v>0</v>
      </c>
      <c r="U204" s="603">
        <f>IF(OR($AI204&gt;0,$AM204&gt;0,$AS204&gt;0), 1, 0)</f>
        <v>1</v>
      </c>
      <c r="V204" s="602">
        <f>[1]BDD!A194</f>
        <v>1208</v>
      </c>
      <c r="W204" s="601" t="str">
        <f>[1]BDD!B194</f>
        <v>Orange Naveline de table BIO (nouvelle récolte)</v>
      </c>
      <c r="X204" s="600" t="str">
        <f>IF([1]BDD!F194=0, "", [1]BDD!F194)</f>
        <v/>
      </c>
      <c r="Y204" s="542">
        <f>ROUND([1]BDD!G194+FDP_CMD_KG, 2)</f>
        <v>2.91</v>
      </c>
      <c r="Z204" s="542">
        <f>ROUND([1]BDD!G194+FDP_FACT_KG, 2)</f>
        <v>2.91</v>
      </c>
      <c r="AA204" s="543" t="str">
        <f>[1]BDD!H194</f>
        <v>kg</v>
      </c>
      <c r="AB204" s="544">
        <f>IF(NOT(ISBLANK([1]BDD!I194)), ROUND(SUM(([1]BDD!G194*reduc1),FDP_CMD_KG), 2), "")</f>
        <v>2.71</v>
      </c>
      <c r="AC204" s="544">
        <f>IF(NOT(ISBLANK([1]BDD!J194)), ROUND(SUM(([1]BDD!G194*reduc2),FDP_CMD_KG), 2), "")</f>
        <v>2.5099999999999998</v>
      </c>
      <c r="AD204" s="544" t="str">
        <f>IF(NOT(ISBLANK([1]BDD!K194)), ROUND(SUM(([1]BDD!G194*reduc3),FDP_CMD_KG), 2), "")</f>
        <v/>
      </c>
      <c r="AE204" s="544">
        <f>IF(NOT(ISBLANK([1]BDD!I194)), ROUND(SUM(([1]BDD!G194*reduc1),FDP_FACT_KG), 2), "")</f>
        <v>2.7</v>
      </c>
      <c r="AF204" s="544">
        <f>IF(NOT(ISBLANK([1]BDD!J194)), ROUND(SUM(([1]BDD!G194*reduc2),FDP_FACT_KG), 2), "")</f>
        <v>2.5</v>
      </c>
      <c r="AG204" s="544" t="str">
        <f>IF(NOT(ISBLANK([1]BDD!K194)), ROUND(SUM(([1]BDD!G194*reduc3),FDP_FACT_KG), 2), "")</f>
        <v/>
      </c>
      <c r="AH204" s="599" t="str">
        <f>[1]BDD!C194</f>
        <v>Séville</v>
      </c>
      <c r="AI204" s="598">
        <f>SUM(AV204,AY204,BB204,BE204,BH204,BK204,BN204,BQ204,BT204,BW204,BZ204,CC204,CF204,CI204,CL204,CO204,CR204,CU204,CX204,DA204)</f>
        <v>5</v>
      </c>
      <c r="AJ204" s="545">
        <f>_xlfn.IFS($AD204&lt;&gt;"", $AD204,    $AC204&lt;&gt;"", $AC204,    $AB204&lt;&gt;"", $AB204,    TRUE, $Y204)</f>
        <v>2.5099999999999998</v>
      </c>
      <c r="AK204" s="592">
        <f>$AI204*$AJ204</f>
        <v>12.549999999999999</v>
      </c>
      <c r="AL204" s="594"/>
      <c r="AM204" s="597">
        <v>5.35</v>
      </c>
      <c r="AN204" s="545">
        <f>_xlfn.IFS(AND(AM204&gt;=60,$AG204&lt;&gt;""), $AG204,    AND(AM204&gt;=30,$AF204&lt;&gt;""), $AF204,    AND(AM204&gt;=10,$AE204&lt;&gt;""), $AE204,    TRUE, $Z204)</f>
        <v>2.91</v>
      </c>
      <c r="AO204" s="596">
        <f>AM204*AN204</f>
        <v>15.5685</v>
      </c>
      <c r="AP204" s="595"/>
      <c r="AQ204" s="595"/>
      <c r="AR204" s="594"/>
      <c r="AS204" s="593">
        <f>SUM(AW204,AZ204,BC204,BF204,BI204,BL204,BO204,BR204,BU204,BX204,CA204,CD204,CG204,CJ204,CM204,CP204,CS204,CV204,CY204,DB204)</f>
        <v>5.35</v>
      </c>
      <c r="AT204" s="545">
        <f>_xlfn.IFS(AND(AS204&gt;=60,$AG204&lt;&gt;""), $AG204,    AND(AS204&gt;=30,$AF204&lt;&gt;""), $AF204,    AND(AS204&gt;=10,$AE204&lt;&gt;""), $AE204,    TRUE, $Z204)</f>
        <v>2.91</v>
      </c>
      <c r="AU204" s="592">
        <f>$AS204*$AT204</f>
        <v>15.5685</v>
      </c>
      <c r="AV204" s="591">
        <f>[1]COMMANDE!O202</f>
        <v>2</v>
      </c>
      <c r="AW204" s="586">
        <f>_xlfn.IFS(AND($AI204=$AM204,$AI204&gt;0,$AM204&gt;0,AV204&gt;0), AV204,     AND(NOT($AI204=$AM204),$AI204&gt;0,$AM204&gt;0,AV204&gt;0), ($AM204*AV204)/$AI204,     AND($AI204=0,$AM204&gt;0,$AQ204&gt;0), IF(INDEX(AV$12:AV$263,MATCH($AQ204,$AP$12:$AP$263,0))&gt;0,($AM204*INDEX(AV$12:AV$263,MATCH($AQ204,$AP$12:$AP$263,0)))/INDEX($AI$12:$AI$263,MATCH($AQ204,$AP$12:$AP$263,0)), "-"),     TRUE, "0")</f>
        <v>2.1399999999999997</v>
      </c>
      <c r="AX204" s="588">
        <f>IF(AW$9&gt;0, IF(OR(AW204="",AW204="-"), 0, AW204*$AT204), AV204*$AJ204)</f>
        <v>6.2273999999999994</v>
      </c>
      <c r="AY204" s="587">
        <f>[1]COMMANDE!Q202</f>
        <v>0</v>
      </c>
      <c r="AZ204" s="586" t="str">
        <f>_xlfn.IFS(AND($AI204=$AM204,$AI204&gt;0,$AM204&gt;0,AY204&gt;0), AY204,     AND(NOT($AI204=$AM204),$AI204&gt;0,$AM204&gt;0,AY204&gt;0), ($AM204*AY204)/$AI204,     AND($AI204=0,$AM204&gt;0,$AQ204&gt;0), IF(INDEX(AY$12:AY$263,MATCH($AQ204,$AP$12:$AP$263,0))&gt;0,($AM204*INDEX(AY$12:AY$263,MATCH($AQ204,$AP$12:$AP$263,0)))/INDEX($AI$12:$AI$263,MATCH($AQ204,$AP$12:$AP$263,0)), "-"),     TRUE, "0")</f>
        <v>0</v>
      </c>
      <c r="BA204" s="607">
        <f>IF(AZ$9&gt;0, IF(OR(AZ204="",AZ204="-"), 0, AZ204*$AT204), AY204*$AJ204)</f>
        <v>0</v>
      </c>
      <c r="BB204" s="589">
        <f>[1]COMMANDE!S202</f>
        <v>1</v>
      </c>
      <c r="BC204" s="586">
        <f>_xlfn.IFS(AND($AI204=$AM204,$AI204&gt;0,$AM204&gt;0,BB204&gt;0), BB204,     AND(NOT($AI204=$AM204),$AI204&gt;0,$AM204&gt;0,BB204&gt;0), ($AM204*BB204)/$AI204,     AND($AI204=0,$AM204&gt;0,$AQ204&gt;0), IF(INDEX(BB$12:BB$263,MATCH($AQ204,$AP$12:$AP$263,0))&gt;0,($AM204*INDEX(BB$12:BB$263,MATCH($AQ204,$AP$12:$AP$263,0)))/INDEX($AI$12:$AI$263,MATCH($AQ204,$AP$12:$AP$263,0)), "-"),     TRUE, "0")</f>
        <v>1.0699999999999998</v>
      </c>
      <c r="BD204" s="588">
        <f>IF(BC$9&gt;0, IF(OR(BC204="",BC204="-"), 0, BC204*$AT204), BB204*$AJ204)</f>
        <v>3.1136999999999997</v>
      </c>
      <c r="BE204" s="587">
        <f>[1]COMMANDE!U202</f>
        <v>2</v>
      </c>
      <c r="BF204" s="586">
        <f>_xlfn.IFS(AND($AI204=$AM204,$AI204&gt;0,$AM204&gt;0,BE204&gt;0), BE204,     AND(NOT($AI204=$AM204),$AI204&gt;0,$AM204&gt;0,BE204&gt;0), ($AM204*BE204)/$AI204,     AND($AI204=0,$AM204&gt;0,$AQ204&gt;0), IF(INDEX(BE$12:BE$263,MATCH($AQ204,$AP$12:$AP$263,0))&gt;0,($AM204*INDEX(BE$12:BE$263,MATCH($AQ204,$AP$12:$AP$263,0)))/INDEX($AI$12:$AI$263,MATCH($AQ204,$AP$12:$AP$263,0)), "-"),     TRUE, "0")</f>
        <v>2.1399999999999997</v>
      </c>
      <c r="BG204" s="607">
        <f>IF(BF$9&gt;0, IF(OR(BF204="",BF204="-"), 0, BF204*$AT204), BE204*$AJ204)</f>
        <v>6.2273999999999994</v>
      </c>
      <c r="BH204" s="589">
        <f>[1]COMMANDE!W202</f>
        <v>0</v>
      </c>
      <c r="BI204" s="586" t="str">
        <f>_xlfn.IFS(AND($AI204=$AM204,$AI204&gt;0,$AM204&gt;0,BH204&gt;0), BH204,     AND(NOT($AI204=$AM204),$AI204&gt;0,$AM204&gt;0,BH204&gt;0), ($AM204*BH204)/$AI204,     AND($AI204=0,$AM204&gt;0,$AQ204&gt;0), IF(INDEX(BH$12:BH$263,MATCH($AQ204,$AP$12:$AP$263,0))&gt;0,($AM204*INDEX(BH$12:BH$263,MATCH($AQ204,$AP$12:$AP$263,0)))/INDEX($AI$12:$AI$263,MATCH($AQ204,$AP$12:$AP$263,0)), "-"),     TRUE, "0")</f>
        <v>0</v>
      </c>
      <c r="BJ204" s="588">
        <f>IF(BI$9&gt;0, IF(OR(BI204="",BI204="-"), 0, BI204*$AT204), BH204*$AJ204)</f>
        <v>0</v>
      </c>
      <c r="BK204" s="587">
        <f>[1]COMMANDE!Y202</f>
        <v>0</v>
      </c>
      <c r="BL204" s="586" t="str">
        <f>_xlfn.IFS(AND($AI204=$AM204,$AI204&gt;0,$AM204&gt;0,BK204&gt;0), BK204,     AND(NOT($AI204=$AM204),$AI204&gt;0,$AM204&gt;0,BK204&gt;0), ($AM204*BK204)/$AI204,     AND($AI204=0,$AM204&gt;0,$AQ204&gt;0), IF(INDEX(BK$12:BK$263,MATCH($AQ204,$AP$12:$AP$263,0))&gt;0,($AM204*INDEX(BK$12:BK$263,MATCH($AQ204,$AP$12:$AP$263,0)))/INDEX($AI$12:$AI$263,MATCH($AQ204,$AP$12:$AP$263,0)), "-"),     TRUE, "0")</f>
        <v>0</v>
      </c>
      <c r="BM204" s="607">
        <f>IF(BL$9&gt;0, IF(OR(BL204="",BL204="-"), 0, BL204*$AT204), BK204*$AJ204)</f>
        <v>0</v>
      </c>
      <c r="BN204" s="589">
        <f>[1]COMMANDE!AA202</f>
        <v>0</v>
      </c>
      <c r="BO204" s="586" t="str">
        <f>_xlfn.IFS(AND($AI204=$AM204,$AI204&gt;0,$AM204&gt;0,BN204&gt;0), BN204,     AND(NOT($AI204=$AM204),$AI204&gt;0,$AM204&gt;0,BN204&gt;0), ($AM204*BN204)/$AI204,     AND($AI204=0,$AM204&gt;0,$AQ204&gt;0), IF(INDEX(BN$12:BN$263,MATCH($AQ204,$AP$12:$AP$263,0))&gt;0,($AM204*INDEX(BN$12:BN$263,MATCH($AQ204,$AP$12:$AP$263,0)))/INDEX($AI$12:$AI$263,MATCH($AQ204,$AP$12:$AP$263,0)), "-"),     TRUE, "0")</f>
        <v>0</v>
      </c>
      <c r="BP204" s="588">
        <f>IF(BO$9&gt;0, IF(OR(BO204="",BO204="-"), 0, BO204*$AT204), BN204*$AJ204)</f>
        <v>0</v>
      </c>
      <c r="BQ204" s="587">
        <f>[1]COMMANDE!AC202</f>
        <v>0</v>
      </c>
      <c r="BR204" s="586" t="str">
        <f>_xlfn.IFS(AND($AI204=$AM204,$AI204&gt;0,$AM204&gt;0,BQ204&gt;0), BQ204,     AND(NOT($AI204=$AM204),$AI204&gt;0,$AM204&gt;0,BQ204&gt;0), ($AM204*BQ204)/$AI204,     AND($AI204=0,$AM204&gt;0,$AQ204&gt;0), IF(INDEX(BQ$12:BQ$263,MATCH($AQ204,$AP$12:$AP$263,0))&gt;0,($AM204*INDEX(BQ$12:BQ$263,MATCH($AQ204,$AP$12:$AP$263,0)))/INDEX($AI$12:$AI$263,MATCH($AQ204,$AP$12:$AP$263,0)), "-"),     TRUE, "0")</f>
        <v>0</v>
      </c>
      <c r="BS204" s="607">
        <f>IF(BR$9&gt;0, IF(OR(BR204="",BR204="-"), 0, BR204*$AT204), BQ204*$AJ204)</f>
        <v>0</v>
      </c>
      <c r="BT204" s="589">
        <f>[1]COMMANDE!AE202</f>
        <v>0</v>
      </c>
      <c r="BU204" s="586" t="str">
        <f>_xlfn.IFS(AND($AI204=$AM204,$AI204&gt;0,$AM204&gt;0,BT204&gt;0), BT204,     AND(NOT($AI204=$AM204),$AI204&gt;0,$AM204&gt;0,BT204&gt;0), ($AM204*BT204)/$AI204,     AND($AI204=0,$AM204&gt;0,$AQ204&gt;0), IF(INDEX(BT$12:BT$263,MATCH($AQ204,$AP$12:$AP$263,0))&gt;0,($AM204*INDEX(BT$12:BT$263,MATCH($AQ204,$AP$12:$AP$263,0)))/INDEX($AI$12:$AI$263,MATCH($AQ204,$AP$12:$AP$263,0)), "-"),     TRUE, "0")</f>
        <v>0</v>
      </c>
      <c r="BV204" s="588">
        <f>IF(BU$9&gt;0, IF(OR(BU204="",BU204="-"), 0, BU204*$AT204), BT204*$AJ204)</f>
        <v>0</v>
      </c>
      <c r="BW204" s="587">
        <f>[1]COMMANDE!AG202</f>
        <v>0</v>
      </c>
      <c r="BX204" s="586" t="str">
        <f>_xlfn.IFS(AND($AI204=$AM204,$AI204&gt;0,$AM204&gt;0,BW204&gt;0), BW204,     AND(NOT($AI204=$AM204),$AI204&gt;0,$AM204&gt;0,BW204&gt;0), ($AM204*BW204)/$AI204,     AND($AI204=0,$AM204&gt;0,$AQ204&gt;0), IF(INDEX(BW$12:BW$263,MATCH($AQ204,$AP$12:$AP$263,0))&gt;0,($AM204*INDEX(BW$12:BW$263,MATCH($AQ204,$AP$12:$AP$263,0)))/INDEX($AI$12:$AI$263,MATCH($AQ204,$AP$12:$AP$263,0)), "-"),     TRUE, "0")</f>
        <v>0</v>
      </c>
      <c r="BY204" s="607">
        <f>IF(BX$9&gt;0, IF(OR(BX204="",BX204="-"), 0, BX204*$AT204), BW204*$AJ204)</f>
        <v>0</v>
      </c>
      <c r="BZ204" s="589">
        <f>[1]COMMANDE!AI202</f>
        <v>0</v>
      </c>
      <c r="CA204" s="586" t="str">
        <f>_xlfn.IFS(AND($AI204=$AM204,$AI204&gt;0,$AM204&gt;0,BZ204&gt;0), BZ204,     AND(NOT($AI204=$AM204),$AI204&gt;0,$AM204&gt;0,BZ204&gt;0), ($AM204*BZ204)/$AI204,     AND($AI204=0,$AM204&gt;0,$AQ204&gt;0), IF(INDEX(BZ$12:BZ$263,MATCH($AQ204,$AP$12:$AP$263,0))&gt;0,($AM204*INDEX(BZ$12:BZ$263,MATCH($AQ204,$AP$12:$AP$263,0)))/INDEX($AI$12:$AI$263,MATCH($AQ204,$AP$12:$AP$263,0)), "-"),     TRUE, "0")</f>
        <v>0</v>
      </c>
      <c r="CB204" s="588">
        <f>IF(CA$9&gt;0, IF(OR(CA204="",CA204="-"), 0, CA204*$AT204), BZ204*$AJ204)</f>
        <v>0</v>
      </c>
      <c r="CC204" s="587">
        <f>[1]COMMANDE!AK202</f>
        <v>0</v>
      </c>
      <c r="CD204" s="586" t="str">
        <f>_xlfn.IFS(AND($AI204=$AM204,$AI204&gt;0,$AM204&gt;0,CC204&gt;0), CC204,     AND(NOT($AI204=$AM204),$AI204&gt;0,$AM204&gt;0,CC204&gt;0), ($AM204*CC204)/$AI204,     AND($AI204=0,$AM204&gt;0,$AQ204&gt;0), IF(INDEX(CC$12:CC$263,MATCH($AQ204,$AP$12:$AP$263,0))&gt;0,($AM204*INDEX(CC$12:CC$263,MATCH($AQ204,$AP$12:$AP$263,0)))/INDEX($AI$12:$AI$263,MATCH($AQ204,$AP$12:$AP$263,0)), "-"),     TRUE, "0")</f>
        <v>0</v>
      </c>
      <c r="CE204" s="607">
        <f>IF(CD$9&gt;0, IF(OR(CD204="",CD204="-"), 0, CD204*$AT204), CC204*$AJ204)</f>
        <v>0</v>
      </c>
      <c r="CF204" s="589">
        <f>[1]COMMANDE!AM202</f>
        <v>0</v>
      </c>
      <c r="CG204" s="586" t="str">
        <f>_xlfn.IFS(AND($AI204=$AM204,$AI204&gt;0,$AM204&gt;0,CF204&gt;0), CF204,     AND(NOT($AI204=$AM204),$AI204&gt;0,$AM204&gt;0,CF204&gt;0), ($AM204*CF204)/$AI204,     AND($AI204=0,$AM204&gt;0,$AQ204&gt;0), IF(INDEX(CF$12:CF$263,MATCH($AQ204,$AP$12:$AP$263,0))&gt;0,($AM204*INDEX(CF$12:CF$263,MATCH($AQ204,$AP$12:$AP$263,0)))/INDEX($AI$12:$AI$263,MATCH($AQ204,$AP$12:$AP$263,0)), "-"),     TRUE, "0")</f>
        <v>0</v>
      </c>
      <c r="CH204" s="588">
        <f>IF(CG$9&gt;0, IF(OR(CG204="",CG204="-"), 0, CG204*$AT204), CF204*$AJ204)</f>
        <v>0</v>
      </c>
      <c r="CI204" s="587">
        <f>[1]COMMANDE!AO202</f>
        <v>0</v>
      </c>
      <c r="CJ204" s="586" t="str">
        <f>_xlfn.IFS(AND($AI204=$AM204,$AI204&gt;0,$AM204&gt;0,CI204&gt;0), CI204,     AND(NOT($AI204=$AM204),$AI204&gt;0,$AM204&gt;0,CI204&gt;0), ($AM204*CI204)/$AI204,     AND($AI204=0,$AM204&gt;0,$AQ204&gt;0), IF(INDEX(CI$12:CI$263,MATCH($AQ204,$AP$12:$AP$263,0))&gt;0,($AM204*INDEX(CI$12:CI$263,MATCH($AQ204,$AP$12:$AP$263,0)))/INDEX($AI$12:$AI$263,MATCH($AQ204,$AP$12:$AP$263,0)), "-"),     TRUE, "0")</f>
        <v>0</v>
      </c>
      <c r="CK204" s="607">
        <f>IF(CJ$9&gt;0, IF(OR(CJ204="",CJ204="-"), 0, CJ204*$AT204), CI204*$AJ204)</f>
        <v>0</v>
      </c>
      <c r="CL204" s="589">
        <f>[1]COMMANDE!AQ202</f>
        <v>0</v>
      </c>
      <c r="CM204" s="586" t="str">
        <f>_xlfn.IFS(AND($AI204=$AM204,$AI204&gt;0,$AM204&gt;0,CL204&gt;0), CL204,     AND(NOT($AI204=$AM204),$AI204&gt;0,$AM204&gt;0,CL204&gt;0), ($AM204*CL204)/$AI204,     AND($AI204=0,$AM204&gt;0,$AQ204&gt;0), IF(INDEX(CL$12:CL$263,MATCH($AQ204,$AP$12:$AP$263,0))&gt;0,($AM204*INDEX(CL$12:CL$263,MATCH($AQ204,$AP$12:$AP$263,0)))/INDEX($AI$12:$AI$263,MATCH($AQ204,$AP$12:$AP$263,0)), "-"),     TRUE, "0")</f>
        <v>0</v>
      </c>
      <c r="CN204" s="588">
        <f>IF(CM$9&gt;0, IF(OR(CM204="",CM204="-"), 0, CM204*$AT204), CL204*$AJ204)</f>
        <v>0</v>
      </c>
      <c r="CO204" s="587">
        <f>[1]COMMANDE!AS202</f>
        <v>0</v>
      </c>
      <c r="CP204" s="586" t="str">
        <f>_xlfn.IFS(AND($AI204=$AM204,$AI204&gt;0,$AM204&gt;0,CO204&gt;0), CO204,     AND(NOT($AI204=$AM204),$AI204&gt;0,$AM204&gt;0,CO204&gt;0), ($AM204*CO204)/$AI204,     AND($AI204=0,$AM204&gt;0,$AQ204&gt;0), IF(INDEX(CO$12:CO$263,MATCH($AQ204,$AP$12:$AP$263,0))&gt;0,($AM204*INDEX(CO$12:CO$263,MATCH($AQ204,$AP$12:$AP$263,0)))/INDEX($AI$12:$AI$263,MATCH($AQ204,$AP$12:$AP$263,0)), "-"),     TRUE, "0")</f>
        <v>0</v>
      </c>
      <c r="CQ204" s="607">
        <f>IF(CP$9&gt;0, IF(OR(CP204="",CP204="-"), 0, CP204*$AT204), CO204*$AJ204)</f>
        <v>0</v>
      </c>
      <c r="CR204" s="589">
        <f>[1]COMMANDE!AU202</f>
        <v>0</v>
      </c>
      <c r="CS204" s="586" t="str">
        <f>_xlfn.IFS(AND($AI204=$AM204,$AI204&gt;0,$AM204&gt;0,CR204&gt;0), CR204,     AND(NOT($AI204=$AM204),$AI204&gt;0,$AM204&gt;0,CR204&gt;0), ($AM204*CR204)/$AI204,     AND($AI204=0,$AM204&gt;0,$AQ204&gt;0), IF(INDEX(CR$12:CR$263,MATCH($AQ204,$AP$12:$AP$263,0))&gt;0,($AM204*INDEX(CR$12:CR$263,MATCH($AQ204,$AP$12:$AP$263,0)))/INDEX($AI$12:$AI$263,MATCH($AQ204,$AP$12:$AP$263,0)), "-"),     TRUE, "0")</f>
        <v>0</v>
      </c>
      <c r="CT204" s="588">
        <f>IF(CS$9&gt;0, IF(OR(CS204="",CS204="-"), 0, CS204*$AT204), CR204*$AJ204)</f>
        <v>0</v>
      </c>
      <c r="CU204" s="587">
        <f>[1]COMMANDE!AW202</f>
        <v>0</v>
      </c>
      <c r="CV204" s="586" t="str">
        <f>_xlfn.IFS(AND($AI204=$AM204,$AI204&gt;0,$AM204&gt;0,CU204&gt;0), CU204,     AND(NOT($AI204=$AM204),$AI204&gt;0,$AM204&gt;0,CU204&gt;0), ($AM204*CU204)/$AI204,     AND($AI204=0,$AM204&gt;0,$AQ204&gt;0), IF(INDEX(CU$12:CU$263,MATCH($AQ204,$AP$12:$AP$263,0))&gt;0,($AM204*INDEX(CU$12:CU$263,MATCH($AQ204,$AP$12:$AP$263,0)))/INDEX($AI$12:$AI$263,MATCH($AQ204,$AP$12:$AP$263,0)), "-"),     TRUE, "0")</f>
        <v>0</v>
      </c>
      <c r="CW204" s="607">
        <f>IF(CV$9&gt;0, IF(OR(CV204="",CV204="-"), 0, CV204*$AT204), CU204*$AJ204)</f>
        <v>0</v>
      </c>
      <c r="CX204" s="589">
        <f>[1]COMMANDE!AY202</f>
        <v>0</v>
      </c>
      <c r="CY204" s="586" t="str">
        <f>_xlfn.IFS(AND($AI204=$AM204,$AI204&gt;0,$AM204&gt;0,CX204&gt;0), CX204,     AND(NOT($AI204=$AM204),$AI204&gt;0,$AM204&gt;0,CX204&gt;0), ($AM204*CX204)/$AI204,     AND($AI204=0,$AM204&gt;0,$AQ204&gt;0), IF(INDEX(CX$12:CX$263,MATCH($AQ204,$AP$12:$AP$263,0))&gt;0,($AM204*INDEX(CX$12:CX$263,MATCH($AQ204,$AP$12:$AP$263,0)))/INDEX($AI$12:$AI$263,MATCH($AQ204,$AP$12:$AP$263,0)), "-"),     TRUE, "0")</f>
        <v>0</v>
      </c>
      <c r="CZ204" s="588">
        <f>IF(CY$9&gt;0, IF(OR(CY204="",CY204="-"), 0, CY204*$AT204), CX204*$AJ204)</f>
        <v>0</v>
      </c>
      <c r="DA204" s="587">
        <f>[1]COMMANDE!BA202</f>
        <v>0</v>
      </c>
      <c r="DB204" s="586" t="str">
        <f>_xlfn.IFS(AND($AI204=$AM204,$AI204&gt;0,$AM204&gt;0,DA204&gt;0), DA204,     AND(NOT($AI204=$AM204),$AI204&gt;0,$AM204&gt;0,DA204&gt;0), ($AM204*DA204)/$AI204,     AND($AI204=0,$AM204&gt;0,$AQ204&gt;0), IF(INDEX(DA$12:DA$263,MATCH($AQ204,$AP$12:$AP$263,0))&gt;0,($AM204*INDEX(DA$12:DA$263,MATCH($AQ204,$AP$12:$AP$263,0)))/INDEX($AI$12:$AI$263,MATCH($AQ204,$AP$12:$AP$263,0)), "-"),     TRUE, "0")</f>
        <v>0</v>
      </c>
      <c r="DC204" s="606">
        <f>IF(DB$9&gt;0, IF(OR(DB204="",DB204="-"), 0, DB204*$AT204), DA204*$AJ204)</f>
        <v>0</v>
      </c>
      <c r="DD204" s="584"/>
      <c r="DE204" s="583"/>
    </row>
    <row r="205" spans="1:109" ht="39.950000000000003" customHeight="1">
      <c r="A205" s="605">
        <f>IF(OR($AV205&gt;0, $AX205&gt;0), 1, 0)</f>
        <v>1</v>
      </c>
      <c r="B205" s="605">
        <f>IF(OR($AY205&gt;0, $BA205&gt;0), 1, 0)</f>
        <v>0</v>
      </c>
      <c r="C205" s="605">
        <f>IF(OR($BB205&gt;0, $BD205&gt;0), 1, 0)</f>
        <v>1</v>
      </c>
      <c r="D205" s="605">
        <f>IF(OR($BE205&gt;0, $BG205&gt;0), 1, 0)</f>
        <v>1</v>
      </c>
      <c r="E205" s="605">
        <f>IF(OR($BH205&gt;0, $BJ205&gt;0), 1, 0)</f>
        <v>0</v>
      </c>
      <c r="F205" s="605">
        <f>IF(OR($BK205&gt;0, $BM205&gt;0), 1, 0)</f>
        <v>0</v>
      </c>
      <c r="G205" s="605">
        <f>IF(OR($BN205&gt;0, $BP205&gt;0), 1, 0)</f>
        <v>0</v>
      </c>
      <c r="H205" s="605">
        <f>IF(OR($BQ205&gt;0, $BS205&gt;0), 1, 0)</f>
        <v>0</v>
      </c>
      <c r="I205" s="605">
        <f>IF(OR($BT205&gt;0, $BV205&gt;0), 1, 0)</f>
        <v>0</v>
      </c>
      <c r="J205" s="605">
        <f>IF(OR($BW205&gt;0, $BY205&gt;0), 1, 0)</f>
        <v>0</v>
      </c>
      <c r="K205" s="605">
        <f>IF(OR($BZ205&gt;0, $CB205&gt;0), 1, 0)</f>
        <v>0</v>
      </c>
      <c r="L205" s="605">
        <f>IF(OR($CC205&gt;0, $CE205&gt;0), 1, 0)</f>
        <v>0</v>
      </c>
      <c r="M205" s="605">
        <f>IF(OR($CF205&gt;0, $CH205&gt;0), 1, 0)</f>
        <v>0</v>
      </c>
      <c r="N205" s="605">
        <f>IF(OR($CI205&gt;0, $CK205&gt;0), 1, 0)</f>
        <v>0</v>
      </c>
      <c r="O205" s="605">
        <f>IF(OR($CL205&gt;0, $CN205&gt;0), 1, 0)</f>
        <v>0</v>
      </c>
      <c r="P205" s="604">
        <f>IF(OR($CO205&gt;0, $CQ205&gt;0), 1, 0)</f>
        <v>0</v>
      </c>
      <c r="Q205" s="604">
        <f>IF(OR($CR205&gt;0, $CT205&gt;0), 1, 0)</f>
        <v>0</v>
      </c>
      <c r="R205" s="604">
        <f>IF(OR($CU205&gt;0, $CW205&gt;0), 1, 0)</f>
        <v>0</v>
      </c>
      <c r="S205" s="604">
        <f>IF(OR($CX205&gt;0, $CZ205&gt;0), 1, 0)</f>
        <v>0</v>
      </c>
      <c r="T205" s="604">
        <f>IF(OR($DA205&gt;0, $DC205&gt;0), 1, 0)</f>
        <v>0</v>
      </c>
      <c r="U205" s="603">
        <f>IF(OR($AI205&gt;0,$AM205&gt;0,$AS205&gt;0), 1, 0)</f>
        <v>1</v>
      </c>
      <c r="V205" s="602" t="str">
        <f>[1]BDD!A195</f>
        <v>3694-3006</v>
      </c>
      <c r="W205" s="601" t="str">
        <f>[1]BDD!B195</f>
        <v>Papaye Intenzza/Siluet</v>
      </c>
      <c r="X205" s="600" t="str">
        <f>IF([1]BDD!F195=0, "", [1]BDD!F195)</f>
        <v>OFFRE</v>
      </c>
      <c r="Y205" s="542">
        <f>ROUND([1]BDD!G195+FDP_CMD_KG, 2)</f>
        <v>4.83</v>
      </c>
      <c r="Z205" s="542">
        <f>ROUND([1]BDD!G195+FDP_FACT_KG, 2)</f>
        <v>4.83</v>
      </c>
      <c r="AA205" s="543" t="str">
        <f>[1]BDD!H195</f>
        <v>kg</v>
      </c>
      <c r="AB205" s="544">
        <f>IF(NOT(ISBLANK([1]BDD!I195)), ROUND(SUM(([1]BDD!G195*reduc1),FDP_CMD_KG), 2), "")</f>
        <v>4.4400000000000004</v>
      </c>
      <c r="AC205" s="544">
        <f>IF(NOT(ISBLANK([1]BDD!J195)), ROUND(SUM(([1]BDD!G195*reduc2),FDP_CMD_KG), 2), "")</f>
        <v>4.04</v>
      </c>
      <c r="AD205" s="544">
        <f>IF(NOT(ISBLANK([1]BDD!K195)), ROUND(SUM(([1]BDD!G195*reduc3),FDP_CMD_KG), 2), "")</f>
        <v>3.65</v>
      </c>
      <c r="AE205" s="544">
        <f>IF(NOT(ISBLANK([1]BDD!I195)), ROUND(SUM(([1]BDD!G195*reduc1),FDP_FACT_KG), 2), "")</f>
        <v>4.43</v>
      </c>
      <c r="AF205" s="544">
        <f>IF(NOT(ISBLANK([1]BDD!J195)), ROUND(SUM(([1]BDD!G195*reduc2),FDP_FACT_KG), 2), "")</f>
        <v>4.03</v>
      </c>
      <c r="AG205" s="544">
        <f>IF(NOT(ISBLANK([1]BDD!K195)), ROUND(SUM(([1]BDD!G195*reduc3),FDP_FACT_KG), 2), "")</f>
        <v>3.64</v>
      </c>
      <c r="AH205" s="599" t="str">
        <f>[1]BDD!C195</f>
        <v>Grenade</v>
      </c>
      <c r="AI205" s="598">
        <f>SUM(AV205,AY205,BB205,BE205,BH205,BK205,BN205,BQ205,BT205,BW205,BZ205,CC205,CF205,CI205,CL205,CO205,CR205,CU205,CX205,DA205)</f>
        <v>5</v>
      </c>
      <c r="AJ205" s="545">
        <f>_xlfn.IFS($AD205&lt;&gt;"", $AD205,    $AC205&lt;&gt;"", $AC205,    $AB205&lt;&gt;"", $AB205,    TRUE, $Y205)</f>
        <v>3.65</v>
      </c>
      <c r="AK205" s="592">
        <f>$AI205*$AJ205</f>
        <v>18.25</v>
      </c>
      <c r="AL205" s="594"/>
      <c r="AM205" s="597">
        <v>5.26</v>
      </c>
      <c r="AN205" s="545">
        <f>_xlfn.IFS(AND(AM205&gt;=60,$AG205&lt;&gt;""), $AG205,    AND(AM205&gt;=30,$AF205&lt;&gt;""), $AF205,    AND(AM205&gt;=10,$AE205&lt;&gt;""), $AE205,    TRUE, $Z205)</f>
        <v>4.83</v>
      </c>
      <c r="AO205" s="596">
        <f>AM205*AN205</f>
        <v>25.405799999999999</v>
      </c>
      <c r="AP205" s="595"/>
      <c r="AQ205" s="595"/>
      <c r="AR205" s="594"/>
      <c r="AS205" s="593">
        <f>SUM(AW205,AZ205,BC205,BF205,BI205,BL205,BO205,BR205,BU205,BX205,CA205,CD205,CG205,CJ205,CM205,CP205,CS205,CV205,CY205,DB205)</f>
        <v>5.26</v>
      </c>
      <c r="AT205" s="545">
        <f>_xlfn.IFS(AND(AS205&gt;=60,$AG205&lt;&gt;""), $AG205,    AND(AS205&gt;=30,$AF205&lt;&gt;""), $AF205,    AND(AS205&gt;=10,$AE205&lt;&gt;""), $AE205,    TRUE, $Z205)</f>
        <v>4.83</v>
      </c>
      <c r="AU205" s="592">
        <f>$AS205*$AT205</f>
        <v>25.405799999999999</v>
      </c>
      <c r="AV205" s="591">
        <f>[1]COMMANDE!O203</f>
        <v>1</v>
      </c>
      <c r="AW205" s="586">
        <f>_xlfn.IFS(AND($AI205=$AM205,$AI205&gt;0,$AM205&gt;0,AV205&gt;0), AV205,     AND(NOT($AI205=$AM205),$AI205&gt;0,$AM205&gt;0,AV205&gt;0), ($AM205*AV205)/$AI205,     AND($AI205=0,$AM205&gt;0,$AQ205&gt;0), IF(INDEX(AV$12:AV$263,MATCH($AQ205,$AP$12:$AP$263,0))&gt;0,($AM205*INDEX(AV$12:AV$263,MATCH($AQ205,$AP$12:$AP$263,0)))/INDEX($AI$12:$AI$263,MATCH($AQ205,$AP$12:$AP$263,0)), "-"),     TRUE, "0")</f>
        <v>1.052</v>
      </c>
      <c r="AX205" s="588">
        <f>IF(AW$9&gt;0, IF(OR(AW205="",AW205="-"), 0, AW205*$AT205), AV205*$AJ205)</f>
        <v>5.0811600000000006</v>
      </c>
      <c r="AY205" s="587">
        <f>[1]COMMANDE!Q203</f>
        <v>0</v>
      </c>
      <c r="AZ205" s="586" t="str">
        <f>_xlfn.IFS(AND($AI205=$AM205,$AI205&gt;0,$AM205&gt;0,AY205&gt;0), AY205,     AND(NOT($AI205=$AM205),$AI205&gt;0,$AM205&gt;0,AY205&gt;0), ($AM205*AY205)/$AI205,     AND($AI205=0,$AM205&gt;0,$AQ205&gt;0), IF(INDEX(AY$12:AY$263,MATCH($AQ205,$AP$12:$AP$263,0))&gt;0,($AM205*INDEX(AY$12:AY$263,MATCH($AQ205,$AP$12:$AP$263,0)))/INDEX($AI$12:$AI$263,MATCH($AQ205,$AP$12:$AP$263,0)), "-"),     TRUE, "0")</f>
        <v>0</v>
      </c>
      <c r="BA205" s="607">
        <f>IF(AZ$9&gt;0, IF(OR(AZ205="",AZ205="-"), 0, AZ205*$AT205), AY205*$AJ205)</f>
        <v>0</v>
      </c>
      <c r="BB205" s="589">
        <f>[1]COMMANDE!S203</f>
        <v>1</v>
      </c>
      <c r="BC205" s="586">
        <f>_xlfn.IFS(AND($AI205=$AM205,$AI205&gt;0,$AM205&gt;0,BB205&gt;0), BB205,     AND(NOT($AI205=$AM205),$AI205&gt;0,$AM205&gt;0,BB205&gt;0), ($AM205*BB205)/$AI205,     AND($AI205=0,$AM205&gt;0,$AQ205&gt;0), IF(INDEX(BB$12:BB$263,MATCH($AQ205,$AP$12:$AP$263,0))&gt;0,($AM205*INDEX(BB$12:BB$263,MATCH($AQ205,$AP$12:$AP$263,0)))/INDEX($AI$12:$AI$263,MATCH($AQ205,$AP$12:$AP$263,0)), "-"),     TRUE, "0")</f>
        <v>1.052</v>
      </c>
      <c r="BD205" s="588">
        <f>IF(BC$9&gt;0, IF(OR(BC205="",BC205="-"), 0, BC205*$AT205), BB205*$AJ205)</f>
        <v>5.0811600000000006</v>
      </c>
      <c r="BE205" s="587">
        <f>[1]COMMANDE!U203</f>
        <v>3</v>
      </c>
      <c r="BF205" s="586">
        <f>_xlfn.IFS(AND($AI205=$AM205,$AI205&gt;0,$AM205&gt;0,BE205&gt;0), BE205,     AND(NOT($AI205=$AM205),$AI205&gt;0,$AM205&gt;0,BE205&gt;0), ($AM205*BE205)/$AI205,     AND($AI205=0,$AM205&gt;0,$AQ205&gt;0), IF(INDEX(BE$12:BE$263,MATCH($AQ205,$AP$12:$AP$263,0))&gt;0,($AM205*INDEX(BE$12:BE$263,MATCH($AQ205,$AP$12:$AP$263,0)))/INDEX($AI$12:$AI$263,MATCH($AQ205,$AP$12:$AP$263,0)), "-"),     TRUE, "0")</f>
        <v>3.1559999999999997</v>
      </c>
      <c r="BG205" s="607">
        <f>IF(BF$9&gt;0, IF(OR(BF205="",BF205="-"), 0, BF205*$AT205), BE205*$AJ205)</f>
        <v>15.243479999999998</v>
      </c>
      <c r="BH205" s="589">
        <f>[1]COMMANDE!W203</f>
        <v>0</v>
      </c>
      <c r="BI205" s="586" t="str">
        <f>_xlfn.IFS(AND($AI205=$AM205,$AI205&gt;0,$AM205&gt;0,BH205&gt;0), BH205,     AND(NOT($AI205=$AM205),$AI205&gt;0,$AM205&gt;0,BH205&gt;0), ($AM205*BH205)/$AI205,     AND($AI205=0,$AM205&gt;0,$AQ205&gt;0), IF(INDEX(BH$12:BH$263,MATCH($AQ205,$AP$12:$AP$263,0))&gt;0,($AM205*INDEX(BH$12:BH$263,MATCH($AQ205,$AP$12:$AP$263,0)))/INDEX($AI$12:$AI$263,MATCH($AQ205,$AP$12:$AP$263,0)), "-"),     TRUE, "0")</f>
        <v>0</v>
      </c>
      <c r="BJ205" s="588">
        <f>IF(BI$9&gt;0, IF(OR(BI205="",BI205="-"), 0, BI205*$AT205), BH205*$AJ205)</f>
        <v>0</v>
      </c>
      <c r="BK205" s="587">
        <f>[1]COMMANDE!Y203</f>
        <v>0</v>
      </c>
      <c r="BL205" s="586" t="str">
        <f>_xlfn.IFS(AND($AI205=$AM205,$AI205&gt;0,$AM205&gt;0,BK205&gt;0), BK205,     AND(NOT($AI205=$AM205),$AI205&gt;0,$AM205&gt;0,BK205&gt;0), ($AM205*BK205)/$AI205,     AND($AI205=0,$AM205&gt;0,$AQ205&gt;0), IF(INDEX(BK$12:BK$263,MATCH($AQ205,$AP$12:$AP$263,0))&gt;0,($AM205*INDEX(BK$12:BK$263,MATCH($AQ205,$AP$12:$AP$263,0)))/INDEX($AI$12:$AI$263,MATCH($AQ205,$AP$12:$AP$263,0)), "-"),     TRUE, "0")</f>
        <v>0</v>
      </c>
      <c r="BM205" s="607">
        <f>IF(BL$9&gt;0, IF(OR(BL205="",BL205="-"), 0, BL205*$AT205), BK205*$AJ205)</f>
        <v>0</v>
      </c>
      <c r="BN205" s="589">
        <f>[1]COMMANDE!AA203</f>
        <v>0</v>
      </c>
      <c r="BO205" s="586" t="str">
        <f>_xlfn.IFS(AND($AI205=$AM205,$AI205&gt;0,$AM205&gt;0,BN205&gt;0), BN205,     AND(NOT($AI205=$AM205),$AI205&gt;0,$AM205&gt;0,BN205&gt;0), ($AM205*BN205)/$AI205,     AND($AI205=0,$AM205&gt;0,$AQ205&gt;0), IF(INDEX(BN$12:BN$263,MATCH($AQ205,$AP$12:$AP$263,0))&gt;0,($AM205*INDEX(BN$12:BN$263,MATCH($AQ205,$AP$12:$AP$263,0)))/INDEX($AI$12:$AI$263,MATCH($AQ205,$AP$12:$AP$263,0)), "-"),     TRUE, "0")</f>
        <v>0</v>
      </c>
      <c r="BP205" s="588">
        <f>IF(BO$9&gt;0, IF(OR(BO205="",BO205="-"), 0, BO205*$AT205), BN205*$AJ205)</f>
        <v>0</v>
      </c>
      <c r="BQ205" s="587">
        <f>[1]COMMANDE!AC203</f>
        <v>0</v>
      </c>
      <c r="BR205" s="586" t="str">
        <f>_xlfn.IFS(AND($AI205=$AM205,$AI205&gt;0,$AM205&gt;0,BQ205&gt;0), BQ205,     AND(NOT($AI205=$AM205),$AI205&gt;0,$AM205&gt;0,BQ205&gt;0), ($AM205*BQ205)/$AI205,     AND($AI205=0,$AM205&gt;0,$AQ205&gt;0), IF(INDEX(BQ$12:BQ$263,MATCH($AQ205,$AP$12:$AP$263,0))&gt;0,($AM205*INDEX(BQ$12:BQ$263,MATCH($AQ205,$AP$12:$AP$263,0)))/INDEX($AI$12:$AI$263,MATCH($AQ205,$AP$12:$AP$263,0)), "-"),     TRUE, "0")</f>
        <v>0</v>
      </c>
      <c r="BS205" s="607">
        <f>IF(BR$9&gt;0, IF(OR(BR205="",BR205="-"), 0, BR205*$AT205), BQ205*$AJ205)</f>
        <v>0</v>
      </c>
      <c r="BT205" s="589">
        <f>[1]COMMANDE!AE203</f>
        <v>0</v>
      </c>
      <c r="BU205" s="586" t="str">
        <f>_xlfn.IFS(AND($AI205=$AM205,$AI205&gt;0,$AM205&gt;0,BT205&gt;0), BT205,     AND(NOT($AI205=$AM205),$AI205&gt;0,$AM205&gt;0,BT205&gt;0), ($AM205*BT205)/$AI205,     AND($AI205=0,$AM205&gt;0,$AQ205&gt;0), IF(INDEX(BT$12:BT$263,MATCH($AQ205,$AP$12:$AP$263,0))&gt;0,($AM205*INDEX(BT$12:BT$263,MATCH($AQ205,$AP$12:$AP$263,0)))/INDEX($AI$12:$AI$263,MATCH($AQ205,$AP$12:$AP$263,0)), "-"),     TRUE, "0")</f>
        <v>0</v>
      </c>
      <c r="BV205" s="588">
        <f>IF(BU$9&gt;0, IF(OR(BU205="",BU205="-"), 0, BU205*$AT205), BT205*$AJ205)</f>
        <v>0</v>
      </c>
      <c r="BW205" s="587">
        <f>[1]COMMANDE!AG203</f>
        <v>0</v>
      </c>
      <c r="BX205" s="586" t="str">
        <f>_xlfn.IFS(AND($AI205=$AM205,$AI205&gt;0,$AM205&gt;0,BW205&gt;0), BW205,     AND(NOT($AI205=$AM205),$AI205&gt;0,$AM205&gt;0,BW205&gt;0), ($AM205*BW205)/$AI205,     AND($AI205=0,$AM205&gt;0,$AQ205&gt;0), IF(INDEX(BW$12:BW$263,MATCH($AQ205,$AP$12:$AP$263,0))&gt;0,($AM205*INDEX(BW$12:BW$263,MATCH($AQ205,$AP$12:$AP$263,0)))/INDEX($AI$12:$AI$263,MATCH($AQ205,$AP$12:$AP$263,0)), "-"),     TRUE, "0")</f>
        <v>0</v>
      </c>
      <c r="BY205" s="607">
        <f>IF(BX$9&gt;0, IF(OR(BX205="",BX205="-"), 0, BX205*$AT205), BW205*$AJ205)</f>
        <v>0</v>
      </c>
      <c r="BZ205" s="589">
        <f>[1]COMMANDE!AI203</f>
        <v>0</v>
      </c>
      <c r="CA205" s="586" t="str">
        <f>_xlfn.IFS(AND($AI205=$AM205,$AI205&gt;0,$AM205&gt;0,BZ205&gt;0), BZ205,     AND(NOT($AI205=$AM205),$AI205&gt;0,$AM205&gt;0,BZ205&gt;0), ($AM205*BZ205)/$AI205,     AND($AI205=0,$AM205&gt;0,$AQ205&gt;0), IF(INDEX(BZ$12:BZ$263,MATCH($AQ205,$AP$12:$AP$263,0))&gt;0,($AM205*INDEX(BZ$12:BZ$263,MATCH($AQ205,$AP$12:$AP$263,0)))/INDEX($AI$12:$AI$263,MATCH($AQ205,$AP$12:$AP$263,0)), "-"),     TRUE, "0")</f>
        <v>0</v>
      </c>
      <c r="CB205" s="588">
        <f>IF(CA$9&gt;0, IF(OR(CA205="",CA205="-"), 0, CA205*$AT205), BZ205*$AJ205)</f>
        <v>0</v>
      </c>
      <c r="CC205" s="587">
        <f>[1]COMMANDE!AK203</f>
        <v>0</v>
      </c>
      <c r="CD205" s="586" t="str">
        <f>_xlfn.IFS(AND($AI205=$AM205,$AI205&gt;0,$AM205&gt;0,CC205&gt;0), CC205,     AND(NOT($AI205=$AM205),$AI205&gt;0,$AM205&gt;0,CC205&gt;0), ($AM205*CC205)/$AI205,     AND($AI205=0,$AM205&gt;0,$AQ205&gt;0), IF(INDEX(CC$12:CC$263,MATCH($AQ205,$AP$12:$AP$263,0))&gt;0,($AM205*INDEX(CC$12:CC$263,MATCH($AQ205,$AP$12:$AP$263,0)))/INDEX($AI$12:$AI$263,MATCH($AQ205,$AP$12:$AP$263,0)), "-"),     TRUE, "0")</f>
        <v>0</v>
      </c>
      <c r="CE205" s="607">
        <f>IF(CD$9&gt;0, IF(OR(CD205="",CD205="-"), 0, CD205*$AT205), CC205*$AJ205)</f>
        <v>0</v>
      </c>
      <c r="CF205" s="589">
        <f>[1]COMMANDE!AM203</f>
        <v>0</v>
      </c>
      <c r="CG205" s="586" t="str">
        <f>_xlfn.IFS(AND($AI205=$AM205,$AI205&gt;0,$AM205&gt;0,CF205&gt;0), CF205,     AND(NOT($AI205=$AM205),$AI205&gt;0,$AM205&gt;0,CF205&gt;0), ($AM205*CF205)/$AI205,     AND($AI205=0,$AM205&gt;0,$AQ205&gt;0), IF(INDEX(CF$12:CF$263,MATCH($AQ205,$AP$12:$AP$263,0))&gt;0,($AM205*INDEX(CF$12:CF$263,MATCH($AQ205,$AP$12:$AP$263,0)))/INDEX($AI$12:$AI$263,MATCH($AQ205,$AP$12:$AP$263,0)), "-"),     TRUE, "0")</f>
        <v>0</v>
      </c>
      <c r="CH205" s="588">
        <f>IF(CG$9&gt;0, IF(OR(CG205="",CG205="-"), 0, CG205*$AT205), CF205*$AJ205)</f>
        <v>0</v>
      </c>
      <c r="CI205" s="587">
        <f>[1]COMMANDE!AO203</f>
        <v>0</v>
      </c>
      <c r="CJ205" s="586" t="str">
        <f>_xlfn.IFS(AND($AI205=$AM205,$AI205&gt;0,$AM205&gt;0,CI205&gt;0), CI205,     AND(NOT($AI205=$AM205),$AI205&gt;0,$AM205&gt;0,CI205&gt;0), ($AM205*CI205)/$AI205,     AND($AI205=0,$AM205&gt;0,$AQ205&gt;0), IF(INDEX(CI$12:CI$263,MATCH($AQ205,$AP$12:$AP$263,0))&gt;0,($AM205*INDEX(CI$12:CI$263,MATCH($AQ205,$AP$12:$AP$263,0)))/INDEX($AI$12:$AI$263,MATCH($AQ205,$AP$12:$AP$263,0)), "-"),     TRUE, "0")</f>
        <v>0</v>
      </c>
      <c r="CK205" s="607">
        <f>IF(CJ$9&gt;0, IF(OR(CJ205="",CJ205="-"), 0, CJ205*$AT205), CI205*$AJ205)</f>
        <v>0</v>
      </c>
      <c r="CL205" s="589">
        <f>[1]COMMANDE!AQ203</f>
        <v>0</v>
      </c>
      <c r="CM205" s="586" t="str">
        <f>_xlfn.IFS(AND($AI205=$AM205,$AI205&gt;0,$AM205&gt;0,CL205&gt;0), CL205,     AND(NOT($AI205=$AM205),$AI205&gt;0,$AM205&gt;0,CL205&gt;0), ($AM205*CL205)/$AI205,     AND($AI205=0,$AM205&gt;0,$AQ205&gt;0), IF(INDEX(CL$12:CL$263,MATCH($AQ205,$AP$12:$AP$263,0))&gt;0,($AM205*INDEX(CL$12:CL$263,MATCH($AQ205,$AP$12:$AP$263,0)))/INDEX($AI$12:$AI$263,MATCH($AQ205,$AP$12:$AP$263,0)), "-"),     TRUE, "0")</f>
        <v>0</v>
      </c>
      <c r="CN205" s="588">
        <f>IF(CM$9&gt;0, IF(OR(CM205="",CM205="-"), 0, CM205*$AT205), CL205*$AJ205)</f>
        <v>0</v>
      </c>
      <c r="CO205" s="587">
        <f>[1]COMMANDE!AS203</f>
        <v>0</v>
      </c>
      <c r="CP205" s="586" t="str">
        <f>_xlfn.IFS(AND($AI205=$AM205,$AI205&gt;0,$AM205&gt;0,CO205&gt;0), CO205,     AND(NOT($AI205=$AM205),$AI205&gt;0,$AM205&gt;0,CO205&gt;0), ($AM205*CO205)/$AI205,     AND($AI205=0,$AM205&gt;0,$AQ205&gt;0), IF(INDEX(CO$12:CO$263,MATCH($AQ205,$AP$12:$AP$263,0))&gt;0,($AM205*INDEX(CO$12:CO$263,MATCH($AQ205,$AP$12:$AP$263,0)))/INDEX($AI$12:$AI$263,MATCH($AQ205,$AP$12:$AP$263,0)), "-"),     TRUE, "0")</f>
        <v>0</v>
      </c>
      <c r="CQ205" s="607">
        <f>IF(CP$9&gt;0, IF(OR(CP205="",CP205="-"), 0, CP205*$AT205), CO205*$AJ205)</f>
        <v>0</v>
      </c>
      <c r="CR205" s="589">
        <f>[1]COMMANDE!AU203</f>
        <v>0</v>
      </c>
      <c r="CS205" s="586" t="str">
        <f>_xlfn.IFS(AND($AI205=$AM205,$AI205&gt;0,$AM205&gt;0,CR205&gt;0), CR205,     AND(NOT($AI205=$AM205),$AI205&gt;0,$AM205&gt;0,CR205&gt;0), ($AM205*CR205)/$AI205,     AND($AI205=0,$AM205&gt;0,$AQ205&gt;0), IF(INDEX(CR$12:CR$263,MATCH($AQ205,$AP$12:$AP$263,0))&gt;0,($AM205*INDEX(CR$12:CR$263,MATCH($AQ205,$AP$12:$AP$263,0)))/INDEX($AI$12:$AI$263,MATCH($AQ205,$AP$12:$AP$263,0)), "-"),     TRUE, "0")</f>
        <v>0</v>
      </c>
      <c r="CT205" s="588">
        <f>IF(CS$9&gt;0, IF(OR(CS205="",CS205="-"), 0, CS205*$AT205), CR205*$AJ205)</f>
        <v>0</v>
      </c>
      <c r="CU205" s="587">
        <f>[1]COMMANDE!AW203</f>
        <v>0</v>
      </c>
      <c r="CV205" s="586" t="str">
        <f>_xlfn.IFS(AND($AI205=$AM205,$AI205&gt;0,$AM205&gt;0,CU205&gt;0), CU205,     AND(NOT($AI205=$AM205),$AI205&gt;0,$AM205&gt;0,CU205&gt;0), ($AM205*CU205)/$AI205,     AND($AI205=0,$AM205&gt;0,$AQ205&gt;0), IF(INDEX(CU$12:CU$263,MATCH($AQ205,$AP$12:$AP$263,0))&gt;0,($AM205*INDEX(CU$12:CU$263,MATCH($AQ205,$AP$12:$AP$263,0)))/INDEX($AI$12:$AI$263,MATCH($AQ205,$AP$12:$AP$263,0)), "-"),     TRUE, "0")</f>
        <v>0</v>
      </c>
      <c r="CW205" s="607">
        <f>IF(CV$9&gt;0, IF(OR(CV205="",CV205="-"), 0, CV205*$AT205), CU205*$AJ205)</f>
        <v>0</v>
      </c>
      <c r="CX205" s="589">
        <f>[1]COMMANDE!AY203</f>
        <v>0</v>
      </c>
      <c r="CY205" s="586" t="str">
        <f>_xlfn.IFS(AND($AI205=$AM205,$AI205&gt;0,$AM205&gt;0,CX205&gt;0), CX205,     AND(NOT($AI205=$AM205),$AI205&gt;0,$AM205&gt;0,CX205&gt;0), ($AM205*CX205)/$AI205,     AND($AI205=0,$AM205&gt;0,$AQ205&gt;0), IF(INDEX(CX$12:CX$263,MATCH($AQ205,$AP$12:$AP$263,0))&gt;0,($AM205*INDEX(CX$12:CX$263,MATCH($AQ205,$AP$12:$AP$263,0)))/INDEX($AI$12:$AI$263,MATCH($AQ205,$AP$12:$AP$263,0)), "-"),     TRUE, "0")</f>
        <v>0</v>
      </c>
      <c r="CZ205" s="588">
        <f>IF(CY$9&gt;0, IF(OR(CY205="",CY205="-"), 0, CY205*$AT205), CX205*$AJ205)</f>
        <v>0</v>
      </c>
      <c r="DA205" s="587">
        <f>[1]COMMANDE!BA203</f>
        <v>0</v>
      </c>
      <c r="DB205" s="586" t="str">
        <f>_xlfn.IFS(AND($AI205=$AM205,$AI205&gt;0,$AM205&gt;0,DA205&gt;0), DA205,     AND(NOT($AI205=$AM205),$AI205&gt;0,$AM205&gt;0,DA205&gt;0), ($AM205*DA205)/$AI205,     AND($AI205=0,$AM205&gt;0,$AQ205&gt;0), IF(INDEX(DA$12:DA$263,MATCH($AQ205,$AP$12:$AP$263,0))&gt;0,($AM205*INDEX(DA$12:DA$263,MATCH($AQ205,$AP$12:$AP$263,0)))/INDEX($AI$12:$AI$263,MATCH($AQ205,$AP$12:$AP$263,0)), "-"),     TRUE, "0")</f>
        <v>0</v>
      </c>
      <c r="DC205" s="606">
        <f>IF(DB$9&gt;0, IF(OR(DB205="",DB205="-"), 0, DB205*$AT205), DA205*$AJ205)</f>
        <v>0</v>
      </c>
      <c r="DD205" s="584"/>
      <c r="DE205" s="583"/>
    </row>
    <row r="206" spans="1:109" ht="39.950000000000003" hidden="1" customHeight="1">
      <c r="A206" s="604">
        <f>IF(OR($AV206&gt;0, $AX206&gt;0), 1, 0)</f>
        <v>0</v>
      </c>
      <c r="B206" s="604">
        <f>IF(OR($AY206&gt;0, $BA206&gt;0), 1, 0)</f>
        <v>0</v>
      </c>
      <c r="C206" s="604">
        <f>IF(OR($BB206&gt;0, $BD206&gt;0), 1, 0)</f>
        <v>0</v>
      </c>
      <c r="D206" s="604">
        <f>IF(OR($BE206&gt;0, $BG206&gt;0), 1, 0)</f>
        <v>0</v>
      </c>
      <c r="E206" s="604">
        <f>IF(OR($BH206&gt;0, $BJ206&gt;0), 1, 0)</f>
        <v>0</v>
      </c>
      <c r="F206" s="604">
        <f>IF(OR($BK206&gt;0, $BM206&gt;0), 1, 0)</f>
        <v>0</v>
      </c>
      <c r="G206" s="604">
        <f>IF(OR($BN206&gt;0, $BP206&gt;0), 1, 0)</f>
        <v>0</v>
      </c>
      <c r="H206" s="604">
        <f>IF(OR($BQ206&gt;0, $BS206&gt;0), 1, 0)</f>
        <v>0</v>
      </c>
      <c r="I206" s="604">
        <f>IF(OR($BT206&gt;0, $BV206&gt;0), 1, 0)</f>
        <v>0</v>
      </c>
      <c r="J206" s="604">
        <f>IF(OR($BW206&gt;0, $BY206&gt;0), 1, 0)</f>
        <v>0</v>
      </c>
      <c r="K206" s="604">
        <f>IF(OR($BZ206&gt;0, $CB206&gt;0), 1, 0)</f>
        <v>0</v>
      </c>
      <c r="L206" s="604">
        <f>IF(OR($CC206&gt;0, $CE206&gt;0), 1, 0)</f>
        <v>0</v>
      </c>
      <c r="M206" s="604">
        <f>IF(OR($CF206&gt;0, $CH206&gt;0), 1, 0)</f>
        <v>0</v>
      </c>
      <c r="N206" s="604">
        <f>IF(OR($CI206&gt;0, $CK206&gt;0), 1, 0)</f>
        <v>0</v>
      </c>
      <c r="O206" s="604">
        <f>IF(OR($CL206&gt;0, $CN206&gt;0), 1, 0)</f>
        <v>0</v>
      </c>
      <c r="P206" s="604">
        <f>IF(OR($CO206&gt;0, $CQ206&gt;0), 1, 0)</f>
        <v>0</v>
      </c>
      <c r="Q206" s="604">
        <f>IF(OR($CR206&gt;0, $CT206&gt;0), 1, 0)</f>
        <v>0</v>
      </c>
      <c r="R206" s="604">
        <f>IF(OR($CU206&gt;0, $CW206&gt;0), 1, 0)</f>
        <v>0</v>
      </c>
      <c r="S206" s="604">
        <f>IF(OR($CX206&gt;0, $CZ206&gt;0), 1, 0)</f>
        <v>0</v>
      </c>
      <c r="T206" s="604">
        <f>IF(OR($DA206&gt;0, $DC206&gt;0), 1, 0)</f>
        <v>0</v>
      </c>
      <c r="U206" s="603">
        <f>IF(OR($AI206&gt;0,$AM206&gt;0,$AS206&gt;0), 1, 0)</f>
        <v>0</v>
      </c>
      <c r="V206" s="602" t="str">
        <f>[1]BDD!A196</f>
        <v>1015.133</v>
      </c>
      <c r="W206" s="601" t="str">
        <f>[1]BDD!B196</f>
        <v>Patatate douce BIO avec défauts esthétiques 
    - (moyen)</v>
      </c>
      <c r="X206" s="600" t="str">
        <f>IF([1]BDD!F196=0, "", [1]BDD!F196)</f>
        <v/>
      </c>
      <c r="Y206" s="542">
        <f>ROUND([1]BDD!G196+FDP_CMD_KG, 2)</f>
        <v>2.77</v>
      </c>
      <c r="Z206" s="542">
        <f>ROUND([1]BDD!G196+FDP_FACT_KG, 2)</f>
        <v>2.77</v>
      </c>
      <c r="AA206" s="543" t="str">
        <f>[1]BDD!H196</f>
        <v>kg</v>
      </c>
      <c r="AB206" s="544">
        <f>IF(NOT(ISBLANK([1]BDD!I196)), ROUND(SUM(([1]BDD!G196*reduc1),FDP_CMD_KG), 2), "")</f>
        <v>2.58</v>
      </c>
      <c r="AC206" s="544">
        <f>IF(NOT(ISBLANK([1]BDD!J196)), ROUND(SUM(([1]BDD!G196*reduc2),FDP_CMD_KG), 2), "")</f>
        <v>2.39</v>
      </c>
      <c r="AD206" s="544">
        <f>IF(NOT(ISBLANK([1]BDD!K196)), ROUND(SUM(([1]BDD!G196*reduc3),FDP_CMD_KG), 2), "")</f>
        <v>2.2000000000000002</v>
      </c>
      <c r="AE206" s="544">
        <f>IF(NOT(ISBLANK([1]BDD!I196)), ROUND(SUM(([1]BDD!G196*reduc1),FDP_FACT_KG), 2), "")</f>
        <v>2.58</v>
      </c>
      <c r="AF206" s="544">
        <f>IF(NOT(ISBLANK([1]BDD!J196)), ROUND(SUM(([1]BDD!G196*reduc2),FDP_FACT_KG), 2), "")</f>
        <v>2.39</v>
      </c>
      <c r="AG206" s="544">
        <f>IF(NOT(ISBLANK([1]BDD!K196)), ROUND(SUM(([1]BDD!G196*reduc3),FDP_FACT_KG), 2), "")</f>
        <v>2.2000000000000002</v>
      </c>
      <c r="AH206" s="599" t="str">
        <f>[1]BDD!C196</f>
        <v>Malaga</v>
      </c>
      <c r="AI206" s="598">
        <f>SUM(AV206,AY206,BB206,BE206,BH206,BK206,BN206,BQ206,BT206,BW206,BZ206,CC206,CF206,CI206,CL206,CO206,CR206,CU206,CX206,DA206)</f>
        <v>0</v>
      </c>
      <c r="AJ206" s="545">
        <f>_xlfn.IFS($AD206&lt;&gt;"", $AD206,    $AC206&lt;&gt;"", $AC206,    $AB206&lt;&gt;"", $AB206,    TRUE, $Y206)</f>
        <v>2.2000000000000002</v>
      </c>
      <c r="AK206" s="592">
        <f>$AI206*$AJ206</f>
        <v>0</v>
      </c>
      <c r="AL206" s="594"/>
      <c r="AM206" s="597"/>
      <c r="AN206" s="545">
        <f>_xlfn.IFS(AND(AM206&gt;=60,$AG206&lt;&gt;""), $AG206,    AND(AM206&gt;=30,$AF206&lt;&gt;""), $AF206,    AND(AM206&gt;=10,$AE206&lt;&gt;""), $AE206,    TRUE, $Z206)</f>
        <v>2.77</v>
      </c>
      <c r="AO206" s="596">
        <f>AM206*AN206</f>
        <v>0</v>
      </c>
      <c r="AP206" s="595"/>
      <c r="AQ206" s="595"/>
      <c r="AR206" s="594"/>
      <c r="AS206" s="593">
        <f>SUM(AW206,AZ206,BC206,BF206,BI206,BL206,BO206,BR206,BU206,BX206,CA206,CD206,CG206,CJ206,CM206,CP206,CS206,CV206,CY206,DB206)</f>
        <v>0</v>
      </c>
      <c r="AT206" s="545">
        <f>_xlfn.IFS(AND(AS206&gt;=60,$AG206&lt;&gt;""), $AG206,    AND(AS206&gt;=30,$AF206&lt;&gt;""), $AF206,    AND(AS206&gt;=10,$AE206&lt;&gt;""), $AE206,    TRUE, $Z206)</f>
        <v>2.77</v>
      </c>
      <c r="AU206" s="592">
        <f>$AS206*$AT206</f>
        <v>0</v>
      </c>
      <c r="AV206" s="591">
        <f>[1]COMMANDE!O204</f>
        <v>0</v>
      </c>
      <c r="AW206" s="586" t="str">
        <f>_xlfn.IFS(AND($AI206=$AM206,$AI206&gt;0,$AM206&gt;0,AV206&gt;0), AV206,     AND(NOT($AI206=$AM206),$AI206&gt;0,$AM206&gt;0,AV206&gt;0), ($AM206*AV206)/$AI206,     AND($AI206=0,$AM206&gt;0,$AQ206&gt;0), IF(INDEX(AV$12:AV$263,MATCH($AQ206,$AP$12:$AP$263,0))&gt;0,($AM206*INDEX(AV$12:AV$263,MATCH($AQ206,$AP$12:$AP$263,0)))/INDEX($AI$12:$AI$263,MATCH($AQ206,$AP$12:$AP$263,0)), "-"),     TRUE, "0")</f>
        <v>0</v>
      </c>
      <c r="AX206" s="588">
        <f>IF(AW$9&gt;0, IF(OR(AW206="",AW206="-"), 0, AW206*$AT206), AV206*$AJ206)</f>
        <v>0</v>
      </c>
      <c r="AY206" s="587">
        <f>[1]COMMANDE!Q204</f>
        <v>0</v>
      </c>
      <c r="AZ206" s="586" t="str">
        <f>_xlfn.IFS(AND($AI206=$AM206,$AI206&gt;0,$AM206&gt;0,AY206&gt;0), AY206,     AND(NOT($AI206=$AM206),$AI206&gt;0,$AM206&gt;0,AY206&gt;0), ($AM206*AY206)/$AI206,     AND($AI206=0,$AM206&gt;0,$AQ206&gt;0), IF(INDEX(AY$12:AY$263,MATCH($AQ206,$AP$12:$AP$263,0))&gt;0,($AM206*INDEX(AY$12:AY$263,MATCH($AQ206,$AP$12:$AP$263,0)))/INDEX($AI$12:$AI$263,MATCH($AQ206,$AP$12:$AP$263,0)), "-"),     TRUE, "0")</f>
        <v>0</v>
      </c>
      <c r="BA206" s="607">
        <f>IF(AZ$9&gt;0, IF(OR(AZ206="",AZ206="-"), 0, AZ206*$AT206), AY206*$AJ206)</f>
        <v>0</v>
      </c>
      <c r="BB206" s="589">
        <f>[1]COMMANDE!S204</f>
        <v>0</v>
      </c>
      <c r="BC206" s="586" t="str">
        <f>_xlfn.IFS(AND($AI206=$AM206,$AI206&gt;0,$AM206&gt;0,BB206&gt;0), BB206,     AND(NOT($AI206=$AM206),$AI206&gt;0,$AM206&gt;0,BB206&gt;0), ($AM206*BB206)/$AI206,     AND($AI206=0,$AM206&gt;0,$AQ206&gt;0), IF(INDEX(BB$12:BB$263,MATCH($AQ206,$AP$12:$AP$263,0))&gt;0,($AM206*INDEX(BB$12:BB$263,MATCH($AQ206,$AP$12:$AP$263,0)))/INDEX($AI$12:$AI$263,MATCH($AQ206,$AP$12:$AP$263,0)), "-"),     TRUE, "0")</f>
        <v>0</v>
      </c>
      <c r="BD206" s="588">
        <f>IF(BC$9&gt;0, IF(OR(BC206="",BC206="-"), 0, BC206*$AT206), BB206*$AJ206)</f>
        <v>0</v>
      </c>
      <c r="BE206" s="587">
        <f>[1]COMMANDE!U204</f>
        <v>0</v>
      </c>
      <c r="BF206" s="586" t="str">
        <f>_xlfn.IFS(AND($AI206=$AM206,$AI206&gt;0,$AM206&gt;0,BE206&gt;0), BE206,     AND(NOT($AI206=$AM206),$AI206&gt;0,$AM206&gt;0,BE206&gt;0), ($AM206*BE206)/$AI206,     AND($AI206=0,$AM206&gt;0,$AQ206&gt;0), IF(INDEX(BE$12:BE$263,MATCH($AQ206,$AP$12:$AP$263,0))&gt;0,($AM206*INDEX(BE$12:BE$263,MATCH($AQ206,$AP$12:$AP$263,0)))/INDEX($AI$12:$AI$263,MATCH($AQ206,$AP$12:$AP$263,0)), "-"),     TRUE, "0")</f>
        <v>0</v>
      </c>
      <c r="BG206" s="607">
        <f>IF(BF$9&gt;0, IF(OR(BF206="",BF206="-"), 0, BF206*$AT206), BE206*$AJ206)</f>
        <v>0</v>
      </c>
      <c r="BH206" s="589">
        <f>[1]COMMANDE!W204</f>
        <v>0</v>
      </c>
      <c r="BI206" s="586" t="str">
        <f>_xlfn.IFS(AND($AI206=$AM206,$AI206&gt;0,$AM206&gt;0,BH206&gt;0), BH206,     AND(NOT($AI206=$AM206),$AI206&gt;0,$AM206&gt;0,BH206&gt;0), ($AM206*BH206)/$AI206,     AND($AI206=0,$AM206&gt;0,$AQ206&gt;0), IF(INDEX(BH$12:BH$263,MATCH($AQ206,$AP$12:$AP$263,0))&gt;0,($AM206*INDEX(BH$12:BH$263,MATCH($AQ206,$AP$12:$AP$263,0)))/INDEX($AI$12:$AI$263,MATCH($AQ206,$AP$12:$AP$263,0)), "-"),     TRUE, "0")</f>
        <v>0</v>
      </c>
      <c r="BJ206" s="588">
        <f>IF(BI$9&gt;0, IF(OR(BI206="",BI206="-"), 0, BI206*$AT206), BH206*$AJ206)</f>
        <v>0</v>
      </c>
      <c r="BK206" s="587">
        <f>[1]COMMANDE!Y204</f>
        <v>0</v>
      </c>
      <c r="BL206" s="586" t="str">
        <f>_xlfn.IFS(AND($AI206=$AM206,$AI206&gt;0,$AM206&gt;0,BK206&gt;0), BK206,     AND(NOT($AI206=$AM206),$AI206&gt;0,$AM206&gt;0,BK206&gt;0), ($AM206*BK206)/$AI206,     AND($AI206=0,$AM206&gt;0,$AQ206&gt;0), IF(INDEX(BK$12:BK$263,MATCH($AQ206,$AP$12:$AP$263,0))&gt;0,($AM206*INDEX(BK$12:BK$263,MATCH($AQ206,$AP$12:$AP$263,0)))/INDEX($AI$12:$AI$263,MATCH($AQ206,$AP$12:$AP$263,0)), "-"),     TRUE, "0")</f>
        <v>0</v>
      </c>
      <c r="BM206" s="607">
        <f>IF(BL$9&gt;0, IF(OR(BL206="",BL206="-"), 0, BL206*$AT206), BK206*$AJ206)</f>
        <v>0</v>
      </c>
      <c r="BN206" s="589">
        <f>[1]COMMANDE!AA204</f>
        <v>0</v>
      </c>
      <c r="BO206" s="586" t="str">
        <f>_xlfn.IFS(AND($AI206=$AM206,$AI206&gt;0,$AM206&gt;0,BN206&gt;0), BN206,     AND(NOT($AI206=$AM206),$AI206&gt;0,$AM206&gt;0,BN206&gt;0), ($AM206*BN206)/$AI206,     AND($AI206=0,$AM206&gt;0,$AQ206&gt;0), IF(INDEX(BN$12:BN$263,MATCH($AQ206,$AP$12:$AP$263,0))&gt;0,($AM206*INDEX(BN$12:BN$263,MATCH($AQ206,$AP$12:$AP$263,0)))/INDEX($AI$12:$AI$263,MATCH($AQ206,$AP$12:$AP$263,0)), "-"),     TRUE, "0")</f>
        <v>0</v>
      </c>
      <c r="BP206" s="588">
        <f>IF(BO$9&gt;0, IF(OR(BO206="",BO206="-"), 0, BO206*$AT206), BN206*$AJ206)</f>
        <v>0</v>
      </c>
      <c r="BQ206" s="587">
        <f>[1]COMMANDE!AC204</f>
        <v>0</v>
      </c>
      <c r="BR206" s="586" t="str">
        <f>_xlfn.IFS(AND($AI206=$AM206,$AI206&gt;0,$AM206&gt;0,BQ206&gt;0), BQ206,     AND(NOT($AI206=$AM206),$AI206&gt;0,$AM206&gt;0,BQ206&gt;0), ($AM206*BQ206)/$AI206,     AND($AI206=0,$AM206&gt;0,$AQ206&gt;0), IF(INDEX(BQ$12:BQ$263,MATCH($AQ206,$AP$12:$AP$263,0))&gt;0,($AM206*INDEX(BQ$12:BQ$263,MATCH($AQ206,$AP$12:$AP$263,0)))/INDEX($AI$12:$AI$263,MATCH($AQ206,$AP$12:$AP$263,0)), "-"),     TRUE, "0")</f>
        <v>0</v>
      </c>
      <c r="BS206" s="607">
        <f>IF(BR$9&gt;0, IF(OR(BR206="",BR206="-"), 0, BR206*$AT206), BQ206*$AJ206)</f>
        <v>0</v>
      </c>
      <c r="BT206" s="589">
        <f>[1]COMMANDE!AE204</f>
        <v>0</v>
      </c>
      <c r="BU206" s="586" t="str">
        <f>_xlfn.IFS(AND($AI206=$AM206,$AI206&gt;0,$AM206&gt;0,BT206&gt;0), BT206,     AND(NOT($AI206=$AM206),$AI206&gt;0,$AM206&gt;0,BT206&gt;0), ($AM206*BT206)/$AI206,     AND($AI206=0,$AM206&gt;0,$AQ206&gt;0), IF(INDEX(BT$12:BT$263,MATCH($AQ206,$AP$12:$AP$263,0))&gt;0,($AM206*INDEX(BT$12:BT$263,MATCH($AQ206,$AP$12:$AP$263,0)))/INDEX($AI$12:$AI$263,MATCH($AQ206,$AP$12:$AP$263,0)), "-"),     TRUE, "0")</f>
        <v>0</v>
      </c>
      <c r="BV206" s="588">
        <f>IF(BU$9&gt;0, IF(OR(BU206="",BU206="-"), 0, BU206*$AT206), BT206*$AJ206)</f>
        <v>0</v>
      </c>
      <c r="BW206" s="587">
        <f>[1]COMMANDE!AG204</f>
        <v>0</v>
      </c>
      <c r="BX206" s="586" t="str">
        <f>_xlfn.IFS(AND($AI206=$AM206,$AI206&gt;0,$AM206&gt;0,BW206&gt;0), BW206,     AND(NOT($AI206=$AM206),$AI206&gt;0,$AM206&gt;0,BW206&gt;0), ($AM206*BW206)/$AI206,     AND($AI206=0,$AM206&gt;0,$AQ206&gt;0), IF(INDEX(BW$12:BW$263,MATCH($AQ206,$AP$12:$AP$263,0))&gt;0,($AM206*INDEX(BW$12:BW$263,MATCH($AQ206,$AP$12:$AP$263,0)))/INDEX($AI$12:$AI$263,MATCH($AQ206,$AP$12:$AP$263,0)), "-"),     TRUE, "0")</f>
        <v>0</v>
      </c>
      <c r="BY206" s="607">
        <f>IF(BX$9&gt;0, IF(OR(BX206="",BX206="-"), 0, BX206*$AT206), BW206*$AJ206)</f>
        <v>0</v>
      </c>
      <c r="BZ206" s="589">
        <f>[1]COMMANDE!AI204</f>
        <v>0</v>
      </c>
      <c r="CA206" s="586" t="str">
        <f>_xlfn.IFS(AND($AI206=$AM206,$AI206&gt;0,$AM206&gt;0,BZ206&gt;0), BZ206,     AND(NOT($AI206=$AM206),$AI206&gt;0,$AM206&gt;0,BZ206&gt;0), ($AM206*BZ206)/$AI206,     AND($AI206=0,$AM206&gt;0,$AQ206&gt;0), IF(INDEX(BZ$12:BZ$263,MATCH($AQ206,$AP$12:$AP$263,0))&gt;0,($AM206*INDEX(BZ$12:BZ$263,MATCH($AQ206,$AP$12:$AP$263,0)))/INDEX($AI$12:$AI$263,MATCH($AQ206,$AP$12:$AP$263,0)), "-"),     TRUE, "0")</f>
        <v>0</v>
      </c>
      <c r="CB206" s="588">
        <f>IF(CA$9&gt;0, IF(OR(CA206="",CA206="-"), 0, CA206*$AT206), BZ206*$AJ206)</f>
        <v>0</v>
      </c>
      <c r="CC206" s="587">
        <f>[1]COMMANDE!AK204</f>
        <v>0</v>
      </c>
      <c r="CD206" s="586" t="str">
        <f>_xlfn.IFS(AND($AI206=$AM206,$AI206&gt;0,$AM206&gt;0,CC206&gt;0), CC206,     AND(NOT($AI206=$AM206),$AI206&gt;0,$AM206&gt;0,CC206&gt;0), ($AM206*CC206)/$AI206,     AND($AI206=0,$AM206&gt;0,$AQ206&gt;0), IF(INDEX(CC$12:CC$263,MATCH($AQ206,$AP$12:$AP$263,0))&gt;0,($AM206*INDEX(CC$12:CC$263,MATCH($AQ206,$AP$12:$AP$263,0)))/INDEX($AI$12:$AI$263,MATCH($AQ206,$AP$12:$AP$263,0)), "-"),     TRUE, "0")</f>
        <v>0</v>
      </c>
      <c r="CE206" s="607">
        <f>IF(CD$9&gt;0, IF(OR(CD206="",CD206="-"), 0, CD206*$AT206), CC206*$AJ206)</f>
        <v>0</v>
      </c>
      <c r="CF206" s="589">
        <f>[1]COMMANDE!AM204</f>
        <v>0</v>
      </c>
      <c r="CG206" s="586" t="str">
        <f>_xlfn.IFS(AND($AI206=$AM206,$AI206&gt;0,$AM206&gt;0,CF206&gt;0), CF206,     AND(NOT($AI206=$AM206),$AI206&gt;0,$AM206&gt;0,CF206&gt;0), ($AM206*CF206)/$AI206,     AND($AI206=0,$AM206&gt;0,$AQ206&gt;0), IF(INDEX(CF$12:CF$263,MATCH($AQ206,$AP$12:$AP$263,0))&gt;0,($AM206*INDEX(CF$12:CF$263,MATCH($AQ206,$AP$12:$AP$263,0)))/INDEX($AI$12:$AI$263,MATCH($AQ206,$AP$12:$AP$263,0)), "-"),     TRUE, "0")</f>
        <v>0</v>
      </c>
      <c r="CH206" s="588">
        <f>IF(CG$9&gt;0, IF(OR(CG206="",CG206="-"), 0, CG206*$AT206), CF206*$AJ206)</f>
        <v>0</v>
      </c>
      <c r="CI206" s="587">
        <f>[1]COMMANDE!AO204</f>
        <v>0</v>
      </c>
      <c r="CJ206" s="586" t="str">
        <f>_xlfn.IFS(AND($AI206=$AM206,$AI206&gt;0,$AM206&gt;0,CI206&gt;0), CI206,     AND(NOT($AI206=$AM206),$AI206&gt;0,$AM206&gt;0,CI206&gt;0), ($AM206*CI206)/$AI206,     AND($AI206=0,$AM206&gt;0,$AQ206&gt;0), IF(INDEX(CI$12:CI$263,MATCH($AQ206,$AP$12:$AP$263,0))&gt;0,($AM206*INDEX(CI$12:CI$263,MATCH($AQ206,$AP$12:$AP$263,0)))/INDEX($AI$12:$AI$263,MATCH($AQ206,$AP$12:$AP$263,0)), "-"),     TRUE, "0")</f>
        <v>0</v>
      </c>
      <c r="CK206" s="607">
        <f>IF(CJ$9&gt;0, IF(OR(CJ206="",CJ206="-"), 0, CJ206*$AT206), CI206*$AJ206)</f>
        <v>0</v>
      </c>
      <c r="CL206" s="589">
        <f>[1]COMMANDE!AQ204</f>
        <v>0</v>
      </c>
      <c r="CM206" s="586" t="str">
        <f>_xlfn.IFS(AND($AI206=$AM206,$AI206&gt;0,$AM206&gt;0,CL206&gt;0), CL206,     AND(NOT($AI206=$AM206),$AI206&gt;0,$AM206&gt;0,CL206&gt;0), ($AM206*CL206)/$AI206,     AND($AI206=0,$AM206&gt;0,$AQ206&gt;0), IF(INDEX(CL$12:CL$263,MATCH($AQ206,$AP$12:$AP$263,0))&gt;0,($AM206*INDEX(CL$12:CL$263,MATCH($AQ206,$AP$12:$AP$263,0)))/INDEX($AI$12:$AI$263,MATCH($AQ206,$AP$12:$AP$263,0)), "-"),     TRUE, "0")</f>
        <v>0</v>
      </c>
      <c r="CN206" s="588">
        <f>IF(CM$9&gt;0, IF(OR(CM206="",CM206="-"), 0, CM206*$AT206), CL206*$AJ206)</f>
        <v>0</v>
      </c>
      <c r="CO206" s="587">
        <f>[1]COMMANDE!AS204</f>
        <v>0</v>
      </c>
      <c r="CP206" s="586" t="str">
        <f>_xlfn.IFS(AND($AI206=$AM206,$AI206&gt;0,$AM206&gt;0,CO206&gt;0), CO206,     AND(NOT($AI206=$AM206),$AI206&gt;0,$AM206&gt;0,CO206&gt;0), ($AM206*CO206)/$AI206,     AND($AI206=0,$AM206&gt;0,$AQ206&gt;0), IF(INDEX(CO$12:CO$263,MATCH($AQ206,$AP$12:$AP$263,0))&gt;0,($AM206*INDEX(CO$12:CO$263,MATCH($AQ206,$AP$12:$AP$263,0)))/INDEX($AI$12:$AI$263,MATCH($AQ206,$AP$12:$AP$263,0)), "-"),     TRUE, "0")</f>
        <v>0</v>
      </c>
      <c r="CQ206" s="607">
        <f>IF(CP$9&gt;0, IF(OR(CP206="",CP206="-"), 0, CP206*$AT206), CO206*$AJ206)</f>
        <v>0</v>
      </c>
      <c r="CR206" s="589">
        <f>[1]COMMANDE!AU204</f>
        <v>0</v>
      </c>
      <c r="CS206" s="586" t="str">
        <f>_xlfn.IFS(AND($AI206=$AM206,$AI206&gt;0,$AM206&gt;0,CR206&gt;0), CR206,     AND(NOT($AI206=$AM206),$AI206&gt;0,$AM206&gt;0,CR206&gt;0), ($AM206*CR206)/$AI206,     AND($AI206=0,$AM206&gt;0,$AQ206&gt;0), IF(INDEX(CR$12:CR$263,MATCH($AQ206,$AP$12:$AP$263,0))&gt;0,($AM206*INDEX(CR$12:CR$263,MATCH($AQ206,$AP$12:$AP$263,0)))/INDEX($AI$12:$AI$263,MATCH($AQ206,$AP$12:$AP$263,0)), "-"),     TRUE, "0")</f>
        <v>0</v>
      </c>
      <c r="CT206" s="588">
        <f>IF(CS$9&gt;0, IF(OR(CS206="",CS206="-"), 0, CS206*$AT206), CR206*$AJ206)</f>
        <v>0</v>
      </c>
      <c r="CU206" s="587">
        <f>[1]COMMANDE!AW204</f>
        <v>0</v>
      </c>
      <c r="CV206" s="586" t="str">
        <f>_xlfn.IFS(AND($AI206=$AM206,$AI206&gt;0,$AM206&gt;0,CU206&gt;0), CU206,     AND(NOT($AI206=$AM206),$AI206&gt;0,$AM206&gt;0,CU206&gt;0), ($AM206*CU206)/$AI206,     AND($AI206=0,$AM206&gt;0,$AQ206&gt;0), IF(INDEX(CU$12:CU$263,MATCH($AQ206,$AP$12:$AP$263,0))&gt;0,($AM206*INDEX(CU$12:CU$263,MATCH($AQ206,$AP$12:$AP$263,0)))/INDEX($AI$12:$AI$263,MATCH($AQ206,$AP$12:$AP$263,0)), "-"),     TRUE, "0")</f>
        <v>0</v>
      </c>
      <c r="CW206" s="607">
        <f>IF(CV$9&gt;0, IF(OR(CV206="",CV206="-"), 0, CV206*$AT206), CU206*$AJ206)</f>
        <v>0</v>
      </c>
      <c r="CX206" s="589">
        <f>[1]COMMANDE!AY204</f>
        <v>0</v>
      </c>
      <c r="CY206" s="586" t="str">
        <f>_xlfn.IFS(AND($AI206=$AM206,$AI206&gt;0,$AM206&gt;0,CX206&gt;0), CX206,     AND(NOT($AI206=$AM206),$AI206&gt;0,$AM206&gt;0,CX206&gt;0), ($AM206*CX206)/$AI206,     AND($AI206=0,$AM206&gt;0,$AQ206&gt;0), IF(INDEX(CX$12:CX$263,MATCH($AQ206,$AP$12:$AP$263,0))&gt;0,($AM206*INDEX(CX$12:CX$263,MATCH($AQ206,$AP$12:$AP$263,0)))/INDEX($AI$12:$AI$263,MATCH($AQ206,$AP$12:$AP$263,0)), "-"),     TRUE, "0")</f>
        <v>0</v>
      </c>
      <c r="CZ206" s="588">
        <f>IF(CY$9&gt;0, IF(OR(CY206="",CY206="-"), 0, CY206*$AT206), CX206*$AJ206)</f>
        <v>0</v>
      </c>
      <c r="DA206" s="587">
        <f>[1]COMMANDE!BA204</f>
        <v>0</v>
      </c>
      <c r="DB206" s="586" t="str">
        <f>_xlfn.IFS(AND($AI206=$AM206,$AI206&gt;0,$AM206&gt;0,DA206&gt;0), DA206,     AND(NOT($AI206=$AM206),$AI206&gt;0,$AM206&gt;0,DA206&gt;0), ($AM206*DA206)/$AI206,     AND($AI206=0,$AM206&gt;0,$AQ206&gt;0), IF(INDEX(DA$12:DA$263,MATCH($AQ206,$AP$12:$AP$263,0))&gt;0,($AM206*INDEX(DA$12:DA$263,MATCH($AQ206,$AP$12:$AP$263,0)))/INDEX($AI$12:$AI$263,MATCH($AQ206,$AP$12:$AP$263,0)), "-"),     TRUE, "0")</f>
        <v>0</v>
      </c>
      <c r="DC206" s="606">
        <f>IF(DB$9&gt;0, IF(OR(DB206="",DB206="-"), 0, DB206*$AT206), DA206*$AJ206)</f>
        <v>0</v>
      </c>
      <c r="DD206" s="584"/>
      <c r="DE206" s="583"/>
    </row>
    <row r="207" spans="1:109" ht="39.950000000000003" customHeight="1">
      <c r="A207" s="604">
        <f>IF(OR($AV207&gt;0, $AX207&gt;0), 1, 0)</f>
        <v>1</v>
      </c>
      <c r="B207" s="604">
        <f>IF(OR($AY207&gt;0, $BA207&gt;0), 1, 0)</f>
        <v>0</v>
      </c>
      <c r="C207" s="604">
        <f>IF(OR($BB207&gt;0, $BD207&gt;0), 1, 0)</f>
        <v>0</v>
      </c>
      <c r="D207" s="604">
        <f>IF(OR($BE207&gt;0, $BG207&gt;0), 1, 0)</f>
        <v>0</v>
      </c>
      <c r="E207" s="604">
        <f>IF(OR($BH207&gt;0, $BJ207&gt;0), 1, 0)</f>
        <v>0</v>
      </c>
      <c r="F207" s="604">
        <f>IF(OR($BK207&gt;0, $BM207&gt;0), 1, 0)</f>
        <v>0</v>
      </c>
      <c r="G207" s="604">
        <f>IF(OR($BN207&gt;0, $BP207&gt;0), 1, 0)</f>
        <v>0</v>
      </c>
      <c r="H207" s="604">
        <f>IF(OR($BQ207&gt;0, $BS207&gt;0), 1, 0)</f>
        <v>0</v>
      </c>
      <c r="I207" s="604">
        <f>IF(OR($BT207&gt;0, $BV207&gt;0), 1, 0)</f>
        <v>0</v>
      </c>
      <c r="J207" s="604">
        <f>IF(OR($BW207&gt;0, $BY207&gt;0), 1, 0)</f>
        <v>0</v>
      </c>
      <c r="K207" s="604">
        <f>IF(OR($BZ207&gt;0, $CB207&gt;0), 1, 0)</f>
        <v>0</v>
      </c>
      <c r="L207" s="604">
        <f>IF(OR($CC207&gt;0, $CE207&gt;0), 1, 0)</f>
        <v>0</v>
      </c>
      <c r="M207" s="604">
        <f>IF(OR($CF207&gt;0, $CH207&gt;0), 1, 0)</f>
        <v>0</v>
      </c>
      <c r="N207" s="604">
        <f>IF(OR($CI207&gt;0, $CK207&gt;0), 1, 0)</f>
        <v>0</v>
      </c>
      <c r="O207" s="604">
        <f>IF(OR($CL207&gt;0, $CN207&gt;0), 1, 0)</f>
        <v>0</v>
      </c>
      <c r="P207" s="604">
        <f>IF(OR($CO207&gt;0, $CQ207&gt;0), 1, 0)</f>
        <v>0</v>
      </c>
      <c r="Q207" s="604">
        <f>IF(OR($CR207&gt;0, $CT207&gt;0), 1, 0)</f>
        <v>0</v>
      </c>
      <c r="R207" s="604">
        <f>IF(OR($CU207&gt;0, $CW207&gt;0), 1, 0)</f>
        <v>0</v>
      </c>
      <c r="S207" s="604">
        <f>IF(OR($CX207&gt;0, $CZ207&gt;0), 1, 0)</f>
        <v>0</v>
      </c>
      <c r="T207" s="604">
        <f>IF(OR($DA207&gt;0, $DC207&gt;0), 1, 0)</f>
        <v>0</v>
      </c>
      <c r="U207" s="603">
        <f>IF(OR($AI207&gt;0,$AM207&gt;0,$AS207&gt;0), 1, 0)</f>
        <v>1</v>
      </c>
      <c r="V207" s="602">
        <f>[1]BDD!A197</f>
        <v>1576</v>
      </c>
      <c r="W207" s="601" t="str">
        <f>[1]BDD!B197</f>
        <v>Patate douce BIO (grand)</v>
      </c>
      <c r="X207" s="600" t="str">
        <f>IF([1]BDD!F197=0, "", [1]BDD!F197)</f>
        <v>❤️</v>
      </c>
      <c r="Y207" s="542">
        <f>ROUND([1]BDD!G197+FDP_CMD_KG, 2)</f>
        <v>2.91</v>
      </c>
      <c r="Z207" s="542">
        <f>ROUND([1]BDD!G197+FDP_FACT_KG, 2)</f>
        <v>2.91</v>
      </c>
      <c r="AA207" s="543" t="str">
        <f>[1]BDD!H197</f>
        <v>kg</v>
      </c>
      <c r="AB207" s="544">
        <f>IF(NOT(ISBLANK([1]BDD!I197)), ROUND(SUM(([1]BDD!G197*reduc1),FDP_CMD_KG), 2), "")</f>
        <v>2.71</v>
      </c>
      <c r="AC207" s="544">
        <f>IF(NOT(ISBLANK([1]BDD!J197)), ROUND(SUM(([1]BDD!G197*reduc2),FDP_CMD_KG), 2), "")</f>
        <v>2.5099999999999998</v>
      </c>
      <c r="AD207" s="544">
        <f>IF(NOT(ISBLANK([1]BDD!K197)), ROUND(SUM(([1]BDD!G197*reduc3),FDP_CMD_KG), 2), "")</f>
        <v>2.2999999999999998</v>
      </c>
      <c r="AE207" s="544">
        <f>IF(NOT(ISBLANK([1]BDD!I197)), ROUND(SUM(([1]BDD!G197*reduc1),FDP_FACT_KG), 2), "")</f>
        <v>2.7</v>
      </c>
      <c r="AF207" s="544">
        <f>IF(NOT(ISBLANK([1]BDD!J197)), ROUND(SUM(([1]BDD!G197*reduc2),FDP_FACT_KG), 2), "")</f>
        <v>2.5</v>
      </c>
      <c r="AG207" s="544">
        <f>IF(NOT(ISBLANK([1]BDD!K197)), ROUND(SUM(([1]BDD!G197*reduc3),FDP_FACT_KG), 2), "")</f>
        <v>2.29</v>
      </c>
      <c r="AH207" s="599" t="str">
        <f>[1]BDD!C197</f>
        <v>Malaga</v>
      </c>
      <c r="AI207" s="598">
        <f>SUM(AV207,AY207,BB207,BE207,BH207,BK207,BN207,BQ207,BT207,BW207,BZ207,CC207,CF207,CI207,CL207,CO207,CR207,CU207,CX207,DA207)</f>
        <v>5</v>
      </c>
      <c r="AJ207" s="545">
        <f>_xlfn.IFS($AD207&lt;&gt;"", $AD207,    $AC207&lt;&gt;"", $AC207,    $AB207&lt;&gt;"", $AB207,    TRUE, $Y207)</f>
        <v>2.2999999999999998</v>
      </c>
      <c r="AK207" s="592">
        <f>$AI207*$AJ207</f>
        <v>11.5</v>
      </c>
      <c r="AL207" s="594"/>
      <c r="AM207" s="597">
        <v>5.25</v>
      </c>
      <c r="AN207" s="545">
        <f>_xlfn.IFS(AND(AM207&gt;=60,$AG207&lt;&gt;""), $AG207,    AND(AM207&gt;=30,$AF207&lt;&gt;""), $AF207,    AND(AM207&gt;=10,$AE207&lt;&gt;""), $AE207,    TRUE, $Z207)</f>
        <v>2.91</v>
      </c>
      <c r="AO207" s="596">
        <f>AM207*AN207</f>
        <v>15.2775</v>
      </c>
      <c r="AP207" s="595"/>
      <c r="AQ207" s="595"/>
      <c r="AR207" s="594"/>
      <c r="AS207" s="593">
        <f>SUM(AW207,AZ207,BC207,BF207,BI207,BL207,BO207,BR207,BU207,BX207,CA207,CD207,CG207,CJ207,CM207,CP207,CS207,CV207,CY207,DB207)</f>
        <v>5.25</v>
      </c>
      <c r="AT207" s="545">
        <f>_xlfn.IFS(AND(AS207&gt;=60,$AG207&lt;&gt;""), $AG207,    AND(AS207&gt;=30,$AF207&lt;&gt;""), $AF207,    AND(AS207&gt;=10,$AE207&lt;&gt;""), $AE207,    TRUE, $Z207)</f>
        <v>2.91</v>
      </c>
      <c r="AU207" s="592">
        <f>$AS207*$AT207</f>
        <v>15.2775</v>
      </c>
      <c r="AV207" s="591">
        <f>[1]COMMANDE!O205</f>
        <v>5</v>
      </c>
      <c r="AW207" s="586">
        <f>_xlfn.IFS(AND($AI207=$AM207,$AI207&gt;0,$AM207&gt;0,AV207&gt;0), AV207,     AND(NOT($AI207=$AM207),$AI207&gt;0,$AM207&gt;0,AV207&gt;0), ($AM207*AV207)/$AI207,     AND($AI207=0,$AM207&gt;0,$AQ207&gt;0), IF(INDEX(AV$12:AV$263,MATCH($AQ207,$AP$12:$AP$263,0))&gt;0,($AM207*INDEX(AV$12:AV$263,MATCH($AQ207,$AP$12:$AP$263,0)))/INDEX($AI$12:$AI$263,MATCH($AQ207,$AP$12:$AP$263,0)), "-"),     TRUE, "0")</f>
        <v>5.25</v>
      </c>
      <c r="AX207" s="588">
        <f>IF(AW$9&gt;0, IF(OR(AW207="",AW207="-"), 0, AW207*$AT207), AV207*$AJ207)</f>
        <v>15.2775</v>
      </c>
      <c r="AY207" s="587">
        <f>[1]COMMANDE!Q205</f>
        <v>0</v>
      </c>
      <c r="AZ207" s="586" t="str">
        <f>_xlfn.IFS(AND($AI207=$AM207,$AI207&gt;0,$AM207&gt;0,AY207&gt;0), AY207,     AND(NOT($AI207=$AM207),$AI207&gt;0,$AM207&gt;0,AY207&gt;0), ($AM207*AY207)/$AI207,     AND($AI207=0,$AM207&gt;0,$AQ207&gt;0), IF(INDEX(AY$12:AY$263,MATCH($AQ207,$AP$12:$AP$263,0))&gt;0,($AM207*INDEX(AY$12:AY$263,MATCH($AQ207,$AP$12:$AP$263,0)))/INDEX($AI$12:$AI$263,MATCH($AQ207,$AP$12:$AP$263,0)), "-"),     TRUE, "0")</f>
        <v>0</v>
      </c>
      <c r="BA207" s="607">
        <f>IF(AZ$9&gt;0, IF(OR(AZ207="",AZ207="-"), 0, AZ207*$AT207), AY207*$AJ207)</f>
        <v>0</v>
      </c>
      <c r="BB207" s="589">
        <f>[1]COMMANDE!S205</f>
        <v>0</v>
      </c>
      <c r="BC207" s="586" t="str">
        <f>_xlfn.IFS(AND($AI207=$AM207,$AI207&gt;0,$AM207&gt;0,BB207&gt;0), BB207,     AND(NOT($AI207=$AM207),$AI207&gt;0,$AM207&gt;0,BB207&gt;0), ($AM207*BB207)/$AI207,     AND($AI207=0,$AM207&gt;0,$AQ207&gt;0), IF(INDEX(BB$12:BB$263,MATCH($AQ207,$AP$12:$AP$263,0))&gt;0,($AM207*INDEX(BB$12:BB$263,MATCH($AQ207,$AP$12:$AP$263,0)))/INDEX($AI$12:$AI$263,MATCH($AQ207,$AP$12:$AP$263,0)), "-"),     TRUE, "0")</f>
        <v>0</v>
      </c>
      <c r="BD207" s="588">
        <f>IF(BC$9&gt;0, IF(OR(BC207="",BC207="-"), 0, BC207*$AT207), BB207*$AJ207)</f>
        <v>0</v>
      </c>
      <c r="BE207" s="587">
        <f>[1]COMMANDE!U205</f>
        <v>0</v>
      </c>
      <c r="BF207" s="586" t="str">
        <f>_xlfn.IFS(AND($AI207=$AM207,$AI207&gt;0,$AM207&gt;0,BE207&gt;0), BE207,     AND(NOT($AI207=$AM207),$AI207&gt;0,$AM207&gt;0,BE207&gt;0), ($AM207*BE207)/$AI207,     AND($AI207=0,$AM207&gt;0,$AQ207&gt;0), IF(INDEX(BE$12:BE$263,MATCH($AQ207,$AP$12:$AP$263,0))&gt;0,($AM207*INDEX(BE$12:BE$263,MATCH($AQ207,$AP$12:$AP$263,0)))/INDEX($AI$12:$AI$263,MATCH($AQ207,$AP$12:$AP$263,0)), "-"),     TRUE, "0")</f>
        <v>0</v>
      </c>
      <c r="BG207" s="607">
        <f>IF(BF$9&gt;0, IF(OR(BF207="",BF207="-"), 0, BF207*$AT207), BE207*$AJ207)</f>
        <v>0</v>
      </c>
      <c r="BH207" s="589">
        <f>[1]COMMANDE!W205</f>
        <v>0</v>
      </c>
      <c r="BI207" s="586" t="str">
        <f>_xlfn.IFS(AND($AI207=$AM207,$AI207&gt;0,$AM207&gt;0,BH207&gt;0), BH207,     AND(NOT($AI207=$AM207),$AI207&gt;0,$AM207&gt;0,BH207&gt;0), ($AM207*BH207)/$AI207,     AND($AI207=0,$AM207&gt;0,$AQ207&gt;0), IF(INDEX(BH$12:BH$263,MATCH($AQ207,$AP$12:$AP$263,0))&gt;0,($AM207*INDEX(BH$12:BH$263,MATCH($AQ207,$AP$12:$AP$263,0)))/INDEX($AI$12:$AI$263,MATCH($AQ207,$AP$12:$AP$263,0)), "-"),     TRUE, "0")</f>
        <v>0</v>
      </c>
      <c r="BJ207" s="588">
        <f>IF(BI$9&gt;0, IF(OR(BI207="",BI207="-"), 0, BI207*$AT207), BH207*$AJ207)</f>
        <v>0</v>
      </c>
      <c r="BK207" s="587">
        <f>[1]COMMANDE!Y205</f>
        <v>0</v>
      </c>
      <c r="BL207" s="586" t="str">
        <f>_xlfn.IFS(AND($AI207=$AM207,$AI207&gt;0,$AM207&gt;0,BK207&gt;0), BK207,     AND(NOT($AI207=$AM207),$AI207&gt;0,$AM207&gt;0,BK207&gt;0), ($AM207*BK207)/$AI207,     AND($AI207=0,$AM207&gt;0,$AQ207&gt;0), IF(INDEX(BK$12:BK$263,MATCH($AQ207,$AP$12:$AP$263,0))&gt;0,($AM207*INDEX(BK$12:BK$263,MATCH($AQ207,$AP$12:$AP$263,0)))/INDEX($AI$12:$AI$263,MATCH($AQ207,$AP$12:$AP$263,0)), "-"),     TRUE, "0")</f>
        <v>0</v>
      </c>
      <c r="BM207" s="607">
        <f>IF(BL$9&gt;0, IF(OR(BL207="",BL207="-"), 0, BL207*$AT207), BK207*$AJ207)</f>
        <v>0</v>
      </c>
      <c r="BN207" s="589">
        <f>[1]COMMANDE!AA205</f>
        <v>0</v>
      </c>
      <c r="BO207" s="586" t="str">
        <f>_xlfn.IFS(AND($AI207=$AM207,$AI207&gt;0,$AM207&gt;0,BN207&gt;0), BN207,     AND(NOT($AI207=$AM207),$AI207&gt;0,$AM207&gt;0,BN207&gt;0), ($AM207*BN207)/$AI207,     AND($AI207=0,$AM207&gt;0,$AQ207&gt;0), IF(INDEX(BN$12:BN$263,MATCH($AQ207,$AP$12:$AP$263,0))&gt;0,($AM207*INDEX(BN$12:BN$263,MATCH($AQ207,$AP$12:$AP$263,0)))/INDEX($AI$12:$AI$263,MATCH($AQ207,$AP$12:$AP$263,0)), "-"),     TRUE, "0")</f>
        <v>0</v>
      </c>
      <c r="BP207" s="588">
        <f>IF(BO$9&gt;0, IF(OR(BO207="",BO207="-"), 0, BO207*$AT207), BN207*$AJ207)</f>
        <v>0</v>
      </c>
      <c r="BQ207" s="587">
        <f>[1]COMMANDE!AC205</f>
        <v>0</v>
      </c>
      <c r="BR207" s="586" t="str">
        <f>_xlfn.IFS(AND($AI207=$AM207,$AI207&gt;0,$AM207&gt;0,BQ207&gt;0), BQ207,     AND(NOT($AI207=$AM207),$AI207&gt;0,$AM207&gt;0,BQ207&gt;0), ($AM207*BQ207)/$AI207,     AND($AI207=0,$AM207&gt;0,$AQ207&gt;0), IF(INDEX(BQ$12:BQ$263,MATCH($AQ207,$AP$12:$AP$263,0))&gt;0,($AM207*INDEX(BQ$12:BQ$263,MATCH($AQ207,$AP$12:$AP$263,0)))/INDEX($AI$12:$AI$263,MATCH($AQ207,$AP$12:$AP$263,0)), "-"),     TRUE, "0")</f>
        <v>0</v>
      </c>
      <c r="BS207" s="607">
        <f>IF(BR$9&gt;0, IF(OR(BR207="",BR207="-"), 0, BR207*$AT207), BQ207*$AJ207)</f>
        <v>0</v>
      </c>
      <c r="BT207" s="589">
        <f>[1]COMMANDE!AE205</f>
        <v>0</v>
      </c>
      <c r="BU207" s="586" t="str">
        <f>_xlfn.IFS(AND($AI207=$AM207,$AI207&gt;0,$AM207&gt;0,BT207&gt;0), BT207,     AND(NOT($AI207=$AM207),$AI207&gt;0,$AM207&gt;0,BT207&gt;0), ($AM207*BT207)/$AI207,     AND($AI207=0,$AM207&gt;0,$AQ207&gt;0), IF(INDEX(BT$12:BT$263,MATCH($AQ207,$AP$12:$AP$263,0))&gt;0,($AM207*INDEX(BT$12:BT$263,MATCH($AQ207,$AP$12:$AP$263,0)))/INDEX($AI$12:$AI$263,MATCH($AQ207,$AP$12:$AP$263,0)), "-"),     TRUE, "0")</f>
        <v>0</v>
      </c>
      <c r="BV207" s="588">
        <f>IF(BU$9&gt;0, IF(OR(BU207="",BU207="-"), 0, BU207*$AT207), BT207*$AJ207)</f>
        <v>0</v>
      </c>
      <c r="BW207" s="587">
        <f>[1]COMMANDE!AG205</f>
        <v>0</v>
      </c>
      <c r="BX207" s="586" t="str">
        <f>_xlfn.IFS(AND($AI207=$AM207,$AI207&gt;0,$AM207&gt;0,BW207&gt;0), BW207,     AND(NOT($AI207=$AM207),$AI207&gt;0,$AM207&gt;0,BW207&gt;0), ($AM207*BW207)/$AI207,     AND($AI207=0,$AM207&gt;0,$AQ207&gt;0), IF(INDEX(BW$12:BW$263,MATCH($AQ207,$AP$12:$AP$263,0))&gt;0,($AM207*INDEX(BW$12:BW$263,MATCH($AQ207,$AP$12:$AP$263,0)))/INDEX($AI$12:$AI$263,MATCH($AQ207,$AP$12:$AP$263,0)), "-"),     TRUE, "0")</f>
        <v>0</v>
      </c>
      <c r="BY207" s="607">
        <f>IF(BX$9&gt;0, IF(OR(BX207="",BX207="-"), 0, BX207*$AT207), BW207*$AJ207)</f>
        <v>0</v>
      </c>
      <c r="BZ207" s="589">
        <f>[1]COMMANDE!AI205</f>
        <v>0</v>
      </c>
      <c r="CA207" s="586" t="str">
        <f>_xlfn.IFS(AND($AI207=$AM207,$AI207&gt;0,$AM207&gt;0,BZ207&gt;0), BZ207,     AND(NOT($AI207=$AM207),$AI207&gt;0,$AM207&gt;0,BZ207&gt;0), ($AM207*BZ207)/$AI207,     AND($AI207=0,$AM207&gt;0,$AQ207&gt;0), IF(INDEX(BZ$12:BZ$263,MATCH($AQ207,$AP$12:$AP$263,0))&gt;0,($AM207*INDEX(BZ$12:BZ$263,MATCH($AQ207,$AP$12:$AP$263,0)))/INDEX($AI$12:$AI$263,MATCH($AQ207,$AP$12:$AP$263,0)), "-"),     TRUE, "0")</f>
        <v>0</v>
      </c>
      <c r="CB207" s="588">
        <f>IF(CA$9&gt;0, IF(OR(CA207="",CA207="-"), 0, CA207*$AT207), BZ207*$AJ207)</f>
        <v>0</v>
      </c>
      <c r="CC207" s="587">
        <f>[1]COMMANDE!AK205</f>
        <v>0</v>
      </c>
      <c r="CD207" s="586" t="str">
        <f>_xlfn.IFS(AND($AI207=$AM207,$AI207&gt;0,$AM207&gt;0,CC207&gt;0), CC207,     AND(NOT($AI207=$AM207),$AI207&gt;0,$AM207&gt;0,CC207&gt;0), ($AM207*CC207)/$AI207,     AND($AI207=0,$AM207&gt;0,$AQ207&gt;0), IF(INDEX(CC$12:CC$263,MATCH($AQ207,$AP$12:$AP$263,0))&gt;0,($AM207*INDEX(CC$12:CC$263,MATCH($AQ207,$AP$12:$AP$263,0)))/INDEX($AI$12:$AI$263,MATCH($AQ207,$AP$12:$AP$263,0)), "-"),     TRUE, "0")</f>
        <v>0</v>
      </c>
      <c r="CE207" s="607">
        <f>IF(CD$9&gt;0, IF(OR(CD207="",CD207="-"), 0, CD207*$AT207), CC207*$AJ207)</f>
        <v>0</v>
      </c>
      <c r="CF207" s="589">
        <f>[1]COMMANDE!AM205</f>
        <v>0</v>
      </c>
      <c r="CG207" s="586" t="str">
        <f>_xlfn.IFS(AND($AI207=$AM207,$AI207&gt;0,$AM207&gt;0,CF207&gt;0), CF207,     AND(NOT($AI207=$AM207),$AI207&gt;0,$AM207&gt;0,CF207&gt;0), ($AM207*CF207)/$AI207,     AND($AI207=0,$AM207&gt;0,$AQ207&gt;0), IF(INDEX(CF$12:CF$263,MATCH($AQ207,$AP$12:$AP$263,0))&gt;0,($AM207*INDEX(CF$12:CF$263,MATCH($AQ207,$AP$12:$AP$263,0)))/INDEX($AI$12:$AI$263,MATCH($AQ207,$AP$12:$AP$263,0)), "-"),     TRUE, "0")</f>
        <v>0</v>
      </c>
      <c r="CH207" s="588">
        <f>IF(CG$9&gt;0, IF(OR(CG207="",CG207="-"), 0, CG207*$AT207), CF207*$AJ207)</f>
        <v>0</v>
      </c>
      <c r="CI207" s="587">
        <f>[1]COMMANDE!AO205</f>
        <v>0</v>
      </c>
      <c r="CJ207" s="586" t="str">
        <f>_xlfn.IFS(AND($AI207=$AM207,$AI207&gt;0,$AM207&gt;0,CI207&gt;0), CI207,     AND(NOT($AI207=$AM207),$AI207&gt;0,$AM207&gt;0,CI207&gt;0), ($AM207*CI207)/$AI207,     AND($AI207=0,$AM207&gt;0,$AQ207&gt;0), IF(INDEX(CI$12:CI$263,MATCH($AQ207,$AP$12:$AP$263,0))&gt;0,($AM207*INDEX(CI$12:CI$263,MATCH($AQ207,$AP$12:$AP$263,0)))/INDEX($AI$12:$AI$263,MATCH($AQ207,$AP$12:$AP$263,0)), "-"),     TRUE, "0")</f>
        <v>0</v>
      </c>
      <c r="CK207" s="607">
        <f>IF(CJ$9&gt;0, IF(OR(CJ207="",CJ207="-"), 0, CJ207*$AT207), CI207*$AJ207)</f>
        <v>0</v>
      </c>
      <c r="CL207" s="589">
        <f>[1]COMMANDE!AQ205</f>
        <v>0</v>
      </c>
      <c r="CM207" s="586" t="str">
        <f>_xlfn.IFS(AND($AI207=$AM207,$AI207&gt;0,$AM207&gt;0,CL207&gt;0), CL207,     AND(NOT($AI207=$AM207),$AI207&gt;0,$AM207&gt;0,CL207&gt;0), ($AM207*CL207)/$AI207,     AND($AI207=0,$AM207&gt;0,$AQ207&gt;0), IF(INDEX(CL$12:CL$263,MATCH($AQ207,$AP$12:$AP$263,0))&gt;0,($AM207*INDEX(CL$12:CL$263,MATCH($AQ207,$AP$12:$AP$263,0)))/INDEX($AI$12:$AI$263,MATCH($AQ207,$AP$12:$AP$263,0)), "-"),     TRUE, "0")</f>
        <v>0</v>
      </c>
      <c r="CN207" s="588">
        <f>IF(CM$9&gt;0, IF(OR(CM207="",CM207="-"), 0, CM207*$AT207), CL207*$AJ207)</f>
        <v>0</v>
      </c>
      <c r="CO207" s="587">
        <f>[1]COMMANDE!AS205</f>
        <v>0</v>
      </c>
      <c r="CP207" s="586" t="str">
        <f>_xlfn.IFS(AND($AI207=$AM207,$AI207&gt;0,$AM207&gt;0,CO207&gt;0), CO207,     AND(NOT($AI207=$AM207),$AI207&gt;0,$AM207&gt;0,CO207&gt;0), ($AM207*CO207)/$AI207,     AND($AI207=0,$AM207&gt;0,$AQ207&gt;0), IF(INDEX(CO$12:CO$263,MATCH($AQ207,$AP$12:$AP$263,0))&gt;0,($AM207*INDEX(CO$12:CO$263,MATCH($AQ207,$AP$12:$AP$263,0)))/INDEX($AI$12:$AI$263,MATCH($AQ207,$AP$12:$AP$263,0)), "-"),     TRUE, "0")</f>
        <v>0</v>
      </c>
      <c r="CQ207" s="607">
        <f>IF(CP$9&gt;0, IF(OR(CP207="",CP207="-"), 0, CP207*$AT207), CO207*$AJ207)</f>
        <v>0</v>
      </c>
      <c r="CR207" s="589">
        <f>[1]COMMANDE!AU205</f>
        <v>0</v>
      </c>
      <c r="CS207" s="586" t="str">
        <f>_xlfn.IFS(AND($AI207=$AM207,$AI207&gt;0,$AM207&gt;0,CR207&gt;0), CR207,     AND(NOT($AI207=$AM207),$AI207&gt;0,$AM207&gt;0,CR207&gt;0), ($AM207*CR207)/$AI207,     AND($AI207=0,$AM207&gt;0,$AQ207&gt;0), IF(INDEX(CR$12:CR$263,MATCH($AQ207,$AP$12:$AP$263,0))&gt;0,($AM207*INDEX(CR$12:CR$263,MATCH($AQ207,$AP$12:$AP$263,0)))/INDEX($AI$12:$AI$263,MATCH($AQ207,$AP$12:$AP$263,0)), "-"),     TRUE, "0")</f>
        <v>0</v>
      </c>
      <c r="CT207" s="588">
        <f>IF(CS$9&gt;0, IF(OR(CS207="",CS207="-"), 0, CS207*$AT207), CR207*$AJ207)</f>
        <v>0</v>
      </c>
      <c r="CU207" s="587">
        <f>[1]COMMANDE!AW205</f>
        <v>0</v>
      </c>
      <c r="CV207" s="586" t="str">
        <f>_xlfn.IFS(AND($AI207=$AM207,$AI207&gt;0,$AM207&gt;0,CU207&gt;0), CU207,     AND(NOT($AI207=$AM207),$AI207&gt;0,$AM207&gt;0,CU207&gt;0), ($AM207*CU207)/$AI207,     AND($AI207=0,$AM207&gt;0,$AQ207&gt;0), IF(INDEX(CU$12:CU$263,MATCH($AQ207,$AP$12:$AP$263,0))&gt;0,($AM207*INDEX(CU$12:CU$263,MATCH($AQ207,$AP$12:$AP$263,0)))/INDEX($AI$12:$AI$263,MATCH($AQ207,$AP$12:$AP$263,0)), "-"),     TRUE, "0")</f>
        <v>0</v>
      </c>
      <c r="CW207" s="607">
        <f>IF(CV$9&gt;0, IF(OR(CV207="",CV207="-"), 0, CV207*$AT207), CU207*$AJ207)</f>
        <v>0</v>
      </c>
      <c r="CX207" s="589">
        <f>[1]COMMANDE!AY205</f>
        <v>0</v>
      </c>
      <c r="CY207" s="586" t="str">
        <f>_xlfn.IFS(AND($AI207=$AM207,$AI207&gt;0,$AM207&gt;0,CX207&gt;0), CX207,     AND(NOT($AI207=$AM207),$AI207&gt;0,$AM207&gt;0,CX207&gt;0), ($AM207*CX207)/$AI207,     AND($AI207=0,$AM207&gt;0,$AQ207&gt;0), IF(INDEX(CX$12:CX$263,MATCH($AQ207,$AP$12:$AP$263,0))&gt;0,($AM207*INDEX(CX$12:CX$263,MATCH($AQ207,$AP$12:$AP$263,0)))/INDEX($AI$12:$AI$263,MATCH($AQ207,$AP$12:$AP$263,0)), "-"),     TRUE, "0")</f>
        <v>0</v>
      </c>
      <c r="CZ207" s="588">
        <f>IF(CY$9&gt;0, IF(OR(CY207="",CY207="-"), 0, CY207*$AT207), CX207*$AJ207)</f>
        <v>0</v>
      </c>
      <c r="DA207" s="587">
        <f>[1]COMMANDE!BA205</f>
        <v>0</v>
      </c>
      <c r="DB207" s="586" t="str">
        <f>_xlfn.IFS(AND($AI207=$AM207,$AI207&gt;0,$AM207&gt;0,DA207&gt;0), DA207,     AND(NOT($AI207=$AM207),$AI207&gt;0,$AM207&gt;0,DA207&gt;0), ($AM207*DA207)/$AI207,     AND($AI207=0,$AM207&gt;0,$AQ207&gt;0), IF(INDEX(DA$12:DA$263,MATCH($AQ207,$AP$12:$AP$263,0))&gt;0,($AM207*INDEX(DA$12:DA$263,MATCH($AQ207,$AP$12:$AP$263,0)))/INDEX($AI$12:$AI$263,MATCH($AQ207,$AP$12:$AP$263,0)), "-"),     TRUE, "0")</f>
        <v>0</v>
      </c>
      <c r="DC207" s="606">
        <f>IF(DB$9&gt;0, IF(OR(DB207="",DB207="-"), 0, DB207*$AT207), DA207*$AJ207)</f>
        <v>0</v>
      </c>
      <c r="DD207" s="584"/>
      <c r="DE207" s="583"/>
    </row>
    <row r="208" spans="1:109" ht="39.950000000000003" hidden="1" customHeight="1">
      <c r="A208" s="604">
        <f>IF(OR($AV208&gt;0, $AX208&gt;0), 1, 0)</f>
        <v>0</v>
      </c>
      <c r="B208" s="604">
        <f>IF(OR($AY208&gt;0, $BA208&gt;0), 1, 0)</f>
        <v>0</v>
      </c>
      <c r="C208" s="604">
        <f>IF(OR($BB208&gt;0, $BD208&gt;0), 1, 0)</f>
        <v>0</v>
      </c>
      <c r="D208" s="604">
        <f>IF(OR($BE208&gt;0, $BG208&gt;0), 1, 0)</f>
        <v>0</v>
      </c>
      <c r="E208" s="604">
        <f>IF(OR($BH208&gt;0, $BJ208&gt;0), 1, 0)</f>
        <v>0</v>
      </c>
      <c r="F208" s="604">
        <f>IF(OR($BK208&gt;0, $BM208&gt;0), 1, 0)</f>
        <v>0</v>
      </c>
      <c r="G208" s="604">
        <f>IF(OR($BN208&gt;0, $BP208&gt;0), 1, 0)</f>
        <v>0</v>
      </c>
      <c r="H208" s="604">
        <f>IF(OR($BQ208&gt;0, $BS208&gt;0), 1, 0)</f>
        <v>0</v>
      </c>
      <c r="I208" s="604">
        <f>IF(OR($BT208&gt;0, $BV208&gt;0), 1, 0)</f>
        <v>0</v>
      </c>
      <c r="J208" s="604">
        <f>IF(OR($BW208&gt;0, $BY208&gt;0), 1, 0)</f>
        <v>0</v>
      </c>
      <c r="K208" s="604">
        <f>IF(OR($BZ208&gt;0, $CB208&gt;0), 1, 0)</f>
        <v>0</v>
      </c>
      <c r="L208" s="604">
        <f>IF(OR($CC208&gt;0, $CE208&gt;0), 1, 0)</f>
        <v>0</v>
      </c>
      <c r="M208" s="604">
        <f>IF(OR($CF208&gt;0, $CH208&gt;0), 1, 0)</f>
        <v>0</v>
      </c>
      <c r="N208" s="604">
        <f>IF(OR($CI208&gt;0, $CK208&gt;0), 1, 0)</f>
        <v>0</v>
      </c>
      <c r="O208" s="604">
        <f>IF(OR($CL208&gt;0, $CN208&gt;0), 1, 0)</f>
        <v>0</v>
      </c>
      <c r="P208" s="604">
        <f>IF(OR($CO208&gt;0, $CQ208&gt;0), 1, 0)</f>
        <v>0</v>
      </c>
      <c r="Q208" s="604">
        <f>IF(OR($CR208&gt;0, $CT208&gt;0), 1, 0)</f>
        <v>0</v>
      </c>
      <c r="R208" s="604">
        <f>IF(OR($CU208&gt;0, $CW208&gt;0), 1, 0)</f>
        <v>0</v>
      </c>
      <c r="S208" s="604">
        <f>IF(OR($CX208&gt;0, $CZ208&gt;0), 1, 0)</f>
        <v>0</v>
      </c>
      <c r="T208" s="604">
        <f>IF(OR($DA208&gt;0, $DC208&gt;0), 1, 0)</f>
        <v>0</v>
      </c>
      <c r="U208" s="603">
        <f>IF(OR($AI208&gt;0,$AM208&gt;0,$AS208&gt;0), 1, 0)</f>
        <v>0</v>
      </c>
      <c r="V208" s="602" t="str">
        <f>[1]BDD!A198</f>
        <v>1015.416</v>
      </c>
      <c r="W208" s="601" t="str">
        <f>[1]BDD!B198</f>
        <v>Patate douce BIO (moyen)</v>
      </c>
      <c r="X208" s="600" t="str">
        <f>IF([1]BDD!F198=0, "", [1]BDD!F198)</f>
        <v>❤️</v>
      </c>
      <c r="Y208" s="542">
        <f>ROUND([1]BDD!G198+FDP_CMD_KG, 2)</f>
        <v>3.46</v>
      </c>
      <c r="Z208" s="542">
        <f>ROUND([1]BDD!G198+FDP_FACT_KG, 2)</f>
        <v>3.46</v>
      </c>
      <c r="AA208" s="543" t="str">
        <f>[1]BDD!H198</f>
        <v>kg</v>
      </c>
      <c r="AB208" s="544">
        <f>IF(NOT(ISBLANK([1]BDD!I198)), ROUND(SUM(([1]BDD!G198*reduc1),FDP_CMD_KG), 2), "")</f>
        <v>3.2</v>
      </c>
      <c r="AC208" s="544">
        <f>IF(NOT(ISBLANK([1]BDD!J198)), ROUND(SUM(([1]BDD!G198*reduc2),FDP_CMD_KG), 2), "")</f>
        <v>2.95</v>
      </c>
      <c r="AD208" s="544">
        <f>IF(NOT(ISBLANK([1]BDD!K198)), ROUND(SUM(([1]BDD!G198*reduc3),FDP_CMD_KG), 2), "")</f>
        <v>2.69</v>
      </c>
      <c r="AE208" s="544">
        <f>IF(NOT(ISBLANK([1]BDD!I198)), ROUND(SUM(([1]BDD!G198*reduc1),FDP_FACT_KG), 2), "")</f>
        <v>3.2</v>
      </c>
      <c r="AF208" s="544">
        <f>IF(NOT(ISBLANK([1]BDD!J198)), ROUND(SUM(([1]BDD!G198*reduc2),FDP_FACT_KG), 2), "")</f>
        <v>2.94</v>
      </c>
      <c r="AG208" s="544">
        <f>IF(NOT(ISBLANK([1]BDD!K198)), ROUND(SUM(([1]BDD!G198*reduc3),FDP_FACT_KG), 2), "")</f>
        <v>2.68</v>
      </c>
      <c r="AH208" s="599" t="str">
        <f>[1]BDD!C198</f>
        <v>Malaga</v>
      </c>
      <c r="AI208" s="598">
        <f>SUM(AV208,AY208,BB208,BE208,BH208,BK208,BN208,BQ208,BT208,BW208,BZ208,CC208,CF208,CI208,CL208,CO208,CR208,CU208,CX208,DA208)</f>
        <v>0</v>
      </c>
      <c r="AJ208" s="545">
        <f>_xlfn.IFS($AD208&lt;&gt;"", $AD208,    $AC208&lt;&gt;"", $AC208,    $AB208&lt;&gt;"", $AB208,    TRUE, $Y208)</f>
        <v>2.69</v>
      </c>
      <c r="AK208" s="592">
        <f>$AI208*$AJ208</f>
        <v>0</v>
      </c>
      <c r="AL208" s="594"/>
      <c r="AM208" s="597"/>
      <c r="AN208" s="545">
        <f>_xlfn.IFS(AND(AM208&gt;=60,$AG208&lt;&gt;""), $AG208,    AND(AM208&gt;=30,$AF208&lt;&gt;""), $AF208,    AND(AM208&gt;=10,$AE208&lt;&gt;""), $AE208,    TRUE, $Z208)</f>
        <v>3.46</v>
      </c>
      <c r="AO208" s="596">
        <f>AM208*AN208</f>
        <v>0</v>
      </c>
      <c r="AP208" s="595"/>
      <c r="AQ208" s="595"/>
      <c r="AR208" s="594"/>
      <c r="AS208" s="593">
        <f>SUM(AW208,AZ208,BC208,BF208,BI208,BL208,BO208,BR208,BU208,BX208,CA208,CD208,CG208,CJ208,CM208,CP208,CS208,CV208,CY208,DB208)</f>
        <v>0</v>
      </c>
      <c r="AT208" s="545">
        <f>_xlfn.IFS(AND(AS208&gt;=60,$AG208&lt;&gt;""), $AG208,    AND(AS208&gt;=30,$AF208&lt;&gt;""), $AF208,    AND(AS208&gt;=10,$AE208&lt;&gt;""), $AE208,    TRUE, $Z208)</f>
        <v>3.46</v>
      </c>
      <c r="AU208" s="592">
        <f>$AS208*$AT208</f>
        <v>0</v>
      </c>
      <c r="AV208" s="591">
        <f>[1]COMMANDE!O206</f>
        <v>0</v>
      </c>
      <c r="AW208" s="586" t="str">
        <f>_xlfn.IFS(AND($AI208=$AM208,$AI208&gt;0,$AM208&gt;0,AV208&gt;0), AV208,     AND(NOT($AI208=$AM208),$AI208&gt;0,$AM208&gt;0,AV208&gt;0), ($AM208*AV208)/$AI208,     AND($AI208=0,$AM208&gt;0,$AQ208&gt;0), IF(INDEX(AV$12:AV$263,MATCH($AQ208,$AP$12:$AP$263,0))&gt;0,($AM208*INDEX(AV$12:AV$263,MATCH($AQ208,$AP$12:$AP$263,0)))/INDEX($AI$12:$AI$263,MATCH($AQ208,$AP$12:$AP$263,0)), "-"),     TRUE, "0")</f>
        <v>0</v>
      </c>
      <c r="AX208" s="588">
        <f>IF(AW$9&gt;0, IF(OR(AW208="",AW208="-"), 0, AW208*$AT208), AV208*$AJ208)</f>
        <v>0</v>
      </c>
      <c r="AY208" s="587">
        <f>[1]COMMANDE!Q206</f>
        <v>0</v>
      </c>
      <c r="AZ208" s="586" t="str">
        <f>_xlfn.IFS(AND($AI208=$AM208,$AI208&gt;0,$AM208&gt;0,AY208&gt;0), AY208,     AND(NOT($AI208=$AM208),$AI208&gt;0,$AM208&gt;0,AY208&gt;0), ($AM208*AY208)/$AI208,     AND($AI208=0,$AM208&gt;0,$AQ208&gt;0), IF(INDEX(AY$12:AY$263,MATCH($AQ208,$AP$12:$AP$263,0))&gt;0,($AM208*INDEX(AY$12:AY$263,MATCH($AQ208,$AP$12:$AP$263,0)))/INDEX($AI$12:$AI$263,MATCH($AQ208,$AP$12:$AP$263,0)), "-"),     TRUE, "0")</f>
        <v>0</v>
      </c>
      <c r="BA208" s="607">
        <f>IF(AZ$9&gt;0, IF(OR(AZ208="",AZ208="-"), 0, AZ208*$AT208), AY208*$AJ208)</f>
        <v>0</v>
      </c>
      <c r="BB208" s="589">
        <f>[1]COMMANDE!S206</f>
        <v>0</v>
      </c>
      <c r="BC208" s="586" t="str">
        <f>_xlfn.IFS(AND($AI208=$AM208,$AI208&gt;0,$AM208&gt;0,BB208&gt;0), BB208,     AND(NOT($AI208=$AM208),$AI208&gt;0,$AM208&gt;0,BB208&gt;0), ($AM208*BB208)/$AI208,     AND($AI208=0,$AM208&gt;0,$AQ208&gt;0), IF(INDEX(BB$12:BB$263,MATCH($AQ208,$AP$12:$AP$263,0))&gt;0,($AM208*INDEX(BB$12:BB$263,MATCH($AQ208,$AP$12:$AP$263,0)))/INDEX($AI$12:$AI$263,MATCH($AQ208,$AP$12:$AP$263,0)), "-"),     TRUE, "0")</f>
        <v>0</v>
      </c>
      <c r="BD208" s="588">
        <f>IF(BC$9&gt;0, IF(OR(BC208="",BC208="-"), 0, BC208*$AT208), BB208*$AJ208)</f>
        <v>0</v>
      </c>
      <c r="BE208" s="587">
        <f>[1]COMMANDE!U206</f>
        <v>0</v>
      </c>
      <c r="BF208" s="586" t="str">
        <f>_xlfn.IFS(AND($AI208=$AM208,$AI208&gt;0,$AM208&gt;0,BE208&gt;0), BE208,     AND(NOT($AI208=$AM208),$AI208&gt;0,$AM208&gt;0,BE208&gt;0), ($AM208*BE208)/$AI208,     AND($AI208=0,$AM208&gt;0,$AQ208&gt;0), IF(INDEX(BE$12:BE$263,MATCH($AQ208,$AP$12:$AP$263,0))&gt;0,($AM208*INDEX(BE$12:BE$263,MATCH($AQ208,$AP$12:$AP$263,0)))/INDEX($AI$12:$AI$263,MATCH($AQ208,$AP$12:$AP$263,0)), "-"),     TRUE, "0")</f>
        <v>0</v>
      </c>
      <c r="BG208" s="607">
        <f>IF(BF$9&gt;0, IF(OR(BF208="",BF208="-"), 0, BF208*$AT208), BE208*$AJ208)</f>
        <v>0</v>
      </c>
      <c r="BH208" s="589">
        <f>[1]COMMANDE!W206</f>
        <v>0</v>
      </c>
      <c r="BI208" s="586" t="str">
        <f>_xlfn.IFS(AND($AI208=$AM208,$AI208&gt;0,$AM208&gt;0,BH208&gt;0), BH208,     AND(NOT($AI208=$AM208),$AI208&gt;0,$AM208&gt;0,BH208&gt;0), ($AM208*BH208)/$AI208,     AND($AI208=0,$AM208&gt;0,$AQ208&gt;0), IF(INDEX(BH$12:BH$263,MATCH($AQ208,$AP$12:$AP$263,0))&gt;0,($AM208*INDEX(BH$12:BH$263,MATCH($AQ208,$AP$12:$AP$263,0)))/INDEX($AI$12:$AI$263,MATCH($AQ208,$AP$12:$AP$263,0)), "-"),     TRUE, "0")</f>
        <v>0</v>
      </c>
      <c r="BJ208" s="588">
        <f>IF(BI$9&gt;0, IF(OR(BI208="",BI208="-"), 0, BI208*$AT208), BH208*$AJ208)</f>
        <v>0</v>
      </c>
      <c r="BK208" s="587">
        <f>[1]COMMANDE!Y206</f>
        <v>0</v>
      </c>
      <c r="BL208" s="586" t="str">
        <f>_xlfn.IFS(AND($AI208=$AM208,$AI208&gt;0,$AM208&gt;0,BK208&gt;0), BK208,     AND(NOT($AI208=$AM208),$AI208&gt;0,$AM208&gt;0,BK208&gt;0), ($AM208*BK208)/$AI208,     AND($AI208=0,$AM208&gt;0,$AQ208&gt;0), IF(INDEX(BK$12:BK$263,MATCH($AQ208,$AP$12:$AP$263,0))&gt;0,($AM208*INDEX(BK$12:BK$263,MATCH($AQ208,$AP$12:$AP$263,0)))/INDEX($AI$12:$AI$263,MATCH($AQ208,$AP$12:$AP$263,0)), "-"),     TRUE, "0")</f>
        <v>0</v>
      </c>
      <c r="BM208" s="607">
        <f>IF(BL$9&gt;0, IF(OR(BL208="",BL208="-"), 0, BL208*$AT208), BK208*$AJ208)</f>
        <v>0</v>
      </c>
      <c r="BN208" s="589">
        <f>[1]COMMANDE!AA206</f>
        <v>0</v>
      </c>
      <c r="BO208" s="586" t="str">
        <f>_xlfn.IFS(AND($AI208=$AM208,$AI208&gt;0,$AM208&gt;0,BN208&gt;0), BN208,     AND(NOT($AI208=$AM208),$AI208&gt;0,$AM208&gt;0,BN208&gt;0), ($AM208*BN208)/$AI208,     AND($AI208=0,$AM208&gt;0,$AQ208&gt;0), IF(INDEX(BN$12:BN$263,MATCH($AQ208,$AP$12:$AP$263,0))&gt;0,($AM208*INDEX(BN$12:BN$263,MATCH($AQ208,$AP$12:$AP$263,0)))/INDEX($AI$12:$AI$263,MATCH($AQ208,$AP$12:$AP$263,0)), "-"),     TRUE, "0")</f>
        <v>0</v>
      </c>
      <c r="BP208" s="588">
        <f>IF(BO$9&gt;0, IF(OR(BO208="",BO208="-"), 0, BO208*$AT208), BN208*$AJ208)</f>
        <v>0</v>
      </c>
      <c r="BQ208" s="587">
        <f>[1]COMMANDE!AC206</f>
        <v>0</v>
      </c>
      <c r="BR208" s="586" t="str">
        <f>_xlfn.IFS(AND($AI208=$AM208,$AI208&gt;0,$AM208&gt;0,BQ208&gt;0), BQ208,     AND(NOT($AI208=$AM208),$AI208&gt;0,$AM208&gt;0,BQ208&gt;0), ($AM208*BQ208)/$AI208,     AND($AI208=0,$AM208&gt;0,$AQ208&gt;0), IF(INDEX(BQ$12:BQ$263,MATCH($AQ208,$AP$12:$AP$263,0))&gt;0,($AM208*INDEX(BQ$12:BQ$263,MATCH($AQ208,$AP$12:$AP$263,0)))/INDEX($AI$12:$AI$263,MATCH($AQ208,$AP$12:$AP$263,0)), "-"),     TRUE, "0")</f>
        <v>0</v>
      </c>
      <c r="BS208" s="607">
        <f>IF(BR$9&gt;0, IF(OR(BR208="",BR208="-"), 0, BR208*$AT208), BQ208*$AJ208)</f>
        <v>0</v>
      </c>
      <c r="BT208" s="589">
        <f>[1]COMMANDE!AE206</f>
        <v>0</v>
      </c>
      <c r="BU208" s="586" t="str">
        <f>_xlfn.IFS(AND($AI208=$AM208,$AI208&gt;0,$AM208&gt;0,BT208&gt;0), BT208,     AND(NOT($AI208=$AM208),$AI208&gt;0,$AM208&gt;0,BT208&gt;0), ($AM208*BT208)/$AI208,     AND($AI208=0,$AM208&gt;0,$AQ208&gt;0), IF(INDEX(BT$12:BT$263,MATCH($AQ208,$AP$12:$AP$263,0))&gt;0,($AM208*INDEX(BT$12:BT$263,MATCH($AQ208,$AP$12:$AP$263,0)))/INDEX($AI$12:$AI$263,MATCH($AQ208,$AP$12:$AP$263,0)), "-"),     TRUE, "0")</f>
        <v>0</v>
      </c>
      <c r="BV208" s="588">
        <f>IF(BU$9&gt;0, IF(OR(BU208="",BU208="-"), 0, BU208*$AT208), BT208*$AJ208)</f>
        <v>0</v>
      </c>
      <c r="BW208" s="587">
        <f>[1]COMMANDE!AG206</f>
        <v>0</v>
      </c>
      <c r="BX208" s="586" t="str">
        <f>_xlfn.IFS(AND($AI208=$AM208,$AI208&gt;0,$AM208&gt;0,BW208&gt;0), BW208,     AND(NOT($AI208=$AM208),$AI208&gt;0,$AM208&gt;0,BW208&gt;0), ($AM208*BW208)/$AI208,     AND($AI208=0,$AM208&gt;0,$AQ208&gt;0), IF(INDEX(BW$12:BW$263,MATCH($AQ208,$AP$12:$AP$263,0))&gt;0,($AM208*INDEX(BW$12:BW$263,MATCH($AQ208,$AP$12:$AP$263,0)))/INDEX($AI$12:$AI$263,MATCH($AQ208,$AP$12:$AP$263,0)), "-"),     TRUE, "0")</f>
        <v>0</v>
      </c>
      <c r="BY208" s="607">
        <f>IF(BX$9&gt;0, IF(OR(BX208="",BX208="-"), 0, BX208*$AT208), BW208*$AJ208)</f>
        <v>0</v>
      </c>
      <c r="BZ208" s="589">
        <f>[1]COMMANDE!AI206</f>
        <v>0</v>
      </c>
      <c r="CA208" s="586" t="str">
        <f>_xlfn.IFS(AND($AI208=$AM208,$AI208&gt;0,$AM208&gt;0,BZ208&gt;0), BZ208,     AND(NOT($AI208=$AM208),$AI208&gt;0,$AM208&gt;0,BZ208&gt;0), ($AM208*BZ208)/$AI208,     AND($AI208=0,$AM208&gt;0,$AQ208&gt;0), IF(INDEX(BZ$12:BZ$263,MATCH($AQ208,$AP$12:$AP$263,0))&gt;0,($AM208*INDEX(BZ$12:BZ$263,MATCH($AQ208,$AP$12:$AP$263,0)))/INDEX($AI$12:$AI$263,MATCH($AQ208,$AP$12:$AP$263,0)), "-"),     TRUE, "0")</f>
        <v>0</v>
      </c>
      <c r="CB208" s="588">
        <f>IF(CA$9&gt;0, IF(OR(CA208="",CA208="-"), 0, CA208*$AT208), BZ208*$AJ208)</f>
        <v>0</v>
      </c>
      <c r="CC208" s="587">
        <f>[1]COMMANDE!AK206</f>
        <v>0</v>
      </c>
      <c r="CD208" s="586" t="str">
        <f>_xlfn.IFS(AND($AI208=$AM208,$AI208&gt;0,$AM208&gt;0,CC208&gt;0), CC208,     AND(NOT($AI208=$AM208),$AI208&gt;0,$AM208&gt;0,CC208&gt;0), ($AM208*CC208)/$AI208,     AND($AI208=0,$AM208&gt;0,$AQ208&gt;0), IF(INDEX(CC$12:CC$263,MATCH($AQ208,$AP$12:$AP$263,0))&gt;0,($AM208*INDEX(CC$12:CC$263,MATCH($AQ208,$AP$12:$AP$263,0)))/INDEX($AI$12:$AI$263,MATCH($AQ208,$AP$12:$AP$263,0)), "-"),     TRUE, "0")</f>
        <v>0</v>
      </c>
      <c r="CE208" s="607">
        <f>IF(CD$9&gt;0, IF(OR(CD208="",CD208="-"), 0, CD208*$AT208), CC208*$AJ208)</f>
        <v>0</v>
      </c>
      <c r="CF208" s="589">
        <f>[1]COMMANDE!AM206</f>
        <v>0</v>
      </c>
      <c r="CG208" s="586" t="str">
        <f>_xlfn.IFS(AND($AI208=$AM208,$AI208&gt;0,$AM208&gt;0,CF208&gt;0), CF208,     AND(NOT($AI208=$AM208),$AI208&gt;0,$AM208&gt;0,CF208&gt;0), ($AM208*CF208)/$AI208,     AND($AI208=0,$AM208&gt;0,$AQ208&gt;0), IF(INDEX(CF$12:CF$263,MATCH($AQ208,$AP$12:$AP$263,0))&gt;0,($AM208*INDEX(CF$12:CF$263,MATCH($AQ208,$AP$12:$AP$263,0)))/INDEX($AI$12:$AI$263,MATCH($AQ208,$AP$12:$AP$263,0)), "-"),     TRUE, "0")</f>
        <v>0</v>
      </c>
      <c r="CH208" s="588">
        <f>IF(CG$9&gt;0, IF(OR(CG208="",CG208="-"), 0, CG208*$AT208), CF208*$AJ208)</f>
        <v>0</v>
      </c>
      <c r="CI208" s="587">
        <f>[1]COMMANDE!AO206</f>
        <v>0</v>
      </c>
      <c r="CJ208" s="586" t="str">
        <f>_xlfn.IFS(AND($AI208=$AM208,$AI208&gt;0,$AM208&gt;0,CI208&gt;0), CI208,     AND(NOT($AI208=$AM208),$AI208&gt;0,$AM208&gt;0,CI208&gt;0), ($AM208*CI208)/$AI208,     AND($AI208=0,$AM208&gt;0,$AQ208&gt;0), IF(INDEX(CI$12:CI$263,MATCH($AQ208,$AP$12:$AP$263,0))&gt;0,($AM208*INDEX(CI$12:CI$263,MATCH($AQ208,$AP$12:$AP$263,0)))/INDEX($AI$12:$AI$263,MATCH($AQ208,$AP$12:$AP$263,0)), "-"),     TRUE, "0")</f>
        <v>0</v>
      </c>
      <c r="CK208" s="607">
        <f>IF(CJ$9&gt;0, IF(OR(CJ208="",CJ208="-"), 0, CJ208*$AT208), CI208*$AJ208)</f>
        <v>0</v>
      </c>
      <c r="CL208" s="589">
        <f>[1]COMMANDE!AQ206</f>
        <v>0</v>
      </c>
      <c r="CM208" s="586" t="str">
        <f>_xlfn.IFS(AND($AI208=$AM208,$AI208&gt;0,$AM208&gt;0,CL208&gt;0), CL208,     AND(NOT($AI208=$AM208),$AI208&gt;0,$AM208&gt;0,CL208&gt;0), ($AM208*CL208)/$AI208,     AND($AI208=0,$AM208&gt;0,$AQ208&gt;0), IF(INDEX(CL$12:CL$263,MATCH($AQ208,$AP$12:$AP$263,0))&gt;0,($AM208*INDEX(CL$12:CL$263,MATCH($AQ208,$AP$12:$AP$263,0)))/INDEX($AI$12:$AI$263,MATCH($AQ208,$AP$12:$AP$263,0)), "-"),     TRUE, "0")</f>
        <v>0</v>
      </c>
      <c r="CN208" s="588">
        <f>IF(CM$9&gt;0, IF(OR(CM208="",CM208="-"), 0, CM208*$AT208), CL208*$AJ208)</f>
        <v>0</v>
      </c>
      <c r="CO208" s="587">
        <f>[1]COMMANDE!AS206</f>
        <v>0</v>
      </c>
      <c r="CP208" s="586" t="str">
        <f>_xlfn.IFS(AND($AI208=$AM208,$AI208&gt;0,$AM208&gt;0,CO208&gt;0), CO208,     AND(NOT($AI208=$AM208),$AI208&gt;0,$AM208&gt;0,CO208&gt;0), ($AM208*CO208)/$AI208,     AND($AI208=0,$AM208&gt;0,$AQ208&gt;0), IF(INDEX(CO$12:CO$263,MATCH($AQ208,$AP$12:$AP$263,0))&gt;0,($AM208*INDEX(CO$12:CO$263,MATCH($AQ208,$AP$12:$AP$263,0)))/INDEX($AI$12:$AI$263,MATCH($AQ208,$AP$12:$AP$263,0)), "-"),     TRUE, "0")</f>
        <v>0</v>
      </c>
      <c r="CQ208" s="607">
        <f>IF(CP$9&gt;0, IF(OR(CP208="",CP208="-"), 0, CP208*$AT208), CO208*$AJ208)</f>
        <v>0</v>
      </c>
      <c r="CR208" s="589">
        <f>[1]COMMANDE!AU206</f>
        <v>0</v>
      </c>
      <c r="CS208" s="586" t="str">
        <f>_xlfn.IFS(AND($AI208=$AM208,$AI208&gt;0,$AM208&gt;0,CR208&gt;0), CR208,     AND(NOT($AI208=$AM208),$AI208&gt;0,$AM208&gt;0,CR208&gt;0), ($AM208*CR208)/$AI208,     AND($AI208=0,$AM208&gt;0,$AQ208&gt;0), IF(INDEX(CR$12:CR$263,MATCH($AQ208,$AP$12:$AP$263,0))&gt;0,($AM208*INDEX(CR$12:CR$263,MATCH($AQ208,$AP$12:$AP$263,0)))/INDEX($AI$12:$AI$263,MATCH($AQ208,$AP$12:$AP$263,0)), "-"),     TRUE, "0")</f>
        <v>0</v>
      </c>
      <c r="CT208" s="588">
        <f>IF(CS$9&gt;0, IF(OR(CS208="",CS208="-"), 0, CS208*$AT208), CR208*$AJ208)</f>
        <v>0</v>
      </c>
      <c r="CU208" s="587">
        <f>[1]COMMANDE!AW206</f>
        <v>0</v>
      </c>
      <c r="CV208" s="586" t="str">
        <f>_xlfn.IFS(AND($AI208=$AM208,$AI208&gt;0,$AM208&gt;0,CU208&gt;0), CU208,     AND(NOT($AI208=$AM208),$AI208&gt;0,$AM208&gt;0,CU208&gt;0), ($AM208*CU208)/$AI208,     AND($AI208=0,$AM208&gt;0,$AQ208&gt;0), IF(INDEX(CU$12:CU$263,MATCH($AQ208,$AP$12:$AP$263,0))&gt;0,($AM208*INDEX(CU$12:CU$263,MATCH($AQ208,$AP$12:$AP$263,0)))/INDEX($AI$12:$AI$263,MATCH($AQ208,$AP$12:$AP$263,0)), "-"),     TRUE, "0")</f>
        <v>0</v>
      </c>
      <c r="CW208" s="607">
        <f>IF(CV$9&gt;0, IF(OR(CV208="",CV208="-"), 0, CV208*$AT208), CU208*$AJ208)</f>
        <v>0</v>
      </c>
      <c r="CX208" s="589">
        <f>[1]COMMANDE!AY206</f>
        <v>0</v>
      </c>
      <c r="CY208" s="586" t="str">
        <f>_xlfn.IFS(AND($AI208=$AM208,$AI208&gt;0,$AM208&gt;0,CX208&gt;0), CX208,     AND(NOT($AI208=$AM208),$AI208&gt;0,$AM208&gt;0,CX208&gt;0), ($AM208*CX208)/$AI208,     AND($AI208=0,$AM208&gt;0,$AQ208&gt;0), IF(INDEX(CX$12:CX$263,MATCH($AQ208,$AP$12:$AP$263,0))&gt;0,($AM208*INDEX(CX$12:CX$263,MATCH($AQ208,$AP$12:$AP$263,0)))/INDEX($AI$12:$AI$263,MATCH($AQ208,$AP$12:$AP$263,0)), "-"),     TRUE, "0")</f>
        <v>0</v>
      </c>
      <c r="CZ208" s="588">
        <f>IF(CY$9&gt;0, IF(OR(CY208="",CY208="-"), 0, CY208*$AT208), CX208*$AJ208)</f>
        <v>0</v>
      </c>
      <c r="DA208" s="587">
        <f>[1]COMMANDE!BA206</f>
        <v>0</v>
      </c>
      <c r="DB208" s="586" t="str">
        <f>_xlfn.IFS(AND($AI208=$AM208,$AI208&gt;0,$AM208&gt;0,DA208&gt;0), DA208,     AND(NOT($AI208=$AM208),$AI208&gt;0,$AM208&gt;0,DA208&gt;0), ($AM208*DA208)/$AI208,     AND($AI208=0,$AM208&gt;0,$AQ208&gt;0), IF(INDEX(DA$12:DA$263,MATCH($AQ208,$AP$12:$AP$263,0))&gt;0,($AM208*INDEX(DA$12:DA$263,MATCH($AQ208,$AP$12:$AP$263,0)))/INDEX($AI$12:$AI$263,MATCH($AQ208,$AP$12:$AP$263,0)), "-"),     TRUE, "0")</f>
        <v>0</v>
      </c>
      <c r="DC208" s="606">
        <f>IF(DB$9&gt;0, IF(OR(DB208="",DB208="-"), 0, DB208*$AT208), DA208*$AJ208)</f>
        <v>0</v>
      </c>
      <c r="DD208" s="584"/>
      <c r="DE208" s="583"/>
    </row>
    <row r="209" spans="1:109" ht="39.950000000000003" hidden="1" customHeight="1">
      <c r="A209" s="604">
        <f>IF(OR($AV209&gt;0, $AX209&gt;0), 1, 0)</f>
        <v>0</v>
      </c>
      <c r="B209" s="604">
        <f>IF(OR($AY209&gt;0, $BA209&gt;0), 1, 0)</f>
        <v>0</v>
      </c>
      <c r="C209" s="604">
        <f>IF(OR($BB209&gt;0, $BD209&gt;0), 1, 0)</f>
        <v>0</v>
      </c>
      <c r="D209" s="604">
        <f>IF(OR($BE209&gt;0, $BG209&gt;0), 1, 0)</f>
        <v>0</v>
      </c>
      <c r="E209" s="604">
        <f>IF(OR($BH209&gt;0, $BJ209&gt;0), 1, 0)</f>
        <v>0</v>
      </c>
      <c r="F209" s="604">
        <f>IF(OR($BK209&gt;0, $BM209&gt;0), 1, 0)</f>
        <v>0</v>
      </c>
      <c r="G209" s="604">
        <f>IF(OR($BN209&gt;0, $BP209&gt;0), 1, 0)</f>
        <v>0</v>
      </c>
      <c r="H209" s="604">
        <f>IF(OR($BQ209&gt;0, $BS209&gt;0), 1, 0)</f>
        <v>0</v>
      </c>
      <c r="I209" s="604">
        <f>IF(OR($BT209&gt;0, $BV209&gt;0), 1, 0)</f>
        <v>0</v>
      </c>
      <c r="J209" s="604">
        <f>IF(OR($BW209&gt;0, $BY209&gt;0), 1, 0)</f>
        <v>0</v>
      </c>
      <c r="K209" s="604">
        <f>IF(OR($BZ209&gt;0, $CB209&gt;0), 1, 0)</f>
        <v>0</v>
      </c>
      <c r="L209" s="604">
        <f>IF(OR($CC209&gt;0, $CE209&gt;0), 1, 0)</f>
        <v>0</v>
      </c>
      <c r="M209" s="604">
        <f>IF(OR($CF209&gt;0, $CH209&gt;0), 1, 0)</f>
        <v>0</v>
      </c>
      <c r="N209" s="604">
        <f>IF(OR($CI209&gt;0, $CK209&gt;0), 1, 0)</f>
        <v>0</v>
      </c>
      <c r="O209" s="604">
        <f>IF(OR($CL209&gt;0, $CN209&gt;0), 1, 0)</f>
        <v>0</v>
      </c>
      <c r="P209" s="604">
        <f>IF(OR($CO209&gt;0, $CQ209&gt;0), 1, 0)</f>
        <v>0</v>
      </c>
      <c r="Q209" s="604">
        <f>IF(OR($CR209&gt;0, $CT209&gt;0), 1, 0)</f>
        <v>0</v>
      </c>
      <c r="R209" s="604">
        <f>IF(OR($CU209&gt;0, $CW209&gt;0), 1, 0)</f>
        <v>0</v>
      </c>
      <c r="S209" s="604">
        <f>IF(OR($CX209&gt;0, $CZ209&gt;0), 1, 0)</f>
        <v>0</v>
      </c>
      <c r="T209" s="604">
        <f>IF(OR($DA209&gt;0, $DC209&gt;0), 1, 0)</f>
        <v>0</v>
      </c>
      <c r="U209" s="603">
        <f>IF(OR($AI209&gt;0,$AM209&gt;0,$AS209&gt;0), 1, 0)</f>
        <v>0</v>
      </c>
      <c r="V209" s="602">
        <f>[1]BDD!A199</f>
        <v>1761</v>
      </c>
      <c r="W209" s="601" t="str">
        <f>[1]BDD!B199</f>
        <v>Patate douce Violette BIO (Moyenne, grande) Nouvelle récolte</v>
      </c>
      <c r="X209" s="600" t="str">
        <f>IF([1]BDD!F199=0, "", [1]BDD!F199)</f>
        <v>❤️</v>
      </c>
      <c r="Y209" s="542">
        <f>ROUND([1]BDD!G199+FDP_CMD_KG, 2)</f>
        <v>4.28</v>
      </c>
      <c r="Z209" s="542">
        <f>ROUND([1]BDD!G199+FDP_FACT_KG, 2)</f>
        <v>4.28</v>
      </c>
      <c r="AA209" s="543" t="str">
        <f>[1]BDD!H199</f>
        <v>kg</v>
      </c>
      <c r="AB209" s="544">
        <f>IF(NOT(ISBLANK([1]BDD!I199)), ROUND(SUM(([1]BDD!G199*reduc1),FDP_CMD_KG), 2), "")</f>
        <v>3.94</v>
      </c>
      <c r="AC209" s="544">
        <f>IF(NOT(ISBLANK([1]BDD!J199)), ROUND(SUM(([1]BDD!G199*reduc2),FDP_CMD_KG), 2), "")</f>
        <v>3.6</v>
      </c>
      <c r="AD209" s="544">
        <f>IF(NOT(ISBLANK([1]BDD!K199)), ROUND(SUM(([1]BDD!G199*reduc3),FDP_CMD_KG), 2), "")</f>
        <v>3.26</v>
      </c>
      <c r="AE209" s="544">
        <f>IF(NOT(ISBLANK([1]BDD!I199)), ROUND(SUM(([1]BDD!G199*reduc1),FDP_FACT_KG), 2), "")</f>
        <v>3.94</v>
      </c>
      <c r="AF209" s="544">
        <f>IF(NOT(ISBLANK([1]BDD!J199)), ROUND(SUM(([1]BDD!G199*reduc2),FDP_FACT_KG), 2), "")</f>
        <v>3.59</v>
      </c>
      <c r="AG209" s="544">
        <f>IF(NOT(ISBLANK([1]BDD!K199)), ROUND(SUM(([1]BDD!G199*reduc3),FDP_FACT_KG), 2), "")</f>
        <v>3.25</v>
      </c>
      <c r="AH209" s="599" t="str">
        <f>[1]BDD!C199</f>
        <v>Malaga</v>
      </c>
      <c r="AI209" s="598">
        <f>SUM(AV209,AY209,BB209,BE209,BH209,BK209,BN209,BQ209,BT209,BW209,BZ209,CC209,CF209,CI209,CL209,CO209,CR209,CU209,CX209,DA209)</f>
        <v>0</v>
      </c>
      <c r="AJ209" s="545">
        <f>_xlfn.IFS($AD209&lt;&gt;"", $AD209,    $AC209&lt;&gt;"", $AC209,    $AB209&lt;&gt;"", $AB209,    TRUE, $Y209)</f>
        <v>3.26</v>
      </c>
      <c r="AK209" s="592">
        <f>$AI209*$AJ209</f>
        <v>0</v>
      </c>
      <c r="AL209" s="594"/>
      <c r="AM209" s="597"/>
      <c r="AN209" s="545">
        <f>_xlfn.IFS(AND(AM209&gt;=60,$AG209&lt;&gt;""), $AG209,    AND(AM209&gt;=30,$AF209&lt;&gt;""), $AF209,    AND(AM209&gt;=10,$AE209&lt;&gt;""), $AE209,    TRUE, $Z209)</f>
        <v>4.28</v>
      </c>
      <c r="AO209" s="596">
        <f>AM209*AN209</f>
        <v>0</v>
      </c>
      <c r="AP209" s="595"/>
      <c r="AQ209" s="595"/>
      <c r="AR209" s="594"/>
      <c r="AS209" s="593">
        <f>SUM(AW209,AZ209,BC209,BF209,BI209,BL209,BO209,BR209,BU209,BX209,CA209,CD209,CG209,CJ209,CM209,CP209,CS209,CV209,CY209,DB209)</f>
        <v>0</v>
      </c>
      <c r="AT209" s="545">
        <f>_xlfn.IFS(AND(AS209&gt;=60,$AG209&lt;&gt;""), $AG209,    AND(AS209&gt;=30,$AF209&lt;&gt;""), $AF209,    AND(AS209&gt;=10,$AE209&lt;&gt;""), $AE209,    TRUE, $Z209)</f>
        <v>4.28</v>
      </c>
      <c r="AU209" s="592">
        <f>$AS209*$AT209</f>
        <v>0</v>
      </c>
      <c r="AV209" s="591">
        <f>[1]COMMANDE!O207</f>
        <v>0</v>
      </c>
      <c r="AW209" s="586" t="str">
        <f>_xlfn.IFS(AND($AI209=$AM209,$AI209&gt;0,$AM209&gt;0,AV209&gt;0), AV209,     AND(NOT($AI209=$AM209),$AI209&gt;0,$AM209&gt;0,AV209&gt;0), ($AM209*AV209)/$AI209,     AND($AI209=0,$AM209&gt;0,$AQ209&gt;0), IF(INDEX(AV$12:AV$263,MATCH($AQ209,$AP$12:$AP$263,0))&gt;0,($AM209*INDEX(AV$12:AV$263,MATCH($AQ209,$AP$12:$AP$263,0)))/INDEX($AI$12:$AI$263,MATCH($AQ209,$AP$12:$AP$263,0)), "-"),     TRUE, "0")</f>
        <v>0</v>
      </c>
      <c r="AX209" s="588">
        <f>IF(AW$9&gt;0, IF(OR(AW209="",AW209="-"), 0, AW209*$AT209), AV209*$AJ209)</f>
        <v>0</v>
      </c>
      <c r="AY209" s="587">
        <f>[1]COMMANDE!Q207</f>
        <v>0</v>
      </c>
      <c r="AZ209" s="586" t="str">
        <f>_xlfn.IFS(AND($AI209=$AM209,$AI209&gt;0,$AM209&gt;0,AY209&gt;0), AY209,     AND(NOT($AI209=$AM209),$AI209&gt;0,$AM209&gt;0,AY209&gt;0), ($AM209*AY209)/$AI209,     AND($AI209=0,$AM209&gt;0,$AQ209&gt;0), IF(INDEX(AY$12:AY$263,MATCH($AQ209,$AP$12:$AP$263,0))&gt;0,($AM209*INDEX(AY$12:AY$263,MATCH($AQ209,$AP$12:$AP$263,0)))/INDEX($AI$12:$AI$263,MATCH($AQ209,$AP$12:$AP$263,0)), "-"),     TRUE, "0")</f>
        <v>0</v>
      </c>
      <c r="BA209" s="607">
        <f>IF(AZ$9&gt;0, IF(OR(AZ209="",AZ209="-"), 0, AZ209*$AT209), AY209*$AJ209)</f>
        <v>0</v>
      </c>
      <c r="BB209" s="589">
        <f>[1]COMMANDE!S207</f>
        <v>0</v>
      </c>
      <c r="BC209" s="586" t="str">
        <f>_xlfn.IFS(AND($AI209=$AM209,$AI209&gt;0,$AM209&gt;0,BB209&gt;0), BB209,     AND(NOT($AI209=$AM209),$AI209&gt;0,$AM209&gt;0,BB209&gt;0), ($AM209*BB209)/$AI209,     AND($AI209=0,$AM209&gt;0,$AQ209&gt;0), IF(INDEX(BB$12:BB$263,MATCH($AQ209,$AP$12:$AP$263,0))&gt;0,($AM209*INDEX(BB$12:BB$263,MATCH($AQ209,$AP$12:$AP$263,0)))/INDEX($AI$12:$AI$263,MATCH($AQ209,$AP$12:$AP$263,0)), "-"),     TRUE, "0")</f>
        <v>0</v>
      </c>
      <c r="BD209" s="588">
        <f>IF(BC$9&gt;0, IF(OR(BC209="",BC209="-"), 0, BC209*$AT209), BB209*$AJ209)</f>
        <v>0</v>
      </c>
      <c r="BE209" s="587">
        <f>[1]COMMANDE!U207</f>
        <v>0</v>
      </c>
      <c r="BF209" s="586" t="str">
        <f>_xlfn.IFS(AND($AI209=$AM209,$AI209&gt;0,$AM209&gt;0,BE209&gt;0), BE209,     AND(NOT($AI209=$AM209),$AI209&gt;0,$AM209&gt;0,BE209&gt;0), ($AM209*BE209)/$AI209,     AND($AI209=0,$AM209&gt;0,$AQ209&gt;0), IF(INDEX(BE$12:BE$263,MATCH($AQ209,$AP$12:$AP$263,0))&gt;0,($AM209*INDEX(BE$12:BE$263,MATCH($AQ209,$AP$12:$AP$263,0)))/INDEX($AI$12:$AI$263,MATCH($AQ209,$AP$12:$AP$263,0)), "-"),     TRUE, "0")</f>
        <v>0</v>
      </c>
      <c r="BG209" s="607">
        <f>IF(BF$9&gt;0, IF(OR(BF209="",BF209="-"), 0, BF209*$AT209), BE209*$AJ209)</f>
        <v>0</v>
      </c>
      <c r="BH209" s="589">
        <f>[1]COMMANDE!W207</f>
        <v>0</v>
      </c>
      <c r="BI209" s="586" t="str">
        <f>_xlfn.IFS(AND($AI209=$AM209,$AI209&gt;0,$AM209&gt;0,BH209&gt;0), BH209,     AND(NOT($AI209=$AM209),$AI209&gt;0,$AM209&gt;0,BH209&gt;0), ($AM209*BH209)/$AI209,     AND($AI209=0,$AM209&gt;0,$AQ209&gt;0), IF(INDEX(BH$12:BH$263,MATCH($AQ209,$AP$12:$AP$263,0))&gt;0,($AM209*INDEX(BH$12:BH$263,MATCH($AQ209,$AP$12:$AP$263,0)))/INDEX($AI$12:$AI$263,MATCH($AQ209,$AP$12:$AP$263,0)), "-"),     TRUE, "0")</f>
        <v>0</v>
      </c>
      <c r="BJ209" s="588">
        <f>IF(BI$9&gt;0, IF(OR(BI209="",BI209="-"), 0, BI209*$AT209), BH209*$AJ209)</f>
        <v>0</v>
      </c>
      <c r="BK209" s="587">
        <f>[1]COMMANDE!Y207</f>
        <v>0</v>
      </c>
      <c r="BL209" s="586" t="str">
        <f>_xlfn.IFS(AND($AI209=$AM209,$AI209&gt;0,$AM209&gt;0,BK209&gt;0), BK209,     AND(NOT($AI209=$AM209),$AI209&gt;0,$AM209&gt;0,BK209&gt;0), ($AM209*BK209)/$AI209,     AND($AI209=0,$AM209&gt;0,$AQ209&gt;0), IF(INDEX(BK$12:BK$263,MATCH($AQ209,$AP$12:$AP$263,0))&gt;0,($AM209*INDEX(BK$12:BK$263,MATCH($AQ209,$AP$12:$AP$263,0)))/INDEX($AI$12:$AI$263,MATCH($AQ209,$AP$12:$AP$263,0)), "-"),     TRUE, "0")</f>
        <v>0</v>
      </c>
      <c r="BM209" s="607">
        <f>IF(BL$9&gt;0, IF(OR(BL209="",BL209="-"), 0, BL209*$AT209), BK209*$AJ209)</f>
        <v>0</v>
      </c>
      <c r="BN209" s="589">
        <f>[1]COMMANDE!AA207</f>
        <v>0</v>
      </c>
      <c r="BO209" s="586" t="str">
        <f>_xlfn.IFS(AND($AI209=$AM209,$AI209&gt;0,$AM209&gt;0,BN209&gt;0), BN209,     AND(NOT($AI209=$AM209),$AI209&gt;0,$AM209&gt;0,BN209&gt;0), ($AM209*BN209)/$AI209,     AND($AI209=0,$AM209&gt;0,$AQ209&gt;0), IF(INDEX(BN$12:BN$263,MATCH($AQ209,$AP$12:$AP$263,0))&gt;0,($AM209*INDEX(BN$12:BN$263,MATCH($AQ209,$AP$12:$AP$263,0)))/INDEX($AI$12:$AI$263,MATCH($AQ209,$AP$12:$AP$263,0)), "-"),     TRUE, "0")</f>
        <v>0</v>
      </c>
      <c r="BP209" s="588">
        <f>IF(BO$9&gt;0, IF(OR(BO209="",BO209="-"), 0, BO209*$AT209), BN209*$AJ209)</f>
        <v>0</v>
      </c>
      <c r="BQ209" s="587">
        <f>[1]COMMANDE!AC207</f>
        <v>0</v>
      </c>
      <c r="BR209" s="586" t="str">
        <f>_xlfn.IFS(AND($AI209=$AM209,$AI209&gt;0,$AM209&gt;0,BQ209&gt;0), BQ209,     AND(NOT($AI209=$AM209),$AI209&gt;0,$AM209&gt;0,BQ209&gt;0), ($AM209*BQ209)/$AI209,     AND($AI209=0,$AM209&gt;0,$AQ209&gt;0), IF(INDEX(BQ$12:BQ$263,MATCH($AQ209,$AP$12:$AP$263,0))&gt;0,($AM209*INDEX(BQ$12:BQ$263,MATCH($AQ209,$AP$12:$AP$263,0)))/INDEX($AI$12:$AI$263,MATCH($AQ209,$AP$12:$AP$263,0)), "-"),     TRUE, "0")</f>
        <v>0</v>
      </c>
      <c r="BS209" s="607">
        <f>IF(BR$9&gt;0, IF(OR(BR209="",BR209="-"), 0, BR209*$AT209), BQ209*$AJ209)</f>
        <v>0</v>
      </c>
      <c r="BT209" s="589">
        <f>[1]COMMANDE!AE207</f>
        <v>0</v>
      </c>
      <c r="BU209" s="586" t="str">
        <f>_xlfn.IFS(AND($AI209=$AM209,$AI209&gt;0,$AM209&gt;0,BT209&gt;0), BT209,     AND(NOT($AI209=$AM209),$AI209&gt;0,$AM209&gt;0,BT209&gt;0), ($AM209*BT209)/$AI209,     AND($AI209=0,$AM209&gt;0,$AQ209&gt;0), IF(INDEX(BT$12:BT$263,MATCH($AQ209,$AP$12:$AP$263,0))&gt;0,($AM209*INDEX(BT$12:BT$263,MATCH($AQ209,$AP$12:$AP$263,0)))/INDEX($AI$12:$AI$263,MATCH($AQ209,$AP$12:$AP$263,0)), "-"),     TRUE, "0")</f>
        <v>0</v>
      </c>
      <c r="BV209" s="588">
        <f>IF(BU$9&gt;0, IF(OR(BU209="",BU209="-"), 0, BU209*$AT209), BT209*$AJ209)</f>
        <v>0</v>
      </c>
      <c r="BW209" s="587">
        <f>[1]COMMANDE!AG207</f>
        <v>0</v>
      </c>
      <c r="BX209" s="586" t="str">
        <f>_xlfn.IFS(AND($AI209=$AM209,$AI209&gt;0,$AM209&gt;0,BW209&gt;0), BW209,     AND(NOT($AI209=$AM209),$AI209&gt;0,$AM209&gt;0,BW209&gt;0), ($AM209*BW209)/$AI209,     AND($AI209=0,$AM209&gt;0,$AQ209&gt;0), IF(INDEX(BW$12:BW$263,MATCH($AQ209,$AP$12:$AP$263,0))&gt;0,($AM209*INDEX(BW$12:BW$263,MATCH($AQ209,$AP$12:$AP$263,0)))/INDEX($AI$12:$AI$263,MATCH($AQ209,$AP$12:$AP$263,0)), "-"),     TRUE, "0")</f>
        <v>0</v>
      </c>
      <c r="BY209" s="607">
        <f>IF(BX$9&gt;0, IF(OR(BX209="",BX209="-"), 0, BX209*$AT209), BW209*$AJ209)</f>
        <v>0</v>
      </c>
      <c r="BZ209" s="589">
        <f>[1]COMMANDE!AI207</f>
        <v>0</v>
      </c>
      <c r="CA209" s="586" t="str">
        <f>_xlfn.IFS(AND($AI209=$AM209,$AI209&gt;0,$AM209&gt;0,BZ209&gt;0), BZ209,     AND(NOT($AI209=$AM209),$AI209&gt;0,$AM209&gt;0,BZ209&gt;0), ($AM209*BZ209)/$AI209,     AND($AI209=0,$AM209&gt;0,$AQ209&gt;0), IF(INDEX(BZ$12:BZ$263,MATCH($AQ209,$AP$12:$AP$263,0))&gt;0,($AM209*INDEX(BZ$12:BZ$263,MATCH($AQ209,$AP$12:$AP$263,0)))/INDEX($AI$12:$AI$263,MATCH($AQ209,$AP$12:$AP$263,0)), "-"),     TRUE, "0")</f>
        <v>0</v>
      </c>
      <c r="CB209" s="588">
        <f>IF(CA$9&gt;0, IF(OR(CA209="",CA209="-"), 0, CA209*$AT209), BZ209*$AJ209)</f>
        <v>0</v>
      </c>
      <c r="CC209" s="587">
        <f>[1]COMMANDE!AK207</f>
        <v>0</v>
      </c>
      <c r="CD209" s="586" t="str">
        <f>_xlfn.IFS(AND($AI209=$AM209,$AI209&gt;0,$AM209&gt;0,CC209&gt;0), CC209,     AND(NOT($AI209=$AM209),$AI209&gt;0,$AM209&gt;0,CC209&gt;0), ($AM209*CC209)/$AI209,     AND($AI209=0,$AM209&gt;0,$AQ209&gt;0), IF(INDEX(CC$12:CC$263,MATCH($AQ209,$AP$12:$AP$263,0))&gt;0,($AM209*INDEX(CC$12:CC$263,MATCH($AQ209,$AP$12:$AP$263,0)))/INDEX($AI$12:$AI$263,MATCH($AQ209,$AP$12:$AP$263,0)), "-"),     TRUE, "0")</f>
        <v>0</v>
      </c>
      <c r="CE209" s="607">
        <f>IF(CD$9&gt;0, IF(OR(CD209="",CD209="-"), 0, CD209*$AT209), CC209*$AJ209)</f>
        <v>0</v>
      </c>
      <c r="CF209" s="589">
        <f>[1]COMMANDE!AM207</f>
        <v>0</v>
      </c>
      <c r="CG209" s="586" t="str">
        <f>_xlfn.IFS(AND($AI209=$AM209,$AI209&gt;0,$AM209&gt;0,CF209&gt;0), CF209,     AND(NOT($AI209=$AM209),$AI209&gt;0,$AM209&gt;0,CF209&gt;0), ($AM209*CF209)/$AI209,     AND($AI209=0,$AM209&gt;0,$AQ209&gt;0), IF(INDEX(CF$12:CF$263,MATCH($AQ209,$AP$12:$AP$263,0))&gt;0,($AM209*INDEX(CF$12:CF$263,MATCH($AQ209,$AP$12:$AP$263,0)))/INDEX($AI$12:$AI$263,MATCH($AQ209,$AP$12:$AP$263,0)), "-"),     TRUE, "0")</f>
        <v>0</v>
      </c>
      <c r="CH209" s="588">
        <f>IF(CG$9&gt;0, IF(OR(CG209="",CG209="-"), 0, CG209*$AT209), CF209*$AJ209)</f>
        <v>0</v>
      </c>
      <c r="CI209" s="587">
        <f>[1]COMMANDE!AO207</f>
        <v>0</v>
      </c>
      <c r="CJ209" s="586" t="str">
        <f>_xlfn.IFS(AND($AI209=$AM209,$AI209&gt;0,$AM209&gt;0,CI209&gt;0), CI209,     AND(NOT($AI209=$AM209),$AI209&gt;0,$AM209&gt;0,CI209&gt;0), ($AM209*CI209)/$AI209,     AND($AI209=0,$AM209&gt;0,$AQ209&gt;0), IF(INDEX(CI$12:CI$263,MATCH($AQ209,$AP$12:$AP$263,0))&gt;0,($AM209*INDEX(CI$12:CI$263,MATCH($AQ209,$AP$12:$AP$263,0)))/INDEX($AI$12:$AI$263,MATCH($AQ209,$AP$12:$AP$263,0)), "-"),     TRUE, "0")</f>
        <v>0</v>
      </c>
      <c r="CK209" s="607">
        <f>IF(CJ$9&gt;0, IF(OR(CJ209="",CJ209="-"), 0, CJ209*$AT209), CI209*$AJ209)</f>
        <v>0</v>
      </c>
      <c r="CL209" s="589">
        <f>[1]COMMANDE!AQ207</f>
        <v>0</v>
      </c>
      <c r="CM209" s="586" t="str">
        <f>_xlfn.IFS(AND($AI209=$AM209,$AI209&gt;0,$AM209&gt;0,CL209&gt;0), CL209,     AND(NOT($AI209=$AM209),$AI209&gt;0,$AM209&gt;0,CL209&gt;0), ($AM209*CL209)/$AI209,     AND($AI209=0,$AM209&gt;0,$AQ209&gt;0), IF(INDEX(CL$12:CL$263,MATCH($AQ209,$AP$12:$AP$263,0))&gt;0,($AM209*INDEX(CL$12:CL$263,MATCH($AQ209,$AP$12:$AP$263,0)))/INDEX($AI$12:$AI$263,MATCH($AQ209,$AP$12:$AP$263,0)), "-"),     TRUE, "0")</f>
        <v>0</v>
      </c>
      <c r="CN209" s="588">
        <f>IF(CM$9&gt;0, IF(OR(CM209="",CM209="-"), 0, CM209*$AT209), CL209*$AJ209)</f>
        <v>0</v>
      </c>
      <c r="CO209" s="587">
        <f>[1]COMMANDE!AS207</f>
        <v>0</v>
      </c>
      <c r="CP209" s="586" t="str">
        <f>_xlfn.IFS(AND($AI209=$AM209,$AI209&gt;0,$AM209&gt;0,CO209&gt;0), CO209,     AND(NOT($AI209=$AM209),$AI209&gt;0,$AM209&gt;0,CO209&gt;0), ($AM209*CO209)/$AI209,     AND($AI209=0,$AM209&gt;0,$AQ209&gt;0), IF(INDEX(CO$12:CO$263,MATCH($AQ209,$AP$12:$AP$263,0))&gt;0,($AM209*INDEX(CO$12:CO$263,MATCH($AQ209,$AP$12:$AP$263,0)))/INDEX($AI$12:$AI$263,MATCH($AQ209,$AP$12:$AP$263,0)), "-"),     TRUE, "0")</f>
        <v>0</v>
      </c>
      <c r="CQ209" s="607">
        <f>IF(CP$9&gt;0, IF(OR(CP209="",CP209="-"), 0, CP209*$AT209), CO209*$AJ209)</f>
        <v>0</v>
      </c>
      <c r="CR209" s="589">
        <f>[1]COMMANDE!AU207</f>
        <v>0</v>
      </c>
      <c r="CS209" s="586" t="str">
        <f>_xlfn.IFS(AND($AI209=$AM209,$AI209&gt;0,$AM209&gt;0,CR209&gt;0), CR209,     AND(NOT($AI209=$AM209),$AI209&gt;0,$AM209&gt;0,CR209&gt;0), ($AM209*CR209)/$AI209,     AND($AI209=0,$AM209&gt;0,$AQ209&gt;0), IF(INDEX(CR$12:CR$263,MATCH($AQ209,$AP$12:$AP$263,0))&gt;0,($AM209*INDEX(CR$12:CR$263,MATCH($AQ209,$AP$12:$AP$263,0)))/INDEX($AI$12:$AI$263,MATCH($AQ209,$AP$12:$AP$263,0)), "-"),     TRUE, "0")</f>
        <v>0</v>
      </c>
      <c r="CT209" s="588">
        <f>IF(CS$9&gt;0, IF(OR(CS209="",CS209="-"), 0, CS209*$AT209), CR209*$AJ209)</f>
        <v>0</v>
      </c>
      <c r="CU209" s="587">
        <f>[1]COMMANDE!AW207</f>
        <v>0</v>
      </c>
      <c r="CV209" s="586" t="str">
        <f>_xlfn.IFS(AND($AI209=$AM209,$AI209&gt;0,$AM209&gt;0,CU209&gt;0), CU209,     AND(NOT($AI209=$AM209),$AI209&gt;0,$AM209&gt;0,CU209&gt;0), ($AM209*CU209)/$AI209,     AND($AI209=0,$AM209&gt;0,$AQ209&gt;0), IF(INDEX(CU$12:CU$263,MATCH($AQ209,$AP$12:$AP$263,0))&gt;0,($AM209*INDEX(CU$12:CU$263,MATCH($AQ209,$AP$12:$AP$263,0)))/INDEX($AI$12:$AI$263,MATCH($AQ209,$AP$12:$AP$263,0)), "-"),     TRUE, "0")</f>
        <v>0</v>
      </c>
      <c r="CW209" s="607">
        <f>IF(CV$9&gt;0, IF(OR(CV209="",CV209="-"), 0, CV209*$AT209), CU209*$AJ209)</f>
        <v>0</v>
      </c>
      <c r="CX209" s="589">
        <f>[1]COMMANDE!AY207</f>
        <v>0</v>
      </c>
      <c r="CY209" s="586" t="str">
        <f>_xlfn.IFS(AND($AI209=$AM209,$AI209&gt;0,$AM209&gt;0,CX209&gt;0), CX209,     AND(NOT($AI209=$AM209),$AI209&gt;0,$AM209&gt;0,CX209&gt;0), ($AM209*CX209)/$AI209,     AND($AI209=0,$AM209&gt;0,$AQ209&gt;0), IF(INDEX(CX$12:CX$263,MATCH($AQ209,$AP$12:$AP$263,0))&gt;0,($AM209*INDEX(CX$12:CX$263,MATCH($AQ209,$AP$12:$AP$263,0)))/INDEX($AI$12:$AI$263,MATCH($AQ209,$AP$12:$AP$263,0)), "-"),     TRUE, "0")</f>
        <v>0</v>
      </c>
      <c r="CZ209" s="588">
        <f>IF(CY$9&gt;0, IF(OR(CY209="",CY209="-"), 0, CY209*$AT209), CX209*$AJ209)</f>
        <v>0</v>
      </c>
      <c r="DA209" s="587">
        <f>[1]COMMANDE!BA207</f>
        <v>0</v>
      </c>
      <c r="DB209" s="586" t="str">
        <f>_xlfn.IFS(AND($AI209=$AM209,$AI209&gt;0,$AM209&gt;0,DA209&gt;0), DA209,     AND(NOT($AI209=$AM209),$AI209&gt;0,$AM209&gt;0,DA209&gt;0), ($AM209*DA209)/$AI209,     AND($AI209=0,$AM209&gt;0,$AQ209&gt;0), IF(INDEX(DA$12:DA$263,MATCH($AQ209,$AP$12:$AP$263,0))&gt;0,($AM209*INDEX(DA$12:DA$263,MATCH($AQ209,$AP$12:$AP$263,0)))/INDEX($AI$12:$AI$263,MATCH($AQ209,$AP$12:$AP$263,0)), "-"),     TRUE, "0")</f>
        <v>0</v>
      </c>
      <c r="DC209" s="606">
        <f>IF(DB$9&gt;0, IF(OR(DB209="",DB209="-"), 0, DB209*$AT209), DA209*$AJ209)</f>
        <v>0</v>
      </c>
      <c r="DD209" s="584"/>
      <c r="DE209" s="583"/>
    </row>
    <row r="210" spans="1:109" ht="39.950000000000003" hidden="1" customHeight="1">
      <c r="A210" s="604">
        <f>IF(OR($AV210&gt;0, $AX210&gt;0), 1, 0)</f>
        <v>0</v>
      </c>
      <c r="B210" s="604">
        <f>IF(OR($AY210&gt;0, $BA210&gt;0), 1, 0)</f>
        <v>0</v>
      </c>
      <c r="C210" s="604">
        <f>IF(OR($BB210&gt;0, $BD210&gt;0), 1, 0)</f>
        <v>0</v>
      </c>
      <c r="D210" s="604">
        <f>IF(OR($BE210&gt;0, $BG210&gt;0), 1, 0)</f>
        <v>0</v>
      </c>
      <c r="E210" s="604">
        <f>IF(OR($BH210&gt;0, $BJ210&gt;0), 1, 0)</f>
        <v>0</v>
      </c>
      <c r="F210" s="604">
        <f>IF(OR($BK210&gt;0, $BM210&gt;0), 1, 0)</f>
        <v>0</v>
      </c>
      <c r="G210" s="604">
        <f>IF(OR($BN210&gt;0, $BP210&gt;0), 1, 0)</f>
        <v>0</v>
      </c>
      <c r="H210" s="604">
        <f>IF(OR($BQ210&gt;0, $BS210&gt;0), 1, 0)</f>
        <v>0</v>
      </c>
      <c r="I210" s="604">
        <f>IF(OR($BT210&gt;0, $BV210&gt;0), 1, 0)</f>
        <v>0</v>
      </c>
      <c r="J210" s="604">
        <f>IF(OR($BW210&gt;0, $BY210&gt;0), 1, 0)</f>
        <v>0</v>
      </c>
      <c r="K210" s="604">
        <f>IF(OR($BZ210&gt;0, $CB210&gt;0), 1, 0)</f>
        <v>0</v>
      </c>
      <c r="L210" s="604">
        <f>IF(OR($CC210&gt;0, $CE210&gt;0), 1, 0)</f>
        <v>0</v>
      </c>
      <c r="M210" s="604">
        <f>IF(OR($CF210&gt;0, $CH210&gt;0), 1, 0)</f>
        <v>0</v>
      </c>
      <c r="N210" s="604">
        <f>IF(OR($CI210&gt;0, $CK210&gt;0), 1, 0)</f>
        <v>0</v>
      </c>
      <c r="O210" s="604">
        <f>IF(OR($CL210&gt;0, $CN210&gt;0), 1, 0)</f>
        <v>0</v>
      </c>
      <c r="P210" s="604">
        <f>IF(OR($CO210&gt;0, $CQ210&gt;0), 1, 0)</f>
        <v>0</v>
      </c>
      <c r="Q210" s="604">
        <f>IF(OR($CR210&gt;0, $CT210&gt;0), 1, 0)</f>
        <v>0</v>
      </c>
      <c r="R210" s="604">
        <f>IF(OR($CU210&gt;0, $CW210&gt;0), 1, 0)</f>
        <v>0</v>
      </c>
      <c r="S210" s="604">
        <f>IF(OR($CX210&gt;0, $CZ210&gt;0), 1, 0)</f>
        <v>0</v>
      </c>
      <c r="T210" s="604">
        <f>IF(OR($DA210&gt;0, $DC210&gt;0), 1, 0)</f>
        <v>0</v>
      </c>
      <c r="U210" s="603">
        <f>IF(OR($AI210&gt;0,$AM210&gt;0,$AS210&gt;0), 1, 0)</f>
        <v>0</v>
      </c>
      <c r="V210" s="602">
        <f>[1]BDD!A200</f>
        <v>6179</v>
      </c>
      <c r="W210" s="601" t="str">
        <f>[1]BDD!B200</f>
        <v>Pâte de Datte BIO</v>
      </c>
      <c r="X210" s="600" t="str">
        <f>IF([1]BDD!F200=0, "", [1]BDD!F200)</f>
        <v/>
      </c>
      <c r="Y210" s="542">
        <f>ROUND([1]BDD!G200+FDP_CMD_KG, 2)</f>
        <v>7.69</v>
      </c>
      <c r="Z210" s="542">
        <f>ROUND([1]BDD!G200+FDP_FACT_KG, 2)</f>
        <v>7.69</v>
      </c>
      <c r="AA210" s="543" t="str">
        <f>[1]BDD!H200</f>
        <v>kg</v>
      </c>
      <c r="AB210" s="544">
        <f>IF(NOT(ISBLANK([1]BDD!I200)), ROUND(SUM(([1]BDD!G200*reduc1),FDP_CMD_KG), 2), "")</f>
        <v>7.01</v>
      </c>
      <c r="AC210" s="544" t="str">
        <f>IF(NOT(ISBLANK([1]BDD!J200)), ROUND(SUM(([1]BDD!G200*reduc2),FDP_CMD_KG), 2), "")</f>
        <v/>
      </c>
      <c r="AD210" s="544" t="str">
        <f>IF(NOT(ISBLANK([1]BDD!K200)), ROUND(SUM(([1]BDD!G200*reduc3),FDP_CMD_KG), 2), "")</f>
        <v/>
      </c>
      <c r="AE210" s="544">
        <f>IF(NOT(ISBLANK([1]BDD!I200)), ROUND(SUM(([1]BDD!G200*reduc1),FDP_FACT_KG), 2), "")</f>
        <v>7</v>
      </c>
      <c r="AF210" s="544" t="str">
        <f>IF(NOT(ISBLANK([1]BDD!J200)), ROUND(SUM(([1]BDD!G200*reduc2),FDP_FACT_KG), 2), "")</f>
        <v/>
      </c>
      <c r="AG210" s="544" t="str">
        <f>IF(NOT(ISBLANK([1]BDD!K200)), ROUND(SUM(([1]BDD!G200*reduc3),FDP_FACT_KG), 2), "")</f>
        <v/>
      </c>
      <c r="AH210" s="599" t="str">
        <f>[1]BDD!C200</f>
        <v>Israël</v>
      </c>
      <c r="AI210" s="598">
        <f>SUM(AV210,AY210,BB210,BE210,BH210,BK210,BN210,BQ210,BT210,BW210,BZ210,CC210,CF210,CI210,CL210,CO210,CR210,CU210,CX210,DA210)</f>
        <v>0</v>
      </c>
      <c r="AJ210" s="545">
        <f>_xlfn.IFS($AD210&lt;&gt;"", $AD210,    $AC210&lt;&gt;"", $AC210,    $AB210&lt;&gt;"", $AB210,    TRUE, $Y210)</f>
        <v>7.01</v>
      </c>
      <c r="AK210" s="592">
        <f>$AI210*$AJ210</f>
        <v>0</v>
      </c>
      <c r="AL210" s="594"/>
      <c r="AM210" s="597"/>
      <c r="AN210" s="545">
        <f>_xlfn.IFS(AND(AM210&gt;=60,$AG210&lt;&gt;""), $AG210,    AND(AM210&gt;=30,$AF210&lt;&gt;""), $AF210,    AND(AM210&gt;=10,$AE210&lt;&gt;""), $AE210,    TRUE, $Z210)</f>
        <v>7.69</v>
      </c>
      <c r="AO210" s="596">
        <f>AM210*AN210</f>
        <v>0</v>
      </c>
      <c r="AP210" s="595"/>
      <c r="AQ210" s="595"/>
      <c r="AR210" s="594"/>
      <c r="AS210" s="593">
        <f>SUM(AW210,AZ210,BC210,BF210,BI210,BL210,BO210,BR210,BU210,BX210,CA210,CD210,CG210,CJ210,CM210,CP210,CS210,CV210,CY210,DB210)</f>
        <v>0</v>
      </c>
      <c r="AT210" s="545">
        <f>_xlfn.IFS(AND(AS210&gt;=60,$AG210&lt;&gt;""), $AG210,    AND(AS210&gt;=30,$AF210&lt;&gt;""), $AF210,    AND(AS210&gt;=10,$AE210&lt;&gt;""), $AE210,    TRUE, $Z210)</f>
        <v>7.69</v>
      </c>
      <c r="AU210" s="592">
        <f>$AS210*$AT210</f>
        <v>0</v>
      </c>
      <c r="AV210" s="591">
        <f>[1]COMMANDE!O208</f>
        <v>0</v>
      </c>
      <c r="AW210" s="586" t="str">
        <f>_xlfn.IFS(AND($AI210=$AM210,$AI210&gt;0,$AM210&gt;0,AV210&gt;0), AV210,     AND(NOT($AI210=$AM210),$AI210&gt;0,$AM210&gt;0,AV210&gt;0), ($AM210*AV210)/$AI210,     AND($AI210=0,$AM210&gt;0,$AQ210&gt;0), IF(INDEX(AV$12:AV$263,MATCH($AQ210,$AP$12:$AP$263,0))&gt;0,($AM210*INDEX(AV$12:AV$263,MATCH($AQ210,$AP$12:$AP$263,0)))/INDEX($AI$12:$AI$263,MATCH($AQ210,$AP$12:$AP$263,0)), "-"),     TRUE, "0")</f>
        <v>0</v>
      </c>
      <c r="AX210" s="588">
        <f>IF(AW$9&gt;0, IF(OR(AW210="",AW210="-"), 0, AW210*$AT210), AV210*$AJ210)</f>
        <v>0</v>
      </c>
      <c r="AY210" s="587">
        <f>[1]COMMANDE!Q208</f>
        <v>0</v>
      </c>
      <c r="AZ210" s="586" t="str">
        <f>_xlfn.IFS(AND($AI210=$AM210,$AI210&gt;0,$AM210&gt;0,AY210&gt;0), AY210,     AND(NOT($AI210=$AM210),$AI210&gt;0,$AM210&gt;0,AY210&gt;0), ($AM210*AY210)/$AI210,     AND($AI210=0,$AM210&gt;0,$AQ210&gt;0), IF(INDEX(AY$12:AY$263,MATCH($AQ210,$AP$12:$AP$263,0))&gt;0,($AM210*INDEX(AY$12:AY$263,MATCH($AQ210,$AP$12:$AP$263,0)))/INDEX($AI$12:$AI$263,MATCH($AQ210,$AP$12:$AP$263,0)), "-"),     TRUE, "0")</f>
        <v>0</v>
      </c>
      <c r="BA210" s="607">
        <f>IF(AZ$9&gt;0, IF(OR(AZ210="",AZ210="-"), 0, AZ210*$AT210), AY210*$AJ210)</f>
        <v>0</v>
      </c>
      <c r="BB210" s="589">
        <f>[1]COMMANDE!S208</f>
        <v>0</v>
      </c>
      <c r="BC210" s="586" t="str">
        <f>_xlfn.IFS(AND($AI210=$AM210,$AI210&gt;0,$AM210&gt;0,BB210&gt;0), BB210,     AND(NOT($AI210=$AM210),$AI210&gt;0,$AM210&gt;0,BB210&gt;0), ($AM210*BB210)/$AI210,     AND($AI210=0,$AM210&gt;0,$AQ210&gt;0), IF(INDEX(BB$12:BB$263,MATCH($AQ210,$AP$12:$AP$263,0))&gt;0,($AM210*INDEX(BB$12:BB$263,MATCH($AQ210,$AP$12:$AP$263,0)))/INDEX($AI$12:$AI$263,MATCH($AQ210,$AP$12:$AP$263,0)), "-"),     TRUE, "0")</f>
        <v>0</v>
      </c>
      <c r="BD210" s="588">
        <f>IF(BC$9&gt;0, IF(OR(BC210="",BC210="-"), 0, BC210*$AT210), BB210*$AJ210)</f>
        <v>0</v>
      </c>
      <c r="BE210" s="587">
        <f>[1]COMMANDE!U208</f>
        <v>0</v>
      </c>
      <c r="BF210" s="586" t="str">
        <f>_xlfn.IFS(AND($AI210=$AM210,$AI210&gt;0,$AM210&gt;0,BE210&gt;0), BE210,     AND(NOT($AI210=$AM210),$AI210&gt;0,$AM210&gt;0,BE210&gt;0), ($AM210*BE210)/$AI210,     AND($AI210=0,$AM210&gt;0,$AQ210&gt;0), IF(INDEX(BE$12:BE$263,MATCH($AQ210,$AP$12:$AP$263,0))&gt;0,($AM210*INDEX(BE$12:BE$263,MATCH($AQ210,$AP$12:$AP$263,0)))/INDEX($AI$12:$AI$263,MATCH($AQ210,$AP$12:$AP$263,0)), "-"),     TRUE, "0")</f>
        <v>0</v>
      </c>
      <c r="BG210" s="607">
        <f>IF(BF$9&gt;0, IF(OR(BF210="",BF210="-"), 0, BF210*$AT210), BE210*$AJ210)</f>
        <v>0</v>
      </c>
      <c r="BH210" s="589">
        <f>[1]COMMANDE!W208</f>
        <v>0</v>
      </c>
      <c r="BI210" s="586" t="str">
        <f>_xlfn.IFS(AND($AI210=$AM210,$AI210&gt;0,$AM210&gt;0,BH210&gt;0), BH210,     AND(NOT($AI210=$AM210),$AI210&gt;0,$AM210&gt;0,BH210&gt;0), ($AM210*BH210)/$AI210,     AND($AI210=0,$AM210&gt;0,$AQ210&gt;0), IF(INDEX(BH$12:BH$263,MATCH($AQ210,$AP$12:$AP$263,0))&gt;0,($AM210*INDEX(BH$12:BH$263,MATCH($AQ210,$AP$12:$AP$263,0)))/INDEX($AI$12:$AI$263,MATCH($AQ210,$AP$12:$AP$263,0)), "-"),     TRUE, "0")</f>
        <v>0</v>
      </c>
      <c r="BJ210" s="588">
        <f>IF(BI$9&gt;0, IF(OR(BI210="",BI210="-"), 0, BI210*$AT210), BH210*$AJ210)</f>
        <v>0</v>
      </c>
      <c r="BK210" s="587">
        <f>[1]COMMANDE!Y208</f>
        <v>0</v>
      </c>
      <c r="BL210" s="586" t="str">
        <f>_xlfn.IFS(AND($AI210=$AM210,$AI210&gt;0,$AM210&gt;0,BK210&gt;0), BK210,     AND(NOT($AI210=$AM210),$AI210&gt;0,$AM210&gt;0,BK210&gt;0), ($AM210*BK210)/$AI210,     AND($AI210=0,$AM210&gt;0,$AQ210&gt;0), IF(INDEX(BK$12:BK$263,MATCH($AQ210,$AP$12:$AP$263,0))&gt;0,($AM210*INDEX(BK$12:BK$263,MATCH($AQ210,$AP$12:$AP$263,0)))/INDEX($AI$12:$AI$263,MATCH($AQ210,$AP$12:$AP$263,0)), "-"),     TRUE, "0")</f>
        <v>0</v>
      </c>
      <c r="BM210" s="607">
        <f>IF(BL$9&gt;0, IF(OR(BL210="",BL210="-"), 0, BL210*$AT210), BK210*$AJ210)</f>
        <v>0</v>
      </c>
      <c r="BN210" s="589">
        <f>[1]COMMANDE!AA208</f>
        <v>0</v>
      </c>
      <c r="BO210" s="586" t="str">
        <f>_xlfn.IFS(AND($AI210=$AM210,$AI210&gt;0,$AM210&gt;0,BN210&gt;0), BN210,     AND(NOT($AI210=$AM210),$AI210&gt;0,$AM210&gt;0,BN210&gt;0), ($AM210*BN210)/$AI210,     AND($AI210=0,$AM210&gt;0,$AQ210&gt;0), IF(INDEX(BN$12:BN$263,MATCH($AQ210,$AP$12:$AP$263,0))&gt;0,($AM210*INDEX(BN$12:BN$263,MATCH($AQ210,$AP$12:$AP$263,0)))/INDEX($AI$12:$AI$263,MATCH($AQ210,$AP$12:$AP$263,0)), "-"),     TRUE, "0")</f>
        <v>0</v>
      </c>
      <c r="BP210" s="588">
        <f>IF(BO$9&gt;0, IF(OR(BO210="",BO210="-"), 0, BO210*$AT210), BN210*$AJ210)</f>
        <v>0</v>
      </c>
      <c r="BQ210" s="587">
        <f>[1]COMMANDE!AC208</f>
        <v>0</v>
      </c>
      <c r="BR210" s="586" t="str">
        <f>_xlfn.IFS(AND($AI210=$AM210,$AI210&gt;0,$AM210&gt;0,BQ210&gt;0), BQ210,     AND(NOT($AI210=$AM210),$AI210&gt;0,$AM210&gt;0,BQ210&gt;0), ($AM210*BQ210)/$AI210,     AND($AI210=0,$AM210&gt;0,$AQ210&gt;0), IF(INDEX(BQ$12:BQ$263,MATCH($AQ210,$AP$12:$AP$263,0))&gt;0,($AM210*INDEX(BQ$12:BQ$263,MATCH($AQ210,$AP$12:$AP$263,0)))/INDEX($AI$12:$AI$263,MATCH($AQ210,$AP$12:$AP$263,0)), "-"),     TRUE, "0")</f>
        <v>0</v>
      </c>
      <c r="BS210" s="607">
        <f>IF(BR$9&gt;0, IF(OR(BR210="",BR210="-"), 0, BR210*$AT210), BQ210*$AJ210)</f>
        <v>0</v>
      </c>
      <c r="BT210" s="589">
        <f>[1]COMMANDE!AE208</f>
        <v>0</v>
      </c>
      <c r="BU210" s="586" t="str">
        <f>_xlfn.IFS(AND($AI210=$AM210,$AI210&gt;0,$AM210&gt;0,BT210&gt;0), BT210,     AND(NOT($AI210=$AM210),$AI210&gt;0,$AM210&gt;0,BT210&gt;0), ($AM210*BT210)/$AI210,     AND($AI210=0,$AM210&gt;0,$AQ210&gt;0), IF(INDEX(BT$12:BT$263,MATCH($AQ210,$AP$12:$AP$263,0))&gt;0,($AM210*INDEX(BT$12:BT$263,MATCH($AQ210,$AP$12:$AP$263,0)))/INDEX($AI$12:$AI$263,MATCH($AQ210,$AP$12:$AP$263,0)), "-"),     TRUE, "0")</f>
        <v>0</v>
      </c>
      <c r="BV210" s="588">
        <f>IF(BU$9&gt;0, IF(OR(BU210="",BU210="-"), 0, BU210*$AT210), BT210*$AJ210)</f>
        <v>0</v>
      </c>
      <c r="BW210" s="587">
        <f>[1]COMMANDE!AG208</f>
        <v>0</v>
      </c>
      <c r="BX210" s="586" t="str">
        <f>_xlfn.IFS(AND($AI210=$AM210,$AI210&gt;0,$AM210&gt;0,BW210&gt;0), BW210,     AND(NOT($AI210=$AM210),$AI210&gt;0,$AM210&gt;0,BW210&gt;0), ($AM210*BW210)/$AI210,     AND($AI210=0,$AM210&gt;0,$AQ210&gt;0), IF(INDEX(BW$12:BW$263,MATCH($AQ210,$AP$12:$AP$263,0))&gt;0,($AM210*INDEX(BW$12:BW$263,MATCH($AQ210,$AP$12:$AP$263,0)))/INDEX($AI$12:$AI$263,MATCH($AQ210,$AP$12:$AP$263,0)), "-"),     TRUE, "0")</f>
        <v>0</v>
      </c>
      <c r="BY210" s="607">
        <f>IF(BX$9&gt;0, IF(OR(BX210="",BX210="-"), 0, BX210*$AT210), BW210*$AJ210)</f>
        <v>0</v>
      </c>
      <c r="BZ210" s="589">
        <f>[1]COMMANDE!AI208</f>
        <v>0</v>
      </c>
      <c r="CA210" s="586" t="str">
        <f>_xlfn.IFS(AND($AI210=$AM210,$AI210&gt;0,$AM210&gt;0,BZ210&gt;0), BZ210,     AND(NOT($AI210=$AM210),$AI210&gt;0,$AM210&gt;0,BZ210&gt;0), ($AM210*BZ210)/$AI210,     AND($AI210=0,$AM210&gt;0,$AQ210&gt;0), IF(INDEX(BZ$12:BZ$263,MATCH($AQ210,$AP$12:$AP$263,0))&gt;0,($AM210*INDEX(BZ$12:BZ$263,MATCH($AQ210,$AP$12:$AP$263,0)))/INDEX($AI$12:$AI$263,MATCH($AQ210,$AP$12:$AP$263,0)), "-"),     TRUE, "0")</f>
        <v>0</v>
      </c>
      <c r="CB210" s="588">
        <f>IF(CA$9&gt;0, IF(OR(CA210="",CA210="-"), 0, CA210*$AT210), BZ210*$AJ210)</f>
        <v>0</v>
      </c>
      <c r="CC210" s="587">
        <f>[1]COMMANDE!AK208</f>
        <v>0</v>
      </c>
      <c r="CD210" s="586" t="str">
        <f>_xlfn.IFS(AND($AI210=$AM210,$AI210&gt;0,$AM210&gt;0,CC210&gt;0), CC210,     AND(NOT($AI210=$AM210),$AI210&gt;0,$AM210&gt;0,CC210&gt;0), ($AM210*CC210)/$AI210,     AND($AI210=0,$AM210&gt;0,$AQ210&gt;0), IF(INDEX(CC$12:CC$263,MATCH($AQ210,$AP$12:$AP$263,0))&gt;0,($AM210*INDEX(CC$12:CC$263,MATCH($AQ210,$AP$12:$AP$263,0)))/INDEX($AI$12:$AI$263,MATCH($AQ210,$AP$12:$AP$263,0)), "-"),     TRUE, "0")</f>
        <v>0</v>
      </c>
      <c r="CE210" s="607">
        <f>IF(CD$9&gt;0, IF(OR(CD210="",CD210="-"), 0, CD210*$AT210), CC210*$AJ210)</f>
        <v>0</v>
      </c>
      <c r="CF210" s="589">
        <f>[1]COMMANDE!AM208</f>
        <v>0</v>
      </c>
      <c r="CG210" s="586" t="str">
        <f>_xlfn.IFS(AND($AI210=$AM210,$AI210&gt;0,$AM210&gt;0,CF210&gt;0), CF210,     AND(NOT($AI210=$AM210),$AI210&gt;0,$AM210&gt;0,CF210&gt;0), ($AM210*CF210)/$AI210,     AND($AI210=0,$AM210&gt;0,$AQ210&gt;0), IF(INDEX(CF$12:CF$263,MATCH($AQ210,$AP$12:$AP$263,0))&gt;0,($AM210*INDEX(CF$12:CF$263,MATCH($AQ210,$AP$12:$AP$263,0)))/INDEX($AI$12:$AI$263,MATCH($AQ210,$AP$12:$AP$263,0)), "-"),     TRUE, "0")</f>
        <v>0</v>
      </c>
      <c r="CH210" s="588">
        <f>IF(CG$9&gt;0, IF(OR(CG210="",CG210="-"), 0, CG210*$AT210), CF210*$AJ210)</f>
        <v>0</v>
      </c>
      <c r="CI210" s="587">
        <f>[1]COMMANDE!AO208</f>
        <v>0</v>
      </c>
      <c r="CJ210" s="586" t="str">
        <f>_xlfn.IFS(AND($AI210=$AM210,$AI210&gt;0,$AM210&gt;0,CI210&gt;0), CI210,     AND(NOT($AI210=$AM210),$AI210&gt;0,$AM210&gt;0,CI210&gt;0), ($AM210*CI210)/$AI210,     AND($AI210=0,$AM210&gt;0,$AQ210&gt;0), IF(INDEX(CI$12:CI$263,MATCH($AQ210,$AP$12:$AP$263,0))&gt;0,($AM210*INDEX(CI$12:CI$263,MATCH($AQ210,$AP$12:$AP$263,0)))/INDEX($AI$12:$AI$263,MATCH($AQ210,$AP$12:$AP$263,0)), "-"),     TRUE, "0")</f>
        <v>0</v>
      </c>
      <c r="CK210" s="607">
        <f>IF(CJ$9&gt;0, IF(OR(CJ210="",CJ210="-"), 0, CJ210*$AT210), CI210*$AJ210)</f>
        <v>0</v>
      </c>
      <c r="CL210" s="589">
        <f>[1]COMMANDE!AQ208</f>
        <v>0</v>
      </c>
      <c r="CM210" s="586" t="str">
        <f>_xlfn.IFS(AND($AI210=$AM210,$AI210&gt;0,$AM210&gt;0,CL210&gt;0), CL210,     AND(NOT($AI210=$AM210),$AI210&gt;0,$AM210&gt;0,CL210&gt;0), ($AM210*CL210)/$AI210,     AND($AI210=0,$AM210&gt;0,$AQ210&gt;0), IF(INDEX(CL$12:CL$263,MATCH($AQ210,$AP$12:$AP$263,0))&gt;0,($AM210*INDEX(CL$12:CL$263,MATCH($AQ210,$AP$12:$AP$263,0)))/INDEX($AI$12:$AI$263,MATCH($AQ210,$AP$12:$AP$263,0)), "-"),     TRUE, "0")</f>
        <v>0</v>
      </c>
      <c r="CN210" s="588">
        <f>IF(CM$9&gt;0, IF(OR(CM210="",CM210="-"), 0, CM210*$AT210), CL210*$AJ210)</f>
        <v>0</v>
      </c>
      <c r="CO210" s="587">
        <f>[1]COMMANDE!AS208</f>
        <v>0</v>
      </c>
      <c r="CP210" s="586" t="str">
        <f>_xlfn.IFS(AND($AI210=$AM210,$AI210&gt;0,$AM210&gt;0,CO210&gt;0), CO210,     AND(NOT($AI210=$AM210),$AI210&gt;0,$AM210&gt;0,CO210&gt;0), ($AM210*CO210)/$AI210,     AND($AI210=0,$AM210&gt;0,$AQ210&gt;0), IF(INDEX(CO$12:CO$263,MATCH($AQ210,$AP$12:$AP$263,0))&gt;0,($AM210*INDEX(CO$12:CO$263,MATCH($AQ210,$AP$12:$AP$263,0)))/INDEX($AI$12:$AI$263,MATCH($AQ210,$AP$12:$AP$263,0)), "-"),     TRUE, "0")</f>
        <v>0</v>
      </c>
      <c r="CQ210" s="607">
        <f>IF(CP$9&gt;0, IF(OR(CP210="",CP210="-"), 0, CP210*$AT210), CO210*$AJ210)</f>
        <v>0</v>
      </c>
      <c r="CR210" s="589">
        <f>[1]COMMANDE!AU208</f>
        <v>0</v>
      </c>
      <c r="CS210" s="586" t="str">
        <f>_xlfn.IFS(AND($AI210=$AM210,$AI210&gt;0,$AM210&gt;0,CR210&gt;0), CR210,     AND(NOT($AI210=$AM210),$AI210&gt;0,$AM210&gt;0,CR210&gt;0), ($AM210*CR210)/$AI210,     AND($AI210=0,$AM210&gt;0,$AQ210&gt;0), IF(INDEX(CR$12:CR$263,MATCH($AQ210,$AP$12:$AP$263,0))&gt;0,($AM210*INDEX(CR$12:CR$263,MATCH($AQ210,$AP$12:$AP$263,0)))/INDEX($AI$12:$AI$263,MATCH($AQ210,$AP$12:$AP$263,0)), "-"),     TRUE, "0")</f>
        <v>0</v>
      </c>
      <c r="CT210" s="588">
        <f>IF(CS$9&gt;0, IF(OR(CS210="",CS210="-"), 0, CS210*$AT210), CR210*$AJ210)</f>
        <v>0</v>
      </c>
      <c r="CU210" s="587">
        <f>[1]COMMANDE!AW208</f>
        <v>0</v>
      </c>
      <c r="CV210" s="586" t="str">
        <f>_xlfn.IFS(AND($AI210=$AM210,$AI210&gt;0,$AM210&gt;0,CU210&gt;0), CU210,     AND(NOT($AI210=$AM210),$AI210&gt;0,$AM210&gt;0,CU210&gt;0), ($AM210*CU210)/$AI210,     AND($AI210=0,$AM210&gt;0,$AQ210&gt;0), IF(INDEX(CU$12:CU$263,MATCH($AQ210,$AP$12:$AP$263,0))&gt;0,($AM210*INDEX(CU$12:CU$263,MATCH($AQ210,$AP$12:$AP$263,0)))/INDEX($AI$12:$AI$263,MATCH($AQ210,$AP$12:$AP$263,0)), "-"),     TRUE, "0")</f>
        <v>0</v>
      </c>
      <c r="CW210" s="607">
        <f>IF(CV$9&gt;0, IF(OR(CV210="",CV210="-"), 0, CV210*$AT210), CU210*$AJ210)</f>
        <v>0</v>
      </c>
      <c r="CX210" s="589">
        <f>[1]COMMANDE!AY208</f>
        <v>0</v>
      </c>
      <c r="CY210" s="586" t="str">
        <f>_xlfn.IFS(AND($AI210=$AM210,$AI210&gt;0,$AM210&gt;0,CX210&gt;0), CX210,     AND(NOT($AI210=$AM210),$AI210&gt;0,$AM210&gt;0,CX210&gt;0), ($AM210*CX210)/$AI210,     AND($AI210=0,$AM210&gt;0,$AQ210&gt;0), IF(INDEX(CX$12:CX$263,MATCH($AQ210,$AP$12:$AP$263,0))&gt;0,($AM210*INDEX(CX$12:CX$263,MATCH($AQ210,$AP$12:$AP$263,0)))/INDEX($AI$12:$AI$263,MATCH($AQ210,$AP$12:$AP$263,0)), "-"),     TRUE, "0")</f>
        <v>0</v>
      </c>
      <c r="CZ210" s="588">
        <f>IF(CY$9&gt;0, IF(OR(CY210="",CY210="-"), 0, CY210*$AT210), CX210*$AJ210)</f>
        <v>0</v>
      </c>
      <c r="DA210" s="587">
        <f>[1]COMMANDE!BA208</f>
        <v>0</v>
      </c>
      <c r="DB210" s="586" t="str">
        <f>_xlfn.IFS(AND($AI210=$AM210,$AI210&gt;0,$AM210&gt;0,DA210&gt;0), DA210,     AND(NOT($AI210=$AM210),$AI210&gt;0,$AM210&gt;0,DA210&gt;0), ($AM210*DA210)/$AI210,     AND($AI210=0,$AM210&gt;0,$AQ210&gt;0), IF(INDEX(DA$12:DA$263,MATCH($AQ210,$AP$12:$AP$263,0))&gt;0,($AM210*INDEX(DA$12:DA$263,MATCH($AQ210,$AP$12:$AP$263,0)))/INDEX($AI$12:$AI$263,MATCH($AQ210,$AP$12:$AP$263,0)), "-"),     TRUE, "0")</f>
        <v>0</v>
      </c>
      <c r="DC210" s="606">
        <f>IF(DB$9&gt;0, IF(OR(DB210="",DB210="-"), 0, DB210*$AT210), DA210*$AJ210)</f>
        <v>0</v>
      </c>
      <c r="DD210" s="584"/>
      <c r="DE210" s="583"/>
    </row>
    <row r="211" spans="1:109" ht="39.950000000000003" hidden="1" customHeight="1">
      <c r="A211" s="605">
        <f>IF(OR($AV211&gt;0, $AX211&gt;0), 1, 0)</f>
        <v>0</v>
      </c>
      <c r="B211" s="605">
        <f>IF(OR($AY211&gt;0, $BA211&gt;0), 1, 0)</f>
        <v>0</v>
      </c>
      <c r="C211" s="605">
        <f>IF(OR($BB211&gt;0, $BD211&gt;0), 1, 0)</f>
        <v>0</v>
      </c>
      <c r="D211" s="605">
        <f>IF(OR($BE211&gt;0, $BG211&gt;0), 1, 0)</f>
        <v>0</v>
      </c>
      <c r="E211" s="605">
        <f>IF(OR($BH211&gt;0, $BJ211&gt;0), 1, 0)</f>
        <v>0</v>
      </c>
      <c r="F211" s="605">
        <f>IF(OR($BK211&gt;0, $BM211&gt;0), 1, 0)</f>
        <v>0</v>
      </c>
      <c r="G211" s="605">
        <f>IF(OR($BN211&gt;0, $BP211&gt;0), 1, 0)</f>
        <v>0</v>
      </c>
      <c r="H211" s="605">
        <f>IF(OR($BQ211&gt;0, $BS211&gt;0), 1, 0)</f>
        <v>0</v>
      </c>
      <c r="I211" s="605">
        <f>IF(OR($BT211&gt;0, $BV211&gt;0), 1, 0)</f>
        <v>0</v>
      </c>
      <c r="J211" s="605">
        <f>IF(OR($BW211&gt;0, $BY211&gt;0), 1, 0)</f>
        <v>0</v>
      </c>
      <c r="K211" s="605">
        <f>IF(OR($BZ211&gt;0, $CB211&gt;0), 1, 0)</f>
        <v>0</v>
      </c>
      <c r="L211" s="605">
        <f>IF(OR($CC211&gt;0, $CE211&gt;0), 1, 0)</f>
        <v>0</v>
      </c>
      <c r="M211" s="605">
        <f>IF(OR($CF211&gt;0, $CH211&gt;0), 1, 0)</f>
        <v>0</v>
      </c>
      <c r="N211" s="605">
        <f>IF(OR($CI211&gt;0, $CK211&gt;0), 1, 0)</f>
        <v>0</v>
      </c>
      <c r="O211" s="605">
        <f>IF(OR($CL211&gt;0, $CN211&gt;0), 1, 0)</f>
        <v>0</v>
      </c>
      <c r="P211" s="604">
        <f>IF(OR($CO211&gt;0, $CQ211&gt;0), 1, 0)</f>
        <v>0</v>
      </c>
      <c r="Q211" s="604">
        <f>IF(OR($CR211&gt;0, $CT211&gt;0), 1, 0)</f>
        <v>0</v>
      </c>
      <c r="R211" s="604">
        <f>IF(OR($CU211&gt;0, $CW211&gt;0), 1, 0)</f>
        <v>0</v>
      </c>
      <c r="S211" s="604">
        <f>IF(OR($CX211&gt;0, $CZ211&gt;0), 1, 0)</f>
        <v>0</v>
      </c>
      <c r="T211" s="604">
        <f>IF(OR($DA211&gt;0, $DC211&gt;0), 1, 0)</f>
        <v>0</v>
      </c>
      <c r="U211" s="603">
        <f>IF(OR($AI211&gt;0,$AM211&gt;0,$AS211&gt;0), 1, 0)</f>
        <v>0</v>
      </c>
      <c r="V211" s="602">
        <f>[1]BDD!A201</f>
        <v>6584</v>
      </c>
      <c r="W211" s="601" t="str">
        <f>[1]BDD!B201</f>
        <v>Piment picant de la Vera BIO (env. 1kg)</v>
      </c>
      <c r="X211" s="600" t="str">
        <f>IF([1]BDD!F201=0, "", [1]BDD!F201)</f>
        <v/>
      </c>
      <c r="Y211" s="542">
        <f>ROUND([1]BDD!G201+FDP_CMD_KG, 2)</f>
        <v>17.28</v>
      </c>
      <c r="Z211" s="542">
        <f>ROUND([1]BDD!G201+FDP_FACT_KG, 2)</f>
        <v>17.28</v>
      </c>
      <c r="AA211" s="543" t="str">
        <f>[1]BDD!H201</f>
        <v>Pièce</v>
      </c>
      <c r="AB211" s="544" t="str">
        <f>IF(NOT(ISBLANK([1]BDD!I201)), ROUND(SUM(([1]BDD!G201*reduc1),FDP_CMD_KG), 2), "")</f>
        <v/>
      </c>
      <c r="AC211" s="544" t="str">
        <f>IF(NOT(ISBLANK([1]BDD!J201)), ROUND(SUM(([1]BDD!G201*reduc2),FDP_CMD_KG), 2), "")</f>
        <v/>
      </c>
      <c r="AD211" s="544" t="str">
        <f>IF(NOT(ISBLANK([1]BDD!K201)), ROUND(SUM(([1]BDD!G201*reduc3),FDP_CMD_KG), 2), "")</f>
        <v/>
      </c>
      <c r="AE211" s="544" t="str">
        <f>IF(NOT(ISBLANK([1]BDD!I201)), ROUND(SUM(([1]BDD!G201*reduc1),FDP_FACT_KG), 2), "")</f>
        <v/>
      </c>
      <c r="AF211" s="544" t="str">
        <f>IF(NOT(ISBLANK([1]BDD!J201)), ROUND(SUM(([1]BDD!G201*reduc2),FDP_FACT_KG), 2), "")</f>
        <v/>
      </c>
      <c r="AG211" s="544" t="str">
        <f>IF(NOT(ISBLANK([1]BDD!K201)), ROUND(SUM(([1]BDD!G201*reduc3),FDP_FACT_KG), 2), "")</f>
        <v/>
      </c>
      <c r="AH211" s="599" t="str">
        <f>[1]BDD!C201</f>
        <v>Sierra de Gredos</v>
      </c>
      <c r="AI211" s="598">
        <f>SUM(AV211,AY211,BB211,BE211,BH211,BK211,BN211,BQ211,BT211,BW211,BZ211,CC211,CF211,CI211,CL211,CO211,CR211,CU211,CX211,DA211)</f>
        <v>0</v>
      </c>
      <c r="AJ211" s="545">
        <f>_xlfn.IFS($AD211&lt;&gt;"", $AD211,    $AC211&lt;&gt;"", $AC211,    $AB211&lt;&gt;"", $AB211,    TRUE, $Y211)</f>
        <v>17.28</v>
      </c>
      <c r="AK211" s="592">
        <f>$AI211*$AJ211</f>
        <v>0</v>
      </c>
      <c r="AL211" s="594"/>
      <c r="AM211" s="597"/>
      <c r="AN211" s="545">
        <f>_xlfn.IFS(AND(AM211&gt;=60,$AG211&lt;&gt;""), $AG211,    AND(AM211&gt;=30,$AF211&lt;&gt;""), $AF211,    AND(AM211&gt;=10,$AE211&lt;&gt;""), $AE211,    TRUE, $Z211)</f>
        <v>17.28</v>
      </c>
      <c r="AO211" s="596">
        <f>AM211*AN211</f>
        <v>0</v>
      </c>
      <c r="AP211" s="595"/>
      <c r="AQ211" s="595"/>
      <c r="AR211" s="594"/>
      <c r="AS211" s="593">
        <f>SUM(AW211,AZ211,BC211,BF211,BI211,BL211,BO211,BR211,BU211,BX211,CA211,CD211,CG211,CJ211,CM211,CP211,CS211,CV211,CY211,DB211)</f>
        <v>0</v>
      </c>
      <c r="AT211" s="545">
        <f>_xlfn.IFS(AND(AS211&gt;=60,$AG211&lt;&gt;""), $AG211,    AND(AS211&gt;=30,$AF211&lt;&gt;""), $AF211,    AND(AS211&gt;=10,$AE211&lt;&gt;""), $AE211,    TRUE, $Z211)</f>
        <v>17.28</v>
      </c>
      <c r="AU211" s="592">
        <f>$AS211*$AT211</f>
        <v>0</v>
      </c>
      <c r="AV211" s="591">
        <f>[1]COMMANDE!O209</f>
        <v>0</v>
      </c>
      <c r="AW211" s="586" t="str">
        <f>_xlfn.IFS(AND($AI211=$AM211,$AI211&gt;0,$AM211&gt;0,AV211&gt;0), AV211,     AND(NOT($AI211=$AM211),$AI211&gt;0,$AM211&gt;0,AV211&gt;0), ($AM211*AV211)/$AI211,     AND($AI211=0,$AM211&gt;0,$AQ211&gt;0), IF(INDEX(AV$12:AV$263,MATCH($AQ211,$AP$12:$AP$263,0))&gt;0,($AM211*INDEX(AV$12:AV$263,MATCH($AQ211,$AP$12:$AP$263,0)))/INDEX($AI$12:$AI$263,MATCH($AQ211,$AP$12:$AP$263,0)), "-"),     TRUE, "0")</f>
        <v>0</v>
      </c>
      <c r="AX211" s="588">
        <f>IF(AW$9&gt;0, IF(OR(AW211="",AW211="-"), 0, AW211*$AT211), AV211*$AJ211)</f>
        <v>0</v>
      </c>
      <c r="AY211" s="587">
        <f>[1]COMMANDE!Q209</f>
        <v>0</v>
      </c>
      <c r="AZ211" s="586" t="str">
        <f>_xlfn.IFS(AND($AI211=$AM211,$AI211&gt;0,$AM211&gt;0,AY211&gt;0), AY211,     AND(NOT($AI211=$AM211),$AI211&gt;0,$AM211&gt;0,AY211&gt;0), ($AM211*AY211)/$AI211,     AND($AI211=0,$AM211&gt;0,$AQ211&gt;0), IF(INDEX(AY$12:AY$263,MATCH($AQ211,$AP$12:$AP$263,0))&gt;0,($AM211*INDEX(AY$12:AY$263,MATCH($AQ211,$AP$12:$AP$263,0)))/INDEX($AI$12:$AI$263,MATCH($AQ211,$AP$12:$AP$263,0)), "-"),     TRUE, "0")</f>
        <v>0</v>
      </c>
      <c r="BA211" s="607">
        <f>IF(AZ$9&gt;0, IF(OR(AZ211="",AZ211="-"), 0, AZ211*$AT211), AY211*$AJ211)</f>
        <v>0</v>
      </c>
      <c r="BB211" s="589">
        <f>[1]COMMANDE!S209</f>
        <v>0</v>
      </c>
      <c r="BC211" s="586" t="str">
        <f>_xlfn.IFS(AND($AI211=$AM211,$AI211&gt;0,$AM211&gt;0,BB211&gt;0), BB211,     AND(NOT($AI211=$AM211),$AI211&gt;0,$AM211&gt;0,BB211&gt;0), ($AM211*BB211)/$AI211,     AND($AI211=0,$AM211&gt;0,$AQ211&gt;0), IF(INDEX(BB$12:BB$263,MATCH($AQ211,$AP$12:$AP$263,0))&gt;0,($AM211*INDEX(BB$12:BB$263,MATCH($AQ211,$AP$12:$AP$263,0)))/INDEX($AI$12:$AI$263,MATCH($AQ211,$AP$12:$AP$263,0)), "-"),     TRUE, "0")</f>
        <v>0</v>
      </c>
      <c r="BD211" s="588">
        <f>IF(BC$9&gt;0, IF(OR(BC211="",BC211="-"), 0, BC211*$AT211), BB211*$AJ211)</f>
        <v>0</v>
      </c>
      <c r="BE211" s="587">
        <f>[1]COMMANDE!U209</f>
        <v>0</v>
      </c>
      <c r="BF211" s="586" t="str">
        <f>_xlfn.IFS(AND($AI211=$AM211,$AI211&gt;0,$AM211&gt;0,BE211&gt;0), BE211,     AND(NOT($AI211=$AM211),$AI211&gt;0,$AM211&gt;0,BE211&gt;0), ($AM211*BE211)/$AI211,     AND($AI211=0,$AM211&gt;0,$AQ211&gt;0), IF(INDEX(BE$12:BE$263,MATCH($AQ211,$AP$12:$AP$263,0))&gt;0,($AM211*INDEX(BE$12:BE$263,MATCH($AQ211,$AP$12:$AP$263,0)))/INDEX($AI$12:$AI$263,MATCH($AQ211,$AP$12:$AP$263,0)), "-"),     TRUE, "0")</f>
        <v>0</v>
      </c>
      <c r="BG211" s="607">
        <f>IF(BF$9&gt;0, IF(OR(BF211="",BF211="-"), 0, BF211*$AT211), BE211*$AJ211)</f>
        <v>0</v>
      </c>
      <c r="BH211" s="589">
        <f>[1]COMMANDE!W209</f>
        <v>0</v>
      </c>
      <c r="BI211" s="586" t="str">
        <f>_xlfn.IFS(AND($AI211=$AM211,$AI211&gt;0,$AM211&gt;0,BH211&gt;0), BH211,     AND(NOT($AI211=$AM211),$AI211&gt;0,$AM211&gt;0,BH211&gt;0), ($AM211*BH211)/$AI211,     AND($AI211=0,$AM211&gt;0,$AQ211&gt;0), IF(INDEX(BH$12:BH$263,MATCH($AQ211,$AP$12:$AP$263,0))&gt;0,($AM211*INDEX(BH$12:BH$263,MATCH($AQ211,$AP$12:$AP$263,0)))/INDEX($AI$12:$AI$263,MATCH($AQ211,$AP$12:$AP$263,0)), "-"),     TRUE, "0")</f>
        <v>0</v>
      </c>
      <c r="BJ211" s="588">
        <f>IF(BI$9&gt;0, IF(OR(BI211="",BI211="-"), 0, BI211*$AT211), BH211*$AJ211)</f>
        <v>0</v>
      </c>
      <c r="BK211" s="587">
        <f>[1]COMMANDE!Y209</f>
        <v>0</v>
      </c>
      <c r="BL211" s="586" t="str">
        <f>_xlfn.IFS(AND($AI211=$AM211,$AI211&gt;0,$AM211&gt;0,BK211&gt;0), BK211,     AND(NOT($AI211=$AM211),$AI211&gt;0,$AM211&gt;0,BK211&gt;0), ($AM211*BK211)/$AI211,     AND($AI211=0,$AM211&gt;0,$AQ211&gt;0), IF(INDEX(BK$12:BK$263,MATCH($AQ211,$AP$12:$AP$263,0))&gt;0,($AM211*INDEX(BK$12:BK$263,MATCH($AQ211,$AP$12:$AP$263,0)))/INDEX($AI$12:$AI$263,MATCH($AQ211,$AP$12:$AP$263,0)), "-"),     TRUE, "0")</f>
        <v>0</v>
      </c>
      <c r="BM211" s="607">
        <f>IF(BL$9&gt;0, IF(OR(BL211="",BL211="-"), 0, BL211*$AT211), BK211*$AJ211)</f>
        <v>0</v>
      </c>
      <c r="BN211" s="589">
        <f>[1]COMMANDE!AA209</f>
        <v>0</v>
      </c>
      <c r="BO211" s="586" t="str">
        <f>_xlfn.IFS(AND($AI211=$AM211,$AI211&gt;0,$AM211&gt;0,BN211&gt;0), BN211,     AND(NOT($AI211=$AM211),$AI211&gt;0,$AM211&gt;0,BN211&gt;0), ($AM211*BN211)/$AI211,     AND($AI211=0,$AM211&gt;0,$AQ211&gt;0), IF(INDEX(BN$12:BN$263,MATCH($AQ211,$AP$12:$AP$263,0))&gt;0,($AM211*INDEX(BN$12:BN$263,MATCH($AQ211,$AP$12:$AP$263,0)))/INDEX($AI$12:$AI$263,MATCH($AQ211,$AP$12:$AP$263,0)), "-"),     TRUE, "0")</f>
        <v>0</v>
      </c>
      <c r="BP211" s="588">
        <f>IF(BO$9&gt;0, IF(OR(BO211="",BO211="-"), 0, BO211*$AT211), BN211*$AJ211)</f>
        <v>0</v>
      </c>
      <c r="BQ211" s="587">
        <f>[1]COMMANDE!AC209</f>
        <v>0</v>
      </c>
      <c r="BR211" s="586" t="str">
        <f>_xlfn.IFS(AND($AI211=$AM211,$AI211&gt;0,$AM211&gt;0,BQ211&gt;0), BQ211,     AND(NOT($AI211=$AM211),$AI211&gt;0,$AM211&gt;0,BQ211&gt;0), ($AM211*BQ211)/$AI211,     AND($AI211=0,$AM211&gt;0,$AQ211&gt;0), IF(INDEX(BQ$12:BQ$263,MATCH($AQ211,$AP$12:$AP$263,0))&gt;0,($AM211*INDEX(BQ$12:BQ$263,MATCH($AQ211,$AP$12:$AP$263,0)))/INDEX($AI$12:$AI$263,MATCH($AQ211,$AP$12:$AP$263,0)), "-"),     TRUE, "0")</f>
        <v>0</v>
      </c>
      <c r="BS211" s="607">
        <f>IF(BR$9&gt;0, IF(OR(BR211="",BR211="-"), 0, BR211*$AT211), BQ211*$AJ211)</f>
        <v>0</v>
      </c>
      <c r="BT211" s="589">
        <f>[1]COMMANDE!AE209</f>
        <v>0</v>
      </c>
      <c r="BU211" s="586" t="str">
        <f>_xlfn.IFS(AND($AI211=$AM211,$AI211&gt;0,$AM211&gt;0,BT211&gt;0), BT211,     AND(NOT($AI211=$AM211),$AI211&gt;0,$AM211&gt;0,BT211&gt;0), ($AM211*BT211)/$AI211,     AND($AI211=0,$AM211&gt;0,$AQ211&gt;0), IF(INDEX(BT$12:BT$263,MATCH($AQ211,$AP$12:$AP$263,0))&gt;0,($AM211*INDEX(BT$12:BT$263,MATCH($AQ211,$AP$12:$AP$263,0)))/INDEX($AI$12:$AI$263,MATCH($AQ211,$AP$12:$AP$263,0)), "-"),     TRUE, "0")</f>
        <v>0</v>
      </c>
      <c r="BV211" s="588">
        <f>IF(BU$9&gt;0, IF(OR(BU211="",BU211="-"), 0, BU211*$AT211), BT211*$AJ211)</f>
        <v>0</v>
      </c>
      <c r="BW211" s="587">
        <f>[1]COMMANDE!AG209</f>
        <v>0</v>
      </c>
      <c r="BX211" s="586" t="str">
        <f>_xlfn.IFS(AND($AI211=$AM211,$AI211&gt;0,$AM211&gt;0,BW211&gt;0), BW211,     AND(NOT($AI211=$AM211),$AI211&gt;0,$AM211&gt;0,BW211&gt;0), ($AM211*BW211)/$AI211,     AND($AI211=0,$AM211&gt;0,$AQ211&gt;0), IF(INDEX(BW$12:BW$263,MATCH($AQ211,$AP$12:$AP$263,0))&gt;0,($AM211*INDEX(BW$12:BW$263,MATCH($AQ211,$AP$12:$AP$263,0)))/INDEX($AI$12:$AI$263,MATCH($AQ211,$AP$12:$AP$263,0)), "-"),     TRUE, "0")</f>
        <v>0</v>
      </c>
      <c r="BY211" s="607">
        <f>IF(BX$9&gt;0, IF(OR(BX211="",BX211="-"), 0, BX211*$AT211), BW211*$AJ211)</f>
        <v>0</v>
      </c>
      <c r="BZ211" s="589">
        <f>[1]COMMANDE!AI209</f>
        <v>0</v>
      </c>
      <c r="CA211" s="586" t="str">
        <f>_xlfn.IFS(AND($AI211=$AM211,$AI211&gt;0,$AM211&gt;0,BZ211&gt;0), BZ211,     AND(NOT($AI211=$AM211),$AI211&gt;0,$AM211&gt;0,BZ211&gt;0), ($AM211*BZ211)/$AI211,     AND($AI211=0,$AM211&gt;0,$AQ211&gt;0), IF(INDEX(BZ$12:BZ$263,MATCH($AQ211,$AP$12:$AP$263,0))&gt;0,($AM211*INDEX(BZ$12:BZ$263,MATCH($AQ211,$AP$12:$AP$263,0)))/INDEX($AI$12:$AI$263,MATCH($AQ211,$AP$12:$AP$263,0)), "-"),     TRUE, "0")</f>
        <v>0</v>
      </c>
      <c r="CB211" s="588">
        <f>IF(CA$9&gt;0, IF(OR(CA211="",CA211="-"), 0, CA211*$AT211), BZ211*$AJ211)</f>
        <v>0</v>
      </c>
      <c r="CC211" s="587">
        <f>[1]COMMANDE!AK209</f>
        <v>0</v>
      </c>
      <c r="CD211" s="586" t="str">
        <f>_xlfn.IFS(AND($AI211=$AM211,$AI211&gt;0,$AM211&gt;0,CC211&gt;0), CC211,     AND(NOT($AI211=$AM211),$AI211&gt;0,$AM211&gt;0,CC211&gt;0), ($AM211*CC211)/$AI211,     AND($AI211=0,$AM211&gt;0,$AQ211&gt;0), IF(INDEX(CC$12:CC$263,MATCH($AQ211,$AP$12:$AP$263,0))&gt;0,($AM211*INDEX(CC$12:CC$263,MATCH($AQ211,$AP$12:$AP$263,0)))/INDEX($AI$12:$AI$263,MATCH($AQ211,$AP$12:$AP$263,0)), "-"),     TRUE, "0")</f>
        <v>0</v>
      </c>
      <c r="CE211" s="607">
        <f>IF(CD$9&gt;0, IF(OR(CD211="",CD211="-"), 0, CD211*$AT211), CC211*$AJ211)</f>
        <v>0</v>
      </c>
      <c r="CF211" s="589">
        <f>[1]COMMANDE!AM209</f>
        <v>0</v>
      </c>
      <c r="CG211" s="586" t="str">
        <f>_xlfn.IFS(AND($AI211=$AM211,$AI211&gt;0,$AM211&gt;0,CF211&gt;0), CF211,     AND(NOT($AI211=$AM211),$AI211&gt;0,$AM211&gt;0,CF211&gt;0), ($AM211*CF211)/$AI211,     AND($AI211=0,$AM211&gt;0,$AQ211&gt;0), IF(INDEX(CF$12:CF$263,MATCH($AQ211,$AP$12:$AP$263,0))&gt;0,($AM211*INDEX(CF$12:CF$263,MATCH($AQ211,$AP$12:$AP$263,0)))/INDEX($AI$12:$AI$263,MATCH($AQ211,$AP$12:$AP$263,0)), "-"),     TRUE, "0")</f>
        <v>0</v>
      </c>
      <c r="CH211" s="588">
        <f>IF(CG$9&gt;0, IF(OR(CG211="",CG211="-"), 0, CG211*$AT211), CF211*$AJ211)</f>
        <v>0</v>
      </c>
      <c r="CI211" s="587">
        <f>[1]COMMANDE!AO209</f>
        <v>0</v>
      </c>
      <c r="CJ211" s="586" t="str">
        <f>_xlfn.IFS(AND($AI211=$AM211,$AI211&gt;0,$AM211&gt;0,CI211&gt;0), CI211,     AND(NOT($AI211=$AM211),$AI211&gt;0,$AM211&gt;0,CI211&gt;0), ($AM211*CI211)/$AI211,     AND($AI211=0,$AM211&gt;0,$AQ211&gt;0), IF(INDEX(CI$12:CI$263,MATCH($AQ211,$AP$12:$AP$263,0))&gt;0,($AM211*INDEX(CI$12:CI$263,MATCH($AQ211,$AP$12:$AP$263,0)))/INDEX($AI$12:$AI$263,MATCH($AQ211,$AP$12:$AP$263,0)), "-"),     TRUE, "0")</f>
        <v>0</v>
      </c>
      <c r="CK211" s="607">
        <f>IF(CJ$9&gt;0, IF(OR(CJ211="",CJ211="-"), 0, CJ211*$AT211), CI211*$AJ211)</f>
        <v>0</v>
      </c>
      <c r="CL211" s="589">
        <f>[1]COMMANDE!AQ209</f>
        <v>0</v>
      </c>
      <c r="CM211" s="586" t="str">
        <f>_xlfn.IFS(AND($AI211=$AM211,$AI211&gt;0,$AM211&gt;0,CL211&gt;0), CL211,     AND(NOT($AI211=$AM211),$AI211&gt;0,$AM211&gt;0,CL211&gt;0), ($AM211*CL211)/$AI211,     AND($AI211=0,$AM211&gt;0,$AQ211&gt;0), IF(INDEX(CL$12:CL$263,MATCH($AQ211,$AP$12:$AP$263,0))&gt;0,($AM211*INDEX(CL$12:CL$263,MATCH($AQ211,$AP$12:$AP$263,0)))/INDEX($AI$12:$AI$263,MATCH($AQ211,$AP$12:$AP$263,0)), "-"),     TRUE, "0")</f>
        <v>0</v>
      </c>
      <c r="CN211" s="588">
        <f>IF(CM$9&gt;0, IF(OR(CM211="",CM211="-"), 0, CM211*$AT211), CL211*$AJ211)</f>
        <v>0</v>
      </c>
      <c r="CO211" s="587">
        <f>[1]COMMANDE!AS209</f>
        <v>0</v>
      </c>
      <c r="CP211" s="586" t="str">
        <f>_xlfn.IFS(AND($AI211=$AM211,$AI211&gt;0,$AM211&gt;0,CO211&gt;0), CO211,     AND(NOT($AI211=$AM211),$AI211&gt;0,$AM211&gt;0,CO211&gt;0), ($AM211*CO211)/$AI211,     AND($AI211=0,$AM211&gt;0,$AQ211&gt;0), IF(INDEX(CO$12:CO$263,MATCH($AQ211,$AP$12:$AP$263,0))&gt;0,($AM211*INDEX(CO$12:CO$263,MATCH($AQ211,$AP$12:$AP$263,0)))/INDEX($AI$12:$AI$263,MATCH($AQ211,$AP$12:$AP$263,0)), "-"),     TRUE, "0")</f>
        <v>0</v>
      </c>
      <c r="CQ211" s="607">
        <f>IF(CP$9&gt;0, IF(OR(CP211="",CP211="-"), 0, CP211*$AT211), CO211*$AJ211)</f>
        <v>0</v>
      </c>
      <c r="CR211" s="589">
        <f>[1]COMMANDE!AU209</f>
        <v>0</v>
      </c>
      <c r="CS211" s="586" t="str">
        <f>_xlfn.IFS(AND($AI211=$AM211,$AI211&gt;0,$AM211&gt;0,CR211&gt;0), CR211,     AND(NOT($AI211=$AM211),$AI211&gt;0,$AM211&gt;0,CR211&gt;0), ($AM211*CR211)/$AI211,     AND($AI211=0,$AM211&gt;0,$AQ211&gt;0), IF(INDEX(CR$12:CR$263,MATCH($AQ211,$AP$12:$AP$263,0))&gt;0,($AM211*INDEX(CR$12:CR$263,MATCH($AQ211,$AP$12:$AP$263,0)))/INDEX($AI$12:$AI$263,MATCH($AQ211,$AP$12:$AP$263,0)), "-"),     TRUE, "0")</f>
        <v>0</v>
      </c>
      <c r="CT211" s="588">
        <f>IF(CS$9&gt;0, IF(OR(CS211="",CS211="-"), 0, CS211*$AT211), CR211*$AJ211)</f>
        <v>0</v>
      </c>
      <c r="CU211" s="587">
        <f>[1]COMMANDE!AW209</f>
        <v>0</v>
      </c>
      <c r="CV211" s="586" t="str">
        <f>_xlfn.IFS(AND($AI211=$AM211,$AI211&gt;0,$AM211&gt;0,CU211&gt;0), CU211,     AND(NOT($AI211=$AM211),$AI211&gt;0,$AM211&gt;0,CU211&gt;0), ($AM211*CU211)/$AI211,     AND($AI211=0,$AM211&gt;0,$AQ211&gt;0), IF(INDEX(CU$12:CU$263,MATCH($AQ211,$AP$12:$AP$263,0))&gt;0,($AM211*INDEX(CU$12:CU$263,MATCH($AQ211,$AP$12:$AP$263,0)))/INDEX($AI$12:$AI$263,MATCH($AQ211,$AP$12:$AP$263,0)), "-"),     TRUE, "0")</f>
        <v>0</v>
      </c>
      <c r="CW211" s="607">
        <f>IF(CV$9&gt;0, IF(OR(CV211="",CV211="-"), 0, CV211*$AT211), CU211*$AJ211)</f>
        <v>0</v>
      </c>
      <c r="CX211" s="589">
        <f>[1]COMMANDE!AY209</f>
        <v>0</v>
      </c>
      <c r="CY211" s="586" t="str">
        <f>_xlfn.IFS(AND($AI211=$AM211,$AI211&gt;0,$AM211&gt;0,CX211&gt;0), CX211,     AND(NOT($AI211=$AM211),$AI211&gt;0,$AM211&gt;0,CX211&gt;0), ($AM211*CX211)/$AI211,     AND($AI211=0,$AM211&gt;0,$AQ211&gt;0), IF(INDEX(CX$12:CX$263,MATCH($AQ211,$AP$12:$AP$263,0))&gt;0,($AM211*INDEX(CX$12:CX$263,MATCH($AQ211,$AP$12:$AP$263,0)))/INDEX($AI$12:$AI$263,MATCH($AQ211,$AP$12:$AP$263,0)), "-"),     TRUE, "0")</f>
        <v>0</v>
      </c>
      <c r="CZ211" s="588">
        <f>IF(CY$9&gt;0, IF(OR(CY211="",CY211="-"), 0, CY211*$AT211), CX211*$AJ211)</f>
        <v>0</v>
      </c>
      <c r="DA211" s="587">
        <f>[1]COMMANDE!BA209</f>
        <v>0</v>
      </c>
      <c r="DB211" s="586" t="str">
        <f>_xlfn.IFS(AND($AI211=$AM211,$AI211&gt;0,$AM211&gt;0,DA211&gt;0), DA211,     AND(NOT($AI211=$AM211),$AI211&gt;0,$AM211&gt;0,DA211&gt;0), ($AM211*DA211)/$AI211,     AND($AI211=0,$AM211&gt;0,$AQ211&gt;0), IF(INDEX(DA$12:DA$263,MATCH($AQ211,$AP$12:$AP$263,0))&gt;0,($AM211*INDEX(DA$12:DA$263,MATCH($AQ211,$AP$12:$AP$263,0)))/INDEX($AI$12:$AI$263,MATCH($AQ211,$AP$12:$AP$263,0)), "-"),     TRUE, "0")</f>
        <v>0</v>
      </c>
      <c r="DC211" s="606">
        <f>IF(DB$9&gt;0, IF(OR(DB211="",DB211="-"), 0, DB211*$AT211), DA211*$AJ211)</f>
        <v>0</v>
      </c>
      <c r="DD211" s="584"/>
      <c r="DE211" s="583"/>
    </row>
    <row r="212" spans="1:109" ht="39.950000000000003" hidden="1" customHeight="1">
      <c r="A212" s="605">
        <f>IF(OR($AV212&gt;0, $AX212&gt;0), 1, 0)</f>
        <v>0</v>
      </c>
      <c r="B212" s="605">
        <f>IF(OR($AY212&gt;0, $BA212&gt;0), 1, 0)</f>
        <v>0</v>
      </c>
      <c r="C212" s="605">
        <f>IF(OR($BB212&gt;0, $BD212&gt;0), 1, 0)</f>
        <v>0</v>
      </c>
      <c r="D212" s="605">
        <f>IF(OR($BE212&gt;0, $BG212&gt;0), 1, 0)</f>
        <v>0</v>
      </c>
      <c r="E212" s="605">
        <f>IF(OR($BH212&gt;0, $BJ212&gt;0), 1, 0)</f>
        <v>0</v>
      </c>
      <c r="F212" s="605">
        <f>IF(OR($BK212&gt;0, $BM212&gt;0), 1, 0)</f>
        <v>0</v>
      </c>
      <c r="G212" s="605">
        <f>IF(OR($BN212&gt;0, $BP212&gt;0), 1, 0)</f>
        <v>0</v>
      </c>
      <c r="H212" s="605">
        <f>IF(OR($BQ212&gt;0, $BS212&gt;0), 1, 0)</f>
        <v>0</v>
      </c>
      <c r="I212" s="605">
        <f>IF(OR($BT212&gt;0, $BV212&gt;0), 1, 0)</f>
        <v>0</v>
      </c>
      <c r="J212" s="605">
        <f>IF(OR($BW212&gt;0, $BY212&gt;0), 1, 0)</f>
        <v>0</v>
      </c>
      <c r="K212" s="605">
        <f>IF(OR($BZ212&gt;0, $CB212&gt;0), 1, 0)</f>
        <v>0</v>
      </c>
      <c r="L212" s="605">
        <f>IF(OR($CC212&gt;0, $CE212&gt;0), 1, 0)</f>
        <v>0</v>
      </c>
      <c r="M212" s="605">
        <f>IF(OR($CF212&gt;0, $CH212&gt;0), 1, 0)</f>
        <v>0</v>
      </c>
      <c r="N212" s="605">
        <f>IF(OR($CI212&gt;0, $CK212&gt;0), 1, 0)</f>
        <v>0</v>
      </c>
      <c r="O212" s="605">
        <f>IF(OR($CL212&gt;0, $CN212&gt;0), 1, 0)</f>
        <v>0</v>
      </c>
      <c r="P212" s="604">
        <f>IF(OR($CO212&gt;0, $CQ212&gt;0), 1, 0)</f>
        <v>0</v>
      </c>
      <c r="Q212" s="604">
        <f>IF(OR($CR212&gt;0, $CT212&gt;0), 1, 0)</f>
        <v>0</v>
      </c>
      <c r="R212" s="604">
        <f>IF(OR($CU212&gt;0, $CW212&gt;0), 1, 0)</f>
        <v>0</v>
      </c>
      <c r="S212" s="604">
        <f>IF(OR($CX212&gt;0, $CZ212&gt;0), 1, 0)</f>
        <v>0</v>
      </c>
      <c r="T212" s="604">
        <f>IF(OR($DA212&gt;0, $DC212&gt;0), 1, 0)</f>
        <v>0</v>
      </c>
      <c r="U212" s="603">
        <f>IF(OR($AI212&gt;0,$AM212&gt;0,$AS212&gt;0), 1, 0)</f>
        <v>0</v>
      </c>
      <c r="V212" s="602">
        <f>[1]BDD!A202</f>
        <v>3049</v>
      </c>
      <c r="W212" s="601" t="str">
        <f>[1]BDD!B202</f>
        <v>Piment rouge Ramiro (doux)</v>
      </c>
      <c r="X212" s="600" t="str">
        <f>IF([1]BDD!F202=0, "", [1]BDD!F202)</f>
        <v/>
      </c>
      <c r="Y212" s="542">
        <f>ROUND([1]BDD!G202+FDP_CMD_KG, 2)</f>
        <v>3.58</v>
      </c>
      <c r="Z212" s="542">
        <f>ROUND([1]BDD!G202+FDP_FACT_KG, 2)</f>
        <v>3.58</v>
      </c>
      <c r="AA212" s="543" t="str">
        <f>[1]BDD!H202</f>
        <v>kg</v>
      </c>
      <c r="AB212" s="544">
        <f>IF(NOT(ISBLANK([1]BDD!I202)), ROUND(SUM(([1]BDD!G202*reduc1),FDP_CMD_KG), 2), "")</f>
        <v>3.31</v>
      </c>
      <c r="AC212" s="544" t="str">
        <f>IF(NOT(ISBLANK([1]BDD!J202)), ROUND(SUM(([1]BDD!G202*reduc2),FDP_CMD_KG), 2), "")</f>
        <v/>
      </c>
      <c r="AD212" s="544" t="str">
        <f>IF(NOT(ISBLANK([1]BDD!K202)), ROUND(SUM(([1]BDD!G202*reduc3),FDP_CMD_KG), 2), "")</f>
        <v/>
      </c>
      <c r="AE212" s="544">
        <f>IF(NOT(ISBLANK([1]BDD!I202)), ROUND(SUM(([1]BDD!G202*reduc1),FDP_FACT_KG), 2), "")</f>
        <v>3.31</v>
      </c>
      <c r="AF212" s="544" t="str">
        <f>IF(NOT(ISBLANK([1]BDD!J202)), ROUND(SUM(([1]BDD!G202*reduc2),FDP_FACT_KG), 2), "")</f>
        <v/>
      </c>
      <c r="AG212" s="544" t="str">
        <f>IF(NOT(ISBLANK([1]BDD!K202)), ROUND(SUM(([1]BDD!G202*reduc3),FDP_FACT_KG), 2), "")</f>
        <v/>
      </c>
      <c r="AH212" s="599" t="str">
        <f>[1]BDD!C202</f>
        <v>Grenade</v>
      </c>
      <c r="AI212" s="598">
        <f>SUM(AV212,AY212,BB212,BE212,BH212,BK212,BN212,BQ212,BT212,BW212,BZ212,CC212,CF212,CI212,CL212,CO212,CR212,CU212,CX212,DA212)</f>
        <v>0</v>
      </c>
      <c r="AJ212" s="545">
        <f>_xlfn.IFS($AD212&lt;&gt;"", $AD212,    $AC212&lt;&gt;"", $AC212,    $AB212&lt;&gt;"", $AB212,    TRUE, $Y212)</f>
        <v>3.31</v>
      </c>
      <c r="AK212" s="592">
        <f>$AI212*$AJ212</f>
        <v>0</v>
      </c>
      <c r="AL212" s="594"/>
      <c r="AM212" s="597"/>
      <c r="AN212" s="545">
        <f>_xlfn.IFS(AND(AM212&gt;=60,$AG212&lt;&gt;""), $AG212,    AND(AM212&gt;=30,$AF212&lt;&gt;""), $AF212,    AND(AM212&gt;=10,$AE212&lt;&gt;""), $AE212,    TRUE, $Z212)</f>
        <v>3.58</v>
      </c>
      <c r="AO212" s="596">
        <f>AM212*AN212</f>
        <v>0</v>
      </c>
      <c r="AP212" s="595"/>
      <c r="AQ212" s="595"/>
      <c r="AR212" s="594"/>
      <c r="AS212" s="593">
        <f>SUM(AW212,AZ212,BC212,BF212,BI212,BL212,BO212,BR212,BU212,BX212,CA212,CD212,CG212,CJ212,CM212,CP212,CS212,CV212,CY212,DB212)</f>
        <v>0</v>
      </c>
      <c r="AT212" s="545">
        <f>_xlfn.IFS(AND(AS212&gt;=60,$AG212&lt;&gt;""), $AG212,    AND(AS212&gt;=30,$AF212&lt;&gt;""), $AF212,    AND(AS212&gt;=10,$AE212&lt;&gt;""), $AE212,    TRUE, $Z212)</f>
        <v>3.58</v>
      </c>
      <c r="AU212" s="592">
        <f>$AS212*$AT212</f>
        <v>0</v>
      </c>
      <c r="AV212" s="591">
        <f>[1]COMMANDE!O210</f>
        <v>0</v>
      </c>
      <c r="AW212" s="586" t="str">
        <f>_xlfn.IFS(AND($AI212=$AM212,$AI212&gt;0,$AM212&gt;0,AV212&gt;0), AV212,     AND(NOT($AI212=$AM212),$AI212&gt;0,$AM212&gt;0,AV212&gt;0), ($AM212*AV212)/$AI212,     AND($AI212=0,$AM212&gt;0,$AQ212&gt;0), IF(INDEX(AV$12:AV$263,MATCH($AQ212,$AP$12:$AP$263,0))&gt;0,($AM212*INDEX(AV$12:AV$263,MATCH($AQ212,$AP$12:$AP$263,0)))/INDEX($AI$12:$AI$263,MATCH($AQ212,$AP$12:$AP$263,0)), "-"),     TRUE, "0")</f>
        <v>0</v>
      </c>
      <c r="AX212" s="588">
        <f>IF(AW$9&gt;0, IF(OR(AW212="",AW212="-"), 0, AW212*$AT212), AV212*$AJ212)</f>
        <v>0</v>
      </c>
      <c r="AY212" s="587">
        <f>[1]COMMANDE!Q210</f>
        <v>0</v>
      </c>
      <c r="AZ212" s="586" t="str">
        <f>_xlfn.IFS(AND($AI212=$AM212,$AI212&gt;0,$AM212&gt;0,AY212&gt;0), AY212,     AND(NOT($AI212=$AM212),$AI212&gt;0,$AM212&gt;0,AY212&gt;0), ($AM212*AY212)/$AI212,     AND($AI212=0,$AM212&gt;0,$AQ212&gt;0), IF(INDEX(AY$12:AY$263,MATCH($AQ212,$AP$12:$AP$263,0))&gt;0,($AM212*INDEX(AY$12:AY$263,MATCH($AQ212,$AP$12:$AP$263,0)))/INDEX($AI$12:$AI$263,MATCH($AQ212,$AP$12:$AP$263,0)), "-"),     TRUE, "0")</f>
        <v>0</v>
      </c>
      <c r="BA212" s="607">
        <f>IF(AZ$9&gt;0, IF(OR(AZ212="",AZ212="-"), 0, AZ212*$AT212), AY212*$AJ212)</f>
        <v>0</v>
      </c>
      <c r="BB212" s="589">
        <f>[1]COMMANDE!S210</f>
        <v>0</v>
      </c>
      <c r="BC212" s="586" t="str">
        <f>_xlfn.IFS(AND($AI212=$AM212,$AI212&gt;0,$AM212&gt;0,BB212&gt;0), BB212,     AND(NOT($AI212=$AM212),$AI212&gt;0,$AM212&gt;0,BB212&gt;0), ($AM212*BB212)/$AI212,     AND($AI212=0,$AM212&gt;0,$AQ212&gt;0), IF(INDEX(BB$12:BB$263,MATCH($AQ212,$AP$12:$AP$263,0))&gt;0,($AM212*INDEX(BB$12:BB$263,MATCH($AQ212,$AP$12:$AP$263,0)))/INDEX($AI$12:$AI$263,MATCH($AQ212,$AP$12:$AP$263,0)), "-"),     TRUE, "0")</f>
        <v>0</v>
      </c>
      <c r="BD212" s="588">
        <f>IF(BC$9&gt;0, IF(OR(BC212="",BC212="-"), 0, BC212*$AT212), BB212*$AJ212)</f>
        <v>0</v>
      </c>
      <c r="BE212" s="587">
        <f>[1]COMMANDE!U210</f>
        <v>0</v>
      </c>
      <c r="BF212" s="586" t="str">
        <f>_xlfn.IFS(AND($AI212=$AM212,$AI212&gt;0,$AM212&gt;0,BE212&gt;0), BE212,     AND(NOT($AI212=$AM212),$AI212&gt;0,$AM212&gt;0,BE212&gt;0), ($AM212*BE212)/$AI212,     AND($AI212=0,$AM212&gt;0,$AQ212&gt;0), IF(INDEX(BE$12:BE$263,MATCH($AQ212,$AP$12:$AP$263,0))&gt;0,($AM212*INDEX(BE$12:BE$263,MATCH($AQ212,$AP$12:$AP$263,0)))/INDEX($AI$12:$AI$263,MATCH($AQ212,$AP$12:$AP$263,0)), "-"),     TRUE, "0")</f>
        <v>0</v>
      </c>
      <c r="BG212" s="607">
        <f>IF(BF$9&gt;0, IF(OR(BF212="",BF212="-"), 0, BF212*$AT212), BE212*$AJ212)</f>
        <v>0</v>
      </c>
      <c r="BH212" s="589">
        <f>[1]COMMANDE!W210</f>
        <v>0</v>
      </c>
      <c r="BI212" s="586" t="str">
        <f>_xlfn.IFS(AND($AI212=$AM212,$AI212&gt;0,$AM212&gt;0,BH212&gt;0), BH212,     AND(NOT($AI212=$AM212),$AI212&gt;0,$AM212&gt;0,BH212&gt;0), ($AM212*BH212)/$AI212,     AND($AI212=0,$AM212&gt;0,$AQ212&gt;0), IF(INDEX(BH$12:BH$263,MATCH($AQ212,$AP$12:$AP$263,0))&gt;0,($AM212*INDEX(BH$12:BH$263,MATCH($AQ212,$AP$12:$AP$263,0)))/INDEX($AI$12:$AI$263,MATCH($AQ212,$AP$12:$AP$263,0)), "-"),     TRUE, "0")</f>
        <v>0</v>
      </c>
      <c r="BJ212" s="588">
        <f>IF(BI$9&gt;0, IF(OR(BI212="",BI212="-"), 0, BI212*$AT212), BH212*$AJ212)</f>
        <v>0</v>
      </c>
      <c r="BK212" s="587">
        <f>[1]COMMANDE!Y210</f>
        <v>0</v>
      </c>
      <c r="BL212" s="586" t="str">
        <f>_xlfn.IFS(AND($AI212=$AM212,$AI212&gt;0,$AM212&gt;0,BK212&gt;0), BK212,     AND(NOT($AI212=$AM212),$AI212&gt;0,$AM212&gt;0,BK212&gt;0), ($AM212*BK212)/$AI212,     AND($AI212=0,$AM212&gt;0,$AQ212&gt;0), IF(INDEX(BK$12:BK$263,MATCH($AQ212,$AP$12:$AP$263,0))&gt;0,($AM212*INDEX(BK$12:BK$263,MATCH($AQ212,$AP$12:$AP$263,0)))/INDEX($AI$12:$AI$263,MATCH($AQ212,$AP$12:$AP$263,0)), "-"),     TRUE, "0")</f>
        <v>0</v>
      </c>
      <c r="BM212" s="607">
        <f>IF(BL$9&gt;0, IF(OR(BL212="",BL212="-"), 0, BL212*$AT212), BK212*$AJ212)</f>
        <v>0</v>
      </c>
      <c r="BN212" s="589">
        <f>[1]COMMANDE!AA210</f>
        <v>0</v>
      </c>
      <c r="BO212" s="586" t="str">
        <f>_xlfn.IFS(AND($AI212=$AM212,$AI212&gt;0,$AM212&gt;0,BN212&gt;0), BN212,     AND(NOT($AI212=$AM212),$AI212&gt;0,$AM212&gt;0,BN212&gt;0), ($AM212*BN212)/$AI212,     AND($AI212=0,$AM212&gt;0,$AQ212&gt;0), IF(INDEX(BN$12:BN$263,MATCH($AQ212,$AP$12:$AP$263,0))&gt;0,($AM212*INDEX(BN$12:BN$263,MATCH($AQ212,$AP$12:$AP$263,0)))/INDEX($AI$12:$AI$263,MATCH($AQ212,$AP$12:$AP$263,0)), "-"),     TRUE, "0")</f>
        <v>0</v>
      </c>
      <c r="BP212" s="588">
        <f>IF(BO$9&gt;0, IF(OR(BO212="",BO212="-"), 0, BO212*$AT212), BN212*$AJ212)</f>
        <v>0</v>
      </c>
      <c r="BQ212" s="587">
        <f>[1]COMMANDE!AC210</f>
        <v>0</v>
      </c>
      <c r="BR212" s="586" t="str">
        <f>_xlfn.IFS(AND($AI212=$AM212,$AI212&gt;0,$AM212&gt;0,BQ212&gt;0), BQ212,     AND(NOT($AI212=$AM212),$AI212&gt;0,$AM212&gt;0,BQ212&gt;0), ($AM212*BQ212)/$AI212,     AND($AI212=0,$AM212&gt;0,$AQ212&gt;0), IF(INDEX(BQ$12:BQ$263,MATCH($AQ212,$AP$12:$AP$263,0))&gt;0,($AM212*INDEX(BQ$12:BQ$263,MATCH($AQ212,$AP$12:$AP$263,0)))/INDEX($AI$12:$AI$263,MATCH($AQ212,$AP$12:$AP$263,0)), "-"),     TRUE, "0")</f>
        <v>0</v>
      </c>
      <c r="BS212" s="607">
        <f>IF(BR$9&gt;0, IF(OR(BR212="",BR212="-"), 0, BR212*$AT212), BQ212*$AJ212)</f>
        <v>0</v>
      </c>
      <c r="BT212" s="589">
        <f>[1]COMMANDE!AE210</f>
        <v>0</v>
      </c>
      <c r="BU212" s="586" t="str">
        <f>_xlfn.IFS(AND($AI212=$AM212,$AI212&gt;0,$AM212&gt;0,BT212&gt;0), BT212,     AND(NOT($AI212=$AM212),$AI212&gt;0,$AM212&gt;0,BT212&gt;0), ($AM212*BT212)/$AI212,     AND($AI212=0,$AM212&gt;0,$AQ212&gt;0), IF(INDEX(BT$12:BT$263,MATCH($AQ212,$AP$12:$AP$263,0))&gt;0,($AM212*INDEX(BT$12:BT$263,MATCH($AQ212,$AP$12:$AP$263,0)))/INDEX($AI$12:$AI$263,MATCH($AQ212,$AP$12:$AP$263,0)), "-"),     TRUE, "0")</f>
        <v>0</v>
      </c>
      <c r="BV212" s="588">
        <f>IF(BU$9&gt;0, IF(OR(BU212="",BU212="-"), 0, BU212*$AT212), BT212*$AJ212)</f>
        <v>0</v>
      </c>
      <c r="BW212" s="587">
        <f>[1]COMMANDE!AG210</f>
        <v>0</v>
      </c>
      <c r="BX212" s="586" t="str">
        <f>_xlfn.IFS(AND($AI212=$AM212,$AI212&gt;0,$AM212&gt;0,BW212&gt;0), BW212,     AND(NOT($AI212=$AM212),$AI212&gt;0,$AM212&gt;0,BW212&gt;0), ($AM212*BW212)/$AI212,     AND($AI212=0,$AM212&gt;0,$AQ212&gt;0), IF(INDEX(BW$12:BW$263,MATCH($AQ212,$AP$12:$AP$263,0))&gt;0,($AM212*INDEX(BW$12:BW$263,MATCH($AQ212,$AP$12:$AP$263,0)))/INDEX($AI$12:$AI$263,MATCH($AQ212,$AP$12:$AP$263,0)), "-"),     TRUE, "0")</f>
        <v>0</v>
      </c>
      <c r="BY212" s="607">
        <f>IF(BX$9&gt;0, IF(OR(BX212="",BX212="-"), 0, BX212*$AT212), BW212*$AJ212)</f>
        <v>0</v>
      </c>
      <c r="BZ212" s="589">
        <f>[1]COMMANDE!AI210</f>
        <v>0</v>
      </c>
      <c r="CA212" s="586" t="str">
        <f>_xlfn.IFS(AND($AI212=$AM212,$AI212&gt;0,$AM212&gt;0,BZ212&gt;0), BZ212,     AND(NOT($AI212=$AM212),$AI212&gt;0,$AM212&gt;0,BZ212&gt;0), ($AM212*BZ212)/$AI212,     AND($AI212=0,$AM212&gt;0,$AQ212&gt;0), IF(INDEX(BZ$12:BZ$263,MATCH($AQ212,$AP$12:$AP$263,0))&gt;0,($AM212*INDEX(BZ$12:BZ$263,MATCH($AQ212,$AP$12:$AP$263,0)))/INDEX($AI$12:$AI$263,MATCH($AQ212,$AP$12:$AP$263,0)), "-"),     TRUE, "0")</f>
        <v>0</v>
      </c>
      <c r="CB212" s="588">
        <f>IF(CA$9&gt;0, IF(OR(CA212="",CA212="-"), 0, CA212*$AT212), BZ212*$AJ212)</f>
        <v>0</v>
      </c>
      <c r="CC212" s="587">
        <f>[1]COMMANDE!AK210</f>
        <v>0</v>
      </c>
      <c r="CD212" s="586" t="str">
        <f>_xlfn.IFS(AND($AI212=$AM212,$AI212&gt;0,$AM212&gt;0,CC212&gt;0), CC212,     AND(NOT($AI212=$AM212),$AI212&gt;0,$AM212&gt;0,CC212&gt;0), ($AM212*CC212)/$AI212,     AND($AI212=0,$AM212&gt;0,$AQ212&gt;0), IF(INDEX(CC$12:CC$263,MATCH($AQ212,$AP$12:$AP$263,0))&gt;0,($AM212*INDEX(CC$12:CC$263,MATCH($AQ212,$AP$12:$AP$263,0)))/INDEX($AI$12:$AI$263,MATCH($AQ212,$AP$12:$AP$263,0)), "-"),     TRUE, "0")</f>
        <v>0</v>
      </c>
      <c r="CE212" s="607">
        <f>IF(CD$9&gt;0, IF(OR(CD212="",CD212="-"), 0, CD212*$AT212), CC212*$AJ212)</f>
        <v>0</v>
      </c>
      <c r="CF212" s="589">
        <f>[1]COMMANDE!AM210</f>
        <v>0</v>
      </c>
      <c r="CG212" s="586" t="str">
        <f>_xlfn.IFS(AND($AI212=$AM212,$AI212&gt;0,$AM212&gt;0,CF212&gt;0), CF212,     AND(NOT($AI212=$AM212),$AI212&gt;0,$AM212&gt;0,CF212&gt;0), ($AM212*CF212)/$AI212,     AND($AI212=0,$AM212&gt;0,$AQ212&gt;0), IF(INDEX(CF$12:CF$263,MATCH($AQ212,$AP$12:$AP$263,0))&gt;0,($AM212*INDEX(CF$12:CF$263,MATCH($AQ212,$AP$12:$AP$263,0)))/INDEX($AI$12:$AI$263,MATCH($AQ212,$AP$12:$AP$263,0)), "-"),     TRUE, "0")</f>
        <v>0</v>
      </c>
      <c r="CH212" s="588">
        <f>IF(CG$9&gt;0, IF(OR(CG212="",CG212="-"), 0, CG212*$AT212), CF212*$AJ212)</f>
        <v>0</v>
      </c>
      <c r="CI212" s="587">
        <f>[1]COMMANDE!AO210</f>
        <v>0</v>
      </c>
      <c r="CJ212" s="586" t="str">
        <f>_xlfn.IFS(AND($AI212=$AM212,$AI212&gt;0,$AM212&gt;0,CI212&gt;0), CI212,     AND(NOT($AI212=$AM212),$AI212&gt;0,$AM212&gt;0,CI212&gt;0), ($AM212*CI212)/$AI212,     AND($AI212=0,$AM212&gt;0,$AQ212&gt;0), IF(INDEX(CI$12:CI$263,MATCH($AQ212,$AP$12:$AP$263,0))&gt;0,($AM212*INDEX(CI$12:CI$263,MATCH($AQ212,$AP$12:$AP$263,0)))/INDEX($AI$12:$AI$263,MATCH($AQ212,$AP$12:$AP$263,0)), "-"),     TRUE, "0")</f>
        <v>0</v>
      </c>
      <c r="CK212" s="607">
        <f>IF(CJ$9&gt;0, IF(OR(CJ212="",CJ212="-"), 0, CJ212*$AT212), CI212*$AJ212)</f>
        <v>0</v>
      </c>
      <c r="CL212" s="589">
        <f>[1]COMMANDE!AQ210</f>
        <v>0</v>
      </c>
      <c r="CM212" s="586" t="str">
        <f>_xlfn.IFS(AND($AI212=$AM212,$AI212&gt;0,$AM212&gt;0,CL212&gt;0), CL212,     AND(NOT($AI212=$AM212),$AI212&gt;0,$AM212&gt;0,CL212&gt;0), ($AM212*CL212)/$AI212,     AND($AI212=0,$AM212&gt;0,$AQ212&gt;0), IF(INDEX(CL$12:CL$263,MATCH($AQ212,$AP$12:$AP$263,0))&gt;0,($AM212*INDEX(CL$12:CL$263,MATCH($AQ212,$AP$12:$AP$263,0)))/INDEX($AI$12:$AI$263,MATCH($AQ212,$AP$12:$AP$263,0)), "-"),     TRUE, "0")</f>
        <v>0</v>
      </c>
      <c r="CN212" s="588">
        <f>IF(CM$9&gt;0, IF(OR(CM212="",CM212="-"), 0, CM212*$AT212), CL212*$AJ212)</f>
        <v>0</v>
      </c>
      <c r="CO212" s="587">
        <f>[1]COMMANDE!AS210</f>
        <v>0</v>
      </c>
      <c r="CP212" s="586" t="str">
        <f>_xlfn.IFS(AND($AI212=$AM212,$AI212&gt;0,$AM212&gt;0,CO212&gt;0), CO212,     AND(NOT($AI212=$AM212),$AI212&gt;0,$AM212&gt;0,CO212&gt;0), ($AM212*CO212)/$AI212,     AND($AI212=0,$AM212&gt;0,$AQ212&gt;0), IF(INDEX(CO$12:CO$263,MATCH($AQ212,$AP$12:$AP$263,0))&gt;0,($AM212*INDEX(CO$12:CO$263,MATCH($AQ212,$AP$12:$AP$263,0)))/INDEX($AI$12:$AI$263,MATCH($AQ212,$AP$12:$AP$263,0)), "-"),     TRUE, "0")</f>
        <v>0</v>
      </c>
      <c r="CQ212" s="607">
        <f>IF(CP$9&gt;0, IF(OR(CP212="",CP212="-"), 0, CP212*$AT212), CO212*$AJ212)</f>
        <v>0</v>
      </c>
      <c r="CR212" s="589">
        <f>[1]COMMANDE!AU210</f>
        <v>0</v>
      </c>
      <c r="CS212" s="586" t="str">
        <f>_xlfn.IFS(AND($AI212=$AM212,$AI212&gt;0,$AM212&gt;0,CR212&gt;0), CR212,     AND(NOT($AI212=$AM212),$AI212&gt;0,$AM212&gt;0,CR212&gt;0), ($AM212*CR212)/$AI212,     AND($AI212=0,$AM212&gt;0,$AQ212&gt;0), IF(INDEX(CR$12:CR$263,MATCH($AQ212,$AP$12:$AP$263,0))&gt;0,($AM212*INDEX(CR$12:CR$263,MATCH($AQ212,$AP$12:$AP$263,0)))/INDEX($AI$12:$AI$263,MATCH($AQ212,$AP$12:$AP$263,0)), "-"),     TRUE, "0")</f>
        <v>0</v>
      </c>
      <c r="CT212" s="588">
        <f>IF(CS$9&gt;0, IF(OR(CS212="",CS212="-"), 0, CS212*$AT212), CR212*$AJ212)</f>
        <v>0</v>
      </c>
      <c r="CU212" s="587">
        <f>[1]COMMANDE!AW210</f>
        <v>0</v>
      </c>
      <c r="CV212" s="586" t="str">
        <f>_xlfn.IFS(AND($AI212=$AM212,$AI212&gt;0,$AM212&gt;0,CU212&gt;0), CU212,     AND(NOT($AI212=$AM212),$AI212&gt;0,$AM212&gt;0,CU212&gt;0), ($AM212*CU212)/$AI212,     AND($AI212=0,$AM212&gt;0,$AQ212&gt;0), IF(INDEX(CU$12:CU$263,MATCH($AQ212,$AP$12:$AP$263,0))&gt;0,($AM212*INDEX(CU$12:CU$263,MATCH($AQ212,$AP$12:$AP$263,0)))/INDEX($AI$12:$AI$263,MATCH($AQ212,$AP$12:$AP$263,0)), "-"),     TRUE, "0")</f>
        <v>0</v>
      </c>
      <c r="CW212" s="607">
        <f>IF(CV$9&gt;0, IF(OR(CV212="",CV212="-"), 0, CV212*$AT212), CU212*$AJ212)</f>
        <v>0</v>
      </c>
      <c r="CX212" s="589">
        <f>[1]COMMANDE!AY210</f>
        <v>0</v>
      </c>
      <c r="CY212" s="586" t="str">
        <f>_xlfn.IFS(AND($AI212=$AM212,$AI212&gt;0,$AM212&gt;0,CX212&gt;0), CX212,     AND(NOT($AI212=$AM212),$AI212&gt;0,$AM212&gt;0,CX212&gt;0), ($AM212*CX212)/$AI212,     AND($AI212=0,$AM212&gt;0,$AQ212&gt;0), IF(INDEX(CX$12:CX$263,MATCH($AQ212,$AP$12:$AP$263,0))&gt;0,($AM212*INDEX(CX$12:CX$263,MATCH($AQ212,$AP$12:$AP$263,0)))/INDEX($AI$12:$AI$263,MATCH($AQ212,$AP$12:$AP$263,0)), "-"),     TRUE, "0")</f>
        <v>0</v>
      </c>
      <c r="CZ212" s="588">
        <f>IF(CY$9&gt;0, IF(OR(CY212="",CY212="-"), 0, CY212*$AT212), CX212*$AJ212)</f>
        <v>0</v>
      </c>
      <c r="DA212" s="587">
        <f>[1]COMMANDE!BA210</f>
        <v>0</v>
      </c>
      <c r="DB212" s="586" t="str">
        <f>_xlfn.IFS(AND($AI212=$AM212,$AI212&gt;0,$AM212&gt;0,DA212&gt;0), DA212,     AND(NOT($AI212=$AM212),$AI212&gt;0,$AM212&gt;0,DA212&gt;0), ($AM212*DA212)/$AI212,     AND($AI212=0,$AM212&gt;0,$AQ212&gt;0), IF(INDEX(DA$12:DA$263,MATCH($AQ212,$AP$12:$AP$263,0))&gt;0,($AM212*INDEX(DA$12:DA$263,MATCH($AQ212,$AP$12:$AP$263,0)))/INDEX($AI$12:$AI$263,MATCH($AQ212,$AP$12:$AP$263,0)), "-"),     TRUE, "0")</f>
        <v>0</v>
      </c>
      <c r="DC212" s="606">
        <f>IF(DB$9&gt;0, IF(OR(DB212="",DB212="-"), 0, DB212*$AT212), DA212*$AJ212)</f>
        <v>0</v>
      </c>
      <c r="DD212" s="584"/>
      <c r="DE212" s="583"/>
    </row>
    <row r="213" spans="1:109" ht="39.950000000000003" hidden="1" customHeight="1">
      <c r="A213" s="604">
        <f>IF(OR($AV213&gt;0, $AX213&gt;0), 1, 0)</f>
        <v>0</v>
      </c>
      <c r="B213" s="604">
        <f>IF(OR($AY213&gt;0, $BA213&gt;0), 1, 0)</f>
        <v>0</v>
      </c>
      <c r="C213" s="604">
        <f>IF(OR($BB213&gt;0, $BD213&gt;0), 1, 0)</f>
        <v>0</v>
      </c>
      <c r="D213" s="604">
        <f>IF(OR($BE213&gt;0, $BG213&gt;0), 1, 0)</f>
        <v>0</v>
      </c>
      <c r="E213" s="604">
        <f>IF(OR($BH213&gt;0, $BJ213&gt;0), 1, 0)</f>
        <v>0</v>
      </c>
      <c r="F213" s="604">
        <f>IF(OR($BK213&gt;0, $BM213&gt;0), 1, 0)</f>
        <v>0</v>
      </c>
      <c r="G213" s="604">
        <f>IF(OR($BN213&gt;0, $BP213&gt;0), 1, 0)</f>
        <v>0</v>
      </c>
      <c r="H213" s="604">
        <f>IF(OR($BQ213&gt;0, $BS213&gt;0), 1, 0)</f>
        <v>0</v>
      </c>
      <c r="I213" s="604">
        <f>IF(OR($BT213&gt;0, $BV213&gt;0), 1, 0)</f>
        <v>0</v>
      </c>
      <c r="J213" s="604">
        <f>IF(OR($BW213&gt;0, $BY213&gt;0), 1, 0)</f>
        <v>0</v>
      </c>
      <c r="K213" s="604">
        <f>IF(OR($BZ213&gt;0, $CB213&gt;0), 1, 0)</f>
        <v>0</v>
      </c>
      <c r="L213" s="604">
        <f>IF(OR($CC213&gt;0, $CE213&gt;0), 1, 0)</f>
        <v>0</v>
      </c>
      <c r="M213" s="604">
        <f>IF(OR($CF213&gt;0, $CH213&gt;0), 1, 0)</f>
        <v>0</v>
      </c>
      <c r="N213" s="604">
        <f>IF(OR($CI213&gt;0, $CK213&gt;0), 1, 0)</f>
        <v>0</v>
      </c>
      <c r="O213" s="604">
        <f>IF(OR($CL213&gt;0, $CN213&gt;0), 1, 0)</f>
        <v>0</v>
      </c>
      <c r="P213" s="604">
        <f>IF(OR($CO213&gt;0, $CQ213&gt;0), 1, 0)</f>
        <v>0</v>
      </c>
      <c r="Q213" s="604">
        <f>IF(OR($CR213&gt;0, $CT213&gt;0), 1, 0)</f>
        <v>0</v>
      </c>
      <c r="R213" s="604">
        <f>IF(OR($CU213&gt;0, $CW213&gt;0), 1, 0)</f>
        <v>0</v>
      </c>
      <c r="S213" s="604">
        <f>IF(OR($CX213&gt;0, $CZ213&gt;0), 1, 0)</f>
        <v>0</v>
      </c>
      <c r="T213" s="604">
        <f>IF(OR($DA213&gt;0, $DC213&gt;0), 1, 0)</f>
        <v>0</v>
      </c>
      <c r="U213" s="603">
        <f>IF(OR($AI213&gt;0,$AM213&gt;0,$AS213&gt;0), 1, 0)</f>
        <v>0</v>
      </c>
      <c r="V213" s="602">
        <f>[1]BDD!A203</f>
        <v>3365</v>
      </c>
      <c r="W213" s="601" t="str">
        <f>[1]BDD!B203</f>
        <v>Pistache avec coque 20/22 CRU</v>
      </c>
      <c r="X213" s="600" t="str">
        <f>IF([1]BDD!F203=0, "", [1]BDD!F203)</f>
        <v/>
      </c>
      <c r="Y213" s="542">
        <f>ROUND([1]BDD!G203+FDP_CMD_KG, 2)</f>
        <v>17.28</v>
      </c>
      <c r="Z213" s="542">
        <f>ROUND([1]BDD!G203+FDP_FACT_KG, 2)</f>
        <v>17.28</v>
      </c>
      <c r="AA213" s="543" t="str">
        <f>[1]BDD!H203</f>
        <v>Pièce</v>
      </c>
      <c r="AB213" s="544" t="str">
        <f>IF(NOT(ISBLANK([1]BDD!I203)), ROUND(SUM(([1]BDD!G203*reduc1),FDP_CMD_KG), 2), "")</f>
        <v/>
      </c>
      <c r="AC213" s="544" t="str">
        <f>IF(NOT(ISBLANK([1]BDD!J203)), ROUND(SUM(([1]BDD!G203*reduc2),FDP_CMD_KG), 2), "")</f>
        <v/>
      </c>
      <c r="AD213" s="544" t="str">
        <f>IF(NOT(ISBLANK([1]BDD!K203)), ROUND(SUM(([1]BDD!G203*reduc3),FDP_CMD_KG), 2), "")</f>
        <v/>
      </c>
      <c r="AE213" s="544" t="str">
        <f>IF(NOT(ISBLANK([1]BDD!I203)), ROUND(SUM(([1]BDD!G203*reduc1),FDP_FACT_KG), 2), "")</f>
        <v/>
      </c>
      <c r="AF213" s="544" t="str">
        <f>IF(NOT(ISBLANK([1]BDD!J203)), ROUND(SUM(([1]BDD!G203*reduc2),FDP_FACT_KG), 2), "")</f>
        <v/>
      </c>
      <c r="AG213" s="544" t="str">
        <f>IF(NOT(ISBLANK([1]BDD!K203)), ROUND(SUM(([1]BDD!G203*reduc3),FDP_FACT_KG), 2), "")</f>
        <v/>
      </c>
      <c r="AH213" s="599" t="str">
        <f>[1]BDD!C203</f>
        <v>National</v>
      </c>
      <c r="AI213" s="598">
        <f>SUM(AV213,AY213,BB213,BE213,BH213,BK213,BN213,BQ213,BT213,BW213,BZ213,CC213,CF213,CI213,CL213,CO213,CR213,CU213,CX213,DA213)</f>
        <v>0</v>
      </c>
      <c r="AJ213" s="545">
        <f>_xlfn.IFS($AD213&lt;&gt;"", $AD213,    $AC213&lt;&gt;"", $AC213,    $AB213&lt;&gt;"", $AB213,    TRUE, $Y213)</f>
        <v>17.28</v>
      </c>
      <c r="AK213" s="592">
        <f>$AI213*$AJ213</f>
        <v>0</v>
      </c>
      <c r="AL213" s="594"/>
      <c r="AM213" s="597"/>
      <c r="AN213" s="545">
        <f>_xlfn.IFS(AND(AM213&gt;=60,$AG213&lt;&gt;""), $AG213,    AND(AM213&gt;=30,$AF213&lt;&gt;""), $AF213,    AND(AM213&gt;=10,$AE213&lt;&gt;""), $AE213,    TRUE, $Z213)</f>
        <v>17.28</v>
      </c>
      <c r="AO213" s="596">
        <f>AM213*AN213</f>
        <v>0</v>
      </c>
      <c r="AP213" s="595"/>
      <c r="AQ213" s="595"/>
      <c r="AR213" s="594"/>
      <c r="AS213" s="593">
        <f>SUM(AW213,AZ213,BC213,BF213,BI213,BL213,BO213,BR213,BU213,BX213,CA213,CD213,CG213,CJ213,CM213,CP213,CS213,CV213,CY213,DB213)</f>
        <v>0</v>
      </c>
      <c r="AT213" s="545">
        <f>_xlfn.IFS(AND(AS213&gt;=60,$AG213&lt;&gt;""), $AG213,    AND(AS213&gt;=30,$AF213&lt;&gt;""), $AF213,    AND(AS213&gt;=10,$AE213&lt;&gt;""), $AE213,    TRUE, $Z213)</f>
        <v>17.28</v>
      </c>
      <c r="AU213" s="592">
        <f>$AS213*$AT213</f>
        <v>0</v>
      </c>
      <c r="AV213" s="591">
        <f>[1]COMMANDE!O211</f>
        <v>0</v>
      </c>
      <c r="AW213" s="586" t="str">
        <f>_xlfn.IFS(AND($AI213=$AM213,$AI213&gt;0,$AM213&gt;0,AV213&gt;0), AV213,     AND(NOT($AI213=$AM213),$AI213&gt;0,$AM213&gt;0,AV213&gt;0), ($AM213*AV213)/$AI213,     AND($AI213=0,$AM213&gt;0,$AQ213&gt;0), IF(INDEX(AV$12:AV$263,MATCH($AQ213,$AP$12:$AP$263,0))&gt;0,($AM213*INDEX(AV$12:AV$263,MATCH($AQ213,$AP$12:$AP$263,0)))/INDEX($AI$12:$AI$263,MATCH($AQ213,$AP$12:$AP$263,0)), "-"),     TRUE, "0")</f>
        <v>0</v>
      </c>
      <c r="AX213" s="588">
        <f>IF(AW$9&gt;0, IF(OR(AW213="",AW213="-"), 0, AW213*$AT213), AV213*$AJ213)</f>
        <v>0</v>
      </c>
      <c r="AY213" s="587">
        <f>[1]COMMANDE!Q211</f>
        <v>0</v>
      </c>
      <c r="AZ213" s="586" t="str">
        <f>_xlfn.IFS(AND($AI213=$AM213,$AI213&gt;0,$AM213&gt;0,AY213&gt;0), AY213,     AND(NOT($AI213=$AM213),$AI213&gt;0,$AM213&gt;0,AY213&gt;0), ($AM213*AY213)/$AI213,     AND($AI213=0,$AM213&gt;0,$AQ213&gt;0), IF(INDEX(AY$12:AY$263,MATCH($AQ213,$AP$12:$AP$263,0))&gt;0,($AM213*INDEX(AY$12:AY$263,MATCH($AQ213,$AP$12:$AP$263,0)))/INDEX($AI$12:$AI$263,MATCH($AQ213,$AP$12:$AP$263,0)), "-"),     TRUE, "0")</f>
        <v>0</v>
      </c>
      <c r="BA213" s="607">
        <f>IF(AZ$9&gt;0, IF(OR(AZ213="",AZ213="-"), 0, AZ213*$AT213), AY213*$AJ213)</f>
        <v>0</v>
      </c>
      <c r="BB213" s="589">
        <f>[1]COMMANDE!S211</f>
        <v>0</v>
      </c>
      <c r="BC213" s="586" t="str">
        <f>_xlfn.IFS(AND($AI213=$AM213,$AI213&gt;0,$AM213&gt;0,BB213&gt;0), BB213,     AND(NOT($AI213=$AM213),$AI213&gt;0,$AM213&gt;0,BB213&gt;0), ($AM213*BB213)/$AI213,     AND($AI213=0,$AM213&gt;0,$AQ213&gt;0), IF(INDEX(BB$12:BB$263,MATCH($AQ213,$AP$12:$AP$263,0))&gt;0,($AM213*INDEX(BB$12:BB$263,MATCH($AQ213,$AP$12:$AP$263,0)))/INDEX($AI$12:$AI$263,MATCH($AQ213,$AP$12:$AP$263,0)), "-"),     TRUE, "0")</f>
        <v>0</v>
      </c>
      <c r="BD213" s="588">
        <f>IF(BC$9&gt;0, IF(OR(BC213="",BC213="-"), 0, BC213*$AT213), BB213*$AJ213)</f>
        <v>0</v>
      </c>
      <c r="BE213" s="587">
        <f>[1]COMMANDE!U211</f>
        <v>0</v>
      </c>
      <c r="BF213" s="586" t="str">
        <f>_xlfn.IFS(AND($AI213=$AM213,$AI213&gt;0,$AM213&gt;0,BE213&gt;0), BE213,     AND(NOT($AI213=$AM213),$AI213&gt;0,$AM213&gt;0,BE213&gt;0), ($AM213*BE213)/$AI213,     AND($AI213=0,$AM213&gt;0,$AQ213&gt;0), IF(INDEX(BE$12:BE$263,MATCH($AQ213,$AP$12:$AP$263,0))&gt;0,($AM213*INDEX(BE$12:BE$263,MATCH($AQ213,$AP$12:$AP$263,0)))/INDEX($AI$12:$AI$263,MATCH($AQ213,$AP$12:$AP$263,0)), "-"),     TRUE, "0")</f>
        <v>0</v>
      </c>
      <c r="BG213" s="607">
        <f>IF(BF$9&gt;0, IF(OR(BF213="",BF213="-"), 0, BF213*$AT213), BE213*$AJ213)</f>
        <v>0</v>
      </c>
      <c r="BH213" s="589">
        <f>[1]COMMANDE!W211</f>
        <v>0</v>
      </c>
      <c r="BI213" s="586" t="str">
        <f>_xlfn.IFS(AND($AI213=$AM213,$AI213&gt;0,$AM213&gt;0,BH213&gt;0), BH213,     AND(NOT($AI213=$AM213),$AI213&gt;0,$AM213&gt;0,BH213&gt;0), ($AM213*BH213)/$AI213,     AND($AI213=0,$AM213&gt;0,$AQ213&gt;0), IF(INDEX(BH$12:BH$263,MATCH($AQ213,$AP$12:$AP$263,0))&gt;0,($AM213*INDEX(BH$12:BH$263,MATCH($AQ213,$AP$12:$AP$263,0)))/INDEX($AI$12:$AI$263,MATCH($AQ213,$AP$12:$AP$263,0)), "-"),     TRUE, "0")</f>
        <v>0</v>
      </c>
      <c r="BJ213" s="588">
        <f>IF(BI$9&gt;0, IF(OR(BI213="",BI213="-"), 0, BI213*$AT213), BH213*$AJ213)</f>
        <v>0</v>
      </c>
      <c r="BK213" s="587">
        <f>[1]COMMANDE!Y211</f>
        <v>0</v>
      </c>
      <c r="BL213" s="586" t="str">
        <f>_xlfn.IFS(AND($AI213=$AM213,$AI213&gt;0,$AM213&gt;0,BK213&gt;0), BK213,     AND(NOT($AI213=$AM213),$AI213&gt;0,$AM213&gt;0,BK213&gt;0), ($AM213*BK213)/$AI213,     AND($AI213=0,$AM213&gt;0,$AQ213&gt;0), IF(INDEX(BK$12:BK$263,MATCH($AQ213,$AP$12:$AP$263,0))&gt;0,($AM213*INDEX(BK$12:BK$263,MATCH($AQ213,$AP$12:$AP$263,0)))/INDEX($AI$12:$AI$263,MATCH($AQ213,$AP$12:$AP$263,0)), "-"),     TRUE, "0")</f>
        <v>0</v>
      </c>
      <c r="BM213" s="607">
        <f>IF(BL$9&gt;0, IF(OR(BL213="",BL213="-"), 0, BL213*$AT213), BK213*$AJ213)</f>
        <v>0</v>
      </c>
      <c r="BN213" s="589">
        <f>[1]COMMANDE!AA211</f>
        <v>0</v>
      </c>
      <c r="BO213" s="586" t="str">
        <f>_xlfn.IFS(AND($AI213=$AM213,$AI213&gt;0,$AM213&gt;0,BN213&gt;0), BN213,     AND(NOT($AI213=$AM213),$AI213&gt;0,$AM213&gt;0,BN213&gt;0), ($AM213*BN213)/$AI213,     AND($AI213=0,$AM213&gt;0,$AQ213&gt;0), IF(INDEX(BN$12:BN$263,MATCH($AQ213,$AP$12:$AP$263,0))&gt;0,($AM213*INDEX(BN$12:BN$263,MATCH($AQ213,$AP$12:$AP$263,0)))/INDEX($AI$12:$AI$263,MATCH($AQ213,$AP$12:$AP$263,0)), "-"),     TRUE, "0")</f>
        <v>0</v>
      </c>
      <c r="BP213" s="588">
        <f>IF(BO$9&gt;0, IF(OR(BO213="",BO213="-"), 0, BO213*$AT213), BN213*$AJ213)</f>
        <v>0</v>
      </c>
      <c r="BQ213" s="587">
        <f>[1]COMMANDE!AC211</f>
        <v>0</v>
      </c>
      <c r="BR213" s="586" t="str">
        <f>_xlfn.IFS(AND($AI213=$AM213,$AI213&gt;0,$AM213&gt;0,BQ213&gt;0), BQ213,     AND(NOT($AI213=$AM213),$AI213&gt;0,$AM213&gt;0,BQ213&gt;0), ($AM213*BQ213)/$AI213,     AND($AI213=0,$AM213&gt;0,$AQ213&gt;0), IF(INDEX(BQ$12:BQ$263,MATCH($AQ213,$AP$12:$AP$263,0))&gt;0,($AM213*INDEX(BQ$12:BQ$263,MATCH($AQ213,$AP$12:$AP$263,0)))/INDEX($AI$12:$AI$263,MATCH($AQ213,$AP$12:$AP$263,0)), "-"),     TRUE, "0")</f>
        <v>0</v>
      </c>
      <c r="BS213" s="607">
        <f>IF(BR$9&gt;0, IF(OR(BR213="",BR213="-"), 0, BR213*$AT213), BQ213*$AJ213)</f>
        <v>0</v>
      </c>
      <c r="BT213" s="589">
        <f>[1]COMMANDE!AE211</f>
        <v>0</v>
      </c>
      <c r="BU213" s="586" t="str">
        <f>_xlfn.IFS(AND($AI213=$AM213,$AI213&gt;0,$AM213&gt;0,BT213&gt;0), BT213,     AND(NOT($AI213=$AM213),$AI213&gt;0,$AM213&gt;0,BT213&gt;0), ($AM213*BT213)/$AI213,     AND($AI213=0,$AM213&gt;0,$AQ213&gt;0), IF(INDEX(BT$12:BT$263,MATCH($AQ213,$AP$12:$AP$263,0))&gt;0,($AM213*INDEX(BT$12:BT$263,MATCH($AQ213,$AP$12:$AP$263,0)))/INDEX($AI$12:$AI$263,MATCH($AQ213,$AP$12:$AP$263,0)), "-"),     TRUE, "0")</f>
        <v>0</v>
      </c>
      <c r="BV213" s="588">
        <f>IF(BU$9&gt;0, IF(OR(BU213="",BU213="-"), 0, BU213*$AT213), BT213*$AJ213)</f>
        <v>0</v>
      </c>
      <c r="BW213" s="587">
        <f>[1]COMMANDE!AG211</f>
        <v>0</v>
      </c>
      <c r="BX213" s="586" t="str">
        <f>_xlfn.IFS(AND($AI213=$AM213,$AI213&gt;0,$AM213&gt;0,BW213&gt;0), BW213,     AND(NOT($AI213=$AM213),$AI213&gt;0,$AM213&gt;0,BW213&gt;0), ($AM213*BW213)/$AI213,     AND($AI213=0,$AM213&gt;0,$AQ213&gt;0), IF(INDEX(BW$12:BW$263,MATCH($AQ213,$AP$12:$AP$263,0))&gt;0,($AM213*INDEX(BW$12:BW$263,MATCH($AQ213,$AP$12:$AP$263,0)))/INDEX($AI$12:$AI$263,MATCH($AQ213,$AP$12:$AP$263,0)), "-"),     TRUE, "0")</f>
        <v>0</v>
      </c>
      <c r="BY213" s="607">
        <f>IF(BX$9&gt;0, IF(OR(BX213="",BX213="-"), 0, BX213*$AT213), BW213*$AJ213)</f>
        <v>0</v>
      </c>
      <c r="BZ213" s="589">
        <f>[1]COMMANDE!AI211</f>
        <v>0</v>
      </c>
      <c r="CA213" s="586" t="str">
        <f>_xlfn.IFS(AND($AI213=$AM213,$AI213&gt;0,$AM213&gt;0,BZ213&gt;0), BZ213,     AND(NOT($AI213=$AM213),$AI213&gt;0,$AM213&gt;0,BZ213&gt;0), ($AM213*BZ213)/$AI213,     AND($AI213=0,$AM213&gt;0,$AQ213&gt;0), IF(INDEX(BZ$12:BZ$263,MATCH($AQ213,$AP$12:$AP$263,0))&gt;0,($AM213*INDEX(BZ$12:BZ$263,MATCH($AQ213,$AP$12:$AP$263,0)))/INDEX($AI$12:$AI$263,MATCH($AQ213,$AP$12:$AP$263,0)), "-"),     TRUE, "0")</f>
        <v>0</v>
      </c>
      <c r="CB213" s="588">
        <f>IF(CA$9&gt;0, IF(OR(CA213="",CA213="-"), 0, CA213*$AT213), BZ213*$AJ213)</f>
        <v>0</v>
      </c>
      <c r="CC213" s="587">
        <f>[1]COMMANDE!AK211</f>
        <v>0</v>
      </c>
      <c r="CD213" s="586" t="str">
        <f>_xlfn.IFS(AND($AI213=$AM213,$AI213&gt;0,$AM213&gt;0,CC213&gt;0), CC213,     AND(NOT($AI213=$AM213),$AI213&gt;0,$AM213&gt;0,CC213&gt;0), ($AM213*CC213)/$AI213,     AND($AI213=0,$AM213&gt;0,$AQ213&gt;0), IF(INDEX(CC$12:CC$263,MATCH($AQ213,$AP$12:$AP$263,0))&gt;0,($AM213*INDEX(CC$12:CC$263,MATCH($AQ213,$AP$12:$AP$263,0)))/INDEX($AI$12:$AI$263,MATCH($AQ213,$AP$12:$AP$263,0)), "-"),     TRUE, "0")</f>
        <v>0</v>
      </c>
      <c r="CE213" s="607">
        <f>IF(CD$9&gt;0, IF(OR(CD213="",CD213="-"), 0, CD213*$AT213), CC213*$AJ213)</f>
        <v>0</v>
      </c>
      <c r="CF213" s="589">
        <f>[1]COMMANDE!AM211</f>
        <v>0</v>
      </c>
      <c r="CG213" s="586" t="str">
        <f>_xlfn.IFS(AND($AI213=$AM213,$AI213&gt;0,$AM213&gt;0,CF213&gt;0), CF213,     AND(NOT($AI213=$AM213),$AI213&gt;0,$AM213&gt;0,CF213&gt;0), ($AM213*CF213)/$AI213,     AND($AI213=0,$AM213&gt;0,$AQ213&gt;0), IF(INDEX(CF$12:CF$263,MATCH($AQ213,$AP$12:$AP$263,0))&gt;0,($AM213*INDEX(CF$12:CF$263,MATCH($AQ213,$AP$12:$AP$263,0)))/INDEX($AI$12:$AI$263,MATCH($AQ213,$AP$12:$AP$263,0)), "-"),     TRUE, "0")</f>
        <v>0</v>
      </c>
      <c r="CH213" s="588">
        <f>IF(CG$9&gt;0, IF(OR(CG213="",CG213="-"), 0, CG213*$AT213), CF213*$AJ213)</f>
        <v>0</v>
      </c>
      <c r="CI213" s="587">
        <f>[1]COMMANDE!AO211</f>
        <v>0</v>
      </c>
      <c r="CJ213" s="586" t="str">
        <f>_xlfn.IFS(AND($AI213=$AM213,$AI213&gt;0,$AM213&gt;0,CI213&gt;0), CI213,     AND(NOT($AI213=$AM213),$AI213&gt;0,$AM213&gt;0,CI213&gt;0), ($AM213*CI213)/$AI213,     AND($AI213=0,$AM213&gt;0,$AQ213&gt;0), IF(INDEX(CI$12:CI$263,MATCH($AQ213,$AP$12:$AP$263,0))&gt;0,($AM213*INDEX(CI$12:CI$263,MATCH($AQ213,$AP$12:$AP$263,0)))/INDEX($AI$12:$AI$263,MATCH($AQ213,$AP$12:$AP$263,0)), "-"),     TRUE, "0")</f>
        <v>0</v>
      </c>
      <c r="CK213" s="607">
        <f>IF(CJ$9&gt;0, IF(OR(CJ213="",CJ213="-"), 0, CJ213*$AT213), CI213*$AJ213)</f>
        <v>0</v>
      </c>
      <c r="CL213" s="589">
        <f>[1]COMMANDE!AQ211</f>
        <v>0</v>
      </c>
      <c r="CM213" s="586" t="str">
        <f>_xlfn.IFS(AND($AI213=$AM213,$AI213&gt;0,$AM213&gt;0,CL213&gt;0), CL213,     AND(NOT($AI213=$AM213),$AI213&gt;0,$AM213&gt;0,CL213&gt;0), ($AM213*CL213)/$AI213,     AND($AI213=0,$AM213&gt;0,$AQ213&gt;0), IF(INDEX(CL$12:CL$263,MATCH($AQ213,$AP$12:$AP$263,0))&gt;0,($AM213*INDEX(CL$12:CL$263,MATCH($AQ213,$AP$12:$AP$263,0)))/INDEX($AI$12:$AI$263,MATCH($AQ213,$AP$12:$AP$263,0)), "-"),     TRUE, "0")</f>
        <v>0</v>
      </c>
      <c r="CN213" s="588">
        <f>IF(CM$9&gt;0, IF(OR(CM213="",CM213="-"), 0, CM213*$AT213), CL213*$AJ213)</f>
        <v>0</v>
      </c>
      <c r="CO213" s="587">
        <f>[1]COMMANDE!AS211</f>
        <v>0</v>
      </c>
      <c r="CP213" s="586" t="str">
        <f>_xlfn.IFS(AND($AI213=$AM213,$AI213&gt;0,$AM213&gt;0,CO213&gt;0), CO213,     AND(NOT($AI213=$AM213),$AI213&gt;0,$AM213&gt;0,CO213&gt;0), ($AM213*CO213)/$AI213,     AND($AI213=0,$AM213&gt;0,$AQ213&gt;0), IF(INDEX(CO$12:CO$263,MATCH($AQ213,$AP$12:$AP$263,0))&gt;0,($AM213*INDEX(CO$12:CO$263,MATCH($AQ213,$AP$12:$AP$263,0)))/INDEX($AI$12:$AI$263,MATCH($AQ213,$AP$12:$AP$263,0)), "-"),     TRUE, "0")</f>
        <v>0</v>
      </c>
      <c r="CQ213" s="607">
        <f>IF(CP$9&gt;0, IF(OR(CP213="",CP213="-"), 0, CP213*$AT213), CO213*$AJ213)</f>
        <v>0</v>
      </c>
      <c r="CR213" s="589">
        <f>[1]COMMANDE!AU211</f>
        <v>0</v>
      </c>
      <c r="CS213" s="586" t="str">
        <f>_xlfn.IFS(AND($AI213=$AM213,$AI213&gt;0,$AM213&gt;0,CR213&gt;0), CR213,     AND(NOT($AI213=$AM213),$AI213&gt;0,$AM213&gt;0,CR213&gt;0), ($AM213*CR213)/$AI213,     AND($AI213=0,$AM213&gt;0,$AQ213&gt;0), IF(INDEX(CR$12:CR$263,MATCH($AQ213,$AP$12:$AP$263,0))&gt;0,($AM213*INDEX(CR$12:CR$263,MATCH($AQ213,$AP$12:$AP$263,0)))/INDEX($AI$12:$AI$263,MATCH($AQ213,$AP$12:$AP$263,0)), "-"),     TRUE, "0")</f>
        <v>0</v>
      </c>
      <c r="CT213" s="588">
        <f>IF(CS$9&gt;0, IF(OR(CS213="",CS213="-"), 0, CS213*$AT213), CR213*$AJ213)</f>
        <v>0</v>
      </c>
      <c r="CU213" s="587">
        <f>[1]COMMANDE!AW211</f>
        <v>0</v>
      </c>
      <c r="CV213" s="586" t="str">
        <f>_xlfn.IFS(AND($AI213=$AM213,$AI213&gt;0,$AM213&gt;0,CU213&gt;0), CU213,     AND(NOT($AI213=$AM213),$AI213&gt;0,$AM213&gt;0,CU213&gt;0), ($AM213*CU213)/$AI213,     AND($AI213=0,$AM213&gt;0,$AQ213&gt;0), IF(INDEX(CU$12:CU$263,MATCH($AQ213,$AP$12:$AP$263,0))&gt;0,($AM213*INDEX(CU$12:CU$263,MATCH($AQ213,$AP$12:$AP$263,0)))/INDEX($AI$12:$AI$263,MATCH($AQ213,$AP$12:$AP$263,0)), "-"),     TRUE, "0")</f>
        <v>0</v>
      </c>
      <c r="CW213" s="607">
        <f>IF(CV$9&gt;0, IF(OR(CV213="",CV213="-"), 0, CV213*$AT213), CU213*$AJ213)</f>
        <v>0</v>
      </c>
      <c r="CX213" s="589">
        <f>[1]COMMANDE!AY211</f>
        <v>0</v>
      </c>
      <c r="CY213" s="586" t="str">
        <f>_xlfn.IFS(AND($AI213=$AM213,$AI213&gt;0,$AM213&gt;0,CX213&gt;0), CX213,     AND(NOT($AI213=$AM213),$AI213&gt;0,$AM213&gt;0,CX213&gt;0), ($AM213*CX213)/$AI213,     AND($AI213=0,$AM213&gt;0,$AQ213&gt;0), IF(INDEX(CX$12:CX$263,MATCH($AQ213,$AP$12:$AP$263,0))&gt;0,($AM213*INDEX(CX$12:CX$263,MATCH($AQ213,$AP$12:$AP$263,0)))/INDEX($AI$12:$AI$263,MATCH($AQ213,$AP$12:$AP$263,0)), "-"),     TRUE, "0")</f>
        <v>0</v>
      </c>
      <c r="CZ213" s="588">
        <f>IF(CY$9&gt;0, IF(OR(CY213="",CY213="-"), 0, CY213*$AT213), CX213*$AJ213)</f>
        <v>0</v>
      </c>
      <c r="DA213" s="587">
        <f>[1]COMMANDE!BA211</f>
        <v>0</v>
      </c>
      <c r="DB213" s="586" t="str">
        <f>_xlfn.IFS(AND($AI213=$AM213,$AI213&gt;0,$AM213&gt;0,DA213&gt;0), DA213,     AND(NOT($AI213=$AM213),$AI213&gt;0,$AM213&gt;0,DA213&gt;0), ($AM213*DA213)/$AI213,     AND($AI213=0,$AM213&gt;0,$AQ213&gt;0), IF(INDEX(DA$12:DA$263,MATCH($AQ213,$AP$12:$AP$263,0))&gt;0,($AM213*INDEX(DA$12:DA$263,MATCH($AQ213,$AP$12:$AP$263,0)))/INDEX($AI$12:$AI$263,MATCH($AQ213,$AP$12:$AP$263,0)), "-"),     TRUE, "0")</f>
        <v>0</v>
      </c>
      <c r="DC213" s="606">
        <f>IF(DB$9&gt;0, IF(OR(DB213="",DB213="-"), 0, DB213*$AT213), DA213*$AJ213)</f>
        <v>0</v>
      </c>
      <c r="DD213" s="584"/>
      <c r="DE213" s="583"/>
    </row>
    <row r="214" spans="1:109" ht="39.950000000000003" hidden="1" customHeight="1">
      <c r="A214" s="604">
        <f>IF(OR($AV214&gt;0, $AX214&gt;0), 1, 0)</f>
        <v>0</v>
      </c>
      <c r="B214" s="604">
        <f>IF(OR($AY214&gt;0, $BA214&gt;0), 1, 0)</f>
        <v>0</v>
      </c>
      <c r="C214" s="604">
        <f>IF(OR($BB214&gt;0, $BD214&gt;0), 1, 0)</f>
        <v>0</v>
      </c>
      <c r="D214" s="604">
        <f>IF(OR($BE214&gt;0, $BG214&gt;0), 1, 0)</f>
        <v>0</v>
      </c>
      <c r="E214" s="604">
        <f>IF(OR($BH214&gt;0, $BJ214&gt;0), 1, 0)</f>
        <v>0</v>
      </c>
      <c r="F214" s="604">
        <f>IF(OR($BK214&gt;0, $BM214&gt;0), 1, 0)</f>
        <v>0</v>
      </c>
      <c r="G214" s="604">
        <f>IF(OR($BN214&gt;0, $BP214&gt;0), 1, 0)</f>
        <v>0</v>
      </c>
      <c r="H214" s="604">
        <f>IF(OR($BQ214&gt;0, $BS214&gt;0), 1, 0)</f>
        <v>0</v>
      </c>
      <c r="I214" s="604">
        <f>IF(OR($BT214&gt;0, $BV214&gt;0), 1, 0)</f>
        <v>0</v>
      </c>
      <c r="J214" s="604">
        <f>IF(OR($BW214&gt;0, $BY214&gt;0), 1, 0)</f>
        <v>0</v>
      </c>
      <c r="K214" s="604">
        <f>IF(OR($BZ214&gt;0, $CB214&gt;0), 1, 0)</f>
        <v>0</v>
      </c>
      <c r="L214" s="604">
        <f>IF(OR($CC214&gt;0, $CE214&gt;0), 1, 0)</f>
        <v>0</v>
      </c>
      <c r="M214" s="604">
        <f>IF(OR($CF214&gt;0, $CH214&gt;0), 1, 0)</f>
        <v>0</v>
      </c>
      <c r="N214" s="604">
        <f>IF(OR($CI214&gt;0, $CK214&gt;0), 1, 0)</f>
        <v>0</v>
      </c>
      <c r="O214" s="604">
        <f>IF(OR($CL214&gt;0, $CN214&gt;0), 1, 0)</f>
        <v>0</v>
      </c>
      <c r="P214" s="604">
        <f>IF(OR($CO214&gt;0, $CQ214&gt;0), 1, 0)</f>
        <v>0</v>
      </c>
      <c r="Q214" s="604">
        <f>IF(OR($CR214&gt;0, $CT214&gt;0), 1, 0)</f>
        <v>0</v>
      </c>
      <c r="R214" s="604">
        <f>IF(OR($CU214&gt;0, $CW214&gt;0), 1, 0)</f>
        <v>0</v>
      </c>
      <c r="S214" s="604">
        <f>IF(OR($CX214&gt;0, $CZ214&gt;0), 1, 0)</f>
        <v>0</v>
      </c>
      <c r="T214" s="604">
        <f>IF(OR($DA214&gt;0, $DC214&gt;0), 1, 0)</f>
        <v>0</v>
      </c>
      <c r="U214" s="603">
        <f>IF(OR($AI214&gt;0,$AM214&gt;0,$AS214&gt;0), 1, 0)</f>
        <v>0</v>
      </c>
      <c r="V214" s="602">
        <f>[1]BDD!A204</f>
        <v>3365</v>
      </c>
      <c r="W214" s="601" t="str">
        <f>[1]BDD!B204</f>
        <v>Pistache avec coque 20/22 CRU
    -  (env. 500 g.)</v>
      </c>
      <c r="X214" s="600" t="str">
        <f>IF([1]BDD!F204=0, "", [1]BDD!F204)</f>
        <v/>
      </c>
      <c r="Y214" s="542">
        <f>ROUND([1]BDD!G204+FDP_CMD_KG, 2)</f>
        <v>10.43</v>
      </c>
      <c r="Z214" s="542">
        <f>ROUND([1]BDD!G204+FDP_FACT_KG, 2)</f>
        <v>10.43</v>
      </c>
      <c r="AA214" s="543" t="str">
        <f>[1]BDD!H204</f>
        <v>Pièce</v>
      </c>
      <c r="AB214" s="544" t="str">
        <f>IF(NOT(ISBLANK([1]BDD!I204)), ROUND(SUM(([1]BDD!G204*reduc1),FDP_CMD_KG), 2), "")</f>
        <v/>
      </c>
      <c r="AC214" s="544" t="str">
        <f>IF(NOT(ISBLANK([1]BDD!J204)), ROUND(SUM(([1]BDD!G204*reduc2),FDP_CMD_KG), 2), "")</f>
        <v/>
      </c>
      <c r="AD214" s="544" t="str">
        <f>IF(NOT(ISBLANK([1]BDD!K204)), ROUND(SUM(([1]BDD!G204*reduc3),FDP_CMD_KG), 2), "")</f>
        <v/>
      </c>
      <c r="AE214" s="544" t="str">
        <f>IF(NOT(ISBLANK([1]BDD!I204)), ROUND(SUM(([1]BDD!G204*reduc1),FDP_FACT_KG), 2), "")</f>
        <v/>
      </c>
      <c r="AF214" s="544" t="str">
        <f>IF(NOT(ISBLANK([1]BDD!J204)), ROUND(SUM(([1]BDD!G204*reduc2),FDP_FACT_KG), 2), "")</f>
        <v/>
      </c>
      <c r="AG214" s="544" t="str">
        <f>IF(NOT(ISBLANK([1]BDD!K204)), ROUND(SUM(([1]BDD!G204*reduc3),FDP_FACT_KG), 2), "")</f>
        <v/>
      </c>
      <c r="AH214" s="599" t="str">
        <f>[1]BDD!C204</f>
        <v>National</v>
      </c>
      <c r="AI214" s="598">
        <f>SUM(AV214,AY214,BB214,BE214,BH214,BK214,BN214,BQ214,BT214,BW214,BZ214,CC214,CF214,CI214,CL214,CO214,CR214,CU214,CX214,DA214)</f>
        <v>0</v>
      </c>
      <c r="AJ214" s="545">
        <f>_xlfn.IFS($AD214&lt;&gt;"", $AD214,    $AC214&lt;&gt;"", $AC214,    $AB214&lt;&gt;"", $AB214,    TRUE, $Y214)</f>
        <v>10.43</v>
      </c>
      <c r="AK214" s="592">
        <f>$AI214*$AJ214</f>
        <v>0</v>
      </c>
      <c r="AL214" s="594"/>
      <c r="AM214" s="597"/>
      <c r="AN214" s="545">
        <f>_xlfn.IFS(AND(AM214&gt;=60,$AG214&lt;&gt;""), $AG214,    AND(AM214&gt;=30,$AF214&lt;&gt;""), $AF214,    AND(AM214&gt;=10,$AE214&lt;&gt;""), $AE214,    TRUE, $Z214)</f>
        <v>10.43</v>
      </c>
      <c r="AO214" s="596">
        <f>AM214*AN214</f>
        <v>0</v>
      </c>
      <c r="AP214" s="595"/>
      <c r="AQ214" s="595"/>
      <c r="AR214" s="594"/>
      <c r="AS214" s="593">
        <f>SUM(AW214,AZ214,BC214,BF214,BI214,BL214,BO214,BR214,BU214,BX214,CA214,CD214,CG214,CJ214,CM214,CP214,CS214,CV214,CY214,DB214)</f>
        <v>0</v>
      </c>
      <c r="AT214" s="545">
        <f>_xlfn.IFS(AND(AS214&gt;=60,$AG214&lt;&gt;""), $AG214,    AND(AS214&gt;=30,$AF214&lt;&gt;""), $AF214,    AND(AS214&gt;=10,$AE214&lt;&gt;""), $AE214,    TRUE, $Z214)</f>
        <v>10.43</v>
      </c>
      <c r="AU214" s="592">
        <f>$AS214*$AT214</f>
        <v>0</v>
      </c>
      <c r="AV214" s="591">
        <f>[1]COMMANDE!O212</f>
        <v>0</v>
      </c>
      <c r="AW214" s="586" t="str">
        <f>_xlfn.IFS(AND($AI214=$AM214,$AI214&gt;0,$AM214&gt;0,AV214&gt;0), AV214,     AND(NOT($AI214=$AM214),$AI214&gt;0,$AM214&gt;0,AV214&gt;0), ($AM214*AV214)/$AI214,     AND($AI214=0,$AM214&gt;0,$AQ214&gt;0), IF(INDEX(AV$12:AV$263,MATCH($AQ214,$AP$12:$AP$263,0))&gt;0,($AM214*INDEX(AV$12:AV$263,MATCH($AQ214,$AP$12:$AP$263,0)))/INDEX($AI$12:$AI$263,MATCH($AQ214,$AP$12:$AP$263,0)), "-"),     TRUE, "0")</f>
        <v>0</v>
      </c>
      <c r="AX214" s="588">
        <f>IF(AW$9&gt;0, IF(OR(AW214="",AW214="-"), 0, AW214*$AT214), AV214*$AJ214)</f>
        <v>0</v>
      </c>
      <c r="AY214" s="587">
        <f>[1]COMMANDE!Q212</f>
        <v>0</v>
      </c>
      <c r="AZ214" s="586" t="str">
        <f>_xlfn.IFS(AND($AI214=$AM214,$AI214&gt;0,$AM214&gt;0,AY214&gt;0), AY214,     AND(NOT($AI214=$AM214),$AI214&gt;0,$AM214&gt;0,AY214&gt;0), ($AM214*AY214)/$AI214,     AND($AI214=0,$AM214&gt;0,$AQ214&gt;0), IF(INDEX(AY$12:AY$263,MATCH($AQ214,$AP$12:$AP$263,0))&gt;0,($AM214*INDEX(AY$12:AY$263,MATCH($AQ214,$AP$12:$AP$263,0)))/INDEX($AI$12:$AI$263,MATCH($AQ214,$AP$12:$AP$263,0)), "-"),     TRUE, "0")</f>
        <v>0</v>
      </c>
      <c r="BA214" s="607">
        <f>IF(AZ$9&gt;0, IF(OR(AZ214="",AZ214="-"), 0, AZ214*$AT214), AY214*$AJ214)</f>
        <v>0</v>
      </c>
      <c r="BB214" s="589">
        <f>[1]COMMANDE!S212</f>
        <v>0</v>
      </c>
      <c r="BC214" s="586" t="str">
        <f>_xlfn.IFS(AND($AI214=$AM214,$AI214&gt;0,$AM214&gt;0,BB214&gt;0), BB214,     AND(NOT($AI214=$AM214),$AI214&gt;0,$AM214&gt;0,BB214&gt;0), ($AM214*BB214)/$AI214,     AND($AI214=0,$AM214&gt;0,$AQ214&gt;0), IF(INDEX(BB$12:BB$263,MATCH($AQ214,$AP$12:$AP$263,0))&gt;0,($AM214*INDEX(BB$12:BB$263,MATCH($AQ214,$AP$12:$AP$263,0)))/INDEX($AI$12:$AI$263,MATCH($AQ214,$AP$12:$AP$263,0)), "-"),     TRUE, "0")</f>
        <v>0</v>
      </c>
      <c r="BD214" s="588">
        <f>IF(BC$9&gt;0, IF(OR(BC214="",BC214="-"), 0, BC214*$AT214), BB214*$AJ214)</f>
        <v>0</v>
      </c>
      <c r="BE214" s="587">
        <f>[1]COMMANDE!U212</f>
        <v>0</v>
      </c>
      <c r="BF214" s="586" t="str">
        <f>_xlfn.IFS(AND($AI214=$AM214,$AI214&gt;0,$AM214&gt;0,BE214&gt;0), BE214,     AND(NOT($AI214=$AM214),$AI214&gt;0,$AM214&gt;0,BE214&gt;0), ($AM214*BE214)/$AI214,     AND($AI214=0,$AM214&gt;0,$AQ214&gt;0), IF(INDEX(BE$12:BE$263,MATCH($AQ214,$AP$12:$AP$263,0))&gt;0,($AM214*INDEX(BE$12:BE$263,MATCH($AQ214,$AP$12:$AP$263,0)))/INDEX($AI$12:$AI$263,MATCH($AQ214,$AP$12:$AP$263,0)), "-"),     TRUE, "0")</f>
        <v>0</v>
      </c>
      <c r="BG214" s="607">
        <f>IF(BF$9&gt;0, IF(OR(BF214="",BF214="-"), 0, BF214*$AT214), BE214*$AJ214)</f>
        <v>0</v>
      </c>
      <c r="BH214" s="589">
        <f>[1]COMMANDE!W212</f>
        <v>0</v>
      </c>
      <c r="BI214" s="586" t="str">
        <f>_xlfn.IFS(AND($AI214=$AM214,$AI214&gt;0,$AM214&gt;0,BH214&gt;0), BH214,     AND(NOT($AI214=$AM214),$AI214&gt;0,$AM214&gt;0,BH214&gt;0), ($AM214*BH214)/$AI214,     AND($AI214=0,$AM214&gt;0,$AQ214&gt;0), IF(INDEX(BH$12:BH$263,MATCH($AQ214,$AP$12:$AP$263,0))&gt;0,($AM214*INDEX(BH$12:BH$263,MATCH($AQ214,$AP$12:$AP$263,0)))/INDEX($AI$12:$AI$263,MATCH($AQ214,$AP$12:$AP$263,0)), "-"),     TRUE, "0")</f>
        <v>0</v>
      </c>
      <c r="BJ214" s="588">
        <f>IF(BI$9&gt;0, IF(OR(BI214="",BI214="-"), 0, BI214*$AT214), BH214*$AJ214)</f>
        <v>0</v>
      </c>
      <c r="BK214" s="587">
        <f>[1]COMMANDE!Y212</f>
        <v>0</v>
      </c>
      <c r="BL214" s="586" t="str">
        <f>_xlfn.IFS(AND($AI214=$AM214,$AI214&gt;0,$AM214&gt;0,BK214&gt;0), BK214,     AND(NOT($AI214=$AM214),$AI214&gt;0,$AM214&gt;0,BK214&gt;0), ($AM214*BK214)/$AI214,     AND($AI214=0,$AM214&gt;0,$AQ214&gt;0), IF(INDEX(BK$12:BK$263,MATCH($AQ214,$AP$12:$AP$263,0))&gt;0,($AM214*INDEX(BK$12:BK$263,MATCH($AQ214,$AP$12:$AP$263,0)))/INDEX($AI$12:$AI$263,MATCH($AQ214,$AP$12:$AP$263,0)), "-"),     TRUE, "0")</f>
        <v>0</v>
      </c>
      <c r="BM214" s="607">
        <f>IF(BL$9&gt;0, IF(OR(BL214="",BL214="-"), 0, BL214*$AT214), BK214*$AJ214)</f>
        <v>0</v>
      </c>
      <c r="BN214" s="589">
        <f>[1]COMMANDE!AA212</f>
        <v>0</v>
      </c>
      <c r="BO214" s="586" t="str">
        <f>_xlfn.IFS(AND($AI214=$AM214,$AI214&gt;0,$AM214&gt;0,BN214&gt;0), BN214,     AND(NOT($AI214=$AM214),$AI214&gt;0,$AM214&gt;0,BN214&gt;0), ($AM214*BN214)/$AI214,     AND($AI214=0,$AM214&gt;0,$AQ214&gt;0), IF(INDEX(BN$12:BN$263,MATCH($AQ214,$AP$12:$AP$263,0))&gt;0,($AM214*INDEX(BN$12:BN$263,MATCH($AQ214,$AP$12:$AP$263,0)))/INDEX($AI$12:$AI$263,MATCH($AQ214,$AP$12:$AP$263,0)), "-"),     TRUE, "0")</f>
        <v>0</v>
      </c>
      <c r="BP214" s="588">
        <f>IF(BO$9&gt;0, IF(OR(BO214="",BO214="-"), 0, BO214*$AT214), BN214*$AJ214)</f>
        <v>0</v>
      </c>
      <c r="BQ214" s="587">
        <f>[1]COMMANDE!AC212</f>
        <v>0</v>
      </c>
      <c r="BR214" s="586" t="str">
        <f>_xlfn.IFS(AND($AI214=$AM214,$AI214&gt;0,$AM214&gt;0,BQ214&gt;0), BQ214,     AND(NOT($AI214=$AM214),$AI214&gt;0,$AM214&gt;0,BQ214&gt;0), ($AM214*BQ214)/$AI214,     AND($AI214=0,$AM214&gt;0,$AQ214&gt;0), IF(INDEX(BQ$12:BQ$263,MATCH($AQ214,$AP$12:$AP$263,0))&gt;0,($AM214*INDEX(BQ$12:BQ$263,MATCH($AQ214,$AP$12:$AP$263,0)))/INDEX($AI$12:$AI$263,MATCH($AQ214,$AP$12:$AP$263,0)), "-"),     TRUE, "0")</f>
        <v>0</v>
      </c>
      <c r="BS214" s="607">
        <f>IF(BR$9&gt;0, IF(OR(BR214="",BR214="-"), 0, BR214*$AT214), BQ214*$AJ214)</f>
        <v>0</v>
      </c>
      <c r="BT214" s="589">
        <f>[1]COMMANDE!AE212</f>
        <v>0</v>
      </c>
      <c r="BU214" s="586" t="str">
        <f>_xlfn.IFS(AND($AI214=$AM214,$AI214&gt;0,$AM214&gt;0,BT214&gt;0), BT214,     AND(NOT($AI214=$AM214),$AI214&gt;0,$AM214&gt;0,BT214&gt;0), ($AM214*BT214)/$AI214,     AND($AI214=0,$AM214&gt;0,$AQ214&gt;0), IF(INDEX(BT$12:BT$263,MATCH($AQ214,$AP$12:$AP$263,0))&gt;0,($AM214*INDEX(BT$12:BT$263,MATCH($AQ214,$AP$12:$AP$263,0)))/INDEX($AI$12:$AI$263,MATCH($AQ214,$AP$12:$AP$263,0)), "-"),     TRUE, "0")</f>
        <v>0</v>
      </c>
      <c r="BV214" s="588">
        <f>IF(BU$9&gt;0, IF(OR(BU214="",BU214="-"), 0, BU214*$AT214), BT214*$AJ214)</f>
        <v>0</v>
      </c>
      <c r="BW214" s="587">
        <f>[1]COMMANDE!AG212</f>
        <v>0</v>
      </c>
      <c r="BX214" s="586" t="str">
        <f>_xlfn.IFS(AND($AI214=$AM214,$AI214&gt;0,$AM214&gt;0,BW214&gt;0), BW214,     AND(NOT($AI214=$AM214),$AI214&gt;0,$AM214&gt;0,BW214&gt;0), ($AM214*BW214)/$AI214,     AND($AI214=0,$AM214&gt;0,$AQ214&gt;0), IF(INDEX(BW$12:BW$263,MATCH($AQ214,$AP$12:$AP$263,0))&gt;0,($AM214*INDEX(BW$12:BW$263,MATCH($AQ214,$AP$12:$AP$263,0)))/INDEX($AI$12:$AI$263,MATCH($AQ214,$AP$12:$AP$263,0)), "-"),     TRUE, "0")</f>
        <v>0</v>
      </c>
      <c r="BY214" s="607">
        <f>IF(BX$9&gt;0, IF(OR(BX214="",BX214="-"), 0, BX214*$AT214), BW214*$AJ214)</f>
        <v>0</v>
      </c>
      <c r="BZ214" s="589">
        <f>[1]COMMANDE!AI212</f>
        <v>0</v>
      </c>
      <c r="CA214" s="586" t="str">
        <f>_xlfn.IFS(AND($AI214=$AM214,$AI214&gt;0,$AM214&gt;0,BZ214&gt;0), BZ214,     AND(NOT($AI214=$AM214),$AI214&gt;0,$AM214&gt;0,BZ214&gt;0), ($AM214*BZ214)/$AI214,     AND($AI214=0,$AM214&gt;0,$AQ214&gt;0), IF(INDEX(BZ$12:BZ$263,MATCH($AQ214,$AP$12:$AP$263,0))&gt;0,($AM214*INDEX(BZ$12:BZ$263,MATCH($AQ214,$AP$12:$AP$263,0)))/INDEX($AI$12:$AI$263,MATCH($AQ214,$AP$12:$AP$263,0)), "-"),     TRUE, "0")</f>
        <v>0</v>
      </c>
      <c r="CB214" s="588">
        <f>IF(CA$9&gt;0, IF(OR(CA214="",CA214="-"), 0, CA214*$AT214), BZ214*$AJ214)</f>
        <v>0</v>
      </c>
      <c r="CC214" s="587">
        <f>[1]COMMANDE!AK212</f>
        <v>0</v>
      </c>
      <c r="CD214" s="586" t="str">
        <f>_xlfn.IFS(AND($AI214=$AM214,$AI214&gt;0,$AM214&gt;0,CC214&gt;0), CC214,     AND(NOT($AI214=$AM214),$AI214&gt;0,$AM214&gt;0,CC214&gt;0), ($AM214*CC214)/$AI214,     AND($AI214=0,$AM214&gt;0,$AQ214&gt;0), IF(INDEX(CC$12:CC$263,MATCH($AQ214,$AP$12:$AP$263,0))&gt;0,($AM214*INDEX(CC$12:CC$263,MATCH($AQ214,$AP$12:$AP$263,0)))/INDEX($AI$12:$AI$263,MATCH($AQ214,$AP$12:$AP$263,0)), "-"),     TRUE, "0")</f>
        <v>0</v>
      </c>
      <c r="CE214" s="607">
        <f>IF(CD$9&gt;0, IF(OR(CD214="",CD214="-"), 0, CD214*$AT214), CC214*$AJ214)</f>
        <v>0</v>
      </c>
      <c r="CF214" s="589">
        <f>[1]COMMANDE!AM212</f>
        <v>0</v>
      </c>
      <c r="CG214" s="586" t="str">
        <f>_xlfn.IFS(AND($AI214=$AM214,$AI214&gt;0,$AM214&gt;0,CF214&gt;0), CF214,     AND(NOT($AI214=$AM214),$AI214&gt;0,$AM214&gt;0,CF214&gt;0), ($AM214*CF214)/$AI214,     AND($AI214=0,$AM214&gt;0,$AQ214&gt;0), IF(INDEX(CF$12:CF$263,MATCH($AQ214,$AP$12:$AP$263,0))&gt;0,($AM214*INDEX(CF$12:CF$263,MATCH($AQ214,$AP$12:$AP$263,0)))/INDEX($AI$12:$AI$263,MATCH($AQ214,$AP$12:$AP$263,0)), "-"),     TRUE, "0")</f>
        <v>0</v>
      </c>
      <c r="CH214" s="588">
        <f>IF(CG$9&gt;0, IF(OR(CG214="",CG214="-"), 0, CG214*$AT214), CF214*$AJ214)</f>
        <v>0</v>
      </c>
      <c r="CI214" s="587">
        <f>[1]COMMANDE!AO212</f>
        <v>0</v>
      </c>
      <c r="CJ214" s="586" t="str">
        <f>_xlfn.IFS(AND($AI214=$AM214,$AI214&gt;0,$AM214&gt;0,CI214&gt;0), CI214,     AND(NOT($AI214=$AM214),$AI214&gt;0,$AM214&gt;0,CI214&gt;0), ($AM214*CI214)/$AI214,     AND($AI214=0,$AM214&gt;0,$AQ214&gt;0), IF(INDEX(CI$12:CI$263,MATCH($AQ214,$AP$12:$AP$263,0))&gt;0,($AM214*INDEX(CI$12:CI$263,MATCH($AQ214,$AP$12:$AP$263,0)))/INDEX($AI$12:$AI$263,MATCH($AQ214,$AP$12:$AP$263,0)), "-"),     TRUE, "0")</f>
        <v>0</v>
      </c>
      <c r="CK214" s="607">
        <f>IF(CJ$9&gt;0, IF(OR(CJ214="",CJ214="-"), 0, CJ214*$AT214), CI214*$AJ214)</f>
        <v>0</v>
      </c>
      <c r="CL214" s="589">
        <f>[1]COMMANDE!AQ212</f>
        <v>0</v>
      </c>
      <c r="CM214" s="586" t="str">
        <f>_xlfn.IFS(AND($AI214=$AM214,$AI214&gt;0,$AM214&gt;0,CL214&gt;0), CL214,     AND(NOT($AI214=$AM214),$AI214&gt;0,$AM214&gt;0,CL214&gt;0), ($AM214*CL214)/$AI214,     AND($AI214=0,$AM214&gt;0,$AQ214&gt;0), IF(INDEX(CL$12:CL$263,MATCH($AQ214,$AP$12:$AP$263,0))&gt;0,($AM214*INDEX(CL$12:CL$263,MATCH($AQ214,$AP$12:$AP$263,0)))/INDEX($AI$12:$AI$263,MATCH($AQ214,$AP$12:$AP$263,0)), "-"),     TRUE, "0")</f>
        <v>0</v>
      </c>
      <c r="CN214" s="588">
        <f>IF(CM$9&gt;0, IF(OR(CM214="",CM214="-"), 0, CM214*$AT214), CL214*$AJ214)</f>
        <v>0</v>
      </c>
      <c r="CO214" s="587">
        <f>[1]COMMANDE!AS212</f>
        <v>0</v>
      </c>
      <c r="CP214" s="586" t="str">
        <f>_xlfn.IFS(AND($AI214=$AM214,$AI214&gt;0,$AM214&gt;0,CO214&gt;0), CO214,     AND(NOT($AI214=$AM214),$AI214&gt;0,$AM214&gt;0,CO214&gt;0), ($AM214*CO214)/$AI214,     AND($AI214=0,$AM214&gt;0,$AQ214&gt;0), IF(INDEX(CO$12:CO$263,MATCH($AQ214,$AP$12:$AP$263,0))&gt;0,($AM214*INDEX(CO$12:CO$263,MATCH($AQ214,$AP$12:$AP$263,0)))/INDEX($AI$12:$AI$263,MATCH($AQ214,$AP$12:$AP$263,0)), "-"),     TRUE, "0")</f>
        <v>0</v>
      </c>
      <c r="CQ214" s="607">
        <f>IF(CP$9&gt;0, IF(OR(CP214="",CP214="-"), 0, CP214*$AT214), CO214*$AJ214)</f>
        <v>0</v>
      </c>
      <c r="CR214" s="589">
        <f>[1]COMMANDE!AU212</f>
        <v>0</v>
      </c>
      <c r="CS214" s="586" t="str">
        <f>_xlfn.IFS(AND($AI214=$AM214,$AI214&gt;0,$AM214&gt;0,CR214&gt;0), CR214,     AND(NOT($AI214=$AM214),$AI214&gt;0,$AM214&gt;0,CR214&gt;0), ($AM214*CR214)/$AI214,     AND($AI214=0,$AM214&gt;0,$AQ214&gt;0), IF(INDEX(CR$12:CR$263,MATCH($AQ214,$AP$12:$AP$263,0))&gt;0,($AM214*INDEX(CR$12:CR$263,MATCH($AQ214,$AP$12:$AP$263,0)))/INDEX($AI$12:$AI$263,MATCH($AQ214,$AP$12:$AP$263,0)), "-"),     TRUE, "0")</f>
        <v>0</v>
      </c>
      <c r="CT214" s="588">
        <f>IF(CS$9&gt;0, IF(OR(CS214="",CS214="-"), 0, CS214*$AT214), CR214*$AJ214)</f>
        <v>0</v>
      </c>
      <c r="CU214" s="587">
        <f>[1]COMMANDE!AW212</f>
        <v>0</v>
      </c>
      <c r="CV214" s="586" t="str">
        <f>_xlfn.IFS(AND($AI214=$AM214,$AI214&gt;0,$AM214&gt;0,CU214&gt;0), CU214,     AND(NOT($AI214=$AM214),$AI214&gt;0,$AM214&gt;0,CU214&gt;0), ($AM214*CU214)/$AI214,     AND($AI214=0,$AM214&gt;0,$AQ214&gt;0), IF(INDEX(CU$12:CU$263,MATCH($AQ214,$AP$12:$AP$263,0))&gt;0,($AM214*INDEX(CU$12:CU$263,MATCH($AQ214,$AP$12:$AP$263,0)))/INDEX($AI$12:$AI$263,MATCH($AQ214,$AP$12:$AP$263,0)), "-"),     TRUE, "0")</f>
        <v>0</v>
      </c>
      <c r="CW214" s="607">
        <f>IF(CV$9&gt;0, IF(OR(CV214="",CV214="-"), 0, CV214*$AT214), CU214*$AJ214)</f>
        <v>0</v>
      </c>
      <c r="CX214" s="589">
        <f>[1]COMMANDE!AY212</f>
        <v>0</v>
      </c>
      <c r="CY214" s="586" t="str">
        <f>_xlfn.IFS(AND($AI214=$AM214,$AI214&gt;0,$AM214&gt;0,CX214&gt;0), CX214,     AND(NOT($AI214=$AM214),$AI214&gt;0,$AM214&gt;0,CX214&gt;0), ($AM214*CX214)/$AI214,     AND($AI214=0,$AM214&gt;0,$AQ214&gt;0), IF(INDEX(CX$12:CX$263,MATCH($AQ214,$AP$12:$AP$263,0))&gt;0,($AM214*INDEX(CX$12:CX$263,MATCH($AQ214,$AP$12:$AP$263,0)))/INDEX($AI$12:$AI$263,MATCH($AQ214,$AP$12:$AP$263,0)), "-"),     TRUE, "0")</f>
        <v>0</v>
      </c>
      <c r="CZ214" s="588">
        <f>IF(CY$9&gt;0, IF(OR(CY214="",CY214="-"), 0, CY214*$AT214), CX214*$AJ214)</f>
        <v>0</v>
      </c>
      <c r="DA214" s="587">
        <f>[1]COMMANDE!BA212</f>
        <v>0</v>
      </c>
      <c r="DB214" s="586" t="str">
        <f>_xlfn.IFS(AND($AI214=$AM214,$AI214&gt;0,$AM214&gt;0,DA214&gt;0), DA214,     AND(NOT($AI214=$AM214),$AI214&gt;0,$AM214&gt;0,DA214&gt;0), ($AM214*DA214)/$AI214,     AND($AI214=0,$AM214&gt;0,$AQ214&gt;0), IF(INDEX(DA$12:DA$263,MATCH($AQ214,$AP$12:$AP$263,0))&gt;0,($AM214*INDEX(DA$12:DA$263,MATCH($AQ214,$AP$12:$AP$263,0)))/INDEX($AI$12:$AI$263,MATCH($AQ214,$AP$12:$AP$263,0)), "-"),     TRUE, "0")</f>
        <v>0</v>
      </c>
      <c r="DC214" s="606">
        <f>IF(DB$9&gt;0, IF(OR(DB214="",DB214="-"), 0, DB214*$AT214), DA214*$AJ214)</f>
        <v>0</v>
      </c>
      <c r="DD214" s="584"/>
      <c r="DE214" s="583"/>
    </row>
    <row r="215" spans="1:109" ht="39.950000000000003" hidden="1" customHeight="1">
      <c r="A215" s="604">
        <f>IF(OR($AV215&gt;0, $AX215&gt;0), 1, 0)</f>
        <v>0</v>
      </c>
      <c r="B215" s="604">
        <f>IF(OR($AY215&gt;0, $BA215&gt;0), 1, 0)</f>
        <v>0</v>
      </c>
      <c r="C215" s="604">
        <f>IF(OR($BB215&gt;0, $BD215&gt;0), 1, 0)</f>
        <v>0</v>
      </c>
      <c r="D215" s="604">
        <f>IF(OR($BE215&gt;0, $BG215&gt;0), 1, 0)</f>
        <v>0</v>
      </c>
      <c r="E215" s="604">
        <f>IF(OR($BH215&gt;0, $BJ215&gt;0), 1, 0)</f>
        <v>0</v>
      </c>
      <c r="F215" s="604">
        <f>IF(OR($BK215&gt;0, $BM215&gt;0), 1, 0)</f>
        <v>0</v>
      </c>
      <c r="G215" s="604">
        <f>IF(OR($BN215&gt;0, $BP215&gt;0), 1, 0)</f>
        <v>0</v>
      </c>
      <c r="H215" s="604">
        <f>IF(OR($BQ215&gt;0, $BS215&gt;0), 1, 0)</f>
        <v>0</v>
      </c>
      <c r="I215" s="604">
        <f>IF(OR($BT215&gt;0, $BV215&gt;0), 1, 0)</f>
        <v>0</v>
      </c>
      <c r="J215" s="604">
        <f>IF(OR($BW215&gt;0, $BY215&gt;0), 1, 0)</f>
        <v>0</v>
      </c>
      <c r="K215" s="604">
        <f>IF(OR($BZ215&gt;0, $CB215&gt;0), 1, 0)</f>
        <v>0</v>
      </c>
      <c r="L215" s="604">
        <f>IF(OR($CC215&gt;0, $CE215&gt;0), 1, 0)</f>
        <v>0</v>
      </c>
      <c r="M215" s="604">
        <f>IF(OR($CF215&gt;0, $CH215&gt;0), 1, 0)</f>
        <v>0</v>
      </c>
      <c r="N215" s="604">
        <f>IF(OR($CI215&gt;0, $CK215&gt;0), 1, 0)</f>
        <v>0</v>
      </c>
      <c r="O215" s="604">
        <f>IF(OR($CL215&gt;0, $CN215&gt;0), 1, 0)</f>
        <v>0</v>
      </c>
      <c r="P215" s="604">
        <f>IF(OR($CO215&gt;0, $CQ215&gt;0), 1, 0)</f>
        <v>0</v>
      </c>
      <c r="Q215" s="604">
        <f>IF(OR($CR215&gt;0, $CT215&gt;0), 1, 0)</f>
        <v>0</v>
      </c>
      <c r="R215" s="604">
        <f>IF(OR($CU215&gt;0, $CW215&gt;0), 1, 0)</f>
        <v>0</v>
      </c>
      <c r="S215" s="604">
        <f>IF(OR($CX215&gt;0, $CZ215&gt;0), 1, 0)</f>
        <v>0</v>
      </c>
      <c r="T215" s="604">
        <f>IF(OR($DA215&gt;0, $DC215&gt;0), 1, 0)</f>
        <v>0</v>
      </c>
      <c r="U215" s="603">
        <f>IF(OR($AI215&gt;0,$AM215&gt;0,$AS215&gt;0), 1, 0)</f>
        <v>0</v>
      </c>
      <c r="V215" s="602">
        <f>[1]BDD!A205</f>
        <v>3615</v>
      </c>
      <c r="W215" s="601" t="str">
        <f>[1]BDD!B205</f>
        <v>Pistache avec coque CRU (env. 1kg)</v>
      </c>
      <c r="X215" s="600" t="str">
        <f>IF([1]BDD!F205=0, "", [1]BDD!F205)</f>
        <v>❤️</v>
      </c>
      <c r="Y215" s="542">
        <f>ROUND([1]BDD!G205+FDP_CMD_KG, 2)</f>
        <v>35.090000000000003</v>
      </c>
      <c r="Z215" s="542">
        <f>ROUND([1]BDD!G205+FDP_FACT_KG, 2)</f>
        <v>35.090000000000003</v>
      </c>
      <c r="AA215" s="543" t="str">
        <f>[1]BDD!H205</f>
        <v>Pièce</v>
      </c>
      <c r="AB215" s="544" t="str">
        <f>IF(NOT(ISBLANK([1]BDD!I205)), ROUND(SUM(([1]BDD!G205*reduc1),FDP_CMD_KG), 2), "")</f>
        <v/>
      </c>
      <c r="AC215" s="544" t="str">
        <f>IF(NOT(ISBLANK([1]BDD!J205)), ROUND(SUM(([1]BDD!G205*reduc2),FDP_CMD_KG), 2), "")</f>
        <v/>
      </c>
      <c r="AD215" s="544" t="str">
        <f>IF(NOT(ISBLANK([1]BDD!K205)), ROUND(SUM(([1]BDD!G205*reduc3),FDP_CMD_KG), 2), "")</f>
        <v/>
      </c>
      <c r="AE215" s="544" t="str">
        <f>IF(NOT(ISBLANK([1]BDD!I205)), ROUND(SUM(([1]BDD!G205*reduc1),FDP_FACT_KG), 2), "")</f>
        <v/>
      </c>
      <c r="AF215" s="544" t="str">
        <f>IF(NOT(ISBLANK([1]BDD!J205)), ROUND(SUM(([1]BDD!G205*reduc2),FDP_FACT_KG), 2), "")</f>
        <v/>
      </c>
      <c r="AG215" s="544" t="str">
        <f>IF(NOT(ISBLANK([1]BDD!K205)), ROUND(SUM(([1]BDD!G205*reduc3),FDP_FACT_KG), 2), "")</f>
        <v/>
      </c>
      <c r="AH215" s="599" t="str">
        <f>[1]BDD!C205</f>
        <v>Espagne</v>
      </c>
      <c r="AI215" s="598">
        <f>SUM(AV215,AY215,BB215,BE215,BH215,BK215,BN215,BQ215,BT215,BW215,BZ215,CC215,CF215,CI215,CL215,CO215,CR215,CU215,CX215,DA215)</f>
        <v>0</v>
      </c>
      <c r="AJ215" s="545">
        <f>_xlfn.IFS($AD215&lt;&gt;"", $AD215,    $AC215&lt;&gt;"", $AC215,    $AB215&lt;&gt;"", $AB215,    TRUE, $Y215)</f>
        <v>35.090000000000003</v>
      </c>
      <c r="AK215" s="592">
        <f>$AI215*$AJ215</f>
        <v>0</v>
      </c>
      <c r="AL215" s="594"/>
      <c r="AM215" s="597"/>
      <c r="AN215" s="545">
        <f>_xlfn.IFS(AND(AM215&gt;=60,$AG215&lt;&gt;""), $AG215,    AND(AM215&gt;=30,$AF215&lt;&gt;""), $AF215,    AND(AM215&gt;=10,$AE215&lt;&gt;""), $AE215,    TRUE, $Z215)</f>
        <v>35.090000000000003</v>
      </c>
      <c r="AO215" s="596">
        <f>AM215*AN215</f>
        <v>0</v>
      </c>
      <c r="AP215" s="595"/>
      <c r="AQ215" s="595"/>
      <c r="AR215" s="594"/>
      <c r="AS215" s="593">
        <f>SUM(AW215,AZ215,BC215,BF215,BI215,BL215,BO215,BR215,BU215,BX215,CA215,CD215,CG215,CJ215,CM215,CP215,CS215,CV215,CY215,DB215)</f>
        <v>0</v>
      </c>
      <c r="AT215" s="545">
        <f>_xlfn.IFS(AND(AS215&gt;=60,$AG215&lt;&gt;""), $AG215,    AND(AS215&gt;=30,$AF215&lt;&gt;""), $AF215,    AND(AS215&gt;=10,$AE215&lt;&gt;""), $AE215,    TRUE, $Z215)</f>
        <v>35.090000000000003</v>
      </c>
      <c r="AU215" s="592">
        <f>$AS215*$AT215</f>
        <v>0</v>
      </c>
      <c r="AV215" s="591">
        <f>[1]COMMANDE!O213</f>
        <v>0</v>
      </c>
      <c r="AW215" s="586" t="str">
        <f>_xlfn.IFS(AND($AI215=$AM215,$AI215&gt;0,$AM215&gt;0,AV215&gt;0), AV215,     AND(NOT($AI215=$AM215),$AI215&gt;0,$AM215&gt;0,AV215&gt;0), ($AM215*AV215)/$AI215,     AND($AI215=0,$AM215&gt;0,$AQ215&gt;0), IF(INDEX(AV$12:AV$263,MATCH($AQ215,$AP$12:$AP$263,0))&gt;0,($AM215*INDEX(AV$12:AV$263,MATCH($AQ215,$AP$12:$AP$263,0)))/INDEX($AI$12:$AI$263,MATCH($AQ215,$AP$12:$AP$263,0)), "-"),     TRUE, "0")</f>
        <v>0</v>
      </c>
      <c r="AX215" s="588">
        <f>IF(AW$9&gt;0, IF(OR(AW215="",AW215="-"), 0, AW215*$AT215), AV215*$AJ215)</f>
        <v>0</v>
      </c>
      <c r="AY215" s="587">
        <f>[1]COMMANDE!Q213</f>
        <v>0</v>
      </c>
      <c r="AZ215" s="586" t="str">
        <f>_xlfn.IFS(AND($AI215=$AM215,$AI215&gt;0,$AM215&gt;0,AY215&gt;0), AY215,     AND(NOT($AI215=$AM215),$AI215&gt;0,$AM215&gt;0,AY215&gt;0), ($AM215*AY215)/$AI215,     AND($AI215=0,$AM215&gt;0,$AQ215&gt;0), IF(INDEX(AY$12:AY$263,MATCH($AQ215,$AP$12:$AP$263,0))&gt;0,($AM215*INDEX(AY$12:AY$263,MATCH($AQ215,$AP$12:$AP$263,0)))/INDEX($AI$12:$AI$263,MATCH($AQ215,$AP$12:$AP$263,0)), "-"),     TRUE, "0")</f>
        <v>0</v>
      </c>
      <c r="BA215" s="607">
        <f>IF(AZ$9&gt;0, IF(OR(AZ215="",AZ215="-"), 0, AZ215*$AT215), AY215*$AJ215)</f>
        <v>0</v>
      </c>
      <c r="BB215" s="589">
        <f>[1]COMMANDE!S213</f>
        <v>0</v>
      </c>
      <c r="BC215" s="586" t="str">
        <f>_xlfn.IFS(AND($AI215=$AM215,$AI215&gt;0,$AM215&gt;0,BB215&gt;0), BB215,     AND(NOT($AI215=$AM215),$AI215&gt;0,$AM215&gt;0,BB215&gt;0), ($AM215*BB215)/$AI215,     AND($AI215=0,$AM215&gt;0,$AQ215&gt;0), IF(INDEX(BB$12:BB$263,MATCH($AQ215,$AP$12:$AP$263,0))&gt;0,($AM215*INDEX(BB$12:BB$263,MATCH($AQ215,$AP$12:$AP$263,0)))/INDEX($AI$12:$AI$263,MATCH($AQ215,$AP$12:$AP$263,0)), "-"),     TRUE, "0")</f>
        <v>0</v>
      </c>
      <c r="BD215" s="588">
        <f>IF(BC$9&gt;0, IF(OR(BC215="",BC215="-"), 0, BC215*$AT215), BB215*$AJ215)</f>
        <v>0</v>
      </c>
      <c r="BE215" s="587">
        <f>[1]COMMANDE!U213</f>
        <v>0</v>
      </c>
      <c r="BF215" s="586" t="str">
        <f>_xlfn.IFS(AND($AI215=$AM215,$AI215&gt;0,$AM215&gt;0,BE215&gt;0), BE215,     AND(NOT($AI215=$AM215),$AI215&gt;0,$AM215&gt;0,BE215&gt;0), ($AM215*BE215)/$AI215,     AND($AI215=0,$AM215&gt;0,$AQ215&gt;0), IF(INDEX(BE$12:BE$263,MATCH($AQ215,$AP$12:$AP$263,0))&gt;0,($AM215*INDEX(BE$12:BE$263,MATCH($AQ215,$AP$12:$AP$263,0)))/INDEX($AI$12:$AI$263,MATCH($AQ215,$AP$12:$AP$263,0)), "-"),     TRUE, "0")</f>
        <v>0</v>
      </c>
      <c r="BG215" s="607">
        <f>IF(BF$9&gt;0, IF(OR(BF215="",BF215="-"), 0, BF215*$AT215), BE215*$AJ215)</f>
        <v>0</v>
      </c>
      <c r="BH215" s="589">
        <f>[1]COMMANDE!W213</f>
        <v>0</v>
      </c>
      <c r="BI215" s="586" t="str">
        <f>_xlfn.IFS(AND($AI215=$AM215,$AI215&gt;0,$AM215&gt;0,BH215&gt;0), BH215,     AND(NOT($AI215=$AM215),$AI215&gt;0,$AM215&gt;0,BH215&gt;0), ($AM215*BH215)/$AI215,     AND($AI215=0,$AM215&gt;0,$AQ215&gt;0), IF(INDEX(BH$12:BH$263,MATCH($AQ215,$AP$12:$AP$263,0))&gt;0,($AM215*INDEX(BH$12:BH$263,MATCH($AQ215,$AP$12:$AP$263,0)))/INDEX($AI$12:$AI$263,MATCH($AQ215,$AP$12:$AP$263,0)), "-"),     TRUE, "0")</f>
        <v>0</v>
      </c>
      <c r="BJ215" s="588">
        <f>IF(BI$9&gt;0, IF(OR(BI215="",BI215="-"), 0, BI215*$AT215), BH215*$AJ215)</f>
        <v>0</v>
      </c>
      <c r="BK215" s="587">
        <f>[1]COMMANDE!Y213</f>
        <v>0</v>
      </c>
      <c r="BL215" s="586" t="str">
        <f>_xlfn.IFS(AND($AI215=$AM215,$AI215&gt;0,$AM215&gt;0,BK215&gt;0), BK215,     AND(NOT($AI215=$AM215),$AI215&gt;0,$AM215&gt;0,BK215&gt;0), ($AM215*BK215)/$AI215,     AND($AI215=0,$AM215&gt;0,$AQ215&gt;0), IF(INDEX(BK$12:BK$263,MATCH($AQ215,$AP$12:$AP$263,0))&gt;0,($AM215*INDEX(BK$12:BK$263,MATCH($AQ215,$AP$12:$AP$263,0)))/INDEX($AI$12:$AI$263,MATCH($AQ215,$AP$12:$AP$263,0)), "-"),     TRUE, "0")</f>
        <v>0</v>
      </c>
      <c r="BM215" s="607">
        <f>IF(BL$9&gt;0, IF(OR(BL215="",BL215="-"), 0, BL215*$AT215), BK215*$AJ215)</f>
        <v>0</v>
      </c>
      <c r="BN215" s="589">
        <f>[1]COMMANDE!AA213</f>
        <v>0</v>
      </c>
      <c r="BO215" s="586" t="str">
        <f>_xlfn.IFS(AND($AI215=$AM215,$AI215&gt;0,$AM215&gt;0,BN215&gt;0), BN215,     AND(NOT($AI215=$AM215),$AI215&gt;0,$AM215&gt;0,BN215&gt;0), ($AM215*BN215)/$AI215,     AND($AI215=0,$AM215&gt;0,$AQ215&gt;0), IF(INDEX(BN$12:BN$263,MATCH($AQ215,$AP$12:$AP$263,0))&gt;0,($AM215*INDEX(BN$12:BN$263,MATCH($AQ215,$AP$12:$AP$263,0)))/INDEX($AI$12:$AI$263,MATCH($AQ215,$AP$12:$AP$263,0)), "-"),     TRUE, "0")</f>
        <v>0</v>
      </c>
      <c r="BP215" s="588">
        <f>IF(BO$9&gt;0, IF(OR(BO215="",BO215="-"), 0, BO215*$AT215), BN215*$AJ215)</f>
        <v>0</v>
      </c>
      <c r="BQ215" s="587">
        <f>[1]COMMANDE!AC213</f>
        <v>0</v>
      </c>
      <c r="BR215" s="586" t="str">
        <f>_xlfn.IFS(AND($AI215=$AM215,$AI215&gt;0,$AM215&gt;0,BQ215&gt;0), BQ215,     AND(NOT($AI215=$AM215),$AI215&gt;0,$AM215&gt;0,BQ215&gt;0), ($AM215*BQ215)/$AI215,     AND($AI215=0,$AM215&gt;0,$AQ215&gt;0), IF(INDEX(BQ$12:BQ$263,MATCH($AQ215,$AP$12:$AP$263,0))&gt;0,($AM215*INDEX(BQ$12:BQ$263,MATCH($AQ215,$AP$12:$AP$263,0)))/INDEX($AI$12:$AI$263,MATCH($AQ215,$AP$12:$AP$263,0)), "-"),     TRUE, "0")</f>
        <v>0</v>
      </c>
      <c r="BS215" s="607">
        <f>IF(BR$9&gt;0, IF(OR(BR215="",BR215="-"), 0, BR215*$AT215), BQ215*$AJ215)</f>
        <v>0</v>
      </c>
      <c r="BT215" s="589">
        <f>[1]COMMANDE!AE213</f>
        <v>0</v>
      </c>
      <c r="BU215" s="586" t="str">
        <f>_xlfn.IFS(AND($AI215=$AM215,$AI215&gt;0,$AM215&gt;0,BT215&gt;0), BT215,     AND(NOT($AI215=$AM215),$AI215&gt;0,$AM215&gt;0,BT215&gt;0), ($AM215*BT215)/$AI215,     AND($AI215=0,$AM215&gt;0,$AQ215&gt;0), IF(INDEX(BT$12:BT$263,MATCH($AQ215,$AP$12:$AP$263,0))&gt;0,($AM215*INDEX(BT$12:BT$263,MATCH($AQ215,$AP$12:$AP$263,0)))/INDEX($AI$12:$AI$263,MATCH($AQ215,$AP$12:$AP$263,0)), "-"),     TRUE, "0")</f>
        <v>0</v>
      </c>
      <c r="BV215" s="588">
        <f>IF(BU$9&gt;0, IF(OR(BU215="",BU215="-"), 0, BU215*$AT215), BT215*$AJ215)</f>
        <v>0</v>
      </c>
      <c r="BW215" s="587">
        <f>[1]COMMANDE!AG213</f>
        <v>0</v>
      </c>
      <c r="BX215" s="586" t="str">
        <f>_xlfn.IFS(AND($AI215=$AM215,$AI215&gt;0,$AM215&gt;0,BW215&gt;0), BW215,     AND(NOT($AI215=$AM215),$AI215&gt;0,$AM215&gt;0,BW215&gt;0), ($AM215*BW215)/$AI215,     AND($AI215=0,$AM215&gt;0,$AQ215&gt;0), IF(INDEX(BW$12:BW$263,MATCH($AQ215,$AP$12:$AP$263,0))&gt;0,($AM215*INDEX(BW$12:BW$263,MATCH($AQ215,$AP$12:$AP$263,0)))/INDEX($AI$12:$AI$263,MATCH($AQ215,$AP$12:$AP$263,0)), "-"),     TRUE, "0")</f>
        <v>0</v>
      </c>
      <c r="BY215" s="607">
        <f>IF(BX$9&gt;0, IF(OR(BX215="",BX215="-"), 0, BX215*$AT215), BW215*$AJ215)</f>
        <v>0</v>
      </c>
      <c r="BZ215" s="589">
        <f>[1]COMMANDE!AI213</f>
        <v>0</v>
      </c>
      <c r="CA215" s="586" t="str">
        <f>_xlfn.IFS(AND($AI215=$AM215,$AI215&gt;0,$AM215&gt;0,BZ215&gt;0), BZ215,     AND(NOT($AI215=$AM215),$AI215&gt;0,$AM215&gt;0,BZ215&gt;0), ($AM215*BZ215)/$AI215,     AND($AI215=0,$AM215&gt;0,$AQ215&gt;0), IF(INDEX(BZ$12:BZ$263,MATCH($AQ215,$AP$12:$AP$263,0))&gt;0,($AM215*INDEX(BZ$12:BZ$263,MATCH($AQ215,$AP$12:$AP$263,0)))/INDEX($AI$12:$AI$263,MATCH($AQ215,$AP$12:$AP$263,0)), "-"),     TRUE, "0")</f>
        <v>0</v>
      </c>
      <c r="CB215" s="588">
        <f>IF(CA$9&gt;0, IF(OR(CA215="",CA215="-"), 0, CA215*$AT215), BZ215*$AJ215)</f>
        <v>0</v>
      </c>
      <c r="CC215" s="587">
        <f>[1]COMMANDE!AK213</f>
        <v>0</v>
      </c>
      <c r="CD215" s="586" t="str">
        <f>_xlfn.IFS(AND($AI215=$AM215,$AI215&gt;0,$AM215&gt;0,CC215&gt;0), CC215,     AND(NOT($AI215=$AM215),$AI215&gt;0,$AM215&gt;0,CC215&gt;0), ($AM215*CC215)/$AI215,     AND($AI215=0,$AM215&gt;0,$AQ215&gt;0), IF(INDEX(CC$12:CC$263,MATCH($AQ215,$AP$12:$AP$263,0))&gt;0,($AM215*INDEX(CC$12:CC$263,MATCH($AQ215,$AP$12:$AP$263,0)))/INDEX($AI$12:$AI$263,MATCH($AQ215,$AP$12:$AP$263,0)), "-"),     TRUE, "0")</f>
        <v>0</v>
      </c>
      <c r="CE215" s="607">
        <f>IF(CD$9&gt;0, IF(OR(CD215="",CD215="-"), 0, CD215*$AT215), CC215*$AJ215)</f>
        <v>0</v>
      </c>
      <c r="CF215" s="589">
        <f>[1]COMMANDE!AM213</f>
        <v>0</v>
      </c>
      <c r="CG215" s="586" t="str">
        <f>_xlfn.IFS(AND($AI215=$AM215,$AI215&gt;0,$AM215&gt;0,CF215&gt;0), CF215,     AND(NOT($AI215=$AM215),$AI215&gt;0,$AM215&gt;0,CF215&gt;0), ($AM215*CF215)/$AI215,     AND($AI215=0,$AM215&gt;0,$AQ215&gt;0), IF(INDEX(CF$12:CF$263,MATCH($AQ215,$AP$12:$AP$263,0))&gt;0,($AM215*INDEX(CF$12:CF$263,MATCH($AQ215,$AP$12:$AP$263,0)))/INDEX($AI$12:$AI$263,MATCH($AQ215,$AP$12:$AP$263,0)), "-"),     TRUE, "0")</f>
        <v>0</v>
      </c>
      <c r="CH215" s="588">
        <f>IF(CG$9&gt;0, IF(OR(CG215="",CG215="-"), 0, CG215*$AT215), CF215*$AJ215)</f>
        <v>0</v>
      </c>
      <c r="CI215" s="587">
        <f>[1]COMMANDE!AO213</f>
        <v>0</v>
      </c>
      <c r="CJ215" s="586" t="str">
        <f>_xlfn.IFS(AND($AI215=$AM215,$AI215&gt;0,$AM215&gt;0,CI215&gt;0), CI215,     AND(NOT($AI215=$AM215),$AI215&gt;0,$AM215&gt;0,CI215&gt;0), ($AM215*CI215)/$AI215,     AND($AI215=0,$AM215&gt;0,$AQ215&gt;0), IF(INDEX(CI$12:CI$263,MATCH($AQ215,$AP$12:$AP$263,0))&gt;0,($AM215*INDEX(CI$12:CI$263,MATCH($AQ215,$AP$12:$AP$263,0)))/INDEX($AI$12:$AI$263,MATCH($AQ215,$AP$12:$AP$263,0)), "-"),     TRUE, "0")</f>
        <v>0</v>
      </c>
      <c r="CK215" s="607">
        <f>IF(CJ$9&gt;0, IF(OR(CJ215="",CJ215="-"), 0, CJ215*$AT215), CI215*$AJ215)</f>
        <v>0</v>
      </c>
      <c r="CL215" s="589">
        <f>[1]COMMANDE!AQ213</f>
        <v>0</v>
      </c>
      <c r="CM215" s="586" t="str">
        <f>_xlfn.IFS(AND($AI215=$AM215,$AI215&gt;0,$AM215&gt;0,CL215&gt;0), CL215,     AND(NOT($AI215=$AM215),$AI215&gt;0,$AM215&gt;0,CL215&gt;0), ($AM215*CL215)/$AI215,     AND($AI215=0,$AM215&gt;0,$AQ215&gt;0), IF(INDEX(CL$12:CL$263,MATCH($AQ215,$AP$12:$AP$263,0))&gt;0,($AM215*INDEX(CL$12:CL$263,MATCH($AQ215,$AP$12:$AP$263,0)))/INDEX($AI$12:$AI$263,MATCH($AQ215,$AP$12:$AP$263,0)), "-"),     TRUE, "0")</f>
        <v>0</v>
      </c>
      <c r="CN215" s="588">
        <f>IF(CM$9&gt;0, IF(OR(CM215="",CM215="-"), 0, CM215*$AT215), CL215*$AJ215)</f>
        <v>0</v>
      </c>
      <c r="CO215" s="587">
        <f>[1]COMMANDE!AS213</f>
        <v>0</v>
      </c>
      <c r="CP215" s="586" t="str">
        <f>_xlfn.IFS(AND($AI215=$AM215,$AI215&gt;0,$AM215&gt;0,CO215&gt;0), CO215,     AND(NOT($AI215=$AM215),$AI215&gt;0,$AM215&gt;0,CO215&gt;0), ($AM215*CO215)/$AI215,     AND($AI215=0,$AM215&gt;0,$AQ215&gt;0), IF(INDEX(CO$12:CO$263,MATCH($AQ215,$AP$12:$AP$263,0))&gt;0,($AM215*INDEX(CO$12:CO$263,MATCH($AQ215,$AP$12:$AP$263,0)))/INDEX($AI$12:$AI$263,MATCH($AQ215,$AP$12:$AP$263,0)), "-"),     TRUE, "0")</f>
        <v>0</v>
      </c>
      <c r="CQ215" s="607">
        <f>IF(CP$9&gt;0, IF(OR(CP215="",CP215="-"), 0, CP215*$AT215), CO215*$AJ215)</f>
        <v>0</v>
      </c>
      <c r="CR215" s="589">
        <f>[1]COMMANDE!AU213</f>
        <v>0</v>
      </c>
      <c r="CS215" s="586" t="str">
        <f>_xlfn.IFS(AND($AI215=$AM215,$AI215&gt;0,$AM215&gt;0,CR215&gt;0), CR215,     AND(NOT($AI215=$AM215),$AI215&gt;0,$AM215&gt;0,CR215&gt;0), ($AM215*CR215)/$AI215,     AND($AI215=0,$AM215&gt;0,$AQ215&gt;0), IF(INDEX(CR$12:CR$263,MATCH($AQ215,$AP$12:$AP$263,0))&gt;0,($AM215*INDEX(CR$12:CR$263,MATCH($AQ215,$AP$12:$AP$263,0)))/INDEX($AI$12:$AI$263,MATCH($AQ215,$AP$12:$AP$263,0)), "-"),     TRUE, "0")</f>
        <v>0</v>
      </c>
      <c r="CT215" s="588">
        <f>IF(CS$9&gt;0, IF(OR(CS215="",CS215="-"), 0, CS215*$AT215), CR215*$AJ215)</f>
        <v>0</v>
      </c>
      <c r="CU215" s="587">
        <f>[1]COMMANDE!AW213</f>
        <v>0</v>
      </c>
      <c r="CV215" s="586" t="str">
        <f>_xlfn.IFS(AND($AI215=$AM215,$AI215&gt;0,$AM215&gt;0,CU215&gt;0), CU215,     AND(NOT($AI215=$AM215),$AI215&gt;0,$AM215&gt;0,CU215&gt;0), ($AM215*CU215)/$AI215,     AND($AI215=0,$AM215&gt;0,$AQ215&gt;0), IF(INDEX(CU$12:CU$263,MATCH($AQ215,$AP$12:$AP$263,0))&gt;0,($AM215*INDEX(CU$12:CU$263,MATCH($AQ215,$AP$12:$AP$263,0)))/INDEX($AI$12:$AI$263,MATCH($AQ215,$AP$12:$AP$263,0)), "-"),     TRUE, "0")</f>
        <v>0</v>
      </c>
      <c r="CW215" s="607">
        <f>IF(CV$9&gt;0, IF(OR(CV215="",CV215="-"), 0, CV215*$AT215), CU215*$AJ215)</f>
        <v>0</v>
      </c>
      <c r="CX215" s="589">
        <f>[1]COMMANDE!AY213</f>
        <v>0</v>
      </c>
      <c r="CY215" s="586" t="str">
        <f>_xlfn.IFS(AND($AI215=$AM215,$AI215&gt;0,$AM215&gt;0,CX215&gt;0), CX215,     AND(NOT($AI215=$AM215),$AI215&gt;0,$AM215&gt;0,CX215&gt;0), ($AM215*CX215)/$AI215,     AND($AI215=0,$AM215&gt;0,$AQ215&gt;0), IF(INDEX(CX$12:CX$263,MATCH($AQ215,$AP$12:$AP$263,0))&gt;0,($AM215*INDEX(CX$12:CX$263,MATCH($AQ215,$AP$12:$AP$263,0)))/INDEX($AI$12:$AI$263,MATCH($AQ215,$AP$12:$AP$263,0)), "-"),     TRUE, "0")</f>
        <v>0</v>
      </c>
      <c r="CZ215" s="588">
        <f>IF(CY$9&gt;0, IF(OR(CY215="",CY215="-"), 0, CY215*$AT215), CX215*$AJ215)</f>
        <v>0</v>
      </c>
      <c r="DA215" s="587">
        <f>[1]COMMANDE!BA213</f>
        <v>0</v>
      </c>
      <c r="DB215" s="586" t="str">
        <f>_xlfn.IFS(AND($AI215=$AM215,$AI215&gt;0,$AM215&gt;0,DA215&gt;0), DA215,     AND(NOT($AI215=$AM215),$AI215&gt;0,$AM215&gt;0,DA215&gt;0), ($AM215*DA215)/$AI215,     AND($AI215=0,$AM215&gt;0,$AQ215&gt;0), IF(INDEX(DA$12:DA$263,MATCH($AQ215,$AP$12:$AP$263,0))&gt;0,($AM215*INDEX(DA$12:DA$263,MATCH($AQ215,$AP$12:$AP$263,0)))/INDEX($AI$12:$AI$263,MATCH($AQ215,$AP$12:$AP$263,0)), "-"),     TRUE, "0")</f>
        <v>0</v>
      </c>
      <c r="DC215" s="606">
        <f>IF(DB$9&gt;0, IF(OR(DB215="",DB215="-"), 0, DB215*$AT215), DA215*$AJ215)</f>
        <v>0</v>
      </c>
      <c r="DD215" s="584"/>
      <c r="DE215" s="583"/>
    </row>
    <row r="216" spans="1:109" ht="39.950000000000003" hidden="1" customHeight="1">
      <c r="A216" s="604">
        <f>IF(OR($AV216&gt;0, $AX216&gt;0), 1, 0)</f>
        <v>0</v>
      </c>
      <c r="B216" s="604">
        <f>IF(OR($AY216&gt;0, $BA216&gt;0), 1, 0)</f>
        <v>0</v>
      </c>
      <c r="C216" s="604">
        <f>IF(OR($BB216&gt;0, $BD216&gt;0), 1, 0)</f>
        <v>0</v>
      </c>
      <c r="D216" s="604">
        <f>IF(OR($BE216&gt;0, $BG216&gt;0), 1, 0)</f>
        <v>0</v>
      </c>
      <c r="E216" s="604">
        <f>IF(OR($BH216&gt;0, $BJ216&gt;0), 1, 0)</f>
        <v>0</v>
      </c>
      <c r="F216" s="604">
        <f>IF(OR($BK216&gt;0, $BM216&gt;0), 1, 0)</f>
        <v>0</v>
      </c>
      <c r="G216" s="604">
        <f>IF(OR($BN216&gt;0, $BP216&gt;0), 1, 0)</f>
        <v>0</v>
      </c>
      <c r="H216" s="604">
        <f>IF(OR($BQ216&gt;0, $BS216&gt;0), 1, 0)</f>
        <v>0</v>
      </c>
      <c r="I216" s="604">
        <f>IF(OR($BT216&gt;0, $BV216&gt;0), 1, 0)</f>
        <v>0</v>
      </c>
      <c r="J216" s="604">
        <f>IF(OR($BW216&gt;0, $BY216&gt;0), 1, 0)</f>
        <v>0</v>
      </c>
      <c r="K216" s="604">
        <f>IF(OR($BZ216&gt;0, $CB216&gt;0), 1, 0)</f>
        <v>0</v>
      </c>
      <c r="L216" s="604">
        <f>IF(OR($CC216&gt;0, $CE216&gt;0), 1, 0)</f>
        <v>0</v>
      </c>
      <c r="M216" s="604">
        <f>IF(OR($CF216&gt;0, $CH216&gt;0), 1, 0)</f>
        <v>0</v>
      </c>
      <c r="N216" s="604">
        <f>IF(OR($CI216&gt;0, $CK216&gt;0), 1, 0)</f>
        <v>0</v>
      </c>
      <c r="O216" s="604">
        <f>IF(OR($CL216&gt;0, $CN216&gt;0), 1, 0)</f>
        <v>0</v>
      </c>
      <c r="P216" s="604">
        <f>IF(OR($CO216&gt;0, $CQ216&gt;0), 1, 0)</f>
        <v>0</v>
      </c>
      <c r="Q216" s="604">
        <f>IF(OR($CR216&gt;0, $CT216&gt;0), 1, 0)</f>
        <v>0</v>
      </c>
      <c r="R216" s="604">
        <f>IF(OR($CU216&gt;0, $CW216&gt;0), 1, 0)</f>
        <v>0</v>
      </c>
      <c r="S216" s="604">
        <f>IF(OR($CX216&gt;0, $CZ216&gt;0), 1, 0)</f>
        <v>0</v>
      </c>
      <c r="T216" s="604">
        <f>IF(OR($DA216&gt;0, $DC216&gt;0), 1, 0)</f>
        <v>0</v>
      </c>
      <c r="U216" s="603">
        <f>IF(OR($AI216&gt;0,$AM216&gt;0,$AS216&gt;0), 1, 0)</f>
        <v>0</v>
      </c>
      <c r="V216" s="602">
        <f>[1]BDD!A206</f>
        <v>3615</v>
      </c>
      <c r="W216" s="601" t="str">
        <f>[1]BDD!B206</f>
        <v>Pistache avec coque CRU (env. 500g)</v>
      </c>
      <c r="X216" s="600" t="str">
        <f>IF([1]BDD!F206=0, "", [1]BDD!F206)</f>
        <v>❤️</v>
      </c>
      <c r="Y216" s="542">
        <f>ROUND([1]BDD!G206+FDP_CMD_KG, 2)</f>
        <v>18.649999999999999</v>
      </c>
      <c r="Z216" s="542">
        <f>ROUND([1]BDD!G206+FDP_FACT_KG, 2)</f>
        <v>18.649999999999999</v>
      </c>
      <c r="AA216" s="543" t="str">
        <f>[1]BDD!H206</f>
        <v>Pièce</v>
      </c>
      <c r="AB216" s="544" t="str">
        <f>IF(NOT(ISBLANK([1]BDD!I206)), ROUND(SUM(([1]BDD!G206*reduc1),FDP_CMD_KG), 2), "")</f>
        <v/>
      </c>
      <c r="AC216" s="544" t="str">
        <f>IF(NOT(ISBLANK([1]BDD!J206)), ROUND(SUM(([1]BDD!G206*reduc2),FDP_CMD_KG), 2), "")</f>
        <v/>
      </c>
      <c r="AD216" s="544" t="str">
        <f>IF(NOT(ISBLANK([1]BDD!K206)), ROUND(SUM(([1]BDD!G206*reduc3),FDP_CMD_KG), 2), "")</f>
        <v/>
      </c>
      <c r="AE216" s="544" t="str">
        <f>IF(NOT(ISBLANK([1]BDD!I206)), ROUND(SUM(([1]BDD!G206*reduc1),FDP_FACT_KG), 2), "")</f>
        <v/>
      </c>
      <c r="AF216" s="544" t="str">
        <f>IF(NOT(ISBLANK([1]BDD!J206)), ROUND(SUM(([1]BDD!G206*reduc2),FDP_FACT_KG), 2), "")</f>
        <v/>
      </c>
      <c r="AG216" s="544" t="str">
        <f>IF(NOT(ISBLANK([1]BDD!K206)), ROUND(SUM(([1]BDD!G206*reduc3),FDP_FACT_KG), 2), "")</f>
        <v/>
      </c>
      <c r="AH216" s="599" t="str">
        <f>[1]BDD!C206</f>
        <v>Espagne</v>
      </c>
      <c r="AI216" s="598">
        <f>SUM(AV216,AY216,BB216,BE216,BH216,BK216,BN216,BQ216,BT216,BW216,BZ216,CC216,CF216,CI216,CL216,CO216,CR216,CU216,CX216,DA216)</f>
        <v>0</v>
      </c>
      <c r="AJ216" s="545">
        <f>_xlfn.IFS($AD216&lt;&gt;"", $AD216,    $AC216&lt;&gt;"", $AC216,    $AB216&lt;&gt;"", $AB216,    TRUE, $Y216)</f>
        <v>18.649999999999999</v>
      </c>
      <c r="AK216" s="592">
        <f>$AI216*$AJ216</f>
        <v>0</v>
      </c>
      <c r="AL216" s="594"/>
      <c r="AM216" s="597"/>
      <c r="AN216" s="545">
        <f>_xlfn.IFS(AND(AM216&gt;=60,$AG216&lt;&gt;""), $AG216,    AND(AM216&gt;=30,$AF216&lt;&gt;""), $AF216,    AND(AM216&gt;=10,$AE216&lt;&gt;""), $AE216,    TRUE, $Z216)</f>
        <v>18.649999999999999</v>
      </c>
      <c r="AO216" s="596">
        <f>AM216*AN216</f>
        <v>0</v>
      </c>
      <c r="AP216" s="595"/>
      <c r="AQ216" s="595"/>
      <c r="AR216" s="594"/>
      <c r="AS216" s="593">
        <f>SUM(AW216,AZ216,BC216,BF216,BI216,BL216,BO216,BR216,BU216,BX216,CA216,CD216,CG216,CJ216,CM216,CP216,CS216,CV216,CY216,DB216)</f>
        <v>0</v>
      </c>
      <c r="AT216" s="545">
        <f>_xlfn.IFS(AND(AS216&gt;=60,$AG216&lt;&gt;""), $AG216,    AND(AS216&gt;=30,$AF216&lt;&gt;""), $AF216,    AND(AS216&gt;=10,$AE216&lt;&gt;""), $AE216,    TRUE, $Z216)</f>
        <v>18.649999999999999</v>
      </c>
      <c r="AU216" s="592">
        <f>$AS216*$AT216</f>
        <v>0</v>
      </c>
      <c r="AV216" s="591">
        <f>[1]COMMANDE!O214</f>
        <v>0</v>
      </c>
      <c r="AW216" s="586" t="str">
        <f>_xlfn.IFS(AND($AI216=$AM216,$AI216&gt;0,$AM216&gt;0,AV216&gt;0), AV216,     AND(NOT($AI216=$AM216),$AI216&gt;0,$AM216&gt;0,AV216&gt;0), ($AM216*AV216)/$AI216,     AND($AI216=0,$AM216&gt;0,$AQ216&gt;0), IF(INDEX(AV$12:AV$263,MATCH($AQ216,$AP$12:$AP$263,0))&gt;0,($AM216*INDEX(AV$12:AV$263,MATCH($AQ216,$AP$12:$AP$263,0)))/INDEX($AI$12:$AI$263,MATCH($AQ216,$AP$12:$AP$263,0)), "-"),     TRUE, "0")</f>
        <v>0</v>
      </c>
      <c r="AX216" s="588">
        <f>IF(AW$9&gt;0, IF(OR(AW216="",AW216="-"), 0, AW216*$AT216), AV216*$AJ216)</f>
        <v>0</v>
      </c>
      <c r="AY216" s="587">
        <f>[1]COMMANDE!Q214</f>
        <v>0</v>
      </c>
      <c r="AZ216" s="586" t="str">
        <f>_xlfn.IFS(AND($AI216=$AM216,$AI216&gt;0,$AM216&gt;0,AY216&gt;0), AY216,     AND(NOT($AI216=$AM216),$AI216&gt;0,$AM216&gt;0,AY216&gt;0), ($AM216*AY216)/$AI216,     AND($AI216=0,$AM216&gt;0,$AQ216&gt;0), IF(INDEX(AY$12:AY$263,MATCH($AQ216,$AP$12:$AP$263,0))&gt;0,($AM216*INDEX(AY$12:AY$263,MATCH($AQ216,$AP$12:$AP$263,0)))/INDEX($AI$12:$AI$263,MATCH($AQ216,$AP$12:$AP$263,0)), "-"),     TRUE, "0")</f>
        <v>0</v>
      </c>
      <c r="BA216" s="607">
        <f>IF(AZ$9&gt;0, IF(OR(AZ216="",AZ216="-"), 0, AZ216*$AT216), AY216*$AJ216)</f>
        <v>0</v>
      </c>
      <c r="BB216" s="589">
        <f>[1]COMMANDE!S214</f>
        <v>0</v>
      </c>
      <c r="BC216" s="586" t="str">
        <f>_xlfn.IFS(AND($AI216=$AM216,$AI216&gt;0,$AM216&gt;0,BB216&gt;0), BB216,     AND(NOT($AI216=$AM216),$AI216&gt;0,$AM216&gt;0,BB216&gt;0), ($AM216*BB216)/$AI216,     AND($AI216=0,$AM216&gt;0,$AQ216&gt;0), IF(INDEX(BB$12:BB$263,MATCH($AQ216,$AP$12:$AP$263,0))&gt;0,($AM216*INDEX(BB$12:BB$263,MATCH($AQ216,$AP$12:$AP$263,0)))/INDEX($AI$12:$AI$263,MATCH($AQ216,$AP$12:$AP$263,0)), "-"),     TRUE, "0")</f>
        <v>0</v>
      </c>
      <c r="BD216" s="588">
        <f>IF(BC$9&gt;0, IF(OR(BC216="",BC216="-"), 0, BC216*$AT216), BB216*$AJ216)</f>
        <v>0</v>
      </c>
      <c r="BE216" s="587">
        <f>[1]COMMANDE!U214</f>
        <v>0</v>
      </c>
      <c r="BF216" s="586" t="str">
        <f>_xlfn.IFS(AND($AI216=$AM216,$AI216&gt;0,$AM216&gt;0,BE216&gt;0), BE216,     AND(NOT($AI216=$AM216),$AI216&gt;0,$AM216&gt;0,BE216&gt;0), ($AM216*BE216)/$AI216,     AND($AI216=0,$AM216&gt;0,$AQ216&gt;0), IF(INDEX(BE$12:BE$263,MATCH($AQ216,$AP$12:$AP$263,0))&gt;0,($AM216*INDEX(BE$12:BE$263,MATCH($AQ216,$AP$12:$AP$263,0)))/INDEX($AI$12:$AI$263,MATCH($AQ216,$AP$12:$AP$263,0)), "-"),     TRUE, "0")</f>
        <v>0</v>
      </c>
      <c r="BG216" s="607">
        <f>IF(BF$9&gt;0, IF(OR(BF216="",BF216="-"), 0, BF216*$AT216), BE216*$AJ216)</f>
        <v>0</v>
      </c>
      <c r="BH216" s="589">
        <f>[1]COMMANDE!W214</f>
        <v>0</v>
      </c>
      <c r="BI216" s="586" t="str">
        <f>_xlfn.IFS(AND($AI216=$AM216,$AI216&gt;0,$AM216&gt;0,BH216&gt;0), BH216,     AND(NOT($AI216=$AM216),$AI216&gt;0,$AM216&gt;0,BH216&gt;0), ($AM216*BH216)/$AI216,     AND($AI216=0,$AM216&gt;0,$AQ216&gt;0), IF(INDEX(BH$12:BH$263,MATCH($AQ216,$AP$12:$AP$263,0))&gt;0,($AM216*INDEX(BH$12:BH$263,MATCH($AQ216,$AP$12:$AP$263,0)))/INDEX($AI$12:$AI$263,MATCH($AQ216,$AP$12:$AP$263,0)), "-"),     TRUE, "0")</f>
        <v>0</v>
      </c>
      <c r="BJ216" s="588">
        <f>IF(BI$9&gt;0, IF(OR(BI216="",BI216="-"), 0, BI216*$AT216), BH216*$AJ216)</f>
        <v>0</v>
      </c>
      <c r="BK216" s="587">
        <f>[1]COMMANDE!Y214</f>
        <v>0</v>
      </c>
      <c r="BL216" s="586" t="str">
        <f>_xlfn.IFS(AND($AI216=$AM216,$AI216&gt;0,$AM216&gt;0,BK216&gt;0), BK216,     AND(NOT($AI216=$AM216),$AI216&gt;0,$AM216&gt;0,BK216&gt;0), ($AM216*BK216)/$AI216,     AND($AI216=0,$AM216&gt;0,$AQ216&gt;0), IF(INDEX(BK$12:BK$263,MATCH($AQ216,$AP$12:$AP$263,0))&gt;0,($AM216*INDEX(BK$12:BK$263,MATCH($AQ216,$AP$12:$AP$263,0)))/INDEX($AI$12:$AI$263,MATCH($AQ216,$AP$12:$AP$263,0)), "-"),     TRUE, "0")</f>
        <v>0</v>
      </c>
      <c r="BM216" s="607">
        <f>IF(BL$9&gt;0, IF(OR(BL216="",BL216="-"), 0, BL216*$AT216), BK216*$AJ216)</f>
        <v>0</v>
      </c>
      <c r="BN216" s="589">
        <f>[1]COMMANDE!AA214</f>
        <v>0</v>
      </c>
      <c r="BO216" s="586" t="str">
        <f>_xlfn.IFS(AND($AI216=$AM216,$AI216&gt;0,$AM216&gt;0,BN216&gt;0), BN216,     AND(NOT($AI216=$AM216),$AI216&gt;0,$AM216&gt;0,BN216&gt;0), ($AM216*BN216)/$AI216,     AND($AI216=0,$AM216&gt;0,$AQ216&gt;0), IF(INDEX(BN$12:BN$263,MATCH($AQ216,$AP$12:$AP$263,0))&gt;0,($AM216*INDEX(BN$12:BN$263,MATCH($AQ216,$AP$12:$AP$263,0)))/INDEX($AI$12:$AI$263,MATCH($AQ216,$AP$12:$AP$263,0)), "-"),     TRUE, "0")</f>
        <v>0</v>
      </c>
      <c r="BP216" s="588">
        <f>IF(BO$9&gt;0, IF(OR(BO216="",BO216="-"), 0, BO216*$AT216), BN216*$AJ216)</f>
        <v>0</v>
      </c>
      <c r="BQ216" s="587">
        <f>[1]COMMANDE!AC214</f>
        <v>0</v>
      </c>
      <c r="BR216" s="586" t="str">
        <f>_xlfn.IFS(AND($AI216=$AM216,$AI216&gt;0,$AM216&gt;0,BQ216&gt;0), BQ216,     AND(NOT($AI216=$AM216),$AI216&gt;0,$AM216&gt;0,BQ216&gt;0), ($AM216*BQ216)/$AI216,     AND($AI216=0,$AM216&gt;0,$AQ216&gt;0), IF(INDEX(BQ$12:BQ$263,MATCH($AQ216,$AP$12:$AP$263,0))&gt;0,($AM216*INDEX(BQ$12:BQ$263,MATCH($AQ216,$AP$12:$AP$263,0)))/INDEX($AI$12:$AI$263,MATCH($AQ216,$AP$12:$AP$263,0)), "-"),     TRUE, "0")</f>
        <v>0</v>
      </c>
      <c r="BS216" s="607">
        <f>IF(BR$9&gt;0, IF(OR(BR216="",BR216="-"), 0, BR216*$AT216), BQ216*$AJ216)</f>
        <v>0</v>
      </c>
      <c r="BT216" s="589">
        <f>[1]COMMANDE!AE214</f>
        <v>0</v>
      </c>
      <c r="BU216" s="586" t="str">
        <f>_xlfn.IFS(AND($AI216=$AM216,$AI216&gt;0,$AM216&gt;0,BT216&gt;0), BT216,     AND(NOT($AI216=$AM216),$AI216&gt;0,$AM216&gt;0,BT216&gt;0), ($AM216*BT216)/$AI216,     AND($AI216=0,$AM216&gt;0,$AQ216&gt;0), IF(INDEX(BT$12:BT$263,MATCH($AQ216,$AP$12:$AP$263,0))&gt;0,($AM216*INDEX(BT$12:BT$263,MATCH($AQ216,$AP$12:$AP$263,0)))/INDEX($AI$12:$AI$263,MATCH($AQ216,$AP$12:$AP$263,0)), "-"),     TRUE, "0")</f>
        <v>0</v>
      </c>
      <c r="BV216" s="588">
        <f>IF(BU$9&gt;0, IF(OR(BU216="",BU216="-"), 0, BU216*$AT216), BT216*$AJ216)</f>
        <v>0</v>
      </c>
      <c r="BW216" s="587">
        <f>[1]COMMANDE!AG214</f>
        <v>0</v>
      </c>
      <c r="BX216" s="586" t="str">
        <f>_xlfn.IFS(AND($AI216=$AM216,$AI216&gt;0,$AM216&gt;0,BW216&gt;0), BW216,     AND(NOT($AI216=$AM216),$AI216&gt;0,$AM216&gt;0,BW216&gt;0), ($AM216*BW216)/$AI216,     AND($AI216=0,$AM216&gt;0,$AQ216&gt;0), IF(INDEX(BW$12:BW$263,MATCH($AQ216,$AP$12:$AP$263,0))&gt;0,($AM216*INDEX(BW$12:BW$263,MATCH($AQ216,$AP$12:$AP$263,0)))/INDEX($AI$12:$AI$263,MATCH($AQ216,$AP$12:$AP$263,0)), "-"),     TRUE, "0")</f>
        <v>0</v>
      </c>
      <c r="BY216" s="607">
        <f>IF(BX$9&gt;0, IF(OR(BX216="",BX216="-"), 0, BX216*$AT216), BW216*$AJ216)</f>
        <v>0</v>
      </c>
      <c r="BZ216" s="589">
        <f>[1]COMMANDE!AI214</f>
        <v>0</v>
      </c>
      <c r="CA216" s="586" t="str">
        <f>_xlfn.IFS(AND($AI216=$AM216,$AI216&gt;0,$AM216&gt;0,BZ216&gt;0), BZ216,     AND(NOT($AI216=$AM216),$AI216&gt;0,$AM216&gt;0,BZ216&gt;0), ($AM216*BZ216)/$AI216,     AND($AI216=0,$AM216&gt;0,$AQ216&gt;0), IF(INDEX(BZ$12:BZ$263,MATCH($AQ216,$AP$12:$AP$263,0))&gt;0,($AM216*INDEX(BZ$12:BZ$263,MATCH($AQ216,$AP$12:$AP$263,0)))/INDEX($AI$12:$AI$263,MATCH($AQ216,$AP$12:$AP$263,0)), "-"),     TRUE, "0")</f>
        <v>0</v>
      </c>
      <c r="CB216" s="588">
        <f>IF(CA$9&gt;0, IF(OR(CA216="",CA216="-"), 0, CA216*$AT216), BZ216*$AJ216)</f>
        <v>0</v>
      </c>
      <c r="CC216" s="587">
        <f>[1]COMMANDE!AK214</f>
        <v>0</v>
      </c>
      <c r="CD216" s="586" t="str">
        <f>_xlfn.IFS(AND($AI216=$AM216,$AI216&gt;0,$AM216&gt;0,CC216&gt;0), CC216,     AND(NOT($AI216=$AM216),$AI216&gt;0,$AM216&gt;0,CC216&gt;0), ($AM216*CC216)/$AI216,     AND($AI216=0,$AM216&gt;0,$AQ216&gt;0), IF(INDEX(CC$12:CC$263,MATCH($AQ216,$AP$12:$AP$263,0))&gt;0,($AM216*INDEX(CC$12:CC$263,MATCH($AQ216,$AP$12:$AP$263,0)))/INDEX($AI$12:$AI$263,MATCH($AQ216,$AP$12:$AP$263,0)), "-"),     TRUE, "0")</f>
        <v>0</v>
      </c>
      <c r="CE216" s="607">
        <f>IF(CD$9&gt;0, IF(OR(CD216="",CD216="-"), 0, CD216*$AT216), CC216*$AJ216)</f>
        <v>0</v>
      </c>
      <c r="CF216" s="589">
        <f>[1]COMMANDE!AM214</f>
        <v>0</v>
      </c>
      <c r="CG216" s="586" t="str">
        <f>_xlfn.IFS(AND($AI216=$AM216,$AI216&gt;0,$AM216&gt;0,CF216&gt;0), CF216,     AND(NOT($AI216=$AM216),$AI216&gt;0,$AM216&gt;0,CF216&gt;0), ($AM216*CF216)/$AI216,     AND($AI216=0,$AM216&gt;0,$AQ216&gt;0), IF(INDEX(CF$12:CF$263,MATCH($AQ216,$AP$12:$AP$263,0))&gt;0,($AM216*INDEX(CF$12:CF$263,MATCH($AQ216,$AP$12:$AP$263,0)))/INDEX($AI$12:$AI$263,MATCH($AQ216,$AP$12:$AP$263,0)), "-"),     TRUE, "0")</f>
        <v>0</v>
      </c>
      <c r="CH216" s="588">
        <f>IF(CG$9&gt;0, IF(OR(CG216="",CG216="-"), 0, CG216*$AT216), CF216*$AJ216)</f>
        <v>0</v>
      </c>
      <c r="CI216" s="587">
        <f>[1]COMMANDE!AO214</f>
        <v>0</v>
      </c>
      <c r="CJ216" s="586" t="str">
        <f>_xlfn.IFS(AND($AI216=$AM216,$AI216&gt;0,$AM216&gt;0,CI216&gt;0), CI216,     AND(NOT($AI216=$AM216),$AI216&gt;0,$AM216&gt;0,CI216&gt;0), ($AM216*CI216)/$AI216,     AND($AI216=0,$AM216&gt;0,$AQ216&gt;0), IF(INDEX(CI$12:CI$263,MATCH($AQ216,$AP$12:$AP$263,0))&gt;0,($AM216*INDEX(CI$12:CI$263,MATCH($AQ216,$AP$12:$AP$263,0)))/INDEX($AI$12:$AI$263,MATCH($AQ216,$AP$12:$AP$263,0)), "-"),     TRUE, "0")</f>
        <v>0</v>
      </c>
      <c r="CK216" s="607">
        <f>IF(CJ$9&gt;0, IF(OR(CJ216="",CJ216="-"), 0, CJ216*$AT216), CI216*$AJ216)</f>
        <v>0</v>
      </c>
      <c r="CL216" s="589">
        <f>[1]COMMANDE!AQ214</f>
        <v>0</v>
      </c>
      <c r="CM216" s="586" t="str">
        <f>_xlfn.IFS(AND($AI216=$AM216,$AI216&gt;0,$AM216&gt;0,CL216&gt;0), CL216,     AND(NOT($AI216=$AM216),$AI216&gt;0,$AM216&gt;0,CL216&gt;0), ($AM216*CL216)/$AI216,     AND($AI216=0,$AM216&gt;0,$AQ216&gt;0), IF(INDEX(CL$12:CL$263,MATCH($AQ216,$AP$12:$AP$263,0))&gt;0,($AM216*INDEX(CL$12:CL$263,MATCH($AQ216,$AP$12:$AP$263,0)))/INDEX($AI$12:$AI$263,MATCH($AQ216,$AP$12:$AP$263,0)), "-"),     TRUE, "0")</f>
        <v>0</v>
      </c>
      <c r="CN216" s="588">
        <f>IF(CM$9&gt;0, IF(OR(CM216="",CM216="-"), 0, CM216*$AT216), CL216*$AJ216)</f>
        <v>0</v>
      </c>
      <c r="CO216" s="587">
        <f>[1]COMMANDE!AS214</f>
        <v>0</v>
      </c>
      <c r="CP216" s="586" t="str">
        <f>_xlfn.IFS(AND($AI216=$AM216,$AI216&gt;0,$AM216&gt;0,CO216&gt;0), CO216,     AND(NOT($AI216=$AM216),$AI216&gt;0,$AM216&gt;0,CO216&gt;0), ($AM216*CO216)/$AI216,     AND($AI216=0,$AM216&gt;0,$AQ216&gt;0), IF(INDEX(CO$12:CO$263,MATCH($AQ216,$AP$12:$AP$263,0))&gt;0,($AM216*INDEX(CO$12:CO$263,MATCH($AQ216,$AP$12:$AP$263,0)))/INDEX($AI$12:$AI$263,MATCH($AQ216,$AP$12:$AP$263,0)), "-"),     TRUE, "0")</f>
        <v>0</v>
      </c>
      <c r="CQ216" s="607">
        <f>IF(CP$9&gt;0, IF(OR(CP216="",CP216="-"), 0, CP216*$AT216), CO216*$AJ216)</f>
        <v>0</v>
      </c>
      <c r="CR216" s="589">
        <f>[1]COMMANDE!AU214</f>
        <v>0</v>
      </c>
      <c r="CS216" s="586" t="str">
        <f>_xlfn.IFS(AND($AI216=$AM216,$AI216&gt;0,$AM216&gt;0,CR216&gt;0), CR216,     AND(NOT($AI216=$AM216),$AI216&gt;0,$AM216&gt;0,CR216&gt;0), ($AM216*CR216)/$AI216,     AND($AI216=0,$AM216&gt;0,$AQ216&gt;0), IF(INDEX(CR$12:CR$263,MATCH($AQ216,$AP$12:$AP$263,0))&gt;0,($AM216*INDEX(CR$12:CR$263,MATCH($AQ216,$AP$12:$AP$263,0)))/INDEX($AI$12:$AI$263,MATCH($AQ216,$AP$12:$AP$263,0)), "-"),     TRUE, "0")</f>
        <v>0</v>
      </c>
      <c r="CT216" s="588">
        <f>IF(CS$9&gt;0, IF(OR(CS216="",CS216="-"), 0, CS216*$AT216), CR216*$AJ216)</f>
        <v>0</v>
      </c>
      <c r="CU216" s="587">
        <f>[1]COMMANDE!AW214</f>
        <v>0</v>
      </c>
      <c r="CV216" s="586" t="str">
        <f>_xlfn.IFS(AND($AI216=$AM216,$AI216&gt;0,$AM216&gt;0,CU216&gt;0), CU216,     AND(NOT($AI216=$AM216),$AI216&gt;0,$AM216&gt;0,CU216&gt;0), ($AM216*CU216)/$AI216,     AND($AI216=0,$AM216&gt;0,$AQ216&gt;0), IF(INDEX(CU$12:CU$263,MATCH($AQ216,$AP$12:$AP$263,0))&gt;0,($AM216*INDEX(CU$12:CU$263,MATCH($AQ216,$AP$12:$AP$263,0)))/INDEX($AI$12:$AI$263,MATCH($AQ216,$AP$12:$AP$263,0)), "-"),     TRUE, "0")</f>
        <v>0</v>
      </c>
      <c r="CW216" s="607">
        <f>IF(CV$9&gt;0, IF(OR(CV216="",CV216="-"), 0, CV216*$AT216), CU216*$AJ216)</f>
        <v>0</v>
      </c>
      <c r="CX216" s="589">
        <f>[1]COMMANDE!AY214</f>
        <v>0</v>
      </c>
      <c r="CY216" s="586" t="str">
        <f>_xlfn.IFS(AND($AI216=$AM216,$AI216&gt;0,$AM216&gt;0,CX216&gt;0), CX216,     AND(NOT($AI216=$AM216),$AI216&gt;0,$AM216&gt;0,CX216&gt;0), ($AM216*CX216)/$AI216,     AND($AI216=0,$AM216&gt;0,$AQ216&gt;0), IF(INDEX(CX$12:CX$263,MATCH($AQ216,$AP$12:$AP$263,0))&gt;0,($AM216*INDEX(CX$12:CX$263,MATCH($AQ216,$AP$12:$AP$263,0)))/INDEX($AI$12:$AI$263,MATCH($AQ216,$AP$12:$AP$263,0)), "-"),     TRUE, "0")</f>
        <v>0</v>
      </c>
      <c r="CZ216" s="588">
        <f>IF(CY$9&gt;0, IF(OR(CY216="",CY216="-"), 0, CY216*$AT216), CX216*$AJ216)</f>
        <v>0</v>
      </c>
      <c r="DA216" s="587">
        <f>[1]COMMANDE!BA214</f>
        <v>0</v>
      </c>
      <c r="DB216" s="586" t="str">
        <f>_xlfn.IFS(AND($AI216=$AM216,$AI216&gt;0,$AM216&gt;0,DA216&gt;0), DA216,     AND(NOT($AI216=$AM216),$AI216&gt;0,$AM216&gt;0,DA216&gt;0), ($AM216*DA216)/$AI216,     AND($AI216=0,$AM216&gt;0,$AQ216&gt;0), IF(INDEX(DA$12:DA$263,MATCH($AQ216,$AP$12:$AP$263,0))&gt;0,($AM216*INDEX(DA$12:DA$263,MATCH($AQ216,$AP$12:$AP$263,0)))/INDEX($AI$12:$AI$263,MATCH($AQ216,$AP$12:$AP$263,0)), "-"),     TRUE, "0")</f>
        <v>0</v>
      </c>
      <c r="DC216" s="606">
        <f>IF(DB$9&gt;0, IF(OR(DB216="",DB216="-"), 0, DB216*$AT216), DA216*$AJ216)</f>
        <v>0</v>
      </c>
      <c r="DD216" s="584"/>
      <c r="DE216" s="583"/>
    </row>
    <row r="217" spans="1:109" ht="39.950000000000003" hidden="1" customHeight="1">
      <c r="A217" s="604">
        <f>IF(OR($AV217&gt;0, $AX217&gt;0), 1, 0)</f>
        <v>0</v>
      </c>
      <c r="B217" s="604">
        <f>IF(OR($AY217&gt;0, $BA217&gt;0), 1, 0)</f>
        <v>0</v>
      </c>
      <c r="C217" s="604">
        <f>IF(OR($BB217&gt;0, $BD217&gt;0), 1, 0)</f>
        <v>0</v>
      </c>
      <c r="D217" s="604">
        <f>IF(OR($BE217&gt;0, $BG217&gt;0), 1, 0)</f>
        <v>0</v>
      </c>
      <c r="E217" s="604">
        <f>IF(OR($BH217&gt;0, $BJ217&gt;0), 1, 0)</f>
        <v>0</v>
      </c>
      <c r="F217" s="604">
        <f>IF(OR($BK217&gt;0, $BM217&gt;0), 1, 0)</f>
        <v>0</v>
      </c>
      <c r="G217" s="604">
        <f>IF(OR($BN217&gt;0, $BP217&gt;0), 1, 0)</f>
        <v>0</v>
      </c>
      <c r="H217" s="604">
        <f>IF(OR($BQ217&gt;0, $BS217&gt;0), 1, 0)</f>
        <v>0</v>
      </c>
      <c r="I217" s="604">
        <f>IF(OR($BT217&gt;0, $BV217&gt;0), 1, 0)</f>
        <v>0</v>
      </c>
      <c r="J217" s="604">
        <f>IF(OR($BW217&gt;0, $BY217&gt;0), 1, 0)</f>
        <v>0</v>
      </c>
      <c r="K217" s="604">
        <f>IF(OR($BZ217&gt;0, $CB217&gt;0), 1, 0)</f>
        <v>0</v>
      </c>
      <c r="L217" s="604">
        <f>IF(OR($CC217&gt;0, $CE217&gt;0), 1, 0)</f>
        <v>0</v>
      </c>
      <c r="M217" s="604">
        <f>IF(OR($CF217&gt;0, $CH217&gt;0), 1, 0)</f>
        <v>0</v>
      </c>
      <c r="N217" s="604">
        <f>IF(OR($CI217&gt;0, $CK217&gt;0), 1, 0)</f>
        <v>0</v>
      </c>
      <c r="O217" s="604">
        <f>IF(OR($CL217&gt;0, $CN217&gt;0), 1, 0)</f>
        <v>0</v>
      </c>
      <c r="P217" s="604">
        <f>IF(OR($CO217&gt;0, $CQ217&gt;0), 1, 0)</f>
        <v>0</v>
      </c>
      <c r="Q217" s="604">
        <f>IF(OR($CR217&gt;0, $CT217&gt;0), 1, 0)</f>
        <v>0</v>
      </c>
      <c r="R217" s="604">
        <f>IF(OR($CU217&gt;0, $CW217&gt;0), 1, 0)</f>
        <v>0</v>
      </c>
      <c r="S217" s="604">
        <f>IF(OR($CX217&gt;0, $CZ217&gt;0), 1, 0)</f>
        <v>0</v>
      </c>
      <c r="T217" s="604">
        <f>IF(OR($DA217&gt;0, $DC217&gt;0), 1, 0)</f>
        <v>0</v>
      </c>
      <c r="U217" s="603">
        <f>IF(OR($AI217&gt;0,$AM217&gt;0,$AS217&gt;0), 1, 0)</f>
        <v>0</v>
      </c>
      <c r="V217" s="602">
        <f>[1]BDD!A207</f>
        <v>3967</v>
      </c>
      <c r="W217" s="601" t="str">
        <f>[1]BDD!B207</f>
        <v>Pitaya/Fruit du dragon (jaune à l'extérieur et pulpe blanche)</v>
      </c>
      <c r="X217" s="600" t="str">
        <f>IF([1]BDD!F207=0, "", [1]BDD!F207)</f>
        <v/>
      </c>
      <c r="Y217" s="542">
        <f>ROUND([1]BDD!G207+FDP_CMD_KG, 2)</f>
        <v>10.17</v>
      </c>
      <c r="Z217" s="542">
        <f>ROUND([1]BDD!G207+FDP_FACT_KG, 2)</f>
        <v>10.17</v>
      </c>
      <c r="AA217" s="543" t="str">
        <f>[1]BDD!H207</f>
        <v>kg</v>
      </c>
      <c r="AB217" s="544" t="str">
        <f>IF(NOT(ISBLANK([1]BDD!I207)), ROUND(SUM(([1]BDD!G207*reduc1),FDP_CMD_KG), 2), "")</f>
        <v/>
      </c>
      <c r="AC217" s="544" t="str">
        <f>IF(NOT(ISBLANK([1]BDD!J207)), ROUND(SUM(([1]BDD!G207*reduc2),FDP_CMD_KG), 2), "")</f>
        <v/>
      </c>
      <c r="AD217" s="544" t="str">
        <f>IF(NOT(ISBLANK([1]BDD!K207)), ROUND(SUM(([1]BDD!G207*reduc3),FDP_CMD_KG), 2), "")</f>
        <v/>
      </c>
      <c r="AE217" s="544" t="str">
        <f>IF(NOT(ISBLANK([1]BDD!I207)), ROUND(SUM(([1]BDD!G207*reduc1),FDP_FACT_KG), 2), "")</f>
        <v/>
      </c>
      <c r="AF217" s="544" t="str">
        <f>IF(NOT(ISBLANK([1]BDD!J207)), ROUND(SUM(([1]BDD!G207*reduc2),FDP_FACT_KG), 2), "")</f>
        <v/>
      </c>
      <c r="AG217" s="544" t="str">
        <f>IF(NOT(ISBLANK([1]BDD!K207)), ROUND(SUM(([1]BDD!G207*reduc3),FDP_FACT_KG), 2), "")</f>
        <v/>
      </c>
      <c r="AH217" s="599" t="str">
        <f>[1]BDD!C207</f>
        <v>Grenade</v>
      </c>
      <c r="AI217" s="598">
        <f>SUM(AV217,AY217,BB217,BE217,BH217,BK217,BN217,BQ217,BT217,BW217,BZ217,CC217,CF217,CI217,CL217,CO217,CR217,CU217,CX217,DA217)</f>
        <v>0</v>
      </c>
      <c r="AJ217" s="545">
        <f>_xlfn.IFS($AD217&lt;&gt;"", $AD217,    $AC217&lt;&gt;"", $AC217,    $AB217&lt;&gt;"", $AB217,    TRUE, $Y217)</f>
        <v>10.17</v>
      </c>
      <c r="AK217" s="592">
        <f>$AI217*$AJ217</f>
        <v>0</v>
      </c>
      <c r="AL217" s="594"/>
      <c r="AM217" s="597"/>
      <c r="AN217" s="545">
        <f>_xlfn.IFS(AND(AM217&gt;=60,$AG217&lt;&gt;""), $AG217,    AND(AM217&gt;=30,$AF217&lt;&gt;""), $AF217,    AND(AM217&gt;=10,$AE217&lt;&gt;""), $AE217,    TRUE, $Z217)</f>
        <v>10.17</v>
      </c>
      <c r="AO217" s="596">
        <f>AM217*AN217</f>
        <v>0</v>
      </c>
      <c r="AP217" s="595"/>
      <c r="AQ217" s="595"/>
      <c r="AR217" s="594"/>
      <c r="AS217" s="593">
        <f>SUM(AW217,AZ217,BC217,BF217,BI217,BL217,BO217,BR217,BU217,BX217,CA217,CD217,CG217,CJ217,CM217,CP217,CS217,CV217,CY217,DB217)</f>
        <v>0</v>
      </c>
      <c r="AT217" s="545">
        <f>_xlfn.IFS(AND(AS217&gt;=60,$AG217&lt;&gt;""), $AG217,    AND(AS217&gt;=30,$AF217&lt;&gt;""), $AF217,    AND(AS217&gt;=10,$AE217&lt;&gt;""), $AE217,    TRUE, $Z217)</f>
        <v>10.17</v>
      </c>
      <c r="AU217" s="592">
        <f>$AS217*$AT217</f>
        <v>0</v>
      </c>
      <c r="AV217" s="591">
        <f>[1]COMMANDE!O215</f>
        <v>0</v>
      </c>
      <c r="AW217" s="586" t="str">
        <f>_xlfn.IFS(AND($AI217=$AM217,$AI217&gt;0,$AM217&gt;0,AV217&gt;0), AV217,     AND(NOT($AI217=$AM217),$AI217&gt;0,$AM217&gt;0,AV217&gt;0), ($AM217*AV217)/$AI217,     AND($AI217=0,$AM217&gt;0,$AQ217&gt;0), IF(INDEX(AV$12:AV$263,MATCH($AQ217,$AP$12:$AP$263,0))&gt;0,($AM217*INDEX(AV$12:AV$263,MATCH($AQ217,$AP$12:$AP$263,0)))/INDEX($AI$12:$AI$263,MATCH($AQ217,$AP$12:$AP$263,0)), "-"),     TRUE, "0")</f>
        <v>0</v>
      </c>
      <c r="AX217" s="588">
        <f>IF(AW$9&gt;0, IF(OR(AW217="",AW217="-"), 0, AW217*$AT217), AV217*$AJ217)</f>
        <v>0</v>
      </c>
      <c r="AY217" s="587">
        <f>[1]COMMANDE!Q215</f>
        <v>0</v>
      </c>
      <c r="AZ217" s="586" t="str">
        <f>_xlfn.IFS(AND($AI217=$AM217,$AI217&gt;0,$AM217&gt;0,AY217&gt;0), AY217,     AND(NOT($AI217=$AM217),$AI217&gt;0,$AM217&gt;0,AY217&gt;0), ($AM217*AY217)/$AI217,     AND($AI217=0,$AM217&gt;0,$AQ217&gt;0), IF(INDEX(AY$12:AY$263,MATCH($AQ217,$AP$12:$AP$263,0))&gt;0,($AM217*INDEX(AY$12:AY$263,MATCH($AQ217,$AP$12:$AP$263,0)))/INDEX($AI$12:$AI$263,MATCH($AQ217,$AP$12:$AP$263,0)), "-"),     TRUE, "0")</f>
        <v>0</v>
      </c>
      <c r="BA217" s="607">
        <f>IF(AZ$9&gt;0, IF(OR(AZ217="",AZ217="-"), 0, AZ217*$AT217), AY217*$AJ217)</f>
        <v>0</v>
      </c>
      <c r="BB217" s="589">
        <f>[1]COMMANDE!S215</f>
        <v>0</v>
      </c>
      <c r="BC217" s="586" t="str">
        <f>_xlfn.IFS(AND($AI217=$AM217,$AI217&gt;0,$AM217&gt;0,BB217&gt;0), BB217,     AND(NOT($AI217=$AM217),$AI217&gt;0,$AM217&gt;0,BB217&gt;0), ($AM217*BB217)/$AI217,     AND($AI217=0,$AM217&gt;0,$AQ217&gt;0), IF(INDEX(BB$12:BB$263,MATCH($AQ217,$AP$12:$AP$263,0))&gt;0,($AM217*INDEX(BB$12:BB$263,MATCH($AQ217,$AP$12:$AP$263,0)))/INDEX($AI$12:$AI$263,MATCH($AQ217,$AP$12:$AP$263,0)), "-"),     TRUE, "0")</f>
        <v>0</v>
      </c>
      <c r="BD217" s="588">
        <f>IF(BC$9&gt;0, IF(OR(BC217="",BC217="-"), 0, BC217*$AT217), BB217*$AJ217)</f>
        <v>0</v>
      </c>
      <c r="BE217" s="587">
        <f>[1]COMMANDE!U215</f>
        <v>0</v>
      </c>
      <c r="BF217" s="586" t="str">
        <f>_xlfn.IFS(AND($AI217=$AM217,$AI217&gt;0,$AM217&gt;0,BE217&gt;0), BE217,     AND(NOT($AI217=$AM217),$AI217&gt;0,$AM217&gt;0,BE217&gt;0), ($AM217*BE217)/$AI217,     AND($AI217=0,$AM217&gt;0,$AQ217&gt;0), IF(INDEX(BE$12:BE$263,MATCH($AQ217,$AP$12:$AP$263,0))&gt;0,($AM217*INDEX(BE$12:BE$263,MATCH($AQ217,$AP$12:$AP$263,0)))/INDEX($AI$12:$AI$263,MATCH($AQ217,$AP$12:$AP$263,0)), "-"),     TRUE, "0")</f>
        <v>0</v>
      </c>
      <c r="BG217" s="607">
        <f>IF(BF$9&gt;0, IF(OR(BF217="",BF217="-"), 0, BF217*$AT217), BE217*$AJ217)</f>
        <v>0</v>
      </c>
      <c r="BH217" s="589">
        <f>[1]COMMANDE!W215</f>
        <v>0</v>
      </c>
      <c r="BI217" s="586" t="str">
        <f>_xlfn.IFS(AND($AI217=$AM217,$AI217&gt;0,$AM217&gt;0,BH217&gt;0), BH217,     AND(NOT($AI217=$AM217),$AI217&gt;0,$AM217&gt;0,BH217&gt;0), ($AM217*BH217)/$AI217,     AND($AI217=0,$AM217&gt;0,$AQ217&gt;0), IF(INDEX(BH$12:BH$263,MATCH($AQ217,$AP$12:$AP$263,0))&gt;0,($AM217*INDEX(BH$12:BH$263,MATCH($AQ217,$AP$12:$AP$263,0)))/INDEX($AI$12:$AI$263,MATCH($AQ217,$AP$12:$AP$263,0)), "-"),     TRUE, "0")</f>
        <v>0</v>
      </c>
      <c r="BJ217" s="588">
        <f>IF(BI$9&gt;0, IF(OR(BI217="",BI217="-"), 0, BI217*$AT217), BH217*$AJ217)</f>
        <v>0</v>
      </c>
      <c r="BK217" s="587">
        <f>[1]COMMANDE!Y215</f>
        <v>0</v>
      </c>
      <c r="BL217" s="586" t="str">
        <f>_xlfn.IFS(AND($AI217=$AM217,$AI217&gt;0,$AM217&gt;0,BK217&gt;0), BK217,     AND(NOT($AI217=$AM217),$AI217&gt;0,$AM217&gt;0,BK217&gt;0), ($AM217*BK217)/$AI217,     AND($AI217=0,$AM217&gt;0,$AQ217&gt;0), IF(INDEX(BK$12:BK$263,MATCH($AQ217,$AP$12:$AP$263,0))&gt;0,($AM217*INDEX(BK$12:BK$263,MATCH($AQ217,$AP$12:$AP$263,0)))/INDEX($AI$12:$AI$263,MATCH($AQ217,$AP$12:$AP$263,0)), "-"),     TRUE, "0")</f>
        <v>0</v>
      </c>
      <c r="BM217" s="607">
        <f>IF(BL$9&gt;0, IF(OR(BL217="",BL217="-"), 0, BL217*$AT217), BK217*$AJ217)</f>
        <v>0</v>
      </c>
      <c r="BN217" s="589">
        <f>[1]COMMANDE!AA215</f>
        <v>0</v>
      </c>
      <c r="BO217" s="586" t="str">
        <f>_xlfn.IFS(AND($AI217=$AM217,$AI217&gt;0,$AM217&gt;0,BN217&gt;0), BN217,     AND(NOT($AI217=$AM217),$AI217&gt;0,$AM217&gt;0,BN217&gt;0), ($AM217*BN217)/$AI217,     AND($AI217=0,$AM217&gt;0,$AQ217&gt;0), IF(INDEX(BN$12:BN$263,MATCH($AQ217,$AP$12:$AP$263,0))&gt;0,($AM217*INDEX(BN$12:BN$263,MATCH($AQ217,$AP$12:$AP$263,0)))/INDEX($AI$12:$AI$263,MATCH($AQ217,$AP$12:$AP$263,0)), "-"),     TRUE, "0")</f>
        <v>0</v>
      </c>
      <c r="BP217" s="588">
        <f>IF(BO$9&gt;0, IF(OR(BO217="",BO217="-"), 0, BO217*$AT217), BN217*$AJ217)</f>
        <v>0</v>
      </c>
      <c r="BQ217" s="587">
        <f>[1]COMMANDE!AC215</f>
        <v>0</v>
      </c>
      <c r="BR217" s="586" t="str">
        <f>_xlfn.IFS(AND($AI217=$AM217,$AI217&gt;0,$AM217&gt;0,BQ217&gt;0), BQ217,     AND(NOT($AI217=$AM217),$AI217&gt;0,$AM217&gt;0,BQ217&gt;0), ($AM217*BQ217)/$AI217,     AND($AI217=0,$AM217&gt;0,$AQ217&gt;0), IF(INDEX(BQ$12:BQ$263,MATCH($AQ217,$AP$12:$AP$263,0))&gt;0,($AM217*INDEX(BQ$12:BQ$263,MATCH($AQ217,$AP$12:$AP$263,0)))/INDEX($AI$12:$AI$263,MATCH($AQ217,$AP$12:$AP$263,0)), "-"),     TRUE, "0")</f>
        <v>0</v>
      </c>
      <c r="BS217" s="607">
        <f>IF(BR$9&gt;0, IF(OR(BR217="",BR217="-"), 0, BR217*$AT217), BQ217*$AJ217)</f>
        <v>0</v>
      </c>
      <c r="BT217" s="589">
        <f>[1]COMMANDE!AE215</f>
        <v>0</v>
      </c>
      <c r="BU217" s="586" t="str">
        <f>_xlfn.IFS(AND($AI217=$AM217,$AI217&gt;0,$AM217&gt;0,BT217&gt;0), BT217,     AND(NOT($AI217=$AM217),$AI217&gt;0,$AM217&gt;0,BT217&gt;0), ($AM217*BT217)/$AI217,     AND($AI217=0,$AM217&gt;0,$AQ217&gt;0), IF(INDEX(BT$12:BT$263,MATCH($AQ217,$AP$12:$AP$263,0))&gt;0,($AM217*INDEX(BT$12:BT$263,MATCH($AQ217,$AP$12:$AP$263,0)))/INDEX($AI$12:$AI$263,MATCH($AQ217,$AP$12:$AP$263,0)), "-"),     TRUE, "0")</f>
        <v>0</v>
      </c>
      <c r="BV217" s="588">
        <f>IF(BU$9&gt;0, IF(OR(BU217="",BU217="-"), 0, BU217*$AT217), BT217*$AJ217)</f>
        <v>0</v>
      </c>
      <c r="BW217" s="587">
        <f>[1]COMMANDE!AG215</f>
        <v>0</v>
      </c>
      <c r="BX217" s="586" t="str">
        <f>_xlfn.IFS(AND($AI217=$AM217,$AI217&gt;0,$AM217&gt;0,BW217&gt;0), BW217,     AND(NOT($AI217=$AM217),$AI217&gt;0,$AM217&gt;0,BW217&gt;0), ($AM217*BW217)/$AI217,     AND($AI217=0,$AM217&gt;0,$AQ217&gt;0), IF(INDEX(BW$12:BW$263,MATCH($AQ217,$AP$12:$AP$263,0))&gt;0,($AM217*INDEX(BW$12:BW$263,MATCH($AQ217,$AP$12:$AP$263,0)))/INDEX($AI$12:$AI$263,MATCH($AQ217,$AP$12:$AP$263,0)), "-"),     TRUE, "0")</f>
        <v>0</v>
      </c>
      <c r="BY217" s="607">
        <f>IF(BX$9&gt;0, IF(OR(BX217="",BX217="-"), 0, BX217*$AT217), BW217*$AJ217)</f>
        <v>0</v>
      </c>
      <c r="BZ217" s="589">
        <f>[1]COMMANDE!AI215</f>
        <v>0</v>
      </c>
      <c r="CA217" s="586" t="str">
        <f>_xlfn.IFS(AND($AI217=$AM217,$AI217&gt;0,$AM217&gt;0,BZ217&gt;0), BZ217,     AND(NOT($AI217=$AM217),$AI217&gt;0,$AM217&gt;0,BZ217&gt;0), ($AM217*BZ217)/$AI217,     AND($AI217=0,$AM217&gt;0,$AQ217&gt;0), IF(INDEX(BZ$12:BZ$263,MATCH($AQ217,$AP$12:$AP$263,0))&gt;0,($AM217*INDEX(BZ$12:BZ$263,MATCH($AQ217,$AP$12:$AP$263,0)))/INDEX($AI$12:$AI$263,MATCH($AQ217,$AP$12:$AP$263,0)), "-"),     TRUE, "0")</f>
        <v>0</v>
      </c>
      <c r="CB217" s="588">
        <f>IF(CA$9&gt;0, IF(OR(CA217="",CA217="-"), 0, CA217*$AT217), BZ217*$AJ217)</f>
        <v>0</v>
      </c>
      <c r="CC217" s="587">
        <f>[1]COMMANDE!AK215</f>
        <v>0</v>
      </c>
      <c r="CD217" s="586" t="str">
        <f>_xlfn.IFS(AND($AI217=$AM217,$AI217&gt;0,$AM217&gt;0,CC217&gt;0), CC217,     AND(NOT($AI217=$AM217),$AI217&gt;0,$AM217&gt;0,CC217&gt;0), ($AM217*CC217)/$AI217,     AND($AI217=0,$AM217&gt;0,$AQ217&gt;0), IF(INDEX(CC$12:CC$263,MATCH($AQ217,$AP$12:$AP$263,0))&gt;0,($AM217*INDEX(CC$12:CC$263,MATCH($AQ217,$AP$12:$AP$263,0)))/INDEX($AI$12:$AI$263,MATCH($AQ217,$AP$12:$AP$263,0)), "-"),     TRUE, "0")</f>
        <v>0</v>
      </c>
      <c r="CE217" s="607">
        <f>IF(CD$9&gt;0, IF(OR(CD217="",CD217="-"), 0, CD217*$AT217), CC217*$AJ217)</f>
        <v>0</v>
      </c>
      <c r="CF217" s="589">
        <f>[1]COMMANDE!AM215</f>
        <v>0</v>
      </c>
      <c r="CG217" s="586" t="str">
        <f>_xlfn.IFS(AND($AI217=$AM217,$AI217&gt;0,$AM217&gt;0,CF217&gt;0), CF217,     AND(NOT($AI217=$AM217),$AI217&gt;0,$AM217&gt;0,CF217&gt;0), ($AM217*CF217)/$AI217,     AND($AI217=0,$AM217&gt;0,$AQ217&gt;0), IF(INDEX(CF$12:CF$263,MATCH($AQ217,$AP$12:$AP$263,0))&gt;0,($AM217*INDEX(CF$12:CF$263,MATCH($AQ217,$AP$12:$AP$263,0)))/INDEX($AI$12:$AI$263,MATCH($AQ217,$AP$12:$AP$263,0)), "-"),     TRUE, "0")</f>
        <v>0</v>
      </c>
      <c r="CH217" s="588">
        <f>IF(CG$9&gt;0, IF(OR(CG217="",CG217="-"), 0, CG217*$AT217), CF217*$AJ217)</f>
        <v>0</v>
      </c>
      <c r="CI217" s="587">
        <f>[1]COMMANDE!AO215</f>
        <v>0</v>
      </c>
      <c r="CJ217" s="586" t="str">
        <f>_xlfn.IFS(AND($AI217=$AM217,$AI217&gt;0,$AM217&gt;0,CI217&gt;0), CI217,     AND(NOT($AI217=$AM217),$AI217&gt;0,$AM217&gt;0,CI217&gt;0), ($AM217*CI217)/$AI217,     AND($AI217=0,$AM217&gt;0,$AQ217&gt;0), IF(INDEX(CI$12:CI$263,MATCH($AQ217,$AP$12:$AP$263,0))&gt;0,($AM217*INDEX(CI$12:CI$263,MATCH($AQ217,$AP$12:$AP$263,0)))/INDEX($AI$12:$AI$263,MATCH($AQ217,$AP$12:$AP$263,0)), "-"),     TRUE, "0")</f>
        <v>0</v>
      </c>
      <c r="CK217" s="607">
        <f>IF(CJ$9&gt;0, IF(OR(CJ217="",CJ217="-"), 0, CJ217*$AT217), CI217*$AJ217)</f>
        <v>0</v>
      </c>
      <c r="CL217" s="589">
        <f>[1]COMMANDE!AQ215</f>
        <v>0</v>
      </c>
      <c r="CM217" s="586" t="str">
        <f>_xlfn.IFS(AND($AI217=$AM217,$AI217&gt;0,$AM217&gt;0,CL217&gt;0), CL217,     AND(NOT($AI217=$AM217),$AI217&gt;0,$AM217&gt;0,CL217&gt;0), ($AM217*CL217)/$AI217,     AND($AI217=0,$AM217&gt;0,$AQ217&gt;0), IF(INDEX(CL$12:CL$263,MATCH($AQ217,$AP$12:$AP$263,0))&gt;0,($AM217*INDEX(CL$12:CL$263,MATCH($AQ217,$AP$12:$AP$263,0)))/INDEX($AI$12:$AI$263,MATCH($AQ217,$AP$12:$AP$263,0)), "-"),     TRUE, "0")</f>
        <v>0</v>
      </c>
      <c r="CN217" s="588">
        <f>IF(CM$9&gt;0, IF(OR(CM217="",CM217="-"), 0, CM217*$AT217), CL217*$AJ217)</f>
        <v>0</v>
      </c>
      <c r="CO217" s="587">
        <f>[1]COMMANDE!AS215</f>
        <v>0</v>
      </c>
      <c r="CP217" s="586" t="str">
        <f>_xlfn.IFS(AND($AI217=$AM217,$AI217&gt;0,$AM217&gt;0,CO217&gt;0), CO217,     AND(NOT($AI217=$AM217),$AI217&gt;0,$AM217&gt;0,CO217&gt;0), ($AM217*CO217)/$AI217,     AND($AI217=0,$AM217&gt;0,$AQ217&gt;0), IF(INDEX(CO$12:CO$263,MATCH($AQ217,$AP$12:$AP$263,0))&gt;0,($AM217*INDEX(CO$12:CO$263,MATCH($AQ217,$AP$12:$AP$263,0)))/INDEX($AI$12:$AI$263,MATCH($AQ217,$AP$12:$AP$263,0)), "-"),     TRUE, "0")</f>
        <v>0</v>
      </c>
      <c r="CQ217" s="607">
        <f>IF(CP$9&gt;0, IF(OR(CP217="",CP217="-"), 0, CP217*$AT217), CO217*$AJ217)</f>
        <v>0</v>
      </c>
      <c r="CR217" s="589">
        <f>[1]COMMANDE!AU215</f>
        <v>0</v>
      </c>
      <c r="CS217" s="586" t="str">
        <f>_xlfn.IFS(AND($AI217=$AM217,$AI217&gt;0,$AM217&gt;0,CR217&gt;0), CR217,     AND(NOT($AI217=$AM217),$AI217&gt;0,$AM217&gt;0,CR217&gt;0), ($AM217*CR217)/$AI217,     AND($AI217=0,$AM217&gt;0,$AQ217&gt;0), IF(INDEX(CR$12:CR$263,MATCH($AQ217,$AP$12:$AP$263,0))&gt;0,($AM217*INDEX(CR$12:CR$263,MATCH($AQ217,$AP$12:$AP$263,0)))/INDEX($AI$12:$AI$263,MATCH($AQ217,$AP$12:$AP$263,0)), "-"),     TRUE, "0")</f>
        <v>0</v>
      </c>
      <c r="CT217" s="588">
        <f>IF(CS$9&gt;0, IF(OR(CS217="",CS217="-"), 0, CS217*$AT217), CR217*$AJ217)</f>
        <v>0</v>
      </c>
      <c r="CU217" s="587">
        <f>[1]COMMANDE!AW215</f>
        <v>0</v>
      </c>
      <c r="CV217" s="586" t="str">
        <f>_xlfn.IFS(AND($AI217=$AM217,$AI217&gt;0,$AM217&gt;0,CU217&gt;0), CU217,     AND(NOT($AI217=$AM217),$AI217&gt;0,$AM217&gt;0,CU217&gt;0), ($AM217*CU217)/$AI217,     AND($AI217=0,$AM217&gt;0,$AQ217&gt;0), IF(INDEX(CU$12:CU$263,MATCH($AQ217,$AP$12:$AP$263,0))&gt;0,($AM217*INDEX(CU$12:CU$263,MATCH($AQ217,$AP$12:$AP$263,0)))/INDEX($AI$12:$AI$263,MATCH($AQ217,$AP$12:$AP$263,0)), "-"),     TRUE, "0")</f>
        <v>0</v>
      </c>
      <c r="CW217" s="607">
        <f>IF(CV$9&gt;0, IF(OR(CV217="",CV217="-"), 0, CV217*$AT217), CU217*$AJ217)</f>
        <v>0</v>
      </c>
      <c r="CX217" s="589">
        <f>[1]COMMANDE!AY215</f>
        <v>0</v>
      </c>
      <c r="CY217" s="586" t="str">
        <f>_xlfn.IFS(AND($AI217=$AM217,$AI217&gt;0,$AM217&gt;0,CX217&gt;0), CX217,     AND(NOT($AI217=$AM217),$AI217&gt;0,$AM217&gt;0,CX217&gt;0), ($AM217*CX217)/$AI217,     AND($AI217=0,$AM217&gt;0,$AQ217&gt;0), IF(INDEX(CX$12:CX$263,MATCH($AQ217,$AP$12:$AP$263,0))&gt;0,($AM217*INDEX(CX$12:CX$263,MATCH($AQ217,$AP$12:$AP$263,0)))/INDEX($AI$12:$AI$263,MATCH($AQ217,$AP$12:$AP$263,0)), "-"),     TRUE, "0")</f>
        <v>0</v>
      </c>
      <c r="CZ217" s="588">
        <f>IF(CY$9&gt;0, IF(OR(CY217="",CY217="-"), 0, CY217*$AT217), CX217*$AJ217)</f>
        <v>0</v>
      </c>
      <c r="DA217" s="587">
        <f>[1]COMMANDE!BA215</f>
        <v>0</v>
      </c>
      <c r="DB217" s="586" t="str">
        <f>_xlfn.IFS(AND($AI217=$AM217,$AI217&gt;0,$AM217&gt;0,DA217&gt;0), DA217,     AND(NOT($AI217=$AM217),$AI217&gt;0,$AM217&gt;0,DA217&gt;0), ($AM217*DA217)/$AI217,     AND($AI217=0,$AM217&gt;0,$AQ217&gt;0), IF(INDEX(DA$12:DA$263,MATCH($AQ217,$AP$12:$AP$263,0))&gt;0,($AM217*INDEX(DA$12:DA$263,MATCH($AQ217,$AP$12:$AP$263,0)))/INDEX($AI$12:$AI$263,MATCH($AQ217,$AP$12:$AP$263,0)), "-"),     TRUE, "0")</f>
        <v>0</v>
      </c>
      <c r="DC217" s="606">
        <f>IF(DB$9&gt;0, IF(OR(DB217="",DB217="-"), 0, DB217*$AT217), DA217*$AJ217)</f>
        <v>0</v>
      </c>
      <c r="DD217" s="584"/>
      <c r="DE217" s="583"/>
    </row>
    <row r="218" spans="1:109" ht="39.950000000000003" hidden="1" customHeight="1">
      <c r="A218" s="605">
        <f>IF(OR($AV218&gt;0, $AX218&gt;0), 1, 0)</f>
        <v>0</v>
      </c>
      <c r="B218" s="605">
        <f>IF(OR($AY218&gt;0, $BA218&gt;0), 1, 0)</f>
        <v>0</v>
      </c>
      <c r="C218" s="605">
        <f>IF(OR($BB218&gt;0, $BD218&gt;0), 1, 0)</f>
        <v>0</v>
      </c>
      <c r="D218" s="605">
        <f>IF(OR($BE218&gt;0, $BG218&gt;0), 1, 0)</f>
        <v>0</v>
      </c>
      <c r="E218" s="605">
        <f>IF(OR($BH218&gt;0, $BJ218&gt;0), 1, 0)</f>
        <v>0</v>
      </c>
      <c r="F218" s="605">
        <f>IF(OR($BK218&gt;0, $BM218&gt;0), 1, 0)</f>
        <v>0</v>
      </c>
      <c r="G218" s="605">
        <f>IF(OR($BN218&gt;0, $BP218&gt;0), 1, 0)</f>
        <v>0</v>
      </c>
      <c r="H218" s="605">
        <f>IF(OR($BQ218&gt;0, $BS218&gt;0), 1, 0)</f>
        <v>0</v>
      </c>
      <c r="I218" s="605">
        <f>IF(OR($BT218&gt;0, $BV218&gt;0), 1, 0)</f>
        <v>0</v>
      </c>
      <c r="J218" s="605">
        <f>IF(OR($BW218&gt;0, $BY218&gt;0), 1, 0)</f>
        <v>0</v>
      </c>
      <c r="K218" s="605">
        <f>IF(OR($BZ218&gt;0, $CB218&gt;0), 1, 0)</f>
        <v>0</v>
      </c>
      <c r="L218" s="605">
        <f>IF(OR($CC218&gt;0, $CE218&gt;0), 1, 0)</f>
        <v>0</v>
      </c>
      <c r="M218" s="605">
        <f>IF(OR($CF218&gt;0, $CH218&gt;0), 1, 0)</f>
        <v>0</v>
      </c>
      <c r="N218" s="605">
        <f>IF(OR($CI218&gt;0, $CK218&gt;0), 1, 0)</f>
        <v>0</v>
      </c>
      <c r="O218" s="605">
        <f>IF(OR($CL218&gt;0, $CN218&gt;0), 1, 0)</f>
        <v>0</v>
      </c>
      <c r="P218" s="604">
        <f>IF(OR($CO218&gt;0, $CQ218&gt;0), 1, 0)</f>
        <v>0</v>
      </c>
      <c r="Q218" s="604">
        <f>IF(OR($CR218&gt;0, $CT218&gt;0), 1, 0)</f>
        <v>0</v>
      </c>
      <c r="R218" s="604">
        <f>IF(OR($CU218&gt;0, $CW218&gt;0), 1, 0)</f>
        <v>0</v>
      </c>
      <c r="S218" s="604">
        <f>IF(OR($CX218&gt;0, $CZ218&gt;0), 1, 0)</f>
        <v>0</v>
      </c>
      <c r="T218" s="604">
        <f>IF(OR($DA218&gt;0, $DC218&gt;0), 1, 0)</f>
        <v>0</v>
      </c>
      <c r="U218" s="603">
        <f>IF(OR($AI218&gt;0,$AM218&gt;0,$AS218&gt;0), 1, 0)</f>
        <v>0</v>
      </c>
      <c r="V218" s="602">
        <f>[1]BDD!A208</f>
        <v>3043</v>
      </c>
      <c r="W218" s="601" t="str">
        <f>[1]BDD!B208</f>
        <v xml:space="preserve">Poire Conférence  </v>
      </c>
      <c r="X218" s="600" t="str">
        <f>IF([1]BDD!F208=0, "", [1]BDD!F208)</f>
        <v/>
      </c>
      <c r="Y218" s="542">
        <f>ROUND([1]BDD!G208+FDP_CMD_KG, 2)</f>
        <v>3.87</v>
      </c>
      <c r="Z218" s="542">
        <f>ROUND([1]BDD!G208+FDP_FACT_KG, 2)</f>
        <v>3.87</v>
      </c>
      <c r="AA218" s="543" t="str">
        <f>[1]BDD!H208</f>
        <v>kg</v>
      </c>
      <c r="AB218" s="544">
        <f>IF(NOT(ISBLANK([1]BDD!I208)), ROUND(SUM(([1]BDD!G208*reduc1),FDP_CMD_KG), 2), "")</f>
        <v>3.57</v>
      </c>
      <c r="AC218" s="544">
        <f>IF(NOT(ISBLANK([1]BDD!J208)), ROUND(SUM(([1]BDD!G208*reduc2),FDP_CMD_KG), 2), "")</f>
        <v>3.27</v>
      </c>
      <c r="AD218" s="544" t="str">
        <f>IF(NOT(ISBLANK([1]BDD!K208)), ROUND(SUM(([1]BDD!G208*reduc3),FDP_CMD_KG), 2), "")</f>
        <v/>
      </c>
      <c r="AE218" s="544">
        <f>IF(NOT(ISBLANK([1]BDD!I208)), ROUND(SUM(([1]BDD!G208*reduc1),FDP_FACT_KG), 2), "")</f>
        <v>3.57</v>
      </c>
      <c r="AF218" s="544">
        <f>IF(NOT(ISBLANK([1]BDD!J208)), ROUND(SUM(([1]BDD!G208*reduc2),FDP_FACT_KG), 2), "")</f>
        <v>3.27</v>
      </c>
      <c r="AG218" s="544" t="str">
        <f>IF(NOT(ISBLANK([1]BDD!K208)), ROUND(SUM(([1]BDD!G208*reduc3),FDP_FACT_KG), 2), "")</f>
        <v/>
      </c>
      <c r="AH218" s="599" t="str">
        <f>[1]BDD!C208</f>
        <v>Espagne</v>
      </c>
      <c r="AI218" s="598">
        <f>SUM(AV218,AY218,BB218,BE218,BH218,BK218,BN218,BQ218,BT218,BW218,BZ218,CC218,CF218,CI218,CL218,CO218,CR218,CU218,CX218,DA218)</f>
        <v>0</v>
      </c>
      <c r="AJ218" s="545">
        <f>_xlfn.IFS($AD218&lt;&gt;"", $AD218,    $AC218&lt;&gt;"", $AC218,    $AB218&lt;&gt;"", $AB218,    TRUE, $Y218)</f>
        <v>3.27</v>
      </c>
      <c r="AK218" s="592">
        <f>$AI218*$AJ218</f>
        <v>0</v>
      </c>
      <c r="AL218" s="594"/>
      <c r="AM218" s="597"/>
      <c r="AN218" s="545">
        <f>_xlfn.IFS(AND(AM218&gt;=60,$AG218&lt;&gt;""), $AG218,    AND(AM218&gt;=30,$AF218&lt;&gt;""), $AF218,    AND(AM218&gt;=10,$AE218&lt;&gt;""), $AE218,    TRUE, $Z218)</f>
        <v>3.87</v>
      </c>
      <c r="AO218" s="596">
        <f>AM218*AN218</f>
        <v>0</v>
      </c>
      <c r="AP218" s="595"/>
      <c r="AQ218" s="595"/>
      <c r="AR218" s="594"/>
      <c r="AS218" s="593">
        <f>SUM(AW218,AZ218,BC218,BF218,BI218,BL218,BO218,BR218,BU218,BX218,CA218,CD218,CG218,CJ218,CM218,CP218,CS218,CV218,CY218,DB218)</f>
        <v>0</v>
      </c>
      <c r="AT218" s="545">
        <f>_xlfn.IFS(AND(AS218&gt;=60,$AG218&lt;&gt;""), $AG218,    AND(AS218&gt;=30,$AF218&lt;&gt;""), $AF218,    AND(AS218&gt;=10,$AE218&lt;&gt;""), $AE218,    TRUE, $Z218)</f>
        <v>3.87</v>
      </c>
      <c r="AU218" s="592">
        <f>$AS218*$AT218</f>
        <v>0</v>
      </c>
      <c r="AV218" s="591">
        <f>[1]COMMANDE!O216</f>
        <v>0</v>
      </c>
      <c r="AW218" s="586" t="str">
        <f>_xlfn.IFS(AND($AI218=$AM218,$AI218&gt;0,$AM218&gt;0,AV218&gt;0), AV218,     AND(NOT($AI218=$AM218),$AI218&gt;0,$AM218&gt;0,AV218&gt;0), ($AM218*AV218)/$AI218,     AND($AI218=0,$AM218&gt;0,$AQ218&gt;0), IF(INDEX(AV$12:AV$263,MATCH($AQ218,$AP$12:$AP$263,0))&gt;0,($AM218*INDEX(AV$12:AV$263,MATCH($AQ218,$AP$12:$AP$263,0)))/INDEX($AI$12:$AI$263,MATCH($AQ218,$AP$12:$AP$263,0)), "-"),     TRUE, "0")</f>
        <v>0</v>
      </c>
      <c r="AX218" s="588">
        <f>IF(AW$9&gt;0, IF(OR(AW218="",AW218="-"), 0, AW218*$AT218), AV218*$AJ218)</f>
        <v>0</v>
      </c>
      <c r="AY218" s="587">
        <f>[1]COMMANDE!Q216</f>
        <v>0</v>
      </c>
      <c r="AZ218" s="586" t="str">
        <f>_xlfn.IFS(AND($AI218=$AM218,$AI218&gt;0,$AM218&gt;0,AY218&gt;0), AY218,     AND(NOT($AI218=$AM218),$AI218&gt;0,$AM218&gt;0,AY218&gt;0), ($AM218*AY218)/$AI218,     AND($AI218=0,$AM218&gt;0,$AQ218&gt;0), IF(INDEX(AY$12:AY$263,MATCH($AQ218,$AP$12:$AP$263,0))&gt;0,($AM218*INDEX(AY$12:AY$263,MATCH($AQ218,$AP$12:$AP$263,0)))/INDEX($AI$12:$AI$263,MATCH($AQ218,$AP$12:$AP$263,0)), "-"),     TRUE, "0")</f>
        <v>0</v>
      </c>
      <c r="BA218" s="607">
        <f>IF(AZ$9&gt;0, IF(OR(AZ218="",AZ218="-"), 0, AZ218*$AT218), AY218*$AJ218)</f>
        <v>0</v>
      </c>
      <c r="BB218" s="589">
        <f>[1]COMMANDE!S216</f>
        <v>0</v>
      </c>
      <c r="BC218" s="586" t="str">
        <f>_xlfn.IFS(AND($AI218=$AM218,$AI218&gt;0,$AM218&gt;0,BB218&gt;0), BB218,     AND(NOT($AI218=$AM218),$AI218&gt;0,$AM218&gt;0,BB218&gt;0), ($AM218*BB218)/$AI218,     AND($AI218=0,$AM218&gt;0,$AQ218&gt;0), IF(INDEX(BB$12:BB$263,MATCH($AQ218,$AP$12:$AP$263,0))&gt;0,($AM218*INDEX(BB$12:BB$263,MATCH($AQ218,$AP$12:$AP$263,0)))/INDEX($AI$12:$AI$263,MATCH($AQ218,$AP$12:$AP$263,0)), "-"),     TRUE, "0")</f>
        <v>0</v>
      </c>
      <c r="BD218" s="588">
        <f>IF(BC$9&gt;0, IF(OR(BC218="",BC218="-"), 0, BC218*$AT218), BB218*$AJ218)</f>
        <v>0</v>
      </c>
      <c r="BE218" s="587">
        <f>[1]COMMANDE!U216</f>
        <v>0</v>
      </c>
      <c r="BF218" s="586" t="str">
        <f>_xlfn.IFS(AND($AI218=$AM218,$AI218&gt;0,$AM218&gt;0,BE218&gt;0), BE218,     AND(NOT($AI218=$AM218),$AI218&gt;0,$AM218&gt;0,BE218&gt;0), ($AM218*BE218)/$AI218,     AND($AI218=0,$AM218&gt;0,$AQ218&gt;0), IF(INDEX(BE$12:BE$263,MATCH($AQ218,$AP$12:$AP$263,0))&gt;0,($AM218*INDEX(BE$12:BE$263,MATCH($AQ218,$AP$12:$AP$263,0)))/INDEX($AI$12:$AI$263,MATCH($AQ218,$AP$12:$AP$263,0)), "-"),     TRUE, "0")</f>
        <v>0</v>
      </c>
      <c r="BG218" s="607">
        <f>IF(BF$9&gt;0, IF(OR(BF218="",BF218="-"), 0, BF218*$AT218), BE218*$AJ218)</f>
        <v>0</v>
      </c>
      <c r="BH218" s="589">
        <f>[1]COMMANDE!W216</f>
        <v>0</v>
      </c>
      <c r="BI218" s="586" t="str">
        <f>_xlfn.IFS(AND($AI218=$AM218,$AI218&gt;0,$AM218&gt;0,BH218&gt;0), BH218,     AND(NOT($AI218=$AM218),$AI218&gt;0,$AM218&gt;0,BH218&gt;0), ($AM218*BH218)/$AI218,     AND($AI218=0,$AM218&gt;0,$AQ218&gt;0), IF(INDEX(BH$12:BH$263,MATCH($AQ218,$AP$12:$AP$263,0))&gt;0,($AM218*INDEX(BH$12:BH$263,MATCH($AQ218,$AP$12:$AP$263,0)))/INDEX($AI$12:$AI$263,MATCH($AQ218,$AP$12:$AP$263,0)), "-"),     TRUE, "0")</f>
        <v>0</v>
      </c>
      <c r="BJ218" s="588">
        <f>IF(BI$9&gt;0, IF(OR(BI218="",BI218="-"), 0, BI218*$AT218), BH218*$AJ218)</f>
        <v>0</v>
      </c>
      <c r="BK218" s="587">
        <f>[1]COMMANDE!Y216</f>
        <v>0</v>
      </c>
      <c r="BL218" s="586" t="str">
        <f>_xlfn.IFS(AND($AI218=$AM218,$AI218&gt;0,$AM218&gt;0,BK218&gt;0), BK218,     AND(NOT($AI218=$AM218),$AI218&gt;0,$AM218&gt;0,BK218&gt;0), ($AM218*BK218)/$AI218,     AND($AI218=0,$AM218&gt;0,$AQ218&gt;0), IF(INDEX(BK$12:BK$263,MATCH($AQ218,$AP$12:$AP$263,0))&gt;0,($AM218*INDEX(BK$12:BK$263,MATCH($AQ218,$AP$12:$AP$263,0)))/INDEX($AI$12:$AI$263,MATCH($AQ218,$AP$12:$AP$263,0)), "-"),     TRUE, "0")</f>
        <v>0</v>
      </c>
      <c r="BM218" s="607">
        <f>IF(BL$9&gt;0, IF(OR(BL218="",BL218="-"), 0, BL218*$AT218), BK218*$AJ218)</f>
        <v>0</v>
      </c>
      <c r="BN218" s="589">
        <f>[1]COMMANDE!AA216</f>
        <v>0</v>
      </c>
      <c r="BO218" s="586" t="str">
        <f>_xlfn.IFS(AND($AI218=$AM218,$AI218&gt;0,$AM218&gt;0,BN218&gt;0), BN218,     AND(NOT($AI218=$AM218),$AI218&gt;0,$AM218&gt;0,BN218&gt;0), ($AM218*BN218)/$AI218,     AND($AI218=0,$AM218&gt;0,$AQ218&gt;0), IF(INDEX(BN$12:BN$263,MATCH($AQ218,$AP$12:$AP$263,0))&gt;0,($AM218*INDEX(BN$12:BN$263,MATCH($AQ218,$AP$12:$AP$263,0)))/INDEX($AI$12:$AI$263,MATCH($AQ218,$AP$12:$AP$263,0)), "-"),     TRUE, "0")</f>
        <v>0</v>
      </c>
      <c r="BP218" s="588">
        <f>IF(BO$9&gt;0, IF(OR(BO218="",BO218="-"), 0, BO218*$AT218), BN218*$AJ218)</f>
        <v>0</v>
      </c>
      <c r="BQ218" s="587">
        <f>[1]COMMANDE!AC216</f>
        <v>0</v>
      </c>
      <c r="BR218" s="586" t="str">
        <f>_xlfn.IFS(AND($AI218=$AM218,$AI218&gt;0,$AM218&gt;0,BQ218&gt;0), BQ218,     AND(NOT($AI218=$AM218),$AI218&gt;0,$AM218&gt;0,BQ218&gt;0), ($AM218*BQ218)/$AI218,     AND($AI218=0,$AM218&gt;0,$AQ218&gt;0), IF(INDEX(BQ$12:BQ$263,MATCH($AQ218,$AP$12:$AP$263,0))&gt;0,($AM218*INDEX(BQ$12:BQ$263,MATCH($AQ218,$AP$12:$AP$263,0)))/INDEX($AI$12:$AI$263,MATCH($AQ218,$AP$12:$AP$263,0)), "-"),     TRUE, "0")</f>
        <v>0</v>
      </c>
      <c r="BS218" s="607">
        <f>IF(BR$9&gt;0, IF(OR(BR218="",BR218="-"), 0, BR218*$AT218), BQ218*$AJ218)</f>
        <v>0</v>
      </c>
      <c r="BT218" s="589">
        <f>[1]COMMANDE!AE216</f>
        <v>0</v>
      </c>
      <c r="BU218" s="586" t="str">
        <f>_xlfn.IFS(AND($AI218=$AM218,$AI218&gt;0,$AM218&gt;0,BT218&gt;0), BT218,     AND(NOT($AI218=$AM218),$AI218&gt;0,$AM218&gt;0,BT218&gt;0), ($AM218*BT218)/$AI218,     AND($AI218=0,$AM218&gt;0,$AQ218&gt;0), IF(INDEX(BT$12:BT$263,MATCH($AQ218,$AP$12:$AP$263,0))&gt;0,($AM218*INDEX(BT$12:BT$263,MATCH($AQ218,$AP$12:$AP$263,0)))/INDEX($AI$12:$AI$263,MATCH($AQ218,$AP$12:$AP$263,0)), "-"),     TRUE, "0")</f>
        <v>0</v>
      </c>
      <c r="BV218" s="588">
        <f>IF(BU$9&gt;0, IF(OR(BU218="",BU218="-"), 0, BU218*$AT218), BT218*$AJ218)</f>
        <v>0</v>
      </c>
      <c r="BW218" s="587">
        <f>[1]COMMANDE!AG216</f>
        <v>0</v>
      </c>
      <c r="BX218" s="586" t="str">
        <f>_xlfn.IFS(AND($AI218=$AM218,$AI218&gt;0,$AM218&gt;0,BW218&gt;0), BW218,     AND(NOT($AI218=$AM218),$AI218&gt;0,$AM218&gt;0,BW218&gt;0), ($AM218*BW218)/$AI218,     AND($AI218=0,$AM218&gt;0,$AQ218&gt;0), IF(INDEX(BW$12:BW$263,MATCH($AQ218,$AP$12:$AP$263,0))&gt;0,($AM218*INDEX(BW$12:BW$263,MATCH($AQ218,$AP$12:$AP$263,0)))/INDEX($AI$12:$AI$263,MATCH($AQ218,$AP$12:$AP$263,0)), "-"),     TRUE, "0")</f>
        <v>0</v>
      </c>
      <c r="BY218" s="607">
        <f>IF(BX$9&gt;0, IF(OR(BX218="",BX218="-"), 0, BX218*$AT218), BW218*$AJ218)</f>
        <v>0</v>
      </c>
      <c r="BZ218" s="589">
        <f>[1]COMMANDE!AI216</f>
        <v>0</v>
      </c>
      <c r="CA218" s="586" t="str">
        <f>_xlfn.IFS(AND($AI218=$AM218,$AI218&gt;0,$AM218&gt;0,BZ218&gt;0), BZ218,     AND(NOT($AI218=$AM218),$AI218&gt;0,$AM218&gt;0,BZ218&gt;0), ($AM218*BZ218)/$AI218,     AND($AI218=0,$AM218&gt;0,$AQ218&gt;0), IF(INDEX(BZ$12:BZ$263,MATCH($AQ218,$AP$12:$AP$263,0))&gt;0,($AM218*INDEX(BZ$12:BZ$263,MATCH($AQ218,$AP$12:$AP$263,0)))/INDEX($AI$12:$AI$263,MATCH($AQ218,$AP$12:$AP$263,0)), "-"),     TRUE, "0")</f>
        <v>0</v>
      </c>
      <c r="CB218" s="588">
        <f>IF(CA$9&gt;0, IF(OR(CA218="",CA218="-"), 0, CA218*$AT218), BZ218*$AJ218)</f>
        <v>0</v>
      </c>
      <c r="CC218" s="587">
        <f>[1]COMMANDE!AK216</f>
        <v>0</v>
      </c>
      <c r="CD218" s="586" t="str">
        <f>_xlfn.IFS(AND($AI218=$AM218,$AI218&gt;0,$AM218&gt;0,CC218&gt;0), CC218,     AND(NOT($AI218=$AM218),$AI218&gt;0,$AM218&gt;0,CC218&gt;0), ($AM218*CC218)/$AI218,     AND($AI218=0,$AM218&gt;0,$AQ218&gt;0), IF(INDEX(CC$12:CC$263,MATCH($AQ218,$AP$12:$AP$263,0))&gt;0,($AM218*INDEX(CC$12:CC$263,MATCH($AQ218,$AP$12:$AP$263,0)))/INDEX($AI$12:$AI$263,MATCH($AQ218,$AP$12:$AP$263,0)), "-"),     TRUE, "0")</f>
        <v>0</v>
      </c>
      <c r="CE218" s="607">
        <f>IF(CD$9&gt;0, IF(OR(CD218="",CD218="-"), 0, CD218*$AT218), CC218*$AJ218)</f>
        <v>0</v>
      </c>
      <c r="CF218" s="589">
        <f>[1]COMMANDE!AM216</f>
        <v>0</v>
      </c>
      <c r="CG218" s="586" t="str">
        <f>_xlfn.IFS(AND($AI218=$AM218,$AI218&gt;0,$AM218&gt;0,CF218&gt;0), CF218,     AND(NOT($AI218=$AM218),$AI218&gt;0,$AM218&gt;0,CF218&gt;0), ($AM218*CF218)/$AI218,     AND($AI218=0,$AM218&gt;0,$AQ218&gt;0), IF(INDEX(CF$12:CF$263,MATCH($AQ218,$AP$12:$AP$263,0))&gt;0,($AM218*INDEX(CF$12:CF$263,MATCH($AQ218,$AP$12:$AP$263,0)))/INDEX($AI$12:$AI$263,MATCH($AQ218,$AP$12:$AP$263,0)), "-"),     TRUE, "0")</f>
        <v>0</v>
      </c>
      <c r="CH218" s="588">
        <f>IF(CG$9&gt;0, IF(OR(CG218="",CG218="-"), 0, CG218*$AT218), CF218*$AJ218)</f>
        <v>0</v>
      </c>
      <c r="CI218" s="587">
        <f>[1]COMMANDE!AO216</f>
        <v>0</v>
      </c>
      <c r="CJ218" s="586" t="str">
        <f>_xlfn.IFS(AND($AI218=$AM218,$AI218&gt;0,$AM218&gt;0,CI218&gt;0), CI218,     AND(NOT($AI218=$AM218),$AI218&gt;0,$AM218&gt;0,CI218&gt;0), ($AM218*CI218)/$AI218,     AND($AI218=0,$AM218&gt;0,$AQ218&gt;0), IF(INDEX(CI$12:CI$263,MATCH($AQ218,$AP$12:$AP$263,0))&gt;0,($AM218*INDEX(CI$12:CI$263,MATCH($AQ218,$AP$12:$AP$263,0)))/INDEX($AI$12:$AI$263,MATCH($AQ218,$AP$12:$AP$263,0)), "-"),     TRUE, "0")</f>
        <v>0</v>
      </c>
      <c r="CK218" s="607">
        <f>IF(CJ$9&gt;0, IF(OR(CJ218="",CJ218="-"), 0, CJ218*$AT218), CI218*$AJ218)</f>
        <v>0</v>
      </c>
      <c r="CL218" s="589">
        <f>[1]COMMANDE!AQ216</f>
        <v>0</v>
      </c>
      <c r="CM218" s="586" t="str">
        <f>_xlfn.IFS(AND($AI218=$AM218,$AI218&gt;0,$AM218&gt;0,CL218&gt;0), CL218,     AND(NOT($AI218=$AM218),$AI218&gt;0,$AM218&gt;0,CL218&gt;0), ($AM218*CL218)/$AI218,     AND($AI218=0,$AM218&gt;0,$AQ218&gt;0), IF(INDEX(CL$12:CL$263,MATCH($AQ218,$AP$12:$AP$263,0))&gt;0,($AM218*INDEX(CL$12:CL$263,MATCH($AQ218,$AP$12:$AP$263,0)))/INDEX($AI$12:$AI$263,MATCH($AQ218,$AP$12:$AP$263,0)), "-"),     TRUE, "0")</f>
        <v>0</v>
      </c>
      <c r="CN218" s="588">
        <f>IF(CM$9&gt;0, IF(OR(CM218="",CM218="-"), 0, CM218*$AT218), CL218*$AJ218)</f>
        <v>0</v>
      </c>
      <c r="CO218" s="587">
        <f>[1]COMMANDE!AS216</f>
        <v>0</v>
      </c>
      <c r="CP218" s="586" t="str">
        <f>_xlfn.IFS(AND($AI218=$AM218,$AI218&gt;0,$AM218&gt;0,CO218&gt;0), CO218,     AND(NOT($AI218=$AM218),$AI218&gt;0,$AM218&gt;0,CO218&gt;0), ($AM218*CO218)/$AI218,     AND($AI218=0,$AM218&gt;0,$AQ218&gt;0), IF(INDEX(CO$12:CO$263,MATCH($AQ218,$AP$12:$AP$263,0))&gt;0,($AM218*INDEX(CO$12:CO$263,MATCH($AQ218,$AP$12:$AP$263,0)))/INDEX($AI$12:$AI$263,MATCH($AQ218,$AP$12:$AP$263,0)), "-"),     TRUE, "0")</f>
        <v>0</v>
      </c>
      <c r="CQ218" s="607">
        <f>IF(CP$9&gt;0, IF(OR(CP218="",CP218="-"), 0, CP218*$AT218), CO218*$AJ218)</f>
        <v>0</v>
      </c>
      <c r="CR218" s="589">
        <f>[1]COMMANDE!AU216</f>
        <v>0</v>
      </c>
      <c r="CS218" s="586" t="str">
        <f>_xlfn.IFS(AND($AI218=$AM218,$AI218&gt;0,$AM218&gt;0,CR218&gt;0), CR218,     AND(NOT($AI218=$AM218),$AI218&gt;0,$AM218&gt;0,CR218&gt;0), ($AM218*CR218)/$AI218,     AND($AI218=0,$AM218&gt;0,$AQ218&gt;0), IF(INDEX(CR$12:CR$263,MATCH($AQ218,$AP$12:$AP$263,0))&gt;0,($AM218*INDEX(CR$12:CR$263,MATCH($AQ218,$AP$12:$AP$263,0)))/INDEX($AI$12:$AI$263,MATCH($AQ218,$AP$12:$AP$263,0)), "-"),     TRUE, "0")</f>
        <v>0</v>
      </c>
      <c r="CT218" s="588">
        <f>IF(CS$9&gt;0, IF(OR(CS218="",CS218="-"), 0, CS218*$AT218), CR218*$AJ218)</f>
        <v>0</v>
      </c>
      <c r="CU218" s="587">
        <f>[1]COMMANDE!AW216</f>
        <v>0</v>
      </c>
      <c r="CV218" s="586" t="str">
        <f>_xlfn.IFS(AND($AI218=$AM218,$AI218&gt;0,$AM218&gt;0,CU218&gt;0), CU218,     AND(NOT($AI218=$AM218),$AI218&gt;0,$AM218&gt;0,CU218&gt;0), ($AM218*CU218)/$AI218,     AND($AI218=0,$AM218&gt;0,$AQ218&gt;0), IF(INDEX(CU$12:CU$263,MATCH($AQ218,$AP$12:$AP$263,0))&gt;0,($AM218*INDEX(CU$12:CU$263,MATCH($AQ218,$AP$12:$AP$263,0)))/INDEX($AI$12:$AI$263,MATCH($AQ218,$AP$12:$AP$263,0)), "-"),     TRUE, "0")</f>
        <v>0</v>
      </c>
      <c r="CW218" s="607">
        <f>IF(CV$9&gt;0, IF(OR(CV218="",CV218="-"), 0, CV218*$AT218), CU218*$AJ218)</f>
        <v>0</v>
      </c>
      <c r="CX218" s="589">
        <f>[1]COMMANDE!AY216</f>
        <v>0</v>
      </c>
      <c r="CY218" s="586" t="str">
        <f>_xlfn.IFS(AND($AI218=$AM218,$AI218&gt;0,$AM218&gt;0,CX218&gt;0), CX218,     AND(NOT($AI218=$AM218),$AI218&gt;0,$AM218&gt;0,CX218&gt;0), ($AM218*CX218)/$AI218,     AND($AI218=0,$AM218&gt;0,$AQ218&gt;0), IF(INDEX(CX$12:CX$263,MATCH($AQ218,$AP$12:$AP$263,0))&gt;0,($AM218*INDEX(CX$12:CX$263,MATCH($AQ218,$AP$12:$AP$263,0)))/INDEX($AI$12:$AI$263,MATCH($AQ218,$AP$12:$AP$263,0)), "-"),     TRUE, "0")</f>
        <v>0</v>
      </c>
      <c r="CZ218" s="588">
        <f>IF(CY$9&gt;0, IF(OR(CY218="",CY218="-"), 0, CY218*$AT218), CX218*$AJ218)</f>
        <v>0</v>
      </c>
      <c r="DA218" s="587">
        <f>[1]COMMANDE!BA216</f>
        <v>0</v>
      </c>
      <c r="DB218" s="586" t="str">
        <f>_xlfn.IFS(AND($AI218=$AM218,$AI218&gt;0,$AM218&gt;0,DA218&gt;0), DA218,     AND(NOT($AI218=$AM218),$AI218&gt;0,$AM218&gt;0,DA218&gt;0), ($AM218*DA218)/$AI218,     AND($AI218=0,$AM218&gt;0,$AQ218&gt;0), IF(INDEX(DA$12:DA$263,MATCH($AQ218,$AP$12:$AP$263,0))&gt;0,($AM218*INDEX(DA$12:DA$263,MATCH($AQ218,$AP$12:$AP$263,0)))/INDEX($AI$12:$AI$263,MATCH($AQ218,$AP$12:$AP$263,0)), "-"),     TRUE, "0")</f>
        <v>0</v>
      </c>
      <c r="DC218" s="606">
        <f>IF(DB$9&gt;0, IF(OR(DB218="",DB218="-"), 0, DB218*$AT218), DA218*$AJ218)</f>
        <v>0</v>
      </c>
      <c r="DD218" s="584"/>
      <c r="DE218" s="583"/>
    </row>
    <row r="219" spans="1:109" ht="39.950000000000003" hidden="1" customHeight="1">
      <c r="A219" s="605">
        <f>IF(OR($AV219&gt;0, $AX219&gt;0), 1, 0)</f>
        <v>0</v>
      </c>
      <c r="B219" s="605">
        <f>IF(OR($AY219&gt;0, $BA219&gt;0), 1, 0)</f>
        <v>0</v>
      </c>
      <c r="C219" s="605">
        <f>IF(OR($BB219&gt;0, $BD219&gt;0), 1, 0)</f>
        <v>0</v>
      </c>
      <c r="D219" s="605">
        <f>IF(OR($BE219&gt;0, $BG219&gt;0), 1, 0)</f>
        <v>0</v>
      </c>
      <c r="E219" s="605">
        <f>IF(OR($BH219&gt;0, $BJ219&gt;0), 1, 0)</f>
        <v>0</v>
      </c>
      <c r="F219" s="605">
        <f>IF(OR($BK219&gt;0, $BM219&gt;0), 1, 0)</f>
        <v>0</v>
      </c>
      <c r="G219" s="605">
        <f>IF(OR($BN219&gt;0, $BP219&gt;0), 1, 0)</f>
        <v>0</v>
      </c>
      <c r="H219" s="605">
        <f>IF(OR($BQ219&gt;0, $BS219&gt;0), 1, 0)</f>
        <v>0</v>
      </c>
      <c r="I219" s="605">
        <f>IF(OR($BT219&gt;0, $BV219&gt;0), 1, 0)</f>
        <v>0</v>
      </c>
      <c r="J219" s="605">
        <f>IF(OR($BW219&gt;0, $BY219&gt;0), 1, 0)</f>
        <v>0</v>
      </c>
      <c r="K219" s="605">
        <f>IF(OR($BZ219&gt;0, $CB219&gt;0), 1, 0)</f>
        <v>0</v>
      </c>
      <c r="L219" s="605">
        <f>IF(OR($CC219&gt;0, $CE219&gt;0), 1, 0)</f>
        <v>0</v>
      </c>
      <c r="M219" s="605">
        <f>IF(OR($CF219&gt;0, $CH219&gt;0), 1, 0)</f>
        <v>0</v>
      </c>
      <c r="N219" s="605">
        <f>IF(OR($CI219&gt;0, $CK219&gt;0), 1, 0)</f>
        <v>0</v>
      </c>
      <c r="O219" s="605">
        <f>IF(OR($CL219&gt;0, $CN219&gt;0), 1, 0)</f>
        <v>0</v>
      </c>
      <c r="P219" s="604">
        <f>IF(OR($CO219&gt;0, $CQ219&gt;0), 1, 0)</f>
        <v>0</v>
      </c>
      <c r="Q219" s="604">
        <f>IF(OR($CR219&gt;0, $CT219&gt;0), 1, 0)</f>
        <v>0</v>
      </c>
      <c r="R219" s="604">
        <f>IF(OR($CU219&gt;0, $CW219&gt;0), 1, 0)</f>
        <v>0</v>
      </c>
      <c r="S219" s="604">
        <f>IF(OR($CX219&gt;0, $CZ219&gt;0), 1, 0)</f>
        <v>0</v>
      </c>
      <c r="T219" s="604">
        <f>IF(OR($DA219&gt;0, $DC219&gt;0), 1, 0)</f>
        <v>0</v>
      </c>
      <c r="U219" s="603">
        <f>IF(OR($AI219&gt;0,$AM219&gt;0,$AS219&gt;0), 1, 0)</f>
        <v>0</v>
      </c>
      <c r="V219" s="602">
        <f>[1]BDD!A209</f>
        <v>1123</v>
      </c>
      <c r="W219" s="601" t="str">
        <f>[1]BDD!B209</f>
        <v>Poire Conférence BIO</v>
      </c>
      <c r="X219" s="600" t="str">
        <f>IF([1]BDD!F209=0, "", [1]BDD!F209)</f>
        <v/>
      </c>
      <c r="Y219" s="542">
        <f>ROUND([1]BDD!G209+FDP_CMD_KG, 2)</f>
        <v>4.83</v>
      </c>
      <c r="Z219" s="542">
        <f>ROUND([1]BDD!G209+FDP_FACT_KG, 2)</f>
        <v>4.83</v>
      </c>
      <c r="AA219" s="543" t="str">
        <f>[1]BDD!H209</f>
        <v>kg</v>
      </c>
      <c r="AB219" s="544">
        <f>IF(NOT(ISBLANK([1]BDD!I209)), ROUND(SUM(([1]BDD!G209*reduc1),FDP_CMD_KG), 2), "")</f>
        <v>4.4400000000000004</v>
      </c>
      <c r="AC219" s="544">
        <f>IF(NOT(ISBLANK([1]BDD!J209)), ROUND(SUM(([1]BDD!G209*reduc2),FDP_CMD_KG), 2), "")</f>
        <v>4.04</v>
      </c>
      <c r="AD219" s="544" t="str">
        <f>IF(NOT(ISBLANK([1]BDD!K209)), ROUND(SUM(([1]BDD!G209*reduc3),FDP_CMD_KG), 2), "")</f>
        <v/>
      </c>
      <c r="AE219" s="544">
        <f>IF(NOT(ISBLANK([1]BDD!I209)), ROUND(SUM(([1]BDD!G209*reduc1),FDP_FACT_KG), 2), "")</f>
        <v>4.43</v>
      </c>
      <c r="AF219" s="544">
        <f>IF(NOT(ISBLANK([1]BDD!J209)), ROUND(SUM(([1]BDD!G209*reduc2),FDP_FACT_KG), 2), "")</f>
        <v>4.03</v>
      </c>
      <c r="AG219" s="544" t="str">
        <f>IF(NOT(ISBLANK([1]BDD!K209)), ROUND(SUM(([1]BDD!G209*reduc3),FDP_FACT_KG), 2), "")</f>
        <v/>
      </c>
      <c r="AH219" s="599" t="str">
        <f>[1]BDD!C209</f>
        <v>Espagne</v>
      </c>
      <c r="AI219" s="598">
        <f>SUM(AV219,AY219,BB219,BE219,BH219,BK219,BN219,BQ219,BT219,BW219,BZ219,CC219,CF219,CI219,CL219,CO219,CR219,CU219,CX219,DA219)</f>
        <v>0</v>
      </c>
      <c r="AJ219" s="545">
        <f>_xlfn.IFS($AD219&lt;&gt;"", $AD219,    $AC219&lt;&gt;"", $AC219,    $AB219&lt;&gt;"", $AB219,    TRUE, $Y219)</f>
        <v>4.04</v>
      </c>
      <c r="AK219" s="592">
        <f>$AI219*$AJ219</f>
        <v>0</v>
      </c>
      <c r="AL219" s="594"/>
      <c r="AM219" s="597"/>
      <c r="AN219" s="545">
        <f>_xlfn.IFS(AND(AM219&gt;=60,$AG219&lt;&gt;""), $AG219,    AND(AM219&gt;=30,$AF219&lt;&gt;""), $AF219,    AND(AM219&gt;=10,$AE219&lt;&gt;""), $AE219,    TRUE, $Z219)</f>
        <v>4.83</v>
      </c>
      <c r="AO219" s="596">
        <f>AM219*AN219</f>
        <v>0</v>
      </c>
      <c r="AP219" s="595"/>
      <c r="AQ219" s="595"/>
      <c r="AR219" s="594"/>
      <c r="AS219" s="593">
        <f>SUM(AW219,AZ219,BC219,BF219,BI219,BL219,BO219,BR219,BU219,BX219,CA219,CD219,CG219,CJ219,CM219,CP219,CS219,CV219,CY219,DB219)</f>
        <v>0</v>
      </c>
      <c r="AT219" s="545">
        <f>_xlfn.IFS(AND(AS219&gt;=60,$AG219&lt;&gt;""), $AG219,    AND(AS219&gt;=30,$AF219&lt;&gt;""), $AF219,    AND(AS219&gt;=10,$AE219&lt;&gt;""), $AE219,    TRUE, $Z219)</f>
        <v>4.83</v>
      </c>
      <c r="AU219" s="592">
        <f>$AS219*$AT219</f>
        <v>0</v>
      </c>
      <c r="AV219" s="591">
        <f>[1]COMMANDE!O217</f>
        <v>0</v>
      </c>
      <c r="AW219" s="586" t="str">
        <f>_xlfn.IFS(AND($AI219=$AM219,$AI219&gt;0,$AM219&gt;0,AV219&gt;0), AV219,     AND(NOT($AI219=$AM219),$AI219&gt;0,$AM219&gt;0,AV219&gt;0), ($AM219*AV219)/$AI219,     AND($AI219=0,$AM219&gt;0,$AQ219&gt;0), IF(INDEX(AV$12:AV$263,MATCH($AQ219,$AP$12:$AP$263,0))&gt;0,($AM219*INDEX(AV$12:AV$263,MATCH($AQ219,$AP$12:$AP$263,0)))/INDEX($AI$12:$AI$263,MATCH($AQ219,$AP$12:$AP$263,0)), "-"),     TRUE, "0")</f>
        <v>0</v>
      </c>
      <c r="AX219" s="588">
        <f>IF(AW$9&gt;0, IF(OR(AW219="",AW219="-"), 0, AW219*$AT219), AV219*$AJ219)</f>
        <v>0</v>
      </c>
      <c r="AY219" s="587">
        <f>[1]COMMANDE!Q217</f>
        <v>0</v>
      </c>
      <c r="AZ219" s="586" t="str">
        <f>_xlfn.IFS(AND($AI219=$AM219,$AI219&gt;0,$AM219&gt;0,AY219&gt;0), AY219,     AND(NOT($AI219=$AM219),$AI219&gt;0,$AM219&gt;0,AY219&gt;0), ($AM219*AY219)/$AI219,     AND($AI219=0,$AM219&gt;0,$AQ219&gt;0), IF(INDEX(AY$12:AY$263,MATCH($AQ219,$AP$12:$AP$263,0))&gt;0,($AM219*INDEX(AY$12:AY$263,MATCH($AQ219,$AP$12:$AP$263,0)))/INDEX($AI$12:$AI$263,MATCH($AQ219,$AP$12:$AP$263,0)), "-"),     TRUE, "0")</f>
        <v>0</v>
      </c>
      <c r="BA219" s="607">
        <f>IF(AZ$9&gt;0, IF(OR(AZ219="",AZ219="-"), 0, AZ219*$AT219), AY219*$AJ219)</f>
        <v>0</v>
      </c>
      <c r="BB219" s="589">
        <f>[1]COMMANDE!S217</f>
        <v>0</v>
      </c>
      <c r="BC219" s="586" t="str">
        <f>_xlfn.IFS(AND($AI219=$AM219,$AI219&gt;0,$AM219&gt;0,BB219&gt;0), BB219,     AND(NOT($AI219=$AM219),$AI219&gt;0,$AM219&gt;0,BB219&gt;0), ($AM219*BB219)/$AI219,     AND($AI219=0,$AM219&gt;0,$AQ219&gt;0), IF(INDEX(BB$12:BB$263,MATCH($AQ219,$AP$12:$AP$263,0))&gt;0,($AM219*INDEX(BB$12:BB$263,MATCH($AQ219,$AP$12:$AP$263,0)))/INDEX($AI$12:$AI$263,MATCH($AQ219,$AP$12:$AP$263,0)), "-"),     TRUE, "0")</f>
        <v>0</v>
      </c>
      <c r="BD219" s="588">
        <f>IF(BC$9&gt;0, IF(OR(BC219="",BC219="-"), 0, BC219*$AT219), BB219*$AJ219)</f>
        <v>0</v>
      </c>
      <c r="BE219" s="587">
        <f>[1]COMMANDE!U217</f>
        <v>0</v>
      </c>
      <c r="BF219" s="586" t="str">
        <f>_xlfn.IFS(AND($AI219=$AM219,$AI219&gt;0,$AM219&gt;0,BE219&gt;0), BE219,     AND(NOT($AI219=$AM219),$AI219&gt;0,$AM219&gt;0,BE219&gt;0), ($AM219*BE219)/$AI219,     AND($AI219=0,$AM219&gt;0,$AQ219&gt;0), IF(INDEX(BE$12:BE$263,MATCH($AQ219,$AP$12:$AP$263,0))&gt;0,($AM219*INDEX(BE$12:BE$263,MATCH($AQ219,$AP$12:$AP$263,0)))/INDEX($AI$12:$AI$263,MATCH($AQ219,$AP$12:$AP$263,0)), "-"),     TRUE, "0")</f>
        <v>0</v>
      </c>
      <c r="BG219" s="607">
        <f>IF(BF$9&gt;0, IF(OR(BF219="",BF219="-"), 0, BF219*$AT219), BE219*$AJ219)</f>
        <v>0</v>
      </c>
      <c r="BH219" s="589">
        <f>[1]COMMANDE!W217</f>
        <v>0</v>
      </c>
      <c r="BI219" s="586" t="str">
        <f>_xlfn.IFS(AND($AI219=$AM219,$AI219&gt;0,$AM219&gt;0,BH219&gt;0), BH219,     AND(NOT($AI219=$AM219),$AI219&gt;0,$AM219&gt;0,BH219&gt;0), ($AM219*BH219)/$AI219,     AND($AI219=0,$AM219&gt;0,$AQ219&gt;0), IF(INDEX(BH$12:BH$263,MATCH($AQ219,$AP$12:$AP$263,0))&gt;0,($AM219*INDEX(BH$12:BH$263,MATCH($AQ219,$AP$12:$AP$263,0)))/INDEX($AI$12:$AI$263,MATCH($AQ219,$AP$12:$AP$263,0)), "-"),     TRUE, "0")</f>
        <v>0</v>
      </c>
      <c r="BJ219" s="588">
        <f>IF(BI$9&gt;0, IF(OR(BI219="",BI219="-"), 0, BI219*$AT219), BH219*$AJ219)</f>
        <v>0</v>
      </c>
      <c r="BK219" s="587">
        <f>[1]COMMANDE!Y217</f>
        <v>0</v>
      </c>
      <c r="BL219" s="586" t="str">
        <f>_xlfn.IFS(AND($AI219=$AM219,$AI219&gt;0,$AM219&gt;0,BK219&gt;0), BK219,     AND(NOT($AI219=$AM219),$AI219&gt;0,$AM219&gt;0,BK219&gt;0), ($AM219*BK219)/$AI219,     AND($AI219=0,$AM219&gt;0,$AQ219&gt;0), IF(INDEX(BK$12:BK$263,MATCH($AQ219,$AP$12:$AP$263,0))&gt;0,($AM219*INDEX(BK$12:BK$263,MATCH($AQ219,$AP$12:$AP$263,0)))/INDEX($AI$12:$AI$263,MATCH($AQ219,$AP$12:$AP$263,0)), "-"),     TRUE, "0")</f>
        <v>0</v>
      </c>
      <c r="BM219" s="607">
        <f>IF(BL$9&gt;0, IF(OR(BL219="",BL219="-"), 0, BL219*$AT219), BK219*$AJ219)</f>
        <v>0</v>
      </c>
      <c r="BN219" s="589">
        <f>[1]COMMANDE!AA217</f>
        <v>0</v>
      </c>
      <c r="BO219" s="586" t="str">
        <f>_xlfn.IFS(AND($AI219=$AM219,$AI219&gt;0,$AM219&gt;0,BN219&gt;0), BN219,     AND(NOT($AI219=$AM219),$AI219&gt;0,$AM219&gt;0,BN219&gt;0), ($AM219*BN219)/$AI219,     AND($AI219=0,$AM219&gt;0,$AQ219&gt;0), IF(INDEX(BN$12:BN$263,MATCH($AQ219,$AP$12:$AP$263,0))&gt;0,($AM219*INDEX(BN$12:BN$263,MATCH($AQ219,$AP$12:$AP$263,0)))/INDEX($AI$12:$AI$263,MATCH($AQ219,$AP$12:$AP$263,0)), "-"),     TRUE, "0")</f>
        <v>0</v>
      </c>
      <c r="BP219" s="588">
        <f>IF(BO$9&gt;0, IF(OR(BO219="",BO219="-"), 0, BO219*$AT219), BN219*$AJ219)</f>
        <v>0</v>
      </c>
      <c r="BQ219" s="587">
        <f>[1]COMMANDE!AC217</f>
        <v>0</v>
      </c>
      <c r="BR219" s="586" t="str">
        <f>_xlfn.IFS(AND($AI219=$AM219,$AI219&gt;0,$AM219&gt;0,BQ219&gt;0), BQ219,     AND(NOT($AI219=$AM219),$AI219&gt;0,$AM219&gt;0,BQ219&gt;0), ($AM219*BQ219)/$AI219,     AND($AI219=0,$AM219&gt;0,$AQ219&gt;0), IF(INDEX(BQ$12:BQ$263,MATCH($AQ219,$AP$12:$AP$263,0))&gt;0,($AM219*INDEX(BQ$12:BQ$263,MATCH($AQ219,$AP$12:$AP$263,0)))/INDEX($AI$12:$AI$263,MATCH($AQ219,$AP$12:$AP$263,0)), "-"),     TRUE, "0")</f>
        <v>0</v>
      </c>
      <c r="BS219" s="607">
        <f>IF(BR$9&gt;0, IF(OR(BR219="",BR219="-"), 0, BR219*$AT219), BQ219*$AJ219)</f>
        <v>0</v>
      </c>
      <c r="BT219" s="589">
        <f>[1]COMMANDE!AE217</f>
        <v>0</v>
      </c>
      <c r="BU219" s="586" t="str">
        <f>_xlfn.IFS(AND($AI219=$AM219,$AI219&gt;0,$AM219&gt;0,BT219&gt;0), BT219,     AND(NOT($AI219=$AM219),$AI219&gt;0,$AM219&gt;0,BT219&gt;0), ($AM219*BT219)/$AI219,     AND($AI219=0,$AM219&gt;0,$AQ219&gt;0), IF(INDEX(BT$12:BT$263,MATCH($AQ219,$AP$12:$AP$263,0))&gt;0,($AM219*INDEX(BT$12:BT$263,MATCH($AQ219,$AP$12:$AP$263,0)))/INDEX($AI$12:$AI$263,MATCH($AQ219,$AP$12:$AP$263,0)), "-"),     TRUE, "0")</f>
        <v>0</v>
      </c>
      <c r="BV219" s="588">
        <f>IF(BU$9&gt;0, IF(OR(BU219="",BU219="-"), 0, BU219*$AT219), BT219*$AJ219)</f>
        <v>0</v>
      </c>
      <c r="BW219" s="587">
        <f>[1]COMMANDE!AG217</f>
        <v>0</v>
      </c>
      <c r="BX219" s="586" t="str">
        <f>_xlfn.IFS(AND($AI219=$AM219,$AI219&gt;0,$AM219&gt;0,BW219&gt;0), BW219,     AND(NOT($AI219=$AM219),$AI219&gt;0,$AM219&gt;0,BW219&gt;0), ($AM219*BW219)/$AI219,     AND($AI219=0,$AM219&gt;0,$AQ219&gt;0), IF(INDEX(BW$12:BW$263,MATCH($AQ219,$AP$12:$AP$263,0))&gt;0,($AM219*INDEX(BW$12:BW$263,MATCH($AQ219,$AP$12:$AP$263,0)))/INDEX($AI$12:$AI$263,MATCH($AQ219,$AP$12:$AP$263,0)), "-"),     TRUE, "0")</f>
        <v>0</v>
      </c>
      <c r="BY219" s="607">
        <f>IF(BX$9&gt;0, IF(OR(BX219="",BX219="-"), 0, BX219*$AT219), BW219*$AJ219)</f>
        <v>0</v>
      </c>
      <c r="BZ219" s="589">
        <f>[1]COMMANDE!AI217</f>
        <v>0</v>
      </c>
      <c r="CA219" s="586" t="str">
        <f>_xlfn.IFS(AND($AI219=$AM219,$AI219&gt;0,$AM219&gt;0,BZ219&gt;0), BZ219,     AND(NOT($AI219=$AM219),$AI219&gt;0,$AM219&gt;0,BZ219&gt;0), ($AM219*BZ219)/$AI219,     AND($AI219=0,$AM219&gt;0,$AQ219&gt;0), IF(INDEX(BZ$12:BZ$263,MATCH($AQ219,$AP$12:$AP$263,0))&gt;0,($AM219*INDEX(BZ$12:BZ$263,MATCH($AQ219,$AP$12:$AP$263,0)))/INDEX($AI$12:$AI$263,MATCH($AQ219,$AP$12:$AP$263,0)), "-"),     TRUE, "0")</f>
        <v>0</v>
      </c>
      <c r="CB219" s="588">
        <f>IF(CA$9&gt;0, IF(OR(CA219="",CA219="-"), 0, CA219*$AT219), BZ219*$AJ219)</f>
        <v>0</v>
      </c>
      <c r="CC219" s="587">
        <f>[1]COMMANDE!AK217</f>
        <v>0</v>
      </c>
      <c r="CD219" s="586" t="str">
        <f>_xlfn.IFS(AND($AI219=$AM219,$AI219&gt;0,$AM219&gt;0,CC219&gt;0), CC219,     AND(NOT($AI219=$AM219),$AI219&gt;0,$AM219&gt;0,CC219&gt;0), ($AM219*CC219)/$AI219,     AND($AI219=0,$AM219&gt;0,$AQ219&gt;0), IF(INDEX(CC$12:CC$263,MATCH($AQ219,$AP$12:$AP$263,0))&gt;0,($AM219*INDEX(CC$12:CC$263,MATCH($AQ219,$AP$12:$AP$263,0)))/INDEX($AI$12:$AI$263,MATCH($AQ219,$AP$12:$AP$263,0)), "-"),     TRUE, "0")</f>
        <v>0</v>
      </c>
      <c r="CE219" s="607">
        <f>IF(CD$9&gt;0, IF(OR(CD219="",CD219="-"), 0, CD219*$AT219), CC219*$AJ219)</f>
        <v>0</v>
      </c>
      <c r="CF219" s="589">
        <f>[1]COMMANDE!AM217</f>
        <v>0</v>
      </c>
      <c r="CG219" s="586" t="str">
        <f>_xlfn.IFS(AND($AI219=$AM219,$AI219&gt;0,$AM219&gt;0,CF219&gt;0), CF219,     AND(NOT($AI219=$AM219),$AI219&gt;0,$AM219&gt;0,CF219&gt;0), ($AM219*CF219)/$AI219,     AND($AI219=0,$AM219&gt;0,$AQ219&gt;0), IF(INDEX(CF$12:CF$263,MATCH($AQ219,$AP$12:$AP$263,0))&gt;0,($AM219*INDEX(CF$12:CF$263,MATCH($AQ219,$AP$12:$AP$263,0)))/INDEX($AI$12:$AI$263,MATCH($AQ219,$AP$12:$AP$263,0)), "-"),     TRUE, "0")</f>
        <v>0</v>
      </c>
      <c r="CH219" s="588">
        <f>IF(CG$9&gt;0, IF(OR(CG219="",CG219="-"), 0, CG219*$AT219), CF219*$AJ219)</f>
        <v>0</v>
      </c>
      <c r="CI219" s="587">
        <f>[1]COMMANDE!AO217</f>
        <v>0</v>
      </c>
      <c r="CJ219" s="586" t="str">
        <f>_xlfn.IFS(AND($AI219=$AM219,$AI219&gt;0,$AM219&gt;0,CI219&gt;0), CI219,     AND(NOT($AI219=$AM219),$AI219&gt;0,$AM219&gt;0,CI219&gt;0), ($AM219*CI219)/$AI219,     AND($AI219=0,$AM219&gt;0,$AQ219&gt;0), IF(INDEX(CI$12:CI$263,MATCH($AQ219,$AP$12:$AP$263,0))&gt;0,($AM219*INDEX(CI$12:CI$263,MATCH($AQ219,$AP$12:$AP$263,0)))/INDEX($AI$12:$AI$263,MATCH($AQ219,$AP$12:$AP$263,0)), "-"),     TRUE, "0")</f>
        <v>0</v>
      </c>
      <c r="CK219" s="607">
        <f>IF(CJ$9&gt;0, IF(OR(CJ219="",CJ219="-"), 0, CJ219*$AT219), CI219*$AJ219)</f>
        <v>0</v>
      </c>
      <c r="CL219" s="589">
        <f>[1]COMMANDE!AQ217</f>
        <v>0</v>
      </c>
      <c r="CM219" s="586" t="str">
        <f>_xlfn.IFS(AND($AI219=$AM219,$AI219&gt;0,$AM219&gt;0,CL219&gt;0), CL219,     AND(NOT($AI219=$AM219),$AI219&gt;0,$AM219&gt;0,CL219&gt;0), ($AM219*CL219)/$AI219,     AND($AI219=0,$AM219&gt;0,$AQ219&gt;0), IF(INDEX(CL$12:CL$263,MATCH($AQ219,$AP$12:$AP$263,0))&gt;0,($AM219*INDEX(CL$12:CL$263,MATCH($AQ219,$AP$12:$AP$263,0)))/INDEX($AI$12:$AI$263,MATCH($AQ219,$AP$12:$AP$263,0)), "-"),     TRUE, "0")</f>
        <v>0</v>
      </c>
      <c r="CN219" s="588">
        <f>IF(CM$9&gt;0, IF(OR(CM219="",CM219="-"), 0, CM219*$AT219), CL219*$AJ219)</f>
        <v>0</v>
      </c>
      <c r="CO219" s="587">
        <f>[1]COMMANDE!AS217</f>
        <v>0</v>
      </c>
      <c r="CP219" s="586" t="str">
        <f>_xlfn.IFS(AND($AI219=$AM219,$AI219&gt;0,$AM219&gt;0,CO219&gt;0), CO219,     AND(NOT($AI219=$AM219),$AI219&gt;0,$AM219&gt;0,CO219&gt;0), ($AM219*CO219)/$AI219,     AND($AI219=0,$AM219&gt;0,$AQ219&gt;0), IF(INDEX(CO$12:CO$263,MATCH($AQ219,$AP$12:$AP$263,0))&gt;0,($AM219*INDEX(CO$12:CO$263,MATCH($AQ219,$AP$12:$AP$263,0)))/INDEX($AI$12:$AI$263,MATCH($AQ219,$AP$12:$AP$263,0)), "-"),     TRUE, "0")</f>
        <v>0</v>
      </c>
      <c r="CQ219" s="607">
        <f>IF(CP$9&gt;0, IF(OR(CP219="",CP219="-"), 0, CP219*$AT219), CO219*$AJ219)</f>
        <v>0</v>
      </c>
      <c r="CR219" s="589">
        <f>[1]COMMANDE!AU217</f>
        <v>0</v>
      </c>
      <c r="CS219" s="586" t="str">
        <f>_xlfn.IFS(AND($AI219=$AM219,$AI219&gt;0,$AM219&gt;0,CR219&gt;0), CR219,     AND(NOT($AI219=$AM219),$AI219&gt;0,$AM219&gt;0,CR219&gt;0), ($AM219*CR219)/$AI219,     AND($AI219=0,$AM219&gt;0,$AQ219&gt;0), IF(INDEX(CR$12:CR$263,MATCH($AQ219,$AP$12:$AP$263,0))&gt;0,($AM219*INDEX(CR$12:CR$263,MATCH($AQ219,$AP$12:$AP$263,0)))/INDEX($AI$12:$AI$263,MATCH($AQ219,$AP$12:$AP$263,0)), "-"),     TRUE, "0")</f>
        <v>0</v>
      </c>
      <c r="CT219" s="588">
        <f>IF(CS$9&gt;0, IF(OR(CS219="",CS219="-"), 0, CS219*$AT219), CR219*$AJ219)</f>
        <v>0</v>
      </c>
      <c r="CU219" s="587">
        <f>[1]COMMANDE!AW217</f>
        <v>0</v>
      </c>
      <c r="CV219" s="586" t="str">
        <f>_xlfn.IFS(AND($AI219=$AM219,$AI219&gt;0,$AM219&gt;0,CU219&gt;0), CU219,     AND(NOT($AI219=$AM219),$AI219&gt;0,$AM219&gt;0,CU219&gt;0), ($AM219*CU219)/$AI219,     AND($AI219=0,$AM219&gt;0,$AQ219&gt;0), IF(INDEX(CU$12:CU$263,MATCH($AQ219,$AP$12:$AP$263,0))&gt;0,($AM219*INDEX(CU$12:CU$263,MATCH($AQ219,$AP$12:$AP$263,0)))/INDEX($AI$12:$AI$263,MATCH($AQ219,$AP$12:$AP$263,0)), "-"),     TRUE, "0")</f>
        <v>0</v>
      </c>
      <c r="CW219" s="607">
        <f>IF(CV$9&gt;0, IF(OR(CV219="",CV219="-"), 0, CV219*$AT219), CU219*$AJ219)</f>
        <v>0</v>
      </c>
      <c r="CX219" s="589">
        <f>[1]COMMANDE!AY217</f>
        <v>0</v>
      </c>
      <c r="CY219" s="586" t="str">
        <f>_xlfn.IFS(AND($AI219=$AM219,$AI219&gt;0,$AM219&gt;0,CX219&gt;0), CX219,     AND(NOT($AI219=$AM219),$AI219&gt;0,$AM219&gt;0,CX219&gt;0), ($AM219*CX219)/$AI219,     AND($AI219=0,$AM219&gt;0,$AQ219&gt;0), IF(INDEX(CX$12:CX$263,MATCH($AQ219,$AP$12:$AP$263,0))&gt;0,($AM219*INDEX(CX$12:CX$263,MATCH($AQ219,$AP$12:$AP$263,0)))/INDEX($AI$12:$AI$263,MATCH($AQ219,$AP$12:$AP$263,0)), "-"),     TRUE, "0")</f>
        <v>0</v>
      </c>
      <c r="CZ219" s="588">
        <f>IF(CY$9&gt;0, IF(OR(CY219="",CY219="-"), 0, CY219*$AT219), CX219*$AJ219)</f>
        <v>0</v>
      </c>
      <c r="DA219" s="587">
        <f>[1]COMMANDE!BA217</f>
        <v>0</v>
      </c>
      <c r="DB219" s="586" t="str">
        <f>_xlfn.IFS(AND($AI219=$AM219,$AI219&gt;0,$AM219&gt;0,DA219&gt;0), DA219,     AND(NOT($AI219=$AM219),$AI219&gt;0,$AM219&gt;0,DA219&gt;0), ($AM219*DA219)/$AI219,     AND($AI219=0,$AM219&gt;0,$AQ219&gt;0), IF(INDEX(DA$12:DA$263,MATCH($AQ219,$AP$12:$AP$263,0))&gt;0,($AM219*INDEX(DA$12:DA$263,MATCH($AQ219,$AP$12:$AP$263,0)))/INDEX($AI$12:$AI$263,MATCH($AQ219,$AP$12:$AP$263,0)), "-"),     TRUE, "0")</f>
        <v>0</v>
      </c>
      <c r="DC219" s="606">
        <f>IF(DB$9&gt;0, IF(OR(DB219="",DB219="-"), 0, DB219*$AT219), DA219*$AJ219)</f>
        <v>0</v>
      </c>
      <c r="DD219" s="584"/>
      <c r="DE219" s="583"/>
    </row>
    <row r="220" spans="1:109" ht="39.950000000000003" hidden="1" customHeight="1">
      <c r="A220" s="604">
        <f>IF(OR($AV220&gt;0, $AX220&gt;0), 1, 0)</f>
        <v>0</v>
      </c>
      <c r="B220" s="604">
        <f>IF(OR($AY220&gt;0, $BA220&gt;0), 1, 0)</f>
        <v>0</v>
      </c>
      <c r="C220" s="604">
        <f>IF(OR($BB220&gt;0, $BD220&gt;0), 1, 0)</f>
        <v>0</v>
      </c>
      <c r="D220" s="604">
        <f>IF(OR($BE220&gt;0, $BG220&gt;0), 1, 0)</f>
        <v>0</v>
      </c>
      <c r="E220" s="604">
        <f>IF(OR($BH220&gt;0, $BJ220&gt;0), 1, 0)</f>
        <v>0</v>
      </c>
      <c r="F220" s="604">
        <f>IF(OR($BK220&gt;0, $BM220&gt;0), 1, 0)</f>
        <v>0</v>
      </c>
      <c r="G220" s="604">
        <f>IF(OR($BN220&gt;0, $BP220&gt;0), 1, 0)</f>
        <v>0</v>
      </c>
      <c r="H220" s="604">
        <f>IF(OR($BQ220&gt;0, $BS220&gt;0), 1, 0)</f>
        <v>0</v>
      </c>
      <c r="I220" s="604">
        <f>IF(OR($BT220&gt;0, $BV220&gt;0), 1, 0)</f>
        <v>0</v>
      </c>
      <c r="J220" s="604">
        <f>IF(OR($BW220&gt;0, $BY220&gt;0), 1, 0)</f>
        <v>0</v>
      </c>
      <c r="K220" s="604">
        <f>IF(OR($BZ220&gt;0, $CB220&gt;0), 1, 0)</f>
        <v>0</v>
      </c>
      <c r="L220" s="604">
        <f>IF(OR($CC220&gt;0, $CE220&gt;0), 1, 0)</f>
        <v>0</v>
      </c>
      <c r="M220" s="604">
        <f>IF(OR($CF220&gt;0, $CH220&gt;0), 1, 0)</f>
        <v>0</v>
      </c>
      <c r="N220" s="604">
        <f>IF(OR($CI220&gt;0, $CK220&gt;0), 1, 0)</f>
        <v>0</v>
      </c>
      <c r="O220" s="604">
        <f>IF(OR($CL220&gt;0, $CN220&gt;0), 1, 0)</f>
        <v>0</v>
      </c>
      <c r="P220" s="604">
        <f>IF(OR($CO220&gt;0, $CQ220&gt;0), 1, 0)</f>
        <v>0</v>
      </c>
      <c r="Q220" s="604">
        <f>IF(OR($CR220&gt;0, $CT220&gt;0), 1, 0)</f>
        <v>0</v>
      </c>
      <c r="R220" s="604">
        <f>IF(OR($CU220&gt;0, $CW220&gt;0), 1, 0)</f>
        <v>0</v>
      </c>
      <c r="S220" s="604">
        <f>IF(OR($CX220&gt;0, $CZ220&gt;0), 1, 0)</f>
        <v>0</v>
      </c>
      <c r="T220" s="604">
        <f>IF(OR($DA220&gt;0, $DC220&gt;0), 1, 0)</f>
        <v>0</v>
      </c>
      <c r="U220" s="603">
        <f>IF(OR($AI220&gt;0,$AM220&gt;0,$AS220&gt;0), 1, 0)</f>
        <v>0</v>
      </c>
      <c r="V220" s="602">
        <f>[1]BDD!A210</f>
        <v>1535</v>
      </c>
      <c r="W220" s="601" t="str">
        <f>[1]BDD!B210</f>
        <v>Poire déshydratée BIO</v>
      </c>
      <c r="X220" s="600" t="str">
        <f>IF([1]BDD!F210=0, "", [1]BDD!F210)</f>
        <v/>
      </c>
      <c r="Y220" s="542">
        <f>ROUND([1]BDD!G210+FDP_CMD_KG, 2)</f>
        <v>23.46</v>
      </c>
      <c r="Z220" s="542">
        <f>ROUND([1]BDD!G210+FDP_FACT_KG, 2)</f>
        <v>23.46</v>
      </c>
      <c r="AA220" s="543" t="str">
        <f>[1]BDD!H210</f>
        <v>kg</v>
      </c>
      <c r="AB220" s="544" t="str">
        <f>IF(NOT(ISBLANK([1]BDD!I210)), ROUND(SUM(([1]BDD!G210*reduc1),FDP_CMD_KG), 2), "")</f>
        <v/>
      </c>
      <c r="AC220" s="544" t="str">
        <f>IF(NOT(ISBLANK([1]BDD!J210)), ROUND(SUM(([1]BDD!G210*reduc2),FDP_CMD_KG), 2), "")</f>
        <v/>
      </c>
      <c r="AD220" s="544" t="str">
        <f>IF(NOT(ISBLANK([1]BDD!K210)), ROUND(SUM(([1]BDD!G210*reduc3),FDP_CMD_KG), 2), "")</f>
        <v/>
      </c>
      <c r="AE220" s="544" t="str">
        <f>IF(NOT(ISBLANK([1]BDD!I210)), ROUND(SUM(([1]BDD!G210*reduc1),FDP_FACT_KG), 2), "")</f>
        <v/>
      </c>
      <c r="AF220" s="544" t="str">
        <f>IF(NOT(ISBLANK([1]BDD!J210)), ROUND(SUM(([1]BDD!G210*reduc2),FDP_FACT_KG), 2), "")</f>
        <v/>
      </c>
      <c r="AG220" s="544" t="str">
        <f>IF(NOT(ISBLANK([1]BDD!K210)), ROUND(SUM(([1]BDD!G210*reduc3),FDP_FACT_KG), 2), "")</f>
        <v/>
      </c>
      <c r="AH220" s="599" t="str">
        <f>[1]BDD!C210</f>
        <v>Grenade</v>
      </c>
      <c r="AI220" s="598">
        <f>SUM(AV220,AY220,BB220,BE220,BH220,BK220,BN220,BQ220,BT220,BW220,BZ220,CC220,CF220,CI220,CL220,CO220,CR220,CU220,CX220,DA220)</f>
        <v>0</v>
      </c>
      <c r="AJ220" s="545">
        <f>_xlfn.IFS($AD220&lt;&gt;"", $AD220,    $AC220&lt;&gt;"", $AC220,    $AB220&lt;&gt;"", $AB220,    TRUE, $Y220)</f>
        <v>23.46</v>
      </c>
      <c r="AK220" s="592">
        <f>$AI220*$AJ220</f>
        <v>0</v>
      </c>
      <c r="AL220" s="594"/>
      <c r="AM220" s="597"/>
      <c r="AN220" s="545">
        <f>_xlfn.IFS(AND(AM220&gt;=60,$AG220&lt;&gt;""), $AG220,    AND(AM220&gt;=30,$AF220&lt;&gt;""), $AF220,    AND(AM220&gt;=10,$AE220&lt;&gt;""), $AE220,    TRUE, $Z220)</f>
        <v>23.46</v>
      </c>
      <c r="AO220" s="596">
        <f>AM220*AN220</f>
        <v>0</v>
      </c>
      <c r="AP220" s="595"/>
      <c r="AQ220" s="595"/>
      <c r="AR220" s="594"/>
      <c r="AS220" s="593">
        <f>SUM(AW220,AZ220,BC220,BF220,BI220,BL220,BO220,BR220,BU220,BX220,CA220,CD220,CG220,CJ220,CM220,CP220,CS220,CV220,CY220,DB220)</f>
        <v>0</v>
      </c>
      <c r="AT220" s="545">
        <f>_xlfn.IFS(AND(AS220&gt;=60,$AG220&lt;&gt;""), $AG220,    AND(AS220&gt;=30,$AF220&lt;&gt;""), $AF220,    AND(AS220&gt;=10,$AE220&lt;&gt;""), $AE220,    TRUE, $Z220)</f>
        <v>23.46</v>
      </c>
      <c r="AU220" s="592">
        <f>$AS220*$AT220</f>
        <v>0</v>
      </c>
      <c r="AV220" s="591">
        <f>[1]COMMANDE!O218</f>
        <v>0</v>
      </c>
      <c r="AW220" s="586" t="str">
        <f>_xlfn.IFS(AND($AI220=$AM220,$AI220&gt;0,$AM220&gt;0,AV220&gt;0), AV220,     AND(NOT($AI220=$AM220),$AI220&gt;0,$AM220&gt;0,AV220&gt;0), ($AM220*AV220)/$AI220,     AND($AI220=0,$AM220&gt;0,$AQ220&gt;0), IF(INDEX(AV$12:AV$263,MATCH($AQ220,$AP$12:$AP$263,0))&gt;0,($AM220*INDEX(AV$12:AV$263,MATCH($AQ220,$AP$12:$AP$263,0)))/INDEX($AI$12:$AI$263,MATCH($AQ220,$AP$12:$AP$263,0)), "-"),     TRUE, "0")</f>
        <v>0</v>
      </c>
      <c r="AX220" s="588">
        <f>IF(AW$9&gt;0, IF(OR(AW220="",AW220="-"), 0, AW220*$AT220), AV220*$AJ220)</f>
        <v>0</v>
      </c>
      <c r="AY220" s="587">
        <f>[1]COMMANDE!Q218</f>
        <v>0</v>
      </c>
      <c r="AZ220" s="586" t="str">
        <f>_xlfn.IFS(AND($AI220=$AM220,$AI220&gt;0,$AM220&gt;0,AY220&gt;0), AY220,     AND(NOT($AI220=$AM220),$AI220&gt;0,$AM220&gt;0,AY220&gt;0), ($AM220*AY220)/$AI220,     AND($AI220=0,$AM220&gt;0,$AQ220&gt;0), IF(INDEX(AY$12:AY$263,MATCH($AQ220,$AP$12:$AP$263,0))&gt;0,($AM220*INDEX(AY$12:AY$263,MATCH($AQ220,$AP$12:$AP$263,0)))/INDEX($AI$12:$AI$263,MATCH($AQ220,$AP$12:$AP$263,0)), "-"),     TRUE, "0")</f>
        <v>0</v>
      </c>
      <c r="BA220" s="607">
        <f>IF(AZ$9&gt;0, IF(OR(AZ220="",AZ220="-"), 0, AZ220*$AT220), AY220*$AJ220)</f>
        <v>0</v>
      </c>
      <c r="BB220" s="589">
        <f>[1]COMMANDE!S218</f>
        <v>0</v>
      </c>
      <c r="BC220" s="586" t="str">
        <f>_xlfn.IFS(AND($AI220=$AM220,$AI220&gt;0,$AM220&gt;0,BB220&gt;0), BB220,     AND(NOT($AI220=$AM220),$AI220&gt;0,$AM220&gt;0,BB220&gt;0), ($AM220*BB220)/$AI220,     AND($AI220=0,$AM220&gt;0,$AQ220&gt;0), IF(INDEX(BB$12:BB$263,MATCH($AQ220,$AP$12:$AP$263,0))&gt;0,($AM220*INDEX(BB$12:BB$263,MATCH($AQ220,$AP$12:$AP$263,0)))/INDEX($AI$12:$AI$263,MATCH($AQ220,$AP$12:$AP$263,0)), "-"),     TRUE, "0")</f>
        <v>0</v>
      </c>
      <c r="BD220" s="588">
        <f>IF(BC$9&gt;0, IF(OR(BC220="",BC220="-"), 0, BC220*$AT220), BB220*$AJ220)</f>
        <v>0</v>
      </c>
      <c r="BE220" s="587">
        <f>[1]COMMANDE!U218</f>
        <v>0</v>
      </c>
      <c r="BF220" s="586" t="str">
        <f>_xlfn.IFS(AND($AI220=$AM220,$AI220&gt;0,$AM220&gt;0,BE220&gt;0), BE220,     AND(NOT($AI220=$AM220),$AI220&gt;0,$AM220&gt;0,BE220&gt;0), ($AM220*BE220)/$AI220,     AND($AI220=0,$AM220&gt;0,$AQ220&gt;0), IF(INDEX(BE$12:BE$263,MATCH($AQ220,$AP$12:$AP$263,0))&gt;0,($AM220*INDEX(BE$12:BE$263,MATCH($AQ220,$AP$12:$AP$263,0)))/INDEX($AI$12:$AI$263,MATCH($AQ220,$AP$12:$AP$263,0)), "-"),     TRUE, "0")</f>
        <v>0</v>
      </c>
      <c r="BG220" s="607">
        <f>IF(BF$9&gt;0, IF(OR(BF220="",BF220="-"), 0, BF220*$AT220), BE220*$AJ220)</f>
        <v>0</v>
      </c>
      <c r="BH220" s="589">
        <f>[1]COMMANDE!W218</f>
        <v>0</v>
      </c>
      <c r="BI220" s="586" t="str">
        <f>_xlfn.IFS(AND($AI220=$AM220,$AI220&gt;0,$AM220&gt;0,BH220&gt;0), BH220,     AND(NOT($AI220=$AM220),$AI220&gt;0,$AM220&gt;0,BH220&gt;0), ($AM220*BH220)/$AI220,     AND($AI220=0,$AM220&gt;0,$AQ220&gt;0), IF(INDEX(BH$12:BH$263,MATCH($AQ220,$AP$12:$AP$263,0))&gt;0,($AM220*INDEX(BH$12:BH$263,MATCH($AQ220,$AP$12:$AP$263,0)))/INDEX($AI$12:$AI$263,MATCH($AQ220,$AP$12:$AP$263,0)), "-"),     TRUE, "0")</f>
        <v>0</v>
      </c>
      <c r="BJ220" s="588">
        <f>IF(BI$9&gt;0, IF(OR(BI220="",BI220="-"), 0, BI220*$AT220), BH220*$AJ220)</f>
        <v>0</v>
      </c>
      <c r="BK220" s="587">
        <f>[1]COMMANDE!Y218</f>
        <v>0</v>
      </c>
      <c r="BL220" s="586" t="str">
        <f>_xlfn.IFS(AND($AI220=$AM220,$AI220&gt;0,$AM220&gt;0,BK220&gt;0), BK220,     AND(NOT($AI220=$AM220),$AI220&gt;0,$AM220&gt;0,BK220&gt;0), ($AM220*BK220)/$AI220,     AND($AI220=0,$AM220&gt;0,$AQ220&gt;0), IF(INDEX(BK$12:BK$263,MATCH($AQ220,$AP$12:$AP$263,0))&gt;0,($AM220*INDEX(BK$12:BK$263,MATCH($AQ220,$AP$12:$AP$263,0)))/INDEX($AI$12:$AI$263,MATCH($AQ220,$AP$12:$AP$263,0)), "-"),     TRUE, "0")</f>
        <v>0</v>
      </c>
      <c r="BM220" s="607">
        <f>IF(BL$9&gt;0, IF(OR(BL220="",BL220="-"), 0, BL220*$AT220), BK220*$AJ220)</f>
        <v>0</v>
      </c>
      <c r="BN220" s="589">
        <f>[1]COMMANDE!AA218</f>
        <v>0</v>
      </c>
      <c r="BO220" s="586" t="str">
        <f>_xlfn.IFS(AND($AI220=$AM220,$AI220&gt;0,$AM220&gt;0,BN220&gt;0), BN220,     AND(NOT($AI220=$AM220),$AI220&gt;0,$AM220&gt;0,BN220&gt;0), ($AM220*BN220)/$AI220,     AND($AI220=0,$AM220&gt;0,$AQ220&gt;0), IF(INDEX(BN$12:BN$263,MATCH($AQ220,$AP$12:$AP$263,0))&gt;0,($AM220*INDEX(BN$12:BN$263,MATCH($AQ220,$AP$12:$AP$263,0)))/INDEX($AI$12:$AI$263,MATCH($AQ220,$AP$12:$AP$263,0)), "-"),     TRUE, "0")</f>
        <v>0</v>
      </c>
      <c r="BP220" s="588">
        <f>IF(BO$9&gt;0, IF(OR(BO220="",BO220="-"), 0, BO220*$AT220), BN220*$AJ220)</f>
        <v>0</v>
      </c>
      <c r="BQ220" s="587">
        <f>[1]COMMANDE!AC218</f>
        <v>0</v>
      </c>
      <c r="BR220" s="586" t="str">
        <f>_xlfn.IFS(AND($AI220=$AM220,$AI220&gt;0,$AM220&gt;0,BQ220&gt;0), BQ220,     AND(NOT($AI220=$AM220),$AI220&gt;0,$AM220&gt;0,BQ220&gt;0), ($AM220*BQ220)/$AI220,     AND($AI220=0,$AM220&gt;0,$AQ220&gt;0), IF(INDEX(BQ$12:BQ$263,MATCH($AQ220,$AP$12:$AP$263,0))&gt;0,($AM220*INDEX(BQ$12:BQ$263,MATCH($AQ220,$AP$12:$AP$263,0)))/INDEX($AI$12:$AI$263,MATCH($AQ220,$AP$12:$AP$263,0)), "-"),     TRUE, "0")</f>
        <v>0</v>
      </c>
      <c r="BS220" s="607">
        <f>IF(BR$9&gt;0, IF(OR(BR220="",BR220="-"), 0, BR220*$AT220), BQ220*$AJ220)</f>
        <v>0</v>
      </c>
      <c r="BT220" s="589">
        <f>[1]COMMANDE!AE218</f>
        <v>0</v>
      </c>
      <c r="BU220" s="586" t="str">
        <f>_xlfn.IFS(AND($AI220=$AM220,$AI220&gt;0,$AM220&gt;0,BT220&gt;0), BT220,     AND(NOT($AI220=$AM220),$AI220&gt;0,$AM220&gt;0,BT220&gt;0), ($AM220*BT220)/$AI220,     AND($AI220=0,$AM220&gt;0,$AQ220&gt;0), IF(INDEX(BT$12:BT$263,MATCH($AQ220,$AP$12:$AP$263,0))&gt;0,($AM220*INDEX(BT$12:BT$263,MATCH($AQ220,$AP$12:$AP$263,0)))/INDEX($AI$12:$AI$263,MATCH($AQ220,$AP$12:$AP$263,0)), "-"),     TRUE, "0")</f>
        <v>0</v>
      </c>
      <c r="BV220" s="588">
        <f>IF(BU$9&gt;0, IF(OR(BU220="",BU220="-"), 0, BU220*$AT220), BT220*$AJ220)</f>
        <v>0</v>
      </c>
      <c r="BW220" s="587">
        <f>[1]COMMANDE!AG218</f>
        <v>0</v>
      </c>
      <c r="BX220" s="586" t="str">
        <f>_xlfn.IFS(AND($AI220=$AM220,$AI220&gt;0,$AM220&gt;0,BW220&gt;0), BW220,     AND(NOT($AI220=$AM220),$AI220&gt;0,$AM220&gt;0,BW220&gt;0), ($AM220*BW220)/$AI220,     AND($AI220=0,$AM220&gt;0,$AQ220&gt;0), IF(INDEX(BW$12:BW$263,MATCH($AQ220,$AP$12:$AP$263,0))&gt;0,($AM220*INDEX(BW$12:BW$263,MATCH($AQ220,$AP$12:$AP$263,0)))/INDEX($AI$12:$AI$263,MATCH($AQ220,$AP$12:$AP$263,0)), "-"),     TRUE, "0")</f>
        <v>0</v>
      </c>
      <c r="BY220" s="607">
        <f>IF(BX$9&gt;0, IF(OR(BX220="",BX220="-"), 0, BX220*$AT220), BW220*$AJ220)</f>
        <v>0</v>
      </c>
      <c r="BZ220" s="589">
        <f>[1]COMMANDE!AI218</f>
        <v>0</v>
      </c>
      <c r="CA220" s="586" t="str">
        <f>_xlfn.IFS(AND($AI220=$AM220,$AI220&gt;0,$AM220&gt;0,BZ220&gt;0), BZ220,     AND(NOT($AI220=$AM220),$AI220&gt;0,$AM220&gt;0,BZ220&gt;0), ($AM220*BZ220)/$AI220,     AND($AI220=0,$AM220&gt;0,$AQ220&gt;0), IF(INDEX(BZ$12:BZ$263,MATCH($AQ220,$AP$12:$AP$263,0))&gt;0,($AM220*INDEX(BZ$12:BZ$263,MATCH($AQ220,$AP$12:$AP$263,0)))/INDEX($AI$12:$AI$263,MATCH($AQ220,$AP$12:$AP$263,0)), "-"),     TRUE, "0")</f>
        <v>0</v>
      </c>
      <c r="CB220" s="588">
        <f>IF(CA$9&gt;0, IF(OR(CA220="",CA220="-"), 0, CA220*$AT220), BZ220*$AJ220)</f>
        <v>0</v>
      </c>
      <c r="CC220" s="587">
        <f>[1]COMMANDE!AK218</f>
        <v>0</v>
      </c>
      <c r="CD220" s="586" t="str">
        <f>_xlfn.IFS(AND($AI220=$AM220,$AI220&gt;0,$AM220&gt;0,CC220&gt;0), CC220,     AND(NOT($AI220=$AM220),$AI220&gt;0,$AM220&gt;0,CC220&gt;0), ($AM220*CC220)/$AI220,     AND($AI220=0,$AM220&gt;0,$AQ220&gt;0), IF(INDEX(CC$12:CC$263,MATCH($AQ220,$AP$12:$AP$263,0))&gt;0,($AM220*INDEX(CC$12:CC$263,MATCH($AQ220,$AP$12:$AP$263,0)))/INDEX($AI$12:$AI$263,MATCH($AQ220,$AP$12:$AP$263,0)), "-"),     TRUE, "0")</f>
        <v>0</v>
      </c>
      <c r="CE220" s="607">
        <f>IF(CD$9&gt;0, IF(OR(CD220="",CD220="-"), 0, CD220*$AT220), CC220*$AJ220)</f>
        <v>0</v>
      </c>
      <c r="CF220" s="589">
        <f>[1]COMMANDE!AM218</f>
        <v>0</v>
      </c>
      <c r="CG220" s="586" t="str">
        <f>_xlfn.IFS(AND($AI220=$AM220,$AI220&gt;0,$AM220&gt;0,CF220&gt;0), CF220,     AND(NOT($AI220=$AM220),$AI220&gt;0,$AM220&gt;0,CF220&gt;0), ($AM220*CF220)/$AI220,     AND($AI220=0,$AM220&gt;0,$AQ220&gt;0), IF(INDEX(CF$12:CF$263,MATCH($AQ220,$AP$12:$AP$263,0))&gt;0,($AM220*INDEX(CF$12:CF$263,MATCH($AQ220,$AP$12:$AP$263,0)))/INDEX($AI$12:$AI$263,MATCH($AQ220,$AP$12:$AP$263,0)), "-"),     TRUE, "0")</f>
        <v>0</v>
      </c>
      <c r="CH220" s="588">
        <f>IF(CG$9&gt;0, IF(OR(CG220="",CG220="-"), 0, CG220*$AT220), CF220*$AJ220)</f>
        <v>0</v>
      </c>
      <c r="CI220" s="587">
        <f>[1]COMMANDE!AO218</f>
        <v>0</v>
      </c>
      <c r="CJ220" s="586" t="str">
        <f>_xlfn.IFS(AND($AI220=$AM220,$AI220&gt;0,$AM220&gt;0,CI220&gt;0), CI220,     AND(NOT($AI220=$AM220),$AI220&gt;0,$AM220&gt;0,CI220&gt;0), ($AM220*CI220)/$AI220,     AND($AI220=0,$AM220&gt;0,$AQ220&gt;0), IF(INDEX(CI$12:CI$263,MATCH($AQ220,$AP$12:$AP$263,0))&gt;0,($AM220*INDEX(CI$12:CI$263,MATCH($AQ220,$AP$12:$AP$263,0)))/INDEX($AI$12:$AI$263,MATCH($AQ220,$AP$12:$AP$263,0)), "-"),     TRUE, "0")</f>
        <v>0</v>
      </c>
      <c r="CK220" s="607">
        <f>IF(CJ$9&gt;0, IF(OR(CJ220="",CJ220="-"), 0, CJ220*$AT220), CI220*$AJ220)</f>
        <v>0</v>
      </c>
      <c r="CL220" s="589">
        <f>[1]COMMANDE!AQ218</f>
        <v>0</v>
      </c>
      <c r="CM220" s="586" t="str">
        <f>_xlfn.IFS(AND($AI220=$AM220,$AI220&gt;0,$AM220&gt;0,CL220&gt;0), CL220,     AND(NOT($AI220=$AM220),$AI220&gt;0,$AM220&gt;0,CL220&gt;0), ($AM220*CL220)/$AI220,     AND($AI220=0,$AM220&gt;0,$AQ220&gt;0), IF(INDEX(CL$12:CL$263,MATCH($AQ220,$AP$12:$AP$263,0))&gt;0,($AM220*INDEX(CL$12:CL$263,MATCH($AQ220,$AP$12:$AP$263,0)))/INDEX($AI$12:$AI$263,MATCH($AQ220,$AP$12:$AP$263,0)), "-"),     TRUE, "0")</f>
        <v>0</v>
      </c>
      <c r="CN220" s="588">
        <f>IF(CM$9&gt;0, IF(OR(CM220="",CM220="-"), 0, CM220*$AT220), CL220*$AJ220)</f>
        <v>0</v>
      </c>
      <c r="CO220" s="587">
        <f>[1]COMMANDE!AS218</f>
        <v>0</v>
      </c>
      <c r="CP220" s="586" t="str">
        <f>_xlfn.IFS(AND($AI220=$AM220,$AI220&gt;0,$AM220&gt;0,CO220&gt;0), CO220,     AND(NOT($AI220=$AM220),$AI220&gt;0,$AM220&gt;0,CO220&gt;0), ($AM220*CO220)/$AI220,     AND($AI220=0,$AM220&gt;0,$AQ220&gt;0), IF(INDEX(CO$12:CO$263,MATCH($AQ220,$AP$12:$AP$263,0))&gt;0,($AM220*INDEX(CO$12:CO$263,MATCH($AQ220,$AP$12:$AP$263,0)))/INDEX($AI$12:$AI$263,MATCH($AQ220,$AP$12:$AP$263,0)), "-"),     TRUE, "0")</f>
        <v>0</v>
      </c>
      <c r="CQ220" s="607">
        <f>IF(CP$9&gt;0, IF(OR(CP220="",CP220="-"), 0, CP220*$AT220), CO220*$AJ220)</f>
        <v>0</v>
      </c>
      <c r="CR220" s="589">
        <f>[1]COMMANDE!AU218</f>
        <v>0</v>
      </c>
      <c r="CS220" s="586" t="str">
        <f>_xlfn.IFS(AND($AI220=$AM220,$AI220&gt;0,$AM220&gt;0,CR220&gt;0), CR220,     AND(NOT($AI220=$AM220),$AI220&gt;0,$AM220&gt;0,CR220&gt;0), ($AM220*CR220)/$AI220,     AND($AI220=0,$AM220&gt;0,$AQ220&gt;0), IF(INDEX(CR$12:CR$263,MATCH($AQ220,$AP$12:$AP$263,0))&gt;0,($AM220*INDEX(CR$12:CR$263,MATCH($AQ220,$AP$12:$AP$263,0)))/INDEX($AI$12:$AI$263,MATCH($AQ220,$AP$12:$AP$263,0)), "-"),     TRUE, "0")</f>
        <v>0</v>
      </c>
      <c r="CT220" s="588">
        <f>IF(CS$9&gt;0, IF(OR(CS220="",CS220="-"), 0, CS220*$AT220), CR220*$AJ220)</f>
        <v>0</v>
      </c>
      <c r="CU220" s="587">
        <f>[1]COMMANDE!AW218</f>
        <v>0</v>
      </c>
      <c r="CV220" s="586" t="str">
        <f>_xlfn.IFS(AND($AI220=$AM220,$AI220&gt;0,$AM220&gt;0,CU220&gt;0), CU220,     AND(NOT($AI220=$AM220),$AI220&gt;0,$AM220&gt;0,CU220&gt;0), ($AM220*CU220)/$AI220,     AND($AI220=0,$AM220&gt;0,$AQ220&gt;0), IF(INDEX(CU$12:CU$263,MATCH($AQ220,$AP$12:$AP$263,0))&gt;0,($AM220*INDEX(CU$12:CU$263,MATCH($AQ220,$AP$12:$AP$263,0)))/INDEX($AI$12:$AI$263,MATCH($AQ220,$AP$12:$AP$263,0)), "-"),     TRUE, "0")</f>
        <v>0</v>
      </c>
      <c r="CW220" s="607">
        <f>IF(CV$9&gt;0, IF(OR(CV220="",CV220="-"), 0, CV220*$AT220), CU220*$AJ220)</f>
        <v>0</v>
      </c>
      <c r="CX220" s="589">
        <f>[1]COMMANDE!AY218</f>
        <v>0</v>
      </c>
      <c r="CY220" s="586" t="str">
        <f>_xlfn.IFS(AND($AI220=$AM220,$AI220&gt;0,$AM220&gt;0,CX220&gt;0), CX220,     AND(NOT($AI220=$AM220),$AI220&gt;0,$AM220&gt;0,CX220&gt;0), ($AM220*CX220)/$AI220,     AND($AI220=0,$AM220&gt;0,$AQ220&gt;0), IF(INDEX(CX$12:CX$263,MATCH($AQ220,$AP$12:$AP$263,0))&gt;0,($AM220*INDEX(CX$12:CX$263,MATCH($AQ220,$AP$12:$AP$263,0)))/INDEX($AI$12:$AI$263,MATCH($AQ220,$AP$12:$AP$263,0)), "-"),     TRUE, "0")</f>
        <v>0</v>
      </c>
      <c r="CZ220" s="588">
        <f>IF(CY$9&gt;0, IF(OR(CY220="",CY220="-"), 0, CY220*$AT220), CX220*$AJ220)</f>
        <v>0</v>
      </c>
      <c r="DA220" s="587">
        <f>[1]COMMANDE!BA218</f>
        <v>0</v>
      </c>
      <c r="DB220" s="586" t="str">
        <f>_xlfn.IFS(AND($AI220=$AM220,$AI220&gt;0,$AM220&gt;0,DA220&gt;0), DA220,     AND(NOT($AI220=$AM220),$AI220&gt;0,$AM220&gt;0,DA220&gt;0), ($AM220*DA220)/$AI220,     AND($AI220=0,$AM220&gt;0,$AQ220&gt;0), IF(INDEX(DA$12:DA$263,MATCH($AQ220,$AP$12:$AP$263,0))&gt;0,($AM220*INDEX(DA$12:DA$263,MATCH($AQ220,$AP$12:$AP$263,0)))/INDEX($AI$12:$AI$263,MATCH($AQ220,$AP$12:$AP$263,0)), "-"),     TRUE, "0")</f>
        <v>0</v>
      </c>
      <c r="DC220" s="606">
        <f>IF(DB$9&gt;0, IF(OR(DB220="",DB220="-"), 0, DB220*$AT220), DA220*$AJ220)</f>
        <v>0</v>
      </c>
      <c r="DD220" s="584"/>
      <c r="DE220" s="583"/>
    </row>
    <row r="221" spans="1:109" ht="39.950000000000003" hidden="1" customHeight="1">
      <c r="A221" s="604">
        <f>IF(OR($AV221&gt;0, $AX221&gt;0), 1, 0)</f>
        <v>0</v>
      </c>
      <c r="B221" s="604">
        <f>IF(OR($AY221&gt;0, $BA221&gt;0), 1, 0)</f>
        <v>0</v>
      </c>
      <c r="C221" s="604">
        <f>IF(OR($BB221&gt;0, $BD221&gt;0), 1, 0)</f>
        <v>0</v>
      </c>
      <c r="D221" s="604">
        <f>IF(OR($BE221&gt;0, $BG221&gt;0), 1, 0)</f>
        <v>0</v>
      </c>
      <c r="E221" s="604">
        <f>IF(OR($BH221&gt;0, $BJ221&gt;0), 1, 0)</f>
        <v>0</v>
      </c>
      <c r="F221" s="604">
        <f>IF(OR($BK221&gt;0, $BM221&gt;0), 1, 0)</f>
        <v>0</v>
      </c>
      <c r="G221" s="604">
        <f>IF(OR($BN221&gt;0, $BP221&gt;0), 1, 0)</f>
        <v>0</v>
      </c>
      <c r="H221" s="604">
        <f>IF(OR($BQ221&gt;0, $BS221&gt;0), 1, 0)</f>
        <v>0</v>
      </c>
      <c r="I221" s="604">
        <f>IF(OR($BT221&gt;0, $BV221&gt;0), 1, 0)</f>
        <v>0</v>
      </c>
      <c r="J221" s="604">
        <f>IF(OR($BW221&gt;0, $BY221&gt;0), 1, 0)</f>
        <v>0</v>
      </c>
      <c r="K221" s="604">
        <f>IF(OR($BZ221&gt;0, $CB221&gt;0), 1, 0)</f>
        <v>0</v>
      </c>
      <c r="L221" s="604">
        <f>IF(OR($CC221&gt;0, $CE221&gt;0), 1, 0)</f>
        <v>0</v>
      </c>
      <c r="M221" s="604">
        <f>IF(OR($CF221&gt;0, $CH221&gt;0), 1, 0)</f>
        <v>0</v>
      </c>
      <c r="N221" s="604">
        <f>IF(OR($CI221&gt;0, $CK221&gt;0), 1, 0)</f>
        <v>0</v>
      </c>
      <c r="O221" s="604">
        <f>IF(OR($CL221&gt;0, $CN221&gt;0), 1, 0)</f>
        <v>0</v>
      </c>
      <c r="P221" s="604">
        <f>IF(OR($CO221&gt;0, $CQ221&gt;0), 1, 0)</f>
        <v>0</v>
      </c>
      <c r="Q221" s="604">
        <f>IF(OR($CR221&gt;0, $CT221&gt;0), 1, 0)</f>
        <v>0</v>
      </c>
      <c r="R221" s="604">
        <f>IF(OR($CU221&gt;0, $CW221&gt;0), 1, 0)</f>
        <v>0</v>
      </c>
      <c r="S221" s="604">
        <f>IF(OR($CX221&gt;0, $CZ221&gt;0), 1, 0)</f>
        <v>0</v>
      </c>
      <c r="T221" s="604">
        <f>IF(OR($DA221&gt;0, $DC221&gt;0), 1, 0)</f>
        <v>0</v>
      </c>
      <c r="U221" s="603">
        <f>IF(OR($AI221&gt;0,$AM221&gt;0,$AS221&gt;0), 1, 0)</f>
        <v>0</v>
      </c>
      <c r="V221" s="602">
        <f>[1]BDD!A211</f>
        <v>1062</v>
      </c>
      <c r="W221" s="601" t="str">
        <f>[1]BDD!B211</f>
        <v>Poireau BIO</v>
      </c>
      <c r="X221" s="600" t="str">
        <f>IF([1]BDD!F211=0, "", [1]BDD!F211)</f>
        <v/>
      </c>
      <c r="Y221" s="542">
        <f>ROUND([1]BDD!G211+FDP_CMD_KG, 2)</f>
        <v>4.28</v>
      </c>
      <c r="Z221" s="542">
        <f>ROUND([1]BDD!G211+FDP_FACT_KG, 2)</f>
        <v>4.28</v>
      </c>
      <c r="AA221" s="543" t="str">
        <f>[1]BDD!H211</f>
        <v>kg</v>
      </c>
      <c r="AB221" s="544">
        <f>IF(NOT(ISBLANK([1]BDD!I211)), ROUND(SUM(([1]BDD!G211*reduc1),FDP_CMD_KG), 2), "")</f>
        <v>3.94</v>
      </c>
      <c r="AC221" s="544" t="str">
        <f>IF(NOT(ISBLANK([1]BDD!J211)), ROUND(SUM(([1]BDD!G211*reduc2),FDP_CMD_KG), 2), "")</f>
        <v/>
      </c>
      <c r="AD221" s="544" t="str">
        <f>IF(NOT(ISBLANK([1]BDD!K211)), ROUND(SUM(([1]BDD!G211*reduc3),FDP_CMD_KG), 2), "")</f>
        <v/>
      </c>
      <c r="AE221" s="544">
        <f>IF(NOT(ISBLANK([1]BDD!I211)), ROUND(SUM(([1]BDD!G211*reduc1),FDP_FACT_KG), 2), "")</f>
        <v>3.94</v>
      </c>
      <c r="AF221" s="544" t="str">
        <f>IF(NOT(ISBLANK([1]BDD!J211)), ROUND(SUM(([1]BDD!G211*reduc2),FDP_FACT_KG), 2), "")</f>
        <v/>
      </c>
      <c r="AG221" s="544" t="str">
        <f>IF(NOT(ISBLANK([1]BDD!K211)), ROUND(SUM(([1]BDD!G211*reduc3),FDP_FACT_KG), 2), "")</f>
        <v/>
      </c>
      <c r="AH221" s="599" t="str">
        <f>[1]BDD!C211</f>
        <v>Malaga</v>
      </c>
      <c r="AI221" s="598">
        <f>SUM(AV221,AY221,BB221,BE221,BH221,BK221,BN221,BQ221,BT221,BW221,BZ221,CC221,CF221,CI221,CL221,CO221,CR221,CU221,CX221,DA221)</f>
        <v>0</v>
      </c>
      <c r="AJ221" s="545">
        <f>_xlfn.IFS($AD221&lt;&gt;"", $AD221,    $AC221&lt;&gt;"", $AC221,    $AB221&lt;&gt;"", $AB221,    TRUE, $Y221)</f>
        <v>3.94</v>
      </c>
      <c r="AK221" s="592">
        <f>$AI221*$AJ221</f>
        <v>0</v>
      </c>
      <c r="AL221" s="594"/>
      <c r="AM221" s="597"/>
      <c r="AN221" s="545">
        <f>_xlfn.IFS(AND(AM221&gt;=60,$AG221&lt;&gt;""), $AG221,    AND(AM221&gt;=30,$AF221&lt;&gt;""), $AF221,    AND(AM221&gt;=10,$AE221&lt;&gt;""), $AE221,    TRUE, $Z221)</f>
        <v>4.28</v>
      </c>
      <c r="AO221" s="596">
        <f>AM221*AN221</f>
        <v>0</v>
      </c>
      <c r="AP221" s="595"/>
      <c r="AQ221" s="595"/>
      <c r="AR221" s="594"/>
      <c r="AS221" s="593">
        <f>SUM(AW221,AZ221,BC221,BF221,BI221,BL221,BO221,BR221,BU221,BX221,CA221,CD221,CG221,CJ221,CM221,CP221,CS221,CV221,CY221,DB221)</f>
        <v>0</v>
      </c>
      <c r="AT221" s="545">
        <f>_xlfn.IFS(AND(AS221&gt;=60,$AG221&lt;&gt;""), $AG221,    AND(AS221&gt;=30,$AF221&lt;&gt;""), $AF221,    AND(AS221&gt;=10,$AE221&lt;&gt;""), $AE221,    TRUE, $Z221)</f>
        <v>4.28</v>
      </c>
      <c r="AU221" s="592">
        <f>$AS221*$AT221</f>
        <v>0</v>
      </c>
      <c r="AV221" s="591">
        <f>[1]COMMANDE!O219</f>
        <v>0</v>
      </c>
      <c r="AW221" s="586" t="str">
        <f>_xlfn.IFS(AND($AI221=$AM221,$AI221&gt;0,$AM221&gt;0,AV221&gt;0), AV221,     AND(NOT($AI221=$AM221),$AI221&gt;0,$AM221&gt;0,AV221&gt;0), ($AM221*AV221)/$AI221,     AND($AI221=0,$AM221&gt;0,$AQ221&gt;0), IF(INDEX(AV$12:AV$263,MATCH($AQ221,$AP$12:$AP$263,0))&gt;0,($AM221*INDEX(AV$12:AV$263,MATCH($AQ221,$AP$12:$AP$263,0)))/INDEX($AI$12:$AI$263,MATCH($AQ221,$AP$12:$AP$263,0)), "-"),     TRUE, "0")</f>
        <v>0</v>
      </c>
      <c r="AX221" s="588">
        <f>IF(AW$9&gt;0, IF(OR(AW221="",AW221="-"), 0, AW221*$AT221), AV221*$AJ221)</f>
        <v>0</v>
      </c>
      <c r="AY221" s="587">
        <f>[1]COMMANDE!Q219</f>
        <v>0</v>
      </c>
      <c r="AZ221" s="586" t="str">
        <f>_xlfn.IFS(AND($AI221=$AM221,$AI221&gt;0,$AM221&gt;0,AY221&gt;0), AY221,     AND(NOT($AI221=$AM221),$AI221&gt;0,$AM221&gt;0,AY221&gt;0), ($AM221*AY221)/$AI221,     AND($AI221=0,$AM221&gt;0,$AQ221&gt;0), IF(INDEX(AY$12:AY$263,MATCH($AQ221,$AP$12:$AP$263,0))&gt;0,($AM221*INDEX(AY$12:AY$263,MATCH($AQ221,$AP$12:$AP$263,0)))/INDEX($AI$12:$AI$263,MATCH($AQ221,$AP$12:$AP$263,0)), "-"),     TRUE, "0")</f>
        <v>0</v>
      </c>
      <c r="BA221" s="607">
        <f>IF(AZ$9&gt;0, IF(OR(AZ221="",AZ221="-"), 0, AZ221*$AT221), AY221*$AJ221)</f>
        <v>0</v>
      </c>
      <c r="BB221" s="589">
        <f>[1]COMMANDE!S219</f>
        <v>0</v>
      </c>
      <c r="BC221" s="586" t="str">
        <f>_xlfn.IFS(AND($AI221=$AM221,$AI221&gt;0,$AM221&gt;0,BB221&gt;0), BB221,     AND(NOT($AI221=$AM221),$AI221&gt;0,$AM221&gt;0,BB221&gt;0), ($AM221*BB221)/$AI221,     AND($AI221=0,$AM221&gt;0,$AQ221&gt;0), IF(INDEX(BB$12:BB$263,MATCH($AQ221,$AP$12:$AP$263,0))&gt;0,($AM221*INDEX(BB$12:BB$263,MATCH($AQ221,$AP$12:$AP$263,0)))/INDEX($AI$12:$AI$263,MATCH($AQ221,$AP$12:$AP$263,0)), "-"),     TRUE, "0")</f>
        <v>0</v>
      </c>
      <c r="BD221" s="588">
        <f>IF(BC$9&gt;0, IF(OR(BC221="",BC221="-"), 0, BC221*$AT221), BB221*$AJ221)</f>
        <v>0</v>
      </c>
      <c r="BE221" s="587">
        <f>[1]COMMANDE!U219</f>
        <v>0</v>
      </c>
      <c r="BF221" s="586" t="str">
        <f>_xlfn.IFS(AND($AI221=$AM221,$AI221&gt;0,$AM221&gt;0,BE221&gt;0), BE221,     AND(NOT($AI221=$AM221),$AI221&gt;0,$AM221&gt;0,BE221&gt;0), ($AM221*BE221)/$AI221,     AND($AI221=0,$AM221&gt;0,$AQ221&gt;0), IF(INDEX(BE$12:BE$263,MATCH($AQ221,$AP$12:$AP$263,0))&gt;0,($AM221*INDEX(BE$12:BE$263,MATCH($AQ221,$AP$12:$AP$263,0)))/INDEX($AI$12:$AI$263,MATCH($AQ221,$AP$12:$AP$263,0)), "-"),     TRUE, "0")</f>
        <v>0</v>
      </c>
      <c r="BG221" s="607">
        <f>IF(BF$9&gt;0, IF(OR(BF221="",BF221="-"), 0, BF221*$AT221), BE221*$AJ221)</f>
        <v>0</v>
      </c>
      <c r="BH221" s="589">
        <f>[1]COMMANDE!W219</f>
        <v>0</v>
      </c>
      <c r="BI221" s="586" t="str">
        <f>_xlfn.IFS(AND($AI221=$AM221,$AI221&gt;0,$AM221&gt;0,BH221&gt;0), BH221,     AND(NOT($AI221=$AM221),$AI221&gt;0,$AM221&gt;0,BH221&gt;0), ($AM221*BH221)/$AI221,     AND($AI221=0,$AM221&gt;0,$AQ221&gt;0), IF(INDEX(BH$12:BH$263,MATCH($AQ221,$AP$12:$AP$263,0))&gt;0,($AM221*INDEX(BH$12:BH$263,MATCH($AQ221,$AP$12:$AP$263,0)))/INDEX($AI$12:$AI$263,MATCH($AQ221,$AP$12:$AP$263,0)), "-"),     TRUE, "0")</f>
        <v>0</v>
      </c>
      <c r="BJ221" s="588">
        <f>IF(BI$9&gt;0, IF(OR(BI221="",BI221="-"), 0, BI221*$AT221), BH221*$AJ221)</f>
        <v>0</v>
      </c>
      <c r="BK221" s="587">
        <f>[1]COMMANDE!Y219</f>
        <v>0</v>
      </c>
      <c r="BL221" s="586" t="str">
        <f>_xlfn.IFS(AND($AI221=$AM221,$AI221&gt;0,$AM221&gt;0,BK221&gt;0), BK221,     AND(NOT($AI221=$AM221),$AI221&gt;0,$AM221&gt;0,BK221&gt;0), ($AM221*BK221)/$AI221,     AND($AI221=0,$AM221&gt;0,$AQ221&gt;0), IF(INDEX(BK$12:BK$263,MATCH($AQ221,$AP$12:$AP$263,0))&gt;0,($AM221*INDEX(BK$12:BK$263,MATCH($AQ221,$AP$12:$AP$263,0)))/INDEX($AI$12:$AI$263,MATCH($AQ221,$AP$12:$AP$263,0)), "-"),     TRUE, "0")</f>
        <v>0</v>
      </c>
      <c r="BM221" s="607">
        <f>IF(BL$9&gt;0, IF(OR(BL221="",BL221="-"), 0, BL221*$AT221), BK221*$AJ221)</f>
        <v>0</v>
      </c>
      <c r="BN221" s="589">
        <f>[1]COMMANDE!AA219</f>
        <v>0</v>
      </c>
      <c r="BO221" s="586" t="str">
        <f>_xlfn.IFS(AND($AI221=$AM221,$AI221&gt;0,$AM221&gt;0,BN221&gt;0), BN221,     AND(NOT($AI221=$AM221),$AI221&gt;0,$AM221&gt;0,BN221&gt;0), ($AM221*BN221)/$AI221,     AND($AI221=0,$AM221&gt;0,$AQ221&gt;0), IF(INDEX(BN$12:BN$263,MATCH($AQ221,$AP$12:$AP$263,0))&gt;0,($AM221*INDEX(BN$12:BN$263,MATCH($AQ221,$AP$12:$AP$263,0)))/INDEX($AI$12:$AI$263,MATCH($AQ221,$AP$12:$AP$263,0)), "-"),     TRUE, "0")</f>
        <v>0</v>
      </c>
      <c r="BP221" s="588">
        <f>IF(BO$9&gt;0, IF(OR(BO221="",BO221="-"), 0, BO221*$AT221), BN221*$AJ221)</f>
        <v>0</v>
      </c>
      <c r="BQ221" s="587">
        <f>[1]COMMANDE!AC219</f>
        <v>0</v>
      </c>
      <c r="BR221" s="586" t="str">
        <f>_xlfn.IFS(AND($AI221=$AM221,$AI221&gt;0,$AM221&gt;0,BQ221&gt;0), BQ221,     AND(NOT($AI221=$AM221),$AI221&gt;0,$AM221&gt;0,BQ221&gt;0), ($AM221*BQ221)/$AI221,     AND($AI221=0,$AM221&gt;0,$AQ221&gt;0), IF(INDEX(BQ$12:BQ$263,MATCH($AQ221,$AP$12:$AP$263,0))&gt;0,($AM221*INDEX(BQ$12:BQ$263,MATCH($AQ221,$AP$12:$AP$263,0)))/INDEX($AI$12:$AI$263,MATCH($AQ221,$AP$12:$AP$263,0)), "-"),     TRUE, "0")</f>
        <v>0</v>
      </c>
      <c r="BS221" s="607">
        <f>IF(BR$9&gt;0, IF(OR(BR221="",BR221="-"), 0, BR221*$AT221), BQ221*$AJ221)</f>
        <v>0</v>
      </c>
      <c r="BT221" s="589">
        <f>[1]COMMANDE!AE219</f>
        <v>0</v>
      </c>
      <c r="BU221" s="586" t="str">
        <f>_xlfn.IFS(AND($AI221=$AM221,$AI221&gt;0,$AM221&gt;0,BT221&gt;0), BT221,     AND(NOT($AI221=$AM221),$AI221&gt;0,$AM221&gt;0,BT221&gt;0), ($AM221*BT221)/$AI221,     AND($AI221=0,$AM221&gt;0,$AQ221&gt;0), IF(INDEX(BT$12:BT$263,MATCH($AQ221,$AP$12:$AP$263,0))&gt;0,($AM221*INDEX(BT$12:BT$263,MATCH($AQ221,$AP$12:$AP$263,0)))/INDEX($AI$12:$AI$263,MATCH($AQ221,$AP$12:$AP$263,0)), "-"),     TRUE, "0")</f>
        <v>0</v>
      </c>
      <c r="BV221" s="588">
        <f>IF(BU$9&gt;0, IF(OR(BU221="",BU221="-"), 0, BU221*$AT221), BT221*$AJ221)</f>
        <v>0</v>
      </c>
      <c r="BW221" s="587">
        <f>[1]COMMANDE!AG219</f>
        <v>0</v>
      </c>
      <c r="BX221" s="586" t="str">
        <f>_xlfn.IFS(AND($AI221=$AM221,$AI221&gt;0,$AM221&gt;0,BW221&gt;0), BW221,     AND(NOT($AI221=$AM221),$AI221&gt;0,$AM221&gt;0,BW221&gt;0), ($AM221*BW221)/$AI221,     AND($AI221=0,$AM221&gt;0,$AQ221&gt;0), IF(INDEX(BW$12:BW$263,MATCH($AQ221,$AP$12:$AP$263,0))&gt;0,($AM221*INDEX(BW$12:BW$263,MATCH($AQ221,$AP$12:$AP$263,0)))/INDEX($AI$12:$AI$263,MATCH($AQ221,$AP$12:$AP$263,0)), "-"),     TRUE, "0")</f>
        <v>0</v>
      </c>
      <c r="BY221" s="607">
        <f>IF(BX$9&gt;0, IF(OR(BX221="",BX221="-"), 0, BX221*$AT221), BW221*$AJ221)</f>
        <v>0</v>
      </c>
      <c r="BZ221" s="589">
        <f>[1]COMMANDE!AI219</f>
        <v>0</v>
      </c>
      <c r="CA221" s="586" t="str">
        <f>_xlfn.IFS(AND($AI221=$AM221,$AI221&gt;0,$AM221&gt;0,BZ221&gt;0), BZ221,     AND(NOT($AI221=$AM221),$AI221&gt;0,$AM221&gt;0,BZ221&gt;0), ($AM221*BZ221)/$AI221,     AND($AI221=0,$AM221&gt;0,$AQ221&gt;0), IF(INDEX(BZ$12:BZ$263,MATCH($AQ221,$AP$12:$AP$263,0))&gt;0,($AM221*INDEX(BZ$12:BZ$263,MATCH($AQ221,$AP$12:$AP$263,0)))/INDEX($AI$12:$AI$263,MATCH($AQ221,$AP$12:$AP$263,0)), "-"),     TRUE, "0")</f>
        <v>0</v>
      </c>
      <c r="CB221" s="588">
        <f>IF(CA$9&gt;0, IF(OR(CA221="",CA221="-"), 0, CA221*$AT221), BZ221*$AJ221)</f>
        <v>0</v>
      </c>
      <c r="CC221" s="587">
        <f>[1]COMMANDE!AK219</f>
        <v>0</v>
      </c>
      <c r="CD221" s="586" t="str">
        <f>_xlfn.IFS(AND($AI221=$AM221,$AI221&gt;0,$AM221&gt;0,CC221&gt;0), CC221,     AND(NOT($AI221=$AM221),$AI221&gt;0,$AM221&gt;0,CC221&gt;0), ($AM221*CC221)/$AI221,     AND($AI221=0,$AM221&gt;0,$AQ221&gt;0), IF(INDEX(CC$12:CC$263,MATCH($AQ221,$AP$12:$AP$263,0))&gt;0,($AM221*INDEX(CC$12:CC$263,MATCH($AQ221,$AP$12:$AP$263,0)))/INDEX($AI$12:$AI$263,MATCH($AQ221,$AP$12:$AP$263,0)), "-"),     TRUE, "0")</f>
        <v>0</v>
      </c>
      <c r="CE221" s="607">
        <f>IF(CD$9&gt;0, IF(OR(CD221="",CD221="-"), 0, CD221*$AT221), CC221*$AJ221)</f>
        <v>0</v>
      </c>
      <c r="CF221" s="589">
        <f>[1]COMMANDE!AM219</f>
        <v>0</v>
      </c>
      <c r="CG221" s="586" t="str">
        <f>_xlfn.IFS(AND($AI221=$AM221,$AI221&gt;0,$AM221&gt;0,CF221&gt;0), CF221,     AND(NOT($AI221=$AM221),$AI221&gt;0,$AM221&gt;0,CF221&gt;0), ($AM221*CF221)/$AI221,     AND($AI221=0,$AM221&gt;0,$AQ221&gt;0), IF(INDEX(CF$12:CF$263,MATCH($AQ221,$AP$12:$AP$263,0))&gt;0,($AM221*INDEX(CF$12:CF$263,MATCH($AQ221,$AP$12:$AP$263,0)))/INDEX($AI$12:$AI$263,MATCH($AQ221,$AP$12:$AP$263,0)), "-"),     TRUE, "0")</f>
        <v>0</v>
      </c>
      <c r="CH221" s="588">
        <f>IF(CG$9&gt;0, IF(OR(CG221="",CG221="-"), 0, CG221*$AT221), CF221*$AJ221)</f>
        <v>0</v>
      </c>
      <c r="CI221" s="587">
        <f>[1]COMMANDE!AO219</f>
        <v>0</v>
      </c>
      <c r="CJ221" s="586" t="str">
        <f>_xlfn.IFS(AND($AI221=$AM221,$AI221&gt;0,$AM221&gt;0,CI221&gt;0), CI221,     AND(NOT($AI221=$AM221),$AI221&gt;0,$AM221&gt;0,CI221&gt;0), ($AM221*CI221)/$AI221,     AND($AI221=0,$AM221&gt;0,$AQ221&gt;0), IF(INDEX(CI$12:CI$263,MATCH($AQ221,$AP$12:$AP$263,0))&gt;0,($AM221*INDEX(CI$12:CI$263,MATCH($AQ221,$AP$12:$AP$263,0)))/INDEX($AI$12:$AI$263,MATCH($AQ221,$AP$12:$AP$263,0)), "-"),     TRUE, "0")</f>
        <v>0</v>
      </c>
      <c r="CK221" s="607">
        <f>IF(CJ$9&gt;0, IF(OR(CJ221="",CJ221="-"), 0, CJ221*$AT221), CI221*$AJ221)</f>
        <v>0</v>
      </c>
      <c r="CL221" s="589">
        <f>[1]COMMANDE!AQ219</f>
        <v>0</v>
      </c>
      <c r="CM221" s="586" t="str">
        <f>_xlfn.IFS(AND($AI221=$AM221,$AI221&gt;0,$AM221&gt;0,CL221&gt;0), CL221,     AND(NOT($AI221=$AM221),$AI221&gt;0,$AM221&gt;0,CL221&gt;0), ($AM221*CL221)/$AI221,     AND($AI221=0,$AM221&gt;0,$AQ221&gt;0), IF(INDEX(CL$12:CL$263,MATCH($AQ221,$AP$12:$AP$263,0))&gt;0,($AM221*INDEX(CL$12:CL$263,MATCH($AQ221,$AP$12:$AP$263,0)))/INDEX($AI$12:$AI$263,MATCH($AQ221,$AP$12:$AP$263,0)), "-"),     TRUE, "0")</f>
        <v>0</v>
      </c>
      <c r="CN221" s="588">
        <f>IF(CM$9&gt;0, IF(OR(CM221="",CM221="-"), 0, CM221*$AT221), CL221*$AJ221)</f>
        <v>0</v>
      </c>
      <c r="CO221" s="587">
        <f>[1]COMMANDE!AS219</f>
        <v>0</v>
      </c>
      <c r="CP221" s="586" t="str">
        <f>_xlfn.IFS(AND($AI221=$AM221,$AI221&gt;0,$AM221&gt;0,CO221&gt;0), CO221,     AND(NOT($AI221=$AM221),$AI221&gt;0,$AM221&gt;0,CO221&gt;0), ($AM221*CO221)/$AI221,     AND($AI221=0,$AM221&gt;0,$AQ221&gt;0), IF(INDEX(CO$12:CO$263,MATCH($AQ221,$AP$12:$AP$263,0))&gt;0,($AM221*INDEX(CO$12:CO$263,MATCH($AQ221,$AP$12:$AP$263,0)))/INDEX($AI$12:$AI$263,MATCH($AQ221,$AP$12:$AP$263,0)), "-"),     TRUE, "0")</f>
        <v>0</v>
      </c>
      <c r="CQ221" s="607">
        <f>IF(CP$9&gt;0, IF(OR(CP221="",CP221="-"), 0, CP221*$AT221), CO221*$AJ221)</f>
        <v>0</v>
      </c>
      <c r="CR221" s="589">
        <f>[1]COMMANDE!AU219</f>
        <v>0</v>
      </c>
      <c r="CS221" s="586" t="str">
        <f>_xlfn.IFS(AND($AI221=$AM221,$AI221&gt;0,$AM221&gt;0,CR221&gt;0), CR221,     AND(NOT($AI221=$AM221),$AI221&gt;0,$AM221&gt;0,CR221&gt;0), ($AM221*CR221)/$AI221,     AND($AI221=0,$AM221&gt;0,$AQ221&gt;0), IF(INDEX(CR$12:CR$263,MATCH($AQ221,$AP$12:$AP$263,0))&gt;0,($AM221*INDEX(CR$12:CR$263,MATCH($AQ221,$AP$12:$AP$263,0)))/INDEX($AI$12:$AI$263,MATCH($AQ221,$AP$12:$AP$263,0)), "-"),     TRUE, "0")</f>
        <v>0</v>
      </c>
      <c r="CT221" s="588">
        <f>IF(CS$9&gt;0, IF(OR(CS221="",CS221="-"), 0, CS221*$AT221), CR221*$AJ221)</f>
        <v>0</v>
      </c>
      <c r="CU221" s="587">
        <f>[1]COMMANDE!AW219</f>
        <v>0</v>
      </c>
      <c r="CV221" s="586" t="str">
        <f>_xlfn.IFS(AND($AI221=$AM221,$AI221&gt;0,$AM221&gt;0,CU221&gt;0), CU221,     AND(NOT($AI221=$AM221),$AI221&gt;0,$AM221&gt;0,CU221&gt;0), ($AM221*CU221)/$AI221,     AND($AI221=0,$AM221&gt;0,$AQ221&gt;0), IF(INDEX(CU$12:CU$263,MATCH($AQ221,$AP$12:$AP$263,0))&gt;0,($AM221*INDEX(CU$12:CU$263,MATCH($AQ221,$AP$12:$AP$263,0)))/INDEX($AI$12:$AI$263,MATCH($AQ221,$AP$12:$AP$263,0)), "-"),     TRUE, "0")</f>
        <v>0</v>
      </c>
      <c r="CW221" s="607">
        <f>IF(CV$9&gt;0, IF(OR(CV221="",CV221="-"), 0, CV221*$AT221), CU221*$AJ221)</f>
        <v>0</v>
      </c>
      <c r="CX221" s="589">
        <f>[1]COMMANDE!AY219</f>
        <v>0</v>
      </c>
      <c r="CY221" s="586" t="str">
        <f>_xlfn.IFS(AND($AI221=$AM221,$AI221&gt;0,$AM221&gt;0,CX221&gt;0), CX221,     AND(NOT($AI221=$AM221),$AI221&gt;0,$AM221&gt;0,CX221&gt;0), ($AM221*CX221)/$AI221,     AND($AI221=0,$AM221&gt;0,$AQ221&gt;0), IF(INDEX(CX$12:CX$263,MATCH($AQ221,$AP$12:$AP$263,0))&gt;0,($AM221*INDEX(CX$12:CX$263,MATCH($AQ221,$AP$12:$AP$263,0)))/INDEX($AI$12:$AI$263,MATCH($AQ221,$AP$12:$AP$263,0)), "-"),     TRUE, "0")</f>
        <v>0</v>
      </c>
      <c r="CZ221" s="588">
        <f>IF(CY$9&gt;0, IF(OR(CY221="",CY221="-"), 0, CY221*$AT221), CX221*$AJ221)</f>
        <v>0</v>
      </c>
      <c r="DA221" s="587">
        <f>[1]COMMANDE!BA219</f>
        <v>0</v>
      </c>
      <c r="DB221" s="586" t="str">
        <f>_xlfn.IFS(AND($AI221=$AM221,$AI221&gt;0,$AM221&gt;0,DA221&gt;0), DA221,     AND(NOT($AI221=$AM221),$AI221&gt;0,$AM221&gt;0,DA221&gt;0), ($AM221*DA221)/$AI221,     AND($AI221=0,$AM221&gt;0,$AQ221&gt;0), IF(INDEX(DA$12:DA$263,MATCH($AQ221,$AP$12:$AP$263,0))&gt;0,($AM221*INDEX(DA$12:DA$263,MATCH($AQ221,$AP$12:$AP$263,0)))/INDEX($AI$12:$AI$263,MATCH($AQ221,$AP$12:$AP$263,0)), "-"),     TRUE, "0")</f>
        <v>0</v>
      </c>
      <c r="DC221" s="606">
        <f>IF(DB$9&gt;0, IF(OR(DB221="",DB221="-"), 0, DB221*$AT221), DA221*$AJ221)</f>
        <v>0</v>
      </c>
      <c r="DD221" s="584"/>
      <c r="DE221" s="583"/>
    </row>
    <row r="222" spans="1:109" ht="39.950000000000003" hidden="1" customHeight="1">
      <c r="A222" s="604">
        <f>IF(OR($AV222&gt;0, $AX222&gt;0), 1, 0)</f>
        <v>0</v>
      </c>
      <c r="B222" s="604">
        <f>IF(OR($AY222&gt;0, $BA222&gt;0), 1, 0)</f>
        <v>0</v>
      </c>
      <c r="C222" s="604">
        <f>IF(OR($BB222&gt;0, $BD222&gt;0), 1, 0)</f>
        <v>0</v>
      </c>
      <c r="D222" s="604">
        <f>IF(OR($BE222&gt;0, $BG222&gt;0), 1, 0)</f>
        <v>0</v>
      </c>
      <c r="E222" s="604">
        <f>IF(OR($BH222&gt;0, $BJ222&gt;0), 1, 0)</f>
        <v>0</v>
      </c>
      <c r="F222" s="604">
        <f>IF(OR($BK222&gt;0, $BM222&gt;0), 1, 0)</f>
        <v>0</v>
      </c>
      <c r="G222" s="604">
        <f>IF(OR($BN222&gt;0, $BP222&gt;0), 1, 0)</f>
        <v>0</v>
      </c>
      <c r="H222" s="604">
        <f>IF(OR($BQ222&gt;0, $BS222&gt;0), 1, 0)</f>
        <v>0</v>
      </c>
      <c r="I222" s="604">
        <f>IF(OR($BT222&gt;0, $BV222&gt;0), 1, 0)</f>
        <v>0</v>
      </c>
      <c r="J222" s="604">
        <f>IF(OR($BW222&gt;0, $BY222&gt;0), 1, 0)</f>
        <v>0</v>
      </c>
      <c r="K222" s="604">
        <f>IF(OR($BZ222&gt;0, $CB222&gt;0), 1, 0)</f>
        <v>0</v>
      </c>
      <c r="L222" s="604">
        <f>IF(OR($CC222&gt;0, $CE222&gt;0), 1, 0)</f>
        <v>0</v>
      </c>
      <c r="M222" s="604">
        <f>IF(OR($CF222&gt;0, $CH222&gt;0), 1, 0)</f>
        <v>0</v>
      </c>
      <c r="N222" s="604">
        <f>IF(OR($CI222&gt;0, $CK222&gt;0), 1, 0)</f>
        <v>0</v>
      </c>
      <c r="O222" s="604">
        <f>IF(OR($CL222&gt;0, $CN222&gt;0), 1, 0)</f>
        <v>0</v>
      </c>
      <c r="P222" s="604">
        <f>IF(OR($CO222&gt;0, $CQ222&gt;0), 1, 0)</f>
        <v>0</v>
      </c>
      <c r="Q222" s="604">
        <f>IF(OR($CR222&gt;0, $CT222&gt;0), 1, 0)</f>
        <v>0</v>
      </c>
      <c r="R222" s="604">
        <f>IF(OR($CU222&gt;0, $CW222&gt;0), 1, 0)</f>
        <v>0</v>
      </c>
      <c r="S222" s="604">
        <f>IF(OR($CX222&gt;0, $CZ222&gt;0), 1, 0)</f>
        <v>0</v>
      </c>
      <c r="T222" s="604">
        <f>IF(OR($DA222&gt;0, $DC222&gt;0), 1, 0)</f>
        <v>0</v>
      </c>
      <c r="U222" s="603">
        <f>IF(OR($AI222&gt;0,$AM222&gt;0,$AS222&gt;0), 1, 0)</f>
        <v>0</v>
      </c>
      <c r="V222" s="602">
        <f>[1]BDD!A212</f>
        <v>3313</v>
      </c>
      <c r="W222" s="601" t="str">
        <f>[1]BDD!B212</f>
        <v>Poivron mini en couleur (saveur sucrée)</v>
      </c>
      <c r="X222" s="600" t="str">
        <f>IF([1]BDD!F212=0, "", [1]BDD!F212)</f>
        <v>❤️</v>
      </c>
      <c r="Y222" s="542">
        <f>ROUND([1]BDD!G212+FDP_CMD_KG, 2)</f>
        <v>4.01</v>
      </c>
      <c r="Z222" s="542">
        <f>ROUND([1]BDD!G212+FDP_FACT_KG, 2)</f>
        <v>4.01</v>
      </c>
      <c r="AA222" s="543" t="str">
        <f>[1]BDD!H212</f>
        <v>kg</v>
      </c>
      <c r="AB222" s="544">
        <f>IF(NOT(ISBLANK([1]BDD!I212)), ROUND(SUM(([1]BDD!G212*reduc1),FDP_CMD_KG), 2), "")</f>
        <v>3.7</v>
      </c>
      <c r="AC222" s="544">
        <f>IF(NOT(ISBLANK([1]BDD!J212)), ROUND(SUM(([1]BDD!G212*reduc2),FDP_CMD_KG), 2), "")</f>
        <v>3.39</v>
      </c>
      <c r="AD222" s="544" t="str">
        <f>IF(NOT(ISBLANK([1]BDD!K212)), ROUND(SUM(([1]BDD!G212*reduc3),FDP_CMD_KG), 2), "")</f>
        <v/>
      </c>
      <c r="AE222" s="544">
        <f>IF(NOT(ISBLANK([1]BDD!I212)), ROUND(SUM(([1]BDD!G212*reduc1),FDP_FACT_KG), 2), "")</f>
        <v>3.69</v>
      </c>
      <c r="AF222" s="544">
        <f>IF(NOT(ISBLANK([1]BDD!J212)), ROUND(SUM(([1]BDD!G212*reduc2),FDP_FACT_KG), 2), "")</f>
        <v>3.38</v>
      </c>
      <c r="AG222" s="544" t="str">
        <f>IF(NOT(ISBLANK([1]BDD!K212)), ROUND(SUM(([1]BDD!G212*reduc3),FDP_FACT_KG), 2), "")</f>
        <v/>
      </c>
      <c r="AH222" s="599" t="str">
        <f>[1]BDD!C212</f>
        <v>Grenade</v>
      </c>
      <c r="AI222" s="598">
        <f>SUM(AV222,AY222,BB222,BE222,BH222,BK222,BN222,BQ222,BT222,BW222,BZ222,CC222,CF222,CI222,CL222,CO222,CR222,CU222,CX222,DA222)</f>
        <v>0</v>
      </c>
      <c r="AJ222" s="545">
        <f>_xlfn.IFS($AD222&lt;&gt;"", $AD222,    $AC222&lt;&gt;"", $AC222,    $AB222&lt;&gt;"", $AB222,    TRUE, $Y222)</f>
        <v>3.39</v>
      </c>
      <c r="AK222" s="592">
        <f>$AI222*$AJ222</f>
        <v>0</v>
      </c>
      <c r="AL222" s="594"/>
      <c r="AM222" s="597"/>
      <c r="AN222" s="545">
        <f>_xlfn.IFS(AND(AM222&gt;=60,$AG222&lt;&gt;""), $AG222,    AND(AM222&gt;=30,$AF222&lt;&gt;""), $AF222,    AND(AM222&gt;=10,$AE222&lt;&gt;""), $AE222,    TRUE, $Z222)</f>
        <v>4.01</v>
      </c>
      <c r="AO222" s="596">
        <f>AM222*AN222</f>
        <v>0</v>
      </c>
      <c r="AP222" s="595"/>
      <c r="AQ222" s="595"/>
      <c r="AR222" s="594"/>
      <c r="AS222" s="593">
        <f>SUM(AW222,AZ222,BC222,BF222,BI222,BL222,BO222,BR222,BU222,BX222,CA222,CD222,CG222,CJ222,CM222,CP222,CS222,CV222,CY222,DB222)</f>
        <v>0</v>
      </c>
      <c r="AT222" s="545">
        <f>_xlfn.IFS(AND(AS222&gt;=60,$AG222&lt;&gt;""), $AG222,    AND(AS222&gt;=30,$AF222&lt;&gt;""), $AF222,    AND(AS222&gt;=10,$AE222&lt;&gt;""), $AE222,    TRUE, $Z222)</f>
        <v>4.01</v>
      </c>
      <c r="AU222" s="592">
        <f>$AS222*$AT222</f>
        <v>0</v>
      </c>
      <c r="AV222" s="591">
        <f>[1]COMMANDE!O220</f>
        <v>0</v>
      </c>
      <c r="AW222" s="586" t="str">
        <f>_xlfn.IFS(AND($AI222=$AM222,$AI222&gt;0,$AM222&gt;0,AV222&gt;0), AV222,     AND(NOT($AI222=$AM222),$AI222&gt;0,$AM222&gt;0,AV222&gt;0), ($AM222*AV222)/$AI222,     AND($AI222=0,$AM222&gt;0,$AQ222&gt;0), IF(INDEX(AV$12:AV$263,MATCH($AQ222,$AP$12:$AP$263,0))&gt;0,($AM222*INDEX(AV$12:AV$263,MATCH($AQ222,$AP$12:$AP$263,0)))/INDEX($AI$12:$AI$263,MATCH($AQ222,$AP$12:$AP$263,0)), "-"),     TRUE, "0")</f>
        <v>0</v>
      </c>
      <c r="AX222" s="588">
        <f>IF(AW$9&gt;0, IF(OR(AW222="",AW222="-"), 0, AW222*$AT222), AV222*$AJ222)</f>
        <v>0</v>
      </c>
      <c r="AY222" s="587">
        <f>[1]COMMANDE!Q220</f>
        <v>0</v>
      </c>
      <c r="AZ222" s="586" t="str">
        <f>_xlfn.IFS(AND($AI222=$AM222,$AI222&gt;0,$AM222&gt;0,AY222&gt;0), AY222,     AND(NOT($AI222=$AM222),$AI222&gt;0,$AM222&gt;0,AY222&gt;0), ($AM222*AY222)/$AI222,     AND($AI222=0,$AM222&gt;0,$AQ222&gt;0), IF(INDEX(AY$12:AY$263,MATCH($AQ222,$AP$12:$AP$263,0))&gt;0,($AM222*INDEX(AY$12:AY$263,MATCH($AQ222,$AP$12:$AP$263,0)))/INDEX($AI$12:$AI$263,MATCH($AQ222,$AP$12:$AP$263,0)), "-"),     TRUE, "0")</f>
        <v>0</v>
      </c>
      <c r="BA222" s="607">
        <f>IF(AZ$9&gt;0, IF(OR(AZ222="",AZ222="-"), 0, AZ222*$AT222), AY222*$AJ222)</f>
        <v>0</v>
      </c>
      <c r="BB222" s="589">
        <f>[1]COMMANDE!S220</f>
        <v>0</v>
      </c>
      <c r="BC222" s="586" t="str">
        <f>_xlfn.IFS(AND($AI222=$AM222,$AI222&gt;0,$AM222&gt;0,BB222&gt;0), BB222,     AND(NOT($AI222=$AM222),$AI222&gt;0,$AM222&gt;0,BB222&gt;0), ($AM222*BB222)/$AI222,     AND($AI222=0,$AM222&gt;0,$AQ222&gt;0), IF(INDEX(BB$12:BB$263,MATCH($AQ222,$AP$12:$AP$263,0))&gt;0,($AM222*INDEX(BB$12:BB$263,MATCH($AQ222,$AP$12:$AP$263,0)))/INDEX($AI$12:$AI$263,MATCH($AQ222,$AP$12:$AP$263,0)), "-"),     TRUE, "0")</f>
        <v>0</v>
      </c>
      <c r="BD222" s="588">
        <f>IF(BC$9&gt;0, IF(OR(BC222="",BC222="-"), 0, BC222*$AT222), BB222*$AJ222)</f>
        <v>0</v>
      </c>
      <c r="BE222" s="587">
        <f>[1]COMMANDE!U220</f>
        <v>0</v>
      </c>
      <c r="BF222" s="586" t="str">
        <f>_xlfn.IFS(AND($AI222=$AM222,$AI222&gt;0,$AM222&gt;0,BE222&gt;0), BE222,     AND(NOT($AI222=$AM222),$AI222&gt;0,$AM222&gt;0,BE222&gt;0), ($AM222*BE222)/$AI222,     AND($AI222=0,$AM222&gt;0,$AQ222&gt;0), IF(INDEX(BE$12:BE$263,MATCH($AQ222,$AP$12:$AP$263,0))&gt;0,($AM222*INDEX(BE$12:BE$263,MATCH($AQ222,$AP$12:$AP$263,0)))/INDEX($AI$12:$AI$263,MATCH($AQ222,$AP$12:$AP$263,0)), "-"),     TRUE, "0")</f>
        <v>0</v>
      </c>
      <c r="BG222" s="607">
        <f>IF(BF$9&gt;0, IF(OR(BF222="",BF222="-"), 0, BF222*$AT222), BE222*$AJ222)</f>
        <v>0</v>
      </c>
      <c r="BH222" s="589">
        <f>[1]COMMANDE!W220</f>
        <v>0</v>
      </c>
      <c r="BI222" s="586" t="str">
        <f>_xlfn.IFS(AND($AI222=$AM222,$AI222&gt;0,$AM222&gt;0,BH222&gt;0), BH222,     AND(NOT($AI222=$AM222),$AI222&gt;0,$AM222&gt;0,BH222&gt;0), ($AM222*BH222)/$AI222,     AND($AI222=0,$AM222&gt;0,$AQ222&gt;0), IF(INDEX(BH$12:BH$263,MATCH($AQ222,$AP$12:$AP$263,0))&gt;0,($AM222*INDEX(BH$12:BH$263,MATCH($AQ222,$AP$12:$AP$263,0)))/INDEX($AI$12:$AI$263,MATCH($AQ222,$AP$12:$AP$263,0)), "-"),     TRUE, "0")</f>
        <v>0</v>
      </c>
      <c r="BJ222" s="588">
        <f>IF(BI$9&gt;0, IF(OR(BI222="",BI222="-"), 0, BI222*$AT222), BH222*$AJ222)</f>
        <v>0</v>
      </c>
      <c r="BK222" s="587">
        <f>[1]COMMANDE!Y220</f>
        <v>0</v>
      </c>
      <c r="BL222" s="586" t="str">
        <f>_xlfn.IFS(AND($AI222=$AM222,$AI222&gt;0,$AM222&gt;0,BK222&gt;0), BK222,     AND(NOT($AI222=$AM222),$AI222&gt;0,$AM222&gt;0,BK222&gt;0), ($AM222*BK222)/$AI222,     AND($AI222=0,$AM222&gt;0,$AQ222&gt;0), IF(INDEX(BK$12:BK$263,MATCH($AQ222,$AP$12:$AP$263,0))&gt;0,($AM222*INDEX(BK$12:BK$263,MATCH($AQ222,$AP$12:$AP$263,0)))/INDEX($AI$12:$AI$263,MATCH($AQ222,$AP$12:$AP$263,0)), "-"),     TRUE, "0")</f>
        <v>0</v>
      </c>
      <c r="BM222" s="607">
        <f>IF(BL$9&gt;0, IF(OR(BL222="",BL222="-"), 0, BL222*$AT222), BK222*$AJ222)</f>
        <v>0</v>
      </c>
      <c r="BN222" s="589">
        <f>[1]COMMANDE!AA220</f>
        <v>0</v>
      </c>
      <c r="BO222" s="586" t="str">
        <f>_xlfn.IFS(AND($AI222=$AM222,$AI222&gt;0,$AM222&gt;0,BN222&gt;0), BN222,     AND(NOT($AI222=$AM222),$AI222&gt;0,$AM222&gt;0,BN222&gt;0), ($AM222*BN222)/$AI222,     AND($AI222=0,$AM222&gt;0,$AQ222&gt;0), IF(INDEX(BN$12:BN$263,MATCH($AQ222,$AP$12:$AP$263,0))&gt;0,($AM222*INDEX(BN$12:BN$263,MATCH($AQ222,$AP$12:$AP$263,0)))/INDEX($AI$12:$AI$263,MATCH($AQ222,$AP$12:$AP$263,0)), "-"),     TRUE, "0")</f>
        <v>0</v>
      </c>
      <c r="BP222" s="588">
        <f>IF(BO$9&gt;0, IF(OR(BO222="",BO222="-"), 0, BO222*$AT222), BN222*$AJ222)</f>
        <v>0</v>
      </c>
      <c r="BQ222" s="587">
        <f>[1]COMMANDE!AC220</f>
        <v>0</v>
      </c>
      <c r="BR222" s="586" t="str">
        <f>_xlfn.IFS(AND($AI222=$AM222,$AI222&gt;0,$AM222&gt;0,BQ222&gt;0), BQ222,     AND(NOT($AI222=$AM222),$AI222&gt;0,$AM222&gt;0,BQ222&gt;0), ($AM222*BQ222)/$AI222,     AND($AI222=0,$AM222&gt;0,$AQ222&gt;0), IF(INDEX(BQ$12:BQ$263,MATCH($AQ222,$AP$12:$AP$263,0))&gt;0,($AM222*INDEX(BQ$12:BQ$263,MATCH($AQ222,$AP$12:$AP$263,0)))/INDEX($AI$12:$AI$263,MATCH($AQ222,$AP$12:$AP$263,0)), "-"),     TRUE, "0")</f>
        <v>0</v>
      </c>
      <c r="BS222" s="607">
        <f>IF(BR$9&gt;0, IF(OR(BR222="",BR222="-"), 0, BR222*$AT222), BQ222*$AJ222)</f>
        <v>0</v>
      </c>
      <c r="BT222" s="589">
        <f>[1]COMMANDE!AE220</f>
        <v>0</v>
      </c>
      <c r="BU222" s="586" t="str">
        <f>_xlfn.IFS(AND($AI222=$AM222,$AI222&gt;0,$AM222&gt;0,BT222&gt;0), BT222,     AND(NOT($AI222=$AM222),$AI222&gt;0,$AM222&gt;0,BT222&gt;0), ($AM222*BT222)/$AI222,     AND($AI222=0,$AM222&gt;0,$AQ222&gt;0), IF(INDEX(BT$12:BT$263,MATCH($AQ222,$AP$12:$AP$263,0))&gt;0,($AM222*INDEX(BT$12:BT$263,MATCH($AQ222,$AP$12:$AP$263,0)))/INDEX($AI$12:$AI$263,MATCH($AQ222,$AP$12:$AP$263,0)), "-"),     TRUE, "0")</f>
        <v>0</v>
      </c>
      <c r="BV222" s="588">
        <f>IF(BU$9&gt;0, IF(OR(BU222="",BU222="-"), 0, BU222*$AT222), BT222*$AJ222)</f>
        <v>0</v>
      </c>
      <c r="BW222" s="587">
        <f>[1]COMMANDE!AG220</f>
        <v>0</v>
      </c>
      <c r="BX222" s="586" t="str">
        <f>_xlfn.IFS(AND($AI222=$AM222,$AI222&gt;0,$AM222&gt;0,BW222&gt;0), BW222,     AND(NOT($AI222=$AM222),$AI222&gt;0,$AM222&gt;0,BW222&gt;0), ($AM222*BW222)/$AI222,     AND($AI222=0,$AM222&gt;0,$AQ222&gt;0), IF(INDEX(BW$12:BW$263,MATCH($AQ222,$AP$12:$AP$263,0))&gt;0,($AM222*INDEX(BW$12:BW$263,MATCH($AQ222,$AP$12:$AP$263,0)))/INDEX($AI$12:$AI$263,MATCH($AQ222,$AP$12:$AP$263,0)), "-"),     TRUE, "0")</f>
        <v>0</v>
      </c>
      <c r="BY222" s="607">
        <f>IF(BX$9&gt;0, IF(OR(BX222="",BX222="-"), 0, BX222*$AT222), BW222*$AJ222)</f>
        <v>0</v>
      </c>
      <c r="BZ222" s="589">
        <f>[1]COMMANDE!AI220</f>
        <v>0</v>
      </c>
      <c r="CA222" s="586" t="str">
        <f>_xlfn.IFS(AND($AI222=$AM222,$AI222&gt;0,$AM222&gt;0,BZ222&gt;0), BZ222,     AND(NOT($AI222=$AM222),$AI222&gt;0,$AM222&gt;0,BZ222&gt;0), ($AM222*BZ222)/$AI222,     AND($AI222=0,$AM222&gt;0,$AQ222&gt;0), IF(INDEX(BZ$12:BZ$263,MATCH($AQ222,$AP$12:$AP$263,0))&gt;0,($AM222*INDEX(BZ$12:BZ$263,MATCH($AQ222,$AP$12:$AP$263,0)))/INDEX($AI$12:$AI$263,MATCH($AQ222,$AP$12:$AP$263,0)), "-"),     TRUE, "0")</f>
        <v>0</v>
      </c>
      <c r="CB222" s="588">
        <f>IF(CA$9&gt;0, IF(OR(CA222="",CA222="-"), 0, CA222*$AT222), BZ222*$AJ222)</f>
        <v>0</v>
      </c>
      <c r="CC222" s="587">
        <f>[1]COMMANDE!AK220</f>
        <v>0</v>
      </c>
      <c r="CD222" s="586" t="str">
        <f>_xlfn.IFS(AND($AI222=$AM222,$AI222&gt;0,$AM222&gt;0,CC222&gt;0), CC222,     AND(NOT($AI222=$AM222),$AI222&gt;0,$AM222&gt;0,CC222&gt;0), ($AM222*CC222)/$AI222,     AND($AI222=0,$AM222&gt;0,$AQ222&gt;0), IF(INDEX(CC$12:CC$263,MATCH($AQ222,$AP$12:$AP$263,0))&gt;0,($AM222*INDEX(CC$12:CC$263,MATCH($AQ222,$AP$12:$AP$263,0)))/INDEX($AI$12:$AI$263,MATCH($AQ222,$AP$12:$AP$263,0)), "-"),     TRUE, "0")</f>
        <v>0</v>
      </c>
      <c r="CE222" s="607">
        <f>IF(CD$9&gt;0, IF(OR(CD222="",CD222="-"), 0, CD222*$AT222), CC222*$AJ222)</f>
        <v>0</v>
      </c>
      <c r="CF222" s="589">
        <f>[1]COMMANDE!AM220</f>
        <v>0</v>
      </c>
      <c r="CG222" s="586" t="str">
        <f>_xlfn.IFS(AND($AI222=$AM222,$AI222&gt;0,$AM222&gt;0,CF222&gt;0), CF222,     AND(NOT($AI222=$AM222),$AI222&gt;0,$AM222&gt;0,CF222&gt;0), ($AM222*CF222)/$AI222,     AND($AI222=0,$AM222&gt;0,$AQ222&gt;0), IF(INDEX(CF$12:CF$263,MATCH($AQ222,$AP$12:$AP$263,0))&gt;0,($AM222*INDEX(CF$12:CF$263,MATCH($AQ222,$AP$12:$AP$263,0)))/INDEX($AI$12:$AI$263,MATCH($AQ222,$AP$12:$AP$263,0)), "-"),     TRUE, "0")</f>
        <v>0</v>
      </c>
      <c r="CH222" s="588">
        <f>IF(CG$9&gt;0, IF(OR(CG222="",CG222="-"), 0, CG222*$AT222), CF222*$AJ222)</f>
        <v>0</v>
      </c>
      <c r="CI222" s="587">
        <f>[1]COMMANDE!AO220</f>
        <v>0</v>
      </c>
      <c r="CJ222" s="586" t="str">
        <f>_xlfn.IFS(AND($AI222=$AM222,$AI222&gt;0,$AM222&gt;0,CI222&gt;0), CI222,     AND(NOT($AI222=$AM222),$AI222&gt;0,$AM222&gt;0,CI222&gt;0), ($AM222*CI222)/$AI222,     AND($AI222=0,$AM222&gt;0,$AQ222&gt;0), IF(INDEX(CI$12:CI$263,MATCH($AQ222,$AP$12:$AP$263,0))&gt;0,($AM222*INDEX(CI$12:CI$263,MATCH($AQ222,$AP$12:$AP$263,0)))/INDEX($AI$12:$AI$263,MATCH($AQ222,$AP$12:$AP$263,0)), "-"),     TRUE, "0")</f>
        <v>0</v>
      </c>
      <c r="CK222" s="607">
        <f>IF(CJ$9&gt;0, IF(OR(CJ222="",CJ222="-"), 0, CJ222*$AT222), CI222*$AJ222)</f>
        <v>0</v>
      </c>
      <c r="CL222" s="589">
        <f>[1]COMMANDE!AQ220</f>
        <v>0</v>
      </c>
      <c r="CM222" s="586" t="str">
        <f>_xlfn.IFS(AND($AI222=$AM222,$AI222&gt;0,$AM222&gt;0,CL222&gt;0), CL222,     AND(NOT($AI222=$AM222),$AI222&gt;0,$AM222&gt;0,CL222&gt;0), ($AM222*CL222)/$AI222,     AND($AI222=0,$AM222&gt;0,$AQ222&gt;0), IF(INDEX(CL$12:CL$263,MATCH($AQ222,$AP$12:$AP$263,0))&gt;0,($AM222*INDEX(CL$12:CL$263,MATCH($AQ222,$AP$12:$AP$263,0)))/INDEX($AI$12:$AI$263,MATCH($AQ222,$AP$12:$AP$263,0)), "-"),     TRUE, "0")</f>
        <v>0</v>
      </c>
      <c r="CN222" s="588">
        <f>IF(CM$9&gt;0, IF(OR(CM222="",CM222="-"), 0, CM222*$AT222), CL222*$AJ222)</f>
        <v>0</v>
      </c>
      <c r="CO222" s="587">
        <f>[1]COMMANDE!AS220</f>
        <v>0</v>
      </c>
      <c r="CP222" s="586" t="str">
        <f>_xlfn.IFS(AND($AI222=$AM222,$AI222&gt;0,$AM222&gt;0,CO222&gt;0), CO222,     AND(NOT($AI222=$AM222),$AI222&gt;0,$AM222&gt;0,CO222&gt;0), ($AM222*CO222)/$AI222,     AND($AI222=0,$AM222&gt;0,$AQ222&gt;0), IF(INDEX(CO$12:CO$263,MATCH($AQ222,$AP$12:$AP$263,0))&gt;0,($AM222*INDEX(CO$12:CO$263,MATCH($AQ222,$AP$12:$AP$263,0)))/INDEX($AI$12:$AI$263,MATCH($AQ222,$AP$12:$AP$263,0)), "-"),     TRUE, "0")</f>
        <v>0</v>
      </c>
      <c r="CQ222" s="607">
        <f>IF(CP$9&gt;0, IF(OR(CP222="",CP222="-"), 0, CP222*$AT222), CO222*$AJ222)</f>
        <v>0</v>
      </c>
      <c r="CR222" s="589">
        <f>[1]COMMANDE!AU220</f>
        <v>0</v>
      </c>
      <c r="CS222" s="586" t="str">
        <f>_xlfn.IFS(AND($AI222=$AM222,$AI222&gt;0,$AM222&gt;0,CR222&gt;0), CR222,     AND(NOT($AI222=$AM222),$AI222&gt;0,$AM222&gt;0,CR222&gt;0), ($AM222*CR222)/$AI222,     AND($AI222=0,$AM222&gt;0,$AQ222&gt;0), IF(INDEX(CR$12:CR$263,MATCH($AQ222,$AP$12:$AP$263,0))&gt;0,($AM222*INDEX(CR$12:CR$263,MATCH($AQ222,$AP$12:$AP$263,0)))/INDEX($AI$12:$AI$263,MATCH($AQ222,$AP$12:$AP$263,0)), "-"),     TRUE, "0")</f>
        <v>0</v>
      </c>
      <c r="CT222" s="588">
        <f>IF(CS$9&gt;0, IF(OR(CS222="",CS222="-"), 0, CS222*$AT222), CR222*$AJ222)</f>
        <v>0</v>
      </c>
      <c r="CU222" s="587">
        <f>[1]COMMANDE!AW220</f>
        <v>0</v>
      </c>
      <c r="CV222" s="586" t="str">
        <f>_xlfn.IFS(AND($AI222=$AM222,$AI222&gt;0,$AM222&gt;0,CU222&gt;0), CU222,     AND(NOT($AI222=$AM222),$AI222&gt;0,$AM222&gt;0,CU222&gt;0), ($AM222*CU222)/$AI222,     AND($AI222=0,$AM222&gt;0,$AQ222&gt;0), IF(INDEX(CU$12:CU$263,MATCH($AQ222,$AP$12:$AP$263,0))&gt;0,($AM222*INDEX(CU$12:CU$263,MATCH($AQ222,$AP$12:$AP$263,0)))/INDEX($AI$12:$AI$263,MATCH($AQ222,$AP$12:$AP$263,0)), "-"),     TRUE, "0")</f>
        <v>0</v>
      </c>
      <c r="CW222" s="607">
        <f>IF(CV$9&gt;0, IF(OR(CV222="",CV222="-"), 0, CV222*$AT222), CU222*$AJ222)</f>
        <v>0</v>
      </c>
      <c r="CX222" s="589">
        <f>[1]COMMANDE!AY220</f>
        <v>0</v>
      </c>
      <c r="CY222" s="586" t="str">
        <f>_xlfn.IFS(AND($AI222=$AM222,$AI222&gt;0,$AM222&gt;0,CX222&gt;0), CX222,     AND(NOT($AI222=$AM222),$AI222&gt;0,$AM222&gt;0,CX222&gt;0), ($AM222*CX222)/$AI222,     AND($AI222=0,$AM222&gt;0,$AQ222&gt;0), IF(INDEX(CX$12:CX$263,MATCH($AQ222,$AP$12:$AP$263,0))&gt;0,($AM222*INDEX(CX$12:CX$263,MATCH($AQ222,$AP$12:$AP$263,0)))/INDEX($AI$12:$AI$263,MATCH($AQ222,$AP$12:$AP$263,0)), "-"),     TRUE, "0")</f>
        <v>0</v>
      </c>
      <c r="CZ222" s="588">
        <f>IF(CY$9&gt;0, IF(OR(CY222="",CY222="-"), 0, CY222*$AT222), CX222*$AJ222)</f>
        <v>0</v>
      </c>
      <c r="DA222" s="587">
        <f>[1]COMMANDE!BA220</f>
        <v>0</v>
      </c>
      <c r="DB222" s="586" t="str">
        <f>_xlfn.IFS(AND($AI222=$AM222,$AI222&gt;0,$AM222&gt;0,DA222&gt;0), DA222,     AND(NOT($AI222=$AM222),$AI222&gt;0,$AM222&gt;0,DA222&gt;0), ($AM222*DA222)/$AI222,     AND($AI222=0,$AM222&gt;0,$AQ222&gt;0), IF(INDEX(DA$12:DA$263,MATCH($AQ222,$AP$12:$AP$263,0))&gt;0,($AM222*INDEX(DA$12:DA$263,MATCH($AQ222,$AP$12:$AP$263,0)))/INDEX($AI$12:$AI$263,MATCH($AQ222,$AP$12:$AP$263,0)), "-"),     TRUE, "0")</f>
        <v>0</v>
      </c>
      <c r="DC222" s="606">
        <f>IF(DB$9&gt;0, IF(OR(DB222="",DB222="-"), 0, DB222*$AT222), DA222*$AJ222)</f>
        <v>0</v>
      </c>
      <c r="DD222" s="584"/>
      <c r="DE222" s="583"/>
    </row>
    <row r="223" spans="1:109" ht="39.950000000000003" hidden="1" customHeight="1">
      <c r="A223" s="604">
        <f>IF(OR($AV223&gt;0, $AX223&gt;0), 1, 0)</f>
        <v>0</v>
      </c>
      <c r="B223" s="604">
        <f>IF(OR($AY223&gt;0, $BA223&gt;0), 1, 0)</f>
        <v>0</v>
      </c>
      <c r="C223" s="604">
        <f>IF(OR($BB223&gt;0, $BD223&gt;0), 1, 0)</f>
        <v>0</v>
      </c>
      <c r="D223" s="604">
        <f>IF(OR($BE223&gt;0, $BG223&gt;0), 1, 0)</f>
        <v>0</v>
      </c>
      <c r="E223" s="604">
        <f>IF(OR($BH223&gt;0, $BJ223&gt;0), 1, 0)</f>
        <v>0</v>
      </c>
      <c r="F223" s="604">
        <f>IF(OR($BK223&gt;0, $BM223&gt;0), 1, 0)</f>
        <v>0</v>
      </c>
      <c r="G223" s="604">
        <f>IF(OR($BN223&gt;0, $BP223&gt;0), 1, 0)</f>
        <v>0</v>
      </c>
      <c r="H223" s="604">
        <f>IF(OR($BQ223&gt;0, $BS223&gt;0), 1, 0)</f>
        <v>0</v>
      </c>
      <c r="I223" s="604">
        <f>IF(OR($BT223&gt;0, $BV223&gt;0), 1, 0)</f>
        <v>0</v>
      </c>
      <c r="J223" s="604">
        <f>IF(OR($BW223&gt;0, $BY223&gt;0), 1, 0)</f>
        <v>0</v>
      </c>
      <c r="K223" s="604">
        <f>IF(OR($BZ223&gt;0, $CB223&gt;0), 1, 0)</f>
        <v>0</v>
      </c>
      <c r="L223" s="604">
        <f>IF(OR($CC223&gt;0, $CE223&gt;0), 1, 0)</f>
        <v>0</v>
      </c>
      <c r="M223" s="604">
        <f>IF(OR($CF223&gt;0, $CH223&gt;0), 1, 0)</f>
        <v>0</v>
      </c>
      <c r="N223" s="604">
        <f>IF(OR($CI223&gt;0, $CK223&gt;0), 1, 0)</f>
        <v>0</v>
      </c>
      <c r="O223" s="604">
        <f>IF(OR($CL223&gt;0, $CN223&gt;0), 1, 0)</f>
        <v>0</v>
      </c>
      <c r="P223" s="604">
        <f>IF(OR($CO223&gt;0, $CQ223&gt;0), 1, 0)</f>
        <v>0</v>
      </c>
      <c r="Q223" s="604">
        <f>IF(OR($CR223&gt;0, $CT223&gt;0), 1, 0)</f>
        <v>0</v>
      </c>
      <c r="R223" s="604">
        <f>IF(OR($CU223&gt;0, $CW223&gt;0), 1, 0)</f>
        <v>0</v>
      </c>
      <c r="S223" s="604">
        <f>IF(OR($CX223&gt;0, $CZ223&gt;0), 1, 0)</f>
        <v>0</v>
      </c>
      <c r="T223" s="604">
        <f>IF(OR($DA223&gt;0, $DC223&gt;0), 1, 0)</f>
        <v>0</v>
      </c>
      <c r="U223" s="603">
        <f>IF(OR($AI223&gt;0,$AM223&gt;0,$AS223&gt;0), 1, 0)</f>
        <v>0</v>
      </c>
      <c r="V223" s="602">
        <f>[1]BDD!A213</f>
        <v>3106</v>
      </c>
      <c r="W223" s="601" t="str">
        <f>[1]BDD!B213</f>
        <v>Poivron rouge déshydraté
    - (production Rufino - env. 200g)</v>
      </c>
      <c r="X223" s="600" t="str">
        <f>IF([1]BDD!F213=0, "", [1]BDD!F213)</f>
        <v/>
      </c>
      <c r="Y223" s="542">
        <f>ROUND([1]BDD!G213+FDP_CMD_KG, 2)</f>
        <v>4.95</v>
      </c>
      <c r="Z223" s="542">
        <f>ROUND([1]BDD!G213+FDP_FACT_KG, 2)</f>
        <v>4.95</v>
      </c>
      <c r="AA223" s="543" t="str">
        <f>[1]BDD!H213</f>
        <v>Pièce</v>
      </c>
      <c r="AB223" s="544" t="str">
        <f>IF(NOT(ISBLANK([1]BDD!I213)), ROUND(SUM(([1]BDD!G213*reduc1),FDP_CMD_KG), 2), "")</f>
        <v/>
      </c>
      <c r="AC223" s="544" t="str">
        <f>IF(NOT(ISBLANK([1]BDD!J213)), ROUND(SUM(([1]BDD!G213*reduc2),FDP_CMD_KG), 2), "")</f>
        <v/>
      </c>
      <c r="AD223" s="544" t="str">
        <f>IF(NOT(ISBLANK([1]BDD!K213)), ROUND(SUM(([1]BDD!G213*reduc3),FDP_CMD_KG), 2), "")</f>
        <v/>
      </c>
      <c r="AE223" s="544" t="str">
        <f>IF(NOT(ISBLANK([1]BDD!I213)), ROUND(SUM(([1]BDD!G213*reduc1),FDP_FACT_KG), 2), "")</f>
        <v/>
      </c>
      <c r="AF223" s="544" t="str">
        <f>IF(NOT(ISBLANK([1]BDD!J213)), ROUND(SUM(([1]BDD!G213*reduc2),FDP_FACT_KG), 2), "")</f>
        <v/>
      </c>
      <c r="AG223" s="544" t="str">
        <f>IF(NOT(ISBLANK([1]BDD!K213)), ROUND(SUM(([1]BDD!G213*reduc3),FDP_FACT_KG), 2), "")</f>
        <v/>
      </c>
      <c r="AH223" s="599" t="str">
        <f>[1]BDD!C213</f>
        <v>Grenade</v>
      </c>
      <c r="AI223" s="598">
        <f>SUM(AV223,AY223,BB223,BE223,BH223,BK223,BN223,BQ223,BT223,BW223,BZ223,CC223,CF223,CI223,CL223,CO223,CR223,CU223,CX223,DA223)</f>
        <v>0</v>
      </c>
      <c r="AJ223" s="545">
        <f>_xlfn.IFS($AD223&lt;&gt;"", $AD223,    $AC223&lt;&gt;"", $AC223,    $AB223&lt;&gt;"", $AB223,    TRUE, $Y223)</f>
        <v>4.95</v>
      </c>
      <c r="AK223" s="592">
        <f>$AI223*$AJ223</f>
        <v>0</v>
      </c>
      <c r="AL223" s="594"/>
      <c r="AM223" s="597"/>
      <c r="AN223" s="545">
        <f>_xlfn.IFS(AND(AM223&gt;=60,$AG223&lt;&gt;""), $AG223,    AND(AM223&gt;=30,$AF223&lt;&gt;""), $AF223,    AND(AM223&gt;=10,$AE223&lt;&gt;""), $AE223,    TRUE, $Z223)</f>
        <v>4.95</v>
      </c>
      <c r="AO223" s="596">
        <f>AM223*AN223</f>
        <v>0</v>
      </c>
      <c r="AP223" s="595"/>
      <c r="AQ223" s="595"/>
      <c r="AR223" s="594"/>
      <c r="AS223" s="593">
        <f>SUM(AW223,AZ223,BC223,BF223,BI223,BL223,BO223,BR223,BU223,BX223,CA223,CD223,CG223,CJ223,CM223,CP223,CS223,CV223,CY223,DB223)</f>
        <v>0</v>
      </c>
      <c r="AT223" s="545">
        <f>_xlfn.IFS(AND(AS223&gt;=60,$AG223&lt;&gt;""), $AG223,    AND(AS223&gt;=30,$AF223&lt;&gt;""), $AF223,    AND(AS223&gt;=10,$AE223&lt;&gt;""), $AE223,    TRUE, $Z223)</f>
        <v>4.95</v>
      </c>
      <c r="AU223" s="592">
        <f>$AS223*$AT223</f>
        <v>0</v>
      </c>
      <c r="AV223" s="591">
        <f>[1]COMMANDE!O221</f>
        <v>0</v>
      </c>
      <c r="AW223" s="586" t="str">
        <f>_xlfn.IFS(AND($AI223=$AM223,$AI223&gt;0,$AM223&gt;0,AV223&gt;0), AV223,     AND(NOT($AI223=$AM223),$AI223&gt;0,$AM223&gt;0,AV223&gt;0), ($AM223*AV223)/$AI223,     AND($AI223=0,$AM223&gt;0,$AQ223&gt;0), IF(INDEX(AV$12:AV$263,MATCH($AQ223,$AP$12:$AP$263,0))&gt;0,($AM223*INDEX(AV$12:AV$263,MATCH($AQ223,$AP$12:$AP$263,0)))/INDEX($AI$12:$AI$263,MATCH($AQ223,$AP$12:$AP$263,0)), "-"),     TRUE, "0")</f>
        <v>0</v>
      </c>
      <c r="AX223" s="588">
        <f>IF(AW$9&gt;0, IF(OR(AW223="",AW223="-"), 0, AW223*$AT223), AV223*$AJ223)</f>
        <v>0</v>
      </c>
      <c r="AY223" s="587">
        <f>[1]COMMANDE!Q221</f>
        <v>0</v>
      </c>
      <c r="AZ223" s="586" t="str">
        <f>_xlfn.IFS(AND($AI223=$AM223,$AI223&gt;0,$AM223&gt;0,AY223&gt;0), AY223,     AND(NOT($AI223=$AM223),$AI223&gt;0,$AM223&gt;0,AY223&gt;0), ($AM223*AY223)/$AI223,     AND($AI223=0,$AM223&gt;0,$AQ223&gt;0), IF(INDEX(AY$12:AY$263,MATCH($AQ223,$AP$12:$AP$263,0))&gt;0,($AM223*INDEX(AY$12:AY$263,MATCH($AQ223,$AP$12:$AP$263,0)))/INDEX($AI$12:$AI$263,MATCH($AQ223,$AP$12:$AP$263,0)), "-"),     TRUE, "0")</f>
        <v>0</v>
      </c>
      <c r="BA223" s="607">
        <f>IF(AZ$9&gt;0, IF(OR(AZ223="",AZ223="-"), 0, AZ223*$AT223), AY223*$AJ223)</f>
        <v>0</v>
      </c>
      <c r="BB223" s="589">
        <f>[1]COMMANDE!S221</f>
        <v>0</v>
      </c>
      <c r="BC223" s="586" t="str">
        <f>_xlfn.IFS(AND($AI223=$AM223,$AI223&gt;0,$AM223&gt;0,BB223&gt;0), BB223,     AND(NOT($AI223=$AM223),$AI223&gt;0,$AM223&gt;0,BB223&gt;0), ($AM223*BB223)/$AI223,     AND($AI223=0,$AM223&gt;0,$AQ223&gt;0), IF(INDEX(BB$12:BB$263,MATCH($AQ223,$AP$12:$AP$263,0))&gt;0,($AM223*INDEX(BB$12:BB$263,MATCH($AQ223,$AP$12:$AP$263,0)))/INDEX($AI$12:$AI$263,MATCH($AQ223,$AP$12:$AP$263,0)), "-"),     TRUE, "0")</f>
        <v>0</v>
      </c>
      <c r="BD223" s="588">
        <f>IF(BC$9&gt;0, IF(OR(BC223="",BC223="-"), 0, BC223*$AT223), BB223*$AJ223)</f>
        <v>0</v>
      </c>
      <c r="BE223" s="587">
        <f>[1]COMMANDE!U221</f>
        <v>0</v>
      </c>
      <c r="BF223" s="586" t="str">
        <f>_xlfn.IFS(AND($AI223=$AM223,$AI223&gt;0,$AM223&gt;0,BE223&gt;0), BE223,     AND(NOT($AI223=$AM223),$AI223&gt;0,$AM223&gt;0,BE223&gt;0), ($AM223*BE223)/$AI223,     AND($AI223=0,$AM223&gt;0,$AQ223&gt;0), IF(INDEX(BE$12:BE$263,MATCH($AQ223,$AP$12:$AP$263,0))&gt;0,($AM223*INDEX(BE$12:BE$263,MATCH($AQ223,$AP$12:$AP$263,0)))/INDEX($AI$12:$AI$263,MATCH($AQ223,$AP$12:$AP$263,0)), "-"),     TRUE, "0")</f>
        <v>0</v>
      </c>
      <c r="BG223" s="607">
        <f>IF(BF$9&gt;0, IF(OR(BF223="",BF223="-"), 0, BF223*$AT223), BE223*$AJ223)</f>
        <v>0</v>
      </c>
      <c r="BH223" s="589">
        <f>[1]COMMANDE!W221</f>
        <v>0</v>
      </c>
      <c r="BI223" s="586" t="str">
        <f>_xlfn.IFS(AND($AI223=$AM223,$AI223&gt;0,$AM223&gt;0,BH223&gt;0), BH223,     AND(NOT($AI223=$AM223),$AI223&gt;0,$AM223&gt;0,BH223&gt;0), ($AM223*BH223)/$AI223,     AND($AI223=0,$AM223&gt;0,$AQ223&gt;0), IF(INDEX(BH$12:BH$263,MATCH($AQ223,$AP$12:$AP$263,0))&gt;0,($AM223*INDEX(BH$12:BH$263,MATCH($AQ223,$AP$12:$AP$263,0)))/INDEX($AI$12:$AI$263,MATCH($AQ223,$AP$12:$AP$263,0)), "-"),     TRUE, "0")</f>
        <v>0</v>
      </c>
      <c r="BJ223" s="588">
        <f>IF(BI$9&gt;0, IF(OR(BI223="",BI223="-"), 0, BI223*$AT223), BH223*$AJ223)</f>
        <v>0</v>
      </c>
      <c r="BK223" s="587">
        <f>[1]COMMANDE!Y221</f>
        <v>0</v>
      </c>
      <c r="BL223" s="586" t="str">
        <f>_xlfn.IFS(AND($AI223=$AM223,$AI223&gt;0,$AM223&gt;0,BK223&gt;0), BK223,     AND(NOT($AI223=$AM223),$AI223&gt;0,$AM223&gt;0,BK223&gt;0), ($AM223*BK223)/$AI223,     AND($AI223=0,$AM223&gt;0,$AQ223&gt;0), IF(INDEX(BK$12:BK$263,MATCH($AQ223,$AP$12:$AP$263,0))&gt;0,($AM223*INDEX(BK$12:BK$263,MATCH($AQ223,$AP$12:$AP$263,0)))/INDEX($AI$12:$AI$263,MATCH($AQ223,$AP$12:$AP$263,0)), "-"),     TRUE, "0")</f>
        <v>0</v>
      </c>
      <c r="BM223" s="607">
        <f>IF(BL$9&gt;0, IF(OR(BL223="",BL223="-"), 0, BL223*$AT223), BK223*$AJ223)</f>
        <v>0</v>
      </c>
      <c r="BN223" s="589">
        <f>[1]COMMANDE!AA221</f>
        <v>0</v>
      </c>
      <c r="BO223" s="586" t="str">
        <f>_xlfn.IFS(AND($AI223=$AM223,$AI223&gt;0,$AM223&gt;0,BN223&gt;0), BN223,     AND(NOT($AI223=$AM223),$AI223&gt;0,$AM223&gt;0,BN223&gt;0), ($AM223*BN223)/$AI223,     AND($AI223=0,$AM223&gt;0,$AQ223&gt;0), IF(INDEX(BN$12:BN$263,MATCH($AQ223,$AP$12:$AP$263,0))&gt;0,($AM223*INDEX(BN$12:BN$263,MATCH($AQ223,$AP$12:$AP$263,0)))/INDEX($AI$12:$AI$263,MATCH($AQ223,$AP$12:$AP$263,0)), "-"),     TRUE, "0")</f>
        <v>0</v>
      </c>
      <c r="BP223" s="588">
        <f>IF(BO$9&gt;0, IF(OR(BO223="",BO223="-"), 0, BO223*$AT223), BN223*$AJ223)</f>
        <v>0</v>
      </c>
      <c r="BQ223" s="587">
        <f>[1]COMMANDE!AC221</f>
        <v>0</v>
      </c>
      <c r="BR223" s="586" t="str">
        <f>_xlfn.IFS(AND($AI223=$AM223,$AI223&gt;0,$AM223&gt;0,BQ223&gt;0), BQ223,     AND(NOT($AI223=$AM223),$AI223&gt;0,$AM223&gt;0,BQ223&gt;0), ($AM223*BQ223)/$AI223,     AND($AI223=0,$AM223&gt;0,$AQ223&gt;0), IF(INDEX(BQ$12:BQ$263,MATCH($AQ223,$AP$12:$AP$263,0))&gt;0,($AM223*INDEX(BQ$12:BQ$263,MATCH($AQ223,$AP$12:$AP$263,0)))/INDEX($AI$12:$AI$263,MATCH($AQ223,$AP$12:$AP$263,0)), "-"),     TRUE, "0")</f>
        <v>0</v>
      </c>
      <c r="BS223" s="607">
        <f>IF(BR$9&gt;0, IF(OR(BR223="",BR223="-"), 0, BR223*$AT223), BQ223*$AJ223)</f>
        <v>0</v>
      </c>
      <c r="BT223" s="589">
        <f>[1]COMMANDE!AE221</f>
        <v>0</v>
      </c>
      <c r="BU223" s="586" t="str">
        <f>_xlfn.IFS(AND($AI223=$AM223,$AI223&gt;0,$AM223&gt;0,BT223&gt;0), BT223,     AND(NOT($AI223=$AM223),$AI223&gt;0,$AM223&gt;0,BT223&gt;0), ($AM223*BT223)/$AI223,     AND($AI223=0,$AM223&gt;0,$AQ223&gt;0), IF(INDEX(BT$12:BT$263,MATCH($AQ223,$AP$12:$AP$263,0))&gt;0,($AM223*INDEX(BT$12:BT$263,MATCH($AQ223,$AP$12:$AP$263,0)))/INDEX($AI$12:$AI$263,MATCH($AQ223,$AP$12:$AP$263,0)), "-"),     TRUE, "0")</f>
        <v>0</v>
      </c>
      <c r="BV223" s="588">
        <f>IF(BU$9&gt;0, IF(OR(BU223="",BU223="-"), 0, BU223*$AT223), BT223*$AJ223)</f>
        <v>0</v>
      </c>
      <c r="BW223" s="587">
        <f>[1]COMMANDE!AG221</f>
        <v>0</v>
      </c>
      <c r="BX223" s="586" t="str">
        <f>_xlfn.IFS(AND($AI223=$AM223,$AI223&gt;0,$AM223&gt;0,BW223&gt;0), BW223,     AND(NOT($AI223=$AM223),$AI223&gt;0,$AM223&gt;0,BW223&gt;0), ($AM223*BW223)/$AI223,     AND($AI223=0,$AM223&gt;0,$AQ223&gt;0), IF(INDEX(BW$12:BW$263,MATCH($AQ223,$AP$12:$AP$263,0))&gt;0,($AM223*INDEX(BW$12:BW$263,MATCH($AQ223,$AP$12:$AP$263,0)))/INDEX($AI$12:$AI$263,MATCH($AQ223,$AP$12:$AP$263,0)), "-"),     TRUE, "0")</f>
        <v>0</v>
      </c>
      <c r="BY223" s="607">
        <f>IF(BX$9&gt;0, IF(OR(BX223="",BX223="-"), 0, BX223*$AT223), BW223*$AJ223)</f>
        <v>0</v>
      </c>
      <c r="BZ223" s="589">
        <f>[1]COMMANDE!AI221</f>
        <v>0</v>
      </c>
      <c r="CA223" s="586" t="str">
        <f>_xlfn.IFS(AND($AI223=$AM223,$AI223&gt;0,$AM223&gt;0,BZ223&gt;0), BZ223,     AND(NOT($AI223=$AM223),$AI223&gt;0,$AM223&gt;0,BZ223&gt;0), ($AM223*BZ223)/$AI223,     AND($AI223=0,$AM223&gt;0,$AQ223&gt;0), IF(INDEX(BZ$12:BZ$263,MATCH($AQ223,$AP$12:$AP$263,0))&gt;0,($AM223*INDEX(BZ$12:BZ$263,MATCH($AQ223,$AP$12:$AP$263,0)))/INDEX($AI$12:$AI$263,MATCH($AQ223,$AP$12:$AP$263,0)), "-"),     TRUE, "0")</f>
        <v>0</v>
      </c>
      <c r="CB223" s="588">
        <f>IF(CA$9&gt;0, IF(OR(CA223="",CA223="-"), 0, CA223*$AT223), BZ223*$AJ223)</f>
        <v>0</v>
      </c>
      <c r="CC223" s="587">
        <f>[1]COMMANDE!AK221</f>
        <v>0</v>
      </c>
      <c r="CD223" s="586" t="str">
        <f>_xlfn.IFS(AND($AI223=$AM223,$AI223&gt;0,$AM223&gt;0,CC223&gt;0), CC223,     AND(NOT($AI223=$AM223),$AI223&gt;0,$AM223&gt;0,CC223&gt;0), ($AM223*CC223)/$AI223,     AND($AI223=0,$AM223&gt;0,$AQ223&gt;0), IF(INDEX(CC$12:CC$263,MATCH($AQ223,$AP$12:$AP$263,0))&gt;0,($AM223*INDEX(CC$12:CC$263,MATCH($AQ223,$AP$12:$AP$263,0)))/INDEX($AI$12:$AI$263,MATCH($AQ223,$AP$12:$AP$263,0)), "-"),     TRUE, "0")</f>
        <v>0</v>
      </c>
      <c r="CE223" s="607">
        <f>IF(CD$9&gt;0, IF(OR(CD223="",CD223="-"), 0, CD223*$AT223), CC223*$AJ223)</f>
        <v>0</v>
      </c>
      <c r="CF223" s="589">
        <f>[1]COMMANDE!AM221</f>
        <v>0</v>
      </c>
      <c r="CG223" s="586" t="str">
        <f>_xlfn.IFS(AND($AI223=$AM223,$AI223&gt;0,$AM223&gt;0,CF223&gt;0), CF223,     AND(NOT($AI223=$AM223),$AI223&gt;0,$AM223&gt;0,CF223&gt;0), ($AM223*CF223)/$AI223,     AND($AI223=0,$AM223&gt;0,$AQ223&gt;0), IF(INDEX(CF$12:CF$263,MATCH($AQ223,$AP$12:$AP$263,0))&gt;0,($AM223*INDEX(CF$12:CF$263,MATCH($AQ223,$AP$12:$AP$263,0)))/INDEX($AI$12:$AI$263,MATCH($AQ223,$AP$12:$AP$263,0)), "-"),     TRUE, "0")</f>
        <v>0</v>
      </c>
      <c r="CH223" s="588">
        <f>IF(CG$9&gt;0, IF(OR(CG223="",CG223="-"), 0, CG223*$AT223), CF223*$AJ223)</f>
        <v>0</v>
      </c>
      <c r="CI223" s="587">
        <f>[1]COMMANDE!AO221</f>
        <v>0</v>
      </c>
      <c r="CJ223" s="586" t="str">
        <f>_xlfn.IFS(AND($AI223=$AM223,$AI223&gt;0,$AM223&gt;0,CI223&gt;0), CI223,     AND(NOT($AI223=$AM223),$AI223&gt;0,$AM223&gt;0,CI223&gt;0), ($AM223*CI223)/$AI223,     AND($AI223=0,$AM223&gt;0,$AQ223&gt;0), IF(INDEX(CI$12:CI$263,MATCH($AQ223,$AP$12:$AP$263,0))&gt;0,($AM223*INDEX(CI$12:CI$263,MATCH($AQ223,$AP$12:$AP$263,0)))/INDEX($AI$12:$AI$263,MATCH($AQ223,$AP$12:$AP$263,0)), "-"),     TRUE, "0")</f>
        <v>0</v>
      </c>
      <c r="CK223" s="607">
        <f>IF(CJ$9&gt;0, IF(OR(CJ223="",CJ223="-"), 0, CJ223*$AT223), CI223*$AJ223)</f>
        <v>0</v>
      </c>
      <c r="CL223" s="589">
        <f>[1]COMMANDE!AQ221</f>
        <v>0</v>
      </c>
      <c r="CM223" s="586" t="str">
        <f>_xlfn.IFS(AND($AI223=$AM223,$AI223&gt;0,$AM223&gt;0,CL223&gt;0), CL223,     AND(NOT($AI223=$AM223),$AI223&gt;0,$AM223&gt;0,CL223&gt;0), ($AM223*CL223)/$AI223,     AND($AI223=0,$AM223&gt;0,$AQ223&gt;0), IF(INDEX(CL$12:CL$263,MATCH($AQ223,$AP$12:$AP$263,0))&gt;0,($AM223*INDEX(CL$12:CL$263,MATCH($AQ223,$AP$12:$AP$263,0)))/INDEX($AI$12:$AI$263,MATCH($AQ223,$AP$12:$AP$263,0)), "-"),     TRUE, "0")</f>
        <v>0</v>
      </c>
      <c r="CN223" s="588">
        <f>IF(CM$9&gt;0, IF(OR(CM223="",CM223="-"), 0, CM223*$AT223), CL223*$AJ223)</f>
        <v>0</v>
      </c>
      <c r="CO223" s="587">
        <f>[1]COMMANDE!AS221</f>
        <v>0</v>
      </c>
      <c r="CP223" s="586" t="str">
        <f>_xlfn.IFS(AND($AI223=$AM223,$AI223&gt;0,$AM223&gt;0,CO223&gt;0), CO223,     AND(NOT($AI223=$AM223),$AI223&gt;0,$AM223&gt;0,CO223&gt;0), ($AM223*CO223)/$AI223,     AND($AI223=0,$AM223&gt;0,$AQ223&gt;0), IF(INDEX(CO$12:CO$263,MATCH($AQ223,$AP$12:$AP$263,0))&gt;0,($AM223*INDEX(CO$12:CO$263,MATCH($AQ223,$AP$12:$AP$263,0)))/INDEX($AI$12:$AI$263,MATCH($AQ223,$AP$12:$AP$263,0)), "-"),     TRUE, "0")</f>
        <v>0</v>
      </c>
      <c r="CQ223" s="607">
        <f>IF(CP$9&gt;0, IF(OR(CP223="",CP223="-"), 0, CP223*$AT223), CO223*$AJ223)</f>
        <v>0</v>
      </c>
      <c r="CR223" s="589">
        <f>[1]COMMANDE!AU221</f>
        <v>0</v>
      </c>
      <c r="CS223" s="586" t="str">
        <f>_xlfn.IFS(AND($AI223=$AM223,$AI223&gt;0,$AM223&gt;0,CR223&gt;0), CR223,     AND(NOT($AI223=$AM223),$AI223&gt;0,$AM223&gt;0,CR223&gt;0), ($AM223*CR223)/$AI223,     AND($AI223=0,$AM223&gt;0,$AQ223&gt;0), IF(INDEX(CR$12:CR$263,MATCH($AQ223,$AP$12:$AP$263,0))&gt;0,($AM223*INDEX(CR$12:CR$263,MATCH($AQ223,$AP$12:$AP$263,0)))/INDEX($AI$12:$AI$263,MATCH($AQ223,$AP$12:$AP$263,0)), "-"),     TRUE, "0")</f>
        <v>0</v>
      </c>
      <c r="CT223" s="588">
        <f>IF(CS$9&gt;0, IF(OR(CS223="",CS223="-"), 0, CS223*$AT223), CR223*$AJ223)</f>
        <v>0</v>
      </c>
      <c r="CU223" s="587">
        <f>[1]COMMANDE!AW221</f>
        <v>0</v>
      </c>
      <c r="CV223" s="586" t="str">
        <f>_xlfn.IFS(AND($AI223=$AM223,$AI223&gt;0,$AM223&gt;0,CU223&gt;0), CU223,     AND(NOT($AI223=$AM223),$AI223&gt;0,$AM223&gt;0,CU223&gt;0), ($AM223*CU223)/$AI223,     AND($AI223=0,$AM223&gt;0,$AQ223&gt;0), IF(INDEX(CU$12:CU$263,MATCH($AQ223,$AP$12:$AP$263,0))&gt;0,($AM223*INDEX(CU$12:CU$263,MATCH($AQ223,$AP$12:$AP$263,0)))/INDEX($AI$12:$AI$263,MATCH($AQ223,$AP$12:$AP$263,0)), "-"),     TRUE, "0")</f>
        <v>0</v>
      </c>
      <c r="CW223" s="607">
        <f>IF(CV$9&gt;0, IF(OR(CV223="",CV223="-"), 0, CV223*$AT223), CU223*$AJ223)</f>
        <v>0</v>
      </c>
      <c r="CX223" s="589">
        <f>[1]COMMANDE!AY221</f>
        <v>0</v>
      </c>
      <c r="CY223" s="586" t="str">
        <f>_xlfn.IFS(AND($AI223=$AM223,$AI223&gt;0,$AM223&gt;0,CX223&gt;0), CX223,     AND(NOT($AI223=$AM223),$AI223&gt;0,$AM223&gt;0,CX223&gt;0), ($AM223*CX223)/$AI223,     AND($AI223=0,$AM223&gt;0,$AQ223&gt;0), IF(INDEX(CX$12:CX$263,MATCH($AQ223,$AP$12:$AP$263,0))&gt;0,($AM223*INDEX(CX$12:CX$263,MATCH($AQ223,$AP$12:$AP$263,0)))/INDEX($AI$12:$AI$263,MATCH($AQ223,$AP$12:$AP$263,0)), "-"),     TRUE, "0")</f>
        <v>0</v>
      </c>
      <c r="CZ223" s="588">
        <f>IF(CY$9&gt;0, IF(OR(CY223="",CY223="-"), 0, CY223*$AT223), CX223*$AJ223)</f>
        <v>0</v>
      </c>
      <c r="DA223" s="587">
        <f>[1]COMMANDE!BA221</f>
        <v>0</v>
      </c>
      <c r="DB223" s="586" t="str">
        <f>_xlfn.IFS(AND($AI223=$AM223,$AI223&gt;0,$AM223&gt;0,DA223&gt;0), DA223,     AND(NOT($AI223=$AM223),$AI223&gt;0,$AM223&gt;0,DA223&gt;0), ($AM223*DA223)/$AI223,     AND($AI223=0,$AM223&gt;0,$AQ223&gt;0), IF(INDEX(DA$12:DA$263,MATCH($AQ223,$AP$12:$AP$263,0))&gt;0,($AM223*INDEX(DA$12:DA$263,MATCH($AQ223,$AP$12:$AP$263,0)))/INDEX($AI$12:$AI$263,MATCH($AQ223,$AP$12:$AP$263,0)), "-"),     TRUE, "0")</f>
        <v>0</v>
      </c>
      <c r="DC223" s="606">
        <f>IF(DB$9&gt;0, IF(OR(DB223="",DB223="-"), 0, DB223*$AT223), DA223*$AJ223)</f>
        <v>0</v>
      </c>
      <c r="DD223" s="584"/>
      <c r="DE223" s="583"/>
    </row>
    <row r="224" spans="1:109" ht="39.950000000000003" hidden="1" customHeight="1">
      <c r="A224" s="604">
        <f>IF(OR($AV224&gt;0, $AX224&gt;0), 1, 0)</f>
        <v>0</v>
      </c>
      <c r="B224" s="604">
        <f>IF(OR($AY224&gt;0, $BA224&gt;0), 1, 0)</f>
        <v>0</v>
      </c>
      <c r="C224" s="604">
        <f>IF(OR($BB224&gt;0, $BD224&gt;0), 1, 0)</f>
        <v>0</v>
      </c>
      <c r="D224" s="604">
        <f>IF(OR($BE224&gt;0, $BG224&gt;0), 1, 0)</f>
        <v>0</v>
      </c>
      <c r="E224" s="604">
        <f>IF(OR($BH224&gt;0, $BJ224&gt;0), 1, 0)</f>
        <v>0</v>
      </c>
      <c r="F224" s="604">
        <f>IF(OR($BK224&gt;0, $BM224&gt;0), 1, 0)</f>
        <v>0</v>
      </c>
      <c r="G224" s="604">
        <f>IF(OR($BN224&gt;0, $BP224&gt;0), 1, 0)</f>
        <v>0</v>
      </c>
      <c r="H224" s="604">
        <f>IF(OR($BQ224&gt;0, $BS224&gt;0), 1, 0)</f>
        <v>0</v>
      </c>
      <c r="I224" s="604">
        <f>IF(OR($BT224&gt;0, $BV224&gt;0), 1, 0)</f>
        <v>0</v>
      </c>
      <c r="J224" s="604">
        <f>IF(OR($BW224&gt;0, $BY224&gt;0), 1, 0)</f>
        <v>0</v>
      </c>
      <c r="K224" s="604">
        <f>IF(OR($BZ224&gt;0, $CB224&gt;0), 1, 0)</f>
        <v>0</v>
      </c>
      <c r="L224" s="604">
        <f>IF(OR($CC224&gt;0, $CE224&gt;0), 1, 0)</f>
        <v>0</v>
      </c>
      <c r="M224" s="604">
        <f>IF(OR($CF224&gt;0, $CH224&gt;0), 1, 0)</f>
        <v>0</v>
      </c>
      <c r="N224" s="604">
        <f>IF(OR($CI224&gt;0, $CK224&gt;0), 1, 0)</f>
        <v>0</v>
      </c>
      <c r="O224" s="604">
        <f>IF(OR($CL224&gt;0, $CN224&gt;0), 1, 0)</f>
        <v>0</v>
      </c>
      <c r="P224" s="604">
        <f>IF(OR($CO224&gt;0, $CQ224&gt;0), 1, 0)</f>
        <v>0</v>
      </c>
      <c r="Q224" s="604">
        <f>IF(OR($CR224&gt;0, $CT224&gt;0), 1, 0)</f>
        <v>0</v>
      </c>
      <c r="R224" s="604">
        <f>IF(OR($CU224&gt;0, $CW224&gt;0), 1, 0)</f>
        <v>0</v>
      </c>
      <c r="S224" s="604">
        <f>IF(OR($CX224&gt;0, $CZ224&gt;0), 1, 0)</f>
        <v>0</v>
      </c>
      <c r="T224" s="604">
        <f>IF(OR($DA224&gt;0, $DC224&gt;0), 1, 0)</f>
        <v>0</v>
      </c>
      <c r="U224" s="603">
        <f>IF(OR($AI224&gt;0,$AM224&gt;0,$AS224&gt;0), 1, 0)</f>
        <v>0</v>
      </c>
      <c r="V224" s="602">
        <f>[1]BDD!A214</f>
        <v>1076</v>
      </c>
      <c r="W224" s="601" t="str">
        <f>[1]BDD!B214</f>
        <v>Poivron vert italien BIO</v>
      </c>
      <c r="X224" s="600" t="str">
        <f>IF([1]BDD!F214=0, "", [1]BDD!F214)</f>
        <v>OFFRE</v>
      </c>
      <c r="Y224" s="542">
        <f>ROUND([1]BDD!G214+FDP_CMD_KG, 2)</f>
        <v>4.01</v>
      </c>
      <c r="Z224" s="542">
        <f>ROUND([1]BDD!G214+FDP_FACT_KG, 2)</f>
        <v>4.01</v>
      </c>
      <c r="AA224" s="543" t="str">
        <f>[1]BDD!H214</f>
        <v>kg</v>
      </c>
      <c r="AB224" s="544">
        <f>IF(NOT(ISBLANK([1]BDD!I214)), ROUND(SUM(([1]BDD!G214*reduc1),FDP_CMD_KG), 2), "")</f>
        <v>3.7</v>
      </c>
      <c r="AC224" s="544" t="str">
        <f>IF(NOT(ISBLANK([1]BDD!J214)), ROUND(SUM(([1]BDD!G214*reduc2),FDP_CMD_KG), 2), "")</f>
        <v/>
      </c>
      <c r="AD224" s="544" t="str">
        <f>IF(NOT(ISBLANK([1]BDD!K214)), ROUND(SUM(([1]BDD!G214*reduc3),FDP_CMD_KG), 2), "")</f>
        <v/>
      </c>
      <c r="AE224" s="544">
        <f>IF(NOT(ISBLANK([1]BDD!I214)), ROUND(SUM(([1]BDD!G214*reduc1),FDP_FACT_KG), 2), "")</f>
        <v>3.69</v>
      </c>
      <c r="AF224" s="544" t="str">
        <f>IF(NOT(ISBLANK([1]BDD!J214)), ROUND(SUM(([1]BDD!G214*reduc2),FDP_FACT_KG), 2), "")</f>
        <v/>
      </c>
      <c r="AG224" s="544" t="str">
        <f>IF(NOT(ISBLANK([1]BDD!K214)), ROUND(SUM(([1]BDD!G214*reduc3),FDP_FACT_KG), 2), "")</f>
        <v/>
      </c>
      <c r="AH224" s="599" t="str">
        <f>[1]BDD!C214</f>
        <v>Malaga</v>
      </c>
      <c r="AI224" s="598">
        <f>SUM(AV224,AY224,BB224,BE224,BH224,BK224,BN224,BQ224,BT224,BW224,BZ224,CC224,CF224,CI224,CL224,CO224,CR224,CU224,CX224,DA224)</f>
        <v>0</v>
      </c>
      <c r="AJ224" s="545">
        <f>_xlfn.IFS($AD224&lt;&gt;"", $AD224,    $AC224&lt;&gt;"", $AC224,    $AB224&lt;&gt;"", $AB224,    TRUE, $Y224)</f>
        <v>3.7</v>
      </c>
      <c r="AK224" s="592">
        <f>$AI224*$AJ224</f>
        <v>0</v>
      </c>
      <c r="AL224" s="594"/>
      <c r="AM224" s="597"/>
      <c r="AN224" s="545">
        <f>_xlfn.IFS(AND(AM224&gt;=60,$AG224&lt;&gt;""), $AG224,    AND(AM224&gt;=30,$AF224&lt;&gt;""), $AF224,    AND(AM224&gt;=10,$AE224&lt;&gt;""), $AE224,    TRUE, $Z224)</f>
        <v>4.01</v>
      </c>
      <c r="AO224" s="596">
        <f>AM224*AN224</f>
        <v>0</v>
      </c>
      <c r="AP224" s="595"/>
      <c r="AQ224" s="595"/>
      <c r="AR224" s="594"/>
      <c r="AS224" s="593">
        <f>SUM(AW224,AZ224,BC224,BF224,BI224,BL224,BO224,BR224,BU224,BX224,CA224,CD224,CG224,CJ224,CM224,CP224,CS224,CV224,CY224,DB224)</f>
        <v>0</v>
      </c>
      <c r="AT224" s="545">
        <f>_xlfn.IFS(AND(AS224&gt;=60,$AG224&lt;&gt;""), $AG224,    AND(AS224&gt;=30,$AF224&lt;&gt;""), $AF224,    AND(AS224&gt;=10,$AE224&lt;&gt;""), $AE224,    TRUE, $Z224)</f>
        <v>4.01</v>
      </c>
      <c r="AU224" s="592">
        <f>$AS224*$AT224</f>
        <v>0</v>
      </c>
      <c r="AV224" s="591">
        <f>[1]COMMANDE!O222</f>
        <v>0</v>
      </c>
      <c r="AW224" s="586" t="str">
        <f>_xlfn.IFS(AND($AI224=$AM224,$AI224&gt;0,$AM224&gt;0,AV224&gt;0), AV224,     AND(NOT($AI224=$AM224),$AI224&gt;0,$AM224&gt;0,AV224&gt;0), ($AM224*AV224)/$AI224,     AND($AI224=0,$AM224&gt;0,$AQ224&gt;0), IF(INDEX(AV$12:AV$263,MATCH($AQ224,$AP$12:$AP$263,0))&gt;0,($AM224*INDEX(AV$12:AV$263,MATCH($AQ224,$AP$12:$AP$263,0)))/INDEX($AI$12:$AI$263,MATCH($AQ224,$AP$12:$AP$263,0)), "-"),     TRUE, "0")</f>
        <v>0</v>
      </c>
      <c r="AX224" s="588">
        <f>IF(AW$9&gt;0, IF(OR(AW224="",AW224="-"), 0, AW224*$AT224), AV224*$AJ224)</f>
        <v>0</v>
      </c>
      <c r="AY224" s="587">
        <f>[1]COMMANDE!Q222</f>
        <v>0</v>
      </c>
      <c r="AZ224" s="586" t="str">
        <f>_xlfn.IFS(AND($AI224=$AM224,$AI224&gt;0,$AM224&gt;0,AY224&gt;0), AY224,     AND(NOT($AI224=$AM224),$AI224&gt;0,$AM224&gt;0,AY224&gt;0), ($AM224*AY224)/$AI224,     AND($AI224=0,$AM224&gt;0,$AQ224&gt;0), IF(INDEX(AY$12:AY$263,MATCH($AQ224,$AP$12:$AP$263,0))&gt;0,($AM224*INDEX(AY$12:AY$263,MATCH($AQ224,$AP$12:$AP$263,0)))/INDEX($AI$12:$AI$263,MATCH($AQ224,$AP$12:$AP$263,0)), "-"),     TRUE, "0")</f>
        <v>0</v>
      </c>
      <c r="BA224" s="607">
        <f>IF(AZ$9&gt;0, IF(OR(AZ224="",AZ224="-"), 0, AZ224*$AT224), AY224*$AJ224)</f>
        <v>0</v>
      </c>
      <c r="BB224" s="589">
        <f>[1]COMMANDE!S222</f>
        <v>0</v>
      </c>
      <c r="BC224" s="586" t="str">
        <f>_xlfn.IFS(AND($AI224=$AM224,$AI224&gt;0,$AM224&gt;0,BB224&gt;0), BB224,     AND(NOT($AI224=$AM224),$AI224&gt;0,$AM224&gt;0,BB224&gt;0), ($AM224*BB224)/$AI224,     AND($AI224=0,$AM224&gt;0,$AQ224&gt;0), IF(INDEX(BB$12:BB$263,MATCH($AQ224,$AP$12:$AP$263,0))&gt;0,($AM224*INDEX(BB$12:BB$263,MATCH($AQ224,$AP$12:$AP$263,0)))/INDEX($AI$12:$AI$263,MATCH($AQ224,$AP$12:$AP$263,0)), "-"),     TRUE, "0")</f>
        <v>0</v>
      </c>
      <c r="BD224" s="588">
        <f>IF(BC$9&gt;0, IF(OR(BC224="",BC224="-"), 0, BC224*$AT224), BB224*$AJ224)</f>
        <v>0</v>
      </c>
      <c r="BE224" s="587">
        <f>[1]COMMANDE!U222</f>
        <v>0</v>
      </c>
      <c r="BF224" s="586" t="str">
        <f>_xlfn.IFS(AND($AI224=$AM224,$AI224&gt;0,$AM224&gt;0,BE224&gt;0), BE224,     AND(NOT($AI224=$AM224),$AI224&gt;0,$AM224&gt;0,BE224&gt;0), ($AM224*BE224)/$AI224,     AND($AI224=0,$AM224&gt;0,$AQ224&gt;0), IF(INDEX(BE$12:BE$263,MATCH($AQ224,$AP$12:$AP$263,0))&gt;0,($AM224*INDEX(BE$12:BE$263,MATCH($AQ224,$AP$12:$AP$263,0)))/INDEX($AI$12:$AI$263,MATCH($AQ224,$AP$12:$AP$263,0)), "-"),     TRUE, "0")</f>
        <v>0</v>
      </c>
      <c r="BG224" s="607">
        <f>IF(BF$9&gt;0, IF(OR(BF224="",BF224="-"), 0, BF224*$AT224), BE224*$AJ224)</f>
        <v>0</v>
      </c>
      <c r="BH224" s="589">
        <f>[1]COMMANDE!W222</f>
        <v>0</v>
      </c>
      <c r="BI224" s="586" t="str">
        <f>_xlfn.IFS(AND($AI224=$AM224,$AI224&gt;0,$AM224&gt;0,BH224&gt;0), BH224,     AND(NOT($AI224=$AM224),$AI224&gt;0,$AM224&gt;0,BH224&gt;0), ($AM224*BH224)/$AI224,     AND($AI224=0,$AM224&gt;0,$AQ224&gt;0), IF(INDEX(BH$12:BH$263,MATCH($AQ224,$AP$12:$AP$263,0))&gt;0,($AM224*INDEX(BH$12:BH$263,MATCH($AQ224,$AP$12:$AP$263,0)))/INDEX($AI$12:$AI$263,MATCH($AQ224,$AP$12:$AP$263,0)), "-"),     TRUE, "0")</f>
        <v>0</v>
      </c>
      <c r="BJ224" s="588">
        <f>IF(BI$9&gt;0, IF(OR(BI224="",BI224="-"), 0, BI224*$AT224), BH224*$AJ224)</f>
        <v>0</v>
      </c>
      <c r="BK224" s="587">
        <f>[1]COMMANDE!Y222</f>
        <v>0</v>
      </c>
      <c r="BL224" s="586" t="str">
        <f>_xlfn.IFS(AND($AI224=$AM224,$AI224&gt;0,$AM224&gt;0,BK224&gt;0), BK224,     AND(NOT($AI224=$AM224),$AI224&gt;0,$AM224&gt;0,BK224&gt;0), ($AM224*BK224)/$AI224,     AND($AI224=0,$AM224&gt;0,$AQ224&gt;0), IF(INDEX(BK$12:BK$263,MATCH($AQ224,$AP$12:$AP$263,0))&gt;0,($AM224*INDEX(BK$12:BK$263,MATCH($AQ224,$AP$12:$AP$263,0)))/INDEX($AI$12:$AI$263,MATCH($AQ224,$AP$12:$AP$263,0)), "-"),     TRUE, "0")</f>
        <v>0</v>
      </c>
      <c r="BM224" s="607">
        <f>IF(BL$9&gt;0, IF(OR(BL224="",BL224="-"), 0, BL224*$AT224), BK224*$AJ224)</f>
        <v>0</v>
      </c>
      <c r="BN224" s="589">
        <f>[1]COMMANDE!AA222</f>
        <v>0</v>
      </c>
      <c r="BO224" s="586" t="str">
        <f>_xlfn.IFS(AND($AI224=$AM224,$AI224&gt;0,$AM224&gt;0,BN224&gt;0), BN224,     AND(NOT($AI224=$AM224),$AI224&gt;0,$AM224&gt;0,BN224&gt;0), ($AM224*BN224)/$AI224,     AND($AI224=0,$AM224&gt;0,$AQ224&gt;0), IF(INDEX(BN$12:BN$263,MATCH($AQ224,$AP$12:$AP$263,0))&gt;0,($AM224*INDEX(BN$12:BN$263,MATCH($AQ224,$AP$12:$AP$263,0)))/INDEX($AI$12:$AI$263,MATCH($AQ224,$AP$12:$AP$263,0)), "-"),     TRUE, "0")</f>
        <v>0</v>
      </c>
      <c r="BP224" s="588">
        <f>IF(BO$9&gt;0, IF(OR(BO224="",BO224="-"), 0, BO224*$AT224), BN224*$AJ224)</f>
        <v>0</v>
      </c>
      <c r="BQ224" s="587">
        <f>[1]COMMANDE!AC222</f>
        <v>0</v>
      </c>
      <c r="BR224" s="586" t="str">
        <f>_xlfn.IFS(AND($AI224=$AM224,$AI224&gt;0,$AM224&gt;0,BQ224&gt;0), BQ224,     AND(NOT($AI224=$AM224),$AI224&gt;0,$AM224&gt;0,BQ224&gt;0), ($AM224*BQ224)/$AI224,     AND($AI224=0,$AM224&gt;0,$AQ224&gt;0), IF(INDEX(BQ$12:BQ$263,MATCH($AQ224,$AP$12:$AP$263,0))&gt;0,($AM224*INDEX(BQ$12:BQ$263,MATCH($AQ224,$AP$12:$AP$263,0)))/INDEX($AI$12:$AI$263,MATCH($AQ224,$AP$12:$AP$263,0)), "-"),     TRUE, "0")</f>
        <v>0</v>
      </c>
      <c r="BS224" s="607">
        <f>IF(BR$9&gt;0, IF(OR(BR224="",BR224="-"), 0, BR224*$AT224), BQ224*$AJ224)</f>
        <v>0</v>
      </c>
      <c r="BT224" s="589">
        <f>[1]COMMANDE!AE222</f>
        <v>0</v>
      </c>
      <c r="BU224" s="586" t="str">
        <f>_xlfn.IFS(AND($AI224=$AM224,$AI224&gt;0,$AM224&gt;0,BT224&gt;0), BT224,     AND(NOT($AI224=$AM224),$AI224&gt;0,$AM224&gt;0,BT224&gt;0), ($AM224*BT224)/$AI224,     AND($AI224=0,$AM224&gt;0,$AQ224&gt;0), IF(INDEX(BT$12:BT$263,MATCH($AQ224,$AP$12:$AP$263,0))&gt;0,($AM224*INDEX(BT$12:BT$263,MATCH($AQ224,$AP$12:$AP$263,0)))/INDEX($AI$12:$AI$263,MATCH($AQ224,$AP$12:$AP$263,0)), "-"),     TRUE, "0")</f>
        <v>0</v>
      </c>
      <c r="BV224" s="588">
        <f>IF(BU$9&gt;0, IF(OR(BU224="",BU224="-"), 0, BU224*$AT224), BT224*$AJ224)</f>
        <v>0</v>
      </c>
      <c r="BW224" s="587">
        <f>[1]COMMANDE!AG222</f>
        <v>0</v>
      </c>
      <c r="BX224" s="586" t="str">
        <f>_xlfn.IFS(AND($AI224=$AM224,$AI224&gt;0,$AM224&gt;0,BW224&gt;0), BW224,     AND(NOT($AI224=$AM224),$AI224&gt;0,$AM224&gt;0,BW224&gt;0), ($AM224*BW224)/$AI224,     AND($AI224=0,$AM224&gt;0,$AQ224&gt;0), IF(INDEX(BW$12:BW$263,MATCH($AQ224,$AP$12:$AP$263,0))&gt;0,($AM224*INDEX(BW$12:BW$263,MATCH($AQ224,$AP$12:$AP$263,0)))/INDEX($AI$12:$AI$263,MATCH($AQ224,$AP$12:$AP$263,0)), "-"),     TRUE, "0")</f>
        <v>0</v>
      </c>
      <c r="BY224" s="607">
        <f>IF(BX$9&gt;0, IF(OR(BX224="",BX224="-"), 0, BX224*$AT224), BW224*$AJ224)</f>
        <v>0</v>
      </c>
      <c r="BZ224" s="589">
        <f>[1]COMMANDE!AI222</f>
        <v>0</v>
      </c>
      <c r="CA224" s="586" t="str">
        <f>_xlfn.IFS(AND($AI224=$AM224,$AI224&gt;0,$AM224&gt;0,BZ224&gt;0), BZ224,     AND(NOT($AI224=$AM224),$AI224&gt;0,$AM224&gt;0,BZ224&gt;0), ($AM224*BZ224)/$AI224,     AND($AI224=0,$AM224&gt;0,$AQ224&gt;0), IF(INDEX(BZ$12:BZ$263,MATCH($AQ224,$AP$12:$AP$263,0))&gt;0,($AM224*INDEX(BZ$12:BZ$263,MATCH($AQ224,$AP$12:$AP$263,0)))/INDEX($AI$12:$AI$263,MATCH($AQ224,$AP$12:$AP$263,0)), "-"),     TRUE, "0")</f>
        <v>0</v>
      </c>
      <c r="CB224" s="588">
        <f>IF(CA$9&gt;0, IF(OR(CA224="",CA224="-"), 0, CA224*$AT224), BZ224*$AJ224)</f>
        <v>0</v>
      </c>
      <c r="CC224" s="587">
        <f>[1]COMMANDE!AK222</f>
        <v>0</v>
      </c>
      <c r="CD224" s="586" t="str">
        <f>_xlfn.IFS(AND($AI224=$AM224,$AI224&gt;0,$AM224&gt;0,CC224&gt;0), CC224,     AND(NOT($AI224=$AM224),$AI224&gt;0,$AM224&gt;0,CC224&gt;0), ($AM224*CC224)/$AI224,     AND($AI224=0,$AM224&gt;0,$AQ224&gt;0), IF(INDEX(CC$12:CC$263,MATCH($AQ224,$AP$12:$AP$263,0))&gt;0,($AM224*INDEX(CC$12:CC$263,MATCH($AQ224,$AP$12:$AP$263,0)))/INDEX($AI$12:$AI$263,MATCH($AQ224,$AP$12:$AP$263,0)), "-"),     TRUE, "0")</f>
        <v>0</v>
      </c>
      <c r="CE224" s="607">
        <f>IF(CD$9&gt;0, IF(OR(CD224="",CD224="-"), 0, CD224*$AT224), CC224*$AJ224)</f>
        <v>0</v>
      </c>
      <c r="CF224" s="589">
        <f>[1]COMMANDE!AM222</f>
        <v>0</v>
      </c>
      <c r="CG224" s="586" t="str">
        <f>_xlfn.IFS(AND($AI224=$AM224,$AI224&gt;0,$AM224&gt;0,CF224&gt;0), CF224,     AND(NOT($AI224=$AM224),$AI224&gt;0,$AM224&gt;0,CF224&gt;0), ($AM224*CF224)/$AI224,     AND($AI224=0,$AM224&gt;0,$AQ224&gt;0), IF(INDEX(CF$12:CF$263,MATCH($AQ224,$AP$12:$AP$263,0))&gt;0,($AM224*INDEX(CF$12:CF$263,MATCH($AQ224,$AP$12:$AP$263,0)))/INDEX($AI$12:$AI$263,MATCH($AQ224,$AP$12:$AP$263,0)), "-"),     TRUE, "0")</f>
        <v>0</v>
      </c>
      <c r="CH224" s="588">
        <f>IF(CG$9&gt;0, IF(OR(CG224="",CG224="-"), 0, CG224*$AT224), CF224*$AJ224)</f>
        <v>0</v>
      </c>
      <c r="CI224" s="587">
        <f>[1]COMMANDE!AO222</f>
        <v>0</v>
      </c>
      <c r="CJ224" s="586" t="str">
        <f>_xlfn.IFS(AND($AI224=$AM224,$AI224&gt;0,$AM224&gt;0,CI224&gt;0), CI224,     AND(NOT($AI224=$AM224),$AI224&gt;0,$AM224&gt;0,CI224&gt;0), ($AM224*CI224)/$AI224,     AND($AI224=0,$AM224&gt;0,$AQ224&gt;0), IF(INDEX(CI$12:CI$263,MATCH($AQ224,$AP$12:$AP$263,0))&gt;0,($AM224*INDEX(CI$12:CI$263,MATCH($AQ224,$AP$12:$AP$263,0)))/INDEX($AI$12:$AI$263,MATCH($AQ224,$AP$12:$AP$263,0)), "-"),     TRUE, "0")</f>
        <v>0</v>
      </c>
      <c r="CK224" s="607">
        <f>IF(CJ$9&gt;0, IF(OR(CJ224="",CJ224="-"), 0, CJ224*$AT224), CI224*$AJ224)</f>
        <v>0</v>
      </c>
      <c r="CL224" s="589">
        <f>[1]COMMANDE!AQ222</f>
        <v>0</v>
      </c>
      <c r="CM224" s="586" t="str">
        <f>_xlfn.IFS(AND($AI224=$AM224,$AI224&gt;0,$AM224&gt;0,CL224&gt;0), CL224,     AND(NOT($AI224=$AM224),$AI224&gt;0,$AM224&gt;0,CL224&gt;0), ($AM224*CL224)/$AI224,     AND($AI224=0,$AM224&gt;0,$AQ224&gt;0), IF(INDEX(CL$12:CL$263,MATCH($AQ224,$AP$12:$AP$263,0))&gt;0,($AM224*INDEX(CL$12:CL$263,MATCH($AQ224,$AP$12:$AP$263,0)))/INDEX($AI$12:$AI$263,MATCH($AQ224,$AP$12:$AP$263,0)), "-"),     TRUE, "0")</f>
        <v>0</v>
      </c>
      <c r="CN224" s="588">
        <f>IF(CM$9&gt;0, IF(OR(CM224="",CM224="-"), 0, CM224*$AT224), CL224*$AJ224)</f>
        <v>0</v>
      </c>
      <c r="CO224" s="587">
        <f>[1]COMMANDE!AS222</f>
        <v>0</v>
      </c>
      <c r="CP224" s="586" t="str">
        <f>_xlfn.IFS(AND($AI224=$AM224,$AI224&gt;0,$AM224&gt;0,CO224&gt;0), CO224,     AND(NOT($AI224=$AM224),$AI224&gt;0,$AM224&gt;0,CO224&gt;0), ($AM224*CO224)/$AI224,     AND($AI224=0,$AM224&gt;0,$AQ224&gt;0), IF(INDEX(CO$12:CO$263,MATCH($AQ224,$AP$12:$AP$263,0))&gt;0,($AM224*INDEX(CO$12:CO$263,MATCH($AQ224,$AP$12:$AP$263,0)))/INDEX($AI$12:$AI$263,MATCH($AQ224,$AP$12:$AP$263,0)), "-"),     TRUE, "0")</f>
        <v>0</v>
      </c>
      <c r="CQ224" s="607">
        <f>IF(CP$9&gt;0, IF(OR(CP224="",CP224="-"), 0, CP224*$AT224), CO224*$AJ224)</f>
        <v>0</v>
      </c>
      <c r="CR224" s="589">
        <f>[1]COMMANDE!AU222</f>
        <v>0</v>
      </c>
      <c r="CS224" s="586" t="str">
        <f>_xlfn.IFS(AND($AI224=$AM224,$AI224&gt;0,$AM224&gt;0,CR224&gt;0), CR224,     AND(NOT($AI224=$AM224),$AI224&gt;0,$AM224&gt;0,CR224&gt;0), ($AM224*CR224)/$AI224,     AND($AI224=0,$AM224&gt;0,$AQ224&gt;0), IF(INDEX(CR$12:CR$263,MATCH($AQ224,$AP$12:$AP$263,0))&gt;0,($AM224*INDEX(CR$12:CR$263,MATCH($AQ224,$AP$12:$AP$263,0)))/INDEX($AI$12:$AI$263,MATCH($AQ224,$AP$12:$AP$263,0)), "-"),     TRUE, "0")</f>
        <v>0</v>
      </c>
      <c r="CT224" s="588">
        <f>IF(CS$9&gt;0, IF(OR(CS224="",CS224="-"), 0, CS224*$AT224), CR224*$AJ224)</f>
        <v>0</v>
      </c>
      <c r="CU224" s="587">
        <f>[1]COMMANDE!AW222</f>
        <v>0</v>
      </c>
      <c r="CV224" s="586" t="str">
        <f>_xlfn.IFS(AND($AI224=$AM224,$AI224&gt;0,$AM224&gt;0,CU224&gt;0), CU224,     AND(NOT($AI224=$AM224),$AI224&gt;0,$AM224&gt;0,CU224&gt;0), ($AM224*CU224)/$AI224,     AND($AI224=0,$AM224&gt;0,$AQ224&gt;0), IF(INDEX(CU$12:CU$263,MATCH($AQ224,$AP$12:$AP$263,0))&gt;0,($AM224*INDEX(CU$12:CU$263,MATCH($AQ224,$AP$12:$AP$263,0)))/INDEX($AI$12:$AI$263,MATCH($AQ224,$AP$12:$AP$263,0)), "-"),     TRUE, "0")</f>
        <v>0</v>
      </c>
      <c r="CW224" s="607">
        <f>IF(CV$9&gt;0, IF(OR(CV224="",CV224="-"), 0, CV224*$AT224), CU224*$AJ224)</f>
        <v>0</v>
      </c>
      <c r="CX224" s="589">
        <f>[1]COMMANDE!AY222</f>
        <v>0</v>
      </c>
      <c r="CY224" s="586" t="str">
        <f>_xlfn.IFS(AND($AI224=$AM224,$AI224&gt;0,$AM224&gt;0,CX224&gt;0), CX224,     AND(NOT($AI224=$AM224),$AI224&gt;0,$AM224&gt;0,CX224&gt;0), ($AM224*CX224)/$AI224,     AND($AI224=0,$AM224&gt;0,$AQ224&gt;0), IF(INDEX(CX$12:CX$263,MATCH($AQ224,$AP$12:$AP$263,0))&gt;0,($AM224*INDEX(CX$12:CX$263,MATCH($AQ224,$AP$12:$AP$263,0)))/INDEX($AI$12:$AI$263,MATCH($AQ224,$AP$12:$AP$263,0)), "-"),     TRUE, "0")</f>
        <v>0</v>
      </c>
      <c r="CZ224" s="588">
        <f>IF(CY$9&gt;0, IF(OR(CY224="",CY224="-"), 0, CY224*$AT224), CX224*$AJ224)</f>
        <v>0</v>
      </c>
      <c r="DA224" s="587">
        <f>[1]COMMANDE!BA222</f>
        <v>0</v>
      </c>
      <c r="DB224" s="586" t="str">
        <f>_xlfn.IFS(AND($AI224=$AM224,$AI224&gt;0,$AM224&gt;0,DA224&gt;0), DA224,     AND(NOT($AI224=$AM224),$AI224&gt;0,$AM224&gt;0,DA224&gt;0), ($AM224*DA224)/$AI224,     AND($AI224=0,$AM224&gt;0,$AQ224&gt;0), IF(INDEX(DA$12:DA$263,MATCH($AQ224,$AP$12:$AP$263,0))&gt;0,($AM224*INDEX(DA$12:DA$263,MATCH($AQ224,$AP$12:$AP$263,0)))/INDEX($AI$12:$AI$263,MATCH($AQ224,$AP$12:$AP$263,0)), "-"),     TRUE, "0")</f>
        <v>0</v>
      </c>
      <c r="DC224" s="606">
        <f>IF(DB$9&gt;0, IF(OR(DB224="",DB224="-"), 0, DB224*$AT224), DA224*$AJ224)</f>
        <v>0</v>
      </c>
      <c r="DD224" s="584"/>
      <c r="DE224" s="583"/>
    </row>
    <row r="225" spans="1:109" ht="39.950000000000003" hidden="1" customHeight="1">
      <c r="A225" s="605">
        <f>IF(OR($AV225&gt;0, $AX225&gt;0), 1, 0)</f>
        <v>0</v>
      </c>
      <c r="B225" s="605">
        <f>IF(OR($AY225&gt;0, $BA225&gt;0), 1, 0)</f>
        <v>0</v>
      </c>
      <c r="C225" s="605">
        <f>IF(OR($BB225&gt;0, $BD225&gt;0), 1, 0)</f>
        <v>0</v>
      </c>
      <c r="D225" s="605">
        <f>IF(OR($BE225&gt;0, $BG225&gt;0), 1, 0)</f>
        <v>0</v>
      </c>
      <c r="E225" s="605">
        <f>IF(OR($BH225&gt;0, $BJ225&gt;0), 1, 0)</f>
        <v>0</v>
      </c>
      <c r="F225" s="605">
        <f>IF(OR($BK225&gt;0, $BM225&gt;0), 1, 0)</f>
        <v>0</v>
      </c>
      <c r="G225" s="605">
        <f>IF(OR($BN225&gt;0, $BP225&gt;0), 1, 0)</f>
        <v>0</v>
      </c>
      <c r="H225" s="605">
        <f>IF(OR($BQ225&gt;0, $BS225&gt;0), 1, 0)</f>
        <v>0</v>
      </c>
      <c r="I225" s="605">
        <f>IF(OR($BT225&gt;0, $BV225&gt;0), 1, 0)</f>
        <v>0</v>
      </c>
      <c r="J225" s="605">
        <f>IF(OR($BW225&gt;0, $BY225&gt;0), 1, 0)</f>
        <v>0</v>
      </c>
      <c r="K225" s="605">
        <f>IF(OR($BZ225&gt;0, $CB225&gt;0), 1, 0)</f>
        <v>0</v>
      </c>
      <c r="L225" s="605">
        <f>IF(OR($CC225&gt;0, $CE225&gt;0), 1, 0)</f>
        <v>0</v>
      </c>
      <c r="M225" s="605">
        <f>IF(OR($CF225&gt;0, $CH225&gt;0), 1, 0)</f>
        <v>0</v>
      </c>
      <c r="N225" s="605">
        <f>IF(OR($CI225&gt;0, $CK225&gt;0), 1, 0)</f>
        <v>0</v>
      </c>
      <c r="O225" s="605">
        <f>IF(OR($CL225&gt;0, $CN225&gt;0), 1, 0)</f>
        <v>0</v>
      </c>
      <c r="P225" s="604">
        <f>IF(OR($CO225&gt;0, $CQ225&gt;0), 1, 0)</f>
        <v>0</v>
      </c>
      <c r="Q225" s="604">
        <f>IF(OR($CR225&gt;0, $CT225&gt;0), 1, 0)</f>
        <v>0</v>
      </c>
      <c r="R225" s="604">
        <f>IF(OR($CU225&gt;0, $CW225&gt;0), 1, 0)</f>
        <v>0</v>
      </c>
      <c r="S225" s="604">
        <f>IF(OR($CX225&gt;0, $CZ225&gt;0), 1, 0)</f>
        <v>0</v>
      </c>
      <c r="T225" s="604">
        <f>IF(OR($DA225&gt;0, $DC225&gt;0), 1, 0)</f>
        <v>0</v>
      </c>
      <c r="U225" s="603">
        <f>IF(OR($AI225&gt;0,$AM225&gt;0,$AS225&gt;0), 1, 0)</f>
        <v>0</v>
      </c>
      <c r="V225" s="602">
        <f>[1]BDD!A215</f>
        <v>6041</v>
      </c>
      <c r="W225" s="601" t="str">
        <f>[1]BDD!B215</f>
        <v>Polen Frais BIO (bocal 500g)</v>
      </c>
      <c r="X225" s="600" t="str">
        <f>IF([1]BDD!F215=0, "", [1]BDD!F215)</f>
        <v>❤️</v>
      </c>
      <c r="Y225" s="542">
        <f>ROUND([1]BDD!G215+FDP_CMD_KG, 2)</f>
        <v>18.649999999999999</v>
      </c>
      <c r="Z225" s="542">
        <f>ROUND([1]BDD!G215+FDP_FACT_KG, 2)</f>
        <v>18.649999999999999</v>
      </c>
      <c r="AA225" s="543" t="str">
        <f>[1]BDD!H215</f>
        <v>Pièce</v>
      </c>
      <c r="AB225" s="544" t="str">
        <f>IF(NOT(ISBLANK([1]BDD!I215)), ROUND(SUM(([1]BDD!G215*reduc1),FDP_CMD_KG), 2), "")</f>
        <v/>
      </c>
      <c r="AC225" s="544" t="str">
        <f>IF(NOT(ISBLANK([1]BDD!J215)), ROUND(SUM(([1]BDD!G215*reduc2),FDP_CMD_KG), 2), "")</f>
        <v/>
      </c>
      <c r="AD225" s="544" t="str">
        <f>IF(NOT(ISBLANK([1]BDD!K215)), ROUND(SUM(([1]BDD!G215*reduc3),FDP_CMD_KG), 2), "")</f>
        <v/>
      </c>
      <c r="AE225" s="544" t="str">
        <f>IF(NOT(ISBLANK([1]BDD!I215)), ROUND(SUM(([1]BDD!G215*reduc1),FDP_FACT_KG), 2), "")</f>
        <v/>
      </c>
      <c r="AF225" s="544" t="str">
        <f>IF(NOT(ISBLANK([1]BDD!J215)), ROUND(SUM(([1]BDD!G215*reduc2),FDP_FACT_KG), 2), "")</f>
        <v/>
      </c>
      <c r="AG225" s="544" t="str">
        <f>IF(NOT(ISBLANK([1]BDD!K215)), ROUND(SUM(([1]BDD!G215*reduc3),FDP_FACT_KG), 2), "")</f>
        <v/>
      </c>
      <c r="AH225" s="599" t="str">
        <f>[1]BDD!C215</f>
        <v>Cordoue</v>
      </c>
      <c r="AI225" s="598">
        <f>SUM(AV225,AY225,BB225,BE225,BH225,BK225,BN225,BQ225,BT225,BW225,BZ225,CC225,CF225,CI225,CL225,CO225,CR225,CU225,CX225,DA225)</f>
        <v>0</v>
      </c>
      <c r="AJ225" s="545">
        <f>_xlfn.IFS($AD225&lt;&gt;"", $AD225,    $AC225&lt;&gt;"", $AC225,    $AB225&lt;&gt;"", $AB225,    TRUE, $Y225)</f>
        <v>18.649999999999999</v>
      </c>
      <c r="AK225" s="592">
        <f>$AI225*$AJ225</f>
        <v>0</v>
      </c>
      <c r="AL225" s="594"/>
      <c r="AM225" s="597"/>
      <c r="AN225" s="545">
        <f>_xlfn.IFS(AND(AM225&gt;=60,$AG225&lt;&gt;""), $AG225,    AND(AM225&gt;=30,$AF225&lt;&gt;""), $AF225,    AND(AM225&gt;=10,$AE225&lt;&gt;""), $AE225,    TRUE, $Z225)</f>
        <v>18.649999999999999</v>
      </c>
      <c r="AO225" s="596">
        <f>AM225*AN225</f>
        <v>0</v>
      </c>
      <c r="AP225" s="595"/>
      <c r="AQ225" s="595"/>
      <c r="AR225" s="594"/>
      <c r="AS225" s="593">
        <f>SUM(AW225,AZ225,BC225,BF225,BI225,BL225,BO225,BR225,BU225,BX225,CA225,CD225,CG225,CJ225,CM225,CP225,CS225,CV225,CY225,DB225)</f>
        <v>0</v>
      </c>
      <c r="AT225" s="545">
        <f>_xlfn.IFS(AND(AS225&gt;=60,$AG225&lt;&gt;""), $AG225,    AND(AS225&gt;=30,$AF225&lt;&gt;""), $AF225,    AND(AS225&gt;=10,$AE225&lt;&gt;""), $AE225,    TRUE, $Z225)</f>
        <v>18.649999999999999</v>
      </c>
      <c r="AU225" s="592">
        <f>$AS225*$AT225</f>
        <v>0</v>
      </c>
      <c r="AV225" s="591">
        <f>[1]COMMANDE!O223</f>
        <v>0</v>
      </c>
      <c r="AW225" s="586" t="str">
        <f>_xlfn.IFS(AND($AI225=$AM225,$AI225&gt;0,$AM225&gt;0,AV225&gt;0), AV225,     AND(NOT($AI225=$AM225),$AI225&gt;0,$AM225&gt;0,AV225&gt;0), ($AM225*AV225)/$AI225,     AND($AI225=0,$AM225&gt;0,$AQ225&gt;0), IF(INDEX(AV$12:AV$263,MATCH($AQ225,$AP$12:$AP$263,0))&gt;0,($AM225*INDEX(AV$12:AV$263,MATCH($AQ225,$AP$12:$AP$263,0)))/INDEX($AI$12:$AI$263,MATCH($AQ225,$AP$12:$AP$263,0)), "-"),     TRUE, "0")</f>
        <v>0</v>
      </c>
      <c r="AX225" s="588">
        <f>IF(AW$9&gt;0, IF(OR(AW225="",AW225="-"), 0, AW225*$AT225), AV225*$AJ225)</f>
        <v>0</v>
      </c>
      <c r="AY225" s="587">
        <f>[1]COMMANDE!Q223</f>
        <v>0</v>
      </c>
      <c r="AZ225" s="586" t="str">
        <f>_xlfn.IFS(AND($AI225=$AM225,$AI225&gt;0,$AM225&gt;0,AY225&gt;0), AY225,     AND(NOT($AI225=$AM225),$AI225&gt;0,$AM225&gt;0,AY225&gt;0), ($AM225*AY225)/$AI225,     AND($AI225=0,$AM225&gt;0,$AQ225&gt;0), IF(INDEX(AY$12:AY$263,MATCH($AQ225,$AP$12:$AP$263,0))&gt;0,($AM225*INDEX(AY$12:AY$263,MATCH($AQ225,$AP$12:$AP$263,0)))/INDEX($AI$12:$AI$263,MATCH($AQ225,$AP$12:$AP$263,0)), "-"),     TRUE, "0")</f>
        <v>0</v>
      </c>
      <c r="BA225" s="607">
        <f>IF(AZ$9&gt;0, IF(OR(AZ225="",AZ225="-"), 0, AZ225*$AT225), AY225*$AJ225)</f>
        <v>0</v>
      </c>
      <c r="BB225" s="589">
        <f>[1]COMMANDE!S223</f>
        <v>0</v>
      </c>
      <c r="BC225" s="586" t="str">
        <f>_xlfn.IFS(AND($AI225=$AM225,$AI225&gt;0,$AM225&gt;0,BB225&gt;0), BB225,     AND(NOT($AI225=$AM225),$AI225&gt;0,$AM225&gt;0,BB225&gt;0), ($AM225*BB225)/$AI225,     AND($AI225=0,$AM225&gt;0,$AQ225&gt;0), IF(INDEX(BB$12:BB$263,MATCH($AQ225,$AP$12:$AP$263,0))&gt;0,($AM225*INDEX(BB$12:BB$263,MATCH($AQ225,$AP$12:$AP$263,0)))/INDEX($AI$12:$AI$263,MATCH($AQ225,$AP$12:$AP$263,0)), "-"),     TRUE, "0")</f>
        <v>0</v>
      </c>
      <c r="BD225" s="588">
        <f>IF(BC$9&gt;0, IF(OR(BC225="",BC225="-"), 0, BC225*$AT225), BB225*$AJ225)</f>
        <v>0</v>
      </c>
      <c r="BE225" s="587">
        <f>[1]COMMANDE!U223</f>
        <v>0</v>
      </c>
      <c r="BF225" s="586" t="str">
        <f>_xlfn.IFS(AND($AI225=$AM225,$AI225&gt;0,$AM225&gt;0,BE225&gt;0), BE225,     AND(NOT($AI225=$AM225),$AI225&gt;0,$AM225&gt;0,BE225&gt;0), ($AM225*BE225)/$AI225,     AND($AI225=0,$AM225&gt;0,$AQ225&gt;0), IF(INDEX(BE$12:BE$263,MATCH($AQ225,$AP$12:$AP$263,0))&gt;0,($AM225*INDEX(BE$12:BE$263,MATCH($AQ225,$AP$12:$AP$263,0)))/INDEX($AI$12:$AI$263,MATCH($AQ225,$AP$12:$AP$263,0)), "-"),     TRUE, "0")</f>
        <v>0</v>
      </c>
      <c r="BG225" s="607">
        <f>IF(BF$9&gt;0, IF(OR(BF225="",BF225="-"), 0, BF225*$AT225), BE225*$AJ225)</f>
        <v>0</v>
      </c>
      <c r="BH225" s="589">
        <f>[1]COMMANDE!W223</f>
        <v>0</v>
      </c>
      <c r="BI225" s="586" t="str">
        <f>_xlfn.IFS(AND($AI225=$AM225,$AI225&gt;0,$AM225&gt;0,BH225&gt;0), BH225,     AND(NOT($AI225=$AM225),$AI225&gt;0,$AM225&gt;0,BH225&gt;0), ($AM225*BH225)/$AI225,     AND($AI225=0,$AM225&gt;0,$AQ225&gt;0), IF(INDEX(BH$12:BH$263,MATCH($AQ225,$AP$12:$AP$263,0))&gt;0,($AM225*INDEX(BH$12:BH$263,MATCH($AQ225,$AP$12:$AP$263,0)))/INDEX($AI$12:$AI$263,MATCH($AQ225,$AP$12:$AP$263,0)), "-"),     TRUE, "0")</f>
        <v>0</v>
      </c>
      <c r="BJ225" s="588">
        <f>IF(BI$9&gt;0, IF(OR(BI225="",BI225="-"), 0, BI225*$AT225), BH225*$AJ225)</f>
        <v>0</v>
      </c>
      <c r="BK225" s="587">
        <f>[1]COMMANDE!Y223</f>
        <v>0</v>
      </c>
      <c r="BL225" s="586" t="str">
        <f>_xlfn.IFS(AND($AI225=$AM225,$AI225&gt;0,$AM225&gt;0,BK225&gt;0), BK225,     AND(NOT($AI225=$AM225),$AI225&gt;0,$AM225&gt;0,BK225&gt;0), ($AM225*BK225)/$AI225,     AND($AI225=0,$AM225&gt;0,$AQ225&gt;0), IF(INDEX(BK$12:BK$263,MATCH($AQ225,$AP$12:$AP$263,0))&gt;0,($AM225*INDEX(BK$12:BK$263,MATCH($AQ225,$AP$12:$AP$263,0)))/INDEX($AI$12:$AI$263,MATCH($AQ225,$AP$12:$AP$263,0)), "-"),     TRUE, "0")</f>
        <v>0</v>
      </c>
      <c r="BM225" s="607">
        <f>IF(BL$9&gt;0, IF(OR(BL225="",BL225="-"), 0, BL225*$AT225), BK225*$AJ225)</f>
        <v>0</v>
      </c>
      <c r="BN225" s="589">
        <f>[1]COMMANDE!AA223</f>
        <v>0</v>
      </c>
      <c r="BO225" s="586" t="str">
        <f>_xlfn.IFS(AND($AI225=$AM225,$AI225&gt;0,$AM225&gt;0,BN225&gt;0), BN225,     AND(NOT($AI225=$AM225),$AI225&gt;0,$AM225&gt;0,BN225&gt;0), ($AM225*BN225)/$AI225,     AND($AI225=0,$AM225&gt;0,$AQ225&gt;0), IF(INDEX(BN$12:BN$263,MATCH($AQ225,$AP$12:$AP$263,0))&gt;0,($AM225*INDEX(BN$12:BN$263,MATCH($AQ225,$AP$12:$AP$263,0)))/INDEX($AI$12:$AI$263,MATCH($AQ225,$AP$12:$AP$263,0)), "-"),     TRUE, "0")</f>
        <v>0</v>
      </c>
      <c r="BP225" s="588">
        <f>IF(BO$9&gt;0, IF(OR(BO225="",BO225="-"), 0, BO225*$AT225), BN225*$AJ225)</f>
        <v>0</v>
      </c>
      <c r="BQ225" s="587">
        <f>[1]COMMANDE!AC223</f>
        <v>0</v>
      </c>
      <c r="BR225" s="586" t="str">
        <f>_xlfn.IFS(AND($AI225=$AM225,$AI225&gt;0,$AM225&gt;0,BQ225&gt;0), BQ225,     AND(NOT($AI225=$AM225),$AI225&gt;0,$AM225&gt;0,BQ225&gt;0), ($AM225*BQ225)/$AI225,     AND($AI225=0,$AM225&gt;0,$AQ225&gt;0), IF(INDEX(BQ$12:BQ$263,MATCH($AQ225,$AP$12:$AP$263,0))&gt;0,($AM225*INDEX(BQ$12:BQ$263,MATCH($AQ225,$AP$12:$AP$263,0)))/INDEX($AI$12:$AI$263,MATCH($AQ225,$AP$12:$AP$263,0)), "-"),     TRUE, "0")</f>
        <v>0</v>
      </c>
      <c r="BS225" s="607">
        <f>IF(BR$9&gt;0, IF(OR(BR225="",BR225="-"), 0, BR225*$AT225), BQ225*$AJ225)</f>
        <v>0</v>
      </c>
      <c r="BT225" s="589">
        <f>[1]COMMANDE!AE223</f>
        <v>0</v>
      </c>
      <c r="BU225" s="586" t="str">
        <f>_xlfn.IFS(AND($AI225=$AM225,$AI225&gt;0,$AM225&gt;0,BT225&gt;0), BT225,     AND(NOT($AI225=$AM225),$AI225&gt;0,$AM225&gt;0,BT225&gt;0), ($AM225*BT225)/$AI225,     AND($AI225=0,$AM225&gt;0,$AQ225&gt;0), IF(INDEX(BT$12:BT$263,MATCH($AQ225,$AP$12:$AP$263,0))&gt;0,($AM225*INDEX(BT$12:BT$263,MATCH($AQ225,$AP$12:$AP$263,0)))/INDEX($AI$12:$AI$263,MATCH($AQ225,$AP$12:$AP$263,0)), "-"),     TRUE, "0")</f>
        <v>0</v>
      </c>
      <c r="BV225" s="588">
        <f>IF(BU$9&gt;0, IF(OR(BU225="",BU225="-"), 0, BU225*$AT225), BT225*$AJ225)</f>
        <v>0</v>
      </c>
      <c r="BW225" s="587">
        <f>[1]COMMANDE!AG223</f>
        <v>0</v>
      </c>
      <c r="BX225" s="586" t="str">
        <f>_xlfn.IFS(AND($AI225=$AM225,$AI225&gt;0,$AM225&gt;0,BW225&gt;0), BW225,     AND(NOT($AI225=$AM225),$AI225&gt;0,$AM225&gt;0,BW225&gt;0), ($AM225*BW225)/$AI225,     AND($AI225=0,$AM225&gt;0,$AQ225&gt;0), IF(INDEX(BW$12:BW$263,MATCH($AQ225,$AP$12:$AP$263,0))&gt;0,($AM225*INDEX(BW$12:BW$263,MATCH($AQ225,$AP$12:$AP$263,0)))/INDEX($AI$12:$AI$263,MATCH($AQ225,$AP$12:$AP$263,0)), "-"),     TRUE, "0")</f>
        <v>0</v>
      </c>
      <c r="BY225" s="607">
        <f>IF(BX$9&gt;0, IF(OR(BX225="",BX225="-"), 0, BX225*$AT225), BW225*$AJ225)</f>
        <v>0</v>
      </c>
      <c r="BZ225" s="589">
        <f>[1]COMMANDE!AI223</f>
        <v>0</v>
      </c>
      <c r="CA225" s="586" t="str">
        <f>_xlfn.IFS(AND($AI225=$AM225,$AI225&gt;0,$AM225&gt;0,BZ225&gt;0), BZ225,     AND(NOT($AI225=$AM225),$AI225&gt;0,$AM225&gt;0,BZ225&gt;0), ($AM225*BZ225)/$AI225,     AND($AI225=0,$AM225&gt;0,$AQ225&gt;0), IF(INDEX(BZ$12:BZ$263,MATCH($AQ225,$AP$12:$AP$263,0))&gt;0,($AM225*INDEX(BZ$12:BZ$263,MATCH($AQ225,$AP$12:$AP$263,0)))/INDEX($AI$12:$AI$263,MATCH($AQ225,$AP$12:$AP$263,0)), "-"),     TRUE, "0")</f>
        <v>0</v>
      </c>
      <c r="CB225" s="588">
        <f>IF(CA$9&gt;0, IF(OR(CA225="",CA225="-"), 0, CA225*$AT225), BZ225*$AJ225)</f>
        <v>0</v>
      </c>
      <c r="CC225" s="587">
        <f>[1]COMMANDE!AK223</f>
        <v>0</v>
      </c>
      <c r="CD225" s="586" t="str">
        <f>_xlfn.IFS(AND($AI225=$AM225,$AI225&gt;0,$AM225&gt;0,CC225&gt;0), CC225,     AND(NOT($AI225=$AM225),$AI225&gt;0,$AM225&gt;0,CC225&gt;0), ($AM225*CC225)/$AI225,     AND($AI225=0,$AM225&gt;0,$AQ225&gt;0), IF(INDEX(CC$12:CC$263,MATCH($AQ225,$AP$12:$AP$263,0))&gt;0,($AM225*INDEX(CC$12:CC$263,MATCH($AQ225,$AP$12:$AP$263,0)))/INDEX($AI$12:$AI$263,MATCH($AQ225,$AP$12:$AP$263,0)), "-"),     TRUE, "0")</f>
        <v>0</v>
      </c>
      <c r="CE225" s="607">
        <f>IF(CD$9&gt;0, IF(OR(CD225="",CD225="-"), 0, CD225*$AT225), CC225*$AJ225)</f>
        <v>0</v>
      </c>
      <c r="CF225" s="589">
        <f>[1]COMMANDE!AM223</f>
        <v>0</v>
      </c>
      <c r="CG225" s="586" t="str">
        <f>_xlfn.IFS(AND($AI225=$AM225,$AI225&gt;0,$AM225&gt;0,CF225&gt;0), CF225,     AND(NOT($AI225=$AM225),$AI225&gt;0,$AM225&gt;0,CF225&gt;0), ($AM225*CF225)/$AI225,     AND($AI225=0,$AM225&gt;0,$AQ225&gt;0), IF(INDEX(CF$12:CF$263,MATCH($AQ225,$AP$12:$AP$263,0))&gt;0,($AM225*INDEX(CF$12:CF$263,MATCH($AQ225,$AP$12:$AP$263,0)))/INDEX($AI$12:$AI$263,MATCH($AQ225,$AP$12:$AP$263,0)), "-"),     TRUE, "0")</f>
        <v>0</v>
      </c>
      <c r="CH225" s="588">
        <f>IF(CG$9&gt;0, IF(OR(CG225="",CG225="-"), 0, CG225*$AT225), CF225*$AJ225)</f>
        <v>0</v>
      </c>
      <c r="CI225" s="587">
        <f>[1]COMMANDE!AO223</f>
        <v>0</v>
      </c>
      <c r="CJ225" s="586" t="str">
        <f>_xlfn.IFS(AND($AI225=$AM225,$AI225&gt;0,$AM225&gt;0,CI225&gt;0), CI225,     AND(NOT($AI225=$AM225),$AI225&gt;0,$AM225&gt;0,CI225&gt;0), ($AM225*CI225)/$AI225,     AND($AI225=0,$AM225&gt;0,$AQ225&gt;0), IF(INDEX(CI$12:CI$263,MATCH($AQ225,$AP$12:$AP$263,0))&gt;0,($AM225*INDEX(CI$12:CI$263,MATCH($AQ225,$AP$12:$AP$263,0)))/INDEX($AI$12:$AI$263,MATCH($AQ225,$AP$12:$AP$263,0)), "-"),     TRUE, "0")</f>
        <v>0</v>
      </c>
      <c r="CK225" s="607">
        <f>IF(CJ$9&gt;0, IF(OR(CJ225="",CJ225="-"), 0, CJ225*$AT225), CI225*$AJ225)</f>
        <v>0</v>
      </c>
      <c r="CL225" s="589">
        <f>[1]COMMANDE!AQ223</f>
        <v>0</v>
      </c>
      <c r="CM225" s="586" t="str">
        <f>_xlfn.IFS(AND($AI225=$AM225,$AI225&gt;0,$AM225&gt;0,CL225&gt;0), CL225,     AND(NOT($AI225=$AM225),$AI225&gt;0,$AM225&gt;0,CL225&gt;0), ($AM225*CL225)/$AI225,     AND($AI225=0,$AM225&gt;0,$AQ225&gt;0), IF(INDEX(CL$12:CL$263,MATCH($AQ225,$AP$12:$AP$263,0))&gt;0,($AM225*INDEX(CL$12:CL$263,MATCH($AQ225,$AP$12:$AP$263,0)))/INDEX($AI$12:$AI$263,MATCH($AQ225,$AP$12:$AP$263,0)), "-"),     TRUE, "0")</f>
        <v>0</v>
      </c>
      <c r="CN225" s="588">
        <f>IF(CM$9&gt;0, IF(OR(CM225="",CM225="-"), 0, CM225*$AT225), CL225*$AJ225)</f>
        <v>0</v>
      </c>
      <c r="CO225" s="587">
        <f>[1]COMMANDE!AS223</f>
        <v>0</v>
      </c>
      <c r="CP225" s="586" t="str">
        <f>_xlfn.IFS(AND($AI225=$AM225,$AI225&gt;0,$AM225&gt;0,CO225&gt;0), CO225,     AND(NOT($AI225=$AM225),$AI225&gt;0,$AM225&gt;0,CO225&gt;0), ($AM225*CO225)/$AI225,     AND($AI225=0,$AM225&gt;0,$AQ225&gt;0), IF(INDEX(CO$12:CO$263,MATCH($AQ225,$AP$12:$AP$263,0))&gt;0,($AM225*INDEX(CO$12:CO$263,MATCH($AQ225,$AP$12:$AP$263,0)))/INDEX($AI$12:$AI$263,MATCH($AQ225,$AP$12:$AP$263,0)), "-"),     TRUE, "0")</f>
        <v>0</v>
      </c>
      <c r="CQ225" s="607">
        <f>IF(CP$9&gt;0, IF(OR(CP225="",CP225="-"), 0, CP225*$AT225), CO225*$AJ225)</f>
        <v>0</v>
      </c>
      <c r="CR225" s="589">
        <f>[1]COMMANDE!AU223</f>
        <v>0</v>
      </c>
      <c r="CS225" s="586" t="str">
        <f>_xlfn.IFS(AND($AI225=$AM225,$AI225&gt;0,$AM225&gt;0,CR225&gt;0), CR225,     AND(NOT($AI225=$AM225),$AI225&gt;0,$AM225&gt;0,CR225&gt;0), ($AM225*CR225)/$AI225,     AND($AI225=0,$AM225&gt;0,$AQ225&gt;0), IF(INDEX(CR$12:CR$263,MATCH($AQ225,$AP$12:$AP$263,0))&gt;0,($AM225*INDEX(CR$12:CR$263,MATCH($AQ225,$AP$12:$AP$263,0)))/INDEX($AI$12:$AI$263,MATCH($AQ225,$AP$12:$AP$263,0)), "-"),     TRUE, "0")</f>
        <v>0</v>
      </c>
      <c r="CT225" s="588">
        <f>IF(CS$9&gt;0, IF(OR(CS225="",CS225="-"), 0, CS225*$AT225), CR225*$AJ225)</f>
        <v>0</v>
      </c>
      <c r="CU225" s="587">
        <f>[1]COMMANDE!AW223</f>
        <v>0</v>
      </c>
      <c r="CV225" s="586" t="str">
        <f>_xlfn.IFS(AND($AI225=$AM225,$AI225&gt;0,$AM225&gt;0,CU225&gt;0), CU225,     AND(NOT($AI225=$AM225),$AI225&gt;0,$AM225&gt;0,CU225&gt;0), ($AM225*CU225)/$AI225,     AND($AI225=0,$AM225&gt;0,$AQ225&gt;0), IF(INDEX(CU$12:CU$263,MATCH($AQ225,$AP$12:$AP$263,0))&gt;0,($AM225*INDEX(CU$12:CU$263,MATCH($AQ225,$AP$12:$AP$263,0)))/INDEX($AI$12:$AI$263,MATCH($AQ225,$AP$12:$AP$263,0)), "-"),     TRUE, "0")</f>
        <v>0</v>
      </c>
      <c r="CW225" s="607">
        <f>IF(CV$9&gt;0, IF(OR(CV225="",CV225="-"), 0, CV225*$AT225), CU225*$AJ225)</f>
        <v>0</v>
      </c>
      <c r="CX225" s="589">
        <f>[1]COMMANDE!AY223</f>
        <v>0</v>
      </c>
      <c r="CY225" s="586" t="str">
        <f>_xlfn.IFS(AND($AI225=$AM225,$AI225&gt;0,$AM225&gt;0,CX225&gt;0), CX225,     AND(NOT($AI225=$AM225),$AI225&gt;0,$AM225&gt;0,CX225&gt;0), ($AM225*CX225)/$AI225,     AND($AI225=0,$AM225&gt;0,$AQ225&gt;0), IF(INDEX(CX$12:CX$263,MATCH($AQ225,$AP$12:$AP$263,0))&gt;0,($AM225*INDEX(CX$12:CX$263,MATCH($AQ225,$AP$12:$AP$263,0)))/INDEX($AI$12:$AI$263,MATCH($AQ225,$AP$12:$AP$263,0)), "-"),     TRUE, "0")</f>
        <v>0</v>
      </c>
      <c r="CZ225" s="588">
        <f>IF(CY$9&gt;0, IF(OR(CY225="",CY225="-"), 0, CY225*$AT225), CX225*$AJ225)</f>
        <v>0</v>
      </c>
      <c r="DA225" s="587">
        <f>[1]COMMANDE!BA223</f>
        <v>0</v>
      </c>
      <c r="DB225" s="586" t="str">
        <f>_xlfn.IFS(AND($AI225=$AM225,$AI225&gt;0,$AM225&gt;0,DA225&gt;0), DA225,     AND(NOT($AI225=$AM225),$AI225&gt;0,$AM225&gt;0,DA225&gt;0), ($AM225*DA225)/$AI225,     AND($AI225=0,$AM225&gt;0,$AQ225&gt;0), IF(INDEX(DA$12:DA$263,MATCH($AQ225,$AP$12:$AP$263,0))&gt;0,($AM225*INDEX(DA$12:DA$263,MATCH($AQ225,$AP$12:$AP$263,0)))/INDEX($AI$12:$AI$263,MATCH($AQ225,$AP$12:$AP$263,0)), "-"),     TRUE, "0")</f>
        <v>0</v>
      </c>
      <c r="DC225" s="606">
        <f>IF(DB$9&gt;0, IF(OR(DB225="",DB225="-"), 0, DB225*$AT225), DA225*$AJ225)</f>
        <v>0</v>
      </c>
      <c r="DD225" s="584"/>
      <c r="DE225" s="583"/>
    </row>
    <row r="226" spans="1:109" ht="39.950000000000003" hidden="1" customHeight="1">
      <c r="A226" s="605">
        <f>IF(OR($AV226&gt;0, $AX226&gt;0), 1, 0)</f>
        <v>0</v>
      </c>
      <c r="B226" s="605">
        <f>IF(OR($AY226&gt;0, $BA226&gt;0), 1, 0)</f>
        <v>0</v>
      </c>
      <c r="C226" s="605">
        <f>IF(OR($BB226&gt;0, $BD226&gt;0), 1, 0)</f>
        <v>0</v>
      </c>
      <c r="D226" s="605">
        <f>IF(OR($BE226&gt;0, $BG226&gt;0), 1, 0)</f>
        <v>0</v>
      </c>
      <c r="E226" s="605">
        <f>IF(OR($BH226&gt;0, $BJ226&gt;0), 1, 0)</f>
        <v>0</v>
      </c>
      <c r="F226" s="605">
        <f>IF(OR($BK226&gt;0, $BM226&gt;0), 1, 0)</f>
        <v>0</v>
      </c>
      <c r="G226" s="605">
        <f>IF(OR($BN226&gt;0, $BP226&gt;0), 1, 0)</f>
        <v>0</v>
      </c>
      <c r="H226" s="605">
        <f>IF(OR($BQ226&gt;0, $BS226&gt;0), 1, 0)</f>
        <v>0</v>
      </c>
      <c r="I226" s="605">
        <f>IF(OR($BT226&gt;0, $BV226&gt;0), 1, 0)</f>
        <v>0</v>
      </c>
      <c r="J226" s="605">
        <f>IF(OR($BW226&gt;0, $BY226&gt;0), 1, 0)</f>
        <v>0</v>
      </c>
      <c r="K226" s="605">
        <f>IF(OR($BZ226&gt;0, $CB226&gt;0), 1, 0)</f>
        <v>0</v>
      </c>
      <c r="L226" s="605">
        <f>IF(OR($CC226&gt;0, $CE226&gt;0), 1, 0)</f>
        <v>0</v>
      </c>
      <c r="M226" s="605">
        <f>IF(OR($CF226&gt;0, $CH226&gt;0), 1, 0)</f>
        <v>0</v>
      </c>
      <c r="N226" s="605">
        <f>IF(OR($CI226&gt;0, $CK226&gt;0), 1, 0)</f>
        <v>0</v>
      </c>
      <c r="O226" s="605">
        <f>IF(OR($CL226&gt;0, $CN226&gt;0), 1, 0)</f>
        <v>0</v>
      </c>
      <c r="P226" s="604">
        <f>IF(OR($CO226&gt;0, $CQ226&gt;0), 1, 0)</f>
        <v>0</v>
      </c>
      <c r="Q226" s="604">
        <f>IF(OR($CR226&gt;0, $CT226&gt;0), 1, 0)</f>
        <v>0</v>
      </c>
      <c r="R226" s="604">
        <f>IF(OR($CU226&gt;0, $CW226&gt;0), 1, 0)</f>
        <v>0</v>
      </c>
      <c r="S226" s="604">
        <f>IF(OR($CX226&gt;0, $CZ226&gt;0), 1, 0)</f>
        <v>0</v>
      </c>
      <c r="T226" s="604">
        <f>IF(OR($DA226&gt;0, $DC226&gt;0), 1, 0)</f>
        <v>0</v>
      </c>
      <c r="U226" s="603">
        <f>IF(OR($AI226&gt;0,$AM226&gt;0,$AS226&gt;0), 1, 0)</f>
        <v>0</v>
      </c>
      <c r="V226" s="602" t="str">
        <f>[1]BDD!A216</f>
        <v>1564</v>
      </c>
      <c r="W226" s="601" t="str">
        <f>[1]BDD!B216</f>
        <v>Polen sec BIO (bocal 500g)</v>
      </c>
      <c r="X226" s="600" t="str">
        <f>IF([1]BDD!F216=0, "", [1]BDD!F216)</f>
        <v>❤️</v>
      </c>
      <c r="Y226" s="542">
        <f>ROUND([1]BDD!G216+FDP_CMD_KG, 2)</f>
        <v>19.350000000000001</v>
      </c>
      <c r="Z226" s="542">
        <f>ROUND([1]BDD!G216+FDP_FACT_KG, 2)</f>
        <v>19.350000000000001</v>
      </c>
      <c r="AA226" s="543" t="str">
        <f>[1]BDD!H216</f>
        <v>Pièce</v>
      </c>
      <c r="AB226" s="544" t="str">
        <f>IF(NOT(ISBLANK([1]BDD!I216)), ROUND(SUM(([1]BDD!G216*reduc1),FDP_CMD_KG), 2), "")</f>
        <v/>
      </c>
      <c r="AC226" s="544" t="str">
        <f>IF(NOT(ISBLANK([1]BDD!J216)), ROUND(SUM(([1]BDD!G216*reduc2),FDP_CMD_KG), 2), "")</f>
        <v/>
      </c>
      <c r="AD226" s="544" t="str">
        <f>IF(NOT(ISBLANK([1]BDD!K216)), ROUND(SUM(([1]BDD!G216*reduc3),FDP_CMD_KG), 2), "")</f>
        <v/>
      </c>
      <c r="AE226" s="544" t="str">
        <f>IF(NOT(ISBLANK([1]BDD!I216)), ROUND(SUM(([1]BDD!G216*reduc1),FDP_FACT_KG), 2), "")</f>
        <v/>
      </c>
      <c r="AF226" s="544" t="str">
        <f>IF(NOT(ISBLANK([1]BDD!J216)), ROUND(SUM(([1]BDD!G216*reduc2),FDP_FACT_KG), 2), "")</f>
        <v/>
      </c>
      <c r="AG226" s="544" t="str">
        <f>IF(NOT(ISBLANK([1]BDD!K216)), ROUND(SUM(([1]BDD!G216*reduc3),FDP_FACT_KG), 2), "")</f>
        <v/>
      </c>
      <c r="AH226" s="599" t="str">
        <f>[1]BDD!C216</f>
        <v>Huelva</v>
      </c>
      <c r="AI226" s="598">
        <f>SUM(AV226,AY226,BB226,BE226,BH226,BK226,BN226,BQ226,BT226,BW226,BZ226,CC226,CF226,CI226,CL226,CO226,CR226,CU226,CX226,DA226)</f>
        <v>0</v>
      </c>
      <c r="AJ226" s="545">
        <f>_xlfn.IFS($AD226&lt;&gt;"", $AD226,    $AC226&lt;&gt;"", $AC226,    $AB226&lt;&gt;"", $AB226,    TRUE, $Y226)</f>
        <v>19.350000000000001</v>
      </c>
      <c r="AK226" s="592">
        <f>$AI226*$AJ226</f>
        <v>0</v>
      </c>
      <c r="AL226" s="594"/>
      <c r="AM226" s="597"/>
      <c r="AN226" s="545">
        <f>_xlfn.IFS(AND(AM226&gt;=60,$AG226&lt;&gt;""), $AG226,    AND(AM226&gt;=30,$AF226&lt;&gt;""), $AF226,    AND(AM226&gt;=10,$AE226&lt;&gt;""), $AE226,    TRUE, $Z226)</f>
        <v>19.350000000000001</v>
      </c>
      <c r="AO226" s="596">
        <f>AM226*AN226</f>
        <v>0</v>
      </c>
      <c r="AP226" s="595"/>
      <c r="AQ226" s="595"/>
      <c r="AR226" s="594"/>
      <c r="AS226" s="593">
        <f>SUM(AW226,AZ226,BC226,BF226,BI226,BL226,BO226,BR226,BU226,BX226,CA226,CD226,CG226,CJ226,CM226,CP226,CS226,CV226,CY226,DB226)</f>
        <v>0</v>
      </c>
      <c r="AT226" s="545">
        <f>_xlfn.IFS(AND(AS226&gt;=60,$AG226&lt;&gt;""), $AG226,    AND(AS226&gt;=30,$AF226&lt;&gt;""), $AF226,    AND(AS226&gt;=10,$AE226&lt;&gt;""), $AE226,    TRUE, $Z226)</f>
        <v>19.350000000000001</v>
      </c>
      <c r="AU226" s="592">
        <f>$AS226*$AT226</f>
        <v>0</v>
      </c>
      <c r="AV226" s="591">
        <f>[1]COMMANDE!O224</f>
        <v>0</v>
      </c>
      <c r="AW226" s="586" t="str">
        <f>_xlfn.IFS(AND($AI226=$AM226,$AI226&gt;0,$AM226&gt;0,AV226&gt;0), AV226,     AND(NOT($AI226=$AM226),$AI226&gt;0,$AM226&gt;0,AV226&gt;0), ($AM226*AV226)/$AI226,     AND($AI226=0,$AM226&gt;0,$AQ226&gt;0), IF(INDEX(AV$12:AV$263,MATCH($AQ226,$AP$12:$AP$263,0))&gt;0,($AM226*INDEX(AV$12:AV$263,MATCH($AQ226,$AP$12:$AP$263,0)))/INDEX($AI$12:$AI$263,MATCH($AQ226,$AP$12:$AP$263,0)), "-"),     TRUE, "0")</f>
        <v>0</v>
      </c>
      <c r="AX226" s="588">
        <f>IF(AW$9&gt;0, IF(OR(AW226="",AW226="-"), 0, AW226*$AT226), AV226*$AJ226)</f>
        <v>0</v>
      </c>
      <c r="AY226" s="587">
        <f>[1]COMMANDE!Q224</f>
        <v>0</v>
      </c>
      <c r="AZ226" s="586" t="str">
        <f>_xlfn.IFS(AND($AI226=$AM226,$AI226&gt;0,$AM226&gt;0,AY226&gt;0), AY226,     AND(NOT($AI226=$AM226),$AI226&gt;0,$AM226&gt;0,AY226&gt;0), ($AM226*AY226)/$AI226,     AND($AI226=0,$AM226&gt;0,$AQ226&gt;0), IF(INDEX(AY$12:AY$263,MATCH($AQ226,$AP$12:$AP$263,0))&gt;0,($AM226*INDEX(AY$12:AY$263,MATCH($AQ226,$AP$12:$AP$263,0)))/INDEX($AI$12:$AI$263,MATCH($AQ226,$AP$12:$AP$263,0)), "-"),     TRUE, "0")</f>
        <v>0</v>
      </c>
      <c r="BA226" s="607">
        <f>IF(AZ$9&gt;0, IF(OR(AZ226="",AZ226="-"), 0, AZ226*$AT226), AY226*$AJ226)</f>
        <v>0</v>
      </c>
      <c r="BB226" s="589">
        <f>[1]COMMANDE!S224</f>
        <v>0</v>
      </c>
      <c r="BC226" s="586" t="str">
        <f>_xlfn.IFS(AND($AI226=$AM226,$AI226&gt;0,$AM226&gt;0,BB226&gt;0), BB226,     AND(NOT($AI226=$AM226),$AI226&gt;0,$AM226&gt;0,BB226&gt;0), ($AM226*BB226)/$AI226,     AND($AI226=0,$AM226&gt;0,$AQ226&gt;0), IF(INDEX(BB$12:BB$263,MATCH($AQ226,$AP$12:$AP$263,0))&gt;0,($AM226*INDEX(BB$12:BB$263,MATCH($AQ226,$AP$12:$AP$263,0)))/INDEX($AI$12:$AI$263,MATCH($AQ226,$AP$12:$AP$263,0)), "-"),     TRUE, "0")</f>
        <v>0</v>
      </c>
      <c r="BD226" s="588">
        <f>IF(BC$9&gt;0, IF(OR(BC226="",BC226="-"), 0, BC226*$AT226), BB226*$AJ226)</f>
        <v>0</v>
      </c>
      <c r="BE226" s="587">
        <f>[1]COMMANDE!U224</f>
        <v>0</v>
      </c>
      <c r="BF226" s="586" t="str">
        <f>_xlfn.IFS(AND($AI226=$AM226,$AI226&gt;0,$AM226&gt;0,BE226&gt;0), BE226,     AND(NOT($AI226=$AM226),$AI226&gt;0,$AM226&gt;0,BE226&gt;0), ($AM226*BE226)/$AI226,     AND($AI226=0,$AM226&gt;0,$AQ226&gt;0), IF(INDEX(BE$12:BE$263,MATCH($AQ226,$AP$12:$AP$263,0))&gt;0,($AM226*INDEX(BE$12:BE$263,MATCH($AQ226,$AP$12:$AP$263,0)))/INDEX($AI$12:$AI$263,MATCH($AQ226,$AP$12:$AP$263,0)), "-"),     TRUE, "0")</f>
        <v>0</v>
      </c>
      <c r="BG226" s="607">
        <f>IF(BF$9&gt;0, IF(OR(BF226="",BF226="-"), 0, BF226*$AT226), BE226*$AJ226)</f>
        <v>0</v>
      </c>
      <c r="BH226" s="589">
        <f>[1]COMMANDE!W224</f>
        <v>0</v>
      </c>
      <c r="BI226" s="586" t="str">
        <f>_xlfn.IFS(AND($AI226=$AM226,$AI226&gt;0,$AM226&gt;0,BH226&gt;0), BH226,     AND(NOT($AI226=$AM226),$AI226&gt;0,$AM226&gt;0,BH226&gt;0), ($AM226*BH226)/$AI226,     AND($AI226=0,$AM226&gt;0,$AQ226&gt;0), IF(INDEX(BH$12:BH$263,MATCH($AQ226,$AP$12:$AP$263,0))&gt;0,($AM226*INDEX(BH$12:BH$263,MATCH($AQ226,$AP$12:$AP$263,0)))/INDEX($AI$12:$AI$263,MATCH($AQ226,$AP$12:$AP$263,0)), "-"),     TRUE, "0")</f>
        <v>0</v>
      </c>
      <c r="BJ226" s="588">
        <f>IF(BI$9&gt;0, IF(OR(BI226="",BI226="-"), 0, BI226*$AT226), BH226*$AJ226)</f>
        <v>0</v>
      </c>
      <c r="BK226" s="587">
        <f>[1]COMMANDE!Y224</f>
        <v>0</v>
      </c>
      <c r="BL226" s="586" t="str">
        <f>_xlfn.IFS(AND($AI226=$AM226,$AI226&gt;0,$AM226&gt;0,BK226&gt;0), BK226,     AND(NOT($AI226=$AM226),$AI226&gt;0,$AM226&gt;0,BK226&gt;0), ($AM226*BK226)/$AI226,     AND($AI226=0,$AM226&gt;0,$AQ226&gt;0), IF(INDEX(BK$12:BK$263,MATCH($AQ226,$AP$12:$AP$263,0))&gt;0,($AM226*INDEX(BK$12:BK$263,MATCH($AQ226,$AP$12:$AP$263,0)))/INDEX($AI$12:$AI$263,MATCH($AQ226,$AP$12:$AP$263,0)), "-"),     TRUE, "0")</f>
        <v>0</v>
      </c>
      <c r="BM226" s="607">
        <f>IF(BL$9&gt;0, IF(OR(BL226="",BL226="-"), 0, BL226*$AT226), BK226*$AJ226)</f>
        <v>0</v>
      </c>
      <c r="BN226" s="589">
        <f>[1]COMMANDE!AA224</f>
        <v>0</v>
      </c>
      <c r="BO226" s="586" t="str">
        <f>_xlfn.IFS(AND($AI226=$AM226,$AI226&gt;0,$AM226&gt;0,BN226&gt;0), BN226,     AND(NOT($AI226=$AM226),$AI226&gt;0,$AM226&gt;0,BN226&gt;0), ($AM226*BN226)/$AI226,     AND($AI226=0,$AM226&gt;0,$AQ226&gt;0), IF(INDEX(BN$12:BN$263,MATCH($AQ226,$AP$12:$AP$263,0))&gt;0,($AM226*INDEX(BN$12:BN$263,MATCH($AQ226,$AP$12:$AP$263,0)))/INDEX($AI$12:$AI$263,MATCH($AQ226,$AP$12:$AP$263,0)), "-"),     TRUE, "0")</f>
        <v>0</v>
      </c>
      <c r="BP226" s="588">
        <f>IF(BO$9&gt;0, IF(OR(BO226="",BO226="-"), 0, BO226*$AT226), BN226*$AJ226)</f>
        <v>0</v>
      </c>
      <c r="BQ226" s="587">
        <f>[1]COMMANDE!AC224</f>
        <v>0</v>
      </c>
      <c r="BR226" s="586" t="str">
        <f>_xlfn.IFS(AND($AI226=$AM226,$AI226&gt;0,$AM226&gt;0,BQ226&gt;0), BQ226,     AND(NOT($AI226=$AM226),$AI226&gt;0,$AM226&gt;0,BQ226&gt;0), ($AM226*BQ226)/$AI226,     AND($AI226=0,$AM226&gt;0,$AQ226&gt;0), IF(INDEX(BQ$12:BQ$263,MATCH($AQ226,$AP$12:$AP$263,0))&gt;0,($AM226*INDEX(BQ$12:BQ$263,MATCH($AQ226,$AP$12:$AP$263,0)))/INDEX($AI$12:$AI$263,MATCH($AQ226,$AP$12:$AP$263,0)), "-"),     TRUE, "0")</f>
        <v>0</v>
      </c>
      <c r="BS226" s="607">
        <f>IF(BR$9&gt;0, IF(OR(BR226="",BR226="-"), 0, BR226*$AT226), BQ226*$AJ226)</f>
        <v>0</v>
      </c>
      <c r="BT226" s="589">
        <f>[1]COMMANDE!AE224</f>
        <v>0</v>
      </c>
      <c r="BU226" s="586" t="str">
        <f>_xlfn.IFS(AND($AI226=$AM226,$AI226&gt;0,$AM226&gt;0,BT226&gt;0), BT226,     AND(NOT($AI226=$AM226),$AI226&gt;0,$AM226&gt;0,BT226&gt;0), ($AM226*BT226)/$AI226,     AND($AI226=0,$AM226&gt;0,$AQ226&gt;0), IF(INDEX(BT$12:BT$263,MATCH($AQ226,$AP$12:$AP$263,0))&gt;0,($AM226*INDEX(BT$12:BT$263,MATCH($AQ226,$AP$12:$AP$263,0)))/INDEX($AI$12:$AI$263,MATCH($AQ226,$AP$12:$AP$263,0)), "-"),     TRUE, "0")</f>
        <v>0</v>
      </c>
      <c r="BV226" s="588">
        <f>IF(BU$9&gt;0, IF(OR(BU226="",BU226="-"), 0, BU226*$AT226), BT226*$AJ226)</f>
        <v>0</v>
      </c>
      <c r="BW226" s="587">
        <f>[1]COMMANDE!AG224</f>
        <v>0</v>
      </c>
      <c r="BX226" s="586" t="str">
        <f>_xlfn.IFS(AND($AI226=$AM226,$AI226&gt;0,$AM226&gt;0,BW226&gt;0), BW226,     AND(NOT($AI226=$AM226),$AI226&gt;0,$AM226&gt;0,BW226&gt;0), ($AM226*BW226)/$AI226,     AND($AI226=0,$AM226&gt;0,$AQ226&gt;0), IF(INDEX(BW$12:BW$263,MATCH($AQ226,$AP$12:$AP$263,0))&gt;0,($AM226*INDEX(BW$12:BW$263,MATCH($AQ226,$AP$12:$AP$263,0)))/INDEX($AI$12:$AI$263,MATCH($AQ226,$AP$12:$AP$263,0)), "-"),     TRUE, "0")</f>
        <v>0</v>
      </c>
      <c r="BY226" s="607">
        <f>IF(BX$9&gt;0, IF(OR(BX226="",BX226="-"), 0, BX226*$AT226), BW226*$AJ226)</f>
        <v>0</v>
      </c>
      <c r="BZ226" s="589">
        <f>[1]COMMANDE!AI224</f>
        <v>0</v>
      </c>
      <c r="CA226" s="586" t="str">
        <f>_xlfn.IFS(AND($AI226=$AM226,$AI226&gt;0,$AM226&gt;0,BZ226&gt;0), BZ226,     AND(NOT($AI226=$AM226),$AI226&gt;0,$AM226&gt;0,BZ226&gt;0), ($AM226*BZ226)/$AI226,     AND($AI226=0,$AM226&gt;0,$AQ226&gt;0), IF(INDEX(BZ$12:BZ$263,MATCH($AQ226,$AP$12:$AP$263,0))&gt;0,($AM226*INDEX(BZ$12:BZ$263,MATCH($AQ226,$AP$12:$AP$263,0)))/INDEX($AI$12:$AI$263,MATCH($AQ226,$AP$12:$AP$263,0)), "-"),     TRUE, "0")</f>
        <v>0</v>
      </c>
      <c r="CB226" s="588">
        <f>IF(CA$9&gt;0, IF(OR(CA226="",CA226="-"), 0, CA226*$AT226), BZ226*$AJ226)</f>
        <v>0</v>
      </c>
      <c r="CC226" s="587">
        <f>[1]COMMANDE!AK224</f>
        <v>0</v>
      </c>
      <c r="CD226" s="586" t="str">
        <f>_xlfn.IFS(AND($AI226=$AM226,$AI226&gt;0,$AM226&gt;0,CC226&gt;0), CC226,     AND(NOT($AI226=$AM226),$AI226&gt;0,$AM226&gt;0,CC226&gt;0), ($AM226*CC226)/$AI226,     AND($AI226=0,$AM226&gt;0,$AQ226&gt;0), IF(INDEX(CC$12:CC$263,MATCH($AQ226,$AP$12:$AP$263,0))&gt;0,($AM226*INDEX(CC$12:CC$263,MATCH($AQ226,$AP$12:$AP$263,0)))/INDEX($AI$12:$AI$263,MATCH($AQ226,$AP$12:$AP$263,0)), "-"),     TRUE, "0")</f>
        <v>0</v>
      </c>
      <c r="CE226" s="607">
        <f>IF(CD$9&gt;0, IF(OR(CD226="",CD226="-"), 0, CD226*$AT226), CC226*$AJ226)</f>
        <v>0</v>
      </c>
      <c r="CF226" s="589">
        <f>[1]COMMANDE!AM224</f>
        <v>0</v>
      </c>
      <c r="CG226" s="586" t="str">
        <f>_xlfn.IFS(AND($AI226=$AM226,$AI226&gt;0,$AM226&gt;0,CF226&gt;0), CF226,     AND(NOT($AI226=$AM226),$AI226&gt;0,$AM226&gt;0,CF226&gt;0), ($AM226*CF226)/$AI226,     AND($AI226=0,$AM226&gt;0,$AQ226&gt;0), IF(INDEX(CF$12:CF$263,MATCH($AQ226,$AP$12:$AP$263,0))&gt;0,($AM226*INDEX(CF$12:CF$263,MATCH($AQ226,$AP$12:$AP$263,0)))/INDEX($AI$12:$AI$263,MATCH($AQ226,$AP$12:$AP$263,0)), "-"),     TRUE, "0")</f>
        <v>0</v>
      </c>
      <c r="CH226" s="588">
        <f>IF(CG$9&gt;0, IF(OR(CG226="",CG226="-"), 0, CG226*$AT226), CF226*$AJ226)</f>
        <v>0</v>
      </c>
      <c r="CI226" s="587">
        <f>[1]COMMANDE!AO224</f>
        <v>0</v>
      </c>
      <c r="CJ226" s="586" t="str">
        <f>_xlfn.IFS(AND($AI226=$AM226,$AI226&gt;0,$AM226&gt;0,CI226&gt;0), CI226,     AND(NOT($AI226=$AM226),$AI226&gt;0,$AM226&gt;0,CI226&gt;0), ($AM226*CI226)/$AI226,     AND($AI226=0,$AM226&gt;0,$AQ226&gt;0), IF(INDEX(CI$12:CI$263,MATCH($AQ226,$AP$12:$AP$263,0))&gt;0,($AM226*INDEX(CI$12:CI$263,MATCH($AQ226,$AP$12:$AP$263,0)))/INDEX($AI$12:$AI$263,MATCH($AQ226,$AP$12:$AP$263,0)), "-"),     TRUE, "0")</f>
        <v>0</v>
      </c>
      <c r="CK226" s="607">
        <f>IF(CJ$9&gt;0, IF(OR(CJ226="",CJ226="-"), 0, CJ226*$AT226), CI226*$AJ226)</f>
        <v>0</v>
      </c>
      <c r="CL226" s="589">
        <f>[1]COMMANDE!AQ224</f>
        <v>0</v>
      </c>
      <c r="CM226" s="586" t="str">
        <f>_xlfn.IFS(AND($AI226=$AM226,$AI226&gt;0,$AM226&gt;0,CL226&gt;0), CL226,     AND(NOT($AI226=$AM226),$AI226&gt;0,$AM226&gt;0,CL226&gt;0), ($AM226*CL226)/$AI226,     AND($AI226=0,$AM226&gt;0,$AQ226&gt;0), IF(INDEX(CL$12:CL$263,MATCH($AQ226,$AP$12:$AP$263,0))&gt;0,($AM226*INDEX(CL$12:CL$263,MATCH($AQ226,$AP$12:$AP$263,0)))/INDEX($AI$12:$AI$263,MATCH($AQ226,$AP$12:$AP$263,0)), "-"),     TRUE, "0")</f>
        <v>0</v>
      </c>
      <c r="CN226" s="588">
        <f>IF(CM$9&gt;0, IF(OR(CM226="",CM226="-"), 0, CM226*$AT226), CL226*$AJ226)</f>
        <v>0</v>
      </c>
      <c r="CO226" s="587">
        <f>[1]COMMANDE!AS224</f>
        <v>0</v>
      </c>
      <c r="CP226" s="586" t="str">
        <f>_xlfn.IFS(AND($AI226=$AM226,$AI226&gt;0,$AM226&gt;0,CO226&gt;0), CO226,     AND(NOT($AI226=$AM226),$AI226&gt;0,$AM226&gt;0,CO226&gt;0), ($AM226*CO226)/$AI226,     AND($AI226=0,$AM226&gt;0,$AQ226&gt;0), IF(INDEX(CO$12:CO$263,MATCH($AQ226,$AP$12:$AP$263,0))&gt;0,($AM226*INDEX(CO$12:CO$263,MATCH($AQ226,$AP$12:$AP$263,0)))/INDEX($AI$12:$AI$263,MATCH($AQ226,$AP$12:$AP$263,0)), "-"),     TRUE, "0")</f>
        <v>0</v>
      </c>
      <c r="CQ226" s="607">
        <f>IF(CP$9&gt;0, IF(OR(CP226="",CP226="-"), 0, CP226*$AT226), CO226*$AJ226)</f>
        <v>0</v>
      </c>
      <c r="CR226" s="589">
        <f>[1]COMMANDE!AU224</f>
        <v>0</v>
      </c>
      <c r="CS226" s="586" t="str">
        <f>_xlfn.IFS(AND($AI226=$AM226,$AI226&gt;0,$AM226&gt;0,CR226&gt;0), CR226,     AND(NOT($AI226=$AM226),$AI226&gt;0,$AM226&gt;0,CR226&gt;0), ($AM226*CR226)/$AI226,     AND($AI226=0,$AM226&gt;0,$AQ226&gt;0), IF(INDEX(CR$12:CR$263,MATCH($AQ226,$AP$12:$AP$263,0))&gt;0,($AM226*INDEX(CR$12:CR$263,MATCH($AQ226,$AP$12:$AP$263,0)))/INDEX($AI$12:$AI$263,MATCH($AQ226,$AP$12:$AP$263,0)), "-"),     TRUE, "0")</f>
        <v>0</v>
      </c>
      <c r="CT226" s="588">
        <f>IF(CS$9&gt;0, IF(OR(CS226="",CS226="-"), 0, CS226*$AT226), CR226*$AJ226)</f>
        <v>0</v>
      </c>
      <c r="CU226" s="587">
        <f>[1]COMMANDE!AW224</f>
        <v>0</v>
      </c>
      <c r="CV226" s="586" t="str">
        <f>_xlfn.IFS(AND($AI226=$AM226,$AI226&gt;0,$AM226&gt;0,CU226&gt;0), CU226,     AND(NOT($AI226=$AM226),$AI226&gt;0,$AM226&gt;0,CU226&gt;0), ($AM226*CU226)/$AI226,     AND($AI226=0,$AM226&gt;0,$AQ226&gt;0), IF(INDEX(CU$12:CU$263,MATCH($AQ226,$AP$12:$AP$263,0))&gt;0,($AM226*INDEX(CU$12:CU$263,MATCH($AQ226,$AP$12:$AP$263,0)))/INDEX($AI$12:$AI$263,MATCH($AQ226,$AP$12:$AP$263,0)), "-"),     TRUE, "0")</f>
        <v>0</v>
      </c>
      <c r="CW226" s="607">
        <f>IF(CV$9&gt;0, IF(OR(CV226="",CV226="-"), 0, CV226*$AT226), CU226*$AJ226)</f>
        <v>0</v>
      </c>
      <c r="CX226" s="589">
        <f>[1]COMMANDE!AY224</f>
        <v>0</v>
      </c>
      <c r="CY226" s="586" t="str">
        <f>_xlfn.IFS(AND($AI226=$AM226,$AI226&gt;0,$AM226&gt;0,CX226&gt;0), CX226,     AND(NOT($AI226=$AM226),$AI226&gt;0,$AM226&gt;0,CX226&gt;0), ($AM226*CX226)/$AI226,     AND($AI226=0,$AM226&gt;0,$AQ226&gt;0), IF(INDEX(CX$12:CX$263,MATCH($AQ226,$AP$12:$AP$263,0))&gt;0,($AM226*INDEX(CX$12:CX$263,MATCH($AQ226,$AP$12:$AP$263,0)))/INDEX($AI$12:$AI$263,MATCH($AQ226,$AP$12:$AP$263,0)), "-"),     TRUE, "0")</f>
        <v>0</v>
      </c>
      <c r="CZ226" s="588">
        <f>IF(CY$9&gt;0, IF(OR(CY226="",CY226="-"), 0, CY226*$AT226), CX226*$AJ226)</f>
        <v>0</v>
      </c>
      <c r="DA226" s="587">
        <f>[1]COMMANDE!BA224</f>
        <v>0</v>
      </c>
      <c r="DB226" s="586" t="str">
        <f>_xlfn.IFS(AND($AI226=$AM226,$AI226&gt;0,$AM226&gt;0,DA226&gt;0), DA226,     AND(NOT($AI226=$AM226),$AI226&gt;0,$AM226&gt;0,DA226&gt;0), ($AM226*DA226)/$AI226,     AND($AI226=0,$AM226&gt;0,$AQ226&gt;0), IF(INDEX(DA$12:DA$263,MATCH($AQ226,$AP$12:$AP$263,0))&gt;0,($AM226*INDEX(DA$12:DA$263,MATCH($AQ226,$AP$12:$AP$263,0)))/INDEX($AI$12:$AI$263,MATCH($AQ226,$AP$12:$AP$263,0)), "-"),     TRUE, "0")</f>
        <v>0</v>
      </c>
      <c r="DC226" s="606">
        <f>IF(DB$9&gt;0, IF(OR(DB226="",DB226="-"), 0, DB226*$AT226), DA226*$AJ226)</f>
        <v>0</v>
      </c>
      <c r="DD226" s="584"/>
      <c r="DE226" s="583"/>
    </row>
    <row r="227" spans="1:109" ht="39.950000000000003" customHeight="1">
      <c r="A227" s="604">
        <f>IF(OR($AV227&gt;0, $AX227&gt;0), 1, 0)</f>
        <v>1</v>
      </c>
      <c r="B227" s="604">
        <f>IF(OR($AY227&gt;0, $BA227&gt;0), 1, 0)</f>
        <v>0</v>
      </c>
      <c r="C227" s="604">
        <f>IF(OR($BB227&gt;0, $BD227&gt;0), 1, 0)</f>
        <v>0</v>
      </c>
      <c r="D227" s="604">
        <f>IF(OR($BE227&gt;0, $BG227&gt;0), 1, 0)</f>
        <v>0</v>
      </c>
      <c r="E227" s="604">
        <f>IF(OR($BH227&gt;0, $BJ227&gt;0), 1, 0)</f>
        <v>0</v>
      </c>
      <c r="F227" s="604">
        <f>IF(OR($BK227&gt;0, $BM227&gt;0), 1, 0)</f>
        <v>0</v>
      </c>
      <c r="G227" s="604">
        <f>IF(OR($BN227&gt;0, $BP227&gt;0), 1, 0)</f>
        <v>0</v>
      </c>
      <c r="H227" s="604">
        <f>IF(OR($BQ227&gt;0, $BS227&gt;0), 1, 0)</f>
        <v>0</v>
      </c>
      <c r="I227" s="604">
        <f>IF(OR($BT227&gt;0, $BV227&gt;0), 1, 0)</f>
        <v>0</v>
      </c>
      <c r="J227" s="604">
        <f>IF(OR($BW227&gt;0, $BY227&gt;0), 1, 0)</f>
        <v>0</v>
      </c>
      <c r="K227" s="604">
        <f>IF(OR($BZ227&gt;0, $CB227&gt;0), 1, 0)</f>
        <v>0</v>
      </c>
      <c r="L227" s="604">
        <f>IF(OR($CC227&gt;0, $CE227&gt;0), 1, 0)</f>
        <v>0</v>
      </c>
      <c r="M227" s="604">
        <f>IF(OR($CF227&gt;0, $CH227&gt;0), 1, 0)</f>
        <v>0</v>
      </c>
      <c r="N227" s="604">
        <f>IF(OR($CI227&gt;0, $CK227&gt;0), 1, 0)</f>
        <v>0</v>
      </c>
      <c r="O227" s="604">
        <f>IF(OR($CL227&gt;0, $CN227&gt;0), 1, 0)</f>
        <v>0</v>
      </c>
      <c r="P227" s="604">
        <f>IF(OR($CO227&gt;0, $CQ227&gt;0), 1, 0)</f>
        <v>0</v>
      </c>
      <c r="Q227" s="604">
        <f>IF(OR($CR227&gt;0, $CT227&gt;0), 1, 0)</f>
        <v>0</v>
      </c>
      <c r="R227" s="604">
        <f>IF(OR($CU227&gt;0, $CW227&gt;0), 1, 0)</f>
        <v>0</v>
      </c>
      <c r="S227" s="604">
        <f>IF(OR($CX227&gt;0, $CZ227&gt;0), 1, 0)</f>
        <v>0</v>
      </c>
      <c r="T227" s="604">
        <f>IF(OR($DA227&gt;0, $DC227&gt;0), 1, 0)</f>
        <v>0</v>
      </c>
      <c r="U227" s="603">
        <f>IF(OR($AI227&gt;0,$AM227&gt;0,$AS227&gt;0), 1, 0)</f>
        <v>1</v>
      </c>
      <c r="V227" s="602">
        <f>[1]BDD!A217</f>
        <v>1986</v>
      </c>
      <c r="W227" s="601" t="str">
        <f>[1]BDD!B217</f>
        <v>Pomme de terre nouvelle Hero BIO</v>
      </c>
      <c r="X227" s="600" t="str">
        <f>IF([1]BDD!F217=0, "", [1]BDD!F217)</f>
        <v/>
      </c>
      <c r="Y227" s="542">
        <f>ROUND([1]BDD!G217+FDP_CMD_KG, 2)</f>
        <v>2.91</v>
      </c>
      <c r="Z227" s="542">
        <f>ROUND([1]BDD!G217+FDP_FACT_KG, 2)</f>
        <v>2.91</v>
      </c>
      <c r="AA227" s="543" t="str">
        <f>[1]BDD!H217</f>
        <v>kg</v>
      </c>
      <c r="AB227" s="544">
        <f>IF(NOT(ISBLANK([1]BDD!I217)), ROUND(SUM(([1]BDD!G217*reduc1),FDP_CMD_KG), 2), "")</f>
        <v>2.71</v>
      </c>
      <c r="AC227" s="544">
        <f>IF(NOT(ISBLANK([1]BDD!J217)), ROUND(SUM(([1]BDD!G217*reduc2),FDP_CMD_KG), 2), "")</f>
        <v>2.5099999999999998</v>
      </c>
      <c r="AD227" s="544" t="str">
        <f>IF(NOT(ISBLANK([1]BDD!K217)), ROUND(SUM(([1]BDD!G217*reduc3),FDP_CMD_KG), 2), "")</f>
        <v/>
      </c>
      <c r="AE227" s="544">
        <f>IF(NOT(ISBLANK([1]BDD!I217)), ROUND(SUM(([1]BDD!G217*reduc1),FDP_FACT_KG), 2), "")</f>
        <v>2.7</v>
      </c>
      <c r="AF227" s="544">
        <f>IF(NOT(ISBLANK([1]BDD!J217)), ROUND(SUM(([1]BDD!G217*reduc2),FDP_FACT_KG), 2), "")</f>
        <v>2.5</v>
      </c>
      <c r="AG227" s="544" t="str">
        <f>IF(NOT(ISBLANK([1]BDD!K217)), ROUND(SUM(([1]BDD!G217*reduc3),FDP_FACT_KG), 2), "")</f>
        <v/>
      </c>
      <c r="AH227" s="599" t="str">
        <f>[1]BDD!C217</f>
        <v>Malaga</v>
      </c>
      <c r="AI227" s="598">
        <f>SUM(AV227,AY227,BB227,BE227,BH227,BK227,BN227,BQ227,BT227,BW227,BZ227,CC227,CF227,CI227,CL227,CO227,CR227,CU227,CX227,DA227)</f>
        <v>5</v>
      </c>
      <c r="AJ227" s="545">
        <f>_xlfn.IFS($AD227&lt;&gt;"", $AD227,    $AC227&lt;&gt;"", $AC227,    $AB227&lt;&gt;"", $AB227,    TRUE, $Y227)</f>
        <v>2.5099999999999998</v>
      </c>
      <c r="AK227" s="592">
        <f>$AI227*$AJ227</f>
        <v>12.549999999999999</v>
      </c>
      <c r="AL227" s="594"/>
      <c r="AM227" s="597">
        <v>5.16</v>
      </c>
      <c r="AN227" s="545">
        <f>_xlfn.IFS(AND(AM227&gt;=60,$AG227&lt;&gt;""), $AG227,    AND(AM227&gt;=30,$AF227&lt;&gt;""), $AF227,    AND(AM227&gt;=10,$AE227&lt;&gt;""), $AE227,    TRUE, $Z227)</f>
        <v>2.91</v>
      </c>
      <c r="AO227" s="596">
        <f>AM227*AN227</f>
        <v>15.015600000000001</v>
      </c>
      <c r="AP227" s="595"/>
      <c r="AQ227" s="595"/>
      <c r="AR227" s="594"/>
      <c r="AS227" s="593">
        <f>SUM(AW227,AZ227,BC227,BF227,BI227,BL227,BO227,BR227,BU227,BX227,CA227,CD227,CG227,CJ227,CM227,CP227,CS227,CV227,CY227,DB227)</f>
        <v>5.16</v>
      </c>
      <c r="AT227" s="545">
        <f>_xlfn.IFS(AND(AS227&gt;=60,$AG227&lt;&gt;""), $AG227,    AND(AS227&gt;=30,$AF227&lt;&gt;""), $AF227,    AND(AS227&gt;=10,$AE227&lt;&gt;""), $AE227,    TRUE, $Z227)</f>
        <v>2.91</v>
      </c>
      <c r="AU227" s="592">
        <f>$AS227*$AT227</f>
        <v>15.015600000000001</v>
      </c>
      <c r="AV227" s="591">
        <f>[1]COMMANDE!O225</f>
        <v>5</v>
      </c>
      <c r="AW227" s="586">
        <f>_xlfn.IFS(AND($AI227=$AM227,$AI227&gt;0,$AM227&gt;0,AV227&gt;0), AV227,     AND(NOT($AI227=$AM227),$AI227&gt;0,$AM227&gt;0,AV227&gt;0), ($AM227*AV227)/$AI227,     AND($AI227=0,$AM227&gt;0,$AQ227&gt;0), IF(INDEX(AV$12:AV$263,MATCH($AQ227,$AP$12:$AP$263,0))&gt;0,($AM227*INDEX(AV$12:AV$263,MATCH($AQ227,$AP$12:$AP$263,0)))/INDEX($AI$12:$AI$263,MATCH($AQ227,$AP$12:$AP$263,0)), "-"),     TRUE, "0")</f>
        <v>5.16</v>
      </c>
      <c r="AX227" s="588">
        <f>IF(AW$9&gt;0, IF(OR(AW227="",AW227="-"), 0, AW227*$AT227), AV227*$AJ227)</f>
        <v>15.015600000000001</v>
      </c>
      <c r="AY227" s="587">
        <f>[1]COMMANDE!Q225</f>
        <v>0</v>
      </c>
      <c r="AZ227" s="586" t="str">
        <f>_xlfn.IFS(AND($AI227=$AM227,$AI227&gt;0,$AM227&gt;0,AY227&gt;0), AY227,     AND(NOT($AI227=$AM227),$AI227&gt;0,$AM227&gt;0,AY227&gt;0), ($AM227*AY227)/$AI227,     AND($AI227=0,$AM227&gt;0,$AQ227&gt;0), IF(INDEX(AY$12:AY$263,MATCH($AQ227,$AP$12:$AP$263,0))&gt;0,($AM227*INDEX(AY$12:AY$263,MATCH($AQ227,$AP$12:$AP$263,0)))/INDEX($AI$12:$AI$263,MATCH($AQ227,$AP$12:$AP$263,0)), "-"),     TRUE, "0")</f>
        <v>0</v>
      </c>
      <c r="BA227" s="607">
        <f>IF(AZ$9&gt;0, IF(OR(AZ227="",AZ227="-"), 0, AZ227*$AT227), AY227*$AJ227)</f>
        <v>0</v>
      </c>
      <c r="BB227" s="589">
        <f>[1]COMMANDE!S225</f>
        <v>0</v>
      </c>
      <c r="BC227" s="586" t="str">
        <f>_xlfn.IFS(AND($AI227=$AM227,$AI227&gt;0,$AM227&gt;0,BB227&gt;0), BB227,     AND(NOT($AI227=$AM227),$AI227&gt;0,$AM227&gt;0,BB227&gt;0), ($AM227*BB227)/$AI227,     AND($AI227=0,$AM227&gt;0,$AQ227&gt;0), IF(INDEX(BB$12:BB$263,MATCH($AQ227,$AP$12:$AP$263,0))&gt;0,($AM227*INDEX(BB$12:BB$263,MATCH($AQ227,$AP$12:$AP$263,0)))/INDEX($AI$12:$AI$263,MATCH($AQ227,$AP$12:$AP$263,0)), "-"),     TRUE, "0")</f>
        <v>0</v>
      </c>
      <c r="BD227" s="588">
        <f>IF(BC$9&gt;0, IF(OR(BC227="",BC227="-"), 0, BC227*$AT227), BB227*$AJ227)</f>
        <v>0</v>
      </c>
      <c r="BE227" s="587">
        <f>[1]COMMANDE!U225</f>
        <v>0</v>
      </c>
      <c r="BF227" s="586" t="str">
        <f>_xlfn.IFS(AND($AI227=$AM227,$AI227&gt;0,$AM227&gt;0,BE227&gt;0), BE227,     AND(NOT($AI227=$AM227),$AI227&gt;0,$AM227&gt;0,BE227&gt;0), ($AM227*BE227)/$AI227,     AND($AI227=0,$AM227&gt;0,$AQ227&gt;0), IF(INDEX(BE$12:BE$263,MATCH($AQ227,$AP$12:$AP$263,0))&gt;0,($AM227*INDEX(BE$12:BE$263,MATCH($AQ227,$AP$12:$AP$263,0)))/INDEX($AI$12:$AI$263,MATCH($AQ227,$AP$12:$AP$263,0)), "-"),     TRUE, "0")</f>
        <v>0</v>
      </c>
      <c r="BG227" s="607">
        <f>IF(BF$9&gt;0, IF(OR(BF227="",BF227="-"), 0, BF227*$AT227), BE227*$AJ227)</f>
        <v>0</v>
      </c>
      <c r="BH227" s="589">
        <f>[1]COMMANDE!W225</f>
        <v>0</v>
      </c>
      <c r="BI227" s="586" t="str">
        <f>_xlfn.IFS(AND($AI227=$AM227,$AI227&gt;0,$AM227&gt;0,BH227&gt;0), BH227,     AND(NOT($AI227=$AM227),$AI227&gt;0,$AM227&gt;0,BH227&gt;0), ($AM227*BH227)/$AI227,     AND($AI227=0,$AM227&gt;0,$AQ227&gt;0), IF(INDEX(BH$12:BH$263,MATCH($AQ227,$AP$12:$AP$263,0))&gt;0,($AM227*INDEX(BH$12:BH$263,MATCH($AQ227,$AP$12:$AP$263,0)))/INDEX($AI$12:$AI$263,MATCH($AQ227,$AP$12:$AP$263,0)), "-"),     TRUE, "0")</f>
        <v>0</v>
      </c>
      <c r="BJ227" s="588">
        <f>IF(BI$9&gt;0, IF(OR(BI227="",BI227="-"), 0, BI227*$AT227), BH227*$AJ227)</f>
        <v>0</v>
      </c>
      <c r="BK227" s="587">
        <f>[1]COMMANDE!Y225</f>
        <v>0</v>
      </c>
      <c r="BL227" s="586" t="str">
        <f>_xlfn.IFS(AND($AI227=$AM227,$AI227&gt;0,$AM227&gt;0,BK227&gt;0), BK227,     AND(NOT($AI227=$AM227),$AI227&gt;0,$AM227&gt;0,BK227&gt;0), ($AM227*BK227)/$AI227,     AND($AI227=0,$AM227&gt;0,$AQ227&gt;0), IF(INDEX(BK$12:BK$263,MATCH($AQ227,$AP$12:$AP$263,0))&gt;0,($AM227*INDEX(BK$12:BK$263,MATCH($AQ227,$AP$12:$AP$263,0)))/INDEX($AI$12:$AI$263,MATCH($AQ227,$AP$12:$AP$263,0)), "-"),     TRUE, "0")</f>
        <v>0</v>
      </c>
      <c r="BM227" s="607">
        <f>IF(BL$9&gt;0, IF(OR(BL227="",BL227="-"), 0, BL227*$AT227), BK227*$AJ227)</f>
        <v>0</v>
      </c>
      <c r="BN227" s="589">
        <f>[1]COMMANDE!AA225</f>
        <v>0</v>
      </c>
      <c r="BO227" s="586" t="str">
        <f>_xlfn.IFS(AND($AI227=$AM227,$AI227&gt;0,$AM227&gt;0,BN227&gt;0), BN227,     AND(NOT($AI227=$AM227),$AI227&gt;0,$AM227&gt;0,BN227&gt;0), ($AM227*BN227)/$AI227,     AND($AI227=0,$AM227&gt;0,$AQ227&gt;0), IF(INDEX(BN$12:BN$263,MATCH($AQ227,$AP$12:$AP$263,0))&gt;0,($AM227*INDEX(BN$12:BN$263,MATCH($AQ227,$AP$12:$AP$263,0)))/INDEX($AI$12:$AI$263,MATCH($AQ227,$AP$12:$AP$263,0)), "-"),     TRUE, "0")</f>
        <v>0</v>
      </c>
      <c r="BP227" s="588">
        <f>IF(BO$9&gt;0, IF(OR(BO227="",BO227="-"), 0, BO227*$AT227), BN227*$AJ227)</f>
        <v>0</v>
      </c>
      <c r="BQ227" s="587">
        <f>[1]COMMANDE!AC225</f>
        <v>0</v>
      </c>
      <c r="BR227" s="586" t="str">
        <f>_xlfn.IFS(AND($AI227=$AM227,$AI227&gt;0,$AM227&gt;0,BQ227&gt;0), BQ227,     AND(NOT($AI227=$AM227),$AI227&gt;0,$AM227&gt;0,BQ227&gt;0), ($AM227*BQ227)/$AI227,     AND($AI227=0,$AM227&gt;0,$AQ227&gt;0), IF(INDEX(BQ$12:BQ$263,MATCH($AQ227,$AP$12:$AP$263,0))&gt;0,($AM227*INDEX(BQ$12:BQ$263,MATCH($AQ227,$AP$12:$AP$263,0)))/INDEX($AI$12:$AI$263,MATCH($AQ227,$AP$12:$AP$263,0)), "-"),     TRUE, "0")</f>
        <v>0</v>
      </c>
      <c r="BS227" s="607">
        <f>IF(BR$9&gt;0, IF(OR(BR227="",BR227="-"), 0, BR227*$AT227), BQ227*$AJ227)</f>
        <v>0</v>
      </c>
      <c r="BT227" s="589">
        <f>[1]COMMANDE!AE225</f>
        <v>0</v>
      </c>
      <c r="BU227" s="586" t="str">
        <f>_xlfn.IFS(AND($AI227=$AM227,$AI227&gt;0,$AM227&gt;0,BT227&gt;0), BT227,     AND(NOT($AI227=$AM227),$AI227&gt;0,$AM227&gt;0,BT227&gt;0), ($AM227*BT227)/$AI227,     AND($AI227=0,$AM227&gt;0,$AQ227&gt;0), IF(INDEX(BT$12:BT$263,MATCH($AQ227,$AP$12:$AP$263,0))&gt;0,($AM227*INDEX(BT$12:BT$263,MATCH($AQ227,$AP$12:$AP$263,0)))/INDEX($AI$12:$AI$263,MATCH($AQ227,$AP$12:$AP$263,0)), "-"),     TRUE, "0")</f>
        <v>0</v>
      </c>
      <c r="BV227" s="588">
        <f>IF(BU$9&gt;0, IF(OR(BU227="",BU227="-"), 0, BU227*$AT227), BT227*$AJ227)</f>
        <v>0</v>
      </c>
      <c r="BW227" s="587">
        <f>[1]COMMANDE!AG225</f>
        <v>0</v>
      </c>
      <c r="BX227" s="586" t="str">
        <f>_xlfn.IFS(AND($AI227=$AM227,$AI227&gt;0,$AM227&gt;0,BW227&gt;0), BW227,     AND(NOT($AI227=$AM227),$AI227&gt;0,$AM227&gt;0,BW227&gt;0), ($AM227*BW227)/$AI227,     AND($AI227=0,$AM227&gt;0,$AQ227&gt;0), IF(INDEX(BW$12:BW$263,MATCH($AQ227,$AP$12:$AP$263,0))&gt;0,($AM227*INDEX(BW$12:BW$263,MATCH($AQ227,$AP$12:$AP$263,0)))/INDEX($AI$12:$AI$263,MATCH($AQ227,$AP$12:$AP$263,0)), "-"),     TRUE, "0")</f>
        <v>0</v>
      </c>
      <c r="BY227" s="607">
        <f>IF(BX$9&gt;0, IF(OR(BX227="",BX227="-"), 0, BX227*$AT227), BW227*$AJ227)</f>
        <v>0</v>
      </c>
      <c r="BZ227" s="589">
        <f>[1]COMMANDE!AI225</f>
        <v>0</v>
      </c>
      <c r="CA227" s="586" t="str">
        <f>_xlfn.IFS(AND($AI227=$AM227,$AI227&gt;0,$AM227&gt;0,BZ227&gt;0), BZ227,     AND(NOT($AI227=$AM227),$AI227&gt;0,$AM227&gt;0,BZ227&gt;0), ($AM227*BZ227)/$AI227,     AND($AI227=0,$AM227&gt;0,$AQ227&gt;0), IF(INDEX(BZ$12:BZ$263,MATCH($AQ227,$AP$12:$AP$263,0))&gt;0,($AM227*INDEX(BZ$12:BZ$263,MATCH($AQ227,$AP$12:$AP$263,0)))/INDEX($AI$12:$AI$263,MATCH($AQ227,$AP$12:$AP$263,0)), "-"),     TRUE, "0")</f>
        <v>0</v>
      </c>
      <c r="CB227" s="588">
        <f>IF(CA$9&gt;0, IF(OR(CA227="",CA227="-"), 0, CA227*$AT227), BZ227*$AJ227)</f>
        <v>0</v>
      </c>
      <c r="CC227" s="587">
        <f>[1]COMMANDE!AK225</f>
        <v>0</v>
      </c>
      <c r="CD227" s="586" t="str">
        <f>_xlfn.IFS(AND($AI227=$AM227,$AI227&gt;0,$AM227&gt;0,CC227&gt;0), CC227,     AND(NOT($AI227=$AM227),$AI227&gt;0,$AM227&gt;0,CC227&gt;0), ($AM227*CC227)/$AI227,     AND($AI227=0,$AM227&gt;0,$AQ227&gt;0), IF(INDEX(CC$12:CC$263,MATCH($AQ227,$AP$12:$AP$263,0))&gt;0,($AM227*INDEX(CC$12:CC$263,MATCH($AQ227,$AP$12:$AP$263,0)))/INDEX($AI$12:$AI$263,MATCH($AQ227,$AP$12:$AP$263,0)), "-"),     TRUE, "0")</f>
        <v>0</v>
      </c>
      <c r="CE227" s="607">
        <f>IF(CD$9&gt;0, IF(OR(CD227="",CD227="-"), 0, CD227*$AT227), CC227*$AJ227)</f>
        <v>0</v>
      </c>
      <c r="CF227" s="589">
        <f>[1]COMMANDE!AM225</f>
        <v>0</v>
      </c>
      <c r="CG227" s="586" t="str">
        <f>_xlfn.IFS(AND($AI227=$AM227,$AI227&gt;0,$AM227&gt;0,CF227&gt;0), CF227,     AND(NOT($AI227=$AM227),$AI227&gt;0,$AM227&gt;0,CF227&gt;0), ($AM227*CF227)/$AI227,     AND($AI227=0,$AM227&gt;0,$AQ227&gt;0), IF(INDEX(CF$12:CF$263,MATCH($AQ227,$AP$12:$AP$263,0))&gt;0,($AM227*INDEX(CF$12:CF$263,MATCH($AQ227,$AP$12:$AP$263,0)))/INDEX($AI$12:$AI$263,MATCH($AQ227,$AP$12:$AP$263,0)), "-"),     TRUE, "0")</f>
        <v>0</v>
      </c>
      <c r="CH227" s="588">
        <f>IF(CG$9&gt;0, IF(OR(CG227="",CG227="-"), 0, CG227*$AT227), CF227*$AJ227)</f>
        <v>0</v>
      </c>
      <c r="CI227" s="587">
        <f>[1]COMMANDE!AO225</f>
        <v>0</v>
      </c>
      <c r="CJ227" s="586" t="str">
        <f>_xlfn.IFS(AND($AI227=$AM227,$AI227&gt;0,$AM227&gt;0,CI227&gt;0), CI227,     AND(NOT($AI227=$AM227),$AI227&gt;0,$AM227&gt;0,CI227&gt;0), ($AM227*CI227)/$AI227,     AND($AI227=0,$AM227&gt;0,$AQ227&gt;0), IF(INDEX(CI$12:CI$263,MATCH($AQ227,$AP$12:$AP$263,0))&gt;0,($AM227*INDEX(CI$12:CI$263,MATCH($AQ227,$AP$12:$AP$263,0)))/INDEX($AI$12:$AI$263,MATCH($AQ227,$AP$12:$AP$263,0)), "-"),     TRUE, "0")</f>
        <v>0</v>
      </c>
      <c r="CK227" s="607">
        <f>IF(CJ$9&gt;0, IF(OR(CJ227="",CJ227="-"), 0, CJ227*$AT227), CI227*$AJ227)</f>
        <v>0</v>
      </c>
      <c r="CL227" s="589">
        <f>[1]COMMANDE!AQ225</f>
        <v>0</v>
      </c>
      <c r="CM227" s="586" t="str">
        <f>_xlfn.IFS(AND($AI227=$AM227,$AI227&gt;0,$AM227&gt;0,CL227&gt;0), CL227,     AND(NOT($AI227=$AM227),$AI227&gt;0,$AM227&gt;0,CL227&gt;0), ($AM227*CL227)/$AI227,     AND($AI227=0,$AM227&gt;0,$AQ227&gt;0), IF(INDEX(CL$12:CL$263,MATCH($AQ227,$AP$12:$AP$263,0))&gt;0,($AM227*INDEX(CL$12:CL$263,MATCH($AQ227,$AP$12:$AP$263,0)))/INDEX($AI$12:$AI$263,MATCH($AQ227,$AP$12:$AP$263,0)), "-"),     TRUE, "0")</f>
        <v>0</v>
      </c>
      <c r="CN227" s="588">
        <f>IF(CM$9&gt;0, IF(OR(CM227="",CM227="-"), 0, CM227*$AT227), CL227*$AJ227)</f>
        <v>0</v>
      </c>
      <c r="CO227" s="587">
        <f>[1]COMMANDE!AS225</f>
        <v>0</v>
      </c>
      <c r="CP227" s="586" t="str">
        <f>_xlfn.IFS(AND($AI227=$AM227,$AI227&gt;0,$AM227&gt;0,CO227&gt;0), CO227,     AND(NOT($AI227=$AM227),$AI227&gt;0,$AM227&gt;0,CO227&gt;0), ($AM227*CO227)/$AI227,     AND($AI227=0,$AM227&gt;0,$AQ227&gt;0), IF(INDEX(CO$12:CO$263,MATCH($AQ227,$AP$12:$AP$263,0))&gt;0,($AM227*INDEX(CO$12:CO$263,MATCH($AQ227,$AP$12:$AP$263,0)))/INDEX($AI$12:$AI$263,MATCH($AQ227,$AP$12:$AP$263,0)), "-"),     TRUE, "0")</f>
        <v>0</v>
      </c>
      <c r="CQ227" s="607">
        <f>IF(CP$9&gt;0, IF(OR(CP227="",CP227="-"), 0, CP227*$AT227), CO227*$AJ227)</f>
        <v>0</v>
      </c>
      <c r="CR227" s="589">
        <f>[1]COMMANDE!AU225</f>
        <v>0</v>
      </c>
      <c r="CS227" s="586" t="str">
        <f>_xlfn.IFS(AND($AI227=$AM227,$AI227&gt;0,$AM227&gt;0,CR227&gt;0), CR227,     AND(NOT($AI227=$AM227),$AI227&gt;0,$AM227&gt;0,CR227&gt;0), ($AM227*CR227)/$AI227,     AND($AI227=0,$AM227&gt;0,$AQ227&gt;0), IF(INDEX(CR$12:CR$263,MATCH($AQ227,$AP$12:$AP$263,0))&gt;0,($AM227*INDEX(CR$12:CR$263,MATCH($AQ227,$AP$12:$AP$263,0)))/INDEX($AI$12:$AI$263,MATCH($AQ227,$AP$12:$AP$263,0)), "-"),     TRUE, "0")</f>
        <v>0</v>
      </c>
      <c r="CT227" s="588">
        <f>IF(CS$9&gt;0, IF(OR(CS227="",CS227="-"), 0, CS227*$AT227), CR227*$AJ227)</f>
        <v>0</v>
      </c>
      <c r="CU227" s="587">
        <f>[1]COMMANDE!AW225</f>
        <v>0</v>
      </c>
      <c r="CV227" s="586" t="str">
        <f>_xlfn.IFS(AND($AI227=$AM227,$AI227&gt;0,$AM227&gt;0,CU227&gt;0), CU227,     AND(NOT($AI227=$AM227),$AI227&gt;0,$AM227&gt;0,CU227&gt;0), ($AM227*CU227)/$AI227,     AND($AI227=0,$AM227&gt;0,$AQ227&gt;0), IF(INDEX(CU$12:CU$263,MATCH($AQ227,$AP$12:$AP$263,0))&gt;0,($AM227*INDEX(CU$12:CU$263,MATCH($AQ227,$AP$12:$AP$263,0)))/INDEX($AI$12:$AI$263,MATCH($AQ227,$AP$12:$AP$263,0)), "-"),     TRUE, "0")</f>
        <v>0</v>
      </c>
      <c r="CW227" s="607">
        <f>IF(CV$9&gt;0, IF(OR(CV227="",CV227="-"), 0, CV227*$AT227), CU227*$AJ227)</f>
        <v>0</v>
      </c>
      <c r="CX227" s="589">
        <f>[1]COMMANDE!AY225</f>
        <v>0</v>
      </c>
      <c r="CY227" s="586" t="str">
        <f>_xlfn.IFS(AND($AI227=$AM227,$AI227&gt;0,$AM227&gt;0,CX227&gt;0), CX227,     AND(NOT($AI227=$AM227),$AI227&gt;0,$AM227&gt;0,CX227&gt;0), ($AM227*CX227)/$AI227,     AND($AI227=0,$AM227&gt;0,$AQ227&gt;0), IF(INDEX(CX$12:CX$263,MATCH($AQ227,$AP$12:$AP$263,0))&gt;0,($AM227*INDEX(CX$12:CX$263,MATCH($AQ227,$AP$12:$AP$263,0)))/INDEX($AI$12:$AI$263,MATCH($AQ227,$AP$12:$AP$263,0)), "-"),     TRUE, "0")</f>
        <v>0</v>
      </c>
      <c r="CZ227" s="588">
        <f>IF(CY$9&gt;0, IF(OR(CY227="",CY227="-"), 0, CY227*$AT227), CX227*$AJ227)</f>
        <v>0</v>
      </c>
      <c r="DA227" s="587">
        <f>[1]COMMANDE!BA225</f>
        <v>0</v>
      </c>
      <c r="DB227" s="586" t="str">
        <f>_xlfn.IFS(AND($AI227=$AM227,$AI227&gt;0,$AM227&gt;0,DA227&gt;0), DA227,     AND(NOT($AI227=$AM227),$AI227&gt;0,$AM227&gt;0,DA227&gt;0), ($AM227*DA227)/$AI227,     AND($AI227=0,$AM227&gt;0,$AQ227&gt;0), IF(INDEX(DA$12:DA$263,MATCH($AQ227,$AP$12:$AP$263,0))&gt;0,($AM227*INDEX(DA$12:DA$263,MATCH($AQ227,$AP$12:$AP$263,0)))/INDEX($AI$12:$AI$263,MATCH($AQ227,$AP$12:$AP$263,0)), "-"),     TRUE, "0")</f>
        <v>0</v>
      </c>
      <c r="DC227" s="606">
        <f>IF(DB$9&gt;0, IF(OR(DB227="",DB227="-"), 0, DB227*$AT227), DA227*$AJ227)</f>
        <v>0</v>
      </c>
      <c r="DD227" s="584"/>
      <c r="DE227" s="583"/>
    </row>
    <row r="228" spans="1:109" ht="39.950000000000003" hidden="1" customHeight="1">
      <c r="A228" s="604">
        <f>IF(OR($AV228&gt;0, $AX228&gt;0), 1, 0)</f>
        <v>0</v>
      </c>
      <c r="B228" s="604">
        <f>IF(OR($AY228&gt;0, $BA228&gt;0), 1, 0)</f>
        <v>0</v>
      </c>
      <c r="C228" s="604">
        <f>IF(OR($BB228&gt;0, $BD228&gt;0), 1, 0)</f>
        <v>0</v>
      </c>
      <c r="D228" s="604">
        <f>IF(OR($BE228&gt;0, $BG228&gt;0), 1, 0)</f>
        <v>0</v>
      </c>
      <c r="E228" s="604">
        <f>IF(OR($BH228&gt;0, $BJ228&gt;0), 1, 0)</f>
        <v>0</v>
      </c>
      <c r="F228" s="604">
        <f>IF(OR($BK228&gt;0, $BM228&gt;0), 1, 0)</f>
        <v>0</v>
      </c>
      <c r="G228" s="604">
        <f>IF(OR($BN228&gt;0, $BP228&gt;0), 1, 0)</f>
        <v>0</v>
      </c>
      <c r="H228" s="604">
        <f>IF(OR($BQ228&gt;0, $BS228&gt;0), 1, 0)</f>
        <v>0</v>
      </c>
      <c r="I228" s="604">
        <f>IF(OR($BT228&gt;0, $BV228&gt;0), 1, 0)</f>
        <v>0</v>
      </c>
      <c r="J228" s="604">
        <f>IF(OR($BW228&gt;0, $BY228&gt;0), 1, 0)</f>
        <v>0</v>
      </c>
      <c r="K228" s="604">
        <f>IF(OR($BZ228&gt;0, $CB228&gt;0), 1, 0)</f>
        <v>0</v>
      </c>
      <c r="L228" s="604">
        <f>IF(OR($CC228&gt;0, $CE228&gt;0), 1, 0)</f>
        <v>0</v>
      </c>
      <c r="M228" s="604">
        <f>IF(OR($CF228&gt;0, $CH228&gt;0), 1, 0)</f>
        <v>0</v>
      </c>
      <c r="N228" s="604">
        <f>IF(OR($CI228&gt;0, $CK228&gt;0), 1, 0)</f>
        <v>0</v>
      </c>
      <c r="O228" s="604">
        <f>IF(OR($CL228&gt;0, $CN228&gt;0), 1, 0)</f>
        <v>0</v>
      </c>
      <c r="P228" s="604">
        <f>IF(OR($CO228&gt;0, $CQ228&gt;0), 1, 0)</f>
        <v>0</v>
      </c>
      <c r="Q228" s="604">
        <f>IF(OR($CR228&gt;0, $CT228&gt;0), 1, 0)</f>
        <v>0</v>
      </c>
      <c r="R228" s="604">
        <f>IF(OR($CU228&gt;0, $CW228&gt;0), 1, 0)</f>
        <v>0</v>
      </c>
      <c r="S228" s="604">
        <f>IF(OR($CX228&gt;0, $CZ228&gt;0), 1, 0)</f>
        <v>0</v>
      </c>
      <c r="T228" s="604">
        <f>IF(OR($DA228&gt;0, $DC228&gt;0), 1, 0)</f>
        <v>0</v>
      </c>
      <c r="U228" s="603">
        <f>IF(OR($AI228&gt;0,$AM228&gt;0,$AS228&gt;0), 1, 0)</f>
        <v>0</v>
      </c>
      <c r="V228" s="602">
        <f>[1]BDD!A218</f>
        <v>1147</v>
      </c>
      <c r="W228" s="601" t="str">
        <f>[1]BDD!B218</f>
        <v>Pomme de terre rouge BIO</v>
      </c>
      <c r="X228" s="600" t="str">
        <f>IF([1]BDD!F218=0, "", [1]BDD!F218)</f>
        <v/>
      </c>
      <c r="Y228" s="542">
        <f>ROUND([1]BDD!G218+FDP_CMD_KG, 2)</f>
        <v>3.19</v>
      </c>
      <c r="Z228" s="542">
        <f>ROUND([1]BDD!G218+FDP_FACT_KG, 2)</f>
        <v>3.19</v>
      </c>
      <c r="AA228" s="543" t="str">
        <f>[1]BDD!H218</f>
        <v>kg</v>
      </c>
      <c r="AB228" s="544">
        <f>IF(NOT(ISBLANK([1]BDD!I218)), ROUND(SUM(([1]BDD!G218*reduc1),FDP_CMD_KG), 2), "")</f>
        <v>2.96</v>
      </c>
      <c r="AC228" s="544">
        <f>IF(NOT(ISBLANK([1]BDD!J218)), ROUND(SUM(([1]BDD!G218*reduc2),FDP_CMD_KG), 2), "")</f>
        <v>2.73</v>
      </c>
      <c r="AD228" s="544" t="str">
        <f>IF(NOT(ISBLANK([1]BDD!K218)), ROUND(SUM(([1]BDD!G218*reduc3),FDP_CMD_KG), 2), "")</f>
        <v/>
      </c>
      <c r="AE228" s="544">
        <f>IF(NOT(ISBLANK([1]BDD!I218)), ROUND(SUM(([1]BDD!G218*reduc1),FDP_FACT_KG), 2), "")</f>
        <v>2.95</v>
      </c>
      <c r="AF228" s="544">
        <f>IF(NOT(ISBLANK([1]BDD!J218)), ROUND(SUM(([1]BDD!G218*reduc2),FDP_FACT_KG), 2), "")</f>
        <v>2.72</v>
      </c>
      <c r="AG228" s="544" t="str">
        <f>IF(NOT(ISBLANK([1]BDD!K218)), ROUND(SUM(([1]BDD!G218*reduc3),FDP_FACT_KG), 2), "")</f>
        <v/>
      </c>
      <c r="AH228" s="599" t="str">
        <f>[1]BDD!C218</f>
        <v>Grenade</v>
      </c>
      <c r="AI228" s="598">
        <f>SUM(AV228,AY228,BB228,BE228,BH228,BK228,BN228,BQ228,BT228,BW228,BZ228,CC228,CF228,CI228,CL228,CO228,CR228,CU228,CX228,DA228)</f>
        <v>0</v>
      </c>
      <c r="AJ228" s="545">
        <f>_xlfn.IFS($AD228&lt;&gt;"", $AD228,    $AC228&lt;&gt;"", $AC228,    $AB228&lt;&gt;"", $AB228,    TRUE, $Y228)</f>
        <v>2.73</v>
      </c>
      <c r="AK228" s="592">
        <f>$AI228*$AJ228</f>
        <v>0</v>
      </c>
      <c r="AL228" s="594"/>
      <c r="AM228" s="597"/>
      <c r="AN228" s="545">
        <f>_xlfn.IFS(AND(AM228&gt;=60,$AG228&lt;&gt;""), $AG228,    AND(AM228&gt;=30,$AF228&lt;&gt;""), $AF228,    AND(AM228&gt;=10,$AE228&lt;&gt;""), $AE228,    TRUE, $Z228)</f>
        <v>3.19</v>
      </c>
      <c r="AO228" s="596">
        <f>AM228*AN228</f>
        <v>0</v>
      </c>
      <c r="AP228" s="595"/>
      <c r="AQ228" s="595"/>
      <c r="AR228" s="594"/>
      <c r="AS228" s="593">
        <f>SUM(AW228,AZ228,BC228,BF228,BI228,BL228,BO228,BR228,BU228,BX228,CA228,CD228,CG228,CJ228,CM228,CP228,CS228,CV228,CY228,DB228)</f>
        <v>0</v>
      </c>
      <c r="AT228" s="545">
        <f>_xlfn.IFS(AND(AS228&gt;=60,$AG228&lt;&gt;""), $AG228,    AND(AS228&gt;=30,$AF228&lt;&gt;""), $AF228,    AND(AS228&gt;=10,$AE228&lt;&gt;""), $AE228,    TRUE, $Z228)</f>
        <v>3.19</v>
      </c>
      <c r="AU228" s="592">
        <f>$AS228*$AT228</f>
        <v>0</v>
      </c>
      <c r="AV228" s="591">
        <f>[1]COMMANDE!O226</f>
        <v>0</v>
      </c>
      <c r="AW228" s="586" t="str">
        <f>_xlfn.IFS(AND($AI228=$AM228,$AI228&gt;0,$AM228&gt;0,AV228&gt;0), AV228,     AND(NOT($AI228=$AM228),$AI228&gt;0,$AM228&gt;0,AV228&gt;0), ($AM228*AV228)/$AI228,     AND($AI228=0,$AM228&gt;0,$AQ228&gt;0), IF(INDEX(AV$12:AV$263,MATCH($AQ228,$AP$12:$AP$263,0))&gt;0,($AM228*INDEX(AV$12:AV$263,MATCH($AQ228,$AP$12:$AP$263,0)))/INDEX($AI$12:$AI$263,MATCH($AQ228,$AP$12:$AP$263,0)), "-"),     TRUE, "0")</f>
        <v>0</v>
      </c>
      <c r="AX228" s="588">
        <f>IF(AW$9&gt;0, IF(OR(AW228="",AW228="-"), 0, AW228*$AT228), AV228*$AJ228)</f>
        <v>0</v>
      </c>
      <c r="AY228" s="587">
        <f>[1]COMMANDE!Q226</f>
        <v>0</v>
      </c>
      <c r="AZ228" s="586" t="str">
        <f>_xlfn.IFS(AND($AI228=$AM228,$AI228&gt;0,$AM228&gt;0,AY228&gt;0), AY228,     AND(NOT($AI228=$AM228),$AI228&gt;0,$AM228&gt;0,AY228&gt;0), ($AM228*AY228)/$AI228,     AND($AI228=0,$AM228&gt;0,$AQ228&gt;0), IF(INDEX(AY$12:AY$263,MATCH($AQ228,$AP$12:$AP$263,0))&gt;0,($AM228*INDEX(AY$12:AY$263,MATCH($AQ228,$AP$12:$AP$263,0)))/INDEX($AI$12:$AI$263,MATCH($AQ228,$AP$12:$AP$263,0)), "-"),     TRUE, "0")</f>
        <v>0</v>
      </c>
      <c r="BA228" s="607">
        <f>IF(AZ$9&gt;0, IF(OR(AZ228="",AZ228="-"), 0, AZ228*$AT228), AY228*$AJ228)</f>
        <v>0</v>
      </c>
      <c r="BB228" s="589">
        <f>[1]COMMANDE!S226</f>
        <v>0</v>
      </c>
      <c r="BC228" s="586" t="str">
        <f>_xlfn.IFS(AND($AI228=$AM228,$AI228&gt;0,$AM228&gt;0,BB228&gt;0), BB228,     AND(NOT($AI228=$AM228),$AI228&gt;0,$AM228&gt;0,BB228&gt;0), ($AM228*BB228)/$AI228,     AND($AI228=0,$AM228&gt;0,$AQ228&gt;0), IF(INDEX(BB$12:BB$263,MATCH($AQ228,$AP$12:$AP$263,0))&gt;0,($AM228*INDEX(BB$12:BB$263,MATCH($AQ228,$AP$12:$AP$263,0)))/INDEX($AI$12:$AI$263,MATCH($AQ228,$AP$12:$AP$263,0)), "-"),     TRUE, "0")</f>
        <v>0</v>
      </c>
      <c r="BD228" s="588">
        <f>IF(BC$9&gt;0, IF(OR(BC228="",BC228="-"), 0, BC228*$AT228), BB228*$AJ228)</f>
        <v>0</v>
      </c>
      <c r="BE228" s="587">
        <f>[1]COMMANDE!U226</f>
        <v>0</v>
      </c>
      <c r="BF228" s="586" t="str">
        <f>_xlfn.IFS(AND($AI228=$AM228,$AI228&gt;0,$AM228&gt;0,BE228&gt;0), BE228,     AND(NOT($AI228=$AM228),$AI228&gt;0,$AM228&gt;0,BE228&gt;0), ($AM228*BE228)/$AI228,     AND($AI228=0,$AM228&gt;0,$AQ228&gt;0), IF(INDEX(BE$12:BE$263,MATCH($AQ228,$AP$12:$AP$263,0))&gt;0,($AM228*INDEX(BE$12:BE$263,MATCH($AQ228,$AP$12:$AP$263,0)))/INDEX($AI$12:$AI$263,MATCH($AQ228,$AP$12:$AP$263,0)), "-"),     TRUE, "0")</f>
        <v>0</v>
      </c>
      <c r="BG228" s="607">
        <f>IF(BF$9&gt;0, IF(OR(BF228="",BF228="-"), 0, BF228*$AT228), BE228*$AJ228)</f>
        <v>0</v>
      </c>
      <c r="BH228" s="589">
        <f>[1]COMMANDE!W226</f>
        <v>0</v>
      </c>
      <c r="BI228" s="586" t="str">
        <f>_xlfn.IFS(AND($AI228=$AM228,$AI228&gt;0,$AM228&gt;0,BH228&gt;0), BH228,     AND(NOT($AI228=$AM228),$AI228&gt;0,$AM228&gt;0,BH228&gt;0), ($AM228*BH228)/$AI228,     AND($AI228=0,$AM228&gt;0,$AQ228&gt;0), IF(INDEX(BH$12:BH$263,MATCH($AQ228,$AP$12:$AP$263,0))&gt;0,($AM228*INDEX(BH$12:BH$263,MATCH($AQ228,$AP$12:$AP$263,0)))/INDEX($AI$12:$AI$263,MATCH($AQ228,$AP$12:$AP$263,0)), "-"),     TRUE, "0")</f>
        <v>0</v>
      </c>
      <c r="BJ228" s="588">
        <f>IF(BI$9&gt;0, IF(OR(BI228="",BI228="-"), 0, BI228*$AT228), BH228*$AJ228)</f>
        <v>0</v>
      </c>
      <c r="BK228" s="587">
        <f>[1]COMMANDE!Y226</f>
        <v>0</v>
      </c>
      <c r="BL228" s="586" t="str">
        <f>_xlfn.IFS(AND($AI228=$AM228,$AI228&gt;0,$AM228&gt;0,BK228&gt;0), BK228,     AND(NOT($AI228=$AM228),$AI228&gt;0,$AM228&gt;0,BK228&gt;0), ($AM228*BK228)/$AI228,     AND($AI228=0,$AM228&gt;0,$AQ228&gt;0), IF(INDEX(BK$12:BK$263,MATCH($AQ228,$AP$12:$AP$263,0))&gt;0,($AM228*INDEX(BK$12:BK$263,MATCH($AQ228,$AP$12:$AP$263,0)))/INDEX($AI$12:$AI$263,MATCH($AQ228,$AP$12:$AP$263,0)), "-"),     TRUE, "0")</f>
        <v>0</v>
      </c>
      <c r="BM228" s="607">
        <f>IF(BL$9&gt;0, IF(OR(BL228="",BL228="-"), 0, BL228*$AT228), BK228*$AJ228)</f>
        <v>0</v>
      </c>
      <c r="BN228" s="589">
        <f>[1]COMMANDE!AA226</f>
        <v>0</v>
      </c>
      <c r="BO228" s="586" t="str">
        <f>_xlfn.IFS(AND($AI228=$AM228,$AI228&gt;0,$AM228&gt;0,BN228&gt;0), BN228,     AND(NOT($AI228=$AM228),$AI228&gt;0,$AM228&gt;0,BN228&gt;0), ($AM228*BN228)/$AI228,     AND($AI228=0,$AM228&gt;0,$AQ228&gt;0), IF(INDEX(BN$12:BN$263,MATCH($AQ228,$AP$12:$AP$263,0))&gt;0,($AM228*INDEX(BN$12:BN$263,MATCH($AQ228,$AP$12:$AP$263,0)))/INDEX($AI$12:$AI$263,MATCH($AQ228,$AP$12:$AP$263,0)), "-"),     TRUE, "0")</f>
        <v>0</v>
      </c>
      <c r="BP228" s="588">
        <f>IF(BO$9&gt;0, IF(OR(BO228="",BO228="-"), 0, BO228*$AT228), BN228*$AJ228)</f>
        <v>0</v>
      </c>
      <c r="BQ228" s="587">
        <f>[1]COMMANDE!AC226</f>
        <v>0</v>
      </c>
      <c r="BR228" s="586" t="str">
        <f>_xlfn.IFS(AND($AI228=$AM228,$AI228&gt;0,$AM228&gt;0,BQ228&gt;0), BQ228,     AND(NOT($AI228=$AM228),$AI228&gt;0,$AM228&gt;0,BQ228&gt;0), ($AM228*BQ228)/$AI228,     AND($AI228=0,$AM228&gt;0,$AQ228&gt;0), IF(INDEX(BQ$12:BQ$263,MATCH($AQ228,$AP$12:$AP$263,0))&gt;0,($AM228*INDEX(BQ$12:BQ$263,MATCH($AQ228,$AP$12:$AP$263,0)))/INDEX($AI$12:$AI$263,MATCH($AQ228,$AP$12:$AP$263,0)), "-"),     TRUE, "0")</f>
        <v>0</v>
      </c>
      <c r="BS228" s="607">
        <f>IF(BR$9&gt;0, IF(OR(BR228="",BR228="-"), 0, BR228*$AT228), BQ228*$AJ228)</f>
        <v>0</v>
      </c>
      <c r="BT228" s="589">
        <f>[1]COMMANDE!AE226</f>
        <v>0</v>
      </c>
      <c r="BU228" s="586" t="str">
        <f>_xlfn.IFS(AND($AI228=$AM228,$AI228&gt;0,$AM228&gt;0,BT228&gt;0), BT228,     AND(NOT($AI228=$AM228),$AI228&gt;0,$AM228&gt;0,BT228&gt;0), ($AM228*BT228)/$AI228,     AND($AI228=0,$AM228&gt;0,$AQ228&gt;0), IF(INDEX(BT$12:BT$263,MATCH($AQ228,$AP$12:$AP$263,0))&gt;0,($AM228*INDEX(BT$12:BT$263,MATCH($AQ228,$AP$12:$AP$263,0)))/INDEX($AI$12:$AI$263,MATCH($AQ228,$AP$12:$AP$263,0)), "-"),     TRUE, "0")</f>
        <v>0</v>
      </c>
      <c r="BV228" s="588">
        <f>IF(BU$9&gt;0, IF(OR(BU228="",BU228="-"), 0, BU228*$AT228), BT228*$AJ228)</f>
        <v>0</v>
      </c>
      <c r="BW228" s="587">
        <f>[1]COMMANDE!AG226</f>
        <v>0</v>
      </c>
      <c r="BX228" s="586" t="str">
        <f>_xlfn.IFS(AND($AI228=$AM228,$AI228&gt;0,$AM228&gt;0,BW228&gt;0), BW228,     AND(NOT($AI228=$AM228),$AI228&gt;0,$AM228&gt;0,BW228&gt;0), ($AM228*BW228)/$AI228,     AND($AI228=0,$AM228&gt;0,$AQ228&gt;0), IF(INDEX(BW$12:BW$263,MATCH($AQ228,$AP$12:$AP$263,0))&gt;0,($AM228*INDEX(BW$12:BW$263,MATCH($AQ228,$AP$12:$AP$263,0)))/INDEX($AI$12:$AI$263,MATCH($AQ228,$AP$12:$AP$263,0)), "-"),     TRUE, "0")</f>
        <v>0</v>
      </c>
      <c r="BY228" s="607">
        <f>IF(BX$9&gt;0, IF(OR(BX228="",BX228="-"), 0, BX228*$AT228), BW228*$AJ228)</f>
        <v>0</v>
      </c>
      <c r="BZ228" s="589">
        <f>[1]COMMANDE!AI226</f>
        <v>0</v>
      </c>
      <c r="CA228" s="586" t="str">
        <f>_xlfn.IFS(AND($AI228=$AM228,$AI228&gt;0,$AM228&gt;0,BZ228&gt;0), BZ228,     AND(NOT($AI228=$AM228),$AI228&gt;0,$AM228&gt;0,BZ228&gt;0), ($AM228*BZ228)/$AI228,     AND($AI228=0,$AM228&gt;0,$AQ228&gt;0), IF(INDEX(BZ$12:BZ$263,MATCH($AQ228,$AP$12:$AP$263,0))&gt;0,($AM228*INDEX(BZ$12:BZ$263,MATCH($AQ228,$AP$12:$AP$263,0)))/INDEX($AI$12:$AI$263,MATCH($AQ228,$AP$12:$AP$263,0)), "-"),     TRUE, "0")</f>
        <v>0</v>
      </c>
      <c r="CB228" s="588">
        <f>IF(CA$9&gt;0, IF(OR(CA228="",CA228="-"), 0, CA228*$AT228), BZ228*$AJ228)</f>
        <v>0</v>
      </c>
      <c r="CC228" s="587">
        <f>[1]COMMANDE!AK226</f>
        <v>0</v>
      </c>
      <c r="CD228" s="586" t="str">
        <f>_xlfn.IFS(AND($AI228=$AM228,$AI228&gt;0,$AM228&gt;0,CC228&gt;0), CC228,     AND(NOT($AI228=$AM228),$AI228&gt;0,$AM228&gt;0,CC228&gt;0), ($AM228*CC228)/$AI228,     AND($AI228=0,$AM228&gt;0,$AQ228&gt;0), IF(INDEX(CC$12:CC$263,MATCH($AQ228,$AP$12:$AP$263,0))&gt;0,($AM228*INDEX(CC$12:CC$263,MATCH($AQ228,$AP$12:$AP$263,0)))/INDEX($AI$12:$AI$263,MATCH($AQ228,$AP$12:$AP$263,0)), "-"),     TRUE, "0")</f>
        <v>0</v>
      </c>
      <c r="CE228" s="607">
        <f>IF(CD$9&gt;0, IF(OR(CD228="",CD228="-"), 0, CD228*$AT228), CC228*$AJ228)</f>
        <v>0</v>
      </c>
      <c r="CF228" s="589">
        <f>[1]COMMANDE!AM226</f>
        <v>0</v>
      </c>
      <c r="CG228" s="586" t="str">
        <f>_xlfn.IFS(AND($AI228=$AM228,$AI228&gt;0,$AM228&gt;0,CF228&gt;0), CF228,     AND(NOT($AI228=$AM228),$AI228&gt;0,$AM228&gt;0,CF228&gt;0), ($AM228*CF228)/$AI228,     AND($AI228=0,$AM228&gt;0,$AQ228&gt;0), IF(INDEX(CF$12:CF$263,MATCH($AQ228,$AP$12:$AP$263,0))&gt;0,($AM228*INDEX(CF$12:CF$263,MATCH($AQ228,$AP$12:$AP$263,0)))/INDEX($AI$12:$AI$263,MATCH($AQ228,$AP$12:$AP$263,0)), "-"),     TRUE, "0")</f>
        <v>0</v>
      </c>
      <c r="CH228" s="588">
        <f>IF(CG$9&gt;0, IF(OR(CG228="",CG228="-"), 0, CG228*$AT228), CF228*$AJ228)</f>
        <v>0</v>
      </c>
      <c r="CI228" s="587">
        <f>[1]COMMANDE!AO226</f>
        <v>0</v>
      </c>
      <c r="CJ228" s="586" t="str">
        <f>_xlfn.IFS(AND($AI228=$AM228,$AI228&gt;0,$AM228&gt;0,CI228&gt;0), CI228,     AND(NOT($AI228=$AM228),$AI228&gt;0,$AM228&gt;0,CI228&gt;0), ($AM228*CI228)/$AI228,     AND($AI228=0,$AM228&gt;0,$AQ228&gt;0), IF(INDEX(CI$12:CI$263,MATCH($AQ228,$AP$12:$AP$263,0))&gt;0,($AM228*INDEX(CI$12:CI$263,MATCH($AQ228,$AP$12:$AP$263,0)))/INDEX($AI$12:$AI$263,MATCH($AQ228,$AP$12:$AP$263,0)), "-"),     TRUE, "0")</f>
        <v>0</v>
      </c>
      <c r="CK228" s="607">
        <f>IF(CJ$9&gt;0, IF(OR(CJ228="",CJ228="-"), 0, CJ228*$AT228), CI228*$AJ228)</f>
        <v>0</v>
      </c>
      <c r="CL228" s="589">
        <f>[1]COMMANDE!AQ226</f>
        <v>0</v>
      </c>
      <c r="CM228" s="586" t="str">
        <f>_xlfn.IFS(AND($AI228=$AM228,$AI228&gt;0,$AM228&gt;0,CL228&gt;0), CL228,     AND(NOT($AI228=$AM228),$AI228&gt;0,$AM228&gt;0,CL228&gt;0), ($AM228*CL228)/$AI228,     AND($AI228=0,$AM228&gt;0,$AQ228&gt;0), IF(INDEX(CL$12:CL$263,MATCH($AQ228,$AP$12:$AP$263,0))&gt;0,($AM228*INDEX(CL$12:CL$263,MATCH($AQ228,$AP$12:$AP$263,0)))/INDEX($AI$12:$AI$263,MATCH($AQ228,$AP$12:$AP$263,0)), "-"),     TRUE, "0")</f>
        <v>0</v>
      </c>
      <c r="CN228" s="588">
        <f>IF(CM$9&gt;0, IF(OR(CM228="",CM228="-"), 0, CM228*$AT228), CL228*$AJ228)</f>
        <v>0</v>
      </c>
      <c r="CO228" s="587">
        <f>[1]COMMANDE!AS226</f>
        <v>0</v>
      </c>
      <c r="CP228" s="586" t="str">
        <f>_xlfn.IFS(AND($AI228=$AM228,$AI228&gt;0,$AM228&gt;0,CO228&gt;0), CO228,     AND(NOT($AI228=$AM228),$AI228&gt;0,$AM228&gt;0,CO228&gt;0), ($AM228*CO228)/$AI228,     AND($AI228=0,$AM228&gt;0,$AQ228&gt;0), IF(INDEX(CO$12:CO$263,MATCH($AQ228,$AP$12:$AP$263,0))&gt;0,($AM228*INDEX(CO$12:CO$263,MATCH($AQ228,$AP$12:$AP$263,0)))/INDEX($AI$12:$AI$263,MATCH($AQ228,$AP$12:$AP$263,0)), "-"),     TRUE, "0")</f>
        <v>0</v>
      </c>
      <c r="CQ228" s="607">
        <f>IF(CP$9&gt;0, IF(OR(CP228="",CP228="-"), 0, CP228*$AT228), CO228*$AJ228)</f>
        <v>0</v>
      </c>
      <c r="CR228" s="589">
        <f>[1]COMMANDE!AU226</f>
        <v>0</v>
      </c>
      <c r="CS228" s="586" t="str">
        <f>_xlfn.IFS(AND($AI228=$AM228,$AI228&gt;0,$AM228&gt;0,CR228&gt;0), CR228,     AND(NOT($AI228=$AM228),$AI228&gt;0,$AM228&gt;0,CR228&gt;0), ($AM228*CR228)/$AI228,     AND($AI228=0,$AM228&gt;0,$AQ228&gt;0), IF(INDEX(CR$12:CR$263,MATCH($AQ228,$AP$12:$AP$263,0))&gt;0,($AM228*INDEX(CR$12:CR$263,MATCH($AQ228,$AP$12:$AP$263,0)))/INDEX($AI$12:$AI$263,MATCH($AQ228,$AP$12:$AP$263,0)), "-"),     TRUE, "0")</f>
        <v>0</v>
      </c>
      <c r="CT228" s="588">
        <f>IF(CS$9&gt;0, IF(OR(CS228="",CS228="-"), 0, CS228*$AT228), CR228*$AJ228)</f>
        <v>0</v>
      </c>
      <c r="CU228" s="587">
        <f>[1]COMMANDE!AW226</f>
        <v>0</v>
      </c>
      <c r="CV228" s="586" t="str">
        <f>_xlfn.IFS(AND($AI228=$AM228,$AI228&gt;0,$AM228&gt;0,CU228&gt;0), CU228,     AND(NOT($AI228=$AM228),$AI228&gt;0,$AM228&gt;0,CU228&gt;0), ($AM228*CU228)/$AI228,     AND($AI228=0,$AM228&gt;0,$AQ228&gt;0), IF(INDEX(CU$12:CU$263,MATCH($AQ228,$AP$12:$AP$263,0))&gt;0,($AM228*INDEX(CU$12:CU$263,MATCH($AQ228,$AP$12:$AP$263,0)))/INDEX($AI$12:$AI$263,MATCH($AQ228,$AP$12:$AP$263,0)), "-"),     TRUE, "0")</f>
        <v>0</v>
      </c>
      <c r="CW228" s="607">
        <f>IF(CV$9&gt;0, IF(OR(CV228="",CV228="-"), 0, CV228*$AT228), CU228*$AJ228)</f>
        <v>0</v>
      </c>
      <c r="CX228" s="589">
        <f>[1]COMMANDE!AY226</f>
        <v>0</v>
      </c>
      <c r="CY228" s="586" t="str">
        <f>_xlfn.IFS(AND($AI228=$AM228,$AI228&gt;0,$AM228&gt;0,CX228&gt;0), CX228,     AND(NOT($AI228=$AM228),$AI228&gt;0,$AM228&gt;0,CX228&gt;0), ($AM228*CX228)/$AI228,     AND($AI228=0,$AM228&gt;0,$AQ228&gt;0), IF(INDEX(CX$12:CX$263,MATCH($AQ228,$AP$12:$AP$263,0))&gt;0,($AM228*INDEX(CX$12:CX$263,MATCH($AQ228,$AP$12:$AP$263,0)))/INDEX($AI$12:$AI$263,MATCH($AQ228,$AP$12:$AP$263,0)), "-"),     TRUE, "0")</f>
        <v>0</v>
      </c>
      <c r="CZ228" s="588">
        <f>IF(CY$9&gt;0, IF(OR(CY228="",CY228="-"), 0, CY228*$AT228), CX228*$AJ228)</f>
        <v>0</v>
      </c>
      <c r="DA228" s="587">
        <f>[1]COMMANDE!BA226</f>
        <v>0</v>
      </c>
      <c r="DB228" s="586" t="str">
        <f>_xlfn.IFS(AND($AI228=$AM228,$AI228&gt;0,$AM228&gt;0,DA228&gt;0), DA228,     AND(NOT($AI228=$AM228),$AI228&gt;0,$AM228&gt;0,DA228&gt;0), ($AM228*DA228)/$AI228,     AND($AI228=0,$AM228&gt;0,$AQ228&gt;0), IF(INDEX(DA$12:DA$263,MATCH($AQ228,$AP$12:$AP$263,0))&gt;0,($AM228*INDEX(DA$12:DA$263,MATCH($AQ228,$AP$12:$AP$263,0)))/INDEX($AI$12:$AI$263,MATCH($AQ228,$AP$12:$AP$263,0)), "-"),     TRUE, "0")</f>
        <v>0</v>
      </c>
      <c r="DC228" s="606">
        <f>IF(DB$9&gt;0, IF(OR(DB228="",DB228="-"), 0, DB228*$AT228), DA228*$AJ228)</f>
        <v>0</v>
      </c>
      <c r="DD228" s="584"/>
      <c r="DE228" s="583"/>
    </row>
    <row r="229" spans="1:109" ht="39.950000000000003" hidden="1" customHeight="1">
      <c r="A229" s="604">
        <f>IF(OR($AV229&gt;0, $AX229&gt;0), 1, 0)</f>
        <v>0</v>
      </c>
      <c r="B229" s="604">
        <f>IF(OR($AY229&gt;0, $BA229&gt;0), 1, 0)</f>
        <v>0</v>
      </c>
      <c r="C229" s="604">
        <f>IF(OR($BB229&gt;0, $BD229&gt;0), 1, 0)</f>
        <v>0</v>
      </c>
      <c r="D229" s="604">
        <f>IF(OR($BE229&gt;0, $BG229&gt;0), 1, 0)</f>
        <v>0</v>
      </c>
      <c r="E229" s="604">
        <f>IF(OR($BH229&gt;0, $BJ229&gt;0), 1, 0)</f>
        <v>0</v>
      </c>
      <c r="F229" s="604">
        <f>IF(OR($BK229&gt;0, $BM229&gt;0), 1, 0)</f>
        <v>0</v>
      </c>
      <c r="G229" s="604">
        <f>IF(OR($BN229&gt;0, $BP229&gt;0), 1, 0)</f>
        <v>0</v>
      </c>
      <c r="H229" s="604">
        <f>IF(OR($BQ229&gt;0, $BS229&gt;0), 1, 0)</f>
        <v>0</v>
      </c>
      <c r="I229" s="604">
        <f>IF(OR($BT229&gt;0, $BV229&gt;0), 1, 0)</f>
        <v>0</v>
      </c>
      <c r="J229" s="604">
        <f>IF(OR($BW229&gt;0, $BY229&gt;0), 1, 0)</f>
        <v>0</v>
      </c>
      <c r="K229" s="604">
        <f>IF(OR($BZ229&gt;0, $CB229&gt;0), 1, 0)</f>
        <v>0</v>
      </c>
      <c r="L229" s="604">
        <f>IF(OR($CC229&gt;0, $CE229&gt;0), 1, 0)</f>
        <v>0</v>
      </c>
      <c r="M229" s="604">
        <f>IF(OR($CF229&gt;0, $CH229&gt;0), 1, 0)</f>
        <v>0</v>
      </c>
      <c r="N229" s="604">
        <f>IF(OR($CI229&gt;0, $CK229&gt;0), 1, 0)</f>
        <v>0</v>
      </c>
      <c r="O229" s="604">
        <f>IF(OR($CL229&gt;0, $CN229&gt;0), 1, 0)</f>
        <v>0</v>
      </c>
      <c r="P229" s="604">
        <f>IF(OR($CO229&gt;0, $CQ229&gt;0), 1, 0)</f>
        <v>0</v>
      </c>
      <c r="Q229" s="604">
        <f>IF(OR($CR229&gt;0, $CT229&gt;0), 1, 0)</f>
        <v>0</v>
      </c>
      <c r="R229" s="604">
        <f>IF(OR($CU229&gt;0, $CW229&gt;0), 1, 0)</f>
        <v>0</v>
      </c>
      <c r="S229" s="604">
        <f>IF(OR($CX229&gt;0, $CZ229&gt;0), 1, 0)</f>
        <v>0</v>
      </c>
      <c r="T229" s="604">
        <f>IF(OR($DA229&gt;0, $DC229&gt;0), 1, 0)</f>
        <v>0</v>
      </c>
      <c r="U229" s="603">
        <f>IF(OR($AI229&gt;0,$AM229&gt;0,$AS229&gt;0), 1, 0)</f>
        <v>0</v>
      </c>
      <c r="V229" s="602">
        <f>[1]BDD!A219</f>
        <v>3750</v>
      </c>
      <c r="W229" s="601" t="str">
        <f>[1]BDD!B219</f>
        <v>Pomme déshydratée
    - (production Rufino, env. 300g)</v>
      </c>
      <c r="X229" s="600" t="str">
        <f>IF([1]BDD!F219=0, "", [1]BDD!F219)</f>
        <v/>
      </c>
      <c r="Y229" s="542">
        <f>ROUND([1]BDD!G219+FDP_CMD_KG, 2)</f>
        <v>8.39</v>
      </c>
      <c r="Z229" s="542">
        <f>ROUND([1]BDD!G219+FDP_FACT_KG, 2)</f>
        <v>8.39</v>
      </c>
      <c r="AA229" s="543" t="str">
        <f>[1]BDD!H219</f>
        <v>Pièce</v>
      </c>
      <c r="AB229" s="544" t="str">
        <f>IF(NOT(ISBLANK([1]BDD!I219)), ROUND(SUM(([1]BDD!G219*reduc1),FDP_CMD_KG), 2), "")</f>
        <v/>
      </c>
      <c r="AC229" s="544" t="str">
        <f>IF(NOT(ISBLANK([1]BDD!J219)), ROUND(SUM(([1]BDD!G219*reduc2),FDP_CMD_KG), 2), "")</f>
        <v/>
      </c>
      <c r="AD229" s="544" t="str">
        <f>IF(NOT(ISBLANK([1]BDD!K219)), ROUND(SUM(([1]BDD!G219*reduc3),FDP_CMD_KG), 2), "")</f>
        <v/>
      </c>
      <c r="AE229" s="544" t="str">
        <f>IF(NOT(ISBLANK([1]BDD!I219)), ROUND(SUM(([1]BDD!G219*reduc1),FDP_FACT_KG), 2), "")</f>
        <v/>
      </c>
      <c r="AF229" s="544" t="str">
        <f>IF(NOT(ISBLANK([1]BDD!J219)), ROUND(SUM(([1]BDD!G219*reduc2),FDP_FACT_KG), 2), "")</f>
        <v/>
      </c>
      <c r="AG229" s="544" t="str">
        <f>IF(NOT(ISBLANK([1]BDD!K219)), ROUND(SUM(([1]BDD!G219*reduc3),FDP_FACT_KG), 2), "")</f>
        <v/>
      </c>
      <c r="AH229" s="599" t="str">
        <f>[1]BDD!C219</f>
        <v>Grenade</v>
      </c>
      <c r="AI229" s="598">
        <f>SUM(AV229,AY229,BB229,BE229,BH229,BK229,BN229,BQ229,BT229,BW229,BZ229,CC229,CF229,CI229,CL229,CO229,CR229,CU229,CX229,DA229)</f>
        <v>0</v>
      </c>
      <c r="AJ229" s="545">
        <f>_xlfn.IFS($AD229&lt;&gt;"", $AD229,    $AC229&lt;&gt;"", $AC229,    $AB229&lt;&gt;"", $AB229,    TRUE, $Y229)</f>
        <v>8.39</v>
      </c>
      <c r="AK229" s="592">
        <f>$AI229*$AJ229</f>
        <v>0</v>
      </c>
      <c r="AL229" s="594"/>
      <c r="AM229" s="597"/>
      <c r="AN229" s="545">
        <f>_xlfn.IFS(AND(AM229&gt;=60,$AG229&lt;&gt;""), $AG229,    AND(AM229&gt;=30,$AF229&lt;&gt;""), $AF229,    AND(AM229&gt;=10,$AE229&lt;&gt;""), $AE229,    TRUE, $Z229)</f>
        <v>8.39</v>
      </c>
      <c r="AO229" s="596">
        <f>AM229*AN229</f>
        <v>0</v>
      </c>
      <c r="AP229" s="595"/>
      <c r="AQ229" s="595"/>
      <c r="AR229" s="594"/>
      <c r="AS229" s="593">
        <f>SUM(AW229,AZ229,BC229,BF229,BI229,BL229,BO229,BR229,BU229,BX229,CA229,CD229,CG229,CJ229,CM229,CP229,CS229,CV229,CY229,DB229)</f>
        <v>0</v>
      </c>
      <c r="AT229" s="545">
        <f>_xlfn.IFS(AND(AS229&gt;=60,$AG229&lt;&gt;""), $AG229,    AND(AS229&gt;=30,$AF229&lt;&gt;""), $AF229,    AND(AS229&gt;=10,$AE229&lt;&gt;""), $AE229,    TRUE, $Z229)</f>
        <v>8.39</v>
      </c>
      <c r="AU229" s="592">
        <f>$AS229*$AT229</f>
        <v>0</v>
      </c>
      <c r="AV229" s="591">
        <f>[1]COMMANDE!O227</f>
        <v>0</v>
      </c>
      <c r="AW229" s="586" t="str">
        <f>_xlfn.IFS(AND($AI229=$AM229,$AI229&gt;0,$AM229&gt;0,AV229&gt;0), AV229,     AND(NOT($AI229=$AM229),$AI229&gt;0,$AM229&gt;0,AV229&gt;0), ($AM229*AV229)/$AI229,     AND($AI229=0,$AM229&gt;0,$AQ229&gt;0), IF(INDEX(AV$12:AV$263,MATCH($AQ229,$AP$12:$AP$263,0))&gt;0,($AM229*INDEX(AV$12:AV$263,MATCH($AQ229,$AP$12:$AP$263,0)))/INDEX($AI$12:$AI$263,MATCH($AQ229,$AP$12:$AP$263,0)), "-"),     TRUE, "0")</f>
        <v>0</v>
      </c>
      <c r="AX229" s="588">
        <f>IF(AW$9&gt;0, IF(OR(AW229="",AW229="-"), 0, AW229*$AT229), AV229*$AJ229)</f>
        <v>0</v>
      </c>
      <c r="AY229" s="587">
        <f>[1]COMMANDE!Q227</f>
        <v>0</v>
      </c>
      <c r="AZ229" s="586" t="str">
        <f>_xlfn.IFS(AND($AI229=$AM229,$AI229&gt;0,$AM229&gt;0,AY229&gt;0), AY229,     AND(NOT($AI229=$AM229),$AI229&gt;0,$AM229&gt;0,AY229&gt;0), ($AM229*AY229)/$AI229,     AND($AI229=0,$AM229&gt;0,$AQ229&gt;0), IF(INDEX(AY$12:AY$263,MATCH($AQ229,$AP$12:$AP$263,0))&gt;0,($AM229*INDEX(AY$12:AY$263,MATCH($AQ229,$AP$12:$AP$263,0)))/INDEX($AI$12:$AI$263,MATCH($AQ229,$AP$12:$AP$263,0)), "-"),     TRUE, "0")</f>
        <v>0</v>
      </c>
      <c r="BA229" s="607">
        <f>IF(AZ$9&gt;0, IF(OR(AZ229="",AZ229="-"), 0, AZ229*$AT229), AY229*$AJ229)</f>
        <v>0</v>
      </c>
      <c r="BB229" s="589">
        <f>[1]COMMANDE!S227</f>
        <v>0</v>
      </c>
      <c r="BC229" s="586" t="str">
        <f>_xlfn.IFS(AND($AI229=$AM229,$AI229&gt;0,$AM229&gt;0,BB229&gt;0), BB229,     AND(NOT($AI229=$AM229),$AI229&gt;0,$AM229&gt;0,BB229&gt;0), ($AM229*BB229)/$AI229,     AND($AI229=0,$AM229&gt;0,$AQ229&gt;0), IF(INDEX(BB$12:BB$263,MATCH($AQ229,$AP$12:$AP$263,0))&gt;0,($AM229*INDEX(BB$12:BB$263,MATCH($AQ229,$AP$12:$AP$263,0)))/INDEX($AI$12:$AI$263,MATCH($AQ229,$AP$12:$AP$263,0)), "-"),     TRUE, "0")</f>
        <v>0</v>
      </c>
      <c r="BD229" s="588">
        <f>IF(BC$9&gt;0, IF(OR(BC229="",BC229="-"), 0, BC229*$AT229), BB229*$AJ229)</f>
        <v>0</v>
      </c>
      <c r="BE229" s="587">
        <f>[1]COMMANDE!U227</f>
        <v>0</v>
      </c>
      <c r="BF229" s="586" t="str">
        <f>_xlfn.IFS(AND($AI229=$AM229,$AI229&gt;0,$AM229&gt;0,BE229&gt;0), BE229,     AND(NOT($AI229=$AM229),$AI229&gt;0,$AM229&gt;0,BE229&gt;0), ($AM229*BE229)/$AI229,     AND($AI229=0,$AM229&gt;0,$AQ229&gt;0), IF(INDEX(BE$12:BE$263,MATCH($AQ229,$AP$12:$AP$263,0))&gt;0,($AM229*INDEX(BE$12:BE$263,MATCH($AQ229,$AP$12:$AP$263,0)))/INDEX($AI$12:$AI$263,MATCH($AQ229,$AP$12:$AP$263,0)), "-"),     TRUE, "0")</f>
        <v>0</v>
      </c>
      <c r="BG229" s="607">
        <f>IF(BF$9&gt;0, IF(OR(BF229="",BF229="-"), 0, BF229*$AT229), BE229*$AJ229)</f>
        <v>0</v>
      </c>
      <c r="BH229" s="589">
        <f>[1]COMMANDE!W227</f>
        <v>0</v>
      </c>
      <c r="BI229" s="586" t="str">
        <f>_xlfn.IFS(AND($AI229=$AM229,$AI229&gt;0,$AM229&gt;0,BH229&gt;0), BH229,     AND(NOT($AI229=$AM229),$AI229&gt;0,$AM229&gt;0,BH229&gt;0), ($AM229*BH229)/$AI229,     AND($AI229=0,$AM229&gt;0,$AQ229&gt;0), IF(INDEX(BH$12:BH$263,MATCH($AQ229,$AP$12:$AP$263,0))&gt;0,($AM229*INDEX(BH$12:BH$263,MATCH($AQ229,$AP$12:$AP$263,0)))/INDEX($AI$12:$AI$263,MATCH($AQ229,$AP$12:$AP$263,0)), "-"),     TRUE, "0")</f>
        <v>0</v>
      </c>
      <c r="BJ229" s="588">
        <f>IF(BI$9&gt;0, IF(OR(BI229="",BI229="-"), 0, BI229*$AT229), BH229*$AJ229)</f>
        <v>0</v>
      </c>
      <c r="BK229" s="587">
        <f>[1]COMMANDE!Y227</f>
        <v>0</v>
      </c>
      <c r="BL229" s="586" t="str">
        <f>_xlfn.IFS(AND($AI229=$AM229,$AI229&gt;0,$AM229&gt;0,BK229&gt;0), BK229,     AND(NOT($AI229=$AM229),$AI229&gt;0,$AM229&gt;0,BK229&gt;0), ($AM229*BK229)/$AI229,     AND($AI229=0,$AM229&gt;0,$AQ229&gt;0), IF(INDEX(BK$12:BK$263,MATCH($AQ229,$AP$12:$AP$263,0))&gt;0,($AM229*INDEX(BK$12:BK$263,MATCH($AQ229,$AP$12:$AP$263,0)))/INDEX($AI$12:$AI$263,MATCH($AQ229,$AP$12:$AP$263,0)), "-"),     TRUE, "0")</f>
        <v>0</v>
      </c>
      <c r="BM229" s="607">
        <f>IF(BL$9&gt;0, IF(OR(BL229="",BL229="-"), 0, BL229*$AT229), BK229*$AJ229)</f>
        <v>0</v>
      </c>
      <c r="BN229" s="589">
        <f>[1]COMMANDE!AA227</f>
        <v>0</v>
      </c>
      <c r="BO229" s="586" t="str">
        <f>_xlfn.IFS(AND($AI229=$AM229,$AI229&gt;0,$AM229&gt;0,BN229&gt;0), BN229,     AND(NOT($AI229=$AM229),$AI229&gt;0,$AM229&gt;0,BN229&gt;0), ($AM229*BN229)/$AI229,     AND($AI229=0,$AM229&gt;0,$AQ229&gt;0), IF(INDEX(BN$12:BN$263,MATCH($AQ229,$AP$12:$AP$263,0))&gt;0,($AM229*INDEX(BN$12:BN$263,MATCH($AQ229,$AP$12:$AP$263,0)))/INDEX($AI$12:$AI$263,MATCH($AQ229,$AP$12:$AP$263,0)), "-"),     TRUE, "0")</f>
        <v>0</v>
      </c>
      <c r="BP229" s="588">
        <f>IF(BO$9&gt;0, IF(OR(BO229="",BO229="-"), 0, BO229*$AT229), BN229*$AJ229)</f>
        <v>0</v>
      </c>
      <c r="BQ229" s="587">
        <f>[1]COMMANDE!AC227</f>
        <v>0</v>
      </c>
      <c r="BR229" s="586" t="str">
        <f>_xlfn.IFS(AND($AI229=$AM229,$AI229&gt;0,$AM229&gt;0,BQ229&gt;0), BQ229,     AND(NOT($AI229=$AM229),$AI229&gt;0,$AM229&gt;0,BQ229&gt;0), ($AM229*BQ229)/$AI229,     AND($AI229=0,$AM229&gt;0,$AQ229&gt;0), IF(INDEX(BQ$12:BQ$263,MATCH($AQ229,$AP$12:$AP$263,0))&gt;0,($AM229*INDEX(BQ$12:BQ$263,MATCH($AQ229,$AP$12:$AP$263,0)))/INDEX($AI$12:$AI$263,MATCH($AQ229,$AP$12:$AP$263,0)), "-"),     TRUE, "0")</f>
        <v>0</v>
      </c>
      <c r="BS229" s="607">
        <f>IF(BR$9&gt;0, IF(OR(BR229="",BR229="-"), 0, BR229*$AT229), BQ229*$AJ229)</f>
        <v>0</v>
      </c>
      <c r="BT229" s="589">
        <f>[1]COMMANDE!AE227</f>
        <v>0</v>
      </c>
      <c r="BU229" s="586" t="str">
        <f>_xlfn.IFS(AND($AI229=$AM229,$AI229&gt;0,$AM229&gt;0,BT229&gt;0), BT229,     AND(NOT($AI229=$AM229),$AI229&gt;0,$AM229&gt;0,BT229&gt;0), ($AM229*BT229)/$AI229,     AND($AI229=0,$AM229&gt;0,$AQ229&gt;0), IF(INDEX(BT$12:BT$263,MATCH($AQ229,$AP$12:$AP$263,0))&gt;0,($AM229*INDEX(BT$12:BT$263,MATCH($AQ229,$AP$12:$AP$263,0)))/INDEX($AI$12:$AI$263,MATCH($AQ229,$AP$12:$AP$263,0)), "-"),     TRUE, "0")</f>
        <v>0</v>
      </c>
      <c r="BV229" s="588">
        <f>IF(BU$9&gt;0, IF(OR(BU229="",BU229="-"), 0, BU229*$AT229), BT229*$AJ229)</f>
        <v>0</v>
      </c>
      <c r="BW229" s="587">
        <f>[1]COMMANDE!AG227</f>
        <v>0</v>
      </c>
      <c r="BX229" s="586" t="str">
        <f>_xlfn.IFS(AND($AI229=$AM229,$AI229&gt;0,$AM229&gt;0,BW229&gt;0), BW229,     AND(NOT($AI229=$AM229),$AI229&gt;0,$AM229&gt;0,BW229&gt;0), ($AM229*BW229)/$AI229,     AND($AI229=0,$AM229&gt;0,$AQ229&gt;0), IF(INDEX(BW$12:BW$263,MATCH($AQ229,$AP$12:$AP$263,0))&gt;0,($AM229*INDEX(BW$12:BW$263,MATCH($AQ229,$AP$12:$AP$263,0)))/INDEX($AI$12:$AI$263,MATCH($AQ229,$AP$12:$AP$263,0)), "-"),     TRUE, "0")</f>
        <v>0</v>
      </c>
      <c r="BY229" s="607">
        <f>IF(BX$9&gt;0, IF(OR(BX229="",BX229="-"), 0, BX229*$AT229), BW229*$AJ229)</f>
        <v>0</v>
      </c>
      <c r="BZ229" s="589">
        <f>[1]COMMANDE!AI227</f>
        <v>0</v>
      </c>
      <c r="CA229" s="586" t="str">
        <f>_xlfn.IFS(AND($AI229=$AM229,$AI229&gt;0,$AM229&gt;0,BZ229&gt;0), BZ229,     AND(NOT($AI229=$AM229),$AI229&gt;0,$AM229&gt;0,BZ229&gt;0), ($AM229*BZ229)/$AI229,     AND($AI229=0,$AM229&gt;0,$AQ229&gt;0), IF(INDEX(BZ$12:BZ$263,MATCH($AQ229,$AP$12:$AP$263,0))&gt;0,($AM229*INDEX(BZ$12:BZ$263,MATCH($AQ229,$AP$12:$AP$263,0)))/INDEX($AI$12:$AI$263,MATCH($AQ229,$AP$12:$AP$263,0)), "-"),     TRUE, "0")</f>
        <v>0</v>
      </c>
      <c r="CB229" s="588">
        <f>IF(CA$9&gt;0, IF(OR(CA229="",CA229="-"), 0, CA229*$AT229), BZ229*$AJ229)</f>
        <v>0</v>
      </c>
      <c r="CC229" s="587">
        <f>[1]COMMANDE!AK227</f>
        <v>0</v>
      </c>
      <c r="CD229" s="586" t="str">
        <f>_xlfn.IFS(AND($AI229=$AM229,$AI229&gt;0,$AM229&gt;0,CC229&gt;0), CC229,     AND(NOT($AI229=$AM229),$AI229&gt;0,$AM229&gt;0,CC229&gt;0), ($AM229*CC229)/$AI229,     AND($AI229=0,$AM229&gt;0,$AQ229&gt;0), IF(INDEX(CC$12:CC$263,MATCH($AQ229,$AP$12:$AP$263,0))&gt;0,($AM229*INDEX(CC$12:CC$263,MATCH($AQ229,$AP$12:$AP$263,0)))/INDEX($AI$12:$AI$263,MATCH($AQ229,$AP$12:$AP$263,0)), "-"),     TRUE, "0")</f>
        <v>0</v>
      </c>
      <c r="CE229" s="607">
        <f>IF(CD$9&gt;0, IF(OR(CD229="",CD229="-"), 0, CD229*$AT229), CC229*$AJ229)</f>
        <v>0</v>
      </c>
      <c r="CF229" s="589">
        <f>[1]COMMANDE!AM227</f>
        <v>0</v>
      </c>
      <c r="CG229" s="586" t="str">
        <f>_xlfn.IFS(AND($AI229=$AM229,$AI229&gt;0,$AM229&gt;0,CF229&gt;0), CF229,     AND(NOT($AI229=$AM229),$AI229&gt;0,$AM229&gt;0,CF229&gt;0), ($AM229*CF229)/$AI229,     AND($AI229=0,$AM229&gt;0,$AQ229&gt;0), IF(INDEX(CF$12:CF$263,MATCH($AQ229,$AP$12:$AP$263,0))&gt;0,($AM229*INDEX(CF$12:CF$263,MATCH($AQ229,$AP$12:$AP$263,0)))/INDEX($AI$12:$AI$263,MATCH($AQ229,$AP$12:$AP$263,0)), "-"),     TRUE, "0")</f>
        <v>0</v>
      </c>
      <c r="CH229" s="588">
        <f>IF(CG$9&gt;0, IF(OR(CG229="",CG229="-"), 0, CG229*$AT229), CF229*$AJ229)</f>
        <v>0</v>
      </c>
      <c r="CI229" s="587">
        <f>[1]COMMANDE!AO227</f>
        <v>0</v>
      </c>
      <c r="CJ229" s="586" t="str">
        <f>_xlfn.IFS(AND($AI229=$AM229,$AI229&gt;0,$AM229&gt;0,CI229&gt;0), CI229,     AND(NOT($AI229=$AM229),$AI229&gt;0,$AM229&gt;0,CI229&gt;0), ($AM229*CI229)/$AI229,     AND($AI229=0,$AM229&gt;0,$AQ229&gt;0), IF(INDEX(CI$12:CI$263,MATCH($AQ229,$AP$12:$AP$263,0))&gt;0,($AM229*INDEX(CI$12:CI$263,MATCH($AQ229,$AP$12:$AP$263,0)))/INDEX($AI$12:$AI$263,MATCH($AQ229,$AP$12:$AP$263,0)), "-"),     TRUE, "0")</f>
        <v>0</v>
      </c>
      <c r="CK229" s="607">
        <f>IF(CJ$9&gt;0, IF(OR(CJ229="",CJ229="-"), 0, CJ229*$AT229), CI229*$AJ229)</f>
        <v>0</v>
      </c>
      <c r="CL229" s="589">
        <f>[1]COMMANDE!AQ227</f>
        <v>0</v>
      </c>
      <c r="CM229" s="586" t="str">
        <f>_xlfn.IFS(AND($AI229=$AM229,$AI229&gt;0,$AM229&gt;0,CL229&gt;0), CL229,     AND(NOT($AI229=$AM229),$AI229&gt;0,$AM229&gt;0,CL229&gt;0), ($AM229*CL229)/$AI229,     AND($AI229=0,$AM229&gt;0,$AQ229&gt;0), IF(INDEX(CL$12:CL$263,MATCH($AQ229,$AP$12:$AP$263,0))&gt;0,($AM229*INDEX(CL$12:CL$263,MATCH($AQ229,$AP$12:$AP$263,0)))/INDEX($AI$12:$AI$263,MATCH($AQ229,$AP$12:$AP$263,0)), "-"),     TRUE, "0")</f>
        <v>0</v>
      </c>
      <c r="CN229" s="588">
        <f>IF(CM$9&gt;0, IF(OR(CM229="",CM229="-"), 0, CM229*$AT229), CL229*$AJ229)</f>
        <v>0</v>
      </c>
      <c r="CO229" s="587">
        <f>[1]COMMANDE!AS227</f>
        <v>0</v>
      </c>
      <c r="CP229" s="586" t="str">
        <f>_xlfn.IFS(AND($AI229=$AM229,$AI229&gt;0,$AM229&gt;0,CO229&gt;0), CO229,     AND(NOT($AI229=$AM229),$AI229&gt;0,$AM229&gt;0,CO229&gt;0), ($AM229*CO229)/$AI229,     AND($AI229=0,$AM229&gt;0,$AQ229&gt;0), IF(INDEX(CO$12:CO$263,MATCH($AQ229,$AP$12:$AP$263,0))&gt;0,($AM229*INDEX(CO$12:CO$263,MATCH($AQ229,$AP$12:$AP$263,0)))/INDEX($AI$12:$AI$263,MATCH($AQ229,$AP$12:$AP$263,0)), "-"),     TRUE, "0")</f>
        <v>0</v>
      </c>
      <c r="CQ229" s="607">
        <f>IF(CP$9&gt;0, IF(OR(CP229="",CP229="-"), 0, CP229*$AT229), CO229*$AJ229)</f>
        <v>0</v>
      </c>
      <c r="CR229" s="589">
        <f>[1]COMMANDE!AU227</f>
        <v>0</v>
      </c>
      <c r="CS229" s="586" t="str">
        <f>_xlfn.IFS(AND($AI229=$AM229,$AI229&gt;0,$AM229&gt;0,CR229&gt;0), CR229,     AND(NOT($AI229=$AM229),$AI229&gt;0,$AM229&gt;0,CR229&gt;0), ($AM229*CR229)/$AI229,     AND($AI229=0,$AM229&gt;0,$AQ229&gt;0), IF(INDEX(CR$12:CR$263,MATCH($AQ229,$AP$12:$AP$263,0))&gt;0,($AM229*INDEX(CR$12:CR$263,MATCH($AQ229,$AP$12:$AP$263,0)))/INDEX($AI$12:$AI$263,MATCH($AQ229,$AP$12:$AP$263,0)), "-"),     TRUE, "0")</f>
        <v>0</v>
      </c>
      <c r="CT229" s="588">
        <f>IF(CS$9&gt;0, IF(OR(CS229="",CS229="-"), 0, CS229*$AT229), CR229*$AJ229)</f>
        <v>0</v>
      </c>
      <c r="CU229" s="587">
        <f>[1]COMMANDE!AW227</f>
        <v>0</v>
      </c>
      <c r="CV229" s="586" t="str">
        <f>_xlfn.IFS(AND($AI229=$AM229,$AI229&gt;0,$AM229&gt;0,CU229&gt;0), CU229,     AND(NOT($AI229=$AM229),$AI229&gt;0,$AM229&gt;0,CU229&gt;0), ($AM229*CU229)/$AI229,     AND($AI229=0,$AM229&gt;0,$AQ229&gt;0), IF(INDEX(CU$12:CU$263,MATCH($AQ229,$AP$12:$AP$263,0))&gt;0,($AM229*INDEX(CU$12:CU$263,MATCH($AQ229,$AP$12:$AP$263,0)))/INDEX($AI$12:$AI$263,MATCH($AQ229,$AP$12:$AP$263,0)), "-"),     TRUE, "0")</f>
        <v>0</v>
      </c>
      <c r="CW229" s="607">
        <f>IF(CV$9&gt;0, IF(OR(CV229="",CV229="-"), 0, CV229*$AT229), CU229*$AJ229)</f>
        <v>0</v>
      </c>
      <c r="CX229" s="589">
        <f>[1]COMMANDE!AY227</f>
        <v>0</v>
      </c>
      <c r="CY229" s="586" t="str">
        <f>_xlfn.IFS(AND($AI229=$AM229,$AI229&gt;0,$AM229&gt;0,CX229&gt;0), CX229,     AND(NOT($AI229=$AM229),$AI229&gt;0,$AM229&gt;0,CX229&gt;0), ($AM229*CX229)/$AI229,     AND($AI229=0,$AM229&gt;0,$AQ229&gt;0), IF(INDEX(CX$12:CX$263,MATCH($AQ229,$AP$12:$AP$263,0))&gt;0,($AM229*INDEX(CX$12:CX$263,MATCH($AQ229,$AP$12:$AP$263,0)))/INDEX($AI$12:$AI$263,MATCH($AQ229,$AP$12:$AP$263,0)), "-"),     TRUE, "0")</f>
        <v>0</v>
      </c>
      <c r="CZ229" s="588">
        <f>IF(CY$9&gt;0, IF(OR(CY229="",CY229="-"), 0, CY229*$AT229), CX229*$AJ229)</f>
        <v>0</v>
      </c>
      <c r="DA229" s="587">
        <f>[1]COMMANDE!BA227</f>
        <v>0</v>
      </c>
      <c r="DB229" s="586" t="str">
        <f>_xlfn.IFS(AND($AI229=$AM229,$AI229&gt;0,$AM229&gt;0,DA229&gt;0), DA229,     AND(NOT($AI229=$AM229),$AI229&gt;0,$AM229&gt;0,DA229&gt;0), ($AM229*DA229)/$AI229,     AND($AI229=0,$AM229&gt;0,$AQ229&gt;0), IF(INDEX(DA$12:DA$263,MATCH($AQ229,$AP$12:$AP$263,0))&gt;0,($AM229*INDEX(DA$12:DA$263,MATCH($AQ229,$AP$12:$AP$263,0)))/INDEX($AI$12:$AI$263,MATCH($AQ229,$AP$12:$AP$263,0)), "-"),     TRUE, "0")</f>
        <v>0</v>
      </c>
      <c r="DC229" s="606">
        <f>IF(DB$9&gt;0, IF(OR(DB229="",DB229="-"), 0, DB229*$AT229), DA229*$AJ229)</f>
        <v>0</v>
      </c>
      <c r="DD229" s="584"/>
      <c r="DE229" s="583"/>
    </row>
    <row r="230" spans="1:109" ht="39.950000000000003" hidden="1" customHeight="1">
      <c r="A230" s="604">
        <f>IF(OR($AV230&gt;0, $AX230&gt;0), 1, 0)</f>
        <v>0</v>
      </c>
      <c r="B230" s="604">
        <f>IF(OR($AY230&gt;0, $BA230&gt;0), 1, 0)</f>
        <v>0</v>
      </c>
      <c r="C230" s="604">
        <f>IF(OR($BB230&gt;0, $BD230&gt;0), 1, 0)</f>
        <v>0</v>
      </c>
      <c r="D230" s="604">
        <f>IF(OR($BE230&gt;0, $BG230&gt;0), 1, 0)</f>
        <v>0</v>
      </c>
      <c r="E230" s="604">
        <f>IF(OR($BH230&gt;0, $BJ230&gt;0), 1, 0)</f>
        <v>0</v>
      </c>
      <c r="F230" s="604">
        <f>IF(OR($BK230&gt;0, $BM230&gt;0), 1, 0)</f>
        <v>0</v>
      </c>
      <c r="G230" s="604">
        <f>IF(OR($BN230&gt;0, $BP230&gt;0), 1, 0)</f>
        <v>0</v>
      </c>
      <c r="H230" s="604">
        <f>IF(OR($BQ230&gt;0, $BS230&gt;0), 1, 0)</f>
        <v>0</v>
      </c>
      <c r="I230" s="604">
        <f>IF(OR($BT230&gt;0, $BV230&gt;0), 1, 0)</f>
        <v>0</v>
      </c>
      <c r="J230" s="604">
        <f>IF(OR($BW230&gt;0, $BY230&gt;0), 1, 0)</f>
        <v>0</v>
      </c>
      <c r="K230" s="604">
        <f>IF(OR($BZ230&gt;0, $CB230&gt;0), 1, 0)</f>
        <v>0</v>
      </c>
      <c r="L230" s="604">
        <f>IF(OR($CC230&gt;0, $CE230&gt;0), 1, 0)</f>
        <v>0</v>
      </c>
      <c r="M230" s="604">
        <f>IF(OR($CF230&gt;0, $CH230&gt;0), 1, 0)</f>
        <v>0</v>
      </c>
      <c r="N230" s="604">
        <f>IF(OR($CI230&gt;0, $CK230&gt;0), 1, 0)</f>
        <v>0</v>
      </c>
      <c r="O230" s="604">
        <f>IF(OR($CL230&gt;0, $CN230&gt;0), 1, 0)</f>
        <v>0</v>
      </c>
      <c r="P230" s="604">
        <f>IF(OR($CO230&gt;0, $CQ230&gt;0), 1, 0)</f>
        <v>0</v>
      </c>
      <c r="Q230" s="604">
        <f>IF(OR($CR230&gt;0, $CT230&gt;0), 1, 0)</f>
        <v>0</v>
      </c>
      <c r="R230" s="604">
        <f>IF(OR($CU230&gt;0, $CW230&gt;0), 1, 0)</f>
        <v>0</v>
      </c>
      <c r="S230" s="604">
        <f>IF(OR($CX230&gt;0, $CZ230&gt;0), 1, 0)</f>
        <v>0</v>
      </c>
      <c r="T230" s="604">
        <f>IF(OR($DA230&gt;0, $DC230&gt;0), 1, 0)</f>
        <v>0</v>
      </c>
      <c r="U230" s="603">
        <f>IF(OR($AI230&gt;0,$AM230&gt;0,$AS230&gt;0), 1, 0)</f>
        <v>0</v>
      </c>
      <c r="V230" s="602">
        <f>[1]BDD!A220</f>
        <v>3478</v>
      </c>
      <c r="W230" s="601" t="str">
        <f>[1]BDD!B220</f>
        <v>pomme Fuji</v>
      </c>
      <c r="X230" s="600" t="str">
        <f>IF([1]BDD!F220=0, "", [1]BDD!F220)</f>
        <v/>
      </c>
      <c r="Y230" s="542">
        <f>ROUND([1]BDD!G220+FDP_CMD_KG, 2)</f>
        <v>3.73</v>
      </c>
      <c r="Z230" s="542">
        <f>ROUND([1]BDD!G220+FDP_FACT_KG, 2)</f>
        <v>3.73</v>
      </c>
      <c r="AA230" s="543" t="str">
        <f>[1]BDD!H220</f>
        <v>kg</v>
      </c>
      <c r="AB230" s="544">
        <f>IF(NOT(ISBLANK([1]BDD!I220)), ROUND(SUM(([1]BDD!G220*reduc1),FDP_CMD_KG), 2), "")</f>
        <v>3.45</v>
      </c>
      <c r="AC230" s="544">
        <f>IF(NOT(ISBLANK([1]BDD!J220)), ROUND(SUM(([1]BDD!G220*reduc2),FDP_CMD_KG), 2), "")</f>
        <v>3.16</v>
      </c>
      <c r="AD230" s="544" t="str">
        <f>IF(NOT(ISBLANK([1]BDD!K220)), ROUND(SUM(([1]BDD!G220*reduc3),FDP_CMD_KG), 2), "")</f>
        <v/>
      </c>
      <c r="AE230" s="544">
        <f>IF(NOT(ISBLANK([1]BDD!I220)), ROUND(SUM(([1]BDD!G220*reduc1),FDP_FACT_KG), 2), "")</f>
        <v>3.44</v>
      </c>
      <c r="AF230" s="544">
        <f>IF(NOT(ISBLANK([1]BDD!J220)), ROUND(SUM(([1]BDD!G220*reduc2),FDP_FACT_KG), 2), "")</f>
        <v>3.15</v>
      </c>
      <c r="AG230" s="544" t="str">
        <f>IF(NOT(ISBLANK([1]BDD!K220)), ROUND(SUM(([1]BDD!G220*reduc3),FDP_FACT_KG), 2), "")</f>
        <v/>
      </c>
      <c r="AH230" s="599" t="str">
        <f>[1]BDD!C220</f>
        <v>National</v>
      </c>
      <c r="AI230" s="598">
        <f>SUM(AV230,AY230,BB230,BE230,BH230,BK230,BN230,BQ230,BT230,BW230,BZ230,CC230,CF230,CI230,CL230,CO230,CR230,CU230,CX230,DA230)</f>
        <v>0</v>
      </c>
      <c r="AJ230" s="545">
        <f>_xlfn.IFS($AD230&lt;&gt;"", $AD230,    $AC230&lt;&gt;"", $AC230,    $AB230&lt;&gt;"", $AB230,    TRUE, $Y230)</f>
        <v>3.16</v>
      </c>
      <c r="AK230" s="592">
        <f>$AI230*$AJ230</f>
        <v>0</v>
      </c>
      <c r="AL230" s="594"/>
      <c r="AM230" s="597"/>
      <c r="AN230" s="545">
        <f>_xlfn.IFS(AND(AM230&gt;=60,$AG230&lt;&gt;""), $AG230,    AND(AM230&gt;=30,$AF230&lt;&gt;""), $AF230,    AND(AM230&gt;=10,$AE230&lt;&gt;""), $AE230,    TRUE, $Z230)</f>
        <v>3.73</v>
      </c>
      <c r="AO230" s="596">
        <f>AM230*AN230</f>
        <v>0</v>
      </c>
      <c r="AP230" s="595"/>
      <c r="AQ230" s="595"/>
      <c r="AR230" s="594"/>
      <c r="AS230" s="593">
        <f>SUM(AW230,AZ230,BC230,BF230,BI230,BL230,BO230,BR230,BU230,BX230,CA230,CD230,CG230,CJ230,CM230,CP230,CS230,CV230,CY230,DB230)</f>
        <v>0</v>
      </c>
      <c r="AT230" s="545">
        <f>_xlfn.IFS(AND(AS230&gt;=60,$AG230&lt;&gt;""), $AG230,    AND(AS230&gt;=30,$AF230&lt;&gt;""), $AF230,    AND(AS230&gt;=10,$AE230&lt;&gt;""), $AE230,    TRUE, $Z230)</f>
        <v>3.73</v>
      </c>
      <c r="AU230" s="592">
        <f>$AS230*$AT230</f>
        <v>0</v>
      </c>
      <c r="AV230" s="591">
        <f>[1]COMMANDE!O228</f>
        <v>0</v>
      </c>
      <c r="AW230" s="586" t="str">
        <f>_xlfn.IFS(AND($AI230=$AM230,$AI230&gt;0,$AM230&gt;0,AV230&gt;0), AV230,     AND(NOT($AI230=$AM230),$AI230&gt;0,$AM230&gt;0,AV230&gt;0), ($AM230*AV230)/$AI230,     AND($AI230=0,$AM230&gt;0,$AQ230&gt;0), IF(INDEX(AV$12:AV$263,MATCH($AQ230,$AP$12:$AP$263,0))&gt;0,($AM230*INDEX(AV$12:AV$263,MATCH($AQ230,$AP$12:$AP$263,0)))/INDEX($AI$12:$AI$263,MATCH($AQ230,$AP$12:$AP$263,0)), "-"),     TRUE, "0")</f>
        <v>0</v>
      </c>
      <c r="AX230" s="588">
        <f>IF(AW$9&gt;0, IF(OR(AW230="",AW230="-"), 0, AW230*$AT230), AV230*$AJ230)</f>
        <v>0</v>
      </c>
      <c r="AY230" s="587">
        <f>[1]COMMANDE!Q228</f>
        <v>0</v>
      </c>
      <c r="AZ230" s="586" t="str">
        <f>_xlfn.IFS(AND($AI230=$AM230,$AI230&gt;0,$AM230&gt;0,AY230&gt;0), AY230,     AND(NOT($AI230=$AM230),$AI230&gt;0,$AM230&gt;0,AY230&gt;0), ($AM230*AY230)/$AI230,     AND($AI230=0,$AM230&gt;0,$AQ230&gt;0), IF(INDEX(AY$12:AY$263,MATCH($AQ230,$AP$12:$AP$263,0))&gt;0,($AM230*INDEX(AY$12:AY$263,MATCH($AQ230,$AP$12:$AP$263,0)))/INDEX($AI$12:$AI$263,MATCH($AQ230,$AP$12:$AP$263,0)), "-"),     TRUE, "0")</f>
        <v>0</v>
      </c>
      <c r="BA230" s="607">
        <f>IF(AZ$9&gt;0, IF(OR(AZ230="",AZ230="-"), 0, AZ230*$AT230), AY230*$AJ230)</f>
        <v>0</v>
      </c>
      <c r="BB230" s="589">
        <f>[1]COMMANDE!S228</f>
        <v>0</v>
      </c>
      <c r="BC230" s="586" t="str">
        <f>_xlfn.IFS(AND($AI230=$AM230,$AI230&gt;0,$AM230&gt;0,BB230&gt;0), BB230,     AND(NOT($AI230=$AM230),$AI230&gt;0,$AM230&gt;0,BB230&gt;0), ($AM230*BB230)/$AI230,     AND($AI230=0,$AM230&gt;0,$AQ230&gt;0), IF(INDEX(BB$12:BB$263,MATCH($AQ230,$AP$12:$AP$263,0))&gt;0,($AM230*INDEX(BB$12:BB$263,MATCH($AQ230,$AP$12:$AP$263,0)))/INDEX($AI$12:$AI$263,MATCH($AQ230,$AP$12:$AP$263,0)), "-"),     TRUE, "0")</f>
        <v>0</v>
      </c>
      <c r="BD230" s="588">
        <f>IF(BC$9&gt;0, IF(OR(BC230="",BC230="-"), 0, BC230*$AT230), BB230*$AJ230)</f>
        <v>0</v>
      </c>
      <c r="BE230" s="587">
        <f>[1]COMMANDE!U228</f>
        <v>0</v>
      </c>
      <c r="BF230" s="586" t="str">
        <f>_xlfn.IFS(AND($AI230=$AM230,$AI230&gt;0,$AM230&gt;0,BE230&gt;0), BE230,     AND(NOT($AI230=$AM230),$AI230&gt;0,$AM230&gt;0,BE230&gt;0), ($AM230*BE230)/$AI230,     AND($AI230=0,$AM230&gt;0,$AQ230&gt;0), IF(INDEX(BE$12:BE$263,MATCH($AQ230,$AP$12:$AP$263,0))&gt;0,($AM230*INDEX(BE$12:BE$263,MATCH($AQ230,$AP$12:$AP$263,0)))/INDEX($AI$12:$AI$263,MATCH($AQ230,$AP$12:$AP$263,0)), "-"),     TRUE, "0")</f>
        <v>0</v>
      </c>
      <c r="BG230" s="607">
        <f>IF(BF$9&gt;0, IF(OR(BF230="",BF230="-"), 0, BF230*$AT230), BE230*$AJ230)</f>
        <v>0</v>
      </c>
      <c r="BH230" s="589">
        <f>[1]COMMANDE!W228</f>
        <v>0</v>
      </c>
      <c r="BI230" s="586" t="str">
        <f>_xlfn.IFS(AND($AI230=$AM230,$AI230&gt;0,$AM230&gt;0,BH230&gt;0), BH230,     AND(NOT($AI230=$AM230),$AI230&gt;0,$AM230&gt;0,BH230&gt;0), ($AM230*BH230)/$AI230,     AND($AI230=0,$AM230&gt;0,$AQ230&gt;0), IF(INDEX(BH$12:BH$263,MATCH($AQ230,$AP$12:$AP$263,0))&gt;0,($AM230*INDEX(BH$12:BH$263,MATCH($AQ230,$AP$12:$AP$263,0)))/INDEX($AI$12:$AI$263,MATCH($AQ230,$AP$12:$AP$263,0)), "-"),     TRUE, "0")</f>
        <v>0</v>
      </c>
      <c r="BJ230" s="588">
        <f>IF(BI$9&gt;0, IF(OR(BI230="",BI230="-"), 0, BI230*$AT230), BH230*$AJ230)</f>
        <v>0</v>
      </c>
      <c r="BK230" s="587">
        <f>[1]COMMANDE!Y228</f>
        <v>0</v>
      </c>
      <c r="BL230" s="586" t="str">
        <f>_xlfn.IFS(AND($AI230=$AM230,$AI230&gt;0,$AM230&gt;0,BK230&gt;0), BK230,     AND(NOT($AI230=$AM230),$AI230&gt;0,$AM230&gt;0,BK230&gt;0), ($AM230*BK230)/$AI230,     AND($AI230=0,$AM230&gt;0,$AQ230&gt;0), IF(INDEX(BK$12:BK$263,MATCH($AQ230,$AP$12:$AP$263,0))&gt;0,($AM230*INDEX(BK$12:BK$263,MATCH($AQ230,$AP$12:$AP$263,0)))/INDEX($AI$12:$AI$263,MATCH($AQ230,$AP$12:$AP$263,0)), "-"),     TRUE, "0")</f>
        <v>0</v>
      </c>
      <c r="BM230" s="607">
        <f>IF(BL$9&gt;0, IF(OR(BL230="",BL230="-"), 0, BL230*$AT230), BK230*$AJ230)</f>
        <v>0</v>
      </c>
      <c r="BN230" s="589">
        <f>[1]COMMANDE!AA228</f>
        <v>0</v>
      </c>
      <c r="BO230" s="586" t="str">
        <f>_xlfn.IFS(AND($AI230=$AM230,$AI230&gt;0,$AM230&gt;0,BN230&gt;0), BN230,     AND(NOT($AI230=$AM230),$AI230&gt;0,$AM230&gt;0,BN230&gt;0), ($AM230*BN230)/$AI230,     AND($AI230=0,$AM230&gt;0,$AQ230&gt;0), IF(INDEX(BN$12:BN$263,MATCH($AQ230,$AP$12:$AP$263,0))&gt;0,($AM230*INDEX(BN$12:BN$263,MATCH($AQ230,$AP$12:$AP$263,0)))/INDEX($AI$12:$AI$263,MATCH($AQ230,$AP$12:$AP$263,0)), "-"),     TRUE, "0")</f>
        <v>0</v>
      </c>
      <c r="BP230" s="588">
        <f>IF(BO$9&gt;0, IF(OR(BO230="",BO230="-"), 0, BO230*$AT230), BN230*$AJ230)</f>
        <v>0</v>
      </c>
      <c r="BQ230" s="587">
        <f>[1]COMMANDE!AC228</f>
        <v>0</v>
      </c>
      <c r="BR230" s="586" t="str">
        <f>_xlfn.IFS(AND($AI230=$AM230,$AI230&gt;0,$AM230&gt;0,BQ230&gt;0), BQ230,     AND(NOT($AI230=$AM230),$AI230&gt;0,$AM230&gt;0,BQ230&gt;0), ($AM230*BQ230)/$AI230,     AND($AI230=0,$AM230&gt;0,$AQ230&gt;0), IF(INDEX(BQ$12:BQ$263,MATCH($AQ230,$AP$12:$AP$263,0))&gt;0,($AM230*INDEX(BQ$12:BQ$263,MATCH($AQ230,$AP$12:$AP$263,0)))/INDEX($AI$12:$AI$263,MATCH($AQ230,$AP$12:$AP$263,0)), "-"),     TRUE, "0")</f>
        <v>0</v>
      </c>
      <c r="BS230" s="607">
        <f>IF(BR$9&gt;0, IF(OR(BR230="",BR230="-"), 0, BR230*$AT230), BQ230*$AJ230)</f>
        <v>0</v>
      </c>
      <c r="BT230" s="589">
        <f>[1]COMMANDE!AE228</f>
        <v>0</v>
      </c>
      <c r="BU230" s="586" t="str">
        <f>_xlfn.IFS(AND($AI230=$AM230,$AI230&gt;0,$AM230&gt;0,BT230&gt;0), BT230,     AND(NOT($AI230=$AM230),$AI230&gt;0,$AM230&gt;0,BT230&gt;0), ($AM230*BT230)/$AI230,     AND($AI230=0,$AM230&gt;0,$AQ230&gt;0), IF(INDEX(BT$12:BT$263,MATCH($AQ230,$AP$12:$AP$263,0))&gt;0,($AM230*INDEX(BT$12:BT$263,MATCH($AQ230,$AP$12:$AP$263,0)))/INDEX($AI$12:$AI$263,MATCH($AQ230,$AP$12:$AP$263,0)), "-"),     TRUE, "0")</f>
        <v>0</v>
      </c>
      <c r="BV230" s="588">
        <f>IF(BU$9&gt;0, IF(OR(BU230="",BU230="-"), 0, BU230*$AT230), BT230*$AJ230)</f>
        <v>0</v>
      </c>
      <c r="BW230" s="587">
        <f>[1]COMMANDE!AG228</f>
        <v>0</v>
      </c>
      <c r="BX230" s="586" t="str">
        <f>_xlfn.IFS(AND($AI230=$AM230,$AI230&gt;0,$AM230&gt;0,BW230&gt;0), BW230,     AND(NOT($AI230=$AM230),$AI230&gt;0,$AM230&gt;0,BW230&gt;0), ($AM230*BW230)/$AI230,     AND($AI230=0,$AM230&gt;0,$AQ230&gt;0), IF(INDEX(BW$12:BW$263,MATCH($AQ230,$AP$12:$AP$263,0))&gt;0,($AM230*INDEX(BW$12:BW$263,MATCH($AQ230,$AP$12:$AP$263,0)))/INDEX($AI$12:$AI$263,MATCH($AQ230,$AP$12:$AP$263,0)), "-"),     TRUE, "0")</f>
        <v>0</v>
      </c>
      <c r="BY230" s="607">
        <f>IF(BX$9&gt;0, IF(OR(BX230="",BX230="-"), 0, BX230*$AT230), BW230*$AJ230)</f>
        <v>0</v>
      </c>
      <c r="BZ230" s="589">
        <f>[1]COMMANDE!AI228</f>
        <v>0</v>
      </c>
      <c r="CA230" s="586" t="str">
        <f>_xlfn.IFS(AND($AI230=$AM230,$AI230&gt;0,$AM230&gt;0,BZ230&gt;0), BZ230,     AND(NOT($AI230=$AM230),$AI230&gt;0,$AM230&gt;0,BZ230&gt;0), ($AM230*BZ230)/$AI230,     AND($AI230=0,$AM230&gt;0,$AQ230&gt;0), IF(INDEX(BZ$12:BZ$263,MATCH($AQ230,$AP$12:$AP$263,0))&gt;0,($AM230*INDEX(BZ$12:BZ$263,MATCH($AQ230,$AP$12:$AP$263,0)))/INDEX($AI$12:$AI$263,MATCH($AQ230,$AP$12:$AP$263,0)), "-"),     TRUE, "0")</f>
        <v>0</v>
      </c>
      <c r="CB230" s="588">
        <f>IF(CA$9&gt;0, IF(OR(CA230="",CA230="-"), 0, CA230*$AT230), BZ230*$AJ230)</f>
        <v>0</v>
      </c>
      <c r="CC230" s="587">
        <f>[1]COMMANDE!AK228</f>
        <v>0</v>
      </c>
      <c r="CD230" s="586" t="str">
        <f>_xlfn.IFS(AND($AI230=$AM230,$AI230&gt;0,$AM230&gt;0,CC230&gt;0), CC230,     AND(NOT($AI230=$AM230),$AI230&gt;0,$AM230&gt;0,CC230&gt;0), ($AM230*CC230)/$AI230,     AND($AI230=0,$AM230&gt;0,$AQ230&gt;0), IF(INDEX(CC$12:CC$263,MATCH($AQ230,$AP$12:$AP$263,0))&gt;0,($AM230*INDEX(CC$12:CC$263,MATCH($AQ230,$AP$12:$AP$263,0)))/INDEX($AI$12:$AI$263,MATCH($AQ230,$AP$12:$AP$263,0)), "-"),     TRUE, "0")</f>
        <v>0</v>
      </c>
      <c r="CE230" s="607">
        <f>IF(CD$9&gt;0, IF(OR(CD230="",CD230="-"), 0, CD230*$AT230), CC230*$AJ230)</f>
        <v>0</v>
      </c>
      <c r="CF230" s="589">
        <f>[1]COMMANDE!AM228</f>
        <v>0</v>
      </c>
      <c r="CG230" s="586" t="str">
        <f>_xlfn.IFS(AND($AI230=$AM230,$AI230&gt;0,$AM230&gt;0,CF230&gt;0), CF230,     AND(NOT($AI230=$AM230),$AI230&gt;0,$AM230&gt;0,CF230&gt;0), ($AM230*CF230)/$AI230,     AND($AI230=0,$AM230&gt;0,$AQ230&gt;0), IF(INDEX(CF$12:CF$263,MATCH($AQ230,$AP$12:$AP$263,0))&gt;0,($AM230*INDEX(CF$12:CF$263,MATCH($AQ230,$AP$12:$AP$263,0)))/INDEX($AI$12:$AI$263,MATCH($AQ230,$AP$12:$AP$263,0)), "-"),     TRUE, "0")</f>
        <v>0</v>
      </c>
      <c r="CH230" s="588">
        <f>IF(CG$9&gt;0, IF(OR(CG230="",CG230="-"), 0, CG230*$AT230), CF230*$AJ230)</f>
        <v>0</v>
      </c>
      <c r="CI230" s="587">
        <f>[1]COMMANDE!AO228</f>
        <v>0</v>
      </c>
      <c r="CJ230" s="586" t="str">
        <f>_xlfn.IFS(AND($AI230=$AM230,$AI230&gt;0,$AM230&gt;0,CI230&gt;0), CI230,     AND(NOT($AI230=$AM230),$AI230&gt;0,$AM230&gt;0,CI230&gt;0), ($AM230*CI230)/$AI230,     AND($AI230=0,$AM230&gt;0,$AQ230&gt;0), IF(INDEX(CI$12:CI$263,MATCH($AQ230,$AP$12:$AP$263,0))&gt;0,($AM230*INDEX(CI$12:CI$263,MATCH($AQ230,$AP$12:$AP$263,0)))/INDEX($AI$12:$AI$263,MATCH($AQ230,$AP$12:$AP$263,0)), "-"),     TRUE, "0")</f>
        <v>0</v>
      </c>
      <c r="CK230" s="607">
        <f>IF(CJ$9&gt;0, IF(OR(CJ230="",CJ230="-"), 0, CJ230*$AT230), CI230*$AJ230)</f>
        <v>0</v>
      </c>
      <c r="CL230" s="589">
        <f>[1]COMMANDE!AQ228</f>
        <v>0</v>
      </c>
      <c r="CM230" s="586" t="str">
        <f>_xlfn.IFS(AND($AI230=$AM230,$AI230&gt;0,$AM230&gt;0,CL230&gt;0), CL230,     AND(NOT($AI230=$AM230),$AI230&gt;0,$AM230&gt;0,CL230&gt;0), ($AM230*CL230)/$AI230,     AND($AI230=0,$AM230&gt;0,$AQ230&gt;0), IF(INDEX(CL$12:CL$263,MATCH($AQ230,$AP$12:$AP$263,0))&gt;0,($AM230*INDEX(CL$12:CL$263,MATCH($AQ230,$AP$12:$AP$263,0)))/INDEX($AI$12:$AI$263,MATCH($AQ230,$AP$12:$AP$263,0)), "-"),     TRUE, "0")</f>
        <v>0</v>
      </c>
      <c r="CN230" s="588">
        <f>IF(CM$9&gt;0, IF(OR(CM230="",CM230="-"), 0, CM230*$AT230), CL230*$AJ230)</f>
        <v>0</v>
      </c>
      <c r="CO230" s="587">
        <f>[1]COMMANDE!AS228</f>
        <v>0</v>
      </c>
      <c r="CP230" s="586" t="str">
        <f>_xlfn.IFS(AND($AI230=$AM230,$AI230&gt;0,$AM230&gt;0,CO230&gt;0), CO230,     AND(NOT($AI230=$AM230),$AI230&gt;0,$AM230&gt;0,CO230&gt;0), ($AM230*CO230)/$AI230,     AND($AI230=0,$AM230&gt;0,$AQ230&gt;0), IF(INDEX(CO$12:CO$263,MATCH($AQ230,$AP$12:$AP$263,0))&gt;0,($AM230*INDEX(CO$12:CO$263,MATCH($AQ230,$AP$12:$AP$263,0)))/INDEX($AI$12:$AI$263,MATCH($AQ230,$AP$12:$AP$263,0)), "-"),     TRUE, "0")</f>
        <v>0</v>
      </c>
      <c r="CQ230" s="607">
        <f>IF(CP$9&gt;0, IF(OR(CP230="",CP230="-"), 0, CP230*$AT230), CO230*$AJ230)</f>
        <v>0</v>
      </c>
      <c r="CR230" s="589">
        <f>[1]COMMANDE!AU228</f>
        <v>0</v>
      </c>
      <c r="CS230" s="586" t="str">
        <f>_xlfn.IFS(AND($AI230=$AM230,$AI230&gt;0,$AM230&gt;0,CR230&gt;0), CR230,     AND(NOT($AI230=$AM230),$AI230&gt;0,$AM230&gt;0,CR230&gt;0), ($AM230*CR230)/$AI230,     AND($AI230=0,$AM230&gt;0,$AQ230&gt;0), IF(INDEX(CR$12:CR$263,MATCH($AQ230,$AP$12:$AP$263,0))&gt;0,($AM230*INDEX(CR$12:CR$263,MATCH($AQ230,$AP$12:$AP$263,0)))/INDEX($AI$12:$AI$263,MATCH($AQ230,$AP$12:$AP$263,0)), "-"),     TRUE, "0")</f>
        <v>0</v>
      </c>
      <c r="CT230" s="588">
        <f>IF(CS$9&gt;0, IF(OR(CS230="",CS230="-"), 0, CS230*$AT230), CR230*$AJ230)</f>
        <v>0</v>
      </c>
      <c r="CU230" s="587">
        <f>[1]COMMANDE!AW228</f>
        <v>0</v>
      </c>
      <c r="CV230" s="586" t="str">
        <f>_xlfn.IFS(AND($AI230=$AM230,$AI230&gt;0,$AM230&gt;0,CU230&gt;0), CU230,     AND(NOT($AI230=$AM230),$AI230&gt;0,$AM230&gt;0,CU230&gt;0), ($AM230*CU230)/$AI230,     AND($AI230=0,$AM230&gt;0,$AQ230&gt;0), IF(INDEX(CU$12:CU$263,MATCH($AQ230,$AP$12:$AP$263,0))&gt;0,($AM230*INDEX(CU$12:CU$263,MATCH($AQ230,$AP$12:$AP$263,0)))/INDEX($AI$12:$AI$263,MATCH($AQ230,$AP$12:$AP$263,0)), "-"),     TRUE, "0")</f>
        <v>0</v>
      </c>
      <c r="CW230" s="607">
        <f>IF(CV$9&gt;0, IF(OR(CV230="",CV230="-"), 0, CV230*$AT230), CU230*$AJ230)</f>
        <v>0</v>
      </c>
      <c r="CX230" s="589">
        <f>[1]COMMANDE!AY228</f>
        <v>0</v>
      </c>
      <c r="CY230" s="586" t="str">
        <f>_xlfn.IFS(AND($AI230=$AM230,$AI230&gt;0,$AM230&gt;0,CX230&gt;0), CX230,     AND(NOT($AI230=$AM230),$AI230&gt;0,$AM230&gt;0,CX230&gt;0), ($AM230*CX230)/$AI230,     AND($AI230=0,$AM230&gt;0,$AQ230&gt;0), IF(INDEX(CX$12:CX$263,MATCH($AQ230,$AP$12:$AP$263,0))&gt;0,($AM230*INDEX(CX$12:CX$263,MATCH($AQ230,$AP$12:$AP$263,0)))/INDEX($AI$12:$AI$263,MATCH($AQ230,$AP$12:$AP$263,0)), "-"),     TRUE, "0")</f>
        <v>0</v>
      </c>
      <c r="CZ230" s="588">
        <f>IF(CY$9&gt;0, IF(OR(CY230="",CY230="-"), 0, CY230*$AT230), CX230*$AJ230)</f>
        <v>0</v>
      </c>
      <c r="DA230" s="587">
        <f>[1]COMMANDE!BA228</f>
        <v>0</v>
      </c>
      <c r="DB230" s="586" t="str">
        <f>_xlfn.IFS(AND($AI230=$AM230,$AI230&gt;0,$AM230&gt;0,DA230&gt;0), DA230,     AND(NOT($AI230=$AM230),$AI230&gt;0,$AM230&gt;0,DA230&gt;0), ($AM230*DA230)/$AI230,     AND($AI230=0,$AM230&gt;0,$AQ230&gt;0), IF(INDEX(DA$12:DA$263,MATCH($AQ230,$AP$12:$AP$263,0))&gt;0,($AM230*INDEX(DA$12:DA$263,MATCH($AQ230,$AP$12:$AP$263,0)))/INDEX($AI$12:$AI$263,MATCH($AQ230,$AP$12:$AP$263,0)), "-"),     TRUE, "0")</f>
        <v>0</v>
      </c>
      <c r="DC230" s="606">
        <f>IF(DB$9&gt;0, IF(OR(DB230="",DB230="-"), 0, DB230*$AT230), DA230*$AJ230)</f>
        <v>0</v>
      </c>
      <c r="DD230" s="584"/>
      <c r="DE230" s="583"/>
    </row>
    <row r="231" spans="1:109" ht="39.950000000000003" hidden="1" customHeight="1">
      <c r="A231" s="605">
        <f>IF(OR($AV231&gt;0, $AX231&gt;0), 1, 0)</f>
        <v>0</v>
      </c>
      <c r="B231" s="605">
        <f>IF(OR($AY231&gt;0, $BA231&gt;0), 1, 0)</f>
        <v>0</v>
      </c>
      <c r="C231" s="605">
        <f>IF(OR($BB231&gt;0, $BD231&gt;0), 1, 0)</f>
        <v>0</v>
      </c>
      <c r="D231" s="605">
        <f>IF(OR($BE231&gt;0, $BG231&gt;0), 1, 0)</f>
        <v>0</v>
      </c>
      <c r="E231" s="605">
        <f>IF(OR($BH231&gt;0, $BJ231&gt;0), 1, 0)</f>
        <v>0</v>
      </c>
      <c r="F231" s="605">
        <f>IF(OR($BK231&gt;0, $BM231&gt;0), 1, 0)</f>
        <v>0</v>
      </c>
      <c r="G231" s="605">
        <f>IF(OR($BN231&gt;0, $BP231&gt;0), 1, 0)</f>
        <v>0</v>
      </c>
      <c r="H231" s="605">
        <f>IF(OR($BQ231&gt;0, $BS231&gt;0), 1, 0)</f>
        <v>0</v>
      </c>
      <c r="I231" s="605">
        <f>IF(OR($BT231&gt;0, $BV231&gt;0), 1, 0)</f>
        <v>0</v>
      </c>
      <c r="J231" s="605">
        <f>IF(OR($BW231&gt;0, $BY231&gt;0), 1, 0)</f>
        <v>0</v>
      </c>
      <c r="K231" s="605">
        <f>IF(OR($BZ231&gt;0, $CB231&gt;0), 1, 0)</f>
        <v>0</v>
      </c>
      <c r="L231" s="605">
        <f>IF(OR($CC231&gt;0, $CE231&gt;0), 1, 0)</f>
        <v>0</v>
      </c>
      <c r="M231" s="605">
        <f>IF(OR($CF231&gt;0, $CH231&gt;0), 1, 0)</f>
        <v>0</v>
      </c>
      <c r="N231" s="605">
        <f>IF(OR($CI231&gt;0, $CK231&gt;0), 1, 0)</f>
        <v>0</v>
      </c>
      <c r="O231" s="605">
        <f>IF(OR($CL231&gt;0, $CN231&gt;0), 1, 0)</f>
        <v>0</v>
      </c>
      <c r="P231" s="604">
        <f>IF(OR($CO231&gt;0, $CQ231&gt;0), 1, 0)</f>
        <v>0</v>
      </c>
      <c r="Q231" s="604">
        <f>IF(OR($CR231&gt;0, $CT231&gt;0), 1, 0)</f>
        <v>0</v>
      </c>
      <c r="R231" s="604">
        <f>IF(OR($CU231&gt;0, $CW231&gt;0), 1, 0)</f>
        <v>0</v>
      </c>
      <c r="S231" s="604">
        <f>IF(OR($CX231&gt;0, $CZ231&gt;0), 1, 0)</f>
        <v>0</v>
      </c>
      <c r="T231" s="604">
        <f>IF(OR($DA231&gt;0, $DC231&gt;0), 1, 0)</f>
        <v>0</v>
      </c>
      <c r="U231" s="603">
        <f>IF(OR($AI231&gt;0,$AM231&gt;0,$AS231&gt;0), 1, 0)</f>
        <v>0</v>
      </c>
      <c r="V231" s="602" t="str">
        <f>[1]BDD!A221</f>
        <v>5124-3852</v>
      </c>
      <c r="W231" s="601" t="str">
        <f>[1]BDD!B221</f>
        <v>Pomme Golden</v>
      </c>
      <c r="X231" s="600" t="str">
        <f>IF([1]BDD!F221=0, "", [1]BDD!F221)</f>
        <v/>
      </c>
      <c r="Y231" s="542">
        <f>ROUND([1]BDD!G221+FDP_CMD_KG, 2)</f>
        <v>3.05</v>
      </c>
      <c r="Z231" s="542">
        <f>ROUND([1]BDD!G221+FDP_FACT_KG, 2)</f>
        <v>3.05</v>
      </c>
      <c r="AA231" s="543" t="str">
        <f>[1]BDD!H221</f>
        <v>kg</v>
      </c>
      <c r="AB231" s="544">
        <f>IF(NOT(ISBLANK([1]BDD!I221)), ROUND(SUM(([1]BDD!G221*reduc1),FDP_CMD_KG), 2), "")</f>
        <v>2.84</v>
      </c>
      <c r="AC231" s="544">
        <f>IF(NOT(ISBLANK([1]BDD!J221)), ROUND(SUM(([1]BDD!G221*reduc2),FDP_CMD_KG), 2), "")</f>
        <v>2.62</v>
      </c>
      <c r="AD231" s="544">
        <f>IF(NOT(ISBLANK([1]BDD!K221)), ROUND(SUM(([1]BDD!G221*reduc3),FDP_CMD_KG), 2), "")</f>
        <v>2.4</v>
      </c>
      <c r="AE231" s="544">
        <f>IF(NOT(ISBLANK([1]BDD!I221)), ROUND(SUM(([1]BDD!G221*reduc1),FDP_FACT_KG), 2), "")</f>
        <v>2.83</v>
      </c>
      <c r="AF231" s="544">
        <f>IF(NOT(ISBLANK([1]BDD!J221)), ROUND(SUM(([1]BDD!G221*reduc2),FDP_FACT_KG), 2), "")</f>
        <v>2.61</v>
      </c>
      <c r="AG231" s="544">
        <f>IF(NOT(ISBLANK([1]BDD!K221)), ROUND(SUM(([1]BDD!G221*reduc3),FDP_FACT_KG), 2), "")</f>
        <v>2.39</v>
      </c>
      <c r="AH231" s="599" t="str">
        <f>[1]BDD!C221</f>
        <v>Grenade</v>
      </c>
      <c r="AI231" s="598">
        <f>SUM(AV231,AY231,BB231,BE231,BH231,BK231,BN231,BQ231,BT231,BW231,BZ231,CC231,CF231,CI231,CL231,CO231,CR231,CU231,CX231,DA231)</f>
        <v>0</v>
      </c>
      <c r="AJ231" s="545">
        <f>_xlfn.IFS($AD231&lt;&gt;"", $AD231,    $AC231&lt;&gt;"", $AC231,    $AB231&lt;&gt;"", $AB231,    TRUE, $Y231)</f>
        <v>2.4</v>
      </c>
      <c r="AK231" s="592">
        <f>$AI231*$AJ231</f>
        <v>0</v>
      </c>
      <c r="AL231" s="594"/>
      <c r="AM231" s="597"/>
      <c r="AN231" s="545">
        <f>_xlfn.IFS(AND(AM231&gt;=60,$AG231&lt;&gt;""), $AG231,    AND(AM231&gt;=30,$AF231&lt;&gt;""), $AF231,    AND(AM231&gt;=10,$AE231&lt;&gt;""), $AE231,    TRUE, $Z231)</f>
        <v>3.05</v>
      </c>
      <c r="AO231" s="596">
        <f>AM231*AN231</f>
        <v>0</v>
      </c>
      <c r="AP231" s="595"/>
      <c r="AQ231" s="595"/>
      <c r="AR231" s="594"/>
      <c r="AS231" s="593">
        <f>SUM(AW231,AZ231,BC231,BF231,BI231,BL231,BO231,BR231,BU231,BX231,CA231,CD231,CG231,CJ231,CM231,CP231,CS231,CV231,CY231,DB231)</f>
        <v>0</v>
      </c>
      <c r="AT231" s="545">
        <f>_xlfn.IFS(AND(AS231&gt;=60,$AG231&lt;&gt;""), $AG231,    AND(AS231&gt;=30,$AF231&lt;&gt;""), $AF231,    AND(AS231&gt;=10,$AE231&lt;&gt;""), $AE231,    TRUE, $Z231)</f>
        <v>3.05</v>
      </c>
      <c r="AU231" s="592">
        <f>$AS231*$AT231</f>
        <v>0</v>
      </c>
      <c r="AV231" s="591">
        <f>[1]COMMANDE!O229</f>
        <v>0</v>
      </c>
      <c r="AW231" s="586" t="str">
        <f>_xlfn.IFS(AND($AI231=$AM231,$AI231&gt;0,$AM231&gt;0,AV231&gt;0), AV231,     AND(NOT($AI231=$AM231),$AI231&gt;0,$AM231&gt;0,AV231&gt;0), ($AM231*AV231)/$AI231,     AND($AI231=0,$AM231&gt;0,$AQ231&gt;0), IF(INDEX(AV$12:AV$263,MATCH($AQ231,$AP$12:$AP$263,0))&gt;0,($AM231*INDEX(AV$12:AV$263,MATCH($AQ231,$AP$12:$AP$263,0)))/INDEX($AI$12:$AI$263,MATCH($AQ231,$AP$12:$AP$263,0)), "-"),     TRUE, "0")</f>
        <v>0</v>
      </c>
      <c r="AX231" s="588">
        <f>IF(AW$9&gt;0, IF(OR(AW231="",AW231="-"), 0, AW231*$AT231), AV231*$AJ231)</f>
        <v>0</v>
      </c>
      <c r="AY231" s="587">
        <f>[1]COMMANDE!Q229</f>
        <v>0</v>
      </c>
      <c r="AZ231" s="586" t="str">
        <f>_xlfn.IFS(AND($AI231=$AM231,$AI231&gt;0,$AM231&gt;0,AY231&gt;0), AY231,     AND(NOT($AI231=$AM231),$AI231&gt;0,$AM231&gt;0,AY231&gt;0), ($AM231*AY231)/$AI231,     AND($AI231=0,$AM231&gt;0,$AQ231&gt;0), IF(INDEX(AY$12:AY$263,MATCH($AQ231,$AP$12:$AP$263,0))&gt;0,($AM231*INDEX(AY$12:AY$263,MATCH($AQ231,$AP$12:$AP$263,0)))/INDEX($AI$12:$AI$263,MATCH($AQ231,$AP$12:$AP$263,0)), "-"),     TRUE, "0")</f>
        <v>0</v>
      </c>
      <c r="BA231" s="607">
        <f>IF(AZ$9&gt;0, IF(OR(AZ231="",AZ231="-"), 0, AZ231*$AT231), AY231*$AJ231)</f>
        <v>0</v>
      </c>
      <c r="BB231" s="589">
        <f>[1]COMMANDE!S229</f>
        <v>0</v>
      </c>
      <c r="BC231" s="586" t="str">
        <f>_xlfn.IFS(AND($AI231=$AM231,$AI231&gt;0,$AM231&gt;0,BB231&gt;0), BB231,     AND(NOT($AI231=$AM231),$AI231&gt;0,$AM231&gt;0,BB231&gt;0), ($AM231*BB231)/$AI231,     AND($AI231=0,$AM231&gt;0,$AQ231&gt;0), IF(INDEX(BB$12:BB$263,MATCH($AQ231,$AP$12:$AP$263,0))&gt;0,($AM231*INDEX(BB$12:BB$263,MATCH($AQ231,$AP$12:$AP$263,0)))/INDEX($AI$12:$AI$263,MATCH($AQ231,$AP$12:$AP$263,0)), "-"),     TRUE, "0")</f>
        <v>0</v>
      </c>
      <c r="BD231" s="588">
        <f>IF(BC$9&gt;0, IF(OR(BC231="",BC231="-"), 0, BC231*$AT231), BB231*$AJ231)</f>
        <v>0</v>
      </c>
      <c r="BE231" s="587">
        <f>[1]COMMANDE!U229</f>
        <v>0</v>
      </c>
      <c r="BF231" s="586" t="str">
        <f>_xlfn.IFS(AND($AI231=$AM231,$AI231&gt;0,$AM231&gt;0,BE231&gt;0), BE231,     AND(NOT($AI231=$AM231),$AI231&gt;0,$AM231&gt;0,BE231&gt;0), ($AM231*BE231)/$AI231,     AND($AI231=0,$AM231&gt;0,$AQ231&gt;0), IF(INDEX(BE$12:BE$263,MATCH($AQ231,$AP$12:$AP$263,0))&gt;0,($AM231*INDEX(BE$12:BE$263,MATCH($AQ231,$AP$12:$AP$263,0)))/INDEX($AI$12:$AI$263,MATCH($AQ231,$AP$12:$AP$263,0)), "-"),     TRUE, "0")</f>
        <v>0</v>
      </c>
      <c r="BG231" s="607">
        <f>IF(BF$9&gt;0, IF(OR(BF231="",BF231="-"), 0, BF231*$AT231), BE231*$AJ231)</f>
        <v>0</v>
      </c>
      <c r="BH231" s="589">
        <f>[1]COMMANDE!W229</f>
        <v>0</v>
      </c>
      <c r="BI231" s="586" t="str">
        <f>_xlfn.IFS(AND($AI231=$AM231,$AI231&gt;0,$AM231&gt;0,BH231&gt;0), BH231,     AND(NOT($AI231=$AM231),$AI231&gt;0,$AM231&gt;0,BH231&gt;0), ($AM231*BH231)/$AI231,     AND($AI231=0,$AM231&gt;0,$AQ231&gt;0), IF(INDEX(BH$12:BH$263,MATCH($AQ231,$AP$12:$AP$263,0))&gt;0,($AM231*INDEX(BH$12:BH$263,MATCH($AQ231,$AP$12:$AP$263,0)))/INDEX($AI$12:$AI$263,MATCH($AQ231,$AP$12:$AP$263,0)), "-"),     TRUE, "0")</f>
        <v>0</v>
      </c>
      <c r="BJ231" s="588">
        <f>IF(BI$9&gt;0, IF(OR(BI231="",BI231="-"), 0, BI231*$AT231), BH231*$AJ231)</f>
        <v>0</v>
      </c>
      <c r="BK231" s="587">
        <f>[1]COMMANDE!Y229</f>
        <v>0</v>
      </c>
      <c r="BL231" s="586" t="str">
        <f>_xlfn.IFS(AND($AI231=$AM231,$AI231&gt;0,$AM231&gt;0,BK231&gt;0), BK231,     AND(NOT($AI231=$AM231),$AI231&gt;0,$AM231&gt;0,BK231&gt;0), ($AM231*BK231)/$AI231,     AND($AI231=0,$AM231&gt;0,$AQ231&gt;0), IF(INDEX(BK$12:BK$263,MATCH($AQ231,$AP$12:$AP$263,0))&gt;0,($AM231*INDEX(BK$12:BK$263,MATCH($AQ231,$AP$12:$AP$263,0)))/INDEX($AI$12:$AI$263,MATCH($AQ231,$AP$12:$AP$263,0)), "-"),     TRUE, "0")</f>
        <v>0</v>
      </c>
      <c r="BM231" s="607">
        <f>IF(BL$9&gt;0, IF(OR(BL231="",BL231="-"), 0, BL231*$AT231), BK231*$AJ231)</f>
        <v>0</v>
      </c>
      <c r="BN231" s="589">
        <f>[1]COMMANDE!AA229</f>
        <v>0</v>
      </c>
      <c r="BO231" s="586" t="str">
        <f>_xlfn.IFS(AND($AI231=$AM231,$AI231&gt;0,$AM231&gt;0,BN231&gt;0), BN231,     AND(NOT($AI231=$AM231),$AI231&gt;0,$AM231&gt;0,BN231&gt;0), ($AM231*BN231)/$AI231,     AND($AI231=0,$AM231&gt;0,$AQ231&gt;0), IF(INDEX(BN$12:BN$263,MATCH($AQ231,$AP$12:$AP$263,0))&gt;0,($AM231*INDEX(BN$12:BN$263,MATCH($AQ231,$AP$12:$AP$263,0)))/INDEX($AI$12:$AI$263,MATCH($AQ231,$AP$12:$AP$263,0)), "-"),     TRUE, "0")</f>
        <v>0</v>
      </c>
      <c r="BP231" s="588">
        <f>IF(BO$9&gt;0, IF(OR(BO231="",BO231="-"), 0, BO231*$AT231), BN231*$AJ231)</f>
        <v>0</v>
      </c>
      <c r="BQ231" s="587">
        <f>[1]COMMANDE!AC229</f>
        <v>0</v>
      </c>
      <c r="BR231" s="586" t="str">
        <f>_xlfn.IFS(AND($AI231=$AM231,$AI231&gt;0,$AM231&gt;0,BQ231&gt;0), BQ231,     AND(NOT($AI231=$AM231),$AI231&gt;0,$AM231&gt;0,BQ231&gt;0), ($AM231*BQ231)/$AI231,     AND($AI231=0,$AM231&gt;0,$AQ231&gt;0), IF(INDEX(BQ$12:BQ$263,MATCH($AQ231,$AP$12:$AP$263,0))&gt;0,($AM231*INDEX(BQ$12:BQ$263,MATCH($AQ231,$AP$12:$AP$263,0)))/INDEX($AI$12:$AI$263,MATCH($AQ231,$AP$12:$AP$263,0)), "-"),     TRUE, "0")</f>
        <v>0</v>
      </c>
      <c r="BS231" s="607">
        <f>IF(BR$9&gt;0, IF(OR(BR231="",BR231="-"), 0, BR231*$AT231), BQ231*$AJ231)</f>
        <v>0</v>
      </c>
      <c r="BT231" s="589">
        <f>[1]COMMANDE!AE229</f>
        <v>0</v>
      </c>
      <c r="BU231" s="586" t="str">
        <f>_xlfn.IFS(AND($AI231=$AM231,$AI231&gt;0,$AM231&gt;0,BT231&gt;0), BT231,     AND(NOT($AI231=$AM231),$AI231&gt;0,$AM231&gt;0,BT231&gt;0), ($AM231*BT231)/$AI231,     AND($AI231=0,$AM231&gt;0,$AQ231&gt;0), IF(INDEX(BT$12:BT$263,MATCH($AQ231,$AP$12:$AP$263,0))&gt;0,($AM231*INDEX(BT$12:BT$263,MATCH($AQ231,$AP$12:$AP$263,0)))/INDEX($AI$12:$AI$263,MATCH($AQ231,$AP$12:$AP$263,0)), "-"),     TRUE, "0")</f>
        <v>0</v>
      </c>
      <c r="BV231" s="588">
        <f>IF(BU$9&gt;0, IF(OR(BU231="",BU231="-"), 0, BU231*$AT231), BT231*$AJ231)</f>
        <v>0</v>
      </c>
      <c r="BW231" s="587">
        <f>[1]COMMANDE!AG229</f>
        <v>0</v>
      </c>
      <c r="BX231" s="586" t="str">
        <f>_xlfn.IFS(AND($AI231=$AM231,$AI231&gt;0,$AM231&gt;0,BW231&gt;0), BW231,     AND(NOT($AI231=$AM231),$AI231&gt;0,$AM231&gt;0,BW231&gt;0), ($AM231*BW231)/$AI231,     AND($AI231=0,$AM231&gt;0,$AQ231&gt;0), IF(INDEX(BW$12:BW$263,MATCH($AQ231,$AP$12:$AP$263,0))&gt;0,($AM231*INDEX(BW$12:BW$263,MATCH($AQ231,$AP$12:$AP$263,0)))/INDEX($AI$12:$AI$263,MATCH($AQ231,$AP$12:$AP$263,0)), "-"),     TRUE, "0")</f>
        <v>0</v>
      </c>
      <c r="BY231" s="607">
        <f>IF(BX$9&gt;0, IF(OR(BX231="",BX231="-"), 0, BX231*$AT231), BW231*$AJ231)</f>
        <v>0</v>
      </c>
      <c r="BZ231" s="589">
        <f>[1]COMMANDE!AI229</f>
        <v>0</v>
      </c>
      <c r="CA231" s="586" t="str">
        <f>_xlfn.IFS(AND($AI231=$AM231,$AI231&gt;0,$AM231&gt;0,BZ231&gt;0), BZ231,     AND(NOT($AI231=$AM231),$AI231&gt;0,$AM231&gt;0,BZ231&gt;0), ($AM231*BZ231)/$AI231,     AND($AI231=0,$AM231&gt;0,$AQ231&gt;0), IF(INDEX(BZ$12:BZ$263,MATCH($AQ231,$AP$12:$AP$263,0))&gt;0,($AM231*INDEX(BZ$12:BZ$263,MATCH($AQ231,$AP$12:$AP$263,0)))/INDEX($AI$12:$AI$263,MATCH($AQ231,$AP$12:$AP$263,0)), "-"),     TRUE, "0")</f>
        <v>0</v>
      </c>
      <c r="CB231" s="588">
        <f>IF(CA$9&gt;0, IF(OR(CA231="",CA231="-"), 0, CA231*$AT231), BZ231*$AJ231)</f>
        <v>0</v>
      </c>
      <c r="CC231" s="587">
        <f>[1]COMMANDE!AK229</f>
        <v>0</v>
      </c>
      <c r="CD231" s="586" t="str">
        <f>_xlfn.IFS(AND($AI231=$AM231,$AI231&gt;0,$AM231&gt;0,CC231&gt;0), CC231,     AND(NOT($AI231=$AM231),$AI231&gt;0,$AM231&gt;0,CC231&gt;0), ($AM231*CC231)/$AI231,     AND($AI231=0,$AM231&gt;0,$AQ231&gt;0), IF(INDEX(CC$12:CC$263,MATCH($AQ231,$AP$12:$AP$263,0))&gt;0,($AM231*INDEX(CC$12:CC$263,MATCH($AQ231,$AP$12:$AP$263,0)))/INDEX($AI$12:$AI$263,MATCH($AQ231,$AP$12:$AP$263,0)), "-"),     TRUE, "0")</f>
        <v>0</v>
      </c>
      <c r="CE231" s="607">
        <f>IF(CD$9&gt;0, IF(OR(CD231="",CD231="-"), 0, CD231*$AT231), CC231*$AJ231)</f>
        <v>0</v>
      </c>
      <c r="CF231" s="589">
        <f>[1]COMMANDE!AM229</f>
        <v>0</v>
      </c>
      <c r="CG231" s="586" t="str">
        <f>_xlfn.IFS(AND($AI231=$AM231,$AI231&gt;0,$AM231&gt;0,CF231&gt;0), CF231,     AND(NOT($AI231=$AM231),$AI231&gt;0,$AM231&gt;0,CF231&gt;0), ($AM231*CF231)/$AI231,     AND($AI231=0,$AM231&gt;0,$AQ231&gt;0), IF(INDEX(CF$12:CF$263,MATCH($AQ231,$AP$12:$AP$263,0))&gt;0,($AM231*INDEX(CF$12:CF$263,MATCH($AQ231,$AP$12:$AP$263,0)))/INDEX($AI$12:$AI$263,MATCH($AQ231,$AP$12:$AP$263,0)), "-"),     TRUE, "0")</f>
        <v>0</v>
      </c>
      <c r="CH231" s="588">
        <f>IF(CG$9&gt;0, IF(OR(CG231="",CG231="-"), 0, CG231*$AT231), CF231*$AJ231)</f>
        <v>0</v>
      </c>
      <c r="CI231" s="587">
        <f>[1]COMMANDE!AO229</f>
        <v>0</v>
      </c>
      <c r="CJ231" s="586" t="str">
        <f>_xlfn.IFS(AND($AI231=$AM231,$AI231&gt;0,$AM231&gt;0,CI231&gt;0), CI231,     AND(NOT($AI231=$AM231),$AI231&gt;0,$AM231&gt;0,CI231&gt;0), ($AM231*CI231)/$AI231,     AND($AI231=0,$AM231&gt;0,$AQ231&gt;0), IF(INDEX(CI$12:CI$263,MATCH($AQ231,$AP$12:$AP$263,0))&gt;0,($AM231*INDEX(CI$12:CI$263,MATCH($AQ231,$AP$12:$AP$263,0)))/INDEX($AI$12:$AI$263,MATCH($AQ231,$AP$12:$AP$263,0)), "-"),     TRUE, "0")</f>
        <v>0</v>
      </c>
      <c r="CK231" s="607">
        <f>IF(CJ$9&gt;0, IF(OR(CJ231="",CJ231="-"), 0, CJ231*$AT231), CI231*$AJ231)</f>
        <v>0</v>
      </c>
      <c r="CL231" s="589">
        <f>[1]COMMANDE!AQ229</f>
        <v>0</v>
      </c>
      <c r="CM231" s="586" t="str">
        <f>_xlfn.IFS(AND($AI231=$AM231,$AI231&gt;0,$AM231&gt;0,CL231&gt;0), CL231,     AND(NOT($AI231=$AM231),$AI231&gt;0,$AM231&gt;0,CL231&gt;0), ($AM231*CL231)/$AI231,     AND($AI231=0,$AM231&gt;0,$AQ231&gt;0), IF(INDEX(CL$12:CL$263,MATCH($AQ231,$AP$12:$AP$263,0))&gt;0,($AM231*INDEX(CL$12:CL$263,MATCH($AQ231,$AP$12:$AP$263,0)))/INDEX($AI$12:$AI$263,MATCH($AQ231,$AP$12:$AP$263,0)), "-"),     TRUE, "0")</f>
        <v>0</v>
      </c>
      <c r="CN231" s="588">
        <f>IF(CM$9&gt;0, IF(OR(CM231="",CM231="-"), 0, CM231*$AT231), CL231*$AJ231)</f>
        <v>0</v>
      </c>
      <c r="CO231" s="587">
        <f>[1]COMMANDE!AS229</f>
        <v>0</v>
      </c>
      <c r="CP231" s="586" t="str">
        <f>_xlfn.IFS(AND($AI231=$AM231,$AI231&gt;0,$AM231&gt;0,CO231&gt;0), CO231,     AND(NOT($AI231=$AM231),$AI231&gt;0,$AM231&gt;0,CO231&gt;0), ($AM231*CO231)/$AI231,     AND($AI231=0,$AM231&gt;0,$AQ231&gt;0), IF(INDEX(CO$12:CO$263,MATCH($AQ231,$AP$12:$AP$263,0))&gt;0,($AM231*INDEX(CO$12:CO$263,MATCH($AQ231,$AP$12:$AP$263,0)))/INDEX($AI$12:$AI$263,MATCH($AQ231,$AP$12:$AP$263,0)), "-"),     TRUE, "0")</f>
        <v>0</v>
      </c>
      <c r="CQ231" s="607">
        <f>IF(CP$9&gt;0, IF(OR(CP231="",CP231="-"), 0, CP231*$AT231), CO231*$AJ231)</f>
        <v>0</v>
      </c>
      <c r="CR231" s="589">
        <f>[1]COMMANDE!AU229</f>
        <v>0</v>
      </c>
      <c r="CS231" s="586" t="str">
        <f>_xlfn.IFS(AND($AI231=$AM231,$AI231&gt;0,$AM231&gt;0,CR231&gt;0), CR231,     AND(NOT($AI231=$AM231),$AI231&gt;0,$AM231&gt;0,CR231&gt;0), ($AM231*CR231)/$AI231,     AND($AI231=0,$AM231&gt;0,$AQ231&gt;0), IF(INDEX(CR$12:CR$263,MATCH($AQ231,$AP$12:$AP$263,0))&gt;0,($AM231*INDEX(CR$12:CR$263,MATCH($AQ231,$AP$12:$AP$263,0)))/INDEX($AI$12:$AI$263,MATCH($AQ231,$AP$12:$AP$263,0)), "-"),     TRUE, "0")</f>
        <v>0</v>
      </c>
      <c r="CT231" s="588">
        <f>IF(CS$9&gt;0, IF(OR(CS231="",CS231="-"), 0, CS231*$AT231), CR231*$AJ231)</f>
        <v>0</v>
      </c>
      <c r="CU231" s="587">
        <f>[1]COMMANDE!AW229</f>
        <v>0</v>
      </c>
      <c r="CV231" s="586" t="str">
        <f>_xlfn.IFS(AND($AI231=$AM231,$AI231&gt;0,$AM231&gt;0,CU231&gt;0), CU231,     AND(NOT($AI231=$AM231),$AI231&gt;0,$AM231&gt;0,CU231&gt;0), ($AM231*CU231)/$AI231,     AND($AI231=0,$AM231&gt;0,$AQ231&gt;0), IF(INDEX(CU$12:CU$263,MATCH($AQ231,$AP$12:$AP$263,0))&gt;0,($AM231*INDEX(CU$12:CU$263,MATCH($AQ231,$AP$12:$AP$263,0)))/INDEX($AI$12:$AI$263,MATCH($AQ231,$AP$12:$AP$263,0)), "-"),     TRUE, "0")</f>
        <v>0</v>
      </c>
      <c r="CW231" s="607">
        <f>IF(CV$9&gt;0, IF(OR(CV231="",CV231="-"), 0, CV231*$AT231), CU231*$AJ231)</f>
        <v>0</v>
      </c>
      <c r="CX231" s="589">
        <f>[1]COMMANDE!AY229</f>
        <v>0</v>
      </c>
      <c r="CY231" s="586" t="str">
        <f>_xlfn.IFS(AND($AI231=$AM231,$AI231&gt;0,$AM231&gt;0,CX231&gt;0), CX231,     AND(NOT($AI231=$AM231),$AI231&gt;0,$AM231&gt;0,CX231&gt;0), ($AM231*CX231)/$AI231,     AND($AI231=0,$AM231&gt;0,$AQ231&gt;0), IF(INDEX(CX$12:CX$263,MATCH($AQ231,$AP$12:$AP$263,0))&gt;0,($AM231*INDEX(CX$12:CX$263,MATCH($AQ231,$AP$12:$AP$263,0)))/INDEX($AI$12:$AI$263,MATCH($AQ231,$AP$12:$AP$263,0)), "-"),     TRUE, "0")</f>
        <v>0</v>
      </c>
      <c r="CZ231" s="588">
        <f>IF(CY$9&gt;0, IF(OR(CY231="",CY231="-"), 0, CY231*$AT231), CX231*$AJ231)</f>
        <v>0</v>
      </c>
      <c r="DA231" s="587">
        <f>[1]COMMANDE!BA229</f>
        <v>0</v>
      </c>
      <c r="DB231" s="586" t="str">
        <f>_xlfn.IFS(AND($AI231=$AM231,$AI231&gt;0,$AM231&gt;0,DA231&gt;0), DA231,     AND(NOT($AI231=$AM231),$AI231&gt;0,$AM231&gt;0,DA231&gt;0), ($AM231*DA231)/$AI231,     AND($AI231=0,$AM231&gt;0,$AQ231&gt;0), IF(INDEX(DA$12:DA$263,MATCH($AQ231,$AP$12:$AP$263,0))&gt;0,($AM231*INDEX(DA$12:DA$263,MATCH($AQ231,$AP$12:$AP$263,0)))/INDEX($AI$12:$AI$263,MATCH($AQ231,$AP$12:$AP$263,0)), "-"),     TRUE, "0")</f>
        <v>0</v>
      </c>
      <c r="DC231" s="606">
        <f>IF(DB$9&gt;0, IF(OR(DB231="",DB231="-"), 0, DB231*$AT231), DA231*$AJ231)</f>
        <v>0</v>
      </c>
      <c r="DD231" s="584"/>
      <c r="DE231" s="583"/>
    </row>
    <row r="232" spans="1:109" ht="39.950000000000003" hidden="1" customHeight="1">
      <c r="A232" s="605">
        <f>IF(OR($AV232&gt;0, $AX232&gt;0), 1, 0)</f>
        <v>0</v>
      </c>
      <c r="B232" s="605">
        <f>IF(OR($AY232&gt;0, $BA232&gt;0), 1, 0)</f>
        <v>0</v>
      </c>
      <c r="C232" s="605">
        <f>IF(OR($BB232&gt;0, $BD232&gt;0), 1, 0)</f>
        <v>0</v>
      </c>
      <c r="D232" s="605">
        <f>IF(OR($BE232&gt;0, $BG232&gt;0), 1, 0)</f>
        <v>0</v>
      </c>
      <c r="E232" s="605">
        <f>IF(OR($BH232&gt;0, $BJ232&gt;0), 1, 0)</f>
        <v>0</v>
      </c>
      <c r="F232" s="605">
        <f>IF(OR($BK232&gt;0, $BM232&gt;0), 1, 0)</f>
        <v>0</v>
      </c>
      <c r="G232" s="605">
        <f>IF(OR($BN232&gt;0, $BP232&gt;0), 1, 0)</f>
        <v>0</v>
      </c>
      <c r="H232" s="605">
        <f>IF(OR($BQ232&gt;0, $BS232&gt;0), 1, 0)</f>
        <v>0</v>
      </c>
      <c r="I232" s="605">
        <f>IF(OR($BT232&gt;0, $BV232&gt;0), 1, 0)</f>
        <v>0</v>
      </c>
      <c r="J232" s="605">
        <f>IF(OR($BW232&gt;0, $BY232&gt;0), 1, 0)</f>
        <v>0</v>
      </c>
      <c r="K232" s="605">
        <f>IF(OR($BZ232&gt;0, $CB232&gt;0), 1, 0)</f>
        <v>0</v>
      </c>
      <c r="L232" s="605">
        <f>IF(OR($CC232&gt;0, $CE232&gt;0), 1, 0)</f>
        <v>0</v>
      </c>
      <c r="M232" s="605">
        <f>IF(OR($CF232&gt;0, $CH232&gt;0), 1, 0)</f>
        <v>0</v>
      </c>
      <c r="N232" s="605">
        <f>IF(OR($CI232&gt;0, $CK232&gt;0), 1, 0)</f>
        <v>0</v>
      </c>
      <c r="O232" s="605">
        <f>IF(OR($CL232&gt;0, $CN232&gt;0), 1, 0)</f>
        <v>0</v>
      </c>
      <c r="P232" s="604">
        <f>IF(OR($CO232&gt;0, $CQ232&gt;0), 1, 0)</f>
        <v>0</v>
      </c>
      <c r="Q232" s="604">
        <f>IF(OR($CR232&gt;0, $CT232&gt;0), 1, 0)</f>
        <v>0</v>
      </c>
      <c r="R232" s="604">
        <f>IF(OR($CU232&gt;0, $CW232&gt;0), 1, 0)</f>
        <v>0</v>
      </c>
      <c r="S232" s="604">
        <f>IF(OR($CX232&gt;0, $CZ232&gt;0), 1, 0)</f>
        <v>0</v>
      </c>
      <c r="T232" s="604">
        <f>IF(OR($DA232&gt;0, $DC232&gt;0), 1, 0)</f>
        <v>0</v>
      </c>
      <c r="U232" s="603">
        <f>IF(OR($AI232&gt;0,$AM232&gt;0,$AS232&gt;0), 1, 0)</f>
        <v>0</v>
      </c>
      <c r="V232" s="602">
        <f>[1]BDD!A222</f>
        <v>3973</v>
      </c>
      <c r="W232" s="601" t="str">
        <f>[1]BDD!B222</f>
        <v>Pomme Granny Smith</v>
      </c>
      <c r="X232" s="600" t="str">
        <f>IF([1]BDD!F222=0, "", [1]BDD!F222)</f>
        <v/>
      </c>
      <c r="Y232" s="542">
        <f>ROUND([1]BDD!G222+FDP_CMD_KG, 2)</f>
        <v>2.91</v>
      </c>
      <c r="Z232" s="542">
        <f>ROUND([1]BDD!G222+FDP_FACT_KG, 2)</f>
        <v>2.91</v>
      </c>
      <c r="AA232" s="543" t="str">
        <f>[1]BDD!H222</f>
        <v>kg</v>
      </c>
      <c r="AB232" s="544">
        <f>IF(NOT(ISBLANK([1]BDD!I222)), ROUND(SUM(([1]BDD!G222*reduc1),FDP_CMD_KG), 2), "")</f>
        <v>2.71</v>
      </c>
      <c r="AC232" s="544">
        <f>IF(NOT(ISBLANK([1]BDD!J222)), ROUND(SUM(([1]BDD!G222*reduc2),FDP_CMD_KG), 2), "")</f>
        <v>2.5099999999999998</v>
      </c>
      <c r="AD232" s="544">
        <f>IF(NOT(ISBLANK([1]BDD!K222)), ROUND(SUM(([1]BDD!G222*reduc3),FDP_CMD_KG), 2), "")</f>
        <v>2.2999999999999998</v>
      </c>
      <c r="AE232" s="544">
        <f>IF(NOT(ISBLANK([1]BDD!I222)), ROUND(SUM(([1]BDD!G222*reduc1),FDP_FACT_KG), 2), "")</f>
        <v>2.7</v>
      </c>
      <c r="AF232" s="544">
        <f>IF(NOT(ISBLANK([1]BDD!J222)), ROUND(SUM(([1]BDD!G222*reduc2),FDP_FACT_KG), 2), "")</f>
        <v>2.5</v>
      </c>
      <c r="AG232" s="544">
        <f>IF(NOT(ISBLANK([1]BDD!K222)), ROUND(SUM(([1]BDD!G222*reduc3),FDP_FACT_KG), 2), "")</f>
        <v>2.29</v>
      </c>
      <c r="AH232" s="599" t="str">
        <f>[1]BDD!C222</f>
        <v>Grenade</v>
      </c>
      <c r="AI232" s="598">
        <f>SUM(AV232,AY232,BB232,BE232,BH232,BK232,BN232,BQ232,BT232,BW232,BZ232,CC232,CF232,CI232,CL232,CO232,CR232,CU232,CX232,DA232)</f>
        <v>0</v>
      </c>
      <c r="AJ232" s="545">
        <f>_xlfn.IFS($AD232&lt;&gt;"", $AD232,    $AC232&lt;&gt;"", $AC232,    $AB232&lt;&gt;"", $AB232,    TRUE, $Y232)</f>
        <v>2.2999999999999998</v>
      </c>
      <c r="AK232" s="592">
        <f>$AI232*$AJ232</f>
        <v>0</v>
      </c>
      <c r="AL232" s="594"/>
      <c r="AM232" s="597"/>
      <c r="AN232" s="545">
        <f>_xlfn.IFS(AND(AM232&gt;=60,$AG232&lt;&gt;""), $AG232,    AND(AM232&gt;=30,$AF232&lt;&gt;""), $AF232,    AND(AM232&gt;=10,$AE232&lt;&gt;""), $AE232,    TRUE, $Z232)</f>
        <v>2.91</v>
      </c>
      <c r="AO232" s="596">
        <f>AM232*AN232</f>
        <v>0</v>
      </c>
      <c r="AP232" s="595"/>
      <c r="AQ232" s="595"/>
      <c r="AR232" s="594"/>
      <c r="AS232" s="593">
        <f>SUM(AW232,AZ232,BC232,BF232,BI232,BL232,BO232,BR232,BU232,BX232,CA232,CD232,CG232,CJ232,CM232,CP232,CS232,CV232,CY232,DB232)</f>
        <v>0</v>
      </c>
      <c r="AT232" s="545">
        <f>_xlfn.IFS(AND(AS232&gt;=60,$AG232&lt;&gt;""), $AG232,    AND(AS232&gt;=30,$AF232&lt;&gt;""), $AF232,    AND(AS232&gt;=10,$AE232&lt;&gt;""), $AE232,    TRUE, $Z232)</f>
        <v>2.91</v>
      </c>
      <c r="AU232" s="592">
        <f>$AS232*$AT232</f>
        <v>0</v>
      </c>
      <c r="AV232" s="591">
        <f>[1]COMMANDE!O230</f>
        <v>0</v>
      </c>
      <c r="AW232" s="586" t="str">
        <f>_xlfn.IFS(AND($AI232=$AM232,$AI232&gt;0,$AM232&gt;0,AV232&gt;0), AV232,     AND(NOT($AI232=$AM232),$AI232&gt;0,$AM232&gt;0,AV232&gt;0), ($AM232*AV232)/$AI232,     AND($AI232=0,$AM232&gt;0,$AQ232&gt;0), IF(INDEX(AV$12:AV$263,MATCH($AQ232,$AP$12:$AP$263,0))&gt;0,($AM232*INDEX(AV$12:AV$263,MATCH($AQ232,$AP$12:$AP$263,0)))/INDEX($AI$12:$AI$263,MATCH($AQ232,$AP$12:$AP$263,0)), "-"),     TRUE, "0")</f>
        <v>0</v>
      </c>
      <c r="AX232" s="588">
        <f>IF(AW$9&gt;0, IF(OR(AW232="",AW232="-"), 0, AW232*$AT232), AV232*$AJ232)</f>
        <v>0</v>
      </c>
      <c r="AY232" s="587">
        <f>[1]COMMANDE!Q230</f>
        <v>0</v>
      </c>
      <c r="AZ232" s="586" t="str">
        <f>_xlfn.IFS(AND($AI232=$AM232,$AI232&gt;0,$AM232&gt;0,AY232&gt;0), AY232,     AND(NOT($AI232=$AM232),$AI232&gt;0,$AM232&gt;0,AY232&gt;0), ($AM232*AY232)/$AI232,     AND($AI232=0,$AM232&gt;0,$AQ232&gt;0), IF(INDEX(AY$12:AY$263,MATCH($AQ232,$AP$12:$AP$263,0))&gt;0,($AM232*INDEX(AY$12:AY$263,MATCH($AQ232,$AP$12:$AP$263,0)))/INDEX($AI$12:$AI$263,MATCH($AQ232,$AP$12:$AP$263,0)), "-"),     TRUE, "0")</f>
        <v>0</v>
      </c>
      <c r="BA232" s="607">
        <f>IF(AZ$9&gt;0, IF(OR(AZ232="",AZ232="-"), 0, AZ232*$AT232), AY232*$AJ232)</f>
        <v>0</v>
      </c>
      <c r="BB232" s="589">
        <f>[1]COMMANDE!S230</f>
        <v>0</v>
      </c>
      <c r="BC232" s="586" t="str">
        <f>_xlfn.IFS(AND($AI232=$AM232,$AI232&gt;0,$AM232&gt;0,BB232&gt;0), BB232,     AND(NOT($AI232=$AM232),$AI232&gt;0,$AM232&gt;0,BB232&gt;0), ($AM232*BB232)/$AI232,     AND($AI232=0,$AM232&gt;0,$AQ232&gt;0), IF(INDEX(BB$12:BB$263,MATCH($AQ232,$AP$12:$AP$263,0))&gt;0,($AM232*INDEX(BB$12:BB$263,MATCH($AQ232,$AP$12:$AP$263,0)))/INDEX($AI$12:$AI$263,MATCH($AQ232,$AP$12:$AP$263,0)), "-"),     TRUE, "0")</f>
        <v>0</v>
      </c>
      <c r="BD232" s="588">
        <f>IF(BC$9&gt;0, IF(OR(BC232="",BC232="-"), 0, BC232*$AT232), BB232*$AJ232)</f>
        <v>0</v>
      </c>
      <c r="BE232" s="587">
        <f>[1]COMMANDE!U230</f>
        <v>0</v>
      </c>
      <c r="BF232" s="586" t="str">
        <f>_xlfn.IFS(AND($AI232=$AM232,$AI232&gt;0,$AM232&gt;0,BE232&gt;0), BE232,     AND(NOT($AI232=$AM232),$AI232&gt;0,$AM232&gt;0,BE232&gt;0), ($AM232*BE232)/$AI232,     AND($AI232=0,$AM232&gt;0,$AQ232&gt;0), IF(INDEX(BE$12:BE$263,MATCH($AQ232,$AP$12:$AP$263,0))&gt;0,($AM232*INDEX(BE$12:BE$263,MATCH($AQ232,$AP$12:$AP$263,0)))/INDEX($AI$12:$AI$263,MATCH($AQ232,$AP$12:$AP$263,0)), "-"),     TRUE, "0")</f>
        <v>0</v>
      </c>
      <c r="BG232" s="607">
        <f>IF(BF$9&gt;0, IF(OR(BF232="",BF232="-"), 0, BF232*$AT232), BE232*$AJ232)</f>
        <v>0</v>
      </c>
      <c r="BH232" s="589">
        <f>[1]COMMANDE!W230</f>
        <v>0</v>
      </c>
      <c r="BI232" s="586" t="str">
        <f>_xlfn.IFS(AND($AI232=$AM232,$AI232&gt;0,$AM232&gt;0,BH232&gt;0), BH232,     AND(NOT($AI232=$AM232),$AI232&gt;0,$AM232&gt;0,BH232&gt;0), ($AM232*BH232)/$AI232,     AND($AI232=0,$AM232&gt;0,$AQ232&gt;0), IF(INDEX(BH$12:BH$263,MATCH($AQ232,$AP$12:$AP$263,0))&gt;0,($AM232*INDEX(BH$12:BH$263,MATCH($AQ232,$AP$12:$AP$263,0)))/INDEX($AI$12:$AI$263,MATCH($AQ232,$AP$12:$AP$263,0)), "-"),     TRUE, "0")</f>
        <v>0</v>
      </c>
      <c r="BJ232" s="588">
        <f>IF(BI$9&gt;0, IF(OR(BI232="",BI232="-"), 0, BI232*$AT232), BH232*$AJ232)</f>
        <v>0</v>
      </c>
      <c r="BK232" s="587">
        <f>[1]COMMANDE!Y230</f>
        <v>0</v>
      </c>
      <c r="BL232" s="586" t="str">
        <f>_xlfn.IFS(AND($AI232=$AM232,$AI232&gt;0,$AM232&gt;0,BK232&gt;0), BK232,     AND(NOT($AI232=$AM232),$AI232&gt;0,$AM232&gt;0,BK232&gt;0), ($AM232*BK232)/$AI232,     AND($AI232=0,$AM232&gt;0,$AQ232&gt;0), IF(INDEX(BK$12:BK$263,MATCH($AQ232,$AP$12:$AP$263,0))&gt;0,($AM232*INDEX(BK$12:BK$263,MATCH($AQ232,$AP$12:$AP$263,0)))/INDEX($AI$12:$AI$263,MATCH($AQ232,$AP$12:$AP$263,0)), "-"),     TRUE, "0")</f>
        <v>0</v>
      </c>
      <c r="BM232" s="607">
        <f>IF(BL$9&gt;0, IF(OR(BL232="",BL232="-"), 0, BL232*$AT232), BK232*$AJ232)</f>
        <v>0</v>
      </c>
      <c r="BN232" s="589">
        <f>[1]COMMANDE!AA230</f>
        <v>0</v>
      </c>
      <c r="BO232" s="586" t="str">
        <f>_xlfn.IFS(AND($AI232=$AM232,$AI232&gt;0,$AM232&gt;0,BN232&gt;0), BN232,     AND(NOT($AI232=$AM232),$AI232&gt;0,$AM232&gt;0,BN232&gt;0), ($AM232*BN232)/$AI232,     AND($AI232=0,$AM232&gt;0,$AQ232&gt;0), IF(INDEX(BN$12:BN$263,MATCH($AQ232,$AP$12:$AP$263,0))&gt;0,($AM232*INDEX(BN$12:BN$263,MATCH($AQ232,$AP$12:$AP$263,0)))/INDEX($AI$12:$AI$263,MATCH($AQ232,$AP$12:$AP$263,0)), "-"),     TRUE, "0")</f>
        <v>0</v>
      </c>
      <c r="BP232" s="588">
        <f>IF(BO$9&gt;0, IF(OR(BO232="",BO232="-"), 0, BO232*$AT232), BN232*$AJ232)</f>
        <v>0</v>
      </c>
      <c r="BQ232" s="587">
        <f>[1]COMMANDE!AC230</f>
        <v>0</v>
      </c>
      <c r="BR232" s="586" t="str">
        <f>_xlfn.IFS(AND($AI232=$AM232,$AI232&gt;0,$AM232&gt;0,BQ232&gt;0), BQ232,     AND(NOT($AI232=$AM232),$AI232&gt;0,$AM232&gt;0,BQ232&gt;0), ($AM232*BQ232)/$AI232,     AND($AI232=0,$AM232&gt;0,$AQ232&gt;0), IF(INDEX(BQ$12:BQ$263,MATCH($AQ232,$AP$12:$AP$263,0))&gt;0,($AM232*INDEX(BQ$12:BQ$263,MATCH($AQ232,$AP$12:$AP$263,0)))/INDEX($AI$12:$AI$263,MATCH($AQ232,$AP$12:$AP$263,0)), "-"),     TRUE, "0")</f>
        <v>0</v>
      </c>
      <c r="BS232" s="607">
        <f>IF(BR$9&gt;0, IF(OR(BR232="",BR232="-"), 0, BR232*$AT232), BQ232*$AJ232)</f>
        <v>0</v>
      </c>
      <c r="BT232" s="589">
        <f>[1]COMMANDE!AE230</f>
        <v>0</v>
      </c>
      <c r="BU232" s="586" t="str">
        <f>_xlfn.IFS(AND($AI232=$AM232,$AI232&gt;0,$AM232&gt;0,BT232&gt;0), BT232,     AND(NOT($AI232=$AM232),$AI232&gt;0,$AM232&gt;0,BT232&gt;0), ($AM232*BT232)/$AI232,     AND($AI232=0,$AM232&gt;0,$AQ232&gt;0), IF(INDEX(BT$12:BT$263,MATCH($AQ232,$AP$12:$AP$263,0))&gt;0,($AM232*INDEX(BT$12:BT$263,MATCH($AQ232,$AP$12:$AP$263,0)))/INDEX($AI$12:$AI$263,MATCH($AQ232,$AP$12:$AP$263,0)), "-"),     TRUE, "0")</f>
        <v>0</v>
      </c>
      <c r="BV232" s="588">
        <f>IF(BU$9&gt;0, IF(OR(BU232="",BU232="-"), 0, BU232*$AT232), BT232*$AJ232)</f>
        <v>0</v>
      </c>
      <c r="BW232" s="587">
        <f>[1]COMMANDE!AG230</f>
        <v>0</v>
      </c>
      <c r="BX232" s="586" t="str">
        <f>_xlfn.IFS(AND($AI232=$AM232,$AI232&gt;0,$AM232&gt;0,BW232&gt;0), BW232,     AND(NOT($AI232=$AM232),$AI232&gt;0,$AM232&gt;0,BW232&gt;0), ($AM232*BW232)/$AI232,     AND($AI232=0,$AM232&gt;0,$AQ232&gt;0), IF(INDEX(BW$12:BW$263,MATCH($AQ232,$AP$12:$AP$263,0))&gt;0,($AM232*INDEX(BW$12:BW$263,MATCH($AQ232,$AP$12:$AP$263,0)))/INDEX($AI$12:$AI$263,MATCH($AQ232,$AP$12:$AP$263,0)), "-"),     TRUE, "0")</f>
        <v>0</v>
      </c>
      <c r="BY232" s="607">
        <f>IF(BX$9&gt;0, IF(OR(BX232="",BX232="-"), 0, BX232*$AT232), BW232*$AJ232)</f>
        <v>0</v>
      </c>
      <c r="BZ232" s="589">
        <f>[1]COMMANDE!AI230</f>
        <v>0</v>
      </c>
      <c r="CA232" s="586" t="str">
        <f>_xlfn.IFS(AND($AI232=$AM232,$AI232&gt;0,$AM232&gt;0,BZ232&gt;0), BZ232,     AND(NOT($AI232=$AM232),$AI232&gt;0,$AM232&gt;0,BZ232&gt;0), ($AM232*BZ232)/$AI232,     AND($AI232=0,$AM232&gt;0,$AQ232&gt;0), IF(INDEX(BZ$12:BZ$263,MATCH($AQ232,$AP$12:$AP$263,0))&gt;0,($AM232*INDEX(BZ$12:BZ$263,MATCH($AQ232,$AP$12:$AP$263,0)))/INDEX($AI$12:$AI$263,MATCH($AQ232,$AP$12:$AP$263,0)), "-"),     TRUE, "0")</f>
        <v>0</v>
      </c>
      <c r="CB232" s="588">
        <f>IF(CA$9&gt;0, IF(OR(CA232="",CA232="-"), 0, CA232*$AT232), BZ232*$AJ232)</f>
        <v>0</v>
      </c>
      <c r="CC232" s="587">
        <f>[1]COMMANDE!AK230</f>
        <v>0</v>
      </c>
      <c r="CD232" s="586" t="str">
        <f>_xlfn.IFS(AND($AI232=$AM232,$AI232&gt;0,$AM232&gt;0,CC232&gt;0), CC232,     AND(NOT($AI232=$AM232),$AI232&gt;0,$AM232&gt;0,CC232&gt;0), ($AM232*CC232)/$AI232,     AND($AI232=0,$AM232&gt;0,$AQ232&gt;0), IF(INDEX(CC$12:CC$263,MATCH($AQ232,$AP$12:$AP$263,0))&gt;0,($AM232*INDEX(CC$12:CC$263,MATCH($AQ232,$AP$12:$AP$263,0)))/INDEX($AI$12:$AI$263,MATCH($AQ232,$AP$12:$AP$263,0)), "-"),     TRUE, "0")</f>
        <v>0</v>
      </c>
      <c r="CE232" s="607">
        <f>IF(CD$9&gt;0, IF(OR(CD232="",CD232="-"), 0, CD232*$AT232), CC232*$AJ232)</f>
        <v>0</v>
      </c>
      <c r="CF232" s="589">
        <f>[1]COMMANDE!AM230</f>
        <v>0</v>
      </c>
      <c r="CG232" s="586" t="str">
        <f>_xlfn.IFS(AND($AI232=$AM232,$AI232&gt;0,$AM232&gt;0,CF232&gt;0), CF232,     AND(NOT($AI232=$AM232),$AI232&gt;0,$AM232&gt;0,CF232&gt;0), ($AM232*CF232)/$AI232,     AND($AI232=0,$AM232&gt;0,$AQ232&gt;0), IF(INDEX(CF$12:CF$263,MATCH($AQ232,$AP$12:$AP$263,0))&gt;0,($AM232*INDEX(CF$12:CF$263,MATCH($AQ232,$AP$12:$AP$263,0)))/INDEX($AI$12:$AI$263,MATCH($AQ232,$AP$12:$AP$263,0)), "-"),     TRUE, "0")</f>
        <v>0</v>
      </c>
      <c r="CH232" s="588">
        <f>IF(CG$9&gt;0, IF(OR(CG232="",CG232="-"), 0, CG232*$AT232), CF232*$AJ232)</f>
        <v>0</v>
      </c>
      <c r="CI232" s="587">
        <f>[1]COMMANDE!AO230</f>
        <v>0</v>
      </c>
      <c r="CJ232" s="586" t="str">
        <f>_xlfn.IFS(AND($AI232=$AM232,$AI232&gt;0,$AM232&gt;0,CI232&gt;0), CI232,     AND(NOT($AI232=$AM232),$AI232&gt;0,$AM232&gt;0,CI232&gt;0), ($AM232*CI232)/$AI232,     AND($AI232=0,$AM232&gt;0,$AQ232&gt;0), IF(INDEX(CI$12:CI$263,MATCH($AQ232,$AP$12:$AP$263,0))&gt;0,($AM232*INDEX(CI$12:CI$263,MATCH($AQ232,$AP$12:$AP$263,0)))/INDEX($AI$12:$AI$263,MATCH($AQ232,$AP$12:$AP$263,0)), "-"),     TRUE, "0")</f>
        <v>0</v>
      </c>
      <c r="CK232" s="607">
        <f>IF(CJ$9&gt;0, IF(OR(CJ232="",CJ232="-"), 0, CJ232*$AT232), CI232*$AJ232)</f>
        <v>0</v>
      </c>
      <c r="CL232" s="589">
        <f>[1]COMMANDE!AQ230</f>
        <v>0</v>
      </c>
      <c r="CM232" s="586" t="str">
        <f>_xlfn.IFS(AND($AI232=$AM232,$AI232&gt;0,$AM232&gt;0,CL232&gt;0), CL232,     AND(NOT($AI232=$AM232),$AI232&gt;0,$AM232&gt;0,CL232&gt;0), ($AM232*CL232)/$AI232,     AND($AI232=0,$AM232&gt;0,$AQ232&gt;0), IF(INDEX(CL$12:CL$263,MATCH($AQ232,$AP$12:$AP$263,0))&gt;0,($AM232*INDEX(CL$12:CL$263,MATCH($AQ232,$AP$12:$AP$263,0)))/INDEX($AI$12:$AI$263,MATCH($AQ232,$AP$12:$AP$263,0)), "-"),     TRUE, "0")</f>
        <v>0</v>
      </c>
      <c r="CN232" s="588">
        <f>IF(CM$9&gt;0, IF(OR(CM232="",CM232="-"), 0, CM232*$AT232), CL232*$AJ232)</f>
        <v>0</v>
      </c>
      <c r="CO232" s="587">
        <f>[1]COMMANDE!AS230</f>
        <v>0</v>
      </c>
      <c r="CP232" s="586" t="str">
        <f>_xlfn.IFS(AND($AI232=$AM232,$AI232&gt;0,$AM232&gt;0,CO232&gt;0), CO232,     AND(NOT($AI232=$AM232),$AI232&gt;0,$AM232&gt;0,CO232&gt;0), ($AM232*CO232)/$AI232,     AND($AI232=0,$AM232&gt;0,$AQ232&gt;0), IF(INDEX(CO$12:CO$263,MATCH($AQ232,$AP$12:$AP$263,0))&gt;0,($AM232*INDEX(CO$12:CO$263,MATCH($AQ232,$AP$12:$AP$263,0)))/INDEX($AI$12:$AI$263,MATCH($AQ232,$AP$12:$AP$263,0)), "-"),     TRUE, "0")</f>
        <v>0</v>
      </c>
      <c r="CQ232" s="607">
        <f>IF(CP$9&gt;0, IF(OR(CP232="",CP232="-"), 0, CP232*$AT232), CO232*$AJ232)</f>
        <v>0</v>
      </c>
      <c r="CR232" s="589">
        <f>[1]COMMANDE!AU230</f>
        <v>0</v>
      </c>
      <c r="CS232" s="586" t="str">
        <f>_xlfn.IFS(AND($AI232=$AM232,$AI232&gt;0,$AM232&gt;0,CR232&gt;0), CR232,     AND(NOT($AI232=$AM232),$AI232&gt;0,$AM232&gt;0,CR232&gt;0), ($AM232*CR232)/$AI232,     AND($AI232=0,$AM232&gt;0,$AQ232&gt;0), IF(INDEX(CR$12:CR$263,MATCH($AQ232,$AP$12:$AP$263,0))&gt;0,($AM232*INDEX(CR$12:CR$263,MATCH($AQ232,$AP$12:$AP$263,0)))/INDEX($AI$12:$AI$263,MATCH($AQ232,$AP$12:$AP$263,0)), "-"),     TRUE, "0")</f>
        <v>0</v>
      </c>
      <c r="CT232" s="588">
        <f>IF(CS$9&gt;0, IF(OR(CS232="",CS232="-"), 0, CS232*$AT232), CR232*$AJ232)</f>
        <v>0</v>
      </c>
      <c r="CU232" s="587">
        <f>[1]COMMANDE!AW230</f>
        <v>0</v>
      </c>
      <c r="CV232" s="586" t="str">
        <f>_xlfn.IFS(AND($AI232=$AM232,$AI232&gt;0,$AM232&gt;0,CU232&gt;0), CU232,     AND(NOT($AI232=$AM232),$AI232&gt;0,$AM232&gt;0,CU232&gt;0), ($AM232*CU232)/$AI232,     AND($AI232=0,$AM232&gt;0,$AQ232&gt;0), IF(INDEX(CU$12:CU$263,MATCH($AQ232,$AP$12:$AP$263,0))&gt;0,($AM232*INDEX(CU$12:CU$263,MATCH($AQ232,$AP$12:$AP$263,0)))/INDEX($AI$12:$AI$263,MATCH($AQ232,$AP$12:$AP$263,0)), "-"),     TRUE, "0")</f>
        <v>0</v>
      </c>
      <c r="CW232" s="607">
        <f>IF(CV$9&gt;0, IF(OR(CV232="",CV232="-"), 0, CV232*$AT232), CU232*$AJ232)</f>
        <v>0</v>
      </c>
      <c r="CX232" s="589">
        <f>[1]COMMANDE!AY230</f>
        <v>0</v>
      </c>
      <c r="CY232" s="586" t="str">
        <f>_xlfn.IFS(AND($AI232=$AM232,$AI232&gt;0,$AM232&gt;0,CX232&gt;0), CX232,     AND(NOT($AI232=$AM232),$AI232&gt;0,$AM232&gt;0,CX232&gt;0), ($AM232*CX232)/$AI232,     AND($AI232=0,$AM232&gt;0,$AQ232&gt;0), IF(INDEX(CX$12:CX$263,MATCH($AQ232,$AP$12:$AP$263,0))&gt;0,($AM232*INDEX(CX$12:CX$263,MATCH($AQ232,$AP$12:$AP$263,0)))/INDEX($AI$12:$AI$263,MATCH($AQ232,$AP$12:$AP$263,0)), "-"),     TRUE, "0")</f>
        <v>0</v>
      </c>
      <c r="CZ232" s="588">
        <f>IF(CY$9&gt;0, IF(OR(CY232="",CY232="-"), 0, CY232*$AT232), CX232*$AJ232)</f>
        <v>0</v>
      </c>
      <c r="DA232" s="587">
        <f>[1]COMMANDE!BA230</f>
        <v>0</v>
      </c>
      <c r="DB232" s="586" t="str">
        <f>_xlfn.IFS(AND($AI232=$AM232,$AI232&gt;0,$AM232&gt;0,DA232&gt;0), DA232,     AND(NOT($AI232=$AM232),$AI232&gt;0,$AM232&gt;0,DA232&gt;0), ($AM232*DA232)/$AI232,     AND($AI232=0,$AM232&gt;0,$AQ232&gt;0), IF(INDEX(DA$12:DA$263,MATCH($AQ232,$AP$12:$AP$263,0))&gt;0,($AM232*INDEX(DA$12:DA$263,MATCH($AQ232,$AP$12:$AP$263,0)))/INDEX($AI$12:$AI$263,MATCH($AQ232,$AP$12:$AP$263,0)), "-"),     TRUE, "0")</f>
        <v>0</v>
      </c>
      <c r="DC232" s="606">
        <f>IF(DB$9&gt;0, IF(OR(DB232="",DB232="-"), 0, DB232*$AT232), DA232*$AJ232)</f>
        <v>0</v>
      </c>
      <c r="DD232" s="584"/>
      <c r="DE232" s="583"/>
    </row>
    <row r="233" spans="1:109" ht="39.950000000000003" hidden="1" customHeight="1">
      <c r="A233" s="604">
        <f>IF(OR($AV233&gt;0, $AX233&gt;0), 1, 0)</f>
        <v>0</v>
      </c>
      <c r="B233" s="604">
        <f>IF(OR($AY233&gt;0, $BA233&gt;0), 1, 0)</f>
        <v>0</v>
      </c>
      <c r="C233" s="604">
        <f>IF(OR($BB233&gt;0, $BD233&gt;0), 1, 0)</f>
        <v>0</v>
      </c>
      <c r="D233" s="604">
        <f>IF(OR($BE233&gt;0, $BG233&gt;0), 1, 0)</f>
        <v>0</v>
      </c>
      <c r="E233" s="604">
        <f>IF(OR($BH233&gt;0, $BJ233&gt;0), 1, 0)</f>
        <v>0</v>
      </c>
      <c r="F233" s="604">
        <f>IF(OR($BK233&gt;0, $BM233&gt;0), 1, 0)</f>
        <v>0</v>
      </c>
      <c r="G233" s="604">
        <f>IF(OR($BN233&gt;0, $BP233&gt;0), 1, 0)</f>
        <v>0</v>
      </c>
      <c r="H233" s="604">
        <f>IF(OR($BQ233&gt;0, $BS233&gt;0), 1, 0)</f>
        <v>0</v>
      </c>
      <c r="I233" s="604">
        <f>IF(OR($BT233&gt;0, $BV233&gt;0), 1, 0)</f>
        <v>0</v>
      </c>
      <c r="J233" s="604">
        <f>IF(OR($BW233&gt;0, $BY233&gt;0), 1, 0)</f>
        <v>0</v>
      </c>
      <c r="K233" s="604">
        <f>IF(OR($BZ233&gt;0, $CB233&gt;0), 1, 0)</f>
        <v>0</v>
      </c>
      <c r="L233" s="604">
        <f>IF(OR($CC233&gt;0, $CE233&gt;0), 1, 0)</f>
        <v>0</v>
      </c>
      <c r="M233" s="604">
        <f>IF(OR($CF233&gt;0, $CH233&gt;0), 1, 0)</f>
        <v>0</v>
      </c>
      <c r="N233" s="604">
        <f>IF(OR($CI233&gt;0, $CK233&gt;0), 1, 0)</f>
        <v>0</v>
      </c>
      <c r="O233" s="604">
        <f>IF(OR($CL233&gt;0, $CN233&gt;0), 1, 0)</f>
        <v>0</v>
      </c>
      <c r="P233" s="604">
        <f>IF(OR($CO233&gt;0, $CQ233&gt;0), 1, 0)</f>
        <v>0</v>
      </c>
      <c r="Q233" s="604">
        <f>IF(OR($CR233&gt;0, $CT233&gt;0), 1, 0)</f>
        <v>0</v>
      </c>
      <c r="R233" s="604">
        <f>IF(OR($CU233&gt;0, $CW233&gt;0), 1, 0)</f>
        <v>0</v>
      </c>
      <c r="S233" s="604">
        <f>IF(OR($CX233&gt;0, $CZ233&gt;0), 1, 0)</f>
        <v>0</v>
      </c>
      <c r="T233" s="604">
        <f>IF(OR($DA233&gt;0, $DC233&gt;0), 1, 0)</f>
        <v>0</v>
      </c>
      <c r="U233" s="603">
        <f>IF(OR($AI233&gt;0,$AM233&gt;0,$AS233&gt;0), 1, 0)</f>
        <v>0</v>
      </c>
      <c r="V233" s="602">
        <f>[1]BDD!A223</f>
        <v>3706</v>
      </c>
      <c r="W233" s="601" t="str">
        <f>[1]BDD!B223</f>
        <v>Pomme Reineta</v>
      </c>
      <c r="X233" s="600" t="str">
        <f>IF([1]BDD!F223=0, "", [1]BDD!F223)</f>
        <v/>
      </c>
      <c r="Y233" s="542">
        <f>ROUND([1]BDD!G223+FDP_CMD_KG, 2)</f>
        <v>4.95</v>
      </c>
      <c r="Z233" s="542">
        <f>ROUND([1]BDD!G223+FDP_FACT_KG, 2)</f>
        <v>4.95</v>
      </c>
      <c r="AA233" s="543" t="str">
        <f>[1]BDD!H223</f>
        <v>kg</v>
      </c>
      <c r="AB233" s="544">
        <f>IF(NOT(ISBLANK([1]BDD!I223)), ROUND(SUM(([1]BDD!G223*reduc1),FDP_CMD_KG), 2), "")</f>
        <v>4.55</v>
      </c>
      <c r="AC233" s="544" t="str">
        <f>IF(NOT(ISBLANK([1]BDD!J223)), ROUND(SUM(([1]BDD!G223*reduc2),FDP_CMD_KG), 2), "")</f>
        <v/>
      </c>
      <c r="AD233" s="544" t="str">
        <f>IF(NOT(ISBLANK([1]BDD!K223)), ROUND(SUM(([1]BDD!G223*reduc3),FDP_CMD_KG), 2), "")</f>
        <v/>
      </c>
      <c r="AE233" s="544">
        <f>IF(NOT(ISBLANK([1]BDD!I223)), ROUND(SUM(([1]BDD!G223*reduc1),FDP_FACT_KG), 2), "")</f>
        <v>4.54</v>
      </c>
      <c r="AF233" s="544" t="str">
        <f>IF(NOT(ISBLANK([1]BDD!J223)), ROUND(SUM(([1]BDD!G223*reduc2),FDP_FACT_KG), 2), "")</f>
        <v/>
      </c>
      <c r="AG233" s="544" t="str">
        <f>IF(NOT(ISBLANK([1]BDD!K223)), ROUND(SUM(([1]BDD!G223*reduc3),FDP_FACT_KG), 2), "")</f>
        <v/>
      </c>
      <c r="AH233" s="599" t="str">
        <f>[1]BDD!C223</f>
        <v>National</v>
      </c>
      <c r="AI233" s="598">
        <f>SUM(AV233,AY233,BB233,BE233,BH233,BK233,BN233,BQ233,BT233,BW233,BZ233,CC233,CF233,CI233,CL233,CO233,CR233,CU233,CX233,DA233)</f>
        <v>0</v>
      </c>
      <c r="AJ233" s="545">
        <f>_xlfn.IFS($AD233&lt;&gt;"", $AD233,    $AC233&lt;&gt;"", $AC233,    $AB233&lt;&gt;"", $AB233,    TRUE, $Y233)</f>
        <v>4.55</v>
      </c>
      <c r="AK233" s="592">
        <f>$AI233*$AJ233</f>
        <v>0</v>
      </c>
      <c r="AL233" s="594"/>
      <c r="AM233" s="597"/>
      <c r="AN233" s="545">
        <f>_xlfn.IFS(AND(AM233&gt;=60,$AG233&lt;&gt;""), $AG233,    AND(AM233&gt;=30,$AF233&lt;&gt;""), $AF233,    AND(AM233&gt;=10,$AE233&lt;&gt;""), $AE233,    TRUE, $Z233)</f>
        <v>4.95</v>
      </c>
      <c r="AO233" s="596">
        <f>AM233*AN233</f>
        <v>0</v>
      </c>
      <c r="AP233" s="595"/>
      <c r="AQ233" s="595"/>
      <c r="AR233" s="594"/>
      <c r="AS233" s="593">
        <f>SUM(AW233,AZ233,BC233,BF233,BI233,BL233,BO233,BR233,BU233,BX233,CA233,CD233,CG233,CJ233,CM233,CP233,CS233,CV233,CY233,DB233)</f>
        <v>0</v>
      </c>
      <c r="AT233" s="545">
        <f>_xlfn.IFS(AND(AS233&gt;=60,$AG233&lt;&gt;""), $AG233,    AND(AS233&gt;=30,$AF233&lt;&gt;""), $AF233,    AND(AS233&gt;=10,$AE233&lt;&gt;""), $AE233,    TRUE, $Z233)</f>
        <v>4.95</v>
      </c>
      <c r="AU233" s="592">
        <f>$AS233*$AT233</f>
        <v>0</v>
      </c>
      <c r="AV233" s="591">
        <f>[1]COMMANDE!O231</f>
        <v>0</v>
      </c>
      <c r="AW233" s="586" t="str">
        <f>_xlfn.IFS(AND($AI233=$AM233,$AI233&gt;0,$AM233&gt;0,AV233&gt;0), AV233,     AND(NOT($AI233=$AM233),$AI233&gt;0,$AM233&gt;0,AV233&gt;0), ($AM233*AV233)/$AI233,     AND($AI233=0,$AM233&gt;0,$AQ233&gt;0), IF(INDEX(AV$12:AV$263,MATCH($AQ233,$AP$12:$AP$263,0))&gt;0,($AM233*INDEX(AV$12:AV$263,MATCH($AQ233,$AP$12:$AP$263,0)))/INDEX($AI$12:$AI$263,MATCH($AQ233,$AP$12:$AP$263,0)), "-"),     TRUE, "0")</f>
        <v>0</v>
      </c>
      <c r="AX233" s="588">
        <f>IF(AW$9&gt;0, IF(OR(AW233="",AW233="-"), 0, AW233*$AT233), AV233*$AJ233)</f>
        <v>0</v>
      </c>
      <c r="AY233" s="587">
        <f>[1]COMMANDE!Q231</f>
        <v>0</v>
      </c>
      <c r="AZ233" s="586" t="str">
        <f>_xlfn.IFS(AND($AI233=$AM233,$AI233&gt;0,$AM233&gt;0,AY233&gt;0), AY233,     AND(NOT($AI233=$AM233),$AI233&gt;0,$AM233&gt;0,AY233&gt;0), ($AM233*AY233)/$AI233,     AND($AI233=0,$AM233&gt;0,$AQ233&gt;0), IF(INDEX(AY$12:AY$263,MATCH($AQ233,$AP$12:$AP$263,0))&gt;0,($AM233*INDEX(AY$12:AY$263,MATCH($AQ233,$AP$12:$AP$263,0)))/INDEX($AI$12:$AI$263,MATCH($AQ233,$AP$12:$AP$263,0)), "-"),     TRUE, "0")</f>
        <v>0</v>
      </c>
      <c r="BA233" s="607">
        <f>IF(AZ$9&gt;0, IF(OR(AZ233="",AZ233="-"), 0, AZ233*$AT233), AY233*$AJ233)</f>
        <v>0</v>
      </c>
      <c r="BB233" s="589">
        <f>[1]COMMANDE!S231</f>
        <v>0</v>
      </c>
      <c r="BC233" s="586" t="str">
        <f>_xlfn.IFS(AND($AI233=$AM233,$AI233&gt;0,$AM233&gt;0,BB233&gt;0), BB233,     AND(NOT($AI233=$AM233),$AI233&gt;0,$AM233&gt;0,BB233&gt;0), ($AM233*BB233)/$AI233,     AND($AI233=0,$AM233&gt;0,$AQ233&gt;0), IF(INDEX(BB$12:BB$263,MATCH($AQ233,$AP$12:$AP$263,0))&gt;0,($AM233*INDEX(BB$12:BB$263,MATCH($AQ233,$AP$12:$AP$263,0)))/INDEX($AI$12:$AI$263,MATCH($AQ233,$AP$12:$AP$263,0)), "-"),     TRUE, "0")</f>
        <v>0</v>
      </c>
      <c r="BD233" s="588">
        <f>IF(BC$9&gt;0, IF(OR(BC233="",BC233="-"), 0, BC233*$AT233), BB233*$AJ233)</f>
        <v>0</v>
      </c>
      <c r="BE233" s="587">
        <f>[1]COMMANDE!U231</f>
        <v>0</v>
      </c>
      <c r="BF233" s="586" t="str">
        <f>_xlfn.IFS(AND($AI233=$AM233,$AI233&gt;0,$AM233&gt;0,BE233&gt;0), BE233,     AND(NOT($AI233=$AM233),$AI233&gt;0,$AM233&gt;0,BE233&gt;0), ($AM233*BE233)/$AI233,     AND($AI233=0,$AM233&gt;0,$AQ233&gt;0), IF(INDEX(BE$12:BE$263,MATCH($AQ233,$AP$12:$AP$263,0))&gt;0,($AM233*INDEX(BE$12:BE$263,MATCH($AQ233,$AP$12:$AP$263,0)))/INDEX($AI$12:$AI$263,MATCH($AQ233,$AP$12:$AP$263,0)), "-"),     TRUE, "0")</f>
        <v>0</v>
      </c>
      <c r="BG233" s="607">
        <f>IF(BF$9&gt;0, IF(OR(BF233="",BF233="-"), 0, BF233*$AT233), BE233*$AJ233)</f>
        <v>0</v>
      </c>
      <c r="BH233" s="589">
        <f>[1]COMMANDE!W231</f>
        <v>0</v>
      </c>
      <c r="BI233" s="586" t="str">
        <f>_xlfn.IFS(AND($AI233=$AM233,$AI233&gt;0,$AM233&gt;0,BH233&gt;0), BH233,     AND(NOT($AI233=$AM233),$AI233&gt;0,$AM233&gt;0,BH233&gt;0), ($AM233*BH233)/$AI233,     AND($AI233=0,$AM233&gt;0,$AQ233&gt;0), IF(INDEX(BH$12:BH$263,MATCH($AQ233,$AP$12:$AP$263,0))&gt;0,($AM233*INDEX(BH$12:BH$263,MATCH($AQ233,$AP$12:$AP$263,0)))/INDEX($AI$12:$AI$263,MATCH($AQ233,$AP$12:$AP$263,0)), "-"),     TRUE, "0")</f>
        <v>0</v>
      </c>
      <c r="BJ233" s="588">
        <f>IF(BI$9&gt;0, IF(OR(BI233="",BI233="-"), 0, BI233*$AT233), BH233*$AJ233)</f>
        <v>0</v>
      </c>
      <c r="BK233" s="587">
        <f>[1]COMMANDE!Y231</f>
        <v>0</v>
      </c>
      <c r="BL233" s="586" t="str">
        <f>_xlfn.IFS(AND($AI233=$AM233,$AI233&gt;0,$AM233&gt;0,BK233&gt;0), BK233,     AND(NOT($AI233=$AM233),$AI233&gt;0,$AM233&gt;0,BK233&gt;0), ($AM233*BK233)/$AI233,     AND($AI233=0,$AM233&gt;0,$AQ233&gt;0), IF(INDEX(BK$12:BK$263,MATCH($AQ233,$AP$12:$AP$263,0))&gt;0,($AM233*INDEX(BK$12:BK$263,MATCH($AQ233,$AP$12:$AP$263,0)))/INDEX($AI$12:$AI$263,MATCH($AQ233,$AP$12:$AP$263,0)), "-"),     TRUE, "0")</f>
        <v>0</v>
      </c>
      <c r="BM233" s="607">
        <f>IF(BL$9&gt;0, IF(OR(BL233="",BL233="-"), 0, BL233*$AT233), BK233*$AJ233)</f>
        <v>0</v>
      </c>
      <c r="BN233" s="589">
        <f>[1]COMMANDE!AA231</f>
        <v>0</v>
      </c>
      <c r="BO233" s="586" t="str">
        <f>_xlfn.IFS(AND($AI233=$AM233,$AI233&gt;0,$AM233&gt;0,BN233&gt;0), BN233,     AND(NOT($AI233=$AM233),$AI233&gt;0,$AM233&gt;0,BN233&gt;0), ($AM233*BN233)/$AI233,     AND($AI233=0,$AM233&gt;0,$AQ233&gt;0), IF(INDEX(BN$12:BN$263,MATCH($AQ233,$AP$12:$AP$263,0))&gt;0,($AM233*INDEX(BN$12:BN$263,MATCH($AQ233,$AP$12:$AP$263,0)))/INDEX($AI$12:$AI$263,MATCH($AQ233,$AP$12:$AP$263,0)), "-"),     TRUE, "0")</f>
        <v>0</v>
      </c>
      <c r="BP233" s="588">
        <f>IF(BO$9&gt;0, IF(OR(BO233="",BO233="-"), 0, BO233*$AT233), BN233*$AJ233)</f>
        <v>0</v>
      </c>
      <c r="BQ233" s="587">
        <f>[1]COMMANDE!AC231</f>
        <v>0</v>
      </c>
      <c r="BR233" s="586" t="str">
        <f>_xlfn.IFS(AND($AI233=$AM233,$AI233&gt;0,$AM233&gt;0,BQ233&gt;0), BQ233,     AND(NOT($AI233=$AM233),$AI233&gt;0,$AM233&gt;0,BQ233&gt;0), ($AM233*BQ233)/$AI233,     AND($AI233=0,$AM233&gt;0,$AQ233&gt;0), IF(INDEX(BQ$12:BQ$263,MATCH($AQ233,$AP$12:$AP$263,0))&gt;0,($AM233*INDEX(BQ$12:BQ$263,MATCH($AQ233,$AP$12:$AP$263,0)))/INDEX($AI$12:$AI$263,MATCH($AQ233,$AP$12:$AP$263,0)), "-"),     TRUE, "0")</f>
        <v>0</v>
      </c>
      <c r="BS233" s="607">
        <f>IF(BR$9&gt;0, IF(OR(BR233="",BR233="-"), 0, BR233*$AT233), BQ233*$AJ233)</f>
        <v>0</v>
      </c>
      <c r="BT233" s="589">
        <f>[1]COMMANDE!AE231</f>
        <v>0</v>
      </c>
      <c r="BU233" s="586" t="str">
        <f>_xlfn.IFS(AND($AI233=$AM233,$AI233&gt;0,$AM233&gt;0,BT233&gt;0), BT233,     AND(NOT($AI233=$AM233),$AI233&gt;0,$AM233&gt;0,BT233&gt;0), ($AM233*BT233)/$AI233,     AND($AI233=0,$AM233&gt;0,$AQ233&gt;0), IF(INDEX(BT$12:BT$263,MATCH($AQ233,$AP$12:$AP$263,0))&gt;0,($AM233*INDEX(BT$12:BT$263,MATCH($AQ233,$AP$12:$AP$263,0)))/INDEX($AI$12:$AI$263,MATCH($AQ233,$AP$12:$AP$263,0)), "-"),     TRUE, "0")</f>
        <v>0</v>
      </c>
      <c r="BV233" s="588">
        <f>IF(BU$9&gt;0, IF(OR(BU233="",BU233="-"), 0, BU233*$AT233), BT233*$AJ233)</f>
        <v>0</v>
      </c>
      <c r="BW233" s="587">
        <f>[1]COMMANDE!AG231</f>
        <v>0</v>
      </c>
      <c r="BX233" s="586" t="str">
        <f>_xlfn.IFS(AND($AI233=$AM233,$AI233&gt;0,$AM233&gt;0,BW233&gt;0), BW233,     AND(NOT($AI233=$AM233),$AI233&gt;0,$AM233&gt;0,BW233&gt;0), ($AM233*BW233)/$AI233,     AND($AI233=0,$AM233&gt;0,$AQ233&gt;0), IF(INDEX(BW$12:BW$263,MATCH($AQ233,$AP$12:$AP$263,0))&gt;0,($AM233*INDEX(BW$12:BW$263,MATCH($AQ233,$AP$12:$AP$263,0)))/INDEX($AI$12:$AI$263,MATCH($AQ233,$AP$12:$AP$263,0)), "-"),     TRUE, "0")</f>
        <v>0</v>
      </c>
      <c r="BY233" s="607">
        <f>IF(BX$9&gt;0, IF(OR(BX233="",BX233="-"), 0, BX233*$AT233), BW233*$AJ233)</f>
        <v>0</v>
      </c>
      <c r="BZ233" s="589">
        <f>[1]COMMANDE!AI231</f>
        <v>0</v>
      </c>
      <c r="CA233" s="586" t="str">
        <f>_xlfn.IFS(AND($AI233=$AM233,$AI233&gt;0,$AM233&gt;0,BZ233&gt;0), BZ233,     AND(NOT($AI233=$AM233),$AI233&gt;0,$AM233&gt;0,BZ233&gt;0), ($AM233*BZ233)/$AI233,     AND($AI233=0,$AM233&gt;0,$AQ233&gt;0), IF(INDEX(BZ$12:BZ$263,MATCH($AQ233,$AP$12:$AP$263,0))&gt;0,($AM233*INDEX(BZ$12:BZ$263,MATCH($AQ233,$AP$12:$AP$263,0)))/INDEX($AI$12:$AI$263,MATCH($AQ233,$AP$12:$AP$263,0)), "-"),     TRUE, "0")</f>
        <v>0</v>
      </c>
      <c r="CB233" s="588">
        <f>IF(CA$9&gt;0, IF(OR(CA233="",CA233="-"), 0, CA233*$AT233), BZ233*$AJ233)</f>
        <v>0</v>
      </c>
      <c r="CC233" s="587">
        <f>[1]COMMANDE!AK231</f>
        <v>0</v>
      </c>
      <c r="CD233" s="586" t="str">
        <f>_xlfn.IFS(AND($AI233=$AM233,$AI233&gt;0,$AM233&gt;0,CC233&gt;0), CC233,     AND(NOT($AI233=$AM233),$AI233&gt;0,$AM233&gt;0,CC233&gt;0), ($AM233*CC233)/$AI233,     AND($AI233=0,$AM233&gt;0,$AQ233&gt;0), IF(INDEX(CC$12:CC$263,MATCH($AQ233,$AP$12:$AP$263,0))&gt;0,($AM233*INDEX(CC$12:CC$263,MATCH($AQ233,$AP$12:$AP$263,0)))/INDEX($AI$12:$AI$263,MATCH($AQ233,$AP$12:$AP$263,0)), "-"),     TRUE, "0")</f>
        <v>0</v>
      </c>
      <c r="CE233" s="607">
        <f>IF(CD$9&gt;0, IF(OR(CD233="",CD233="-"), 0, CD233*$AT233), CC233*$AJ233)</f>
        <v>0</v>
      </c>
      <c r="CF233" s="589">
        <f>[1]COMMANDE!AM231</f>
        <v>0</v>
      </c>
      <c r="CG233" s="586" t="str">
        <f>_xlfn.IFS(AND($AI233=$AM233,$AI233&gt;0,$AM233&gt;0,CF233&gt;0), CF233,     AND(NOT($AI233=$AM233),$AI233&gt;0,$AM233&gt;0,CF233&gt;0), ($AM233*CF233)/$AI233,     AND($AI233=0,$AM233&gt;0,$AQ233&gt;0), IF(INDEX(CF$12:CF$263,MATCH($AQ233,$AP$12:$AP$263,0))&gt;0,($AM233*INDEX(CF$12:CF$263,MATCH($AQ233,$AP$12:$AP$263,0)))/INDEX($AI$12:$AI$263,MATCH($AQ233,$AP$12:$AP$263,0)), "-"),     TRUE, "0")</f>
        <v>0</v>
      </c>
      <c r="CH233" s="588">
        <f>IF(CG$9&gt;0, IF(OR(CG233="",CG233="-"), 0, CG233*$AT233), CF233*$AJ233)</f>
        <v>0</v>
      </c>
      <c r="CI233" s="587">
        <f>[1]COMMANDE!AO231</f>
        <v>0</v>
      </c>
      <c r="CJ233" s="586" t="str">
        <f>_xlfn.IFS(AND($AI233=$AM233,$AI233&gt;0,$AM233&gt;0,CI233&gt;0), CI233,     AND(NOT($AI233=$AM233),$AI233&gt;0,$AM233&gt;0,CI233&gt;0), ($AM233*CI233)/$AI233,     AND($AI233=0,$AM233&gt;0,$AQ233&gt;0), IF(INDEX(CI$12:CI$263,MATCH($AQ233,$AP$12:$AP$263,0))&gt;0,($AM233*INDEX(CI$12:CI$263,MATCH($AQ233,$AP$12:$AP$263,0)))/INDEX($AI$12:$AI$263,MATCH($AQ233,$AP$12:$AP$263,0)), "-"),     TRUE, "0")</f>
        <v>0</v>
      </c>
      <c r="CK233" s="607">
        <f>IF(CJ$9&gt;0, IF(OR(CJ233="",CJ233="-"), 0, CJ233*$AT233), CI233*$AJ233)</f>
        <v>0</v>
      </c>
      <c r="CL233" s="589">
        <f>[1]COMMANDE!AQ231</f>
        <v>0</v>
      </c>
      <c r="CM233" s="586" t="str">
        <f>_xlfn.IFS(AND($AI233=$AM233,$AI233&gt;0,$AM233&gt;0,CL233&gt;0), CL233,     AND(NOT($AI233=$AM233),$AI233&gt;0,$AM233&gt;0,CL233&gt;0), ($AM233*CL233)/$AI233,     AND($AI233=0,$AM233&gt;0,$AQ233&gt;0), IF(INDEX(CL$12:CL$263,MATCH($AQ233,$AP$12:$AP$263,0))&gt;0,($AM233*INDEX(CL$12:CL$263,MATCH($AQ233,$AP$12:$AP$263,0)))/INDEX($AI$12:$AI$263,MATCH($AQ233,$AP$12:$AP$263,0)), "-"),     TRUE, "0")</f>
        <v>0</v>
      </c>
      <c r="CN233" s="588">
        <f>IF(CM$9&gt;0, IF(OR(CM233="",CM233="-"), 0, CM233*$AT233), CL233*$AJ233)</f>
        <v>0</v>
      </c>
      <c r="CO233" s="587">
        <f>[1]COMMANDE!AS231</f>
        <v>0</v>
      </c>
      <c r="CP233" s="586" t="str">
        <f>_xlfn.IFS(AND($AI233=$AM233,$AI233&gt;0,$AM233&gt;0,CO233&gt;0), CO233,     AND(NOT($AI233=$AM233),$AI233&gt;0,$AM233&gt;0,CO233&gt;0), ($AM233*CO233)/$AI233,     AND($AI233=0,$AM233&gt;0,$AQ233&gt;0), IF(INDEX(CO$12:CO$263,MATCH($AQ233,$AP$12:$AP$263,0))&gt;0,($AM233*INDEX(CO$12:CO$263,MATCH($AQ233,$AP$12:$AP$263,0)))/INDEX($AI$12:$AI$263,MATCH($AQ233,$AP$12:$AP$263,0)), "-"),     TRUE, "0")</f>
        <v>0</v>
      </c>
      <c r="CQ233" s="607">
        <f>IF(CP$9&gt;0, IF(OR(CP233="",CP233="-"), 0, CP233*$AT233), CO233*$AJ233)</f>
        <v>0</v>
      </c>
      <c r="CR233" s="589">
        <f>[1]COMMANDE!AU231</f>
        <v>0</v>
      </c>
      <c r="CS233" s="586" t="str">
        <f>_xlfn.IFS(AND($AI233=$AM233,$AI233&gt;0,$AM233&gt;0,CR233&gt;0), CR233,     AND(NOT($AI233=$AM233),$AI233&gt;0,$AM233&gt;0,CR233&gt;0), ($AM233*CR233)/$AI233,     AND($AI233=0,$AM233&gt;0,$AQ233&gt;0), IF(INDEX(CR$12:CR$263,MATCH($AQ233,$AP$12:$AP$263,0))&gt;0,($AM233*INDEX(CR$12:CR$263,MATCH($AQ233,$AP$12:$AP$263,0)))/INDEX($AI$12:$AI$263,MATCH($AQ233,$AP$12:$AP$263,0)), "-"),     TRUE, "0")</f>
        <v>0</v>
      </c>
      <c r="CT233" s="588">
        <f>IF(CS$9&gt;0, IF(OR(CS233="",CS233="-"), 0, CS233*$AT233), CR233*$AJ233)</f>
        <v>0</v>
      </c>
      <c r="CU233" s="587">
        <f>[1]COMMANDE!AW231</f>
        <v>0</v>
      </c>
      <c r="CV233" s="586" t="str">
        <f>_xlfn.IFS(AND($AI233=$AM233,$AI233&gt;0,$AM233&gt;0,CU233&gt;0), CU233,     AND(NOT($AI233=$AM233),$AI233&gt;0,$AM233&gt;0,CU233&gt;0), ($AM233*CU233)/$AI233,     AND($AI233=0,$AM233&gt;0,$AQ233&gt;0), IF(INDEX(CU$12:CU$263,MATCH($AQ233,$AP$12:$AP$263,0))&gt;0,($AM233*INDEX(CU$12:CU$263,MATCH($AQ233,$AP$12:$AP$263,0)))/INDEX($AI$12:$AI$263,MATCH($AQ233,$AP$12:$AP$263,0)), "-"),     TRUE, "0")</f>
        <v>0</v>
      </c>
      <c r="CW233" s="607">
        <f>IF(CV$9&gt;0, IF(OR(CV233="",CV233="-"), 0, CV233*$AT233), CU233*$AJ233)</f>
        <v>0</v>
      </c>
      <c r="CX233" s="589">
        <f>[1]COMMANDE!AY231</f>
        <v>0</v>
      </c>
      <c r="CY233" s="586" t="str">
        <f>_xlfn.IFS(AND($AI233=$AM233,$AI233&gt;0,$AM233&gt;0,CX233&gt;0), CX233,     AND(NOT($AI233=$AM233),$AI233&gt;0,$AM233&gt;0,CX233&gt;0), ($AM233*CX233)/$AI233,     AND($AI233=0,$AM233&gt;0,$AQ233&gt;0), IF(INDEX(CX$12:CX$263,MATCH($AQ233,$AP$12:$AP$263,0))&gt;0,($AM233*INDEX(CX$12:CX$263,MATCH($AQ233,$AP$12:$AP$263,0)))/INDEX($AI$12:$AI$263,MATCH($AQ233,$AP$12:$AP$263,0)), "-"),     TRUE, "0")</f>
        <v>0</v>
      </c>
      <c r="CZ233" s="588">
        <f>IF(CY$9&gt;0, IF(OR(CY233="",CY233="-"), 0, CY233*$AT233), CX233*$AJ233)</f>
        <v>0</v>
      </c>
      <c r="DA233" s="587">
        <f>[1]COMMANDE!BA231</f>
        <v>0</v>
      </c>
      <c r="DB233" s="586" t="str">
        <f>_xlfn.IFS(AND($AI233=$AM233,$AI233&gt;0,$AM233&gt;0,DA233&gt;0), DA233,     AND(NOT($AI233=$AM233),$AI233&gt;0,$AM233&gt;0,DA233&gt;0), ($AM233*DA233)/$AI233,     AND($AI233=0,$AM233&gt;0,$AQ233&gt;0), IF(INDEX(DA$12:DA$263,MATCH($AQ233,$AP$12:$AP$263,0))&gt;0,($AM233*INDEX(DA$12:DA$263,MATCH($AQ233,$AP$12:$AP$263,0)))/INDEX($AI$12:$AI$263,MATCH($AQ233,$AP$12:$AP$263,0)), "-"),     TRUE, "0")</f>
        <v>0</v>
      </c>
      <c r="DC233" s="606">
        <f>IF(DB$9&gt;0, IF(OR(DB233="",DB233="-"), 0, DB233*$AT233), DA233*$AJ233)</f>
        <v>0</v>
      </c>
      <c r="DD233" s="584"/>
      <c r="DE233" s="583"/>
    </row>
    <row r="234" spans="1:109" ht="39.950000000000003" customHeight="1">
      <c r="A234" s="604">
        <f>IF(OR($AV234&gt;0, $AX234&gt;0), 1, 0)</f>
        <v>1</v>
      </c>
      <c r="B234" s="604">
        <f>IF(OR($AY234&gt;0, $BA234&gt;0), 1, 0)</f>
        <v>0</v>
      </c>
      <c r="C234" s="604">
        <f>IF(OR($BB234&gt;0, $BD234&gt;0), 1, 0)</f>
        <v>0</v>
      </c>
      <c r="D234" s="604">
        <f>IF(OR($BE234&gt;0, $BG234&gt;0), 1, 0)</f>
        <v>0</v>
      </c>
      <c r="E234" s="604">
        <f>IF(OR($BH234&gt;0, $BJ234&gt;0), 1, 0)</f>
        <v>0</v>
      </c>
      <c r="F234" s="604">
        <f>IF(OR($BK234&gt;0, $BM234&gt;0), 1, 0)</f>
        <v>0</v>
      </c>
      <c r="G234" s="604">
        <f>IF(OR($BN234&gt;0, $BP234&gt;0), 1, 0)</f>
        <v>0</v>
      </c>
      <c r="H234" s="604">
        <f>IF(OR($BQ234&gt;0, $BS234&gt;0), 1, 0)</f>
        <v>0</v>
      </c>
      <c r="I234" s="604">
        <f>IF(OR($BT234&gt;0, $BV234&gt;0), 1, 0)</f>
        <v>0</v>
      </c>
      <c r="J234" s="604">
        <f>IF(OR($BW234&gt;0, $BY234&gt;0), 1, 0)</f>
        <v>0</v>
      </c>
      <c r="K234" s="604">
        <f>IF(OR($BZ234&gt;0, $CB234&gt;0), 1, 0)</f>
        <v>0</v>
      </c>
      <c r="L234" s="604">
        <f>IF(OR($CC234&gt;0, $CE234&gt;0), 1, 0)</f>
        <v>0</v>
      </c>
      <c r="M234" s="604">
        <f>IF(OR($CF234&gt;0, $CH234&gt;0), 1, 0)</f>
        <v>0</v>
      </c>
      <c r="N234" s="604">
        <f>IF(OR($CI234&gt;0, $CK234&gt;0), 1, 0)</f>
        <v>0</v>
      </c>
      <c r="O234" s="604">
        <f>IF(OR($CL234&gt;0, $CN234&gt;0), 1, 0)</f>
        <v>0</v>
      </c>
      <c r="P234" s="604">
        <f>IF(OR($CO234&gt;0, $CQ234&gt;0), 1, 0)</f>
        <v>0</v>
      </c>
      <c r="Q234" s="604">
        <f>IF(OR($CR234&gt;0, $CT234&gt;0), 1, 0)</f>
        <v>0</v>
      </c>
      <c r="R234" s="604">
        <f>IF(OR($CU234&gt;0, $CW234&gt;0), 1, 0)</f>
        <v>0</v>
      </c>
      <c r="S234" s="604">
        <f>IF(OR($CX234&gt;0, $CZ234&gt;0), 1, 0)</f>
        <v>0</v>
      </c>
      <c r="T234" s="604">
        <f>IF(OR($DA234&gt;0, $DC234&gt;0), 1, 0)</f>
        <v>0</v>
      </c>
      <c r="U234" s="603">
        <f>IF(OR($AI234&gt;0,$AM234&gt;0,$AS234&gt;0), 1, 0)</f>
        <v>1</v>
      </c>
      <c r="V234" s="602">
        <f>[1]BDD!A224</f>
        <v>3145</v>
      </c>
      <c r="W234" s="601" t="str">
        <f>[1]BDD!B224</f>
        <v>Pomme rouge Starky</v>
      </c>
      <c r="X234" s="600" t="str">
        <f>IF([1]BDD!F224=0, "", [1]BDD!F224)</f>
        <v>❤️</v>
      </c>
      <c r="Y234" s="542">
        <f>ROUND([1]BDD!G224+FDP_CMD_KG, 2)</f>
        <v>3.05</v>
      </c>
      <c r="Z234" s="542">
        <f>ROUND([1]BDD!G224+FDP_FACT_KG, 2)</f>
        <v>3.05</v>
      </c>
      <c r="AA234" s="543" t="str">
        <f>[1]BDD!H224</f>
        <v>kg</v>
      </c>
      <c r="AB234" s="544">
        <f>IF(NOT(ISBLANK([1]BDD!I224)), ROUND(SUM(([1]BDD!G224*reduc1),FDP_CMD_KG), 2), "")</f>
        <v>2.84</v>
      </c>
      <c r="AC234" s="544">
        <f>IF(NOT(ISBLANK([1]BDD!J224)), ROUND(SUM(([1]BDD!G224*reduc2),FDP_CMD_KG), 2), "")</f>
        <v>2.62</v>
      </c>
      <c r="AD234" s="544">
        <f>IF(NOT(ISBLANK([1]BDD!K224)), ROUND(SUM(([1]BDD!G224*reduc3),FDP_CMD_KG), 2), "")</f>
        <v>2.4</v>
      </c>
      <c r="AE234" s="544">
        <f>IF(NOT(ISBLANK([1]BDD!I224)), ROUND(SUM(([1]BDD!G224*reduc1),FDP_FACT_KG), 2), "")</f>
        <v>2.83</v>
      </c>
      <c r="AF234" s="544">
        <f>IF(NOT(ISBLANK([1]BDD!J224)), ROUND(SUM(([1]BDD!G224*reduc2),FDP_FACT_KG), 2), "")</f>
        <v>2.61</v>
      </c>
      <c r="AG234" s="544">
        <f>IF(NOT(ISBLANK([1]BDD!K224)), ROUND(SUM(([1]BDD!G224*reduc3),FDP_FACT_KG), 2), "")</f>
        <v>2.39</v>
      </c>
      <c r="AH234" s="599" t="str">
        <f>[1]BDD!C224</f>
        <v>Grenade</v>
      </c>
      <c r="AI234" s="598">
        <f>SUM(AV234,AY234,BB234,BE234,BH234,BK234,BN234,BQ234,BT234,BW234,BZ234,CC234,CF234,CI234,CL234,CO234,CR234,CU234,CX234,DA234)</f>
        <v>5</v>
      </c>
      <c r="AJ234" s="545">
        <f>_xlfn.IFS($AD234&lt;&gt;"", $AD234,    $AC234&lt;&gt;"", $AC234,    $AB234&lt;&gt;"", $AB234,    TRUE, $Y234)</f>
        <v>2.4</v>
      </c>
      <c r="AK234" s="592">
        <f>$AI234*$AJ234</f>
        <v>12</v>
      </c>
      <c r="AL234" s="594"/>
      <c r="AM234" s="597">
        <v>5</v>
      </c>
      <c r="AN234" s="545">
        <f>_xlfn.IFS(AND(AM234&gt;=60,$AG234&lt;&gt;""), $AG234,    AND(AM234&gt;=30,$AF234&lt;&gt;""), $AF234,    AND(AM234&gt;=10,$AE234&lt;&gt;""), $AE234,    TRUE, $Z234)</f>
        <v>3.05</v>
      </c>
      <c r="AO234" s="596">
        <f>AM234*AN234</f>
        <v>15.25</v>
      </c>
      <c r="AP234" s="595"/>
      <c r="AQ234" s="595"/>
      <c r="AR234" s="594"/>
      <c r="AS234" s="593">
        <f>SUM(AW234,AZ234,BC234,BF234,BI234,BL234,BO234,BR234,BU234,BX234,CA234,CD234,CG234,CJ234,CM234,CP234,CS234,CV234,CY234,DB234)</f>
        <v>5</v>
      </c>
      <c r="AT234" s="545">
        <f>_xlfn.IFS(AND(AS234&gt;=60,$AG234&lt;&gt;""), $AG234,    AND(AS234&gt;=30,$AF234&lt;&gt;""), $AF234,    AND(AS234&gt;=10,$AE234&lt;&gt;""), $AE234,    TRUE, $Z234)</f>
        <v>3.05</v>
      </c>
      <c r="AU234" s="592">
        <f>$AS234*$AT234</f>
        <v>15.25</v>
      </c>
      <c r="AV234" s="591">
        <f>[1]COMMANDE!O232</f>
        <v>5</v>
      </c>
      <c r="AW234" s="586">
        <f>_xlfn.IFS(AND($AI234=$AM234,$AI234&gt;0,$AM234&gt;0,AV234&gt;0), AV234,     AND(NOT($AI234=$AM234),$AI234&gt;0,$AM234&gt;0,AV234&gt;0), ($AM234*AV234)/$AI234,     AND($AI234=0,$AM234&gt;0,$AQ234&gt;0), IF(INDEX(AV$12:AV$263,MATCH($AQ234,$AP$12:$AP$263,0))&gt;0,($AM234*INDEX(AV$12:AV$263,MATCH($AQ234,$AP$12:$AP$263,0)))/INDEX($AI$12:$AI$263,MATCH($AQ234,$AP$12:$AP$263,0)), "-"),     TRUE, "0")</f>
        <v>5</v>
      </c>
      <c r="AX234" s="588">
        <f>IF(AW$9&gt;0, IF(OR(AW234="",AW234="-"), 0, AW234*$AT234), AV234*$AJ234)</f>
        <v>15.25</v>
      </c>
      <c r="AY234" s="587">
        <f>[1]COMMANDE!Q232</f>
        <v>0</v>
      </c>
      <c r="AZ234" s="586" t="str">
        <f>_xlfn.IFS(AND($AI234=$AM234,$AI234&gt;0,$AM234&gt;0,AY234&gt;0), AY234,     AND(NOT($AI234=$AM234),$AI234&gt;0,$AM234&gt;0,AY234&gt;0), ($AM234*AY234)/$AI234,     AND($AI234=0,$AM234&gt;0,$AQ234&gt;0), IF(INDEX(AY$12:AY$263,MATCH($AQ234,$AP$12:$AP$263,0))&gt;0,($AM234*INDEX(AY$12:AY$263,MATCH($AQ234,$AP$12:$AP$263,0)))/INDEX($AI$12:$AI$263,MATCH($AQ234,$AP$12:$AP$263,0)), "-"),     TRUE, "0")</f>
        <v>0</v>
      </c>
      <c r="BA234" s="607">
        <f>IF(AZ$9&gt;0, IF(OR(AZ234="",AZ234="-"), 0, AZ234*$AT234), AY234*$AJ234)</f>
        <v>0</v>
      </c>
      <c r="BB234" s="589">
        <f>[1]COMMANDE!S232</f>
        <v>0</v>
      </c>
      <c r="BC234" s="586" t="str">
        <f>_xlfn.IFS(AND($AI234=$AM234,$AI234&gt;0,$AM234&gt;0,BB234&gt;0), BB234,     AND(NOT($AI234=$AM234),$AI234&gt;0,$AM234&gt;0,BB234&gt;0), ($AM234*BB234)/$AI234,     AND($AI234=0,$AM234&gt;0,$AQ234&gt;0), IF(INDEX(BB$12:BB$263,MATCH($AQ234,$AP$12:$AP$263,0))&gt;0,($AM234*INDEX(BB$12:BB$263,MATCH($AQ234,$AP$12:$AP$263,0)))/INDEX($AI$12:$AI$263,MATCH($AQ234,$AP$12:$AP$263,0)), "-"),     TRUE, "0")</f>
        <v>0</v>
      </c>
      <c r="BD234" s="588">
        <f>IF(BC$9&gt;0, IF(OR(BC234="",BC234="-"), 0, BC234*$AT234), BB234*$AJ234)</f>
        <v>0</v>
      </c>
      <c r="BE234" s="587">
        <f>[1]COMMANDE!U232</f>
        <v>0</v>
      </c>
      <c r="BF234" s="586" t="str">
        <f>_xlfn.IFS(AND($AI234=$AM234,$AI234&gt;0,$AM234&gt;0,BE234&gt;0), BE234,     AND(NOT($AI234=$AM234),$AI234&gt;0,$AM234&gt;0,BE234&gt;0), ($AM234*BE234)/$AI234,     AND($AI234=0,$AM234&gt;0,$AQ234&gt;0), IF(INDEX(BE$12:BE$263,MATCH($AQ234,$AP$12:$AP$263,0))&gt;0,($AM234*INDEX(BE$12:BE$263,MATCH($AQ234,$AP$12:$AP$263,0)))/INDEX($AI$12:$AI$263,MATCH($AQ234,$AP$12:$AP$263,0)), "-"),     TRUE, "0")</f>
        <v>0</v>
      </c>
      <c r="BG234" s="607">
        <f>IF(BF$9&gt;0, IF(OR(BF234="",BF234="-"), 0, BF234*$AT234), BE234*$AJ234)</f>
        <v>0</v>
      </c>
      <c r="BH234" s="589">
        <f>[1]COMMANDE!W232</f>
        <v>0</v>
      </c>
      <c r="BI234" s="586" t="str">
        <f>_xlfn.IFS(AND($AI234=$AM234,$AI234&gt;0,$AM234&gt;0,BH234&gt;0), BH234,     AND(NOT($AI234=$AM234),$AI234&gt;0,$AM234&gt;0,BH234&gt;0), ($AM234*BH234)/$AI234,     AND($AI234=0,$AM234&gt;0,$AQ234&gt;0), IF(INDEX(BH$12:BH$263,MATCH($AQ234,$AP$12:$AP$263,0))&gt;0,($AM234*INDEX(BH$12:BH$263,MATCH($AQ234,$AP$12:$AP$263,0)))/INDEX($AI$12:$AI$263,MATCH($AQ234,$AP$12:$AP$263,0)), "-"),     TRUE, "0")</f>
        <v>0</v>
      </c>
      <c r="BJ234" s="588">
        <f>IF(BI$9&gt;0, IF(OR(BI234="",BI234="-"), 0, BI234*$AT234), BH234*$AJ234)</f>
        <v>0</v>
      </c>
      <c r="BK234" s="587">
        <f>[1]COMMANDE!Y232</f>
        <v>0</v>
      </c>
      <c r="BL234" s="586" t="str">
        <f>_xlfn.IFS(AND($AI234=$AM234,$AI234&gt;0,$AM234&gt;0,BK234&gt;0), BK234,     AND(NOT($AI234=$AM234),$AI234&gt;0,$AM234&gt;0,BK234&gt;0), ($AM234*BK234)/$AI234,     AND($AI234=0,$AM234&gt;0,$AQ234&gt;0), IF(INDEX(BK$12:BK$263,MATCH($AQ234,$AP$12:$AP$263,0))&gt;0,($AM234*INDEX(BK$12:BK$263,MATCH($AQ234,$AP$12:$AP$263,0)))/INDEX($AI$12:$AI$263,MATCH($AQ234,$AP$12:$AP$263,0)), "-"),     TRUE, "0")</f>
        <v>0</v>
      </c>
      <c r="BM234" s="607">
        <f>IF(BL$9&gt;0, IF(OR(BL234="",BL234="-"), 0, BL234*$AT234), BK234*$AJ234)</f>
        <v>0</v>
      </c>
      <c r="BN234" s="589">
        <f>[1]COMMANDE!AA232</f>
        <v>0</v>
      </c>
      <c r="BO234" s="586" t="str">
        <f>_xlfn.IFS(AND($AI234=$AM234,$AI234&gt;0,$AM234&gt;0,BN234&gt;0), BN234,     AND(NOT($AI234=$AM234),$AI234&gt;0,$AM234&gt;0,BN234&gt;0), ($AM234*BN234)/$AI234,     AND($AI234=0,$AM234&gt;0,$AQ234&gt;0), IF(INDEX(BN$12:BN$263,MATCH($AQ234,$AP$12:$AP$263,0))&gt;0,($AM234*INDEX(BN$12:BN$263,MATCH($AQ234,$AP$12:$AP$263,0)))/INDEX($AI$12:$AI$263,MATCH($AQ234,$AP$12:$AP$263,0)), "-"),     TRUE, "0")</f>
        <v>0</v>
      </c>
      <c r="BP234" s="588">
        <f>IF(BO$9&gt;0, IF(OR(BO234="",BO234="-"), 0, BO234*$AT234), BN234*$AJ234)</f>
        <v>0</v>
      </c>
      <c r="BQ234" s="587">
        <f>[1]COMMANDE!AC232</f>
        <v>0</v>
      </c>
      <c r="BR234" s="586" t="str">
        <f>_xlfn.IFS(AND($AI234=$AM234,$AI234&gt;0,$AM234&gt;0,BQ234&gt;0), BQ234,     AND(NOT($AI234=$AM234),$AI234&gt;0,$AM234&gt;0,BQ234&gt;0), ($AM234*BQ234)/$AI234,     AND($AI234=0,$AM234&gt;0,$AQ234&gt;0), IF(INDEX(BQ$12:BQ$263,MATCH($AQ234,$AP$12:$AP$263,0))&gt;0,($AM234*INDEX(BQ$12:BQ$263,MATCH($AQ234,$AP$12:$AP$263,0)))/INDEX($AI$12:$AI$263,MATCH($AQ234,$AP$12:$AP$263,0)), "-"),     TRUE, "0")</f>
        <v>0</v>
      </c>
      <c r="BS234" s="607">
        <f>IF(BR$9&gt;0, IF(OR(BR234="",BR234="-"), 0, BR234*$AT234), BQ234*$AJ234)</f>
        <v>0</v>
      </c>
      <c r="BT234" s="589">
        <f>[1]COMMANDE!AE232</f>
        <v>0</v>
      </c>
      <c r="BU234" s="586" t="str">
        <f>_xlfn.IFS(AND($AI234=$AM234,$AI234&gt;0,$AM234&gt;0,BT234&gt;0), BT234,     AND(NOT($AI234=$AM234),$AI234&gt;0,$AM234&gt;0,BT234&gt;0), ($AM234*BT234)/$AI234,     AND($AI234=0,$AM234&gt;0,$AQ234&gt;0), IF(INDEX(BT$12:BT$263,MATCH($AQ234,$AP$12:$AP$263,0))&gt;0,($AM234*INDEX(BT$12:BT$263,MATCH($AQ234,$AP$12:$AP$263,0)))/INDEX($AI$12:$AI$263,MATCH($AQ234,$AP$12:$AP$263,0)), "-"),     TRUE, "0")</f>
        <v>0</v>
      </c>
      <c r="BV234" s="588">
        <f>IF(BU$9&gt;0, IF(OR(BU234="",BU234="-"), 0, BU234*$AT234), BT234*$AJ234)</f>
        <v>0</v>
      </c>
      <c r="BW234" s="587">
        <f>[1]COMMANDE!AG232</f>
        <v>0</v>
      </c>
      <c r="BX234" s="586" t="str">
        <f>_xlfn.IFS(AND($AI234=$AM234,$AI234&gt;0,$AM234&gt;0,BW234&gt;0), BW234,     AND(NOT($AI234=$AM234),$AI234&gt;0,$AM234&gt;0,BW234&gt;0), ($AM234*BW234)/$AI234,     AND($AI234=0,$AM234&gt;0,$AQ234&gt;0), IF(INDEX(BW$12:BW$263,MATCH($AQ234,$AP$12:$AP$263,0))&gt;0,($AM234*INDEX(BW$12:BW$263,MATCH($AQ234,$AP$12:$AP$263,0)))/INDEX($AI$12:$AI$263,MATCH($AQ234,$AP$12:$AP$263,0)), "-"),     TRUE, "0")</f>
        <v>0</v>
      </c>
      <c r="BY234" s="607">
        <f>IF(BX$9&gt;0, IF(OR(BX234="",BX234="-"), 0, BX234*$AT234), BW234*$AJ234)</f>
        <v>0</v>
      </c>
      <c r="BZ234" s="589">
        <f>[1]COMMANDE!AI232</f>
        <v>0</v>
      </c>
      <c r="CA234" s="586" t="str">
        <f>_xlfn.IFS(AND($AI234=$AM234,$AI234&gt;0,$AM234&gt;0,BZ234&gt;0), BZ234,     AND(NOT($AI234=$AM234),$AI234&gt;0,$AM234&gt;0,BZ234&gt;0), ($AM234*BZ234)/$AI234,     AND($AI234=0,$AM234&gt;0,$AQ234&gt;0), IF(INDEX(BZ$12:BZ$263,MATCH($AQ234,$AP$12:$AP$263,0))&gt;0,($AM234*INDEX(BZ$12:BZ$263,MATCH($AQ234,$AP$12:$AP$263,0)))/INDEX($AI$12:$AI$263,MATCH($AQ234,$AP$12:$AP$263,0)), "-"),     TRUE, "0")</f>
        <v>0</v>
      </c>
      <c r="CB234" s="588">
        <f>IF(CA$9&gt;0, IF(OR(CA234="",CA234="-"), 0, CA234*$AT234), BZ234*$AJ234)</f>
        <v>0</v>
      </c>
      <c r="CC234" s="587">
        <f>[1]COMMANDE!AK232</f>
        <v>0</v>
      </c>
      <c r="CD234" s="586" t="str">
        <f>_xlfn.IFS(AND($AI234=$AM234,$AI234&gt;0,$AM234&gt;0,CC234&gt;0), CC234,     AND(NOT($AI234=$AM234),$AI234&gt;0,$AM234&gt;0,CC234&gt;0), ($AM234*CC234)/$AI234,     AND($AI234=0,$AM234&gt;0,$AQ234&gt;0), IF(INDEX(CC$12:CC$263,MATCH($AQ234,$AP$12:$AP$263,0))&gt;0,($AM234*INDEX(CC$12:CC$263,MATCH($AQ234,$AP$12:$AP$263,0)))/INDEX($AI$12:$AI$263,MATCH($AQ234,$AP$12:$AP$263,0)), "-"),     TRUE, "0")</f>
        <v>0</v>
      </c>
      <c r="CE234" s="607">
        <f>IF(CD$9&gt;0, IF(OR(CD234="",CD234="-"), 0, CD234*$AT234), CC234*$AJ234)</f>
        <v>0</v>
      </c>
      <c r="CF234" s="589">
        <f>[1]COMMANDE!AM232</f>
        <v>0</v>
      </c>
      <c r="CG234" s="586" t="str">
        <f>_xlfn.IFS(AND($AI234=$AM234,$AI234&gt;0,$AM234&gt;0,CF234&gt;0), CF234,     AND(NOT($AI234=$AM234),$AI234&gt;0,$AM234&gt;0,CF234&gt;0), ($AM234*CF234)/$AI234,     AND($AI234=0,$AM234&gt;0,$AQ234&gt;0), IF(INDEX(CF$12:CF$263,MATCH($AQ234,$AP$12:$AP$263,0))&gt;0,($AM234*INDEX(CF$12:CF$263,MATCH($AQ234,$AP$12:$AP$263,0)))/INDEX($AI$12:$AI$263,MATCH($AQ234,$AP$12:$AP$263,0)), "-"),     TRUE, "0")</f>
        <v>0</v>
      </c>
      <c r="CH234" s="588">
        <f>IF(CG$9&gt;0, IF(OR(CG234="",CG234="-"), 0, CG234*$AT234), CF234*$AJ234)</f>
        <v>0</v>
      </c>
      <c r="CI234" s="587">
        <f>[1]COMMANDE!AO232</f>
        <v>0</v>
      </c>
      <c r="CJ234" s="586" t="str">
        <f>_xlfn.IFS(AND($AI234=$AM234,$AI234&gt;0,$AM234&gt;0,CI234&gt;0), CI234,     AND(NOT($AI234=$AM234),$AI234&gt;0,$AM234&gt;0,CI234&gt;0), ($AM234*CI234)/$AI234,     AND($AI234=0,$AM234&gt;0,$AQ234&gt;0), IF(INDEX(CI$12:CI$263,MATCH($AQ234,$AP$12:$AP$263,0))&gt;0,($AM234*INDEX(CI$12:CI$263,MATCH($AQ234,$AP$12:$AP$263,0)))/INDEX($AI$12:$AI$263,MATCH($AQ234,$AP$12:$AP$263,0)), "-"),     TRUE, "0")</f>
        <v>0</v>
      </c>
      <c r="CK234" s="607">
        <f>IF(CJ$9&gt;0, IF(OR(CJ234="",CJ234="-"), 0, CJ234*$AT234), CI234*$AJ234)</f>
        <v>0</v>
      </c>
      <c r="CL234" s="589">
        <f>[1]COMMANDE!AQ232</f>
        <v>0</v>
      </c>
      <c r="CM234" s="586" t="str">
        <f>_xlfn.IFS(AND($AI234=$AM234,$AI234&gt;0,$AM234&gt;0,CL234&gt;0), CL234,     AND(NOT($AI234=$AM234),$AI234&gt;0,$AM234&gt;0,CL234&gt;0), ($AM234*CL234)/$AI234,     AND($AI234=0,$AM234&gt;0,$AQ234&gt;0), IF(INDEX(CL$12:CL$263,MATCH($AQ234,$AP$12:$AP$263,0))&gt;0,($AM234*INDEX(CL$12:CL$263,MATCH($AQ234,$AP$12:$AP$263,0)))/INDEX($AI$12:$AI$263,MATCH($AQ234,$AP$12:$AP$263,0)), "-"),     TRUE, "0")</f>
        <v>0</v>
      </c>
      <c r="CN234" s="588">
        <f>IF(CM$9&gt;0, IF(OR(CM234="",CM234="-"), 0, CM234*$AT234), CL234*$AJ234)</f>
        <v>0</v>
      </c>
      <c r="CO234" s="587">
        <f>[1]COMMANDE!AS232</f>
        <v>0</v>
      </c>
      <c r="CP234" s="586" t="str">
        <f>_xlfn.IFS(AND($AI234=$AM234,$AI234&gt;0,$AM234&gt;0,CO234&gt;0), CO234,     AND(NOT($AI234=$AM234),$AI234&gt;0,$AM234&gt;0,CO234&gt;0), ($AM234*CO234)/$AI234,     AND($AI234=0,$AM234&gt;0,$AQ234&gt;0), IF(INDEX(CO$12:CO$263,MATCH($AQ234,$AP$12:$AP$263,0))&gt;0,($AM234*INDEX(CO$12:CO$263,MATCH($AQ234,$AP$12:$AP$263,0)))/INDEX($AI$12:$AI$263,MATCH($AQ234,$AP$12:$AP$263,0)), "-"),     TRUE, "0")</f>
        <v>0</v>
      </c>
      <c r="CQ234" s="607">
        <f>IF(CP$9&gt;0, IF(OR(CP234="",CP234="-"), 0, CP234*$AT234), CO234*$AJ234)</f>
        <v>0</v>
      </c>
      <c r="CR234" s="589">
        <f>[1]COMMANDE!AU232</f>
        <v>0</v>
      </c>
      <c r="CS234" s="586" t="str">
        <f>_xlfn.IFS(AND($AI234=$AM234,$AI234&gt;0,$AM234&gt;0,CR234&gt;0), CR234,     AND(NOT($AI234=$AM234),$AI234&gt;0,$AM234&gt;0,CR234&gt;0), ($AM234*CR234)/$AI234,     AND($AI234=0,$AM234&gt;0,$AQ234&gt;0), IF(INDEX(CR$12:CR$263,MATCH($AQ234,$AP$12:$AP$263,0))&gt;0,($AM234*INDEX(CR$12:CR$263,MATCH($AQ234,$AP$12:$AP$263,0)))/INDEX($AI$12:$AI$263,MATCH($AQ234,$AP$12:$AP$263,0)), "-"),     TRUE, "0")</f>
        <v>0</v>
      </c>
      <c r="CT234" s="588">
        <f>IF(CS$9&gt;0, IF(OR(CS234="",CS234="-"), 0, CS234*$AT234), CR234*$AJ234)</f>
        <v>0</v>
      </c>
      <c r="CU234" s="587">
        <f>[1]COMMANDE!AW232</f>
        <v>0</v>
      </c>
      <c r="CV234" s="586" t="str">
        <f>_xlfn.IFS(AND($AI234=$AM234,$AI234&gt;0,$AM234&gt;0,CU234&gt;0), CU234,     AND(NOT($AI234=$AM234),$AI234&gt;0,$AM234&gt;0,CU234&gt;0), ($AM234*CU234)/$AI234,     AND($AI234=0,$AM234&gt;0,$AQ234&gt;0), IF(INDEX(CU$12:CU$263,MATCH($AQ234,$AP$12:$AP$263,0))&gt;0,($AM234*INDEX(CU$12:CU$263,MATCH($AQ234,$AP$12:$AP$263,0)))/INDEX($AI$12:$AI$263,MATCH($AQ234,$AP$12:$AP$263,0)), "-"),     TRUE, "0")</f>
        <v>0</v>
      </c>
      <c r="CW234" s="607">
        <f>IF(CV$9&gt;0, IF(OR(CV234="",CV234="-"), 0, CV234*$AT234), CU234*$AJ234)</f>
        <v>0</v>
      </c>
      <c r="CX234" s="589">
        <f>[1]COMMANDE!AY232</f>
        <v>0</v>
      </c>
      <c r="CY234" s="586" t="str">
        <f>_xlfn.IFS(AND($AI234=$AM234,$AI234&gt;0,$AM234&gt;0,CX234&gt;0), CX234,     AND(NOT($AI234=$AM234),$AI234&gt;0,$AM234&gt;0,CX234&gt;0), ($AM234*CX234)/$AI234,     AND($AI234=0,$AM234&gt;0,$AQ234&gt;0), IF(INDEX(CX$12:CX$263,MATCH($AQ234,$AP$12:$AP$263,0))&gt;0,($AM234*INDEX(CX$12:CX$263,MATCH($AQ234,$AP$12:$AP$263,0)))/INDEX($AI$12:$AI$263,MATCH($AQ234,$AP$12:$AP$263,0)), "-"),     TRUE, "0")</f>
        <v>0</v>
      </c>
      <c r="CZ234" s="588">
        <f>IF(CY$9&gt;0, IF(OR(CY234="",CY234="-"), 0, CY234*$AT234), CX234*$AJ234)</f>
        <v>0</v>
      </c>
      <c r="DA234" s="587">
        <f>[1]COMMANDE!BA232</f>
        <v>0</v>
      </c>
      <c r="DB234" s="586" t="str">
        <f>_xlfn.IFS(AND($AI234=$AM234,$AI234&gt;0,$AM234&gt;0,DA234&gt;0), DA234,     AND(NOT($AI234=$AM234),$AI234&gt;0,$AM234&gt;0,DA234&gt;0), ($AM234*DA234)/$AI234,     AND($AI234=0,$AM234&gt;0,$AQ234&gt;0), IF(INDEX(DA$12:DA$263,MATCH($AQ234,$AP$12:$AP$263,0))&gt;0,($AM234*INDEX(DA$12:DA$263,MATCH($AQ234,$AP$12:$AP$263,0)))/INDEX($AI$12:$AI$263,MATCH($AQ234,$AP$12:$AP$263,0)), "-"),     TRUE, "0")</f>
        <v>0</v>
      </c>
      <c r="DC234" s="606">
        <f>IF(DB$9&gt;0, IF(OR(DB234="",DB234="-"), 0, DB234*$AT234), DA234*$AJ234)</f>
        <v>0</v>
      </c>
      <c r="DD234" s="584"/>
      <c r="DE234" s="583"/>
    </row>
    <row r="235" spans="1:109" ht="39.950000000000003" hidden="1" customHeight="1">
      <c r="A235" s="604">
        <f>IF(OR($AV235&gt;0, $AX235&gt;0), 1, 0)</f>
        <v>0</v>
      </c>
      <c r="B235" s="604">
        <f>IF(OR($AY235&gt;0, $BA235&gt;0), 1, 0)</f>
        <v>0</v>
      </c>
      <c r="C235" s="604">
        <f>IF(OR($BB235&gt;0, $BD235&gt;0), 1, 0)</f>
        <v>0</v>
      </c>
      <c r="D235" s="604">
        <f>IF(OR($BE235&gt;0, $BG235&gt;0), 1, 0)</f>
        <v>0</v>
      </c>
      <c r="E235" s="604">
        <f>IF(OR($BH235&gt;0, $BJ235&gt;0), 1, 0)</f>
        <v>0</v>
      </c>
      <c r="F235" s="604">
        <f>IF(OR($BK235&gt;0, $BM235&gt;0), 1, 0)</f>
        <v>0</v>
      </c>
      <c r="G235" s="604">
        <f>IF(OR($BN235&gt;0, $BP235&gt;0), 1, 0)</f>
        <v>0</v>
      </c>
      <c r="H235" s="604">
        <f>IF(OR($BQ235&gt;0, $BS235&gt;0), 1, 0)</f>
        <v>0</v>
      </c>
      <c r="I235" s="604">
        <f>IF(OR($BT235&gt;0, $BV235&gt;0), 1, 0)</f>
        <v>0</v>
      </c>
      <c r="J235" s="604">
        <f>IF(OR($BW235&gt;0, $BY235&gt;0), 1, 0)</f>
        <v>0</v>
      </c>
      <c r="K235" s="604">
        <f>IF(OR($BZ235&gt;0, $CB235&gt;0), 1, 0)</f>
        <v>0</v>
      </c>
      <c r="L235" s="604">
        <f>IF(OR($CC235&gt;0, $CE235&gt;0), 1, 0)</f>
        <v>0</v>
      </c>
      <c r="M235" s="604">
        <f>IF(OR($CF235&gt;0, $CH235&gt;0), 1, 0)</f>
        <v>0</v>
      </c>
      <c r="N235" s="604">
        <f>IF(OR($CI235&gt;0, $CK235&gt;0), 1, 0)</f>
        <v>0</v>
      </c>
      <c r="O235" s="604">
        <f>IF(OR($CL235&gt;0, $CN235&gt;0), 1, 0)</f>
        <v>0</v>
      </c>
      <c r="P235" s="604">
        <f>IF(OR($CO235&gt;0, $CQ235&gt;0), 1, 0)</f>
        <v>0</v>
      </c>
      <c r="Q235" s="604">
        <f>IF(OR($CR235&gt;0, $CT235&gt;0), 1, 0)</f>
        <v>0</v>
      </c>
      <c r="R235" s="604">
        <f>IF(OR($CU235&gt;0, $CW235&gt;0), 1, 0)</f>
        <v>0</v>
      </c>
      <c r="S235" s="604">
        <f>IF(OR($CX235&gt;0, $CZ235&gt;0), 1, 0)</f>
        <v>0</v>
      </c>
      <c r="T235" s="604">
        <f>IF(OR($DA235&gt;0, $DC235&gt;0), 1, 0)</f>
        <v>0</v>
      </c>
      <c r="U235" s="603">
        <f>IF(OR($AI235&gt;0,$AM235&gt;0,$AS235&gt;0), 1, 0)</f>
        <v>0</v>
      </c>
      <c r="V235" s="602">
        <f>[1]BDD!A225</f>
        <v>5149</v>
      </c>
      <c r="W235" s="601" t="str">
        <f>[1]BDD!B225</f>
        <v>Pomme rouge Top Red</v>
      </c>
      <c r="X235" s="600" t="str">
        <f>IF([1]BDD!F225=0, "", [1]BDD!F225)</f>
        <v/>
      </c>
      <c r="Y235" s="542">
        <f>ROUND([1]BDD!G225+FDP_CMD_KG, 2)</f>
        <v>3.32</v>
      </c>
      <c r="Z235" s="542">
        <f>ROUND([1]BDD!G225+FDP_FACT_KG, 2)</f>
        <v>3.32</v>
      </c>
      <c r="AA235" s="543" t="str">
        <f>[1]BDD!H225</f>
        <v>kg</v>
      </c>
      <c r="AB235" s="544">
        <f>IF(NOT(ISBLANK([1]BDD!I225)), ROUND(SUM(([1]BDD!G225*reduc1),FDP_CMD_KG), 2), "")</f>
        <v>3.08</v>
      </c>
      <c r="AC235" s="544" t="str">
        <f>IF(NOT(ISBLANK([1]BDD!J225)), ROUND(SUM(([1]BDD!G225*reduc2),FDP_CMD_KG), 2), "")</f>
        <v/>
      </c>
      <c r="AD235" s="544" t="str">
        <f>IF(NOT(ISBLANK([1]BDD!K225)), ROUND(SUM(([1]BDD!G225*reduc3),FDP_CMD_KG), 2), "")</f>
        <v/>
      </c>
      <c r="AE235" s="544">
        <f>IF(NOT(ISBLANK([1]BDD!I225)), ROUND(SUM(([1]BDD!G225*reduc1),FDP_FACT_KG), 2), "")</f>
        <v>3.07</v>
      </c>
      <c r="AF235" s="544" t="str">
        <f>IF(NOT(ISBLANK([1]BDD!J225)), ROUND(SUM(([1]BDD!G225*reduc2),FDP_FACT_KG), 2), "")</f>
        <v/>
      </c>
      <c r="AG235" s="544" t="str">
        <f>IF(NOT(ISBLANK([1]BDD!K225)), ROUND(SUM(([1]BDD!G225*reduc3),FDP_FACT_KG), 2), "")</f>
        <v/>
      </c>
      <c r="AH235" s="599" t="str">
        <f>[1]BDD!C225</f>
        <v>Grenade</v>
      </c>
      <c r="AI235" s="598">
        <f>SUM(AV235,AY235,BB235,BE235,BH235,BK235,BN235,BQ235,BT235,BW235,BZ235,CC235,CF235,CI235,CL235,CO235,CR235,CU235,CX235,DA235)</f>
        <v>0</v>
      </c>
      <c r="AJ235" s="545">
        <f>_xlfn.IFS($AD235&lt;&gt;"", $AD235,    $AC235&lt;&gt;"", $AC235,    $AB235&lt;&gt;"", $AB235,    TRUE, $Y235)</f>
        <v>3.08</v>
      </c>
      <c r="AK235" s="592">
        <f>$AI235*$AJ235</f>
        <v>0</v>
      </c>
      <c r="AL235" s="594"/>
      <c r="AM235" s="597"/>
      <c r="AN235" s="545">
        <f>_xlfn.IFS(AND(AM235&gt;=60,$AG235&lt;&gt;""), $AG235,    AND(AM235&gt;=30,$AF235&lt;&gt;""), $AF235,    AND(AM235&gt;=10,$AE235&lt;&gt;""), $AE235,    TRUE, $Z235)</f>
        <v>3.32</v>
      </c>
      <c r="AO235" s="596">
        <f>AM235*AN235</f>
        <v>0</v>
      </c>
      <c r="AP235" s="595"/>
      <c r="AQ235" s="595"/>
      <c r="AR235" s="594"/>
      <c r="AS235" s="593">
        <f>SUM(AW235,AZ235,BC235,BF235,BI235,BL235,BO235,BR235,BU235,BX235,CA235,CD235,CG235,CJ235,CM235,CP235,CS235,CV235,CY235,DB235)</f>
        <v>0</v>
      </c>
      <c r="AT235" s="545">
        <f>_xlfn.IFS(AND(AS235&gt;=60,$AG235&lt;&gt;""), $AG235,    AND(AS235&gt;=30,$AF235&lt;&gt;""), $AF235,    AND(AS235&gt;=10,$AE235&lt;&gt;""), $AE235,    TRUE, $Z235)</f>
        <v>3.32</v>
      </c>
      <c r="AU235" s="592">
        <f>$AS235*$AT235</f>
        <v>0</v>
      </c>
      <c r="AV235" s="591">
        <f>[1]COMMANDE!O233</f>
        <v>0</v>
      </c>
      <c r="AW235" s="586" t="str">
        <f>_xlfn.IFS(AND($AI235=$AM235,$AI235&gt;0,$AM235&gt;0,AV235&gt;0), AV235,     AND(NOT($AI235=$AM235),$AI235&gt;0,$AM235&gt;0,AV235&gt;0), ($AM235*AV235)/$AI235,     AND($AI235=0,$AM235&gt;0,$AQ235&gt;0), IF(INDEX(AV$12:AV$263,MATCH($AQ235,$AP$12:$AP$263,0))&gt;0,($AM235*INDEX(AV$12:AV$263,MATCH($AQ235,$AP$12:$AP$263,0)))/INDEX($AI$12:$AI$263,MATCH($AQ235,$AP$12:$AP$263,0)), "-"),     TRUE, "0")</f>
        <v>0</v>
      </c>
      <c r="AX235" s="588">
        <f>IF(AW$9&gt;0, IF(OR(AW235="",AW235="-"), 0, AW235*$AT235), AV235*$AJ235)</f>
        <v>0</v>
      </c>
      <c r="AY235" s="587">
        <f>[1]COMMANDE!Q233</f>
        <v>0</v>
      </c>
      <c r="AZ235" s="586" t="str">
        <f>_xlfn.IFS(AND($AI235=$AM235,$AI235&gt;0,$AM235&gt;0,AY235&gt;0), AY235,     AND(NOT($AI235=$AM235),$AI235&gt;0,$AM235&gt;0,AY235&gt;0), ($AM235*AY235)/$AI235,     AND($AI235=0,$AM235&gt;0,$AQ235&gt;0), IF(INDEX(AY$12:AY$263,MATCH($AQ235,$AP$12:$AP$263,0))&gt;0,($AM235*INDEX(AY$12:AY$263,MATCH($AQ235,$AP$12:$AP$263,0)))/INDEX($AI$12:$AI$263,MATCH($AQ235,$AP$12:$AP$263,0)), "-"),     TRUE, "0")</f>
        <v>0</v>
      </c>
      <c r="BA235" s="607">
        <f>IF(AZ$9&gt;0, IF(OR(AZ235="",AZ235="-"), 0, AZ235*$AT235), AY235*$AJ235)</f>
        <v>0</v>
      </c>
      <c r="BB235" s="589">
        <f>[1]COMMANDE!S233</f>
        <v>0</v>
      </c>
      <c r="BC235" s="586" t="str">
        <f>_xlfn.IFS(AND($AI235=$AM235,$AI235&gt;0,$AM235&gt;0,BB235&gt;0), BB235,     AND(NOT($AI235=$AM235),$AI235&gt;0,$AM235&gt;0,BB235&gt;0), ($AM235*BB235)/$AI235,     AND($AI235=0,$AM235&gt;0,$AQ235&gt;0), IF(INDEX(BB$12:BB$263,MATCH($AQ235,$AP$12:$AP$263,0))&gt;0,($AM235*INDEX(BB$12:BB$263,MATCH($AQ235,$AP$12:$AP$263,0)))/INDEX($AI$12:$AI$263,MATCH($AQ235,$AP$12:$AP$263,0)), "-"),     TRUE, "0")</f>
        <v>0</v>
      </c>
      <c r="BD235" s="588">
        <f>IF(BC$9&gt;0, IF(OR(BC235="",BC235="-"), 0, BC235*$AT235), BB235*$AJ235)</f>
        <v>0</v>
      </c>
      <c r="BE235" s="587">
        <f>[1]COMMANDE!U233</f>
        <v>0</v>
      </c>
      <c r="BF235" s="586" t="str">
        <f>_xlfn.IFS(AND($AI235=$AM235,$AI235&gt;0,$AM235&gt;0,BE235&gt;0), BE235,     AND(NOT($AI235=$AM235),$AI235&gt;0,$AM235&gt;0,BE235&gt;0), ($AM235*BE235)/$AI235,     AND($AI235=0,$AM235&gt;0,$AQ235&gt;0), IF(INDEX(BE$12:BE$263,MATCH($AQ235,$AP$12:$AP$263,0))&gt;0,($AM235*INDEX(BE$12:BE$263,MATCH($AQ235,$AP$12:$AP$263,0)))/INDEX($AI$12:$AI$263,MATCH($AQ235,$AP$12:$AP$263,0)), "-"),     TRUE, "0")</f>
        <v>0</v>
      </c>
      <c r="BG235" s="607">
        <f>IF(BF$9&gt;0, IF(OR(BF235="",BF235="-"), 0, BF235*$AT235), BE235*$AJ235)</f>
        <v>0</v>
      </c>
      <c r="BH235" s="589">
        <f>[1]COMMANDE!W233</f>
        <v>0</v>
      </c>
      <c r="BI235" s="586" t="str">
        <f>_xlfn.IFS(AND($AI235=$AM235,$AI235&gt;0,$AM235&gt;0,BH235&gt;0), BH235,     AND(NOT($AI235=$AM235),$AI235&gt;0,$AM235&gt;0,BH235&gt;0), ($AM235*BH235)/$AI235,     AND($AI235=0,$AM235&gt;0,$AQ235&gt;0), IF(INDEX(BH$12:BH$263,MATCH($AQ235,$AP$12:$AP$263,0))&gt;0,($AM235*INDEX(BH$12:BH$263,MATCH($AQ235,$AP$12:$AP$263,0)))/INDEX($AI$12:$AI$263,MATCH($AQ235,$AP$12:$AP$263,0)), "-"),     TRUE, "0")</f>
        <v>0</v>
      </c>
      <c r="BJ235" s="588">
        <f>IF(BI$9&gt;0, IF(OR(BI235="",BI235="-"), 0, BI235*$AT235), BH235*$AJ235)</f>
        <v>0</v>
      </c>
      <c r="BK235" s="587">
        <f>[1]COMMANDE!Y233</f>
        <v>0</v>
      </c>
      <c r="BL235" s="586" t="str">
        <f>_xlfn.IFS(AND($AI235=$AM235,$AI235&gt;0,$AM235&gt;0,BK235&gt;0), BK235,     AND(NOT($AI235=$AM235),$AI235&gt;0,$AM235&gt;0,BK235&gt;0), ($AM235*BK235)/$AI235,     AND($AI235=0,$AM235&gt;0,$AQ235&gt;0), IF(INDEX(BK$12:BK$263,MATCH($AQ235,$AP$12:$AP$263,0))&gt;0,($AM235*INDEX(BK$12:BK$263,MATCH($AQ235,$AP$12:$AP$263,0)))/INDEX($AI$12:$AI$263,MATCH($AQ235,$AP$12:$AP$263,0)), "-"),     TRUE, "0")</f>
        <v>0</v>
      </c>
      <c r="BM235" s="607">
        <f>IF(BL$9&gt;0, IF(OR(BL235="",BL235="-"), 0, BL235*$AT235), BK235*$AJ235)</f>
        <v>0</v>
      </c>
      <c r="BN235" s="589">
        <f>[1]COMMANDE!AA233</f>
        <v>0</v>
      </c>
      <c r="BO235" s="586" t="str">
        <f>_xlfn.IFS(AND($AI235=$AM235,$AI235&gt;0,$AM235&gt;0,BN235&gt;0), BN235,     AND(NOT($AI235=$AM235),$AI235&gt;0,$AM235&gt;0,BN235&gt;0), ($AM235*BN235)/$AI235,     AND($AI235=0,$AM235&gt;0,$AQ235&gt;0), IF(INDEX(BN$12:BN$263,MATCH($AQ235,$AP$12:$AP$263,0))&gt;0,($AM235*INDEX(BN$12:BN$263,MATCH($AQ235,$AP$12:$AP$263,0)))/INDEX($AI$12:$AI$263,MATCH($AQ235,$AP$12:$AP$263,0)), "-"),     TRUE, "0")</f>
        <v>0</v>
      </c>
      <c r="BP235" s="588">
        <f>IF(BO$9&gt;0, IF(OR(BO235="",BO235="-"), 0, BO235*$AT235), BN235*$AJ235)</f>
        <v>0</v>
      </c>
      <c r="BQ235" s="587">
        <f>[1]COMMANDE!AC233</f>
        <v>0</v>
      </c>
      <c r="BR235" s="586" t="str">
        <f>_xlfn.IFS(AND($AI235=$AM235,$AI235&gt;0,$AM235&gt;0,BQ235&gt;0), BQ235,     AND(NOT($AI235=$AM235),$AI235&gt;0,$AM235&gt;0,BQ235&gt;0), ($AM235*BQ235)/$AI235,     AND($AI235=0,$AM235&gt;0,$AQ235&gt;0), IF(INDEX(BQ$12:BQ$263,MATCH($AQ235,$AP$12:$AP$263,0))&gt;0,($AM235*INDEX(BQ$12:BQ$263,MATCH($AQ235,$AP$12:$AP$263,0)))/INDEX($AI$12:$AI$263,MATCH($AQ235,$AP$12:$AP$263,0)), "-"),     TRUE, "0")</f>
        <v>0</v>
      </c>
      <c r="BS235" s="607">
        <f>IF(BR$9&gt;0, IF(OR(BR235="",BR235="-"), 0, BR235*$AT235), BQ235*$AJ235)</f>
        <v>0</v>
      </c>
      <c r="BT235" s="589">
        <f>[1]COMMANDE!AE233</f>
        <v>0</v>
      </c>
      <c r="BU235" s="586" t="str">
        <f>_xlfn.IFS(AND($AI235=$AM235,$AI235&gt;0,$AM235&gt;0,BT235&gt;0), BT235,     AND(NOT($AI235=$AM235),$AI235&gt;0,$AM235&gt;0,BT235&gt;0), ($AM235*BT235)/$AI235,     AND($AI235=0,$AM235&gt;0,$AQ235&gt;0), IF(INDEX(BT$12:BT$263,MATCH($AQ235,$AP$12:$AP$263,0))&gt;0,($AM235*INDEX(BT$12:BT$263,MATCH($AQ235,$AP$12:$AP$263,0)))/INDEX($AI$12:$AI$263,MATCH($AQ235,$AP$12:$AP$263,0)), "-"),     TRUE, "0")</f>
        <v>0</v>
      </c>
      <c r="BV235" s="588">
        <f>IF(BU$9&gt;0, IF(OR(BU235="",BU235="-"), 0, BU235*$AT235), BT235*$AJ235)</f>
        <v>0</v>
      </c>
      <c r="BW235" s="587">
        <f>[1]COMMANDE!AG233</f>
        <v>0</v>
      </c>
      <c r="BX235" s="586" t="str">
        <f>_xlfn.IFS(AND($AI235=$AM235,$AI235&gt;0,$AM235&gt;0,BW235&gt;0), BW235,     AND(NOT($AI235=$AM235),$AI235&gt;0,$AM235&gt;0,BW235&gt;0), ($AM235*BW235)/$AI235,     AND($AI235=0,$AM235&gt;0,$AQ235&gt;0), IF(INDEX(BW$12:BW$263,MATCH($AQ235,$AP$12:$AP$263,0))&gt;0,($AM235*INDEX(BW$12:BW$263,MATCH($AQ235,$AP$12:$AP$263,0)))/INDEX($AI$12:$AI$263,MATCH($AQ235,$AP$12:$AP$263,0)), "-"),     TRUE, "0")</f>
        <v>0</v>
      </c>
      <c r="BY235" s="607">
        <f>IF(BX$9&gt;0, IF(OR(BX235="",BX235="-"), 0, BX235*$AT235), BW235*$AJ235)</f>
        <v>0</v>
      </c>
      <c r="BZ235" s="589">
        <f>[1]COMMANDE!AI233</f>
        <v>0</v>
      </c>
      <c r="CA235" s="586" t="str">
        <f>_xlfn.IFS(AND($AI235=$AM235,$AI235&gt;0,$AM235&gt;0,BZ235&gt;0), BZ235,     AND(NOT($AI235=$AM235),$AI235&gt;0,$AM235&gt;0,BZ235&gt;0), ($AM235*BZ235)/$AI235,     AND($AI235=0,$AM235&gt;0,$AQ235&gt;0), IF(INDEX(BZ$12:BZ$263,MATCH($AQ235,$AP$12:$AP$263,0))&gt;0,($AM235*INDEX(BZ$12:BZ$263,MATCH($AQ235,$AP$12:$AP$263,0)))/INDEX($AI$12:$AI$263,MATCH($AQ235,$AP$12:$AP$263,0)), "-"),     TRUE, "0")</f>
        <v>0</v>
      </c>
      <c r="CB235" s="588">
        <f>IF(CA$9&gt;0, IF(OR(CA235="",CA235="-"), 0, CA235*$AT235), BZ235*$AJ235)</f>
        <v>0</v>
      </c>
      <c r="CC235" s="587">
        <f>[1]COMMANDE!AK233</f>
        <v>0</v>
      </c>
      <c r="CD235" s="586" t="str">
        <f>_xlfn.IFS(AND($AI235=$AM235,$AI235&gt;0,$AM235&gt;0,CC235&gt;0), CC235,     AND(NOT($AI235=$AM235),$AI235&gt;0,$AM235&gt;0,CC235&gt;0), ($AM235*CC235)/$AI235,     AND($AI235=0,$AM235&gt;0,$AQ235&gt;0), IF(INDEX(CC$12:CC$263,MATCH($AQ235,$AP$12:$AP$263,0))&gt;0,($AM235*INDEX(CC$12:CC$263,MATCH($AQ235,$AP$12:$AP$263,0)))/INDEX($AI$12:$AI$263,MATCH($AQ235,$AP$12:$AP$263,0)), "-"),     TRUE, "0")</f>
        <v>0</v>
      </c>
      <c r="CE235" s="607">
        <f>IF(CD$9&gt;0, IF(OR(CD235="",CD235="-"), 0, CD235*$AT235), CC235*$AJ235)</f>
        <v>0</v>
      </c>
      <c r="CF235" s="589">
        <f>[1]COMMANDE!AM233</f>
        <v>0</v>
      </c>
      <c r="CG235" s="586" t="str">
        <f>_xlfn.IFS(AND($AI235=$AM235,$AI235&gt;0,$AM235&gt;0,CF235&gt;0), CF235,     AND(NOT($AI235=$AM235),$AI235&gt;0,$AM235&gt;0,CF235&gt;0), ($AM235*CF235)/$AI235,     AND($AI235=0,$AM235&gt;0,$AQ235&gt;0), IF(INDEX(CF$12:CF$263,MATCH($AQ235,$AP$12:$AP$263,0))&gt;0,($AM235*INDEX(CF$12:CF$263,MATCH($AQ235,$AP$12:$AP$263,0)))/INDEX($AI$12:$AI$263,MATCH($AQ235,$AP$12:$AP$263,0)), "-"),     TRUE, "0")</f>
        <v>0</v>
      </c>
      <c r="CH235" s="588">
        <f>IF(CG$9&gt;0, IF(OR(CG235="",CG235="-"), 0, CG235*$AT235), CF235*$AJ235)</f>
        <v>0</v>
      </c>
      <c r="CI235" s="587">
        <f>[1]COMMANDE!AO233</f>
        <v>0</v>
      </c>
      <c r="CJ235" s="586" t="str">
        <f>_xlfn.IFS(AND($AI235=$AM235,$AI235&gt;0,$AM235&gt;0,CI235&gt;0), CI235,     AND(NOT($AI235=$AM235),$AI235&gt;0,$AM235&gt;0,CI235&gt;0), ($AM235*CI235)/$AI235,     AND($AI235=0,$AM235&gt;0,$AQ235&gt;0), IF(INDEX(CI$12:CI$263,MATCH($AQ235,$AP$12:$AP$263,0))&gt;0,($AM235*INDEX(CI$12:CI$263,MATCH($AQ235,$AP$12:$AP$263,0)))/INDEX($AI$12:$AI$263,MATCH($AQ235,$AP$12:$AP$263,0)), "-"),     TRUE, "0")</f>
        <v>0</v>
      </c>
      <c r="CK235" s="607">
        <f>IF(CJ$9&gt;0, IF(OR(CJ235="",CJ235="-"), 0, CJ235*$AT235), CI235*$AJ235)</f>
        <v>0</v>
      </c>
      <c r="CL235" s="589">
        <f>[1]COMMANDE!AQ233</f>
        <v>0</v>
      </c>
      <c r="CM235" s="586" t="str">
        <f>_xlfn.IFS(AND($AI235=$AM235,$AI235&gt;0,$AM235&gt;0,CL235&gt;0), CL235,     AND(NOT($AI235=$AM235),$AI235&gt;0,$AM235&gt;0,CL235&gt;0), ($AM235*CL235)/$AI235,     AND($AI235=0,$AM235&gt;0,$AQ235&gt;0), IF(INDEX(CL$12:CL$263,MATCH($AQ235,$AP$12:$AP$263,0))&gt;0,($AM235*INDEX(CL$12:CL$263,MATCH($AQ235,$AP$12:$AP$263,0)))/INDEX($AI$12:$AI$263,MATCH($AQ235,$AP$12:$AP$263,0)), "-"),     TRUE, "0")</f>
        <v>0</v>
      </c>
      <c r="CN235" s="588">
        <f>IF(CM$9&gt;0, IF(OR(CM235="",CM235="-"), 0, CM235*$AT235), CL235*$AJ235)</f>
        <v>0</v>
      </c>
      <c r="CO235" s="587">
        <f>[1]COMMANDE!AS233</f>
        <v>0</v>
      </c>
      <c r="CP235" s="586" t="str">
        <f>_xlfn.IFS(AND($AI235=$AM235,$AI235&gt;0,$AM235&gt;0,CO235&gt;0), CO235,     AND(NOT($AI235=$AM235),$AI235&gt;0,$AM235&gt;0,CO235&gt;0), ($AM235*CO235)/$AI235,     AND($AI235=0,$AM235&gt;0,$AQ235&gt;0), IF(INDEX(CO$12:CO$263,MATCH($AQ235,$AP$12:$AP$263,0))&gt;0,($AM235*INDEX(CO$12:CO$263,MATCH($AQ235,$AP$12:$AP$263,0)))/INDEX($AI$12:$AI$263,MATCH($AQ235,$AP$12:$AP$263,0)), "-"),     TRUE, "0")</f>
        <v>0</v>
      </c>
      <c r="CQ235" s="607">
        <f>IF(CP$9&gt;0, IF(OR(CP235="",CP235="-"), 0, CP235*$AT235), CO235*$AJ235)</f>
        <v>0</v>
      </c>
      <c r="CR235" s="589">
        <f>[1]COMMANDE!AU233</f>
        <v>0</v>
      </c>
      <c r="CS235" s="586" t="str">
        <f>_xlfn.IFS(AND($AI235=$AM235,$AI235&gt;0,$AM235&gt;0,CR235&gt;0), CR235,     AND(NOT($AI235=$AM235),$AI235&gt;0,$AM235&gt;0,CR235&gt;0), ($AM235*CR235)/$AI235,     AND($AI235=0,$AM235&gt;0,$AQ235&gt;0), IF(INDEX(CR$12:CR$263,MATCH($AQ235,$AP$12:$AP$263,0))&gt;0,($AM235*INDEX(CR$12:CR$263,MATCH($AQ235,$AP$12:$AP$263,0)))/INDEX($AI$12:$AI$263,MATCH($AQ235,$AP$12:$AP$263,0)), "-"),     TRUE, "0")</f>
        <v>0</v>
      </c>
      <c r="CT235" s="588">
        <f>IF(CS$9&gt;0, IF(OR(CS235="",CS235="-"), 0, CS235*$AT235), CR235*$AJ235)</f>
        <v>0</v>
      </c>
      <c r="CU235" s="587">
        <f>[1]COMMANDE!AW233</f>
        <v>0</v>
      </c>
      <c r="CV235" s="586" t="str">
        <f>_xlfn.IFS(AND($AI235=$AM235,$AI235&gt;0,$AM235&gt;0,CU235&gt;0), CU235,     AND(NOT($AI235=$AM235),$AI235&gt;0,$AM235&gt;0,CU235&gt;0), ($AM235*CU235)/$AI235,     AND($AI235=0,$AM235&gt;0,$AQ235&gt;0), IF(INDEX(CU$12:CU$263,MATCH($AQ235,$AP$12:$AP$263,0))&gt;0,($AM235*INDEX(CU$12:CU$263,MATCH($AQ235,$AP$12:$AP$263,0)))/INDEX($AI$12:$AI$263,MATCH($AQ235,$AP$12:$AP$263,0)), "-"),     TRUE, "0")</f>
        <v>0</v>
      </c>
      <c r="CW235" s="607">
        <f>IF(CV$9&gt;0, IF(OR(CV235="",CV235="-"), 0, CV235*$AT235), CU235*$AJ235)</f>
        <v>0</v>
      </c>
      <c r="CX235" s="589">
        <f>[1]COMMANDE!AY233</f>
        <v>0</v>
      </c>
      <c r="CY235" s="586" t="str">
        <f>_xlfn.IFS(AND($AI235=$AM235,$AI235&gt;0,$AM235&gt;0,CX235&gt;0), CX235,     AND(NOT($AI235=$AM235),$AI235&gt;0,$AM235&gt;0,CX235&gt;0), ($AM235*CX235)/$AI235,     AND($AI235=0,$AM235&gt;0,$AQ235&gt;0), IF(INDEX(CX$12:CX$263,MATCH($AQ235,$AP$12:$AP$263,0))&gt;0,($AM235*INDEX(CX$12:CX$263,MATCH($AQ235,$AP$12:$AP$263,0)))/INDEX($AI$12:$AI$263,MATCH($AQ235,$AP$12:$AP$263,0)), "-"),     TRUE, "0")</f>
        <v>0</v>
      </c>
      <c r="CZ235" s="588">
        <f>IF(CY$9&gt;0, IF(OR(CY235="",CY235="-"), 0, CY235*$AT235), CX235*$AJ235)</f>
        <v>0</v>
      </c>
      <c r="DA235" s="587">
        <f>[1]COMMANDE!BA233</f>
        <v>0</v>
      </c>
      <c r="DB235" s="586" t="str">
        <f>_xlfn.IFS(AND($AI235=$AM235,$AI235&gt;0,$AM235&gt;0,DA235&gt;0), DA235,     AND(NOT($AI235=$AM235),$AI235&gt;0,$AM235&gt;0,DA235&gt;0), ($AM235*DA235)/$AI235,     AND($AI235=0,$AM235&gt;0,$AQ235&gt;0), IF(INDEX(DA$12:DA$263,MATCH($AQ235,$AP$12:$AP$263,0))&gt;0,($AM235*INDEX(DA$12:DA$263,MATCH($AQ235,$AP$12:$AP$263,0)))/INDEX($AI$12:$AI$263,MATCH($AQ235,$AP$12:$AP$263,0)), "-"),     TRUE, "0")</f>
        <v>0</v>
      </c>
      <c r="DC235" s="606">
        <f>IF(DB$9&gt;0, IF(OR(DB235="",DB235="-"), 0, DB235*$AT235), DA235*$AJ235)</f>
        <v>0</v>
      </c>
      <c r="DD235" s="584"/>
      <c r="DE235" s="583"/>
    </row>
    <row r="236" spans="1:109" ht="39.950000000000003" hidden="1" customHeight="1">
      <c r="A236" s="604">
        <f>IF(OR($AV236&gt;0, $AX236&gt;0), 1, 0)</f>
        <v>0</v>
      </c>
      <c r="B236" s="604">
        <f>IF(OR($AY236&gt;0, $BA236&gt;0), 1, 0)</f>
        <v>0</v>
      </c>
      <c r="C236" s="604">
        <f>IF(OR($BB236&gt;0, $BD236&gt;0), 1, 0)</f>
        <v>0</v>
      </c>
      <c r="D236" s="604">
        <f>IF(OR($BE236&gt;0, $BG236&gt;0), 1, 0)</f>
        <v>0</v>
      </c>
      <c r="E236" s="604">
        <f>IF(OR($BH236&gt;0, $BJ236&gt;0), 1, 0)</f>
        <v>0</v>
      </c>
      <c r="F236" s="604">
        <f>IF(OR($BK236&gt;0, $BM236&gt;0), 1, 0)</f>
        <v>0</v>
      </c>
      <c r="G236" s="604">
        <f>IF(OR($BN236&gt;0, $BP236&gt;0), 1, 0)</f>
        <v>0</v>
      </c>
      <c r="H236" s="604">
        <f>IF(OR($BQ236&gt;0, $BS236&gt;0), 1, 0)</f>
        <v>0</v>
      </c>
      <c r="I236" s="604">
        <f>IF(OR($BT236&gt;0, $BV236&gt;0), 1, 0)</f>
        <v>0</v>
      </c>
      <c r="J236" s="604">
        <f>IF(OR($BW236&gt;0, $BY236&gt;0), 1, 0)</f>
        <v>0</v>
      </c>
      <c r="K236" s="604">
        <f>IF(OR($BZ236&gt;0, $CB236&gt;0), 1, 0)</f>
        <v>0</v>
      </c>
      <c r="L236" s="604">
        <f>IF(OR($CC236&gt;0, $CE236&gt;0), 1, 0)</f>
        <v>0</v>
      </c>
      <c r="M236" s="604">
        <f>IF(OR($CF236&gt;0, $CH236&gt;0), 1, 0)</f>
        <v>0</v>
      </c>
      <c r="N236" s="604">
        <f>IF(OR($CI236&gt;0, $CK236&gt;0), 1, 0)</f>
        <v>0</v>
      </c>
      <c r="O236" s="604">
        <f>IF(OR($CL236&gt;0, $CN236&gt;0), 1, 0)</f>
        <v>0</v>
      </c>
      <c r="P236" s="604">
        <f>IF(OR($CO236&gt;0, $CQ236&gt;0), 1, 0)</f>
        <v>0</v>
      </c>
      <c r="Q236" s="604">
        <f>IF(OR($CR236&gt;0, $CT236&gt;0), 1, 0)</f>
        <v>0</v>
      </c>
      <c r="R236" s="604">
        <f>IF(OR($CU236&gt;0, $CW236&gt;0), 1, 0)</f>
        <v>0</v>
      </c>
      <c r="S236" s="604">
        <f>IF(OR($CX236&gt;0, $CZ236&gt;0), 1, 0)</f>
        <v>0</v>
      </c>
      <c r="T236" s="604">
        <f>IF(OR($DA236&gt;0, $DC236&gt;0), 1, 0)</f>
        <v>0</v>
      </c>
      <c r="U236" s="603">
        <f>IF(OR($AI236&gt;0,$AM236&gt;0,$AS236&gt;0), 1, 0)</f>
        <v>0</v>
      </c>
      <c r="V236" s="602">
        <f>[1]BDD!A226</f>
        <v>3876</v>
      </c>
      <c r="W236" s="601" t="str">
        <f>[1]BDD!B226</f>
        <v>Pomme verte Doncella</v>
      </c>
      <c r="X236" s="600" t="str">
        <f>IF([1]BDD!F226=0, "", [1]BDD!F226)</f>
        <v/>
      </c>
      <c r="Y236" s="542">
        <f>ROUND([1]BDD!G226+FDP_CMD_KG, 2)</f>
        <v>3.32</v>
      </c>
      <c r="Z236" s="542">
        <f>ROUND([1]BDD!G226+FDP_FACT_KG, 2)</f>
        <v>3.32</v>
      </c>
      <c r="AA236" s="543" t="str">
        <f>[1]BDD!H226</f>
        <v>kg</v>
      </c>
      <c r="AB236" s="544">
        <f>IF(NOT(ISBLANK([1]BDD!I226)), ROUND(SUM(([1]BDD!G226*reduc1),FDP_CMD_KG), 2), "")</f>
        <v>3.08</v>
      </c>
      <c r="AC236" s="544">
        <f>IF(NOT(ISBLANK([1]BDD!J226)), ROUND(SUM(([1]BDD!G226*reduc2),FDP_CMD_KG), 2), "")</f>
        <v>2.83</v>
      </c>
      <c r="AD236" s="544" t="str">
        <f>IF(NOT(ISBLANK([1]BDD!K226)), ROUND(SUM(([1]BDD!G226*reduc3),FDP_CMD_KG), 2), "")</f>
        <v/>
      </c>
      <c r="AE236" s="544">
        <f>IF(NOT(ISBLANK([1]BDD!I226)), ROUND(SUM(([1]BDD!G226*reduc1),FDP_FACT_KG), 2), "")</f>
        <v>3.07</v>
      </c>
      <c r="AF236" s="544">
        <f>IF(NOT(ISBLANK([1]BDD!J226)), ROUND(SUM(([1]BDD!G226*reduc2),FDP_FACT_KG), 2), "")</f>
        <v>2.83</v>
      </c>
      <c r="AG236" s="544" t="str">
        <f>IF(NOT(ISBLANK([1]BDD!K226)), ROUND(SUM(([1]BDD!G226*reduc3),FDP_FACT_KG), 2), "")</f>
        <v/>
      </c>
      <c r="AH236" s="599" t="str">
        <f>[1]BDD!C226</f>
        <v>Grenade</v>
      </c>
      <c r="AI236" s="598">
        <f>SUM(AV236,AY236,BB236,BE236,BH236,BK236,BN236,BQ236,BT236,BW236,BZ236,CC236,CF236,CI236,CL236,CO236,CR236,CU236,CX236,DA236)</f>
        <v>0</v>
      </c>
      <c r="AJ236" s="545">
        <f>_xlfn.IFS($AD236&lt;&gt;"", $AD236,    $AC236&lt;&gt;"", $AC236,    $AB236&lt;&gt;"", $AB236,    TRUE, $Y236)</f>
        <v>2.83</v>
      </c>
      <c r="AK236" s="592">
        <f>$AI236*$AJ236</f>
        <v>0</v>
      </c>
      <c r="AL236" s="594"/>
      <c r="AM236" s="597"/>
      <c r="AN236" s="545">
        <f>_xlfn.IFS(AND(AM236&gt;=60,$AG236&lt;&gt;""), $AG236,    AND(AM236&gt;=30,$AF236&lt;&gt;""), $AF236,    AND(AM236&gt;=10,$AE236&lt;&gt;""), $AE236,    TRUE, $Z236)</f>
        <v>3.32</v>
      </c>
      <c r="AO236" s="596">
        <f>AM236*AN236</f>
        <v>0</v>
      </c>
      <c r="AP236" s="595"/>
      <c r="AQ236" s="595"/>
      <c r="AR236" s="594"/>
      <c r="AS236" s="593">
        <f>SUM(AW236,AZ236,BC236,BF236,BI236,BL236,BO236,BR236,BU236,BX236,CA236,CD236,CG236,CJ236,CM236,CP236,CS236,CV236,CY236,DB236)</f>
        <v>0</v>
      </c>
      <c r="AT236" s="545">
        <f>_xlfn.IFS(AND(AS236&gt;=60,$AG236&lt;&gt;""), $AG236,    AND(AS236&gt;=30,$AF236&lt;&gt;""), $AF236,    AND(AS236&gt;=10,$AE236&lt;&gt;""), $AE236,    TRUE, $Z236)</f>
        <v>3.32</v>
      </c>
      <c r="AU236" s="592">
        <f>$AS236*$AT236</f>
        <v>0</v>
      </c>
      <c r="AV236" s="591">
        <f>[1]COMMANDE!O234</f>
        <v>0</v>
      </c>
      <c r="AW236" s="586" t="str">
        <f>_xlfn.IFS(AND($AI236=$AM236,$AI236&gt;0,$AM236&gt;0,AV236&gt;0), AV236,     AND(NOT($AI236=$AM236),$AI236&gt;0,$AM236&gt;0,AV236&gt;0), ($AM236*AV236)/$AI236,     AND($AI236=0,$AM236&gt;0,$AQ236&gt;0), IF(INDEX(AV$12:AV$263,MATCH($AQ236,$AP$12:$AP$263,0))&gt;0,($AM236*INDEX(AV$12:AV$263,MATCH($AQ236,$AP$12:$AP$263,0)))/INDEX($AI$12:$AI$263,MATCH($AQ236,$AP$12:$AP$263,0)), "-"),     TRUE, "0")</f>
        <v>0</v>
      </c>
      <c r="AX236" s="588">
        <f>IF(AW$9&gt;0, IF(OR(AW236="",AW236="-"), 0, AW236*$AT236), AV236*$AJ236)</f>
        <v>0</v>
      </c>
      <c r="AY236" s="587">
        <f>[1]COMMANDE!Q234</f>
        <v>0</v>
      </c>
      <c r="AZ236" s="586" t="str">
        <f>_xlfn.IFS(AND($AI236=$AM236,$AI236&gt;0,$AM236&gt;0,AY236&gt;0), AY236,     AND(NOT($AI236=$AM236),$AI236&gt;0,$AM236&gt;0,AY236&gt;0), ($AM236*AY236)/$AI236,     AND($AI236=0,$AM236&gt;0,$AQ236&gt;0), IF(INDEX(AY$12:AY$263,MATCH($AQ236,$AP$12:$AP$263,0))&gt;0,($AM236*INDEX(AY$12:AY$263,MATCH($AQ236,$AP$12:$AP$263,0)))/INDEX($AI$12:$AI$263,MATCH($AQ236,$AP$12:$AP$263,0)), "-"),     TRUE, "0")</f>
        <v>0</v>
      </c>
      <c r="BA236" s="607">
        <f>IF(AZ$9&gt;0, IF(OR(AZ236="",AZ236="-"), 0, AZ236*$AT236), AY236*$AJ236)</f>
        <v>0</v>
      </c>
      <c r="BB236" s="589">
        <f>[1]COMMANDE!S234</f>
        <v>0</v>
      </c>
      <c r="BC236" s="586" t="str">
        <f>_xlfn.IFS(AND($AI236=$AM236,$AI236&gt;0,$AM236&gt;0,BB236&gt;0), BB236,     AND(NOT($AI236=$AM236),$AI236&gt;0,$AM236&gt;0,BB236&gt;0), ($AM236*BB236)/$AI236,     AND($AI236=0,$AM236&gt;0,$AQ236&gt;0), IF(INDEX(BB$12:BB$263,MATCH($AQ236,$AP$12:$AP$263,0))&gt;0,($AM236*INDEX(BB$12:BB$263,MATCH($AQ236,$AP$12:$AP$263,0)))/INDEX($AI$12:$AI$263,MATCH($AQ236,$AP$12:$AP$263,0)), "-"),     TRUE, "0")</f>
        <v>0</v>
      </c>
      <c r="BD236" s="588">
        <f>IF(BC$9&gt;0, IF(OR(BC236="",BC236="-"), 0, BC236*$AT236), BB236*$AJ236)</f>
        <v>0</v>
      </c>
      <c r="BE236" s="587">
        <f>[1]COMMANDE!U234</f>
        <v>0</v>
      </c>
      <c r="BF236" s="586" t="str">
        <f>_xlfn.IFS(AND($AI236=$AM236,$AI236&gt;0,$AM236&gt;0,BE236&gt;0), BE236,     AND(NOT($AI236=$AM236),$AI236&gt;0,$AM236&gt;0,BE236&gt;0), ($AM236*BE236)/$AI236,     AND($AI236=0,$AM236&gt;0,$AQ236&gt;0), IF(INDEX(BE$12:BE$263,MATCH($AQ236,$AP$12:$AP$263,0))&gt;0,($AM236*INDEX(BE$12:BE$263,MATCH($AQ236,$AP$12:$AP$263,0)))/INDEX($AI$12:$AI$263,MATCH($AQ236,$AP$12:$AP$263,0)), "-"),     TRUE, "0")</f>
        <v>0</v>
      </c>
      <c r="BG236" s="607">
        <f>IF(BF$9&gt;0, IF(OR(BF236="",BF236="-"), 0, BF236*$AT236), BE236*$AJ236)</f>
        <v>0</v>
      </c>
      <c r="BH236" s="589">
        <f>[1]COMMANDE!W234</f>
        <v>0</v>
      </c>
      <c r="BI236" s="586" t="str">
        <f>_xlfn.IFS(AND($AI236=$AM236,$AI236&gt;0,$AM236&gt;0,BH236&gt;0), BH236,     AND(NOT($AI236=$AM236),$AI236&gt;0,$AM236&gt;0,BH236&gt;0), ($AM236*BH236)/$AI236,     AND($AI236=0,$AM236&gt;0,$AQ236&gt;0), IF(INDEX(BH$12:BH$263,MATCH($AQ236,$AP$12:$AP$263,0))&gt;0,($AM236*INDEX(BH$12:BH$263,MATCH($AQ236,$AP$12:$AP$263,0)))/INDEX($AI$12:$AI$263,MATCH($AQ236,$AP$12:$AP$263,0)), "-"),     TRUE, "0")</f>
        <v>0</v>
      </c>
      <c r="BJ236" s="588">
        <f>IF(BI$9&gt;0, IF(OR(BI236="",BI236="-"), 0, BI236*$AT236), BH236*$AJ236)</f>
        <v>0</v>
      </c>
      <c r="BK236" s="587">
        <f>[1]COMMANDE!Y234</f>
        <v>0</v>
      </c>
      <c r="BL236" s="586" t="str">
        <f>_xlfn.IFS(AND($AI236=$AM236,$AI236&gt;0,$AM236&gt;0,BK236&gt;0), BK236,     AND(NOT($AI236=$AM236),$AI236&gt;0,$AM236&gt;0,BK236&gt;0), ($AM236*BK236)/$AI236,     AND($AI236=0,$AM236&gt;0,$AQ236&gt;0), IF(INDEX(BK$12:BK$263,MATCH($AQ236,$AP$12:$AP$263,0))&gt;0,($AM236*INDEX(BK$12:BK$263,MATCH($AQ236,$AP$12:$AP$263,0)))/INDEX($AI$12:$AI$263,MATCH($AQ236,$AP$12:$AP$263,0)), "-"),     TRUE, "0")</f>
        <v>0</v>
      </c>
      <c r="BM236" s="607">
        <f>IF(BL$9&gt;0, IF(OR(BL236="",BL236="-"), 0, BL236*$AT236), BK236*$AJ236)</f>
        <v>0</v>
      </c>
      <c r="BN236" s="589">
        <f>[1]COMMANDE!AA234</f>
        <v>0</v>
      </c>
      <c r="BO236" s="586" t="str">
        <f>_xlfn.IFS(AND($AI236=$AM236,$AI236&gt;0,$AM236&gt;0,BN236&gt;0), BN236,     AND(NOT($AI236=$AM236),$AI236&gt;0,$AM236&gt;0,BN236&gt;0), ($AM236*BN236)/$AI236,     AND($AI236=0,$AM236&gt;0,$AQ236&gt;0), IF(INDEX(BN$12:BN$263,MATCH($AQ236,$AP$12:$AP$263,0))&gt;0,($AM236*INDEX(BN$12:BN$263,MATCH($AQ236,$AP$12:$AP$263,0)))/INDEX($AI$12:$AI$263,MATCH($AQ236,$AP$12:$AP$263,0)), "-"),     TRUE, "0")</f>
        <v>0</v>
      </c>
      <c r="BP236" s="588">
        <f>IF(BO$9&gt;0, IF(OR(BO236="",BO236="-"), 0, BO236*$AT236), BN236*$AJ236)</f>
        <v>0</v>
      </c>
      <c r="BQ236" s="587">
        <f>[1]COMMANDE!AC234</f>
        <v>0</v>
      </c>
      <c r="BR236" s="586" t="str">
        <f>_xlfn.IFS(AND($AI236=$AM236,$AI236&gt;0,$AM236&gt;0,BQ236&gt;0), BQ236,     AND(NOT($AI236=$AM236),$AI236&gt;0,$AM236&gt;0,BQ236&gt;0), ($AM236*BQ236)/$AI236,     AND($AI236=0,$AM236&gt;0,$AQ236&gt;0), IF(INDEX(BQ$12:BQ$263,MATCH($AQ236,$AP$12:$AP$263,0))&gt;0,($AM236*INDEX(BQ$12:BQ$263,MATCH($AQ236,$AP$12:$AP$263,0)))/INDEX($AI$12:$AI$263,MATCH($AQ236,$AP$12:$AP$263,0)), "-"),     TRUE, "0")</f>
        <v>0</v>
      </c>
      <c r="BS236" s="607">
        <f>IF(BR$9&gt;0, IF(OR(BR236="",BR236="-"), 0, BR236*$AT236), BQ236*$AJ236)</f>
        <v>0</v>
      </c>
      <c r="BT236" s="589">
        <f>[1]COMMANDE!AE234</f>
        <v>0</v>
      </c>
      <c r="BU236" s="586" t="str">
        <f>_xlfn.IFS(AND($AI236=$AM236,$AI236&gt;0,$AM236&gt;0,BT236&gt;0), BT236,     AND(NOT($AI236=$AM236),$AI236&gt;0,$AM236&gt;0,BT236&gt;0), ($AM236*BT236)/$AI236,     AND($AI236=0,$AM236&gt;0,$AQ236&gt;0), IF(INDEX(BT$12:BT$263,MATCH($AQ236,$AP$12:$AP$263,0))&gt;0,($AM236*INDEX(BT$12:BT$263,MATCH($AQ236,$AP$12:$AP$263,0)))/INDEX($AI$12:$AI$263,MATCH($AQ236,$AP$12:$AP$263,0)), "-"),     TRUE, "0")</f>
        <v>0</v>
      </c>
      <c r="BV236" s="588">
        <f>IF(BU$9&gt;0, IF(OR(BU236="",BU236="-"), 0, BU236*$AT236), BT236*$AJ236)</f>
        <v>0</v>
      </c>
      <c r="BW236" s="587">
        <f>[1]COMMANDE!AG234</f>
        <v>0</v>
      </c>
      <c r="BX236" s="586" t="str">
        <f>_xlfn.IFS(AND($AI236=$AM236,$AI236&gt;0,$AM236&gt;0,BW236&gt;0), BW236,     AND(NOT($AI236=$AM236),$AI236&gt;0,$AM236&gt;0,BW236&gt;0), ($AM236*BW236)/$AI236,     AND($AI236=0,$AM236&gt;0,$AQ236&gt;0), IF(INDEX(BW$12:BW$263,MATCH($AQ236,$AP$12:$AP$263,0))&gt;0,($AM236*INDEX(BW$12:BW$263,MATCH($AQ236,$AP$12:$AP$263,0)))/INDEX($AI$12:$AI$263,MATCH($AQ236,$AP$12:$AP$263,0)), "-"),     TRUE, "0")</f>
        <v>0</v>
      </c>
      <c r="BY236" s="607">
        <f>IF(BX$9&gt;0, IF(OR(BX236="",BX236="-"), 0, BX236*$AT236), BW236*$AJ236)</f>
        <v>0</v>
      </c>
      <c r="BZ236" s="589">
        <f>[1]COMMANDE!AI234</f>
        <v>0</v>
      </c>
      <c r="CA236" s="586" t="str">
        <f>_xlfn.IFS(AND($AI236=$AM236,$AI236&gt;0,$AM236&gt;0,BZ236&gt;0), BZ236,     AND(NOT($AI236=$AM236),$AI236&gt;0,$AM236&gt;0,BZ236&gt;0), ($AM236*BZ236)/$AI236,     AND($AI236=0,$AM236&gt;0,$AQ236&gt;0), IF(INDEX(BZ$12:BZ$263,MATCH($AQ236,$AP$12:$AP$263,0))&gt;0,($AM236*INDEX(BZ$12:BZ$263,MATCH($AQ236,$AP$12:$AP$263,0)))/INDEX($AI$12:$AI$263,MATCH($AQ236,$AP$12:$AP$263,0)), "-"),     TRUE, "0")</f>
        <v>0</v>
      </c>
      <c r="CB236" s="588">
        <f>IF(CA$9&gt;0, IF(OR(CA236="",CA236="-"), 0, CA236*$AT236), BZ236*$AJ236)</f>
        <v>0</v>
      </c>
      <c r="CC236" s="587">
        <f>[1]COMMANDE!AK234</f>
        <v>0</v>
      </c>
      <c r="CD236" s="586" t="str">
        <f>_xlfn.IFS(AND($AI236=$AM236,$AI236&gt;0,$AM236&gt;0,CC236&gt;0), CC236,     AND(NOT($AI236=$AM236),$AI236&gt;0,$AM236&gt;0,CC236&gt;0), ($AM236*CC236)/$AI236,     AND($AI236=0,$AM236&gt;0,$AQ236&gt;0), IF(INDEX(CC$12:CC$263,MATCH($AQ236,$AP$12:$AP$263,0))&gt;0,($AM236*INDEX(CC$12:CC$263,MATCH($AQ236,$AP$12:$AP$263,0)))/INDEX($AI$12:$AI$263,MATCH($AQ236,$AP$12:$AP$263,0)), "-"),     TRUE, "0")</f>
        <v>0</v>
      </c>
      <c r="CE236" s="607">
        <f>IF(CD$9&gt;0, IF(OR(CD236="",CD236="-"), 0, CD236*$AT236), CC236*$AJ236)</f>
        <v>0</v>
      </c>
      <c r="CF236" s="589">
        <f>[1]COMMANDE!AM234</f>
        <v>0</v>
      </c>
      <c r="CG236" s="586" t="str">
        <f>_xlfn.IFS(AND($AI236=$AM236,$AI236&gt;0,$AM236&gt;0,CF236&gt;0), CF236,     AND(NOT($AI236=$AM236),$AI236&gt;0,$AM236&gt;0,CF236&gt;0), ($AM236*CF236)/$AI236,     AND($AI236=0,$AM236&gt;0,$AQ236&gt;0), IF(INDEX(CF$12:CF$263,MATCH($AQ236,$AP$12:$AP$263,0))&gt;0,($AM236*INDEX(CF$12:CF$263,MATCH($AQ236,$AP$12:$AP$263,0)))/INDEX($AI$12:$AI$263,MATCH($AQ236,$AP$12:$AP$263,0)), "-"),     TRUE, "0")</f>
        <v>0</v>
      </c>
      <c r="CH236" s="588">
        <f>IF(CG$9&gt;0, IF(OR(CG236="",CG236="-"), 0, CG236*$AT236), CF236*$AJ236)</f>
        <v>0</v>
      </c>
      <c r="CI236" s="587">
        <f>[1]COMMANDE!AO234</f>
        <v>0</v>
      </c>
      <c r="CJ236" s="586" t="str">
        <f>_xlfn.IFS(AND($AI236=$AM236,$AI236&gt;0,$AM236&gt;0,CI236&gt;0), CI236,     AND(NOT($AI236=$AM236),$AI236&gt;0,$AM236&gt;0,CI236&gt;0), ($AM236*CI236)/$AI236,     AND($AI236=0,$AM236&gt;0,$AQ236&gt;0), IF(INDEX(CI$12:CI$263,MATCH($AQ236,$AP$12:$AP$263,0))&gt;0,($AM236*INDEX(CI$12:CI$263,MATCH($AQ236,$AP$12:$AP$263,0)))/INDEX($AI$12:$AI$263,MATCH($AQ236,$AP$12:$AP$263,0)), "-"),     TRUE, "0")</f>
        <v>0</v>
      </c>
      <c r="CK236" s="607">
        <f>IF(CJ$9&gt;0, IF(OR(CJ236="",CJ236="-"), 0, CJ236*$AT236), CI236*$AJ236)</f>
        <v>0</v>
      </c>
      <c r="CL236" s="589">
        <f>[1]COMMANDE!AQ234</f>
        <v>0</v>
      </c>
      <c r="CM236" s="586" t="str">
        <f>_xlfn.IFS(AND($AI236=$AM236,$AI236&gt;0,$AM236&gt;0,CL236&gt;0), CL236,     AND(NOT($AI236=$AM236),$AI236&gt;0,$AM236&gt;0,CL236&gt;0), ($AM236*CL236)/$AI236,     AND($AI236=0,$AM236&gt;0,$AQ236&gt;0), IF(INDEX(CL$12:CL$263,MATCH($AQ236,$AP$12:$AP$263,0))&gt;0,($AM236*INDEX(CL$12:CL$263,MATCH($AQ236,$AP$12:$AP$263,0)))/INDEX($AI$12:$AI$263,MATCH($AQ236,$AP$12:$AP$263,0)), "-"),     TRUE, "0")</f>
        <v>0</v>
      </c>
      <c r="CN236" s="588">
        <f>IF(CM$9&gt;0, IF(OR(CM236="",CM236="-"), 0, CM236*$AT236), CL236*$AJ236)</f>
        <v>0</v>
      </c>
      <c r="CO236" s="587">
        <f>[1]COMMANDE!AS234</f>
        <v>0</v>
      </c>
      <c r="CP236" s="586" t="str">
        <f>_xlfn.IFS(AND($AI236=$AM236,$AI236&gt;0,$AM236&gt;0,CO236&gt;0), CO236,     AND(NOT($AI236=$AM236),$AI236&gt;0,$AM236&gt;0,CO236&gt;0), ($AM236*CO236)/$AI236,     AND($AI236=0,$AM236&gt;0,$AQ236&gt;0), IF(INDEX(CO$12:CO$263,MATCH($AQ236,$AP$12:$AP$263,0))&gt;0,($AM236*INDEX(CO$12:CO$263,MATCH($AQ236,$AP$12:$AP$263,0)))/INDEX($AI$12:$AI$263,MATCH($AQ236,$AP$12:$AP$263,0)), "-"),     TRUE, "0")</f>
        <v>0</v>
      </c>
      <c r="CQ236" s="607">
        <f>IF(CP$9&gt;0, IF(OR(CP236="",CP236="-"), 0, CP236*$AT236), CO236*$AJ236)</f>
        <v>0</v>
      </c>
      <c r="CR236" s="589">
        <f>[1]COMMANDE!AU234</f>
        <v>0</v>
      </c>
      <c r="CS236" s="586" t="str">
        <f>_xlfn.IFS(AND($AI236=$AM236,$AI236&gt;0,$AM236&gt;0,CR236&gt;0), CR236,     AND(NOT($AI236=$AM236),$AI236&gt;0,$AM236&gt;0,CR236&gt;0), ($AM236*CR236)/$AI236,     AND($AI236=0,$AM236&gt;0,$AQ236&gt;0), IF(INDEX(CR$12:CR$263,MATCH($AQ236,$AP$12:$AP$263,0))&gt;0,($AM236*INDEX(CR$12:CR$263,MATCH($AQ236,$AP$12:$AP$263,0)))/INDEX($AI$12:$AI$263,MATCH($AQ236,$AP$12:$AP$263,0)), "-"),     TRUE, "0")</f>
        <v>0</v>
      </c>
      <c r="CT236" s="588">
        <f>IF(CS$9&gt;0, IF(OR(CS236="",CS236="-"), 0, CS236*$AT236), CR236*$AJ236)</f>
        <v>0</v>
      </c>
      <c r="CU236" s="587">
        <f>[1]COMMANDE!AW234</f>
        <v>0</v>
      </c>
      <c r="CV236" s="586" t="str">
        <f>_xlfn.IFS(AND($AI236=$AM236,$AI236&gt;0,$AM236&gt;0,CU236&gt;0), CU236,     AND(NOT($AI236=$AM236),$AI236&gt;0,$AM236&gt;0,CU236&gt;0), ($AM236*CU236)/$AI236,     AND($AI236=0,$AM236&gt;0,$AQ236&gt;0), IF(INDEX(CU$12:CU$263,MATCH($AQ236,$AP$12:$AP$263,0))&gt;0,($AM236*INDEX(CU$12:CU$263,MATCH($AQ236,$AP$12:$AP$263,0)))/INDEX($AI$12:$AI$263,MATCH($AQ236,$AP$12:$AP$263,0)), "-"),     TRUE, "0")</f>
        <v>0</v>
      </c>
      <c r="CW236" s="607">
        <f>IF(CV$9&gt;0, IF(OR(CV236="",CV236="-"), 0, CV236*$AT236), CU236*$AJ236)</f>
        <v>0</v>
      </c>
      <c r="CX236" s="589">
        <f>[1]COMMANDE!AY234</f>
        <v>0</v>
      </c>
      <c r="CY236" s="586" t="str">
        <f>_xlfn.IFS(AND($AI236=$AM236,$AI236&gt;0,$AM236&gt;0,CX236&gt;0), CX236,     AND(NOT($AI236=$AM236),$AI236&gt;0,$AM236&gt;0,CX236&gt;0), ($AM236*CX236)/$AI236,     AND($AI236=0,$AM236&gt;0,$AQ236&gt;0), IF(INDEX(CX$12:CX$263,MATCH($AQ236,$AP$12:$AP$263,0))&gt;0,($AM236*INDEX(CX$12:CX$263,MATCH($AQ236,$AP$12:$AP$263,0)))/INDEX($AI$12:$AI$263,MATCH($AQ236,$AP$12:$AP$263,0)), "-"),     TRUE, "0")</f>
        <v>0</v>
      </c>
      <c r="CZ236" s="588">
        <f>IF(CY$9&gt;0, IF(OR(CY236="",CY236="-"), 0, CY236*$AT236), CX236*$AJ236)</f>
        <v>0</v>
      </c>
      <c r="DA236" s="587">
        <f>[1]COMMANDE!BA234</f>
        <v>0</v>
      </c>
      <c r="DB236" s="586" t="str">
        <f>_xlfn.IFS(AND($AI236=$AM236,$AI236&gt;0,$AM236&gt;0,DA236&gt;0), DA236,     AND(NOT($AI236=$AM236),$AI236&gt;0,$AM236&gt;0,DA236&gt;0), ($AM236*DA236)/$AI236,     AND($AI236=0,$AM236&gt;0,$AQ236&gt;0), IF(INDEX(DA$12:DA$263,MATCH($AQ236,$AP$12:$AP$263,0))&gt;0,($AM236*INDEX(DA$12:DA$263,MATCH($AQ236,$AP$12:$AP$263,0)))/INDEX($AI$12:$AI$263,MATCH($AQ236,$AP$12:$AP$263,0)), "-"),     TRUE, "0")</f>
        <v>0</v>
      </c>
      <c r="DC236" s="606">
        <f>IF(DB$9&gt;0, IF(OR(DB236="",DB236="-"), 0, DB236*$AT236), DA236*$AJ236)</f>
        <v>0</v>
      </c>
      <c r="DD236" s="584"/>
      <c r="DE236" s="583"/>
    </row>
    <row r="237" spans="1:109" ht="39.950000000000003" hidden="1" customHeight="1">
      <c r="A237" s="604">
        <f>IF(OR($AV237&gt;0, $AX237&gt;0), 1, 0)</f>
        <v>0</v>
      </c>
      <c r="B237" s="604">
        <f>IF(OR($AY237&gt;0, $BA237&gt;0), 1, 0)</f>
        <v>0</v>
      </c>
      <c r="C237" s="604">
        <f>IF(OR($BB237&gt;0, $BD237&gt;0), 1, 0)</f>
        <v>0</v>
      </c>
      <c r="D237" s="604">
        <f>IF(OR($BE237&gt;0, $BG237&gt;0), 1, 0)</f>
        <v>0</v>
      </c>
      <c r="E237" s="604">
        <f>IF(OR($BH237&gt;0, $BJ237&gt;0), 1, 0)</f>
        <v>0</v>
      </c>
      <c r="F237" s="604">
        <f>IF(OR($BK237&gt;0, $BM237&gt;0), 1, 0)</f>
        <v>0</v>
      </c>
      <c r="G237" s="604">
        <f>IF(OR($BN237&gt;0, $BP237&gt;0), 1, 0)</f>
        <v>0</v>
      </c>
      <c r="H237" s="604">
        <f>IF(OR($BQ237&gt;0, $BS237&gt;0), 1, 0)</f>
        <v>0</v>
      </c>
      <c r="I237" s="604">
        <f>IF(OR($BT237&gt;0, $BV237&gt;0), 1, 0)</f>
        <v>0</v>
      </c>
      <c r="J237" s="604">
        <f>IF(OR($BW237&gt;0, $BY237&gt;0), 1, 0)</f>
        <v>0</v>
      </c>
      <c r="K237" s="604">
        <f>IF(OR($BZ237&gt;0, $CB237&gt;0), 1, 0)</f>
        <v>0</v>
      </c>
      <c r="L237" s="604">
        <f>IF(OR($CC237&gt;0, $CE237&gt;0), 1, 0)</f>
        <v>0</v>
      </c>
      <c r="M237" s="604">
        <f>IF(OR($CF237&gt;0, $CH237&gt;0), 1, 0)</f>
        <v>0</v>
      </c>
      <c r="N237" s="604">
        <f>IF(OR($CI237&gt;0, $CK237&gt;0), 1, 0)</f>
        <v>0</v>
      </c>
      <c r="O237" s="604">
        <f>IF(OR($CL237&gt;0, $CN237&gt;0), 1, 0)</f>
        <v>0</v>
      </c>
      <c r="P237" s="604">
        <f>IF(OR($CO237&gt;0, $CQ237&gt;0), 1, 0)</f>
        <v>0</v>
      </c>
      <c r="Q237" s="604">
        <f>IF(OR($CR237&gt;0, $CT237&gt;0), 1, 0)</f>
        <v>0</v>
      </c>
      <c r="R237" s="604">
        <f>IF(OR($CU237&gt;0, $CW237&gt;0), 1, 0)</f>
        <v>0</v>
      </c>
      <c r="S237" s="604">
        <f>IF(OR($CX237&gt;0, $CZ237&gt;0), 1, 0)</f>
        <v>0</v>
      </c>
      <c r="T237" s="604">
        <f>IF(OR($DA237&gt;0, $DC237&gt;0), 1, 0)</f>
        <v>0</v>
      </c>
      <c r="U237" s="603">
        <f>IF(OR($AI237&gt;0,$AM237&gt;0,$AS237&gt;0), 1, 0)</f>
        <v>0</v>
      </c>
      <c r="V237" s="602">
        <f>[1]BDD!A227</f>
        <v>1825</v>
      </c>
      <c r="W237" s="601" t="str">
        <f>[1]BDD!B227</f>
        <v>Quinoa blanc BIO</v>
      </c>
      <c r="X237" s="600" t="str">
        <f>IF([1]BDD!F227=0, "", [1]BDD!F227)</f>
        <v/>
      </c>
      <c r="Y237" s="542">
        <f>ROUND([1]BDD!G227+FDP_CMD_KG, 2)</f>
        <v>9.9</v>
      </c>
      <c r="Z237" s="542">
        <f>ROUND([1]BDD!G227+FDP_FACT_KG, 2)</f>
        <v>9.9</v>
      </c>
      <c r="AA237" s="543" t="str">
        <f>[1]BDD!H227</f>
        <v>kg</v>
      </c>
      <c r="AB237" s="544">
        <f>IF(NOT(ISBLANK([1]BDD!I227)), ROUND(SUM(([1]BDD!G227*reduc1),FDP_CMD_KG), 2), "")</f>
        <v>9</v>
      </c>
      <c r="AC237" s="544" t="str">
        <f>IF(NOT(ISBLANK([1]BDD!J227)), ROUND(SUM(([1]BDD!G227*reduc2),FDP_CMD_KG), 2), "")</f>
        <v/>
      </c>
      <c r="AD237" s="544" t="str">
        <f>IF(NOT(ISBLANK([1]BDD!K227)), ROUND(SUM(([1]BDD!G227*reduc3),FDP_CMD_KG), 2), "")</f>
        <v/>
      </c>
      <c r="AE237" s="544">
        <f>IF(NOT(ISBLANK([1]BDD!I227)), ROUND(SUM(([1]BDD!G227*reduc1),FDP_FACT_KG), 2), "")</f>
        <v>8.99</v>
      </c>
      <c r="AF237" s="544" t="str">
        <f>IF(NOT(ISBLANK([1]BDD!J227)), ROUND(SUM(([1]BDD!G227*reduc2),FDP_FACT_KG), 2), "")</f>
        <v/>
      </c>
      <c r="AG237" s="544" t="str">
        <f>IF(NOT(ISBLANK([1]BDD!K227)), ROUND(SUM(([1]BDD!G227*reduc3),FDP_FACT_KG), 2), "")</f>
        <v/>
      </c>
      <c r="AH237" s="599" t="str">
        <f>[1]BDD!C227</f>
        <v>Import</v>
      </c>
      <c r="AI237" s="598">
        <f>SUM(AV237,AY237,BB237,BE237,BH237,BK237,BN237,BQ237,BT237,BW237,BZ237,CC237,CF237,CI237,CL237,CO237,CR237,CU237,CX237,DA237)</f>
        <v>0</v>
      </c>
      <c r="AJ237" s="545">
        <f>_xlfn.IFS($AD237&lt;&gt;"", $AD237,    $AC237&lt;&gt;"", $AC237,    $AB237&lt;&gt;"", $AB237,    TRUE, $Y237)</f>
        <v>9</v>
      </c>
      <c r="AK237" s="592">
        <f>$AI237*$AJ237</f>
        <v>0</v>
      </c>
      <c r="AL237" s="594"/>
      <c r="AM237" s="597"/>
      <c r="AN237" s="545">
        <f>_xlfn.IFS(AND(AM237&gt;=60,$AG237&lt;&gt;""), $AG237,    AND(AM237&gt;=30,$AF237&lt;&gt;""), $AF237,    AND(AM237&gt;=10,$AE237&lt;&gt;""), $AE237,    TRUE, $Z237)</f>
        <v>9.9</v>
      </c>
      <c r="AO237" s="596">
        <f>AM237*AN237</f>
        <v>0</v>
      </c>
      <c r="AP237" s="595"/>
      <c r="AQ237" s="595"/>
      <c r="AR237" s="594"/>
      <c r="AS237" s="593">
        <f>SUM(AW237,AZ237,BC237,BF237,BI237,BL237,BO237,BR237,BU237,BX237,CA237,CD237,CG237,CJ237,CM237,CP237,CS237,CV237,CY237,DB237)</f>
        <v>0</v>
      </c>
      <c r="AT237" s="545">
        <f>_xlfn.IFS(AND(AS237&gt;=60,$AG237&lt;&gt;""), $AG237,    AND(AS237&gt;=30,$AF237&lt;&gt;""), $AF237,    AND(AS237&gt;=10,$AE237&lt;&gt;""), $AE237,    TRUE, $Z237)</f>
        <v>9.9</v>
      </c>
      <c r="AU237" s="592">
        <f>$AS237*$AT237</f>
        <v>0</v>
      </c>
      <c r="AV237" s="591">
        <f>[1]COMMANDE!O235</f>
        <v>0</v>
      </c>
      <c r="AW237" s="586" t="str">
        <f>_xlfn.IFS(AND($AI237=$AM237,$AI237&gt;0,$AM237&gt;0,AV237&gt;0), AV237,     AND(NOT($AI237=$AM237),$AI237&gt;0,$AM237&gt;0,AV237&gt;0), ($AM237*AV237)/$AI237,     AND($AI237=0,$AM237&gt;0,$AQ237&gt;0), IF(INDEX(AV$12:AV$263,MATCH($AQ237,$AP$12:$AP$263,0))&gt;0,($AM237*INDEX(AV$12:AV$263,MATCH($AQ237,$AP$12:$AP$263,0)))/INDEX($AI$12:$AI$263,MATCH($AQ237,$AP$12:$AP$263,0)), "-"),     TRUE, "0")</f>
        <v>0</v>
      </c>
      <c r="AX237" s="588">
        <f>IF(AW$9&gt;0, IF(OR(AW237="",AW237="-"), 0, AW237*$AT237), AV237*$AJ237)</f>
        <v>0</v>
      </c>
      <c r="AY237" s="587">
        <f>[1]COMMANDE!Q235</f>
        <v>0</v>
      </c>
      <c r="AZ237" s="586" t="str">
        <f>_xlfn.IFS(AND($AI237=$AM237,$AI237&gt;0,$AM237&gt;0,AY237&gt;0), AY237,     AND(NOT($AI237=$AM237),$AI237&gt;0,$AM237&gt;0,AY237&gt;0), ($AM237*AY237)/$AI237,     AND($AI237=0,$AM237&gt;0,$AQ237&gt;0), IF(INDEX(AY$12:AY$263,MATCH($AQ237,$AP$12:$AP$263,0))&gt;0,($AM237*INDEX(AY$12:AY$263,MATCH($AQ237,$AP$12:$AP$263,0)))/INDEX($AI$12:$AI$263,MATCH($AQ237,$AP$12:$AP$263,0)), "-"),     TRUE, "0")</f>
        <v>0</v>
      </c>
      <c r="BA237" s="607">
        <f>IF(AZ$9&gt;0, IF(OR(AZ237="",AZ237="-"), 0, AZ237*$AT237), AY237*$AJ237)</f>
        <v>0</v>
      </c>
      <c r="BB237" s="589">
        <f>[1]COMMANDE!S235</f>
        <v>0</v>
      </c>
      <c r="BC237" s="586" t="str">
        <f>_xlfn.IFS(AND($AI237=$AM237,$AI237&gt;0,$AM237&gt;0,BB237&gt;0), BB237,     AND(NOT($AI237=$AM237),$AI237&gt;0,$AM237&gt;0,BB237&gt;0), ($AM237*BB237)/$AI237,     AND($AI237=0,$AM237&gt;0,$AQ237&gt;0), IF(INDEX(BB$12:BB$263,MATCH($AQ237,$AP$12:$AP$263,0))&gt;0,($AM237*INDEX(BB$12:BB$263,MATCH($AQ237,$AP$12:$AP$263,0)))/INDEX($AI$12:$AI$263,MATCH($AQ237,$AP$12:$AP$263,0)), "-"),     TRUE, "0")</f>
        <v>0</v>
      </c>
      <c r="BD237" s="588">
        <f>IF(BC$9&gt;0, IF(OR(BC237="",BC237="-"), 0, BC237*$AT237), BB237*$AJ237)</f>
        <v>0</v>
      </c>
      <c r="BE237" s="587">
        <f>[1]COMMANDE!U235</f>
        <v>0</v>
      </c>
      <c r="BF237" s="586" t="str">
        <f>_xlfn.IFS(AND($AI237=$AM237,$AI237&gt;0,$AM237&gt;0,BE237&gt;0), BE237,     AND(NOT($AI237=$AM237),$AI237&gt;0,$AM237&gt;0,BE237&gt;0), ($AM237*BE237)/$AI237,     AND($AI237=0,$AM237&gt;0,$AQ237&gt;0), IF(INDEX(BE$12:BE$263,MATCH($AQ237,$AP$12:$AP$263,0))&gt;0,($AM237*INDEX(BE$12:BE$263,MATCH($AQ237,$AP$12:$AP$263,0)))/INDEX($AI$12:$AI$263,MATCH($AQ237,$AP$12:$AP$263,0)), "-"),     TRUE, "0")</f>
        <v>0</v>
      </c>
      <c r="BG237" s="607">
        <f>IF(BF$9&gt;0, IF(OR(BF237="",BF237="-"), 0, BF237*$AT237), BE237*$AJ237)</f>
        <v>0</v>
      </c>
      <c r="BH237" s="589">
        <f>[1]COMMANDE!W235</f>
        <v>0</v>
      </c>
      <c r="BI237" s="586" t="str">
        <f>_xlfn.IFS(AND($AI237=$AM237,$AI237&gt;0,$AM237&gt;0,BH237&gt;0), BH237,     AND(NOT($AI237=$AM237),$AI237&gt;0,$AM237&gt;0,BH237&gt;0), ($AM237*BH237)/$AI237,     AND($AI237=0,$AM237&gt;0,$AQ237&gt;0), IF(INDEX(BH$12:BH$263,MATCH($AQ237,$AP$12:$AP$263,0))&gt;0,($AM237*INDEX(BH$12:BH$263,MATCH($AQ237,$AP$12:$AP$263,0)))/INDEX($AI$12:$AI$263,MATCH($AQ237,$AP$12:$AP$263,0)), "-"),     TRUE, "0")</f>
        <v>0</v>
      </c>
      <c r="BJ237" s="588">
        <f>IF(BI$9&gt;0, IF(OR(BI237="",BI237="-"), 0, BI237*$AT237), BH237*$AJ237)</f>
        <v>0</v>
      </c>
      <c r="BK237" s="587">
        <f>[1]COMMANDE!Y235</f>
        <v>0</v>
      </c>
      <c r="BL237" s="586" t="str">
        <f>_xlfn.IFS(AND($AI237=$AM237,$AI237&gt;0,$AM237&gt;0,BK237&gt;0), BK237,     AND(NOT($AI237=$AM237),$AI237&gt;0,$AM237&gt;0,BK237&gt;0), ($AM237*BK237)/$AI237,     AND($AI237=0,$AM237&gt;0,$AQ237&gt;0), IF(INDEX(BK$12:BK$263,MATCH($AQ237,$AP$12:$AP$263,0))&gt;0,($AM237*INDEX(BK$12:BK$263,MATCH($AQ237,$AP$12:$AP$263,0)))/INDEX($AI$12:$AI$263,MATCH($AQ237,$AP$12:$AP$263,0)), "-"),     TRUE, "0")</f>
        <v>0</v>
      </c>
      <c r="BM237" s="607">
        <f>IF(BL$9&gt;0, IF(OR(BL237="",BL237="-"), 0, BL237*$AT237), BK237*$AJ237)</f>
        <v>0</v>
      </c>
      <c r="BN237" s="589">
        <f>[1]COMMANDE!AA235</f>
        <v>0</v>
      </c>
      <c r="BO237" s="586" t="str">
        <f>_xlfn.IFS(AND($AI237=$AM237,$AI237&gt;0,$AM237&gt;0,BN237&gt;0), BN237,     AND(NOT($AI237=$AM237),$AI237&gt;0,$AM237&gt;0,BN237&gt;0), ($AM237*BN237)/$AI237,     AND($AI237=0,$AM237&gt;0,$AQ237&gt;0), IF(INDEX(BN$12:BN$263,MATCH($AQ237,$AP$12:$AP$263,0))&gt;0,($AM237*INDEX(BN$12:BN$263,MATCH($AQ237,$AP$12:$AP$263,0)))/INDEX($AI$12:$AI$263,MATCH($AQ237,$AP$12:$AP$263,0)), "-"),     TRUE, "0")</f>
        <v>0</v>
      </c>
      <c r="BP237" s="588">
        <f>IF(BO$9&gt;0, IF(OR(BO237="",BO237="-"), 0, BO237*$AT237), BN237*$AJ237)</f>
        <v>0</v>
      </c>
      <c r="BQ237" s="587">
        <f>[1]COMMANDE!AC235</f>
        <v>0</v>
      </c>
      <c r="BR237" s="586" t="str">
        <f>_xlfn.IFS(AND($AI237=$AM237,$AI237&gt;0,$AM237&gt;0,BQ237&gt;0), BQ237,     AND(NOT($AI237=$AM237),$AI237&gt;0,$AM237&gt;0,BQ237&gt;0), ($AM237*BQ237)/$AI237,     AND($AI237=0,$AM237&gt;0,$AQ237&gt;0), IF(INDEX(BQ$12:BQ$263,MATCH($AQ237,$AP$12:$AP$263,0))&gt;0,($AM237*INDEX(BQ$12:BQ$263,MATCH($AQ237,$AP$12:$AP$263,0)))/INDEX($AI$12:$AI$263,MATCH($AQ237,$AP$12:$AP$263,0)), "-"),     TRUE, "0")</f>
        <v>0</v>
      </c>
      <c r="BS237" s="607">
        <f>IF(BR$9&gt;0, IF(OR(BR237="",BR237="-"), 0, BR237*$AT237), BQ237*$AJ237)</f>
        <v>0</v>
      </c>
      <c r="BT237" s="589">
        <f>[1]COMMANDE!AE235</f>
        <v>0</v>
      </c>
      <c r="BU237" s="586" t="str">
        <f>_xlfn.IFS(AND($AI237=$AM237,$AI237&gt;0,$AM237&gt;0,BT237&gt;0), BT237,     AND(NOT($AI237=$AM237),$AI237&gt;0,$AM237&gt;0,BT237&gt;0), ($AM237*BT237)/$AI237,     AND($AI237=0,$AM237&gt;0,$AQ237&gt;0), IF(INDEX(BT$12:BT$263,MATCH($AQ237,$AP$12:$AP$263,0))&gt;0,($AM237*INDEX(BT$12:BT$263,MATCH($AQ237,$AP$12:$AP$263,0)))/INDEX($AI$12:$AI$263,MATCH($AQ237,$AP$12:$AP$263,0)), "-"),     TRUE, "0")</f>
        <v>0</v>
      </c>
      <c r="BV237" s="588">
        <f>IF(BU$9&gt;0, IF(OR(BU237="",BU237="-"), 0, BU237*$AT237), BT237*$AJ237)</f>
        <v>0</v>
      </c>
      <c r="BW237" s="587">
        <f>[1]COMMANDE!AG235</f>
        <v>0</v>
      </c>
      <c r="BX237" s="586" t="str">
        <f>_xlfn.IFS(AND($AI237=$AM237,$AI237&gt;0,$AM237&gt;0,BW237&gt;0), BW237,     AND(NOT($AI237=$AM237),$AI237&gt;0,$AM237&gt;0,BW237&gt;0), ($AM237*BW237)/$AI237,     AND($AI237=0,$AM237&gt;0,$AQ237&gt;0), IF(INDEX(BW$12:BW$263,MATCH($AQ237,$AP$12:$AP$263,0))&gt;0,($AM237*INDEX(BW$12:BW$263,MATCH($AQ237,$AP$12:$AP$263,0)))/INDEX($AI$12:$AI$263,MATCH($AQ237,$AP$12:$AP$263,0)), "-"),     TRUE, "0")</f>
        <v>0</v>
      </c>
      <c r="BY237" s="607">
        <f>IF(BX$9&gt;0, IF(OR(BX237="",BX237="-"), 0, BX237*$AT237), BW237*$AJ237)</f>
        <v>0</v>
      </c>
      <c r="BZ237" s="589">
        <f>[1]COMMANDE!AI235</f>
        <v>0</v>
      </c>
      <c r="CA237" s="586" t="str">
        <f>_xlfn.IFS(AND($AI237=$AM237,$AI237&gt;0,$AM237&gt;0,BZ237&gt;0), BZ237,     AND(NOT($AI237=$AM237),$AI237&gt;0,$AM237&gt;0,BZ237&gt;0), ($AM237*BZ237)/$AI237,     AND($AI237=0,$AM237&gt;0,$AQ237&gt;0), IF(INDEX(BZ$12:BZ$263,MATCH($AQ237,$AP$12:$AP$263,0))&gt;0,($AM237*INDEX(BZ$12:BZ$263,MATCH($AQ237,$AP$12:$AP$263,0)))/INDEX($AI$12:$AI$263,MATCH($AQ237,$AP$12:$AP$263,0)), "-"),     TRUE, "0")</f>
        <v>0</v>
      </c>
      <c r="CB237" s="588">
        <f>IF(CA$9&gt;0, IF(OR(CA237="",CA237="-"), 0, CA237*$AT237), BZ237*$AJ237)</f>
        <v>0</v>
      </c>
      <c r="CC237" s="587">
        <f>[1]COMMANDE!AK235</f>
        <v>0</v>
      </c>
      <c r="CD237" s="586" t="str">
        <f>_xlfn.IFS(AND($AI237=$AM237,$AI237&gt;0,$AM237&gt;0,CC237&gt;0), CC237,     AND(NOT($AI237=$AM237),$AI237&gt;0,$AM237&gt;0,CC237&gt;0), ($AM237*CC237)/$AI237,     AND($AI237=0,$AM237&gt;0,$AQ237&gt;0), IF(INDEX(CC$12:CC$263,MATCH($AQ237,$AP$12:$AP$263,0))&gt;0,($AM237*INDEX(CC$12:CC$263,MATCH($AQ237,$AP$12:$AP$263,0)))/INDEX($AI$12:$AI$263,MATCH($AQ237,$AP$12:$AP$263,0)), "-"),     TRUE, "0")</f>
        <v>0</v>
      </c>
      <c r="CE237" s="607">
        <f>IF(CD$9&gt;0, IF(OR(CD237="",CD237="-"), 0, CD237*$AT237), CC237*$AJ237)</f>
        <v>0</v>
      </c>
      <c r="CF237" s="589">
        <f>[1]COMMANDE!AM235</f>
        <v>0</v>
      </c>
      <c r="CG237" s="586" t="str">
        <f>_xlfn.IFS(AND($AI237=$AM237,$AI237&gt;0,$AM237&gt;0,CF237&gt;0), CF237,     AND(NOT($AI237=$AM237),$AI237&gt;0,$AM237&gt;0,CF237&gt;0), ($AM237*CF237)/$AI237,     AND($AI237=0,$AM237&gt;0,$AQ237&gt;0), IF(INDEX(CF$12:CF$263,MATCH($AQ237,$AP$12:$AP$263,0))&gt;0,($AM237*INDEX(CF$12:CF$263,MATCH($AQ237,$AP$12:$AP$263,0)))/INDEX($AI$12:$AI$263,MATCH($AQ237,$AP$12:$AP$263,0)), "-"),     TRUE, "0")</f>
        <v>0</v>
      </c>
      <c r="CH237" s="588">
        <f>IF(CG$9&gt;0, IF(OR(CG237="",CG237="-"), 0, CG237*$AT237), CF237*$AJ237)</f>
        <v>0</v>
      </c>
      <c r="CI237" s="587">
        <f>[1]COMMANDE!AO235</f>
        <v>0</v>
      </c>
      <c r="CJ237" s="586" t="str">
        <f>_xlfn.IFS(AND($AI237=$AM237,$AI237&gt;0,$AM237&gt;0,CI237&gt;0), CI237,     AND(NOT($AI237=$AM237),$AI237&gt;0,$AM237&gt;0,CI237&gt;0), ($AM237*CI237)/$AI237,     AND($AI237=0,$AM237&gt;0,$AQ237&gt;0), IF(INDEX(CI$12:CI$263,MATCH($AQ237,$AP$12:$AP$263,0))&gt;0,($AM237*INDEX(CI$12:CI$263,MATCH($AQ237,$AP$12:$AP$263,0)))/INDEX($AI$12:$AI$263,MATCH($AQ237,$AP$12:$AP$263,0)), "-"),     TRUE, "0")</f>
        <v>0</v>
      </c>
      <c r="CK237" s="607">
        <f>IF(CJ$9&gt;0, IF(OR(CJ237="",CJ237="-"), 0, CJ237*$AT237), CI237*$AJ237)</f>
        <v>0</v>
      </c>
      <c r="CL237" s="589">
        <f>[1]COMMANDE!AQ235</f>
        <v>0</v>
      </c>
      <c r="CM237" s="586" t="str">
        <f>_xlfn.IFS(AND($AI237=$AM237,$AI237&gt;0,$AM237&gt;0,CL237&gt;0), CL237,     AND(NOT($AI237=$AM237),$AI237&gt;0,$AM237&gt;0,CL237&gt;0), ($AM237*CL237)/$AI237,     AND($AI237=0,$AM237&gt;0,$AQ237&gt;0), IF(INDEX(CL$12:CL$263,MATCH($AQ237,$AP$12:$AP$263,0))&gt;0,($AM237*INDEX(CL$12:CL$263,MATCH($AQ237,$AP$12:$AP$263,0)))/INDEX($AI$12:$AI$263,MATCH($AQ237,$AP$12:$AP$263,0)), "-"),     TRUE, "0")</f>
        <v>0</v>
      </c>
      <c r="CN237" s="588">
        <f>IF(CM$9&gt;0, IF(OR(CM237="",CM237="-"), 0, CM237*$AT237), CL237*$AJ237)</f>
        <v>0</v>
      </c>
      <c r="CO237" s="587">
        <f>[1]COMMANDE!AS235</f>
        <v>0</v>
      </c>
      <c r="CP237" s="586" t="str">
        <f>_xlfn.IFS(AND($AI237=$AM237,$AI237&gt;0,$AM237&gt;0,CO237&gt;0), CO237,     AND(NOT($AI237=$AM237),$AI237&gt;0,$AM237&gt;0,CO237&gt;0), ($AM237*CO237)/$AI237,     AND($AI237=0,$AM237&gt;0,$AQ237&gt;0), IF(INDEX(CO$12:CO$263,MATCH($AQ237,$AP$12:$AP$263,0))&gt;0,($AM237*INDEX(CO$12:CO$263,MATCH($AQ237,$AP$12:$AP$263,0)))/INDEX($AI$12:$AI$263,MATCH($AQ237,$AP$12:$AP$263,0)), "-"),     TRUE, "0")</f>
        <v>0</v>
      </c>
      <c r="CQ237" s="607">
        <f>IF(CP$9&gt;0, IF(OR(CP237="",CP237="-"), 0, CP237*$AT237), CO237*$AJ237)</f>
        <v>0</v>
      </c>
      <c r="CR237" s="589">
        <f>[1]COMMANDE!AU235</f>
        <v>0</v>
      </c>
      <c r="CS237" s="586" t="str">
        <f>_xlfn.IFS(AND($AI237=$AM237,$AI237&gt;0,$AM237&gt;0,CR237&gt;0), CR237,     AND(NOT($AI237=$AM237),$AI237&gt;0,$AM237&gt;0,CR237&gt;0), ($AM237*CR237)/$AI237,     AND($AI237=0,$AM237&gt;0,$AQ237&gt;0), IF(INDEX(CR$12:CR$263,MATCH($AQ237,$AP$12:$AP$263,0))&gt;0,($AM237*INDEX(CR$12:CR$263,MATCH($AQ237,$AP$12:$AP$263,0)))/INDEX($AI$12:$AI$263,MATCH($AQ237,$AP$12:$AP$263,0)), "-"),     TRUE, "0")</f>
        <v>0</v>
      </c>
      <c r="CT237" s="588">
        <f>IF(CS$9&gt;0, IF(OR(CS237="",CS237="-"), 0, CS237*$AT237), CR237*$AJ237)</f>
        <v>0</v>
      </c>
      <c r="CU237" s="587">
        <f>[1]COMMANDE!AW235</f>
        <v>0</v>
      </c>
      <c r="CV237" s="586" t="str">
        <f>_xlfn.IFS(AND($AI237=$AM237,$AI237&gt;0,$AM237&gt;0,CU237&gt;0), CU237,     AND(NOT($AI237=$AM237),$AI237&gt;0,$AM237&gt;0,CU237&gt;0), ($AM237*CU237)/$AI237,     AND($AI237=0,$AM237&gt;0,$AQ237&gt;0), IF(INDEX(CU$12:CU$263,MATCH($AQ237,$AP$12:$AP$263,0))&gt;0,($AM237*INDEX(CU$12:CU$263,MATCH($AQ237,$AP$12:$AP$263,0)))/INDEX($AI$12:$AI$263,MATCH($AQ237,$AP$12:$AP$263,0)), "-"),     TRUE, "0")</f>
        <v>0</v>
      </c>
      <c r="CW237" s="607">
        <f>IF(CV$9&gt;0, IF(OR(CV237="",CV237="-"), 0, CV237*$AT237), CU237*$AJ237)</f>
        <v>0</v>
      </c>
      <c r="CX237" s="589">
        <f>[1]COMMANDE!AY235</f>
        <v>0</v>
      </c>
      <c r="CY237" s="586" t="str">
        <f>_xlfn.IFS(AND($AI237=$AM237,$AI237&gt;0,$AM237&gt;0,CX237&gt;0), CX237,     AND(NOT($AI237=$AM237),$AI237&gt;0,$AM237&gt;0,CX237&gt;0), ($AM237*CX237)/$AI237,     AND($AI237=0,$AM237&gt;0,$AQ237&gt;0), IF(INDEX(CX$12:CX$263,MATCH($AQ237,$AP$12:$AP$263,0))&gt;0,($AM237*INDEX(CX$12:CX$263,MATCH($AQ237,$AP$12:$AP$263,0)))/INDEX($AI$12:$AI$263,MATCH($AQ237,$AP$12:$AP$263,0)), "-"),     TRUE, "0")</f>
        <v>0</v>
      </c>
      <c r="CZ237" s="588">
        <f>IF(CY$9&gt;0, IF(OR(CY237="",CY237="-"), 0, CY237*$AT237), CX237*$AJ237)</f>
        <v>0</v>
      </c>
      <c r="DA237" s="587">
        <f>[1]COMMANDE!BA235</f>
        <v>0</v>
      </c>
      <c r="DB237" s="586" t="str">
        <f>_xlfn.IFS(AND($AI237=$AM237,$AI237&gt;0,$AM237&gt;0,DA237&gt;0), DA237,     AND(NOT($AI237=$AM237),$AI237&gt;0,$AM237&gt;0,DA237&gt;0), ($AM237*DA237)/$AI237,     AND($AI237=0,$AM237&gt;0,$AQ237&gt;0), IF(INDEX(DA$12:DA$263,MATCH($AQ237,$AP$12:$AP$263,0))&gt;0,($AM237*INDEX(DA$12:DA$263,MATCH($AQ237,$AP$12:$AP$263,0)))/INDEX($AI$12:$AI$263,MATCH($AQ237,$AP$12:$AP$263,0)), "-"),     TRUE, "0")</f>
        <v>0</v>
      </c>
      <c r="DC237" s="606">
        <f>IF(DB$9&gt;0, IF(OR(DB237="",DB237="-"), 0, DB237*$AT237), DA237*$AJ237)</f>
        <v>0</v>
      </c>
      <c r="DD237" s="584"/>
      <c r="DE237" s="583"/>
    </row>
    <row r="238" spans="1:109" ht="39.950000000000003" hidden="1" customHeight="1">
      <c r="A238" s="605">
        <f>IF(OR($AV238&gt;0, $AX238&gt;0), 1, 0)</f>
        <v>0</v>
      </c>
      <c r="B238" s="605">
        <f>IF(OR($AY238&gt;0, $BA238&gt;0), 1, 0)</f>
        <v>0</v>
      </c>
      <c r="C238" s="605">
        <f>IF(OR($BB238&gt;0, $BD238&gt;0), 1, 0)</f>
        <v>0</v>
      </c>
      <c r="D238" s="605">
        <f>IF(OR($BE238&gt;0, $BG238&gt;0), 1, 0)</f>
        <v>0</v>
      </c>
      <c r="E238" s="605">
        <f>IF(OR($BH238&gt;0, $BJ238&gt;0), 1, 0)</f>
        <v>0</v>
      </c>
      <c r="F238" s="605">
        <f>IF(OR($BK238&gt;0, $BM238&gt;0), 1, 0)</f>
        <v>0</v>
      </c>
      <c r="G238" s="605">
        <f>IF(OR($BN238&gt;0, $BP238&gt;0), 1, 0)</f>
        <v>0</v>
      </c>
      <c r="H238" s="605">
        <f>IF(OR($BQ238&gt;0, $BS238&gt;0), 1, 0)</f>
        <v>0</v>
      </c>
      <c r="I238" s="605">
        <f>IF(OR($BT238&gt;0, $BV238&gt;0), 1, 0)</f>
        <v>0</v>
      </c>
      <c r="J238" s="605">
        <f>IF(OR($BW238&gt;0, $BY238&gt;0), 1, 0)</f>
        <v>0</v>
      </c>
      <c r="K238" s="605">
        <f>IF(OR($BZ238&gt;0, $CB238&gt;0), 1, 0)</f>
        <v>0</v>
      </c>
      <c r="L238" s="605">
        <f>IF(OR($CC238&gt;0, $CE238&gt;0), 1, 0)</f>
        <v>0</v>
      </c>
      <c r="M238" s="605">
        <f>IF(OR($CF238&gt;0, $CH238&gt;0), 1, 0)</f>
        <v>0</v>
      </c>
      <c r="N238" s="605">
        <f>IF(OR($CI238&gt;0, $CK238&gt;0), 1, 0)</f>
        <v>0</v>
      </c>
      <c r="O238" s="605">
        <f>IF(OR($CL238&gt;0, $CN238&gt;0), 1, 0)</f>
        <v>0</v>
      </c>
      <c r="P238" s="604">
        <f>IF(OR($CO238&gt;0, $CQ238&gt;0), 1, 0)</f>
        <v>0</v>
      </c>
      <c r="Q238" s="604">
        <f>IF(OR($CR238&gt;0, $CT238&gt;0), 1, 0)</f>
        <v>0</v>
      </c>
      <c r="R238" s="604">
        <f>IF(OR($CU238&gt;0, $CW238&gt;0), 1, 0)</f>
        <v>0</v>
      </c>
      <c r="S238" s="604">
        <f>IF(OR($CX238&gt;0, $CZ238&gt;0), 1, 0)</f>
        <v>0</v>
      </c>
      <c r="T238" s="604">
        <f>IF(OR($DA238&gt;0, $DC238&gt;0), 1, 0)</f>
        <v>0</v>
      </c>
      <c r="U238" s="603">
        <f>IF(OR($AI238&gt;0,$AM238&gt;0,$AS238&gt;0), 1, 0)</f>
        <v>0</v>
      </c>
      <c r="V238" s="602">
        <f>[1]BDD!A228</f>
        <v>3824</v>
      </c>
      <c r="W238" s="601" t="str">
        <f>[1]BDD!B228</f>
        <v>Radis Daikon</v>
      </c>
      <c r="X238" s="600" t="str">
        <f>IF([1]BDD!F228=0, "", [1]BDD!F228)</f>
        <v>❤️</v>
      </c>
      <c r="Y238" s="542">
        <f>ROUND([1]BDD!G228+FDP_CMD_KG, 2)</f>
        <v>3.32</v>
      </c>
      <c r="Z238" s="542">
        <f>ROUND([1]BDD!G228+FDP_FACT_KG, 2)</f>
        <v>3.32</v>
      </c>
      <c r="AA238" s="543" t="str">
        <f>[1]BDD!H228</f>
        <v>kg</v>
      </c>
      <c r="AB238" s="544">
        <f>IF(NOT(ISBLANK([1]BDD!I228)), ROUND(SUM(([1]BDD!G228*reduc1),FDP_CMD_KG), 2), "")</f>
        <v>3.08</v>
      </c>
      <c r="AC238" s="544" t="str">
        <f>IF(NOT(ISBLANK([1]BDD!J228)), ROUND(SUM(([1]BDD!G228*reduc2),FDP_CMD_KG), 2), "")</f>
        <v/>
      </c>
      <c r="AD238" s="544" t="str">
        <f>IF(NOT(ISBLANK([1]BDD!K228)), ROUND(SUM(([1]BDD!G228*reduc3),FDP_CMD_KG), 2), "")</f>
        <v/>
      </c>
      <c r="AE238" s="544">
        <f>IF(NOT(ISBLANK([1]BDD!I228)), ROUND(SUM(([1]BDD!G228*reduc1),FDP_FACT_KG), 2), "")</f>
        <v>3.07</v>
      </c>
      <c r="AF238" s="544" t="str">
        <f>IF(NOT(ISBLANK([1]BDD!J228)), ROUND(SUM(([1]BDD!G228*reduc2),FDP_FACT_KG), 2), "")</f>
        <v/>
      </c>
      <c r="AG238" s="544" t="str">
        <f>IF(NOT(ISBLANK([1]BDD!K228)), ROUND(SUM(([1]BDD!G228*reduc3),FDP_FACT_KG), 2), "")</f>
        <v/>
      </c>
      <c r="AH238" s="599" t="str">
        <f>[1]BDD!C228</f>
        <v>Espagne</v>
      </c>
      <c r="AI238" s="598">
        <f>SUM(AV238,AY238,BB238,BE238,BH238,BK238,BN238,BQ238,BT238,BW238,BZ238,CC238,CF238,CI238,CL238,CO238,CR238,CU238,CX238,DA238)</f>
        <v>0</v>
      </c>
      <c r="AJ238" s="545">
        <f>_xlfn.IFS($AD238&lt;&gt;"", $AD238,    $AC238&lt;&gt;"", $AC238,    $AB238&lt;&gt;"", $AB238,    TRUE, $Y238)</f>
        <v>3.08</v>
      </c>
      <c r="AK238" s="592">
        <f>$AI238*$AJ238</f>
        <v>0</v>
      </c>
      <c r="AL238" s="594"/>
      <c r="AM238" s="597"/>
      <c r="AN238" s="545">
        <f>_xlfn.IFS(AND(AM238&gt;=60,$AG238&lt;&gt;""), $AG238,    AND(AM238&gt;=30,$AF238&lt;&gt;""), $AF238,    AND(AM238&gt;=10,$AE238&lt;&gt;""), $AE238,    TRUE, $Z238)</f>
        <v>3.32</v>
      </c>
      <c r="AO238" s="596">
        <f>AM238*AN238</f>
        <v>0</v>
      </c>
      <c r="AP238" s="595"/>
      <c r="AQ238" s="595"/>
      <c r="AR238" s="594"/>
      <c r="AS238" s="593">
        <f>SUM(AW238,AZ238,BC238,BF238,BI238,BL238,BO238,BR238,BU238,BX238,CA238,CD238,CG238,CJ238,CM238,CP238,CS238,CV238,CY238,DB238)</f>
        <v>0</v>
      </c>
      <c r="AT238" s="545">
        <f>_xlfn.IFS(AND(AS238&gt;=60,$AG238&lt;&gt;""), $AG238,    AND(AS238&gt;=30,$AF238&lt;&gt;""), $AF238,    AND(AS238&gt;=10,$AE238&lt;&gt;""), $AE238,    TRUE, $Z238)</f>
        <v>3.32</v>
      </c>
      <c r="AU238" s="592">
        <f>$AS238*$AT238</f>
        <v>0</v>
      </c>
      <c r="AV238" s="591">
        <f>[1]COMMANDE!O236</f>
        <v>0</v>
      </c>
      <c r="AW238" s="586" t="str">
        <f>_xlfn.IFS(AND($AI238=$AM238,$AI238&gt;0,$AM238&gt;0,AV238&gt;0), AV238,     AND(NOT($AI238=$AM238),$AI238&gt;0,$AM238&gt;0,AV238&gt;0), ($AM238*AV238)/$AI238,     AND($AI238=0,$AM238&gt;0,$AQ238&gt;0), IF(INDEX(AV$12:AV$263,MATCH($AQ238,$AP$12:$AP$263,0))&gt;0,($AM238*INDEX(AV$12:AV$263,MATCH($AQ238,$AP$12:$AP$263,0)))/INDEX($AI$12:$AI$263,MATCH($AQ238,$AP$12:$AP$263,0)), "-"),     TRUE, "0")</f>
        <v>0</v>
      </c>
      <c r="AX238" s="588">
        <f>IF(AW$9&gt;0, IF(OR(AW238="",AW238="-"), 0, AW238*$AT238), AV238*$AJ238)</f>
        <v>0</v>
      </c>
      <c r="AY238" s="587">
        <f>[1]COMMANDE!Q236</f>
        <v>0</v>
      </c>
      <c r="AZ238" s="586" t="str">
        <f>_xlfn.IFS(AND($AI238=$AM238,$AI238&gt;0,$AM238&gt;0,AY238&gt;0), AY238,     AND(NOT($AI238=$AM238),$AI238&gt;0,$AM238&gt;0,AY238&gt;0), ($AM238*AY238)/$AI238,     AND($AI238=0,$AM238&gt;0,$AQ238&gt;0), IF(INDEX(AY$12:AY$263,MATCH($AQ238,$AP$12:$AP$263,0))&gt;0,($AM238*INDEX(AY$12:AY$263,MATCH($AQ238,$AP$12:$AP$263,0)))/INDEX($AI$12:$AI$263,MATCH($AQ238,$AP$12:$AP$263,0)), "-"),     TRUE, "0")</f>
        <v>0</v>
      </c>
      <c r="BA238" s="607">
        <f>IF(AZ$9&gt;0, IF(OR(AZ238="",AZ238="-"), 0, AZ238*$AT238), AY238*$AJ238)</f>
        <v>0</v>
      </c>
      <c r="BB238" s="589">
        <f>[1]COMMANDE!S236</f>
        <v>0</v>
      </c>
      <c r="BC238" s="586" t="str">
        <f>_xlfn.IFS(AND($AI238=$AM238,$AI238&gt;0,$AM238&gt;0,BB238&gt;0), BB238,     AND(NOT($AI238=$AM238),$AI238&gt;0,$AM238&gt;0,BB238&gt;0), ($AM238*BB238)/$AI238,     AND($AI238=0,$AM238&gt;0,$AQ238&gt;0), IF(INDEX(BB$12:BB$263,MATCH($AQ238,$AP$12:$AP$263,0))&gt;0,($AM238*INDEX(BB$12:BB$263,MATCH($AQ238,$AP$12:$AP$263,0)))/INDEX($AI$12:$AI$263,MATCH($AQ238,$AP$12:$AP$263,0)), "-"),     TRUE, "0")</f>
        <v>0</v>
      </c>
      <c r="BD238" s="588">
        <f>IF(BC$9&gt;0, IF(OR(BC238="",BC238="-"), 0, BC238*$AT238), BB238*$AJ238)</f>
        <v>0</v>
      </c>
      <c r="BE238" s="587">
        <f>[1]COMMANDE!U236</f>
        <v>0</v>
      </c>
      <c r="BF238" s="586" t="str">
        <f>_xlfn.IFS(AND($AI238=$AM238,$AI238&gt;0,$AM238&gt;0,BE238&gt;0), BE238,     AND(NOT($AI238=$AM238),$AI238&gt;0,$AM238&gt;0,BE238&gt;0), ($AM238*BE238)/$AI238,     AND($AI238=0,$AM238&gt;0,$AQ238&gt;0), IF(INDEX(BE$12:BE$263,MATCH($AQ238,$AP$12:$AP$263,0))&gt;0,($AM238*INDEX(BE$12:BE$263,MATCH($AQ238,$AP$12:$AP$263,0)))/INDEX($AI$12:$AI$263,MATCH($AQ238,$AP$12:$AP$263,0)), "-"),     TRUE, "0")</f>
        <v>0</v>
      </c>
      <c r="BG238" s="607">
        <f>IF(BF$9&gt;0, IF(OR(BF238="",BF238="-"), 0, BF238*$AT238), BE238*$AJ238)</f>
        <v>0</v>
      </c>
      <c r="BH238" s="589">
        <f>[1]COMMANDE!W236</f>
        <v>0</v>
      </c>
      <c r="BI238" s="586" t="str">
        <f>_xlfn.IFS(AND($AI238=$AM238,$AI238&gt;0,$AM238&gt;0,BH238&gt;0), BH238,     AND(NOT($AI238=$AM238),$AI238&gt;0,$AM238&gt;0,BH238&gt;0), ($AM238*BH238)/$AI238,     AND($AI238=0,$AM238&gt;0,$AQ238&gt;0), IF(INDEX(BH$12:BH$263,MATCH($AQ238,$AP$12:$AP$263,0))&gt;0,($AM238*INDEX(BH$12:BH$263,MATCH($AQ238,$AP$12:$AP$263,0)))/INDEX($AI$12:$AI$263,MATCH($AQ238,$AP$12:$AP$263,0)), "-"),     TRUE, "0")</f>
        <v>0</v>
      </c>
      <c r="BJ238" s="588">
        <f>IF(BI$9&gt;0, IF(OR(BI238="",BI238="-"), 0, BI238*$AT238), BH238*$AJ238)</f>
        <v>0</v>
      </c>
      <c r="BK238" s="587">
        <f>[1]COMMANDE!Y236</f>
        <v>0</v>
      </c>
      <c r="BL238" s="586" t="str">
        <f>_xlfn.IFS(AND($AI238=$AM238,$AI238&gt;0,$AM238&gt;0,BK238&gt;0), BK238,     AND(NOT($AI238=$AM238),$AI238&gt;0,$AM238&gt;0,BK238&gt;0), ($AM238*BK238)/$AI238,     AND($AI238=0,$AM238&gt;0,$AQ238&gt;0), IF(INDEX(BK$12:BK$263,MATCH($AQ238,$AP$12:$AP$263,0))&gt;0,($AM238*INDEX(BK$12:BK$263,MATCH($AQ238,$AP$12:$AP$263,0)))/INDEX($AI$12:$AI$263,MATCH($AQ238,$AP$12:$AP$263,0)), "-"),     TRUE, "0")</f>
        <v>0</v>
      </c>
      <c r="BM238" s="607">
        <f>IF(BL$9&gt;0, IF(OR(BL238="",BL238="-"), 0, BL238*$AT238), BK238*$AJ238)</f>
        <v>0</v>
      </c>
      <c r="BN238" s="589">
        <f>[1]COMMANDE!AA236</f>
        <v>0</v>
      </c>
      <c r="BO238" s="586" t="str">
        <f>_xlfn.IFS(AND($AI238=$AM238,$AI238&gt;0,$AM238&gt;0,BN238&gt;0), BN238,     AND(NOT($AI238=$AM238),$AI238&gt;0,$AM238&gt;0,BN238&gt;0), ($AM238*BN238)/$AI238,     AND($AI238=0,$AM238&gt;0,$AQ238&gt;0), IF(INDEX(BN$12:BN$263,MATCH($AQ238,$AP$12:$AP$263,0))&gt;0,($AM238*INDEX(BN$12:BN$263,MATCH($AQ238,$AP$12:$AP$263,0)))/INDEX($AI$12:$AI$263,MATCH($AQ238,$AP$12:$AP$263,0)), "-"),     TRUE, "0")</f>
        <v>0</v>
      </c>
      <c r="BP238" s="588">
        <f>IF(BO$9&gt;0, IF(OR(BO238="",BO238="-"), 0, BO238*$AT238), BN238*$AJ238)</f>
        <v>0</v>
      </c>
      <c r="BQ238" s="587">
        <f>[1]COMMANDE!AC236</f>
        <v>0</v>
      </c>
      <c r="BR238" s="586" t="str">
        <f>_xlfn.IFS(AND($AI238=$AM238,$AI238&gt;0,$AM238&gt;0,BQ238&gt;0), BQ238,     AND(NOT($AI238=$AM238),$AI238&gt;0,$AM238&gt;0,BQ238&gt;0), ($AM238*BQ238)/$AI238,     AND($AI238=0,$AM238&gt;0,$AQ238&gt;0), IF(INDEX(BQ$12:BQ$263,MATCH($AQ238,$AP$12:$AP$263,0))&gt;0,($AM238*INDEX(BQ$12:BQ$263,MATCH($AQ238,$AP$12:$AP$263,0)))/INDEX($AI$12:$AI$263,MATCH($AQ238,$AP$12:$AP$263,0)), "-"),     TRUE, "0")</f>
        <v>0</v>
      </c>
      <c r="BS238" s="607">
        <f>IF(BR$9&gt;0, IF(OR(BR238="",BR238="-"), 0, BR238*$AT238), BQ238*$AJ238)</f>
        <v>0</v>
      </c>
      <c r="BT238" s="589">
        <f>[1]COMMANDE!AE236</f>
        <v>0</v>
      </c>
      <c r="BU238" s="586" t="str">
        <f>_xlfn.IFS(AND($AI238=$AM238,$AI238&gt;0,$AM238&gt;0,BT238&gt;0), BT238,     AND(NOT($AI238=$AM238),$AI238&gt;0,$AM238&gt;0,BT238&gt;0), ($AM238*BT238)/$AI238,     AND($AI238=0,$AM238&gt;0,$AQ238&gt;0), IF(INDEX(BT$12:BT$263,MATCH($AQ238,$AP$12:$AP$263,0))&gt;0,($AM238*INDEX(BT$12:BT$263,MATCH($AQ238,$AP$12:$AP$263,0)))/INDEX($AI$12:$AI$263,MATCH($AQ238,$AP$12:$AP$263,0)), "-"),     TRUE, "0")</f>
        <v>0</v>
      </c>
      <c r="BV238" s="588">
        <f>IF(BU$9&gt;0, IF(OR(BU238="",BU238="-"), 0, BU238*$AT238), BT238*$AJ238)</f>
        <v>0</v>
      </c>
      <c r="BW238" s="587">
        <f>[1]COMMANDE!AG236</f>
        <v>0</v>
      </c>
      <c r="BX238" s="586" t="str">
        <f>_xlfn.IFS(AND($AI238=$AM238,$AI238&gt;0,$AM238&gt;0,BW238&gt;0), BW238,     AND(NOT($AI238=$AM238),$AI238&gt;0,$AM238&gt;0,BW238&gt;0), ($AM238*BW238)/$AI238,     AND($AI238=0,$AM238&gt;0,$AQ238&gt;0), IF(INDEX(BW$12:BW$263,MATCH($AQ238,$AP$12:$AP$263,0))&gt;0,($AM238*INDEX(BW$12:BW$263,MATCH($AQ238,$AP$12:$AP$263,0)))/INDEX($AI$12:$AI$263,MATCH($AQ238,$AP$12:$AP$263,0)), "-"),     TRUE, "0")</f>
        <v>0</v>
      </c>
      <c r="BY238" s="607">
        <f>IF(BX$9&gt;0, IF(OR(BX238="",BX238="-"), 0, BX238*$AT238), BW238*$AJ238)</f>
        <v>0</v>
      </c>
      <c r="BZ238" s="589">
        <f>[1]COMMANDE!AI236</f>
        <v>0</v>
      </c>
      <c r="CA238" s="586" t="str">
        <f>_xlfn.IFS(AND($AI238=$AM238,$AI238&gt;0,$AM238&gt;0,BZ238&gt;0), BZ238,     AND(NOT($AI238=$AM238),$AI238&gt;0,$AM238&gt;0,BZ238&gt;0), ($AM238*BZ238)/$AI238,     AND($AI238=0,$AM238&gt;0,$AQ238&gt;0), IF(INDEX(BZ$12:BZ$263,MATCH($AQ238,$AP$12:$AP$263,0))&gt;0,($AM238*INDEX(BZ$12:BZ$263,MATCH($AQ238,$AP$12:$AP$263,0)))/INDEX($AI$12:$AI$263,MATCH($AQ238,$AP$12:$AP$263,0)), "-"),     TRUE, "0")</f>
        <v>0</v>
      </c>
      <c r="CB238" s="588">
        <f>IF(CA$9&gt;0, IF(OR(CA238="",CA238="-"), 0, CA238*$AT238), BZ238*$AJ238)</f>
        <v>0</v>
      </c>
      <c r="CC238" s="587">
        <f>[1]COMMANDE!AK236</f>
        <v>0</v>
      </c>
      <c r="CD238" s="586" t="str">
        <f>_xlfn.IFS(AND($AI238=$AM238,$AI238&gt;0,$AM238&gt;0,CC238&gt;0), CC238,     AND(NOT($AI238=$AM238),$AI238&gt;0,$AM238&gt;0,CC238&gt;0), ($AM238*CC238)/$AI238,     AND($AI238=0,$AM238&gt;0,$AQ238&gt;0), IF(INDEX(CC$12:CC$263,MATCH($AQ238,$AP$12:$AP$263,0))&gt;0,($AM238*INDEX(CC$12:CC$263,MATCH($AQ238,$AP$12:$AP$263,0)))/INDEX($AI$12:$AI$263,MATCH($AQ238,$AP$12:$AP$263,0)), "-"),     TRUE, "0")</f>
        <v>0</v>
      </c>
      <c r="CE238" s="607">
        <f>IF(CD$9&gt;0, IF(OR(CD238="",CD238="-"), 0, CD238*$AT238), CC238*$AJ238)</f>
        <v>0</v>
      </c>
      <c r="CF238" s="589">
        <f>[1]COMMANDE!AM236</f>
        <v>0</v>
      </c>
      <c r="CG238" s="586" t="str">
        <f>_xlfn.IFS(AND($AI238=$AM238,$AI238&gt;0,$AM238&gt;0,CF238&gt;0), CF238,     AND(NOT($AI238=$AM238),$AI238&gt;0,$AM238&gt;0,CF238&gt;0), ($AM238*CF238)/$AI238,     AND($AI238=0,$AM238&gt;0,$AQ238&gt;0), IF(INDEX(CF$12:CF$263,MATCH($AQ238,$AP$12:$AP$263,0))&gt;0,($AM238*INDEX(CF$12:CF$263,MATCH($AQ238,$AP$12:$AP$263,0)))/INDEX($AI$12:$AI$263,MATCH($AQ238,$AP$12:$AP$263,0)), "-"),     TRUE, "0")</f>
        <v>0</v>
      </c>
      <c r="CH238" s="588">
        <f>IF(CG$9&gt;0, IF(OR(CG238="",CG238="-"), 0, CG238*$AT238), CF238*$AJ238)</f>
        <v>0</v>
      </c>
      <c r="CI238" s="587">
        <f>[1]COMMANDE!AO236</f>
        <v>0</v>
      </c>
      <c r="CJ238" s="586" t="str">
        <f>_xlfn.IFS(AND($AI238=$AM238,$AI238&gt;0,$AM238&gt;0,CI238&gt;0), CI238,     AND(NOT($AI238=$AM238),$AI238&gt;0,$AM238&gt;0,CI238&gt;0), ($AM238*CI238)/$AI238,     AND($AI238=0,$AM238&gt;0,$AQ238&gt;0), IF(INDEX(CI$12:CI$263,MATCH($AQ238,$AP$12:$AP$263,0))&gt;0,($AM238*INDEX(CI$12:CI$263,MATCH($AQ238,$AP$12:$AP$263,0)))/INDEX($AI$12:$AI$263,MATCH($AQ238,$AP$12:$AP$263,0)), "-"),     TRUE, "0")</f>
        <v>0</v>
      </c>
      <c r="CK238" s="607">
        <f>IF(CJ$9&gt;0, IF(OR(CJ238="",CJ238="-"), 0, CJ238*$AT238), CI238*$AJ238)</f>
        <v>0</v>
      </c>
      <c r="CL238" s="589">
        <f>[1]COMMANDE!AQ236</f>
        <v>0</v>
      </c>
      <c r="CM238" s="586" t="str">
        <f>_xlfn.IFS(AND($AI238=$AM238,$AI238&gt;0,$AM238&gt;0,CL238&gt;0), CL238,     AND(NOT($AI238=$AM238),$AI238&gt;0,$AM238&gt;0,CL238&gt;0), ($AM238*CL238)/$AI238,     AND($AI238=0,$AM238&gt;0,$AQ238&gt;0), IF(INDEX(CL$12:CL$263,MATCH($AQ238,$AP$12:$AP$263,0))&gt;0,($AM238*INDEX(CL$12:CL$263,MATCH($AQ238,$AP$12:$AP$263,0)))/INDEX($AI$12:$AI$263,MATCH($AQ238,$AP$12:$AP$263,0)), "-"),     TRUE, "0")</f>
        <v>0</v>
      </c>
      <c r="CN238" s="588">
        <f>IF(CM$9&gt;0, IF(OR(CM238="",CM238="-"), 0, CM238*$AT238), CL238*$AJ238)</f>
        <v>0</v>
      </c>
      <c r="CO238" s="587">
        <f>[1]COMMANDE!AS236</f>
        <v>0</v>
      </c>
      <c r="CP238" s="586" t="str">
        <f>_xlfn.IFS(AND($AI238=$AM238,$AI238&gt;0,$AM238&gt;0,CO238&gt;0), CO238,     AND(NOT($AI238=$AM238),$AI238&gt;0,$AM238&gt;0,CO238&gt;0), ($AM238*CO238)/$AI238,     AND($AI238=0,$AM238&gt;0,$AQ238&gt;0), IF(INDEX(CO$12:CO$263,MATCH($AQ238,$AP$12:$AP$263,0))&gt;0,($AM238*INDEX(CO$12:CO$263,MATCH($AQ238,$AP$12:$AP$263,0)))/INDEX($AI$12:$AI$263,MATCH($AQ238,$AP$12:$AP$263,0)), "-"),     TRUE, "0")</f>
        <v>0</v>
      </c>
      <c r="CQ238" s="607">
        <f>IF(CP$9&gt;0, IF(OR(CP238="",CP238="-"), 0, CP238*$AT238), CO238*$AJ238)</f>
        <v>0</v>
      </c>
      <c r="CR238" s="589">
        <f>[1]COMMANDE!AU236</f>
        <v>0</v>
      </c>
      <c r="CS238" s="586" t="str">
        <f>_xlfn.IFS(AND($AI238=$AM238,$AI238&gt;0,$AM238&gt;0,CR238&gt;0), CR238,     AND(NOT($AI238=$AM238),$AI238&gt;0,$AM238&gt;0,CR238&gt;0), ($AM238*CR238)/$AI238,     AND($AI238=0,$AM238&gt;0,$AQ238&gt;0), IF(INDEX(CR$12:CR$263,MATCH($AQ238,$AP$12:$AP$263,0))&gt;0,($AM238*INDEX(CR$12:CR$263,MATCH($AQ238,$AP$12:$AP$263,0)))/INDEX($AI$12:$AI$263,MATCH($AQ238,$AP$12:$AP$263,0)), "-"),     TRUE, "0")</f>
        <v>0</v>
      </c>
      <c r="CT238" s="588">
        <f>IF(CS$9&gt;0, IF(OR(CS238="",CS238="-"), 0, CS238*$AT238), CR238*$AJ238)</f>
        <v>0</v>
      </c>
      <c r="CU238" s="587">
        <f>[1]COMMANDE!AW236</f>
        <v>0</v>
      </c>
      <c r="CV238" s="586" t="str">
        <f>_xlfn.IFS(AND($AI238=$AM238,$AI238&gt;0,$AM238&gt;0,CU238&gt;0), CU238,     AND(NOT($AI238=$AM238),$AI238&gt;0,$AM238&gt;0,CU238&gt;0), ($AM238*CU238)/$AI238,     AND($AI238=0,$AM238&gt;0,$AQ238&gt;0), IF(INDEX(CU$12:CU$263,MATCH($AQ238,$AP$12:$AP$263,0))&gt;0,($AM238*INDEX(CU$12:CU$263,MATCH($AQ238,$AP$12:$AP$263,0)))/INDEX($AI$12:$AI$263,MATCH($AQ238,$AP$12:$AP$263,0)), "-"),     TRUE, "0")</f>
        <v>0</v>
      </c>
      <c r="CW238" s="607">
        <f>IF(CV$9&gt;0, IF(OR(CV238="",CV238="-"), 0, CV238*$AT238), CU238*$AJ238)</f>
        <v>0</v>
      </c>
      <c r="CX238" s="589">
        <f>[1]COMMANDE!AY236</f>
        <v>0</v>
      </c>
      <c r="CY238" s="586" t="str">
        <f>_xlfn.IFS(AND($AI238=$AM238,$AI238&gt;0,$AM238&gt;0,CX238&gt;0), CX238,     AND(NOT($AI238=$AM238),$AI238&gt;0,$AM238&gt;0,CX238&gt;0), ($AM238*CX238)/$AI238,     AND($AI238=0,$AM238&gt;0,$AQ238&gt;0), IF(INDEX(CX$12:CX$263,MATCH($AQ238,$AP$12:$AP$263,0))&gt;0,($AM238*INDEX(CX$12:CX$263,MATCH($AQ238,$AP$12:$AP$263,0)))/INDEX($AI$12:$AI$263,MATCH($AQ238,$AP$12:$AP$263,0)), "-"),     TRUE, "0")</f>
        <v>0</v>
      </c>
      <c r="CZ238" s="588">
        <f>IF(CY$9&gt;0, IF(OR(CY238="",CY238="-"), 0, CY238*$AT238), CX238*$AJ238)</f>
        <v>0</v>
      </c>
      <c r="DA238" s="587">
        <f>[1]COMMANDE!BA236</f>
        <v>0</v>
      </c>
      <c r="DB238" s="586" t="str">
        <f>_xlfn.IFS(AND($AI238=$AM238,$AI238&gt;0,$AM238&gt;0,DA238&gt;0), DA238,     AND(NOT($AI238=$AM238),$AI238&gt;0,$AM238&gt;0,DA238&gt;0), ($AM238*DA238)/$AI238,     AND($AI238=0,$AM238&gt;0,$AQ238&gt;0), IF(INDEX(DA$12:DA$263,MATCH($AQ238,$AP$12:$AP$263,0))&gt;0,($AM238*INDEX(DA$12:DA$263,MATCH($AQ238,$AP$12:$AP$263,0)))/INDEX($AI$12:$AI$263,MATCH($AQ238,$AP$12:$AP$263,0)), "-"),     TRUE, "0")</f>
        <v>0</v>
      </c>
      <c r="DC238" s="606">
        <f>IF(DB$9&gt;0, IF(OR(DB238="",DB238="-"), 0, DB238*$AT238), DA238*$AJ238)</f>
        <v>0</v>
      </c>
      <c r="DD238" s="584"/>
      <c r="DE238" s="583"/>
    </row>
    <row r="239" spans="1:109" ht="39.950000000000003" hidden="1" customHeight="1">
      <c r="A239" s="605">
        <f>IF(OR($AV239&gt;0, $AX239&gt;0), 1, 0)</f>
        <v>0</v>
      </c>
      <c r="B239" s="605">
        <f>IF(OR($AY239&gt;0, $BA239&gt;0), 1, 0)</f>
        <v>0</v>
      </c>
      <c r="C239" s="605">
        <f>IF(OR($BB239&gt;0, $BD239&gt;0), 1, 0)</f>
        <v>0</v>
      </c>
      <c r="D239" s="605">
        <f>IF(OR($BE239&gt;0, $BG239&gt;0), 1, 0)</f>
        <v>0</v>
      </c>
      <c r="E239" s="605">
        <f>IF(OR($BH239&gt;0, $BJ239&gt;0), 1, 0)</f>
        <v>0</v>
      </c>
      <c r="F239" s="605">
        <f>IF(OR($BK239&gt;0, $BM239&gt;0), 1, 0)</f>
        <v>0</v>
      </c>
      <c r="G239" s="605">
        <f>IF(OR($BN239&gt;0, $BP239&gt;0), 1, 0)</f>
        <v>0</v>
      </c>
      <c r="H239" s="605">
        <f>IF(OR($BQ239&gt;0, $BS239&gt;0), 1, 0)</f>
        <v>0</v>
      </c>
      <c r="I239" s="605">
        <f>IF(OR($BT239&gt;0, $BV239&gt;0), 1, 0)</f>
        <v>0</v>
      </c>
      <c r="J239" s="605">
        <f>IF(OR($BW239&gt;0, $BY239&gt;0), 1, 0)</f>
        <v>0</v>
      </c>
      <c r="K239" s="605">
        <f>IF(OR($BZ239&gt;0, $CB239&gt;0), 1, 0)</f>
        <v>0</v>
      </c>
      <c r="L239" s="605">
        <f>IF(OR($CC239&gt;0, $CE239&gt;0), 1, 0)</f>
        <v>0</v>
      </c>
      <c r="M239" s="605">
        <f>IF(OR($CF239&gt;0, $CH239&gt;0), 1, 0)</f>
        <v>0</v>
      </c>
      <c r="N239" s="605">
        <f>IF(OR($CI239&gt;0, $CK239&gt;0), 1, 0)</f>
        <v>0</v>
      </c>
      <c r="O239" s="605">
        <f>IF(OR($CL239&gt;0, $CN239&gt;0), 1, 0)</f>
        <v>0</v>
      </c>
      <c r="P239" s="604">
        <f>IF(OR($CO239&gt;0, $CQ239&gt;0), 1, 0)</f>
        <v>0</v>
      </c>
      <c r="Q239" s="604">
        <f>IF(OR($CR239&gt;0, $CT239&gt;0), 1, 0)</f>
        <v>0</v>
      </c>
      <c r="R239" s="604">
        <f>IF(OR($CU239&gt;0, $CW239&gt;0), 1, 0)</f>
        <v>0</v>
      </c>
      <c r="S239" s="604">
        <f>IF(OR($CX239&gt;0, $CZ239&gt;0), 1, 0)</f>
        <v>0</v>
      </c>
      <c r="T239" s="604">
        <f>IF(OR($DA239&gt;0, $DC239&gt;0), 1, 0)</f>
        <v>0</v>
      </c>
      <c r="U239" s="603">
        <f>IF(OR($AI239&gt;0,$AM239&gt;0,$AS239&gt;0), 1, 0)</f>
        <v>0</v>
      </c>
      <c r="V239" s="602">
        <f>[1]BDD!A229</f>
        <v>1073</v>
      </c>
      <c r="W239" s="601" t="str">
        <f>[1]BDD!B229</f>
        <v>Raisin sec Sultana BIO
    - (env. 1kg)</v>
      </c>
      <c r="X239" s="600" t="str">
        <f>IF([1]BDD!F229=0, "", [1]BDD!F229)</f>
        <v>❤️</v>
      </c>
      <c r="Y239" s="542">
        <f>ROUND([1]BDD!G229+FDP_CMD_KG, 2)</f>
        <v>7.69</v>
      </c>
      <c r="Z239" s="542">
        <f>ROUND([1]BDD!G229+FDP_FACT_KG, 2)</f>
        <v>7.69</v>
      </c>
      <c r="AA239" s="543" t="str">
        <f>[1]BDD!H229</f>
        <v>Pièce</v>
      </c>
      <c r="AB239" s="544">
        <f>IF(NOT(ISBLANK([1]BDD!I229)), ROUND(SUM(([1]BDD!G229*reduc1),FDP_CMD_KG), 2), "")</f>
        <v>7.01</v>
      </c>
      <c r="AC239" s="544">
        <f>IF(NOT(ISBLANK([1]BDD!J229)), ROUND(SUM(([1]BDD!G229*reduc2),FDP_CMD_KG), 2), "")</f>
        <v>6.33</v>
      </c>
      <c r="AD239" s="544" t="str">
        <f>IF(NOT(ISBLANK([1]BDD!K229)), ROUND(SUM(([1]BDD!G229*reduc3),FDP_CMD_KG), 2), "")</f>
        <v/>
      </c>
      <c r="AE239" s="544">
        <f>IF(NOT(ISBLANK([1]BDD!I229)), ROUND(SUM(([1]BDD!G229*reduc1),FDP_FACT_KG), 2), "")</f>
        <v>7</v>
      </c>
      <c r="AF239" s="544">
        <f>IF(NOT(ISBLANK([1]BDD!J229)), ROUND(SUM(([1]BDD!G229*reduc2),FDP_FACT_KG), 2), "")</f>
        <v>6.32</v>
      </c>
      <c r="AG239" s="544" t="str">
        <f>IF(NOT(ISBLANK([1]BDD!K229)), ROUND(SUM(([1]BDD!G229*reduc3),FDP_FACT_KG), 2), "")</f>
        <v/>
      </c>
      <c r="AH239" s="599" t="str">
        <f>[1]BDD!C229</f>
        <v>Turquie</v>
      </c>
      <c r="AI239" s="598">
        <f>SUM(AV239,AY239,BB239,BE239,BH239,BK239,BN239,BQ239,BT239,BW239,BZ239,CC239,CF239,CI239,CL239,CO239,CR239,CU239,CX239,DA239)</f>
        <v>0</v>
      </c>
      <c r="AJ239" s="545">
        <f>_xlfn.IFS($AD239&lt;&gt;"", $AD239,    $AC239&lt;&gt;"", $AC239,    $AB239&lt;&gt;"", $AB239,    TRUE, $Y239)</f>
        <v>6.33</v>
      </c>
      <c r="AK239" s="592">
        <f>$AI239*$AJ239</f>
        <v>0</v>
      </c>
      <c r="AL239" s="594"/>
      <c r="AM239" s="597"/>
      <c r="AN239" s="545">
        <f>_xlfn.IFS(AND(AM239&gt;=60,$AG239&lt;&gt;""), $AG239,    AND(AM239&gt;=30,$AF239&lt;&gt;""), $AF239,    AND(AM239&gt;=10,$AE239&lt;&gt;""), $AE239,    TRUE, $Z239)</f>
        <v>7.69</v>
      </c>
      <c r="AO239" s="596">
        <f>AM239*AN239</f>
        <v>0</v>
      </c>
      <c r="AP239" s="595"/>
      <c r="AQ239" s="595"/>
      <c r="AR239" s="594"/>
      <c r="AS239" s="593">
        <f>SUM(AW239,AZ239,BC239,BF239,BI239,BL239,BO239,BR239,BU239,BX239,CA239,CD239,CG239,CJ239,CM239,CP239,CS239,CV239,CY239,DB239)</f>
        <v>0</v>
      </c>
      <c r="AT239" s="545">
        <f>_xlfn.IFS(AND(AS239&gt;=60,$AG239&lt;&gt;""), $AG239,    AND(AS239&gt;=30,$AF239&lt;&gt;""), $AF239,    AND(AS239&gt;=10,$AE239&lt;&gt;""), $AE239,    TRUE, $Z239)</f>
        <v>7.69</v>
      </c>
      <c r="AU239" s="592">
        <f>$AS239*$AT239</f>
        <v>0</v>
      </c>
      <c r="AV239" s="591">
        <f>[1]COMMANDE!O237</f>
        <v>0</v>
      </c>
      <c r="AW239" s="586" t="str">
        <f>_xlfn.IFS(AND($AI239=$AM239,$AI239&gt;0,$AM239&gt;0,AV239&gt;0), AV239,     AND(NOT($AI239=$AM239),$AI239&gt;0,$AM239&gt;0,AV239&gt;0), ($AM239*AV239)/$AI239,     AND($AI239=0,$AM239&gt;0,$AQ239&gt;0), IF(INDEX(AV$12:AV$263,MATCH($AQ239,$AP$12:$AP$263,0))&gt;0,($AM239*INDEX(AV$12:AV$263,MATCH($AQ239,$AP$12:$AP$263,0)))/INDEX($AI$12:$AI$263,MATCH($AQ239,$AP$12:$AP$263,0)), "-"),     TRUE, "0")</f>
        <v>0</v>
      </c>
      <c r="AX239" s="588">
        <f>IF(AW$9&gt;0, IF(OR(AW239="",AW239="-"), 0, AW239*$AT239), AV239*$AJ239)</f>
        <v>0</v>
      </c>
      <c r="AY239" s="587">
        <f>[1]COMMANDE!Q237</f>
        <v>0</v>
      </c>
      <c r="AZ239" s="586" t="str">
        <f>_xlfn.IFS(AND($AI239=$AM239,$AI239&gt;0,$AM239&gt;0,AY239&gt;0), AY239,     AND(NOT($AI239=$AM239),$AI239&gt;0,$AM239&gt;0,AY239&gt;0), ($AM239*AY239)/$AI239,     AND($AI239=0,$AM239&gt;0,$AQ239&gt;0), IF(INDEX(AY$12:AY$263,MATCH($AQ239,$AP$12:$AP$263,0))&gt;0,($AM239*INDEX(AY$12:AY$263,MATCH($AQ239,$AP$12:$AP$263,0)))/INDEX($AI$12:$AI$263,MATCH($AQ239,$AP$12:$AP$263,0)), "-"),     TRUE, "0")</f>
        <v>0</v>
      </c>
      <c r="BA239" s="607">
        <f>IF(AZ$9&gt;0, IF(OR(AZ239="",AZ239="-"), 0, AZ239*$AT239), AY239*$AJ239)</f>
        <v>0</v>
      </c>
      <c r="BB239" s="589">
        <f>[1]COMMANDE!S237</f>
        <v>0</v>
      </c>
      <c r="BC239" s="586" t="str">
        <f>_xlfn.IFS(AND($AI239=$AM239,$AI239&gt;0,$AM239&gt;0,BB239&gt;0), BB239,     AND(NOT($AI239=$AM239),$AI239&gt;0,$AM239&gt;0,BB239&gt;0), ($AM239*BB239)/$AI239,     AND($AI239=0,$AM239&gt;0,$AQ239&gt;0), IF(INDEX(BB$12:BB$263,MATCH($AQ239,$AP$12:$AP$263,0))&gt;0,($AM239*INDEX(BB$12:BB$263,MATCH($AQ239,$AP$12:$AP$263,0)))/INDEX($AI$12:$AI$263,MATCH($AQ239,$AP$12:$AP$263,0)), "-"),     TRUE, "0")</f>
        <v>0</v>
      </c>
      <c r="BD239" s="588">
        <f>IF(BC$9&gt;0, IF(OR(BC239="",BC239="-"), 0, BC239*$AT239), BB239*$AJ239)</f>
        <v>0</v>
      </c>
      <c r="BE239" s="587">
        <f>[1]COMMANDE!U237</f>
        <v>0</v>
      </c>
      <c r="BF239" s="586" t="str">
        <f>_xlfn.IFS(AND($AI239=$AM239,$AI239&gt;0,$AM239&gt;0,BE239&gt;0), BE239,     AND(NOT($AI239=$AM239),$AI239&gt;0,$AM239&gt;0,BE239&gt;0), ($AM239*BE239)/$AI239,     AND($AI239=0,$AM239&gt;0,$AQ239&gt;0), IF(INDEX(BE$12:BE$263,MATCH($AQ239,$AP$12:$AP$263,0))&gt;0,($AM239*INDEX(BE$12:BE$263,MATCH($AQ239,$AP$12:$AP$263,0)))/INDEX($AI$12:$AI$263,MATCH($AQ239,$AP$12:$AP$263,0)), "-"),     TRUE, "0")</f>
        <v>0</v>
      </c>
      <c r="BG239" s="607">
        <f>IF(BF$9&gt;0, IF(OR(BF239="",BF239="-"), 0, BF239*$AT239), BE239*$AJ239)</f>
        <v>0</v>
      </c>
      <c r="BH239" s="589">
        <f>[1]COMMANDE!W237</f>
        <v>0</v>
      </c>
      <c r="BI239" s="586" t="str">
        <f>_xlfn.IFS(AND($AI239=$AM239,$AI239&gt;0,$AM239&gt;0,BH239&gt;0), BH239,     AND(NOT($AI239=$AM239),$AI239&gt;0,$AM239&gt;0,BH239&gt;0), ($AM239*BH239)/$AI239,     AND($AI239=0,$AM239&gt;0,$AQ239&gt;0), IF(INDEX(BH$12:BH$263,MATCH($AQ239,$AP$12:$AP$263,0))&gt;0,($AM239*INDEX(BH$12:BH$263,MATCH($AQ239,$AP$12:$AP$263,0)))/INDEX($AI$12:$AI$263,MATCH($AQ239,$AP$12:$AP$263,0)), "-"),     TRUE, "0")</f>
        <v>0</v>
      </c>
      <c r="BJ239" s="588">
        <f>IF(BI$9&gt;0, IF(OR(BI239="",BI239="-"), 0, BI239*$AT239), BH239*$AJ239)</f>
        <v>0</v>
      </c>
      <c r="BK239" s="587">
        <f>[1]COMMANDE!Y237</f>
        <v>0</v>
      </c>
      <c r="BL239" s="586" t="str">
        <f>_xlfn.IFS(AND($AI239=$AM239,$AI239&gt;0,$AM239&gt;0,BK239&gt;0), BK239,     AND(NOT($AI239=$AM239),$AI239&gt;0,$AM239&gt;0,BK239&gt;0), ($AM239*BK239)/$AI239,     AND($AI239=0,$AM239&gt;0,$AQ239&gt;0), IF(INDEX(BK$12:BK$263,MATCH($AQ239,$AP$12:$AP$263,0))&gt;0,($AM239*INDEX(BK$12:BK$263,MATCH($AQ239,$AP$12:$AP$263,0)))/INDEX($AI$12:$AI$263,MATCH($AQ239,$AP$12:$AP$263,0)), "-"),     TRUE, "0")</f>
        <v>0</v>
      </c>
      <c r="BM239" s="607">
        <f>IF(BL$9&gt;0, IF(OR(BL239="",BL239="-"), 0, BL239*$AT239), BK239*$AJ239)</f>
        <v>0</v>
      </c>
      <c r="BN239" s="589">
        <f>[1]COMMANDE!AA237</f>
        <v>0</v>
      </c>
      <c r="BO239" s="586" t="str">
        <f>_xlfn.IFS(AND($AI239=$AM239,$AI239&gt;0,$AM239&gt;0,BN239&gt;0), BN239,     AND(NOT($AI239=$AM239),$AI239&gt;0,$AM239&gt;0,BN239&gt;0), ($AM239*BN239)/$AI239,     AND($AI239=0,$AM239&gt;0,$AQ239&gt;0), IF(INDEX(BN$12:BN$263,MATCH($AQ239,$AP$12:$AP$263,0))&gt;0,($AM239*INDEX(BN$12:BN$263,MATCH($AQ239,$AP$12:$AP$263,0)))/INDEX($AI$12:$AI$263,MATCH($AQ239,$AP$12:$AP$263,0)), "-"),     TRUE, "0")</f>
        <v>0</v>
      </c>
      <c r="BP239" s="588">
        <f>IF(BO$9&gt;0, IF(OR(BO239="",BO239="-"), 0, BO239*$AT239), BN239*$AJ239)</f>
        <v>0</v>
      </c>
      <c r="BQ239" s="587">
        <f>[1]COMMANDE!AC237</f>
        <v>0</v>
      </c>
      <c r="BR239" s="586" t="str">
        <f>_xlfn.IFS(AND($AI239=$AM239,$AI239&gt;0,$AM239&gt;0,BQ239&gt;0), BQ239,     AND(NOT($AI239=$AM239),$AI239&gt;0,$AM239&gt;0,BQ239&gt;0), ($AM239*BQ239)/$AI239,     AND($AI239=0,$AM239&gt;0,$AQ239&gt;0), IF(INDEX(BQ$12:BQ$263,MATCH($AQ239,$AP$12:$AP$263,0))&gt;0,($AM239*INDEX(BQ$12:BQ$263,MATCH($AQ239,$AP$12:$AP$263,0)))/INDEX($AI$12:$AI$263,MATCH($AQ239,$AP$12:$AP$263,0)), "-"),     TRUE, "0")</f>
        <v>0</v>
      </c>
      <c r="BS239" s="607">
        <f>IF(BR$9&gt;0, IF(OR(BR239="",BR239="-"), 0, BR239*$AT239), BQ239*$AJ239)</f>
        <v>0</v>
      </c>
      <c r="BT239" s="589">
        <f>[1]COMMANDE!AE237</f>
        <v>0</v>
      </c>
      <c r="BU239" s="586" t="str">
        <f>_xlfn.IFS(AND($AI239=$AM239,$AI239&gt;0,$AM239&gt;0,BT239&gt;0), BT239,     AND(NOT($AI239=$AM239),$AI239&gt;0,$AM239&gt;0,BT239&gt;0), ($AM239*BT239)/$AI239,     AND($AI239=0,$AM239&gt;0,$AQ239&gt;0), IF(INDEX(BT$12:BT$263,MATCH($AQ239,$AP$12:$AP$263,0))&gt;0,($AM239*INDEX(BT$12:BT$263,MATCH($AQ239,$AP$12:$AP$263,0)))/INDEX($AI$12:$AI$263,MATCH($AQ239,$AP$12:$AP$263,0)), "-"),     TRUE, "0")</f>
        <v>0</v>
      </c>
      <c r="BV239" s="588">
        <f>IF(BU$9&gt;0, IF(OR(BU239="",BU239="-"), 0, BU239*$AT239), BT239*$AJ239)</f>
        <v>0</v>
      </c>
      <c r="BW239" s="587">
        <f>[1]COMMANDE!AG237</f>
        <v>0</v>
      </c>
      <c r="BX239" s="586" t="str">
        <f>_xlfn.IFS(AND($AI239=$AM239,$AI239&gt;0,$AM239&gt;0,BW239&gt;0), BW239,     AND(NOT($AI239=$AM239),$AI239&gt;0,$AM239&gt;0,BW239&gt;0), ($AM239*BW239)/$AI239,     AND($AI239=0,$AM239&gt;0,$AQ239&gt;0), IF(INDEX(BW$12:BW$263,MATCH($AQ239,$AP$12:$AP$263,0))&gt;0,($AM239*INDEX(BW$12:BW$263,MATCH($AQ239,$AP$12:$AP$263,0)))/INDEX($AI$12:$AI$263,MATCH($AQ239,$AP$12:$AP$263,0)), "-"),     TRUE, "0")</f>
        <v>0</v>
      </c>
      <c r="BY239" s="607">
        <f>IF(BX$9&gt;0, IF(OR(BX239="",BX239="-"), 0, BX239*$AT239), BW239*$AJ239)</f>
        <v>0</v>
      </c>
      <c r="BZ239" s="589">
        <f>[1]COMMANDE!AI237</f>
        <v>0</v>
      </c>
      <c r="CA239" s="586" t="str">
        <f>_xlfn.IFS(AND($AI239=$AM239,$AI239&gt;0,$AM239&gt;0,BZ239&gt;0), BZ239,     AND(NOT($AI239=$AM239),$AI239&gt;0,$AM239&gt;0,BZ239&gt;0), ($AM239*BZ239)/$AI239,     AND($AI239=0,$AM239&gt;0,$AQ239&gt;0), IF(INDEX(BZ$12:BZ$263,MATCH($AQ239,$AP$12:$AP$263,0))&gt;0,($AM239*INDEX(BZ$12:BZ$263,MATCH($AQ239,$AP$12:$AP$263,0)))/INDEX($AI$12:$AI$263,MATCH($AQ239,$AP$12:$AP$263,0)), "-"),     TRUE, "0")</f>
        <v>0</v>
      </c>
      <c r="CB239" s="588">
        <f>IF(CA$9&gt;0, IF(OR(CA239="",CA239="-"), 0, CA239*$AT239), BZ239*$AJ239)</f>
        <v>0</v>
      </c>
      <c r="CC239" s="587">
        <f>[1]COMMANDE!AK237</f>
        <v>0</v>
      </c>
      <c r="CD239" s="586" t="str">
        <f>_xlfn.IFS(AND($AI239=$AM239,$AI239&gt;0,$AM239&gt;0,CC239&gt;0), CC239,     AND(NOT($AI239=$AM239),$AI239&gt;0,$AM239&gt;0,CC239&gt;0), ($AM239*CC239)/$AI239,     AND($AI239=0,$AM239&gt;0,$AQ239&gt;0), IF(INDEX(CC$12:CC$263,MATCH($AQ239,$AP$12:$AP$263,0))&gt;0,($AM239*INDEX(CC$12:CC$263,MATCH($AQ239,$AP$12:$AP$263,0)))/INDEX($AI$12:$AI$263,MATCH($AQ239,$AP$12:$AP$263,0)), "-"),     TRUE, "0")</f>
        <v>0</v>
      </c>
      <c r="CE239" s="607">
        <f>IF(CD$9&gt;0, IF(OR(CD239="",CD239="-"), 0, CD239*$AT239), CC239*$AJ239)</f>
        <v>0</v>
      </c>
      <c r="CF239" s="589">
        <f>[1]COMMANDE!AM237</f>
        <v>0</v>
      </c>
      <c r="CG239" s="586" t="str">
        <f>_xlfn.IFS(AND($AI239=$AM239,$AI239&gt;0,$AM239&gt;0,CF239&gt;0), CF239,     AND(NOT($AI239=$AM239),$AI239&gt;0,$AM239&gt;0,CF239&gt;0), ($AM239*CF239)/$AI239,     AND($AI239=0,$AM239&gt;0,$AQ239&gt;0), IF(INDEX(CF$12:CF$263,MATCH($AQ239,$AP$12:$AP$263,0))&gt;0,($AM239*INDEX(CF$12:CF$263,MATCH($AQ239,$AP$12:$AP$263,0)))/INDEX($AI$12:$AI$263,MATCH($AQ239,$AP$12:$AP$263,0)), "-"),     TRUE, "0")</f>
        <v>0</v>
      </c>
      <c r="CH239" s="588">
        <f>IF(CG$9&gt;0, IF(OR(CG239="",CG239="-"), 0, CG239*$AT239), CF239*$AJ239)</f>
        <v>0</v>
      </c>
      <c r="CI239" s="587">
        <f>[1]COMMANDE!AO237</f>
        <v>0</v>
      </c>
      <c r="CJ239" s="586" t="str">
        <f>_xlfn.IFS(AND($AI239=$AM239,$AI239&gt;0,$AM239&gt;0,CI239&gt;0), CI239,     AND(NOT($AI239=$AM239),$AI239&gt;0,$AM239&gt;0,CI239&gt;0), ($AM239*CI239)/$AI239,     AND($AI239=0,$AM239&gt;0,$AQ239&gt;0), IF(INDEX(CI$12:CI$263,MATCH($AQ239,$AP$12:$AP$263,0))&gt;0,($AM239*INDEX(CI$12:CI$263,MATCH($AQ239,$AP$12:$AP$263,0)))/INDEX($AI$12:$AI$263,MATCH($AQ239,$AP$12:$AP$263,0)), "-"),     TRUE, "0")</f>
        <v>0</v>
      </c>
      <c r="CK239" s="607">
        <f>IF(CJ$9&gt;0, IF(OR(CJ239="",CJ239="-"), 0, CJ239*$AT239), CI239*$AJ239)</f>
        <v>0</v>
      </c>
      <c r="CL239" s="589">
        <f>[1]COMMANDE!AQ237</f>
        <v>0</v>
      </c>
      <c r="CM239" s="586" t="str">
        <f>_xlfn.IFS(AND($AI239=$AM239,$AI239&gt;0,$AM239&gt;0,CL239&gt;0), CL239,     AND(NOT($AI239=$AM239),$AI239&gt;0,$AM239&gt;0,CL239&gt;0), ($AM239*CL239)/$AI239,     AND($AI239=0,$AM239&gt;0,$AQ239&gt;0), IF(INDEX(CL$12:CL$263,MATCH($AQ239,$AP$12:$AP$263,0))&gt;0,($AM239*INDEX(CL$12:CL$263,MATCH($AQ239,$AP$12:$AP$263,0)))/INDEX($AI$12:$AI$263,MATCH($AQ239,$AP$12:$AP$263,0)), "-"),     TRUE, "0")</f>
        <v>0</v>
      </c>
      <c r="CN239" s="588">
        <f>IF(CM$9&gt;0, IF(OR(CM239="",CM239="-"), 0, CM239*$AT239), CL239*$AJ239)</f>
        <v>0</v>
      </c>
      <c r="CO239" s="587">
        <f>[1]COMMANDE!AS237</f>
        <v>0</v>
      </c>
      <c r="CP239" s="586" t="str">
        <f>_xlfn.IFS(AND($AI239=$AM239,$AI239&gt;0,$AM239&gt;0,CO239&gt;0), CO239,     AND(NOT($AI239=$AM239),$AI239&gt;0,$AM239&gt;0,CO239&gt;0), ($AM239*CO239)/$AI239,     AND($AI239=0,$AM239&gt;0,$AQ239&gt;0), IF(INDEX(CO$12:CO$263,MATCH($AQ239,$AP$12:$AP$263,0))&gt;0,($AM239*INDEX(CO$12:CO$263,MATCH($AQ239,$AP$12:$AP$263,0)))/INDEX($AI$12:$AI$263,MATCH($AQ239,$AP$12:$AP$263,0)), "-"),     TRUE, "0")</f>
        <v>0</v>
      </c>
      <c r="CQ239" s="607">
        <f>IF(CP$9&gt;0, IF(OR(CP239="",CP239="-"), 0, CP239*$AT239), CO239*$AJ239)</f>
        <v>0</v>
      </c>
      <c r="CR239" s="589">
        <f>[1]COMMANDE!AU237</f>
        <v>0</v>
      </c>
      <c r="CS239" s="586" t="str">
        <f>_xlfn.IFS(AND($AI239=$AM239,$AI239&gt;0,$AM239&gt;0,CR239&gt;0), CR239,     AND(NOT($AI239=$AM239),$AI239&gt;0,$AM239&gt;0,CR239&gt;0), ($AM239*CR239)/$AI239,     AND($AI239=0,$AM239&gt;0,$AQ239&gt;0), IF(INDEX(CR$12:CR$263,MATCH($AQ239,$AP$12:$AP$263,0))&gt;0,($AM239*INDEX(CR$12:CR$263,MATCH($AQ239,$AP$12:$AP$263,0)))/INDEX($AI$12:$AI$263,MATCH($AQ239,$AP$12:$AP$263,0)), "-"),     TRUE, "0")</f>
        <v>0</v>
      </c>
      <c r="CT239" s="588">
        <f>IF(CS$9&gt;0, IF(OR(CS239="",CS239="-"), 0, CS239*$AT239), CR239*$AJ239)</f>
        <v>0</v>
      </c>
      <c r="CU239" s="587">
        <f>[1]COMMANDE!AW237</f>
        <v>0</v>
      </c>
      <c r="CV239" s="586" t="str">
        <f>_xlfn.IFS(AND($AI239=$AM239,$AI239&gt;0,$AM239&gt;0,CU239&gt;0), CU239,     AND(NOT($AI239=$AM239),$AI239&gt;0,$AM239&gt;0,CU239&gt;0), ($AM239*CU239)/$AI239,     AND($AI239=0,$AM239&gt;0,$AQ239&gt;0), IF(INDEX(CU$12:CU$263,MATCH($AQ239,$AP$12:$AP$263,0))&gt;0,($AM239*INDEX(CU$12:CU$263,MATCH($AQ239,$AP$12:$AP$263,0)))/INDEX($AI$12:$AI$263,MATCH($AQ239,$AP$12:$AP$263,0)), "-"),     TRUE, "0")</f>
        <v>0</v>
      </c>
      <c r="CW239" s="607">
        <f>IF(CV$9&gt;0, IF(OR(CV239="",CV239="-"), 0, CV239*$AT239), CU239*$AJ239)</f>
        <v>0</v>
      </c>
      <c r="CX239" s="589">
        <f>[1]COMMANDE!AY237</f>
        <v>0</v>
      </c>
      <c r="CY239" s="586" t="str">
        <f>_xlfn.IFS(AND($AI239=$AM239,$AI239&gt;0,$AM239&gt;0,CX239&gt;0), CX239,     AND(NOT($AI239=$AM239),$AI239&gt;0,$AM239&gt;0,CX239&gt;0), ($AM239*CX239)/$AI239,     AND($AI239=0,$AM239&gt;0,$AQ239&gt;0), IF(INDEX(CX$12:CX$263,MATCH($AQ239,$AP$12:$AP$263,0))&gt;0,($AM239*INDEX(CX$12:CX$263,MATCH($AQ239,$AP$12:$AP$263,0)))/INDEX($AI$12:$AI$263,MATCH($AQ239,$AP$12:$AP$263,0)), "-"),     TRUE, "0")</f>
        <v>0</v>
      </c>
      <c r="CZ239" s="588">
        <f>IF(CY$9&gt;0, IF(OR(CY239="",CY239="-"), 0, CY239*$AT239), CX239*$AJ239)</f>
        <v>0</v>
      </c>
      <c r="DA239" s="587">
        <f>[1]COMMANDE!BA237</f>
        <v>0</v>
      </c>
      <c r="DB239" s="586" t="str">
        <f>_xlfn.IFS(AND($AI239=$AM239,$AI239&gt;0,$AM239&gt;0,DA239&gt;0), DA239,     AND(NOT($AI239=$AM239),$AI239&gt;0,$AM239&gt;0,DA239&gt;0), ($AM239*DA239)/$AI239,     AND($AI239=0,$AM239&gt;0,$AQ239&gt;0), IF(INDEX(DA$12:DA$263,MATCH($AQ239,$AP$12:$AP$263,0))&gt;0,($AM239*INDEX(DA$12:DA$263,MATCH($AQ239,$AP$12:$AP$263,0)))/INDEX($AI$12:$AI$263,MATCH($AQ239,$AP$12:$AP$263,0)), "-"),     TRUE, "0")</f>
        <v>0</v>
      </c>
      <c r="DC239" s="606">
        <f>IF(DB$9&gt;0, IF(OR(DB239="",DB239="-"), 0, DB239*$AT239), DA239*$AJ239)</f>
        <v>0</v>
      </c>
      <c r="DD239" s="584"/>
      <c r="DE239" s="583"/>
    </row>
    <row r="240" spans="1:109" ht="39.950000000000003" hidden="1" customHeight="1">
      <c r="A240" s="604">
        <f>IF(OR($AV240&gt;0, $AX240&gt;0), 1, 0)</f>
        <v>0</v>
      </c>
      <c r="B240" s="604">
        <f>IF(OR($AY240&gt;0, $BA240&gt;0), 1, 0)</f>
        <v>0</v>
      </c>
      <c r="C240" s="604">
        <f>IF(OR($BB240&gt;0, $BD240&gt;0), 1, 0)</f>
        <v>0</v>
      </c>
      <c r="D240" s="604">
        <f>IF(OR($BE240&gt;0, $BG240&gt;0), 1, 0)</f>
        <v>0</v>
      </c>
      <c r="E240" s="604">
        <f>IF(OR($BH240&gt;0, $BJ240&gt;0), 1, 0)</f>
        <v>0</v>
      </c>
      <c r="F240" s="604">
        <f>IF(OR($BK240&gt;0, $BM240&gt;0), 1, 0)</f>
        <v>0</v>
      </c>
      <c r="G240" s="604">
        <f>IF(OR($BN240&gt;0, $BP240&gt;0), 1, 0)</f>
        <v>0</v>
      </c>
      <c r="H240" s="604">
        <f>IF(OR($BQ240&gt;0, $BS240&gt;0), 1, 0)</f>
        <v>0</v>
      </c>
      <c r="I240" s="604">
        <f>IF(OR($BT240&gt;0, $BV240&gt;0), 1, 0)</f>
        <v>0</v>
      </c>
      <c r="J240" s="604">
        <f>IF(OR($BW240&gt;0, $BY240&gt;0), 1, 0)</f>
        <v>0</v>
      </c>
      <c r="K240" s="604">
        <f>IF(OR($BZ240&gt;0, $CB240&gt;0), 1, 0)</f>
        <v>0</v>
      </c>
      <c r="L240" s="604">
        <f>IF(OR($CC240&gt;0, $CE240&gt;0), 1, 0)</f>
        <v>0</v>
      </c>
      <c r="M240" s="604">
        <f>IF(OR($CF240&gt;0, $CH240&gt;0), 1, 0)</f>
        <v>0</v>
      </c>
      <c r="N240" s="604">
        <f>IF(OR($CI240&gt;0, $CK240&gt;0), 1, 0)</f>
        <v>0</v>
      </c>
      <c r="O240" s="604">
        <f>IF(OR($CL240&gt;0, $CN240&gt;0), 1, 0)</f>
        <v>0</v>
      </c>
      <c r="P240" s="604">
        <f>IF(OR($CO240&gt;0, $CQ240&gt;0), 1, 0)</f>
        <v>0</v>
      </c>
      <c r="Q240" s="604">
        <f>IF(OR($CR240&gt;0, $CT240&gt;0), 1, 0)</f>
        <v>0</v>
      </c>
      <c r="R240" s="604">
        <f>IF(OR($CU240&gt;0, $CW240&gt;0), 1, 0)</f>
        <v>0</v>
      </c>
      <c r="S240" s="604">
        <f>IF(OR($CX240&gt;0, $CZ240&gt;0), 1, 0)</f>
        <v>0</v>
      </c>
      <c r="T240" s="604">
        <f>IF(OR($DA240&gt;0, $DC240&gt;0), 1, 0)</f>
        <v>0</v>
      </c>
      <c r="U240" s="603">
        <f>IF(OR($AI240&gt;0,$AM240&gt;0,$AS240&gt;0), 1, 0)</f>
        <v>0</v>
      </c>
      <c r="V240" s="602">
        <f>[1]BDD!A230</f>
        <v>3752</v>
      </c>
      <c r="W240" s="601" t="str">
        <f>[1]BDD!B230</f>
        <v>Raisins semi -secs Muscat en grains 
    - séchage passif naturel (env. 500g)</v>
      </c>
      <c r="X240" s="600" t="str">
        <f>IF([1]BDD!F230=0, "", [1]BDD!F230)</f>
        <v>❤️</v>
      </c>
      <c r="Y240" s="542">
        <f>ROUND([1]BDD!G230+FDP_CMD_KG, 2)</f>
        <v>6.75</v>
      </c>
      <c r="Z240" s="542">
        <f>ROUND([1]BDD!G230+FDP_FACT_KG, 2)</f>
        <v>6.75</v>
      </c>
      <c r="AA240" s="543" t="str">
        <f>[1]BDD!H230</f>
        <v>Pièce</v>
      </c>
      <c r="AB240" s="544" t="str">
        <f>IF(NOT(ISBLANK([1]BDD!I230)), ROUND(SUM(([1]BDD!G230*reduc1),FDP_CMD_KG), 2), "")</f>
        <v/>
      </c>
      <c r="AC240" s="544" t="str">
        <f>IF(NOT(ISBLANK([1]BDD!J230)), ROUND(SUM(([1]BDD!G230*reduc2),FDP_CMD_KG), 2), "")</f>
        <v/>
      </c>
      <c r="AD240" s="544" t="str">
        <f>IF(NOT(ISBLANK([1]BDD!K230)), ROUND(SUM(([1]BDD!G230*reduc3),FDP_CMD_KG), 2), "")</f>
        <v/>
      </c>
      <c r="AE240" s="544" t="str">
        <f>IF(NOT(ISBLANK([1]BDD!I230)), ROUND(SUM(([1]BDD!G230*reduc1),FDP_FACT_KG), 2), "")</f>
        <v/>
      </c>
      <c r="AF240" s="544" t="str">
        <f>IF(NOT(ISBLANK([1]BDD!J230)), ROUND(SUM(([1]BDD!G230*reduc2),FDP_FACT_KG), 2), "")</f>
        <v/>
      </c>
      <c r="AG240" s="544" t="str">
        <f>IF(NOT(ISBLANK([1]BDD!K230)), ROUND(SUM(([1]BDD!G230*reduc3),FDP_FACT_KG), 2), "")</f>
        <v/>
      </c>
      <c r="AH240" s="599" t="str">
        <f>[1]BDD!C230</f>
        <v>Malaga</v>
      </c>
      <c r="AI240" s="598">
        <f>SUM(AV240,AY240,BB240,BE240,BH240,BK240,BN240,BQ240,BT240,BW240,BZ240,CC240,CF240,CI240,CL240,CO240,CR240,CU240,CX240,DA240)</f>
        <v>0</v>
      </c>
      <c r="AJ240" s="545">
        <f>_xlfn.IFS($AD240&lt;&gt;"", $AD240,    $AC240&lt;&gt;"", $AC240,    $AB240&lt;&gt;"", $AB240,    TRUE, $Y240)</f>
        <v>6.75</v>
      </c>
      <c r="AK240" s="592">
        <f>$AI240*$AJ240</f>
        <v>0</v>
      </c>
      <c r="AL240" s="594"/>
      <c r="AM240" s="597"/>
      <c r="AN240" s="545">
        <f>_xlfn.IFS(AND(AM240&gt;=60,$AG240&lt;&gt;""), $AG240,    AND(AM240&gt;=30,$AF240&lt;&gt;""), $AF240,    AND(AM240&gt;=10,$AE240&lt;&gt;""), $AE240,    TRUE, $Z240)</f>
        <v>6.75</v>
      </c>
      <c r="AO240" s="596">
        <f>AM240*AN240</f>
        <v>0</v>
      </c>
      <c r="AP240" s="595"/>
      <c r="AQ240" s="595"/>
      <c r="AR240" s="594"/>
      <c r="AS240" s="593">
        <f>SUM(AW240,AZ240,BC240,BF240,BI240,BL240,BO240,BR240,BU240,BX240,CA240,CD240,CG240,CJ240,CM240,CP240,CS240,CV240,CY240,DB240)</f>
        <v>0</v>
      </c>
      <c r="AT240" s="545">
        <f>_xlfn.IFS(AND(AS240&gt;=60,$AG240&lt;&gt;""), $AG240,    AND(AS240&gt;=30,$AF240&lt;&gt;""), $AF240,    AND(AS240&gt;=10,$AE240&lt;&gt;""), $AE240,    TRUE, $Z240)</f>
        <v>6.75</v>
      </c>
      <c r="AU240" s="592">
        <f>$AS240*$AT240</f>
        <v>0</v>
      </c>
      <c r="AV240" s="591">
        <f>[1]COMMANDE!O238</f>
        <v>0</v>
      </c>
      <c r="AW240" s="586" t="str">
        <f>_xlfn.IFS(AND($AI240=$AM240,$AI240&gt;0,$AM240&gt;0,AV240&gt;0), AV240,     AND(NOT($AI240=$AM240),$AI240&gt;0,$AM240&gt;0,AV240&gt;0), ($AM240*AV240)/$AI240,     AND($AI240=0,$AM240&gt;0,$AQ240&gt;0), IF(INDEX(AV$12:AV$263,MATCH($AQ240,$AP$12:$AP$263,0))&gt;0,($AM240*INDEX(AV$12:AV$263,MATCH($AQ240,$AP$12:$AP$263,0)))/INDEX($AI$12:$AI$263,MATCH($AQ240,$AP$12:$AP$263,0)), "-"),     TRUE, "0")</f>
        <v>0</v>
      </c>
      <c r="AX240" s="588">
        <f>IF(AW$9&gt;0, IF(OR(AW240="",AW240="-"), 0, AW240*$AT240), AV240*$AJ240)</f>
        <v>0</v>
      </c>
      <c r="AY240" s="587">
        <f>[1]COMMANDE!Q238</f>
        <v>0</v>
      </c>
      <c r="AZ240" s="586" t="str">
        <f>_xlfn.IFS(AND($AI240=$AM240,$AI240&gt;0,$AM240&gt;0,AY240&gt;0), AY240,     AND(NOT($AI240=$AM240),$AI240&gt;0,$AM240&gt;0,AY240&gt;0), ($AM240*AY240)/$AI240,     AND($AI240=0,$AM240&gt;0,$AQ240&gt;0), IF(INDEX(AY$12:AY$263,MATCH($AQ240,$AP$12:$AP$263,0))&gt;0,($AM240*INDEX(AY$12:AY$263,MATCH($AQ240,$AP$12:$AP$263,0)))/INDEX($AI$12:$AI$263,MATCH($AQ240,$AP$12:$AP$263,0)), "-"),     TRUE, "0")</f>
        <v>0</v>
      </c>
      <c r="BA240" s="607">
        <f>IF(AZ$9&gt;0, IF(OR(AZ240="",AZ240="-"), 0, AZ240*$AT240), AY240*$AJ240)</f>
        <v>0</v>
      </c>
      <c r="BB240" s="589">
        <f>[1]COMMANDE!S238</f>
        <v>0</v>
      </c>
      <c r="BC240" s="586" t="str">
        <f>_xlfn.IFS(AND($AI240=$AM240,$AI240&gt;0,$AM240&gt;0,BB240&gt;0), BB240,     AND(NOT($AI240=$AM240),$AI240&gt;0,$AM240&gt;0,BB240&gt;0), ($AM240*BB240)/$AI240,     AND($AI240=0,$AM240&gt;0,$AQ240&gt;0), IF(INDEX(BB$12:BB$263,MATCH($AQ240,$AP$12:$AP$263,0))&gt;0,($AM240*INDEX(BB$12:BB$263,MATCH($AQ240,$AP$12:$AP$263,0)))/INDEX($AI$12:$AI$263,MATCH($AQ240,$AP$12:$AP$263,0)), "-"),     TRUE, "0")</f>
        <v>0</v>
      </c>
      <c r="BD240" s="588">
        <f>IF(BC$9&gt;0, IF(OR(BC240="",BC240="-"), 0, BC240*$AT240), BB240*$AJ240)</f>
        <v>0</v>
      </c>
      <c r="BE240" s="587">
        <f>[1]COMMANDE!U238</f>
        <v>0</v>
      </c>
      <c r="BF240" s="586" t="str">
        <f>_xlfn.IFS(AND($AI240=$AM240,$AI240&gt;0,$AM240&gt;0,BE240&gt;0), BE240,     AND(NOT($AI240=$AM240),$AI240&gt;0,$AM240&gt;0,BE240&gt;0), ($AM240*BE240)/$AI240,     AND($AI240=0,$AM240&gt;0,$AQ240&gt;0), IF(INDEX(BE$12:BE$263,MATCH($AQ240,$AP$12:$AP$263,0))&gt;0,($AM240*INDEX(BE$12:BE$263,MATCH($AQ240,$AP$12:$AP$263,0)))/INDEX($AI$12:$AI$263,MATCH($AQ240,$AP$12:$AP$263,0)), "-"),     TRUE, "0")</f>
        <v>0</v>
      </c>
      <c r="BG240" s="607">
        <f>IF(BF$9&gt;0, IF(OR(BF240="",BF240="-"), 0, BF240*$AT240), BE240*$AJ240)</f>
        <v>0</v>
      </c>
      <c r="BH240" s="589">
        <f>[1]COMMANDE!W238</f>
        <v>0</v>
      </c>
      <c r="BI240" s="586" t="str">
        <f>_xlfn.IFS(AND($AI240=$AM240,$AI240&gt;0,$AM240&gt;0,BH240&gt;0), BH240,     AND(NOT($AI240=$AM240),$AI240&gt;0,$AM240&gt;0,BH240&gt;0), ($AM240*BH240)/$AI240,     AND($AI240=0,$AM240&gt;0,$AQ240&gt;0), IF(INDEX(BH$12:BH$263,MATCH($AQ240,$AP$12:$AP$263,0))&gt;0,($AM240*INDEX(BH$12:BH$263,MATCH($AQ240,$AP$12:$AP$263,0)))/INDEX($AI$12:$AI$263,MATCH($AQ240,$AP$12:$AP$263,0)), "-"),     TRUE, "0")</f>
        <v>0</v>
      </c>
      <c r="BJ240" s="588">
        <f>IF(BI$9&gt;0, IF(OR(BI240="",BI240="-"), 0, BI240*$AT240), BH240*$AJ240)</f>
        <v>0</v>
      </c>
      <c r="BK240" s="587">
        <f>[1]COMMANDE!Y238</f>
        <v>0</v>
      </c>
      <c r="BL240" s="586" t="str">
        <f>_xlfn.IFS(AND($AI240=$AM240,$AI240&gt;0,$AM240&gt;0,BK240&gt;0), BK240,     AND(NOT($AI240=$AM240),$AI240&gt;0,$AM240&gt;0,BK240&gt;0), ($AM240*BK240)/$AI240,     AND($AI240=0,$AM240&gt;0,$AQ240&gt;0), IF(INDEX(BK$12:BK$263,MATCH($AQ240,$AP$12:$AP$263,0))&gt;0,($AM240*INDEX(BK$12:BK$263,MATCH($AQ240,$AP$12:$AP$263,0)))/INDEX($AI$12:$AI$263,MATCH($AQ240,$AP$12:$AP$263,0)), "-"),     TRUE, "0")</f>
        <v>0</v>
      </c>
      <c r="BM240" s="607">
        <f>IF(BL$9&gt;0, IF(OR(BL240="",BL240="-"), 0, BL240*$AT240), BK240*$AJ240)</f>
        <v>0</v>
      </c>
      <c r="BN240" s="589">
        <f>[1]COMMANDE!AA238</f>
        <v>0</v>
      </c>
      <c r="BO240" s="586" t="str">
        <f>_xlfn.IFS(AND($AI240=$AM240,$AI240&gt;0,$AM240&gt;0,BN240&gt;0), BN240,     AND(NOT($AI240=$AM240),$AI240&gt;0,$AM240&gt;0,BN240&gt;0), ($AM240*BN240)/$AI240,     AND($AI240=0,$AM240&gt;0,$AQ240&gt;0), IF(INDEX(BN$12:BN$263,MATCH($AQ240,$AP$12:$AP$263,0))&gt;0,($AM240*INDEX(BN$12:BN$263,MATCH($AQ240,$AP$12:$AP$263,0)))/INDEX($AI$12:$AI$263,MATCH($AQ240,$AP$12:$AP$263,0)), "-"),     TRUE, "0")</f>
        <v>0</v>
      </c>
      <c r="BP240" s="588">
        <f>IF(BO$9&gt;0, IF(OR(BO240="",BO240="-"), 0, BO240*$AT240), BN240*$AJ240)</f>
        <v>0</v>
      </c>
      <c r="BQ240" s="587">
        <f>[1]COMMANDE!AC238</f>
        <v>0</v>
      </c>
      <c r="BR240" s="586" t="str">
        <f>_xlfn.IFS(AND($AI240=$AM240,$AI240&gt;0,$AM240&gt;0,BQ240&gt;0), BQ240,     AND(NOT($AI240=$AM240),$AI240&gt;0,$AM240&gt;0,BQ240&gt;0), ($AM240*BQ240)/$AI240,     AND($AI240=0,$AM240&gt;0,$AQ240&gt;0), IF(INDEX(BQ$12:BQ$263,MATCH($AQ240,$AP$12:$AP$263,0))&gt;0,($AM240*INDEX(BQ$12:BQ$263,MATCH($AQ240,$AP$12:$AP$263,0)))/INDEX($AI$12:$AI$263,MATCH($AQ240,$AP$12:$AP$263,0)), "-"),     TRUE, "0")</f>
        <v>0</v>
      </c>
      <c r="BS240" s="607">
        <f>IF(BR$9&gt;0, IF(OR(BR240="",BR240="-"), 0, BR240*$AT240), BQ240*$AJ240)</f>
        <v>0</v>
      </c>
      <c r="BT240" s="589">
        <f>[1]COMMANDE!AE238</f>
        <v>0</v>
      </c>
      <c r="BU240" s="586" t="str">
        <f>_xlfn.IFS(AND($AI240=$AM240,$AI240&gt;0,$AM240&gt;0,BT240&gt;0), BT240,     AND(NOT($AI240=$AM240),$AI240&gt;0,$AM240&gt;0,BT240&gt;0), ($AM240*BT240)/$AI240,     AND($AI240=0,$AM240&gt;0,$AQ240&gt;0), IF(INDEX(BT$12:BT$263,MATCH($AQ240,$AP$12:$AP$263,0))&gt;0,($AM240*INDEX(BT$12:BT$263,MATCH($AQ240,$AP$12:$AP$263,0)))/INDEX($AI$12:$AI$263,MATCH($AQ240,$AP$12:$AP$263,0)), "-"),     TRUE, "0")</f>
        <v>0</v>
      </c>
      <c r="BV240" s="588">
        <f>IF(BU$9&gt;0, IF(OR(BU240="",BU240="-"), 0, BU240*$AT240), BT240*$AJ240)</f>
        <v>0</v>
      </c>
      <c r="BW240" s="587">
        <f>[1]COMMANDE!AG238</f>
        <v>0</v>
      </c>
      <c r="BX240" s="586" t="str">
        <f>_xlfn.IFS(AND($AI240=$AM240,$AI240&gt;0,$AM240&gt;0,BW240&gt;0), BW240,     AND(NOT($AI240=$AM240),$AI240&gt;0,$AM240&gt;0,BW240&gt;0), ($AM240*BW240)/$AI240,     AND($AI240=0,$AM240&gt;0,$AQ240&gt;0), IF(INDEX(BW$12:BW$263,MATCH($AQ240,$AP$12:$AP$263,0))&gt;0,($AM240*INDEX(BW$12:BW$263,MATCH($AQ240,$AP$12:$AP$263,0)))/INDEX($AI$12:$AI$263,MATCH($AQ240,$AP$12:$AP$263,0)), "-"),     TRUE, "0")</f>
        <v>0</v>
      </c>
      <c r="BY240" s="607">
        <f>IF(BX$9&gt;0, IF(OR(BX240="",BX240="-"), 0, BX240*$AT240), BW240*$AJ240)</f>
        <v>0</v>
      </c>
      <c r="BZ240" s="589">
        <f>[1]COMMANDE!AI238</f>
        <v>0</v>
      </c>
      <c r="CA240" s="586" t="str">
        <f>_xlfn.IFS(AND($AI240=$AM240,$AI240&gt;0,$AM240&gt;0,BZ240&gt;0), BZ240,     AND(NOT($AI240=$AM240),$AI240&gt;0,$AM240&gt;0,BZ240&gt;0), ($AM240*BZ240)/$AI240,     AND($AI240=0,$AM240&gt;0,$AQ240&gt;0), IF(INDEX(BZ$12:BZ$263,MATCH($AQ240,$AP$12:$AP$263,0))&gt;0,($AM240*INDEX(BZ$12:BZ$263,MATCH($AQ240,$AP$12:$AP$263,0)))/INDEX($AI$12:$AI$263,MATCH($AQ240,$AP$12:$AP$263,0)), "-"),     TRUE, "0")</f>
        <v>0</v>
      </c>
      <c r="CB240" s="588">
        <f>IF(CA$9&gt;0, IF(OR(CA240="",CA240="-"), 0, CA240*$AT240), BZ240*$AJ240)</f>
        <v>0</v>
      </c>
      <c r="CC240" s="587">
        <f>[1]COMMANDE!AK238</f>
        <v>0</v>
      </c>
      <c r="CD240" s="586" t="str">
        <f>_xlfn.IFS(AND($AI240=$AM240,$AI240&gt;0,$AM240&gt;0,CC240&gt;0), CC240,     AND(NOT($AI240=$AM240),$AI240&gt;0,$AM240&gt;0,CC240&gt;0), ($AM240*CC240)/$AI240,     AND($AI240=0,$AM240&gt;0,$AQ240&gt;0), IF(INDEX(CC$12:CC$263,MATCH($AQ240,$AP$12:$AP$263,0))&gt;0,($AM240*INDEX(CC$12:CC$263,MATCH($AQ240,$AP$12:$AP$263,0)))/INDEX($AI$12:$AI$263,MATCH($AQ240,$AP$12:$AP$263,0)), "-"),     TRUE, "0")</f>
        <v>0</v>
      </c>
      <c r="CE240" s="607">
        <f>IF(CD$9&gt;0, IF(OR(CD240="",CD240="-"), 0, CD240*$AT240), CC240*$AJ240)</f>
        <v>0</v>
      </c>
      <c r="CF240" s="589">
        <f>[1]COMMANDE!AM238</f>
        <v>0</v>
      </c>
      <c r="CG240" s="586" t="str">
        <f>_xlfn.IFS(AND($AI240=$AM240,$AI240&gt;0,$AM240&gt;0,CF240&gt;0), CF240,     AND(NOT($AI240=$AM240),$AI240&gt;0,$AM240&gt;0,CF240&gt;0), ($AM240*CF240)/$AI240,     AND($AI240=0,$AM240&gt;0,$AQ240&gt;0), IF(INDEX(CF$12:CF$263,MATCH($AQ240,$AP$12:$AP$263,0))&gt;0,($AM240*INDEX(CF$12:CF$263,MATCH($AQ240,$AP$12:$AP$263,0)))/INDEX($AI$12:$AI$263,MATCH($AQ240,$AP$12:$AP$263,0)), "-"),     TRUE, "0")</f>
        <v>0</v>
      </c>
      <c r="CH240" s="588">
        <f>IF(CG$9&gt;0, IF(OR(CG240="",CG240="-"), 0, CG240*$AT240), CF240*$AJ240)</f>
        <v>0</v>
      </c>
      <c r="CI240" s="587">
        <f>[1]COMMANDE!AO238</f>
        <v>0</v>
      </c>
      <c r="CJ240" s="586" t="str">
        <f>_xlfn.IFS(AND($AI240=$AM240,$AI240&gt;0,$AM240&gt;0,CI240&gt;0), CI240,     AND(NOT($AI240=$AM240),$AI240&gt;0,$AM240&gt;0,CI240&gt;0), ($AM240*CI240)/$AI240,     AND($AI240=0,$AM240&gt;0,$AQ240&gt;0), IF(INDEX(CI$12:CI$263,MATCH($AQ240,$AP$12:$AP$263,0))&gt;0,($AM240*INDEX(CI$12:CI$263,MATCH($AQ240,$AP$12:$AP$263,0)))/INDEX($AI$12:$AI$263,MATCH($AQ240,$AP$12:$AP$263,0)), "-"),     TRUE, "0")</f>
        <v>0</v>
      </c>
      <c r="CK240" s="607">
        <f>IF(CJ$9&gt;0, IF(OR(CJ240="",CJ240="-"), 0, CJ240*$AT240), CI240*$AJ240)</f>
        <v>0</v>
      </c>
      <c r="CL240" s="589">
        <f>[1]COMMANDE!AQ238</f>
        <v>0</v>
      </c>
      <c r="CM240" s="586" t="str">
        <f>_xlfn.IFS(AND($AI240=$AM240,$AI240&gt;0,$AM240&gt;0,CL240&gt;0), CL240,     AND(NOT($AI240=$AM240),$AI240&gt;0,$AM240&gt;0,CL240&gt;0), ($AM240*CL240)/$AI240,     AND($AI240=0,$AM240&gt;0,$AQ240&gt;0), IF(INDEX(CL$12:CL$263,MATCH($AQ240,$AP$12:$AP$263,0))&gt;0,($AM240*INDEX(CL$12:CL$263,MATCH($AQ240,$AP$12:$AP$263,0)))/INDEX($AI$12:$AI$263,MATCH($AQ240,$AP$12:$AP$263,0)), "-"),     TRUE, "0")</f>
        <v>0</v>
      </c>
      <c r="CN240" s="588">
        <f>IF(CM$9&gt;0, IF(OR(CM240="",CM240="-"), 0, CM240*$AT240), CL240*$AJ240)</f>
        <v>0</v>
      </c>
      <c r="CO240" s="587">
        <f>[1]COMMANDE!AS238</f>
        <v>0</v>
      </c>
      <c r="CP240" s="586" t="str">
        <f>_xlfn.IFS(AND($AI240=$AM240,$AI240&gt;0,$AM240&gt;0,CO240&gt;0), CO240,     AND(NOT($AI240=$AM240),$AI240&gt;0,$AM240&gt;0,CO240&gt;0), ($AM240*CO240)/$AI240,     AND($AI240=0,$AM240&gt;0,$AQ240&gt;0), IF(INDEX(CO$12:CO$263,MATCH($AQ240,$AP$12:$AP$263,0))&gt;0,($AM240*INDEX(CO$12:CO$263,MATCH($AQ240,$AP$12:$AP$263,0)))/INDEX($AI$12:$AI$263,MATCH($AQ240,$AP$12:$AP$263,0)), "-"),     TRUE, "0")</f>
        <v>0</v>
      </c>
      <c r="CQ240" s="607">
        <f>IF(CP$9&gt;0, IF(OR(CP240="",CP240="-"), 0, CP240*$AT240), CO240*$AJ240)</f>
        <v>0</v>
      </c>
      <c r="CR240" s="589">
        <f>[1]COMMANDE!AU238</f>
        <v>0</v>
      </c>
      <c r="CS240" s="586" t="str">
        <f>_xlfn.IFS(AND($AI240=$AM240,$AI240&gt;0,$AM240&gt;0,CR240&gt;0), CR240,     AND(NOT($AI240=$AM240),$AI240&gt;0,$AM240&gt;0,CR240&gt;0), ($AM240*CR240)/$AI240,     AND($AI240=0,$AM240&gt;0,$AQ240&gt;0), IF(INDEX(CR$12:CR$263,MATCH($AQ240,$AP$12:$AP$263,0))&gt;0,($AM240*INDEX(CR$12:CR$263,MATCH($AQ240,$AP$12:$AP$263,0)))/INDEX($AI$12:$AI$263,MATCH($AQ240,$AP$12:$AP$263,0)), "-"),     TRUE, "0")</f>
        <v>0</v>
      </c>
      <c r="CT240" s="588">
        <f>IF(CS$9&gt;0, IF(OR(CS240="",CS240="-"), 0, CS240*$AT240), CR240*$AJ240)</f>
        <v>0</v>
      </c>
      <c r="CU240" s="587">
        <f>[1]COMMANDE!AW238</f>
        <v>0</v>
      </c>
      <c r="CV240" s="586" t="str">
        <f>_xlfn.IFS(AND($AI240=$AM240,$AI240&gt;0,$AM240&gt;0,CU240&gt;0), CU240,     AND(NOT($AI240=$AM240),$AI240&gt;0,$AM240&gt;0,CU240&gt;0), ($AM240*CU240)/$AI240,     AND($AI240=0,$AM240&gt;0,$AQ240&gt;0), IF(INDEX(CU$12:CU$263,MATCH($AQ240,$AP$12:$AP$263,0))&gt;0,($AM240*INDEX(CU$12:CU$263,MATCH($AQ240,$AP$12:$AP$263,0)))/INDEX($AI$12:$AI$263,MATCH($AQ240,$AP$12:$AP$263,0)), "-"),     TRUE, "0")</f>
        <v>0</v>
      </c>
      <c r="CW240" s="607">
        <f>IF(CV$9&gt;0, IF(OR(CV240="",CV240="-"), 0, CV240*$AT240), CU240*$AJ240)</f>
        <v>0</v>
      </c>
      <c r="CX240" s="589">
        <f>[1]COMMANDE!AY238</f>
        <v>0</v>
      </c>
      <c r="CY240" s="586" t="str">
        <f>_xlfn.IFS(AND($AI240=$AM240,$AI240&gt;0,$AM240&gt;0,CX240&gt;0), CX240,     AND(NOT($AI240=$AM240),$AI240&gt;0,$AM240&gt;0,CX240&gt;0), ($AM240*CX240)/$AI240,     AND($AI240=0,$AM240&gt;0,$AQ240&gt;0), IF(INDEX(CX$12:CX$263,MATCH($AQ240,$AP$12:$AP$263,0))&gt;0,($AM240*INDEX(CX$12:CX$263,MATCH($AQ240,$AP$12:$AP$263,0)))/INDEX($AI$12:$AI$263,MATCH($AQ240,$AP$12:$AP$263,0)), "-"),     TRUE, "0")</f>
        <v>0</v>
      </c>
      <c r="CZ240" s="588">
        <f>IF(CY$9&gt;0, IF(OR(CY240="",CY240="-"), 0, CY240*$AT240), CX240*$AJ240)</f>
        <v>0</v>
      </c>
      <c r="DA240" s="587">
        <f>[1]COMMANDE!BA238</f>
        <v>0</v>
      </c>
      <c r="DB240" s="586" t="str">
        <f>_xlfn.IFS(AND($AI240=$AM240,$AI240&gt;0,$AM240&gt;0,DA240&gt;0), DA240,     AND(NOT($AI240=$AM240),$AI240&gt;0,$AM240&gt;0,DA240&gt;0), ($AM240*DA240)/$AI240,     AND($AI240=0,$AM240&gt;0,$AQ240&gt;0), IF(INDEX(DA$12:DA$263,MATCH($AQ240,$AP$12:$AP$263,0))&gt;0,($AM240*INDEX(DA$12:DA$263,MATCH($AQ240,$AP$12:$AP$263,0)))/INDEX($AI$12:$AI$263,MATCH($AQ240,$AP$12:$AP$263,0)), "-"),     TRUE, "0")</f>
        <v>0</v>
      </c>
      <c r="DC240" s="606">
        <f>IF(DB$9&gt;0, IF(OR(DB240="",DB240="-"), 0, DB240*$AT240), DA240*$AJ240)</f>
        <v>0</v>
      </c>
      <c r="DD240" s="584"/>
      <c r="DE240" s="583"/>
    </row>
    <row r="241" spans="1:109" ht="39.950000000000003" hidden="1" customHeight="1">
      <c r="A241" s="604">
        <f>IF(OR($AV241&gt;0, $AX241&gt;0), 1, 0)</f>
        <v>0</v>
      </c>
      <c r="B241" s="604">
        <f>IF(OR($AY241&gt;0, $BA241&gt;0), 1, 0)</f>
        <v>0</v>
      </c>
      <c r="C241" s="604">
        <f>IF(OR($BB241&gt;0, $BD241&gt;0), 1, 0)</f>
        <v>0</v>
      </c>
      <c r="D241" s="604">
        <f>IF(OR($BE241&gt;0, $BG241&gt;0), 1, 0)</f>
        <v>0</v>
      </c>
      <c r="E241" s="604">
        <f>IF(OR($BH241&gt;0, $BJ241&gt;0), 1, 0)</f>
        <v>0</v>
      </c>
      <c r="F241" s="604">
        <f>IF(OR($BK241&gt;0, $BM241&gt;0), 1, 0)</f>
        <v>0</v>
      </c>
      <c r="G241" s="604">
        <f>IF(OR($BN241&gt;0, $BP241&gt;0), 1, 0)</f>
        <v>0</v>
      </c>
      <c r="H241" s="604">
        <f>IF(OR($BQ241&gt;0, $BS241&gt;0), 1, 0)</f>
        <v>0</v>
      </c>
      <c r="I241" s="604">
        <f>IF(OR($BT241&gt;0, $BV241&gt;0), 1, 0)</f>
        <v>0</v>
      </c>
      <c r="J241" s="604">
        <f>IF(OR($BW241&gt;0, $BY241&gt;0), 1, 0)</f>
        <v>0</v>
      </c>
      <c r="K241" s="604">
        <f>IF(OR($BZ241&gt;0, $CB241&gt;0), 1, 0)</f>
        <v>0</v>
      </c>
      <c r="L241" s="604">
        <f>IF(OR($CC241&gt;0, $CE241&gt;0), 1, 0)</f>
        <v>0</v>
      </c>
      <c r="M241" s="604">
        <f>IF(OR($CF241&gt;0, $CH241&gt;0), 1, 0)</f>
        <v>0</v>
      </c>
      <c r="N241" s="604">
        <f>IF(OR($CI241&gt;0, $CK241&gt;0), 1, 0)</f>
        <v>0</v>
      </c>
      <c r="O241" s="604">
        <f>IF(OR($CL241&gt;0, $CN241&gt;0), 1, 0)</f>
        <v>0</v>
      </c>
      <c r="P241" s="604">
        <f>IF(OR($CO241&gt;0, $CQ241&gt;0), 1, 0)</f>
        <v>0</v>
      </c>
      <c r="Q241" s="604">
        <f>IF(OR($CR241&gt;0, $CT241&gt;0), 1, 0)</f>
        <v>0</v>
      </c>
      <c r="R241" s="604">
        <f>IF(OR($CU241&gt;0, $CW241&gt;0), 1, 0)</f>
        <v>0</v>
      </c>
      <c r="S241" s="604">
        <f>IF(OR($CX241&gt;0, $CZ241&gt;0), 1, 0)</f>
        <v>0</v>
      </c>
      <c r="T241" s="604">
        <f>IF(OR($DA241&gt;0, $DC241&gt;0), 1, 0)</f>
        <v>0</v>
      </c>
      <c r="U241" s="603">
        <f>IF(OR($AI241&gt;0,$AM241&gt;0,$AS241&gt;0), 1, 0)</f>
        <v>0</v>
      </c>
      <c r="V241" s="602">
        <f>[1]BDD!A231</f>
        <v>1694</v>
      </c>
      <c r="W241" s="601" t="str">
        <f>[1]BDD!B231</f>
        <v>Reishi en poudre CRU BIO (env. 200g)</v>
      </c>
      <c r="X241" s="600" t="str">
        <f>IF([1]BDD!F231=0, "", [1]BDD!F231)</f>
        <v/>
      </c>
      <c r="Y241" s="542">
        <f>ROUND([1]BDD!G231+FDP_CMD_KG, 2)</f>
        <v>21.39</v>
      </c>
      <c r="Z241" s="542">
        <f>ROUND([1]BDD!G231+FDP_FACT_KG, 2)</f>
        <v>21.39</v>
      </c>
      <c r="AA241" s="543" t="str">
        <f>[1]BDD!H231</f>
        <v>Pièce</v>
      </c>
      <c r="AB241" s="544">
        <f>IF(NOT(ISBLANK([1]BDD!I231)), ROUND(SUM(([1]BDD!G231*reduc1),FDP_CMD_KG), 2), "")</f>
        <v>19.34</v>
      </c>
      <c r="AC241" s="544" t="str">
        <f>IF(NOT(ISBLANK([1]BDD!J231)), ROUND(SUM(([1]BDD!G231*reduc2),FDP_CMD_KG), 2), "")</f>
        <v/>
      </c>
      <c r="AD241" s="544" t="str">
        <f>IF(NOT(ISBLANK([1]BDD!K231)), ROUND(SUM(([1]BDD!G231*reduc3),FDP_CMD_KG), 2), "")</f>
        <v/>
      </c>
      <c r="AE241" s="544">
        <f>IF(NOT(ISBLANK([1]BDD!I231)), ROUND(SUM(([1]BDD!G231*reduc1),FDP_FACT_KG), 2), "")</f>
        <v>19.329999999999998</v>
      </c>
      <c r="AF241" s="544" t="str">
        <f>IF(NOT(ISBLANK([1]BDD!J231)), ROUND(SUM(([1]BDD!G231*reduc2),FDP_FACT_KG), 2), "")</f>
        <v/>
      </c>
      <c r="AG241" s="544" t="str">
        <f>IF(NOT(ISBLANK([1]BDD!K231)), ROUND(SUM(([1]BDD!G231*reduc3),FDP_FACT_KG), 2), "")</f>
        <v/>
      </c>
      <c r="AH241" s="599" t="str">
        <f>[1]BDD!C231</f>
        <v>Import</v>
      </c>
      <c r="AI241" s="598">
        <f>SUM(AV241,AY241,BB241,BE241,BH241,BK241,BN241,BQ241,BT241,BW241,BZ241,CC241,CF241,CI241,CL241,CO241,CR241,CU241,CX241,DA241)</f>
        <v>0</v>
      </c>
      <c r="AJ241" s="545">
        <f>_xlfn.IFS($AD241&lt;&gt;"", $AD241,    $AC241&lt;&gt;"", $AC241,    $AB241&lt;&gt;"", $AB241,    TRUE, $Y241)</f>
        <v>19.34</v>
      </c>
      <c r="AK241" s="592">
        <f>$AI241*$AJ241</f>
        <v>0</v>
      </c>
      <c r="AL241" s="594"/>
      <c r="AM241" s="597"/>
      <c r="AN241" s="545">
        <f>_xlfn.IFS(AND(AM241&gt;=60,$AG241&lt;&gt;""), $AG241,    AND(AM241&gt;=30,$AF241&lt;&gt;""), $AF241,    AND(AM241&gt;=10,$AE241&lt;&gt;""), $AE241,    TRUE, $Z241)</f>
        <v>21.39</v>
      </c>
      <c r="AO241" s="596">
        <f>AM241*AN241</f>
        <v>0</v>
      </c>
      <c r="AP241" s="595"/>
      <c r="AQ241" s="595"/>
      <c r="AR241" s="594"/>
      <c r="AS241" s="593">
        <f>SUM(AW241,AZ241,BC241,BF241,BI241,BL241,BO241,BR241,BU241,BX241,CA241,CD241,CG241,CJ241,CM241,CP241,CS241,CV241,CY241,DB241)</f>
        <v>0</v>
      </c>
      <c r="AT241" s="545">
        <f>_xlfn.IFS(AND(AS241&gt;=60,$AG241&lt;&gt;""), $AG241,    AND(AS241&gt;=30,$AF241&lt;&gt;""), $AF241,    AND(AS241&gt;=10,$AE241&lt;&gt;""), $AE241,    TRUE, $Z241)</f>
        <v>21.39</v>
      </c>
      <c r="AU241" s="592">
        <f>$AS241*$AT241</f>
        <v>0</v>
      </c>
      <c r="AV241" s="591">
        <f>[1]COMMANDE!O239</f>
        <v>0</v>
      </c>
      <c r="AW241" s="586" t="str">
        <f>_xlfn.IFS(AND($AI241=$AM241,$AI241&gt;0,$AM241&gt;0,AV241&gt;0), AV241,     AND(NOT($AI241=$AM241),$AI241&gt;0,$AM241&gt;0,AV241&gt;0), ($AM241*AV241)/$AI241,     AND($AI241=0,$AM241&gt;0,$AQ241&gt;0), IF(INDEX(AV$12:AV$263,MATCH($AQ241,$AP$12:$AP$263,0))&gt;0,($AM241*INDEX(AV$12:AV$263,MATCH($AQ241,$AP$12:$AP$263,0)))/INDEX($AI$12:$AI$263,MATCH($AQ241,$AP$12:$AP$263,0)), "-"),     TRUE, "0")</f>
        <v>0</v>
      </c>
      <c r="AX241" s="588">
        <f>IF(AW$9&gt;0, IF(OR(AW241="",AW241="-"), 0, AW241*$AT241), AV241*$AJ241)</f>
        <v>0</v>
      </c>
      <c r="AY241" s="587">
        <f>[1]COMMANDE!Q239</f>
        <v>0</v>
      </c>
      <c r="AZ241" s="586" t="str">
        <f>_xlfn.IFS(AND($AI241=$AM241,$AI241&gt;0,$AM241&gt;0,AY241&gt;0), AY241,     AND(NOT($AI241=$AM241),$AI241&gt;0,$AM241&gt;0,AY241&gt;0), ($AM241*AY241)/$AI241,     AND($AI241=0,$AM241&gt;0,$AQ241&gt;0), IF(INDEX(AY$12:AY$263,MATCH($AQ241,$AP$12:$AP$263,0))&gt;0,($AM241*INDEX(AY$12:AY$263,MATCH($AQ241,$AP$12:$AP$263,0)))/INDEX($AI$12:$AI$263,MATCH($AQ241,$AP$12:$AP$263,0)), "-"),     TRUE, "0")</f>
        <v>0</v>
      </c>
      <c r="BA241" s="607">
        <f>IF(AZ$9&gt;0, IF(OR(AZ241="",AZ241="-"), 0, AZ241*$AT241), AY241*$AJ241)</f>
        <v>0</v>
      </c>
      <c r="BB241" s="589">
        <f>[1]COMMANDE!S239</f>
        <v>0</v>
      </c>
      <c r="BC241" s="586" t="str">
        <f>_xlfn.IFS(AND($AI241=$AM241,$AI241&gt;0,$AM241&gt;0,BB241&gt;0), BB241,     AND(NOT($AI241=$AM241),$AI241&gt;0,$AM241&gt;0,BB241&gt;0), ($AM241*BB241)/$AI241,     AND($AI241=0,$AM241&gt;0,$AQ241&gt;0), IF(INDEX(BB$12:BB$263,MATCH($AQ241,$AP$12:$AP$263,0))&gt;0,($AM241*INDEX(BB$12:BB$263,MATCH($AQ241,$AP$12:$AP$263,0)))/INDEX($AI$12:$AI$263,MATCH($AQ241,$AP$12:$AP$263,0)), "-"),     TRUE, "0")</f>
        <v>0</v>
      </c>
      <c r="BD241" s="588">
        <f>IF(BC$9&gt;0, IF(OR(BC241="",BC241="-"), 0, BC241*$AT241), BB241*$AJ241)</f>
        <v>0</v>
      </c>
      <c r="BE241" s="587">
        <f>[1]COMMANDE!U239</f>
        <v>0</v>
      </c>
      <c r="BF241" s="586" t="str">
        <f>_xlfn.IFS(AND($AI241=$AM241,$AI241&gt;0,$AM241&gt;0,BE241&gt;0), BE241,     AND(NOT($AI241=$AM241),$AI241&gt;0,$AM241&gt;0,BE241&gt;0), ($AM241*BE241)/$AI241,     AND($AI241=0,$AM241&gt;0,$AQ241&gt;0), IF(INDEX(BE$12:BE$263,MATCH($AQ241,$AP$12:$AP$263,0))&gt;0,($AM241*INDEX(BE$12:BE$263,MATCH($AQ241,$AP$12:$AP$263,0)))/INDEX($AI$12:$AI$263,MATCH($AQ241,$AP$12:$AP$263,0)), "-"),     TRUE, "0")</f>
        <v>0</v>
      </c>
      <c r="BG241" s="607">
        <f>IF(BF$9&gt;0, IF(OR(BF241="",BF241="-"), 0, BF241*$AT241), BE241*$AJ241)</f>
        <v>0</v>
      </c>
      <c r="BH241" s="589">
        <f>[1]COMMANDE!W239</f>
        <v>0</v>
      </c>
      <c r="BI241" s="586" t="str">
        <f>_xlfn.IFS(AND($AI241=$AM241,$AI241&gt;0,$AM241&gt;0,BH241&gt;0), BH241,     AND(NOT($AI241=$AM241),$AI241&gt;0,$AM241&gt;0,BH241&gt;0), ($AM241*BH241)/$AI241,     AND($AI241=0,$AM241&gt;0,$AQ241&gt;0), IF(INDEX(BH$12:BH$263,MATCH($AQ241,$AP$12:$AP$263,0))&gt;0,($AM241*INDEX(BH$12:BH$263,MATCH($AQ241,$AP$12:$AP$263,0)))/INDEX($AI$12:$AI$263,MATCH($AQ241,$AP$12:$AP$263,0)), "-"),     TRUE, "0")</f>
        <v>0</v>
      </c>
      <c r="BJ241" s="588">
        <f>IF(BI$9&gt;0, IF(OR(BI241="",BI241="-"), 0, BI241*$AT241), BH241*$AJ241)</f>
        <v>0</v>
      </c>
      <c r="BK241" s="587">
        <f>[1]COMMANDE!Y239</f>
        <v>0</v>
      </c>
      <c r="BL241" s="586" t="str">
        <f>_xlfn.IFS(AND($AI241=$AM241,$AI241&gt;0,$AM241&gt;0,BK241&gt;0), BK241,     AND(NOT($AI241=$AM241),$AI241&gt;0,$AM241&gt;0,BK241&gt;0), ($AM241*BK241)/$AI241,     AND($AI241=0,$AM241&gt;0,$AQ241&gt;0), IF(INDEX(BK$12:BK$263,MATCH($AQ241,$AP$12:$AP$263,0))&gt;0,($AM241*INDEX(BK$12:BK$263,MATCH($AQ241,$AP$12:$AP$263,0)))/INDEX($AI$12:$AI$263,MATCH($AQ241,$AP$12:$AP$263,0)), "-"),     TRUE, "0")</f>
        <v>0</v>
      </c>
      <c r="BM241" s="607">
        <f>IF(BL$9&gt;0, IF(OR(BL241="",BL241="-"), 0, BL241*$AT241), BK241*$AJ241)</f>
        <v>0</v>
      </c>
      <c r="BN241" s="589">
        <f>[1]COMMANDE!AA239</f>
        <v>0</v>
      </c>
      <c r="BO241" s="586" t="str">
        <f>_xlfn.IFS(AND($AI241=$AM241,$AI241&gt;0,$AM241&gt;0,BN241&gt;0), BN241,     AND(NOT($AI241=$AM241),$AI241&gt;0,$AM241&gt;0,BN241&gt;0), ($AM241*BN241)/$AI241,     AND($AI241=0,$AM241&gt;0,$AQ241&gt;0), IF(INDEX(BN$12:BN$263,MATCH($AQ241,$AP$12:$AP$263,0))&gt;0,($AM241*INDEX(BN$12:BN$263,MATCH($AQ241,$AP$12:$AP$263,0)))/INDEX($AI$12:$AI$263,MATCH($AQ241,$AP$12:$AP$263,0)), "-"),     TRUE, "0")</f>
        <v>0</v>
      </c>
      <c r="BP241" s="588">
        <f>IF(BO$9&gt;0, IF(OR(BO241="",BO241="-"), 0, BO241*$AT241), BN241*$AJ241)</f>
        <v>0</v>
      </c>
      <c r="BQ241" s="587">
        <f>[1]COMMANDE!AC239</f>
        <v>0</v>
      </c>
      <c r="BR241" s="586" t="str">
        <f>_xlfn.IFS(AND($AI241=$AM241,$AI241&gt;0,$AM241&gt;0,BQ241&gt;0), BQ241,     AND(NOT($AI241=$AM241),$AI241&gt;0,$AM241&gt;0,BQ241&gt;0), ($AM241*BQ241)/$AI241,     AND($AI241=0,$AM241&gt;0,$AQ241&gt;0), IF(INDEX(BQ$12:BQ$263,MATCH($AQ241,$AP$12:$AP$263,0))&gt;0,($AM241*INDEX(BQ$12:BQ$263,MATCH($AQ241,$AP$12:$AP$263,0)))/INDEX($AI$12:$AI$263,MATCH($AQ241,$AP$12:$AP$263,0)), "-"),     TRUE, "0")</f>
        <v>0</v>
      </c>
      <c r="BS241" s="607">
        <f>IF(BR$9&gt;0, IF(OR(BR241="",BR241="-"), 0, BR241*$AT241), BQ241*$AJ241)</f>
        <v>0</v>
      </c>
      <c r="BT241" s="589">
        <f>[1]COMMANDE!AE239</f>
        <v>0</v>
      </c>
      <c r="BU241" s="586" t="str">
        <f>_xlfn.IFS(AND($AI241=$AM241,$AI241&gt;0,$AM241&gt;0,BT241&gt;0), BT241,     AND(NOT($AI241=$AM241),$AI241&gt;0,$AM241&gt;0,BT241&gt;0), ($AM241*BT241)/$AI241,     AND($AI241=0,$AM241&gt;0,$AQ241&gt;0), IF(INDEX(BT$12:BT$263,MATCH($AQ241,$AP$12:$AP$263,0))&gt;0,($AM241*INDEX(BT$12:BT$263,MATCH($AQ241,$AP$12:$AP$263,0)))/INDEX($AI$12:$AI$263,MATCH($AQ241,$AP$12:$AP$263,0)), "-"),     TRUE, "0")</f>
        <v>0</v>
      </c>
      <c r="BV241" s="588">
        <f>IF(BU$9&gt;0, IF(OR(BU241="",BU241="-"), 0, BU241*$AT241), BT241*$AJ241)</f>
        <v>0</v>
      </c>
      <c r="BW241" s="587">
        <f>[1]COMMANDE!AG239</f>
        <v>0</v>
      </c>
      <c r="BX241" s="586" t="str">
        <f>_xlfn.IFS(AND($AI241=$AM241,$AI241&gt;0,$AM241&gt;0,BW241&gt;0), BW241,     AND(NOT($AI241=$AM241),$AI241&gt;0,$AM241&gt;0,BW241&gt;0), ($AM241*BW241)/$AI241,     AND($AI241=0,$AM241&gt;0,$AQ241&gt;0), IF(INDEX(BW$12:BW$263,MATCH($AQ241,$AP$12:$AP$263,0))&gt;0,($AM241*INDEX(BW$12:BW$263,MATCH($AQ241,$AP$12:$AP$263,0)))/INDEX($AI$12:$AI$263,MATCH($AQ241,$AP$12:$AP$263,0)), "-"),     TRUE, "0")</f>
        <v>0</v>
      </c>
      <c r="BY241" s="607">
        <f>IF(BX$9&gt;0, IF(OR(BX241="",BX241="-"), 0, BX241*$AT241), BW241*$AJ241)</f>
        <v>0</v>
      </c>
      <c r="BZ241" s="589">
        <f>[1]COMMANDE!AI239</f>
        <v>0</v>
      </c>
      <c r="CA241" s="586" t="str">
        <f>_xlfn.IFS(AND($AI241=$AM241,$AI241&gt;0,$AM241&gt;0,BZ241&gt;0), BZ241,     AND(NOT($AI241=$AM241),$AI241&gt;0,$AM241&gt;0,BZ241&gt;0), ($AM241*BZ241)/$AI241,     AND($AI241=0,$AM241&gt;0,$AQ241&gt;0), IF(INDEX(BZ$12:BZ$263,MATCH($AQ241,$AP$12:$AP$263,0))&gt;0,($AM241*INDEX(BZ$12:BZ$263,MATCH($AQ241,$AP$12:$AP$263,0)))/INDEX($AI$12:$AI$263,MATCH($AQ241,$AP$12:$AP$263,0)), "-"),     TRUE, "0")</f>
        <v>0</v>
      </c>
      <c r="CB241" s="588">
        <f>IF(CA$9&gt;0, IF(OR(CA241="",CA241="-"), 0, CA241*$AT241), BZ241*$AJ241)</f>
        <v>0</v>
      </c>
      <c r="CC241" s="587">
        <f>[1]COMMANDE!AK239</f>
        <v>0</v>
      </c>
      <c r="CD241" s="586" t="str">
        <f>_xlfn.IFS(AND($AI241=$AM241,$AI241&gt;0,$AM241&gt;0,CC241&gt;0), CC241,     AND(NOT($AI241=$AM241),$AI241&gt;0,$AM241&gt;0,CC241&gt;0), ($AM241*CC241)/$AI241,     AND($AI241=0,$AM241&gt;0,$AQ241&gt;0), IF(INDEX(CC$12:CC$263,MATCH($AQ241,$AP$12:$AP$263,0))&gt;0,($AM241*INDEX(CC$12:CC$263,MATCH($AQ241,$AP$12:$AP$263,0)))/INDEX($AI$12:$AI$263,MATCH($AQ241,$AP$12:$AP$263,0)), "-"),     TRUE, "0")</f>
        <v>0</v>
      </c>
      <c r="CE241" s="607">
        <f>IF(CD$9&gt;0, IF(OR(CD241="",CD241="-"), 0, CD241*$AT241), CC241*$AJ241)</f>
        <v>0</v>
      </c>
      <c r="CF241" s="589">
        <f>[1]COMMANDE!AM239</f>
        <v>0</v>
      </c>
      <c r="CG241" s="586" t="str">
        <f>_xlfn.IFS(AND($AI241=$AM241,$AI241&gt;0,$AM241&gt;0,CF241&gt;0), CF241,     AND(NOT($AI241=$AM241),$AI241&gt;0,$AM241&gt;0,CF241&gt;0), ($AM241*CF241)/$AI241,     AND($AI241=0,$AM241&gt;0,$AQ241&gt;0), IF(INDEX(CF$12:CF$263,MATCH($AQ241,$AP$12:$AP$263,0))&gt;0,($AM241*INDEX(CF$12:CF$263,MATCH($AQ241,$AP$12:$AP$263,0)))/INDEX($AI$12:$AI$263,MATCH($AQ241,$AP$12:$AP$263,0)), "-"),     TRUE, "0")</f>
        <v>0</v>
      </c>
      <c r="CH241" s="588">
        <f>IF(CG$9&gt;0, IF(OR(CG241="",CG241="-"), 0, CG241*$AT241), CF241*$AJ241)</f>
        <v>0</v>
      </c>
      <c r="CI241" s="587">
        <f>[1]COMMANDE!AO239</f>
        <v>0</v>
      </c>
      <c r="CJ241" s="586" t="str">
        <f>_xlfn.IFS(AND($AI241=$AM241,$AI241&gt;0,$AM241&gt;0,CI241&gt;0), CI241,     AND(NOT($AI241=$AM241),$AI241&gt;0,$AM241&gt;0,CI241&gt;0), ($AM241*CI241)/$AI241,     AND($AI241=0,$AM241&gt;0,$AQ241&gt;0), IF(INDEX(CI$12:CI$263,MATCH($AQ241,$AP$12:$AP$263,0))&gt;0,($AM241*INDEX(CI$12:CI$263,MATCH($AQ241,$AP$12:$AP$263,0)))/INDEX($AI$12:$AI$263,MATCH($AQ241,$AP$12:$AP$263,0)), "-"),     TRUE, "0")</f>
        <v>0</v>
      </c>
      <c r="CK241" s="607">
        <f>IF(CJ$9&gt;0, IF(OR(CJ241="",CJ241="-"), 0, CJ241*$AT241), CI241*$AJ241)</f>
        <v>0</v>
      </c>
      <c r="CL241" s="589">
        <f>[1]COMMANDE!AQ239</f>
        <v>0</v>
      </c>
      <c r="CM241" s="586" t="str">
        <f>_xlfn.IFS(AND($AI241=$AM241,$AI241&gt;0,$AM241&gt;0,CL241&gt;0), CL241,     AND(NOT($AI241=$AM241),$AI241&gt;0,$AM241&gt;0,CL241&gt;0), ($AM241*CL241)/$AI241,     AND($AI241=0,$AM241&gt;0,$AQ241&gt;0), IF(INDEX(CL$12:CL$263,MATCH($AQ241,$AP$12:$AP$263,0))&gt;0,($AM241*INDEX(CL$12:CL$263,MATCH($AQ241,$AP$12:$AP$263,0)))/INDEX($AI$12:$AI$263,MATCH($AQ241,$AP$12:$AP$263,0)), "-"),     TRUE, "0")</f>
        <v>0</v>
      </c>
      <c r="CN241" s="588">
        <f>IF(CM$9&gt;0, IF(OR(CM241="",CM241="-"), 0, CM241*$AT241), CL241*$AJ241)</f>
        <v>0</v>
      </c>
      <c r="CO241" s="587">
        <f>[1]COMMANDE!AS239</f>
        <v>0</v>
      </c>
      <c r="CP241" s="586" t="str">
        <f>_xlfn.IFS(AND($AI241=$AM241,$AI241&gt;0,$AM241&gt;0,CO241&gt;0), CO241,     AND(NOT($AI241=$AM241),$AI241&gt;0,$AM241&gt;0,CO241&gt;0), ($AM241*CO241)/$AI241,     AND($AI241=0,$AM241&gt;0,$AQ241&gt;0), IF(INDEX(CO$12:CO$263,MATCH($AQ241,$AP$12:$AP$263,0))&gt;0,($AM241*INDEX(CO$12:CO$263,MATCH($AQ241,$AP$12:$AP$263,0)))/INDEX($AI$12:$AI$263,MATCH($AQ241,$AP$12:$AP$263,0)), "-"),     TRUE, "0")</f>
        <v>0</v>
      </c>
      <c r="CQ241" s="607">
        <f>IF(CP$9&gt;0, IF(OR(CP241="",CP241="-"), 0, CP241*$AT241), CO241*$AJ241)</f>
        <v>0</v>
      </c>
      <c r="CR241" s="589">
        <f>[1]COMMANDE!AU239</f>
        <v>0</v>
      </c>
      <c r="CS241" s="586" t="str">
        <f>_xlfn.IFS(AND($AI241=$AM241,$AI241&gt;0,$AM241&gt;0,CR241&gt;0), CR241,     AND(NOT($AI241=$AM241),$AI241&gt;0,$AM241&gt;0,CR241&gt;0), ($AM241*CR241)/$AI241,     AND($AI241=0,$AM241&gt;0,$AQ241&gt;0), IF(INDEX(CR$12:CR$263,MATCH($AQ241,$AP$12:$AP$263,0))&gt;0,($AM241*INDEX(CR$12:CR$263,MATCH($AQ241,$AP$12:$AP$263,0)))/INDEX($AI$12:$AI$263,MATCH($AQ241,$AP$12:$AP$263,0)), "-"),     TRUE, "0")</f>
        <v>0</v>
      </c>
      <c r="CT241" s="588">
        <f>IF(CS$9&gt;0, IF(OR(CS241="",CS241="-"), 0, CS241*$AT241), CR241*$AJ241)</f>
        <v>0</v>
      </c>
      <c r="CU241" s="587">
        <f>[1]COMMANDE!AW239</f>
        <v>0</v>
      </c>
      <c r="CV241" s="586" t="str">
        <f>_xlfn.IFS(AND($AI241=$AM241,$AI241&gt;0,$AM241&gt;0,CU241&gt;0), CU241,     AND(NOT($AI241=$AM241),$AI241&gt;0,$AM241&gt;0,CU241&gt;0), ($AM241*CU241)/$AI241,     AND($AI241=0,$AM241&gt;0,$AQ241&gt;0), IF(INDEX(CU$12:CU$263,MATCH($AQ241,$AP$12:$AP$263,0))&gt;0,($AM241*INDEX(CU$12:CU$263,MATCH($AQ241,$AP$12:$AP$263,0)))/INDEX($AI$12:$AI$263,MATCH($AQ241,$AP$12:$AP$263,0)), "-"),     TRUE, "0")</f>
        <v>0</v>
      </c>
      <c r="CW241" s="607">
        <f>IF(CV$9&gt;0, IF(OR(CV241="",CV241="-"), 0, CV241*$AT241), CU241*$AJ241)</f>
        <v>0</v>
      </c>
      <c r="CX241" s="589">
        <f>[1]COMMANDE!AY239</f>
        <v>0</v>
      </c>
      <c r="CY241" s="586" t="str">
        <f>_xlfn.IFS(AND($AI241=$AM241,$AI241&gt;0,$AM241&gt;0,CX241&gt;0), CX241,     AND(NOT($AI241=$AM241),$AI241&gt;0,$AM241&gt;0,CX241&gt;0), ($AM241*CX241)/$AI241,     AND($AI241=0,$AM241&gt;0,$AQ241&gt;0), IF(INDEX(CX$12:CX$263,MATCH($AQ241,$AP$12:$AP$263,0))&gt;0,($AM241*INDEX(CX$12:CX$263,MATCH($AQ241,$AP$12:$AP$263,0)))/INDEX($AI$12:$AI$263,MATCH($AQ241,$AP$12:$AP$263,0)), "-"),     TRUE, "0")</f>
        <v>0</v>
      </c>
      <c r="CZ241" s="588">
        <f>IF(CY$9&gt;0, IF(OR(CY241="",CY241="-"), 0, CY241*$AT241), CX241*$AJ241)</f>
        <v>0</v>
      </c>
      <c r="DA241" s="587">
        <f>[1]COMMANDE!BA239</f>
        <v>0</v>
      </c>
      <c r="DB241" s="586" t="str">
        <f>_xlfn.IFS(AND($AI241=$AM241,$AI241&gt;0,$AM241&gt;0,DA241&gt;0), DA241,     AND(NOT($AI241=$AM241),$AI241&gt;0,$AM241&gt;0,DA241&gt;0), ($AM241*DA241)/$AI241,     AND($AI241=0,$AM241&gt;0,$AQ241&gt;0), IF(INDEX(DA$12:DA$263,MATCH($AQ241,$AP$12:$AP$263,0))&gt;0,($AM241*INDEX(DA$12:DA$263,MATCH($AQ241,$AP$12:$AP$263,0)))/INDEX($AI$12:$AI$263,MATCH($AQ241,$AP$12:$AP$263,0)), "-"),     TRUE, "0")</f>
        <v>0</v>
      </c>
      <c r="DC241" s="606">
        <f>IF(DB$9&gt;0, IF(OR(DB241="",DB241="-"), 0, DB241*$AT241), DA241*$AJ241)</f>
        <v>0</v>
      </c>
      <c r="DD241" s="584"/>
      <c r="DE241" s="583"/>
    </row>
    <row r="242" spans="1:109" ht="39.950000000000003" hidden="1" customHeight="1">
      <c r="A242" s="604">
        <f>IF(OR($AV242&gt;0, $AX242&gt;0), 1, 0)</f>
        <v>0</v>
      </c>
      <c r="B242" s="604">
        <f>IF(OR($AY242&gt;0, $BA242&gt;0), 1, 0)</f>
        <v>0</v>
      </c>
      <c r="C242" s="604">
        <f>IF(OR($BB242&gt;0, $BD242&gt;0), 1, 0)</f>
        <v>0</v>
      </c>
      <c r="D242" s="604">
        <f>IF(OR($BE242&gt;0, $BG242&gt;0), 1, 0)</f>
        <v>0</v>
      </c>
      <c r="E242" s="604">
        <f>IF(OR($BH242&gt;0, $BJ242&gt;0), 1, 0)</f>
        <v>0</v>
      </c>
      <c r="F242" s="604">
        <f>IF(OR($BK242&gt;0, $BM242&gt;0), 1, 0)</f>
        <v>0</v>
      </c>
      <c r="G242" s="604">
        <f>IF(OR($BN242&gt;0, $BP242&gt;0), 1, 0)</f>
        <v>0</v>
      </c>
      <c r="H242" s="604">
        <f>IF(OR($BQ242&gt;0, $BS242&gt;0), 1, 0)</f>
        <v>0</v>
      </c>
      <c r="I242" s="604">
        <f>IF(OR($BT242&gt;0, $BV242&gt;0), 1, 0)</f>
        <v>0</v>
      </c>
      <c r="J242" s="604">
        <f>IF(OR($BW242&gt;0, $BY242&gt;0), 1, 0)</f>
        <v>0</v>
      </c>
      <c r="K242" s="604">
        <f>IF(OR($BZ242&gt;0, $CB242&gt;0), 1, 0)</f>
        <v>0</v>
      </c>
      <c r="L242" s="604">
        <f>IF(OR($CC242&gt;0, $CE242&gt;0), 1, 0)</f>
        <v>0</v>
      </c>
      <c r="M242" s="604">
        <f>IF(OR($CF242&gt;0, $CH242&gt;0), 1, 0)</f>
        <v>0</v>
      </c>
      <c r="N242" s="604">
        <f>IF(OR($CI242&gt;0, $CK242&gt;0), 1, 0)</f>
        <v>0</v>
      </c>
      <c r="O242" s="604">
        <f>IF(OR($CL242&gt;0, $CN242&gt;0), 1, 0)</f>
        <v>0</v>
      </c>
      <c r="P242" s="604">
        <f>IF(OR($CO242&gt;0, $CQ242&gt;0), 1, 0)</f>
        <v>0</v>
      </c>
      <c r="Q242" s="604">
        <f>IF(OR($CR242&gt;0, $CT242&gt;0), 1, 0)</f>
        <v>0</v>
      </c>
      <c r="R242" s="604">
        <f>IF(OR($CU242&gt;0, $CW242&gt;0), 1, 0)</f>
        <v>0</v>
      </c>
      <c r="S242" s="604">
        <f>IF(OR($CX242&gt;0, $CZ242&gt;0), 1, 0)</f>
        <v>0</v>
      </c>
      <c r="T242" s="604">
        <f>IF(OR($DA242&gt;0, $DC242&gt;0), 1, 0)</f>
        <v>0</v>
      </c>
      <c r="U242" s="603">
        <f>IF(OR($AI242&gt;0,$AM242&gt;0,$AS242&gt;0), 1, 0)</f>
        <v>0</v>
      </c>
      <c r="V242" s="602">
        <f>[1]BDD!A232</f>
        <v>3713</v>
      </c>
      <c r="W242" s="601" t="str">
        <f>[1]BDD!B232</f>
        <v>Sel rose de l'Himalaya moulu
    - (sous vide, env. 1kg)</v>
      </c>
      <c r="X242" s="600" t="str">
        <f>IF([1]BDD!F232=0, "", [1]BDD!F232)</f>
        <v>❤️</v>
      </c>
      <c r="Y242" s="542">
        <f>ROUND([1]BDD!G232+FDP_CMD_KG, 2)</f>
        <v>3.58</v>
      </c>
      <c r="Z242" s="542">
        <f>ROUND([1]BDD!G232+FDP_FACT_KG, 2)</f>
        <v>3.58</v>
      </c>
      <c r="AA242" s="543" t="str">
        <f>[1]BDD!H232</f>
        <v>kg</v>
      </c>
      <c r="AB242" s="544">
        <f>IF(NOT(ISBLANK([1]BDD!I232)), ROUND(SUM(([1]BDD!G232*reduc1),FDP_CMD_KG), 2), "")</f>
        <v>3.31</v>
      </c>
      <c r="AC242" s="544" t="str">
        <f>IF(NOT(ISBLANK([1]BDD!J232)), ROUND(SUM(([1]BDD!G232*reduc2),FDP_CMD_KG), 2), "")</f>
        <v/>
      </c>
      <c r="AD242" s="544" t="str">
        <f>IF(NOT(ISBLANK([1]BDD!K232)), ROUND(SUM(([1]BDD!G232*reduc3),FDP_CMD_KG), 2), "")</f>
        <v/>
      </c>
      <c r="AE242" s="544">
        <f>IF(NOT(ISBLANK([1]BDD!I232)), ROUND(SUM(([1]BDD!G232*reduc1),FDP_FACT_KG), 2), "")</f>
        <v>3.31</v>
      </c>
      <c r="AF242" s="544" t="str">
        <f>IF(NOT(ISBLANK([1]BDD!J232)), ROUND(SUM(([1]BDD!G232*reduc2),FDP_FACT_KG), 2), "")</f>
        <v/>
      </c>
      <c r="AG242" s="544" t="str">
        <f>IF(NOT(ISBLANK([1]BDD!K232)), ROUND(SUM(([1]BDD!G232*reduc3),FDP_FACT_KG), 2), "")</f>
        <v/>
      </c>
      <c r="AH242" s="599" t="str">
        <f>[1]BDD!C232</f>
        <v>Pakistan</v>
      </c>
      <c r="AI242" s="598">
        <f>SUM(AV242,AY242,BB242,BE242,BH242,BK242,BN242,BQ242,BT242,BW242,BZ242,CC242,CF242,CI242,CL242,CO242,CR242,CU242,CX242,DA242)</f>
        <v>0</v>
      </c>
      <c r="AJ242" s="545">
        <f>_xlfn.IFS($AD242&lt;&gt;"", $AD242,    $AC242&lt;&gt;"", $AC242,    $AB242&lt;&gt;"", $AB242,    TRUE, $Y242)</f>
        <v>3.31</v>
      </c>
      <c r="AK242" s="592">
        <f>$AI242*$AJ242</f>
        <v>0</v>
      </c>
      <c r="AL242" s="594"/>
      <c r="AM242" s="597"/>
      <c r="AN242" s="545">
        <f>_xlfn.IFS(AND(AM242&gt;=60,$AG242&lt;&gt;""), $AG242,    AND(AM242&gt;=30,$AF242&lt;&gt;""), $AF242,    AND(AM242&gt;=10,$AE242&lt;&gt;""), $AE242,    TRUE, $Z242)</f>
        <v>3.58</v>
      </c>
      <c r="AO242" s="596">
        <f>AM242*AN242</f>
        <v>0</v>
      </c>
      <c r="AP242" s="595"/>
      <c r="AQ242" s="595"/>
      <c r="AR242" s="594"/>
      <c r="AS242" s="593">
        <f>SUM(AW242,AZ242,BC242,BF242,BI242,BL242,BO242,BR242,BU242,BX242,CA242,CD242,CG242,CJ242,CM242,CP242,CS242,CV242,CY242,DB242)</f>
        <v>0</v>
      </c>
      <c r="AT242" s="545">
        <f>_xlfn.IFS(AND(AS242&gt;=60,$AG242&lt;&gt;""), $AG242,    AND(AS242&gt;=30,$AF242&lt;&gt;""), $AF242,    AND(AS242&gt;=10,$AE242&lt;&gt;""), $AE242,    TRUE, $Z242)</f>
        <v>3.58</v>
      </c>
      <c r="AU242" s="592">
        <f>$AS242*$AT242</f>
        <v>0</v>
      </c>
      <c r="AV242" s="591">
        <f>[1]COMMANDE!O240</f>
        <v>0</v>
      </c>
      <c r="AW242" s="586" t="str">
        <f>_xlfn.IFS(AND($AI242=$AM242,$AI242&gt;0,$AM242&gt;0,AV242&gt;0), AV242,     AND(NOT($AI242=$AM242),$AI242&gt;0,$AM242&gt;0,AV242&gt;0), ($AM242*AV242)/$AI242,     AND($AI242=0,$AM242&gt;0,$AQ242&gt;0), IF(INDEX(AV$12:AV$263,MATCH($AQ242,$AP$12:$AP$263,0))&gt;0,($AM242*INDEX(AV$12:AV$263,MATCH($AQ242,$AP$12:$AP$263,0)))/INDEX($AI$12:$AI$263,MATCH($AQ242,$AP$12:$AP$263,0)), "-"),     TRUE, "0")</f>
        <v>0</v>
      </c>
      <c r="AX242" s="588">
        <f>IF(AW$9&gt;0, IF(OR(AW242="",AW242="-"), 0, AW242*$AT242), AV242*$AJ242)</f>
        <v>0</v>
      </c>
      <c r="AY242" s="587">
        <f>[1]COMMANDE!Q240</f>
        <v>0</v>
      </c>
      <c r="AZ242" s="586" t="str">
        <f>_xlfn.IFS(AND($AI242=$AM242,$AI242&gt;0,$AM242&gt;0,AY242&gt;0), AY242,     AND(NOT($AI242=$AM242),$AI242&gt;0,$AM242&gt;0,AY242&gt;0), ($AM242*AY242)/$AI242,     AND($AI242=0,$AM242&gt;0,$AQ242&gt;0), IF(INDEX(AY$12:AY$263,MATCH($AQ242,$AP$12:$AP$263,0))&gt;0,($AM242*INDEX(AY$12:AY$263,MATCH($AQ242,$AP$12:$AP$263,0)))/INDEX($AI$12:$AI$263,MATCH($AQ242,$AP$12:$AP$263,0)), "-"),     TRUE, "0")</f>
        <v>0</v>
      </c>
      <c r="BA242" s="607">
        <f>IF(AZ$9&gt;0, IF(OR(AZ242="",AZ242="-"), 0, AZ242*$AT242), AY242*$AJ242)</f>
        <v>0</v>
      </c>
      <c r="BB242" s="589">
        <f>[1]COMMANDE!S240</f>
        <v>0</v>
      </c>
      <c r="BC242" s="586" t="str">
        <f>_xlfn.IFS(AND($AI242=$AM242,$AI242&gt;0,$AM242&gt;0,BB242&gt;0), BB242,     AND(NOT($AI242=$AM242),$AI242&gt;0,$AM242&gt;0,BB242&gt;0), ($AM242*BB242)/$AI242,     AND($AI242=0,$AM242&gt;0,$AQ242&gt;0), IF(INDEX(BB$12:BB$263,MATCH($AQ242,$AP$12:$AP$263,0))&gt;0,($AM242*INDEX(BB$12:BB$263,MATCH($AQ242,$AP$12:$AP$263,0)))/INDEX($AI$12:$AI$263,MATCH($AQ242,$AP$12:$AP$263,0)), "-"),     TRUE, "0")</f>
        <v>0</v>
      </c>
      <c r="BD242" s="588">
        <f>IF(BC$9&gt;0, IF(OR(BC242="",BC242="-"), 0, BC242*$AT242), BB242*$AJ242)</f>
        <v>0</v>
      </c>
      <c r="BE242" s="587">
        <f>[1]COMMANDE!U240</f>
        <v>0</v>
      </c>
      <c r="BF242" s="586" t="str">
        <f>_xlfn.IFS(AND($AI242=$AM242,$AI242&gt;0,$AM242&gt;0,BE242&gt;0), BE242,     AND(NOT($AI242=$AM242),$AI242&gt;0,$AM242&gt;0,BE242&gt;0), ($AM242*BE242)/$AI242,     AND($AI242=0,$AM242&gt;0,$AQ242&gt;0), IF(INDEX(BE$12:BE$263,MATCH($AQ242,$AP$12:$AP$263,0))&gt;0,($AM242*INDEX(BE$12:BE$263,MATCH($AQ242,$AP$12:$AP$263,0)))/INDEX($AI$12:$AI$263,MATCH($AQ242,$AP$12:$AP$263,0)), "-"),     TRUE, "0")</f>
        <v>0</v>
      </c>
      <c r="BG242" s="607">
        <f>IF(BF$9&gt;0, IF(OR(BF242="",BF242="-"), 0, BF242*$AT242), BE242*$AJ242)</f>
        <v>0</v>
      </c>
      <c r="BH242" s="589">
        <f>[1]COMMANDE!W240</f>
        <v>0</v>
      </c>
      <c r="BI242" s="586" t="str">
        <f>_xlfn.IFS(AND($AI242=$AM242,$AI242&gt;0,$AM242&gt;0,BH242&gt;0), BH242,     AND(NOT($AI242=$AM242),$AI242&gt;0,$AM242&gt;0,BH242&gt;0), ($AM242*BH242)/$AI242,     AND($AI242=0,$AM242&gt;0,$AQ242&gt;0), IF(INDEX(BH$12:BH$263,MATCH($AQ242,$AP$12:$AP$263,0))&gt;0,($AM242*INDEX(BH$12:BH$263,MATCH($AQ242,$AP$12:$AP$263,0)))/INDEX($AI$12:$AI$263,MATCH($AQ242,$AP$12:$AP$263,0)), "-"),     TRUE, "0")</f>
        <v>0</v>
      </c>
      <c r="BJ242" s="588">
        <f>IF(BI$9&gt;0, IF(OR(BI242="",BI242="-"), 0, BI242*$AT242), BH242*$AJ242)</f>
        <v>0</v>
      </c>
      <c r="BK242" s="587">
        <f>[1]COMMANDE!Y240</f>
        <v>0</v>
      </c>
      <c r="BL242" s="586" t="str">
        <f>_xlfn.IFS(AND($AI242=$AM242,$AI242&gt;0,$AM242&gt;0,BK242&gt;0), BK242,     AND(NOT($AI242=$AM242),$AI242&gt;0,$AM242&gt;0,BK242&gt;0), ($AM242*BK242)/$AI242,     AND($AI242=0,$AM242&gt;0,$AQ242&gt;0), IF(INDEX(BK$12:BK$263,MATCH($AQ242,$AP$12:$AP$263,0))&gt;0,($AM242*INDEX(BK$12:BK$263,MATCH($AQ242,$AP$12:$AP$263,0)))/INDEX($AI$12:$AI$263,MATCH($AQ242,$AP$12:$AP$263,0)), "-"),     TRUE, "0")</f>
        <v>0</v>
      </c>
      <c r="BM242" s="607">
        <f>IF(BL$9&gt;0, IF(OR(BL242="",BL242="-"), 0, BL242*$AT242), BK242*$AJ242)</f>
        <v>0</v>
      </c>
      <c r="BN242" s="589">
        <f>[1]COMMANDE!AA240</f>
        <v>0</v>
      </c>
      <c r="BO242" s="586" t="str">
        <f>_xlfn.IFS(AND($AI242=$AM242,$AI242&gt;0,$AM242&gt;0,BN242&gt;0), BN242,     AND(NOT($AI242=$AM242),$AI242&gt;0,$AM242&gt;0,BN242&gt;0), ($AM242*BN242)/$AI242,     AND($AI242=0,$AM242&gt;0,$AQ242&gt;0), IF(INDEX(BN$12:BN$263,MATCH($AQ242,$AP$12:$AP$263,0))&gt;0,($AM242*INDEX(BN$12:BN$263,MATCH($AQ242,$AP$12:$AP$263,0)))/INDEX($AI$12:$AI$263,MATCH($AQ242,$AP$12:$AP$263,0)), "-"),     TRUE, "0")</f>
        <v>0</v>
      </c>
      <c r="BP242" s="588">
        <f>IF(BO$9&gt;0, IF(OR(BO242="",BO242="-"), 0, BO242*$AT242), BN242*$AJ242)</f>
        <v>0</v>
      </c>
      <c r="BQ242" s="587">
        <f>[1]COMMANDE!AC240</f>
        <v>0</v>
      </c>
      <c r="BR242" s="586" t="str">
        <f>_xlfn.IFS(AND($AI242=$AM242,$AI242&gt;0,$AM242&gt;0,BQ242&gt;0), BQ242,     AND(NOT($AI242=$AM242),$AI242&gt;0,$AM242&gt;0,BQ242&gt;0), ($AM242*BQ242)/$AI242,     AND($AI242=0,$AM242&gt;0,$AQ242&gt;0), IF(INDEX(BQ$12:BQ$263,MATCH($AQ242,$AP$12:$AP$263,0))&gt;0,($AM242*INDEX(BQ$12:BQ$263,MATCH($AQ242,$AP$12:$AP$263,0)))/INDEX($AI$12:$AI$263,MATCH($AQ242,$AP$12:$AP$263,0)), "-"),     TRUE, "0")</f>
        <v>0</v>
      </c>
      <c r="BS242" s="607">
        <f>IF(BR$9&gt;0, IF(OR(BR242="",BR242="-"), 0, BR242*$AT242), BQ242*$AJ242)</f>
        <v>0</v>
      </c>
      <c r="BT242" s="589">
        <f>[1]COMMANDE!AE240</f>
        <v>0</v>
      </c>
      <c r="BU242" s="586" t="str">
        <f>_xlfn.IFS(AND($AI242=$AM242,$AI242&gt;0,$AM242&gt;0,BT242&gt;0), BT242,     AND(NOT($AI242=$AM242),$AI242&gt;0,$AM242&gt;0,BT242&gt;0), ($AM242*BT242)/$AI242,     AND($AI242=0,$AM242&gt;0,$AQ242&gt;0), IF(INDEX(BT$12:BT$263,MATCH($AQ242,$AP$12:$AP$263,0))&gt;0,($AM242*INDEX(BT$12:BT$263,MATCH($AQ242,$AP$12:$AP$263,0)))/INDEX($AI$12:$AI$263,MATCH($AQ242,$AP$12:$AP$263,0)), "-"),     TRUE, "0")</f>
        <v>0</v>
      </c>
      <c r="BV242" s="588">
        <f>IF(BU$9&gt;0, IF(OR(BU242="",BU242="-"), 0, BU242*$AT242), BT242*$AJ242)</f>
        <v>0</v>
      </c>
      <c r="BW242" s="587">
        <f>[1]COMMANDE!AG240</f>
        <v>0</v>
      </c>
      <c r="BX242" s="586" t="str">
        <f>_xlfn.IFS(AND($AI242=$AM242,$AI242&gt;0,$AM242&gt;0,BW242&gt;0), BW242,     AND(NOT($AI242=$AM242),$AI242&gt;0,$AM242&gt;0,BW242&gt;0), ($AM242*BW242)/$AI242,     AND($AI242=0,$AM242&gt;0,$AQ242&gt;0), IF(INDEX(BW$12:BW$263,MATCH($AQ242,$AP$12:$AP$263,0))&gt;0,($AM242*INDEX(BW$12:BW$263,MATCH($AQ242,$AP$12:$AP$263,0)))/INDEX($AI$12:$AI$263,MATCH($AQ242,$AP$12:$AP$263,0)), "-"),     TRUE, "0")</f>
        <v>0</v>
      </c>
      <c r="BY242" s="607">
        <f>IF(BX$9&gt;0, IF(OR(BX242="",BX242="-"), 0, BX242*$AT242), BW242*$AJ242)</f>
        <v>0</v>
      </c>
      <c r="BZ242" s="589">
        <f>[1]COMMANDE!AI240</f>
        <v>0</v>
      </c>
      <c r="CA242" s="586" t="str">
        <f>_xlfn.IFS(AND($AI242=$AM242,$AI242&gt;0,$AM242&gt;0,BZ242&gt;0), BZ242,     AND(NOT($AI242=$AM242),$AI242&gt;0,$AM242&gt;0,BZ242&gt;0), ($AM242*BZ242)/$AI242,     AND($AI242=0,$AM242&gt;0,$AQ242&gt;0), IF(INDEX(BZ$12:BZ$263,MATCH($AQ242,$AP$12:$AP$263,0))&gt;0,($AM242*INDEX(BZ$12:BZ$263,MATCH($AQ242,$AP$12:$AP$263,0)))/INDEX($AI$12:$AI$263,MATCH($AQ242,$AP$12:$AP$263,0)), "-"),     TRUE, "0")</f>
        <v>0</v>
      </c>
      <c r="CB242" s="588">
        <f>IF(CA$9&gt;0, IF(OR(CA242="",CA242="-"), 0, CA242*$AT242), BZ242*$AJ242)</f>
        <v>0</v>
      </c>
      <c r="CC242" s="587">
        <f>[1]COMMANDE!AK240</f>
        <v>0</v>
      </c>
      <c r="CD242" s="586" t="str">
        <f>_xlfn.IFS(AND($AI242=$AM242,$AI242&gt;0,$AM242&gt;0,CC242&gt;0), CC242,     AND(NOT($AI242=$AM242),$AI242&gt;0,$AM242&gt;0,CC242&gt;0), ($AM242*CC242)/$AI242,     AND($AI242=0,$AM242&gt;0,$AQ242&gt;0), IF(INDEX(CC$12:CC$263,MATCH($AQ242,$AP$12:$AP$263,0))&gt;0,($AM242*INDEX(CC$12:CC$263,MATCH($AQ242,$AP$12:$AP$263,0)))/INDEX($AI$12:$AI$263,MATCH($AQ242,$AP$12:$AP$263,0)), "-"),     TRUE, "0")</f>
        <v>0</v>
      </c>
      <c r="CE242" s="607">
        <f>IF(CD$9&gt;0, IF(OR(CD242="",CD242="-"), 0, CD242*$AT242), CC242*$AJ242)</f>
        <v>0</v>
      </c>
      <c r="CF242" s="589">
        <f>[1]COMMANDE!AM240</f>
        <v>0</v>
      </c>
      <c r="CG242" s="586" t="str">
        <f>_xlfn.IFS(AND($AI242=$AM242,$AI242&gt;0,$AM242&gt;0,CF242&gt;0), CF242,     AND(NOT($AI242=$AM242),$AI242&gt;0,$AM242&gt;0,CF242&gt;0), ($AM242*CF242)/$AI242,     AND($AI242=0,$AM242&gt;0,$AQ242&gt;0), IF(INDEX(CF$12:CF$263,MATCH($AQ242,$AP$12:$AP$263,0))&gt;0,($AM242*INDEX(CF$12:CF$263,MATCH($AQ242,$AP$12:$AP$263,0)))/INDEX($AI$12:$AI$263,MATCH($AQ242,$AP$12:$AP$263,0)), "-"),     TRUE, "0")</f>
        <v>0</v>
      </c>
      <c r="CH242" s="588">
        <f>IF(CG$9&gt;0, IF(OR(CG242="",CG242="-"), 0, CG242*$AT242), CF242*$AJ242)</f>
        <v>0</v>
      </c>
      <c r="CI242" s="587">
        <f>[1]COMMANDE!AO240</f>
        <v>0</v>
      </c>
      <c r="CJ242" s="586" t="str">
        <f>_xlfn.IFS(AND($AI242=$AM242,$AI242&gt;0,$AM242&gt;0,CI242&gt;0), CI242,     AND(NOT($AI242=$AM242),$AI242&gt;0,$AM242&gt;0,CI242&gt;0), ($AM242*CI242)/$AI242,     AND($AI242=0,$AM242&gt;0,$AQ242&gt;0), IF(INDEX(CI$12:CI$263,MATCH($AQ242,$AP$12:$AP$263,0))&gt;0,($AM242*INDEX(CI$12:CI$263,MATCH($AQ242,$AP$12:$AP$263,0)))/INDEX($AI$12:$AI$263,MATCH($AQ242,$AP$12:$AP$263,0)), "-"),     TRUE, "0")</f>
        <v>0</v>
      </c>
      <c r="CK242" s="607">
        <f>IF(CJ$9&gt;0, IF(OR(CJ242="",CJ242="-"), 0, CJ242*$AT242), CI242*$AJ242)</f>
        <v>0</v>
      </c>
      <c r="CL242" s="589">
        <f>[1]COMMANDE!AQ240</f>
        <v>0</v>
      </c>
      <c r="CM242" s="586" t="str">
        <f>_xlfn.IFS(AND($AI242=$AM242,$AI242&gt;0,$AM242&gt;0,CL242&gt;0), CL242,     AND(NOT($AI242=$AM242),$AI242&gt;0,$AM242&gt;0,CL242&gt;0), ($AM242*CL242)/$AI242,     AND($AI242=0,$AM242&gt;0,$AQ242&gt;0), IF(INDEX(CL$12:CL$263,MATCH($AQ242,$AP$12:$AP$263,0))&gt;0,($AM242*INDEX(CL$12:CL$263,MATCH($AQ242,$AP$12:$AP$263,0)))/INDEX($AI$12:$AI$263,MATCH($AQ242,$AP$12:$AP$263,0)), "-"),     TRUE, "0")</f>
        <v>0</v>
      </c>
      <c r="CN242" s="588">
        <f>IF(CM$9&gt;0, IF(OR(CM242="",CM242="-"), 0, CM242*$AT242), CL242*$AJ242)</f>
        <v>0</v>
      </c>
      <c r="CO242" s="587">
        <f>[1]COMMANDE!AS240</f>
        <v>0</v>
      </c>
      <c r="CP242" s="586" t="str">
        <f>_xlfn.IFS(AND($AI242=$AM242,$AI242&gt;0,$AM242&gt;0,CO242&gt;0), CO242,     AND(NOT($AI242=$AM242),$AI242&gt;0,$AM242&gt;0,CO242&gt;0), ($AM242*CO242)/$AI242,     AND($AI242=0,$AM242&gt;0,$AQ242&gt;0), IF(INDEX(CO$12:CO$263,MATCH($AQ242,$AP$12:$AP$263,0))&gt;0,($AM242*INDEX(CO$12:CO$263,MATCH($AQ242,$AP$12:$AP$263,0)))/INDEX($AI$12:$AI$263,MATCH($AQ242,$AP$12:$AP$263,0)), "-"),     TRUE, "0")</f>
        <v>0</v>
      </c>
      <c r="CQ242" s="607">
        <f>IF(CP$9&gt;0, IF(OR(CP242="",CP242="-"), 0, CP242*$AT242), CO242*$AJ242)</f>
        <v>0</v>
      </c>
      <c r="CR242" s="589">
        <f>[1]COMMANDE!AU240</f>
        <v>0</v>
      </c>
      <c r="CS242" s="586" t="str">
        <f>_xlfn.IFS(AND($AI242=$AM242,$AI242&gt;0,$AM242&gt;0,CR242&gt;0), CR242,     AND(NOT($AI242=$AM242),$AI242&gt;0,$AM242&gt;0,CR242&gt;0), ($AM242*CR242)/$AI242,     AND($AI242=0,$AM242&gt;0,$AQ242&gt;0), IF(INDEX(CR$12:CR$263,MATCH($AQ242,$AP$12:$AP$263,0))&gt;0,($AM242*INDEX(CR$12:CR$263,MATCH($AQ242,$AP$12:$AP$263,0)))/INDEX($AI$12:$AI$263,MATCH($AQ242,$AP$12:$AP$263,0)), "-"),     TRUE, "0")</f>
        <v>0</v>
      </c>
      <c r="CT242" s="588">
        <f>IF(CS$9&gt;0, IF(OR(CS242="",CS242="-"), 0, CS242*$AT242), CR242*$AJ242)</f>
        <v>0</v>
      </c>
      <c r="CU242" s="587">
        <f>[1]COMMANDE!AW240</f>
        <v>0</v>
      </c>
      <c r="CV242" s="586" t="str">
        <f>_xlfn.IFS(AND($AI242=$AM242,$AI242&gt;0,$AM242&gt;0,CU242&gt;0), CU242,     AND(NOT($AI242=$AM242),$AI242&gt;0,$AM242&gt;0,CU242&gt;0), ($AM242*CU242)/$AI242,     AND($AI242=0,$AM242&gt;0,$AQ242&gt;0), IF(INDEX(CU$12:CU$263,MATCH($AQ242,$AP$12:$AP$263,0))&gt;0,($AM242*INDEX(CU$12:CU$263,MATCH($AQ242,$AP$12:$AP$263,0)))/INDEX($AI$12:$AI$263,MATCH($AQ242,$AP$12:$AP$263,0)), "-"),     TRUE, "0")</f>
        <v>0</v>
      </c>
      <c r="CW242" s="607">
        <f>IF(CV$9&gt;0, IF(OR(CV242="",CV242="-"), 0, CV242*$AT242), CU242*$AJ242)</f>
        <v>0</v>
      </c>
      <c r="CX242" s="589">
        <f>[1]COMMANDE!AY240</f>
        <v>0</v>
      </c>
      <c r="CY242" s="586" t="str">
        <f>_xlfn.IFS(AND($AI242=$AM242,$AI242&gt;0,$AM242&gt;0,CX242&gt;0), CX242,     AND(NOT($AI242=$AM242),$AI242&gt;0,$AM242&gt;0,CX242&gt;0), ($AM242*CX242)/$AI242,     AND($AI242=0,$AM242&gt;0,$AQ242&gt;0), IF(INDEX(CX$12:CX$263,MATCH($AQ242,$AP$12:$AP$263,0))&gt;0,($AM242*INDEX(CX$12:CX$263,MATCH($AQ242,$AP$12:$AP$263,0)))/INDEX($AI$12:$AI$263,MATCH($AQ242,$AP$12:$AP$263,0)), "-"),     TRUE, "0")</f>
        <v>0</v>
      </c>
      <c r="CZ242" s="588">
        <f>IF(CY$9&gt;0, IF(OR(CY242="",CY242="-"), 0, CY242*$AT242), CX242*$AJ242)</f>
        <v>0</v>
      </c>
      <c r="DA242" s="587">
        <f>[1]COMMANDE!BA240</f>
        <v>0</v>
      </c>
      <c r="DB242" s="586" t="str">
        <f>_xlfn.IFS(AND($AI242=$AM242,$AI242&gt;0,$AM242&gt;0,DA242&gt;0), DA242,     AND(NOT($AI242=$AM242),$AI242&gt;0,$AM242&gt;0,DA242&gt;0), ($AM242*DA242)/$AI242,     AND($AI242=0,$AM242&gt;0,$AQ242&gt;0), IF(INDEX(DA$12:DA$263,MATCH($AQ242,$AP$12:$AP$263,0))&gt;0,($AM242*INDEX(DA$12:DA$263,MATCH($AQ242,$AP$12:$AP$263,0)))/INDEX($AI$12:$AI$263,MATCH($AQ242,$AP$12:$AP$263,0)), "-"),     TRUE, "0")</f>
        <v>0</v>
      </c>
      <c r="DC242" s="606">
        <f>IF(DB$9&gt;0, IF(OR(DB242="",DB242="-"), 0, DB242*$AT242), DA242*$AJ242)</f>
        <v>0</v>
      </c>
      <c r="DD242" s="584"/>
      <c r="DE242" s="583"/>
    </row>
    <row r="243" spans="1:109" ht="39.950000000000003" hidden="1" customHeight="1">
      <c r="A243" s="604">
        <f>IF(OR($AV243&gt;0, $AX243&gt;0), 1, 0)</f>
        <v>0</v>
      </c>
      <c r="B243" s="604">
        <f>IF(OR($AY243&gt;0, $BA243&gt;0), 1, 0)</f>
        <v>0</v>
      </c>
      <c r="C243" s="604">
        <f>IF(OR($BB243&gt;0, $BD243&gt;0), 1, 0)</f>
        <v>0</v>
      </c>
      <c r="D243" s="604">
        <f>IF(OR($BE243&gt;0, $BG243&gt;0), 1, 0)</f>
        <v>0</v>
      </c>
      <c r="E243" s="604">
        <f>IF(OR($BH243&gt;0, $BJ243&gt;0), 1, 0)</f>
        <v>0</v>
      </c>
      <c r="F243" s="604">
        <f>IF(OR($BK243&gt;0, $BM243&gt;0), 1, 0)</f>
        <v>0</v>
      </c>
      <c r="G243" s="604">
        <f>IF(OR($BN243&gt;0, $BP243&gt;0), 1, 0)</f>
        <v>0</v>
      </c>
      <c r="H243" s="604">
        <f>IF(OR($BQ243&gt;0, $BS243&gt;0), 1, 0)</f>
        <v>0</v>
      </c>
      <c r="I243" s="604">
        <f>IF(OR($BT243&gt;0, $BV243&gt;0), 1, 0)</f>
        <v>0</v>
      </c>
      <c r="J243" s="604">
        <f>IF(OR($BW243&gt;0, $BY243&gt;0), 1, 0)</f>
        <v>0</v>
      </c>
      <c r="K243" s="604">
        <f>IF(OR($BZ243&gt;0, $CB243&gt;0), 1, 0)</f>
        <v>0</v>
      </c>
      <c r="L243" s="604">
        <f>IF(OR($CC243&gt;0, $CE243&gt;0), 1, 0)</f>
        <v>0</v>
      </c>
      <c r="M243" s="604">
        <f>IF(OR($CF243&gt;0, $CH243&gt;0), 1, 0)</f>
        <v>0</v>
      </c>
      <c r="N243" s="604">
        <f>IF(OR($CI243&gt;0, $CK243&gt;0), 1, 0)</f>
        <v>0</v>
      </c>
      <c r="O243" s="604">
        <f>IF(OR($CL243&gt;0, $CN243&gt;0), 1, 0)</f>
        <v>0</v>
      </c>
      <c r="P243" s="604">
        <f>IF(OR($CO243&gt;0, $CQ243&gt;0), 1, 0)</f>
        <v>0</v>
      </c>
      <c r="Q243" s="604">
        <f>IF(OR($CR243&gt;0, $CT243&gt;0), 1, 0)</f>
        <v>0</v>
      </c>
      <c r="R243" s="604">
        <f>IF(OR($CU243&gt;0, $CW243&gt;0), 1, 0)</f>
        <v>0</v>
      </c>
      <c r="S243" s="604">
        <f>IF(OR($CX243&gt;0, $CZ243&gt;0), 1, 0)</f>
        <v>0</v>
      </c>
      <c r="T243" s="604">
        <f>IF(OR($DA243&gt;0, $DC243&gt;0), 1, 0)</f>
        <v>0</v>
      </c>
      <c r="U243" s="603">
        <f>IF(OR($AI243&gt;0,$AM243&gt;0,$AS243&gt;0), 1, 0)</f>
        <v>0</v>
      </c>
      <c r="V243" s="602">
        <f>[1]BDD!A233</f>
        <v>1358</v>
      </c>
      <c r="W243" s="601" t="str">
        <f>[1]BDD!B233</f>
        <v>Sésame CRU BIO (env. 1kg)</v>
      </c>
      <c r="X243" s="600" t="str">
        <f>IF([1]BDD!F233=0, "", [1]BDD!F233)</f>
        <v>❤️</v>
      </c>
      <c r="Y243" s="542">
        <f>ROUND([1]BDD!G233+FDP_CMD_KG, 2)</f>
        <v>7.69</v>
      </c>
      <c r="Z243" s="542">
        <f>ROUND([1]BDD!G233+FDP_FACT_KG, 2)</f>
        <v>7.69</v>
      </c>
      <c r="AA243" s="543" t="str">
        <f>[1]BDD!H233</f>
        <v>Pièce</v>
      </c>
      <c r="AB243" s="544">
        <f>IF(NOT(ISBLANK([1]BDD!I233)), ROUND(SUM(([1]BDD!G233*reduc1),FDP_CMD_KG), 2), "")</f>
        <v>7.01</v>
      </c>
      <c r="AC243" s="544" t="str">
        <f>IF(NOT(ISBLANK([1]BDD!J233)), ROUND(SUM(([1]BDD!G233*reduc2),FDP_CMD_KG), 2), "")</f>
        <v/>
      </c>
      <c r="AD243" s="544" t="str">
        <f>IF(NOT(ISBLANK([1]BDD!K233)), ROUND(SUM(([1]BDD!G233*reduc3),FDP_CMD_KG), 2), "")</f>
        <v/>
      </c>
      <c r="AE243" s="544">
        <f>IF(NOT(ISBLANK([1]BDD!I233)), ROUND(SUM(([1]BDD!G233*reduc1),FDP_FACT_KG), 2), "")</f>
        <v>7</v>
      </c>
      <c r="AF243" s="544" t="str">
        <f>IF(NOT(ISBLANK([1]BDD!J233)), ROUND(SUM(([1]BDD!G233*reduc2),FDP_FACT_KG), 2), "")</f>
        <v/>
      </c>
      <c r="AG243" s="544" t="str">
        <f>IF(NOT(ISBLANK([1]BDD!K233)), ROUND(SUM(([1]BDD!G233*reduc3),FDP_FACT_KG), 2), "")</f>
        <v/>
      </c>
      <c r="AH243" s="599" t="str">
        <f>[1]BDD!C233</f>
        <v>Paraguay
Egypte</v>
      </c>
      <c r="AI243" s="598">
        <f>SUM(AV243,AY243,BB243,BE243,BH243,BK243,BN243,BQ243,BT243,BW243,BZ243,CC243,CF243,CI243,CL243,CO243,CR243,CU243,CX243,DA243)</f>
        <v>0</v>
      </c>
      <c r="AJ243" s="545">
        <f>_xlfn.IFS($AD243&lt;&gt;"", $AD243,    $AC243&lt;&gt;"", $AC243,    $AB243&lt;&gt;"", $AB243,    TRUE, $Y243)</f>
        <v>7.01</v>
      </c>
      <c r="AK243" s="592">
        <f>$AI243*$AJ243</f>
        <v>0</v>
      </c>
      <c r="AL243" s="594"/>
      <c r="AM243" s="597"/>
      <c r="AN243" s="545">
        <f>_xlfn.IFS(AND(AM243&gt;=60,$AG243&lt;&gt;""), $AG243,    AND(AM243&gt;=30,$AF243&lt;&gt;""), $AF243,    AND(AM243&gt;=10,$AE243&lt;&gt;""), $AE243,    TRUE, $Z243)</f>
        <v>7.69</v>
      </c>
      <c r="AO243" s="596">
        <f>AM243*AN243</f>
        <v>0</v>
      </c>
      <c r="AP243" s="595"/>
      <c r="AQ243" s="595"/>
      <c r="AR243" s="594"/>
      <c r="AS243" s="593">
        <f>SUM(AW243,AZ243,BC243,BF243,BI243,BL243,BO243,BR243,BU243,BX243,CA243,CD243,CG243,CJ243,CM243,CP243,CS243,CV243,CY243,DB243)</f>
        <v>0</v>
      </c>
      <c r="AT243" s="545">
        <f>_xlfn.IFS(AND(AS243&gt;=60,$AG243&lt;&gt;""), $AG243,    AND(AS243&gt;=30,$AF243&lt;&gt;""), $AF243,    AND(AS243&gt;=10,$AE243&lt;&gt;""), $AE243,    TRUE, $Z243)</f>
        <v>7.69</v>
      </c>
      <c r="AU243" s="592">
        <f>$AS243*$AT243</f>
        <v>0</v>
      </c>
      <c r="AV243" s="591">
        <f>[1]COMMANDE!O241</f>
        <v>0</v>
      </c>
      <c r="AW243" s="586" t="str">
        <f>_xlfn.IFS(AND($AI243=$AM243,$AI243&gt;0,$AM243&gt;0,AV243&gt;0), AV243,     AND(NOT($AI243=$AM243),$AI243&gt;0,$AM243&gt;0,AV243&gt;0), ($AM243*AV243)/$AI243,     AND($AI243=0,$AM243&gt;0,$AQ243&gt;0), IF(INDEX(AV$12:AV$263,MATCH($AQ243,$AP$12:$AP$263,0))&gt;0,($AM243*INDEX(AV$12:AV$263,MATCH($AQ243,$AP$12:$AP$263,0)))/INDEX($AI$12:$AI$263,MATCH($AQ243,$AP$12:$AP$263,0)), "-"),     TRUE, "0")</f>
        <v>0</v>
      </c>
      <c r="AX243" s="588">
        <f>IF(AW$9&gt;0, IF(OR(AW243="",AW243="-"), 0, AW243*$AT243), AV243*$AJ243)</f>
        <v>0</v>
      </c>
      <c r="AY243" s="587">
        <f>[1]COMMANDE!Q241</f>
        <v>0</v>
      </c>
      <c r="AZ243" s="586" t="str">
        <f>_xlfn.IFS(AND($AI243=$AM243,$AI243&gt;0,$AM243&gt;0,AY243&gt;0), AY243,     AND(NOT($AI243=$AM243),$AI243&gt;0,$AM243&gt;0,AY243&gt;0), ($AM243*AY243)/$AI243,     AND($AI243=0,$AM243&gt;0,$AQ243&gt;0), IF(INDEX(AY$12:AY$263,MATCH($AQ243,$AP$12:$AP$263,0))&gt;0,($AM243*INDEX(AY$12:AY$263,MATCH($AQ243,$AP$12:$AP$263,0)))/INDEX($AI$12:$AI$263,MATCH($AQ243,$AP$12:$AP$263,0)), "-"),     TRUE, "0")</f>
        <v>0</v>
      </c>
      <c r="BA243" s="607">
        <f>IF(AZ$9&gt;0, IF(OR(AZ243="",AZ243="-"), 0, AZ243*$AT243), AY243*$AJ243)</f>
        <v>0</v>
      </c>
      <c r="BB243" s="589">
        <f>[1]COMMANDE!S241</f>
        <v>0</v>
      </c>
      <c r="BC243" s="586" t="str">
        <f>_xlfn.IFS(AND($AI243=$AM243,$AI243&gt;0,$AM243&gt;0,BB243&gt;0), BB243,     AND(NOT($AI243=$AM243),$AI243&gt;0,$AM243&gt;0,BB243&gt;0), ($AM243*BB243)/$AI243,     AND($AI243=0,$AM243&gt;0,$AQ243&gt;0), IF(INDEX(BB$12:BB$263,MATCH($AQ243,$AP$12:$AP$263,0))&gt;0,($AM243*INDEX(BB$12:BB$263,MATCH($AQ243,$AP$12:$AP$263,0)))/INDEX($AI$12:$AI$263,MATCH($AQ243,$AP$12:$AP$263,0)), "-"),     TRUE, "0")</f>
        <v>0</v>
      </c>
      <c r="BD243" s="588">
        <f>IF(BC$9&gt;0, IF(OR(BC243="",BC243="-"), 0, BC243*$AT243), BB243*$AJ243)</f>
        <v>0</v>
      </c>
      <c r="BE243" s="587">
        <f>[1]COMMANDE!U241</f>
        <v>0</v>
      </c>
      <c r="BF243" s="586" t="str">
        <f>_xlfn.IFS(AND($AI243=$AM243,$AI243&gt;0,$AM243&gt;0,BE243&gt;0), BE243,     AND(NOT($AI243=$AM243),$AI243&gt;0,$AM243&gt;0,BE243&gt;0), ($AM243*BE243)/$AI243,     AND($AI243=0,$AM243&gt;0,$AQ243&gt;0), IF(INDEX(BE$12:BE$263,MATCH($AQ243,$AP$12:$AP$263,0))&gt;0,($AM243*INDEX(BE$12:BE$263,MATCH($AQ243,$AP$12:$AP$263,0)))/INDEX($AI$12:$AI$263,MATCH($AQ243,$AP$12:$AP$263,0)), "-"),     TRUE, "0")</f>
        <v>0</v>
      </c>
      <c r="BG243" s="607">
        <f>IF(BF$9&gt;0, IF(OR(BF243="",BF243="-"), 0, BF243*$AT243), BE243*$AJ243)</f>
        <v>0</v>
      </c>
      <c r="BH243" s="589">
        <f>[1]COMMANDE!W241</f>
        <v>0</v>
      </c>
      <c r="BI243" s="586" t="str">
        <f>_xlfn.IFS(AND($AI243=$AM243,$AI243&gt;0,$AM243&gt;0,BH243&gt;0), BH243,     AND(NOT($AI243=$AM243),$AI243&gt;0,$AM243&gt;0,BH243&gt;0), ($AM243*BH243)/$AI243,     AND($AI243=0,$AM243&gt;0,$AQ243&gt;0), IF(INDEX(BH$12:BH$263,MATCH($AQ243,$AP$12:$AP$263,0))&gt;0,($AM243*INDEX(BH$12:BH$263,MATCH($AQ243,$AP$12:$AP$263,0)))/INDEX($AI$12:$AI$263,MATCH($AQ243,$AP$12:$AP$263,0)), "-"),     TRUE, "0")</f>
        <v>0</v>
      </c>
      <c r="BJ243" s="588">
        <f>IF(BI$9&gt;0, IF(OR(BI243="",BI243="-"), 0, BI243*$AT243), BH243*$AJ243)</f>
        <v>0</v>
      </c>
      <c r="BK243" s="587">
        <f>[1]COMMANDE!Y241</f>
        <v>0</v>
      </c>
      <c r="BL243" s="586" t="str">
        <f>_xlfn.IFS(AND($AI243=$AM243,$AI243&gt;0,$AM243&gt;0,BK243&gt;0), BK243,     AND(NOT($AI243=$AM243),$AI243&gt;0,$AM243&gt;0,BK243&gt;0), ($AM243*BK243)/$AI243,     AND($AI243=0,$AM243&gt;0,$AQ243&gt;0), IF(INDEX(BK$12:BK$263,MATCH($AQ243,$AP$12:$AP$263,0))&gt;0,($AM243*INDEX(BK$12:BK$263,MATCH($AQ243,$AP$12:$AP$263,0)))/INDEX($AI$12:$AI$263,MATCH($AQ243,$AP$12:$AP$263,0)), "-"),     TRUE, "0")</f>
        <v>0</v>
      </c>
      <c r="BM243" s="607">
        <f>IF(BL$9&gt;0, IF(OR(BL243="",BL243="-"), 0, BL243*$AT243), BK243*$AJ243)</f>
        <v>0</v>
      </c>
      <c r="BN243" s="589">
        <f>[1]COMMANDE!AA241</f>
        <v>0</v>
      </c>
      <c r="BO243" s="586" t="str">
        <f>_xlfn.IFS(AND($AI243=$AM243,$AI243&gt;0,$AM243&gt;0,BN243&gt;0), BN243,     AND(NOT($AI243=$AM243),$AI243&gt;0,$AM243&gt;0,BN243&gt;0), ($AM243*BN243)/$AI243,     AND($AI243=0,$AM243&gt;0,$AQ243&gt;0), IF(INDEX(BN$12:BN$263,MATCH($AQ243,$AP$12:$AP$263,0))&gt;0,($AM243*INDEX(BN$12:BN$263,MATCH($AQ243,$AP$12:$AP$263,0)))/INDEX($AI$12:$AI$263,MATCH($AQ243,$AP$12:$AP$263,0)), "-"),     TRUE, "0")</f>
        <v>0</v>
      </c>
      <c r="BP243" s="588">
        <f>IF(BO$9&gt;0, IF(OR(BO243="",BO243="-"), 0, BO243*$AT243), BN243*$AJ243)</f>
        <v>0</v>
      </c>
      <c r="BQ243" s="587">
        <f>[1]COMMANDE!AC241</f>
        <v>0</v>
      </c>
      <c r="BR243" s="586" t="str">
        <f>_xlfn.IFS(AND($AI243=$AM243,$AI243&gt;0,$AM243&gt;0,BQ243&gt;0), BQ243,     AND(NOT($AI243=$AM243),$AI243&gt;0,$AM243&gt;0,BQ243&gt;0), ($AM243*BQ243)/$AI243,     AND($AI243=0,$AM243&gt;0,$AQ243&gt;0), IF(INDEX(BQ$12:BQ$263,MATCH($AQ243,$AP$12:$AP$263,0))&gt;0,($AM243*INDEX(BQ$12:BQ$263,MATCH($AQ243,$AP$12:$AP$263,0)))/INDEX($AI$12:$AI$263,MATCH($AQ243,$AP$12:$AP$263,0)), "-"),     TRUE, "0")</f>
        <v>0</v>
      </c>
      <c r="BS243" s="607">
        <f>IF(BR$9&gt;0, IF(OR(BR243="",BR243="-"), 0, BR243*$AT243), BQ243*$AJ243)</f>
        <v>0</v>
      </c>
      <c r="BT243" s="589">
        <f>[1]COMMANDE!AE241</f>
        <v>0</v>
      </c>
      <c r="BU243" s="586" t="str">
        <f>_xlfn.IFS(AND($AI243=$AM243,$AI243&gt;0,$AM243&gt;0,BT243&gt;0), BT243,     AND(NOT($AI243=$AM243),$AI243&gt;0,$AM243&gt;0,BT243&gt;0), ($AM243*BT243)/$AI243,     AND($AI243=0,$AM243&gt;0,$AQ243&gt;0), IF(INDEX(BT$12:BT$263,MATCH($AQ243,$AP$12:$AP$263,0))&gt;0,($AM243*INDEX(BT$12:BT$263,MATCH($AQ243,$AP$12:$AP$263,0)))/INDEX($AI$12:$AI$263,MATCH($AQ243,$AP$12:$AP$263,0)), "-"),     TRUE, "0")</f>
        <v>0</v>
      </c>
      <c r="BV243" s="588">
        <f>IF(BU$9&gt;0, IF(OR(BU243="",BU243="-"), 0, BU243*$AT243), BT243*$AJ243)</f>
        <v>0</v>
      </c>
      <c r="BW243" s="587">
        <f>[1]COMMANDE!AG241</f>
        <v>0</v>
      </c>
      <c r="BX243" s="586" t="str">
        <f>_xlfn.IFS(AND($AI243=$AM243,$AI243&gt;0,$AM243&gt;0,BW243&gt;0), BW243,     AND(NOT($AI243=$AM243),$AI243&gt;0,$AM243&gt;0,BW243&gt;0), ($AM243*BW243)/$AI243,     AND($AI243=0,$AM243&gt;0,$AQ243&gt;0), IF(INDEX(BW$12:BW$263,MATCH($AQ243,$AP$12:$AP$263,0))&gt;0,($AM243*INDEX(BW$12:BW$263,MATCH($AQ243,$AP$12:$AP$263,0)))/INDEX($AI$12:$AI$263,MATCH($AQ243,$AP$12:$AP$263,0)), "-"),     TRUE, "0")</f>
        <v>0</v>
      </c>
      <c r="BY243" s="607">
        <f>IF(BX$9&gt;0, IF(OR(BX243="",BX243="-"), 0, BX243*$AT243), BW243*$AJ243)</f>
        <v>0</v>
      </c>
      <c r="BZ243" s="589">
        <f>[1]COMMANDE!AI241</f>
        <v>0</v>
      </c>
      <c r="CA243" s="586" t="str">
        <f>_xlfn.IFS(AND($AI243=$AM243,$AI243&gt;0,$AM243&gt;0,BZ243&gt;0), BZ243,     AND(NOT($AI243=$AM243),$AI243&gt;0,$AM243&gt;0,BZ243&gt;0), ($AM243*BZ243)/$AI243,     AND($AI243=0,$AM243&gt;0,$AQ243&gt;0), IF(INDEX(BZ$12:BZ$263,MATCH($AQ243,$AP$12:$AP$263,0))&gt;0,($AM243*INDEX(BZ$12:BZ$263,MATCH($AQ243,$AP$12:$AP$263,0)))/INDEX($AI$12:$AI$263,MATCH($AQ243,$AP$12:$AP$263,0)), "-"),     TRUE, "0")</f>
        <v>0</v>
      </c>
      <c r="CB243" s="588">
        <f>IF(CA$9&gt;0, IF(OR(CA243="",CA243="-"), 0, CA243*$AT243), BZ243*$AJ243)</f>
        <v>0</v>
      </c>
      <c r="CC243" s="587">
        <f>[1]COMMANDE!AK241</f>
        <v>0</v>
      </c>
      <c r="CD243" s="586" t="str">
        <f>_xlfn.IFS(AND($AI243=$AM243,$AI243&gt;0,$AM243&gt;0,CC243&gt;0), CC243,     AND(NOT($AI243=$AM243),$AI243&gt;0,$AM243&gt;0,CC243&gt;0), ($AM243*CC243)/$AI243,     AND($AI243=0,$AM243&gt;0,$AQ243&gt;0), IF(INDEX(CC$12:CC$263,MATCH($AQ243,$AP$12:$AP$263,0))&gt;0,($AM243*INDEX(CC$12:CC$263,MATCH($AQ243,$AP$12:$AP$263,0)))/INDEX($AI$12:$AI$263,MATCH($AQ243,$AP$12:$AP$263,0)), "-"),     TRUE, "0")</f>
        <v>0</v>
      </c>
      <c r="CE243" s="607">
        <f>IF(CD$9&gt;0, IF(OR(CD243="",CD243="-"), 0, CD243*$AT243), CC243*$AJ243)</f>
        <v>0</v>
      </c>
      <c r="CF243" s="589">
        <f>[1]COMMANDE!AM241</f>
        <v>0</v>
      </c>
      <c r="CG243" s="586" t="str">
        <f>_xlfn.IFS(AND($AI243=$AM243,$AI243&gt;0,$AM243&gt;0,CF243&gt;0), CF243,     AND(NOT($AI243=$AM243),$AI243&gt;0,$AM243&gt;0,CF243&gt;0), ($AM243*CF243)/$AI243,     AND($AI243=0,$AM243&gt;0,$AQ243&gt;0), IF(INDEX(CF$12:CF$263,MATCH($AQ243,$AP$12:$AP$263,0))&gt;0,($AM243*INDEX(CF$12:CF$263,MATCH($AQ243,$AP$12:$AP$263,0)))/INDEX($AI$12:$AI$263,MATCH($AQ243,$AP$12:$AP$263,0)), "-"),     TRUE, "0")</f>
        <v>0</v>
      </c>
      <c r="CH243" s="588">
        <f>IF(CG$9&gt;0, IF(OR(CG243="",CG243="-"), 0, CG243*$AT243), CF243*$AJ243)</f>
        <v>0</v>
      </c>
      <c r="CI243" s="587">
        <f>[1]COMMANDE!AO241</f>
        <v>0</v>
      </c>
      <c r="CJ243" s="586" t="str">
        <f>_xlfn.IFS(AND($AI243=$AM243,$AI243&gt;0,$AM243&gt;0,CI243&gt;0), CI243,     AND(NOT($AI243=$AM243),$AI243&gt;0,$AM243&gt;0,CI243&gt;0), ($AM243*CI243)/$AI243,     AND($AI243=0,$AM243&gt;0,$AQ243&gt;0), IF(INDEX(CI$12:CI$263,MATCH($AQ243,$AP$12:$AP$263,0))&gt;0,($AM243*INDEX(CI$12:CI$263,MATCH($AQ243,$AP$12:$AP$263,0)))/INDEX($AI$12:$AI$263,MATCH($AQ243,$AP$12:$AP$263,0)), "-"),     TRUE, "0")</f>
        <v>0</v>
      </c>
      <c r="CK243" s="607">
        <f>IF(CJ$9&gt;0, IF(OR(CJ243="",CJ243="-"), 0, CJ243*$AT243), CI243*$AJ243)</f>
        <v>0</v>
      </c>
      <c r="CL243" s="589">
        <f>[1]COMMANDE!AQ241</f>
        <v>0</v>
      </c>
      <c r="CM243" s="586" t="str">
        <f>_xlfn.IFS(AND($AI243=$AM243,$AI243&gt;0,$AM243&gt;0,CL243&gt;0), CL243,     AND(NOT($AI243=$AM243),$AI243&gt;0,$AM243&gt;0,CL243&gt;0), ($AM243*CL243)/$AI243,     AND($AI243=0,$AM243&gt;0,$AQ243&gt;0), IF(INDEX(CL$12:CL$263,MATCH($AQ243,$AP$12:$AP$263,0))&gt;0,($AM243*INDEX(CL$12:CL$263,MATCH($AQ243,$AP$12:$AP$263,0)))/INDEX($AI$12:$AI$263,MATCH($AQ243,$AP$12:$AP$263,0)), "-"),     TRUE, "0")</f>
        <v>0</v>
      </c>
      <c r="CN243" s="588">
        <f>IF(CM$9&gt;0, IF(OR(CM243="",CM243="-"), 0, CM243*$AT243), CL243*$AJ243)</f>
        <v>0</v>
      </c>
      <c r="CO243" s="587">
        <f>[1]COMMANDE!AS241</f>
        <v>0</v>
      </c>
      <c r="CP243" s="586" t="str">
        <f>_xlfn.IFS(AND($AI243=$AM243,$AI243&gt;0,$AM243&gt;0,CO243&gt;0), CO243,     AND(NOT($AI243=$AM243),$AI243&gt;0,$AM243&gt;0,CO243&gt;0), ($AM243*CO243)/$AI243,     AND($AI243=0,$AM243&gt;0,$AQ243&gt;0), IF(INDEX(CO$12:CO$263,MATCH($AQ243,$AP$12:$AP$263,0))&gt;0,($AM243*INDEX(CO$12:CO$263,MATCH($AQ243,$AP$12:$AP$263,0)))/INDEX($AI$12:$AI$263,MATCH($AQ243,$AP$12:$AP$263,0)), "-"),     TRUE, "0")</f>
        <v>0</v>
      </c>
      <c r="CQ243" s="607">
        <f>IF(CP$9&gt;0, IF(OR(CP243="",CP243="-"), 0, CP243*$AT243), CO243*$AJ243)</f>
        <v>0</v>
      </c>
      <c r="CR243" s="589">
        <f>[1]COMMANDE!AU241</f>
        <v>0</v>
      </c>
      <c r="CS243" s="586" t="str">
        <f>_xlfn.IFS(AND($AI243=$AM243,$AI243&gt;0,$AM243&gt;0,CR243&gt;0), CR243,     AND(NOT($AI243=$AM243),$AI243&gt;0,$AM243&gt;0,CR243&gt;0), ($AM243*CR243)/$AI243,     AND($AI243=0,$AM243&gt;0,$AQ243&gt;0), IF(INDEX(CR$12:CR$263,MATCH($AQ243,$AP$12:$AP$263,0))&gt;0,($AM243*INDEX(CR$12:CR$263,MATCH($AQ243,$AP$12:$AP$263,0)))/INDEX($AI$12:$AI$263,MATCH($AQ243,$AP$12:$AP$263,0)), "-"),     TRUE, "0")</f>
        <v>0</v>
      </c>
      <c r="CT243" s="588">
        <f>IF(CS$9&gt;0, IF(OR(CS243="",CS243="-"), 0, CS243*$AT243), CR243*$AJ243)</f>
        <v>0</v>
      </c>
      <c r="CU243" s="587">
        <f>[1]COMMANDE!AW241</f>
        <v>0</v>
      </c>
      <c r="CV243" s="586" t="str">
        <f>_xlfn.IFS(AND($AI243=$AM243,$AI243&gt;0,$AM243&gt;0,CU243&gt;0), CU243,     AND(NOT($AI243=$AM243),$AI243&gt;0,$AM243&gt;0,CU243&gt;0), ($AM243*CU243)/$AI243,     AND($AI243=0,$AM243&gt;0,$AQ243&gt;0), IF(INDEX(CU$12:CU$263,MATCH($AQ243,$AP$12:$AP$263,0))&gt;0,($AM243*INDEX(CU$12:CU$263,MATCH($AQ243,$AP$12:$AP$263,0)))/INDEX($AI$12:$AI$263,MATCH($AQ243,$AP$12:$AP$263,0)), "-"),     TRUE, "0")</f>
        <v>0</v>
      </c>
      <c r="CW243" s="607">
        <f>IF(CV$9&gt;0, IF(OR(CV243="",CV243="-"), 0, CV243*$AT243), CU243*$AJ243)</f>
        <v>0</v>
      </c>
      <c r="CX243" s="589">
        <f>[1]COMMANDE!AY241</f>
        <v>0</v>
      </c>
      <c r="CY243" s="586" t="str">
        <f>_xlfn.IFS(AND($AI243=$AM243,$AI243&gt;0,$AM243&gt;0,CX243&gt;0), CX243,     AND(NOT($AI243=$AM243),$AI243&gt;0,$AM243&gt;0,CX243&gt;0), ($AM243*CX243)/$AI243,     AND($AI243=0,$AM243&gt;0,$AQ243&gt;0), IF(INDEX(CX$12:CX$263,MATCH($AQ243,$AP$12:$AP$263,0))&gt;0,($AM243*INDEX(CX$12:CX$263,MATCH($AQ243,$AP$12:$AP$263,0)))/INDEX($AI$12:$AI$263,MATCH($AQ243,$AP$12:$AP$263,0)), "-"),     TRUE, "0")</f>
        <v>0</v>
      </c>
      <c r="CZ243" s="588">
        <f>IF(CY$9&gt;0, IF(OR(CY243="",CY243="-"), 0, CY243*$AT243), CX243*$AJ243)</f>
        <v>0</v>
      </c>
      <c r="DA243" s="587">
        <f>[1]COMMANDE!BA241</f>
        <v>0</v>
      </c>
      <c r="DB243" s="586" t="str">
        <f>_xlfn.IFS(AND($AI243=$AM243,$AI243&gt;0,$AM243&gt;0,DA243&gt;0), DA243,     AND(NOT($AI243=$AM243),$AI243&gt;0,$AM243&gt;0,DA243&gt;0), ($AM243*DA243)/$AI243,     AND($AI243=0,$AM243&gt;0,$AQ243&gt;0), IF(INDEX(DA$12:DA$263,MATCH($AQ243,$AP$12:$AP$263,0))&gt;0,($AM243*INDEX(DA$12:DA$263,MATCH($AQ243,$AP$12:$AP$263,0)))/INDEX($AI$12:$AI$263,MATCH($AQ243,$AP$12:$AP$263,0)), "-"),     TRUE, "0")</f>
        <v>0</v>
      </c>
      <c r="DC243" s="606">
        <f>IF(DB$9&gt;0, IF(OR(DB243="",DB243="-"), 0, DB243*$AT243), DA243*$AJ243)</f>
        <v>0</v>
      </c>
      <c r="DD243" s="584"/>
      <c r="DE243" s="583"/>
    </row>
    <row r="244" spans="1:109" ht="39.950000000000003" hidden="1" customHeight="1">
      <c r="A244" s="604">
        <f>IF(OR($AV244&gt;0, $AX244&gt;0), 1, 0)</f>
        <v>0</v>
      </c>
      <c r="B244" s="604">
        <f>IF(OR($AY244&gt;0, $BA244&gt;0), 1, 0)</f>
        <v>0</v>
      </c>
      <c r="C244" s="604">
        <f>IF(OR($BB244&gt;0, $BD244&gt;0), 1, 0)</f>
        <v>0</v>
      </c>
      <c r="D244" s="604">
        <f>IF(OR($BE244&gt;0, $BG244&gt;0), 1, 0)</f>
        <v>0</v>
      </c>
      <c r="E244" s="604">
        <f>IF(OR($BH244&gt;0, $BJ244&gt;0), 1, 0)</f>
        <v>0</v>
      </c>
      <c r="F244" s="604">
        <f>IF(OR($BK244&gt;0, $BM244&gt;0), 1, 0)</f>
        <v>0</v>
      </c>
      <c r="G244" s="604">
        <f>IF(OR($BN244&gt;0, $BP244&gt;0), 1, 0)</f>
        <v>0</v>
      </c>
      <c r="H244" s="604">
        <f>IF(OR($BQ244&gt;0, $BS244&gt;0), 1, 0)</f>
        <v>0</v>
      </c>
      <c r="I244" s="604">
        <f>IF(OR($BT244&gt;0, $BV244&gt;0), 1, 0)</f>
        <v>0</v>
      </c>
      <c r="J244" s="604">
        <f>IF(OR($BW244&gt;0, $BY244&gt;0), 1, 0)</f>
        <v>0</v>
      </c>
      <c r="K244" s="604">
        <f>IF(OR($BZ244&gt;0, $CB244&gt;0), 1, 0)</f>
        <v>0</v>
      </c>
      <c r="L244" s="604">
        <f>IF(OR($CC244&gt;0, $CE244&gt;0), 1, 0)</f>
        <v>0</v>
      </c>
      <c r="M244" s="604">
        <f>IF(OR($CF244&gt;0, $CH244&gt;0), 1, 0)</f>
        <v>0</v>
      </c>
      <c r="N244" s="604">
        <f>IF(OR($CI244&gt;0, $CK244&gt;0), 1, 0)</f>
        <v>0</v>
      </c>
      <c r="O244" s="604">
        <f>IF(OR($CL244&gt;0, $CN244&gt;0), 1, 0)</f>
        <v>0</v>
      </c>
      <c r="P244" s="604">
        <f>IF(OR($CO244&gt;0, $CQ244&gt;0), 1, 0)</f>
        <v>0</v>
      </c>
      <c r="Q244" s="604">
        <f>IF(OR($CR244&gt;0, $CT244&gt;0), 1, 0)</f>
        <v>0</v>
      </c>
      <c r="R244" s="604">
        <f>IF(OR($CU244&gt;0, $CW244&gt;0), 1, 0)</f>
        <v>0</v>
      </c>
      <c r="S244" s="604">
        <f>IF(OR($CX244&gt;0, $CZ244&gt;0), 1, 0)</f>
        <v>0</v>
      </c>
      <c r="T244" s="604">
        <f>IF(OR($DA244&gt;0, $DC244&gt;0), 1, 0)</f>
        <v>0</v>
      </c>
      <c r="U244" s="603">
        <f>IF(OR($AI244&gt;0,$AM244&gt;0,$AS244&gt;0), 1, 0)</f>
        <v>0</v>
      </c>
      <c r="V244" s="602">
        <f>[1]BDD!A234</f>
        <v>1860</v>
      </c>
      <c r="W244" s="601" t="str">
        <f>[1]BDD!B234</f>
        <v>Souchet BIO (env. 1kg)</v>
      </c>
      <c r="X244" s="600" t="str">
        <f>IF([1]BDD!F234=0, "", [1]BDD!F234)</f>
        <v>❤️</v>
      </c>
      <c r="Y244" s="542">
        <f>ROUND([1]BDD!G234+FDP_CMD_KG, 2)</f>
        <v>9.06</v>
      </c>
      <c r="Z244" s="542">
        <f>ROUND([1]BDD!G234+FDP_FACT_KG, 2)</f>
        <v>9.06</v>
      </c>
      <c r="AA244" s="543" t="str">
        <f>[1]BDD!H234</f>
        <v>Pièce</v>
      </c>
      <c r="AB244" s="544">
        <f>IF(NOT(ISBLANK([1]BDD!I234)), ROUND(SUM(([1]BDD!G234*reduc1),FDP_CMD_KG), 2), "")</f>
        <v>8.24</v>
      </c>
      <c r="AC244" s="544">
        <f>IF(NOT(ISBLANK([1]BDD!J234)), ROUND(SUM(([1]BDD!G234*reduc2),FDP_CMD_KG), 2), "")</f>
        <v>7.43</v>
      </c>
      <c r="AD244" s="544" t="str">
        <f>IF(NOT(ISBLANK([1]BDD!K234)), ROUND(SUM(([1]BDD!G234*reduc3),FDP_CMD_KG), 2), "")</f>
        <v/>
      </c>
      <c r="AE244" s="544">
        <f>IF(NOT(ISBLANK([1]BDD!I234)), ROUND(SUM(([1]BDD!G234*reduc1),FDP_FACT_KG), 2), "")</f>
        <v>8.24</v>
      </c>
      <c r="AF244" s="544">
        <f>IF(NOT(ISBLANK([1]BDD!J234)), ROUND(SUM(([1]BDD!G234*reduc2),FDP_FACT_KG), 2), "")</f>
        <v>7.42</v>
      </c>
      <c r="AG244" s="544" t="str">
        <f>IF(NOT(ISBLANK([1]BDD!K234)), ROUND(SUM(([1]BDD!G234*reduc3),FDP_FACT_KG), 2), "")</f>
        <v/>
      </c>
      <c r="AH244" s="599" t="str">
        <f>[1]BDD!C234</f>
        <v>Import</v>
      </c>
      <c r="AI244" s="598">
        <f>SUM(AV244,AY244,BB244,BE244,BH244,BK244,BN244,BQ244,BT244,BW244,BZ244,CC244,CF244,CI244,CL244,CO244,CR244,CU244,CX244,DA244)</f>
        <v>0</v>
      </c>
      <c r="AJ244" s="545">
        <f>_xlfn.IFS($AD244&lt;&gt;"", $AD244,    $AC244&lt;&gt;"", $AC244,    $AB244&lt;&gt;"", $AB244,    TRUE, $Y244)</f>
        <v>7.43</v>
      </c>
      <c r="AK244" s="592">
        <f>$AI244*$AJ244</f>
        <v>0</v>
      </c>
      <c r="AL244" s="594"/>
      <c r="AM244" s="597"/>
      <c r="AN244" s="545">
        <f>_xlfn.IFS(AND(AM244&gt;=60,$AG244&lt;&gt;""), $AG244,    AND(AM244&gt;=30,$AF244&lt;&gt;""), $AF244,    AND(AM244&gt;=10,$AE244&lt;&gt;""), $AE244,    TRUE, $Z244)</f>
        <v>9.06</v>
      </c>
      <c r="AO244" s="596">
        <f>AM244*AN244</f>
        <v>0</v>
      </c>
      <c r="AP244" s="595"/>
      <c r="AQ244" s="595"/>
      <c r="AR244" s="594"/>
      <c r="AS244" s="593">
        <f>SUM(AW244,AZ244,BC244,BF244,BI244,BL244,BO244,BR244,BU244,BX244,CA244,CD244,CG244,CJ244,CM244,CP244,CS244,CV244,CY244,DB244)</f>
        <v>0</v>
      </c>
      <c r="AT244" s="545">
        <f>_xlfn.IFS(AND(AS244&gt;=60,$AG244&lt;&gt;""), $AG244,    AND(AS244&gt;=30,$AF244&lt;&gt;""), $AF244,    AND(AS244&gt;=10,$AE244&lt;&gt;""), $AE244,    TRUE, $Z244)</f>
        <v>9.06</v>
      </c>
      <c r="AU244" s="592">
        <f>$AS244*$AT244</f>
        <v>0</v>
      </c>
      <c r="AV244" s="591">
        <f>[1]COMMANDE!O242</f>
        <v>0</v>
      </c>
      <c r="AW244" s="586" t="str">
        <f>_xlfn.IFS(AND($AI244=$AM244,$AI244&gt;0,$AM244&gt;0,AV244&gt;0), AV244,     AND(NOT($AI244=$AM244),$AI244&gt;0,$AM244&gt;0,AV244&gt;0), ($AM244*AV244)/$AI244,     AND($AI244=0,$AM244&gt;0,$AQ244&gt;0), IF(INDEX(AV$12:AV$263,MATCH($AQ244,$AP$12:$AP$263,0))&gt;0,($AM244*INDEX(AV$12:AV$263,MATCH($AQ244,$AP$12:$AP$263,0)))/INDEX($AI$12:$AI$263,MATCH($AQ244,$AP$12:$AP$263,0)), "-"),     TRUE, "0")</f>
        <v>0</v>
      </c>
      <c r="AX244" s="588">
        <f>IF(AW$9&gt;0, IF(OR(AW244="",AW244="-"), 0, AW244*$AT244), AV244*$AJ244)</f>
        <v>0</v>
      </c>
      <c r="AY244" s="587">
        <f>[1]COMMANDE!Q242</f>
        <v>0</v>
      </c>
      <c r="AZ244" s="586" t="str">
        <f>_xlfn.IFS(AND($AI244=$AM244,$AI244&gt;0,$AM244&gt;0,AY244&gt;0), AY244,     AND(NOT($AI244=$AM244),$AI244&gt;0,$AM244&gt;0,AY244&gt;0), ($AM244*AY244)/$AI244,     AND($AI244=0,$AM244&gt;0,$AQ244&gt;0), IF(INDEX(AY$12:AY$263,MATCH($AQ244,$AP$12:$AP$263,0))&gt;0,($AM244*INDEX(AY$12:AY$263,MATCH($AQ244,$AP$12:$AP$263,0)))/INDEX($AI$12:$AI$263,MATCH($AQ244,$AP$12:$AP$263,0)), "-"),     TRUE, "0")</f>
        <v>0</v>
      </c>
      <c r="BA244" s="607">
        <f>IF(AZ$9&gt;0, IF(OR(AZ244="",AZ244="-"), 0, AZ244*$AT244), AY244*$AJ244)</f>
        <v>0</v>
      </c>
      <c r="BB244" s="589">
        <f>[1]COMMANDE!S242</f>
        <v>0</v>
      </c>
      <c r="BC244" s="586" t="str">
        <f>_xlfn.IFS(AND($AI244=$AM244,$AI244&gt;0,$AM244&gt;0,BB244&gt;0), BB244,     AND(NOT($AI244=$AM244),$AI244&gt;0,$AM244&gt;0,BB244&gt;0), ($AM244*BB244)/$AI244,     AND($AI244=0,$AM244&gt;0,$AQ244&gt;0), IF(INDEX(BB$12:BB$263,MATCH($AQ244,$AP$12:$AP$263,0))&gt;0,($AM244*INDEX(BB$12:BB$263,MATCH($AQ244,$AP$12:$AP$263,0)))/INDEX($AI$12:$AI$263,MATCH($AQ244,$AP$12:$AP$263,0)), "-"),     TRUE, "0")</f>
        <v>0</v>
      </c>
      <c r="BD244" s="588">
        <f>IF(BC$9&gt;0, IF(OR(BC244="",BC244="-"), 0, BC244*$AT244), BB244*$AJ244)</f>
        <v>0</v>
      </c>
      <c r="BE244" s="587">
        <f>[1]COMMANDE!U242</f>
        <v>0</v>
      </c>
      <c r="BF244" s="586" t="str">
        <f>_xlfn.IFS(AND($AI244=$AM244,$AI244&gt;0,$AM244&gt;0,BE244&gt;0), BE244,     AND(NOT($AI244=$AM244),$AI244&gt;0,$AM244&gt;0,BE244&gt;0), ($AM244*BE244)/$AI244,     AND($AI244=0,$AM244&gt;0,$AQ244&gt;0), IF(INDEX(BE$12:BE$263,MATCH($AQ244,$AP$12:$AP$263,0))&gt;0,($AM244*INDEX(BE$12:BE$263,MATCH($AQ244,$AP$12:$AP$263,0)))/INDEX($AI$12:$AI$263,MATCH($AQ244,$AP$12:$AP$263,0)), "-"),     TRUE, "0")</f>
        <v>0</v>
      </c>
      <c r="BG244" s="607">
        <f>IF(BF$9&gt;0, IF(OR(BF244="",BF244="-"), 0, BF244*$AT244), BE244*$AJ244)</f>
        <v>0</v>
      </c>
      <c r="BH244" s="589">
        <f>[1]COMMANDE!W242</f>
        <v>0</v>
      </c>
      <c r="BI244" s="586" t="str">
        <f>_xlfn.IFS(AND($AI244=$AM244,$AI244&gt;0,$AM244&gt;0,BH244&gt;0), BH244,     AND(NOT($AI244=$AM244),$AI244&gt;0,$AM244&gt;0,BH244&gt;0), ($AM244*BH244)/$AI244,     AND($AI244=0,$AM244&gt;0,$AQ244&gt;0), IF(INDEX(BH$12:BH$263,MATCH($AQ244,$AP$12:$AP$263,0))&gt;0,($AM244*INDEX(BH$12:BH$263,MATCH($AQ244,$AP$12:$AP$263,0)))/INDEX($AI$12:$AI$263,MATCH($AQ244,$AP$12:$AP$263,0)), "-"),     TRUE, "0")</f>
        <v>0</v>
      </c>
      <c r="BJ244" s="588">
        <f>IF(BI$9&gt;0, IF(OR(BI244="",BI244="-"), 0, BI244*$AT244), BH244*$AJ244)</f>
        <v>0</v>
      </c>
      <c r="BK244" s="587">
        <f>[1]COMMANDE!Y242</f>
        <v>0</v>
      </c>
      <c r="BL244" s="586" t="str">
        <f>_xlfn.IFS(AND($AI244=$AM244,$AI244&gt;0,$AM244&gt;0,BK244&gt;0), BK244,     AND(NOT($AI244=$AM244),$AI244&gt;0,$AM244&gt;0,BK244&gt;0), ($AM244*BK244)/$AI244,     AND($AI244=0,$AM244&gt;0,$AQ244&gt;0), IF(INDEX(BK$12:BK$263,MATCH($AQ244,$AP$12:$AP$263,0))&gt;0,($AM244*INDEX(BK$12:BK$263,MATCH($AQ244,$AP$12:$AP$263,0)))/INDEX($AI$12:$AI$263,MATCH($AQ244,$AP$12:$AP$263,0)), "-"),     TRUE, "0")</f>
        <v>0</v>
      </c>
      <c r="BM244" s="607">
        <f>IF(BL$9&gt;0, IF(OR(BL244="",BL244="-"), 0, BL244*$AT244), BK244*$AJ244)</f>
        <v>0</v>
      </c>
      <c r="BN244" s="589">
        <f>[1]COMMANDE!AA242</f>
        <v>0</v>
      </c>
      <c r="BO244" s="586" t="str">
        <f>_xlfn.IFS(AND($AI244=$AM244,$AI244&gt;0,$AM244&gt;0,BN244&gt;0), BN244,     AND(NOT($AI244=$AM244),$AI244&gt;0,$AM244&gt;0,BN244&gt;0), ($AM244*BN244)/$AI244,     AND($AI244=0,$AM244&gt;0,$AQ244&gt;0), IF(INDEX(BN$12:BN$263,MATCH($AQ244,$AP$12:$AP$263,0))&gt;0,($AM244*INDEX(BN$12:BN$263,MATCH($AQ244,$AP$12:$AP$263,0)))/INDEX($AI$12:$AI$263,MATCH($AQ244,$AP$12:$AP$263,0)), "-"),     TRUE, "0")</f>
        <v>0</v>
      </c>
      <c r="BP244" s="588">
        <f>IF(BO$9&gt;0, IF(OR(BO244="",BO244="-"), 0, BO244*$AT244), BN244*$AJ244)</f>
        <v>0</v>
      </c>
      <c r="BQ244" s="587">
        <f>[1]COMMANDE!AC242</f>
        <v>0</v>
      </c>
      <c r="BR244" s="586" t="str">
        <f>_xlfn.IFS(AND($AI244=$AM244,$AI244&gt;0,$AM244&gt;0,BQ244&gt;0), BQ244,     AND(NOT($AI244=$AM244),$AI244&gt;0,$AM244&gt;0,BQ244&gt;0), ($AM244*BQ244)/$AI244,     AND($AI244=0,$AM244&gt;0,$AQ244&gt;0), IF(INDEX(BQ$12:BQ$263,MATCH($AQ244,$AP$12:$AP$263,0))&gt;0,($AM244*INDEX(BQ$12:BQ$263,MATCH($AQ244,$AP$12:$AP$263,0)))/INDEX($AI$12:$AI$263,MATCH($AQ244,$AP$12:$AP$263,0)), "-"),     TRUE, "0")</f>
        <v>0</v>
      </c>
      <c r="BS244" s="607">
        <f>IF(BR$9&gt;0, IF(OR(BR244="",BR244="-"), 0, BR244*$AT244), BQ244*$AJ244)</f>
        <v>0</v>
      </c>
      <c r="BT244" s="589">
        <f>[1]COMMANDE!AE242</f>
        <v>0</v>
      </c>
      <c r="BU244" s="586" t="str">
        <f>_xlfn.IFS(AND($AI244=$AM244,$AI244&gt;0,$AM244&gt;0,BT244&gt;0), BT244,     AND(NOT($AI244=$AM244),$AI244&gt;0,$AM244&gt;0,BT244&gt;0), ($AM244*BT244)/$AI244,     AND($AI244=0,$AM244&gt;0,$AQ244&gt;0), IF(INDEX(BT$12:BT$263,MATCH($AQ244,$AP$12:$AP$263,0))&gt;0,($AM244*INDEX(BT$12:BT$263,MATCH($AQ244,$AP$12:$AP$263,0)))/INDEX($AI$12:$AI$263,MATCH($AQ244,$AP$12:$AP$263,0)), "-"),     TRUE, "0")</f>
        <v>0</v>
      </c>
      <c r="BV244" s="588">
        <f>IF(BU$9&gt;0, IF(OR(BU244="",BU244="-"), 0, BU244*$AT244), BT244*$AJ244)</f>
        <v>0</v>
      </c>
      <c r="BW244" s="587">
        <f>[1]COMMANDE!AG242</f>
        <v>0</v>
      </c>
      <c r="BX244" s="586" t="str">
        <f>_xlfn.IFS(AND($AI244=$AM244,$AI244&gt;0,$AM244&gt;0,BW244&gt;0), BW244,     AND(NOT($AI244=$AM244),$AI244&gt;0,$AM244&gt;0,BW244&gt;0), ($AM244*BW244)/$AI244,     AND($AI244=0,$AM244&gt;0,$AQ244&gt;0), IF(INDEX(BW$12:BW$263,MATCH($AQ244,$AP$12:$AP$263,0))&gt;0,($AM244*INDEX(BW$12:BW$263,MATCH($AQ244,$AP$12:$AP$263,0)))/INDEX($AI$12:$AI$263,MATCH($AQ244,$AP$12:$AP$263,0)), "-"),     TRUE, "0")</f>
        <v>0</v>
      </c>
      <c r="BY244" s="607">
        <f>IF(BX$9&gt;0, IF(OR(BX244="",BX244="-"), 0, BX244*$AT244), BW244*$AJ244)</f>
        <v>0</v>
      </c>
      <c r="BZ244" s="589">
        <f>[1]COMMANDE!AI242</f>
        <v>0</v>
      </c>
      <c r="CA244" s="586" t="str">
        <f>_xlfn.IFS(AND($AI244=$AM244,$AI244&gt;0,$AM244&gt;0,BZ244&gt;0), BZ244,     AND(NOT($AI244=$AM244),$AI244&gt;0,$AM244&gt;0,BZ244&gt;0), ($AM244*BZ244)/$AI244,     AND($AI244=0,$AM244&gt;0,$AQ244&gt;0), IF(INDEX(BZ$12:BZ$263,MATCH($AQ244,$AP$12:$AP$263,0))&gt;0,($AM244*INDEX(BZ$12:BZ$263,MATCH($AQ244,$AP$12:$AP$263,0)))/INDEX($AI$12:$AI$263,MATCH($AQ244,$AP$12:$AP$263,0)), "-"),     TRUE, "0")</f>
        <v>0</v>
      </c>
      <c r="CB244" s="588">
        <f>IF(CA$9&gt;0, IF(OR(CA244="",CA244="-"), 0, CA244*$AT244), BZ244*$AJ244)</f>
        <v>0</v>
      </c>
      <c r="CC244" s="587">
        <f>[1]COMMANDE!AK242</f>
        <v>0</v>
      </c>
      <c r="CD244" s="586" t="str">
        <f>_xlfn.IFS(AND($AI244=$AM244,$AI244&gt;0,$AM244&gt;0,CC244&gt;0), CC244,     AND(NOT($AI244=$AM244),$AI244&gt;0,$AM244&gt;0,CC244&gt;0), ($AM244*CC244)/$AI244,     AND($AI244=0,$AM244&gt;0,$AQ244&gt;0), IF(INDEX(CC$12:CC$263,MATCH($AQ244,$AP$12:$AP$263,0))&gt;0,($AM244*INDEX(CC$12:CC$263,MATCH($AQ244,$AP$12:$AP$263,0)))/INDEX($AI$12:$AI$263,MATCH($AQ244,$AP$12:$AP$263,0)), "-"),     TRUE, "0")</f>
        <v>0</v>
      </c>
      <c r="CE244" s="607">
        <f>IF(CD$9&gt;0, IF(OR(CD244="",CD244="-"), 0, CD244*$AT244), CC244*$AJ244)</f>
        <v>0</v>
      </c>
      <c r="CF244" s="589">
        <f>[1]COMMANDE!AM242</f>
        <v>0</v>
      </c>
      <c r="CG244" s="586" t="str">
        <f>_xlfn.IFS(AND($AI244=$AM244,$AI244&gt;0,$AM244&gt;0,CF244&gt;0), CF244,     AND(NOT($AI244=$AM244),$AI244&gt;0,$AM244&gt;0,CF244&gt;0), ($AM244*CF244)/$AI244,     AND($AI244=0,$AM244&gt;0,$AQ244&gt;0), IF(INDEX(CF$12:CF$263,MATCH($AQ244,$AP$12:$AP$263,0))&gt;0,($AM244*INDEX(CF$12:CF$263,MATCH($AQ244,$AP$12:$AP$263,0)))/INDEX($AI$12:$AI$263,MATCH($AQ244,$AP$12:$AP$263,0)), "-"),     TRUE, "0")</f>
        <v>0</v>
      </c>
      <c r="CH244" s="588">
        <f>IF(CG$9&gt;0, IF(OR(CG244="",CG244="-"), 0, CG244*$AT244), CF244*$AJ244)</f>
        <v>0</v>
      </c>
      <c r="CI244" s="587">
        <f>[1]COMMANDE!AO242</f>
        <v>0</v>
      </c>
      <c r="CJ244" s="586" t="str">
        <f>_xlfn.IFS(AND($AI244=$AM244,$AI244&gt;0,$AM244&gt;0,CI244&gt;0), CI244,     AND(NOT($AI244=$AM244),$AI244&gt;0,$AM244&gt;0,CI244&gt;0), ($AM244*CI244)/$AI244,     AND($AI244=0,$AM244&gt;0,$AQ244&gt;0), IF(INDEX(CI$12:CI$263,MATCH($AQ244,$AP$12:$AP$263,0))&gt;0,($AM244*INDEX(CI$12:CI$263,MATCH($AQ244,$AP$12:$AP$263,0)))/INDEX($AI$12:$AI$263,MATCH($AQ244,$AP$12:$AP$263,0)), "-"),     TRUE, "0")</f>
        <v>0</v>
      </c>
      <c r="CK244" s="607">
        <f>IF(CJ$9&gt;0, IF(OR(CJ244="",CJ244="-"), 0, CJ244*$AT244), CI244*$AJ244)</f>
        <v>0</v>
      </c>
      <c r="CL244" s="589">
        <f>[1]COMMANDE!AQ242</f>
        <v>0</v>
      </c>
      <c r="CM244" s="586" t="str">
        <f>_xlfn.IFS(AND($AI244=$AM244,$AI244&gt;0,$AM244&gt;0,CL244&gt;0), CL244,     AND(NOT($AI244=$AM244),$AI244&gt;0,$AM244&gt;0,CL244&gt;0), ($AM244*CL244)/$AI244,     AND($AI244=0,$AM244&gt;0,$AQ244&gt;0), IF(INDEX(CL$12:CL$263,MATCH($AQ244,$AP$12:$AP$263,0))&gt;0,($AM244*INDEX(CL$12:CL$263,MATCH($AQ244,$AP$12:$AP$263,0)))/INDEX($AI$12:$AI$263,MATCH($AQ244,$AP$12:$AP$263,0)), "-"),     TRUE, "0")</f>
        <v>0</v>
      </c>
      <c r="CN244" s="588">
        <f>IF(CM$9&gt;0, IF(OR(CM244="",CM244="-"), 0, CM244*$AT244), CL244*$AJ244)</f>
        <v>0</v>
      </c>
      <c r="CO244" s="587">
        <f>[1]COMMANDE!AS242</f>
        <v>0</v>
      </c>
      <c r="CP244" s="586" t="str">
        <f>_xlfn.IFS(AND($AI244=$AM244,$AI244&gt;0,$AM244&gt;0,CO244&gt;0), CO244,     AND(NOT($AI244=$AM244),$AI244&gt;0,$AM244&gt;0,CO244&gt;0), ($AM244*CO244)/$AI244,     AND($AI244=0,$AM244&gt;0,$AQ244&gt;0), IF(INDEX(CO$12:CO$263,MATCH($AQ244,$AP$12:$AP$263,0))&gt;0,($AM244*INDEX(CO$12:CO$263,MATCH($AQ244,$AP$12:$AP$263,0)))/INDEX($AI$12:$AI$263,MATCH($AQ244,$AP$12:$AP$263,0)), "-"),     TRUE, "0")</f>
        <v>0</v>
      </c>
      <c r="CQ244" s="607">
        <f>IF(CP$9&gt;0, IF(OR(CP244="",CP244="-"), 0, CP244*$AT244), CO244*$AJ244)</f>
        <v>0</v>
      </c>
      <c r="CR244" s="589">
        <f>[1]COMMANDE!AU242</f>
        <v>0</v>
      </c>
      <c r="CS244" s="586" t="str">
        <f>_xlfn.IFS(AND($AI244=$AM244,$AI244&gt;0,$AM244&gt;0,CR244&gt;0), CR244,     AND(NOT($AI244=$AM244),$AI244&gt;0,$AM244&gt;0,CR244&gt;0), ($AM244*CR244)/$AI244,     AND($AI244=0,$AM244&gt;0,$AQ244&gt;0), IF(INDEX(CR$12:CR$263,MATCH($AQ244,$AP$12:$AP$263,0))&gt;0,($AM244*INDEX(CR$12:CR$263,MATCH($AQ244,$AP$12:$AP$263,0)))/INDEX($AI$12:$AI$263,MATCH($AQ244,$AP$12:$AP$263,0)), "-"),     TRUE, "0")</f>
        <v>0</v>
      </c>
      <c r="CT244" s="588">
        <f>IF(CS$9&gt;0, IF(OR(CS244="",CS244="-"), 0, CS244*$AT244), CR244*$AJ244)</f>
        <v>0</v>
      </c>
      <c r="CU244" s="587">
        <f>[1]COMMANDE!AW242</f>
        <v>0</v>
      </c>
      <c r="CV244" s="586" t="str">
        <f>_xlfn.IFS(AND($AI244=$AM244,$AI244&gt;0,$AM244&gt;0,CU244&gt;0), CU244,     AND(NOT($AI244=$AM244),$AI244&gt;0,$AM244&gt;0,CU244&gt;0), ($AM244*CU244)/$AI244,     AND($AI244=0,$AM244&gt;0,$AQ244&gt;0), IF(INDEX(CU$12:CU$263,MATCH($AQ244,$AP$12:$AP$263,0))&gt;0,($AM244*INDEX(CU$12:CU$263,MATCH($AQ244,$AP$12:$AP$263,0)))/INDEX($AI$12:$AI$263,MATCH($AQ244,$AP$12:$AP$263,0)), "-"),     TRUE, "0")</f>
        <v>0</v>
      </c>
      <c r="CW244" s="607">
        <f>IF(CV$9&gt;0, IF(OR(CV244="",CV244="-"), 0, CV244*$AT244), CU244*$AJ244)</f>
        <v>0</v>
      </c>
      <c r="CX244" s="589">
        <f>[1]COMMANDE!AY242</f>
        <v>0</v>
      </c>
      <c r="CY244" s="586" t="str">
        <f>_xlfn.IFS(AND($AI244=$AM244,$AI244&gt;0,$AM244&gt;0,CX244&gt;0), CX244,     AND(NOT($AI244=$AM244),$AI244&gt;0,$AM244&gt;0,CX244&gt;0), ($AM244*CX244)/$AI244,     AND($AI244=0,$AM244&gt;0,$AQ244&gt;0), IF(INDEX(CX$12:CX$263,MATCH($AQ244,$AP$12:$AP$263,0))&gt;0,($AM244*INDEX(CX$12:CX$263,MATCH($AQ244,$AP$12:$AP$263,0)))/INDEX($AI$12:$AI$263,MATCH($AQ244,$AP$12:$AP$263,0)), "-"),     TRUE, "0")</f>
        <v>0</v>
      </c>
      <c r="CZ244" s="588">
        <f>IF(CY$9&gt;0, IF(OR(CY244="",CY244="-"), 0, CY244*$AT244), CX244*$AJ244)</f>
        <v>0</v>
      </c>
      <c r="DA244" s="587">
        <f>[1]COMMANDE!BA242</f>
        <v>0</v>
      </c>
      <c r="DB244" s="586" t="str">
        <f>_xlfn.IFS(AND($AI244=$AM244,$AI244&gt;0,$AM244&gt;0,DA244&gt;0), DA244,     AND(NOT($AI244=$AM244),$AI244&gt;0,$AM244&gt;0,DA244&gt;0), ($AM244*DA244)/$AI244,     AND($AI244=0,$AM244&gt;0,$AQ244&gt;0), IF(INDEX(DA$12:DA$263,MATCH($AQ244,$AP$12:$AP$263,0))&gt;0,($AM244*INDEX(DA$12:DA$263,MATCH($AQ244,$AP$12:$AP$263,0)))/INDEX($AI$12:$AI$263,MATCH($AQ244,$AP$12:$AP$263,0)), "-"),     TRUE, "0")</f>
        <v>0</v>
      </c>
      <c r="DC244" s="606">
        <f>IF(DB$9&gt;0, IF(OR(DB244="",DB244="-"), 0, DB244*$AT244), DA244*$AJ244)</f>
        <v>0</v>
      </c>
      <c r="DD244" s="584"/>
      <c r="DE244" s="583"/>
    </row>
    <row r="245" spans="1:109" ht="39.950000000000003" hidden="1" customHeight="1">
      <c r="A245" s="605">
        <f>IF(OR($AV245&gt;0, $AX245&gt;0), 1, 0)</f>
        <v>0</v>
      </c>
      <c r="B245" s="605">
        <f>IF(OR($AY245&gt;0, $BA245&gt;0), 1, 0)</f>
        <v>0</v>
      </c>
      <c r="C245" s="605">
        <f>IF(OR($BB245&gt;0, $BD245&gt;0), 1, 0)</f>
        <v>0</v>
      </c>
      <c r="D245" s="605">
        <f>IF(OR($BE245&gt;0, $BG245&gt;0), 1, 0)</f>
        <v>0</v>
      </c>
      <c r="E245" s="605">
        <f>IF(OR($BH245&gt;0, $BJ245&gt;0), 1, 0)</f>
        <v>0</v>
      </c>
      <c r="F245" s="605">
        <f>IF(OR($BK245&gt;0, $BM245&gt;0), 1, 0)</f>
        <v>0</v>
      </c>
      <c r="G245" s="605">
        <f>IF(OR($BN245&gt;0, $BP245&gt;0), 1, 0)</f>
        <v>0</v>
      </c>
      <c r="H245" s="605">
        <f>IF(OR($BQ245&gt;0, $BS245&gt;0), 1, 0)</f>
        <v>0</v>
      </c>
      <c r="I245" s="605">
        <f>IF(OR($BT245&gt;0, $BV245&gt;0), 1, 0)</f>
        <v>0</v>
      </c>
      <c r="J245" s="605">
        <f>IF(OR($BW245&gt;0, $BY245&gt;0), 1, 0)</f>
        <v>0</v>
      </c>
      <c r="K245" s="605">
        <f>IF(OR($BZ245&gt;0, $CB245&gt;0), 1, 0)</f>
        <v>0</v>
      </c>
      <c r="L245" s="605">
        <f>IF(OR($CC245&gt;0, $CE245&gt;0), 1, 0)</f>
        <v>0</v>
      </c>
      <c r="M245" s="605">
        <f>IF(OR($CF245&gt;0, $CH245&gt;0), 1, 0)</f>
        <v>0</v>
      </c>
      <c r="N245" s="605">
        <f>IF(OR($CI245&gt;0, $CK245&gt;0), 1, 0)</f>
        <v>0</v>
      </c>
      <c r="O245" s="605">
        <f>IF(OR($CL245&gt;0, $CN245&gt;0), 1, 0)</f>
        <v>0</v>
      </c>
      <c r="P245" s="604">
        <f>IF(OR($CO245&gt;0, $CQ245&gt;0), 1, 0)</f>
        <v>0</v>
      </c>
      <c r="Q245" s="604">
        <f>IF(OR($CR245&gt;0, $CT245&gt;0), 1, 0)</f>
        <v>0</v>
      </c>
      <c r="R245" s="604">
        <f>IF(OR($CU245&gt;0, $CW245&gt;0), 1, 0)</f>
        <v>0</v>
      </c>
      <c r="S245" s="604">
        <f>IF(OR($CX245&gt;0, $CZ245&gt;0), 1, 0)</f>
        <v>0</v>
      </c>
      <c r="T245" s="604">
        <f>IF(OR($DA245&gt;0, $DC245&gt;0), 1, 0)</f>
        <v>0</v>
      </c>
      <c r="U245" s="603">
        <f>IF(OR($AI245&gt;0,$AM245&gt;0,$AS245&gt;0), 1, 0)</f>
        <v>0</v>
      </c>
      <c r="V245" s="602">
        <f>[1]BDD!A235</f>
        <v>1496</v>
      </c>
      <c r="W245" s="601" t="str">
        <f>[1]BDD!B235</f>
        <v>Spaguetti de mer déshydraté BIO (env. 1kg)</v>
      </c>
      <c r="X245" s="600" t="str">
        <f>IF([1]BDD!F235=0, "", [1]BDD!F235)</f>
        <v>❤️</v>
      </c>
      <c r="Y245" s="542">
        <f>ROUND([1]BDD!G235+FDP_CMD_KG, 2)</f>
        <v>38.53</v>
      </c>
      <c r="Z245" s="542">
        <f>ROUND([1]BDD!G235+FDP_FACT_KG, 2)</f>
        <v>38.53</v>
      </c>
      <c r="AA245" s="543" t="str">
        <f>[1]BDD!H235</f>
        <v>Pièce</v>
      </c>
      <c r="AB245" s="544" t="str">
        <f>IF(NOT(ISBLANK([1]BDD!I235)), ROUND(SUM(([1]BDD!G235*reduc1),FDP_CMD_KG), 2), "")</f>
        <v/>
      </c>
      <c r="AC245" s="544" t="str">
        <f>IF(NOT(ISBLANK([1]BDD!J235)), ROUND(SUM(([1]BDD!G235*reduc2),FDP_CMD_KG), 2), "")</f>
        <v/>
      </c>
      <c r="AD245" s="544" t="str">
        <f>IF(NOT(ISBLANK([1]BDD!K235)), ROUND(SUM(([1]BDD!G235*reduc3),FDP_CMD_KG), 2), "")</f>
        <v/>
      </c>
      <c r="AE245" s="544" t="str">
        <f>IF(NOT(ISBLANK([1]BDD!I235)), ROUND(SUM(([1]BDD!G235*reduc1),FDP_FACT_KG), 2), "")</f>
        <v/>
      </c>
      <c r="AF245" s="544" t="str">
        <f>IF(NOT(ISBLANK([1]BDD!J235)), ROUND(SUM(([1]BDD!G235*reduc2),FDP_FACT_KG), 2), "")</f>
        <v/>
      </c>
      <c r="AG245" s="544" t="str">
        <f>IF(NOT(ISBLANK([1]BDD!K235)), ROUND(SUM(([1]BDD!G235*reduc3),FDP_FACT_KG), 2), "")</f>
        <v/>
      </c>
      <c r="AH245" s="599" t="str">
        <f>[1]BDD!C235</f>
        <v>Galice</v>
      </c>
      <c r="AI245" s="598">
        <f>SUM(AV245,AY245,BB245,BE245,BH245,BK245,BN245,BQ245,BT245,BW245,BZ245,CC245,CF245,CI245,CL245,CO245,CR245,CU245,CX245,DA245)</f>
        <v>0</v>
      </c>
      <c r="AJ245" s="545">
        <f>_xlfn.IFS($AD245&lt;&gt;"", $AD245,    $AC245&lt;&gt;"", $AC245,    $AB245&lt;&gt;"", $AB245,    TRUE, $Y245)</f>
        <v>38.53</v>
      </c>
      <c r="AK245" s="592">
        <f>$AI245*$AJ245</f>
        <v>0</v>
      </c>
      <c r="AL245" s="594"/>
      <c r="AM245" s="597"/>
      <c r="AN245" s="545">
        <f>_xlfn.IFS(AND(AM245&gt;=60,$AG245&lt;&gt;""), $AG245,    AND(AM245&gt;=30,$AF245&lt;&gt;""), $AF245,    AND(AM245&gt;=10,$AE245&lt;&gt;""), $AE245,    TRUE, $Z245)</f>
        <v>38.53</v>
      </c>
      <c r="AO245" s="596">
        <f>AM245*AN245</f>
        <v>0</v>
      </c>
      <c r="AP245" s="595"/>
      <c r="AQ245" s="595"/>
      <c r="AR245" s="594"/>
      <c r="AS245" s="593">
        <f>SUM(AW245,AZ245,BC245,BF245,BI245,BL245,BO245,BR245,BU245,BX245,CA245,CD245,CG245,CJ245,CM245,CP245,CS245,CV245,CY245,DB245)</f>
        <v>0</v>
      </c>
      <c r="AT245" s="545">
        <f>_xlfn.IFS(AND(AS245&gt;=60,$AG245&lt;&gt;""), $AG245,    AND(AS245&gt;=30,$AF245&lt;&gt;""), $AF245,    AND(AS245&gt;=10,$AE245&lt;&gt;""), $AE245,    TRUE, $Z245)</f>
        <v>38.53</v>
      </c>
      <c r="AU245" s="592">
        <f>$AS245*$AT245</f>
        <v>0</v>
      </c>
      <c r="AV245" s="591">
        <f>[1]COMMANDE!O243</f>
        <v>0</v>
      </c>
      <c r="AW245" s="586" t="str">
        <f>_xlfn.IFS(AND($AI245=$AM245,$AI245&gt;0,$AM245&gt;0,AV245&gt;0), AV245,     AND(NOT($AI245=$AM245),$AI245&gt;0,$AM245&gt;0,AV245&gt;0), ($AM245*AV245)/$AI245,     AND($AI245=0,$AM245&gt;0,$AQ245&gt;0), IF(INDEX(AV$12:AV$263,MATCH($AQ245,$AP$12:$AP$263,0))&gt;0,($AM245*INDEX(AV$12:AV$263,MATCH($AQ245,$AP$12:$AP$263,0)))/INDEX($AI$12:$AI$263,MATCH($AQ245,$AP$12:$AP$263,0)), "-"),     TRUE, "0")</f>
        <v>0</v>
      </c>
      <c r="AX245" s="588">
        <f>IF(AW$9&gt;0, IF(OR(AW245="",AW245="-"), 0, AW245*$AT245), AV245*$AJ245)</f>
        <v>0</v>
      </c>
      <c r="AY245" s="587">
        <f>[1]COMMANDE!Q243</f>
        <v>0</v>
      </c>
      <c r="AZ245" s="586" t="str">
        <f>_xlfn.IFS(AND($AI245=$AM245,$AI245&gt;0,$AM245&gt;0,AY245&gt;0), AY245,     AND(NOT($AI245=$AM245),$AI245&gt;0,$AM245&gt;0,AY245&gt;0), ($AM245*AY245)/$AI245,     AND($AI245=0,$AM245&gt;0,$AQ245&gt;0), IF(INDEX(AY$12:AY$263,MATCH($AQ245,$AP$12:$AP$263,0))&gt;0,($AM245*INDEX(AY$12:AY$263,MATCH($AQ245,$AP$12:$AP$263,0)))/INDEX($AI$12:$AI$263,MATCH($AQ245,$AP$12:$AP$263,0)), "-"),     TRUE, "0")</f>
        <v>0</v>
      </c>
      <c r="BA245" s="607">
        <f>IF(AZ$9&gt;0, IF(OR(AZ245="",AZ245="-"), 0, AZ245*$AT245), AY245*$AJ245)</f>
        <v>0</v>
      </c>
      <c r="BB245" s="589">
        <f>[1]COMMANDE!S243</f>
        <v>0</v>
      </c>
      <c r="BC245" s="586" t="str">
        <f>_xlfn.IFS(AND($AI245=$AM245,$AI245&gt;0,$AM245&gt;0,BB245&gt;0), BB245,     AND(NOT($AI245=$AM245),$AI245&gt;0,$AM245&gt;0,BB245&gt;0), ($AM245*BB245)/$AI245,     AND($AI245=0,$AM245&gt;0,$AQ245&gt;0), IF(INDEX(BB$12:BB$263,MATCH($AQ245,$AP$12:$AP$263,0))&gt;0,($AM245*INDEX(BB$12:BB$263,MATCH($AQ245,$AP$12:$AP$263,0)))/INDEX($AI$12:$AI$263,MATCH($AQ245,$AP$12:$AP$263,0)), "-"),     TRUE, "0")</f>
        <v>0</v>
      </c>
      <c r="BD245" s="588">
        <f>IF(BC$9&gt;0, IF(OR(BC245="",BC245="-"), 0, BC245*$AT245), BB245*$AJ245)</f>
        <v>0</v>
      </c>
      <c r="BE245" s="587">
        <f>[1]COMMANDE!U243</f>
        <v>0</v>
      </c>
      <c r="BF245" s="586" t="str">
        <f>_xlfn.IFS(AND($AI245=$AM245,$AI245&gt;0,$AM245&gt;0,BE245&gt;0), BE245,     AND(NOT($AI245=$AM245),$AI245&gt;0,$AM245&gt;0,BE245&gt;0), ($AM245*BE245)/$AI245,     AND($AI245=0,$AM245&gt;0,$AQ245&gt;0), IF(INDEX(BE$12:BE$263,MATCH($AQ245,$AP$12:$AP$263,0))&gt;0,($AM245*INDEX(BE$12:BE$263,MATCH($AQ245,$AP$12:$AP$263,0)))/INDEX($AI$12:$AI$263,MATCH($AQ245,$AP$12:$AP$263,0)), "-"),     TRUE, "0")</f>
        <v>0</v>
      </c>
      <c r="BG245" s="607">
        <f>IF(BF$9&gt;0, IF(OR(BF245="",BF245="-"), 0, BF245*$AT245), BE245*$AJ245)</f>
        <v>0</v>
      </c>
      <c r="BH245" s="589">
        <f>[1]COMMANDE!W243</f>
        <v>0</v>
      </c>
      <c r="BI245" s="586" t="str">
        <f>_xlfn.IFS(AND($AI245=$AM245,$AI245&gt;0,$AM245&gt;0,BH245&gt;0), BH245,     AND(NOT($AI245=$AM245),$AI245&gt;0,$AM245&gt;0,BH245&gt;0), ($AM245*BH245)/$AI245,     AND($AI245=0,$AM245&gt;0,$AQ245&gt;0), IF(INDEX(BH$12:BH$263,MATCH($AQ245,$AP$12:$AP$263,0))&gt;0,($AM245*INDEX(BH$12:BH$263,MATCH($AQ245,$AP$12:$AP$263,0)))/INDEX($AI$12:$AI$263,MATCH($AQ245,$AP$12:$AP$263,0)), "-"),     TRUE, "0")</f>
        <v>0</v>
      </c>
      <c r="BJ245" s="588">
        <f>IF(BI$9&gt;0, IF(OR(BI245="",BI245="-"), 0, BI245*$AT245), BH245*$AJ245)</f>
        <v>0</v>
      </c>
      <c r="BK245" s="587">
        <f>[1]COMMANDE!Y243</f>
        <v>0</v>
      </c>
      <c r="BL245" s="586" t="str">
        <f>_xlfn.IFS(AND($AI245=$AM245,$AI245&gt;0,$AM245&gt;0,BK245&gt;0), BK245,     AND(NOT($AI245=$AM245),$AI245&gt;0,$AM245&gt;0,BK245&gt;0), ($AM245*BK245)/$AI245,     AND($AI245=0,$AM245&gt;0,$AQ245&gt;0), IF(INDEX(BK$12:BK$263,MATCH($AQ245,$AP$12:$AP$263,0))&gt;0,($AM245*INDEX(BK$12:BK$263,MATCH($AQ245,$AP$12:$AP$263,0)))/INDEX($AI$12:$AI$263,MATCH($AQ245,$AP$12:$AP$263,0)), "-"),     TRUE, "0")</f>
        <v>0</v>
      </c>
      <c r="BM245" s="607">
        <f>IF(BL$9&gt;0, IF(OR(BL245="",BL245="-"), 0, BL245*$AT245), BK245*$AJ245)</f>
        <v>0</v>
      </c>
      <c r="BN245" s="589">
        <f>[1]COMMANDE!AA243</f>
        <v>0</v>
      </c>
      <c r="BO245" s="586" t="str">
        <f>_xlfn.IFS(AND($AI245=$AM245,$AI245&gt;0,$AM245&gt;0,BN245&gt;0), BN245,     AND(NOT($AI245=$AM245),$AI245&gt;0,$AM245&gt;0,BN245&gt;0), ($AM245*BN245)/$AI245,     AND($AI245=0,$AM245&gt;0,$AQ245&gt;0), IF(INDEX(BN$12:BN$263,MATCH($AQ245,$AP$12:$AP$263,0))&gt;0,($AM245*INDEX(BN$12:BN$263,MATCH($AQ245,$AP$12:$AP$263,0)))/INDEX($AI$12:$AI$263,MATCH($AQ245,$AP$12:$AP$263,0)), "-"),     TRUE, "0")</f>
        <v>0</v>
      </c>
      <c r="BP245" s="588">
        <f>IF(BO$9&gt;0, IF(OR(BO245="",BO245="-"), 0, BO245*$AT245), BN245*$AJ245)</f>
        <v>0</v>
      </c>
      <c r="BQ245" s="587">
        <f>[1]COMMANDE!AC243</f>
        <v>0</v>
      </c>
      <c r="BR245" s="586" t="str">
        <f>_xlfn.IFS(AND($AI245=$AM245,$AI245&gt;0,$AM245&gt;0,BQ245&gt;0), BQ245,     AND(NOT($AI245=$AM245),$AI245&gt;0,$AM245&gt;0,BQ245&gt;0), ($AM245*BQ245)/$AI245,     AND($AI245=0,$AM245&gt;0,$AQ245&gt;0), IF(INDEX(BQ$12:BQ$263,MATCH($AQ245,$AP$12:$AP$263,0))&gt;0,($AM245*INDEX(BQ$12:BQ$263,MATCH($AQ245,$AP$12:$AP$263,0)))/INDEX($AI$12:$AI$263,MATCH($AQ245,$AP$12:$AP$263,0)), "-"),     TRUE, "0")</f>
        <v>0</v>
      </c>
      <c r="BS245" s="607">
        <f>IF(BR$9&gt;0, IF(OR(BR245="",BR245="-"), 0, BR245*$AT245), BQ245*$AJ245)</f>
        <v>0</v>
      </c>
      <c r="BT245" s="589">
        <f>[1]COMMANDE!AE243</f>
        <v>0</v>
      </c>
      <c r="BU245" s="586" t="str">
        <f>_xlfn.IFS(AND($AI245=$AM245,$AI245&gt;0,$AM245&gt;0,BT245&gt;0), BT245,     AND(NOT($AI245=$AM245),$AI245&gt;0,$AM245&gt;0,BT245&gt;0), ($AM245*BT245)/$AI245,     AND($AI245=0,$AM245&gt;0,$AQ245&gt;0), IF(INDEX(BT$12:BT$263,MATCH($AQ245,$AP$12:$AP$263,0))&gt;0,($AM245*INDEX(BT$12:BT$263,MATCH($AQ245,$AP$12:$AP$263,0)))/INDEX($AI$12:$AI$263,MATCH($AQ245,$AP$12:$AP$263,0)), "-"),     TRUE, "0")</f>
        <v>0</v>
      </c>
      <c r="BV245" s="588">
        <f>IF(BU$9&gt;0, IF(OR(BU245="",BU245="-"), 0, BU245*$AT245), BT245*$AJ245)</f>
        <v>0</v>
      </c>
      <c r="BW245" s="587">
        <f>[1]COMMANDE!AG243</f>
        <v>0</v>
      </c>
      <c r="BX245" s="586" t="str">
        <f>_xlfn.IFS(AND($AI245=$AM245,$AI245&gt;0,$AM245&gt;0,BW245&gt;0), BW245,     AND(NOT($AI245=$AM245),$AI245&gt;0,$AM245&gt;0,BW245&gt;0), ($AM245*BW245)/$AI245,     AND($AI245=0,$AM245&gt;0,$AQ245&gt;0), IF(INDEX(BW$12:BW$263,MATCH($AQ245,$AP$12:$AP$263,0))&gt;0,($AM245*INDEX(BW$12:BW$263,MATCH($AQ245,$AP$12:$AP$263,0)))/INDEX($AI$12:$AI$263,MATCH($AQ245,$AP$12:$AP$263,0)), "-"),     TRUE, "0")</f>
        <v>0</v>
      </c>
      <c r="BY245" s="607">
        <f>IF(BX$9&gt;0, IF(OR(BX245="",BX245="-"), 0, BX245*$AT245), BW245*$AJ245)</f>
        <v>0</v>
      </c>
      <c r="BZ245" s="589">
        <f>[1]COMMANDE!AI243</f>
        <v>0</v>
      </c>
      <c r="CA245" s="586" t="str">
        <f>_xlfn.IFS(AND($AI245=$AM245,$AI245&gt;0,$AM245&gt;0,BZ245&gt;0), BZ245,     AND(NOT($AI245=$AM245),$AI245&gt;0,$AM245&gt;0,BZ245&gt;0), ($AM245*BZ245)/$AI245,     AND($AI245=0,$AM245&gt;0,$AQ245&gt;0), IF(INDEX(BZ$12:BZ$263,MATCH($AQ245,$AP$12:$AP$263,0))&gt;0,($AM245*INDEX(BZ$12:BZ$263,MATCH($AQ245,$AP$12:$AP$263,0)))/INDEX($AI$12:$AI$263,MATCH($AQ245,$AP$12:$AP$263,0)), "-"),     TRUE, "0")</f>
        <v>0</v>
      </c>
      <c r="CB245" s="588">
        <f>IF(CA$9&gt;0, IF(OR(CA245="",CA245="-"), 0, CA245*$AT245), BZ245*$AJ245)</f>
        <v>0</v>
      </c>
      <c r="CC245" s="587">
        <f>[1]COMMANDE!AK243</f>
        <v>0</v>
      </c>
      <c r="CD245" s="586" t="str">
        <f>_xlfn.IFS(AND($AI245=$AM245,$AI245&gt;0,$AM245&gt;0,CC245&gt;0), CC245,     AND(NOT($AI245=$AM245),$AI245&gt;0,$AM245&gt;0,CC245&gt;0), ($AM245*CC245)/$AI245,     AND($AI245=0,$AM245&gt;0,$AQ245&gt;0), IF(INDEX(CC$12:CC$263,MATCH($AQ245,$AP$12:$AP$263,0))&gt;0,($AM245*INDEX(CC$12:CC$263,MATCH($AQ245,$AP$12:$AP$263,0)))/INDEX($AI$12:$AI$263,MATCH($AQ245,$AP$12:$AP$263,0)), "-"),     TRUE, "0")</f>
        <v>0</v>
      </c>
      <c r="CE245" s="607">
        <f>IF(CD$9&gt;0, IF(OR(CD245="",CD245="-"), 0, CD245*$AT245), CC245*$AJ245)</f>
        <v>0</v>
      </c>
      <c r="CF245" s="589">
        <f>[1]COMMANDE!AM243</f>
        <v>0</v>
      </c>
      <c r="CG245" s="586" t="str">
        <f>_xlfn.IFS(AND($AI245=$AM245,$AI245&gt;0,$AM245&gt;0,CF245&gt;0), CF245,     AND(NOT($AI245=$AM245),$AI245&gt;0,$AM245&gt;0,CF245&gt;0), ($AM245*CF245)/$AI245,     AND($AI245=0,$AM245&gt;0,$AQ245&gt;0), IF(INDEX(CF$12:CF$263,MATCH($AQ245,$AP$12:$AP$263,0))&gt;0,($AM245*INDEX(CF$12:CF$263,MATCH($AQ245,$AP$12:$AP$263,0)))/INDEX($AI$12:$AI$263,MATCH($AQ245,$AP$12:$AP$263,0)), "-"),     TRUE, "0")</f>
        <v>0</v>
      </c>
      <c r="CH245" s="588">
        <f>IF(CG$9&gt;0, IF(OR(CG245="",CG245="-"), 0, CG245*$AT245), CF245*$AJ245)</f>
        <v>0</v>
      </c>
      <c r="CI245" s="587">
        <f>[1]COMMANDE!AO243</f>
        <v>0</v>
      </c>
      <c r="CJ245" s="586" t="str">
        <f>_xlfn.IFS(AND($AI245=$AM245,$AI245&gt;0,$AM245&gt;0,CI245&gt;0), CI245,     AND(NOT($AI245=$AM245),$AI245&gt;0,$AM245&gt;0,CI245&gt;0), ($AM245*CI245)/$AI245,     AND($AI245=0,$AM245&gt;0,$AQ245&gt;0), IF(INDEX(CI$12:CI$263,MATCH($AQ245,$AP$12:$AP$263,0))&gt;0,($AM245*INDEX(CI$12:CI$263,MATCH($AQ245,$AP$12:$AP$263,0)))/INDEX($AI$12:$AI$263,MATCH($AQ245,$AP$12:$AP$263,0)), "-"),     TRUE, "0")</f>
        <v>0</v>
      </c>
      <c r="CK245" s="607">
        <f>IF(CJ$9&gt;0, IF(OR(CJ245="",CJ245="-"), 0, CJ245*$AT245), CI245*$AJ245)</f>
        <v>0</v>
      </c>
      <c r="CL245" s="589">
        <f>[1]COMMANDE!AQ243</f>
        <v>0</v>
      </c>
      <c r="CM245" s="586" t="str">
        <f>_xlfn.IFS(AND($AI245=$AM245,$AI245&gt;0,$AM245&gt;0,CL245&gt;0), CL245,     AND(NOT($AI245=$AM245),$AI245&gt;0,$AM245&gt;0,CL245&gt;0), ($AM245*CL245)/$AI245,     AND($AI245=0,$AM245&gt;0,$AQ245&gt;0), IF(INDEX(CL$12:CL$263,MATCH($AQ245,$AP$12:$AP$263,0))&gt;0,($AM245*INDEX(CL$12:CL$263,MATCH($AQ245,$AP$12:$AP$263,0)))/INDEX($AI$12:$AI$263,MATCH($AQ245,$AP$12:$AP$263,0)), "-"),     TRUE, "0")</f>
        <v>0</v>
      </c>
      <c r="CN245" s="588">
        <f>IF(CM$9&gt;0, IF(OR(CM245="",CM245="-"), 0, CM245*$AT245), CL245*$AJ245)</f>
        <v>0</v>
      </c>
      <c r="CO245" s="587">
        <f>[1]COMMANDE!AS243</f>
        <v>0</v>
      </c>
      <c r="CP245" s="586" t="str">
        <f>_xlfn.IFS(AND($AI245=$AM245,$AI245&gt;0,$AM245&gt;0,CO245&gt;0), CO245,     AND(NOT($AI245=$AM245),$AI245&gt;0,$AM245&gt;0,CO245&gt;0), ($AM245*CO245)/$AI245,     AND($AI245=0,$AM245&gt;0,$AQ245&gt;0), IF(INDEX(CO$12:CO$263,MATCH($AQ245,$AP$12:$AP$263,0))&gt;0,($AM245*INDEX(CO$12:CO$263,MATCH($AQ245,$AP$12:$AP$263,0)))/INDEX($AI$12:$AI$263,MATCH($AQ245,$AP$12:$AP$263,0)), "-"),     TRUE, "0")</f>
        <v>0</v>
      </c>
      <c r="CQ245" s="607">
        <f>IF(CP$9&gt;0, IF(OR(CP245="",CP245="-"), 0, CP245*$AT245), CO245*$AJ245)</f>
        <v>0</v>
      </c>
      <c r="CR245" s="589">
        <f>[1]COMMANDE!AU243</f>
        <v>0</v>
      </c>
      <c r="CS245" s="586" t="str">
        <f>_xlfn.IFS(AND($AI245=$AM245,$AI245&gt;0,$AM245&gt;0,CR245&gt;0), CR245,     AND(NOT($AI245=$AM245),$AI245&gt;0,$AM245&gt;0,CR245&gt;0), ($AM245*CR245)/$AI245,     AND($AI245=0,$AM245&gt;0,$AQ245&gt;0), IF(INDEX(CR$12:CR$263,MATCH($AQ245,$AP$12:$AP$263,0))&gt;0,($AM245*INDEX(CR$12:CR$263,MATCH($AQ245,$AP$12:$AP$263,0)))/INDEX($AI$12:$AI$263,MATCH($AQ245,$AP$12:$AP$263,0)), "-"),     TRUE, "0")</f>
        <v>0</v>
      </c>
      <c r="CT245" s="588">
        <f>IF(CS$9&gt;0, IF(OR(CS245="",CS245="-"), 0, CS245*$AT245), CR245*$AJ245)</f>
        <v>0</v>
      </c>
      <c r="CU245" s="587">
        <f>[1]COMMANDE!AW243</f>
        <v>0</v>
      </c>
      <c r="CV245" s="586" t="str">
        <f>_xlfn.IFS(AND($AI245=$AM245,$AI245&gt;0,$AM245&gt;0,CU245&gt;0), CU245,     AND(NOT($AI245=$AM245),$AI245&gt;0,$AM245&gt;0,CU245&gt;0), ($AM245*CU245)/$AI245,     AND($AI245=0,$AM245&gt;0,$AQ245&gt;0), IF(INDEX(CU$12:CU$263,MATCH($AQ245,$AP$12:$AP$263,0))&gt;0,($AM245*INDEX(CU$12:CU$263,MATCH($AQ245,$AP$12:$AP$263,0)))/INDEX($AI$12:$AI$263,MATCH($AQ245,$AP$12:$AP$263,0)), "-"),     TRUE, "0")</f>
        <v>0</v>
      </c>
      <c r="CW245" s="607">
        <f>IF(CV$9&gt;0, IF(OR(CV245="",CV245="-"), 0, CV245*$AT245), CU245*$AJ245)</f>
        <v>0</v>
      </c>
      <c r="CX245" s="589">
        <f>[1]COMMANDE!AY243</f>
        <v>0</v>
      </c>
      <c r="CY245" s="586" t="str">
        <f>_xlfn.IFS(AND($AI245=$AM245,$AI245&gt;0,$AM245&gt;0,CX245&gt;0), CX245,     AND(NOT($AI245=$AM245),$AI245&gt;0,$AM245&gt;0,CX245&gt;0), ($AM245*CX245)/$AI245,     AND($AI245=0,$AM245&gt;0,$AQ245&gt;0), IF(INDEX(CX$12:CX$263,MATCH($AQ245,$AP$12:$AP$263,0))&gt;0,($AM245*INDEX(CX$12:CX$263,MATCH($AQ245,$AP$12:$AP$263,0)))/INDEX($AI$12:$AI$263,MATCH($AQ245,$AP$12:$AP$263,0)), "-"),     TRUE, "0")</f>
        <v>0</v>
      </c>
      <c r="CZ245" s="588">
        <f>IF(CY$9&gt;0, IF(OR(CY245="",CY245="-"), 0, CY245*$AT245), CX245*$AJ245)</f>
        <v>0</v>
      </c>
      <c r="DA245" s="587">
        <f>[1]COMMANDE!BA243</f>
        <v>0</v>
      </c>
      <c r="DB245" s="586" t="str">
        <f>_xlfn.IFS(AND($AI245=$AM245,$AI245&gt;0,$AM245&gt;0,DA245&gt;0), DA245,     AND(NOT($AI245=$AM245),$AI245&gt;0,$AM245&gt;0,DA245&gt;0), ($AM245*DA245)/$AI245,     AND($AI245=0,$AM245&gt;0,$AQ245&gt;0), IF(INDEX(DA$12:DA$263,MATCH($AQ245,$AP$12:$AP$263,0))&gt;0,($AM245*INDEX(DA$12:DA$263,MATCH($AQ245,$AP$12:$AP$263,0)))/INDEX($AI$12:$AI$263,MATCH($AQ245,$AP$12:$AP$263,0)), "-"),     TRUE, "0")</f>
        <v>0</v>
      </c>
      <c r="DC245" s="606">
        <f>IF(DB$9&gt;0, IF(OR(DB245="",DB245="-"), 0, DB245*$AT245), DA245*$AJ245)</f>
        <v>0</v>
      </c>
      <c r="DD245" s="584"/>
      <c r="DE245" s="583"/>
    </row>
    <row r="246" spans="1:109" ht="39.950000000000003" hidden="1" customHeight="1">
      <c r="A246" s="605">
        <f>IF(OR($AV246&gt;0, $AX246&gt;0), 1, 0)</f>
        <v>0</v>
      </c>
      <c r="B246" s="605">
        <f>IF(OR($AY246&gt;0, $BA246&gt;0), 1, 0)</f>
        <v>0</v>
      </c>
      <c r="C246" s="605">
        <f>IF(OR($BB246&gt;0, $BD246&gt;0), 1, 0)</f>
        <v>0</v>
      </c>
      <c r="D246" s="605">
        <f>IF(OR($BE246&gt;0, $BG246&gt;0), 1, 0)</f>
        <v>0</v>
      </c>
      <c r="E246" s="605">
        <f>IF(OR($BH246&gt;0, $BJ246&gt;0), 1, 0)</f>
        <v>0</v>
      </c>
      <c r="F246" s="605">
        <f>IF(OR($BK246&gt;0, $BM246&gt;0), 1, 0)</f>
        <v>0</v>
      </c>
      <c r="G246" s="605">
        <f>IF(OR($BN246&gt;0, $BP246&gt;0), 1, 0)</f>
        <v>0</v>
      </c>
      <c r="H246" s="605">
        <f>IF(OR($BQ246&gt;0, $BS246&gt;0), 1, 0)</f>
        <v>0</v>
      </c>
      <c r="I246" s="605">
        <f>IF(OR($BT246&gt;0, $BV246&gt;0), 1, 0)</f>
        <v>0</v>
      </c>
      <c r="J246" s="605">
        <f>IF(OR($BW246&gt;0, $BY246&gt;0), 1, 0)</f>
        <v>0</v>
      </c>
      <c r="K246" s="605">
        <f>IF(OR($BZ246&gt;0, $CB246&gt;0), 1, 0)</f>
        <v>0</v>
      </c>
      <c r="L246" s="605">
        <f>IF(OR($CC246&gt;0, $CE246&gt;0), 1, 0)</f>
        <v>0</v>
      </c>
      <c r="M246" s="605">
        <f>IF(OR($CF246&gt;0, $CH246&gt;0), 1, 0)</f>
        <v>0</v>
      </c>
      <c r="N246" s="605">
        <f>IF(OR($CI246&gt;0, $CK246&gt;0), 1, 0)</f>
        <v>0</v>
      </c>
      <c r="O246" s="605">
        <f>IF(OR($CL246&gt;0, $CN246&gt;0), 1, 0)</f>
        <v>0</v>
      </c>
      <c r="P246" s="604">
        <f>IF(OR($CO246&gt;0, $CQ246&gt;0), 1, 0)</f>
        <v>0</v>
      </c>
      <c r="Q246" s="604">
        <f>IF(OR($CR246&gt;0, $CT246&gt;0), 1, 0)</f>
        <v>0</v>
      </c>
      <c r="R246" s="604">
        <f>IF(OR($CU246&gt;0, $CW246&gt;0), 1, 0)</f>
        <v>0</v>
      </c>
      <c r="S246" s="604">
        <f>IF(OR($CX246&gt;0, $CZ246&gt;0), 1, 0)</f>
        <v>0</v>
      </c>
      <c r="T246" s="604">
        <f>IF(OR($DA246&gt;0, $DC246&gt;0), 1, 0)</f>
        <v>0</v>
      </c>
      <c r="U246" s="603">
        <f>IF(OR($AI246&gt;0,$AM246&gt;0,$AS246&gt;0), 1, 0)</f>
        <v>0</v>
      </c>
      <c r="V246" s="602">
        <f>[1]BDD!A236</f>
        <v>1496</v>
      </c>
      <c r="W246" s="601" t="str">
        <f>[1]BDD!B236</f>
        <v>Spaguetti de mer déshydraté BIO (env. 500g)</v>
      </c>
      <c r="X246" s="600" t="str">
        <f>IF([1]BDD!F236=0, "", [1]BDD!F236)</f>
        <v>❤️</v>
      </c>
      <c r="Y246" s="542">
        <f>ROUND([1]BDD!G236+FDP_CMD_KG, 2)</f>
        <v>20.45</v>
      </c>
      <c r="Z246" s="542">
        <f>ROUND([1]BDD!G236+FDP_FACT_KG, 2)</f>
        <v>20.45</v>
      </c>
      <c r="AA246" s="543" t="str">
        <f>[1]BDD!H236</f>
        <v>Pièce</v>
      </c>
      <c r="AB246" s="544" t="str">
        <f>IF(NOT(ISBLANK([1]BDD!I236)), ROUND(SUM(([1]BDD!G236*reduc1),FDP_CMD_KG), 2), "")</f>
        <v/>
      </c>
      <c r="AC246" s="544" t="str">
        <f>IF(NOT(ISBLANK([1]BDD!J236)), ROUND(SUM(([1]BDD!G236*reduc2),FDP_CMD_KG), 2), "")</f>
        <v/>
      </c>
      <c r="AD246" s="544" t="str">
        <f>IF(NOT(ISBLANK([1]BDD!K236)), ROUND(SUM(([1]BDD!G236*reduc3),FDP_CMD_KG), 2), "")</f>
        <v/>
      </c>
      <c r="AE246" s="544" t="str">
        <f>IF(NOT(ISBLANK([1]BDD!I236)), ROUND(SUM(([1]BDD!G236*reduc1),FDP_FACT_KG), 2), "")</f>
        <v/>
      </c>
      <c r="AF246" s="544" t="str">
        <f>IF(NOT(ISBLANK([1]BDD!J236)), ROUND(SUM(([1]BDD!G236*reduc2),FDP_FACT_KG), 2), "")</f>
        <v/>
      </c>
      <c r="AG246" s="544" t="str">
        <f>IF(NOT(ISBLANK([1]BDD!K236)), ROUND(SUM(([1]BDD!G236*reduc3),FDP_FACT_KG), 2), "")</f>
        <v/>
      </c>
      <c r="AH246" s="599" t="str">
        <f>[1]BDD!C236</f>
        <v>Galice</v>
      </c>
      <c r="AI246" s="598">
        <f>SUM(AV246,AY246,BB246,BE246,BH246,BK246,BN246,BQ246,BT246,BW246,BZ246,CC246,CF246,CI246,CL246,CO246,CR246,CU246,CX246,DA246)</f>
        <v>0</v>
      </c>
      <c r="AJ246" s="545">
        <f>_xlfn.IFS($AD246&lt;&gt;"", $AD246,    $AC246&lt;&gt;"", $AC246,    $AB246&lt;&gt;"", $AB246,    TRUE, $Y246)</f>
        <v>20.45</v>
      </c>
      <c r="AK246" s="592">
        <f>$AI246*$AJ246</f>
        <v>0</v>
      </c>
      <c r="AL246" s="594"/>
      <c r="AM246" s="597"/>
      <c r="AN246" s="545">
        <f>_xlfn.IFS(AND(AM246&gt;=60,$AG246&lt;&gt;""), $AG246,    AND(AM246&gt;=30,$AF246&lt;&gt;""), $AF246,    AND(AM246&gt;=10,$AE246&lt;&gt;""), $AE246,    TRUE, $Z246)</f>
        <v>20.45</v>
      </c>
      <c r="AO246" s="596">
        <f>AM246*AN246</f>
        <v>0</v>
      </c>
      <c r="AP246" s="595"/>
      <c r="AQ246" s="595"/>
      <c r="AR246" s="594"/>
      <c r="AS246" s="593">
        <f>SUM(AW246,AZ246,BC246,BF246,BI246,BL246,BO246,BR246,BU246,BX246,CA246,CD246,CG246,CJ246,CM246,CP246,CS246,CV246,CY246,DB246)</f>
        <v>0</v>
      </c>
      <c r="AT246" s="545">
        <f>_xlfn.IFS(AND(AS246&gt;=60,$AG246&lt;&gt;""), $AG246,    AND(AS246&gt;=30,$AF246&lt;&gt;""), $AF246,    AND(AS246&gt;=10,$AE246&lt;&gt;""), $AE246,    TRUE, $Z246)</f>
        <v>20.45</v>
      </c>
      <c r="AU246" s="592">
        <f>$AS246*$AT246</f>
        <v>0</v>
      </c>
      <c r="AV246" s="591">
        <f>[1]COMMANDE!O244</f>
        <v>0</v>
      </c>
      <c r="AW246" s="586" t="str">
        <f>_xlfn.IFS(AND($AI246=$AM246,$AI246&gt;0,$AM246&gt;0,AV246&gt;0), AV246,     AND(NOT($AI246=$AM246),$AI246&gt;0,$AM246&gt;0,AV246&gt;0), ($AM246*AV246)/$AI246,     AND($AI246=0,$AM246&gt;0,$AQ246&gt;0), IF(INDEX(AV$12:AV$263,MATCH($AQ246,$AP$12:$AP$263,0))&gt;0,($AM246*INDEX(AV$12:AV$263,MATCH($AQ246,$AP$12:$AP$263,0)))/INDEX($AI$12:$AI$263,MATCH($AQ246,$AP$12:$AP$263,0)), "-"),     TRUE, "0")</f>
        <v>0</v>
      </c>
      <c r="AX246" s="588">
        <f>IF(AW$9&gt;0, IF(OR(AW246="",AW246="-"), 0, AW246*$AT246), AV246*$AJ246)</f>
        <v>0</v>
      </c>
      <c r="AY246" s="587">
        <f>[1]COMMANDE!Q244</f>
        <v>0</v>
      </c>
      <c r="AZ246" s="586" t="str">
        <f>_xlfn.IFS(AND($AI246=$AM246,$AI246&gt;0,$AM246&gt;0,AY246&gt;0), AY246,     AND(NOT($AI246=$AM246),$AI246&gt;0,$AM246&gt;0,AY246&gt;0), ($AM246*AY246)/$AI246,     AND($AI246=0,$AM246&gt;0,$AQ246&gt;0), IF(INDEX(AY$12:AY$263,MATCH($AQ246,$AP$12:$AP$263,0))&gt;0,($AM246*INDEX(AY$12:AY$263,MATCH($AQ246,$AP$12:$AP$263,0)))/INDEX($AI$12:$AI$263,MATCH($AQ246,$AP$12:$AP$263,0)), "-"),     TRUE, "0")</f>
        <v>0</v>
      </c>
      <c r="BA246" s="607">
        <f>IF(AZ$9&gt;0, IF(OR(AZ246="",AZ246="-"), 0, AZ246*$AT246), AY246*$AJ246)</f>
        <v>0</v>
      </c>
      <c r="BB246" s="589">
        <f>[1]COMMANDE!S244</f>
        <v>0</v>
      </c>
      <c r="BC246" s="586" t="str">
        <f>_xlfn.IFS(AND($AI246=$AM246,$AI246&gt;0,$AM246&gt;0,BB246&gt;0), BB246,     AND(NOT($AI246=$AM246),$AI246&gt;0,$AM246&gt;0,BB246&gt;0), ($AM246*BB246)/$AI246,     AND($AI246=0,$AM246&gt;0,$AQ246&gt;0), IF(INDEX(BB$12:BB$263,MATCH($AQ246,$AP$12:$AP$263,0))&gt;0,($AM246*INDEX(BB$12:BB$263,MATCH($AQ246,$AP$12:$AP$263,0)))/INDEX($AI$12:$AI$263,MATCH($AQ246,$AP$12:$AP$263,0)), "-"),     TRUE, "0")</f>
        <v>0</v>
      </c>
      <c r="BD246" s="588">
        <f>IF(BC$9&gt;0, IF(OR(BC246="",BC246="-"), 0, BC246*$AT246), BB246*$AJ246)</f>
        <v>0</v>
      </c>
      <c r="BE246" s="587">
        <f>[1]COMMANDE!U244</f>
        <v>0</v>
      </c>
      <c r="BF246" s="586" t="str">
        <f>_xlfn.IFS(AND($AI246=$AM246,$AI246&gt;0,$AM246&gt;0,BE246&gt;0), BE246,     AND(NOT($AI246=$AM246),$AI246&gt;0,$AM246&gt;0,BE246&gt;0), ($AM246*BE246)/$AI246,     AND($AI246=0,$AM246&gt;0,$AQ246&gt;0), IF(INDEX(BE$12:BE$263,MATCH($AQ246,$AP$12:$AP$263,0))&gt;0,($AM246*INDEX(BE$12:BE$263,MATCH($AQ246,$AP$12:$AP$263,0)))/INDEX($AI$12:$AI$263,MATCH($AQ246,$AP$12:$AP$263,0)), "-"),     TRUE, "0")</f>
        <v>0</v>
      </c>
      <c r="BG246" s="607">
        <f>IF(BF$9&gt;0, IF(OR(BF246="",BF246="-"), 0, BF246*$AT246), BE246*$AJ246)</f>
        <v>0</v>
      </c>
      <c r="BH246" s="589">
        <f>[1]COMMANDE!W244</f>
        <v>0</v>
      </c>
      <c r="BI246" s="586" t="str">
        <f>_xlfn.IFS(AND($AI246=$AM246,$AI246&gt;0,$AM246&gt;0,BH246&gt;0), BH246,     AND(NOT($AI246=$AM246),$AI246&gt;0,$AM246&gt;0,BH246&gt;0), ($AM246*BH246)/$AI246,     AND($AI246=0,$AM246&gt;0,$AQ246&gt;0), IF(INDEX(BH$12:BH$263,MATCH($AQ246,$AP$12:$AP$263,0))&gt;0,($AM246*INDEX(BH$12:BH$263,MATCH($AQ246,$AP$12:$AP$263,0)))/INDEX($AI$12:$AI$263,MATCH($AQ246,$AP$12:$AP$263,0)), "-"),     TRUE, "0")</f>
        <v>0</v>
      </c>
      <c r="BJ246" s="588">
        <f>IF(BI$9&gt;0, IF(OR(BI246="",BI246="-"), 0, BI246*$AT246), BH246*$AJ246)</f>
        <v>0</v>
      </c>
      <c r="BK246" s="587">
        <f>[1]COMMANDE!Y244</f>
        <v>0</v>
      </c>
      <c r="BL246" s="586" t="str">
        <f>_xlfn.IFS(AND($AI246=$AM246,$AI246&gt;0,$AM246&gt;0,BK246&gt;0), BK246,     AND(NOT($AI246=$AM246),$AI246&gt;0,$AM246&gt;0,BK246&gt;0), ($AM246*BK246)/$AI246,     AND($AI246=0,$AM246&gt;0,$AQ246&gt;0), IF(INDEX(BK$12:BK$263,MATCH($AQ246,$AP$12:$AP$263,0))&gt;0,($AM246*INDEX(BK$12:BK$263,MATCH($AQ246,$AP$12:$AP$263,0)))/INDEX($AI$12:$AI$263,MATCH($AQ246,$AP$12:$AP$263,0)), "-"),     TRUE, "0")</f>
        <v>0</v>
      </c>
      <c r="BM246" s="607">
        <f>IF(BL$9&gt;0, IF(OR(BL246="",BL246="-"), 0, BL246*$AT246), BK246*$AJ246)</f>
        <v>0</v>
      </c>
      <c r="BN246" s="589">
        <f>[1]COMMANDE!AA244</f>
        <v>0</v>
      </c>
      <c r="BO246" s="586" t="str">
        <f>_xlfn.IFS(AND($AI246=$AM246,$AI246&gt;0,$AM246&gt;0,BN246&gt;0), BN246,     AND(NOT($AI246=$AM246),$AI246&gt;0,$AM246&gt;0,BN246&gt;0), ($AM246*BN246)/$AI246,     AND($AI246=0,$AM246&gt;0,$AQ246&gt;0), IF(INDEX(BN$12:BN$263,MATCH($AQ246,$AP$12:$AP$263,0))&gt;0,($AM246*INDEX(BN$12:BN$263,MATCH($AQ246,$AP$12:$AP$263,0)))/INDEX($AI$12:$AI$263,MATCH($AQ246,$AP$12:$AP$263,0)), "-"),     TRUE, "0")</f>
        <v>0</v>
      </c>
      <c r="BP246" s="588">
        <f>IF(BO$9&gt;0, IF(OR(BO246="",BO246="-"), 0, BO246*$AT246), BN246*$AJ246)</f>
        <v>0</v>
      </c>
      <c r="BQ246" s="587">
        <f>[1]COMMANDE!AC244</f>
        <v>0</v>
      </c>
      <c r="BR246" s="586" t="str">
        <f>_xlfn.IFS(AND($AI246=$AM246,$AI246&gt;0,$AM246&gt;0,BQ246&gt;0), BQ246,     AND(NOT($AI246=$AM246),$AI246&gt;0,$AM246&gt;0,BQ246&gt;0), ($AM246*BQ246)/$AI246,     AND($AI246=0,$AM246&gt;0,$AQ246&gt;0), IF(INDEX(BQ$12:BQ$263,MATCH($AQ246,$AP$12:$AP$263,0))&gt;0,($AM246*INDEX(BQ$12:BQ$263,MATCH($AQ246,$AP$12:$AP$263,0)))/INDEX($AI$12:$AI$263,MATCH($AQ246,$AP$12:$AP$263,0)), "-"),     TRUE, "0")</f>
        <v>0</v>
      </c>
      <c r="BS246" s="607">
        <f>IF(BR$9&gt;0, IF(OR(BR246="",BR246="-"), 0, BR246*$AT246), BQ246*$AJ246)</f>
        <v>0</v>
      </c>
      <c r="BT246" s="589">
        <f>[1]COMMANDE!AE244</f>
        <v>0</v>
      </c>
      <c r="BU246" s="586" t="str">
        <f>_xlfn.IFS(AND($AI246=$AM246,$AI246&gt;0,$AM246&gt;0,BT246&gt;0), BT246,     AND(NOT($AI246=$AM246),$AI246&gt;0,$AM246&gt;0,BT246&gt;0), ($AM246*BT246)/$AI246,     AND($AI246=0,$AM246&gt;0,$AQ246&gt;0), IF(INDEX(BT$12:BT$263,MATCH($AQ246,$AP$12:$AP$263,0))&gt;0,($AM246*INDEX(BT$12:BT$263,MATCH($AQ246,$AP$12:$AP$263,0)))/INDEX($AI$12:$AI$263,MATCH($AQ246,$AP$12:$AP$263,0)), "-"),     TRUE, "0")</f>
        <v>0</v>
      </c>
      <c r="BV246" s="588">
        <f>IF(BU$9&gt;0, IF(OR(BU246="",BU246="-"), 0, BU246*$AT246), BT246*$AJ246)</f>
        <v>0</v>
      </c>
      <c r="BW246" s="587">
        <f>[1]COMMANDE!AG244</f>
        <v>0</v>
      </c>
      <c r="BX246" s="586" t="str">
        <f>_xlfn.IFS(AND($AI246=$AM246,$AI246&gt;0,$AM246&gt;0,BW246&gt;0), BW246,     AND(NOT($AI246=$AM246),$AI246&gt;0,$AM246&gt;0,BW246&gt;0), ($AM246*BW246)/$AI246,     AND($AI246=0,$AM246&gt;0,$AQ246&gt;0), IF(INDEX(BW$12:BW$263,MATCH($AQ246,$AP$12:$AP$263,0))&gt;0,($AM246*INDEX(BW$12:BW$263,MATCH($AQ246,$AP$12:$AP$263,0)))/INDEX($AI$12:$AI$263,MATCH($AQ246,$AP$12:$AP$263,0)), "-"),     TRUE, "0")</f>
        <v>0</v>
      </c>
      <c r="BY246" s="607">
        <f>IF(BX$9&gt;0, IF(OR(BX246="",BX246="-"), 0, BX246*$AT246), BW246*$AJ246)</f>
        <v>0</v>
      </c>
      <c r="BZ246" s="589">
        <f>[1]COMMANDE!AI244</f>
        <v>0</v>
      </c>
      <c r="CA246" s="586" t="str">
        <f>_xlfn.IFS(AND($AI246=$AM246,$AI246&gt;0,$AM246&gt;0,BZ246&gt;0), BZ246,     AND(NOT($AI246=$AM246),$AI246&gt;0,$AM246&gt;0,BZ246&gt;0), ($AM246*BZ246)/$AI246,     AND($AI246=0,$AM246&gt;0,$AQ246&gt;0), IF(INDEX(BZ$12:BZ$263,MATCH($AQ246,$AP$12:$AP$263,0))&gt;0,($AM246*INDEX(BZ$12:BZ$263,MATCH($AQ246,$AP$12:$AP$263,0)))/INDEX($AI$12:$AI$263,MATCH($AQ246,$AP$12:$AP$263,0)), "-"),     TRUE, "0")</f>
        <v>0</v>
      </c>
      <c r="CB246" s="588">
        <f>IF(CA$9&gt;0, IF(OR(CA246="",CA246="-"), 0, CA246*$AT246), BZ246*$AJ246)</f>
        <v>0</v>
      </c>
      <c r="CC246" s="587">
        <f>[1]COMMANDE!AK244</f>
        <v>0</v>
      </c>
      <c r="CD246" s="586" t="str">
        <f>_xlfn.IFS(AND($AI246=$AM246,$AI246&gt;0,$AM246&gt;0,CC246&gt;0), CC246,     AND(NOT($AI246=$AM246),$AI246&gt;0,$AM246&gt;0,CC246&gt;0), ($AM246*CC246)/$AI246,     AND($AI246=0,$AM246&gt;0,$AQ246&gt;0), IF(INDEX(CC$12:CC$263,MATCH($AQ246,$AP$12:$AP$263,0))&gt;0,($AM246*INDEX(CC$12:CC$263,MATCH($AQ246,$AP$12:$AP$263,0)))/INDEX($AI$12:$AI$263,MATCH($AQ246,$AP$12:$AP$263,0)), "-"),     TRUE, "0")</f>
        <v>0</v>
      </c>
      <c r="CE246" s="607">
        <f>IF(CD$9&gt;0, IF(OR(CD246="",CD246="-"), 0, CD246*$AT246), CC246*$AJ246)</f>
        <v>0</v>
      </c>
      <c r="CF246" s="589">
        <f>[1]COMMANDE!AM244</f>
        <v>0</v>
      </c>
      <c r="CG246" s="586" t="str">
        <f>_xlfn.IFS(AND($AI246=$AM246,$AI246&gt;0,$AM246&gt;0,CF246&gt;0), CF246,     AND(NOT($AI246=$AM246),$AI246&gt;0,$AM246&gt;0,CF246&gt;0), ($AM246*CF246)/$AI246,     AND($AI246=0,$AM246&gt;0,$AQ246&gt;0), IF(INDEX(CF$12:CF$263,MATCH($AQ246,$AP$12:$AP$263,0))&gt;0,($AM246*INDEX(CF$12:CF$263,MATCH($AQ246,$AP$12:$AP$263,0)))/INDEX($AI$12:$AI$263,MATCH($AQ246,$AP$12:$AP$263,0)), "-"),     TRUE, "0")</f>
        <v>0</v>
      </c>
      <c r="CH246" s="588">
        <f>IF(CG$9&gt;0, IF(OR(CG246="",CG246="-"), 0, CG246*$AT246), CF246*$AJ246)</f>
        <v>0</v>
      </c>
      <c r="CI246" s="587">
        <f>[1]COMMANDE!AO244</f>
        <v>0</v>
      </c>
      <c r="CJ246" s="586" t="str">
        <f>_xlfn.IFS(AND($AI246=$AM246,$AI246&gt;0,$AM246&gt;0,CI246&gt;0), CI246,     AND(NOT($AI246=$AM246),$AI246&gt;0,$AM246&gt;0,CI246&gt;0), ($AM246*CI246)/$AI246,     AND($AI246=0,$AM246&gt;0,$AQ246&gt;0), IF(INDEX(CI$12:CI$263,MATCH($AQ246,$AP$12:$AP$263,0))&gt;0,($AM246*INDEX(CI$12:CI$263,MATCH($AQ246,$AP$12:$AP$263,0)))/INDEX($AI$12:$AI$263,MATCH($AQ246,$AP$12:$AP$263,0)), "-"),     TRUE, "0")</f>
        <v>0</v>
      </c>
      <c r="CK246" s="607">
        <f>IF(CJ$9&gt;0, IF(OR(CJ246="",CJ246="-"), 0, CJ246*$AT246), CI246*$AJ246)</f>
        <v>0</v>
      </c>
      <c r="CL246" s="589">
        <f>[1]COMMANDE!AQ244</f>
        <v>0</v>
      </c>
      <c r="CM246" s="586" t="str">
        <f>_xlfn.IFS(AND($AI246=$AM246,$AI246&gt;0,$AM246&gt;0,CL246&gt;0), CL246,     AND(NOT($AI246=$AM246),$AI246&gt;0,$AM246&gt;0,CL246&gt;0), ($AM246*CL246)/$AI246,     AND($AI246=0,$AM246&gt;0,$AQ246&gt;0), IF(INDEX(CL$12:CL$263,MATCH($AQ246,$AP$12:$AP$263,0))&gt;0,($AM246*INDEX(CL$12:CL$263,MATCH($AQ246,$AP$12:$AP$263,0)))/INDEX($AI$12:$AI$263,MATCH($AQ246,$AP$12:$AP$263,0)), "-"),     TRUE, "0")</f>
        <v>0</v>
      </c>
      <c r="CN246" s="588">
        <f>IF(CM$9&gt;0, IF(OR(CM246="",CM246="-"), 0, CM246*$AT246), CL246*$AJ246)</f>
        <v>0</v>
      </c>
      <c r="CO246" s="587">
        <f>[1]COMMANDE!AS244</f>
        <v>0</v>
      </c>
      <c r="CP246" s="586" t="str">
        <f>_xlfn.IFS(AND($AI246=$AM246,$AI246&gt;0,$AM246&gt;0,CO246&gt;0), CO246,     AND(NOT($AI246=$AM246),$AI246&gt;0,$AM246&gt;0,CO246&gt;0), ($AM246*CO246)/$AI246,     AND($AI246=0,$AM246&gt;0,$AQ246&gt;0), IF(INDEX(CO$12:CO$263,MATCH($AQ246,$AP$12:$AP$263,0))&gt;0,($AM246*INDEX(CO$12:CO$263,MATCH($AQ246,$AP$12:$AP$263,0)))/INDEX($AI$12:$AI$263,MATCH($AQ246,$AP$12:$AP$263,0)), "-"),     TRUE, "0")</f>
        <v>0</v>
      </c>
      <c r="CQ246" s="607">
        <f>IF(CP$9&gt;0, IF(OR(CP246="",CP246="-"), 0, CP246*$AT246), CO246*$AJ246)</f>
        <v>0</v>
      </c>
      <c r="CR246" s="589">
        <f>[1]COMMANDE!AU244</f>
        <v>0</v>
      </c>
      <c r="CS246" s="586" t="str">
        <f>_xlfn.IFS(AND($AI246=$AM246,$AI246&gt;0,$AM246&gt;0,CR246&gt;0), CR246,     AND(NOT($AI246=$AM246),$AI246&gt;0,$AM246&gt;0,CR246&gt;0), ($AM246*CR246)/$AI246,     AND($AI246=0,$AM246&gt;0,$AQ246&gt;0), IF(INDEX(CR$12:CR$263,MATCH($AQ246,$AP$12:$AP$263,0))&gt;0,($AM246*INDEX(CR$12:CR$263,MATCH($AQ246,$AP$12:$AP$263,0)))/INDEX($AI$12:$AI$263,MATCH($AQ246,$AP$12:$AP$263,0)), "-"),     TRUE, "0")</f>
        <v>0</v>
      </c>
      <c r="CT246" s="588">
        <f>IF(CS$9&gt;0, IF(OR(CS246="",CS246="-"), 0, CS246*$AT246), CR246*$AJ246)</f>
        <v>0</v>
      </c>
      <c r="CU246" s="587">
        <f>[1]COMMANDE!AW244</f>
        <v>0</v>
      </c>
      <c r="CV246" s="586" t="str">
        <f>_xlfn.IFS(AND($AI246=$AM246,$AI246&gt;0,$AM246&gt;0,CU246&gt;0), CU246,     AND(NOT($AI246=$AM246),$AI246&gt;0,$AM246&gt;0,CU246&gt;0), ($AM246*CU246)/$AI246,     AND($AI246=0,$AM246&gt;0,$AQ246&gt;0), IF(INDEX(CU$12:CU$263,MATCH($AQ246,$AP$12:$AP$263,0))&gt;0,($AM246*INDEX(CU$12:CU$263,MATCH($AQ246,$AP$12:$AP$263,0)))/INDEX($AI$12:$AI$263,MATCH($AQ246,$AP$12:$AP$263,0)), "-"),     TRUE, "0")</f>
        <v>0</v>
      </c>
      <c r="CW246" s="607">
        <f>IF(CV$9&gt;0, IF(OR(CV246="",CV246="-"), 0, CV246*$AT246), CU246*$AJ246)</f>
        <v>0</v>
      </c>
      <c r="CX246" s="589">
        <f>[1]COMMANDE!AY244</f>
        <v>0</v>
      </c>
      <c r="CY246" s="586" t="str">
        <f>_xlfn.IFS(AND($AI246=$AM246,$AI246&gt;0,$AM246&gt;0,CX246&gt;0), CX246,     AND(NOT($AI246=$AM246),$AI246&gt;0,$AM246&gt;0,CX246&gt;0), ($AM246*CX246)/$AI246,     AND($AI246=0,$AM246&gt;0,$AQ246&gt;0), IF(INDEX(CX$12:CX$263,MATCH($AQ246,$AP$12:$AP$263,0))&gt;0,($AM246*INDEX(CX$12:CX$263,MATCH($AQ246,$AP$12:$AP$263,0)))/INDEX($AI$12:$AI$263,MATCH($AQ246,$AP$12:$AP$263,0)), "-"),     TRUE, "0")</f>
        <v>0</v>
      </c>
      <c r="CZ246" s="588">
        <f>IF(CY$9&gt;0, IF(OR(CY246="",CY246="-"), 0, CY246*$AT246), CX246*$AJ246)</f>
        <v>0</v>
      </c>
      <c r="DA246" s="587">
        <f>[1]COMMANDE!BA244</f>
        <v>0</v>
      </c>
      <c r="DB246" s="586" t="str">
        <f>_xlfn.IFS(AND($AI246=$AM246,$AI246&gt;0,$AM246&gt;0,DA246&gt;0), DA246,     AND(NOT($AI246=$AM246),$AI246&gt;0,$AM246&gt;0,DA246&gt;0), ($AM246*DA246)/$AI246,     AND($AI246=0,$AM246&gt;0,$AQ246&gt;0), IF(INDEX(DA$12:DA$263,MATCH($AQ246,$AP$12:$AP$263,0))&gt;0,($AM246*INDEX(DA$12:DA$263,MATCH($AQ246,$AP$12:$AP$263,0)))/INDEX($AI$12:$AI$263,MATCH($AQ246,$AP$12:$AP$263,0)), "-"),     TRUE, "0")</f>
        <v>0</v>
      </c>
      <c r="DC246" s="606">
        <f>IF(DB$9&gt;0, IF(OR(DB246="",DB246="-"), 0, DB246*$AT246), DA246*$AJ246)</f>
        <v>0</v>
      </c>
      <c r="DD246" s="584"/>
      <c r="DE246" s="583"/>
    </row>
    <row r="247" spans="1:109" ht="39.950000000000003" hidden="1" customHeight="1">
      <c r="A247" s="604">
        <f>IF(OR($AV247&gt;0, $AX247&gt;0), 1, 0)</f>
        <v>0</v>
      </c>
      <c r="B247" s="604">
        <f>IF(OR($AY247&gt;0, $BA247&gt;0), 1, 0)</f>
        <v>0</v>
      </c>
      <c r="C247" s="604">
        <f>IF(OR($BB247&gt;0, $BD247&gt;0), 1, 0)</f>
        <v>0</v>
      </c>
      <c r="D247" s="604">
        <f>IF(OR($BE247&gt;0, $BG247&gt;0), 1, 0)</f>
        <v>0</v>
      </c>
      <c r="E247" s="604">
        <f>IF(OR($BH247&gt;0, $BJ247&gt;0), 1, 0)</f>
        <v>0</v>
      </c>
      <c r="F247" s="604">
        <f>IF(OR($BK247&gt;0, $BM247&gt;0), 1, 0)</f>
        <v>0</v>
      </c>
      <c r="G247" s="604">
        <f>IF(OR($BN247&gt;0, $BP247&gt;0), 1, 0)</f>
        <v>0</v>
      </c>
      <c r="H247" s="604">
        <f>IF(OR($BQ247&gt;0, $BS247&gt;0), 1, 0)</f>
        <v>0</v>
      </c>
      <c r="I247" s="604">
        <f>IF(OR($BT247&gt;0, $BV247&gt;0), 1, 0)</f>
        <v>0</v>
      </c>
      <c r="J247" s="604">
        <f>IF(OR($BW247&gt;0, $BY247&gt;0), 1, 0)</f>
        <v>0</v>
      </c>
      <c r="K247" s="604">
        <f>IF(OR($BZ247&gt;0, $CB247&gt;0), 1, 0)</f>
        <v>0</v>
      </c>
      <c r="L247" s="604">
        <f>IF(OR($CC247&gt;0, $CE247&gt;0), 1, 0)</f>
        <v>0</v>
      </c>
      <c r="M247" s="604">
        <f>IF(OR($CF247&gt;0, $CH247&gt;0), 1, 0)</f>
        <v>0</v>
      </c>
      <c r="N247" s="604">
        <f>IF(OR($CI247&gt;0, $CK247&gt;0), 1, 0)</f>
        <v>0</v>
      </c>
      <c r="O247" s="604">
        <f>IF(OR($CL247&gt;0, $CN247&gt;0), 1, 0)</f>
        <v>0</v>
      </c>
      <c r="P247" s="604">
        <f>IF(OR($CO247&gt;0, $CQ247&gt;0), 1, 0)</f>
        <v>0</v>
      </c>
      <c r="Q247" s="604">
        <f>IF(OR($CR247&gt;0, $CT247&gt;0), 1, 0)</f>
        <v>0</v>
      </c>
      <c r="R247" s="604">
        <f>IF(OR($CU247&gt;0, $CW247&gt;0), 1, 0)</f>
        <v>0</v>
      </c>
      <c r="S247" s="604">
        <f>IF(OR($CX247&gt;0, $CZ247&gt;0), 1, 0)</f>
        <v>0</v>
      </c>
      <c r="T247" s="604">
        <f>IF(OR($DA247&gt;0, $DC247&gt;0), 1, 0)</f>
        <v>0</v>
      </c>
      <c r="U247" s="603">
        <f>IF(OR($AI247&gt;0,$AM247&gt;0,$AS247&gt;0), 1, 0)</f>
        <v>0</v>
      </c>
      <c r="V247" s="602">
        <f>[1]BDD!A237</f>
        <v>1612</v>
      </c>
      <c r="W247" s="601" t="str">
        <f>[1]BDD!B237</f>
        <v>Spiruline en poudre BIO (env. 1kg)</v>
      </c>
      <c r="X247" s="600" t="str">
        <f>IF([1]BDD!F237=0, "", [1]BDD!F237)</f>
        <v>❤️</v>
      </c>
      <c r="Y247" s="542">
        <f>ROUND([1]BDD!G237+FDP_CMD_KG, 2)</f>
        <v>35.090000000000003</v>
      </c>
      <c r="Z247" s="542">
        <f>ROUND([1]BDD!G237+FDP_FACT_KG, 2)</f>
        <v>35.090000000000003</v>
      </c>
      <c r="AA247" s="543" t="str">
        <f>[1]BDD!H237</f>
        <v>Pièce</v>
      </c>
      <c r="AB247" s="544" t="str">
        <f>IF(NOT(ISBLANK([1]BDD!I237)), ROUND(SUM(([1]BDD!G237*reduc1),FDP_CMD_KG), 2), "")</f>
        <v/>
      </c>
      <c r="AC247" s="544" t="str">
        <f>IF(NOT(ISBLANK([1]BDD!J237)), ROUND(SUM(([1]BDD!G237*reduc2),FDP_CMD_KG), 2), "")</f>
        <v/>
      </c>
      <c r="AD247" s="544" t="str">
        <f>IF(NOT(ISBLANK([1]BDD!K237)), ROUND(SUM(([1]BDD!G237*reduc3),FDP_CMD_KG), 2), "")</f>
        <v/>
      </c>
      <c r="AE247" s="544" t="str">
        <f>IF(NOT(ISBLANK([1]BDD!I237)), ROUND(SUM(([1]BDD!G237*reduc1),FDP_FACT_KG), 2), "")</f>
        <v/>
      </c>
      <c r="AF247" s="544" t="str">
        <f>IF(NOT(ISBLANK([1]BDD!J237)), ROUND(SUM(([1]BDD!G237*reduc2),FDP_FACT_KG), 2), "")</f>
        <v/>
      </c>
      <c r="AG247" s="544" t="str">
        <f>IF(NOT(ISBLANK([1]BDD!K237)), ROUND(SUM(([1]BDD!G237*reduc3),FDP_FACT_KG), 2), "")</f>
        <v/>
      </c>
      <c r="AH247" s="599" t="str">
        <f>[1]BDD!C237</f>
        <v>Inde</v>
      </c>
      <c r="AI247" s="598">
        <f>SUM(AV247,AY247,BB247,BE247,BH247,BK247,BN247,BQ247,BT247,BW247,BZ247,CC247,CF247,CI247,CL247,CO247,CR247,CU247,CX247,DA247)</f>
        <v>0</v>
      </c>
      <c r="AJ247" s="545">
        <f>_xlfn.IFS($AD247&lt;&gt;"", $AD247,    $AC247&lt;&gt;"", $AC247,    $AB247&lt;&gt;"", $AB247,    TRUE, $Y247)</f>
        <v>35.090000000000003</v>
      </c>
      <c r="AK247" s="592">
        <f>$AI247*$AJ247</f>
        <v>0</v>
      </c>
      <c r="AL247" s="594"/>
      <c r="AM247" s="597"/>
      <c r="AN247" s="545">
        <f>_xlfn.IFS(AND(AM247&gt;=60,$AG247&lt;&gt;""), $AG247,    AND(AM247&gt;=30,$AF247&lt;&gt;""), $AF247,    AND(AM247&gt;=10,$AE247&lt;&gt;""), $AE247,    TRUE, $Z247)</f>
        <v>35.090000000000003</v>
      </c>
      <c r="AO247" s="596">
        <f>AM247*AN247</f>
        <v>0</v>
      </c>
      <c r="AP247" s="595"/>
      <c r="AQ247" s="595"/>
      <c r="AR247" s="594"/>
      <c r="AS247" s="593">
        <f>SUM(AW247,AZ247,BC247,BF247,BI247,BL247,BO247,BR247,BU247,BX247,CA247,CD247,CG247,CJ247,CM247,CP247,CS247,CV247,CY247,DB247)</f>
        <v>0</v>
      </c>
      <c r="AT247" s="545">
        <f>_xlfn.IFS(AND(AS247&gt;=60,$AG247&lt;&gt;""), $AG247,    AND(AS247&gt;=30,$AF247&lt;&gt;""), $AF247,    AND(AS247&gt;=10,$AE247&lt;&gt;""), $AE247,    TRUE, $Z247)</f>
        <v>35.090000000000003</v>
      </c>
      <c r="AU247" s="592">
        <f>$AS247*$AT247</f>
        <v>0</v>
      </c>
      <c r="AV247" s="591">
        <f>[1]COMMANDE!O245</f>
        <v>0</v>
      </c>
      <c r="AW247" s="586" t="str">
        <f>_xlfn.IFS(AND($AI247=$AM247,$AI247&gt;0,$AM247&gt;0,AV247&gt;0), AV247,     AND(NOT($AI247=$AM247),$AI247&gt;0,$AM247&gt;0,AV247&gt;0), ($AM247*AV247)/$AI247,     AND($AI247=0,$AM247&gt;0,$AQ247&gt;0), IF(INDEX(AV$12:AV$263,MATCH($AQ247,$AP$12:$AP$263,0))&gt;0,($AM247*INDEX(AV$12:AV$263,MATCH($AQ247,$AP$12:$AP$263,0)))/INDEX($AI$12:$AI$263,MATCH($AQ247,$AP$12:$AP$263,0)), "-"),     TRUE, "0")</f>
        <v>0</v>
      </c>
      <c r="AX247" s="588">
        <f>IF(AW$9&gt;0, IF(OR(AW247="",AW247="-"), 0, AW247*$AT247), AV247*$AJ247)</f>
        <v>0</v>
      </c>
      <c r="AY247" s="587">
        <f>[1]COMMANDE!Q245</f>
        <v>0</v>
      </c>
      <c r="AZ247" s="586" t="str">
        <f>_xlfn.IFS(AND($AI247=$AM247,$AI247&gt;0,$AM247&gt;0,AY247&gt;0), AY247,     AND(NOT($AI247=$AM247),$AI247&gt;0,$AM247&gt;0,AY247&gt;0), ($AM247*AY247)/$AI247,     AND($AI247=0,$AM247&gt;0,$AQ247&gt;0), IF(INDEX(AY$12:AY$263,MATCH($AQ247,$AP$12:$AP$263,0))&gt;0,($AM247*INDEX(AY$12:AY$263,MATCH($AQ247,$AP$12:$AP$263,0)))/INDEX($AI$12:$AI$263,MATCH($AQ247,$AP$12:$AP$263,0)), "-"),     TRUE, "0")</f>
        <v>0</v>
      </c>
      <c r="BA247" s="607">
        <f>IF(AZ$9&gt;0, IF(OR(AZ247="",AZ247="-"), 0, AZ247*$AT247), AY247*$AJ247)</f>
        <v>0</v>
      </c>
      <c r="BB247" s="589">
        <f>[1]COMMANDE!S245</f>
        <v>0</v>
      </c>
      <c r="BC247" s="586" t="str">
        <f>_xlfn.IFS(AND($AI247=$AM247,$AI247&gt;0,$AM247&gt;0,BB247&gt;0), BB247,     AND(NOT($AI247=$AM247),$AI247&gt;0,$AM247&gt;0,BB247&gt;0), ($AM247*BB247)/$AI247,     AND($AI247=0,$AM247&gt;0,$AQ247&gt;0), IF(INDEX(BB$12:BB$263,MATCH($AQ247,$AP$12:$AP$263,0))&gt;0,($AM247*INDEX(BB$12:BB$263,MATCH($AQ247,$AP$12:$AP$263,0)))/INDEX($AI$12:$AI$263,MATCH($AQ247,$AP$12:$AP$263,0)), "-"),     TRUE, "0")</f>
        <v>0</v>
      </c>
      <c r="BD247" s="588">
        <f>IF(BC$9&gt;0, IF(OR(BC247="",BC247="-"), 0, BC247*$AT247), BB247*$AJ247)</f>
        <v>0</v>
      </c>
      <c r="BE247" s="587">
        <f>[1]COMMANDE!U245</f>
        <v>0</v>
      </c>
      <c r="BF247" s="586" t="str">
        <f>_xlfn.IFS(AND($AI247=$AM247,$AI247&gt;0,$AM247&gt;0,BE247&gt;0), BE247,     AND(NOT($AI247=$AM247),$AI247&gt;0,$AM247&gt;0,BE247&gt;0), ($AM247*BE247)/$AI247,     AND($AI247=0,$AM247&gt;0,$AQ247&gt;0), IF(INDEX(BE$12:BE$263,MATCH($AQ247,$AP$12:$AP$263,0))&gt;0,($AM247*INDEX(BE$12:BE$263,MATCH($AQ247,$AP$12:$AP$263,0)))/INDEX($AI$12:$AI$263,MATCH($AQ247,$AP$12:$AP$263,0)), "-"),     TRUE, "0")</f>
        <v>0</v>
      </c>
      <c r="BG247" s="607">
        <f>IF(BF$9&gt;0, IF(OR(BF247="",BF247="-"), 0, BF247*$AT247), BE247*$AJ247)</f>
        <v>0</v>
      </c>
      <c r="BH247" s="589">
        <f>[1]COMMANDE!W245</f>
        <v>0</v>
      </c>
      <c r="BI247" s="586" t="str">
        <f>_xlfn.IFS(AND($AI247=$AM247,$AI247&gt;0,$AM247&gt;0,BH247&gt;0), BH247,     AND(NOT($AI247=$AM247),$AI247&gt;0,$AM247&gt;0,BH247&gt;0), ($AM247*BH247)/$AI247,     AND($AI247=0,$AM247&gt;0,$AQ247&gt;0), IF(INDEX(BH$12:BH$263,MATCH($AQ247,$AP$12:$AP$263,0))&gt;0,($AM247*INDEX(BH$12:BH$263,MATCH($AQ247,$AP$12:$AP$263,0)))/INDEX($AI$12:$AI$263,MATCH($AQ247,$AP$12:$AP$263,0)), "-"),     TRUE, "0")</f>
        <v>0</v>
      </c>
      <c r="BJ247" s="588">
        <f>IF(BI$9&gt;0, IF(OR(BI247="",BI247="-"), 0, BI247*$AT247), BH247*$AJ247)</f>
        <v>0</v>
      </c>
      <c r="BK247" s="587">
        <f>[1]COMMANDE!Y245</f>
        <v>0</v>
      </c>
      <c r="BL247" s="586" t="str">
        <f>_xlfn.IFS(AND($AI247=$AM247,$AI247&gt;0,$AM247&gt;0,BK247&gt;0), BK247,     AND(NOT($AI247=$AM247),$AI247&gt;0,$AM247&gt;0,BK247&gt;0), ($AM247*BK247)/$AI247,     AND($AI247=0,$AM247&gt;0,$AQ247&gt;0), IF(INDEX(BK$12:BK$263,MATCH($AQ247,$AP$12:$AP$263,0))&gt;0,($AM247*INDEX(BK$12:BK$263,MATCH($AQ247,$AP$12:$AP$263,0)))/INDEX($AI$12:$AI$263,MATCH($AQ247,$AP$12:$AP$263,0)), "-"),     TRUE, "0")</f>
        <v>0</v>
      </c>
      <c r="BM247" s="607">
        <f>IF(BL$9&gt;0, IF(OR(BL247="",BL247="-"), 0, BL247*$AT247), BK247*$AJ247)</f>
        <v>0</v>
      </c>
      <c r="BN247" s="589">
        <f>[1]COMMANDE!AA245</f>
        <v>0</v>
      </c>
      <c r="BO247" s="586" t="str">
        <f>_xlfn.IFS(AND($AI247=$AM247,$AI247&gt;0,$AM247&gt;0,BN247&gt;0), BN247,     AND(NOT($AI247=$AM247),$AI247&gt;0,$AM247&gt;0,BN247&gt;0), ($AM247*BN247)/$AI247,     AND($AI247=0,$AM247&gt;0,$AQ247&gt;0), IF(INDEX(BN$12:BN$263,MATCH($AQ247,$AP$12:$AP$263,0))&gt;0,($AM247*INDEX(BN$12:BN$263,MATCH($AQ247,$AP$12:$AP$263,0)))/INDEX($AI$12:$AI$263,MATCH($AQ247,$AP$12:$AP$263,0)), "-"),     TRUE, "0")</f>
        <v>0</v>
      </c>
      <c r="BP247" s="588">
        <f>IF(BO$9&gt;0, IF(OR(BO247="",BO247="-"), 0, BO247*$AT247), BN247*$AJ247)</f>
        <v>0</v>
      </c>
      <c r="BQ247" s="587">
        <f>[1]COMMANDE!AC245</f>
        <v>0</v>
      </c>
      <c r="BR247" s="586" t="str">
        <f>_xlfn.IFS(AND($AI247=$AM247,$AI247&gt;0,$AM247&gt;0,BQ247&gt;0), BQ247,     AND(NOT($AI247=$AM247),$AI247&gt;0,$AM247&gt;0,BQ247&gt;0), ($AM247*BQ247)/$AI247,     AND($AI247=0,$AM247&gt;0,$AQ247&gt;0), IF(INDEX(BQ$12:BQ$263,MATCH($AQ247,$AP$12:$AP$263,0))&gt;0,($AM247*INDEX(BQ$12:BQ$263,MATCH($AQ247,$AP$12:$AP$263,0)))/INDEX($AI$12:$AI$263,MATCH($AQ247,$AP$12:$AP$263,0)), "-"),     TRUE, "0")</f>
        <v>0</v>
      </c>
      <c r="BS247" s="607">
        <f>IF(BR$9&gt;0, IF(OR(BR247="",BR247="-"), 0, BR247*$AT247), BQ247*$AJ247)</f>
        <v>0</v>
      </c>
      <c r="BT247" s="589">
        <f>[1]COMMANDE!AE245</f>
        <v>0</v>
      </c>
      <c r="BU247" s="586" t="str">
        <f>_xlfn.IFS(AND($AI247=$AM247,$AI247&gt;0,$AM247&gt;0,BT247&gt;0), BT247,     AND(NOT($AI247=$AM247),$AI247&gt;0,$AM247&gt;0,BT247&gt;0), ($AM247*BT247)/$AI247,     AND($AI247=0,$AM247&gt;0,$AQ247&gt;0), IF(INDEX(BT$12:BT$263,MATCH($AQ247,$AP$12:$AP$263,0))&gt;0,($AM247*INDEX(BT$12:BT$263,MATCH($AQ247,$AP$12:$AP$263,0)))/INDEX($AI$12:$AI$263,MATCH($AQ247,$AP$12:$AP$263,0)), "-"),     TRUE, "0")</f>
        <v>0</v>
      </c>
      <c r="BV247" s="588">
        <f>IF(BU$9&gt;0, IF(OR(BU247="",BU247="-"), 0, BU247*$AT247), BT247*$AJ247)</f>
        <v>0</v>
      </c>
      <c r="BW247" s="587">
        <f>[1]COMMANDE!AG245</f>
        <v>0</v>
      </c>
      <c r="BX247" s="586" t="str">
        <f>_xlfn.IFS(AND($AI247=$AM247,$AI247&gt;0,$AM247&gt;0,BW247&gt;0), BW247,     AND(NOT($AI247=$AM247),$AI247&gt;0,$AM247&gt;0,BW247&gt;0), ($AM247*BW247)/$AI247,     AND($AI247=0,$AM247&gt;0,$AQ247&gt;0), IF(INDEX(BW$12:BW$263,MATCH($AQ247,$AP$12:$AP$263,0))&gt;0,($AM247*INDEX(BW$12:BW$263,MATCH($AQ247,$AP$12:$AP$263,0)))/INDEX($AI$12:$AI$263,MATCH($AQ247,$AP$12:$AP$263,0)), "-"),     TRUE, "0")</f>
        <v>0</v>
      </c>
      <c r="BY247" s="607">
        <f>IF(BX$9&gt;0, IF(OR(BX247="",BX247="-"), 0, BX247*$AT247), BW247*$AJ247)</f>
        <v>0</v>
      </c>
      <c r="BZ247" s="589">
        <f>[1]COMMANDE!AI245</f>
        <v>0</v>
      </c>
      <c r="CA247" s="586" t="str">
        <f>_xlfn.IFS(AND($AI247=$AM247,$AI247&gt;0,$AM247&gt;0,BZ247&gt;0), BZ247,     AND(NOT($AI247=$AM247),$AI247&gt;0,$AM247&gt;0,BZ247&gt;0), ($AM247*BZ247)/$AI247,     AND($AI247=0,$AM247&gt;0,$AQ247&gt;0), IF(INDEX(BZ$12:BZ$263,MATCH($AQ247,$AP$12:$AP$263,0))&gt;0,($AM247*INDEX(BZ$12:BZ$263,MATCH($AQ247,$AP$12:$AP$263,0)))/INDEX($AI$12:$AI$263,MATCH($AQ247,$AP$12:$AP$263,0)), "-"),     TRUE, "0")</f>
        <v>0</v>
      </c>
      <c r="CB247" s="588">
        <f>IF(CA$9&gt;0, IF(OR(CA247="",CA247="-"), 0, CA247*$AT247), BZ247*$AJ247)</f>
        <v>0</v>
      </c>
      <c r="CC247" s="587">
        <f>[1]COMMANDE!AK245</f>
        <v>0</v>
      </c>
      <c r="CD247" s="586" t="str">
        <f>_xlfn.IFS(AND($AI247=$AM247,$AI247&gt;0,$AM247&gt;0,CC247&gt;0), CC247,     AND(NOT($AI247=$AM247),$AI247&gt;0,$AM247&gt;0,CC247&gt;0), ($AM247*CC247)/$AI247,     AND($AI247=0,$AM247&gt;0,$AQ247&gt;0), IF(INDEX(CC$12:CC$263,MATCH($AQ247,$AP$12:$AP$263,0))&gt;0,($AM247*INDEX(CC$12:CC$263,MATCH($AQ247,$AP$12:$AP$263,0)))/INDEX($AI$12:$AI$263,MATCH($AQ247,$AP$12:$AP$263,0)), "-"),     TRUE, "0")</f>
        <v>0</v>
      </c>
      <c r="CE247" s="607">
        <f>IF(CD$9&gt;0, IF(OR(CD247="",CD247="-"), 0, CD247*$AT247), CC247*$AJ247)</f>
        <v>0</v>
      </c>
      <c r="CF247" s="589">
        <f>[1]COMMANDE!AM245</f>
        <v>0</v>
      </c>
      <c r="CG247" s="586" t="str">
        <f>_xlfn.IFS(AND($AI247=$AM247,$AI247&gt;0,$AM247&gt;0,CF247&gt;0), CF247,     AND(NOT($AI247=$AM247),$AI247&gt;0,$AM247&gt;0,CF247&gt;0), ($AM247*CF247)/$AI247,     AND($AI247=0,$AM247&gt;0,$AQ247&gt;0), IF(INDEX(CF$12:CF$263,MATCH($AQ247,$AP$12:$AP$263,0))&gt;0,($AM247*INDEX(CF$12:CF$263,MATCH($AQ247,$AP$12:$AP$263,0)))/INDEX($AI$12:$AI$263,MATCH($AQ247,$AP$12:$AP$263,0)), "-"),     TRUE, "0")</f>
        <v>0</v>
      </c>
      <c r="CH247" s="588">
        <f>IF(CG$9&gt;0, IF(OR(CG247="",CG247="-"), 0, CG247*$AT247), CF247*$AJ247)</f>
        <v>0</v>
      </c>
      <c r="CI247" s="587">
        <f>[1]COMMANDE!AO245</f>
        <v>0</v>
      </c>
      <c r="CJ247" s="586" t="str">
        <f>_xlfn.IFS(AND($AI247=$AM247,$AI247&gt;0,$AM247&gt;0,CI247&gt;0), CI247,     AND(NOT($AI247=$AM247),$AI247&gt;0,$AM247&gt;0,CI247&gt;0), ($AM247*CI247)/$AI247,     AND($AI247=0,$AM247&gt;0,$AQ247&gt;0), IF(INDEX(CI$12:CI$263,MATCH($AQ247,$AP$12:$AP$263,0))&gt;0,($AM247*INDEX(CI$12:CI$263,MATCH($AQ247,$AP$12:$AP$263,0)))/INDEX($AI$12:$AI$263,MATCH($AQ247,$AP$12:$AP$263,0)), "-"),     TRUE, "0")</f>
        <v>0</v>
      </c>
      <c r="CK247" s="607">
        <f>IF(CJ$9&gt;0, IF(OR(CJ247="",CJ247="-"), 0, CJ247*$AT247), CI247*$AJ247)</f>
        <v>0</v>
      </c>
      <c r="CL247" s="589">
        <f>[1]COMMANDE!AQ245</f>
        <v>0</v>
      </c>
      <c r="CM247" s="586" t="str">
        <f>_xlfn.IFS(AND($AI247=$AM247,$AI247&gt;0,$AM247&gt;0,CL247&gt;0), CL247,     AND(NOT($AI247=$AM247),$AI247&gt;0,$AM247&gt;0,CL247&gt;0), ($AM247*CL247)/$AI247,     AND($AI247=0,$AM247&gt;0,$AQ247&gt;0), IF(INDEX(CL$12:CL$263,MATCH($AQ247,$AP$12:$AP$263,0))&gt;0,($AM247*INDEX(CL$12:CL$263,MATCH($AQ247,$AP$12:$AP$263,0)))/INDEX($AI$12:$AI$263,MATCH($AQ247,$AP$12:$AP$263,0)), "-"),     TRUE, "0")</f>
        <v>0</v>
      </c>
      <c r="CN247" s="588">
        <f>IF(CM$9&gt;0, IF(OR(CM247="",CM247="-"), 0, CM247*$AT247), CL247*$AJ247)</f>
        <v>0</v>
      </c>
      <c r="CO247" s="587">
        <f>[1]COMMANDE!AS245</f>
        <v>0</v>
      </c>
      <c r="CP247" s="586" t="str">
        <f>_xlfn.IFS(AND($AI247=$AM247,$AI247&gt;0,$AM247&gt;0,CO247&gt;0), CO247,     AND(NOT($AI247=$AM247),$AI247&gt;0,$AM247&gt;0,CO247&gt;0), ($AM247*CO247)/$AI247,     AND($AI247=0,$AM247&gt;0,$AQ247&gt;0), IF(INDEX(CO$12:CO$263,MATCH($AQ247,$AP$12:$AP$263,0))&gt;0,($AM247*INDEX(CO$12:CO$263,MATCH($AQ247,$AP$12:$AP$263,0)))/INDEX($AI$12:$AI$263,MATCH($AQ247,$AP$12:$AP$263,0)), "-"),     TRUE, "0")</f>
        <v>0</v>
      </c>
      <c r="CQ247" s="607">
        <f>IF(CP$9&gt;0, IF(OR(CP247="",CP247="-"), 0, CP247*$AT247), CO247*$AJ247)</f>
        <v>0</v>
      </c>
      <c r="CR247" s="589">
        <f>[1]COMMANDE!AU245</f>
        <v>0</v>
      </c>
      <c r="CS247" s="586" t="str">
        <f>_xlfn.IFS(AND($AI247=$AM247,$AI247&gt;0,$AM247&gt;0,CR247&gt;0), CR247,     AND(NOT($AI247=$AM247),$AI247&gt;0,$AM247&gt;0,CR247&gt;0), ($AM247*CR247)/$AI247,     AND($AI247=0,$AM247&gt;0,$AQ247&gt;0), IF(INDEX(CR$12:CR$263,MATCH($AQ247,$AP$12:$AP$263,0))&gt;0,($AM247*INDEX(CR$12:CR$263,MATCH($AQ247,$AP$12:$AP$263,0)))/INDEX($AI$12:$AI$263,MATCH($AQ247,$AP$12:$AP$263,0)), "-"),     TRUE, "0")</f>
        <v>0</v>
      </c>
      <c r="CT247" s="588">
        <f>IF(CS$9&gt;0, IF(OR(CS247="",CS247="-"), 0, CS247*$AT247), CR247*$AJ247)</f>
        <v>0</v>
      </c>
      <c r="CU247" s="587">
        <f>[1]COMMANDE!AW245</f>
        <v>0</v>
      </c>
      <c r="CV247" s="586" t="str">
        <f>_xlfn.IFS(AND($AI247=$AM247,$AI247&gt;0,$AM247&gt;0,CU247&gt;0), CU247,     AND(NOT($AI247=$AM247),$AI247&gt;0,$AM247&gt;0,CU247&gt;0), ($AM247*CU247)/$AI247,     AND($AI247=0,$AM247&gt;0,$AQ247&gt;0), IF(INDEX(CU$12:CU$263,MATCH($AQ247,$AP$12:$AP$263,0))&gt;0,($AM247*INDEX(CU$12:CU$263,MATCH($AQ247,$AP$12:$AP$263,0)))/INDEX($AI$12:$AI$263,MATCH($AQ247,$AP$12:$AP$263,0)), "-"),     TRUE, "0")</f>
        <v>0</v>
      </c>
      <c r="CW247" s="607">
        <f>IF(CV$9&gt;0, IF(OR(CV247="",CV247="-"), 0, CV247*$AT247), CU247*$AJ247)</f>
        <v>0</v>
      </c>
      <c r="CX247" s="589">
        <f>[1]COMMANDE!AY245</f>
        <v>0</v>
      </c>
      <c r="CY247" s="586" t="str">
        <f>_xlfn.IFS(AND($AI247=$AM247,$AI247&gt;0,$AM247&gt;0,CX247&gt;0), CX247,     AND(NOT($AI247=$AM247),$AI247&gt;0,$AM247&gt;0,CX247&gt;0), ($AM247*CX247)/$AI247,     AND($AI247=0,$AM247&gt;0,$AQ247&gt;0), IF(INDEX(CX$12:CX$263,MATCH($AQ247,$AP$12:$AP$263,0))&gt;0,($AM247*INDEX(CX$12:CX$263,MATCH($AQ247,$AP$12:$AP$263,0)))/INDEX($AI$12:$AI$263,MATCH($AQ247,$AP$12:$AP$263,0)), "-"),     TRUE, "0")</f>
        <v>0</v>
      </c>
      <c r="CZ247" s="588">
        <f>IF(CY$9&gt;0, IF(OR(CY247="",CY247="-"), 0, CY247*$AT247), CX247*$AJ247)</f>
        <v>0</v>
      </c>
      <c r="DA247" s="587">
        <f>[1]COMMANDE!BA245</f>
        <v>0</v>
      </c>
      <c r="DB247" s="586" t="str">
        <f>_xlfn.IFS(AND($AI247=$AM247,$AI247&gt;0,$AM247&gt;0,DA247&gt;0), DA247,     AND(NOT($AI247=$AM247),$AI247&gt;0,$AM247&gt;0,DA247&gt;0), ($AM247*DA247)/$AI247,     AND($AI247=0,$AM247&gt;0,$AQ247&gt;0), IF(INDEX(DA$12:DA$263,MATCH($AQ247,$AP$12:$AP$263,0))&gt;0,($AM247*INDEX(DA$12:DA$263,MATCH($AQ247,$AP$12:$AP$263,0)))/INDEX($AI$12:$AI$263,MATCH($AQ247,$AP$12:$AP$263,0)), "-"),     TRUE, "0")</f>
        <v>0</v>
      </c>
      <c r="DC247" s="606">
        <f>IF(DB$9&gt;0, IF(OR(DB247="",DB247="-"), 0, DB247*$AT247), DA247*$AJ247)</f>
        <v>0</v>
      </c>
      <c r="DD247" s="584"/>
      <c r="DE247" s="583"/>
    </row>
    <row r="248" spans="1:109" ht="39.950000000000003" hidden="1" customHeight="1">
      <c r="A248" s="604">
        <f>IF(OR($AV248&gt;0, $AX248&gt;0), 1, 0)</f>
        <v>0</v>
      </c>
      <c r="B248" s="604">
        <f>IF(OR($AY248&gt;0, $BA248&gt;0), 1, 0)</f>
        <v>0</v>
      </c>
      <c r="C248" s="604">
        <f>IF(OR($BB248&gt;0, $BD248&gt;0), 1, 0)</f>
        <v>0</v>
      </c>
      <c r="D248" s="604">
        <f>IF(OR($BE248&gt;0, $BG248&gt;0), 1, 0)</f>
        <v>0</v>
      </c>
      <c r="E248" s="604">
        <f>IF(OR($BH248&gt;0, $BJ248&gt;0), 1, 0)</f>
        <v>0</v>
      </c>
      <c r="F248" s="604">
        <f>IF(OR($BK248&gt;0, $BM248&gt;0), 1, 0)</f>
        <v>0</v>
      </c>
      <c r="G248" s="604">
        <f>IF(OR($BN248&gt;0, $BP248&gt;0), 1, 0)</f>
        <v>0</v>
      </c>
      <c r="H248" s="604">
        <f>IF(OR($BQ248&gt;0, $BS248&gt;0), 1, 0)</f>
        <v>0</v>
      </c>
      <c r="I248" s="604">
        <f>IF(OR($BT248&gt;0, $BV248&gt;0), 1, 0)</f>
        <v>0</v>
      </c>
      <c r="J248" s="604">
        <f>IF(OR($BW248&gt;0, $BY248&gt;0), 1, 0)</f>
        <v>0</v>
      </c>
      <c r="K248" s="604">
        <f>IF(OR($BZ248&gt;0, $CB248&gt;0), 1, 0)</f>
        <v>0</v>
      </c>
      <c r="L248" s="604">
        <f>IF(OR($CC248&gt;0, $CE248&gt;0), 1, 0)</f>
        <v>0</v>
      </c>
      <c r="M248" s="604">
        <f>IF(OR($CF248&gt;0, $CH248&gt;0), 1, 0)</f>
        <v>0</v>
      </c>
      <c r="N248" s="604">
        <f>IF(OR($CI248&gt;0, $CK248&gt;0), 1, 0)</f>
        <v>0</v>
      </c>
      <c r="O248" s="604">
        <f>IF(OR($CL248&gt;0, $CN248&gt;0), 1, 0)</f>
        <v>0</v>
      </c>
      <c r="P248" s="604">
        <f>IF(OR($CO248&gt;0, $CQ248&gt;0), 1, 0)</f>
        <v>0</v>
      </c>
      <c r="Q248" s="604">
        <f>IF(OR($CR248&gt;0, $CT248&gt;0), 1, 0)</f>
        <v>0</v>
      </c>
      <c r="R248" s="604">
        <f>IF(OR($CU248&gt;0, $CW248&gt;0), 1, 0)</f>
        <v>0</v>
      </c>
      <c r="S248" s="604">
        <f>IF(OR($CX248&gt;0, $CZ248&gt;0), 1, 0)</f>
        <v>0</v>
      </c>
      <c r="T248" s="604">
        <f>IF(OR($DA248&gt;0, $DC248&gt;0), 1, 0)</f>
        <v>0</v>
      </c>
      <c r="U248" s="603">
        <f>IF(OR($AI248&gt;0,$AM248&gt;0,$AS248&gt;0), 1, 0)</f>
        <v>0</v>
      </c>
      <c r="V248" s="602">
        <f>[1]BDD!A238</f>
        <v>3931</v>
      </c>
      <c r="W248" s="601" t="str">
        <f>[1]BDD!B238</f>
        <v>Sucre de canne à sucre (env. 550g, bocal en verre)</v>
      </c>
      <c r="X248" s="600" t="str">
        <f>IF([1]BDD!F238=0, "", [1]BDD!F238)</f>
        <v/>
      </c>
      <c r="Y248" s="542">
        <f>ROUND([1]BDD!G238+FDP_CMD_KG, 2)</f>
        <v>5.93</v>
      </c>
      <c r="Z248" s="542">
        <f>ROUND([1]BDD!G238+FDP_FACT_KG, 2)</f>
        <v>5.93</v>
      </c>
      <c r="AA248" s="543" t="str">
        <f>[1]BDD!H238</f>
        <v>Pièce</v>
      </c>
      <c r="AB248" s="544" t="str">
        <f>IF(NOT(ISBLANK([1]BDD!I238)), ROUND(SUM(([1]BDD!G238*reduc1),FDP_CMD_KG), 2), "")</f>
        <v/>
      </c>
      <c r="AC248" s="544" t="str">
        <f>IF(NOT(ISBLANK([1]BDD!J238)), ROUND(SUM(([1]BDD!G238*reduc2),FDP_CMD_KG), 2), "")</f>
        <v/>
      </c>
      <c r="AD248" s="544" t="str">
        <f>IF(NOT(ISBLANK([1]BDD!K238)), ROUND(SUM(([1]BDD!G238*reduc3),FDP_CMD_KG), 2), "")</f>
        <v/>
      </c>
      <c r="AE248" s="544" t="str">
        <f>IF(NOT(ISBLANK([1]BDD!I238)), ROUND(SUM(([1]BDD!G238*reduc1),FDP_FACT_KG), 2), "")</f>
        <v/>
      </c>
      <c r="AF248" s="544" t="str">
        <f>IF(NOT(ISBLANK([1]BDD!J238)), ROUND(SUM(([1]BDD!G238*reduc2),FDP_FACT_KG), 2), "")</f>
        <v/>
      </c>
      <c r="AG248" s="544" t="str">
        <f>IF(NOT(ISBLANK([1]BDD!K238)), ROUND(SUM(([1]BDD!G238*reduc3),FDP_FACT_KG), 2), "")</f>
        <v/>
      </c>
      <c r="AH248" s="599" t="str">
        <f>[1]BDD!C238</f>
        <v>National</v>
      </c>
      <c r="AI248" s="598">
        <f>SUM(AV248,AY248,BB248,BE248,BH248,BK248,BN248,BQ248,BT248,BW248,BZ248,CC248,CF248,CI248,CL248,CO248,CR248,CU248,CX248,DA248)</f>
        <v>0</v>
      </c>
      <c r="AJ248" s="545">
        <f>_xlfn.IFS($AD248&lt;&gt;"", $AD248,    $AC248&lt;&gt;"", $AC248,    $AB248&lt;&gt;"", $AB248,    TRUE, $Y248)</f>
        <v>5.93</v>
      </c>
      <c r="AK248" s="592">
        <f>$AI248*$AJ248</f>
        <v>0</v>
      </c>
      <c r="AL248" s="594"/>
      <c r="AM248" s="597"/>
      <c r="AN248" s="545">
        <f>_xlfn.IFS(AND(AM248&gt;=60,$AG248&lt;&gt;""), $AG248,    AND(AM248&gt;=30,$AF248&lt;&gt;""), $AF248,    AND(AM248&gt;=10,$AE248&lt;&gt;""), $AE248,    TRUE, $Z248)</f>
        <v>5.93</v>
      </c>
      <c r="AO248" s="596">
        <f>AM248*AN248</f>
        <v>0</v>
      </c>
      <c r="AP248" s="595"/>
      <c r="AQ248" s="595"/>
      <c r="AR248" s="594"/>
      <c r="AS248" s="593">
        <f>SUM(AW248,AZ248,BC248,BF248,BI248,BL248,BO248,BR248,BU248,BX248,CA248,CD248,CG248,CJ248,CM248,CP248,CS248,CV248,CY248,DB248)</f>
        <v>0</v>
      </c>
      <c r="AT248" s="545">
        <f>_xlfn.IFS(AND(AS248&gt;=60,$AG248&lt;&gt;""), $AG248,    AND(AS248&gt;=30,$AF248&lt;&gt;""), $AF248,    AND(AS248&gt;=10,$AE248&lt;&gt;""), $AE248,    TRUE, $Z248)</f>
        <v>5.93</v>
      </c>
      <c r="AU248" s="592">
        <f>$AS248*$AT248</f>
        <v>0</v>
      </c>
      <c r="AV248" s="591">
        <f>[1]COMMANDE!O246</f>
        <v>0</v>
      </c>
      <c r="AW248" s="586" t="str">
        <f>_xlfn.IFS(AND($AI248=$AM248,$AI248&gt;0,$AM248&gt;0,AV248&gt;0), AV248,     AND(NOT($AI248=$AM248),$AI248&gt;0,$AM248&gt;0,AV248&gt;0), ($AM248*AV248)/$AI248,     AND($AI248=0,$AM248&gt;0,$AQ248&gt;0), IF(INDEX(AV$12:AV$263,MATCH($AQ248,$AP$12:$AP$263,0))&gt;0,($AM248*INDEX(AV$12:AV$263,MATCH($AQ248,$AP$12:$AP$263,0)))/INDEX($AI$12:$AI$263,MATCH($AQ248,$AP$12:$AP$263,0)), "-"),     TRUE, "0")</f>
        <v>0</v>
      </c>
      <c r="AX248" s="588">
        <f>IF(AW$9&gt;0, IF(OR(AW248="",AW248="-"), 0, AW248*$AT248), AV248*$AJ248)</f>
        <v>0</v>
      </c>
      <c r="AY248" s="587">
        <f>[1]COMMANDE!Q246</f>
        <v>0</v>
      </c>
      <c r="AZ248" s="586" t="str">
        <f>_xlfn.IFS(AND($AI248=$AM248,$AI248&gt;0,$AM248&gt;0,AY248&gt;0), AY248,     AND(NOT($AI248=$AM248),$AI248&gt;0,$AM248&gt;0,AY248&gt;0), ($AM248*AY248)/$AI248,     AND($AI248=0,$AM248&gt;0,$AQ248&gt;0), IF(INDEX(AY$12:AY$263,MATCH($AQ248,$AP$12:$AP$263,0))&gt;0,($AM248*INDEX(AY$12:AY$263,MATCH($AQ248,$AP$12:$AP$263,0)))/INDEX($AI$12:$AI$263,MATCH($AQ248,$AP$12:$AP$263,0)), "-"),     TRUE, "0")</f>
        <v>0</v>
      </c>
      <c r="BA248" s="607">
        <f>IF(AZ$9&gt;0, IF(OR(AZ248="",AZ248="-"), 0, AZ248*$AT248), AY248*$AJ248)</f>
        <v>0</v>
      </c>
      <c r="BB248" s="589">
        <f>[1]COMMANDE!S246</f>
        <v>0</v>
      </c>
      <c r="BC248" s="586" t="str">
        <f>_xlfn.IFS(AND($AI248=$AM248,$AI248&gt;0,$AM248&gt;0,BB248&gt;0), BB248,     AND(NOT($AI248=$AM248),$AI248&gt;0,$AM248&gt;0,BB248&gt;0), ($AM248*BB248)/$AI248,     AND($AI248=0,$AM248&gt;0,$AQ248&gt;0), IF(INDEX(BB$12:BB$263,MATCH($AQ248,$AP$12:$AP$263,0))&gt;0,($AM248*INDEX(BB$12:BB$263,MATCH($AQ248,$AP$12:$AP$263,0)))/INDEX($AI$12:$AI$263,MATCH($AQ248,$AP$12:$AP$263,0)), "-"),     TRUE, "0")</f>
        <v>0</v>
      </c>
      <c r="BD248" s="588">
        <f>IF(BC$9&gt;0, IF(OR(BC248="",BC248="-"), 0, BC248*$AT248), BB248*$AJ248)</f>
        <v>0</v>
      </c>
      <c r="BE248" s="587">
        <f>[1]COMMANDE!U246</f>
        <v>0</v>
      </c>
      <c r="BF248" s="586" t="str">
        <f>_xlfn.IFS(AND($AI248=$AM248,$AI248&gt;0,$AM248&gt;0,BE248&gt;0), BE248,     AND(NOT($AI248=$AM248),$AI248&gt;0,$AM248&gt;0,BE248&gt;0), ($AM248*BE248)/$AI248,     AND($AI248=0,$AM248&gt;0,$AQ248&gt;0), IF(INDEX(BE$12:BE$263,MATCH($AQ248,$AP$12:$AP$263,0))&gt;0,($AM248*INDEX(BE$12:BE$263,MATCH($AQ248,$AP$12:$AP$263,0)))/INDEX($AI$12:$AI$263,MATCH($AQ248,$AP$12:$AP$263,0)), "-"),     TRUE, "0")</f>
        <v>0</v>
      </c>
      <c r="BG248" s="607">
        <f>IF(BF$9&gt;0, IF(OR(BF248="",BF248="-"), 0, BF248*$AT248), BE248*$AJ248)</f>
        <v>0</v>
      </c>
      <c r="BH248" s="589">
        <f>[1]COMMANDE!W246</f>
        <v>0</v>
      </c>
      <c r="BI248" s="586" t="str">
        <f>_xlfn.IFS(AND($AI248=$AM248,$AI248&gt;0,$AM248&gt;0,BH248&gt;0), BH248,     AND(NOT($AI248=$AM248),$AI248&gt;0,$AM248&gt;0,BH248&gt;0), ($AM248*BH248)/$AI248,     AND($AI248=0,$AM248&gt;0,$AQ248&gt;0), IF(INDEX(BH$12:BH$263,MATCH($AQ248,$AP$12:$AP$263,0))&gt;0,($AM248*INDEX(BH$12:BH$263,MATCH($AQ248,$AP$12:$AP$263,0)))/INDEX($AI$12:$AI$263,MATCH($AQ248,$AP$12:$AP$263,0)), "-"),     TRUE, "0")</f>
        <v>0</v>
      </c>
      <c r="BJ248" s="588">
        <f>IF(BI$9&gt;0, IF(OR(BI248="",BI248="-"), 0, BI248*$AT248), BH248*$AJ248)</f>
        <v>0</v>
      </c>
      <c r="BK248" s="587">
        <f>[1]COMMANDE!Y246</f>
        <v>0</v>
      </c>
      <c r="BL248" s="586" t="str">
        <f>_xlfn.IFS(AND($AI248=$AM248,$AI248&gt;0,$AM248&gt;0,BK248&gt;0), BK248,     AND(NOT($AI248=$AM248),$AI248&gt;0,$AM248&gt;0,BK248&gt;0), ($AM248*BK248)/$AI248,     AND($AI248=0,$AM248&gt;0,$AQ248&gt;0), IF(INDEX(BK$12:BK$263,MATCH($AQ248,$AP$12:$AP$263,0))&gt;0,($AM248*INDEX(BK$12:BK$263,MATCH($AQ248,$AP$12:$AP$263,0)))/INDEX($AI$12:$AI$263,MATCH($AQ248,$AP$12:$AP$263,0)), "-"),     TRUE, "0")</f>
        <v>0</v>
      </c>
      <c r="BM248" s="607">
        <f>IF(BL$9&gt;0, IF(OR(BL248="",BL248="-"), 0, BL248*$AT248), BK248*$AJ248)</f>
        <v>0</v>
      </c>
      <c r="BN248" s="589">
        <f>[1]COMMANDE!AA246</f>
        <v>0</v>
      </c>
      <c r="BO248" s="586" t="str">
        <f>_xlfn.IFS(AND($AI248=$AM248,$AI248&gt;0,$AM248&gt;0,BN248&gt;0), BN248,     AND(NOT($AI248=$AM248),$AI248&gt;0,$AM248&gt;0,BN248&gt;0), ($AM248*BN248)/$AI248,     AND($AI248=0,$AM248&gt;0,$AQ248&gt;0), IF(INDEX(BN$12:BN$263,MATCH($AQ248,$AP$12:$AP$263,0))&gt;0,($AM248*INDEX(BN$12:BN$263,MATCH($AQ248,$AP$12:$AP$263,0)))/INDEX($AI$12:$AI$263,MATCH($AQ248,$AP$12:$AP$263,0)), "-"),     TRUE, "0")</f>
        <v>0</v>
      </c>
      <c r="BP248" s="588">
        <f>IF(BO$9&gt;0, IF(OR(BO248="",BO248="-"), 0, BO248*$AT248), BN248*$AJ248)</f>
        <v>0</v>
      </c>
      <c r="BQ248" s="587">
        <f>[1]COMMANDE!AC246</f>
        <v>0</v>
      </c>
      <c r="BR248" s="586" t="str">
        <f>_xlfn.IFS(AND($AI248=$AM248,$AI248&gt;0,$AM248&gt;0,BQ248&gt;0), BQ248,     AND(NOT($AI248=$AM248),$AI248&gt;0,$AM248&gt;0,BQ248&gt;0), ($AM248*BQ248)/$AI248,     AND($AI248=0,$AM248&gt;0,$AQ248&gt;0), IF(INDEX(BQ$12:BQ$263,MATCH($AQ248,$AP$12:$AP$263,0))&gt;0,($AM248*INDEX(BQ$12:BQ$263,MATCH($AQ248,$AP$12:$AP$263,0)))/INDEX($AI$12:$AI$263,MATCH($AQ248,$AP$12:$AP$263,0)), "-"),     TRUE, "0")</f>
        <v>0</v>
      </c>
      <c r="BS248" s="607">
        <f>IF(BR$9&gt;0, IF(OR(BR248="",BR248="-"), 0, BR248*$AT248), BQ248*$AJ248)</f>
        <v>0</v>
      </c>
      <c r="BT248" s="589">
        <f>[1]COMMANDE!AE246</f>
        <v>0</v>
      </c>
      <c r="BU248" s="586" t="str">
        <f>_xlfn.IFS(AND($AI248=$AM248,$AI248&gt;0,$AM248&gt;0,BT248&gt;0), BT248,     AND(NOT($AI248=$AM248),$AI248&gt;0,$AM248&gt;0,BT248&gt;0), ($AM248*BT248)/$AI248,     AND($AI248=0,$AM248&gt;0,$AQ248&gt;0), IF(INDEX(BT$12:BT$263,MATCH($AQ248,$AP$12:$AP$263,0))&gt;0,($AM248*INDEX(BT$12:BT$263,MATCH($AQ248,$AP$12:$AP$263,0)))/INDEX($AI$12:$AI$263,MATCH($AQ248,$AP$12:$AP$263,0)), "-"),     TRUE, "0")</f>
        <v>0</v>
      </c>
      <c r="BV248" s="588">
        <f>IF(BU$9&gt;0, IF(OR(BU248="",BU248="-"), 0, BU248*$AT248), BT248*$AJ248)</f>
        <v>0</v>
      </c>
      <c r="BW248" s="587">
        <f>[1]COMMANDE!AG246</f>
        <v>0</v>
      </c>
      <c r="BX248" s="586" t="str">
        <f>_xlfn.IFS(AND($AI248=$AM248,$AI248&gt;0,$AM248&gt;0,BW248&gt;0), BW248,     AND(NOT($AI248=$AM248),$AI248&gt;0,$AM248&gt;0,BW248&gt;0), ($AM248*BW248)/$AI248,     AND($AI248=0,$AM248&gt;0,$AQ248&gt;0), IF(INDEX(BW$12:BW$263,MATCH($AQ248,$AP$12:$AP$263,0))&gt;0,($AM248*INDEX(BW$12:BW$263,MATCH($AQ248,$AP$12:$AP$263,0)))/INDEX($AI$12:$AI$263,MATCH($AQ248,$AP$12:$AP$263,0)), "-"),     TRUE, "0")</f>
        <v>0</v>
      </c>
      <c r="BY248" s="607">
        <f>IF(BX$9&gt;0, IF(OR(BX248="",BX248="-"), 0, BX248*$AT248), BW248*$AJ248)</f>
        <v>0</v>
      </c>
      <c r="BZ248" s="589">
        <f>[1]COMMANDE!AI246</f>
        <v>0</v>
      </c>
      <c r="CA248" s="586" t="str">
        <f>_xlfn.IFS(AND($AI248=$AM248,$AI248&gt;0,$AM248&gt;0,BZ248&gt;0), BZ248,     AND(NOT($AI248=$AM248),$AI248&gt;0,$AM248&gt;0,BZ248&gt;0), ($AM248*BZ248)/$AI248,     AND($AI248=0,$AM248&gt;0,$AQ248&gt;0), IF(INDEX(BZ$12:BZ$263,MATCH($AQ248,$AP$12:$AP$263,0))&gt;0,($AM248*INDEX(BZ$12:BZ$263,MATCH($AQ248,$AP$12:$AP$263,0)))/INDEX($AI$12:$AI$263,MATCH($AQ248,$AP$12:$AP$263,0)), "-"),     TRUE, "0")</f>
        <v>0</v>
      </c>
      <c r="CB248" s="588">
        <f>IF(CA$9&gt;0, IF(OR(CA248="",CA248="-"), 0, CA248*$AT248), BZ248*$AJ248)</f>
        <v>0</v>
      </c>
      <c r="CC248" s="587">
        <f>[1]COMMANDE!AK246</f>
        <v>0</v>
      </c>
      <c r="CD248" s="586" t="str">
        <f>_xlfn.IFS(AND($AI248=$AM248,$AI248&gt;0,$AM248&gt;0,CC248&gt;0), CC248,     AND(NOT($AI248=$AM248),$AI248&gt;0,$AM248&gt;0,CC248&gt;0), ($AM248*CC248)/$AI248,     AND($AI248=0,$AM248&gt;0,$AQ248&gt;0), IF(INDEX(CC$12:CC$263,MATCH($AQ248,$AP$12:$AP$263,0))&gt;0,($AM248*INDEX(CC$12:CC$263,MATCH($AQ248,$AP$12:$AP$263,0)))/INDEX($AI$12:$AI$263,MATCH($AQ248,$AP$12:$AP$263,0)), "-"),     TRUE, "0")</f>
        <v>0</v>
      </c>
      <c r="CE248" s="607">
        <f>IF(CD$9&gt;0, IF(OR(CD248="",CD248="-"), 0, CD248*$AT248), CC248*$AJ248)</f>
        <v>0</v>
      </c>
      <c r="CF248" s="589">
        <f>[1]COMMANDE!AM246</f>
        <v>0</v>
      </c>
      <c r="CG248" s="586" t="str">
        <f>_xlfn.IFS(AND($AI248=$AM248,$AI248&gt;0,$AM248&gt;0,CF248&gt;0), CF248,     AND(NOT($AI248=$AM248),$AI248&gt;0,$AM248&gt;0,CF248&gt;0), ($AM248*CF248)/$AI248,     AND($AI248=0,$AM248&gt;0,$AQ248&gt;0), IF(INDEX(CF$12:CF$263,MATCH($AQ248,$AP$12:$AP$263,0))&gt;0,($AM248*INDEX(CF$12:CF$263,MATCH($AQ248,$AP$12:$AP$263,0)))/INDEX($AI$12:$AI$263,MATCH($AQ248,$AP$12:$AP$263,0)), "-"),     TRUE, "0")</f>
        <v>0</v>
      </c>
      <c r="CH248" s="588">
        <f>IF(CG$9&gt;0, IF(OR(CG248="",CG248="-"), 0, CG248*$AT248), CF248*$AJ248)</f>
        <v>0</v>
      </c>
      <c r="CI248" s="587">
        <f>[1]COMMANDE!AO246</f>
        <v>0</v>
      </c>
      <c r="CJ248" s="586" t="str">
        <f>_xlfn.IFS(AND($AI248=$AM248,$AI248&gt;0,$AM248&gt;0,CI248&gt;0), CI248,     AND(NOT($AI248=$AM248),$AI248&gt;0,$AM248&gt;0,CI248&gt;0), ($AM248*CI248)/$AI248,     AND($AI248=0,$AM248&gt;0,$AQ248&gt;0), IF(INDEX(CI$12:CI$263,MATCH($AQ248,$AP$12:$AP$263,0))&gt;0,($AM248*INDEX(CI$12:CI$263,MATCH($AQ248,$AP$12:$AP$263,0)))/INDEX($AI$12:$AI$263,MATCH($AQ248,$AP$12:$AP$263,0)), "-"),     TRUE, "0")</f>
        <v>0</v>
      </c>
      <c r="CK248" s="607">
        <f>IF(CJ$9&gt;0, IF(OR(CJ248="",CJ248="-"), 0, CJ248*$AT248), CI248*$AJ248)</f>
        <v>0</v>
      </c>
      <c r="CL248" s="589">
        <f>[1]COMMANDE!AQ246</f>
        <v>0</v>
      </c>
      <c r="CM248" s="586" t="str">
        <f>_xlfn.IFS(AND($AI248=$AM248,$AI248&gt;0,$AM248&gt;0,CL248&gt;0), CL248,     AND(NOT($AI248=$AM248),$AI248&gt;0,$AM248&gt;0,CL248&gt;0), ($AM248*CL248)/$AI248,     AND($AI248=0,$AM248&gt;0,$AQ248&gt;0), IF(INDEX(CL$12:CL$263,MATCH($AQ248,$AP$12:$AP$263,0))&gt;0,($AM248*INDEX(CL$12:CL$263,MATCH($AQ248,$AP$12:$AP$263,0)))/INDEX($AI$12:$AI$263,MATCH($AQ248,$AP$12:$AP$263,0)), "-"),     TRUE, "0")</f>
        <v>0</v>
      </c>
      <c r="CN248" s="588">
        <f>IF(CM$9&gt;0, IF(OR(CM248="",CM248="-"), 0, CM248*$AT248), CL248*$AJ248)</f>
        <v>0</v>
      </c>
      <c r="CO248" s="587">
        <f>[1]COMMANDE!AS246</f>
        <v>0</v>
      </c>
      <c r="CP248" s="586" t="str">
        <f>_xlfn.IFS(AND($AI248=$AM248,$AI248&gt;0,$AM248&gt;0,CO248&gt;0), CO248,     AND(NOT($AI248=$AM248),$AI248&gt;0,$AM248&gt;0,CO248&gt;0), ($AM248*CO248)/$AI248,     AND($AI248=0,$AM248&gt;0,$AQ248&gt;0), IF(INDEX(CO$12:CO$263,MATCH($AQ248,$AP$12:$AP$263,0))&gt;0,($AM248*INDEX(CO$12:CO$263,MATCH($AQ248,$AP$12:$AP$263,0)))/INDEX($AI$12:$AI$263,MATCH($AQ248,$AP$12:$AP$263,0)), "-"),     TRUE, "0")</f>
        <v>0</v>
      </c>
      <c r="CQ248" s="607">
        <f>IF(CP$9&gt;0, IF(OR(CP248="",CP248="-"), 0, CP248*$AT248), CO248*$AJ248)</f>
        <v>0</v>
      </c>
      <c r="CR248" s="589">
        <f>[1]COMMANDE!AU246</f>
        <v>0</v>
      </c>
      <c r="CS248" s="586" t="str">
        <f>_xlfn.IFS(AND($AI248=$AM248,$AI248&gt;0,$AM248&gt;0,CR248&gt;0), CR248,     AND(NOT($AI248=$AM248),$AI248&gt;0,$AM248&gt;0,CR248&gt;0), ($AM248*CR248)/$AI248,     AND($AI248=0,$AM248&gt;0,$AQ248&gt;0), IF(INDEX(CR$12:CR$263,MATCH($AQ248,$AP$12:$AP$263,0))&gt;0,($AM248*INDEX(CR$12:CR$263,MATCH($AQ248,$AP$12:$AP$263,0)))/INDEX($AI$12:$AI$263,MATCH($AQ248,$AP$12:$AP$263,0)), "-"),     TRUE, "0")</f>
        <v>0</v>
      </c>
      <c r="CT248" s="588">
        <f>IF(CS$9&gt;0, IF(OR(CS248="",CS248="-"), 0, CS248*$AT248), CR248*$AJ248)</f>
        <v>0</v>
      </c>
      <c r="CU248" s="587">
        <f>[1]COMMANDE!AW246</f>
        <v>0</v>
      </c>
      <c r="CV248" s="586" t="str">
        <f>_xlfn.IFS(AND($AI248=$AM248,$AI248&gt;0,$AM248&gt;0,CU248&gt;0), CU248,     AND(NOT($AI248=$AM248),$AI248&gt;0,$AM248&gt;0,CU248&gt;0), ($AM248*CU248)/$AI248,     AND($AI248=0,$AM248&gt;0,$AQ248&gt;0), IF(INDEX(CU$12:CU$263,MATCH($AQ248,$AP$12:$AP$263,0))&gt;0,($AM248*INDEX(CU$12:CU$263,MATCH($AQ248,$AP$12:$AP$263,0)))/INDEX($AI$12:$AI$263,MATCH($AQ248,$AP$12:$AP$263,0)), "-"),     TRUE, "0")</f>
        <v>0</v>
      </c>
      <c r="CW248" s="607">
        <f>IF(CV$9&gt;0, IF(OR(CV248="",CV248="-"), 0, CV248*$AT248), CU248*$AJ248)</f>
        <v>0</v>
      </c>
      <c r="CX248" s="589">
        <f>[1]COMMANDE!AY246</f>
        <v>0</v>
      </c>
      <c r="CY248" s="586" t="str">
        <f>_xlfn.IFS(AND($AI248=$AM248,$AI248&gt;0,$AM248&gt;0,CX248&gt;0), CX248,     AND(NOT($AI248=$AM248),$AI248&gt;0,$AM248&gt;0,CX248&gt;0), ($AM248*CX248)/$AI248,     AND($AI248=0,$AM248&gt;0,$AQ248&gt;0), IF(INDEX(CX$12:CX$263,MATCH($AQ248,$AP$12:$AP$263,0))&gt;0,($AM248*INDEX(CX$12:CX$263,MATCH($AQ248,$AP$12:$AP$263,0)))/INDEX($AI$12:$AI$263,MATCH($AQ248,$AP$12:$AP$263,0)), "-"),     TRUE, "0")</f>
        <v>0</v>
      </c>
      <c r="CZ248" s="588">
        <f>IF(CY$9&gt;0, IF(OR(CY248="",CY248="-"), 0, CY248*$AT248), CX248*$AJ248)</f>
        <v>0</v>
      </c>
      <c r="DA248" s="587">
        <f>[1]COMMANDE!BA246</f>
        <v>0</v>
      </c>
      <c r="DB248" s="586" t="str">
        <f>_xlfn.IFS(AND($AI248=$AM248,$AI248&gt;0,$AM248&gt;0,DA248&gt;0), DA248,     AND(NOT($AI248=$AM248),$AI248&gt;0,$AM248&gt;0,DA248&gt;0), ($AM248*DA248)/$AI248,     AND($AI248=0,$AM248&gt;0,$AQ248&gt;0), IF(INDEX(DA$12:DA$263,MATCH($AQ248,$AP$12:$AP$263,0))&gt;0,($AM248*INDEX(DA$12:DA$263,MATCH($AQ248,$AP$12:$AP$263,0)))/INDEX($AI$12:$AI$263,MATCH($AQ248,$AP$12:$AP$263,0)), "-"),     TRUE, "0")</f>
        <v>0</v>
      </c>
      <c r="DC248" s="606">
        <f>IF(DB$9&gt;0, IF(OR(DB248="",DB248="-"), 0, DB248*$AT248), DA248*$AJ248)</f>
        <v>0</v>
      </c>
      <c r="DD248" s="584"/>
      <c r="DE248" s="583"/>
    </row>
    <row r="249" spans="1:109" ht="39.950000000000003" hidden="1" customHeight="1">
      <c r="A249" s="604">
        <f>IF(OR($AV249&gt;0, $AX249&gt;0), 1, 0)</f>
        <v>0</v>
      </c>
      <c r="B249" s="604">
        <f>IF(OR($AY249&gt;0, $BA249&gt;0), 1, 0)</f>
        <v>0</v>
      </c>
      <c r="C249" s="604">
        <f>IF(OR($BB249&gt;0, $BD249&gt;0), 1, 0)</f>
        <v>0</v>
      </c>
      <c r="D249" s="604">
        <f>IF(OR($BE249&gt;0, $BG249&gt;0), 1, 0)</f>
        <v>0</v>
      </c>
      <c r="E249" s="604">
        <f>IF(OR($BH249&gt;0, $BJ249&gt;0), 1, 0)</f>
        <v>0</v>
      </c>
      <c r="F249" s="604">
        <f>IF(OR($BK249&gt;0, $BM249&gt;0), 1, 0)</f>
        <v>0</v>
      </c>
      <c r="G249" s="604">
        <f>IF(OR($BN249&gt;0, $BP249&gt;0), 1, 0)</f>
        <v>0</v>
      </c>
      <c r="H249" s="604">
        <f>IF(OR($BQ249&gt;0, $BS249&gt;0), 1, 0)</f>
        <v>0</v>
      </c>
      <c r="I249" s="604">
        <f>IF(OR($BT249&gt;0, $BV249&gt;0), 1, 0)</f>
        <v>0</v>
      </c>
      <c r="J249" s="604">
        <f>IF(OR($BW249&gt;0, $BY249&gt;0), 1, 0)</f>
        <v>0</v>
      </c>
      <c r="K249" s="604">
        <f>IF(OR($BZ249&gt;0, $CB249&gt;0), 1, 0)</f>
        <v>0</v>
      </c>
      <c r="L249" s="604">
        <f>IF(OR($CC249&gt;0, $CE249&gt;0), 1, 0)</f>
        <v>0</v>
      </c>
      <c r="M249" s="604">
        <f>IF(OR($CF249&gt;0, $CH249&gt;0), 1, 0)</f>
        <v>0</v>
      </c>
      <c r="N249" s="604">
        <f>IF(OR($CI249&gt;0, $CK249&gt;0), 1, 0)</f>
        <v>0</v>
      </c>
      <c r="O249" s="604">
        <f>IF(OR($CL249&gt;0, $CN249&gt;0), 1, 0)</f>
        <v>0</v>
      </c>
      <c r="P249" s="604">
        <f>IF(OR($CO249&gt;0, $CQ249&gt;0), 1, 0)</f>
        <v>0</v>
      </c>
      <c r="Q249" s="604">
        <f>IF(OR($CR249&gt;0, $CT249&gt;0), 1, 0)</f>
        <v>0</v>
      </c>
      <c r="R249" s="604">
        <f>IF(OR($CU249&gt;0, $CW249&gt;0), 1, 0)</f>
        <v>0</v>
      </c>
      <c r="S249" s="604">
        <f>IF(OR($CX249&gt;0, $CZ249&gt;0), 1, 0)</f>
        <v>0</v>
      </c>
      <c r="T249" s="604">
        <f>IF(OR($DA249&gt;0, $DC249&gt;0), 1, 0)</f>
        <v>0</v>
      </c>
      <c r="U249" s="603">
        <f>IF(OR($AI249&gt;0,$AM249&gt;0,$AS249&gt;0), 1, 0)</f>
        <v>0</v>
      </c>
      <c r="V249" s="602">
        <f>[1]BDD!A239</f>
        <v>1575</v>
      </c>
      <c r="W249" s="601" t="str">
        <f>[1]BDD!B239</f>
        <v>Sucre de coco BIO (env. 1kg)</v>
      </c>
      <c r="X249" s="600" t="str">
        <f>IF([1]BDD!F239=0, "", [1]BDD!F239)</f>
        <v>❤️</v>
      </c>
      <c r="Y249" s="542">
        <f>ROUND([1]BDD!G239+FDP_CMD_KG, 2)</f>
        <v>12.78</v>
      </c>
      <c r="Z249" s="542">
        <f>ROUND([1]BDD!G239+FDP_FACT_KG, 2)</f>
        <v>12.78</v>
      </c>
      <c r="AA249" s="543" t="str">
        <f>[1]BDD!H239</f>
        <v>Pièce</v>
      </c>
      <c r="AB249" s="544">
        <f>IF(NOT(ISBLANK([1]BDD!I239)), ROUND(SUM(([1]BDD!G239*reduc1),FDP_CMD_KG), 2), "")</f>
        <v>11.59</v>
      </c>
      <c r="AC249" s="544" t="str">
        <f>IF(NOT(ISBLANK([1]BDD!J239)), ROUND(SUM(([1]BDD!G239*reduc2),FDP_CMD_KG), 2), "")</f>
        <v/>
      </c>
      <c r="AD249" s="544" t="str">
        <f>IF(NOT(ISBLANK([1]BDD!K239)), ROUND(SUM(([1]BDD!G239*reduc3),FDP_CMD_KG), 2), "")</f>
        <v/>
      </c>
      <c r="AE249" s="544">
        <f>IF(NOT(ISBLANK([1]BDD!I239)), ROUND(SUM(([1]BDD!G239*reduc1),FDP_FACT_KG), 2), "")</f>
        <v>11.59</v>
      </c>
      <c r="AF249" s="544" t="str">
        <f>IF(NOT(ISBLANK([1]BDD!J239)), ROUND(SUM(([1]BDD!G239*reduc2),FDP_FACT_KG), 2), "")</f>
        <v/>
      </c>
      <c r="AG249" s="544" t="str">
        <f>IF(NOT(ISBLANK([1]BDD!K239)), ROUND(SUM(([1]BDD!G239*reduc3),FDP_FACT_KG), 2), "")</f>
        <v/>
      </c>
      <c r="AH249" s="599" t="str">
        <f>[1]BDD!C239</f>
        <v>Indonésie</v>
      </c>
      <c r="AI249" s="598">
        <f>SUM(AV249,AY249,BB249,BE249,BH249,BK249,BN249,BQ249,BT249,BW249,BZ249,CC249,CF249,CI249,CL249,CO249,CR249,CU249,CX249,DA249)</f>
        <v>0</v>
      </c>
      <c r="AJ249" s="545">
        <f>_xlfn.IFS($AD249&lt;&gt;"", $AD249,    $AC249&lt;&gt;"", $AC249,    $AB249&lt;&gt;"", $AB249,    TRUE, $Y249)</f>
        <v>11.59</v>
      </c>
      <c r="AK249" s="592">
        <f>$AI249*$AJ249</f>
        <v>0</v>
      </c>
      <c r="AL249" s="594"/>
      <c r="AM249" s="597"/>
      <c r="AN249" s="545">
        <f>_xlfn.IFS(AND(AM249&gt;=60,$AG249&lt;&gt;""), $AG249,    AND(AM249&gt;=30,$AF249&lt;&gt;""), $AF249,    AND(AM249&gt;=10,$AE249&lt;&gt;""), $AE249,    TRUE, $Z249)</f>
        <v>12.78</v>
      </c>
      <c r="AO249" s="596">
        <f>AM249*AN249</f>
        <v>0</v>
      </c>
      <c r="AP249" s="595"/>
      <c r="AQ249" s="595"/>
      <c r="AR249" s="594"/>
      <c r="AS249" s="593">
        <f>SUM(AW249,AZ249,BC249,BF249,BI249,BL249,BO249,BR249,BU249,BX249,CA249,CD249,CG249,CJ249,CM249,CP249,CS249,CV249,CY249,DB249)</f>
        <v>0</v>
      </c>
      <c r="AT249" s="545">
        <f>_xlfn.IFS(AND(AS249&gt;=60,$AG249&lt;&gt;""), $AG249,    AND(AS249&gt;=30,$AF249&lt;&gt;""), $AF249,    AND(AS249&gt;=10,$AE249&lt;&gt;""), $AE249,    TRUE, $Z249)</f>
        <v>12.78</v>
      </c>
      <c r="AU249" s="592">
        <f>$AS249*$AT249</f>
        <v>0</v>
      </c>
      <c r="AV249" s="591">
        <f>[1]COMMANDE!O247</f>
        <v>0</v>
      </c>
      <c r="AW249" s="586" t="str">
        <f>_xlfn.IFS(AND($AI249=$AM249,$AI249&gt;0,$AM249&gt;0,AV249&gt;0), AV249,     AND(NOT($AI249=$AM249),$AI249&gt;0,$AM249&gt;0,AV249&gt;0), ($AM249*AV249)/$AI249,     AND($AI249=0,$AM249&gt;0,$AQ249&gt;0), IF(INDEX(AV$12:AV$263,MATCH($AQ249,$AP$12:$AP$263,0))&gt;0,($AM249*INDEX(AV$12:AV$263,MATCH($AQ249,$AP$12:$AP$263,0)))/INDEX($AI$12:$AI$263,MATCH($AQ249,$AP$12:$AP$263,0)), "-"),     TRUE, "0")</f>
        <v>0</v>
      </c>
      <c r="AX249" s="588">
        <f>IF(AW$9&gt;0, IF(OR(AW249="",AW249="-"), 0, AW249*$AT249), AV249*$AJ249)</f>
        <v>0</v>
      </c>
      <c r="AY249" s="587">
        <f>[1]COMMANDE!Q247</f>
        <v>0</v>
      </c>
      <c r="AZ249" s="586" t="str">
        <f>_xlfn.IFS(AND($AI249=$AM249,$AI249&gt;0,$AM249&gt;0,AY249&gt;0), AY249,     AND(NOT($AI249=$AM249),$AI249&gt;0,$AM249&gt;0,AY249&gt;0), ($AM249*AY249)/$AI249,     AND($AI249=0,$AM249&gt;0,$AQ249&gt;0), IF(INDEX(AY$12:AY$263,MATCH($AQ249,$AP$12:$AP$263,0))&gt;0,($AM249*INDEX(AY$12:AY$263,MATCH($AQ249,$AP$12:$AP$263,0)))/INDEX($AI$12:$AI$263,MATCH($AQ249,$AP$12:$AP$263,0)), "-"),     TRUE, "0")</f>
        <v>0</v>
      </c>
      <c r="BA249" s="607">
        <f>IF(AZ$9&gt;0, IF(OR(AZ249="",AZ249="-"), 0, AZ249*$AT249), AY249*$AJ249)</f>
        <v>0</v>
      </c>
      <c r="BB249" s="589">
        <f>[1]COMMANDE!S247</f>
        <v>0</v>
      </c>
      <c r="BC249" s="586" t="str">
        <f>_xlfn.IFS(AND($AI249=$AM249,$AI249&gt;0,$AM249&gt;0,BB249&gt;0), BB249,     AND(NOT($AI249=$AM249),$AI249&gt;0,$AM249&gt;0,BB249&gt;0), ($AM249*BB249)/$AI249,     AND($AI249=0,$AM249&gt;0,$AQ249&gt;0), IF(INDEX(BB$12:BB$263,MATCH($AQ249,$AP$12:$AP$263,0))&gt;0,($AM249*INDEX(BB$12:BB$263,MATCH($AQ249,$AP$12:$AP$263,0)))/INDEX($AI$12:$AI$263,MATCH($AQ249,$AP$12:$AP$263,0)), "-"),     TRUE, "0")</f>
        <v>0</v>
      </c>
      <c r="BD249" s="588">
        <f>IF(BC$9&gt;0, IF(OR(BC249="",BC249="-"), 0, BC249*$AT249), BB249*$AJ249)</f>
        <v>0</v>
      </c>
      <c r="BE249" s="587">
        <f>[1]COMMANDE!U247</f>
        <v>0</v>
      </c>
      <c r="BF249" s="586" t="str">
        <f>_xlfn.IFS(AND($AI249=$AM249,$AI249&gt;0,$AM249&gt;0,BE249&gt;0), BE249,     AND(NOT($AI249=$AM249),$AI249&gt;0,$AM249&gt;0,BE249&gt;0), ($AM249*BE249)/$AI249,     AND($AI249=0,$AM249&gt;0,$AQ249&gt;0), IF(INDEX(BE$12:BE$263,MATCH($AQ249,$AP$12:$AP$263,0))&gt;0,($AM249*INDEX(BE$12:BE$263,MATCH($AQ249,$AP$12:$AP$263,0)))/INDEX($AI$12:$AI$263,MATCH($AQ249,$AP$12:$AP$263,0)), "-"),     TRUE, "0")</f>
        <v>0</v>
      </c>
      <c r="BG249" s="607">
        <f>IF(BF$9&gt;0, IF(OR(BF249="",BF249="-"), 0, BF249*$AT249), BE249*$AJ249)</f>
        <v>0</v>
      </c>
      <c r="BH249" s="589">
        <f>[1]COMMANDE!W247</f>
        <v>0</v>
      </c>
      <c r="BI249" s="586" t="str">
        <f>_xlfn.IFS(AND($AI249=$AM249,$AI249&gt;0,$AM249&gt;0,BH249&gt;0), BH249,     AND(NOT($AI249=$AM249),$AI249&gt;0,$AM249&gt;0,BH249&gt;0), ($AM249*BH249)/$AI249,     AND($AI249=0,$AM249&gt;0,$AQ249&gt;0), IF(INDEX(BH$12:BH$263,MATCH($AQ249,$AP$12:$AP$263,0))&gt;0,($AM249*INDEX(BH$12:BH$263,MATCH($AQ249,$AP$12:$AP$263,0)))/INDEX($AI$12:$AI$263,MATCH($AQ249,$AP$12:$AP$263,0)), "-"),     TRUE, "0")</f>
        <v>0</v>
      </c>
      <c r="BJ249" s="588">
        <f>IF(BI$9&gt;0, IF(OR(BI249="",BI249="-"), 0, BI249*$AT249), BH249*$AJ249)</f>
        <v>0</v>
      </c>
      <c r="BK249" s="587">
        <f>[1]COMMANDE!Y247</f>
        <v>0</v>
      </c>
      <c r="BL249" s="586" t="str">
        <f>_xlfn.IFS(AND($AI249=$AM249,$AI249&gt;0,$AM249&gt;0,BK249&gt;0), BK249,     AND(NOT($AI249=$AM249),$AI249&gt;0,$AM249&gt;0,BK249&gt;0), ($AM249*BK249)/$AI249,     AND($AI249=0,$AM249&gt;0,$AQ249&gt;0), IF(INDEX(BK$12:BK$263,MATCH($AQ249,$AP$12:$AP$263,0))&gt;0,($AM249*INDEX(BK$12:BK$263,MATCH($AQ249,$AP$12:$AP$263,0)))/INDEX($AI$12:$AI$263,MATCH($AQ249,$AP$12:$AP$263,0)), "-"),     TRUE, "0")</f>
        <v>0</v>
      </c>
      <c r="BM249" s="607">
        <f>IF(BL$9&gt;0, IF(OR(BL249="",BL249="-"), 0, BL249*$AT249), BK249*$AJ249)</f>
        <v>0</v>
      </c>
      <c r="BN249" s="589">
        <f>[1]COMMANDE!AA247</f>
        <v>0</v>
      </c>
      <c r="BO249" s="586" t="str">
        <f>_xlfn.IFS(AND($AI249=$AM249,$AI249&gt;0,$AM249&gt;0,BN249&gt;0), BN249,     AND(NOT($AI249=$AM249),$AI249&gt;0,$AM249&gt;0,BN249&gt;0), ($AM249*BN249)/$AI249,     AND($AI249=0,$AM249&gt;0,$AQ249&gt;0), IF(INDEX(BN$12:BN$263,MATCH($AQ249,$AP$12:$AP$263,0))&gt;0,($AM249*INDEX(BN$12:BN$263,MATCH($AQ249,$AP$12:$AP$263,0)))/INDEX($AI$12:$AI$263,MATCH($AQ249,$AP$12:$AP$263,0)), "-"),     TRUE, "0")</f>
        <v>0</v>
      </c>
      <c r="BP249" s="588">
        <f>IF(BO$9&gt;0, IF(OR(BO249="",BO249="-"), 0, BO249*$AT249), BN249*$AJ249)</f>
        <v>0</v>
      </c>
      <c r="BQ249" s="587">
        <f>[1]COMMANDE!AC247</f>
        <v>0</v>
      </c>
      <c r="BR249" s="586" t="str">
        <f>_xlfn.IFS(AND($AI249=$AM249,$AI249&gt;0,$AM249&gt;0,BQ249&gt;0), BQ249,     AND(NOT($AI249=$AM249),$AI249&gt;0,$AM249&gt;0,BQ249&gt;0), ($AM249*BQ249)/$AI249,     AND($AI249=0,$AM249&gt;0,$AQ249&gt;0), IF(INDEX(BQ$12:BQ$263,MATCH($AQ249,$AP$12:$AP$263,0))&gt;0,($AM249*INDEX(BQ$12:BQ$263,MATCH($AQ249,$AP$12:$AP$263,0)))/INDEX($AI$12:$AI$263,MATCH($AQ249,$AP$12:$AP$263,0)), "-"),     TRUE, "0")</f>
        <v>0</v>
      </c>
      <c r="BS249" s="607">
        <f>IF(BR$9&gt;0, IF(OR(BR249="",BR249="-"), 0, BR249*$AT249), BQ249*$AJ249)</f>
        <v>0</v>
      </c>
      <c r="BT249" s="589">
        <f>[1]COMMANDE!AE247</f>
        <v>0</v>
      </c>
      <c r="BU249" s="586" t="str">
        <f>_xlfn.IFS(AND($AI249=$AM249,$AI249&gt;0,$AM249&gt;0,BT249&gt;0), BT249,     AND(NOT($AI249=$AM249),$AI249&gt;0,$AM249&gt;0,BT249&gt;0), ($AM249*BT249)/$AI249,     AND($AI249=0,$AM249&gt;0,$AQ249&gt;0), IF(INDEX(BT$12:BT$263,MATCH($AQ249,$AP$12:$AP$263,0))&gt;0,($AM249*INDEX(BT$12:BT$263,MATCH($AQ249,$AP$12:$AP$263,0)))/INDEX($AI$12:$AI$263,MATCH($AQ249,$AP$12:$AP$263,0)), "-"),     TRUE, "0")</f>
        <v>0</v>
      </c>
      <c r="BV249" s="588">
        <f>IF(BU$9&gt;0, IF(OR(BU249="",BU249="-"), 0, BU249*$AT249), BT249*$AJ249)</f>
        <v>0</v>
      </c>
      <c r="BW249" s="587">
        <f>[1]COMMANDE!AG247</f>
        <v>0</v>
      </c>
      <c r="BX249" s="586" t="str">
        <f>_xlfn.IFS(AND($AI249=$AM249,$AI249&gt;0,$AM249&gt;0,BW249&gt;0), BW249,     AND(NOT($AI249=$AM249),$AI249&gt;0,$AM249&gt;0,BW249&gt;0), ($AM249*BW249)/$AI249,     AND($AI249=0,$AM249&gt;0,$AQ249&gt;0), IF(INDEX(BW$12:BW$263,MATCH($AQ249,$AP$12:$AP$263,0))&gt;0,($AM249*INDEX(BW$12:BW$263,MATCH($AQ249,$AP$12:$AP$263,0)))/INDEX($AI$12:$AI$263,MATCH($AQ249,$AP$12:$AP$263,0)), "-"),     TRUE, "0")</f>
        <v>0</v>
      </c>
      <c r="BY249" s="607">
        <f>IF(BX$9&gt;0, IF(OR(BX249="",BX249="-"), 0, BX249*$AT249), BW249*$AJ249)</f>
        <v>0</v>
      </c>
      <c r="BZ249" s="589">
        <f>[1]COMMANDE!AI247</f>
        <v>0</v>
      </c>
      <c r="CA249" s="586" t="str">
        <f>_xlfn.IFS(AND($AI249=$AM249,$AI249&gt;0,$AM249&gt;0,BZ249&gt;0), BZ249,     AND(NOT($AI249=$AM249),$AI249&gt;0,$AM249&gt;0,BZ249&gt;0), ($AM249*BZ249)/$AI249,     AND($AI249=0,$AM249&gt;0,$AQ249&gt;0), IF(INDEX(BZ$12:BZ$263,MATCH($AQ249,$AP$12:$AP$263,0))&gt;0,($AM249*INDEX(BZ$12:BZ$263,MATCH($AQ249,$AP$12:$AP$263,0)))/INDEX($AI$12:$AI$263,MATCH($AQ249,$AP$12:$AP$263,0)), "-"),     TRUE, "0")</f>
        <v>0</v>
      </c>
      <c r="CB249" s="588">
        <f>IF(CA$9&gt;0, IF(OR(CA249="",CA249="-"), 0, CA249*$AT249), BZ249*$AJ249)</f>
        <v>0</v>
      </c>
      <c r="CC249" s="587">
        <f>[1]COMMANDE!AK247</f>
        <v>0</v>
      </c>
      <c r="CD249" s="586" t="str">
        <f>_xlfn.IFS(AND($AI249=$AM249,$AI249&gt;0,$AM249&gt;0,CC249&gt;0), CC249,     AND(NOT($AI249=$AM249),$AI249&gt;0,$AM249&gt;0,CC249&gt;0), ($AM249*CC249)/$AI249,     AND($AI249=0,$AM249&gt;0,$AQ249&gt;0), IF(INDEX(CC$12:CC$263,MATCH($AQ249,$AP$12:$AP$263,0))&gt;0,($AM249*INDEX(CC$12:CC$263,MATCH($AQ249,$AP$12:$AP$263,0)))/INDEX($AI$12:$AI$263,MATCH($AQ249,$AP$12:$AP$263,0)), "-"),     TRUE, "0")</f>
        <v>0</v>
      </c>
      <c r="CE249" s="607">
        <f>IF(CD$9&gt;0, IF(OR(CD249="",CD249="-"), 0, CD249*$AT249), CC249*$AJ249)</f>
        <v>0</v>
      </c>
      <c r="CF249" s="589">
        <f>[1]COMMANDE!AM247</f>
        <v>0</v>
      </c>
      <c r="CG249" s="586" t="str">
        <f>_xlfn.IFS(AND($AI249=$AM249,$AI249&gt;0,$AM249&gt;0,CF249&gt;0), CF249,     AND(NOT($AI249=$AM249),$AI249&gt;0,$AM249&gt;0,CF249&gt;0), ($AM249*CF249)/$AI249,     AND($AI249=0,$AM249&gt;0,$AQ249&gt;0), IF(INDEX(CF$12:CF$263,MATCH($AQ249,$AP$12:$AP$263,0))&gt;0,($AM249*INDEX(CF$12:CF$263,MATCH($AQ249,$AP$12:$AP$263,0)))/INDEX($AI$12:$AI$263,MATCH($AQ249,$AP$12:$AP$263,0)), "-"),     TRUE, "0")</f>
        <v>0</v>
      </c>
      <c r="CH249" s="588">
        <f>IF(CG$9&gt;0, IF(OR(CG249="",CG249="-"), 0, CG249*$AT249), CF249*$AJ249)</f>
        <v>0</v>
      </c>
      <c r="CI249" s="587">
        <f>[1]COMMANDE!AO247</f>
        <v>0</v>
      </c>
      <c r="CJ249" s="586" t="str">
        <f>_xlfn.IFS(AND($AI249=$AM249,$AI249&gt;0,$AM249&gt;0,CI249&gt;0), CI249,     AND(NOT($AI249=$AM249),$AI249&gt;0,$AM249&gt;0,CI249&gt;0), ($AM249*CI249)/$AI249,     AND($AI249=0,$AM249&gt;0,$AQ249&gt;0), IF(INDEX(CI$12:CI$263,MATCH($AQ249,$AP$12:$AP$263,0))&gt;0,($AM249*INDEX(CI$12:CI$263,MATCH($AQ249,$AP$12:$AP$263,0)))/INDEX($AI$12:$AI$263,MATCH($AQ249,$AP$12:$AP$263,0)), "-"),     TRUE, "0")</f>
        <v>0</v>
      </c>
      <c r="CK249" s="607">
        <f>IF(CJ$9&gt;0, IF(OR(CJ249="",CJ249="-"), 0, CJ249*$AT249), CI249*$AJ249)</f>
        <v>0</v>
      </c>
      <c r="CL249" s="589">
        <f>[1]COMMANDE!AQ247</f>
        <v>0</v>
      </c>
      <c r="CM249" s="586" t="str">
        <f>_xlfn.IFS(AND($AI249=$AM249,$AI249&gt;0,$AM249&gt;0,CL249&gt;0), CL249,     AND(NOT($AI249=$AM249),$AI249&gt;0,$AM249&gt;0,CL249&gt;0), ($AM249*CL249)/$AI249,     AND($AI249=0,$AM249&gt;0,$AQ249&gt;0), IF(INDEX(CL$12:CL$263,MATCH($AQ249,$AP$12:$AP$263,0))&gt;0,($AM249*INDEX(CL$12:CL$263,MATCH($AQ249,$AP$12:$AP$263,0)))/INDEX($AI$12:$AI$263,MATCH($AQ249,$AP$12:$AP$263,0)), "-"),     TRUE, "0")</f>
        <v>0</v>
      </c>
      <c r="CN249" s="588">
        <f>IF(CM$9&gt;0, IF(OR(CM249="",CM249="-"), 0, CM249*$AT249), CL249*$AJ249)</f>
        <v>0</v>
      </c>
      <c r="CO249" s="587">
        <f>[1]COMMANDE!AS247</f>
        <v>0</v>
      </c>
      <c r="CP249" s="586" t="str">
        <f>_xlfn.IFS(AND($AI249=$AM249,$AI249&gt;0,$AM249&gt;0,CO249&gt;0), CO249,     AND(NOT($AI249=$AM249),$AI249&gt;0,$AM249&gt;0,CO249&gt;0), ($AM249*CO249)/$AI249,     AND($AI249=0,$AM249&gt;0,$AQ249&gt;0), IF(INDEX(CO$12:CO$263,MATCH($AQ249,$AP$12:$AP$263,0))&gt;0,($AM249*INDEX(CO$12:CO$263,MATCH($AQ249,$AP$12:$AP$263,0)))/INDEX($AI$12:$AI$263,MATCH($AQ249,$AP$12:$AP$263,0)), "-"),     TRUE, "0")</f>
        <v>0</v>
      </c>
      <c r="CQ249" s="607">
        <f>IF(CP$9&gt;0, IF(OR(CP249="",CP249="-"), 0, CP249*$AT249), CO249*$AJ249)</f>
        <v>0</v>
      </c>
      <c r="CR249" s="589">
        <f>[1]COMMANDE!AU247</f>
        <v>0</v>
      </c>
      <c r="CS249" s="586" t="str">
        <f>_xlfn.IFS(AND($AI249=$AM249,$AI249&gt;0,$AM249&gt;0,CR249&gt;0), CR249,     AND(NOT($AI249=$AM249),$AI249&gt;0,$AM249&gt;0,CR249&gt;0), ($AM249*CR249)/$AI249,     AND($AI249=0,$AM249&gt;0,$AQ249&gt;0), IF(INDEX(CR$12:CR$263,MATCH($AQ249,$AP$12:$AP$263,0))&gt;0,($AM249*INDEX(CR$12:CR$263,MATCH($AQ249,$AP$12:$AP$263,0)))/INDEX($AI$12:$AI$263,MATCH($AQ249,$AP$12:$AP$263,0)), "-"),     TRUE, "0")</f>
        <v>0</v>
      </c>
      <c r="CT249" s="588">
        <f>IF(CS$9&gt;0, IF(OR(CS249="",CS249="-"), 0, CS249*$AT249), CR249*$AJ249)</f>
        <v>0</v>
      </c>
      <c r="CU249" s="587">
        <f>[1]COMMANDE!AW247</f>
        <v>0</v>
      </c>
      <c r="CV249" s="586" t="str">
        <f>_xlfn.IFS(AND($AI249=$AM249,$AI249&gt;0,$AM249&gt;0,CU249&gt;0), CU249,     AND(NOT($AI249=$AM249),$AI249&gt;0,$AM249&gt;0,CU249&gt;0), ($AM249*CU249)/$AI249,     AND($AI249=0,$AM249&gt;0,$AQ249&gt;0), IF(INDEX(CU$12:CU$263,MATCH($AQ249,$AP$12:$AP$263,0))&gt;0,($AM249*INDEX(CU$12:CU$263,MATCH($AQ249,$AP$12:$AP$263,0)))/INDEX($AI$12:$AI$263,MATCH($AQ249,$AP$12:$AP$263,0)), "-"),     TRUE, "0")</f>
        <v>0</v>
      </c>
      <c r="CW249" s="607">
        <f>IF(CV$9&gt;0, IF(OR(CV249="",CV249="-"), 0, CV249*$AT249), CU249*$AJ249)</f>
        <v>0</v>
      </c>
      <c r="CX249" s="589">
        <f>[1]COMMANDE!AY247</f>
        <v>0</v>
      </c>
      <c r="CY249" s="586" t="str">
        <f>_xlfn.IFS(AND($AI249=$AM249,$AI249&gt;0,$AM249&gt;0,CX249&gt;0), CX249,     AND(NOT($AI249=$AM249),$AI249&gt;0,$AM249&gt;0,CX249&gt;0), ($AM249*CX249)/$AI249,     AND($AI249=0,$AM249&gt;0,$AQ249&gt;0), IF(INDEX(CX$12:CX$263,MATCH($AQ249,$AP$12:$AP$263,0))&gt;0,($AM249*INDEX(CX$12:CX$263,MATCH($AQ249,$AP$12:$AP$263,0)))/INDEX($AI$12:$AI$263,MATCH($AQ249,$AP$12:$AP$263,0)), "-"),     TRUE, "0")</f>
        <v>0</v>
      </c>
      <c r="CZ249" s="588">
        <f>IF(CY$9&gt;0, IF(OR(CY249="",CY249="-"), 0, CY249*$AT249), CX249*$AJ249)</f>
        <v>0</v>
      </c>
      <c r="DA249" s="587">
        <f>[1]COMMANDE!BA247</f>
        <v>0</v>
      </c>
      <c r="DB249" s="586" t="str">
        <f>_xlfn.IFS(AND($AI249=$AM249,$AI249&gt;0,$AM249&gt;0,DA249&gt;0), DA249,     AND(NOT($AI249=$AM249),$AI249&gt;0,$AM249&gt;0,DA249&gt;0), ($AM249*DA249)/$AI249,     AND($AI249=0,$AM249&gt;0,$AQ249&gt;0), IF(INDEX(DA$12:DA$263,MATCH($AQ249,$AP$12:$AP$263,0))&gt;0,($AM249*INDEX(DA$12:DA$263,MATCH($AQ249,$AP$12:$AP$263,0)))/INDEX($AI$12:$AI$263,MATCH($AQ249,$AP$12:$AP$263,0)), "-"),     TRUE, "0")</f>
        <v>0</v>
      </c>
      <c r="DC249" s="606">
        <f>IF(DB$9&gt;0, IF(OR(DB249="",DB249="-"), 0, DB249*$AT249), DA249*$AJ249)</f>
        <v>0</v>
      </c>
      <c r="DD249" s="584"/>
      <c r="DE249" s="583"/>
    </row>
    <row r="250" spans="1:109" ht="39.950000000000003" hidden="1" customHeight="1">
      <c r="A250" s="604">
        <f>IF(OR($AV250&gt;0, $AX250&gt;0), 1, 0)</f>
        <v>0</v>
      </c>
      <c r="B250" s="604">
        <f>IF(OR($AY250&gt;0, $BA250&gt;0), 1, 0)</f>
        <v>0</v>
      </c>
      <c r="C250" s="604">
        <f>IF(OR($BB250&gt;0, $BD250&gt;0), 1, 0)</f>
        <v>0</v>
      </c>
      <c r="D250" s="604">
        <f>IF(OR($BE250&gt;0, $BG250&gt;0), 1, 0)</f>
        <v>0</v>
      </c>
      <c r="E250" s="604">
        <f>IF(OR($BH250&gt;0, $BJ250&gt;0), 1, 0)</f>
        <v>0</v>
      </c>
      <c r="F250" s="604">
        <f>IF(OR($BK250&gt;0, $BM250&gt;0), 1, 0)</f>
        <v>0</v>
      </c>
      <c r="G250" s="604">
        <f>IF(OR($BN250&gt;0, $BP250&gt;0), 1, 0)</f>
        <v>0</v>
      </c>
      <c r="H250" s="604">
        <f>IF(OR($BQ250&gt;0, $BS250&gt;0), 1, 0)</f>
        <v>0</v>
      </c>
      <c r="I250" s="604">
        <f>IF(OR($BT250&gt;0, $BV250&gt;0), 1, 0)</f>
        <v>0</v>
      </c>
      <c r="J250" s="604">
        <f>IF(OR($BW250&gt;0, $BY250&gt;0), 1, 0)</f>
        <v>0</v>
      </c>
      <c r="K250" s="604">
        <f>IF(OR($BZ250&gt;0, $CB250&gt;0), 1, 0)</f>
        <v>0</v>
      </c>
      <c r="L250" s="604">
        <f>IF(OR($CC250&gt;0, $CE250&gt;0), 1, 0)</f>
        <v>0</v>
      </c>
      <c r="M250" s="604">
        <f>IF(OR($CF250&gt;0, $CH250&gt;0), 1, 0)</f>
        <v>0</v>
      </c>
      <c r="N250" s="604">
        <f>IF(OR($CI250&gt;0, $CK250&gt;0), 1, 0)</f>
        <v>0</v>
      </c>
      <c r="O250" s="604">
        <f>IF(OR($CL250&gt;0, $CN250&gt;0), 1, 0)</f>
        <v>0</v>
      </c>
      <c r="P250" s="604">
        <f>IF(OR($CO250&gt;0, $CQ250&gt;0), 1, 0)</f>
        <v>0</v>
      </c>
      <c r="Q250" s="604">
        <f>IF(OR($CR250&gt;0, $CT250&gt;0), 1, 0)</f>
        <v>0</v>
      </c>
      <c r="R250" s="604">
        <f>IF(OR($CU250&gt;0, $CW250&gt;0), 1, 0)</f>
        <v>0</v>
      </c>
      <c r="S250" s="604">
        <f>IF(OR($CX250&gt;0, $CZ250&gt;0), 1, 0)</f>
        <v>0</v>
      </c>
      <c r="T250" s="604">
        <f>IF(OR($DA250&gt;0, $DC250&gt;0), 1, 0)</f>
        <v>0</v>
      </c>
      <c r="U250" s="603">
        <f>IF(OR($AI250&gt;0,$AM250&gt;0,$AS250&gt;0), 1, 0)</f>
        <v>0</v>
      </c>
      <c r="V250" s="602">
        <f>[1]BDD!A240</f>
        <v>6110</v>
      </c>
      <c r="W250" s="601" t="str">
        <f>[1]BDD!B240</f>
        <v>Tomate déshydratée en lamelle fine CRU BIO (env. 1kg, 35ºC, qualité supérieure)</v>
      </c>
      <c r="X250" s="600" t="str">
        <f>IF([1]BDD!F240=0, "", [1]BDD!F240)</f>
        <v>❤️</v>
      </c>
      <c r="Y250" s="542">
        <f>ROUND([1]BDD!G240+FDP_CMD_KG, 2)</f>
        <v>33.72</v>
      </c>
      <c r="Z250" s="542">
        <f>ROUND([1]BDD!G240+FDP_FACT_KG, 2)</f>
        <v>33.72</v>
      </c>
      <c r="AA250" s="543" t="str">
        <f>[1]BDD!H240</f>
        <v>Pièce</v>
      </c>
      <c r="AB250" s="544" t="str">
        <f>IF(NOT(ISBLANK([1]BDD!I240)), ROUND(SUM(([1]BDD!G240*reduc1),FDP_CMD_KG), 2), "")</f>
        <v/>
      </c>
      <c r="AC250" s="544" t="str">
        <f>IF(NOT(ISBLANK([1]BDD!J240)), ROUND(SUM(([1]BDD!G240*reduc2),FDP_CMD_KG), 2), "")</f>
        <v/>
      </c>
      <c r="AD250" s="544" t="str">
        <f>IF(NOT(ISBLANK([1]BDD!K240)), ROUND(SUM(([1]BDD!G240*reduc3),FDP_CMD_KG), 2), "")</f>
        <v/>
      </c>
      <c r="AE250" s="544" t="str">
        <f>IF(NOT(ISBLANK([1]BDD!I240)), ROUND(SUM(([1]BDD!G240*reduc1),FDP_FACT_KG), 2), "")</f>
        <v/>
      </c>
      <c r="AF250" s="544" t="str">
        <f>IF(NOT(ISBLANK([1]BDD!J240)), ROUND(SUM(([1]BDD!G240*reduc2),FDP_FACT_KG), 2), "")</f>
        <v/>
      </c>
      <c r="AG250" s="544" t="str">
        <f>IF(NOT(ISBLANK([1]BDD!K240)), ROUND(SUM(([1]BDD!G240*reduc3),FDP_FACT_KG), 2), "")</f>
        <v/>
      </c>
      <c r="AH250" s="599" t="str">
        <f>[1]BDD!C240</f>
        <v>Espagne</v>
      </c>
      <c r="AI250" s="598">
        <f>SUM(AV250,AY250,BB250,BE250,BH250,BK250,BN250,BQ250,BT250,BW250,BZ250,CC250,CF250,CI250,CL250,CO250,CR250,CU250,CX250,DA250)</f>
        <v>0</v>
      </c>
      <c r="AJ250" s="545">
        <f>_xlfn.IFS($AD250&lt;&gt;"", $AD250,    $AC250&lt;&gt;"", $AC250,    $AB250&lt;&gt;"", $AB250,    TRUE, $Y250)</f>
        <v>33.72</v>
      </c>
      <c r="AK250" s="592">
        <f>$AI250*$AJ250</f>
        <v>0</v>
      </c>
      <c r="AL250" s="594"/>
      <c r="AM250" s="597"/>
      <c r="AN250" s="545">
        <f>_xlfn.IFS(AND(AM250&gt;=60,$AG250&lt;&gt;""), $AG250,    AND(AM250&gt;=30,$AF250&lt;&gt;""), $AF250,    AND(AM250&gt;=10,$AE250&lt;&gt;""), $AE250,    TRUE, $Z250)</f>
        <v>33.72</v>
      </c>
      <c r="AO250" s="596">
        <f>AM250*AN250</f>
        <v>0</v>
      </c>
      <c r="AP250" s="595"/>
      <c r="AQ250" s="595"/>
      <c r="AR250" s="594"/>
      <c r="AS250" s="593">
        <f>SUM(AW250,AZ250,BC250,BF250,BI250,BL250,BO250,BR250,BU250,BX250,CA250,CD250,CG250,CJ250,CM250,CP250,CS250,CV250,CY250,DB250)</f>
        <v>0</v>
      </c>
      <c r="AT250" s="545">
        <f>_xlfn.IFS(AND(AS250&gt;=60,$AG250&lt;&gt;""), $AG250,    AND(AS250&gt;=30,$AF250&lt;&gt;""), $AF250,    AND(AS250&gt;=10,$AE250&lt;&gt;""), $AE250,    TRUE, $Z250)</f>
        <v>33.72</v>
      </c>
      <c r="AU250" s="592">
        <f>$AS250*$AT250</f>
        <v>0</v>
      </c>
      <c r="AV250" s="591">
        <f>[1]COMMANDE!O248</f>
        <v>0</v>
      </c>
      <c r="AW250" s="586" t="str">
        <f>_xlfn.IFS(AND($AI250=$AM250,$AI250&gt;0,$AM250&gt;0,AV250&gt;0), AV250,     AND(NOT($AI250=$AM250),$AI250&gt;0,$AM250&gt;0,AV250&gt;0), ($AM250*AV250)/$AI250,     AND($AI250=0,$AM250&gt;0,$AQ250&gt;0), IF(INDEX(AV$12:AV$263,MATCH($AQ250,$AP$12:$AP$263,0))&gt;0,($AM250*INDEX(AV$12:AV$263,MATCH($AQ250,$AP$12:$AP$263,0)))/INDEX($AI$12:$AI$263,MATCH($AQ250,$AP$12:$AP$263,0)), "-"),     TRUE, "0")</f>
        <v>0</v>
      </c>
      <c r="AX250" s="588">
        <f>IF(AW$9&gt;0, IF(OR(AW250="",AW250="-"), 0, AW250*$AT250), AV250*$AJ250)</f>
        <v>0</v>
      </c>
      <c r="AY250" s="587">
        <f>[1]COMMANDE!Q248</f>
        <v>0</v>
      </c>
      <c r="AZ250" s="586" t="str">
        <f>_xlfn.IFS(AND($AI250=$AM250,$AI250&gt;0,$AM250&gt;0,AY250&gt;0), AY250,     AND(NOT($AI250=$AM250),$AI250&gt;0,$AM250&gt;0,AY250&gt;0), ($AM250*AY250)/$AI250,     AND($AI250=0,$AM250&gt;0,$AQ250&gt;0), IF(INDEX(AY$12:AY$263,MATCH($AQ250,$AP$12:$AP$263,0))&gt;0,($AM250*INDEX(AY$12:AY$263,MATCH($AQ250,$AP$12:$AP$263,0)))/INDEX($AI$12:$AI$263,MATCH($AQ250,$AP$12:$AP$263,0)), "-"),     TRUE, "0")</f>
        <v>0</v>
      </c>
      <c r="BA250" s="607">
        <f>IF(AZ$9&gt;0, IF(OR(AZ250="",AZ250="-"), 0, AZ250*$AT250), AY250*$AJ250)</f>
        <v>0</v>
      </c>
      <c r="BB250" s="589">
        <f>[1]COMMANDE!S248</f>
        <v>0</v>
      </c>
      <c r="BC250" s="586" t="str">
        <f>_xlfn.IFS(AND($AI250=$AM250,$AI250&gt;0,$AM250&gt;0,BB250&gt;0), BB250,     AND(NOT($AI250=$AM250),$AI250&gt;0,$AM250&gt;0,BB250&gt;0), ($AM250*BB250)/$AI250,     AND($AI250=0,$AM250&gt;0,$AQ250&gt;0), IF(INDEX(BB$12:BB$263,MATCH($AQ250,$AP$12:$AP$263,0))&gt;0,($AM250*INDEX(BB$12:BB$263,MATCH($AQ250,$AP$12:$AP$263,0)))/INDEX($AI$12:$AI$263,MATCH($AQ250,$AP$12:$AP$263,0)), "-"),     TRUE, "0")</f>
        <v>0</v>
      </c>
      <c r="BD250" s="588">
        <f>IF(BC$9&gt;0, IF(OR(BC250="",BC250="-"), 0, BC250*$AT250), BB250*$AJ250)</f>
        <v>0</v>
      </c>
      <c r="BE250" s="587">
        <f>[1]COMMANDE!U248</f>
        <v>0</v>
      </c>
      <c r="BF250" s="586" t="str">
        <f>_xlfn.IFS(AND($AI250=$AM250,$AI250&gt;0,$AM250&gt;0,BE250&gt;0), BE250,     AND(NOT($AI250=$AM250),$AI250&gt;0,$AM250&gt;0,BE250&gt;0), ($AM250*BE250)/$AI250,     AND($AI250=0,$AM250&gt;0,$AQ250&gt;0), IF(INDEX(BE$12:BE$263,MATCH($AQ250,$AP$12:$AP$263,0))&gt;0,($AM250*INDEX(BE$12:BE$263,MATCH($AQ250,$AP$12:$AP$263,0)))/INDEX($AI$12:$AI$263,MATCH($AQ250,$AP$12:$AP$263,0)), "-"),     TRUE, "0")</f>
        <v>0</v>
      </c>
      <c r="BG250" s="607">
        <f>IF(BF$9&gt;0, IF(OR(BF250="",BF250="-"), 0, BF250*$AT250), BE250*$AJ250)</f>
        <v>0</v>
      </c>
      <c r="BH250" s="589">
        <f>[1]COMMANDE!W248</f>
        <v>0</v>
      </c>
      <c r="BI250" s="586" t="str">
        <f>_xlfn.IFS(AND($AI250=$AM250,$AI250&gt;0,$AM250&gt;0,BH250&gt;0), BH250,     AND(NOT($AI250=$AM250),$AI250&gt;0,$AM250&gt;0,BH250&gt;0), ($AM250*BH250)/$AI250,     AND($AI250=0,$AM250&gt;0,$AQ250&gt;0), IF(INDEX(BH$12:BH$263,MATCH($AQ250,$AP$12:$AP$263,0))&gt;0,($AM250*INDEX(BH$12:BH$263,MATCH($AQ250,$AP$12:$AP$263,0)))/INDEX($AI$12:$AI$263,MATCH($AQ250,$AP$12:$AP$263,0)), "-"),     TRUE, "0")</f>
        <v>0</v>
      </c>
      <c r="BJ250" s="588">
        <f>IF(BI$9&gt;0, IF(OR(BI250="",BI250="-"), 0, BI250*$AT250), BH250*$AJ250)</f>
        <v>0</v>
      </c>
      <c r="BK250" s="587">
        <f>[1]COMMANDE!Y248</f>
        <v>0</v>
      </c>
      <c r="BL250" s="586" t="str">
        <f>_xlfn.IFS(AND($AI250=$AM250,$AI250&gt;0,$AM250&gt;0,BK250&gt;0), BK250,     AND(NOT($AI250=$AM250),$AI250&gt;0,$AM250&gt;0,BK250&gt;0), ($AM250*BK250)/$AI250,     AND($AI250=0,$AM250&gt;0,$AQ250&gt;0), IF(INDEX(BK$12:BK$263,MATCH($AQ250,$AP$12:$AP$263,0))&gt;0,($AM250*INDEX(BK$12:BK$263,MATCH($AQ250,$AP$12:$AP$263,0)))/INDEX($AI$12:$AI$263,MATCH($AQ250,$AP$12:$AP$263,0)), "-"),     TRUE, "0")</f>
        <v>0</v>
      </c>
      <c r="BM250" s="607">
        <f>IF(BL$9&gt;0, IF(OR(BL250="",BL250="-"), 0, BL250*$AT250), BK250*$AJ250)</f>
        <v>0</v>
      </c>
      <c r="BN250" s="589">
        <f>[1]COMMANDE!AA248</f>
        <v>0</v>
      </c>
      <c r="BO250" s="586" t="str">
        <f>_xlfn.IFS(AND($AI250=$AM250,$AI250&gt;0,$AM250&gt;0,BN250&gt;0), BN250,     AND(NOT($AI250=$AM250),$AI250&gt;0,$AM250&gt;0,BN250&gt;0), ($AM250*BN250)/$AI250,     AND($AI250=0,$AM250&gt;0,$AQ250&gt;0), IF(INDEX(BN$12:BN$263,MATCH($AQ250,$AP$12:$AP$263,0))&gt;0,($AM250*INDEX(BN$12:BN$263,MATCH($AQ250,$AP$12:$AP$263,0)))/INDEX($AI$12:$AI$263,MATCH($AQ250,$AP$12:$AP$263,0)), "-"),     TRUE, "0")</f>
        <v>0</v>
      </c>
      <c r="BP250" s="588">
        <f>IF(BO$9&gt;0, IF(OR(BO250="",BO250="-"), 0, BO250*$AT250), BN250*$AJ250)</f>
        <v>0</v>
      </c>
      <c r="BQ250" s="587">
        <f>[1]COMMANDE!AC248</f>
        <v>0</v>
      </c>
      <c r="BR250" s="586" t="str">
        <f>_xlfn.IFS(AND($AI250=$AM250,$AI250&gt;0,$AM250&gt;0,BQ250&gt;0), BQ250,     AND(NOT($AI250=$AM250),$AI250&gt;0,$AM250&gt;0,BQ250&gt;0), ($AM250*BQ250)/$AI250,     AND($AI250=0,$AM250&gt;0,$AQ250&gt;0), IF(INDEX(BQ$12:BQ$263,MATCH($AQ250,$AP$12:$AP$263,0))&gt;0,($AM250*INDEX(BQ$12:BQ$263,MATCH($AQ250,$AP$12:$AP$263,0)))/INDEX($AI$12:$AI$263,MATCH($AQ250,$AP$12:$AP$263,0)), "-"),     TRUE, "0")</f>
        <v>0</v>
      </c>
      <c r="BS250" s="607">
        <f>IF(BR$9&gt;0, IF(OR(BR250="",BR250="-"), 0, BR250*$AT250), BQ250*$AJ250)</f>
        <v>0</v>
      </c>
      <c r="BT250" s="589">
        <f>[1]COMMANDE!AE248</f>
        <v>0</v>
      </c>
      <c r="BU250" s="586" t="str">
        <f>_xlfn.IFS(AND($AI250=$AM250,$AI250&gt;0,$AM250&gt;0,BT250&gt;0), BT250,     AND(NOT($AI250=$AM250),$AI250&gt;0,$AM250&gt;0,BT250&gt;0), ($AM250*BT250)/$AI250,     AND($AI250=0,$AM250&gt;0,$AQ250&gt;0), IF(INDEX(BT$12:BT$263,MATCH($AQ250,$AP$12:$AP$263,0))&gt;0,($AM250*INDEX(BT$12:BT$263,MATCH($AQ250,$AP$12:$AP$263,0)))/INDEX($AI$12:$AI$263,MATCH($AQ250,$AP$12:$AP$263,0)), "-"),     TRUE, "0")</f>
        <v>0</v>
      </c>
      <c r="BV250" s="588">
        <f>IF(BU$9&gt;0, IF(OR(BU250="",BU250="-"), 0, BU250*$AT250), BT250*$AJ250)</f>
        <v>0</v>
      </c>
      <c r="BW250" s="587">
        <f>[1]COMMANDE!AG248</f>
        <v>0</v>
      </c>
      <c r="BX250" s="586" t="str">
        <f>_xlfn.IFS(AND($AI250=$AM250,$AI250&gt;0,$AM250&gt;0,BW250&gt;0), BW250,     AND(NOT($AI250=$AM250),$AI250&gt;0,$AM250&gt;0,BW250&gt;0), ($AM250*BW250)/$AI250,     AND($AI250=0,$AM250&gt;0,$AQ250&gt;0), IF(INDEX(BW$12:BW$263,MATCH($AQ250,$AP$12:$AP$263,0))&gt;0,($AM250*INDEX(BW$12:BW$263,MATCH($AQ250,$AP$12:$AP$263,0)))/INDEX($AI$12:$AI$263,MATCH($AQ250,$AP$12:$AP$263,0)), "-"),     TRUE, "0")</f>
        <v>0</v>
      </c>
      <c r="BY250" s="607">
        <f>IF(BX$9&gt;0, IF(OR(BX250="",BX250="-"), 0, BX250*$AT250), BW250*$AJ250)</f>
        <v>0</v>
      </c>
      <c r="BZ250" s="589">
        <f>[1]COMMANDE!AI248</f>
        <v>0</v>
      </c>
      <c r="CA250" s="586" t="str">
        <f>_xlfn.IFS(AND($AI250=$AM250,$AI250&gt;0,$AM250&gt;0,BZ250&gt;0), BZ250,     AND(NOT($AI250=$AM250),$AI250&gt;0,$AM250&gt;0,BZ250&gt;0), ($AM250*BZ250)/$AI250,     AND($AI250=0,$AM250&gt;0,$AQ250&gt;0), IF(INDEX(BZ$12:BZ$263,MATCH($AQ250,$AP$12:$AP$263,0))&gt;0,($AM250*INDEX(BZ$12:BZ$263,MATCH($AQ250,$AP$12:$AP$263,0)))/INDEX($AI$12:$AI$263,MATCH($AQ250,$AP$12:$AP$263,0)), "-"),     TRUE, "0")</f>
        <v>0</v>
      </c>
      <c r="CB250" s="588">
        <f>IF(CA$9&gt;0, IF(OR(CA250="",CA250="-"), 0, CA250*$AT250), BZ250*$AJ250)</f>
        <v>0</v>
      </c>
      <c r="CC250" s="587">
        <f>[1]COMMANDE!AK248</f>
        <v>0</v>
      </c>
      <c r="CD250" s="586" t="str">
        <f>_xlfn.IFS(AND($AI250=$AM250,$AI250&gt;0,$AM250&gt;0,CC250&gt;0), CC250,     AND(NOT($AI250=$AM250),$AI250&gt;0,$AM250&gt;0,CC250&gt;0), ($AM250*CC250)/$AI250,     AND($AI250=0,$AM250&gt;0,$AQ250&gt;0), IF(INDEX(CC$12:CC$263,MATCH($AQ250,$AP$12:$AP$263,0))&gt;0,($AM250*INDEX(CC$12:CC$263,MATCH($AQ250,$AP$12:$AP$263,0)))/INDEX($AI$12:$AI$263,MATCH($AQ250,$AP$12:$AP$263,0)), "-"),     TRUE, "0")</f>
        <v>0</v>
      </c>
      <c r="CE250" s="607">
        <f>IF(CD$9&gt;0, IF(OR(CD250="",CD250="-"), 0, CD250*$AT250), CC250*$AJ250)</f>
        <v>0</v>
      </c>
      <c r="CF250" s="589">
        <f>[1]COMMANDE!AM248</f>
        <v>0</v>
      </c>
      <c r="CG250" s="586" t="str">
        <f>_xlfn.IFS(AND($AI250=$AM250,$AI250&gt;0,$AM250&gt;0,CF250&gt;0), CF250,     AND(NOT($AI250=$AM250),$AI250&gt;0,$AM250&gt;0,CF250&gt;0), ($AM250*CF250)/$AI250,     AND($AI250=0,$AM250&gt;0,$AQ250&gt;0), IF(INDEX(CF$12:CF$263,MATCH($AQ250,$AP$12:$AP$263,0))&gt;0,($AM250*INDEX(CF$12:CF$263,MATCH($AQ250,$AP$12:$AP$263,0)))/INDEX($AI$12:$AI$263,MATCH($AQ250,$AP$12:$AP$263,0)), "-"),     TRUE, "0")</f>
        <v>0</v>
      </c>
      <c r="CH250" s="588">
        <f>IF(CG$9&gt;0, IF(OR(CG250="",CG250="-"), 0, CG250*$AT250), CF250*$AJ250)</f>
        <v>0</v>
      </c>
      <c r="CI250" s="587">
        <f>[1]COMMANDE!AO248</f>
        <v>0</v>
      </c>
      <c r="CJ250" s="586" t="str">
        <f>_xlfn.IFS(AND($AI250=$AM250,$AI250&gt;0,$AM250&gt;0,CI250&gt;0), CI250,     AND(NOT($AI250=$AM250),$AI250&gt;0,$AM250&gt;0,CI250&gt;0), ($AM250*CI250)/$AI250,     AND($AI250=0,$AM250&gt;0,$AQ250&gt;0), IF(INDEX(CI$12:CI$263,MATCH($AQ250,$AP$12:$AP$263,0))&gt;0,($AM250*INDEX(CI$12:CI$263,MATCH($AQ250,$AP$12:$AP$263,0)))/INDEX($AI$12:$AI$263,MATCH($AQ250,$AP$12:$AP$263,0)), "-"),     TRUE, "0")</f>
        <v>0</v>
      </c>
      <c r="CK250" s="607">
        <f>IF(CJ$9&gt;0, IF(OR(CJ250="",CJ250="-"), 0, CJ250*$AT250), CI250*$AJ250)</f>
        <v>0</v>
      </c>
      <c r="CL250" s="589">
        <f>[1]COMMANDE!AQ248</f>
        <v>0</v>
      </c>
      <c r="CM250" s="586" t="str">
        <f>_xlfn.IFS(AND($AI250=$AM250,$AI250&gt;0,$AM250&gt;0,CL250&gt;0), CL250,     AND(NOT($AI250=$AM250),$AI250&gt;0,$AM250&gt;0,CL250&gt;0), ($AM250*CL250)/$AI250,     AND($AI250=0,$AM250&gt;0,$AQ250&gt;0), IF(INDEX(CL$12:CL$263,MATCH($AQ250,$AP$12:$AP$263,0))&gt;0,($AM250*INDEX(CL$12:CL$263,MATCH($AQ250,$AP$12:$AP$263,0)))/INDEX($AI$12:$AI$263,MATCH($AQ250,$AP$12:$AP$263,0)), "-"),     TRUE, "0")</f>
        <v>0</v>
      </c>
      <c r="CN250" s="588">
        <f>IF(CM$9&gt;0, IF(OR(CM250="",CM250="-"), 0, CM250*$AT250), CL250*$AJ250)</f>
        <v>0</v>
      </c>
      <c r="CO250" s="587">
        <f>[1]COMMANDE!AS248</f>
        <v>0</v>
      </c>
      <c r="CP250" s="586" t="str">
        <f>_xlfn.IFS(AND($AI250=$AM250,$AI250&gt;0,$AM250&gt;0,CO250&gt;0), CO250,     AND(NOT($AI250=$AM250),$AI250&gt;0,$AM250&gt;0,CO250&gt;0), ($AM250*CO250)/$AI250,     AND($AI250=0,$AM250&gt;0,$AQ250&gt;0), IF(INDEX(CO$12:CO$263,MATCH($AQ250,$AP$12:$AP$263,0))&gt;0,($AM250*INDEX(CO$12:CO$263,MATCH($AQ250,$AP$12:$AP$263,0)))/INDEX($AI$12:$AI$263,MATCH($AQ250,$AP$12:$AP$263,0)), "-"),     TRUE, "0")</f>
        <v>0</v>
      </c>
      <c r="CQ250" s="607">
        <f>IF(CP$9&gt;0, IF(OR(CP250="",CP250="-"), 0, CP250*$AT250), CO250*$AJ250)</f>
        <v>0</v>
      </c>
      <c r="CR250" s="589">
        <f>[1]COMMANDE!AU248</f>
        <v>0</v>
      </c>
      <c r="CS250" s="586" t="str">
        <f>_xlfn.IFS(AND($AI250=$AM250,$AI250&gt;0,$AM250&gt;0,CR250&gt;0), CR250,     AND(NOT($AI250=$AM250),$AI250&gt;0,$AM250&gt;0,CR250&gt;0), ($AM250*CR250)/$AI250,     AND($AI250=0,$AM250&gt;0,$AQ250&gt;0), IF(INDEX(CR$12:CR$263,MATCH($AQ250,$AP$12:$AP$263,0))&gt;0,($AM250*INDEX(CR$12:CR$263,MATCH($AQ250,$AP$12:$AP$263,0)))/INDEX($AI$12:$AI$263,MATCH($AQ250,$AP$12:$AP$263,0)), "-"),     TRUE, "0")</f>
        <v>0</v>
      </c>
      <c r="CT250" s="588">
        <f>IF(CS$9&gt;0, IF(OR(CS250="",CS250="-"), 0, CS250*$AT250), CR250*$AJ250)</f>
        <v>0</v>
      </c>
      <c r="CU250" s="587">
        <f>[1]COMMANDE!AW248</f>
        <v>0</v>
      </c>
      <c r="CV250" s="586" t="str">
        <f>_xlfn.IFS(AND($AI250=$AM250,$AI250&gt;0,$AM250&gt;0,CU250&gt;0), CU250,     AND(NOT($AI250=$AM250),$AI250&gt;0,$AM250&gt;0,CU250&gt;0), ($AM250*CU250)/$AI250,     AND($AI250=0,$AM250&gt;0,$AQ250&gt;0), IF(INDEX(CU$12:CU$263,MATCH($AQ250,$AP$12:$AP$263,0))&gt;0,($AM250*INDEX(CU$12:CU$263,MATCH($AQ250,$AP$12:$AP$263,0)))/INDEX($AI$12:$AI$263,MATCH($AQ250,$AP$12:$AP$263,0)), "-"),     TRUE, "0")</f>
        <v>0</v>
      </c>
      <c r="CW250" s="607">
        <f>IF(CV$9&gt;0, IF(OR(CV250="",CV250="-"), 0, CV250*$AT250), CU250*$AJ250)</f>
        <v>0</v>
      </c>
      <c r="CX250" s="589">
        <f>[1]COMMANDE!AY248</f>
        <v>0</v>
      </c>
      <c r="CY250" s="586" t="str">
        <f>_xlfn.IFS(AND($AI250=$AM250,$AI250&gt;0,$AM250&gt;0,CX250&gt;0), CX250,     AND(NOT($AI250=$AM250),$AI250&gt;0,$AM250&gt;0,CX250&gt;0), ($AM250*CX250)/$AI250,     AND($AI250=0,$AM250&gt;0,$AQ250&gt;0), IF(INDEX(CX$12:CX$263,MATCH($AQ250,$AP$12:$AP$263,0))&gt;0,($AM250*INDEX(CX$12:CX$263,MATCH($AQ250,$AP$12:$AP$263,0)))/INDEX($AI$12:$AI$263,MATCH($AQ250,$AP$12:$AP$263,0)), "-"),     TRUE, "0")</f>
        <v>0</v>
      </c>
      <c r="CZ250" s="588">
        <f>IF(CY$9&gt;0, IF(OR(CY250="",CY250="-"), 0, CY250*$AT250), CX250*$AJ250)</f>
        <v>0</v>
      </c>
      <c r="DA250" s="587">
        <f>[1]COMMANDE!BA248</f>
        <v>0</v>
      </c>
      <c r="DB250" s="586" t="str">
        <f>_xlfn.IFS(AND($AI250=$AM250,$AI250&gt;0,$AM250&gt;0,DA250&gt;0), DA250,     AND(NOT($AI250=$AM250),$AI250&gt;0,$AM250&gt;0,DA250&gt;0), ($AM250*DA250)/$AI250,     AND($AI250=0,$AM250&gt;0,$AQ250&gt;0), IF(INDEX(DA$12:DA$263,MATCH($AQ250,$AP$12:$AP$263,0))&gt;0,($AM250*INDEX(DA$12:DA$263,MATCH($AQ250,$AP$12:$AP$263,0)))/INDEX($AI$12:$AI$263,MATCH($AQ250,$AP$12:$AP$263,0)), "-"),     TRUE, "0")</f>
        <v>0</v>
      </c>
      <c r="DC250" s="606">
        <f>IF(DB$9&gt;0, IF(OR(DB250="",DB250="-"), 0, DB250*$AT250), DA250*$AJ250)</f>
        <v>0</v>
      </c>
      <c r="DD250" s="584"/>
      <c r="DE250" s="583"/>
    </row>
    <row r="251" spans="1:109" ht="39.950000000000003" hidden="1" customHeight="1">
      <c r="A251" s="604">
        <f>IF(OR($AV251&gt;0, $AX251&gt;0), 1, 0)</f>
        <v>0</v>
      </c>
      <c r="B251" s="604">
        <f>IF(OR($AY251&gt;0, $BA251&gt;0), 1, 0)</f>
        <v>0</v>
      </c>
      <c r="C251" s="604">
        <f>IF(OR($BB251&gt;0, $BD251&gt;0), 1, 0)</f>
        <v>0</v>
      </c>
      <c r="D251" s="604">
        <f>IF(OR($BE251&gt;0, $BG251&gt;0), 1, 0)</f>
        <v>0</v>
      </c>
      <c r="E251" s="604">
        <f>IF(OR($BH251&gt;0, $BJ251&gt;0), 1, 0)</f>
        <v>0</v>
      </c>
      <c r="F251" s="604">
        <f>IF(OR($BK251&gt;0, $BM251&gt;0), 1, 0)</f>
        <v>0</v>
      </c>
      <c r="G251" s="604">
        <f>IF(OR($BN251&gt;0, $BP251&gt;0), 1, 0)</f>
        <v>0</v>
      </c>
      <c r="H251" s="604">
        <f>IF(OR($BQ251&gt;0, $BS251&gt;0), 1, 0)</f>
        <v>0</v>
      </c>
      <c r="I251" s="604">
        <f>IF(OR($BT251&gt;0, $BV251&gt;0), 1, 0)</f>
        <v>0</v>
      </c>
      <c r="J251" s="604">
        <f>IF(OR($BW251&gt;0, $BY251&gt;0), 1, 0)</f>
        <v>0</v>
      </c>
      <c r="K251" s="604">
        <f>IF(OR($BZ251&gt;0, $CB251&gt;0), 1, 0)</f>
        <v>0</v>
      </c>
      <c r="L251" s="604">
        <f>IF(OR($CC251&gt;0, $CE251&gt;0), 1, 0)</f>
        <v>0</v>
      </c>
      <c r="M251" s="604">
        <f>IF(OR($CF251&gt;0, $CH251&gt;0), 1, 0)</f>
        <v>0</v>
      </c>
      <c r="N251" s="604">
        <f>IF(OR($CI251&gt;0, $CK251&gt;0), 1, 0)</f>
        <v>0</v>
      </c>
      <c r="O251" s="604">
        <f>IF(OR($CL251&gt;0, $CN251&gt;0), 1, 0)</f>
        <v>0</v>
      </c>
      <c r="P251" s="604">
        <f>IF(OR($CO251&gt;0, $CQ251&gt;0), 1, 0)</f>
        <v>0</v>
      </c>
      <c r="Q251" s="604">
        <f>IF(OR($CR251&gt;0, $CT251&gt;0), 1, 0)</f>
        <v>0</v>
      </c>
      <c r="R251" s="604">
        <f>IF(OR($CU251&gt;0, $CW251&gt;0), 1, 0)</f>
        <v>0</v>
      </c>
      <c r="S251" s="604">
        <f>IF(OR($CX251&gt;0, $CZ251&gt;0), 1, 0)</f>
        <v>0</v>
      </c>
      <c r="T251" s="604">
        <f>IF(OR($DA251&gt;0, $DC251&gt;0), 1, 0)</f>
        <v>0</v>
      </c>
      <c r="U251" s="603">
        <f>IF(OR($AI251&gt;0,$AM251&gt;0,$AS251&gt;0), 1, 0)</f>
        <v>0</v>
      </c>
      <c r="V251" s="602">
        <f>[1]BDD!A241</f>
        <v>6110</v>
      </c>
      <c r="W251" s="601" t="str">
        <f>[1]BDD!B241</f>
        <v>Tomate déshydratée en lamelle fine CRU BIO (env. 200g, 35ºC, qualité supérieure)</v>
      </c>
      <c r="X251" s="600" t="str">
        <f>IF([1]BDD!F241=0, "", [1]BDD!F241)</f>
        <v>❤️</v>
      </c>
      <c r="Y251" s="542">
        <f>ROUND([1]BDD!G241+FDP_CMD_KG, 2)</f>
        <v>8.1199999999999992</v>
      </c>
      <c r="Z251" s="542">
        <f>ROUND([1]BDD!G241+FDP_FACT_KG, 2)</f>
        <v>8.1199999999999992</v>
      </c>
      <c r="AA251" s="543" t="str">
        <f>[1]BDD!H241</f>
        <v>Pièce</v>
      </c>
      <c r="AB251" s="544" t="str">
        <f>IF(NOT(ISBLANK([1]BDD!I241)), ROUND(SUM(([1]BDD!G241*reduc1),FDP_CMD_KG), 2), "")</f>
        <v/>
      </c>
      <c r="AC251" s="544" t="str">
        <f>IF(NOT(ISBLANK([1]BDD!J241)), ROUND(SUM(([1]BDD!G241*reduc2),FDP_CMD_KG), 2), "")</f>
        <v/>
      </c>
      <c r="AD251" s="544" t="str">
        <f>IF(NOT(ISBLANK([1]BDD!K241)), ROUND(SUM(([1]BDD!G241*reduc3),FDP_CMD_KG), 2), "")</f>
        <v/>
      </c>
      <c r="AE251" s="544" t="str">
        <f>IF(NOT(ISBLANK([1]BDD!I241)), ROUND(SUM(([1]BDD!G241*reduc1),FDP_FACT_KG), 2), "")</f>
        <v/>
      </c>
      <c r="AF251" s="544" t="str">
        <f>IF(NOT(ISBLANK([1]BDD!J241)), ROUND(SUM(([1]BDD!G241*reduc2),FDP_FACT_KG), 2), "")</f>
        <v/>
      </c>
      <c r="AG251" s="544" t="str">
        <f>IF(NOT(ISBLANK([1]BDD!K241)), ROUND(SUM(([1]BDD!G241*reduc3),FDP_FACT_KG), 2), "")</f>
        <v/>
      </c>
      <c r="AH251" s="599" t="str">
        <f>[1]BDD!C241</f>
        <v>Espagne</v>
      </c>
      <c r="AI251" s="598">
        <f>SUM(AV251,AY251,BB251,BE251,BH251,BK251,BN251,BQ251,BT251,BW251,BZ251,CC251,CF251,CI251,CL251,CO251,CR251,CU251,CX251,DA251)</f>
        <v>0</v>
      </c>
      <c r="AJ251" s="545">
        <f>_xlfn.IFS($AD251&lt;&gt;"", $AD251,    $AC251&lt;&gt;"", $AC251,    $AB251&lt;&gt;"", $AB251,    TRUE, $Y251)</f>
        <v>8.1199999999999992</v>
      </c>
      <c r="AK251" s="592">
        <f>$AI251*$AJ251</f>
        <v>0</v>
      </c>
      <c r="AL251" s="594"/>
      <c r="AM251" s="597"/>
      <c r="AN251" s="545">
        <f>_xlfn.IFS(AND(AM251&gt;=60,$AG251&lt;&gt;""), $AG251,    AND(AM251&gt;=30,$AF251&lt;&gt;""), $AF251,    AND(AM251&gt;=10,$AE251&lt;&gt;""), $AE251,    TRUE, $Z251)</f>
        <v>8.1199999999999992</v>
      </c>
      <c r="AO251" s="596">
        <f>AM251*AN251</f>
        <v>0</v>
      </c>
      <c r="AP251" s="595"/>
      <c r="AQ251" s="595"/>
      <c r="AR251" s="594"/>
      <c r="AS251" s="593">
        <f>SUM(AW251,AZ251,BC251,BF251,BI251,BL251,BO251,BR251,BU251,BX251,CA251,CD251,CG251,CJ251,CM251,CP251,CS251,CV251,CY251,DB251)</f>
        <v>0</v>
      </c>
      <c r="AT251" s="545">
        <f>_xlfn.IFS(AND(AS251&gt;=60,$AG251&lt;&gt;""), $AG251,    AND(AS251&gt;=30,$AF251&lt;&gt;""), $AF251,    AND(AS251&gt;=10,$AE251&lt;&gt;""), $AE251,    TRUE, $Z251)</f>
        <v>8.1199999999999992</v>
      </c>
      <c r="AU251" s="592">
        <f>$AS251*$AT251</f>
        <v>0</v>
      </c>
      <c r="AV251" s="591">
        <f>[1]COMMANDE!O249</f>
        <v>0</v>
      </c>
      <c r="AW251" s="586" t="str">
        <f>_xlfn.IFS(AND($AI251=$AM251,$AI251&gt;0,$AM251&gt;0,AV251&gt;0), AV251,     AND(NOT($AI251=$AM251),$AI251&gt;0,$AM251&gt;0,AV251&gt;0), ($AM251*AV251)/$AI251,     AND($AI251=0,$AM251&gt;0,$AQ251&gt;0), IF(INDEX(AV$12:AV$263,MATCH($AQ251,$AP$12:$AP$263,0))&gt;0,($AM251*INDEX(AV$12:AV$263,MATCH($AQ251,$AP$12:$AP$263,0)))/INDEX($AI$12:$AI$263,MATCH($AQ251,$AP$12:$AP$263,0)), "-"),     TRUE, "0")</f>
        <v>0</v>
      </c>
      <c r="AX251" s="588">
        <f>IF(AW$9&gt;0, IF(OR(AW251="",AW251="-"), 0, AW251*$AT251), AV251*$AJ251)</f>
        <v>0</v>
      </c>
      <c r="AY251" s="587">
        <f>[1]COMMANDE!Q249</f>
        <v>0</v>
      </c>
      <c r="AZ251" s="586" t="str">
        <f>_xlfn.IFS(AND($AI251=$AM251,$AI251&gt;0,$AM251&gt;0,AY251&gt;0), AY251,     AND(NOT($AI251=$AM251),$AI251&gt;0,$AM251&gt;0,AY251&gt;0), ($AM251*AY251)/$AI251,     AND($AI251=0,$AM251&gt;0,$AQ251&gt;0), IF(INDEX(AY$12:AY$263,MATCH($AQ251,$AP$12:$AP$263,0))&gt;0,($AM251*INDEX(AY$12:AY$263,MATCH($AQ251,$AP$12:$AP$263,0)))/INDEX($AI$12:$AI$263,MATCH($AQ251,$AP$12:$AP$263,0)), "-"),     TRUE, "0")</f>
        <v>0</v>
      </c>
      <c r="BA251" s="607">
        <f>IF(AZ$9&gt;0, IF(OR(AZ251="",AZ251="-"), 0, AZ251*$AT251), AY251*$AJ251)</f>
        <v>0</v>
      </c>
      <c r="BB251" s="589">
        <f>[1]COMMANDE!S249</f>
        <v>0</v>
      </c>
      <c r="BC251" s="586" t="str">
        <f>_xlfn.IFS(AND($AI251=$AM251,$AI251&gt;0,$AM251&gt;0,BB251&gt;0), BB251,     AND(NOT($AI251=$AM251),$AI251&gt;0,$AM251&gt;0,BB251&gt;0), ($AM251*BB251)/$AI251,     AND($AI251=0,$AM251&gt;0,$AQ251&gt;0), IF(INDEX(BB$12:BB$263,MATCH($AQ251,$AP$12:$AP$263,0))&gt;0,($AM251*INDEX(BB$12:BB$263,MATCH($AQ251,$AP$12:$AP$263,0)))/INDEX($AI$12:$AI$263,MATCH($AQ251,$AP$12:$AP$263,0)), "-"),     TRUE, "0")</f>
        <v>0</v>
      </c>
      <c r="BD251" s="588">
        <f>IF(BC$9&gt;0, IF(OR(BC251="",BC251="-"), 0, BC251*$AT251), BB251*$AJ251)</f>
        <v>0</v>
      </c>
      <c r="BE251" s="587">
        <f>[1]COMMANDE!U249</f>
        <v>0</v>
      </c>
      <c r="BF251" s="586" t="str">
        <f>_xlfn.IFS(AND($AI251=$AM251,$AI251&gt;0,$AM251&gt;0,BE251&gt;0), BE251,     AND(NOT($AI251=$AM251),$AI251&gt;0,$AM251&gt;0,BE251&gt;0), ($AM251*BE251)/$AI251,     AND($AI251=0,$AM251&gt;0,$AQ251&gt;0), IF(INDEX(BE$12:BE$263,MATCH($AQ251,$AP$12:$AP$263,0))&gt;0,($AM251*INDEX(BE$12:BE$263,MATCH($AQ251,$AP$12:$AP$263,0)))/INDEX($AI$12:$AI$263,MATCH($AQ251,$AP$12:$AP$263,0)), "-"),     TRUE, "0")</f>
        <v>0</v>
      </c>
      <c r="BG251" s="607">
        <f>IF(BF$9&gt;0, IF(OR(BF251="",BF251="-"), 0, BF251*$AT251), BE251*$AJ251)</f>
        <v>0</v>
      </c>
      <c r="BH251" s="589">
        <f>[1]COMMANDE!W249</f>
        <v>0</v>
      </c>
      <c r="BI251" s="586" t="str">
        <f>_xlfn.IFS(AND($AI251=$AM251,$AI251&gt;0,$AM251&gt;0,BH251&gt;0), BH251,     AND(NOT($AI251=$AM251),$AI251&gt;0,$AM251&gt;0,BH251&gt;0), ($AM251*BH251)/$AI251,     AND($AI251=0,$AM251&gt;0,$AQ251&gt;0), IF(INDEX(BH$12:BH$263,MATCH($AQ251,$AP$12:$AP$263,0))&gt;0,($AM251*INDEX(BH$12:BH$263,MATCH($AQ251,$AP$12:$AP$263,0)))/INDEX($AI$12:$AI$263,MATCH($AQ251,$AP$12:$AP$263,0)), "-"),     TRUE, "0")</f>
        <v>0</v>
      </c>
      <c r="BJ251" s="588">
        <f>IF(BI$9&gt;0, IF(OR(BI251="",BI251="-"), 0, BI251*$AT251), BH251*$AJ251)</f>
        <v>0</v>
      </c>
      <c r="BK251" s="587">
        <f>[1]COMMANDE!Y249</f>
        <v>0</v>
      </c>
      <c r="BL251" s="586" t="str">
        <f>_xlfn.IFS(AND($AI251=$AM251,$AI251&gt;0,$AM251&gt;0,BK251&gt;0), BK251,     AND(NOT($AI251=$AM251),$AI251&gt;0,$AM251&gt;0,BK251&gt;0), ($AM251*BK251)/$AI251,     AND($AI251=0,$AM251&gt;0,$AQ251&gt;0), IF(INDEX(BK$12:BK$263,MATCH($AQ251,$AP$12:$AP$263,0))&gt;0,($AM251*INDEX(BK$12:BK$263,MATCH($AQ251,$AP$12:$AP$263,0)))/INDEX($AI$12:$AI$263,MATCH($AQ251,$AP$12:$AP$263,0)), "-"),     TRUE, "0")</f>
        <v>0</v>
      </c>
      <c r="BM251" s="607">
        <f>IF(BL$9&gt;0, IF(OR(BL251="",BL251="-"), 0, BL251*$AT251), BK251*$AJ251)</f>
        <v>0</v>
      </c>
      <c r="BN251" s="589">
        <f>[1]COMMANDE!AA249</f>
        <v>0</v>
      </c>
      <c r="BO251" s="586" t="str">
        <f>_xlfn.IFS(AND($AI251=$AM251,$AI251&gt;0,$AM251&gt;0,BN251&gt;0), BN251,     AND(NOT($AI251=$AM251),$AI251&gt;0,$AM251&gt;0,BN251&gt;0), ($AM251*BN251)/$AI251,     AND($AI251=0,$AM251&gt;0,$AQ251&gt;0), IF(INDEX(BN$12:BN$263,MATCH($AQ251,$AP$12:$AP$263,0))&gt;0,($AM251*INDEX(BN$12:BN$263,MATCH($AQ251,$AP$12:$AP$263,0)))/INDEX($AI$12:$AI$263,MATCH($AQ251,$AP$12:$AP$263,0)), "-"),     TRUE, "0")</f>
        <v>0</v>
      </c>
      <c r="BP251" s="588">
        <f>IF(BO$9&gt;0, IF(OR(BO251="",BO251="-"), 0, BO251*$AT251), BN251*$AJ251)</f>
        <v>0</v>
      </c>
      <c r="BQ251" s="587">
        <f>[1]COMMANDE!AC249</f>
        <v>0</v>
      </c>
      <c r="BR251" s="586" t="str">
        <f>_xlfn.IFS(AND($AI251=$AM251,$AI251&gt;0,$AM251&gt;0,BQ251&gt;0), BQ251,     AND(NOT($AI251=$AM251),$AI251&gt;0,$AM251&gt;0,BQ251&gt;0), ($AM251*BQ251)/$AI251,     AND($AI251=0,$AM251&gt;0,$AQ251&gt;0), IF(INDEX(BQ$12:BQ$263,MATCH($AQ251,$AP$12:$AP$263,0))&gt;0,($AM251*INDEX(BQ$12:BQ$263,MATCH($AQ251,$AP$12:$AP$263,0)))/INDEX($AI$12:$AI$263,MATCH($AQ251,$AP$12:$AP$263,0)), "-"),     TRUE, "0")</f>
        <v>0</v>
      </c>
      <c r="BS251" s="607">
        <f>IF(BR$9&gt;0, IF(OR(BR251="",BR251="-"), 0, BR251*$AT251), BQ251*$AJ251)</f>
        <v>0</v>
      </c>
      <c r="BT251" s="589">
        <f>[1]COMMANDE!AE249</f>
        <v>0</v>
      </c>
      <c r="BU251" s="586" t="str">
        <f>_xlfn.IFS(AND($AI251=$AM251,$AI251&gt;0,$AM251&gt;0,BT251&gt;0), BT251,     AND(NOT($AI251=$AM251),$AI251&gt;0,$AM251&gt;0,BT251&gt;0), ($AM251*BT251)/$AI251,     AND($AI251=0,$AM251&gt;0,$AQ251&gt;0), IF(INDEX(BT$12:BT$263,MATCH($AQ251,$AP$12:$AP$263,0))&gt;0,($AM251*INDEX(BT$12:BT$263,MATCH($AQ251,$AP$12:$AP$263,0)))/INDEX($AI$12:$AI$263,MATCH($AQ251,$AP$12:$AP$263,0)), "-"),     TRUE, "0")</f>
        <v>0</v>
      </c>
      <c r="BV251" s="588">
        <f>IF(BU$9&gt;0, IF(OR(BU251="",BU251="-"), 0, BU251*$AT251), BT251*$AJ251)</f>
        <v>0</v>
      </c>
      <c r="BW251" s="587">
        <f>[1]COMMANDE!AG249</f>
        <v>0</v>
      </c>
      <c r="BX251" s="586" t="str">
        <f>_xlfn.IFS(AND($AI251=$AM251,$AI251&gt;0,$AM251&gt;0,BW251&gt;0), BW251,     AND(NOT($AI251=$AM251),$AI251&gt;0,$AM251&gt;0,BW251&gt;0), ($AM251*BW251)/$AI251,     AND($AI251=0,$AM251&gt;0,$AQ251&gt;0), IF(INDEX(BW$12:BW$263,MATCH($AQ251,$AP$12:$AP$263,0))&gt;0,($AM251*INDEX(BW$12:BW$263,MATCH($AQ251,$AP$12:$AP$263,0)))/INDEX($AI$12:$AI$263,MATCH($AQ251,$AP$12:$AP$263,0)), "-"),     TRUE, "0")</f>
        <v>0</v>
      </c>
      <c r="BY251" s="607">
        <f>IF(BX$9&gt;0, IF(OR(BX251="",BX251="-"), 0, BX251*$AT251), BW251*$AJ251)</f>
        <v>0</v>
      </c>
      <c r="BZ251" s="589">
        <f>[1]COMMANDE!AI249</f>
        <v>0</v>
      </c>
      <c r="CA251" s="586" t="str">
        <f>_xlfn.IFS(AND($AI251=$AM251,$AI251&gt;0,$AM251&gt;0,BZ251&gt;0), BZ251,     AND(NOT($AI251=$AM251),$AI251&gt;0,$AM251&gt;0,BZ251&gt;0), ($AM251*BZ251)/$AI251,     AND($AI251=0,$AM251&gt;0,$AQ251&gt;0), IF(INDEX(BZ$12:BZ$263,MATCH($AQ251,$AP$12:$AP$263,0))&gt;0,($AM251*INDEX(BZ$12:BZ$263,MATCH($AQ251,$AP$12:$AP$263,0)))/INDEX($AI$12:$AI$263,MATCH($AQ251,$AP$12:$AP$263,0)), "-"),     TRUE, "0")</f>
        <v>0</v>
      </c>
      <c r="CB251" s="588">
        <f>IF(CA$9&gt;0, IF(OR(CA251="",CA251="-"), 0, CA251*$AT251), BZ251*$AJ251)</f>
        <v>0</v>
      </c>
      <c r="CC251" s="587">
        <f>[1]COMMANDE!AK249</f>
        <v>0</v>
      </c>
      <c r="CD251" s="586" t="str">
        <f>_xlfn.IFS(AND($AI251=$AM251,$AI251&gt;0,$AM251&gt;0,CC251&gt;0), CC251,     AND(NOT($AI251=$AM251),$AI251&gt;0,$AM251&gt;0,CC251&gt;0), ($AM251*CC251)/$AI251,     AND($AI251=0,$AM251&gt;0,$AQ251&gt;0), IF(INDEX(CC$12:CC$263,MATCH($AQ251,$AP$12:$AP$263,0))&gt;0,($AM251*INDEX(CC$12:CC$263,MATCH($AQ251,$AP$12:$AP$263,0)))/INDEX($AI$12:$AI$263,MATCH($AQ251,$AP$12:$AP$263,0)), "-"),     TRUE, "0")</f>
        <v>0</v>
      </c>
      <c r="CE251" s="607">
        <f>IF(CD$9&gt;0, IF(OR(CD251="",CD251="-"), 0, CD251*$AT251), CC251*$AJ251)</f>
        <v>0</v>
      </c>
      <c r="CF251" s="589">
        <f>[1]COMMANDE!AM249</f>
        <v>0</v>
      </c>
      <c r="CG251" s="586" t="str">
        <f>_xlfn.IFS(AND($AI251=$AM251,$AI251&gt;0,$AM251&gt;0,CF251&gt;0), CF251,     AND(NOT($AI251=$AM251),$AI251&gt;0,$AM251&gt;0,CF251&gt;0), ($AM251*CF251)/$AI251,     AND($AI251=0,$AM251&gt;0,$AQ251&gt;0), IF(INDEX(CF$12:CF$263,MATCH($AQ251,$AP$12:$AP$263,0))&gt;0,($AM251*INDEX(CF$12:CF$263,MATCH($AQ251,$AP$12:$AP$263,0)))/INDEX($AI$12:$AI$263,MATCH($AQ251,$AP$12:$AP$263,0)), "-"),     TRUE, "0")</f>
        <v>0</v>
      </c>
      <c r="CH251" s="588">
        <f>IF(CG$9&gt;0, IF(OR(CG251="",CG251="-"), 0, CG251*$AT251), CF251*$AJ251)</f>
        <v>0</v>
      </c>
      <c r="CI251" s="587">
        <f>[1]COMMANDE!AO249</f>
        <v>0</v>
      </c>
      <c r="CJ251" s="586" t="str">
        <f>_xlfn.IFS(AND($AI251=$AM251,$AI251&gt;0,$AM251&gt;0,CI251&gt;0), CI251,     AND(NOT($AI251=$AM251),$AI251&gt;0,$AM251&gt;0,CI251&gt;0), ($AM251*CI251)/$AI251,     AND($AI251=0,$AM251&gt;0,$AQ251&gt;0), IF(INDEX(CI$12:CI$263,MATCH($AQ251,$AP$12:$AP$263,0))&gt;0,($AM251*INDEX(CI$12:CI$263,MATCH($AQ251,$AP$12:$AP$263,0)))/INDEX($AI$12:$AI$263,MATCH($AQ251,$AP$12:$AP$263,0)), "-"),     TRUE, "0")</f>
        <v>0</v>
      </c>
      <c r="CK251" s="607">
        <f>IF(CJ$9&gt;0, IF(OR(CJ251="",CJ251="-"), 0, CJ251*$AT251), CI251*$AJ251)</f>
        <v>0</v>
      </c>
      <c r="CL251" s="589">
        <f>[1]COMMANDE!AQ249</f>
        <v>0</v>
      </c>
      <c r="CM251" s="586" t="str">
        <f>_xlfn.IFS(AND($AI251=$AM251,$AI251&gt;0,$AM251&gt;0,CL251&gt;0), CL251,     AND(NOT($AI251=$AM251),$AI251&gt;0,$AM251&gt;0,CL251&gt;0), ($AM251*CL251)/$AI251,     AND($AI251=0,$AM251&gt;0,$AQ251&gt;0), IF(INDEX(CL$12:CL$263,MATCH($AQ251,$AP$12:$AP$263,0))&gt;0,($AM251*INDEX(CL$12:CL$263,MATCH($AQ251,$AP$12:$AP$263,0)))/INDEX($AI$12:$AI$263,MATCH($AQ251,$AP$12:$AP$263,0)), "-"),     TRUE, "0")</f>
        <v>0</v>
      </c>
      <c r="CN251" s="588">
        <f>IF(CM$9&gt;0, IF(OR(CM251="",CM251="-"), 0, CM251*$AT251), CL251*$AJ251)</f>
        <v>0</v>
      </c>
      <c r="CO251" s="587">
        <f>[1]COMMANDE!AS249</f>
        <v>0</v>
      </c>
      <c r="CP251" s="586" t="str">
        <f>_xlfn.IFS(AND($AI251=$AM251,$AI251&gt;0,$AM251&gt;0,CO251&gt;0), CO251,     AND(NOT($AI251=$AM251),$AI251&gt;0,$AM251&gt;0,CO251&gt;0), ($AM251*CO251)/$AI251,     AND($AI251=0,$AM251&gt;0,$AQ251&gt;0), IF(INDEX(CO$12:CO$263,MATCH($AQ251,$AP$12:$AP$263,0))&gt;0,($AM251*INDEX(CO$12:CO$263,MATCH($AQ251,$AP$12:$AP$263,0)))/INDEX($AI$12:$AI$263,MATCH($AQ251,$AP$12:$AP$263,0)), "-"),     TRUE, "0")</f>
        <v>0</v>
      </c>
      <c r="CQ251" s="607">
        <f>IF(CP$9&gt;0, IF(OR(CP251="",CP251="-"), 0, CP251*$AT251), CO251*$AJ251)</f>
        <v>0</v>
      </c>
      <c r="CR251" s="589">
        <f>[1]COMMANDE!AU249</f>
        <v>0</v>
      </c>
      <c r="CS251" s="586" t="str">
        <f>_xlfn.IFS(AND($AI251=$AM251,$AI251&gt;0,$AM251&gt;0,CR251&gt;0), CR251,     AND(NOT($AI251=$AM251),$AI251&gt;0,$AM251&gt;0,CR251&gt;0), ($AM251*CR251)/$AI251,     AND($AI251=0,$AM251&gt;0,$AQ251&gt;0), IF(INDEX(CR$12:CR$263,MATCH($AQ251,$AP$12:$AP$263,0))&gt;0,($AM251*INDEX(CR$12:CR$263,MATCH($AQ251,$AP$12:$AP$263,0)))/INDEX($AI$12:$AI$263,MATCH($AQ251,$AP$12:$AP$263,0)), "-"),     TRUE, "0")</f>
        <v>0</v>
      </c>
      <c r="CT251" s="588">
        <f>IF(CS$9&gt;0, IF(OR(CS251="",CS251="-"), 0, CS251*$AT251), CR251*$AJ251)</f>
        <v>0</v>
      </c>
      <c r="CU251" s="587">
        <f>[1]COMMANDE!AW249</f>
        <v>0</v>
      </c>
      <c r="CV251" s="586" t="str">
        <f>_xlfn.IFS(AND($AI251=$AM251,$AI251&gt;0,$AM251&gt;0,CU251&gt;0), CU251,     AND(NOT($AI251=$AM251),$AI251&gt;0,$AM251&gt;0,CU251&gt;0), ($AM251*CU251)/$AI251,     AND($AI251=0,$AM251&gt;0,$AQ251&gt;0), IF(INDEX(CU$12:CU$263,MATCH($AQ251,$AP$12:$AP$263,0))&gt;0,($AM251*INDEX(CU$12:CU$263,MATCH($AQ251,$AP$12:$AP$263,0)))/INDEX($AI$12:$AI$263,MATCH($AQ251,$AP$12:$AP$263,0)), "-"),     TRUE, "0")</f>
        <v>0</v>
      </c>
      <c r="CW251" s="607">
        <f>IF(CV$9&gt;0, IF(OR(CV251="",CV251="-"), 0, CV251*$AT251), CU251*$AJ251)</f>
        <v>0</v>
      </c>
      <c r="CX251" s="589">
        <f>[1]COMMANDE!AY249</f>
        <v>0</v>
      </c>
      <c r="CY251" s="586" t="str">
        <f>_xlfn.IFS(AND($AI251=$AM251,$AI251&gt;0,$AM251&gt;0,CX251&gt;0), CX251,     AND(NOT($AI251=$AM251),$AI251&gt;0,$AM251&gt;0,CX251&gt;0), ($AM251*CX251)/$AI251,     AND($AI251=0,$AM251&gt;0,$AQ251&gt;0), IF(INDEX(CX$12:CX$263,MATCH($AQ251,$AP$12:$AP$263,0))&gt;0,($AM251*INDEX(CX$12:CX$263,MATCH($AQ251,$AP$12:$AP$263,0)))/INDEX($AI$12:$AI$263,MATCH($AQ251,$AP$12:$AP$263,0)), "-"),     TRUE, "0")</f>
        <v>0</v>
      </c>
      <c r="CZ251" s="588">
        <f>IF(CY$9&gt;0, IF(OR(CY251="",CY251="-"), 0, CY251*$AT251), CX251*$AJ251)</f>
        <v>0</v>
      </c>
      <c r="DA251" s="587">
        <f>[1]COMMANDE!BA249</f>
        <v>0</v>
      </c>
      <c r="DB251" s="586" t="str">
        <f>_xlfn.IFS(AND($AI251=$AM251,$AI251&gt;0,$AM251&gt;0,DA251&gt;0), DA251,     AND(NOT($AI251=$AM251),$AI251&gt;0,$AM251&gt;0,DA251&gt;0), ($AM251*DA251)/$AI251,     AND($AI251=0,$AM251&gt;0,$AQ251&gt;0), IF(INDEX(DA$12:DA$263,MATCH($AQ251,$AP$12:$AP$263,0))&gt;0,($AM251*INDEX(DA$12:DA$263,MATCH($AQ251,$AP$12:$AP$263,0)))/INDEX($AI$12:$AI$263,MATCH($AQ251,$AP$12:$AP$263,0)), "-"),     TRUE, "0")</f>
        <v>0</v>
      </c>
      <c r="DC251" s="606">
        <f>IF(DB$9&gt;0, IF(OR(DB251="",DB251="-"), 0, DB251*$AT251), DA251*$AJ251)</f>
        <v>0</v>
      </c>
      <c r="DD251" s="584"/>
      <c r="DE251" s="583"/>
    </row>
    <row r="252" spans="1:109" ht="39.950000000000003" hidden="1" customHeight="1">
      <c r="A252" s="605">
        <f>IF(OR($AV252&gt;0, $AX252&gt;0), 1, 0)</f>
        <v>0</v>
      </c>
      <c r="B252" s="605">
        <f>IF(OR($AY252&gt;0, $BA252&gt;0), 1, 0)</f>
        <v>0</v>
      </c>
      <c r="C252" s="605">
        <f>IF(OR($BB252&gt;0, $BD252&gt;0), 1, 0)</f>
        <v>0</v>
      </c>
      <c r="D252" s="605">
        <f>IF(OR($BE252&gt;0, $BG252&gt;0), 1, 0)</f>
        <v>0</v>
      </c>
      <c r="E252" s="605">
        <f>IF(OR($BH252&gt;0, $BJ252&gt;0), 1, 0)</f>
        <v>0</v>
      </c>
      <c r="F252" s="605">
        <f>IF(OR($BK252&gt;0, $BM252&gt;0), 1, 0)</f>
        <v>0</v>
      </c>
      <c r="G252" s="605">
        <f>IF(OR($BN252&gt;0, $BP252&gt;0), 1, 0)</f>
        <v>0</v>
      </c>
      <c r="H252" s="605">
        <f>IF(OR($BQ252&gt;0, $BS252&gt;0), 1, 0)</f>
        <v>0</v>
      </c>
      <c r="I252" s="605">
        <f>IF(OR($BT252&gt;0, $BV252&gt;0), 1, 0)</f>
        <v>0</v>
      </c>
      <c r="J252" s="605">
        <f>IF(OR($BW252&gt;0, $BY252&gt;0), 1, 0)</f>
        <v>0</v>
      </c>
      <c r="K252" s="605">
        <f>IF(OR($BZ252&gt;0, $CB252&gt;0), 1, 0)</f>
        <v>0</v>
      </c>
      <c r="L252" s="605">
        <f>IF(OR($CC252&gt;0, $CE252&gt;0), 1, 0)</f>
        <v>0</v>
      </c>
      <c r="M252" s="605">
        <f>IF(OR($CF252&gt;0, $CH252&gt;0), 1, 0)</f>
        <v>0</v>
      </c>
      <c r="N252" s="605">
        <f>IF(OR($CI252&gt;0, $CK252&gt;0), 1, 0)</f>
        <v>0</v>
      </c>
      <c r="O252" s="605">
        <f>IF(OR($CL252&gt;0, $CN252&gt;0), 1, 0)</f>
        <v>0</v>
      </c>
      <c r="P252" s="604">
        <f>IF(OR($CO252&gt;0, $CQ252&gt;0), 1, 0)</f>
        <v>0</v>
      </c>
      <c r="Q252" s="604">
        <f>IF(OR($CR252&gt;0, $CT252&gt;0), 1, 0)</f>
        <v>0</v>
      </c>
      <c r="R252" s="604">
        <f>IF(OR($CU252&gt;0, $CW252&gt;0), 1, 0)</f>
        <v>0</v>
      </c>
      <c r="S252" s="604">
        <f>IF(OR($CX252&gt;0, $CZ252&gt;0), 1, 0)</f>
        <v>0</v>
      </c>
      <c r="T252" s="604">
        <f>IF(OR($DA252&gt;0, $DC252&gt;0), 1, 0)</f>
        <v>0</v>
      </c>
      <c r="U252" s="603">
        <f>IF(OR($AI252&gt;0,$AM252&gt;0,$AS252&gt;0), 1, 0)</f>
        <v>0</v>
      </c>
      <c r="V252" s="602" t="str">
        <f>[1]BDD!A242</f>
        <v>3870- 3828- 3890</v>
      </c>
      <c r="W252" s="601" t="str">
        <f>[1]BDD!B242</f>
        <v>Tomate Raf (Puri) rayée noire</v>
      </c>
      <c r="X252" s="600" t="str">
        <f>IF([1]BDD!F242=0, "", [1]BDD!F242)</f>
        <v/>
      </c>
      <c r="Y252" s="542">
        <f>ROUND([1]BDD!G242+FDP_CMD_KG, 2)</f>
        <v>4.01</v>
      </c>
      <c r="Z252" s="542">
        <f>ROUND([1]BDD!G242+FDP_FACT_KG, 2)</f>
        <v>4.01</v>
      </c>
      <c r="AA252" s="543" t="str">
        <f>[1]BDD!H242</f>
        <v>kg</v>
      </c>
      <c r="AB252" s="544">
        <f>IF(NOT(ISBLANK([1]BDD!I242)), ROUND(SUM(([1]BDD!G242*reduc1),FDP_CMD_KG), 2), "")</f>
        <v>3.7</v>
      </c>
      <c r="AC252" s="544">
        <f>IF(NOT(ISBLANK([1]BDD!J242)), ROUND(SUM(([1]BDD!G242*reduc2),FDP_CMD_KG), 2), "")</f>
        <v>3.39</v>
      </c>
      <c r="AD252" s="544" t="str">
        <f>IF(NOT(ISBLANK([1]BDD!K242)), ROUND(SUM(([1]BDD!G242*reduc3),FDP_CMD_KG), 2), "")</f>
        <v/>
      </c>
      <c r="AE252" s="544">
        <f>IF(NOT(ISBLANK([1]BDD!I242)), ROUND(SUM(([1]BDD!G242*reduc1),FDP_FACT_KG), 2), "")</f>
        <v>3.69</v>
      </c>
      <c r="AF252" s="544">
        <f>IF(NOT(ISBLANK([1]BDD!J242)), ROUND(SUM(([1]BDD!G242*reduc2),FDP_FACT_KG), 2), "")</f>
        <v>3.38</v>
      </c>
      <c r="AG252" s="544" t="str">
        <f>IF(NOT(ISBLANK([1]BDD!K242)), ROUND(SUM(([1]BDD!G242*reduc3),FDP_FACT_KG), 2), "")</f>
        <v/>
      </c>
      <c r="AH252" s="599" t="str">
        <f>[1]BDD!C242</f>
        <v>Grenade</v>
      </c>
      <c r="AI252" s="598">
        <f>SUM(AV252,AY252,BB252,BE252,BH252,BK252,BN252,BQ252,BT252,BW252,BZ252,CC252,CF252,CI252,CL252,CO252,CR252,CU252,CX252,DA252)</f>
        <v>0</v>
      </c>
      <c r="AJ252" s="545">
        <f>_xlfn.IFS($AD252&lt;&gt;"", $AD252,    $AC252&lt;&gt;"", $AC252,    $AB252&lt;&gt;"", $AB252,    TRUE, $Y252)</f>
        <v>3.39</v>
      </c>
      <c r="AK252" s="592">
        <f>$AI252*$AJ252</f>
        <v>0</v>
      </c>
      <c r="AL252" s="594"/>
      <c r="AM252" s="597"/>
      <c r="AN252" s="545">
        <f>_xlfn.IFS(AND(AM252&gt;=60,$AG252&lt;&gt;""), $AG252,    AND(AM252&gt;=30,$AF252&lt;&gt;""), $AF252,    AND(AM252&gt;=10,$AE252&lt;&gt;""), $AE252,    TRUE, $Z252)</f>
        <v>4.01</v>
      </c>
      <c r="AO252" s="596">
        <f>AM252*AN252</f>
        <v>0</v>
      </c>
      <c r="AP252" s="595"/>
      <c r="AQ252" s="595"/>
      <c r="AR252" s="594"/>
      <c r="AS252" s="593">
        <f>SUM(AW252,AZ252,BC252,BF252,BI252,BL252,BO252,BR252,BU252,BX252,CA252,CD252,CG252,CJ252,CM252,CP252,CS252,CV252,CY252,DB252)</f>
        <v>0</v>
      </c>
      <c r="AT252" s="545">
        <f>_xlfn.IFS(AND(AS252&gt;=60,$AG252&lt;&gt;""), $AG252,    AND(AS252&gt;=30,$AF252&lt;&gt;""), $AF252,    AND(AS252&gt;=10,$AE252&lt;&gt;""), $AE252,    TRUE, $Z252)</f>
        <v>4.01</v>
      </c>
      <c r="AU252" s="592">
        <f>$AS252*$AT252</f>
        <v>0</v>
      </c>
      <c r="AV252" s="591">
        <f>[1]COMMANDE!O250</f>
        <v>0</v>
      </c>
      <c r="AW252" s="586" t="str">
        <f>_xlfn.IFS(AND($AI252=$AM252,$AI252&gt;0,$AM252&gt;0,AV252&gt;0), AV252,     AND(NOT($AI252=$AM252),$AI252&gt;0,$AM252&gt;0,AV252&gt;0), ($AM252*AV252)/$AI252,     AND($AI252=0,$AM252&gt;0,$AQ252&gt;0), IF(INDEX(AV$12:AV$263,MATCH($AQ252,$AP$12:$AP$263,0))&gt;0,($AM252*INDEX(AV$12:AV$263,MATCH($AQ252,$AP$12:$AP$263,0)))/INDEX($AI$12:$AI$263,MATCH($AQ252,$AP$12:$AP$263,0)), "-"),     TRUE, "0")</f>
        <v>0</v>
      </c>
      <c r="AX252" s="588">
        <f>IF(AW$9&gt;0, IF(OR(AW252="",AW252="-"), 0, AW252*$AT252), AV252*$AJ252)</f>
        <v>0</v>
      </c>
      <c r="AY252" s="587">
        <f>[1]COMMANDE!Q250</f>
        <v>0</v>
      </c>
      <c r="AZ252" s="586" t="str">
        <f>_xlfn.IFS(AND($AI252=$AM252,$AI252&gt;0,$AM252&gt;0,AY252&gt;0), AY252,     AND(NOT($AI252=$AM252),$AI252&gt;0,$AM252&gt;0,AY252&gt;0), ($AM252*AY252)/$AI252,     AND($AI252=0,$AM252&gt;0,$AQ252&gt;0), IF(INDEX(AY$12:AY$263,MATCH($AQ252,$AP$12:$AP$263,0))&gt;0,($AM252*INDEX(AY$12:AY$263,MATCH($AQ252,$AP$12:$AP$263,0)))/INDEX($AI$12:$AI$263,MATCH($AQ252,$AP$12:$AP$263,0)), "-"),     TRUE, "0")</f>
        <v>0</v>
      </c>
      <c r="BA252" s="607">
        <f>IF(AZ$9&gt;0, IF(OR(AZ252="",AZ252="-"), 0, AZ252*$AT252), AY252*$AJ252)</f>
        <v>0</v>
      </c>
      <c r="BB252" s="589">
        <f>[1]COMMANDE!S250</f>
        <v>0</v>
      </c>
      <c r="BC252" s="586" t="str">
        <f>_xlfn.IFS(AND($AI252=$AM252,$AI252&gt;0,$AM252&gt;0,BB252&gt;0), BB252,     AND(NOT($AI252=$AM252),$AI252&gt;0,$AM252&gt;0,BB252&gt;0), ($AM252*BB252)/$AI252,     AND($AI252=0,$AM252&gt;0,$AQ252&gt;0), IF(INDEX(BB$12:BB$263,MATCH($AQ252,$AP$12:$AP$263,0))&gt;0,($AM252*INDEX(BB$12:BB$263,MATCH($AQ252,$AP$12:$AP$263,0)))/INDEX($AI$12:$AI$263,MATCH($AQ252,$AP$12:$AP$263,0)), "-"),     TRUE, "0")</f>
        <v>0</v>
      </c>
      <c r="BD252" s="588">
        <f>IF(BC$9&gt;0, IF(OR(BC252="",BC252="-"), 0, BC252*$AT252), BB252*$AJ252)</f>
        <v>0</v>
      </c>
      <c r="BE252" s="587">
        <f>[1]COMMANDE!U250</f>
        <v>0</v>
      </c>
      <c r="BF252" s="586" t="str">
        <f>_xlfn.IFS(AND($AI252=$AM252,$AI252&gt;0,$AM252&gt;0,BE252&gt;0), BE252,     AND(NOT($AI252=$AM252),$AI252&gt;0,$AM252&gt;0,BE252&gt;0), ($AM252*BE252)/$AI252,     AND($AI252=0,$AM252&gt;0,$AQ252&gt;0), IF(INDEX(BE$12:BE$263,MATCH($AQ252,$AP$12:$AP$263,0))&gt;0,($AM252*INDEX(BE$12:BE$263,MATCH($AQ252,$AP$12:$AP$263,0)))/INDEX($AI$12:$AI$263,MATCH($AQ252,$AP$12:$AP$263,0)), "-"),     TRUE, "0")</f>
        <v>0</v>
      </c>
      <c r="BG252" s="607">
        <f>IF(BF$9&gt;0, IF(OR(BF252="",BF252="-"), 0, BF252*$AT252), BE252*$AJ252)</f>
        <v>0</v>
      </c>
      <c r="BH252" s="589">
        <f>[1]COMMANDE!W250</f>
        <v>0</v>
      </c>
      <c r="BI252" s="586" t="str">
        <f>_xlfn.IFS(AND($AI252=$AM252,$AI252&gt;0,$AM252&gt;0,BH252&gt;0), BH252,     AND(NOT($AI252=$AM252),$AI252&gt;0,$AM252&gt;0,BH252&gt;0), ($AM252*BH252)/$AI252,     AND($AI252=0,$AM252&gt;0,$AQ252&gt;0), IF(INDEX(BH$12:BH$263,MATCH($AQ252,$AP$12:$AP$263,0))&gt;0,($AM252*INDEX(BH$12:BH$263,MATCH($AQ252,$AP$12:$AP$263,0)))/INDEX($AI$12:$AI$263,MATCH($AQ252,$AP$12:$AP$263,0)), "-"),     TRUE, "0")</f>
        <v>0</v>
      </c>
      <c r="BJ252" s="588">
        <f>IF(BI$9&gt;0, IF(OR(BI252="",BI252="-"), 0, BI252*$AT252), BH252*$AJ252)</f>
        <v>0</v>
      </c>
      <c r="BK252" s="587">
        <f>[1]COMMANDE!Y250</f>
        <v>0</v>
      </c>
      <c r="BL252" s="586" t="str">
        <f>_xlfn.IFS(AND($AI252=$AM252,$AI252&gt;0,$AM252&gt;0,BK252&gt;0), BK252,     AND(NOT($AI252=$AM252),$AI252&gt;0,$AM252&gt;0,BK252&gt;0), ($AM252*BK252)/$AI252,     AND($AI252=0,$AM252&gt;0,$AQ252&gt;0), IF(INDEX(BK$12:BK$263,MATCH($AQ252,$AP$12:$AP$263,0))&gt;0,($AM252*INDEX(BK$12:BK$263,MATCH($AQ252,$AP$12:$AP$263,0)))/INDEX($AI$12:$AI$263,MATCH($AQ252,$AP$12:$AP$263,0)), "-"),     TRUE, "0")</f>
        <v>0</v>
      </c>
      <c r="BM252" s="607">
        <f>IF(BL$9&gt;0, IF(OR(BL252="",BL252="-"), 0, BL252*$AT252), BK252*$AJ252)</f>
        <v>0</v>
      </c>
      <c r="BN252" s="589">
        <f>[1]COMMANDE!AA250</f>
        <v>0</v>
      </c>
      <c r="BO252" s="586" t="str">
        <f>_xlfn.IFS(AND($AI252=$AM252,$AI252&gt;0,$AM252&gt;0,BN252&gt;0), BN252,     AND(NOT($AI252=$AM252),$AI252&gt;0,$AM252&gt;0,BN252&gt;0), ($AM252*BN252)/$AI252,     AND($AI252=0,$AM252&gt;0,$AQ252&gt;0), IF(INDEX(BN$12:BN$263,MATCH($AQ252,$AP$12:$AP$263,0))&gt;0,($AM252*INDEX(BN$12:BN$263,MATCH($AQ252,$AP$12:$AP$263,0)))/INDEX($AI$12:$AI$263,MATCH($AQ252,$AP$12:$AP$263,0)), "-"),     TRUE, "0")</f>
        <v>0</v>
      </c>
      <c r="BP252" s="588">
        <f>IF(BO$9&gt;0, IF(OR(BO252="",BO252="-"), 0, BO252*$AT252), BN252*$AJ252)</f>
        <v>0</v>
      </c>
      <c r="BQ252" s="587">
        <f>[1]COMMANDE!AC250</f>
        <v>0</v>
      </c>
      <c r="BR252" s="586" t="str">
        <f>_xlfn.IFS(AND($AI252=$AM252,$AI252&gt;0,$AM252&gt;0,BQ252&gt;0), BQ252,     AND(NOT($AI252=$AM252),$AI252&gt;0,$AM252&gt;0,BQ252&gt;0), ($AM252*BQ252)/$AI252,     AND($AI252=0,$AM252&gt;0,$AQ252&gt;0), IF(INDEX(BQ$12:BQ$263,MATCH($AQ252,$AP$12:$AP$263,0))&gt;0,($AM252*INDEX(BQ$12:BQ$263,MATCH($AQ252,$AP$12:$AP$263,0)))/INDEX($AI$12:$AI$263,MATCH($AQ252,$AP$12:$AP$263,0)), "-"),     TRUE, "0")</f>
        <v>0</v>
      </c>
      <c r="BS252" s="607">
        <f>IF(BR$9&gt;0, IF(OR(BR252="",BR252="-"), 0, BR252*$AT252), BQ252*$AJ252)</f>
        <v>0</v>
      </c>
      <c r="BT252" s="589">
        <f>[1]COMMANDE!AE250</f>
        <v>0</v>
      </c>
      <c r="BU252" s="586" t="str">
        <f>_xlfn.IFS(AND($AI252=$AM252,$AI252&gt;0,$AM252&gt;0,BT252&gt;0), BT252,     AND(NOT($AI252=$AM252),$AI252&gt;0,$AM252&gt;0,BT252&gt;0), ($AM252*BT252)/$AI252,     AND($AI252=0,$AM252&gt;0,$AQ252&gt;0), IF(INDEX(BT$12:BT$263,MATCH($AQ252,$AP$12:$AP$263,0))&gt;0,($AM252*INDEX(BT$12:BT$263,MATCH($AQ252,$AP$12:$AP$263,0)))/INDEX($AI$12:$AI$263,MATCH($AQ252,$AP$12:$AP$263,0)), "-"),     TRUE, "0")</f>
        <v>0</v>
      </c>
      <c r="BV252" s="588">
        <f>IF(BU$9&gt;0, IF(OR(BU252="",BU252="-"), 0, BU252*$AT252), BT252*$AJ252)</f>
        <v>0</v>
      </c>
      <c r="BW252" s="587">
        <f>[1]COMMANDE!AG250</f>
        <v>0</v>
      </c>
      <c r="BX252" s="586" t="str">
        <f>_xlfn.IFS(AND($AI252=$AM252,$AI252&gt;0,$AM252&gt;0,BW252&gt;0), BW252,     AND(NOT($AI252=$AM252),$AI252&gt;0,$AM252&gt;0,BW252&gt;0), ($AM252*BW252)/$AI252,     AND($AI252=0,$AM252&gt;0,$AQ252&gt;0), IF(INDEX(BW$12:BW$263,MATCH($AQ252,$AP$12:$AP$263,0))&gt;0,($AM252*INDEX(BW$12:BW$263,MATCH($AQ252,$AP$12:$AP$263,0)))/INDEX($AI$12:$AI$263,MATCH($AQ252,$AP$12:$AP$263,0)), "-"),     TRUE, "0")</f>
        <v>0</v>
      </c>
      <c r="BY252" s="607">
        <f>IF(BX$9&gt;0, IF(OR(BX252="",BX252="-"), 0, BX252*$AT252), BW252*$AJ252)</f>
        <v>0</v>
      </c>
      <c r="BZ252" s="589">
        <f>[1]COMMANDE!AI250</f>
        <v>0</v>
      </c>
      <c r="CA252" s="586" t="str">
        <f>_xlfn.IFS(AND($AI252=$AM252,$AI252&gt;0,$AM252&gt;0,BZ252&gt;0), BZ252,     AND(NOT($AI252=$AM252),$AI252&gt;0,$AM252&gt;0,BZ252&gt;0), ($AM252*BZ252)/$AI252,     AND($AI252=0,$AM252&gt;0,$AQ252&gt;0), IF(INDEX(BZ$12:BZ$263,MATCH($AQ252,$AP$12:$AP$263,0))&gt;0,($AM252*INDEX(BZ$12:BZ$263,MATCH($AQ252,$AP$12:$AP$263,0)))/INDEX($AI$12:$AI$263,MATCH($AQ252,$AP$12:$AP$263,0)), "-"),     TRUE, "0")</f>
        <v>0</v>
      </c>
      <c r="CB252" s="588">
        <f>IF(CA$9&gt;0, IF(OR(CA252="",CA252="-"), 0, CA252*$AT252), BZ252*$AJ252)</f>
        <v>0</v>
      </c>
      <c r="CC252" s="587">
        <f>[1]COMMANDE!AK250</f>
        <v>0</v>
      </c>
      <c r="CD252" s="586" t="str">
        <f>_xlfn.IFS(AND($AI252=$AM252,$AI252&gt;0,$AM252&gt;0,CC252&gt;0), CC252,     AND(NOT($AI252=$AM252),$AI252&gt;0,$AM252&gt;0,CC252&gt;0), ($AM252*CC252)/$AI252,     AND($AI252=0,$AM252&gt;0,$AQ252&gt;0), IF(INDEX(CC$12:CC$263,MATCH($AQ252,$AP$12:$AP$263,0))&gt;0,($AM252*INDEX(CC$12:CC$263,MATCH($AQ252,$AP$12:$AP$263,0)))/INDEX($AI$12:$AI$263,MATCH($AQ252,$AP$12:$AP$263,0)), "-"),     TRUE, "0")</f>
        <v>0</v>
      </c>
      <c r="CE252" s="607">
        <f>IF(CD$9&gt;0, IF(OR(CD252="",CD252="-"), 0, CD252*$AT252), CC252*$AJ252)</f>
        <v>0</v>
      </c>
      <c r="CF252" s="589">
        <f>[1]COMMANDE!AM250</f>
        <v>0</v>
      </c>
      <c r="CG252" s="586" t="str">
        <f>_xlfn.IFS(AND($AI252=$AM252,$AI252&gt;0,$AM252&gt;0,CF252&gt;0), CF252,     AND(NOT($AI252=$AM252),$AI252&gt;0,$AM252&gt;0,CF252&gt;0), ($AM252*CF252)/$AI252,     AND($AI252=0,$AM252&gt;0,$AQ252&gt;0), IF(INDEX(CF$12:CF$263,MATCH($AQ252,$AP$12:$AP$263,0))&gt;0,($AM252*INDEX(CF$12:CF$263,MATCH($AQ252,$AP$12:$AP$263,0)))/INDEX($AI$12:$AI$263,MATCH($AQ252,$AP$12:$AP$263,0)), "-"),     TRUE, "0")</f>
        <v>0</v>
      </c>
      <c r="CH252" s="588">
        <f>IF(CG$9&gt;0, IF(OR(CG252="",CG252="-"), 0, CG252*$AT252), CF252*$AJ252)</f>
        <v>0</v>
      </c>
      <c r="CI252" s="587">
        <f>[1]COMMANDE!AO250</f>
        <v>0</v>
      </c>
      <c r="CJ252" s="586" t="str">
        <f>_xlfn.IFS(AND($AI252=$AM252,$AI252&gt;0,$AM252&gt;0,CI252&gt;0), CI252,     AND(NOT($AI252=$AM252),$AI252&gt;0,$AM252&gt;0,CI252&gt;0), ($AM252*CI252)/$AI252,     AND($AI252=0,$AM252&gt;0,$AQ252&gt;0), IF(INDEX(CI$12:CI$263,MATCH($AQ252,$AP$12:$AP$263,0))&gt;0,($AM252*INDEX(CI$12:CI$263,MATCH($AQ252,$AP$12:$AP$263,0)))/INDEX($AI$12:$AI$263,MATCH($AQ252,$AP$12:$AP$263,0)), "-"),     TRUE, "0")</f>
        <v>0</v>
      </c>
      <c r="CK252" s="607">
        <f>IF(CJ$9&gt;0, IF(OR(CJ252="",CJ252="-"), 0, CJ252*$AT252), CI252*$AJ252)</f>
        <v>0</v>
      </c>
      <c r="CL252" s="589">
        <f>[1]COMMANDE!AQ250</f>
        <v>0</v>
      </c>
      <c r="CM252" s="586" t="str">
        <f>_xlfn.IFS(AND($AI252=$AM252,$AI252&gt;0,$AM252&gt;0,CL252&gt;0), CL252,     AND(NOT($AI252=$AM252),$AI252&gt;0,$AM252&gt;0,CL252&gt;0), ($AM252*CL252)/$AI252,     AND($AI252=0,$AM252&gt;0,$AQ252&gt;0), IF(INDEX(CL$12:CL$263,MATCH($AQ252,$AP$12:$AP$263,0))&gt;0,($AM252*INDEX(CL$12:CL$263,MATCH($AQ252,$AP$12:$AP$263,0)))/INDEX($AI$12:$AI$263,MATCH($AQ252,$AP$12:$AP$263,0)), "-"),     TRUE, "0")</f>
        <v>0</v>
      </c>
      <c r="CN252" s="588">
        <f>IF(CM$9&gt;0, IF(OR(CM252="",CM252="-"), 0, CM252*$AT252), CL252*$AJ252)</f>
        <v>0</v>
      </c>
      <c r="CO252" s="587">
        <f>[1]COMMANDE!AS250</f>
        <v>0</v>
      </c>
      <c r="CP252" s="586" t="str">
        <f>_xlfn.IFS(AND($AI252=$AM252,$AI252&gt;0,$AM252&gt;0,CO252&gt;0), CO252,     AND(NOT($AI252=$AM252),$AI252&gt;0,$AM252&gt;0,CO252&gt;0), ($AM252*CO252)/$AI252,     AND($AI252=0,$AM252&gt;0,$AQ252&gt;0), IF(INDEX(CO$12:CO$263,MATCH($AQ252,$AP$12:$AP$263,0))&gt;0,($AM252*INDEX(CO$12:CO$263,MATCH($AQ252,$AP$12:$AP$263,0)))/INDEX($AI$12:$AI$263,MATCH($AQ252,$AP$12:$AP$263,0)), "-"),     TRUE, "0")</f>
        <v>0</v>
      </c>
      <c r="CQ252" s="607">
        <f>IF(CP$9&gt;0, IF(OR(CP252="",CP252="-"), 0, CP252*$AT252), CO252*$AJ252)</f>
        <v>0</v>
      </c>
      <c r="CR252" s="589">
        <f>[1]COMMANDE!AU250</f>
        <v>0</v>
      </c>
      <c r="CS252" s="586" t="str">
        <f>_xlfn.IFS(AND($AI252=$AM252,$AI252&gt;0,$AM252&gt;0,CR252&gt;0), CR252,     AND(NOT($AI252=$AM252),$AI252&gt;0,$AM252&gt;0,CR252&gt;0), ($AM252*CR252)/$AI252,     AND($AI252=0,$AM252&gt;0,$AQ252&gt;0), IF(INDEX(CR$12:CR$263,MATCH($AQ252,$AP$12:$AP$263,0))&gt;0,($AM252*INDEX(CR$12:CR$263,MATCH($AQ252,$AP$12:$AP$263,0)))/INDEX($AI$12:$AI$263,MATCH($AQ252,$AP$12:$AP$263,0)), "-"),     TRUE, "0")</f>
        <v>0</v>
      </c>
      <c r="CT252" s="588">
        <f>IF(CS$9&gt;0, IF(OR(CS252="",CS252="-"), 0, CS252*$AT252), CR252*$AJ252)</f>
        <v>0</v>
      </c>
      <c r="CU252" s="587">
        <f>[1]COMMANDE!AW250</f>
        <v>0</v>
      </c>
      <c r="CV252" s="586" t="str">
        <f>_xlfn.IFS(AND($AI252=$AM252,$AI252&gt;0,$AM252&gt;0,CU252&gt;0), CU252,     AND(NOT($AI252=$AM252),$AI252&gt;0,$AM252&gt;0,CU252&gt;0), ($AM252*CU252)/$AI252,     AND($AI252=0,$AM252&gt;0,$AQ252&gt;0), IF(INDEX(CU$12:CU$263,MATCH($AQ252,$AP$12:$AP$263,0))&gt;0,($AM252*INDEX(CU$12:CU$263,MATCH($AQ252,$AP$12:$AP$263,0)))/INDEX($AI$12:$AI$263,MATCH($AQ252,$AP$12:$AP$263,0)), "-"),     TRUE, "0")</f>
        <v>0</v>
      </c>
      <c r="CW252" s="607">
        <f>IF(CV$9&gt;0, IF(OR(CV252="",CV252="-"), 0, CV252*$AT252), CU252*$AJ252)</f>
        <v>0</v>
      </c>
      <c r="CX252" s="589">
        <f>[1]COMMANDE!AY250</f>
        <v>0</v>
      </c>
      <c r="CY252" s="586" t="str">
        <f>_xlfn.IFS(AND($AI252=$AM252,$AI252&gt;0,$AM252&gt;0,CX252&gt;0), CX252,     AND(NOT($AI252=$AM252),$AI252&gt;0,$AM252&gt;0,CX252&gt;0), ($AM252*CX252)/$AI252,     AND($AI252=0,$AM252&gt;0,$AQ252&gt;0), IF(INDEX(CX$12:CX$263,MATCH($AQ252,$AP$12:$AP$263,0))&gt;0,($AM252*INDEX(CX$12:CX$263,MATCH($AQ252,$AP$12:$AP$263,0)))/INDEX($AI$12:$AI$263,MATCH($AQ252,$AP$12:$AP$263,0)), "-"),     TRUE, "0")</f>
        <v>0</v>
      </c>
      <c r="CZ252" s="588">
        <f>IF(CY$9&gt;0, IF(OR(CY252="",CY252="-"), 0, CY252*$AT252), CX252*$AJ252)</f>
        <v>0</v>
      </c>
      <c r="DA252" s="587">
        <f>[1]COMMANDE!BA250</f>
        <v>0</v>
      </c>
      <c r="DB252" s="586" t="str">
        <f>_xlfn.IFS(AND($AI252=$AM252,$AI252&gt;0,$AM252&gt;0,DA252&gt;0), DA252,     AND(NOT($AI252=$AM252),$AI252&gt;0,$AM252&gt;0,DA252&gt;0), ($AM252*DA252)/$AI252,     AND($AI252=0,$AM252&gt;0,$AQ252&gt;0), IF(INDEX(DA$12:DA$263,MATCH($AQ252,$AP$12:$AP$263,0))&gt;0,($AM252*INDEX(DA$12:DA$263,MATCH($AQ252,$AP$12:$AP$263,0)))/INDEX($AI$12:$AI$263,MATCH($AQ252,$AP$12:$AP$263,0)), "-"),     TRUE, "0")</f>
        <v>0</v>
      </c>
      <c r="DC252" s="606">
        <f>IF(DB$9&gt;0, IF(OR(DB252="",DB252="-"), 0, DB252*$AT252), DA252*$AJ252)</f>
        <v>0</v>
      </c>
      <c r="DD252" s="584"/>
      <c r="DE252" s="583"/>
    </row>
    <row r="253" spans="1:109" ht="39.950000000000003" hidden="1" customHeight="1">
      <c r="A253" s="605">
        <f>IF(OR($AV253&gt;0, $AX253&gt;0), 1, 0)</f>
        <v>0</v>
      </c>
      <c r="B253" s="605">
        <f>IF(OR($AY253&gt;0, $BA253&gt;0), 1, 0)</f>
        <v>0</v>
      </c>
      <c r="C253" s="605">
        <f>IF(OR($BB253&gt;0, $BD253&gt;0), 1, 0)</f>
        <v>0</v>
      </c>
      <c r="D253" s="605">
        <f>IF(OR($BE253&gt;0, $BG253&gt;0), 1, 0)</f>
        <v>0</v>
      </c>
      <c r="E253" s="605">
        <f>IF(OR($BH253&gt;0, $BJ253&gt;0), 1, 0)</f>
        <v>0</v>
      </c>
      <c r="F253" s="605">
        <f>IF(OR($BK253&gt;0, $BM253&gt;0), 1, 0)</f>
        <v>0</v>
      </c>
      <c r="G253" s="605">
        <f>IF(OR($BN253&gt;0, $BP253&gt;0), 1, 0)</f>
        <v>0</v>
      </c>
      <c r="H253" s="605">
        <f>IF(OR($BQ253&gt;0, $BS253&gt;0), 1, 0)</f>
        <v>0</v>
      </c>
      <c r="I253" s="605">
        <f>IF(OR($BT253&gt;0, $BV253&gt;0), 1, 0)</f>
        <v>0</v>
      </c>
      <c r="J253" s="605">
        <f>IF(OR($BW253&gt;0, $BY253&gt;0), 1, 0)</f>
        <v>0</v>
      </c>
      <c r="K253" s="605">
        <f>IF(OR($BZ253&gt;0, $CB253&gt;0), 1, 0)</f>
        <v>0</v>
      </c>
      <c r="L253" s="605">
        <f>IF(OR($CC253&gt;0, $CE253&gt;0), 1, 0)</f>
        <v>0</v>
      </c>
      <c r="M253" s="605">
        <f>IF(OR($CF253&gt;0, $CH253&gt;0), 1, 0)</f>
        <v>0</v>
      </c>
      <c r="N253" s="605">
        <f>IF(OR($CI253&gt;0, $CK253&gt;0), 1, 0)</f>
        <v>0</v>
      </c>
      <c r="O253" s="605">
        <f>IF(OR($CL253&gt;0, $CN253&gt;0), 1, 0)</f>
        <v>0</v>
      </c>
      <c r="P253" s="604">
        <f>IF(OR($CO253&gt;0, $CQ253&gt;0), 1, 0)</f>
        <v>0</v>
      </c>
      <c r="Q253" s="604">
        <f>IF(OR($CR253&gt;0, $CT253&gt;0), 1, 0)</f>
        <v>0</v>
      </c>
      <c r="R253" s="604">
        <f>IF(OR($CU253&gt;0, $CW253&gt;0), 1, 0)</f>
        <v>0</v>
      </c>
      <c r="S253" s="604">
        <f>IF(OR($CX253&gt;0, $CZ253&gt;0), 1, 0)</f>
        <v>0</v>
      </c>
      <c r="T253" s="604">
        <f>IF(OR($DA253&gt;0, $DC253&gt;0), 1, 0)</f>
        <v>0</v>
      </c>
      <c r="U253" s="603">
        <f>IF(OR($AI253&gt;0,$AM253&gt;0,$AS253&gt;0), 1, 0)</f>
        <v>0</v>
      </c>
      <c r="V253" s="602">
        <f>[1]BDD!A243</f>
        <v>3783</v>
      </c>
      <c r="W253" s="601" t="str">
        <f>[1]BDD!B243</f>
        <v>Xylitol (sucre de bouleau) (env. 1kg)</v>
      </c>
      <c r="X253" s="600" t="str">
        <f>IF([1]BDD!F243=0, "", [1]BDD!F243)</f>
        <v/>
      </c>
      <c r="Y253" s="542">
        <f>ROUND([1]BDD!G243+FDP_CMD_KG, 2)</f>
        <v>25.5</v>
      </c>
      <c r="Z253" s="542">
        <f>ROUND([1]BDD!G243+FDP_FACT_KG, 2)</f>
        <v>25.5</v>
      </c>
      <c r="AA253" s="543" t="str">
        <f>[1]BDD!H243</f>
        <v>Pièce</v>
      </c>
      <c r="AB253" s="544">
        <f>IF(NOT(ISBLANK([1]BDD!I243)), ROUND(SUM(([1]BDD!G243*reduc1),FDP_CMD_KG), 2), "")</f>
        <v>23.04</v>
      </c>
      <c r="AC253" s="544" t="str">
        <f>IF(NOT(ISBLANK([1]BDD!J243)), ROUND(SUM(([1]BDD!G243*reduc2),FDP_CMD_KG), 2), "")</f>
        <v/>
      </c>
      <c r="AD253" s="544" t="str">
        <f>IF(NOT(ISBLANK([1]BDD!K243)), ROUND(SUM(([1]BDD!G243*reduc3),FDP_CMD_KG), 2), "")</f>
        <v/>
      </c>
      <c r="AE253" s="544">
        <f>IF(NOT(ISBLANK([1]BDD!I243)), ROUND(SUM(([1]BDD!G243*reduc1),FDP_FACT_KG), 2), "")</f>
        <v>23.03</v>
      </c>
      <c r="AF253" s="544" t="str">
        <f>IF(NOT(ISBLANK([1]BDD!J243)), ROUND(SUM(([1]BDD!G243*reduc2),FDP_FACT_KG), 2), "")</f>
        <v/>
      </c>
      <c r="AG253" s="544" t="str">
        <f>IF(NOT(ISBLANK([1]BDD!K243)), ROUND(SUM(([1]BDD!G243*reduc3),FDP_FACT_KG), 2), "")</f>
        <v/>
      </c>
      <c r="AH253" s="599" t="str">
        <f>[1]BDD!C243</f>
        <v>Pérou</v>
      </c>
      <c r="AI253" s="598">
        <f>SUM(AV253,AY253,BB253,BE253,BH253,BK253,BN253,BQ253,BT253,BW253,BZ253,CC253,CF253,CI253,CL253,CO253,CR253,CU253,CX253,DA253)</f>
        <v>0</v>
      </c>
      <c r="AJ253" s="545">
        <f>_xlfn.IFS($AD253&lt;&gt;"", $AD253,    $AC253&lt;&gt;"", $AC253,    $AB253&lt;&gt;"", $AB253,    TRUE, $Y253)</f>
        <v>23.04</v>
      </c>
      <c r="AK253" s="592">
        <f>$AI253*$AJ253</f>
        <v>0</v>
      </c>
      <c r="AL253" s="594"/>
      <c r="AM253" s="597"/>
      <c r="AN253" s="545">
        <f>_xlfn.IFS(AND(AM253&gt;=60,$AG253&lt;&gt;""), $AG253,    AND(AM253&gt;=30,$AF253&lt;&gt;""), $AF253,    AND(AM253&gt;=10,$AE253&lt;&gt;""), $AE253,    TRUE, $Z253)</f>
        <v>25.5</v>
      </c>
      <c r="AO253" s="596">
        <f>AM253*AN253</f>
        <v>0</v>
      </c>
      <c r="AP253" s="595"/>
      <c r="AQ253" s="595"/>
      <c r="AR253" s="594"/>
      <c r="AS253" s="593">
        <f>SUM(AW253,AZ253,BC253,BF253,BI253,BL253,BO253,BR253,BU253,BX253,CA253,CD253,CG253,CJ253,CM253,CP253,CS253,CV253,CY253,DB253)</f>
        <v>0</v>
      </c>
      <c r="AT253" s="545">
        <f>_xlfn.IFS(AND(AS253&gt;=60,$AG253&lt;&gt;""), $AG253,    AND(AS253&gt;=30,$AF253&lt;&gt;""), $AF253,    AND(AS253&gt;=10,$AE253&lt;&gt;""), $AE253,    TRUE, $Z253)</f>
        <v>25.5</v>
      </c>
      <c r="AU253" s="592">
        <f>$AS253*$AT253</f>
        <v>0</v>
      </c>
      <c r="AV253" s="591">
        <f>[1]COMMANDE!O251</f>
        <v>0</v>
      </c>
      <c r="AW253" s="586" t="str">
        <f>_xlfn.IFS(AND($AI253=$AM253,$AI253&gt;0,$AM253&gt;0,AV253&gt;0), AV253,     AND(NOT($AI253=$AM253),$AI253&gt;0,$AM253&gt;0,AV253&gt;0), ($AM253*AV253)/$AI253,     AND($AI253=0,$AM253&gt;0,$AQ253&gt;0), IF(INDEX(AV$12:AV$263,MATCH($AQ253,$AP$12:$AP$263,0))&gt;0,($AM253*INDEX(AV$12:AV$263,MATCH($AQ253,$AP$12:$AP$263,0)))/INDEX($AI$12:$AI$263,MATCH($AQ253,$AP$12:$AP$263,0)), "-"),     TRUE, "0")</f>
        <v>0</v>
      </c>
      <c r="AX253" s="588">
        <f>IF(AW$9&gt;0, IF(OR(AW253="",AW253="-"), 0, AW253*$AT253), AV253*$AJ253)</f>
        <v>0</v>
      </c>
      <c r="AY253" s="587">
        <f>[1]COMMANDE!Q251</f>
        <v>0</v>
      </c>
      <c r="AZ253" s="586" t="str">
        <f>_xlfn.IFS(AND($AI253=$AM253,$AI253&gt;0,$AM253&gt;0,AY253&gt;0), AY253,     AND(NOT($AI253=$AM253),$AI253&gt;0,$AM253&gt;0,AY253&gt;0), ($AM253*AY253)/$AI253,     AND($AI253=0,$AM253&gt;0,$AQ253&gt;0), IF(INDEX(AY$12:AY$263,MATCH($AQ253,$AP$12:$AP$263,0))&gt;0,($AM253*INDEX(AY$12:AY$263,MATCH($AQ253,$AP$12:$AP$263,0)))/INDEX($AI$12:$AI$263,MATCH($AQ253,$AP$12:$AP$263,0)), "-"),     TRUE, "0")</f>
        <v>0</v>
      </c>
      <c r="BA253" s="607">
        <f>IF(AZ$9&gt;0, IF(OR(AZ253="",AZ253="-"), 0, AZ253*$AT253), AY253*$AJ253)</f>
        <v>0</v>
      </c>
      <c r="BB253" s="589">
        <f>[1]COMMANDE!S251</f>
        <v>0</v>
      </c>
      <c r="BC253" s="586" t="str">
        <f>_xlfn.IFS(AND($AI253=$AM253,$AI253&gt;0,$AM253&gt;0,BB253&gt;0), BB253,     AND(NOT($AI253=$AM253),$AI253&gt;0,$AM253&gt;0,BB253&gt;0), ($AM253*BB253)/$AI253,     AND($AI253=0,$AM253&gt;0,$AQ253&gt;0), IF(INDEX(BB$12:BB$263,MATCH($AQ253,$AP$12:$AP$263,0))&gt;0,($AM253*INDEX(BB$12:BB$263,MATCH($AQ253,$AP$12:$AP$263,0)))/INDEX($AI$12:$AI$263,MATCH($AQ253,$AP$12:$AP$263,0)), "-"),     TRUE, "0")</f>
        <v>0</v>
      </c>
      <c r="BD253" s="588">
        <f>IF(BC$9&gt;0, IF(OR(BC253="",BC253="-"), 0, BC253*$AT253), BB253*$AJ253)</f>
        <v>0</v>
      </c>
      <c r="BE253" s="587">
        <f>[1]COMMANDE!U251</f>
        <v>0</v>
      </c>
      <c r="BF253" s="586" t="str">
        <f>_xlfn.IFS(AND($AI253=$AM253,$AI253&gt;0,$AM253&gt;0,BE253&gt;0), BE253,     AND(NOT($AI253=$AM253),$AI253&gt;0,$AM253&gt;0,BE253&gt;0), ($AM253*BE253)/$AI253,     AND($AI253=0,$AM253&gt;0,$AQ253&gt;0), IF(INDEX(BE$12:BE$263,MATCH($AQ253,$AP$12:$AP$263,0))&gt;0,($AM253*INDEX(BE$12:BE$263,MATCH($AQ253,$AP$12:$AP$263,0)))/INDEX($AI$12:$AI$263,MATCH($AQ253,$AP$12:$AP$263,0)), "-"),     TRUE, "0")</f>
        <v>0</v>
      </c>
      <c r="BG253" s="607">
        <f>IF(BF$9&gt;0, IF(OR(BF253="",BF253="-"), 0, BF253*$AT253), BE253*$AJ253)</f>
        <v>0</v>
      </c>
      <c r="BH253" s="589">
        <f>[1]COMMANDE!W251</f>
        <v>0</v>
      </c>
      <c r="BI253" s="586" t="str">
        <f>_xlfn.IFS(AND($AI253=$AM253,$AI253&gt;0,$AM253&gt;0,BH253&gt;0), BH253,     AND(NOT($AI253=$AM253),$AI253&gt;0,$AM253&gt;0,BH253&gt;0), ($AM253*BH253)/$AI253,     AND($AI253=0,$AM253&gt;0,$AQ253&gt;0), IF(INDEX(BH$12:BH$263,MATCH($AQ253,$AP$12:$AP$263,0))&gt;0,($AM253*INDEX(BH$12:BH$263,MATCH($AQ253,$AP$12:$AP$263,0)))/INDEX($AI$12:$AI$263,MATCH($AQ253,$AP$12:$AP$263,0)), "-"),     TRUE, "0")</f>
        <v>0</v>
      </c>
      <c r="BJ253" s="588">
        <f>IF(BI$9&gt;0, IF(OR(BI253="",BI253="-"), 0, BI253*$AT253), BH253*$AJ253)</f>
        <v>0</v>
      </c>
      <c r="BK253" s="587">
        <f>[1]COMMANDE!Y251</f>
        <v>0</v>
      </c>
      <c r="BL253" s="586" t="str">
        <f>_xlfn.IFS(AND($AI253=$AM253,$AI253&gt;0,$AM253&gt;0,BK253&gt;0), BK253,     AND(NOT($AI253=$AM253),$AI253&gt;0,$AM253&gt;0,BK253&gt;0), ($AM253*BK253)/$AI253,     AND($AI253=0,$AM253&gt;0,$AQ253&gt;0), IF(INDEX(BK$12:BK$263,MATCH($AQ253,$AP$12:$AP$263,0))&gt;0,($AM253*INDEX(BK$12:BK$263,MATCH($AQ253,$AP$12:$AP$263,0)))/INDEX($AI$12:$AI$263,MATCH($AQ253,$AP$12:$AP$263,0)), "-"),     TRUE, "0")</f>
        <v>0</v>
      </c>
      <c r="BM253" s="607">
        <f>IF(BL$9&gt;0, IF(OR(BL253="",BL253="-"), 0, BL253*$AT253), BK253*$AJ253)</f>
        <v>0</v>
      </c>
      <c r="BN253" s="589">
        <f>[1]COMMANDE!AA251</f>
        <v>0</v>
      </c>
      <c r="BO253" s="586" t="str">
        <f>_xlfn.IFS(AND($AI253=$AM253,$AI253&gt;0,$AM253&gt;0,BN253&gt;0), BN253,     AND(NOT($AI253=$AM253),$AI253&gt;0,$AM253&gt;0,BN253&gt;0), ($AM253*BN253)/$AI253,     AND($AI253=0,$AM253&gt;0,$AQ253&gt;0), IF(INDEX(BN$12:BN$263,MATCH($AQ253,$AP$12:$AP$263,0))&gt;0,($AM253*INDEX(BN$12:BN$263,MATCH($AQ253,$AP$12:$AP$263,0)))/INDEX($AI$12:$AI$263,MATCH($AQ253,$AP$12:$AP$263,0)), "-"),     TRUE, "0")</f>
        <v>0</v>
      </c>
      <c r="BP253" s="588">
        <f>IF(BO$9&gt;0, IF(OR(BO253="",BO253="-"), 0, BO253*$AT253), BN253*$AJ253)</f>
        <v>0</v>
      </c>
      <c r="BQ253" s="587">
        <f>[1]COMMANDE!AC251</f>
        <v>0</v>
      </c>
      <c r="BR253" s="586" t="str">
        <f>_xlfn.IFS(AND($AI253=$AM253,$AI253&gt;0,$AM253&gt;0,BQ253&gt;0), BQ253,     AND(NOT($AI253=$AM253),$AI253&gt;0,$AM253&gt;0,BQ253&gt;0), ($AM253*BQ253)/$AI253,     AND($AI253=0,$AM253&gt;0,$AQ253&gt;0), IF(INDEX(BQ$12:BQ$263,MATCH($AQ253,$AP$12:$AP$263,0))&gt;0,($AM253*INDEX(BQ$12:BQ$263,MATCH($AQ253,$AP$12:$AP$263,0)))/INDEX($AI$12:$AI$263,MATCH($AQ253,$AP$12:$AP$263,0)), "-"),     TRUE, "0")</f>
        <v>0</v>
      </c>
      <c r="BS253" s="607">
        <f>IF(BR$9&gt;0, IF(OR(BR253="",BR253="-"), 0, BR253*$AT253), BQ253*$AJ253)</f>
        <v>0</v>
      </c>
      <c r="BT253" s="589">
        <f>[1]COMMANDE!AE251</f>
        <v>0</v>
      </c>
      <c r="BU253" s="586" t="str">
        <f>_xlfn.IFS(AND($AI253=$AM253,$AI253&gt;0,$AM253&gt;0,BT253&gt;0), BT253,     AND(NOT($AI253=$AM253),$AI253&gt;0,$AM253&gt;0,BT253&gt;0), ($AM253*BT253)/$AI253,     AND($AI253=0,$AM253&gt;0,$AQ253&gt;0), IF(INDEX(BT$12:BT$263,MATCH($AQ253,$AP$12:$AP$263,0))&gt;0,($AM253*INDEX(BT$12:BT$263,MATCH($AQ253,$AP$12:$AP$263,0)))/INDEX($AI$12:$AI$263,MATCH($AQ253,$AP$12:$AP$263,0)), "-"),     TRUE, "0")</f>
        <v>0</v>
      </c>
      <c r="BV253" s="588">
        <f>IF(BU$9&gt;0, IF(OR(BU253="",BU253="-"), 0, BU253*$AT253), BT253*$AJ253)</f>
        <v>0</v>
      </c>
      <c r="BW253" s="587">
        <f>[1]COMMANDE!AG251</f>
        <v>0</v>
      </c>
      <c r="BX253" s="586" t="str">
        <f>_xlfn.IFS(AND($AI253=$AM253,$AI253&gt;0,$AM253&gt;0,BW253&gt;0), BW253,     AND(NOT($AI253=$AM253),$AI253&gt;0,$AM253&gt;0,BW253&gt;0), ($AM253*BW253)/$AI253,     AND($AI253=0,$AM253&gt;0,$AQ253&gt;0), IF(INDEX(BW$12:BW$263,MATCH($AQ253,$AP$12:$AP$263,0))&gt;0,($AM253*INDEX(BW$12:BW$263,MATCH($AQ253,$AP$12:$AP$263,0)))/INDEX($AI$12:$AI$263,MATCH($AQ253,$AP$12:$AP$263,0)), "-"),     TRUE, "0")</f>
        <v>0</v>
      </c>
      <c r="BY253" s="607">
        <f>IF(BX$9&gt;0, IF(OR(BX253="",BX253="-"), 0, BX253*$AT253), BW253*$AJ253)</f>
        <v>0</v>
      </c>
      <c r="BZ253" s="589">
        <f>[1]COMMANDE!AI251</f>
        <v>0</v>
      </c>
      <c r="CA253" s="586" t="str">
        <f>_xlfn.IFS(AND($AI253=$AM253,$AI253&gt;0,$AM253&gt;0,BZ253&gt;0), BZ253,     AND(NOT($AI253=$AM253),$AI253&gt;0,$AM253&gt;0,BZ253&gt;0), ($AM253*BZ253)/$AI253,     AND($AI253=0,$AM253&gt;0,$AQ253&gt;0), IF(INDEX(BZ$12:BZ$263,MATCH($AQ253,$AP$12:$AP$263,0))&gt;0,($AM253*INDEX(BZ$12:BZ$263,MATCH($AQ253,$AP$12:$AP$263,0)))/INDEX($AI$12:$AI$263,MATCH($AQ253,$AP$12:$AP$263,0)), "-"),     TRUE, "0")</f>
        <v>0</v>
      </c>
      <c r="CB253" s="588">
        <f>IF(CA$9&gt;0, IF(OR(CA253="",CA253="-"), 0, CA253*$AT253), BZ253*$AJ253)</f>
        <v>0</v>
      </c>
      <c r="CC253" s="587">
        <f>[1]COMMANDE!AK251</f>
        <v>0</v>
      </c>
      <c r="CD253" s="586" t="str">
        <f>_xlfn.IFS(AND($AI253=$AM253,$AI253&gt;0,$AM253&gt;0,CC253&gt;0), CC253,     AND(NOT($AI253=$AM253),$AI253&gt;0,$AM253&gt;0,CC253&gt;0), ($AM253*CC253)/$AI253,     AND($AI253=0,$AM253&gt;0,$AQ253&gt;0), IF(INDEX(CC$12:CC$263,MATCH($AQ253,$AP$12:$AP$263,0))&gt;0,($AM253*INDEX(CC$12:CC$263,MATCH($AQ253,$AP$12:$AP$263,0)))/INDEX($AI$12:$AI$263,MATCH($AQ253,$AP$12:$AP$263,0)), "-"),     TRUE, "0")</f>
        <v>0</v>
      </c>
      <c r="CE253" s="607">
        <f>IF(CD$9&gt;0, IF(OR(CD253="",CD253="-"), 0, CD253*$AT253), CC253*$AJ253)</f>
        <v>0</v>
      </c>
      <c r="CF253" s="589">
        <f>[1]COMMANDE!AM251</f>
        <v>0</v>
      </c>
      <c r="CG253" s="586" t="str">
        <f>_xlfn.IFS(AND($AI253=$AM253,$AI253&gt;0,$AM253&gt;0,CF253&gt;0), CF253,     AND(NOT($AI253=$AM253),$AI253&gt;0,$AM253&gt;0,CF253&gt;0), ($AM253*CF253)/$AI253,     AND($AI253=0,$AM253&gt;0,$AQ253&gt;0), IF(INDEX(CF$12:CF$263,MATCH($AQ253,$AP$12:$AP$263,0))&gt;0,($AM253*INDEX(CF$12:CF$263,MATCH($AQ253,$AP$12:$AP$263,0)))/INDEX($AI$12:$AI$263,MATCH($AQ253,$AP$12:$AP$263,0)), "-"),     TRUE, "0")</f>
        <v>0</v>
      </c>
      <c r="CH253" s="588">
        <f>IF(CG$9&gt;0, IF(OR(CG253="",CG253="-"), 0, CG253*$AT253), CF253*$AJ253)</f>
        <v>0</v>
      </c>
      <c r="CI253" s="587">
        <f>[1]COMMANDE!AO251</f>
        <v>0</v>
      </c>
      <c r="CJ253" s="586" t="str">
        <f>_xlfn.IFS(AND($AI253=$AM253,$AI253&gt;0,$AM253&gt;0,CI253&gt;0), CI253,     AND(NOT($AI253=$AM253),$AI253&gt;0,$AM253&gt;0,CI253&gt;0), ($AM253*CI253)/$AI253,     AND($AI253=0,$AM253&gt;0,$AQ253&gt;0), IF(INDEX(CI$12:CI$263,MATCH($AQ253,$AP$12:$AP$263,0))&gt;0,($AM253*INDEX(CI$12:CI$263,MATCH($AQ253,$AP$12:$AP$263,0)))/INDEX($AI$12:$AI$263,MATCH($AQ253,$AP$12:$AP$263,0)), "-"),     TRUE, "0")</f>
        <v>0</v>
      </c>
      <c r="CK253" s="607">
        <f>IF(CJ$9&gt;0, IF(OR(CJ253="",CJ253="-"), 0, CJ253*$AT253), CI253*$AJ253)</f>
        <v>0</v>
      </c>
      <c r="CL253" s="589">
        <f>[1]COMMANDE!AQ251</f>
        <v>0</v>
      </c>
      <c r="CM253" s="586" t="str">
        <f>_xlfn.IFS(AND($AI253=$AM253,$AI253&gt;0,$AM253&gt;0,CL253&gt;0), CL253,     AND(NOT($AI253=$AM253),$AI253&gt;0,$AM253&gt;0,CL253&gt;0), ($AM253*CL253)/$AI253,     AND($AI253=0,$AM253&gt;0,$AQ253&gt;0), IF(INDEX(CL$12:CL$263,MATCH($AQ253,$AP$12:$AP$263,0))&gt;0,($AM253*INDEX(CL$12:CL$263,MATCH($AQ253,$AP$12:$AP$263,0)))/INDEX($AI$12:$AI$263,MATCH($AQ253,$AP$12:$AP$263,0)), "-"),     TRUE, "0")</f>
        <v>0</v>
      </c>
      <c r="CN253" s="588">
        <f>IF(CM$9&gt;0, IF(OR(CM253="",CM253="-"), 0, CM253*$AT253), CL253*$AJ253)</f>
        <v>0</v>
      </c>
      <c r="CO253" s="587">
        <f>[1]COMMANDE!AS251</f>
        <v>0</v>
      </c>
      <c r="CP253" s="586" t="str">
        <f>_xlfn.IFS(AND($AI253=$AM253,$AI253&gt;0,$AM253&gt;0,CO253&gt;0), CO253,     AND(NOT($AI253=$AM253),$AI253&gt;0,$AM253&gt;0,CO253&gt;0), ($AM253*CO253)/$AI253,     AND($AI253=0,$AM253&gt;0,$AQ253&gt;0), IF(INDEX(CO$12:CO$263,MATCH($AQ253,$AP$12:$AP$263,0))&gt;0,($AM253*INDEX(CO$12:CO$263,MATCH($AQ253,$AP$12:$AP$263,0)))/INDEX($AI$12:$AI$263,MATCH($AQ253,$AP$12:$AP$263,0)), "-"),     TRUE, "0")</f>
        <v>0</v>
      </c>
      <c r="CQ253" s="607">
        <f>IF(CP$9&gt;0, IF(OR(CP253="",CP253="-"), 0, CP253*$AT253), CO253*$AJ253)</f>
        <v>0</v>
      </c>
      <c r="CR253" s="589">
        <f>[1]COMMANDE!AU251</f>
        <v>0</v>
      </c>
      <c r="CS253" s="586" t="str">
        <f>_xlfn.IFS(AND($AI253=$AM253,$AI253&gt;0,$AM253&gt;0,CR253&gt;0), CR253,     AND(NOT($AI253=$AM253),$AI253&gt;0,$AM253&gt;0,CR253&gt;0), ($AM253*CR253)/$AI253,     AND($AI253=0,$AM253&gt;0,$AQ253&gt;0), IF(INDEX(CR$12:CR$263,MATCH($AQ253,$AP$12:$AP$263,0))&gt;0,($AM253*INDEX(CR$12:CR$263,MATCH($AQ253,$AP$12:$AP$263,0)))/INDEX($AI$12:$AI$263,MATCH($AQ253,$AP$12:$AP$263,0)), "-"),     TRUE, "0")</f>
        <v>0</v>
      </c>
      <c r="CT253" s="588">
        <f>IF(CS$9&gt;0, IF(OR(CS253="",CS253="-"), 0, CS253*$AT253), CR253*$AJ253)</f>
        <v>0</v>
      </c>
      <c r="CU253" s="587">
        <f>[1]COMMANDE!AW251</f>
        <v>0</v>
      </c>
      <c r="CV253" s="586" t="str">
        <f>_xlfn.IFS(AND($AI253=$AM253,$AI253&gt;0,$AM253&gt;0,CU253&gt;0), CU253,     AND(NOT($AI253=$AM253),$AI253&gt;0,$AM253&gt;0,CU253&gt;0), ($AM253*CU253)/$AI253,     AND($AI253=0,$AM253&gt;0,$AQ253&gt;0), IF(INDEX(CU$12:CU$263,MATCH($AQ253,$AP$12:$AP$263,0))&gt;0,($AM253*INDEX(CU$12:CU$263,MATCH($AQ253,$AP$12:$AP$263,0)))/INDEX($AI$12:$AI$263,MATCH($AQ253,$AP$12:$AP$263,0)), "-"),     TRUE, "0")</f>
        <v>0</v>
      </c>
      <c r="CW253" s="607">
        <f>IF(CV$9&gt;0, IF(OR(CV253="",CV253="-"), 0, CV253*$AT253), CU253*$AJ253)</f>
        <v>0</v>
      </c>
      <c r="CX253" s="589">
        <f>[1]COMMANDE!AY251</f>
        <v>0</v>
      </c>
      <c r="CY253" s="586" t="str">
        <f>_xlfn.IFS(AND($AI253=$AM253,$AI253&gt;0,$AM253&gt;0,CX253&gt;0), CX253,     AND(NOT($AI253=$AM253),$AI253&gt;0,$AM253&gt;0,CX253&gt;0), ($AM253*CX253)/$AI253,     AND($AI253=0,$AM253&gt;0,$AQ253&gt;0), IF(INDEX(CX$12:CX$263,MATCH($AQ253,$AP$12:$AP$263,0))&gt;0,($AM253*INDEX(CX$12:CX$263,MATCH($AQ253,$AP$12:$AP$263,0)))/INDEX($AI$12:$AI$263,MATCH($AQ253,$AP$12:$AP$263,0)), "-"),     TRUE, "0")</f>
        <v>0</v>
      </c>
      <c r="CZ253" s="588">
        <f>IF(CY$9&gt;0, IF(OR(CY253="",CY253="-"), 0, CY253*$AT253), CX253*$AJ253)</f>
        <v>0</v>
      </c>
      <c r="DA253" s="587">
        <f>[1]COMMANDE!BA251</f>
        <v>0</v>
      </c>
      <c r="DB253" s="586" t="str">
        <f>_xlfn.IFS(AND($AI253=$AM253,$AI253&gt;0,$AM253&gt;0,DA253&gt;0), DA253,     AND(NOT($AI253=$AM253),$AI253&gt;0,$AM253&gt;0,DA253&gt;0), ($AM253*DA253)/$AI253,     AND($AI253=0,$AM253&gt;0,$AQ253&gt;0), IF(INDEX(DA$12:DA$263,MATCH($AQ253,$AP$12:$AP$263,0))&gt;0,($AM253*INDEX(DA$12:DA$263,MATCH($AQ253,$AP$12:$AP$263,0)))/INDEX($AI$12:$AI$263,MATCH($AQ253,$AP$12:$AP$263,0)), "-"),     TRUE, "0")</f>
        <v>0</v>
      </c>
      <c r="DC253" s="606">
        <f>IF(DB$9&gt;0, IF(OR(DB253="",DB253="-"), 0, DB253*$AT253), DA253*$AJ253)</f>
        <v>0</v>
      </c>
      <c r="DD253" s="584"/>
      <c r="DE253" s="583"/>
    </row>
    <row r="254" spans="1:109" ht="39.950000000000003" hidden="1" customHeight="1">
      <c r="A254" s="604">
        <f>IF(OR($AV254&gt;0, $AX254&gt;0), 1, 0)</f>
        <v>0</v>
      </c>
      <c r="B254" s="604">
        <f>IF(OR($AY254&gt;0, $BA254&gt;0), 1, 0)</f>
        <v>0</v>
      </c>
      <c r="C254" s="604">
        <f>IF(OR($BB254&gt;0, $BD254&gt;0), 1, 0)</f>
        <v>0</v>
      </c>
      <c r="D254" s="604">
        <f>IF(OR($BE254&gt;0, $BG254&gt;0), 1, 0)</f>
        <v>0</v>
      </c>
      <c r="E254" s="604">
        <f>IF(OR($BH254&gt;0, $BJ254&gt;0), 1, 0)</f>
        <v>0</v>
      </c>
      <c r="F254" s="604">
        <f>IF(OR($BK254&gt;0, $BM254&gt;0), 1, 0)</f>
        <v>0</v>
      </c>
      <c r="G254" s="604">
        <f>IF(OR($BN254&gt;0, $BP254&gt;0), 1, 0)</f>
        <v>0</v>
      </c>
      <c r="H254" s="604">
        <f>IF(OR($BQ254&gt;0, $BS254&gt;0), 1, 0)</f>
        <v>0</v>
      </c>
      <c r="I254" s="604">
        <f>IF(OR($BT254&gt;0, $BV254&gt;0), 1, 0)</f>
        <v>0</v>
      </c>
      <c r="J254" s="604">
        <f>IF(OR($BW254&gt;0, $BY254&gt;0), 1, 0)</f>
        <v>0</v>
      </c>
      <c r="K254" s="604">
        <f>IF(OR($BZ254&gt;0, $CB254&gt;0), 1, 0)</f>
        <v>0</v>
      </c>
      <c r="L254" s="604">
        <f>IF(OR($CC254&gt;0, $CE254&gt;0), 1, 0)</f>
        <v>0</v>
      </c>
      <c r="M254" s="604">
        <f>IF(OR($CF254&gt;0, $CH254&gt;0), 1, 0)</f>
        <v>0</v>
      </c>
      <c r="N254" s="604">
        <f>IF(OR($CI254&gt;0, $CK254&gt;0), 1, 0)</f>
        <v>0</v>
      </c>
      <c r="O254" s="604">
        <f>IF(OR($CL254&gt;0, $CN254&gt;0), 1, 0)</f>
        <v>0</v>
      </c>
      <c r="P254" s="604">
        <f>IF(OR($CO254&gt;0, $CQ254&gt;0), 1, 0)</f>
        <v>0</v>
      </c>
      <c r="Q254" s="604">
        <f>IF(OR($CR254&gt;0, $CT254&gt;0), 1, 0)</f>
        <v>0</v>
      </c>
      <c r="R254" s="604">
        <f>IF(OR($CU254&gt;0, $CW254&gt;0), 1, 0)</f>
        <v>0</v>
      </c>
      <c r="S254" s="604">
        <f>IF(OR($CX254&gt;0, $CZ254&gt;0), 1, 0)</f>
        <v>0</v>
      </c>
      <c r="T254" s="604">
        <f>IF(OR($DA254&gt;0, $DC254&gt;0), 1, 0)</f>
        <v>0</v>
      </c>
      <c r="U254" s="603">
        <f>IF(OR($AI254&gt;0,$AM254&gt;0,$AS254&gt;0), 1, 0)</f>
        <v>0</v>
      </c>
      <c r="V254" s="602">
        <f>[1]BDD!A244</f>
        <v>0</v>
      </c>
      <c r="W254" s="601">
        <f>[1]BDD!B244</f>
        <v>0</v>
      </c>
      <c r="X254" s="600" t="str">
        <f>IF([1]BDD!F244=0, "", [1]BDD!F244)</f>
        <v/>
      </c>
      <c r="Y254" s="542">
        <f>ROUND([1]BDD!G244+FDP_CMD_KG, 2)</f>
        <v>0.87</v>
      </c>
      <c r="Z254" s="542">
        <f>ROUND([1]BDD!G244+FDP_FACT_KG, 2)</f>
        <v>0.87</v>
      </c>
      <c r="AA254" s="543">
        <f>[1]BDD!H244</f>
        <v>0</v>
      </c>
      <c r="AB254" s="544" t="str">
        <f>IF(NOT(ISBLANK([1]BDD!I244)), ROUND(SUM(([1]BDD!G244*reduc1),FDP_CMD_KG), 2), "")</f>
        <v/>
      </c>
      <c r="AC254" s="544" t="str">
        <f>IF(NOT(ISBLANK([1]BDD!J244)), ROUND(SUM(([1]BDD!G244*reduc2),FDP_CMD_KG), 2), "")</f>
        <v/>
      </c>
      <c r="AD254" s="544" t="str">
        <f>IF(NOT(ISBLANK([1]BDD!K244)), ROUND(SUM(([1]BDD!G244*reduc3),FDP_CMD_KG), 2), "")</f>
        <v/>
      </c>
      <c r="AE254" s="544" t="str">
        <f>IF(NOT(ISBLANK([1]BDD!I244)), ROUND(SUM(([1]BDD!G244*reduc1),FDP_FACT_KG), 2), "")</f>
        <v/>
      </c>
      <c r="AF254" s="544" t="str">
        <f>IF(NOT(ISBLANK([1]BDD!J244)), ROUND(SUM(([1]BDD!G244*reduc2),FDP_FACT_KG), 2), "")</f>
        <v/>
      </c>
      <c r="AG254" s="544" t="str">
        <f>IF(NOT(ISBLANK([1]BDD!K244)), ROUND(SUM(([1]BDD!G244*reduc3),FDP_FACT_KG), 2), "")</f>
        <v/>
      </c>
      <c r="AH254" s="599">
        <f>[1]BDD!C244</f>
        <v>0</v>
      </c>
      <c r="AI254" s="598">
        <f>SUM(AV254,AY254,BB254,BE254,BH254,BK254,BN254,BQ254,BT254,BW254,BZ254,CC254,CF254,CI254,CL254,CO254,CR254,CU254,CX254,DA254)</f>
        <v>0</v>
      </c>
      <c r="AJ254" s="545">
        <f>_xlfn.IFS($AD254&lt;&gt;"", $AD254,    $AC254&lt;&gt;"", $AC254,    $AB254&lt;&gt;"", $AB254,    TRUE, $Y254)</f>
        <v>0.87</v>
      </c>
      <c r="AK254" s="592">
        <f>$AI254*$AJ254</f>
        <v>0</v>
      </c>
      <c r="AL254" s="594"/>
      <c r="AM254" s="597"/>
      <c r="AN254" s="545">
        <f>_xlfn.IFS(AND(AM254&gt;=60,$AG254&lt;&gt;""), $AG254,    AND(AM254&gt;=30,$AF254&lt;&gt;""), $AF254,    AND(AM254&gt;=10,$AE254&lt;&gt;""), $AE254,    TRUE, $Z254)</f>
        <v>0.87</v>
      </c>
      <c r="AO254" s="596">
        <f>AM254*AN254</f>
        <v>0</v>
      </c>
      <c r="AP254" s="595"/>
      <c r="AQ254" s="595"/>
      <c r="AR254" s="594"/>
      <c r="AS254" s="593">
        <f>SUM(AW254,AZ254,BC254,BF254,BI254,BL254,BO254,BR254,BU254,BX254,CA254,CD254,CG254,CJ254,CM254,CP254,CS254,CV254,CY254,DB254)</f>
        <v>0</v>
      </c>
      <c r="AT254" s="545">
        <f>_xlfn.IFS(AND(AS254&gt;=60,$AG254&lt;&gt;""), $AG254,    AND(AS254&gt;=30,$AF254&lt;&gt;""), $AF254,    AND(AS254&gt;=10,$AE254&lt;&gt;""), $AE254,    TRUE, $Z254)</f>
        <v>0.87</v>
      </c>
      <c r="AU254" s="592">
        <f>$AS254*$AT254</f>
        <v>0</v>
      </c>
      <c r="AV254" s="591">
        <f>[1]COMMANDE!O252</f>
        <v>0</v>
      </c>
      <c r="AW254" s="586" t="str">
        <f>_xlfn.IFS(AND($AI254=$AM254,$AI254&gt;0,$AM254&gt;0,AV254&gt;0), AV254,     AND(NOT($AI254=$AM254),$AI254&gt;0,$AM254&gt;0,AV254&gt;0), ($AM254*AV254)/$AI254,     AND($AI254=0,$AM254&gt;0,$AQ254&gt;0), IF(INDEX(AV$12:AV$263,MATCH($AQ254,$AP$12:$AP$263,0))&gt;0,($AM254*INDEX(AV$12:AV$263,MATCH($AQ254,$AP$12:$AP$263,0)))/INDEX($AI$12:$AI$263,MATCH($AQ254,$AP$12:$AP$263,0)), "-"),     TRUE, "0")</f>
        <v>0</v>
      </c>
      <c r="AX254" s="588">
        <f>IF(AW$9&gt;0, IF(OR(AW254="",AW254="-"), 0, AW254*$AT254), AV254*$AJ254)</f>
        <v>0</v>
      </c>
      <c r="AY254" s="587">
        <f>[1]COMMANDE!Q252</f>
        <v>0</v>
      </c>
      <c r="AZ254" s="586" t="str">
        <f>_xlfn.IFS(AND($AI254=$AM254,$AI254&gt;0,$AM254&gt;0,AY254&gt;0), AY254,     AND(NOT($AI254=$AM254),$AI254&gt;0,$AM254&gt;0,AY254&gt;0), ($AM254*AY254)/$AI254,     AND($AI254=0,$AM254&gt;0,$AQ254&gt;0), IF(INDEX(AY$12:AY$263,MATCH($AQ254,$AP$12:$AP$263,0))&gt;0,($AM254*INDEX(AY$12:AY$263,MATCH($AQ254,$AP$12:$AP$263,0)))/INDEX($AI$12:$AI$263,MATCH($AQ254,$AP$12:$AP$263,0)), "-"),     TRUE, "0")</f>
        <v>0</v>
      </c>
      <c r="BA254" s="607">
        <f>IF(AZ$9&gt;0, IF(OR(AZ254="",AZ254="-"), 0, AZ254*$AT254), AY254*$AJ254)</f>
        <v>0</v>
      </c>
      <c r="BB254" s="589">
        <f>[1]COMMANDE!S252</f>
        <v>0</v>
      </c>
      <c r="BC254" s="586" t="str">
        <f>_xlfn.IFS(AND($AI254=$AM254,$AI254&gt;0,$AM254&gt;0,BB254&gt;0), BB254,     AND(NOT($AI254=$AM254),$AI254&gt;0,$AM254&gt;0,BB254&gt;0), ($AM254*BB254)/$AI254,     AND($AI254=0,$AM254&gt;0,$AQ254&gt;0), IF(INDEX(BB$12:BB$263,MATCH($AQ254,$AP$12:$AP$263,0))&gt;0,($AM254*INDEX(BB$12:BB$263,MATCH($AQ254,$AP$12:$AP$263,0)))/INDEX($AI$12:$AI$263,MATCH($AQ254,$AP$12:$AP$263,0)), "-"),     TRUE, "0")</f>
        <v>0</v>
      </c>
      <c r="BD254" s="588">
        <f>IF(BC$9&gt;0, IF(OR(BC254="",BC254="-"), 0, BC254*$AT254), BB254*$AJ254)</f>
        <v>0</v>
      </c>
      <c r="BE254" s="587">
        <f>[1]COMMANDE!U252</f>
        <v>0</v>
      </c>
      <c r="BF254" s="586" t="str">
        <f>_xlfn.IFS(AND($AI254=$AM254,$AI254&gt;0,$AM254&gt;0,BE254&gt;0), BE254,     AND(NOT($AI254=$AM254),$AI254&gt;0,$AM254&gt;0,BE254&gt;0), ($AM254*BE254)/$AI254,     AND($AI254=0,$AM254&gt;0,$AQ254&gt;0), IF(INDEX(BE$12:BE$263,MATCH($AQ254,$AP$12:$AP$263,0))&gt;0,($AM254*INDEX(BE$12:BE$263,MATCH($AQ254,$AP$12:$AP$263,0)))/INDEX($AI$12:$AI$263,MATCH($AQ254,$AP$12:$AP$263,0)), "-"),     TRUE, "0")</f>
        <v>0</v>
      </c>
      <c r="BG254" s="607">
        <f>IF(BF$9&gt;0, IF(OR(BF254="",BF254="-"), 0, BF254*$AT254), BE254*$AJ254)</f>
        <v>0</v>
      </c>
      <c r="BH254" s="589">
        <f>[1]COMMANDE!W252</f>
        <v>0</v>
      </c>
      <c r="BI254" s="586" t="str">
        <f>_xlfn.IFS(AND($AI254=$AM254,$AI254&gt;0,$AM254&gt;0,BH254&gt;0), BH254,     AND(NOT($AI254=$AM254),$AI254&gt;0,$AM254&gt;0,BH254&gt;0), ($AM254*BH254)/$AI254,     AND($AI254=0,$AM254&gt;0,$AQ254&gt;0), IF(INDEX(BH$12:BH$263,MATCH($AQ254,$AP$12:$AP$263,0))&gt;0,($AM254*INDEX(BH$12:BH$263,MATCH($AQ254,$AP$12:$AP$263,0)))/INDEX($AI$12:$AI$263,MATCH($AQ254,$AP$12:$AP$263,0)), "-"),     TRUE, "0")</f>
        <v>0</v>
      </c>
      <c r="BJ254" s="588">
        <f>IF(BI$9&gt;0, IF(OR(BI254="",BI254="-"), 0, BI254*$AT254), BH254*$AJ254)</f>
        <v>0</v>
      </c>
      <c r="BK254" s="587">
        <f>[1]COMMANDE!Y252</f>
        <v>0</v>
      </c>
      <c r="BL254" s="586" t="str">
        <f>_xlfn.IFS(AND($AI254=$AM254,$AI254&gt;0,$AM254&gt;0,BK254&gt;0), BK254,     AND(NOT($AI254=$AM254),$AI254&gt;0,$AM254&gt;0,BK254&gt;0), ($AM254*BK254)/$AI254,     AND($AI254=0,$AM254&gt;0,$AQ254&gt;0), IF(INDEX(BK$12:BK$263,MATCH($AQ254,$AP$12:$AP$263,0))&gt;0,($AM254*INDEX(BK$12:BK$263,MATCH($AQ254,$AP$12:$AP$263,0)))/INDEX($AI$12:$AI$263,MATCH($AQ254,$AP$12:$AP$263,0)), "-"),     TRUE, "0")</f>
        <v>0</v>
      </c>
      <c r="BM254" s="607">
        <f>IF(BL$9&gt;0, IF(OR(BL254="",BL254="-"), 0, BL254*$AT254), BK254*$AJ254)</f>
        <v>0</v>
      </c>
      <c r="BN254" s="589">
        <f>[1]COMMANDE!AA252</f>
        <v>0</v>
      </c>
      <c r="BO254" s="586" t="str">
        <f>_xlfn.IFS(AND($AI254=$AM254,$AI254&gt;0,$AM254&gt;0,BN254&gt;0), BN254,     AND(NOT($AI254=$AM254),$AI254&gt;0,$AM254&gt;0,BN254&gt;0), ($AM254*BN254)/$AI254,     AND($AI254=0,$AM254&gt;0,$AQ254&gt;0), IF(INDEX(BN$12:BN$263,MATCH($AQ254,$AP$12:$AP$263,0))&gt;0,($AM254*INDEX(BN$12:BN$263,MATCH($AQ254,$AP$12:$AP$263,0)))/INDEX($AI$12:$AI$263,MATCH($AQ254,$AP$12:$AP$263,0)), "-"),     TRUE, "0")</f>
        <v>0</v>
      </c>
      <c r="BP254" s="588">
        <f>IF(BO$9&gt;0, IF(OR(BO254="",BO254="-"), 0, BO254*$AT254), BN254*$AJ254)</f>
        <v>0</v>
      </c>
      <c r="BQ254" s="587">
        <f>[1]COMMANDE!AC252</f>
        <v>0</v>
      </c>
      <c r="BR254" s="586" t="str">
        <f>_xlfn.IFS(AND($AI254=$AM254,$AI254&gt;0,$AM254&gt;0,BQ254&gt;0), BQ254,     AND(NOT($AI254=$AM254),$AI254&gt;0,$AM254&gt;0,BQ254&gt;0), ($AM254*BQ254)/$AI254,     AND($AI254=0,$AM254&gt;0,$AQ254&gt;0), IF(INDEX(BQ$12:BQ$263,MATCH($AQ254,$AP$12:$AP$263,0))&gt;0,($AM254*INDEX(BQ$12:BQ$263,MATCH($AQ254,$AP$12:$AP$263,0)))/INDEX($AI$12:$AI$263,MATCH($AQ254,$AP$12:$AP$263,0)), "-"),     TRUE, "0")</f>
        <v>0</v>
      </c>
      <c r="BS254" s="607">
        <f>IF(BR$9&gt;0, IF(OR(BR254="",BR254="-"), 0, BR254*$AT254), BQ254*$AJ254)</f>
        <v>0</v>
      </c>
      <c r="BT254" s="589">
        <f>[1]COMMANDE!AE252</f>
        <v>0</v>
      </c>
      <c r="BU254" s="586" t="str">
        <f>_xlfn.IFS(AND($AI254=$AM254,$AI254&gt;0,$AM254&gt;0,BT254&gt;0), BT254,     AND(NOT($AI254=$AM254),$AI254&gt;0,$AM254&gt;0,BT254&gt;0), ($AM254*BT254)/$AI254,     AND($AI254=0,$AM254&gt;0,$AQ254&gt;0), IF(INDEX(BT$12:BT$263,MATCH($AQ254,$AP$12:$AP$263,0))&gt;0,($AM254*INDEX(BT$12:BT$263,MATCH($AQ254,$AP$12:$AP$263,0)))/INDEX($AI$12:$AI$263,MATCH($AQ254,$AP$12:$AP$263,0)), "-"),     TRUE, "0")</f>
        <v>0</v>
      </c>
      <c r="BV254" s="588">
        <f>IF(BU$9&gt;0, IF(OR(BU254="",BU254="-"), 0, BU254*$AT254), BT254*$AJ254)</f>
        <v>0</v>
      </c>
      <c r="BW254" s="587">
        <f>[1]COMMANDE!AG252</f>
        <v>0</v>
      </c>
      <c r="BX254" s="586" t="str">
        <f>_xlfn.IFS(AND($AI254=$AM254,$AI254&gt;0,$AM254&gt;0,BW254&gt;0), BW254,     AND(NOT($AI254=$AM254),$AI254&gt;0,$AM254&gt;0,BW254&gt;0), ($AM254*BW254)/$AI254,     AND($AI254=0,$AM254&gt;0,$AQ254&gt;0), IF(INDEX(BW$12:BW$263,MATCH($AQ254,$AP$12:$AP$263,0))&gt;0,($AM254*INDEX(BW$12:BW$263,MATCH($AQ254,$AP$12:$AP$263,0)))/INDEX($AI$12:$AI$263,MATCH($AQ254,$AP$12:$AP$263,0)), "-"),     TRUE, "0")</f>
        <v>0</v>
      </c>
      <c r="BY254" s="607">
        <f>IF(BX$9&gt;0, IF(OR(BX254="",BX254="-"), 0, BX254*$AT254), BW254*$AJ254)</f>
        <v>0</v>
      </c>
      <c r="BZ254" s="589">
        <f>[1]COMMANDE!AI252</f>
        <v>0</v>
      </c>
      <c r="CA254" s="586" t="str">
        <f>_xlfn.IFS(AND($AI254=$AM254,$AI254&gt;0,$AM254&gt;0,BZ254&gt;0), BZ254,     AND(NOT($AI254=$AM254),$AI254&gt;0,$AM254&gt;0,BZ254&gt;0), ($AM254*BZ254)/$AI254,     AND($AI254=0,$AM254&gt;0,$AQ254&gt;0), IF(INDEX(BZ$12:BZ$263,MATCH($AQ254,$AP$12:$AP$263,0))&gt;0,($AM254*INDEX(BZ$12:BZ$263,MATCH($AQ254,$AP$12:$AP$263,0)))/INDEX($AI$12:$AI$263,MATCH($AQ254,$AP$12:$AP$263,0)), "-"),     TRUE, "0")</f>
        <v>0</v>
      </c>
      <c r="CB254" s="588">
        <f>IF(CA$9&gt;0, IF(OR(CA254="",CA254="-"), 0, CA254*$AT254), BZ254*$AJ254)</f>
        <v>0</v>
      </c>
      <c r="CC254" s="587">
        <f>[1]COMMANDE!AK252</f>
        <v>0</v>
      </c>
      <c r="CD254" s="586" t="str">
        <f>_xlfn.IFS(AND($AI254=$AM254,$AI254&gt;0,$AM254&gt;0,CC254&gt;0), CC254,     AND(NOT($AI254=$AM254),$AI254&gt;0,$AM254&gt;0,CC254&gt;0), ($AM254*CC254)/$AI254,     AND($AI254=0,$AM254&gt;0,$AQ254&gt;0), IF(INDEX(CC$12:CC$263,MATCH($AQ254,$AP$12:$AP$263,0))&gt;0,($AM254*INDEX(CC$12:CC$263,MATCH($AQ254,$AP$12:$AP$263,0)))/INDEX($AI$12:$AI$263,MATCH($AQ254,$AP$12:$AP$263,0)), "-"),     TRUE, "0")</f>
        <v>0</v>
      </c>
      <c r="CE254" s="607">
        <f>IF(CD$9&gt;0, IF(OR(CD254="",CD254="-"), 0, CD254*$AT254), CC254*$AJ254)</f>
        <v>0</v>
      </c>
      <c r="CF254" s="589">
        <f>[1]COMMANDE!AM252</f>
        <v>0</v>
      </c>
      <c r="CG254" s="586" t="str">
        <f>_xlfn.IFS(AND($AI254=$AM254,$AI254&gt;0,$AM254&gt;0,CF254&gt;0), CF254,     AND(NOT($AI254=$AM254),$AI254&gt;0,$AM254&gt;0,CF254&gt;0), ($AM254*CF254)/$AI254,     AND($AI254=0,$AM254&gt;0,$AQ254&gt;0), IF(INDEX(CF$12:CF$263,MATCH($AQ254,$AP$12:$AP$263,0))&gt;0,($AM254*INDEX(CF$12:CF$263,MATCH($AQ254,$AP$12:$AP$263,0)))/INDEX($AI$12:$AI$263,MATCH($AQ254,$AP$12:$AP$263,0)), "-"),     TRUE, "0")</f>
        <v>0</v>
      </c>
      <c r="CH254" s="588">
        <f>IF(CG$9&gt;0, IF(OR(CG254="",CG254="-"), 0, CG254*$AT254), CF254*$AJ254)</f>
        <v>0</v>
      </c>
      <c r="CI254" s="587">
        <f>[1]COMMANDE!AO252</f>
        <v>0</v>
      </c>
      <c r="CJ254" s="586" t="str">
        <f>_xlfn.IFS(AND($AI254=$AM254,$AI254&gt;0,$AM254&gt;0,CI254&gt;0), CI254,     AND(NOT($AI254=$AM254),$AI254&gt;0,$AM254&gt;0,CI254&gt;0), ($AM254*CI254)/$AI254,     AND($AI254=0,$AM254&gt;0,$AQ254&gt;0), IF(INDEX(CI$12:CI$263,MATCH($AQ254,$AP$12:$AP$263,0))&gt;0,($AM254*INDEX(CI$12:CI$263,MATCH($AQ254,$AP$12:$AP$263,0)))/INDEX($AI$12:$AI$263,MATCH($AQ254,$AP$12:$AP$263,0)), "-"),     TRUE, "0")</f>
        <v>0</v>
      </c>
      <c r="CK254" s="607">
        <f>IF(CJ$9&gt;0, IF(OR(CJ254="",CJ254="-"), 0, CJ254*$AT254), CI254*$AJ254)</f>
        <v>0</v>
      </c>
      <c r="CL254" s="589">
        <f>[1]COMMANDE!AQ252</f>
        <v>0</v>
      </c>
      <c r="CM254" s="586" t="str">
        <f>_xlfn.IFS(AND($AI254=$AM254,$AI254&gt;0,$AM254&gt;0,CL254&gt;0), CL254,     AND(NOT($AI254=$AM254),$AI254&gt;0,$AM254&gt;0,CL254&gt;0), ($AM254*CL254)/$AI254,     AND($AI254=0,$AM254&gt;0,$AQ254&gt;0), IF(INDEX(CL$12:CL$263,MATCH($AQ254,$AP$12:$AP$263,0))&gt;0,($AM254*INDEX(CL$12:CL$263,MATCH($AQ254,$AP$12:$AP$263,0)))/INDEX($AI$12:$AI$263,MATCH($AQ254,$AP$12:$AP$263,0)), "-"),     TRUE, "0")</f>
        <v>0</v>
      </c>
      <c r="CN254" s="588">
        <f>IF(CM$9&gt;0, IF(OR(CM254="",CM254="-"), 0, CM254*$AT254), CL254*$AJ254)</f>
        <v>0</v>
      </c>
      <c r="CO254" s="587">
        <f>[1]COMMANDE!AS252</f>
        <v>0</v>
      </c>
      <c r="CP254" s="586" t="str">
        <f>_xlfn.IFS(AND($AI254=$AM254,$AI254&gt;0,$AM254&gt;0,CO254&gt;0), CO254,     AND(NOT($AI254=$AM254),$AI254&gt;0,$AM254&gt;0,CO254&gt;0), ($AM254*CO254)/$AI254,     AND($AI254=0,$AM254&gt;0,$AQ254&gt;0), IF(INDEX(CO$12:CO$263,MATCH($AQ254,$AP$12:$AP$263,0))&gt;0,($AM254*INDEX(CO$12:CO$263,MATCH($AQ254,$AP$12:$AP$263,0)))/INDEX($AI$12:$AI$263,MATCH($AQ254,$AP$12:$AP$263,0)), "-"),     TRUE, "0")</f>
        <v>0</v>
      </c>
      <c r="CQ254" s="607">
        <f>IF(CP$9&gt;0, IF(OR(CP254="",CP254="-"), 0, CP254*$AT254), CO254*$AJ254)</f>
        <v>0</v>
      </c>
      <c r="CR254" s="589">
        <f>[1]COMMANDE!AU252</f>
        <v>0</v>
      </c>
      <c r="CS254" s="586" t="str">
        <f>_xlfn.IFS(AND($AI254=$AM254,$AI254&gt;0,$AM254&gt;0,CR254&gt;0), CR254,     AND(NOT($AI254=$AM254),$AI254&gt;0,$AM254&gt;0,CR254&gt;0), ($AM254*CR254)/$AI254,     AND($AI254=0,$AM254&gt;0,$AQ254&gt;0), IF(INDEX(CR$12:CR$263,MATCH($AQ254,$AP$12:$AP$263,0))&gt;0,($AM254*INDEX(CR$12:CR$263,MATCH($AQ254,$AP$12:$AP$263,0)))/INDEX($AI$12:$AI$263,MATCH($AQ254,$AP$12:$AP$263,0)), "-"),     TRUE, "0")</f>
        <v>0</v>
      </c>
      <c r="CT254" s="588">
        <f>IF(CS$9&gt;0, IF(OR(CS254="",CS254="-"), 0, CS254*$AT254), CR254*$AJ254)</f>
        <v>0</v>
      </c>
      <c r="CU254" s="587">
        <f>[1]COMMANDE!AW252</f>
        <v>0</v>
      </c>
      <c r="CV254" s="586" t="str">
        <f>_xlfn.IFS(AND($AI254=$AM254,$AI254&gt;0,$AM254&gt;0,CU254&gt;0), CU254,     AND(NOT($AI254=$AM254),$AI254&gt;0,$AM254&gt;0,CU254&gt;0), ($AM254*CU254)/$AI254,     AND($AI254=0,$AM254&gt;0,$AQ254&gt;0), IF(INDEX(CU$12:CU$263,MATCH($AQ254,$AP$12:$AP$263,0))&gt;0,($AM254*INDEX(CU$12:CU$263,MATCH($AQ254,$AP$12:$AP$263,0)))/INDEX($AI$12:$AI$263,MATCH($AQ254,$AP$12:$AP$263,0)), "-"),     TRUE, "0")</f>
        <v>0</v>
      </c>
      <c r="CW254" s="607">
        <f>IF(CV$9&gt;0, IF(OR(CV254="",CV254="-"), 0, CV254*$AT254), CU254*$AJ254)</f>
        <v>0</v>
      </c>
      <c r="CX254" s="589">
        <f>[1]COMMANDE!AY252</f>
        <v>0</v>
      </c>
      <c r="CY254" s="586" t="str">
        <f>_xlfn.IFS(AND($AI254=$AM254,$AI254&gt;0,$AM254&gt;0,CX254&gt;0), CX254,     AND(NOT($AI254=$AM254),$AI254&gt;0,$AM254&gt;0,CX254&gt;0), ($AM254*CX254)/$AI254,     AND($AI254=0,$AM254&gt;0,$AQ254&gt;0), IF(INDEX(CX$12:CX$263,MATCH($AQ254,$AP$12:$AP$263,0))&gt;0,($AM254*INDEX(CX$12:CX$263,MATCH($AQ254,$AP$12:$AP$263,0)))/INDEX($AI$12:$AI$263,MATCH($AQ254,$AP$12:$AP$263,0)), "-"),     TRUE, "0")</f>
        <v>0</v>
      </c>
      <c r="CZ254" s="588">
        <f>IF(CY$9&gt;0, IF(OR(CY254="",CY254="-"), 0, CY254*$AT254), CX254*$AJ254)</f>
        <v>0</v>
      </c>
      <c r="DA254" s="587">
        <f>[1]COMMANDE!BA252</f>
        <v>0</v>
      </c>
      <c r="DB254" s="586" t="str">
        <f>_xlfn.IFS(AND($AI254=$AM254,$AI254&gt;0,$AM254&gt;0,DA254&gt;0), DA254,     AND(NOT($AI254=$AM254),$AI254&gt;0,$AM254&gt;0,DA254&gt;0), ($AM254*DA254)/$AI254,     AND($AI254=0,$AM254&gt;0,$AQ254&gt;0), IF(INDEX(DA$12:DA$263,MATCH($AQ254,$AP$12:$AP$263,0))&gt;0,($AM254*INDEX(DA$12:DA$263,MATCH($AQ254,$AP$12:$AP$263,0)))/INDEX($AI$12:$AI$263,MATCH($AQ254,$AP$12:$AP$263,0)), "-"),     TRUE, "0")</f>
        <v>0</v>
      </c>
      <c r="DC254" s="606">
        <f>IF(DB$9&gt;0, IF(OR(DB254="",DB254="-"), 0, DB254*$AT254), DA254*$AJ254)</f>
        <v>0</v>
      </c>
      <c r="DD254" s="584"/>
      <c r="DE254" s="583"/>
    </row>
    <row r="255" spans="1:109" ht="39.950000000000003" hidden="1" customHeight="1">
      <c r="A255" s="605">
        <f>IF(OR($AV255&gt;0, $AX255&gt;0), 1, 0)</f>
        <v>0</v>
      </c>
      <c r="B255" s="605">
        <f>IF(OR($AY255&gt;0, $BA255&gt;0), 1, 0)</f>
        <v>0</v>
      </c>
      <c r="C255" s="605">
        <f>IF(OR($BB255&gt;0, $BD255&gt;0), 1, 0)</f>
        <v>0</v>
      </c>
      <c r="D255" s="605">
        <f>IF(OR($BE255&gt;0, $BG255&gt;0), 1, 0)</f>
        <v>0</v>
      </c>
      <c r="E255" s="605">
        <f>IF(OR($BH255&gt;0, $BJ255&gt;0), 1, 0)</f>
        <v>0</v>
      </c>
      <c r="F255" s="605">
        <f>IF(OR($BK255&gt;0, $BM255&gt;0), 1, 0)</f>
        <v>0</v>
      </c>
      <c r="G255" s="605">
        <f>IF(OR($BN255&gt;0, $BP255&gt;0), 1, 0)</f>
        <v>0</v>
      </c>
      <c r="H255" s="605">
        <f>IF(OR($BQ255&gt;0, $BS255&gt;0), 1, 0)</f>
        <v>0</v>
      </c>
      <c r="I255" s="605">
        <f>IF(OR($BT255&gt;0, $BV255&gt;0), 1, 0)</f>
        <v>0</v>
      </c>
      <c r="J255" s="605">
        <f>IF(OR($BW255&gt;0, $BY255&gt;0), 1, 0)</f>
        <v>0</v>
      </c>
      <c r="K255" s="605">
        <f>IF(OR($BZ255&gt;0, $CB255&gt;0), 1, 0)</f>
        <v>0</v>
      </c>
      <c r="L255" s="605">
        <f>IF(OR($CC255&gt;0, $CE255&gt;0), 1, 0)</f>
        <v>0</v>
      </c>
      <c r="M255" s="605">
        <f>IF(OR($CF255&gt;0, $CH255&gt;0), 1, 0)</f>
        <v>0</v>
      </c>
      <c r="N255" s="605">
        <f>IF(OR($CI255&gt;0, $CK255&gt;0), 1, 0)</f>
        <v>0</v>
      </c>
      <c r="O255" s="605">
        <f>IF(OR($CL255&gt;0, $CN255&gt;0), 1, 0)</f>
        <v>0</v>
      </c>
      <c r="P255" s="604">
        <f>IF(OR($CO255&gt;0, $CQ255&gt;0), 1, 0)</f>
        <v>0</v>
      </c>
      <c r="Q255" s="604">
        <f>IF(OR($CR255&gt;0, $CT255&gt;0), 1, 0)</f>
        <v>0</v>
      </c>
      <c r="R255" s="604">
        <f>IF(OR($CU255&gt;0, $CW255&gt;0), 1, 0)</f>
        <v>0</v>
      </c>
      <c r="S255" s="604">
        <f>IF(OR($CX255&gt;0, $CZ255&gt;0), 1, 0)</f>
        <v>0</v>
      </c>
      <c r="T255" s="604">
        <f>IF(OR($DA255&gt;0, $DC255&gt;0), 1, 0)</f>
        <v>0</v>
      </c>
      <c r="U255" s="603">
        <f>IF(OR($AI255&gt;0,$AM255&gt;0,$AS255&gt;0), 1, 0)</f>
        <v>0</v>
      </c>
      <c r="V255" s="602">
        <f>[1]BDD!A245</f>
        <v>0</v>
      </c>
      <c r="W255" s="601">
        <f>[1]BDD!B245</f>
        <v>0</v>
      </c>
      <c r="X255" s="600" t="str">
        <f>IF([1]BDD!F245=0, "", [1]BDD!F245)</f>
        <v/>
      </c>
      <c r="Y255" s="542">
        <f>ROUND([1]BDD!G245+FDP_CMD_KG, 2)</f>
        <v>0.87</v>
      </c>
      <c r="Z255" s="542">
        <f>ROUND([1]BDD!G245+FDP_FACT_KG, 2)</f>
        <v>0.87</v>
      </c>
      <c r="AA255" s="543">
        <f>[1]BDD!H245</f>
        <v>0</v>
      </c>
      <c r="AB255" s="544" t="str">
        <f>IF(NOT(ISBLANK([1]BDD!I245)), ROUND(SUM(([1]BDD!G245*reduc1),FDP_CMD_KG), 2), "")</f>
        <v/>
      </c>
      <c r="AC255" s="544" t="str">
        <f>IF(NOT(ISBLANK([1]BDD!J245)), ROUND(SUM(([1]BDD!G245*reduc2),FDP_CMD_KG), 2), "")</f>
        <v/>
      </c>
      <c r="AD255" s="544" t="str">
        <f>IF(NOT(ISBLANK([1]BDD!K245)), ROUND(SUM(([1]BDD!G245*reduc3),FDP_CMD_KG), 2), "")</f>
        <v/>
      </c>
      <c r="AE255" s="544" t="str">
        <f>IF(NOT(ISBLANK([1]BDD!I245)), ROUND(SUM(([1]BDD!G245*reduc1),FDP_FACT_KG), 2), "")</f>
        <v/>
      </c>
      <c r="AF255" s="544" t="str">
        <f>IF(NOT(ISBLANK([1]BDD!J245)), ROUND(SUM(([1]BDD!G245*reduc2),FDP_FACT_KG), 2), "")</f>
        <v/>
      </c>
      <c r="AG255" s="544" t="str">
        <f>IF(NOT(ISBLANK([1]BDD!K245)), ROUND(SUM(([1]BDD!G245*reduc3),FDP_FACT_KG), 2), "")</f>
        <v/>
      </c>
      <c r="AH255" s="599">
        <f>[1]BDD!C245</f>
        <v>0</v>
      </c>
      <c r="AI255" s="598">
        <f>SUM(AV255,AY255,BB255,BE255,BH255,BK255,BN255,BQ255,BT255,BW255,BZ255,CC255,CF255,CI255,CL255,CO255,CR255,CU255,CX255,DA255)</f>
        <v>0</v>
      </c>
      <c r="AJ255" s="545">
        <f>_xlfn.IFS($AD255&lt;&gt;"", $AD255,    $AC255&lt;&gt;"", $AC255,    $AB255&lt;&gt;"", $AB255,    TRUE, $Y255)</f>
        <v>0.87</v>
      </c>
      <c r="AK255" s="592">
        <f>$AI255*$AJ255</f>
        <v>0</v>
      </c>
      <c r="AL255" s="594"/>
      <c r="AM255" s="597"/>
      <c r="AN255" s="545">
        <f>_xlfn.IFS(AND(AM255&gt;=60,$AG255&lt;&gt;""), $AG255,    AND(AM255&gt;=30,$AF255&lt;&gt;""), $AF255,    AND(AM255&gt;=10,$AE255&lt;&gt;""), $AE255,    TRUE, $Z255)</f>
        <v>0.87</v>
      </c>
      <c r="AO255" s="596">
        <f>AM255*AN255</f>
        <v>0</v>
      </c>
      <c r="AP255" s="595"/>
      <c r="AQ255" s="595"/>
      <c r="AR255" s="594"/>
      <c r="AS255" s="593">
        <f>SUM(AW255,AZ255,BC255,BF255,BI255,BL255,BO255,BR255,BU255,BX255,CA255,CD255,CG255,CJ255,CM255,CP255,CS255,CV255,CY255,DB255)</f>
        <v>0</v>
      </c>
      <c r="AT255" s="545">
        <f>_xlfn.IFS(AND(AS255&gt;=60,$AG255&lt;&gt;""), $AG255,    AND(AS255&gt;=30,$AF255&lt;&gt;""), $AF255,    AND(AS255&gt;=10,$AE255&lt;&gt;""), $AE255,    TRUE, $Z255)</f>
        <v>0.87</v>
      </c>
      <c r="AU255" s="592">
        <f>$AS255*$AT255</f>
        <v>0</v>
      </c>
      <c r="AV255" s="591">
        <f>[1]COMMANDE!O253</f>
        <v>0</v>
      </c>
      <c r="AW255" s="586" t="str">
        <f>_xlfn.IFS(AND($AI255=$AM255,$AI255&gt;0,$AM255&gt;0,AV255&gt;0), AV255,     AND(NOT($AI255=$AM255),$AI255&gt;0,$AM255&gt;0,AV255&gt;0), ($AM255*AV255)/$AI255,     AND($AI255=0,$AM255&gt;0,$AQ255&gt;0), IF(INDEX(AV$12:AV$263,MATCH($AQ255,$AP$12:$AP$263,0))&gt;0,($AM255*INDEX(AV$12:AV$263,MATCH($AQ255,$AP$12:$AP$263,0)))/INDEX($AI$12:$AI$263,MATCH($AQ255,$AP$12:$AP$263,0)), "-"),     TRUE, "0")</f>
        <v>0</v>
      </c>
      <c r="AX255" s="588">
        <f>IF(AW$9&gt;0, IF(OR(AW255="",AW255="-"), 0, AW255*$AT255), AV255*$AJ255)</f>
        <v>0</v>
      </c>
      <c r="AY255" s="587">
        <f>[1]COMMANDE!Q253</f>
        <v>0</v>
      </c>
      <c r="AZ255" s="586" t="str">
        <f>_xlfn.IFS(AND($AI255=$AM255,$AI255&gt;0,$AM255&gt;0,AY255&gt;0), AY255,     AND(NOT($AI255=$AM255),$AI255&gt;0,$AM255&gt;0,AY255&gt;0), ($AM255*AY255)/$AI255,     AND($AI255=0,$AM255&gt;0,$AQ255&gt;0), IF(INDEX(AY$12:AY$263,MATCH($AQ255,$AP$12:$AP$263,0))&gt;0,($AM255*INDEX(AY$12:AY$263,MATCH($AQ255,$AP$12:$AP$263,0)))/INDEX($AI$12:$AI$263,MATCH($AQ255,$AP$12:$AP$263,0)), "-"),     TRUE, "0")</f>
        <v>0</v>
      </c>
      <c r="BA255" s="607">
        <f>IF(AZ$9&gt;0, IF(OR(AZ255="",AZ255="-"), 0, AZ255*$AT255), AY255*$AJ255)</f>
        <v>0</v>
      </c>
      <c r="BB255" s="589">
        <f>[1]COMMANDE!S253</f>
        <v>0</v>
      </c>
      <c r="BC255" s="586" t="str">
        <f>_xlfn.IFS(AND($AI255=$AM255,$AI255&gt;0,$AM255&gt;0,BB255&gt;0), BB255,     AND(NOT($AI255=$AM255),$AI255&gt;0,$AM255&gt;0,BB255&gt;0), ($AM255*BB255)/$AI255,     AND($AI255=0,$AM255&gt;0,$AQ255&gt;0), IF(INDEX(BB$12:BB$263,MATCH($AQ255,$AP$12:$AP$263,0))&gt;0,($AM255*INDEX(BB$12:BB$263,MATCH($AQ255,$AP$12:$AP$263,0)))/INDEX($AI$12:$AI$263,MATCH($AQ255,$AP$12:$AP$263,0)), "-"),     TRUE, "0")</f>
        <v>0</v>
      </c>
      <c r="BD255" s="588">
        <f>IF(BC$9&gt;0, IF(OR(BC255="",BC255="-"), 0, BC255*$AT255), BB255*$AJ255)</f>
        <v>0</v>
      </c>
      <c r="BE255" s="587">
        <f>[1]COMMANDE!U253</f>
        <v>0</v>
      </c>
      <c r="BF255" s="586" t="str">
        <f>_xlfn.IFS(AND($AI255=$AM255,$AI255&gt;0,$AM255&gt;0,BE255&gt;0), BE255,     AND(NOT($AI255=$AM255),$AI255&gt;0,$AM255&gt;0,BE255&gt;0), ($AM255*BE255)/$AI255,     AND($AI255=0,$AM255&gt;0,$AQ255&gt;0), IF(INDEX(BE$12:BE$263,MATCH($AQ255,$AP$12:$AP$263,0))&gt;0,($AM255*INDEX(BE$12:BE$263,MATCH($AQ255,$AP$12:$AP$263,0)))/INDEX($AI$12:$AI$263,MATCH($AQ255,$AP$12:$AP$263,0)), "-"),     TRUE, "0")</f>
        <v>0</v>
      </c>
      <c r="BG255" s="607">
        <f>IF(BF$9&gt;0, IF(OR(BF255="",BF255="-"), 0, BF255*$AT255), BE255*$AJ255)</f>
        <v>0</v>
      </c>
      <c r="BH255" s="589">
        <f>[1]COMMANDE!W253</f>
        <v>0</v>
      </c>
      <c r="BI255" s="586" t="str">
        <f>_xlfn.IFS(AND($AI255=$AM255,$AI255&gt;0,$AM255&gt;0,BH255&gt;0), BH255,     AND(NOT($AI255=$AM255),$AI255&gt;0,$AM255&gt;0,BH255&gt;0), ($AM255*BH255)/$AI255,     AND($AI255=0,$AM255&gt;0,$AQ255&gt;0), IF(INDEX(BH$12:BH$263,MATCH($AQ255,$AP$12:$AP$263,0))&gt;0,($AM255*INDEX(BH$12:BH$263,MATCH($AQ255,$AP$12:$AP$263,0)))/INDEX($AI$12:$AI$263,MATCH($AQ255,$AP$12:$AP$263,0)), "-"),     TRUE, "0")</f>
        <v>0</v>
      </c>
      <c r="BJ255" s="588">
        <f>IF(BI$9&gt;0, IF(OR(BI255="",BI255="-"), 0, BI255*$AT255), BH255*$AJ255)</f>
        <v>0</v>
      </c>
      <c r="BK255" s="587">
        <f>[1]COMMANDE!Y253</f>
        <v>0</v>
      </c>
      <c r="BL255" s="586" t="str">
        <f>_xlfn.IFS(AND($AI255=$AM255,$AI255&gt;0,$AM255&gt;0,BK255&gt;0), BK255,     AND(NOT($AI255=$AM255),$AI255&gt;0,$AM255&gt;0,BK255&gt;0), ($AM255*BK255)/$AI255,     AND($AI255=0,$AM255&gt;0,$AQ255&gt;0), IF(INDEX(BK$12:BK$263,MATCH($AQ255,$AP$12:$AP$263,0))&gt;0,($AM255*INDEX(BK$12:BK$263,MATCH($AQ255,$AP$12:$AP$263,0)))/INDEX($AI$12:$AI$263,MATCH($AQ255,$AP$12:$AP$263,0)), "-"),     TRUE, "0")</f>
        <v>0</v>
      </c>
      <c r="BM255" s="607">
        <f>IF(BL$9&gt;0, IF(OR(BL255="",BL255="-"), 0, BL255*$AT255), BK255*$AJ255)</f>
        <v>0</v>
      </c>
      <c r="BN255" s="589">
        <f>[1]COMMANDE!AA253</f>
        <v>0</v>
      </c>
      <c r="BO255" s="586" t="str">
        <f>_xlfn.IFS(AND($AI255=$AM255,$AI255&gt;0,$AM255&gt;0,BN255&gt;0), BN255,     AND(NOT($AI255=$AM255),$AI255&gt;0,$AM255&gt;0,BN255&gt;0), ($AM255*BN255)/$AI255,     AND($AI255=0,$AM255&gt;0,$AQ255&gt;0), IF(INDEX(BN$12:BN$263,MATCH($AQ255,$AP$12:$AP$263,0))&gt;0,($AM255*INDEX(BN$12:BN$263,MATCH($AQ255,$AP$12:$AP$263,0)))/INDEX($AI$12:$AI$263,MATCH($AQ255,$AP$12:$AP$263,0)), "-"),     TRUE, "0")</f>
        <v>0</v>
      </c>
      <c r="BP255" s="588">
        <f>IF(BO$9&gt;0, IF(OR(BO255="",BO255="-"), 0, BO255*$AT255), BN255*$AJ255)</f>
        <v>0</v>
      </c>
      <c r="BQ255" s="587">
        <f>[1]COMMANDE!AC253</f>
        <v>0</v>
      </c>
      <c r="BR255" s="586" t="str">
        <f>_xlfn.IFS(AND($AI255=$AM255,$AI255&gt;0,$AM255&gt;0,BQ255&gt;0), BQ255,     AND(NOT($AI255=$AM255),$AI255&gt;0,$AM255&gt;0,BQ255&gt;0), ($AM255*BQ255)/$AI255,     AND($AI255=0,$AM255&gt;0,$AQ255&gt;0), IF(INDEX(BQ$12:BQ$263,MATCH($AQ255,$AP$12:$AP$263,0))&gt;0,($AM255*INDEX(BQ$12:BQ$263,MATCH($AQ255,$AP$12:$AP$263,0)))/INDEX($AI$12:$AI$263,MATCH($AQ255,$AP$12:$AP$263,0)), "-"),     TRUE, "0")</f>
        <v>0</v>
      </c>
      <c r="BS255" s="607">
        <f>IF(BR$9&gt;0, IF(OR(BR255="",BR255="-"), 0, BR255*$AT255), BQ255*$AJ255)</f>
        <v>0</v>
      </c>
      <c r="BT255" s="589">
        <f>[1]COMMANDE!AE253</f>
        <v>0</v>
      </c>
      <c r="BU255" s="586" t="str">
        <f>_xlfn.IFS(AND($AI255=$AM255,$AI255&gt;0,$AM255&gt;0,BT255&gt;0), BT255,     AND(NOT($AI255=$AM255),$AI255&gt;0,$AM255&gt;0,BT255&gt;0), ($AM255*BT255)/$AI255,     AND($AI255=0,$AM255&gt;0,$AQ255&gt;0), IF(INDEX(BT$12:BT$263,MATCH($AQ255,$AP$12:$AP$263,0))&gt;0,($AM255*INDEX(BT$12:BT$263,MATCH($AQ255,$AP$12:$AP$263,0)))/INDEX($AI$12:$AI$263,MATCH($AQ255,$AP$12:$AP$263,0)), "-"),     TRUE, "0")</f>
        <v>0</v>
      </c>
      <c r="BV255" s="588">
        <f>IF(BU$9&gt;0, IF(OR(BU255="",BU255="-"), 0, BU255*$AT255), BT255*$AJ255)</f>
        <v>0</v>
      </c>
      <c r="BW255" s="587">
        <f>[1]COMMANDE!AG253</f>
        <v>0</v>
      </c>
      <c r="BX255" s="586" t="str">
        <f>_xlfn.IFS(AND($AI255=$AM255,$AI255&gt;0,$AM255&gt;0,BW255&gt;0), BW255,     AND(NOT($AI255=$AM255),$AI255&gt;0,$AM255&gt;0,BW255&gt;0), ($AM255*BW255)/$AI255,     AND($AI255=0,$AM255&gt;0,$AQ255&gt;0), IF(INDEX(BW$12:BW$263,MATCH($AQ255,$AP$12:$AP$263,0))&gt;0,($AM255*INDEX(BW$12:BW$263,MATCH($AQ255,$AP$12:$AP$263,0)))/INDEX($AI$12:$AI$263,MATCH($AQ255,$AP$12:$AP$263,0)), "-"),     TRUE, "0")</f>
        <v>0</v>
      </c>
      <c r="BY255" s="607">
        <f>IF(BX$9&gt;0, IF(OR(BX255="",BX255="-"), 0, BX255*$AT255), BW255*$AJ255)</f>
        <v>0</v>
      </c>
      <c r="BZ255" s="589">
        <f>[1]COMMANDE!AI253</f>
        <v>0</v>
      </c>
      <c r="CA255" s="586" t="str">
        <f>_xlfn.IFS(AND($AI255=$AM255,$AI255&gt;0,$AM255&gt;0,BZ255&gt;0), BZ255,     AND(NOT($AI255=$AM255),$AI255&gt;0,$AM255&gt;0,BZ255&gt;0), ($AM255*BZ255)/$AI255,     AND($AI255=0,$AM255&gt;0,$AQ255&gt;0), IF(INDEX(BZ$12:BZ$263,MATCH($AQ255,$AP$12:$AP$263,0))&gt;0,($AM255*INDEX(BZ$12:BZ$263,MATCH($AQ255,$AP$12:$AP$263,0)))/INDEX($AI$12:$AI$263,MATCH($AQ255,$AP$12:$AP$263,0)), "-"),     TRUE, "0")</f>
        <v>0</v>
      </c>
      <c r="CB255" s="588">
        <f>IF(CA$9&gt;0, IF(OR(CA255="",CA255="-"), 0, CA255*$AT255), BZ255*$AJ255)</f>
        <v>0</v>
      </c>
      <c r="CC255" s="587">
        <f>[1]COMMANDE!AK253</f>
        <v>0</v>
      </c>
      <c r="CD255" s="586" t="str">
        <f>_xlfn.IFS(AND($AI255=$AM255,$AI255&gt;0,$AM255&gt;0,CC255&gt;0), CC255,     AND(NOT($AI255=$AM255),$AI255&gt;0,$AM255&gt;0,CC255&gt;0), ($AM255*CC255)/$AI255,     AND($AI255=0,$AM255&gt;0,$AQ255&gt;0), IF(INDEX(CC$12:CC$263,MATCH($AQ255,$AP$12:$AP$263,0))&gt;0,($AM255*INDEX(CC$12:CC$263,MATCH($AQ255,$AP$12:$AP$263,0)))/INDEX($AI$12:$AI$263,MATCH($AQ255,$AP$12:$AP$263,0)), "-"),     TRUE, "0")</f>
        <v>0</v>
      </c>
      <c r="CE255" s="607">
        <f>IF(CD$9&gt;0, IF(OR(CD255="",CD255="-"), 0, CD255*$AT255), CC255*$AJ255)</f>
        <v>0</v>
      </c>
      <c r="CF255" s="589">
        <f>[1]COMMANDE!AM253</f>
        <v>0</v>
      </c>
      <c r="CG255" s="586" t="str">
        <f>_xlfn.IFS(AND($AI255=$AM255,$AI255&gt;0,$AM255&gt;0,CF255&gt;0), CF255,     AND(NOT($AI255=$AM255),$AI255&gt;0,$AM255&gt;0,CF255&gt;0), ($AM255*CF255)/$AI255,     AND($AI255=0,$AM255&gt;0,$AQ255&gt;0), IF(INDEX(CF$12:CF$263,MATCH($AQ255,$AP$12:$AP$263,0))&gt;0,($AM255*INDEX(CF$12:CF$263,MATCH($AQ255,$AP$12:$AP$263,0)))/INDEX($AI$12:$AI$263,MATCH($AQ255,$AP$12:$AP$263,0)), "-"),     TRUE, "0")</f>
        <v>0</v>
      </c>
      <c r="CH255" s="588">
        <f>IF(CG$9&gt;0, IF(OR(CG255="",CG255="-"), 0, CG255*$AT255), CF255*$AJ255)</f>
        <v>0</v>
      </c>
      <c r="CI255" s="587">
        <f>[1]COMMANDE!AO253</f>
        <v>0</v>
      </c>
      <c r="CJ255" s="586" t="str">
        <f>_xlfn.IFS(AND($AI255=$AM255,$AI255&gt;0,$AM255&gt;0,CI255&gt;0), CI255,     AND(NOT($AI255=$AM255),$AI255&gt;0,$AM255&gt;0,CI255&gt;0), ($AM255*CI255)/$AI255,     AND($AI255=0,$AM255&gt;0,$AQ255&gt;0), IF(INDEX(CI$12:CI$263,MATCH($AQ255,$AP$12:$AP$263,0))&gt;0,($AM255*INDEX(CI$12:CI$263,MATCH($AQ255,$AP$12:$AP$263,0)))/INDEX($AI$12:$AI$263,MATCH($AQ255,$AP$12:$AP$263,0)), "-"),     TRUE, "0")</f>
        <v>0</v>
      </c>
      <c r="CK255" s="607">
        <f>IF(CJ$9&gt;0, IF(OR(CJ255="",CJ255="-"), 0, CJ255*$AT255), CI255*$AJ255)</f>
        <v>0</v>
      </c>
      <c r="CL255" s="589">
        <f>[1]COMMANDE!AQ253</f>
        <v>0</v>
      </c>
      <c r="CM255" s="586" t="str">
        <f>_xlfn.IFS(AND($AI255=$AM255,$AI255&gt;0,$AM255&gt;0,CL255&gt;0), CL255,     AND(NOT($AI255=$AM255),$AI255&gt;0,$AM255&gt;0,CL255&gt;0), ($AM255*CL255)/$AI255,     AND($AI255=0,$AM255&gt;0,$AQ255&gt;0), IF(INDEX(CL$12:CL$263,MATCH($AQ255,$AP$12:$AP$263,0))&gt;0,($AM255*INDEX(CL$12:CL$263,MATCH($AQ255,$AP$12:$AP$263,0)))/INDEX($AI$12:$AI$263,MATCH($AQ255,$AP$12:$AP$263,0)), "-"),     TRUE, "0")</f>
        <v>0</v>
      </c>
      <c r="CN255" s="588">
        <f>IF(CM$9&gt;0, IF(OR(CM255="",CM255="-"), 0, CM255*$AT255), CL255*$AJ255)</f>
        <v>0</v>
      </c>
      <c r="CO255" s="587">
        <f>[1]COMMANDE!AS253</f>
        <v>0</v>
      </c>
      <c r="CP255" s="586" t="str">
        <f>_xlfn.IFS(AND($AI255=$AM255,$AI255&gt;0,$AM255&gt;0,CO255&gt;0), CO255,     AND(NOT($AI255=$AM255),$AI255&gt;0,$AM255&gt;0,CO255&gt;0), ($AM255*CO255)/$AI255,     AND($AI255=0,$AM255&gt;0,$AQ255&gt;0), IF(INDEX(CO$12:CO$263,MATCH($AQ255,$AP$12:$AP$263,0))&gt;0,($AM255*INDEX(CO$12:CO$263,MATCH($AQ255,$AP$12:$AP$263,0)))/INDEX($AI$12:$AI$263,MATCH($AQ255,$AP$12:$AP$263,0)), "-"),     TRUE, "0")</f>
        <v>0</v>
      </c>
      <c r="CQ255" s="607">
        <f>IF(CP$9&gt;0, IF(OR(CP255="",CP255="-"), 0, CP255*$AT255), CO255*$AJ255)</f>
        <v>0</v>
      </c>
      <c r="CR255" s="589">
        <f>[1]COMMANDE!AU253</f>
        <v>0</v>
      </c>
      <c r="CS255" s="586" t="str">
        <f>_xlfn.IFS(AND($AI255=$AM255,$AI255&gt;0,$AM255&gt;0,CR255&gt;0), CR255,     AND(NOT($AI255=$AM255),$AI255&gt;0,$AM255&gt;0,CR255&gt;0), ($AM255*CR255)/$AI255,     AND($AI255=0,$AM255&gt;0,$AQ255&gt;0), IF(INDEX(CR$12:CR$263,MATCH($AQ255,$AP$12:$AP$263,0))&gt;0,($AM255*INDEX(CR$12:CR$263,MATCH($AQ255,$AP$12:$AP$263,0)))/INDEX($AI$12:$AI$263,MATCH($AQ255,$AP$12:$AP$263,0)), "-"),     TRUE, "0")</f>
        <v>0</v>
      </c>
      <c r="CT255" s="588">
        <f>IF(CS$9&gt;0, IF(OR(CS255="",CS255="-"), 0, CS255*$AT255), CR255*$AJ255)</f>
        <v>0</v>
      </c>
      <c r="CU255" s="587">
        <f>[1]COMMANDE!AW253</f>
        <v>0</v>
      </c>
      <c r="CV255" s="586" t="str">
        <f>_xlfn.IFS(AND($AI255=$AM255,$AI255&gt;0,$AM255&gt;0,CU255&gt;0), CU255,     AND(NOT($AI255=$AM255),$AI255&gt;0,$AM255&gt;0,CU255&gt;0), ($AM255*CU255)/$AI255,     AND($AI255=0,$AM255&gt;0,$AQ255&gt;0), IF(INDEX(CU$12:CU$263,MATCH($AQ255,$AP$12:$AP$263,0))&gt;0,($AM255*INDEX(CU$12:CU$263,MATCH($AQ255,$AP$12:$AP$263,0)))/INDEX($AI$12:$AI$263,MATCH($AQ255,$AP$12:$AP$263,0)), "-"),     TRUE, "0")</f>
        <v>0</v>
      </c>
      <c r="CW255" s="607">
        <f>IF(CV$9&gt;0, IF(OR(CV255="",CV255="-"), 0, CV255*$AT255), CU255*$AJ255)</f>
        <v>0</v>
      </c>
      <c r="CX255" s="589">
        <f>[1]COMMANDE!AY253</f>
        <v>0</v>
      </c>
      <c r="CY255" s="586" t="str">
        <f>_xlfn.IFS(AND($AI255=$AM255,$AI255&gt;0,$AM255&gt;0,CX255&gt;0), CX255,     AND(NOT($AI255=$AM255),$AI255&gt;0,$AM255&gt;0,CX255&gt;0), ($AM255*CX255)/$AI255,     AND($AI255=0,$AM255&gt;0,$AQ255&gt;0), IF(INDEX(CX$12:CX$263,MATCH($AQ255,$AP$12:$AP$263,0))&gt;0,($AM255*INDEX(CX$12:CX$263,MATCH($AQ255,$AP$12:$AP$263,0)))/INDEX($AI$12:$AI$263,MATCH($AQ255,$AP$12:$AP$263,0)), "-"),     TRUE, "0")</f>
        <v>0</v>
      </c>
      <c r="CZ255" s="588">
        <f>IF(CY$9&gt;0, IF(OR(CY255="",CY255="-"), 0, CY255*$AT255), CX255*$AJ255)</f>
        <v>0</v>
      </c>
      <c r="DA255" s="587">
        <f>[1]COMMANDE!BA253</f>
        <v>0</v>
      </c>
      <c r="DB255" s="586" t="str">
        <f>_xlfn.IFS(AND($AI255=$AM255,$AI255&gt;0,$AM255&gt;0,DA255&gt;0), DA255,     AND(NOT($AI255=$AM255),$AI255&gt;0,$AM255&gt;0,DA255&gt;0), ($AM255*DA255)/$AI255,     AND($AI255=0,$AM255&gt;0,$AQ255&gt;0), IF(INDEX(DA$12:DA$263,MATCH($AQ255,$AP$12:$AP$263,0))&gt;0,($AM255*INDEX(DA$12:DA$263,MATCH($AQ255,$AP$12:$AP$263,0)))/INDEX($AI$12:$AI$263,MATCH($AQ255,$AP$12:$AP$263,0)), "-"),     TRUE, "0")</f>
        <v>0</v>
      </c>
      <c r="DC255" s="606">
        <f>IF(DB$9&gt;0, IF(OR(DB255="",DB255="-"), 0, DB255*$AT255), DA255*$AJ255)</f>
        <v>0</v>
      </c>
      <c r="DD255" s="584"/>
      <c r="DE255" s="583"/>
    </row>
    <row r="256" spans="1:109" ht="39.950000000000003" hidden="1" customHeight="1">
      <c r="A256" s="605">
        <f>IF(OR($AV256&gt;0, $AX256&gt;0), 1, 0)</f>
        <v>0</v>
      </c>
      <c r="B256" s="605">
        <f>IF(OR($AY256&gt;0, $BA256&gt;0), 1, 0)</f>
        <v>0</v>
      </c>
      <c r="C256" s="605">
        <f>IF(OR($BB256&gt;0, $BD256&gt;0), 1, 0)</f>
        <v>0</v>
      </c>
      <c r="D256" s="605">
        <f>IF(OR($BE256&gt;0, $BG256&gt;0), 1, 0)</f>
        <v>0</v>
      </c>
      <c r="E256" s="605">
        <f>IF(OR($BH256&gt;0, $BJ256&gt;0), 1, 0)</f>
        <v>0</v>
      </c>
      <c r="F256" s="605">
        <f>IF(OR($BK256&gt;0, $BM256&gt;0), 1, 0)</f>
        <v>0</v>
      </c>
      <c r="G256" s="605">
        <f>IF(OR($BN256&gt;0, $BP256&gt;0), 1, 0)</f>
        <v>0</v>
      </c>
      <c r="H256" s="605">
        <f>IF(OR($BQ256&gt;0, $BS256&gt;0), 1, 0)</f>
        <v>0</v>
      </c>
      <c r="I256" s="605">
        <f>IF(OR($BT256&gt;0, $BV256&gt;0), 1, 0)</f>
        <v>0</v>
      </c>
      <c r="J256" s="605">
        <f>IF(OR($BW256&gt;0, $BY256&gt;0), 1, 0)</f>
        <v>0</v>
      </c>
      <c r="K256" s="605">
        <f>IF(OR($BZ256&gt;0, $CB256&gt;0), 1, 0)</f>
        <v>0</v>
      </c>
      <c r="L256" s="605">
        <f>IF(OR($CC256&gt;0, $CE256&gt;0), 1, 0)</f>
        <v>0</v>
      </c>
      <c r="M256" s="605">
        <f>IF(OR($CF256&gt;0, $CH256&gt;0), 1, 0)</f>
        <v>0</v>
      </c>
      <c r="N256" s="605">
        <f>IF(OR($CI256&gt;0, $CK256&gt;0), 1, 0)</f>
        <v>0</v>
      </c>
      <c r="O256" s="605">
        <f>IF(OR($CL256&gt;0, $CN256&gt;0), 1, 0)</f>
        <v>0</v>
      </c>
      <c r="P256" s="604">
        <f>IF(OR($CO256&gt;0, $CQ256&gt;0), 1, 0)</f>
        <v>0</v>
      </c>
      <c r="Q256" s="604">
        <f>IF(OR($CR256&gt;0, $CT256&gt;0), 1, 0)</f>
        <v>0</v>
      </c>
      <c r="R256" s="604">
        <f>IF(OR($CU256&gt;0, $CW256&gt;0), 1, 0)</f>
        <v>0</v>
      </c>
      <c r="S256" s="604">
        <f>IF(OR($CX256&gt;0, $CZ256&gt;0), 1, 0)</f>
        <v>0</v>
      </c>
      <c r="T256" s="604">
        <f>IF(OR($DA256&gt;0, $DC256&gt;0), 1, 0)</f>
        <v>0</v>
      </c>
      <c r="U256" s="603">
        <f>IF(OR($AI256&gt;0,$AM256&gt;0,$AS256&gt;0), 1, 0)</f>
        <v>0</v>
      </c>
      <c r="V256" s="602">
        <f>[1]BDD!A246</f>
        <v>0</v>
      </c>
      <c r="W256" s="601">
        <f>[1]BDD!B246</f>
        <v>0</v>
      </c>
      <c r="X256" s="600" t="str">
        <f>IF([1]BDD!F246=0, "", [1]BDD!F246)</f>
        <v/>
      </c>
      <c r="Y256" s="542">
        <f>ROUND([1]BDD!G246+FDP_CMD_KG, 2)</f>
        <v>0.87</v>
      </c>
      <c r="Z256" s="542">
        <f>ROUND([1]BDD!G246+FDP_FACT_KG, 2)</f>
        <v>0.87</v>
      </c>
      <c r="AA256" s="543">
        <f>[1]BDD!H246</f>
        <v>0</v>
      </c>
      <c r="AB256" s="544" t="str">
        <f>IF(NOT(ISBLANK([1]BDD!I246)), ROUND(SUM(([1]BDD!G246*reduc1),FDP_CMD_KG), 2), "")</f>
        <v/>
      </c>
      <c r="AC256" s="544" t="str">
        <f>IF(NOT(ISBLANK([1]BDD!J246)), ROUND(SUM(([1]BDD!G246*reduc2),FDP_CMD_KG), 2), "")</f>
        <v/>
      </c>
      <c r="AD256" s="544" t="str">
        <f>IF(NOT(ISBLANK([1]BDD!K246)), ROUND(SUM(([1]BDD!G246*reduc3),FDP_CMD_KG), 2), "")</f>
        <v/>
      </c>
      <c r="AE256" s="544" t="str">
        <f>IF(NOT(ISBLANK([1]BDD!I246)), ROUND(SUM(([1]BDD!G246*reduc1),FDP_FACT_KG), 2), "")</f>
        <v/>
      </c>
      <c r="AF256" s="544" t="str">
        <f>IF(NOT(ISBLANK([1]BDD!J246)), ROUND(SUM(([1]BDD!G246*reduc2),FDP_FACT_KG), 2), "")</f>
        <v/>
      </c>
      <c r="AG256" s="544" t="str">
        <f>IF(NOT(ISBLANK([1]BDD!K246)), ROUND(SUM(([1]BDD!G246*reduc3),FDP_FACT_KG), 2), "")</f>
        <v/>
      </c>
      <c r="AH256" s="599">
        <f>[1]BDD!C246</f>
        <v>0</v>
      </c>
      <c r="AI256" s="598">
        <f>SUM(AV256,AY256,BB256,BE256,BH256,BK256,BN256,BQ256,BT256,BW256,BZ256,CC256,CF256,CI256,CL256,CO256,CR256,CU256,CX256,DA256)</f>
        <v>0</v>
      </c>
      <c r="AJ256" s="545">
        <f>_xlfn.IFS($AD256&lt;&gt;"", $AD256,    $AC256&lt;&gt;"", $AC256,    $AB256&lt;&gt;"", $AB256,    TRUE, $Y256)</f>
        <v>0.87</v>
      </c>
      <c r="AK256" s="592">
        <f>$AI256*$AJ256</f>
        <v>0</v>
      </c>
      <c r="AL256" s="594"/>
      <c r="AM256" s="597"/>
      <c r="AN256" s="545">
        <f>_xlfn.IFS(AND(AM256&gt;=60,$AG256&lt;&gt;""), $AG256,    AND(AM256&gt;=30,$AF256&lt;&gt;""), $AF256,    AND(AM256&gt;=10,$AE256&lt;&gt;""), $AE256,    TRUE, $Z256)</f>
        <v>0.87</v>
      </c>
      <c r="AO256" s="596">
        <f>AM256*AN256</f>
        <v>0</v>
      </c>
      <c r="AP256" s="595"/>
      <c r="AQ256" s="595"/>
      <c r="AR256" s="594"/>
      <c r="AS256" s="593">
        <f>SUM(AW256,AZ256,BC256,BF256,BI256,BL256,BO256,BR256,BU256,BX256,CA256,CD256,CG256,CJ256,CM256,CP256,CS256,CV256,CY256,DB256)</f>
        <v>0</v>
      </c>
      <c r="AT256" s="545">
        <f>_xlfn.IFS(AND(AS256&gt;=60,$AG256&lt;&gt;""), $AG256,    AND(AS256&gt;=30,$AF256&lt;&gt;""), $AF256,    AND(AS256&gt;=10,$AE256&lt;&gt;""), $AE256,    TRUE, $Z256)</f>
        <v>0.87</v>
      </c>
      <c r="AU256" s="592">
        <f>$AS256*$AT256</f>
        <v>0</v>
      </c>
      <c r="AV256" s="591">
        <f>[1]COMMANDE!O254</f>
        <v>0</v>
      </c>
      <c r="AW256" s="586" t="str">
        <f>_xlfn.IFS(AND($AI256=$AM256,$AI256&gt;0,$AM256&gt;0,AV256&gt;0), AV256,     AND(NOT($AI256=$AM256),$AI256&gt;0,$AM256&gt;0,AV256&gt;0), ($AM256*AV256)/$AI256,     AND($AI256=0,$AM256&gt;0,$AQ256&gt;0), IF(INDEX(AV$12:AV$263,MATCH($AQ256,$AP$12:$AP$263,0))&gt;0,($AM256*INDEX(AV$12:AV$263,MATCH($AQ256,$AP$12:$AP$263,0)))/INDEX($AI$12:$AI$263,MATCH($AQ256,$AP$12:$AP$263,0)), "-"),     TRUE, "0")</f>
        <v>0</v>
      </c>
      <c r="AX256" s="588">
        <f>IF(AW$9&gt;0, IF(OR(AW256="",AW256="-"), 0, AW256*$AT256), AV256*$AJ256)</f>
        <v>0</v>
      </c>
      <c r="AY256" s="587">
        <f>[1]COMMANDE!Q254</f>
        <v>0</v>
      </c>
      <c r="AZ256" s="586" t="str">
        <f>_xlfn.IFS(AND($AI256=$AM256,$AI256&gt;0,$AM256&gt;0,AY256&gt;0), AY256,     AND(NOT($AI256=$AM256),$AI256&gt;0,$AM256&gt;0,AY256&gt;0), ($AM256*AY256)/$AI256,     AND($AI256=0,$AM256&gt;0,$AQ256&gt;0), IF(INDEX(AY$12:AY$263,MATCH($AQ256,$AP$12:$AP$263,0))&gt;0,($AM256*INDEX(AY$12:AY$263,MATCH($AQ256,$AP$12:$AP$263,0)))/INDEX($AI$12:$AI$263,MATCH($AQ256,$AP$12:$AP$263,0)), "-"),     TRUE, "0")</f>
        <v>0</v>
      </c>
      <c r="BA256" s="607">
        <f>IF(AZ$9&gt;0, IF(OR(AZ256="",AZ256="-"), 0, AZ256*$AT256), AY256*$AJ256)</f>
        <v>0</v>
      </c>
      <c r="BB256" s="589">
        <f>[1]COMMANDE!S254</f>
        <v>0</v>
      </c>
      <c r="BC256" s="586" t="str">
        <f>_xlfn.IFS(AND($AI256=$AM256,$AI256&gt;0,$AM256&gt;0,BB256&gt;0), BB256,     AND(NOT($AI256=$AM256),$AI256&gt;0,$AM256&gt;0,BB256&gt;0), ($AM256*BB256)/$AI256,     AND($AI256=0,$AM256&gt;0,$AQ256&gt;0), IF(INDEX(BB$12:BB$263,MATCH($AQ256,$AP$12:$AP$263,0))&gt;0,($AM256*INDEX(BB$12:BB$263,MATCH($AQ256,$AP$12:$AP$263,0)))/INDEX($AI$12:$AI$263,MATCH($AQ256,$AP$12:$AP$263,0)), "-"),     TRUE, "0")</f>
        <v>0</v>
      </c>
      <c r="BD256" s="588">
        <f>IF(BC$9&gt;0, IF(OR(BC256="",BC256="-"), 0, BC256*$AT256), BB256*$AJ256)</f>
        <v>0</v>
      </c>
      <c r="BE256" s="587">
        <f>[1]COMMANDE!U254</f>
        <v>0</v>
      </c>
      <c r="BF256" s="586" t="str">
        <f>_xlfn.IFS(AND($AI256=$AM256,$AI256&gt;0,$AM256&gt;0,BE256&gt;0), BE256,     AND(NOT($AI256=$AM256),$AI256&gt;0,$AM256&gt;0,BE256&gt;0), ($AM256*BE256)/$AI256,     AND($AI256=0,$AM256&gt;0,$AQ256&gt;0), IF(INDEX(BE$12:BE$263,MATCH($AQ256,$AP$12:$AP$263,0))&gt;0,($AM256*INDEX(BE$12:BE$263,MATCH($AQ256,$AP$12:$AP$263,0)))/INDEX($AI$12:$AI$263,MATCH($AQ256,$AP$12:$AP$263,0)), "-"),     TRUE, "0")</f>
        <v>0</v>
      </c>
      <c r="BG256" s="607">
        <f>IF(BF$9&gt;0, IF(OR(BF256="",BF256="-"), 0, BF256*$AT256), BE256*$AJ256)</f>
        <v>0</v>
      </c>
      <c r="BH256" s="589">
        <f>[1]COMMANDE!W254</f>
        <v>0</v>
      </c>
      <c r="BI256" s="586" t="str">
        <f>_xlfn.IFS(AND($AI256=$AM256,$AI256&gt;0,$AM256&gt;0,BH256&gt;0), BH256,     AND(NOT($AI256=$AM256),$AI256&gt;0,$AM256&gt;0,BH256&gt;0), ($AM256*BH256)/$AI256,     AND($AI256=0,$AM256&gt;0,$AQ256&gt;0), IF(INDEX(BH$12:BH$263,MATCH($AQ256,$AP$12:$AP$263,0))&gt;0,($AM256*INDEX(BH$12:BH$263,MATCH($AQ256,$AP$12:$AP$263,0)))/INDEX($AI$12:$AI$263,MATCH($AQ256,$AP$12:$AP$263,0)), "-"),     TRUE, "0")</f>
        <v>0</v>
      </c>
      <c r="BJ256" s="588">
        <f>IF(BI$9&gt;0, IF(OR(BI256="",BI256="-"), 0, BI256*$AT256), BH256*$AJ256)</f>
        <v>0</v>
      </c>
      <c r="BK256" s="587">
        <f>[1]COMMANDE!Y254</f>
        <v>0</v>
      </c>
      <c r="BL256" s="586" t="str">
        <f>_xlfn.IFS(AND($AI256=$AM256,$AI256&gt;0,$AM256&gt;0,BK256&gt;0), BK256,     AND(NOT($AI256=$AM256),$AI256&gt;0,$AM256&gt;0,BK256&gt;0), ($AM256*BK256)/$AI256,     AND($AI256=0,$AM256&gt;0,$AQ256&gt;0), IF(INDEX(BK$12:BK$263,MATCH($AQ256,$AP$12:$AP$263,0))&gt;0,($AM256*INDEX(BK$12:BK$263,MATCH($AQ256,$AP$12:$AP$263,0)))/INDEX($AI$12:$AI$263,MATCH($AQ256,$AP$12:$AP$263,0)), "-"),     TRUE, "0")</f>
        <v>0</v>
      </c>
      <c r="BM256" s="607">
        <f>IF(BL$9&gt;0, IF(OR(BL256="",BL256="-"), 0, BL256*$AT256), BK256*$AJ256)</f>
        <v>0</v>
      </c>
      <c r="BN256" s="589">
        <f>[1]COMMANDE!AA254</f>
        <v>0</v>
      </c>
      <c r="BO256" s="586" t="str">
        <f>_xlfn.IFS(AND($AI256=$AM256,$AI256&gt;0,$AM256&gt;0,BN256&gt;0), BN256,     AND(NOT($AI256=$AM256),$AI256&gt;0,$AM256&gt;0,BN256&gt;0), ($AM256*BN256)/$AI256,     AND($AI256=0,$AM256&gt;0,$AQ256&gt;0), IF(INDEX(BN$12:BN$263,MATCH($AQ256,$AP$12:$AP$263,0))&gt;0,($AM256*INDEX(BN$12:BN$263,MATCH($AQ256,$AP$12:$AP$263,0)))/INDEX($AI$12:$AI$263,MATCH($AQ256,$AP$12:$AP$263,0)), "-"),     TRUE, "0")</f>
        <v>0</v>
      </c>
      <c r="BP256" s="588">
        <f>IF(BO$9&gt;0, IF(OR(BO256="",BO256="-"), 0, BO256*$AT256), BN256*$AJ256)</f>
        <v>0</v>
      </c>
      <c r="BQ256" s="587">
        <f>[1]COMMANDE!AC254</f>
        <v>0</v>
      </c>
      <c r="BR256" s="586" t="str">
        <f>_xlfn.IFS(AND($AI256=$AM256,$AI256&gt;0,$AM256&gt;0,BQ256&gt;0), BQ256,     AND(NOT($AI256=$AM256),$AI256&gt;0,$AM256&gt;0,BQ256&gt;0), ($AM256*BQ256)/$AI256,     AND($AI256=0,$AM256&gt;0,$AQ256&gt;0), IF(INDEX(BQ$12:BQ$263,MATCH($AQ256,$AP$12:$AP$263,0))&gt;0,($AM256*INDEX(BQ$12:BQ$263,MATCH($AQ256,$AP$12:$AP$263,0)))/INDEX($AI$12:$AI$263,MATCH($AQ256,$AP$12:$AP$263,0)), "-"),     TRUE, "0")</f>
        <v>0</v>
      </c>
      <c r="BS256" s="607">
        <f>IF(BR$9&gt;0, IF(OR(BR256="",BR256="-"), 0, BR256*$AT256), BQ256*$AJ256)</f>
        <v>0</v>
      </c>
      <c r="BT256" s="589">
        <f>[1]COMMANDE!AE254</f>
        <v>0</v>
      </c>
      <c r="BU256" s="586" t="str">
        <f>_xlfn.IFS(AND($AI256=$AM256,$AI256&gt;0,$AM256&gt;0,BT256&gt;0), BT256,     AND(NOT($AI256=$AM256),$AI256&gt;0,$AM256&gt;0,BT256&gt;0), ($AM256*BT256)/$AI256,     AND($AI256=0,$AM256&gt;0,$AQ256&gt;0), IF(INDEX(BT$12:BT$263,MATCH($AQ256,$AP$12:$AP$263,0))&gt;0,($AM256*INDEX(BT$12:BT$263,MATCH($AQ256,$AP$12:$AP$263,0)))/INDEX($AI$12:$AI$263,MATCH($AQ256,$AP$12:$AP$263,0)), "-"),     TRUE, "0")</f>
        <v>0</v>
      </c>
      <c r="BV256" s="588">
        <f>IF(BU$9&gt;0, IF(OR(BU256="",BU256="-"), 0, BU256*$AT256), BT256*$AJ256)</f>
        <v>0</v>
      </c>
      <c r="BW256" s="587">
        <f>[1]COMMANDE!AG254</f>
        <v>0</v>
      </c>
      <c r="BX256" s="586" t="str">
        <f>_xlfn.IFS(AND($AI256=$AM256,$AI256&gt;0,$AM256&gt;0,BW256&gt;0), BW256,     AND(NOT($AI256=$AM256),$AI256&gt;0,$AM256&gt;0,BW256&gt;0), ($AM256*BW256)/$AI256,     AND($AI256=0,$AM256&gt;0,$AQ256&gt;0), IF(INDEX(BW$12:BW$263,MATCH($AQ256,$AP$12:$AP$263,0))&gt;0,($AM256*INDEX(BW$12:BW$263,MATCH($AQ256,$AP$12:$AP$263,0)))/INDEX($AI$12:$AI$263,MATCH($AQ256,$AP$12:$AP$263,0)), "-"),     TRUE, "0")</f>
        <v>0</v>
      </c>
      <c r="BY256" s="607">
        <f>IF(BX$9&gt;0, IF(OR(BX256="",BX256="-"), 0, BX256*$AT256), BW256*$AJ256)</f>
        <v>0</v>
      </c>
      <c r="BZ256" s="589">
        <f>[1]COMMANDE!AI254</f>
        <v>0</v>
      </c>
      <c r="CA256" s="586" t="str">
        <f>_xlfn.IFS(AND($AI256=$AM256,$AI256&gt;0,$AM256&gt;0,BZ256&gt;0), BZ256,     AND(NOT($AI256=$AM256),$AI256&gt;0,$AM256&gt;0,BZ256&gt;0), ($AM256*BZ256)/$AI256,     AND($AI256=0,$AM256&gt;0,$AQ256&gt;0), IF(INDEX(BZ$12:BZ$263,MATCH($AQ256,$AP$12:$AP$263,0))&gt;0,($AM256*INDEX(BZ$12:BZ$263,MATCH($AQ256,$AP$12:$AP$263,0)))/INDEX($AI$12:$AI$263,MATCH($AQ256,$AP$12:$AP$263,0)), "-"),     TRUE, "0")</f>
        <v>0</v>
      </c>
      <c r="CB256" s="588">
        <f>IF(CA$9&gt;0, IF(OR(CA256="",CA256="-"), 0, CA256*$AT256), BZ256*$AJ256)</f>
        <v>0</v>
      </c>
      <c r="CC256" s="587">
        <f>[1]COMMANDE!AK254</f>
        <v>0</v>
      </c>
      <c r="CD256" s="586" t="str">
        <f>_xlfn.IFS(AND($AI256=$AM256,$AI256&gt;0,$AM256&gt;0,CC256&gt;0), CC256,     AND(NOT($AI256=$AM256),$AI256&gt;0,$AM256&gt;0,CC256&gt;0), ($AM256*CC256)/$AI256,     AND($AI256=0,$AM256&gt;0,$AQ256&gt;0), IF(INDEX(CC$12:CC$263,MATCH($AQ256,$AP$12:$AP$263,0))&gt;0,($AM256*INDEX(CC$12:CC$263,MATCH($AQ256,$AP$12:$AP$263,0)))/INDEX($AI$12:$AI$263,MATCH($AQ256,$AP$12:$AP$263,0)), "-"),     TRUE, "0")</f>
        <v>0</v>
      </c>
      <c r="CE256" s="607">
        <f>IF(CD$9&gt;0, IF(OR(CD256="",CD256="-"), 0, CD256*$AT256), CC256*$AJ256)</f>
        <v>0</v>
      </c>
      <c r="CF256" s="589">
        <f>[1]COMMANDE!AM254</f>
        <v>0</v>
      </c>
      <c r="CG256" s="586" t="str">
        <f>_xlfn.IFS(AND($AI256=$AM256,$AI256&gt;0,$AM256&gt;0,CF256&gt;0), CF256,     AND(NOT($AI256=$AM256),$AI256&gt;0,$AM256&gt;0,CF256&gt;0), ($AM256*CF256)/$AI256,     AND($AI256=0,$AM256&gt;0,$AQ256&gt;0), IF(INDEX(CF$12:CF$263,MATCH($AQ256,$AP$12:$AP$263,0))&gt;0,($AM256*INDEX(CF$12:CF$263,MATCH($AQ256,$AP$12:$AP$263,0)))/INDEX($AI$12:$AI$263,MATCH($AQ256,$AP$12:$AP$263,0)), "-"),     TRUE, "0")</f>
        <v>0</v>
      </c>
      <c r="CH256" s="588">
        <f>IF(CG$9&gt;0, IF(OR(CG256="",CG256="-"), 0, CG256*$AT256), CF256*$AJ256)</f>
        <v>0</v>
      </c>
      <c r="CI256" s="587">
        <f>[1]COMMANDE!AO254</f>
        <v>0</v>
      </c>
      <c r="CJ256" s="586" t="str">
        <f>_xlfn.IFS(AND($AI256=$AM256,$AI256&gt;0,$AM256&gt;0,CI256&gt;0), CI256,     AND(NOT($AI256=$AM256),$AI256&gt;0,$AM256&gt;0,CI256&gt;0), ($AM256*CI256)/$AI256,     AND($AI256=0,$AM256&gt;0,$AQ256&gt;0), IF(INDEX(CI$12:CI$263,MATCH($AQ256,$AP$12:$AP$263,0))&gt;0,($AM256*INDEX(CI$12:CI$263,MATCH($AQ256,$AP$12:$AP$263,0)))/INDEX($AI$12:$AI$263,MATCH($AQ256,$AP$12:$AP$263,0)), "-"),     TRUE, "0")</f>
        <v>0</v>
      </c>
      <c r="CK256" s="607">
        <f>IF(CJ$9&gt;0, IF(OR(CJ256="",CJ256="-"), 0, CJ256*$AT256), CI256*$AJ256)</f>
        <v>0</v>
      </c>
      <c r="CL256" s="589">
        <f>[1]COMMANDE!AQ254</f>
        <v>0</v>
      </c>
      <c r="CM256" s="586" t="str">
        <f>_xlfn.IFS(AND($AI256=$AM256,$AI256&gt;0,$AM256&gt;0,CL256&gt;0), CL256,     AND(NOT($AI256=$AM256),$AI256&gt;0,$AM256&gt;0,CL256&gt;0), ($AM256*CL256)/$AI256,     AND($AI256=0,$AM256&gt;0,$AQ256&gt;0), IF(INDEX(CL$12:CL$263,MATCH($AQ256,$AP$12:$AP$263,0))&gt;0,($AM256*INDEX(CL$12:CL$263,MATCH($AQ256,$AP$12:$AP$263,0)))/INDEX($AI$12:$AI$263,MATCH($AQ256,$AP$12:$AP$263,0)), "-"),     TRUE, "0")</f>
        <v>0</v>
      </c>
      <c r="CN256" s="588">
        <f>IF(CM$9&gt;0, IF(OR(CM256="",CM256="-"), 0, CM256*$AT256), CL256*$AJ256)</f>
        <v>0</v>
      </c>
      <c r="CO256" s="587">
        <f>[1]COMMANDE!AS254</f>
        <v>0</v>
      </c>
      <c r="CP256" s="586" t="str">
        <f>_xlfn.IFS(AND($AI256=$AM256,$AI256&gt;0,$AM256&gt;0,CO256&gt;0), CO256,     AND(NOT($AI256=$AM256),$AI256&gt;0,$AM256&gt;0,CO256&gt;0), ($AM256*CO256)/$AI256,     AND($AI256=0,$AM256&gt;0,$AQ256&gt;0), IF(INDEX(CO$12:CO$263,MATCH($AQ256,$AP$12:$AP$263,0))&gt;0,($AM256*INDEX(CO$12:CO$263,MATCH($AQ256,$AP$12:$AP$263,0)))/INDEX($AI$12:$AI$263,MATCH($AQ256,$AP$12:$AP$263,0)), "-"),     TRUE, "0")</f>
        <v>0</v>
      </c>
      <c r="CQ256" s="607">
        <f>IF(CP$9&gt;0, IF(OR(CP256="",CP256="-"), 0, CP256*$AT256), CO256*$AJ256)</f>
        <v>0</v>
      </c>
      <c r="CR256" s="589">
        <f>[1]COMMANDE!AU254</f>
        <v>0</v>
      </c>
      <c r="CS256" s="586" t="str">
        <f>_xlfn.IFS(AND($AI256=$AM256,$AI256&gt;0,$AM256&gt;0,CR256&gt;0), CR256,     AND(NOT($AI256=$AM256),$AI256&gt;0,$AM256&gt;0,CR256&gt;0), ($AM256*CR256)/$AI256,     AND($AI256=0,$AM256&gt;0,$AQ256&gt;0), IF(INDEX(CR$12:CR$263,MATCH($AQ256,$AP$12:$AP$263,0))&gt;0,($AM256*INDEX(CR$12:CR$263,MATCH($AQ256,$AP$12:$AP$263,0)))/INDEX($AI$12:$AI$263,MATCH($AQ256,$AP$12:$AP$263,0)), "-"),     TRUE, "0")</f>
        <v>0</v>
      </c>
      <c r="CT256" s="588">
        <f>IF(CS$9&gt;0, IF(OR(CS256="",CS256="-"), 0, CS256*$AT256), CR256*$AJ256)</f>
        <v>0</v>
      </c>
      <c r="CU256" s="587">
        <f>[1]COMMANDE!AW254</f>
        <v>0</v>
      </c>
      <c r="CV256" s="586" t="str">
        <f>_xlfn.IFS(AND($AI256=$AM256,$AI256&gt;0,$AM256&gt;0,CU256&gt;0), CU256,     AND(NOT($AI256=$AM256),$AI256&gt;0,$AM256&gt;0,CU256&gt;0), ($AM256*CU256)/$AI256,     AND($AI256=0,$AM256&gt;0,$AQ256&gt;0), IF(INDEX(CU$12:CU$263,MATCH($AQ256,$AP$12:$AP$263,0))&gt;0,($AM256*INDEX(CU$12:CU$263,MATCH($AQ256,$AP$12:$AP$263,0)))/INDEX($AI$12:$AI$263,MATCH($AQ256,$AP$12:$AP$263,0)), "-"),     TRUE, "0")</f>
        <v>0</v>
      </c>
      <c r="CW256" s="607">
        <f>IF(CV$9&gt;0, IF(OR(CV256="",CV256="-"), 0, CV256*$AT256), CU256*$AJ256)</f>
        <v>0</v>
      </c>
      <c r="CX256" s="589">
        <f>[1]COMMANDE!AY254</f>
        <v>0</v>
      </c>
      <c r="CY256" s="586" t="str">
        <f>_xlfn.IFS(AND($AI256=$AM256,$AI256&gt;0,$AM256&gt;0,CX256&gt;0), CX256,     AND(NOT($AI256=$AM256),$AI256&gt;0,$AM256&gt;0,CX256&gt;0), ($AM256*CX256)/$AI256,     AND($AI256=0,$AM256&gt;0,$AQ256&gt;0), IF(INDEX(CX$12:CX$263,MATCH($AQ256,$AP$12:$AP$263,0))&gt;0,($AM256*INDEX(CX$12:CX$263,MATCH($AQ256,$AP$12:$AP$263,0)))/INDEX($AI$12:$AI$263,MATCH($AQ256,$AP$12:$AP$263,0)), "-"),     TRUE, "0")</f>
        <v>0</v>
      </c>
      <c r="CZ256" s="588">
        <f>IF(CY$9&gt;0, IF(OR(CY256="",CY256="-"), 0, CY256*$AT256), CX256*$AJ256)</f>
        <v>0</v>
      </c>
      <c r="DA256" s="587">
        <f>[1]COMMANDE!BA254</f>
        <v>0</v>
      </c>
      <c r="DB256" s="586" t="str">
        <f>_xlfn.IFS(AND($AI256=$AM256,$AI256&gt;0,$AM256&gt;0,DA256&gt;0), DA256,     AND(NOT($AI256=$AM256),$AI256&gt;0,$AM256&gt;0,DA256&gt;0), ($AM256*DA256)/$AI256,     AND($AI256=0,$AM256&gt;0,$AQ256&gt;0), IF(INDEX(DA$12:DA$263,MATCH($AQ256,$AP$12:$AP$263,0))&gt;0,($AM256*INDEX(DA$12:DA$263,MATCH($AQ256,$AP$12:$AP$263,0)))/INDEX($AI$12:$AI$263,MATCH($AQ256,$AP$12:$AP$263,0)), "-"),     TRUE, "0")</f>
        <v>0</v>
      </c>
      <c r="DC256" s="606">
        <f>IF(DB$9&gt;0, IF(OR(DB256="",DB256="-"), 0, DB256*$AT256), DA256*$AJ256)</f>
        <v>0</v>
      </c>
      <c r="DD256" s="584"/>
      <c r="DE256" s="583"/>
    </row>
    <row r="257" spans="1:109" ht="39.950000000000003" hidden="1" customHeight="1">
      <c r="A257" s="604">
        <f>IF(OR($AV257&gt;0, $AX257&gt;0), 1, 0)</f>
        <v>0</v>
      </c>
      <c r="B257" s="604">
        <f>IF(OR($AY257&gt;0, $BA257&gt;0), 1, 0)</f>
        <v>0</v>
      </c>
      <c r="C257" s="604">
        <f>IF(OR($BB257&gt;0, $BD257&gt;0), 1, 0)</f>
        <v>0</v>
      </c>
      <c r="D257" s="604">
        <f>IF(OR($BE257&gt;0, $BG257&gt;0), 1, 0)</f>
        <v>0</v>
      </c>
      <c r="E257" s="604">
        <f>IF(OR($BH257&gt;0, $BJ257&gt;0), 1, 0)</f>
        <v>0</v>
      </c>
      <c r="F257" s="604">
        <f>IF(OR($BK257&gt;0, $BM257&gt;0), 1, 0)</f>
        <v>0</v>
      </c>
      <c r="G257" s="604">
        <f>IF(OR($BN257&gt;0, $BP257&gt;0), 1, 0)</f>
        <v>0</v>
      </c>
      <c r="H257" s="604">
        <f>IF(OR($BQ257&gt;0, $BS257&gt;0), 1, 0)</f>
        <v>0</v>
      </c>
      <c r="I257" s="604">
        <f>IF(OR($BT257&gt;0, $BV257&gt;0), 1, 0)</f>
        <v>0</v>
      </c>
      <c r="J257" s="604">
        <f>IF(OR($BW257&gt;0, $BY257&gt;0), 1, 0)</f>
        <v>0</v>
      </c>
      <c r="K257" s="604">
        <f>IF(OR($BZ257&gt;0, $CB257&gt;0), 1, 0)</f>
        <v>0</v>
      </c>
      <c r="L257" s="604">
        <f>IF(OR($CC257&gt;0, $CE257&gt;0), 1, 0)</f>
        <v>0</v>
      </c>
      <c r="M257" s="604">
        <f>IF(OR($CF257&gt;0, $CH257&gt;0), 1, 0)</f>
        <v>0</v>
      </c>
      <c r="N257" s="604">
        <f>IF(OR($CI257&gt;0, $CK257&gt;0), 1, 0)</f>
        <v>0</v>
      </c>
      <c r="O257" s="604">
        <f>IF(OR($CL257&gt;0, $CN257&gt;0), 1, 0)</f>
        <v>0</v>
      </c>
      <c r="P257" s="604">
        <f>IF(OR($CO257&gt;0, $CQ257&gt;0), 1, 0)</f>
        <v>0</v>
      </c>
      <c r="Q257" s="604">
        <f>IF(OR($CR257&gt;0, $CT257&gt;0), 1, 0)</f>
        <v>0</v>
      </c>
      <c r="R257" s="604">
        <f>IF(OR($CU257&gt;0, $CW257&gt;0), 1, 0)</f>
        <v>0</v>
      </c>
      <c r="S257" s="604">
        <f>IF(OR($CX257&gt;0, $CZ257&gt;0), 1, 0)</f>
        <v>0</v>
      </c>
      <c r="T257" s="604">
        <f>IF(OR($DA257&gt;0, $DC257&gt;0), 1, 0)</f>
        <v>0</v>
      </c>
      <c r="U257" s="603">
        <f>IF(OR($AI257&gt;0,$AM257&gt;0,$AS257&gt;0), 1, 0)</f>
        <v>0</v>
      </c>
      <c r="V257" s="602">
        <f>[1]BDD!A247</f>
        <v>0</v>
      </c>
      <c r="W257" s="601">
        <f>[1]BDD!B247</f>
        <v>0</v>
      </c>
      <c r="X257" s="600" t="str">
        <f>IF([1]BDD!F247=0, "", [1]BDD!F247)</f>
        <v/>
      </c>
      <c r="Y257" s="542">
        <f>ROUND([1]BDD!G247+FDP_CMD_KG, 2)</f>
        <v>0.87</v>
      </c>
      <c r="Z257" s="542">
        <f>ROUND([1]BDD!G247+FDP_FACT_KG, 2)</f>
        <v>0.87</v>
      </c>
      <c r="AA257" s="543">
        <f>[1]BDD!H247</f>
        <v>0</v>
      </c>
      <c r="AB257" s="544" t="str">
        <f>IF(NOT(ISBLANK([1]BDD!I247)), ROUND(SUM(([1]BDD!G247*reduc1),FDP_CMD_KG), 2), "")</f>
        <v/>
      </c>
      <c r="AC257" s="544" t="str">
        <f>IF(NOT(ISBLANK([1]BDD!J247)), ROUND(SUM(([1]BDD!G247*reduc2),FDP_CMD_KG), 2), "")</f>
        <v/>
      </c>
      <c r="AD257" s="544" t="str">
        <f>IF(NOT(ISBLANK([1]BDD!K247)), ROUND(SUM(([1]BDD!G247*reduc3),FDP_CMD_KG), 2), "")</f>
        <v/>
      </c>
      <c r="AE257" s="544" t="str">
        <f>IF(NOT(ISBLANK([1]BDD!I247)), ROUND(SUM(([1]BDD!G247*reduc1),FDP_FACT_KG), 2), "")</f>
        <v/>
      </c>
      <c r="AF257" s="544" t="str">
        <f>IF(NOT(ISBLANK([1]BDD!J247)), ROUND(SUM(([1]BDD!G247*reduc2),FDP_FACT_KG), 2), "")</f>
        <v/>
      </c>
      <c r="AG257" s="544" t="str">
        <f>IF(NOT(ISBLANK([1]BDD!K247)), ROUND(SUM(([1]BDD!G247*reduc3),FDP_FACT_KG), 2), "")</f>
        <v/>
      </c>
      <c r="AH257" s="599">
        <f>[1]BDD!C247</f>
        <v>0</v>
      </c>
      <c r="AI257" s="598">
        <f>SUM(AV257,AY257,BB257,BE257,BH257,BK257,BN257,BQ257,BT257,BW257,BZ257,CC257,CF257,CI257,CL257,CO257,CR257,CU257,CX257,DA257)</f>
        <v>0</v>
      </c>
      <c r="AJ257" s="545">
        <f>_xlfn.IFS($AD257&lt;&gt;"", $AD257,    $AC257&lt;&gt;"", $AC257,    $AB257&lt;&gt;"", $AB257,    TRUE, $Y257)</f>
        <v>0.87</v>
      </c>
      <c r="AK257" s="592">
        <f>$AI257*$AJ257</f>
        <v>0</v>
      </c>
      <c r="AL257" s="594"/>
      <c r="AM257" s="597"/>
      <c r="AN257" s="545">
        <f>_xlfn.IFS(AND(AM257&gt;=60,$AG257&lt;&gt;""), $AG257,    AND(AM257&gt;=30,$AF257&lt;&gt;""), $AF257,    AND(AM257&gt;=10,$AE257&lt;&gt;""), $AE257,    TRUE, $Z257)</f>
        <v>0.87</v>
      </c>
      <c r="AO257" s="596">
        <f>AM257*AN257</f>
        <v>0</v>
      </c>
      <c r="AP257" s="595"/>
      <c r="AQ257" s="595"/>
      <c r="AR257" s="594"/>
      <c r="AS257" s="593">
        <f>SUM(AW257,AZ257,BC257,BF257,BI257,BL257,BO257,BR257,BU257,BX257,CA257,CD257,CG257,CJ257,CM257,CP257,CS257,CV257,CY257,DB257)</f>
        <v>0</v>
      </c>
      <c r="AT257" s="545">
        <f>_xlfn.IFS(AND(AS257&gt;=60,$AG257&lt;&gt;""), $AG257,    AND(AS257&gt;=30,$AF257&lt;&gt;""), $AF257,    AND(AS257&gt;=10,$AE257&lt;&gt;""), $AE257,    TRUE, $Z257)</f>
        <v>0.87</v>
      </c>
      <c r="AU257" s="592">
        <f>$AS257*$AT257</f>
        <v>0</v>
      </c>
      <c r="AV257" s="591">
        <f>[1]COMMANDE!O255</f>
        <v>0</v>
      </c>
      <c r="AW257" s="586" t="str">
        <f>_xlfn.IFS(AND($AI257=$AM257,$AI257&gt;0,$AM257&gt;0,AV257&gt;0), AV257,     AND(NOT($AI257=$AM257),$AI257&gt;0,$AM257&gt;0,AV257&gt;0), ($AM257*AV257)/$AI257,     AND($AI257=0,$AM257&gt;0,$AQ257&gt;0), IF(INDEX(AV$12:AV$263,MATCH($AQ257,$AP$12:$AP$263,0))&gt;0,($AM257*INDEX(AV$12:AV$263,MATCH($AQ257,$AP$12:$AP$263,0)))/INDEX($AI$12:$AI$263,MATCH($AQ257,$AP$12:$AP$263,0)), "-"),     TRUE, "0")</f>
        <v>0</v>
      </c>
      <c r="AX257" s="588">
        <f>IF(AW$9&gt;0, IF(OR(AW257="",AW257="-"), 0, AW257*$AT257), AV257*$AJ257)</f>
        <v>0</v>
      </c>
      <c r="AY257" s="587">
        <f>[1]COMMANDE!Q255</f>
        <v>0</v>
      </c>
      <c r="AZ257" s="586" t="str">
        <f>_xlfn.IFS(AND($AI257=$AM257,$AI257&gt;0,$AM257&gt;0,AY257&gt;0), AY257,     AND(NOT($AI257=$AM257),$AI257&gt;0,$AM257&gt;0,AY257&gt;0), ($AM257*AY257)/$AI257,     AND($AI257=0,$AM257&gt;0,$AQ257&gt;0), IF(INDEX(AY$12:AY$263,MATCH($AQ257,$AP$12:$AP$263,0))&gt;0,($AM257*INDEX(AY$12:AY$263,MATCH($AQ257,$AP$12:$AP$263,0)))/INDEX($AI$12:$AI$263,MATCH($AQ257,$AP$12:$AP$263,0)), "-"),     TRUE, "0")</f>
        <v>0</v>
      </c>
      <c r="BA257" s="607">
        <f>IF(AZ$9&gt;0, IF(OR(AZ257="",AZ257="-"), 0, AZ257*$AT257), AY257*$AJ257)</f>
        <v>0</v>
      </c>
      <c r="BB257" s="589">
        <f>[1]COMMANDE!S255</f>
        <v>0</v>
      </c>
      <c r="BC257" s="586" t="str">
        <f>_xlfn.IFS(AND($AI257=$AM257,$AI257&gt;0,$AM257&gt;0,BB257&gt;0), BB257,     AND(NOT($AI257=$AM257),$AI257&gt;0,$AM257&gt;0,BB257&gt;0), ($AM257*BB257)/$AI257,     AND($AI257=0,$AM257&gt;0,$AQ257&gt;0), IF(INDEX(BB$12:BB$263,MATCH($AQ257,$AP$12:$AP$263,0))&gt;0,($AM257*INDEX(BB$12:BB$263,MATCH($AQ257,$AP$12:$AP$263,0)))/INDEX($AI$12:$AI$263,MATCH($AQ257,$AP$12:$AP$263,0)), "-"),     TRUE, "0")</f>
        <v>0</v>
      </c>
      <c r="BD257" s="588">
        <f>IF(BC$9&gt;0, IF(OR(BC257="",BC257="-"), 0, BC257*$AT257), BB257*$AJ257)</f>
        <v>0</v>
      </c>
      <c r="BE257" s="587">
        <f>[1]COMMANDE!U255</f>
        <v>0</v>
      </c>
      <c r="BF257" s="586" t="str">
        <f>_xlfn.IFS(AND($AI257=$AM257,$AI257&gt;0,$AM257&gt;0,BE257&gt;0), BE257,     AND(NOT($AI257=$AM257),$AI257&gt;0,$AM257&gt;0,BE257&gt;0), ($AM257*BE257)/$AI257,     AND($AI257=0,$AM257&gt;0,$AQ257&gt;0), IF(INDEX(BE$12:BE$263,MATCH($AQ257,$AP$12:$AP$263,0))&gt;0,($AM257*INDEX(BE$12:BE$263,MATCH($AQ257,$AP$12:$AP$263,0)))/INDEX($AI$12:$AI$263,MATCH($AQ257,$AP$12:$AP$263,0)), "-"),     TRUE, "0")</f>
        <v>0</v>
      </c>
      <c r="BG257" s="607">
        <f>IF(BF$9&gt;0, IF(OR(BF257="",BF257="-"), 0, BF257*$AT257), BE257*$AJ257)</f>
        <v>0</v>
      </c>
      <c r="BH257" s="589">
        <f>[1]COMMANDE!W255</f>
        <v>0</v>
      </c>
      <c r="BI257" s="586" t="str">
        <f>_xlfn.IFS(AND($AI257=$AM257,$AI257&gt;0,$AM257&gt;0,BH257&gt;0), BH257,     AND(NOT($AI257=$AM257),$AI257&gt;0,$AM257&gt;0,BH257&gt;0), ($AM257*BH257)/$AI257,     AND($AI257=0,$AM257&gt;0,$AQ257&gt;0), IF(INDEX(BH$12:BH$263,MATCH($AQ257,$AP$12:$AP$263,0))&gt;0,($AM257*INDEX(BH$12:BH$263,MATCH($AQ257,$AP$12:$AP$263,0)))/INDEX($AI$12:$AI$263,MATCH($AQ257,$AP$12:$AP$263,0)), "-"),     TRUE, "0")</f>
        <v>0</v>
      </c>
      <c r="BJ257" s="588">
        <f>IF(BI$9&gt;0, IF(OR(BI257="",BI257="-"), 0, BI257*$AT257), BH257*$AJ257)</f>
        <v>0</v>
      </c>
      <c r="BK257" s="587">
        <f>[1]COMMANDE!Y255</f>
        <v>0</v>
      </c>
      <c r="BL257" s="586" t="str">
        <f>_xlfn.IFS(AND($AI257=$AM257,$AI257&gt;0,$AM257&gt;0,BK257&gt;0), BK257,     AND(NOT($AI257=$AM257),$AI257&gt;0,$AM257&gt;0,BK257&gt;0), ($AM257*BK257)/$AI257,     AND($AI257=0,$AM257&gt;0,$AQ257&gt;0), IF(INDEX(BK$12:BK$263,MATCH($AQ257,$AP$12:$AP$263,0))&gt;0,($AM257*INDEX(BK$12:BK$263,MATCH($AQ257,$AP$12:$AP$263,0)))/INDEX($AI$12:$AI$263,MATCH($AQ257,$AP$12:$AP$263,0)), "-"),     TRUE, "0")</f>
        <v>0</v>
      </c>
      <c r="BM257" s="607">
        <f>IF(BL$9&gt;0, IF(OR(BL257="",BL257="-"), 0, BL257*$AT257), BK257*$AJ257)</f>
        <v>0</v>
      </c>
      <c r="BN257" s="589">
        <f>[1]COMMANDE!AA255</f>
        <v>0</v>
      </c>
      <c r="BO257" s="586" t="str">
        <f>_xlfn.IFS(AND($AI257=$AM257,$AI257&gt;0,$AM257&gt;0,BN257&gt;0), BN257,     AND(NOT($AI257=$AM257),$AI257&gt;0,$AM257&gt;0,BN257&gt;0), ($AM257*BN257)/$AI257,     AND($AI257=0,$AM257&gt;0,$AQ257&gt;0), IF(INDEX(BN$12:BN$263,MATCH($AQ257,$AP$12:$AP$263,0))&gt;0,($AM257*INDEX(BN$12:BN$263,MATCH($AQ257,$AP$12:$AP$263,0)))/INDEX($AI$12:$AI$263,MATCH($AQ257,$AP$12:$AP$263,0)), "-"),     TRUE, "0")</f>
        <v>0</v>
      </c>
      <c r="BP257" s="588">
        <f>IF(BO$9&gt;0, IF(OR(BO257="",BO257="-"), 0, BO257*$AT257), BN257*$AJ257)</f>
        <v>0</v>
      </c>
      <c r="BQ257" s="587">
        <f>[1]COMMANDE!AC255</f>
        <v>0</v>
      </c>
      <c r="BR257" s="586" t="str">
        <f>_xlfn.IFS(AND($AI257=$AM257,$AI257&gt;0,$AM257&gt;0,BQ257&gt;0), BQ257,     AND(NOT($AI257=$AM257),$AI257&gt;0,$AM257&gt;0,BQ257&gt;0), ($AM257*BQ257)/$AI257,     AND($AI257=0,$AM257&gt;0,$AQ257&gt;0), IF(INDEX(BQ$12:BQ$263,MATCH($AQ257,$AP$12:$AP$263,0))&gt;0,($AM257*INDEX(BQ$12:BQ$263,MATCH($AQ257,$AP$12:$AP$263,0)))/INDEX($AI$12:$AI$263,MATCH($AQ257,$AP$12:$AP$263,0)), "-"),     TRUE, "0")</f>
        <v>0</v>
      </c>
      <c r="BS257" s="607">
        <f>IF(BR$9&gt;0, IF(OR(BR257="",BR257="-"), 0, BR257*$AT257), BQ257*$AJ257)</f>
        <v>0</v>
      </c>
      <c r="BT257" s="589">
        <f>[1]COMMANDE!AE255</f>
        <v>0</v>
      </c>
      <c r="BU257" s="586" t="str">
        <f>_xlfn.IFS(AND($AI257=$AM257,$AI257&gt;0,$AM257&gt;0,BT257&gt;0), BT257,     AND(NOT($AI257=$AM257),$AI257&gt;0,$AM257&gt;0,BT257&gt;0), ($AM257*BT257)/$AI257,     AND($AI257=0,$AM257&gt;0,$AQ257&gt;0), IF(INDEX(BT$12:BT$263,MATCH($AQ257,$AP$12:$AP$263,0))&gt;0,($AM257*INDEX(BT$12:BT$263,MATCH($AQ257,$AP$12:$AP$263,0)))/INDEX($AI$12:$AI$263,MATCH($AQ257,$AP$12:$AP$263,0)), "-"),     TRUE, "0")</f>
        <v>0</v>
      </c>
      <c r="BV257" s="588">
        <f>IF(BU$9&gt;0, IF(OR(BU257="",BU257="-"), 0, BU257*$AT257), BT257*$AJ257)</f>
        <v>0</v>
      </c>
      <c r="BW257" s="587">
        <f>[1]COMMANDE!AG255</f>
        <v>0</v>
      </c>
      <c r="BX257" s="586" t="str">
        <f>_xlfn.IFS(AND($AI257=$AM257,$AI257&gt;0,$AM257&gt;0,BW257&gt;0), BW257,     AND(NOT($AI257=$AM257),$AI257&gt;0,$AM257&gt;0,BW257&gt;0), ($AM257*BW257)/$AI257,     AND($AI257=0,$AM257&gt;0,$AQ257&gt;0), IF(INDEX(BW$12:BW$263,MATCH($AQ257,$AP$12:$AP$263,0))&gt;0,($AM257*INDEX(BW$12:BW$263,MATCH($AQ257,$AP$12:$AP$263,0)))/INDEX($AI$12:$AI$263,MATCH($AQ257,$AP$12:$AP$263,0)), "-"),     TRUE, "0")</f>
        <v>0</v>
      </c>
      <c r="BY257" s="607">
        <f>IF(BX$9&gt;0, IF(OR(BX257="",BX257="-"), 0, BX257*$AT257), BW257*$AJ257)</f>
        <v>0</v>
      </c>
      <c r="BZ257" s="589">
        <f>[1]COMMANDE!AI255</f>
        <v>0</v>
      </c>
      <c r="CA257" s="586" t="str">
        <f>_xlfn.IFS(AND($AI257=$AM257,$AI257&gt;0,$AM257&gt;0,BZ257&gt;0), BZ257,     AND(NOT($AI257=$AM257),$AI257&gt;0,$AM257&gt;0,BZ257&gt;0), ($AM257*BZ257)/$AI257,     AND($AI257=0,$AM257&gt;0,$AQ257&gt;0), IF(INDEX(BZ$12:BZ$263,MATCH($AQ257,$AP$12:$AP$263,0))&gt;0,($AM257*INDEX(BZ$12:BZ$263,MATCH($AQ257,$AP$12:$AP$263,0)))/INDEX($AI$12:$AI$263,MATCH($AQ257,$AP$12:$AP$263,0)), "-"),     TRUE, "0")</f>
        <v>0</v>
      </c>
      <c r="CB257" s="588">
        <f>IF(CA$9&gt;0, IF(OR(CA257="",CA257="-"), 0, CA257*$AT257), BZ257*$AJ257)</f>
        <v>0</v>
      </c>
      <c r="CC257" s="587">
        <f>[1]COMMANDE!AK255</f>
        <v>0</v>
      </c>
      <c r="CD257" s="586" t="str">
        <f>_xlfn.IFS(AND($AI257=$AM257,$AI257&gt;0,$AM257&gt;0,CC257&gt;0), CC257,     AND(NOT($AI257=$AM257),$AI257&gt;0,$AM257&gt;0,CC257&gt;0), ($AM257*CC257)/$AI257,     AND($AI257=0,$AM257&gt;0,$AQ257&gt;0), IF(INDEX(CC$12:CC$263,MATCH($AQ257,$AP$12:$AP$263,0))&gt;0,($AM257*INDEX(CC$12:CC$263,MATCH($AQ257,$AP$12:$AP$263,0)))/INDEX($AI$12:$AI$263,MATCH($AQ257,$AP$12:$AP$263,0)), "-"),     TRUE, "0")</f>
        <v>0</v>
      </c>
      <c r="CE257" s="607">
        <f>IF(CD$9&gt;0, IF(OR(CD257="",CD257="-"), 0, CD257*$AT257), CC257*$AJ257)</f>
        <v>0</v>
      </c>
      <c r="CF257" s="589">
        <f>[1]COMMANDE!AM255</f>
        <v>0</v>
      </c>
      <c r="CG257" s="586" t="str">
        <f>_xlfn.IFS(AND($AI257=$AM257,$AI257&gt;0,$AM257&gt;0,CF257&gt;0), CF257,     AND(NOT($AI257=$AM257),$AI257&gt;0,$AM257&gt;0,CF257&gt;0), ($AM257*CF257)/$AI257,     AND($AI257=0,$AM257&gt;0,$AQ257&gt;0), IF(INDEX(CF$12:CF$263,MATCH($AQ257,$AP$12:$AP$263,0))&gt;0,($AM257*INDEX(CF$12:CF$263,MATCH($AQ257,$AP$12:$AP$263,0)))/INDEX($AI$12:$AI$263,MATCH($AQ257,$AP$12:$AP$263,0)), "-"),     TRUE, "0")</f>
        <v>0</v>
      </c>
      <c r="CH257" s="588">
        <f>IF(CG$9&gt;0, IF(OR(CG257="",CG257="-"), 0, CG257*$AT257), CF257*$AJ257)</f>
        <v>0</v>
      </c>
      <c r="CI257" s="587">
        <f>[1]COMMANDE!AO255</f>
        <v>0</v>
      </c>
      <c r="CJ257" s="586" t="str">
        <f>_xlfn.IFS(AND($AI257=$AM257,$AI257&gt;0,$AM257&gt;0,CI257&gt;0), CI257,     AND(NOT($AI257=$AM257),$AI257&gt;0,$AM257&gt;0,CI257&gt;0), ($AM257*CI257)/$AI257,     AND($AI257=0,$AM257&gt;0,$AQ257&gt;0), IF(INDEX(CI$12:CI$263,MATCH($AQ257,$AP$12:$AP$263,0))&gt;0,($AM257*INDEX(CI$12:CI$263,MATCH($AQ257,$AP$12:$AP$263,0)))/INDEX($AI$12:$AI$263,MATCH($AQ257,$AP$12:$AP$263,0)), "-"),     TRUE, "0")</f>
        <v>0</v>
      </c>
      <c r="CK257" s="607">
        <f>IF(CJ$9&gt;0, IF(OR(CJ257="",CJ257="-"), 0, CJ257*$AT257), CI257*$AJ257)</f>
        <v>0</v>
      </c>
      <c r="CL257" s="589">
        <f>[1]COMMANDE!AQ255</f>
        <v>0</v>
      </c>
      <c r="CM257" s="586" t="str">
        <f>_xlfn.IFS(AND($AI257=$AM257,$AI257&gt;0,$AM257&gt;0,CL257&gt;0), CL257,     AND(NOT($AI257=$AM257),$AI257&gt;0,$AM257&gt;0,CL257&gt;0), ($AM257*CL257)/$AI257,     AND($AI257=0,$AM257&gt;0,$AQ257&gt;0), IF(INDEX(CL$12:CL$263,MATCH($AQ257,$AP$12:$AP$263,0))&gt;0,($AM257*INDEX(CL$12:CL$263,MATCH($AQ257,$AP$12:$AP$263,0)))/INDEX($AI$12:$AI$263,MATCH($AQ257,$AP$12:$AP$263,0)), "-"),     TRUE, "0")</f>
        <v>0</v>
      </c>
      <c r="CN257" s="588">
        <f>IF(CM$9&gt;0, IF(OR(CM257="",CM257="-"), 0, CM257*$AT257), CL257*$AJ257)</f>
        <v>0</v>
      </c>
      <c r="CO257" s="587">
        <f>[1]COMMANDE!AS255</f>
        <v>0</v>
      </c>
      <c r="CP257" s="586" t="str">
        <f>_xlfn.IFS(AND($AI257=$AM257,$AI257&gt;0,$AM257&gt;0,CO257&gt;0), CO257,     AND(NOT($AI257=$AM257),$AI257&gt;0,$AM257&gt;0,CO257&gt;0), ($AM257*CO257)/$AI257,     AND($AI257=0,$AM257&gt;0,$AQ257&gt;0), IF(INDEX(CO$12:CO$263,MATCH($AQ257,$AP$12:$AP$263,0))&gt;0,($AM257*INDEX(CO$12:CO$263,MATCH($AQ257,$AP$12:$AP$263,0)))/INDEX($AI$12:$AI$263,MATCH($AQ257,$AP$12:$AP$263,0)), "-"),     TRUE, "0")</f>
        <v>0</v>
      </c>
      <c r="CQ257" s="607">
        <f>IF(CP$9&gt;0, IF(OR(CP257="",CP257="-"), 0, CP257*$AT257), CO257*$AJ257)</f>
        <v>0</v>
      </c>
      <c r="CR257" s="589">
        <f>[1]COMMANDE!AU255</f>
        <v>0</v>
      </c>
      <c r="CS257" s="586" t="str">
        <f>_xlfn.IFS(AND($AI257=$AM257,$AI257&gt;0,$AM257&gt;0,CR257&gt;0), CR257,     AND(NOT($AI257=$AM257),$AI257&gt;0,$AM257&gt;0,CR257&gt;0), ($AM257*CR257)/$AI257,     AND($AI257=0,$AM257&gt;0,$AQ257&gt;0), IF(INDEX(CR$12:CR$263,MATCH($AQ257,$AP$12:$AP$263,0))&gt;0,($AM257*INDEX(CR$12:CR$263,MATCH($AQ257,$AP$12:$AP$263,0)))/INDEX($AI$12:$AI$263,MATCH($AQ257,$AP$12:$AP$263,0)), "-"),     TRUE, "0")</f>
        <v>0</v>
      </c>
      <c r="CT257" s="588">
        <f>IF(CS$9&gt;0, IF(OR(CS257="",CS257="-"), 0, CS257*$AT257), CR257*$AJ257)</f>
        <v>0</v>
      </c>
      <c r="CU257" s="587">
        <f>[1]COMMANDE!AW255</f>
        <v>0</v>
      </c>
      <c r="CV257" s="586" t="str">
        <f>_xlfn.IFS(AND($AI257=$AM257,$AI257&gt;0,$AM257&gt;0,CU257&gt;0), CU257,     AND(NOT($AI257=$AM257),$AI257&gt;0,$AM257&gt;0,CU257&gt;0), ($AM257*CU257)/$AI257,     AND($AI257=0,$AM257&gt;0,$AQ257&gt;0), IF(INDEX(CU$12:CU$263,MATCH($AQ257,$AP$12:$AP$263,0))&gt;0,($AM257*INDEX(CU$12:CU$263,MATCH($AQ257,$AP$12:$AP$263,0)))/INDEX($AI$12:$AI$263,MATCH($AQ257,$AP$12:$AP$263,0)), "-"),     TRUE, "0")</f>
        <v>0</v>
      </c>
      <c r="CW257" s="607">
        <f>IF(CV$9&gt;0, IF(OR(CV257="",CV257="-"), 0, CV257*$AT257), CU257*$AJ257)</f>
        <v>0</v>
      </c>
      <c r="CX257" s="589">
        <f>[1]COMMANDE!AY255</f>
        <v>0</v>
      </c>
      <c r="CY257" s="586" t="str">
        <f>_xlfn.IFS(AND($AI257=$AM257,$AI257&gt;0,$AM257&gt;0,CX257&gt;0), CX257,     AND(NOT($AI257=$AM257),$AI257&gt;0,$AM257&gt;0,CX257&gt;0), ($AM257*CX257)/$AI257,     AND($AI257=0,$AM257&gt;0,$AQ257&gt;0), IF(INDEX(CX$12:CX$263,MATCH($AQ257,$AP$12:$AP$263,0))&gt;0,($AM257*INDEX(CX$12:CX$263,MATCH($AQ257,$AP$12:$AP$263,0)))/INDEX($AI$12:$AI$263,MATCH($AQ257,$AP$12:$AP$263,0)), "-"),     TRUE, "0")</f>
        <v>0</v>
      </c>
      <c r="CZ257" s="588">
        <f>IF(CY$9&gt;0, IF(OR(CY257="",CY257="-"), 0, CY257*$AT257), CX257*$AJ257)</f>
        <v>0</v>
      </c>
      <c r="DA257" s="587">
        <f>[1]COMMANDE!BA255</f>
        <v>0</v>
      </c>
      <c r="DB257" s="586" t="str">
        <f>_xlfn.IFS(AND($AI257=$AM257,$AI257&gt;0,$AM257&gt;0,DA257&gt;0), DA257,     AND(NOT($AI257=$AM257),$AI257&gt;0,$AM257&gt;0,DA257&gt;0), ($AM257*DA257)/$AI257,     AND($AI257=0,$AM257&gt;0,$AQ257&gt;0), IF(INDEX(DA$12:DA$263,MATCH($AQ257,$AP$12:$AP$263,0))&gt;0,($AM257*INDEX(DA$12:DA$263,MATCH($AQ257,$AP$12:$AP$263,0)))/INDEX($AI$12:$AI$263,MATCH($AQ257,$AP$12:$AP$263,0)), "-"),     TRUE, "0")</f>
        <v>0</v>
      </c>
      <c r="DC257" s="606">
        <f>IF(DB$9&gt;0, IF(OR(DB257="",DB257="-"), 0, DB257*$AT257), DA257*$AJ257)</f>
        <v>0</v>
      </c>
      <c r="DD257" s="584"/>
      <c r="DE257" s="583"/>
    </row>
    <row r="258" spans="1:109" ht="39.950000000000003" hidden="1" customHeight="1">
      <c r="A258" s="604">
        <f>IF(OR($AV258&gt;0, $AX258&gt;0), 1, 0)</f>
        <v>0</v>
      </c>
      <c r="B258" s="604">
        <f>IF(OR($AY258&gt;0, $BA258&gt;0), 1, 0)</f>
        <v>0</v>
      </c>
      <c r="C258" s="604">
        <f>IF(OR($BB258&gt;0, $BD258&gt;0), 1, 0)</f>
        <v>0</v>
      </c>
      <c r="D258" s="604">
        <f>IF(OR($BE258&gt;0, $BG258&gt;0), 1, 0)</f>
        <v>0</v>
      </c>
      <c r="E258" s="604">
        <f>IF(OR($BH258&gt;0, $BJ258&gt;0), 1, 0)</f>
        <v>0</v>
      </c>
      <c r="F258" s="604">
        <f>IF(OR($BK258&gt;0, $BM258&gt;0), 1, 0)</f>
        <v>0</v>
      </c>
      <c r="G258" s="604">
        <f>IF(OR($BN258&gt;0, $BP258&gt;0), 1, 0)</f>
        <v>0</v>
      </c>
      <c r="H258" s="604">
        <f>IF(OR($BQ258&gt;0, $BS258&gt;0), 1, 0)</f>
        <v>0</v>
      </c>
      <c r="I258" s="604">
        <f>IF(OR($BT258&gt;0, $BV258&gt;0), 1, 0)</f>
        <v>0</v>
      </c>
      <c r="J258" s="604">
        <f>IF(OR($BW258&gt;0, $BY258&gt;0), 1, 0)</f>
        <v>0</v>
      </c>
      <c r="K258" s="604">
        <f>IF(OR($BZ258&gt;0, $CB258&gt;0), 1, 0)</f>
        <v>0</v>
      </c>
      <c r="L258" s="604">
        <f>IF(OR($CC258&gt;0, $CE258&gt;0), 1, 0)</f>
        <v>0</v>
      </c>
      <c r="M258" s="604">
        <f>IF(OR($CF258&gt;0, $CH258&gt;0), 1, 0)</f>
        <v>0</v>
      </c>
      <c r="N258" s="604">
        <f>IF(OR($CI258&gt;0, $CK258&gt;0), 1, 0)</f>
        <v>0</v>
      </c>
      <c r="O258" s="604">
        <f>IF(OR($CL258&gt;0, $CN258&gt;0), 1, 0)</f>
        <v>0</v>
      </c>
      <c r="P258" s="604">
        <f>IF(OR($CO258&gt;0, $CQ258&gt;0), 1, 0)</f>
        <v>0</v>
      </c>
      <c r="Q258" s="604">
        <f>IF(OR($CR258&gt;0, $CT258&gt;0), 1, 0)</f>
        <v>0</v>
      </c>
      <c r="R258" s="604">
        <f>IF(OR($CU258&gt;0, $CW258&gt;0), 1, 0)</f>
        <v>0</v>
      </c>
      <c r="S258" s="604">
        <f>IF(OR($CX258&gt;0, $CZ258&gt;0), 1, 0)</f>
        <v>0</v>
      </c>
      <c r="T258" s="604">
        <f>IF(OR($DA258&gt;0, $DC258&gt;0), 1, 0)</f>
        <v>0</v>
      </c>
      <c r="U258" s="603">
        <f>IF(OR($AI258&gt;0,$AM258&gt;0,$AS258&gt;0), 1, 0)</f>
        <v>0</v>
      </c>
      <c r="V258" s="602">
        <f>[1]BDD!A248</f>
        <v>0</v>
      </c>
      <c r="W258" s="601">
        <f>[1]BDD!B248</f>
        <v>0</v>
      </c>
      <c r="X258" s="600" t="str">
        <f>IF([1]BDD!F248=0, "", [1]BDD!F248)</f>
        <v/>
      </c>
      <c r="Y258" s="542">
        <f>ROUND([1]BDD!G248+FDP_CMD_KG, 2)</f>
        <v>0.87</v>
      </c>
      <c r="Z258" s="542">
        <f>ROUND([1]BDD!G248+FDP_FACT_KG, 2)</f>
        <v>0.87</v>
      </c>
      <c r="AA258" s="543">
        <f>[1]BDD!H248</f>
        <v>0</v>
      </c>
      <c r="AB258" s="544" t="str">
        <f>IF(NOT(ISBLANK([1]BDD!I248)), ROUND(SUM(([1]BDD!G248*reduc1),FDP_CMD_KG), 2), "")</f>
        <v/>
      </c>
      <c r="AC258" s="544" t="str">
        <f>IF(NOT(ISBLANK([1]BDD!J248)), ROUND(SUM(([1]BDD!G248*reduc2),FDP_CMD_KG), 2), "")</f>
        <v/>
      </c>
      <c r="AD258" s="544" t="str">
        <f>IF(NOT(ISBLANK([1]BDD!K248)), ROUND(SUM(([1]BDD!G248*reduc3),FDP_CMD_KG), 2), "")</f>
        <v/>
      </c>
      <c r="AE258" s="544" t="str">
        <f>IF(NOT(ISBLANK([1]BDD!I248)), ROUND(SUM(([1]BDD!G248*reduc1),FDP_FACT_KG), 2), "")</f>
        <v/>
      </c>
      <c r="AF258" s="544" t="str">
        <f>IF(NOT(ISBLANK([1]BDD!J248)), ROUND(SUM(([1]BDD!G248*reduc2),FDP_FACT_KG), 2), "")</f>
        <v/>
      </c>
      <c r="AG258" s="544" t="str">
        <f>IF(NOT(ISBLANK([1]BDD!K248)), ROUND(SUM(([1]BDD!G248*reduc3),FDP_FACT_KG), 2), "")</f>
        <v/>
      </c>
      <c r="AH258" s="599">
        <f>[1]BDD!C248</f>
        <v>0</v>
      </c>
      <c r="AI258" s="598">
        <f>SUM(AV258,AY258,BB258,BE258,BH258,BK258,BN258,BQ258,BT258,BW258,BZ258,CC258,CF258,CI258,CL258,CO258,CR258,CU258,CX258,DA258)</f>
        <v>0</v>
      </c>
      <c r="AJ258" s="545">
        <f>_xlfn.IFS($AD258&lt;&gt;"", $AD258,    $AC258&lt;&gt;"", $AC258,    $AB258&lt;&gt;"", $AB258,    TRUE, $Y258)</f>
        <v>0.87</v>
      </c>
      <c r="AK258" s="592">
        <f>$AI258*$AJ258</f>
        <v>0</v>
      </c>
      <c r="AL258" s="594"/>
      <c r="AM258" s="597"/>
      <c r="AN258" s="545">
        <f>_xlfn.IFS(AND(AM258&gt;=60,$AG258&lt;&gt;""), $AG258,    AND(AM258&gt;=30,$AF258&lt;&gt;""), $AF258,    AND(AM258&gt;=10,$AE258&lt;&gt;""), $AE258,    TRUE, $Z258)</f>
        <v>0.87</v>
      </c>
      <c r="AO258" s="596">
        <f>AM258*AN258</f>
        <v>0</v>
      </c>
      <c r="AP258" s="595"/>
      <c r="AQ258" s="595"/>
      <c r="AR258" s="594"/>
      <c r="AS258" s="593">
        <f>SUM(AW258,AZ258,BC258,BF258,BI258,BL258,BO258,BR258,BU258,BX258,CA258,CD258,CG258,CJ258,CM258,CP258,CS258,CV258,CY258,DB258)</f>
        <v>0</v>
      </c>
      <c r="AT258" s="545">
        <f>_xlfn.IFS(AND(AS258&gt;=60,$AG258&lt;&gt;""), $AG258,    AND(AS258&gt;=30,$AF258&lt;&gt;""), $AF258,    AND(AS258&gt;=10,$AE258&lt;&gt;""), $AE258,    TRUE, $Z258)</f>
        <v>0.87</v>
      </c>
      <c r="AU258" s="592">
        <f>$AS258*$AT258</f>
        <v>0</v>
      </c>
      <c r="AV258" s="591">
        <f>[1]COMMANDE!O256</f>
        <v>0</v>
      </c>
      <c r="AW258" s="586" t="str">
        <f>_xlfn.IFS(AND($AI258=$AM258,$AI258&gt;0,$AM258&gt;0,AV258&gt;0), AV258,     AND(NOT($AI258=$AM258),$AI258&gt;0,$AM258&gt;0,AV258&gt;0), ($AM258*AV258)/$AI258,     AND($AI258=0,$AM258&gt;0,$AQ258&gt;0), IF(INDEX(AV$12:AV$263,MATCH($AQ258,$AP$12:$AP$263,0))&gt;0,($AM258*INDEX(AV$12:AV$263,MATCH($AQ258,$AP$12:$AP$263,0)))/INDEX($AI$12:$AI$263,MATCH($AQ258,$AP$12:$AP$263,0)), "-"),     TRUE, "0")</f>
        <v>0</v>
      </c>
      <c r="AX258" s="588">
        <f>IF(AW$9&gt;0, IF(OR(AW258="",AW258="-"), 0, AW258*$AT258), AV258*$AJ258)</f>
        <v>0</v>
      </c>
      <c r="AY258" s="587">
        <f>[1]COMMANDE!Q256</f>
        <v>0</v>
      </c>
      <c r="AZ258" s="586" t="str">
        <f>_xlfn.IFS(AND($AI258=$AM258,$AI258&gt;0,$AM258&gt;0,AY258&gt;0), AY258,     AND(NOT($AI258=$AM258),$AI258&gt;0,$AM258&gt;0,AY258&gt;0), ($AM258*AY258)/$AI258,     AND($AI258=0,$AM258&gt;0,$AQ258&gt;0), IF(INDEX(AY$12:AY$263,MATCH($AQ258,$AP$12:$AP$263,0))&gt;0,($AM258*INDEX(AY$12:AY$263,MATCH($AQ258,$AP$12:$AP$263,0)))/INDEX($AI$12:$AI$263,MATCH($AQ258,$AP$12:$AP$263,0)), "-"),     TRUE, "0")</f>
        <v>0</v>
      </c>
      <c r="BA258" s="607">
        <f>IF(AZ$9&gt;0, IF(OR(AZ258="",AZ258="-"), 0, AZ258*$AT258), AY258*$AJ258)</f>
        <v>0</v>
      </c>
      <c r="BB258" s="589">
        <f>[1]COMMANDE!S256</f>
        <v>0</v>
      </c>
      <c r="BC258" s="586" t="str">
        <f>_xlfn.IFS(AND($AI258=$AM258,$AI258&gt;0,$AM258&gt;0,BB258&gt;0), BB258,     AND(NOT($AI258=$AM258),$AI258&gt;0,$AM258&gt;0,BB258&gt;0), ($AM258*BB258)/$AI258,     AND($AI258=0,$AM258&gt;0,$AQ258&gt;0), IF(INDEX(BB$12:BB$263,MATCH($AQ258,$AP$12:$AP$263,0))&gt;0,($AM258*INDEX(BB$12:BB$263,MATCH($AQ258,$AP$12:$AP$263,0)))/INDEX($AI$12:$AI$263,MATCH($AQ258,$AP$12:$AP$263,0)), "-"),     TRUE, "0")</f>
        <v>0</v>
      </c>
      <c r="BD258" s="588">
        <f>IF(BC$9&gt;0, IF(OR(BC258="",BC258="-"), 0, BC258*$AT258), BB258*$AJ258)</f>
        <v>0</v>
      </c>
      <c r="BE258" s="587">
        <f>[1]COMMANDE!U256</f>
        <v>0</v>
      </c>
      <c r="BF258" s="586" t="str">
        <f>_xlfn.IFS(AND($AI258=$AM258,$AI258&gt;0,$AM258&gt;0,BE258&gt;0), BE258,     AND(NOT($AI258=$AM258),$AI258&gt;0,$AM258&gt;0,BE258&gt;0), ($AM258*BE258)/$AI258,     AND($AI258=0,$AM258&gt;0,$AQ258&gt;0), IF(INDEX(BE$12:BE$263,MATCH($AQ258,$AP$12:$AP$263,0))&gt;0,($AM258*INDEX(BE$12:BE$263,MATCH($AQ258,$AP$12:$AP$263,0)))/INDEX($AI$12:$AI$263,MATCH($AQ258,$AP$12:$AP$263,0)), "-"),     TRUE, "0")</f>
        <v>0</v>
      </c>
      <c r="BG258" s="607">
        <f>IF(BF$9&gt;0, IF(OR(BF258="",BF258="-"), 0, BF258*$AT258), BE258*$AJ258)</f>
        <v>0</v>
      </c>
      <c r="BH258" s="589">
        <f>[1]COMMANDE!W256</f>
        <v>0</v>
      </c>
      <c r="BI258" s="586" t="str">
        <f>_xlfn.IFS(AND($AI258=$AM258,$AI258&gt;0,$AM258&gt;0,BH258&gt;0), BH258,     AND(NOT($AI258=$AM258),$AI258&gt;0,$AM258&gt;0,BH258&gt;0), ($AM258*BH258)/$AI258,     AND($AI258=0,$AM258&gt;0,$AQ258&gt;0), IF(INDEX(BH$12:BH$263,MATCH($AQ258,$AP$12:$AP$263,0))&gt;0,($AM258*INDEX(BH$12:BH$263,MATCH($AQ258,$AP$12:$AP$263,0)))/INDEX($AI$12:$AI$263,MATCH($AQ258,$AP$12:$AP$263,0)), "-"),     TRUE, "0")</f>
        <v>0</v>
      </c>
      <c r="BJ258" s="588">
        <f>IF(BI$9&gt;0, IF(OR(BI258="",BI258="-"), 0, BI258*$AT258), BH258*$AJ258)</f>
        <v>0</v>
      </c>
      <c r="BK258" s="587">
        <f>[1]COMMANDE!Y256</f>
        <v>0</v>
      </c>
      <c r="BL258" s="586" t="str">
        <f>_xlfn.IFS(AND($AI258=$AM258,$AI258&gt;0,$AM258&gt;0,BK258&gt;0), BK258,     AND(NOT($AI258=$AM258),$AI258&gt;0,$AM258&gt;0,BK258&gt;0), ($AM258*BK258)/$AI258,     AND($AI258=0,$AM258&gt;0,$AQ258&gt;0), IF(INDEX(BK$12:BK$263,MATCH($AQ258,$AP$12:$AP$263,0))&gt;0,($AM258*INDEX(BK$12:BK$263,MATCH($AQ258,$AP$12:$AP$263,0)))/INDEX($AI$12:$AI$263,MATCH($AQ258,$AP$12:$AP$263,0)), "-"),     TRUE, "0")</f>
        <v>0</v>
      </c>
      <c r="BM258" s="607">
        <f>IF(BL$9&gt;0, IF(OR(BL258="",BL258="-"), 0, BL258*$AT258), BK258*$AJ258)</f>
        <v>0</v>
      </c>
      <c r="BN258" s="589">
        <f>[1]COMMANDE!AA256</f>
        <v>0</v>
      </c>
      <c r="BO258" s="586" t="str">
        <f>_xlfn.IFS(AND($AI258=$AM258,$AI258&gt;0,$AM258&gt;0,BN258&gt;0), BN258,     AND(NOT($AI258=$AM258),$AI258&gt;0,$AM258&gt;0,BN258&gt;0), ($AM258*BN258)/$AI258,     AND($AI258=0,$AM258&gt;0,$AQ258&gt;0), IF(INDEX(BN$12:BN$263,MATCH($AQ258,$AP$12:$AP$263,0))&gt;0,($AM258*INDEX(BN$12:BN$263,MATCH($AQ258,$AP$12:$AP$263,0)))/INDEX($AI$12:$AI$263,MATCH($AQ258,$AP$12:$AP$263,0)), "-"),     TRUE, "0")</f>
        <v>0</v>
      </c>
      <c r="BP258" s="588">
        <f>IF(BO$9&gt;0, IF(OR(BO258="",BO258="-"), 0, BO258*$AT258), BN258*$AJ258)</f>
        <v>0</v>
      </c>
      <c r="BQ258" s="587">
        <f>[1]COMMANDE!AC256</f>
        <v>0</v>
      </c>
      <c r="BR258" s="586" t="str">
        <f>_xlfn.IFS(AND($AI258=$AM258,$AI258&gt;0,$AM258&gt;0,BQ258&gt;0), BQ258,     AND(NOT($AI258=$AM258),$AI258&gt;0,$AM258&gt;0,BQ258&gt;0), ($AM258*BQ258)/$AI258,     AND($AI258=0,$AM258&gt;0,$AQ258&gt;0), IF(INDEX(BQ$12:BQ$263,MATCH($AQ258,$AP$12:$AP$263,0))&gt;0,($AM258*INDEX(BQ$12:BQ$263,MATCH($AQ258,$AP$12:$AP$263,0)))/INDEX($AI$12:$AI$263,MATCH($AQ258,$AP$12:$AP$263,0)), "-"),     TRUE, "0")</f>
        <v>0</v>
      </c>
      <c r="BS258" s="607">
        <f>IF(BR$9&gt;0, IF(OR(BR258="",BR258="-"), 0, BR258*$AT258), BQ258*$AJ258)</f>
        <v>0</v>
      </c>
      <c r="BT258" s="589">
        <f>[1]COMMANDE!AE256</f>
        <v>0</v>
      </c>
      <c r="BU258" s="586" t="str">
        <f>_xlfn.IFS(AND($AI258=$AM258,$AI258&gt;0,$AM258&gt;0,BT258&gt;0), BT258,     AND(NOT($AI258=$AM258),$AI258&gt;0,$AM258&gt;0,BT258&gt;0), ($AM258*BT258)/$AI258,     AND($AI258=0,$AM258&gt;0,$AQ258&gt;0), IF(INDEX(BT$12:BT$263,MATCH($AQ258,$AP$12:$AP$263,0))&gt;0,($AM258*INDEX(BT$12:BT$263,MATCH($AQ258,$AP$12:$AP$263,0)))/INDEX($AI$12:$AI$263,MATCH($AQ258,$AP$12:$AP$263,0)), "-"),     TRUE, "0")</f>
        <v>0</v>
      </c>
      <c r="BV258" s="588">
        <f>IF(BU$9&gt;0, IF(OR(BU258="",BU258="-"), 0, BU258*$AT258), BT258*$AJ258)</f>
        <v>0</v>
      </c>
      <c r="BW258" s="587">
        <f>[1]COMMANDE!AG256</f>
        <v>0</v>
      </c>
      <c r="BX258" s="586" t="str">
        <f>_xlfn.IFS(AND($AI258=$AM258,$AI258&gt;0,$AM258&gt;0,BW258&gt;0), BW258,     AND(NOT($AI258=$AM258),$AI258&gt;0,$AM258&gt;0,BW258&gt;0), ($AM258*BW258)/$AI258,     AND($AI258=0,$AM258&gt;0,$AQ258&gt;0), IF(INDEX(BW$12:BW$263,MATCH($AQ258,$AP$12:$AP$263,0))&gt;0,($AM258*INDEX(BW$12:BW$263,MATCH($AQ258,$AP$12:$AP$263,0)))/INDEX($AI$12:$AI$263,MATCH($AQ258,$AP$12:$AP$263,0)), "-"),     TRUE, "0")</f>
        <v>0</v>
      </c>
      <c r="BY258" s="607">
        <f>IF(BX$9&gt;0, IF(OR(BX258="",BX258="-"), 0, BX258*$AT258), BW258*$AJ258)</f>
        <v>0</v>
      </c>
      <c r="BZ258" s="589">
        <f>[1]COMMANDE!AI256</f>
        <v>0</v>
      </c>
      <c r="CA258" s="586" t="str">
        <f>_xlfn.IFS(AND($AI258=$AM258,$AI258&gt;0,$AM258&gt;0,BZ258&gt;0), BZ258,     AND(NOT($AI258=$AM258),$AI258&gt;0,$AM258&gt;0,BZ258&gt;0), ($AM258*BZ258)/$AI258,     AND($AI258=0,$AM258&gt;0,$AQ258&gt;0), IF(INDEX(BZ$12:BZ$263,MATCH($AQ258,$AP$12:$AP$263,0))&gt;0,($AM258*INDEX(BZ$12:BZ$263,MATCH($AQ258,$AP$12:$AP$263,0)))/INDEX($AI$12:$AI$263,MATCH($AQ258,$AP$12:$AP$263,0)), "-"),     TRUE, "0")</f>
        <v>0</v>
      </c>
      <c r="CB258" s="588">
        <f>IF(CA$9&gt;0, IF(OR(CA258="",CA258="-"), 0, CA258*$AT258), BZ258*$AJ258)</f>
        <v>0</v>
      </c>
      <c r="CC258" s="587">
        <f>[1]COMMANDE!AK256</f>
        <v>0</v>
      </c>
      <c r="CD258" s="586" t="str">
        <f>_xlfn.IFS(AND($AI258=$AM258,$AI258&gt;0,$AM258&gt;0,CC258&gt;0), CC258,     AND(NOT($AI258=$AM258),$AI258&gt;0,$AM258&gt;0,CC258&gt;0), ($AM258*CC258)/$AI258,     AND($AI258=0,$AM258&gt;0,$AQ258&gt;0), IF(INDEX(CC$12:CC$263,MATCH($AQ258,$AP$12:$AP$263,0))&gt;0,($AM258*INDEX(CC$12:CC$263,MATCH($AQ258,$AP$12:$AP$263,0)))/INDEX($AI$12:$AI$263,MATCH($AQ258,$AP$12:$AP$263,0)), "-"),     TRUE, "0")</f>
        <v>0</v>
      </c>
      <c r="CE258" s="607">
        <f>IF(CD$9&gt;0, IF(OR(CD258="",CD258="-"), 0, CD258*$AT258), CC258*$AJ258)</f>
        <v>0</v>
      </c>
      <c r="CF258" s="589">
        <f>[1]COMMANDE!AM256</f>
        <v>0</v>
      </c>
      <c r="CG258" s="586" t="str">
        <f>_xlfn.IFS(AND($AI258=$AM258,$AI258&gt;0,$AM258&gt;0,CF258&gt;0), CF258,     AND(NOT($AI258=$AM258),$AI258&gt;0,$AM258&gt;0,CF258&gt;0), ($AM258*CF258)/$AI258,     AND($AI258=0,$AM258&gt;0,$AQ258&gt;0), IF(INDEX(CF$12:CF$263,MATCH($AQ258,$AP$12:$AP$263,0))&gt;0,($AM258*INDEX(CF$12:CF$263,MATCH($AQ258,$AP$12:$AP$263,0)))/INDEX($AI$12:$AI$263,MATCH($AQ258,$AP$12:$AP$263,0)), "-"),     TRUE, "0")</f>
        <v>0</v>
      </c>
      <c r="CH258" s="588">
        <f>IF(CG$9&gt;0, IF(OR(CG258="",CG258="-"), 0, CG258*$AT258), CF258*$AJ258)</f>
        <v>0</v>
      </c>
      <c r="CI258" s="587">
        <f>[1]COMMANDE!AO256</f>
        <v>0</v>
      </c>
      <c r="CJ258" s="586" t="str">
        <f>_xlfn.IFS(AND($AI258=$AM258,$AI258&gt;0,$AM258&gt;0,CI258&gt;0), CI258,     AND(NOT($AI258=$AM258),$AI258&gt;0,$AM258&gt;0,CI258&gt;0), ($AM258*CI258)/$AI258,     AND($AI258=0,$AM258&gt;0,$AQ258&gt;0), IF(INDEX(CI$12:CI$263,MATCH($AQ258,$AP$12:$AP$263,0))&gt;0,($AM258*INDEX(CI$12:CI$263,MATCH($AQ258,$AP$12:$AP$263,0)))/INDEX($AI$12:$AI$263,MATCH($AQ258,$AP$12:$AP$263,0)), "-"),     TRUE, "0")</f>
        <v>0</v>
      </c>
      <c r="CK258" s="607">
        <f>IF(CJ$9&gt;0, IF(OR(CJ258="",CJ258="-"), 0, CJ258*$AT258), CI258*$AJ258)</f>
        <v>0</v>
      </c>
      <c r="CL258" s="589">
        <f>[1]COMMANDE!AQ256</f>
        <v>0</v>
      </c>
      <c r="CM258" s="586" t="str">
        <f>_xlfn.IFS(AND($AI258=$AM258,$AI258&gt;0,$AM258&gt;0,CL258&gt;0), CL258,     AND(NOT($AI258=$AM258),$AI258&gt;0,$AM258&gt;0,CL258&gt;0), ($AM258*CL258)/$AI258,     AND($AI258=0,$AM258&gt;0,$AQ258&gt;0), IF(INDEX(CL$12:CL$263,MATCH($AQ258,$AP$12:$AP$263,0))&gt;0,($AM258*INDEX(CL$12:CL$263,MATCH($AQ258,$AP$12:$AP$263,0)))/INDEX($AI$12:$AI$263,MATCH($AQ258,$AP$12:$AP$263,0)), "-"),     TRUE, "0")</f>
        <v>0</v>
      </c>
      <c r="CN258" s="588">
        <f>IF(CM$9&gt;0, IF(OR(CM258="",CM258="-"), 0, CM258*$AT258), CL258*$AJ258)</f>
        <v>0</v>
      </c>
      <c r="CO258" s="587">
        <f>[1]COMMANDE!AS256</f>
        <v>0</v>
      </c>
      <c r="CP258" s="586" t="str">
        <f>_xlfn.IFS(AND($AI258=$AM258,$AI258&gt;0,$AM258&gt;0,CO258&gt;0), CO258,     AND(NOT($AI258=$AM258),$AI258&gt;0,$AM258&gt;0,CO258&gt;0), ($AM258*CO258)/$AI258,     AND($AI258=0,$AM258&gt;0,$AQ258&gt;0), IF(INDEX(CO$12:CO$263,MATCH($AQ258,$AP$12:$AP$263,0))&gt;0,($AM258*INDEX(CO$12:CO$263,MATCH($AQ258,$AP$12:$AP$263,0)))/INDEX($AI$12:$AI$263,MATCH($AQ258,$AP$12:$AP$263,0)), "-"),     TRUE, "0")</f>
        <v>0</v>
      </c>
      <c r="CQ258" s="607">
        <f>IF(CP$9&gt;0, IF(OR(CP258="",CP258="-"), 0, CP258*$AT258), CO258*$AJ258)</f>
        <v>0</v>
      </c>
      <c r="CR258" s="589">
        <f>[1]COMMANDE!AU256</f>
        <v>0</v>
      </c>
      <c r="CS258" s="586" t="str">
        <f>_xlfn.IFS(AND($AI258=$AM258,$AI258&gt;0,$AM258&gt;0,CR258&gt;0), CR258,     AND(NOT($AI258=$AM258),$AI258&gt;0,$AM258&gt;0,CR258&gt;0), ($AM258*CR258)/$AI258,     AND($AI258=0,$AM258&gt;0,$AQ258&gt;0), IF(INDEX(CR$12:CR$263,MATCH($AQ258,$AP$12:$AP$263,0))&gt;0,($AM258*INDEX(CR$12:CR$263,MATCH($AQ258,$AP$12:$AP$263,0)))/INDEX($AI$12:$AI$263,MATCH($AQ258,$AP$12:$AP$263,0)), "-"),     TRUE, "0")</f>
        <v>0</v>
      </c>
      <c r="CT258" s="588">
        <f>IF(CS$9&gt;0, IF(OR(CS258="",CS258="-"), 0, CS258*$AT258), CR258*$AJ258)</f>
        <v>0</v>
      </c>
      <c r="CU258" s="587">
        <f>[1]COMMANDE!AW256</f>
        <v>0</v>
      </c>
      <c r="CV258" s="586" t="str">
        <f>_xlfn.IFS(AND($AI258=$AM258,$AI258&gt;0,$AM258&gt;0,CU258&gt;0), CU258,     AND(NOT($AI258=$AM258),$AI258&gt;0,$AM258&gt;0,CU258&gt;0), ($AM258*CU258)/$AI258,     AND($AI258=0,$AM258&gt;0,$AQ258&gt;0), IF(INDEX(CU$12:CU$263,MATCH($AQ258,$AP$12:$AP$263,0))&gt;0,($AM258*INDEX(CU$12:CU$263,MATCH($AQ258,$AP$12:$AP$263,0)))/INDEX($AI$12:$AI$263,MATCH($AQ258,$AP$12:$AP$263,0)), "-"),     TRUE, "0")</f>
        <v>0</v>
      </c>
      <c r="CW258" s="607">
        <f>IF(CV$9&gt;0, IF(OR(CV258="",CV258="-"), 0, CV258*$AT258), CU258*$AJ258)</f>
        <v>0</v>
      </c>
      <c r="CX258" s="589">
        <f>[1]COMMANDE!AY256</f>
        <v>0</v>
      </c>
      <c r="CY258" s="586" t="str">
        <f>_xlfn.IFS(AND($AI258=$AM258,$AI258&gt;0,$AM258&gt;0,CX258&gt;0), CX258,     AND(NOT($AI258=$AM258),$AI258&gt;0,$AM258&gt;0,CX258&gt;0), ($AM258*CX258)/$AI258,     AND($AI258=0,$AM258&gt;0,$AQ258&gt;0), IF(INDEX(CX$12:CX$263,MATCH($AQ258,$AP$12:$AP$263,0))&gt;0,($AM258*INDEX(CX$12:CX$263,MATCH($AQ258,$AP$12:$AP$263,0)))/INDEX($AI$12:$AI$263,MATCH($AQ258,$AP$12:$AP$263,0)), "-"),     TRUE, "0")</f>
        <v>0</v>
      </c>
      <c r="CZ258" s="588">
        <f>IF(CY$9&gt;0, IF(OR(CY258="",CY258="-"), 0, CY258*$AT258), CX258*$AJ258)</f>
        <v>0</v>
      </c>
      <c r="DA258" s="587">
        <f>[1]COMMANDE!BA256</f>
        <v>0</v>
      </c>
      <c r="DB258" s="586" t="str">
        <f>_xlfn.IFS(AND($AI258=$AM258,$AI258&gt;0,$AM258&gt;0,DA258&gt;0), DA258,     AND(NOT($AI258=$AM258),$AI258&gt;0,$AM258&gt;0,DA258&gt;0), ($AM258*DA258)/$AI258,     AND($AI258=0,$AM258&gt;0,$AQ258&gt;0), IF(INDEX(DA$12:DA$263,MATCH($AQ258,$AP$12:$AP$263,0))&gt;0,($AM258*INDEX(DA$12:DA$263,MATCH($AQ258,$AP$12:$AP$263,0)))/INDEX($AI$12:$AI$263,MATCH($AQ258,$AP$12:$AP$263,0)), "-"),     TRUE, "0")</f>
        <v>0</v>
      </c>
      <c r="DC258" s="606">
        <f>IF(DB$9&gt;0, IF(OR(DB258="",DB258="-"), 0, DB258*$AT258), DA258*$AJ258)</f>
        <v>0</v>
      </c>
      <c r="DD258" s="584"/>
      <c r="DE258" s="583"/>
    </row>
    <row r="259" spans="1:109" ht="39.950000000000003" hidden="1" customHeight="1">
      <c r="A259" s="604">
        <f>IF(OR($AV259&gt;0, $AX259&gt;0), 1, 0)</f>
        <v>0</v>
      </c>
      <c r="B259" s="604">
        <f>IF(OR($AY259&gt;0, $BA259&gt;0), 1, 0)</f>
        <v>0</v>
      </c>
      <c r="C259" s="604">
        <f>IF(OR($BB259&gt;0, $BD259&gt;0), 1, 0)</f>
        <v>0</v>
      </c>
      <c r="D259" s="604">
        <f>IF(OR($BE259&gt;0, $BG259&gt;0), 1, 0)</f>
        <v>0</v>
      </c>
      <c r="E259" s="604">
        <f>IF(OR($BH259&gt;0, $BJ259&gt;0), 1, 0)</f>
        <v>0</v>
      </c>
      <c r="F259" s="604">
        <f>IF(OR($BK259&gt;0, $BM259&gt;0), 1, 0)</f>
        <v>0</v>
      </c>
      <c r="G259" s="604">
        <f>IF(OR($BN259&gt;0, $BP259&gt;0), 1, 0)</f>
        <v>0</v>
      </c>
      <c r="H259" s="604">
        <f>IF(OR($BQ259&gt;0, $BS259&gt;0), 1, 0)</f>
        <v>0</v>
      </c>
      <c r="I259" s="604">
        <f>IF(OR($BT259&gt;0, $BV259&gt;0), 1, 0)</f>
        <v>0</v>
      </c>
      <c r="J259" s="604">
        <f>IF(OR($BW259&gt;0, $BY259&gt;0), 1, 0)</f>
        <v>0</v>
      </c>
      <c r="K259" s="604">
        <f>IF(OR($BZ259&gt;0, $CB259&gt;0), 1, 0)</f>
        <v>0</v>
      </c>
      <c r="L259" s="604">
        <f>IF(OR($CC259&gt;0, $CE259&gt;0), 1, 0)</f>
        <v>0</v>
      </c>
      <c r="M259" s="604">
        <f>IF(OR($CF259&gt;0, $CH259&gt;0), 1, 0)</f>
        <v>0</v>
      </c>
      <c r="N259" s="604">
        <f>IF(OR($CI259&gt;0, $CK259&gt;0), 1, 0)</f>
        <v>0</v>
      </c>
      <c r="O259" s="604">
        <f>IF(OR($CL259&gt;0, $CN259&gt;0), 1, 0)</f>
        <v>0</v>
      </c>
      <c r="P259" s="604">
        <f>IF(OR($CO259&gt;0, $CQ259&gt;0), 1, 0)</f>
        <v>0</v>
      </c>
      <c r="Q259" s="604">
        <f>IF(OR($CR259&gt;0, $CT259&gt;0), 1, 0)</f>
        <v>0</v>
      </c>
      <c r="R259" s="604">
        <f>IF(OR($CU259&gt;0, $CW259&gt;0), 1, 0)</f>
        <v>0</v>
      </c>
      <c r="S259" s="604">
        <f>IF(OR($CX259&gt;0, $CZ259&gt;0), 1, 0)</f>
        <v>0</v>
      </c>
      <c r="T259" s="604">
        <f>IF(OR($DA259&gt;0, $DC259&gt;0), 1, 0)</f>
        <v>0</v>
      </c>
      <c r="U259" s="603">
        <f>IF(OR($AI259&gt;0,$AM259&gt;0,$AS259&gt;0), 1, 0)</f>
        <v>0</v>
      </c>
      <c r="V259" s="602">
        <f>[1]BDD!A249</f>
        <v>0</v>
      </c>
      <c r="W259" s="601">
        <f>[1]BDD!B249</f>
        <v>0</v>
      </c>
      <c r="X259" s="600" t="str">
        <f>IF([1]BDD!F249=0, "", [1]BDD!F249)</f>
        <v/>
      </c>
      <c r="Y259" s="542">
        <f>ROUND([1]BDD!G249+FDP_CMD_KG, 2)</f>
        <v>0.87</v>
      </c>
      <c r="Z259" s="542">
        <f>ROUND([1]BDD!G249+FDP_FACT_KG, 2)</f>
        <v>0.87</v>
      </c>
      <c r="AA259" s="543">
        <f>[1]BDD!H249</f>
        <v>0</v>
      </c>
      <c r="AB259" s="544" t="str">
        <f>IF(NOT(ISBLANK([1]BDD!I249)), ROUND(SUM(([1]BDD!G249*reduc1),FDP_CMD_KG), 2), "")</f>
        <v/>
      </c>
      <c r="AC259" s="544" t="str">
        <f>IF(NOT(ISBLANK([1]BDD!J249)), ROUND(SUM(([1]BDD!G249*reduc2),FDP_CMD_KG), 2), "")</f>
        <v/>
      </c>
      <c r="AD259" s="544" t="str">
        <f>IF(NOT(ISBLANK([1]BDD!K249)), ROUND(SUM(([1]BDD!G249*reduc3),FDP_CMD_KG), 2), "")</f>
        <v/>
      </c>
      <c r="AE259" s="544" t="str">
        <f>IF(NOT(ISBLANK([1]BDD!I249)), ROUND(SUM(([1]BDD!G249*reduc1),FDP_FACT_KG), 2), "")</f>
        <v/>
      </c>
      <c r="AF259" s="544" t="str">
        <f>IF(NOT(ISBLANK([1]BDD!J249)), ROUND(SUM(([1]BDD!G249*reduc2),FDP_FACT_KG), 2), "")</f>
        <v/>
      </c>
      <c r="AG259" s="544" t="str">
        <f>IF(NOT(ISBLANK([1]BDD!K249)), ROUND(SUM(([1]BDD!G249*reduc3),FDP_FACT_KG), 2), "")</f>
        <v/>
      </c>
      <c r="AH259" s="599">
        <f>[1]BDD!C249</f>
        <v>0</v>
      </c>
      <c r="AI259" s="598">
        <f>SUM(AV259,AY259,BB259,BE259,BH259,BK259,BN259,BQ259,BT259,BW259,BZ259,CC259,CF259,CI259,CL259,CO259,CR259,CU259,CX259,DA259)</f>
        <v>0</v>
      </c>
      <c r="AJ259" s="545">
        <f>_xlfn.IFS($AD259&lt;&gt;"", $AD259,    $AC259&lt;&gt;"", $AC259,    $AB259&lt;&gt;"", $AB259,    TRUE, $Y259)</f>
        <v>0.87</v>
      </c>
      <c r="AK259" s="592">
        <f>$AI259*$AJ259</f>
        <v>0</v>
      </c>
      <c r="AL259" s="594"/>
      <c r="AM259" s="597"/>
      <c r="AN259" s="545">
        <f>_xlfn.IFS(AND(AM259&gt;=60,$AG259&lt;&gt;""), $AG259,    AND(AM259&gt;=30,$AF259&lt;&gt;""), $AF259,    AND(AM259&gt;=10,$AE259&lt;&gt;""), $AE259,    TRUE, $Z259)</f>
        <v>0.87</v>
      </c>
      <c r="AO259" s="596">
        <f>AM259*AN259</f>
        <v>0</v>
      </c>
      <c r="AP259" s="595"/>
      <c r="AQ259" s="595"/>
      <c r="AR259" s="594"/>
      <c r="AS259" s="593">
        <f>SUM(AW259,AZ259,BC259,BF259,BI259,BL259,BO259,BR259,BU259,BX259,CA259,CD259,CG259,CJ259,CM259,CP259,CS259,CV259,CY259,DB259)</f>
        <v>0</v>
      </c>
      <c r="AT259" s="545">
        <f>_xlfn.IFS(AND(AS259&gt;=60,$AG259&lt;&gt;""), $AG259,    AND(AS259&gt;=30,$AF259&lt;&gt;""), $AF259,    AND(AS259&gt;=10,$AE259&lt;&gt;""), $AE259,    TRUE, $Z259)</f>
        <v>0.87</v>
      </c>
      <c r="AU259" s="592">
        <f>$AS259*$AT259</f>
        <v>0</v>
      </c>
      <c r="AV259" s="591">
        <f>[1]COMMANDE!O257</f>
        <v>0</v>
      </c>
      <c r="AW259" s="586" t="str">
        <f>_xlfn.IFS(AND($AI259=$AM259,$AI259&gt;0,$AM259&gt;0,AV259&gt;0), AV259,     AND(NOT($AI259=$AM259),$AI259&gt;0,$AM259&gt;0,AV259&gt;0), ($AM259*AV259)/$AI259,     AND($AI259=0,$AM259&gt;0,$AQ259&gt;0), IF(INDEX(AV$12:AV$263,MATCH($AQ259,$AP$12:$AP$263,0))&gt;0,($AM259*INDEX(AV$12:AV$263,MATCH($AQ259,$AP$12:$AP$263,0)))/INDEX($AI$12:$AI$263,MATCH($AQ259,$AP$12:$AP$263,0)), "-"),     TRUE, "0")</f>
        <v>0</v>
      </c>
      <c r="AX259" s="588">
        <f>IF(AW$9&gt;0, IF(OR(AW259="",AW259="-"), 0, AW259*$AT259), AV259*$AJ259)</f>
        <v>0</v>
      </c>
      <c r="AY259" s="587">
        <f>[1]COMMANDE!Q257</f>
        <v>0</v>
      </c>
      <c r="AZ259" s="586" t="str">
        <f>_xlfn.IFS(AND($AI259=$AM259,$AI259&gt;0,$AM259&gt;0,AY259&gt;0), AY259,     AND(NOT($AI259=$AM259),$AI259&gt;0,$AM259&gt;0,AY259&gt;0), ($AM259*AY259)/$AI259,     AND($AI259=0,$AM259&gt;0,$AQ259&gt;0), IF(INDEX(AY$12:AY$263,MATCH($AQ259,$AP$12:$AP$263,0))&gt;0,($AM259*INDEX(AY$12:AY$263,MATCH($AQ259,$AP$12:$AP$263,0)))/INDEX($AI$12:$AI$263,MATCH($AQ259,$AP$12:$AP$263,0)), "-"),     TRUE, "0")</f>
        <v>0</v>
      </c>
      <c r="BA259" s="607">
        <f>IF(AZ$9&gt;0, IF(OR(AZ259="",AZ259="-"), 0, AZ259*$AT259), AY259*$AJ259)</f>
        <v>0</v>
      </c>
      <c r="BB259" s="589">
        <f>[1]COMMANDE!S257</f>
        <v>0</v>
      </c>
      <c r="BC259" s="586" t="str">
        <f>_xlfn.IFS(AND($AI259=$AM259,$AI259&gt;0,$AM259&gt;0,BB259&gt;0), BB259,     AND(NOT($AI259=$AM259),$AI259&gt;0,$AM259&gt;0,BB259&gt;0), ($AM259*BB259)/$AI259,     AND($AI259=0,$AM259&gt;0,$AQ259&gt;0), IF(INDEX(BB$12:BB$263,MATCH($AQ259,$AP$12:$AP$263,0))&gt;0,($AM259*INDEX(BB$12:BB$263,MATCH($AQ259,$AP$12:$AP$263,0)))/INDEX($AI$12:$AI$263,MATCH($AQ259,$AP$12:$AP$263,0)), "-"),     TRUE, "0")</f>
        <v>0</v>
      </c>
      <c r="BD259" s="588">
        <f>IF(BC$9&gt;0, IF(OR(BC259="",BC259="-"), 0, BC259*$AT259), BB259*$AJ259)</f>
        <v>0</v>
      </c>
      <c r="BE259" s="587">
        <f>[1]COMMANDE!U257</f>
        <v>0</v>
      </c>
      <c r="BF259" s="586" t="str">
        <f>_xlfn.IFS(AND($AI259=$AM259,$AI259&gt;0,$AM259&gt;0,BE259&gt;0), BE259,     AND(NOT($AI259=$AM259),$AI259&gt;0,$AM259&gt;0,BE259&gt;0), ($AM259*BE259)/$AI259,     AND($AI259=0,$AM259&gt;0,$AQ259&gt;0), IF(INDEX(BE$12:BE$263,MATCH($AQ259,$AP$12:$AP$263,0))&gt;0,($AM259*INDEX(BE$12:BE$263,MATCH($AQ259,$AP$12:$AP$263,0)))/INDEX($AI$12:$AI$263,MATCH($AQ259,$AP$12:$AP$263,0)), "-"),     TRUE, "0")</f>
        <v>0</v>
      </c>
      <c r="BG259" s="607">
        <f>IF(BF$9&gt;0, IF(OR(BF259="",BF259="-"), 0, BF259*$AT259), BE259*$AJ259)</f>
        <v>0</v>
      </c>
      <c r="BH259" s="589">
        <f>[1]COMMANDE!W257</f>
        <v>0</v>
      </c>
      <c r="BI259" s="586" t="str">
        <f>_xlfn.IFS(AND($AI259=$AM259,$AI259&gt;0,$AM259&gt;0,BH259&gt;0), BH259,     AND(NOT($AI259=$AM259),$AI259&gt;0,$AM259&gt;0,BH259&gt;0), ($AM259*BH259)/$AI259,     AND($AI259=0,$AM259&gt;0,$AQ259&gt;0), IF(INDEX(BH$12:BH$263,MATCH($AQ259,$AP$12:$AP$263,0))&gt;0,($AM259*INDEX(BH$12:BH$263,MATCH($AQ259,$AP$12:$AP$263,0)))/INDEX($AI$12:$AI$263,MATCH($AQ259,$AP$12:$AP$263,0)), "-"),     TRUE, "0")</f>
        <v>0</v>
      </c>
      <c r="BJ259" s="588">
        <f>IF(BI$9&gt;0, IF(OR(BI259="",BI259="-"), 0, BI259*$AT259), BH259*$AJ259)</f>
        <v>0</v>
      </c>
      <c r="BK259" s="587">
        <f>[1]COMMANDE!Y257</f>
        <v>0</v>
      </c>
      <c r="BL259" s="586" t="str">
        <f>_xlfn.IFS(AND($AI259=$AM259,$AI259&gt;0,$AM259&gt;0,BK259&gt;0), BK259,     AND(NOT($AI259=$AM259),$AI259&gt;0,$AM259&gt;0,BK259&gt;0), ($AM259*BK259)/$AI259,     AND($AI259=0,$AM259&gt;0,$AQ259&gt;0), IF(INDEX(BK$12:BK$263,MATCH($AQ259,$AP$12:$AP$263,0))&gt;0,($AM259*INDEX(BK$12:BK$263,MATCH($AQ259,$AP$12:$AP$263,0)))/INDEX($AI$12:$AI$263,MATCH($AQ259,$AP$12:$AP$263,0)), "-"),     TRUE, "0")</f>
        <v>0</v>
      </c>
      <c r="BM259" s="607">
        <f>IF(BL$9&gt;0, IF(OR(BL259="",BL259="-"), 0, BL259*$AT259), BK259*$AJ259)</f>
        <v>0</v>
      </c>
      <c r="BN259" s="589">
        <f>[1]COMMANDE!AA257</f>
        <v>0</v>
      </c>
      <c r="BO259" s="586" t="str">
        <f>_xlfn.IFS(AND($AI259=$AM259,$AI259&gt;0,$AM259&gt;0,BN259&gt;0), BN259,     AND(NOT($AI259=$AM259),$AI259&gt;0,$AM259&gt;0,BN259&gt;0), ($AM259*BN259)/$AI259,     AND($AI259=0,$AM259&gt;0,$AQ259&gt;0), IF(INDEX(BN$12:BN$263,MATCH($AQ259,$AP$12:$AP$263,0))&gt;0,($AM259*INDEX(BN$12:BN$263,MATCH($AQ259,$AP$12:$AP$263,0)))/INDEX($AI$12:$AI$263,MATCH($AQ259,$AP$12:$AP$263,0)), "-"),     TRUE, "0")</f>
        <v>0</v>
      </c>
      <c r="BP259" s="588">
        <f>IF(BO$9&gt;0, IF(OR(BO259="",BO259="-"), 0, BO259*$AT259), BN259*$AJ259)</f>
        <v>0</v>
      </c>
      <c r="BQ259" s="587">
        <f>[1]COMMANDE!AC257</f>
        <v>0</v>
      </c>
      <c r="BR259" s="586" t="str">
        <f>_xlfn.IFS(AND($AI259=$AM259,$AI259&gt;0,$AM259&gt;0,BQ259&gt;0), BQ259,     AND(NOT($AI259=$AM259),$AI259&gt;0,$AM259&gt;0,BQ259&gt;0), ($AM259*BQ259)/$AI259,     AND($AI259=0,$AM259&gt;0,$AQ259&gt;0), IF(INDEX(BQ$12:BQ$263,MATCH($AQ259,$AP$12:$AP$263,0))&gt;0,($AM259*INDEX(BQ$12:BQ$263,MATCH($AQ259,$AP$12:$AP$263,0)))/INDEX($AI$12:$AI$263,MATCH($AQ259,$AP$12:$AP$263,0)), "-"),     TRUE, "0")</f>
        <v>0</v>
      </c>
      <c r="BS259" s="607">
        <f>IF(BR$9&gt;0, IF(OR(BR259="",BR259="-"), 0, BR259*$AT259), BQ259*$AJ259)</f>
        <v>0</v>
      </c>
      <c r="BT259" s="589">
        <f>[1]COMMANDE!AE257</f>
        <v>0</v>
      </c>
      <c r="BU259" s="586" t="str">
        <f>_xlfn.IFS(AND($AI259=$AM259,$AI259&gt;0,$AM259&gt;0,BT259&gt;0), BT259,     AND(NOT($AI259=$AM259),$AI259&gt;0,$AM259&gt;0,BT259&gt;0), ($AM259*BT259)/$AI259,     AND($AI259=0,$AM259&gt;0,$AQ259&gt;0), IF(INDEX(BT$12:BT$263,MATCH($AQ259,$AP$12:$AP$263,0))&gt;0,($AM259*INDEX(BT$12:BT$263,MATCH($AQ259,$AP$12:$AP$263,0)))/INDEX($AI$12:$AI$263,MATCH($AQ259,$AP$12:$AP$263,0)), "-"),     TRUE, "0")</f>
        <v>0</v>
      </c>
      <c r="BV259" s="588">
        <f>IF(BU$9&gt;0, IF(OR(BU259="",BU259="-"), 0, BU259*$AT259), BT259*$AJ259)</f>
        <v>0</v>
      </c>
      <c r="BW259" s="587">
        <f>[1]COMMANDE!AG257</f>
        <v>0</v>
      </c>
      <c r="BX259" s="586" t="str">
        <f>_xlfn.IFS(AND($AI259=$AM259,$AI259&gt;0,$AM259&gt;0,BW259&gt;0), BW259,     AND(NOT($AI259=$AM259),$AI259&gt;0,$AM259&gt;0,BW259&gt;0), ($AM259*BW259)/$AI259,     AND($AI259=0,$AM259&gt;0,$AQ259&gt;0), IF(INDEX(BW$12:BW$263,MATCH($AQ259,$AP$12:$AP$263,0))&gt;0,($AM259*INDEX(BW$12:BW$263,MATCH($AQ259,$AP$12:$AP$263,0)))/INDEX($AI$12:$AI$263,MATCH($AQ259,$AP$12:$AP$263,0)), "-"),     TRUE, "0")</f>
        <v>0</v>
      </c>
      <c r="BY259" s="607">
        <f>IF(BX$9&gt;0, IF(OR(BX259="",BX259="-"), 0, BX259*$AT259), BW259*$AJ259)</f>
        <v>0</v>
      </c>
      <c r="BZ259" s="589">
        <f>[1]COMMANDE!AI257</f>
        <v>0</v>
      </c>
      <c r="CA259" s="586" t="str">
        <f>_xlfn.IFS(AND($AI259=$AM259,$AI259&gt;0,$AM259&gt;0,BZ259&gt;0), BZ259,     AND(NOT($AI259=$AM259),$AI259&gt;0,$AM259&gt;0,BZ259&gt;0), ($AM259*BZ259)/$AI259,     AND($AI259=0,$AM259&gt;0,$AQ259&gt;0), IF(INDEX(BZ$12:BZ$263,MATCH($AQ259,$AP$12:$AP$263,0))&gt;0,($AM259*INDEX(BZ$12:BZ$263,MATCH($AQ259,$AP$12:$AP$263,0)))/INDEX($AI$12:$AI$263,MATCH($AQ259,$AP$12:$AP$263,0)), "-"),     TRUE, "0")</f>
        <v>0</v>
      </c>
      <c r="CB259" s="588">
        <f>IF(CA$9&gt;0, IF(OR(CA259="",CA259="-"), 0, CA259*$AT259), BZ259*$AJ259)</f>
        <v>0</v>
      </c>
      <c r="CC259" s="587">
        <f>[1]COMMANDE!AK257</f>
        <v>0</v>
      </c>
      <c r="CD259" s="586" t="str">
        <f>_xlfn.IFS(AND($AI259=$AM259,$AI259&gt;0,$AM259&gt;0,CC259&gt;0), CC259,     AND(NOT($AI259=$AM259),$AI259&gt;0,$AM259&gt;0,CC259&gt;0), ($AM259*CC259)/$AI259,     AND($AI259=0,$AM259&gt;0,$AQ259&gt;0), IF(INDEX(CC$12:CC$263,MATCH($AQ259,$AP$12:$AP$263,0))&gt;0,($AM259*INDEX(CC$12:CC$263,MATCH($AQ259,$AP$12:$AP$263,0)))/INDEX($AI$12:$AI$263,MATCH($AQ259,$AP$12:$AP$263,0)), "-"),     TRUE, "0")</f>
        <v>0</v>
      </c>
      <c r="CE259" s="607">
        <f>IF(CD$9&gt;0, IF(OR(CD259="",CD259="-"), 0, CD259*$AT259), CC259*$AJ259)</f>
        <v>0</v>
      </c>
      <c r="CF259" s="589">
        <f>[1]COMMANDE!AM257</f>
        <v>0</v>
      </c>
      <c r="CG259" s="586" t="str">
        <f>_xlfn.IFS(AND($AI259=$AM259,$AI259&gt;0,$AM259&gt;0,CF259&gt;0), CF259,     AND(NOT($AI259=$AM259),$AI259&gt;0,$AM259&gt;0,CF259&gt;0), ($AM259*CF259)/$AI259,     AND($AI259=0,$AM259&gt;0,$AQ259&gt;0), IF(INDEX(CF$12:CF$263,MATCH($AQ259,$AP$12:$AP$263,0))&gt;0,($AM259*INDEX(CF$12:CF$263,MATCH($AQ259,$AP$12:$AP$263,0)))/INDEX($AI$12:$AI$263,MATCH($AQ259,$AP$12:$AP$263,0)), "-"),     TRUE, "0")</f>
        <v>0</v>
      </c>
      <c r="CH259" s="588">
        <f>IF(CG$9&gt;0, IF(OR(CG259="",CG259="-"), 0, CG259*$AT259), CF259*$AJ259)</f>
        <v>0</v>
      </c>
      <c r="CI259" s="587">
        <f>[1]COMMANDE!AO257</f>
        <v>0</v>
      </c>
      <c r="CJ259" s="586" t="str">
        <f>_xlfn.IFS(AND($AI259=$AM259,$AI259&gt;0,$AM259&gt;0,CI259&gt;0), CI259,     AND(NOT($AI259=$AM259),$AI259&gt;0,$AM259&gt;0,CI259&gt;0), ($AM259*CI259)/$AI259,     AND($AI259=0,$AM259&gt;0,$AQ259&gt;0), IF(INDEX(CI$12:CI$263,MATCH($AQ259,$AP$12:$AP$263,0))&gt;0,($AM259*INDEX(CI$12:CI$263,MATCH($AQ259,$AP$12:$AP$263,0)))/INDEX($AI$12:$AI$263,MATCH($AQ259,$AP$12:$AP$263,0)), "-"),     TRUE, "0")</f>
        <v>0</v>
      </c>
      <c r="CK259" s="607">
        <f>IF(CJ$9&gt;0, IF(OR(CJ259="",CJ259="-"), 0, CJ259*$AT259), CI259*$AJ259)</f>
        <v>0</v>
      </c>
      <c r="CL259" s="589">
        <f>[1]COMMANDE!AQ257</f>
        <v>0</v>
      </c>
      <c r="CM259" s="586" t="str">
        <f>_xlfn.IFS(AND($AI259=$AM259,$AI259&gt;0,$AM259&gt;0,CL259&gt;0), CL259,     AND(NOT($AI259=$AM259),$AI259&gt;0,$AM259&gt;0,CL259&gt;0), ($AM259*CL259)/$AI259,     AND($AI259=0,$AM259&gt;0,$AQ259&gt;0), IF(INDEX(CL$12:CL$263,MATCH($AQ259,$AP$12:$AP$263,0))&gt;0,($AM259*INDEX(CL$12:CL$263,MATCH($AQ259,$AP$12:$AP$263,0)))/INDEX($AI$12:$AI$263,MATCH($AQ259,$AP$12:$AP$263,0)), "-"),     TRUE, "0")</f>
        <v>0</v>
      </c>
      <c r="CN259" s="588">
        <f>IF(CM$9&gt;0, IF(OR(CM259="",CM259="-"), 0, CM259*$AT259), CL259*$AJ259)</f>
        <v>0</v>
      </c>
      <c r="CO259" s="587">
        <f>[1]COMMANDE!AS257</f>
        <v>0</v>
      </c>
      <c r="CP259" s="586" t="str">
        <f>_xlfn.IFS(AND($AI259=$AM259,$AI259&gt;0,$AM259&gt;0,CO259&gt;0), CO259,     AND(NOT($AI259=$AM259),$AI259&gt;0,$AM259&gt;0,CO259&gt;0), ($AM259*CO259)/$AI259,     AND($AI259=0,$AM259&gt;0,$AQ259&gt;0), IF(INDEX(CO$12:CO$263,MATCH($AQ259,$AP$12:$AP$263,0))&gt;0,($AM259*INDEX(CO$12:CO$263,MATCH($AQ259,$AP$12:$AP$263,0)))/INDEX($AI$12:$AI$263,MATCH($AQ259,$AP$12:$AP$263,0)), "-"),     TRUE, "0")</f>
        <v>0</v>
      </c>
      <c r="CQ259" s="607">
        <f>IF(CP$9&gt;0, IF(OR(CP259="",CP259="-"), 0, CP259*$AT259), CO259*$AJ259)</f>
        <v>0</v>
      </c>
      <c r="CR259" s="589">
        <f>[1]COMMANDE!AU257</f>
        <v>0</v>
      </c>
      <c r="CS259" s="586" t="str">
        <f>_xlfn.IFS(AND($AI259=$AM259,$AI259&gt;0,$AM259&gt;0,CR259&gt;0), CR259,     AND(NOT($AI259=$AM259),$AI259&gt;0,$AM259&gt;0,CR259&gt;0), ($AM259*CR259)/$AI259,     AND($AI259=0,$AM259&gt;0,$AQ259&gt;0), IF(INDEX(CR$12:CR$263,MATCH($AQ259,$AP$12:$AP$263,0))&gt;0,($AM259*INDEX(CR$12:CR$263,MATCH($AQ259,$AP$12:$AP$263,0)))/INDEX($AI$12:$AI$263,MATCH($AQ259,$AP$12:$AP$263,0)), "-"),     TRUE, "0")</f>
        <v>0</v>
      </c>
      <c r="CT259" s="588">
        <f>IF(CS$9&gt;0, IF(OR(CS259="",CS259="-"), 0, CS259*$AT259), CR259*$AJ259)</f>
        <v>0</v>
      </c>
      <c r="CU259" s="587">
        <f>[1]COMMANDE!AW257</f>
        <v>0</v>
      </c>
      <c r="CV259" s="586" t="str">
        <f>_xlfn.IFS(AND($AI259=$AM259,$AI259&gt;0,$AM259&gt;0,CU259&gt;0), CU259,     AND(NOT($AI259=$AM259),$AI259&gt;0,$AM259&gt;0,CU259&gt;0), ($AM259*CU259)/$AI259,     AND($AI259=0,$AM259&gt;0,$AQ259&gt;0), IF(INDEX(CU$12:CU$263,MATCH($AQ259,$AP$12:$AP$263,0))&gt;0,($AM259*INDEX(CU$12:CU$263,MATCH($AQ259,$AP$12:$AP$263,0)))/INDEX($AI$12:$AI$263,MATCH($AQ259,$AP$12:$AP$263,0)), "-"),     TRUE, "0")</f>
        <v>0</v>
      </c>
      <c r="CW259" s="607">
        <f>IF(CV$9&gt;0, IF(OR(CV259="",CV259="-"), 0, CV259*$AT259), CU259*$AJ259)</f>
        <v>0</v>
      </c>
      <c r="CX259" s="589">
        <f>[1]COMMANDE!AY257</f>
        <v>0</v>
      </c>
      <c r="CY259" s="586" t="str">
        <f>_xlfn.IFS(AND($AI259=$AM259,$AI259&gt;0,$AM259&gt;0,CX259&gt;0), CX259,     AND(NOT($AI259=$AM259),$AI259&gt;0,$AM259&gt;0,CX259&gt;0), ($AM259*CX259)/$AI259,     AND($AI259=0,$AM259&gt;0,$AQ259&gt;0), IF(INDEX(CX$12:CX$263,MATCH($AQ259,$AP$12:$AP$263,0))&gt;0,($AM259*INDEX(CX$12:CX$263,MATCH($AQ259,$AP$12:$AP$263,0)))/INDEX($AI$12:$AI$263,MATCH($AQ259,$AP$12:$AP$263,0)), "-"),     TRUE, "0")</f>
        <v>0</v>
      </c>
      <c r="CZ259" s="588">
        <f>IF(CY$9&gt;0, IF(OR(CY259="",CY259="-"), 0, CY259*$AT259), CX259*$AJ259)</f>
        <v>0</v>
      </c>
      <c r="DA259" s="587">
        <f>[1]COMMANDE!BA257</f>
        <v>0</v>
      </c>
      <c r="DB259" s="586" t="str">
        <f>_xlfn.IFS(AND($AI259=$AM259,$AI259&gt;0,$AM259&gt;0,DA259&gt;0), DA259,     AND(NOT($AI259=$AM259),$AI259&gt;0,$AM259&gt;0,DA259&gt;0), ($AM259*DA259)/$AI259,     AND($AI259=0,$AM259&gt;0,$AQ259&gt;0), IF(INDEX(DA$12:DA$263,MATCH($AQ259,$AP$12:$AP$263,0))&gt;0,($AM259*INDEX(DA$12:DA$263,MATCH($AQ259,$AP$12:$AP$263,0)))/INDEX($AI$12:$AI$263,MATCH($AQ259,$AP$12:$AP$263,0)), "-"),     TRUE, "0")</f>
        <v>0</v>
      </c>
      <c r="DC259" s="606">
        <f>IF(DB$9&gt;0, IF(OR(DB259="",DB259="-"), 0, DB259*$AT259), DA259*$AJ259)</f>
        <v>0</v>
      </c>
      <c r="DD259" s="584"/>
      <c r="DE259" s="583"/>
    </row>
    <row r="260" spans="1:109" ht="39.950000000000003" hidden="1" customHeight="1">
      <c r="A260" s="604">
        <f>IF(OR($AV260&gt;0, $AX260&gt;0), 1, 0)</f>
        <v>0</v>
      </c>
      <c r="B260" s="604">
        <f>IF(OR($AY260&gt;0, $BA260&gt;0), 1, 0)</f>
        <v>0</v>
      </c>
      <c r="C260" s="604">
        <f>IF(OR($BB260&gt;0, $BD260&gt;0), 1, 0)</f>
        <v>0</v>
      </c>
      <c r="D260" s="604">
        <f>IF(OR($BE260&gt;0, $BG260&gt;0), 1, 0)</f>
        <v>0</v>
      </c>
      <c r="E260" s="604">
        <f>IF(OR($BH260&gt;0, $BJ260&gt;0), 1, 0)</f>
        <v>0</v>
      </c>
      <c r="F260" s="604">
        <f>IF(OR($BK260&gt;0, $BM260&gt;0), 1, 0)</f>
        <v>0</v>
      </c>
      <c r="G260" s="604">
        <f>IF(OR($BN260&gt;0, $BP260&gt;0), 1, 0)</f>
        <v>0</v>
      </c>
      <c r="H260" s="604">
        <f>IF(OR($BQ260&gt;0, $BS260&gt;0), 1, 0)</f>
        <v>0</v>
      </c>
      <c r="I260" s="604">
        <f>IF(OR($BT260&gt;0, $BV260&gt;0), 1, 0)</f>
        <v>0</v>
      </c>
      <c r="J260" s="604">
        <f>IF(OR($BW260&gt;0, $BY260&gt;0), 1, 0)</f>
        <v>0</v>
      </c>
      <c r="K260" s="604">
        <f>IF(OR($BZ260&gt;0, $CB260&gt;0), 1, 0)</f>
        <v>0</v>
      </c>
      <c r="L260" s="604">
        <f>IF(OR($CC260&gt;0, $CE260&gt;0), 1, 0)</f>
        <v>0</v>
      </c>
      <c r="M260" s="604">
        <f>IF(OR($CF260&gt;0, $CH260&gt;0), 1, 0)</f>
        <v>0</v>
      </c>
      <c r="N260" s="604">
        <f>IF(OR($CI260&gt;0, $CK260&gt;0), 1, 0)</f>
        <v>0</v>
      </c>
      <c r="O260" s="604">
        <f>IF(OR($CL260&gt;0, $CN260&gt;0), 1, 0)</f>
        <v>0</v>
      </c>
      <c r="P260" s="604">
        <f>IF(OR($CO260&gt;0, $CQ260&gt;0), 1, 0)</f>
        <v>0</v>
      </c>
      <c r="Q260" s="604">
        <f>IF(OR($CR260&gt;0, $CT260&gt;0), 1, 0)</f>
        <v>0</v>
      </c>
      <c r="R260" s="604">
        <f>IF(OR($CU260&gt;0, $CW260&gt;0), 1, 0)</f>
        <v>0</v>
      </c>
      <c r="S260" s="604">
        <f>IF(OR($CX260&gt;0, $CZ260&gt;0), 1, 0)</f>
        <v>0</v>
      </c>
      <c r="T260" s="604">
        <f>IF(OR($DA260&gt;0, $DC260&gt;0), 1, 0)</f>
        <v>0</v>
      </c>
      <c r="U260" s="603">
        <f>IF(OR($AI260&gt;0,$AM260&gt;0,$AS260&gt;0), 1, 0)</f>
        <v>0</v>
      </c>
      <c r="V260" s="602">
        <f>[1]BDD!A250</f>
        <v>0</v>
      </c>
      <c r="W260" s="601">
        <f>[1]BDD!B250</f>
        <v>0</v>
      </c>
      <c r="X260" s="600" t="str">
        <f>IF([1]BDD!F250=0, "", [1]BDD!F250)</f>
        <v/>
      </c>
      <c r="Y260" s="542">
        <f>ROUND([1]BDD!G250+FDP_CMD_KG, 2)</f>
        <v>0.87</v>
      </c>
      <c r="Z260" s="542">
        <f>ROUND([1]BDD!G250+FDP_FACT_KG, 2)</f>
        <v>0.87</v>
      </c>
      <c r="AA260" s="543">
        <f>[1]BDD!H250</f>
        <v>0</v>
      </c>
      <c r="AB260" s="544" t="str">
        <f>IF(NOT(ISBLANK([1]BDD!I250)), ROUND(SUM(([1]BDD!G250*reduc1),FDP_CMD_KG), 2), "")</f>
        <v/>
      </c>
      <c r="AC260" s="544" t="str">
        <f>IF(NOT(ISBLANK([1]BDD!J250)), ROUND(SUM(([1]BDD!G250*reduc2),FDP_CMD_KG), 2), "")</f>
        <v/>
      </c>
      <c r="AD260" s="544" t="str">
        <f>IF(NOT(ISBLANK([1]BDD!K250)), ROUND(SUM(([1]BDD!G250*reduc3),FDP_CMD_KG), 2), "")</f>
        <v/>
      </c>
      <c r="AE260" s="544" t="str">
        <f>IF(NOT(ISBLANK([1]BDD!I250)), ROUND(SUM(([1]BDD!G250*reduc1),FDP_FACT_KG), 2), "")</f>
        <v/>
      </c>
      <c r="AF260" s="544" t="str">
        <f>IF(NOT(ISBLANK([1]BDD!J250)), ROUND(SUM(([1]BDD!G250*reduc2),FDP_FACT_KG), 2), "")</f>
        <v/>
      </c>
      <c r="AG260" s="544" t="str">
        <f>IF(NOT(ISBLANK([1]BDD!K250)), ROUND(SUM(([1]BDD!G250*reduc3),FDP_FACT_KG), 2), "")</f>
        <v/>
      </c>
      <c r="AH260" s="599">
        <f>[1]BDD!C250</f>
        <v>0</v>
      </c>
      <c r="AI260" s="598">
        <f>SUM(AV260,AY260,BB260,BE260,BH260,BK260,BN260,BQ260,BT260,BW260,BZ260,CC260,CF260,CI260,CL260,CO260,CR260,CU260,CX260,DA260)</f>
        <v>0</v>
      </c>
      <c r="AJ260" s="545">
        <f>_xlfn.IFS($AD260&lt;&gt;"", $AD260,    $AC260&lt;&gt;"", $AC260,    $AB260&lt;&gt;"", $AB260,    TRUE, $Y260)</f>
        <v>0.87</v>
      </c>
      <c r="AK260" s="592">
        <f>$AI260*$AJ260</f>
        <v>0</v>
      </c>
      <c r="AL260" s="594"/>
      <c r="AM260" s="597"/>
      <c r="AN260" s="545">
        <f>_xlfn.IFS(AND(AM260&gt;=60,$AG260&lt;&gt;""), $AG260,    AND(AM260&gt;=30,$AF260&lt;&gt;""), $AF260,    AND(AM260&gt;=10,$AE260&lt;&gt;""), $AE260,    TRUE, $Z260)</f>
        <v>0.87</v>
      </c>
      <c r="AO260" s="596">
        <f>AM260*AN260</f>
        <v>0</v>
      </c>
      <c r="AP260" s="595"/>
      <c r="AQ260" s="595"/>
      <c r="AR260" s="594"/>
      <c r="AS260" s="593">
        <f>SUM(AW260,AZ260,BC260,BF260,BI260,BL260,BO260,BR260,BU260,BX260,CA260,CD260,CG260,CJ260,CM260,CP260,CS260,CV260,CY260,DB260)</f>
        <v>0</v>
      </c>
      <c r="AT260" s="545">
        <f>_xlfn.IFS(AND(AS260&gt;=60,$AG260&lt;&gt;""), $AG260,    AND(AS260&gt;=30,$AF260&lt;&gt;""), $AF260,    AND(AS260&gt;=10,$AE260&lt;&gt;""), $AE260,    TRUE, $Z260)</f>
        <v>0.87</v>
      </c>
      <c r="AU260" s="592">
        <f>$AS260*$AT260</f>
        <v>0</v>
      </c>
      <c r="AV260" s="591">
        <f>[1]COMMANDE!O258</f>
        <v>0</v>
      </c>
      <c r="AW260" s="586" t="str">
        <f>_xlfn.IFS(AND($AI260=$AM260,$AI260&gt;0,$AM260&gt;0,AV260&gt;0), AV260,     AND(NOT($AI260=$AM260),$AI260&gt;0,$AM260&gt;0,AV260&gt;0), ($AM260*AV260)/$AI260,     AND($AI260=0,$AM260&gt;0,$AQ260&gt;0), IF(INDEX(AV$12:AV$263,MATCH($AQ260,$AP$12:$AP$263,0))&gt;0,($AM260*INDEX(AV$12:AV$263,MATCH($AQ260,$AP$12:$AP$263,0)))/INDEX($AI$12:$AI$263,MATCH($AQ260,$AP$12:$AP$263,0)), "-"),     TRUE, "0")</f>
        <v>0</v>
      </c>
      <c r="AX260" s="588">
        <f>IF(AW$9&gt;0, IF(OR(AW260="",AW260="-"), 0, AW260*$AT260), AV260*$AJ260)</f>
        <v>0</v>
      </c>
      <c r="AY260" s="587">
        <f>[1]COMMANDE!Q258</f>
        <v>0</v>
      </c>
      <c r="AZ260" s="586" t="str">
        <f>_xlfn.IFS(AND($AI260=$AM260,$AI260&gt;0,$AM260&gt;0,AY260&gt;0), AY260,     AND(NOT($AI260=$AM260),$AI260&gt;0,$AM260&gt;0,AY260&gt;0), ($AM260*AY260)/$AI260,     AND($AI260=0,$AM260&gt;0,$AQ260&gt;0), IF(INDEX(AY$12:AY$263,MATCH($AQ260,$AP$12:$AP$263,0))&gt;0,($AM260*INDEX(AY$12:AY$263,MATCH($AQ260,$AP$12:$AP$263,0)))/INDEX($AI$12:$AI$263,MATCH($AQ260,$AP$12:$AP$263,0)), "-"),     TRUE, "0")</f>
        <v>0</v>
      </c>
      <c r="BA260" s="607">
        <f>IF(AZ$9&gt;0, IF(OR(AZ260="",AZ260="-"), 0, AZ260*$AT260), AY260*$AJ260)</f>
        <v>0</v>
      </c>
      <c r="BB260" s="589">
        <f>[1]COMMANDE!S258</f>
        <v>0</v>
      </c>
      <c r="BC260" s="586" t="str">
        <f>_xlfn.IFS(AND($AI260=$AM260,$AI260&gt;0,$AM260&gt;0,BB260&gt;0), BB260,     AND(NOT($AI260=$AM260),$AI260&gt;0,$AM260&gt;0,BB260&gt;0), ($AM260*BB260)/$AI260,     AND($AI260=0,$AM260&gt;0,$AQ260&gt;0), IF(INDEX(BB$12:BB$263,MATCH($AQ260,$AP$12:$AP$263,0))&gt;0,($AM260*INDEX(BB$12:BB$263,MATCH($AQ260,$AP$12:$AP$263,0)))/INDEX($AI$12:$AI$263,MATCH($AQ260,$AP$12:$AP$263,0)), "-"),     TRUE, "0")</f>
        <v>0</v>
      </c>
      <c r="BD260" s="588">
        <f>IF(BC$9&gt;0, IF(OR(BC260="",BC260="-"), 0, BC260*$AT260), BB260*$AJ260)</f>
        <v>0</v>
      </c>
      <c r="BE260" s="587">
        <f>[1]COMMANDE!U258</f>
        <v>0</v>
      </c>
      <c r="BF260" s="586" t="str">
        <f>_xlfn.IFS(AND($AI260=$AM260,$AI260&gt;0,$AM260&gt;0,BE260&gt;0), BE260,     AND(NOT($AI260=$AM260),$AI260&gt;0,$AM260&gt;0,BE260&gt;0), ($AM260*BE260)/$AI260,     AND($AI260=0,$AM260&gt;0,$AQ260&gt;0), IF(INDEX(BE$12:BE$263,MATCH($AQ260,$AP$12:$AP$263,0))&gt;0,($AM260*INDEX(BE$12:BE$263,MATCH($AQ260,$AP$12:$AP$263,0)))/INDEX($AI$12:$AI$263,MATCH($AQ260,$AP$12:$AP$263,0)), "-"),     TRUE, "0")</f>
        <v>0</v>
      </c>
      <c r="BG260" s="607">
        <f>IF(BF$9&gt;0, IF(OR(BF260="",BF260="-"), 0, BF260*$AT260), BE260*$AJ260)</f>
        <v>0</v>
      </c>
      <c r="BH260" s="589">
        <f>[1]COMMANDE!W258</f>
        <v>0</v>
      </c>
      <c r="BI260" s="586" t="str">
        <f>_xlfn.IFS(AND($AI260=$AM260,$AI260&gt;0,$AM260&gt;0,BH260&gt;0), BH260,     AND(NOT($AI260=$AM260),$AI260&gt;0,$AM260&gt;0,BH260&gt;0), ($AM260*BH260)/$AI260,     AND($AI260=0,$AM260&gt;0,$AQ260&gt;0), IF(INDEX(BH$12:BH$263,MATCH($AQ260,$AP$12:$AP$263,0))&gt;0,($AM260*INDEX(BH$12:BH$263,MATCH($AQ260,$AP$12:$AP$263,0)))/INDEX($AI$12:$AI$263,MATCH($AQ260,$AP$12:$AP$263,0)), "-"),     TRUE, "0")</f>
        <v>0</v>
      </c>
      <c r="BJ260" s="588">
        <f>IF(BI$9&gt;0, IF(OR(BI260="",BI260="-"), 0, BI260*$AT260), BH260*$AJ260)</f>
        <v>0</v>
      </c>
      <c r="BK260" s="587">
        <f>[1]COMMANDE!Y258</f>
        <v>0</v>
      </c>
      <c r="BL260" s="586" t="str">
        <f>_xlfn.IFS(AND($AI260=$AM260,$AI260&gt;0,$AM260&gt;0,BK260&gt;0), BK260,     AND(NOT($AI260=$AM260),$AI260&gt;0,$AM260&gt;0,BK260&gt;0), ($AM260*BK260)/$AI260,     AND($AI260=0,$AM260&gt;0,$AQ260&gt;0), IF(INDEX(BK$12:BK$263,MATCH($AQ260,$AP$12:$AP$263,0))&gt;0,($AM260*INDEX(BK$12:BK$263,MATCH($AQ260,$AP$12:$AP$263,0)))/INDEX($AI$12:$AI$263,MATCH($AQ260,$AP$12:$AP$263,0)), "-"),     TRUE, "0")</f>
        <v>0</v>
      </c>
      <c r="BM260" s="607">
        <f>IF(BL$9&gt;0, IF(OR(BL260="",BL260="-"), 0, BL260*$AT260), BK260*$AJ260)</f>
        <v>0</v>
      </c>
      <c r="BN260" s="589">
        <f>[1]COMMANDE!AA258</f>
        <v>0</v>
      </c>
      <c r="BO260" s="586" t="str">
        <f>_xlfn.IFS(AND($AI260=$AM260,$AI260&gt;0,$AM260&gt;0,BN260&gt;0), BN260,     AND(NOT($AI260=$AM260),$AI260&gt;0,$AM260&gt;0,BN260&gt;0), ($AM260*BN260)/$AI260,     AND($AI260=0,$AM260&gt;0,$AQ260&gt;0), IF(INDEX(BN$12:BN$263,MATCH($AQ260,$AP$12:$AP$263,0))&gt;0,($AM260*INDEX(BN$12:BN$263,MATCH($AQ260,$AP$12:$AP$263,0)))/INDEX($AI$12:$AI$263,MATCH($AQ260,$AP$12:$AP$263,0)), "-"),     TRUE, "0")</f>
        <v>0</v>
      </c>
      <c r="BP260" s="588">
        <f>IF(BO$9&gt;0, IF(OR(BO260="",BO260="-"), 0, BO260*$AT260), BN260*$AJ260)</f>
        <v>0</v>
      </c>
      <c r="BQ260" s="587">
        <f>[1]COMMANDE!AC258</f>
        <v>0</v>
      </c>
      <c r="BR260" s="586" t="str">
        <f>_xlfn.IFS(AND($AI260=$AM260,$AI260&gt;0,$AM260&gt;0,BQ260&gt;0), BQ260,     AND(NOT($AI260=$AM260),$AI260&gt;0,$AM260&gt;0,BQ260&gt;0), ($AM260*BQ260)/$AI260,     AND($AI260=0,$AM260&gt;0,$AQ260&gt;0), IF(INDEX(BQ$12:BQ$263,MATCH($AQ260,$AP$12:$AP$263,0))&gt;0,($AM260*INDEX(BQ$12:BQ$263,MATCH($AQ260,$AP$12:$AP$263,0)))/INDEX($AI$12:$AI$263,MATCH($AQ260,$AP$12:$AP$263,0)), "-"),     TRUE, "0")</f>
        <v>0</v>
      </c>
      <c r="BS260" s="607">
        <f>IF(BR$9&gt;0, IF(OR(BR260="",BR260="-"), 0, BR260*$AT260), BQ260*$AJ260)</f>
        <v>0</v>
      </c>
      <c r="BT260" s="589">
        <f>[1]COMMANDE!AE258</f>
        <v>0</v>
      </c>
      <c r="BU260" s="586" t="str">
        <f>_xlfn.IFS(AND($AI260=$AM260,$AI260&gt;0,$AM260&gt;0,BT260&gt;0), BT260,     AND(NOT($AI260=$AM260),$AI260&gt;0,$AM260&gt;0,BT260&gt;0), ($AM260*BT260)/$AI260,     AND($AI260=0,$AM260&gt;0,$AQ260&gt;0), IF(INDEX(BT$12:BT$263,MATCH($AQ260,$AP$12:$AP$263,0))&gt;0,($AM260*INDEX(BT$12:BT$263,MATCH($AQ260,$AP$12:$AP$263,0)))/INDEX($AI$12:$AI$263,MATCH($AQ260,$AP$12:$AP$263,0)), "-"),     TRUE, "0")</f>
        <v>0</v>
      </c>
      <c r="BV260" s="588">
        <f>IF(BU$9&gt;0, IF(OR(BU260="",BU260="-"), 0, BU260*$AT260), BT260*$AJ260)</f>
        <v>0</v>
      </c>
      <c r="BW260" s="587">
        <f>[1]COMMANDE!AG258</f>
        <v>0</v>
      </c>
      <c r="BX260" s="586" t="str">
        <f>_xlfn.IFS(AND($AI260=$AM260,$AI260&gt;0,$AM260&gt;0,BW260&gt;0), BW260,     AND(NOT($AI260=$AM260),$AI260&gt;0,$AM260&gt;0,BW260&gt;0), ($AM260*BW260)/$AI260,     AND($AI260=0,$AM260&gt;0,$AQ260&gt;0), IF(INDEX(BW$12:BW$263,MATCH($AQ260,$AP$12:$AP$263,0))&gt;0,($AM260*INDEX(BW$12:BW$263,MATCH($AQ260,$AP$12:$AP$263,0)))/INDEX($AI$12:$AI$263,MATCH($AQ260,$AP$12:$AP$263,0)), "-"),     TRUE, "0")</f>
        <v>0</v>
      </c>
      <c r="BY260" s="607">
        <f>IF(BX$9&gt;0, IF(OR(BX260="",BX260="-"), 0, BX260*$AT260), BW260*$AJ260)</f>
        <v>0</v>
      </c>
      <c r="BZ260" s="589">
        <f>[1]COMMANDE!AI258</f>
        <v>0</v>
      </c>
      <c r="CA260" s="586" t="str">
        <f>_xlfn.IFS(AND($AI260=$AM260,$AI260&gt;0,$AM260&gt;0,BZ260&gt;0), BZ260,     AND(NOT($AI260=$AM260),$AI260&gt;0,$AM260&gt;0,BZ260&gt;0), ($AM260*BZ260)/$AI260,     AND($AI260=0,$AM260&gt;0,$AQ260&gt;0), IF(INDEX(BZ$12:BZ$263,MATCH($AQ260,$AP$12:$AP$263,0))&gt;0,($AM260*INDEX(BZ$12:BZ$263,MATCH($AQ260,$AP$12:$AP$263,0)))/INDEX($AI$12:$AI$263,MATCH($AQ260,$AP$12:$AP$263,0)), "-"),     TRUE, "0")</f>
        <v>0</v>
      </c>
      <c r="CB260" s="588">
        <f>IF(CA$9&gt;0, IF(OR(CA260="",CA260="-"), 0, CA260*$AT260), BZ260*$AJ260)</f>
        <v>0</v>
      </c>
      <c r="CC260" s="587">
        <f>[1]COMMANDE!AK258</f>
        <v>0</v>
      </c>
      <c r="CD260" s="586" t="str">
        <f>_xlfn.IFS(AND($AI260=$AM260,$AI260&gt;0,$AM260&gt;0,CC260&gt;0), CC260,     AND(NOT($AI260=$AM260),$AI260&gt;0,$AM260&gt;0,CC260&gt;0), ($AM260*CC260)/$AI260,     AND($AI260=0,$AM260&gt;0,$AQ260&gt;0), IF(INDEX(CC$12:CC$263,MATCH($AQ260,$AP$12:$AP$263,0))&gt;0,($AM260*INDEX(CC$12:CC$263,MATCH($AQ260,$AP$12:$AP$263,0)))/INDEX($AI$12:$AI$263,MATCH($AQ260,$AP$12:$AP$263,0)), "-"),     TRUE, "0")</f>
        <v>0</v>
      </c>
      <c r="CE260" s="607">
        <f>IF(CD$9&gt;0, IF(OR(CD260="",CD260="-"), 0, CD260*$AT260), CC260*$AJ260)</f>
        <v>0</v>
      </c>
      <c r="CF260" s="589">
        <f>[1]COMMANDE!AM258</f>
        <v>0</v>
      </c>
      <c r="CG260" s="586" t="str">
        <f>_xlfn.IFS(AND($AI260=$AM260,$AI260&gt;0,$AM260&gt;0,CF260&gt;0), CF260,     AND(NOT($AI260=$AM260),$AI260&gt;0,$AM260&gt;0,CF260&gt;0), ($AM260*CF260)/$AI260,     AND($AI260=0,$AM260&gt;0,$AQ260&gt;0), IF(INDEX(CF$12:CF$263,MATCH($AQ260,$AP$12:$AP$263,0))&gt;0,($AM260*INDEX(CF$12:CF$263,MATCH($AQ260,$AP$12:$AP$263,0)))/INDEX($AI$12:$AI$263,MATCH($AQ260,$AP$12:$AP$263,0)), "-"),     TRUE, "0")</f>
        <v>0</v>
      </c>
      <c r="CH260" s="588">
        <f>IF(CG$9&gt;0, IF(OR(CG260="",CG260="-"), 0, CG260*$AT260), CF260*$AJ260)</f>
        <v>0</v>
      </c>
      <c r="CI260" s="587">
        <f>[1]COMMANDE!AO258</f>
        <v>0</v>
      </c>
      <c r="CJ260" s="586" t="str">
        <f>_xlfn.IFS(AND($AI260=$AM260,$AI260&gt;0,$AM260&gt;0,CI260&gt;0), CI260,     AND(NOT($AI260=$AM260),$AI260&gt;0,$AM260&gt;0,CI260&gt;0), ($AM260*CI260)/$AI260,     AND($AI260=0,$AM260&gt;0,$AQ260&gt;0), IF(INDEX(CI$12:CI$263,MATCH($AQ260,$AP$12:$AP$263,0))&gt;0,($AM260*INDEX(CI$12:CI$263,MATCH($AQ260,$AP$12:$AP$263,0)))/INDEX($AI$12:$AI$263,MATCH($AQ260,$AP$12:$AP$263,0)), "-"),     TRUE, "0")</f>
        <v>0</v>
      </c>
      <c r="CK260" s="607">
        <f>IF(CJ$9&gt;0, IF(OR(CJ260="",CJ260="-"), 0, CJ260*$AT260), CI260*$AJ260)</f>
        <v>0</v>
      </c>
      <c r="CL260" s="589">
        <f>[1]COMMANDE!AQ258</f>
        <v>0</v>
      </c>
      <c r="CM260" s="586" t="str">
        <f>_xlfn.IFS(AND($AI260=$AM260,$AI260&gt;0,$AM260&gt;0,CL260&gt;0), CL260,     AND(NOT($AI260=$AM260),$AI260&gt;0,$AM260&gt;0,CL260&gt;0), ($AM260*CL260)/$AI260,     AND($AI260=0,$AM260&gt;0,$AQ260&gt;0), IF(INDEX(CL$12:CL$263,MATCH($AQ260,$AP$12:$AP$263,0))&gt;0,($AM260*INDEX(CL$12:CL$263,MATCH($AQ260,$AP$12:$AP$263,0)))/INDEX($AI$12:$AI$263,MATCH($AQ260,$AP$12:$AP$263,0)), "-"),     TRUE, "0")</f>
        <v>0</v>
      </c>
      <c r="CN260" s="588">
        <f>IF(CM$9&gt;0, IF(OR(CM260="",CM260="-"), 0, CM260*$AT260), CL260*$AJ260)</f>
        <v>0</v>
      </c>
      <c r="CO260" s="587">
        <f>[1]COMMANDE!AS258</f>
        <v>0</v>
      </c>
      <c r="CP260" s="586" t="str">
        <f>_xlfn.IFS(AND($AI260=$AM260,$AI260&gt;0,$AM260&gt;0,CO260&gt;0), CO260,     AND(NOT($AI260=$AM260),$AI260&gt;0,$AM260&gt;0,CO260&gt;0), ($AM260*CO260)/$AI260,     AND($AI260=0,$AM260&gt;0,$AQ260&gt;0), IF(INDEX(CO$12:CO$263,MATCH($AQ260,$AP$12:$AP$263,0))&gt;0,($AM260*INDEX(CO$12:CO$263,MATCH($AQ260,$AP$12:$AP$263,0)))/INDEX($AI$12:$AI$263,MATCH($AQ260,$AP$12:$AP$263,0)), "-"),     TRUE, "0")</f>
        <v>0</v>
      </c>
      <c r="CQ260" s="607">
        <f>IF(CP$9&gt;0, IF(OR(CP260="",CP260="-"), 0, CP260*$AT260), CO260*$AJ260)</f>
        <v>0</v>
      </c>
      <c r="CR260" s="589">
        <f>[1]COMMANDE!AU258</f>
        <v>0</v>
      </c>
      <c r="CS260" s="586" t="str">
        <f>_xlfn.IFS(AND($AI260=$AM260,$AI260&gt;0,$AM260&gt;0,CR260&gt;0), CR260,     AND(NOT($AI260=$AM260),$AI260&gt;0,$AM260&gt;0,CR260&gt;0), ($AM260*CR260)/$AI260,     AND($AI260=0,$AM260&gt;0,$AQ260&gt;0), IF(INDEX(CR$12:CR$263,MATCH($AQ260,$AP$12:$AP$263,0))&gt;0,($AM260*INDEX(CR$12:CR$263,MATCH($AQ260,$AP$12:$AP$263,0)))/INDEX($AI$12:$AI$263,MATCH($AQ260,$AP$12:$AP$263,0)), "-"),     TRUE, "0")</f>
        <v>0</v>
      </c>
      <c r="CT260" s="588">
        <f>IF(CS$9&gt;0, IF(OR(CS260="",CS260="-"), 0, CS260*$AT260), CR260*$AJ260)</f>
        <v>0</v>
      </c>
      <c r="CU260" s="587">
        <f>[1]COMMANDE!AW258</f>
        <v>0</v>
      </c>
      <c r="CV260" s="586" t="str">
        <f>_xlfn.IFS(AND($AI260=$AM260,$AI260&gt;0,$AM260&gt;0,CU260&gt;0), CU260,     AND(NOT($AI260=$AM260),$AI260&gt;0,$AM260&gt;0,CU260&gt;0), ($AM260*CU260)/$AI260,     AND($AI260=0,$AM260&gt;0,$AQ260&gt;0), IF(INDEX(CU$12:CU$263,MATCH($AQ260,$AP$12:$AP$263,0))&gt;0,($AM260*INDEX(CU$12:CU$263,MATCH($AQ260,$AP$12:$AP$263,0)))/INDEX($AI$12:$AI$263,MATCH($AQ260,$AP$12:$AP$263,0)), "-"),     TRUE, "0")</f>
        <v>0</v>
      </c>
      <c r="CW260" s="607">
        <f>IF(CV$9&gt;0, IF(OR(CV260="",CV260="-"), 0, CV260*$AT260), CU260*$AJ260)</f>
        <v>0</v>
      </c>
      <c r="CX260" s="589">
        <f>[1]COMMANDE!AY258</f>
        <v>0</v>
      </c>
      <c r="CY260" s="586" t="str">
        <f>_xlfn.IFS(AND($AI260=$AM260,$AI260&gt;0,$AM260&gt;0,CX260&gt;0), CX260,     AND(NOT($AI260=$AM260),$AI260&gt;0,$AM260&gt;0,CX260&gt;0), ($AM260*CX260)/$AI260,     AND($AI260=0,$AM260&gt;0,$AQ260&gt;0), IF(INDEX(CX$12:CX$263,MATCH($AQ260,$AP$12:$AP$263,0))&gt;0,($AM260*INDEX(CX$12:CX$263,MATCH($AQ260,$AP$12:$AP$263,0)))/INDEX($AI$12:$AI$263,MATCH($AQ260,$AP$12:$AP$263,0)), "-"),     TRUE, "0")</f>
        <v>0</v>
      </c>
      <c r="CZ260" s="588">
        <f>IF(CY$9&gt;0, IF(OR(CY260="",CY260="-"), 0, CY260*$AT260), CX260*$AJ260)</f>
        <v>0</v>
      </c>
      <c r="DA260" s="587">
        <f>[1]COMMANDE!BA258</f>
        <v>0</v>
      </c>
      <c r="DB260" s="586" t="str">
        <f>_xlfn.IFS(AND($AI260=$AM260,$AI260&gt;0,$AM260&gt;0,DA260&gt;0), DA260,     AND(NOT($AI260=$AM260),$AI260&gt;0,$AM260&gt;0,DA260&gt;0), ($AM260*DA260)/$AI260,     AND($AI260=0,$AM260&gt;0,$AQ260&gt;0), IF(INDEX(DA$12:DA$263,MATCH($AQ260,$AP$12:$AP$263,0))&gt;0,($AM260*INDEX(DA$12:DA$263,MATCH($AQ260,$AP$12:$AP$263,0)))/INDEX($AI$12:$AI$263,MATCH($AQ260,$AP$12:$AP$263,0)), "-"),     TRUE, "0")</f>
        <v>0</v>
      </c>
      <c r="DC260" s="606">
        <f>IF(DB$9&gt;0, IF(OR(DB260="",DB260="-"), 0, DB260*$AT260), DA260*$AJ260)</f>
        <v>0</v>
      </c>
      <c r="DD260" s="584"/>
      <c r="DE260" s="583"/>
    </row>
    <row r="261" spans="1:109" ht="39.950000000000003" hidden="1" customHeight="1">
      <c r="A261" s="604">
        <f>IF(OR($AV261&gt;0, $AX261&gt;0), 1, 0)</f>
        <v>0</v>
      </c>
      <c r="B261" s="604">
        <f>IF(OR($AY261&gt;0, $BA261&gt;0), 1, 0)</f>
        <v>0</v>
      </c>
      <c r="C261" s="604">
        <f>IF(OR($BB261&gt;0, $BD261&gt;0), 1, 0)</f>
        <v>0</v>
      </c>
      <c r="D261" s="604">
        <f>IF(OR($BE261&gt;0, $BG261&gt;0), 1, 0)</f>
        <v>0</v>
      </c>
      <c r="E261" s="604">
        <f>IF(OR($BH261&gt;0, $BJ261&gt;0), 1, 0)</f>
        <v>0</v>
      </c>
      <c r="F261" s="604">
        <f>IF(OR($BK261&gt;0, $BM261&gt;0), 1, 0)</f>
        <v>0</v>
      </c>
      <c r="G261" s="604">
        <f>IF(OR($BN261&gt;0, $BP261&gt;0), 1, 0)</f>
        <v>0</v>
      </c>
      <c r="H261" s="604">
        <f>IF(OR($BQ261&gt;0, $BS261&gt;0), 1, 0)</f>
        <v>0</v>
      </c>
      <c r="I261" s="604">
        <f>IF(OR($BT261&gt;0, $BV261&gt;0), 1, 0)</f>
        <v>0</v>
      </c>
      <c r="J261" s="604">
        <f>IF(OR($BW261&gt;0, $BY261&gt;0), 1, 0)</f>
        <v>0</v>
      </c>
      <c r="K261" s="604">
        <f>IF(OR($BZ261&gt;0, $CB261&gt;0), 1, 0)</f>
        <v>0</v>
      </c>
      <c r="L261" s="604">
        <f>IF(OR($CC261&gt;0, $CE261&gt;0), 1, 0)</f>
        <v>0</v>
      </c>
      <c r="M261" s="604">
        <f>IF(OR($CF261&gt;0, $CH261&gt;0), 1, 0)</f>
        <v>0</v>
      </c>
      <c r="N261" s="604">
        <f>IF(OR($CI261&gt;0, $CK261&gt;0), 1, 0)</f>
        <v>0</v>
      </c>
      <c r="O261" s="604">
        <f>IF(OR($CL261&gt;0, $CN261&gt;0), 1, 0)</f>
        <v>0</v>
      </c>
      <c r="P261" s="604">
        <f>IF(OR($CO261&gt;0, $CQ261&gt;0), 1, 0)</f>
        <v>0</v>
      </c>
      <c r="Q261" s="604">
        <f>IF(OR($CR261&gt;0, $CT261&gt;0), 1, 0)</f>
        <v>0</v>
      </c>
      <c r="R261" s="604">
        <f>IF(OR($CU261&gt;0, $CW261&gt;0), 1, 0)</f>
        <v>0</v>
      </c>
      <c r="S261" s="604">
        <f>IF(OR($CX261&gt;0, $CZ261&gt;0), 1, 0)</f>
        <v>0</v>
      </c>
      <c r="T261" s="604">
        <f>IF(OR($DA261&gt;0, $DC261&gt;0), 1, 0)</f>
        <v>0</v>
      </c>
      <c r="U261" s="603">
        <f>IF(OR($AI261&gt;0,$AM261&gt;0,$AS261&gt;0), 1, 0)</f>
        <v>0</v>
      </c>
      <c r="V261" s="602">
        <f>[1]BDD!A251</f>
        <v>0</v>
      </c>
      <c r="W261" s="601">
        <f>[1]BDD!B251</f>
        <v>0</v>
      </c>
      <c r="X261" s="600" t="str">
        <f>IF([1]BDD!F251=0, "", [1]BDD!F251)</f>
        <v/>
      </c>
      <c r="Y261" s="542">
        <f>ROUND([1]BDD!G251+FDP_CMD_KG, 2)</f>
        <v>0.87</v>
      </c>
      <c r="Z261" s="542">
        <f>ROUND([1]BDD!G251+FDP_FACT_KG, 2)</f>
        <v>0.87</v>
      </c>
      <c r="AA261" s="543">
        <f>[1]BDD!H251</f>
        <v>0</v>
      </c>
      <c r="AB261" s="544" t="str">
        <f>IF(NOT(ISBLANK([1]BDD!I251)), ROUND(SUM(([1]BDD!G251*reduc1),FDP_CMD_KG), 2), "")</f>
        <v/>
      </c>
      <c r="AC261" s="544" t="str">
        <f>IF(NOT(ISBLANK([1]BDD!J251)), ROUND(SUM(([1]BDD!G251*reduc2),FDP_CMD_KG), 2), "")</f>
        <v/>
      </c>
      <c r="AD261" s="544" t="str">
        <f>IF(NOT(ISBLANK([1]BDD!K251)), ROUND(SUM(([1]BDD!G251*reduc3),FDP_CMD_KG), 2), "")</f>
        <v/>
      </c>
      <c r="AE261" s="544" t="str">
        <f>IF(NOT(ISBLANK([1]BDD!I251)), ROUND(SUM(([1]BDD!G251*reduc1),FDP_FACT_KG), 2), "")</f>
        <v/>
      </c>
      <c r="AF261" s="544" t="str">
        <f>IF(NOT(ISBLANK([1]BDD!J251)), ROUND(SUM(([1]BDD!G251*reduc2),FDP_FACT_KG), 2), "")</f>
        <v/>
      </c>
      <c r="AG261" s="544" t="str">
        <f>IF(NOT(ISBLANK([1]BDD!K251)), ROUND(SUM(([1]BDD!G251*reduc3),FDP_FACT_KG), 2), "")</f>
        <v/>
      </c>
      <c r="AH261" s="599">
        <f>[1]BDD!C251</f>
        <v>0</v>
      </c>
      <c r="AI261" s="598">
        <f>SUM(AV261,AY261,BB261,BE261,BH261,BK261,BN261,BQ261,BT261,BW261,BZ261,CC261,CF261,CI261,CL261,CO261,CR261,CU261,CX261,DA261)</f>
        <v>0</v>
      </c>
      <c r="AJ261" s="545">
        <f>_xlfn.IFS($AD261&lt;&gt;"", $AD261,    $AC261&lt;&gt;"", $AC261,    $AB261&lt;&gt;"", $AB261,    TRUE, $Y261)</f>
        <v>0.87</v>
      </c>
      <c r="AK261" s="592">
        <f>$AI261*$AJ261</f>
        <v>0</v>
      </c>
      <c r="AL261" s="594"/>
      <c r="AM261" s="597"/>
      <c r="AN261" s="545">
        <f>_xlfn.IFS(AND(AM261&gt;=60,$AG261&lt;&gt;""), $AG261,    AND(AM261&gt;=30,$AF261&lt;&gt;""), $AF261,    AND(AM261&gt;=10,$AE261&lt;&gt;""), $AE261,    TRUE, $Z261)</f>
        <v>0.87</v>
      </c>
      <c r="AO261" s="596">
        <f>AM261*AN261</f>
        <v>0</v>
      </c>
      <c r="AP261" s="595"/>
      <c r="AQ261" s="595"/>
      <c r="AR261" s="594"/>
      <c r="AS261" s="593">
        <f>SUM(AW261,AZ261,BC261,BF261,BI261,BL261,BO261,BR261,BU261,BX261,CA261,CD261,CG261,CJ261,CM261,CP261,CS261,CV261,CY261,DB261)</f>
        <v>0</v>
      </c>
      <c r="AT261" s="545">
        <f>_xlfn.IFS(AND(AS261&gt;=60,$AG261&lt;&gt;""), $AG261,    AND(AS261&gt;=30,$AF261&lt;&gt;""), $AF261,    AND(AS261&gt;=10,$AE261&lt;&gt;""), $AE261,    TRUE, $Z261)</f>
        <v>0.87</v>
      </c>
      <c r="AU261" s="592">
        <f>$AS261*$AT261</f>
        <v>0</v>
      </c>
      <c r="AV261" s="591">
        <f>[1]COMMANDE!O259</f>
        <v>0</v>
      </c>
      <c r="AW261" s="586" t="str">
        <f>_xlfn.IFS(AND($AI261=$AM261,$AI261&gt;0,$AM261&gt;0,AV261&gt;0), AV261,     AND(NOT($AI261=$AM261),$AI261&gt;0,$AM261&gt;0,AV261&gt;0), ($AM261*AV261)/$AI261,     AND($AI261=0,$AM261&gt;0,$AQ261&gt;0), IF(INDEX(AV$12:AV$263,MATCH($AQ261,$AP$12:$AP$263,0))&gt;0,($AM261*INDEX(AV$12:AV$263,MATCH($AQ261,$AP$12:$AP$263,0)))/INDEX($AI$12:$AI$263,MATCH($AQ261,$AP$12:$AP$263,0)), "-"),     TRUE, "0")</f>
        <v>0</v>
      </c>
      <c r="AX261" s="588">
        <f>IF(AW$9&gt;0, IF(OR(AW261="",AW261="-"), 0, AW261*$AT261), AV261*$AJ261)</f>
        <v>0</v>
      </c>
      <c r="AY261" s="587">
        <f>[1]COMMANDE!Q259</f>
        <v>0</v>
      </c>
      <c r="AZ261" s="586" t="str">
        <f>_xlfn.IFS(AND($AI261=$AM261,$AI261&gt;0,$AM261&gt;0,AY261&gt;0), AY261,     AND(NOT($AI261=$AM261),$AI261&gt;0,$AM261&gt;0,AY261&gt;0), ($AM261*AY261)/$AI261,     AND($AI261=0,$AM261&gt;0,$AQ261&gt;0), IF(INDEX(AY$12:AY$263,MATCH($AQ261,$AP$12:$AP$263,0))&gt;0,($AM261*INDEX(AY$12:AY$263,MATCH($AQ261,$AP$12:$AP$263,0)))/INDEX($AI$12:$AI$263,MATCH($AQ261,$AP$12:$AP$263,0)), "-"),     TRUE, "0")</f>
        <v>0</v>
      </c>
      <c r="BA261" s="607">
        <f>IF(AZ$9&gt;0, IF(OR(AZ261="",AZ261="-"), 0, AZ261*$AT261), AY261*$AJ261)</f>
        <v>0</v>
      </c>
      <c r="BB261" s="589">
        <f>[1]COMMANDE!S259</f>
        <v>0</v>
      </c>
      <c r="BC261" s="586" t="str">
        <f>_xlfn.IFS(AND($AI261=$AM261,$AI261&gt;0,$AM261&gt;0,BB261&gt;0), BB261,     AND(NOT($AI261=$AM261),$AI261&gt;0,$AM261&gt;0,BB261&gt;0), ($AM261*BB261)/$AI261,     AND($AI261=0,$AM261&gt;0,$AQ261&gt;0), IF(INDEX(BB$12:BB$263,MATCH($AQ261,$AP$12:$AP$263,0))&gt;0,($AM261*INDEX(BB$12:BB$263,MATCH($AQ261,$AP$12:$AP$263,0)))/INDEX($AI$12:$AI$263,MATCH($AQ261,$AP$12:$AP$263,0)), "-"),     TRUE, "0")</f>
        <v>0</v>
      </c>
      <c r="BD261" s="588">
        <f>IF(BC$9&gt;0, IF(OR(BC261="",BC261="-"), 0, BC261*$AT261), BB261*$AJ261)</f>
        <v>0</v>
      </c>
      <c r="BE261" s="587">
        <f>[1]COMMANDE!U259</f>
        <v>0</v>
      </c>
      <c r="BF261" s="586" t="str">
        <f>_xlfn.IFS(AND($AI261=$AM261,$AI261&gt;0,$AM261&gt;0,BE261&gt;0), BE261,     AND(NOT($AI261=$AM261),$AI261&gt;0,$AM261&gt;0,BE261&gt;0), ($AM261*BE261)/$AI261,     AND($AI261=0,$AM261&gt;0,$AQ261&gt;0), IF(INDEX(BE$12:BE$263,MATCH($AQ261,$AP$12:$AP$263,0))&gt;0,($AM261*INDEX(BE$12:BE$263,MATCH($AQ261,$AP$12:$AP$263,0)))/INDEX($AI$12:$AI$263,MATCH($AQ261,$AP$12:$AP$263,0)), "-"),     TRUE, "0")</f>
        <v>0</v>
      </c>
      <c r="BG261" s="607">
        <f>IF(BF$9&gt;0, IF(OR(BF261="",BF261="-"), 0, BF261*$AT261), BE261*$AJ261)</f>
        <v>0</v>
      </c>
      <c r="BH261" s="589">
        <f>[1]COMMANDE!W259</f>
        <v>0</v>
      </c>
      <c r="BI261" s="586" t="str">
        <f>_xlfn.IFS(AND($AI261=$AM261,$AI261&gt;0,$AM261&gt;0,BH261&gt;0), BH261,     AND(NOT($AI261=$AM261),$AI261&gt;0,$AM261&gt;0,BH261&gt;0), ($AM261*BH261)/$AI261,     AND($AI261=0,$AM261&gt;0,$AQ261&gt;0), IF(INDEX(BH$12:BH$263,MATCH($AQ261,$AP$12:$AP$263,0))&gt;0,($AM261*INDEX(BH$12:BH$263,MATCH($AQ261,$AP$12:$AP$263,0)))/INDEX($AI$12:$AI$263,MATCH($AQ261,$AP$12:$AP$263,0)), "-"),     TRUE, "0")</f>
        <v>0</v>
      </c>
      <c r="BJ261" s="588">
        <f>IF(BI$9&gt;0, IF(OR(BI261="",BI261="-"), 0, BI261*$AT261), BH261*$AJ261)</f>
        <v>0</v>
      </c>
      <c r="BK261" s="587">
        <f>[1]COMMANDE!Y259</f>
        <v>0</v>
      </c>
      <c r="BL261" s="586" t="str">
        <f>_xlfn.IFS(AND($AI261=$AM261,$AI261&gt;0,$AM261&gt;0,BK261&gt;0), BK261,     AND(NOT($AI261=$AM261),$AI261&gt;0,$AM261&gt;0,BK261&gt;0), ($AM261*BK261)/$AI261,     AND($AI261=0,$AM261&gt;0,$AQ261&gt;0), IF(INDEX(BK$12:BK$263,MATCH($AQ261,$AP$12:$AP$263,0))&gt;0,($AM261*INDEX(BK$12:BK$263,MATCH($AQ261,$AP$12:$AP$263,0)))/INDEX($AI$12:$AI$263,MATCH($AQ261,$AP$12:$AP$263,0)), "-"),     TRUE, "0")</f>
        <v>0</v>
      </c>
      <c r="BM261" s="607">
        <f>IF(BL$9&gt;0, IF(OR(BL261="",BL261="-"), 0, BL261*$AT261), BK261*$AJ261)</f>
        <v>0</v>
      </c>
      <c r="BN261" s="589">
        <f>[1]COMMANDE!AA259</f>
        <v>0</v>
      </c>
      <c r="BO261" s="586" t="str">
        <f>_xlfn.IFS(AND($AI261=$AM261,$AI261&gt;0,$AM261&gt;0,BN261&gt;0), BN261,     AND(NOT($AI261=$AM261),$AI261&gt;0,$AM261&gt;0,BN261&gt;0), ($AM261*BN261)/$AI261,     AND($AI261=0,$AM261&gt;0,$AQ261&gt;0), IF(INDEX(BN$12:BN$263,MATCH($AQ261,$AP$12:$AP$263,0))&gt;0,($AM261*INDEX(BN$12:BN$263,MATCH($AQ261,$AP$12:$AP$263,0)))/INDEX($AI$12:$AI$263,MATCH($AQ261,$AP$12:$AP$263,0)), "-"),     TRUE, "0")</f>
        <v>0</v>
      </c>
      <c r="BP261" s="588">
        <f>IF(BO$9&gt;0, IF(OR(BO261="",BO261="-"), 0, BO261*$AT261), BN261*$AJ261)</f>
        <v>0</v>
      </c>
      <c r="BQ261" s="587">
        <f>[1]COMMANDE!AC259</f>
        <v>0</v>
      </c>
      <c r="BR261" s="586" t="str">
        <f>_xlfn.IFS(AND($AI261=$AM261,$AI261&gt;0,$AM261&gt;0,BQ261&gt;0), BQ261,     AND(NOT($AI261=$AM261),$AI261&gt;0,$AM261&gt;0,BQ261&gt;0), ($AM261*BQ261)/$AI261,     AND($AI261=0,$AM261&gt;0,$AQ261&gt;0), IF(INDEX(BQ$12:BQ$263,MATCH($AQ261,$AP$12:$AP$263,0))&gt;0,($AM261*INDEX(BQ$12:BQ$263,MATCH($AQ261,$AP$12:$AP$263,0)))/INDEX($AI$12:$AI$263,MATCH($AQ261,$AP$12:$AP$263,0)), "-"),     TRUE, "0")</f>
        <v>0</v>
      </c>
      <c r="BS261" s="607">
        <f>IF(BR$9&gt;0, IF(OR(BR261="",BR261="-"), 0, BR261*$AT261), BQ261*$AJ261)</f>
        <v>0</v>
      </c>
      <c r="BT261" s="589">
        <f>[1]COMMANDE!AE259</f>
        <v>0</v>
      </c>
      <c r="BU261" s="586" t="str">
        <f>_xlfn.IFS(AND($AI261=$AM261,$AI261&gt;0,$AM261&gt;0,BT261&gt;0), BT261,     AND(NOT($AI261=$AM261),$AI261&gt;0,$AM261&gt;0,BT261&gt;0), ($AM261*BT261)/$AI261,     AND($AI261=0,$AM261&gt;0,$AQ261&gt;0), IF(INDEX(BT$12:BT$263,MATCH($AQ261,$AP$12:$AP$263,0))&gt;0,($AM261*INDEX(BT$12:BT$263,MATCH($AQ261,$AP$12:$AP$263,0)))/INDEX($AI$12:$AI$263,MATCH($AQ261,$AP$12:$AP$263,0)), "-"),     TRUE, "0")</f>
        <v>0</v>
      </c>
      <c r="BV261" s="588">
        <f>IF(BU$9&gt;0, IF(OR(BU261="",BU261="-"), 0, BU261*$AT261), BT261*$AJ261)</f>
        <v>0</v>
      </c>
      <c r="BW261" s="587">
        <f>[1]COMMANDE!AG259</f>
        <v>0</v>
      </c>
      <c r="BX261" s="586" t="str">
        <f>_xlfn.IFS(AND($AI261=$AM261,$AI261&gt;0,$AM261&gt;0,BW261&gt;0), BW261,     AND(NOT($AI261=$AM261),$AI261&gt;0,$AM261&gt;0,BW261&gt;0), ($AM261*BW261)/$AI261,     AND($AI261=0,$AM261&gt;0,$AQ261&gt;0), IF(INDEX(BW$12:BW$263,MATCH($AQ261,$AP$12:$AP$263,0))&gt;0,($AM261*INDEX(BW$12:BW$263,MATCH($AQ261,$AP$12:$AP$263,0)))/INDEX($AI$12:$AI$263,MATCH($AQ261,$AP$12:$AP$263,0)), "-"),     TRUE, "0")</f>
        <v>0</v>
      </c>
      <c r="BY261" s="607">
        <f>IF(BX$9&gt;0, IF(OR(BX261="",BX261="-"), 0, BX261*$AT261), BW261*$AJ261)</f>
        <v>0</v>
      </c>
      <c r="BZ261" s="589">
        <f>[1]COMMANDE!AI259</f>
        <v>0</v>
      </c>
      <c r="CA261" s="586" t="str">
        <f>_xlfn.IFS(AND($AI261=$AM261,$AI261&gt;0,$AM261&gt;0,BZ261&gt;0), BZ261,     AND(NOT($AI261=$AM261),$AI261&gt;0,$AM261&gt;0,BZ261&gt;0), ($AM261*BZ261)/$AI261,     AND($AI261=0,$AM261&gt;0,$AQ261&gt;0), IF(INDEX(BZ$12:BZ$263,MATCH($AQ261,$AP$12:$AP$263,0))&gt;0,($AM261*INDEX(BZ$12:BZ$263,MATCH($AQ261,$AP$12:$AP$263,0)))/INDEX($AI$12:$AI$263,MATCH($AQ261,$AP$12:$AP$263,0)), "-"),     TRUE, "0")</f>
        <v>0</v>
      </c>
      <c r="CB261" s="588">
        <f>IF(CA$9&gt;0, IF(OR(CA261="",CA261="-"), 0, CA261*$AT261), BZ261*$AJ261)</f>
        <v>0</v>
      </c>
      <c r="CC261" s="587">
        <f>[1]COMMANDE!AK259</f>
        <v>0</v>
      </c>
      <c r="CD261" s="586" t="str">
        <f>_xlfn.IFS(AND($AI261=$AM261,$AI261&gt;0,$AM261&gt;0,CC261&gt;0), CC261,     AND(NOT($AI261=$AM261),$AI261&gt;0,$AM261&gt;0,CC261&gt;0), ($AM261*CC261)/$AI261,     AND($AI261=0,$AM261&gt;0,$AQ261&gt;0), IF(INDEX(CC$12:CC$263,MATCH($AQ261,$AP$12:$AP$263,0))&gt;0,($AM261*INDEX(CC$12:CC$263,MATCH($AQ261,$AP$12:$AP$263,0)))/INDEX($AI$12:$AI$263,MATCH($AQ261,$AP$12:$AP$263,0)), "-"),     TRUE, "0")</f>
        <v>0</v>
      </c>
      <c r="CE261" s="607">
        <f>IF(CD$9&gt;0, IF(OR(CD261="",CD261="-"), 0, CD261*$AT261), CC261*$AJ261)</f>
        <v>0</v>
      </c>
      <c r="CF261" s="589">
        <f>[1]COMMANDE!AM259</f>
        <v>0</v>
      </c>
      <c r="CG261" s="586" t="str">
        <f>_xlfn.IFS(AND($AI261=$AM261,$AI261&gt;0,$AM261&gt;0,CF261&gt;0), CF261,     AND(NOT($AI261=$AM261),$AI261&gt;0,$AM261&gt;0,CF261&gt;0), ($AM261*CF261)/$AI261,     AND($AI261=0,$AM261&gt;0,$AQ261&gt;0), IF(INDEX(CF$12:CF$263,MATCH($AQ261,$AP$12:$AP$263,0))&gt;0,($AM261*INDEX(CF$12:CF$263,MATCH($AQ261,$AP$12:$AP$263,0)))/INDEX($AI$12:$AI$263,MATCH($AQ261,$AP$12:$AP$263,0)), "-"),     TRUE, "0")</f>
        <v>0</v>
      </c>
      <c r="CH261" s="588">
        <f>IF(CG$9&gt;0, IF(OR(CG261="",CG261="-"), 0, CG261*$AT261), CF261*$AJ261)</f>
        <v>0</v>
      </c>
      <c r="CI261" s="587">
        <f>[1]COMMANDE!AO259</f>
        <v>0</v>
      </c>
      <c r="CJ261" s="586" t="str">
        <f>_xlfn.IFS(AND($AI261=$AM261,$AI261&gt;0,$AM261&gt;0,CI261&gt;0), CI261,     AND(NOT($AI261=$AM261),$AI261&gt;0,$AM261&gt;0,CI261&gt;0), ($AM261*CI261)/$AI261,     AND($AI261=0,$AM261&gt;0,$AQ261&gt;0), IF(INDEX(CI$12:CI$263,MATCH($AQ261,$AP$12:$AP$263,0))&gt;0,($AM261*INDEX(CI$12:CI$263,MATCH($AQ261,$AP$12:$AP$263,0)))/INDEX($AI$12:$AI$263,MATCH($AQ261,$AP$12:$AP$263,0)), "-"),     TRUE, "0")</f>
        <v>0</v>
      </c>
      <c r="CK261" s="607">
        <f>IF(CJ$9&gt;0, IF(OR(CJ261="",CJ261="-"), 0, CJ261*$AT261), CI261*$AJ261)</f>
        <v>0</v>
      </c>
      <c r="CL261" s="589">
        <f>[1]COMMANDE!AQ259</f>
        <v>0</v>
      </c>
      <c r="CM261" s="586" t="str">
        <f>_xlfn.IFS(AND($AI261=$AM261,$AI261&gt;0,$AM261&gt;0,CL261&gt;0), CL261,     AND(NOT($AI261=$AM261),$AI261&gt;0,$AM261&gt;0,CL261&gt;0), ($AM261*CL261)/$AI261,     AND($AI261=0,$AM261&gt;0,$AQ261&gt;0), IF(INDEX(CL$12:CL$263,MATCH($AQ261,$AP$12:$AP$263,0))&gt;0,($AM261*INDEX(CL$12:CL$263,MATCH($AQ261,$AP$12:$AP$263,0)))/INDEX($AI$12:$AI$263,MATCH($AQ261,$AP$12:$AP$263,0)), "-"),     TRUE, "0")</f>
        <v>0</v>
      </c>
      <c r="CN261" s="588">
        <f>IF(CM$9&gt;0, IF(OR(CM261="",CM261="-"), 0, CM261*$AT261), CL261*$AJ261)</f>
        <v>0</v>
      </c>
      <c r="CO261" s="587">
        <f>[1]COMMANDE!AS259</f>
        <v>0</v>
      </c>
      <c r="CP261" s="586" t="str">
        <f>_xlfn.IFS(AND($AI261=$AM261,$AI261&gt;0,$AM261&gt;0,CO261&gt;0), CO261,     AND(NOT($AI261=$AM261),$AI261&gt;0,$AM261&gt;0,CO261&gt;0), ($AM261*CO261)/$AI261,     AND($AI261=0,$AM261&gt;0,$AQ261&gt;0), IF(INDEX(CO$12:CO$263,MATCH($AQ261,$AP$12:$AP$263,0))&gt;0,($AM261*INDEX(CO$12:CO$263,MATCH($AQ261,$AP$12:$AP$263,0)))/INDEX($AI$12:$AI$263,MATCH($AQ261,$AP$12:$AP$263,0)), "-"),     TRUE, "0")</f>
        <v>0</v>
      </c>
      <c r="CQ261" s="607">
        <f>IF(CP$9&gt;0, IF(OR(CP261="",CP261="-"), 0, CP261*$AT261), CO261*$AJ261)</f>
        <v>0</v>
      </c>
      <c r="CR261" s="589">
        <f>[1]COMMANDE!AU259</f>
        <v>0</v>
      </c>
      <c r="CS261" s="586" t="str">
        <f>_xlfn.IFS(AND($AI261=$AM261,$AI261&gt;0,$AM261&gt;0,CR261&gt;0), CR261,     AND(NOT($AI261=$AM261),$AI261&gt;0,$AM261&gt;0,CR261&gt;0), ($AM261*CR261)/$AI261,     AND($AI261=0,$AM261&gt;0,$AQ261&gt;0), IF(INDEX(CR$12:CR$263,MATCH($AQ261,$AP$12:$AP$263,0))&gt;0,($AM261*INDEX(CR$12:CR$263,MATCH($AQ261,$AP$12:$AP$263,0)))/INDEX($AI$12:$AI$263,MATCH($AQ261,$AP$12:$AP$263,0)), "-"),     TRUE, "0")</f>
        <v>0</v>
      </c>
      <c r="CT261" s="588">
        <f>IF(CS$9&gt;0, IF(OR(CS261="",CS261="-"), 0, CS261*$AT261), CR261*$AJ261)</f>
        <v>0</v>
      </c>
      <c r="CU261" s="587">
        <f>[1]COMMANDE!AW259</f>
        <v>0</v>
      </c>
      <c r="CV261" s="586" t="str">
        <f>_xlfn.IFS(AND($AI261=$AM261,$AI261&gt;0,$AM261&gt;0,CU261&gt;0), CU261,     AND(NOT($AI261=$AM261),$AI261&gt;0,$AM261&gt;0,CU261&gt;0), ($AM261*CU261)/$AI261,     AND($AI261=0,$AM261&gt;0,$AQ261&gt;0), IF(INDEX(CU$12:CU$263,MATCH($AQ261,$AP$12:$AP$263,0))&gt;0,($AM261*INDEX(CU$12:CU$263,MATCH($AQ261,$AP$12:$AP$263,0)))/INDEX($AI$12:$AI$263,MATCH($AQ261,$AP$12:$AP$263,0)), "-"),     TRUE, "0")</f>
        <v>0</v>
      </c>
      <c r="CW261" s="607">
        <f>IF(CV$9&gt;0, IF(OR(CV261="",CV261="-"), 0, CV261*$AT261), CU261*$AJ261)</f>
        <v>0</v>
      </c>
      <c r="CX261" s="589">
        <f>[1]COMMANDE!AY259</f>
        <v>0</v>
      </c>
      <c r="CY261" s="586" t="str">
        <f>_xlfn.IFS(AND($AI261=$AM261,$AI261&gt;0,$AM261&gt;0,CX261&gt;0), CX261,     AND(NOT($AI261=$AM261),$AI261&gt;0,$AM261&gt;0,CX261&gt;0), ($AM261*CX261)/$AI261,     AND($AI261=0,$AM261&gt;0,$AQ261&gt;0), IF(INDEX(CX$12:CX$263,MATCH($AQ261,$AP$12:$AP$263,0))&gt;0,($AM261*INDEX(CX$12:CX$263,MATCH($AQ261,$AP$12:$AP$263,0)))/INDEX($AI$12:$AI$263,MATCH($AQ261,$AP$12:$AP$263,0)), "-"),     TRUE, "0")</f>
        <v>0</v>
      </c>
      <c r="CZ261" s="588">
        <f>IF(CY$9&gt;0, IF(OR(CY261="",CY261="-"), 0, CY261*$AT261), CX261*$AJ261)</f>
        <v>0</v>
      </c>
      <c r="DA261" s="587">
        <f>[1]COMMANDE!BA259</f>
        <v>0</v>
      </c>
      <c r="DB261" s="586" t="str">
        <f>_xlfn.IFS(AND($AI261=$AM261,$AI261&gt;0,$AM261&gt;0,DA261&gt;0), DA261,     AND(NOT($AI261=$AM261),$AI261&gt;0,$AM261&gt;0,DA261&gt;0), ($AM261*DA261)/$AI261,     AND($AI261=0,$AM261&gt;0,$AQ261&gt;0), IF(INDEX(DA$12:DA$263,MATCH($AQ261,$AP$12:$AP$263,0))&gt;0,($AM261*INDEX(DA$12:DA$263,MATCH($AQ261,$AP$12:$AP$263,0)))/INDEX($AI$12:$AI$263,MATCH($AQ261,$AP$12:$AP$263,0)), "-"),     TRUE, "0")</f>
        <v>0</v>
      </c>
      <c r="DC261" s="606">
        <f>IF(DB$9&gt;0, IF(OR(DB261="",DB261="-"), 0, DB261*$AT261), DA261*$AJ261)</f>
        <v>0</v>
      </c>
      <c r="DD261" s="584"/>
      <c r="DE261" s="583"/>
    </row>
    <row r="262" spans="1:109" ht="39.950000000000003" hidden="1" customHeight="1">
      <c r="A262" s="605">
        <f>IF(OR($AV262&gt;0, $AX262&gt;0), 1, 0)</f>
        <v>0</v>
      </c>
      <c r="B262" s="605">
        <f>IF(OR($AY262&gt;0, $BA262&gt;0), 1, 0)</f>
        <v>0</v>
      </c>
      <c r="C262" s="605">
        <f>IF(OR($BB262&gt;0, $BD262&gt;0), 1, 0)</f>
        <v>0</v>
      </c>
      <c r="D262" s="605">
        <f>IF(OR($BE262&gt;0, $BG262&gt;0), 1, 0)</f>
        <v>0</v>
      </c>
      <c r="E262" s="605">
        <f>IF(OR($BH262&gt;0, $BJ262&gt;0), 1, 0)</f>
        <v>0</v>
      </c>
      <c r="F262" s="605">
        <f>IF(OR($BK262&gt;0, $BM262&gt;0), 1, 0)</f>
        <v>0</v>
      </c>
      <c r="G262" s="605">
        <f>IF(OR($BN262&gt;0, $BP262&gt;0), 1, 0)</f>
        <v>0</v>
      </c>
      <c r="H262" s="605">
        <f>IF(OR($BQ262&gt;0, $BS262&gt;0), 1, 0)</f>
        <v>0</v>
      </c>
      <c r="I262" s="605">
        <f>IF(OR($BT262&gt;0, $BV262&gt;0), 1, 0)</f>
        <v>0</v>
      </c>
      <c r="J262" s="605">
        <f>IF(OR($BW262&gt;0, $BY262&gt;0), 1, 0)</f>
        <v>0</v>
      </c>
      <c r="K262" s="605">
        <f>IF(OR($BZ262&gt;0, $CB262&gt;0), 1, 0)</f>
        <v>0</v>
      </c>
      <c r="L262" s="605">
        <f>IF(OR($CC262&gt;0, $CE262&gt;0), 1, 0)</f>
        <v>0</v>
      </c>
      <c r="M262" s="605">
        <f>IF(OR($CF262&gt;0, $CH262&gt;0), 1, 0)</f>
        <v>0</v>
      </c>
      <c r="N262" s="605">
        <f>IF(OR($CI262&gt;0, $CK262&gt;0), 1, 0)</f>
        <v>0</v>
      </c>
      <c r="O262" s="605">
        <f>IF(OR($CL262&gt;0, $CN262&gt;0), 1, 0)</f>
        <v>0</v>
      </c>
      <c r="P262" s="604">
        <f>IF(OR($CO262&gt;0, $CQ262&gt;0), 1, 0)</f>
        <v>0</v>
      </c>
      <c r="Q262" s="604">
        <f>IF(OR($CR262&gt;0, $CT262&gt;0), 1, 0)</f>
        <v>0</v>
      </c>
      <c r="R262" s="604">
        <f>IF(OR($CU262&gt;0, $CW262&gt;0), 1, 0)</f>
        <v>0</v>
      </c>
      <c r="S262" s="604">
        <f>IF(OR($CX262&gt;0, $CZ262&gt;0), 1, 0)</f>
        <v>0</v>
      </c>
      <c r="T262" s="604">
        <f>IF(OR($DA262&gt;0, $DC262&gt;0), 1, 0)</f>
        <v>0</v>
      </c>
      <c r="U262" s="603">
        <f>IF(OR($AI262&gt;0,$AM262&gt;0,$AS262&gt;0), 1, 0)</f>
        <v>0</v>
      </c>
      <c r="V262" s="602">
        <f>[1]BDD!A252</f>
        <v>0</v>
      </c>
      <c r="W262" s="601">
        <f>[1]BDD!B252</f>
        <v>0</v>
      </c>
      <c r="X262" s="600" t="str">
        <f>IF([1]BDD!F252=0, "", [1]BDD!F252)</f>
        <v/>
      </c>
      <c r="Y262" s="542">
        <f>ROUND([1]BDD!G252+FDP_CMD_KG, 2)</f>
        <v>0.87</v>
      </c>
      <c r="Z262" s="542">
        <f>ROUND([1]BDD!G252+FDP_FACT_KG, 2)</f>
        <v>0.87</v>
      </c>
      <c r="AA262" s="543">
        <f>[1]BDD!H252</f>
        <v>0</v>
      </c>
      <c r="AB262" s="544" t="str">
        <f>IF(NOT(ISBLANK([1]BDD!I252)), ROUND(SUM(([1]BDD!G252*reduc1),FDP_CMD_KG), 2), "")</f>
        <v/>
      </c>
      <c r="AC262" s="544" t="str">
        <f>IF(NOT(ISBLANK([1]BDD!J252)), ROUND(SUM(([1]BDD!G252*reduc2),FDP_CMD_KG), 2), "")</f>
        <v/>
      </c>
      <c r="AD262" s="544" t="str">
        <f>IF(NOT(ISBLANK([1]BDD!K252)), ROUND(SUM(([1]BDD!G252*reduc3),FDP_CMD_KG), 2), "")</f>
        <v/>
      </c>
      <c r="AE262" s="544" t="str">
        <f>IF(NOT(ISBLANK([1]BDD!I252)), ROUND(SUM(([1]BDD!G252*reduc1),FDP_FACT_KG), 2), "")</f>
        <v/>
      </c>
      <c r="AF262" s="544" t="str">
        <f>IF(NOT(ISBLANK([1]BDD!J252)), ROUND(SUM(([1]BDD!G252*reduc2),FDP_FACT_KG), 2), "")</f>
        <v/>
      </c>
      <c r="AG262" s="544" t="str">
        <f>IF(NOT(ISBLANK([1]BDD!K252)), ROUND(SUM(([1]BDD!G252*reduc3),FDP_FACT_KG), 2), "")</f>
        <v/>
      </c>
      <c r="AH262" s="599">
        <f>[1]BDD!C252</f>
        <v>0</v>
      </c>
      <c r="AI262" s="598">
        <f>SUM(AV262,AY262,BB262,BE262,BH262,BK262,BN262,BQ262,BT262,BW262,BZ262,CC262,CF262,CI262,CL262,CO262,CR262,CU262,CX262,DA262)</f>
        <v>0</v>
      </c>
      <c r="AJ262" s="545">
        <f>_xlfn.IFS($AD262&lt;&gt;"", $AD262,    $AC262&lt;&gt;"", $AC262,    $AB262&lt;&gt;"", $AB262,    TRUE, $Y262)</f>
        <v>0.87</v>
      </c>
      <c r="AK262" s="592">
        <f>$AI262*$AJ262</f>
        <v>0</v>
      </c>
      <c r="AL262" s="594"/>
      <c r="AM262" s="597"/>
      <c r="AN262" s="545">
        <f>_xlfn.IFS(AND(AM262&gt;=60,$AG262&lt;&gt;""), $AG262,    AND(AM262&gt;=30,$AF262&lt;&gt;""), $AF262,    AND(AM262&gt;=10,$AE262&lt;&gt;""), $AE262,    TRUE, $Z262)</f>
        <v>0.87</v>
      </c>
      <c r="AO262" s="596">
        <f>AM262*AN262</f>
        <v>0</v>
      </c>
      <c r="AP262" s="595"/>
      <c r="AQ262" s="595"/>
      <c r="AR262" s="594"/>
      <c r="AS262" s="593">
        <f>SUM(AW262,AZ262,BC262,BF262,BI262,BL262,BO262,BR262,BU262,BX262,CA262,CD262,CG262,CJ262,CM262,CP262,CS262,CV262,CY262,DB262)</f>
        <v>0</v>
      </c>
      <c r="AT262" s="545">
        <f>_xlfn.IFS(AND(AS262&gt;=60,$AG262&lt;&gt;""), $AG262,    AND(AS262&gt;=30,$AF262&lt;&gt;""), $AF262,    AND(AS262&gt;=10,$AE262&lt;&gt;""), $AE262,    TRUE, $Z262)</f>
        <v>0.87</v>
      </c>
      <c r="AU262" s="592">
        <f>$AS262*$AT262</f>
        <v>0</v>
      </c>
      <c r="AV262" s="591">
        <f>[1]COMMANDE!O260</f>
        <v>0</v>
      </c>
      <c r="AW262" s="586" t="str">
        <f>_xlfn.IFS(AND($AI262=$AM262,$AI262&gt;0,$AM262&gt;0,AV262&gt;0), AV262,     AND(NOT($AI262=$AM262),$AI262&gt;0,$AM262&gt;0,AV262&gt;0), ($AM262*AV262)/$AI262,     AND($AI262=0,$AM262&gt;0,$AQ262&gt;0), IF(INDEX(AV$12:AV$263,MATCH($AQ262,$AP$12:$AP$263,0))&gt;0,($AM262*INDEX(AV$12:AV$263,MATCH($AQ262,$AP$12:$AP$263,0)))/INDEX($AI$12:$AI$263,MATCH($AQ262,$AP$12:$AP$263,0)), "-"),     TRUE, "0")</f>
        <v>0</v>
      </c>
      <c r="AX262" s="588">
        <f>IF(AW$9&gt;0, IF(OR(AW262="",AW262="-"), 0, AW262*$AT262), AV262*$AJ262)</f>
        <v>0</v>
      </c>
      <c r="AY262" s="587">
        <f>[1]COMMANDE!Q260</f>
        <v>0</v>
      </c>
      <c r="AZ262" s="586" t="str">
        <f>_xlfn.IFS(AND($AI262=$AM262,$AI262&gt;0,$AM262&gt;0,AY262&gt;0), AY262,     AND(NOT($AI262=$AM262),$AI262&gt;0,$AM262&gt;0,AY262&gt;0), ($AM262*AY262)/$AI262,     AND($AI262=0,$AM262&gt;0,$AQ262&gt;0), IF(INDEX(AY$12:AY$263,MATCH($AQ262,$AP$12:$AP$263,0))&gt;0,($AM262*INDEX(AY$12:AY$263,MATCH($AQ262,$AP$12:$AP$263,0)))/INDEX($AI$12:$AI$263,MATCH($AQ262,$AP$12:$AP$263,0)), "-"),     TRUE, "0")</f>
        <v>0</v>
      </c>
      <c r="BA262" s="590">
        <f>IF(AZ$9&gt;0, IF(OR(AZ262="",AZ262="-"), 0, AZ262*$AT262), AY262*$AJ262)</f>
        <v>0</v>
      </c>
      <c r="BB262" s="589">
        <f>[1]COMMANDE!S260</f>
        <v>0</v>
      </c>
      <c r="BC262" s="586" t="str">
        <f>_xlfn.IFS(AND($AI262=$AM262,$AI262&gt;0,$AM262&gt;0,BB262&gt;0), BB262,     AND(NOT($AI262=$AM262),$AI262&gt;0,$AM262&gt;0,BB262&gt;0), ($AM262*BB262)/$AI262,     AND($AI262=0,$AM262&gt;0,$AQ262&gt;0), IF(INDEX(BB$12:BB$263,MATCH($AQ262,$AP$12:$AP$263,0))&gt;0,($AM262*INDEX(BB$12:BB$263,MATCH($AQ262,$AP$12:$AP$263,0)))/INDEX($AI$12:$AI$263,MATCH($AQ262,$AP$12:$AP$263,0)), "-"),     TRUE, "0")</f>
        <v>0</v>
      </c>
      <c r="BD262" s="588">
        <f>IF(BC$9&gt;0, IF(OR(BC262="",BC262="-"), 0, BC262*$AT262), BB262*$AJ262)</f>
        <v>0</v>
      </c>
      <c r="BE262" s="587">
        <f>[1]COMMANDE!U260</f>
        <v>0</v>
      </c>
      <c r="BF262" s="586" t="str">
        <f>_xlfn.IFS(AND($AI262=$AM262,$AI262&gt;0,$AM262&gt;0,BE262&gt;0), BE262,     AND(NOT($AI262=$AM262),$AI262&gt;0,$AM262&gt;0,BE262&gt;0), ($AM262*BE262)/$AI262,     AND($AI262=0,$AM262&gt;0,$AQ262&gt;0), IF(INDEX(BE$12:BE$263,MATCH($AQ262,$AP$12:$AP$263,0))&gt;0,($AM262*INDEX(BE$12:BE$263,MATCH($AQ262,$AP$12:$AP$263,0)))/INDEX($AI$12:$AI$263,MATCH($AQ262,$AP$12:$AP$263,0)), "-"),     TRUE, "0")</f>
        <v>0</v>
      </c>
      <c r="BG262" s="590">
        <f>IF(BF$9&gt;0, IF(OR(BF262="",BF262="-"), 0, BF262*$AT262), BE262*$AJ262)</f>
        <v>0</v>
      </c>
      <c r="BH262" s="589">
        <f>[1]COMMANDE!W260</f>
        <v>0</v>
      </c>
      <c r="BI262" s="586" t="str">
        <f>_xlfn.IFS(AND($AI262=$AM262,$AI262&gt;0,$AM262&gt;0,BH262&gt;0), BH262,     AND(NOT($AI262=$AM262),$AI262&gt;0,$AM262&gt;0,BH262&gt;0), ($AM262*BH262)/$AI262,     AND($AI262=0,$AM262&gt;0,$AQ262&gt;0), IF(INDEX(BH$12:BH$263,MATCH($AQ262,$AP$12:$AP$263,0))&gt;0,($AM262*INDEX(BH$12:BH$263,MATCH($AQ262,$AP$12:$AP$263,0)))/INDEX($AI$12:$AI$263,MATCH($AQ262,$AP$12:$AP$263,0)), "-"),     TRUE, "0")</f>
        <v>0</v>
      </c>
      <c r="BJ262" s="588">
        <f>IF(BI$9&gt;0, IF(OR(BI262="",BI262="-"), 0, BI262*$AT262), BH262*$AJ262)</f>
        <v>0</v>
      </c>
      <c r="BK262" s="587">
        <f>[1]COMMANDE!Y260</f>
        <v>0</v>
      </c>
      <c r="BL262" s="586" t="str">
        <f>_xlfn.IFS(AND($AI262=$AM262,$AI262&gt;0,$AM262&gt;0,BK262&gt;0), BK262,     AND(NOT($AI262=$AM262),$AI262&gt;0,$AM262&gt;0,BK262&gt;0), ($AM262*BK262)/$AI262,     AND($AI262=0,$AM262&gt;0,$AQ262&gt;0), IF(INDEX(BK$12:BK$263,MATCH($AQ262,$AP$12:$AP$263,0))&gt;0,($AM262*INDEX(BK$12:BK$263,MATCH($AQ262,$AP$12:$AP$263,0)))/INDEX($AI$12:$AI$263,MATCH($AQ262,$AP$12:$AP$263,0)), "-"),     TRUE, "0")</f>
        <v>0</v>
      </c>
      <c r="BM262" s="590">
        <f>IF(BL$9&gt;0, IF(OR(BL262="",BL262="-"), 0, BL262*$AT262), BK262*$AJ262)</f>
        <v>0</v>
      </c>
      <c r="BN262" s="589">
        <f>[1]COMMANDE!AA260</f>
        <v>0</v>
      </c>
      <c r="BO262" s="586" t="str">
        <f>_xlfn.IFS(AND($AI262=$AM262,$AI262&gt;0,$AM262&gt;0,BN262&gt;0), BN262,     AND(NOT($AI262=$AM262),$AI262&gt;0,$AM262&gt;0,BN262&gt;0), ($AM262*BN262)/$AI262,     AND($AI262=0,$AM262&gt;0,$AQ262&gt;0), IF(INDEX(BN$12:BN$263,MATCH($AQ262,$AP$12:$AP$263,0))&gt;0,($AM262*INDEX(BN$12:BN$263,MATCH($AQ262,$AP$12:$AP$263,0)))/INDEX($AI$12:$AI$263,MATCH($AQ262,$AP$12:$AP$263,0)), "-"),     TRUE, "0")</f>
        <v>0</v>
      </c>
      <c r="BP262" s="588">
        <f>IF(BO$9&gt;0, IF(OR(BO262="",BO262="-"), 0, BO262*$AT262), BN262*$AJ262)</f>
        <v>0</v>
      </c>
      <c r="BQ262" s="587">
        <f>[1]COMMANDE!AC260</f>
        <v>0</v>
      </c>
      <c r="BR262" s="586" t="str">
        <f>_xlfn.IFS(AND($AI262=$AM262,$AI262&gt;0,$AM262&gt;0,BQ262&gt;0), BQ262,     AND(NOT($AI262=$AM262),$AI262&gt;0,$AM262&gt;0,BQ262&gt;0), ($AM262*BQ262)/$AI262,     AND($AI262=0,$AM262&gt;0,$AQ262&gt;0), IF(INDEX(BQ$12:BQ$263,MATCH($AQ262,$AP$12:$AP$263,0))&gt;0,($AM262*INDEX(BQ$12:BQ$263,MATCH($AQ262,$AP$12:$AP$263,0)))/INDEX($AI$12:$AI$263,MATCH($AQ262,$AP$12:$AP$263,0)), "-"),     TRUE, "0")</f>
        <v>0</v>
      </c>
      <c r="BS262" s="590">
        <f>IF(BR$9&gt;0, IF(OR(BR262="",BR262="-"), 0, BR262*$AT262), BQ262*$AJ262)</f>
        <v>0</v>
      </c>
      <c r="BT262" s="589">
        <f>[1]COMMANDE!AE260</f>
        <v>0</v>
      </c>
      <c r="BU262" s="586" t="str">
        <f>_xlfn.IFS(AND($AI262=$AM262,$AI262&gt;0,$AM262&gt;0,BT262&gt;0), BT262,     AND(NOT($AI262=$AM262),$AI262&gt;0,$AM262&gt;0,BT262&gt;0), ($AM262*BT262)/$AI262,     AND($AI262=0,$AM262&gt;0,$AQ262&gt;0), IF(INDEX(BT$12:BT$263,MATCH($AQ262,$AP$12:$AP$263,0))&gt;0,($AM262*INDEX(BT$12:BT$263,MATCH($AQ262,$AP$12:$AP$263,0)))/INDEX($AI$12:$AI$263,MATCH($AQ262,$AP$12:$AP$263,0)), "-"),     TRUE, "0")</f>
        <v>0</v>
      </c>
      <c r="BV262" s="588">
        <f>IF(BU$9&gt;0, IF(OR(BU262="",BU262="-"), 0, BU262*$AT262), BT262*$AJ262)</f>
        <v>0</v>
      </c>
      <c r="BW262" s="587">
        <f>[1]COMMANDE!AG260</f>
        <v>0</v>
      </c>
      <c r="BX262" s="586" t="str">
        <f>_xlfn.IFS(AND($AI262=$AM262,$AI262&gt;0,$AM262&gt;0,BW262&gt;0), BW262,     AND(NOT($AI262=$AM262),$AI262&gt;0,$AM262&gt;0,BW262&gt;0), ($AM262*BW262)/$AI262,     AND($AI262=0,$AM262&gt;0,$AQ262&gt;0), IF(INDEX(BW$12:BW$263,MATCH($AQ262,$AP$12:$AP$263,0))&gt;0,($AM262*INDEX(BW$12:BW$263,MATCH($AQ262,$AP$12:$AP$263,0)))/INDEX($AI$12:$AI$263,MATCH($AQ262,$AP$12:$AP$263,0)), "-"),     TRUE, "0")</f>
        <v>0</v>
      </c>
      <c r="BY262" s="590">
        <f>IF(BX$9&gt;0, IF(OR(BX262="",BX262="-"), 0, BX262*$AT262), BW262*$AJ262)</f>
        <v>0</v>
      </c>
      <c r="BZ262" s="589">
        <f>[1]COMMANDE!AI260</f>
        <v>0</v>
      </c>
      <c r="CA262" s="586" t="str">
        <f>_xlfn.IFS(AND($AI262=$AM262,$AI262&gt;0,$AM262&gt;0,BZ262&gt;0), BZ262,     AND(NOT($AI262=$AM262),$AI262&gt;0,$AM262&gt;0,BZ262&gt;0), ($AM262*BZ262)/$AI262,     AND($AI262=0,$AM262&gt;0,$AQ262&gt;0), IF(INDEX(BZ$12:BZ$263,MATCH($AQ262,$AP$12:$AP$263,0))&gt;0,($AM262*INDEX(BZ$12:BZ$263,MATCH($AQ262,$AP$12:$AP$263,0)))/INDEX($AI$12:$AI$263,MATCH($AQ262,$AP$12:$AP$263,0)), "-"),     TRUE, "0")</f>
        <v>0</v>
      </c>
      <c r="CB262" s="588">
        <f>IF(CA$9&gt;0, IF(OR(CA262="",CA262="-"), 0, CA262*$AT262), BZ262*$AJ262)</f>
        <v>0</v>
      </c>
      <c r="CC262" s="587">
        <f>[1]COMMANDE!AK260</f>
        <v>0</v>
      </c>
      <c r="CD262" s="586" t="str">
        <f>_xlfn.IFS(AND($AI262=$AM262,$AI262&gt;0,$AM262&gt;0,CC262&gt;0), CC262,     AND(NOT($AI262=$AM262),$AI262&gt;0,$AM262&gt;0,CC262&gt;0), ($AM262*CC262)/$AI262,     AND($AI262=0,$AM262&gt;0,$AQ262&gt;0), IF(INDEX(CC$12:CC$263,MATCH($AQ262,$AP$12:$AP$263,0))&gt;0,($AM262*INDEX(CC$12:CC$263,MATCH($AQ262,$AP$12:$AP$263,0)))/INDEX($AI$12:$AI$263,MATCH($AQ262,$AP$12:$AP$263,0)), "-"),     TRUE, "0")</f>
        <v>0</v>
      </c>
      <c r="CE262" s="590">
        <f>IF(CD$9&gt;0, IF(OR(CD262="",CD262="-"), 0, CD262*$AT262), CC262*$AJ262)</f>
        <v>0</v>
      </c>
      <c r="CF262" s="589">
        <f>[1]COMMANDE!AM260</f>
        <v>0</v>
      </c>
      <c r="CG262" s="586" t="str">
        <f>_xlfn.IFS(AND($AI262=$AM262,$AI262&gt;0,$AM262&gt;0,CF262&gt;0), CF262,     AND(NOT($AI262=$AM262),$AI262&gt;0,$AM262&gt;0,CF262&gt;0), ($AM262*CF262)/$AI262,     AND($AI262=0,$AM262&gt;0,$AQ262&gt;0), IF(INDEX(CF$12:CF$263,MATCH($AQ262,$AP$12:$AP$263,0))&gt;0,($AM262*INDEX(CF$12:CF$263,MATCH($AQ262,$AP$12:$AP$263,0)))/INDEX($AI$12:$AI$263,MATCH($AQ262,$AP$12:$AP$263,0)), "-"),     TRUE, "0")</f>
        <v>0</v>
      </c>
      <c r="CH262" s="588">
        <f>IF(CG$9&gt;0, IF(OR(CG262="",CG262="-"), 0, CG262*$AT262), CF262*$AJ262)</f>
        <v>0</v>
      </c>
      <c r="CI262" s="587">
        <f>[1]COMMANDE!AO260</f>
        <v>0</v>
      </c>
      <c r="CJ262" s="586" t="str">
        <f>_xlfn.IFS(AND($AI262=$AM262,$AI262&gt;0,$AM262&gt;0,CI262&gt;0), CI262,     AND(NOT($AI262=$AM262),$AI262&gt;0,$AM262&gt;0,CI262&gt;0), ($AM262*CI262)/$AI262,     AND($AI262=0,$AM262&gt;0,$AQ262&gt;0), IF(INDEX(CI$12:CI$263,MATCH($AQ262,$AP$12:$AP$263,0))&gt;0,($AM262*INDEX(CI$12:CI$263,MATCH($AQ262,$AP$12:$AP$263,0)))/INDEX($AI$12:$AI$263,MATCH($AQ262,$AP$12:$AP$263,0)), "-"),     TRUE, "0")</f>
        <v>0</v>
      </c>
      <c r="CK262" s="590">
        <f>IF(CJ$9&gt;0, IF(OR(CJ262="",CJ262="-"), 0, CJ262*$AT262), CI262*$AJ262)</f>
        <v>0</v>
      </c>
      <c r="CL262" s="589">
        <f>[1]COMMANDE!AQ260</f>
        <v>0</v>
      </c>
      <c r="CM262" s="586" t="str">
        <f>_xlfn.IFS(AND($AI262=$AM262,$AI262&gt;0,$AM262&gt;0,CL262&gt;0), CL262,     AND(NOT($AI262=$AM262),$AI262&gt;0,$AM262&gt;0,CL262&gt;0), ($AM262*CL262)/$AI262,     AND($AI262=0,$AM262&gt;0,$AQ262&gt;0), IF(INDEX(CL$12:CL$263,MATCH($AQ262,$AP$12:$AP$263,0))&gt;0,($AM262*INDEX(CL$12:CL$263,MATCH($AQ262,$AP$12:$AP$263,0)))/INDEX($AI$12:$AI$263,MATCH($AQ262,$AP$12:$AP$263,0)), "-"),     TRUE, "0")</f>
        <v>0</v>
      </c>
      <c r="CN262" s="588">
        <f>IF(CM$9&gt;0, IF(OR(CM262="",CM262="-"), 0, CM262*$AT262), CL262*$AJ262)</f>
        <v>0</v>
      </c>
      <c r="CO262" s="587">
        <f>[1]COMMANDE!AS260</f>
        <v>0</v>
      </c>
      <c r="CP262" s="586" t="str">
        <f>_xlfn.IFS(AND($AI262=$AM262,$AI262&gt;0,$AM262&gt;0,CO262&gt;0), CO262,     AND(NOT($AI262=$AM262),$AI262&gt;0,$AM262&gt;0,CO262&gt;0), ($AM262*CO262)/$AI262,     AND($AI262=0,$AM262&gt;0,$AQ262&gt;0), IF(INDEX(CO$12:CO$263,MATCH($AQ262,$AP$12:$AP$263,0))&gt;0,($AM262*INDEX(CO$12:CO$263,MATCH($AQ262,$AP$12:$AP$263,0)))/INDEX($AI$12:$AI$263,MATCH($AQ262,$AP$12:$AP$263,0)), "-"),     TRUE, "0")</f>
        <v>0</v>
      </c>
      <c r="CQ262" s="590">
        <f>IF(CP$9&gt;0, IF(OR(CP262="",CP262="-"), 0, CP262*$AT262), CO262*$AJ262)</f>
        <v>0</v>
      </c>
      <c r="CR262" s="589">
        <f>[1]COMMANDE!AU260</f>
        <v>0</v>
      </c>
      <c r="CS262" s="586" t="str">
        <f>_xlfn.IFS(AND($AI262=$AM262,$AI262&gt;0,$AM262&gt;0,CR262&gt;0), CR262,     AND(NOT($AI262=$AM262),$AI262&gt;0,$AM262&gt;0,CR262&gt;0), ($AM262*CR262)/$AI262,     AND($AI262=0,$AM262&gt;0,$AQ262&gt;0), IF(INDEX(CR$12:CR$263,MATCH($AQ262,$AP$12:$AP$263,0))&gt;0,($AM262*INDEX(CR$12:CR$263,MATCH($AQ262,$AP$12:$AP$263,0)))/INDEX($AI$12:$AI$263,MATCH($AQ262,$AP$12:$AP$263,0)), "-"),     TRUE, "0")</f>
        <v>0</v>
      </c>
      <c r="CT262" s="588">
        <f>IF(CS$9&gt;0, IF(OR(CS262="",CS262="-"), 0, CS262*$AT262), CR262*$AJ262)</f>
        <v>0</v>
      </c>
      <c r="CU262" s="587">
        <f>[1]COMMANDE!AW260</f>
        <v>0</v>
      </c>
      <c r="CV262" s="586" t="str">
        <f>_xlfn.IFS(AND($AI262=$AM262,$AI262&gt;0,$AM262&gt;0,CU262&gt;0), CU262,     AND(NOT($AI262=$AM262),$AI262&gt;0,$AM262&gt;0,CU262&gt;0), ($AM262*CU262)/$AI262,     AND($AI262=0,$AM262&gt;0,$AQ262&gt;0), IF(INDEX(CU$12:CU$263,MATCH($AQ262,$AP$12:$AP$263,0))&gt;0,($AM262*INDEX(CU$12:CU$263,MATCH($AQ262,$AP$12:$AP$263,0)))/INDEX($AI$12:$AI$263,MATCH($AQ262,$AP$12:$AP$263,0)), "-"),     TRUE, "0")</f>
        <v>0</v>
      </c>
      <c r="CW262" s="590">
        <f>IF(CV$9&gt;0, IF(OR(CV262="",CV262="-"), 0, CV262*$AT262), CU262*$AJ262)</f>
        <v>0</v>
      </c>
      <c r="CX262" s="589">
        <f>[1]COMMANDE!AY260</f>
        <v>0</v>
      </c>
      <c r="CY262" s="586" t="str">
        <f>_xlfn.IFS(AND($AI262=$AM262,$AI262&gt;0,$AM262&gt;0,CX262&gt;0), CX262,     AND(NOT($AI262=$AM262),$AI262&gt;0,$AM262&gt;0,CX262&gt;0), ($AM262*CX262)/$AI262,     AND($AI262=0,$AM262&gt;0,$AQ262&gt;0), IF(INDEX(CX$12:CX$263,MATCH($AQ262,$AP$12:$AP$263,0))&gt;0,($AM262*INDEX(CX$12:CX$263,MATCH($AQ262,$AP$12:$AP$263,0)))/INDEX($AI$12:$AI$263,MATCH($AQ262,$AP$12:$AP$263,0)), "-"),     TRUE, "0")</f>
        <v>0</v>
      </c>
      <c r="CZ262" s="588">
        <f>IF(CY$9&gt;0, IF(OR(CY262="",CY262="-"), 0, CY262*$AT262), CX262*$AJ262)</f>
        <v>0</v>
      </c>
      <c r="DA262" s="587">
        <f>[1]COMMANDE!BA260</f>
        <v>0</v>
      </c>
      <c r="DB262" s="586" t="str">
        <f>_xlfn.IFS(AND($AI262=$AM262,$AI262&gt;0,$AM262&gt;0,DA262&gt;0), DA262,     AND(NOT($AI262=$AM262),$AI262&gt;0,$AM262&gt;0,DA262&gt;0), ($AM262*DA262)/$AI262,     AND($AI262=0,$AM262&gt;0,$AQ262&gt;0), IF(INDEX(DA$12:DA$263,MATCH($AQ262,$AP$12:$AP$263,0))&gt;0,($AM262*INDEX(DA$12:DA$263,MATCH($AQ262,$AP$12:$AP$263,0)))/INDEX($AI$12:$AI$263,MATCH($AQ262,$AP$12:$AP$263,0)), "-"),     TRUE, "0")</f>
        <v>0</v>
      </c>
      <c r="DC262" s="585">
        <f>IF(DB$9&gt;0, IF(OR(DB262="",DB262="-"), 0, DB262*$AT262), DA262*$AJ262)</f>
        <v>0</v>
      </c>
      <c r="DD262" s="584"/>
      <c r="DE262" s="583"/>
    </row>
    <row r="263" spans="1:109" ht="20.25" customHeight="1">
      <c r="A263" s="557"/>
      <c r="B263" s="557"/>
      <c r="C263" s="557"/>
      <c r="D263" s="557"/>
      <c r="E263" s="557"/>
      <c r="F263" s="557"/>
      <c r="G263" s="557"/>
      <c r="H263" s="557"/>
      <c r="I263" s="557"/>
      <c r="J263" s="557"/>
      <c r="K263" s="557"/>
      <c r="L263" s="557"/>
      <c r="M263" s="557"/>
      <c r="N263" s="557"/>
      <c r="O263" s="582"/>
      <c r="P263" s="557"/>
      <c r="Q263" s="557"/>
      <c r="R263" s="557"/>
      <c r="S263" s="557"/>
      <c r="T263" s="582"/>
      <c r="U263" s="575"/>
      <c r="V263" s="581"/>
      <c r="W263" s="580"/>
      <c r="X263" s="579"/>
      <c r="Y263" s="546"/>
      <c r="Z263" s="546"/>
      <c r="AA263" s="547"/>
      <c r="AB263" s="548"/>
      <c r="AC263" s="548"/>
      <c r="AD263" s="548"/>
      <c r="AE263" s="548"/>
      <c r="AF263" s="548"/>
      <c r="AG263" s="548"/>
      <c r="AH263" s="578"/>
      <c r="AI263" s="573"/>
      <c r="AJ263" s="549"/>
      <c r="AK263" s="572"/>
      <c r="AL263" s="577"/>
      <c r="AM263" s="573"/>
      <c r="AN263" s="549"/>
      <c r="AO263" s="576"/>
      <c r="AP263" s="575"/>
      <c r="AQ263" s="575"/>
      <c r="AR263" s="574"/>
      <c r="AS263" s="573"/>
      <c r="AT263" s="549"/>
      <c r="AU263" s="572"/>
      <c r="AV263" s="569"/>
      <c r="AW263" s="571"/>
      <c r="AX263" s="570"/>
      <c r="AY263" s="569"/>
      <c r="AZ263" s="571"/>
      <c r="BA263" s="570"/>
      <c r="BB263" s="569"/>
      <c r="BC263" s="571"/>
      <c r="BD263" s="570"/>
      <c r="BE263" s="569"/>
      <c r="BF263" s="567"/>
      <c r="BG263" s="566"/>
      <c r="BH263" s="568"/>
      <c r="BI263" s="567"/>
      <c r="BJ263" s="566"/>
      <c r="BK263" s="568"/>
      <c r="BL263" s="567"/>
      <c r="BM263" s="566"/>
      <c r="BN263" s="568"/>
      <c r="BO263" s="567"/>
      <c r="BP263" s="566"/>
      <c r="BQ263" s="568"/>
      <c r="BR263" s="567"/>
      <c r="BS263" s="566"/>
      <c r="BT263" s="568"/>
      <c r="BU263" s="567"/>
      <c r="BV263" s="566"/>
      <c r="BW263" s="568"/>
      <c r="BX263" s="567"/>
      <c r="BY263" s="566"/>
      <c r="BZ263" s="568"/>
      <c r="CA263" s="567"/>
      <c r="CB263" s="566"/>
      <c r="CC263" s="568"/>
      <c r="CD263" s="567"/>
      <c r="CE263" s="566"/>
      <c r="CF263" s="568"/>
      <c r="CG263" s="567"/>
      <c r="CH263" s="566"/>
      <c r="CI263" s="568"/>
      <c r="CJ263" s="567"/>
      <c r="CK263" s="566"/>
      <c r="CL263" s="568"/>
      <c r="CM263" s="567"/>
      <c r="CN263" s="566"/>
      <c r="CO263" s="568"/>
      <c r="CP263" s="567"/>
      <c r="CQ263" s="566"/>
      <c r="CR263" s="568"/>
      <c r="CS263" s="567"/>
      <c r="CT263" s="566"/>
      <c r="CU263" s="568"/>
      <c r="CV263" s="567"/>
      <c r="CW263" s="566"/>
      <c r="CX263" s="568"/>
      <c r="CY263" s="567"/>
      <c r="CZ263" s="566"/>
      <c r="DA263" s="568"/>
      <c r="DB263" s="567"/>
      <c r="DC263" s="566"/>
      <c r="DD263" s="565"/>
      <c r="DE263" s="564"/>
    </row>
    <row r="264" spans="1:109" hidden="1">
      <c r="U264" s="557"/>
      <c r="V264" s="563"/>
      <c r="W264" s="562"/>
      <c r="X264" s="561"/>
      <c r="Y264" s="560"/>
      <c r="Z264" s="560"/>
      <c r="AA264" s="560"/>
      <c r="AB264" s="560"/>
      <c r="AC264" s="560"/>
      <c r="AD264" s="560"/>
      <c r="AE264" s="560"/>
      <c r="AF264" s="560"/>
      <c r="AG264" s="560"/>
      <c r="AH264" s="557"/>
      <c r="AI264" s="558"/>
      <c r="AJ264" s="559"/>
      <c r="AK264" s="558"/>
      <c r="AM264" s="558"/>
      <c r="AN264" s="558"/>
      <c r="AO264" s="558"/>
      <c r="AP264" s="558"/>
      <c r="AQ264" s="558"/>
      <c r="AR264" s="558"/>
      <c r="AS264" s="558"/>
      <c r="AT264" s="558"/>
      <c r="AU264" s="558"/>
      <c r="AV264" s="557"/>
      <c r="AW264" s="557"/>
      <c r="AX264" s="557"/>
      <c r="AY264" s="557"/>
      <c r="AZ264" s="557"/>
      <c r="BA264" s="557"/>
      <c r="BB264" s="557"/>
      <c r="BC264" s="557"/>
      <c r="BD264" s="557"/>
      <c r="BE264" s="557"/>
      <c r="BF264" s="557"/>
      <c r="BG264" s="557"/>
      <c r="BH264" s="557"/>
      <c r="BI264" s="557"/>
      <c r="BJ264" s="557"/>
      <c r="BK264" s="557"/>
      <c r="BL264" s="557"/>
      <c r="BM264" s="557"/>
      <c r="BN264" s="557"/>
      <c r="BO264" s="557"/>
      <c r="BP264" s="557"/>
      <c r="BQ264" s="557"/>
      <c r="BR264" s="557"/>
      <c r="BS264" s="557"/>
      <c r="BT264" s="557"/>
      <c r="BU264" s="557"/>
      <c r="BV264" s="557"/>
      <c r="BW264" s="557"/>
      <c r="BX264" s="557"/>
      <c r="BY264" s="557"/>
      <c r="BZ264" s="557"/>
      <c r="CA264" s="557"/>
      <c r="CB264" s="557"/>
      <c r="CC264" s="557"/>
      <c r="CD264" s="557"/>
      <c r="CE264" s="557"/>
      <c r="CF264" s="557"/>
      <c r="CG264" s="557"/>
      <c r="CH264" s="557"/>
      <c r="CI264" s="557"/>
      <c r="CJ264" s="557"/>
      <c r="CK264" s="557"/>
      <c r="CL264" s="557"/>
      <c r="CM264" s="557"/>
      <c r="CN264" s="557"/>
      <c r="CO264" s="557"/>
      <c r="CP264" s="557"/>
      <c r="CQ264" s="557"/>
      <c r="CR264" s="557"/>
      <c r="CS264" s="557"/>
      <c r="CT264" s="557"/>
      <c r="CU264" s="557"/>
      <c r="CV264" s="557"/>
      <c r="CW264" s="557"/>
      <c r="CX264" s="557"/>
      <c r="CY264" s="557"/>
      <c r="CZ264" s="557"/>
      <c r="DA264" s="557"/>
      <c r="DB264" s="557"/>
      <c r="DC264" s="557"/>
      <c r="DD264" s="557"/>
      <c r="DE264" s="557"/>
    </row>
  </sheetData>
  <sheetProtection formatColumns="0" autoFilter="0"/>
  <autoFilter ref="U11:AK262" xr:uid="{5927C823-FB4A-4C44-8526-206B3337828B}">
    <filterColumn colId="0">
      <filters>
        <filter val="1"/>
      </filters>
    </filterColumn>
  </autoFilter>
  <mergeCells count="93">
    <mergeCell ref="CR5:CT6"/>
    <mergeCell ref="BB11:BD11"/>
    <mergeCell ref="BE11:BG11"/>
    <mergeCell ref="BH11:BJ11"/>
    <mergeCell ref="BK11:BM11"/>
    <mergeCell ref="BN11:BP11"/>
    <mergeCell ref="CU5:CW6"/>
    <mergeCell ref="AY10:BA10"/>
    <mergeCell ref="AY11:BA11"/>
    <mergeCell ref="AV7:AW7"/>
    <mergeCell ref="AV11:AX11"/>
    <mergeCell ref="AV10:AX10"/>
    <mergeCell ref="CF5:CH6"/>
    <mergeCell ref="CI5:CK6"/>
    <mergeCell ref="CL5:CN6"/>
    <mergeCell ref="CO5:CQ6"/>
    <mergeCell ref="BW5:BY6"/>
    <mergeCell ref="BZ5:CB6"/>
    <mergeCell ref="CC5:CE6"/>
    <mergeCell ref="AV3:AX4"/>
    <mergeCell ref="AV5:AX6"/>
    <mergeCell ref="AY5:BA6"/>
    <mergeCell ref="AV1:AY1"/>
    <mergeCell ref="AI1:AK1"/>
    <mergeCell ref="BA1:CN1"/>
    <mergeCell ref="BB5:BD6"/>
    <mergeCell ref="BE5:BG6"/>
    <mergeCell ref="BH5:BJ6"/>
    <mergeCell ref="BK5:BM6"/>
    <mergeCell ref="BN5:BP6"/>
    <mergeCell ref="BQ5:BS6"/>
    <mergeCell ref="BT5:BV6"/>
    <mergeCell ref="AP7:AP11"/>
    <mergeCell ref="AQ7:AQ11"/>
    <mergeCell ref="AT8:AU8"/>
    <mergeCell ref="AT9:AU9"/>
    <mergeCell ref="X3:AH3"/>
    <mergeCell ref="X4:AH4"/>
    <mergeCell ref="AI7:AJ7"/>
    <mergeCell ref="X6:AH6"/>
    <mergeCell ref="X7:Y7"/>
    <mergeCell ref="AD7:AH7"/>
    <mergeCell ref="X2:AH2"/>
    <mergeCell ref="AI2:AK3"/>
    <mergeCell ref="AI4:AK6"/>
    <mergeCell ref="U2:V7"/>
    <mergeCell ref="Z7:AC7"/>
    <mergeCell ref="AM7:AN7"/>
    <mergeCell ref="X5:AH5"/>
    <mergeCell ref="U8:V10"/>
    <mergeCell ref="AI10:AK10"/>
    <mergeCell ref="AM10:AO10"/>
    <mergeCell ref="AS10:AU10"/>
    <mergeCell ref="X10:AH10"/>
    <mergeCell ref="X8:AH8"/>
    <mergeCell ref="X9:AH9"/>
    <mergeCell ref="AL1:AL262"/>
    <mergeCell ref="AR1:AR262"/>
    <mergeCell ref="U1:AH1"/>
    <mergeCell ref="BZ10:CB10"/>
    <mergeCell ref="CC10:CE10"/>
    <mergeCell ref="CF10:CH10"/>
    <mergeCell ref="CI10:CK10"/>
    <mergeCell ref="CL10:CN10"/>
    <mergeCell ref="CO10:CQ10"/>
    <mergeCell ref="CX5:CZ6"/>
    <mergeCell ref="DA5:DC6"/>
    <mergeCell ref="BB10:BD10"/>
    <mergeCell ref="BE10:BG10"/>
    <mergeCell ref="BH10:BJ10"/>
    <mergeCell ref="BK10:BM10"/>
    <mergeCell ref="BN10:BP10"/>
    <mergeCell ref="BQ10:BS10"/>
    <mergeCell ref="BT10:BV10"/>
    <mergeCell ref="BW10:BY10"/>
    <mergeCell ref="CU11:CW11"/>
    <mergeCell ref="CX11:CZ11"/>
    <mergeCell ref="DA11:DC11"/>
    <mergeCell ref="BQ11:BS11"/>
    <mergeCell ref="BT11:BV11"/>
    <mergeCell ref="BW11:BY11"/>
    <mergeCell ref="BZ11:CB11"/>
    <mergeCell ref="CC11:CE11"/>
    <mergeCell ref="DE10:DG10"/>
    <mergeCell ref="CF11:CH11"/>
    <mergeCell ref="CI11:CK11"/>
    <mergeCell ref="CL11:CN11"/>
    <mergeCell ref="CO11:CQ11"/>
    <mergeCell ref="CR11:CT11"/>
    <mergeCell ref="CR10:CT10"/>
    <mergeCell ref="CU10:CW10"/>
    <mergeCell ref="CX10:CZ10"/>
    <mergeCell ref="DA10:DC10"/>
  </mergeCells>
  <conditionalFormatting sqref="AP142:AQ142">
    <cfRule type="colorScale" priority="22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74:AQ174">
    <cfRule type="colorScale" priority="22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25:AQ125">
    <cfRule type="colorScale" priority="22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53:AQ153">
    <cfRule type="colorScale" priority="22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59:AQ159">
    <cfRule type="colorScale" priority="22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68:AQ168">
    <cfRule type="colorScale" priority="22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26:AQ126">
    <cfRule type="colorScale" priority="22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23:AQ123">
    <cfRule type="colorScale" priority="22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60:AQ160">
    <cfRule type="colorScale" priority="22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65:AQ165">
    <cfRule type="colorScale" priority="22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32:AQ132">
    <cfRule type="colorScale" priority="21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52:AQ152">
    <cfRule type="colorScale" priority="21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38:AQ138">
    <cfRule type="colorScale" priority="21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17:AQ117">
    <cfRule type="colorScale" priority="21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15:AQ115">
    <cfRule type="colorScale" priority="21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14:AQ114">
    <cfRule type="colorScale" priority="21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12:AQ112">
    <cfRule type="colorScale" priority="21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91:AQ91">
    <cfRule type="colorScale" priority="21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10:AQ110">
    <cfRule type="colorScale" priority="21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75:AQ175">
    <cfRule type="colorScale" priority="20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9:AQ109">
    <cfRule type="colorScale" priority="20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99:AQ99">
    <cfRule type="colorScale" priority="20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94:AQ94">
    <cfRule type="colorScale" priority="20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I9">
    <cfRule type="cellIs" dxfId="91" priority="213" operator="greaterThan">
      <formula>600</formula>
    </cfRule>
  </conditionalFormatting>
  <conditionalFormatting sqref="AP93:AQ93">
    <cfRule type="colorScale" priority="20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98:AQ98">
    <cfRule type="colorScale" priority="20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96:AQ96">
    <cfRule type="colorScale" priority="20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95:AQ95">
    <cfRule type="colorScale" priority="20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31:AQ131">
    <cfRule type="colorScale" priority="20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DE160">
    <cfRule type="cellIs" dxfId="90" priority="200" operator="greaterThan">
      <formula>0</formula>
    </cfRule>
  </conditionalFormatting>
  <conditionalFormatting sqref="AP92:AQ92">
    <cfRule type="colorScale" priority="19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90:AQ90">
    <cfRule type="colorScale" priority="19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9:AQ89">
    <cfRule type="colorScale" priority="19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8:AQ88">
    <cfRule type="colorScale" priority="19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6:AQ76">
    <cfRule type="colorScale" priority="19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2:AQ12">
    <cfRule type="colorScale" priority="19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O12:AO263">
    <cfRule type="expression" dxfId="89" priority="193">
      <formula>NOT(EXACT($AU12,$AO12))</formula>
    </cfRule>
  </conditionalFormatting>
  <conditionalFormatting sqref="U12:U263">
    <cfRule type="cellIs" dxfId="88" priority="192" operator="greaterThan">
      <formula>0</formula>
    </cfRule>
  </conditionalFormatting>
  <conditionalFormatting sqref="AP133:AQ133">
    <cfRule type="colorScale" priority="19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0:AQ70">
    <cfRule type="colorScale" priority="19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2:AQ72">
    <cfRule type="colorScale" priority="18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3:AQ73">
    <cfRule type="colorScale" priority="18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4:AQ74">
    <cfRule type="colorScale" priority="18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5:AQ75">
    <cfRule type="colorScale" priority="18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7:AQ87">
    <cfRule type="colorScale" priority="18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6:AQ86">
    <cfRule type="colorScale" priority="18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7:AQ77">
    <cfRule type="colorScale" priority="18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8:AQ78">
    <cfRule type="colorScale" priority="18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9:AQ79">
    <cfRule type="colorScale" priority="18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5:AQ85">
    <cfRule type="colorScale" priority="18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1:AQ31">
    <cfRule type="colorScale" priority="17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9:AQ69">
    <cfRule type="colorScale" priority="17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5:AQ65">
    <cfRule type="colorScale" priority="17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6:AQ66">
    <cfRule type="colorScale" priority="17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8:AQ68">
    <cfRule type="colorScale" priority="17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7:AQ47">
    <cfRule type="colorScale" priority="17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8:AQ48">
    <cfRule type="colorScale" priority="17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9:AQ49">
    <cfRule type="colorScale" priority="17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0:AQ50">
    <cfRule type="colorScale" priority="17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2:AQ52">
    <cfRule type="colorScale" priority="17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3:AQ53">
    <cfRule type="colorScale" priority="16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4:AQ54">
    <cfRule type="colorScale" priority="16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6:AQ56">
    <cfRule type="colorScale" priority="16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7:AQ57">
    <cfRule type="colorScale" priority="16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8:AQ58">
    <cfRule type="colorScale" priority="16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9:AQ59">
    <cfRule type="colorScale" priority="16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0:AQ60">
    <cfRule type="colorScale" priority="16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1:AQ61">
    <cfRule type="colorScale" priority="16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2:AQ62">
    <cfRule type="colorScale" priority="16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3:AQ63">
    <cfRule type="colorScale" priority="16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5:AQ55">
    <cfRule type="colorScale" priority="15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51:AQ51">
    <cfRule type="colorScale" priority="15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4:AQ64">
    <cfRule type="colorScale" priority="15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55:AQ155">
    <cfRule type="colorScale" priority="15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95:AQ198 AP176:AQ178 AP157:AQ158 AP118:AQ122 AP154:AQ154 AP161:AQ164 AP124:AQ124 AP166:AQ167 AP169:AQ173 AP143:AQ151 AP139:AQ141 AP134:AQ137 AP129:AQ130 AP260:AQ261 AP263:AQ263 AP257:AQ258">
    <cfRule type="colorScale" priority="23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28:AQ128">
    <cfRule type="colorScale" priority="15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27:AQ127">
    <cfRule type="colorScale" priority="15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13:AQ113">
    <cfRule type="colorScale" priority="15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11:AQ111">
    <cfRule type="colorScale" priority="15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0:AQ100">
    <cfRule type="colorScale" priority="15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1:AQ101">
    <cfRule type="colorScale" priority="15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2:AQ102">
    <cfRule type="colorScale" priority="14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3:AQ103">
    <cfRule type="colorScale" priority="14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8:AQ108">
    <cfRule type="colorScale" priority="14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4:AQ104">
    <cfRule type="colorScale" priority="14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5:AQ105">
    <cfRule type="colorScale" priority="14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6:AQ106">
    <cfRule type="colorScale" priority="14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07:AQ107">
    <cfRule type="colorScale" priority="14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97:AQ97">
    <cfRule type="colorScale" priority="14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93:AQ193">
    <cfRule type="colorScale" priority="14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94:AQ194">
    <cfRule type="colorScale" priority="14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59:AQ259">
    <cfRule type="colorScale" priority="13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6:AQ46">
    <cfRule type="colorScale" priority="13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5:AQ45">
    <cfRule type="colorScale" priority="13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4:AQ44">
    <cfRule type="colorScale" priority="13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3:AQ43">
    <cfRule type="colorScale" priority="13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2:AQ42">
    <cfRule type="colorScale" priority="13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1:AQ41">
    <cfRule type="colorScale" priority="13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40:AQ40">
    <cfRule type="colorScale" priority="13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9:AQ39">
    <cfRule type="colorScale" priority="13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7:AQ37">
    <cfRule type="colorScale" priority="13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5:AQ35">
    <cfRule type="colorScale" priority="12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3:AQ33">
    <cfRule type="colorScale" priority="12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2:AQ32">
    <cfRule type="colorScale" priority="12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0:AQ80">
    <cfRule type="colorScale" priority="12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1:AQ81">
    <cfRule type="colorScale" priority="12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3:AQ83">
    <cfRule type="colorScale" priority="12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2:AQ82">
    <cfRule type="colorScale" priority="12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84:AQ84">
    <cfRule type="colorScale" priority="12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4:AQ34">
    <cfRule type="colorScale" priority="12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6:AQ36">
    <cfRule type="colorScale" priority="12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8:AQ38">
    <cfRule type="colorScale" priority="11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67:AQ67">
    <cfRule type="colorScale" priority="11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71:AQ71">
    <cfRule type="colorScale" priority="11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16:AQ116">
    <cfRule type="colorScale" priority="11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56:AQ156">
    <cfRule type="colorScale" priority="11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30:AQ30">
    <cfRule type="colorScale" priority="11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9:AQ29">
    <cfRule type="colorScale" priority="11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8:AQ28">
    <cfRule type="colorScale" priority="11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7:AQ27">
    <cfRule type="colorScale" priority="11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6:AQ26">
    <cfRule type="colorScale" priority="11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5:AQ25">
    <cfRule type="colorScale" priority="10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4:AQ24">
    <cfRule type="colorScale" priority="10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3:AQ23">
    <cfRule type="colorScale" priority="10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2:AQ22">
    <cfRule type="colorScale" priority="10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1:AQ21">
    <cfRule type="colorScale" priority="10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0:AQ20">
    <cfRule type="colorScale" priority="10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9:AQ19">
    <cfRule type="colorScale" priority="10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:AQ18">
    <cfRule type="colorScale" priority="10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7:AQ17">
    <cfRule type="colorScale" priority="10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6:AQ16">
    <cfRule type="colorScale" priority="10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5:AQ15">
    <cfRule type="colorScale" priority="9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4:AQ14">
    <cfRule type="colorScale" priority="9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79:AQ179">
    <cfRule type="colorScale" priority="9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0:AQ180">
    <cfRule type="colorScale" priority="9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1:AQ181">
    <cfRule type="colorScale" priority="9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2:AQ182">
    <cfRule type="colorScale" priority="9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3:AQ183">
    <cfRule type="colorScale" priority="9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4:AQ184">
    <cfRule type="colorScale" priority="9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5:AQ185">
    <cfRule type="colorScale" priority="9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6:AQ186">
    <cfRule type="colorScale" priority="9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7:AQ187">
    <cfRule type="colorScale" priority="8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8:AQ188">
    <cfRule type="colorScale" priority="8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89:AQ189">
    <cfRule type="colorScale" priority="8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90:AQ190">
    <cfRule type="colorScale" priority="8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91:AQ191">
    <cfRule type="colorScale" priority="8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92:AQ192">
    <cfRule type="colorScale" priority="8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13:AQ13">
    <cfRule type="colorScale" priority="8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V12:V263">
    <cfRule type="expression" dxfId="87" priority="231">
      <formula>$U12=1</formula>
    </cfRule>
  </conditionalFormatting>
  <conditionalFormatting sqref="A12:O198 A257:O261">
    <cfRule type="cellIs" dxfId="86" priority="82" operator="greaterThan">
      <formula>0</formula>
    </cfRule>
  </conditionalFormatting>
  <conditionalFormatting sqref="W12:AH263">
    <cfRule type="expression" dxfId="85" priority="80">
      <formula>COUNTIF($W12,"*BIO*")=0</formula>
    </cfRule>
    <cfRule type="expression" dxfId="84" priority="81">
      <formula>COUNTIF($W12,"*BIO*")&gt;0</formula>
    </cfRule>
  </conditionalFormatting>
  <conditionalFormatting sqref="AW12:AW263">
    <cfRule type="expression" dxfId="83" priority="79">
      <formula>NOT(EXACT(AV12,AW12))</formula>
    </cfRule>
  </conditionalFormatting>
  <conditionalFormatting sqref="AZ263">
    <cfRule type="expression" dxfId="82" priority="78">
      <formula>NOT(EXACT($AY263,$AZ263))</formula>
    </cfRule>
  </conditionalFormatting>
  <conditionalFormatting sqref="BC263">
    <cfRule type="expression" dxfId="81" priority="77">
      <formula>NOT(EXACT($BB263,$BC263))</formula>
    </cfRule>
  </conditionalFormatting>
  <conditionalFormatting sqref="BF263">
    <cfRule type="expression" dxfId="80" priority="76">
      <formula>NOT(EXACT($BE263,$BF263))</formula>
    </cfRule>
  </conditionalFormatting>
  <conditionalFormatting sqref="BI263">
    <cfRule type="expression" dxfId="79" priority="75">
      <formula>NOT(EXACT($BH263,$BI263))</formula>
    </cfRule>
  </conditionalFormatting>
  <conditionalFormatting sqref="BL263">
    <cfRule type="expression" dxfId="78" priority="74">
      <formula>NOT(EXACT(BK263,BL263))</formula>
    </cfRule>
  </conditionalFormatting>
  <conditionalFormatting sqref="BO263">
    <cfRule type="expression" dxfId="77" priority="73">
      <formula>AND(NOT(EXACT(BN263,BO263)), NOT(BO263=""), NOT(ISBLANK(BO263)), NOT(BO263=0), NOT(BO263="-"))</formula>
    </cfRule>
  </conditionalFormatting>
  <conditionalFormatting sqref="BR263">
    <cfRule type="expression" dxfId="76" priority="72">
      <formula>AND(NOT(EXACT(BQ263,BR263)), NOT(BR263=""), NOT(ISBLANK(BR263)), NOT(BR263=0), NOT(BR263="-"))</formula>
    </cfRule>
  </conditionalFormatting>
  <conditionalFormatting sqref="BU263">
    <cfRule type="expression" dxfId="75" priority="71">
      <formula>AND(NOT(EXACT(BT263,BU263)), NOT(BU263=""), NOT(ISBLANK(BU263)), NOT(BU263=0), NOT(BU263="-"))</formula>
    </cfRule>
  </conditionalFormatting>
  <conditionalFormatting sqref="BX263">
    <cfRule type="expression" dxfId="74" priority="70">
      <formula>AND(NOT(EXACT(BW263,BX263)), NOT(BX263=""), NOT(ISBLANK(BX263)), NOT(BX263=0), NOT(BX263="-"))</formula>
    </cfRule>
  </conditionalFormatting>
  <conditionalFormatting sqref="CA263">
    <cfRule type="expression" dxfId="73" priority="69">
      <formula>AND(NOT(EXACT(BZ263,CA263)), NOT(CA263=""), NOT(ISBLANK(CA263)), NOT(CA263=0), NOT(CA263="-"))</formula>
    </cfRule>
  </conditionalFormatting>
  <conditionalFormatting sqref="CD263">
    <cfRule type="expression" dxfId="72" priority="68">
      <formula>AND(NOT(EXACT(CC263,CD263)), NOT(CD263=""), NOT(ISBLANK(CD263)), NOT(CD263=0), NOT(CD263="-"))</formula>
    </cfRule>
  </conditionalFormatting>
  <conditionalFormatting sqref="CG263">
    <cfRule type="expression" dxfId="71" priority="67">
      <formula>AND(NOT(EXACT(CF263,CG263)), NOT(CG263=""), NOT(ISBLANK(CG263)), NOT(CG263=0), NOT(CG263="-"))</formula>
    </cfRule>
  </conditionalFormatting>
  <conditionalFormatting sqref="CJ263">
    <cfRule type="expression" dxfId="70" priority="66">
      <formula>AND(NOT(EXACT(CI263,CJ263)), NOT(CJ263=""), NOT(ISBLANK(CJ263)), NOT(CJ263=0), NOT(CJ263="-"))</formula>
    </cfRule>
  </conditionalFormatting>
  <conditionalFormatting sqref="CM263">
    <cfRule type="expression" dxfId="69" priority="65">
      <formula>AND(NOT(EXACT(CL263,CM263)), NOT(CM263=""), NOT(ISBLANK(CM263)), NOT(CJ263=0), NOT(CJ263="-"))</formula>
    </cfRule>
  </conditionalFormatting>
  <conditionalFormatting sqref="AU12:AU263">
    <cfRule type="expression" dxfId="68" priority="64">
      <formula>NOT(EXACT($AU12,$AO12))</formula>
    </cfRule>
  </conditionalFormatting>
  <conditionalFormatting sqref="AP262:AQ262">
    <cfRule type="colorScale" priority="6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43:AQ243 AP256:AQ256 AP240:AQ241 AP254:AQ254">
    <cfRule type="colorScale" priority="6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42:AQ242">
    <cfRule type="colorScale" priority="6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240:O243 A254:O254">
    <cfRule type="cellIs" dxfId="67" priority="60" operator="greaterThan">
      <formula>0</formula>
    </cfRule>
  </conditionalFormatting>
  <conditionalFormatting sqref="AP255:AQ255">
    <cfRule type="colorScale" priority="5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36:AQ237 AP239:AQ239 AP233:AQ234">
    <cfRule type="colorScale" priority="5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35:AQ235">
    <cfRule type="colorScale" priority="5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233:O237">
    <cfRule type="cellIs" dxfId="66" priority="56" operator="greaterThan">
      <formula>0</formula>
    </cfRule>
  </conditionalFormatting>
  <conditionalFormatting sqref="AP238:AQ238">
    <cfRule type="colorScale" priority="5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29:AQ230 AP232:AQ232 AP199:AQ199 AP227:AQ227">
    <cfRule type="colorScale" priority="5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28:AQ228">
    <cfRule type="colorScale" priority="5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199:O199 A227:O230">
    <cfRule type="cellIs" dxfId="65" priority="52" operator="greaterThan">
      <formula>0</formula>
    </cfRule>
  </conditionalFormatting>
  <conditionalFormatting sqref="AP231:AQ231">
    <cfRule type="colorScale" priority="5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23:AQ224 AP226:AQ226 AP220:AQ221">
    <cfRule type="colorScale" priority="5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22:AQ222">
    <cfRule type="colorScale" priority="4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220:O224">
    <cfRule type="cellIs" dxfId="64" priority="48" operator="greaterThan">
      <formula>0</formula>
    </cfRule>
  </conditionalFormatting>
  <conditionalFormatting sqref="AP225:AQ225">
    <cfRule type="colorScale" priority="4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16:AQ217 AP219:AQ219 AP213:AQ214">
    <cfRule type="colorScale" priority="46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15:AQ215">
    <cfRule type="colorScale" priority="4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213:O217">
    <cfRule type="cellIs" dxfId="63" priority="44" operator="greaterThan">
      <formula>0</formula>
    </cfRule>
  </conditionalFormatting>
  <conditionalFormatting sqref="AP218:AQ218">
    <cfRule type="colorScale" priority="4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09:AQ210 AP212:AQ212 AP206:AQ207">
    <cfRule type="colorScale" priority="42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08:AQ208">
    <cfRule type="colorScale" priority="4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206:O210">
    <cfRule type="cellIs" dxfId="62" priority="40" operator="greaterThan">
      <formula>0</formula>
    </cfRule>
  </conditionalFormatting>
  <conditionalFormatting sqref="AP211:AQ211">
    <cfRule type="colorScale" priority="39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02:AQ203 AP205:AQ205 AP200:AQ200">
    <cfRule type="colorScale" priority="3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01:AQ201">
    <cfRule type="colorScale" priority="37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200:O203">
    <cfRule type="cellIs" dxfId="61" priority="36" operator="greaterThan">
      <formula>0</formula>
    </cfRule>
  </conditionalFormatting>
  <conditionalFormatting sqref="AP204:AQ204">
    <cfRule type="colorScale" priority="35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50:AQ251 AP253:AQ253 AP247:AQ248">
    <cfRule type="colorScale" priority="34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49:AQ249">
    <cfRule type="colorScale" priority="33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247:O251">
    <cfRule type="cellIs" dxfId="60" priority="32" operator="greaterThan">
      <formula>0</formula>
    </cfRule>
  </conditionalFormatting>
  <conditionalFormatting sqref="AP252:AQ252">
    <cfRule type="colorScale" priority="31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P246:AQ246 AP244:AQ244">
    <cfRule type="colorScale" priority="30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244:O244">
    <cfRule type="cellIs" dxfId="59" priority="29" operator="greaterThan">
      <formula>0</formula>
    </cfRule>
  </conditionalFormatting>
  <conditionalFormatting sqref="AP245:AQ245">
    <cfRule type="colorScale" priority="28">
      <colorScale>
        <cfvo type="min"/>
        <cfvo type="percentile" val="10"/>
        <cfvo type="max"/>
        <color rgb="FFFF7128"/>
        <color rgb="FFFFEB84"/>
        <color theme="6"/>
      </colorScale>
    </cfRule>
  </conditionalFormatting>
  <conditionalFormatting sqref="AO9">
    <cfRule type="expression" dxfId="58" priority="27">
      <formula>NOT(EXACT($AT9,$AO9))</formula>
    </cfRule>
  </conditionalFormatting>
  <conditionalFormatting sqref="AT9:AU9">
    <cfRule type="expression" dxfId="57" priority="26">
      <formula>NOT(EXACT($AT9,$AO9))</formula>
    </cfRule>
  </conditionalFormatting>
  <conditionalFormatting sqref="CP263">
    <cfRule type="expression" dxfId="56" priority="25">
      <formula>AND(NOT(EXACT(CO263,CP263)), NOT(CP263=""), NOT(ISBLANK(CP263)), NOT(CP263=0), NOT(CP263="-"))</formula>
    </cfRule>
  </conditionalFormatting>
  <conditionalFormatting sqref="CS263">
    <cfRule type="expression" dxfId="55" priority="24">
      <formula>AND(NOT(EXACT(CR263,CS263)), NOT(CS263=""), NOT(ISBLANK(CS263)), NOT(CS263=0), NOT(CS263="-"))</formula>
    </cfRule>
  </conditionalFormatting>
  <conditionalFormatting sqref="CV263">
    <cfRule type="expression" dxfId="54" priority="23">
      <formula>AND(NOT(EXACT(CU263,CV263)), NOT(CV263=""), NOT(ISBLANK(CV263)), NOT(CV263=0), NOT(CV263="-"))</formula>
    </cfRule>
  </conditionalFormatting>
  <conditionalFormatting sqref="CY263">
    <cfRule type="expression" dxfId="53" priority="22">
      <formula>AND(NOT(EXACT(CX263,CY263)), NOT(CY263=""), NOT(ISBLANK(CY263)), NOT(CY263=0), NOT(CY263="-"))</formula>
    </cfRule>
  </conditionalFormatting>
  <conditionalFormatting sqref="DB263">
    <cfRule type="expression" dxfId="52" priority="21">
      <formula>NOT(EXACT($DA263,$DB263))</formula>
    </cfRule>
  </conditionalFormatting>
  <conditionalFormatting sqref="P12:T262">
    <cfRule type="cellIs" dxfId="51" priority="20" operator="greaterThan">
      <formula>0</formula>
    </cfRule>
  </conditionalFormatting>
  <conditionalFormatting sqref="AZ12:AZ262">
    <cfRule type="expression" dxfId="50" priority="19">
      <formula>NOT(EXACT(AY12,AZ12))</formula>
    </cfRule>
  </conditionalFormatting>
  <conditionalFormatting sqref="BC12:BC262">
    <cfRule type="expression" dxfId="49" priority="18">
      <formula>NOT(EXACT(BB12,BC12))</formula>
    </cfRule>
  </conditionalFormatting>
  <conditionalFormatting sqref="BF12:BF262">
    <cfRule type="expression" dxfId="48" priority="17">
      <formula>NOT(EXACT(BE12,BF12))</formula>
    </cfRule>
  </conditionalFormatting>
  <conditionalFormatting sqref="BI12:BI262">
    <cfRule type="expression" dxfId="47" priority="16">
      <formula>NOT(EXACT(BH12,BI12))</formula>
    </cfRule>
  </conditionalFormatting>
  <conditionalFormatting sqref="BL12:BL262">
    <cfRule type="expression" dxfId="46" priority="15">
      <formula>NOT(EXACT(BK12,BL12))</formula>
    </cfRule>
  </conditionalFormatting>
  <conditionalFormatting sqref="BO12:BO262">
    <cfRule type="expression" dxfId="45" priority="14">
      <formula>NOT(EXACT(BN12,BO12))</formula>
    </cfRule>
  </conditionalFormatting>
  <conditionalFormatting sqref="BR12:BR262">
    <cfRule type="expression" dxfId="44" priority="13">
      <formula>NOT(EXACT(BQ12,BR12))</formula>
    </cfRule>
  </conditionalFormatting>
  <conditionalFormatting sqref="BU12:BU262">
    <cfRule type="expression" dxfId="43" priority="12">
      <formula>NOT(EXACT(BT12,BU12))</formula>
    </cfRule>
  </conditionalFormatting>
  <conditionalFormatting sqref="BX12:BX262">
    <cfRule type="expression" dxfId="42" priority="11">
      <formula>NOT(EXACT(BW12,BX12))</formula>
    </cfRule>
  </conditionalFormatting>
  <conditionalFormatting sqref="CA12:CA262">
    <cfRule type="expression" dxfId="41" priority="10">
      <formula>NOT(EXACT(BZ12,CA12))</formula>
    </cfRule>
  </conditionalFormatting>
  <conditionalFormatting sqref="CD12:CD262">
    <cfRule type="expression" dxfId="40" priority="9">
      <formula>NOT(EXACT(CC12,CD12))</formula>
    </cfRule>
  </conditionalFormatting>
  <conditionalFormatting sqref="CG12:CG262">
    <cfRule type="expression" dxfId="39" priority="8">
      <formula>NOT(EXACT(CF12,CG12))</formula>
    </cfRule>
  </conditionalFormatting>
  <conditionalFormatting sqref="CJ12:CJ262">
    <cfRule type="expression" dxfId="38" priority="7">
      <formula>NOT(EXACT(CI12,CJ12))</formula>
    </cfRule>
  </conditionalFormatting>
  <conditionalFormatting sqref="CM12:CM262">
    <cfRule type="expression" dxfId="37" priority="6">
      <formula>NOT(EXACT(CL12,CM12))</formula>
    </cfRule>
  </conditionalFormatting>
  <conditionalFormatting sqref="CP12:CP262">
    <cfRule type="expression" dxfId="36" priority="5">
      <formula>NOT(EXACT(CO12,CP12))</formula>
    </cfRule>
  </conditionalFormatting>
  <conditionalFormatting sqref="CS12:CS262">
    <cfRule type="expression" dxfId="35" priority="4">
      <formula>NOT(EXACT(CR12,CS12))</formula>
    </cfRule>
  </conditionalFormatting>
  <conditionalFormatting sqref="CV12:CV262">
    <cfRule type="expression" dxfId="34" priority="3">
      <formula>NOT(EXACT(CU12,CV12))</formula>
    </cfRule>
  </conditionalFormatting>
  <conditionalFormatting sqref="CY12:CY262">
    <cfRule type="expression" dxfId="33" priority="2">
      <formula>NOT(EXACT(CX12,CY12))</formula>
    </cfRule>
  </conditionalFormatting>
  <conditionalFormatting sqref="DB12:DB262">
    <cfRule type="expression" dxfId="32" priority="1">
      <formula>NOT(EXACT(DA12,DB12))</formula>
    </cfRule>
  </conditionalFormatting>
  <pageMargins left="3.937007874015748E-2" right="3.937007874015748E-2" top="0.19685039370078738" bottom="0" header="0" footer="0"/>
  <pageSetup paperSize="9" scale="85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2">
    <tabColor theme="9"/>
  </sheetPr>
  <dimension ref="A1:W81"/>
  <sheetViews>
    <sheetView zoomScale="150" zoomScaleNormal="150" workbookViewId="0">
      <selection activeCell="C12" sqref="C12"/>
    </sheetView>
  </sheetViews>
  <sheetFormatPr baseColWidth="10" defaultColWidth="0" defaultRowHeight="11.25" zeroHeight="1"/>
  <cols>
    <col min="1" max="1" width="0.85546875" style="78" customWidth="1"/>
    <col min="2" max="2" width="16.28515625" style="78" customWidth="1"/>
    <col min="3" max="3" width="63.140625" style="78" customWidth="1"/>
    <col min="4" max="4" width="3.42578125" style="99" customWidth="1"/>
    <col min="5" max="5" width="5.28515625" style="99" bestFit="1" customWidth="1"/>
    <col min="6" max="6" width="8.140625" style="99" bestFit="1" customWidth="1"/>
    <col min="7" max="7" width="10.42578125" style="99" bestFit="1" customWidth="1"/>
    <col min="8" max="8" width="8.7109375" style="99" customWidth="1"/>
    <col min="9" max="9" width="11.42578125" style="99" customWidth="1"/>
    <col min="10" max="11" width="8.7109375" style="99" customWidth="1"/>
    <col min="12" max="12" width="8.7109375" style="188" customWidth="1"/>
    <col min="13" max="13" width="9" style="185" customWidth="1"/>
    <col min="14" max="14" width="5.140625" style="78" hidden="1" customWidth="1"/>
    <col min="15" max="15" width="4.42578125" style="78" hidden="1" customWidth="1"/>
    <col min="16" max="16" width="4.7109375" style="78" hidden="1" customWidth="1"/>
    <col min="17" max="23" width="0" style="78" hidden="1" customWidth="1"/>
    <col min="24" max="16384" width="10.85546875" style="78" hidden="1"/>
  </cols>
  <sheetData>
    <row r="1" spans="2:13" ht="5.0999999999999996" customHeight="1" thickBot="1"/>
    <row r="2" spans="2:13" ht="19.5" thickBot="1">
      <c r="B2" s="332" t="s">
        <v>0</v>
      </c>
      <c r="C2" s="333" t="s">
        <v>0</v>
      </c>
      <c r="D2" s="103"/>
      <c r="E2" s="103"/>
      <c r="F2" s="103"/>
      <c r="G2" s="103"/>
      <c r="H2" s="103"/>
      <c r="I2" s="103"/>
      <c r="J2" s="103"/>
      <c r="K2" s="103"/>
      <c r="L2" s="184"/>
    </row>
    <row r="3" spans="2:13" ht="15.75" thickBot="1">
      <c r="B3" s="100" t="s">
        <v>1</v>
      </c>
      <c r="C3" s="101" t="s">
        <v>2</v>
      </c>
      <c r="E3" s="350" t="s">
        <v>3</v>
      </c>
      <c r="F3" s="351"/>
      <c r="G3" s="351"/>
      <c r="H3" s="351"/>
      <c r="I3" s="351"/>
      <c r="J3" s="351"/>
      <c r="K3" s="352"/>
      <c r="L3" s="186"/>
      <c r="M3" s="186"/>
    </row>
    <row r="4" spans="2:13" ht="27" thickTop="1" thickBot="1">
      <c r="B4" s="96" t="s">
        <v>4</v>
      </c>
      <c r="C4" s="102" t="s">
        <v>5</v>
      </c>
      <c r="D4" s="103"/>
      <c r="E4" s="258" t="s">
        <v>6</v>
      </c>
      <c r="F4" s="259" t="s">
        <v>7</v>
      </c>
      <c r="G4" s="259" t="s">
        <v>8</v>
      </c>
      <c r="H4" s="259" t="s">
        <v>9</v>
      </c>
      <c r="I4" s="337" t="s">
        <v>10</v>
      </c>
      <c r="J4" s="337"/>
      <c r="K4" s="338"/>
      <c r="L4" s="190"/>
    </row>
    <row r="5" spans="2:13" ht="15" customHeight="1">
      <c r="B5" s="334" t="s">
        <v>11</v>
      </c>
      <c r="C5" s="104" t="s">
        <v>12</v>
      </c>
      <c r="D5" s="103"/>
      <c r="E5" s="260" t="s">
        <v>13</v>
      </c>
      <c r="F5" s="250" t="s">
        <v>14</v>
      </c>
      <c r="G5" s="250" t="s">
        <v>15</v>
      </c>
      <c r="H5" s="250" t="s">
        <v>16</v>
      </c>
      <c r="I5" s="339" t="s">
        <v>17</v>
      </c>
      <c r="J5" s="339"/>
      <c r="K5" s="340"/>
      <c r="L5" s="190"/>
    </row>
    <row r="6" spans="2:13" ht="56.25">
      <c r="B6" s="335"/>
      <c r="C6" s="80" t="s">
        <v>18</v>
      </c>
      <c r="D6" s="103"/>
      <c r="E6" s="344" t="s">
        <v>19</v>
      </c>
      <c r="F6" s="345"/>
      <c r="G6" s="345"/>
      <c r="H6" s="345"/>
      <c r="I6" s="345"/>
      <c r="J6" s="345"/>
      <c r="K6" s="346"/>
      <c r="L6" s="191"/>
    </row>
    <row r="7" spans="2:13" ht="39.950000000000003" customHeight="1">
      <c r="B7" s="335"/>
      <c r="C7" s="80" t="s">
        <v>20</v>
      </c>
      <c r="D7" s="81"/>
      <c r="E7" s="255" t="s">
        <v>21</v>
      </c>
      <c r="F7" s="256" t="s">
        <v>22</v>
      </c>
      <c r="G7" s="256" t="s">
        <v>23</v>
      </c>
      <c r="H7" s="256" t="s">
        <v>24</v>
      </c>
      <c r="I7" s="256" t="s">
        <v>25</v>
      </c>
      <c r="J7" s="256" t="s">
        <v>26</v>
      </c>
      <c r="K7" s="257" t="s">
        <v>27</v>
      </c>
      <c r="L7" s="191"/>
    </row>
    <row r="8" spans="2:13" ht="18.75" customHeight="1">
      <c r="B8" s="335"/>
      <c r="C8" s="82" t="s">
        <v>28</v>
      </c>
      <c r="E8" s="341" t="s">
        <v>29</v>
      </c>
      <c r="F8" s="342"/>
      <c r="G8" s="342"/>
      <c r="H8" s="342"/>
      <c r="I8" s="342"/>
      <c r="J8" s="342"/>
      <c r="K8" s="343"/>
      <c r="L8" s="189"/>
    </row>
    <row r="9" spans="2:13" ht="60" customHeight="1" thickBot="1">
      <c r="B9" s="336"/>
      <c r="C9" s="83" t="s">
        <v>30</v>
      </c>
      <c r="E9" s="347" t="s">
        <v>31</v>
      </c>
      <c r="F9" s="348"/>
      <c r="G9" s="348"/>
      <c r="H9" s="348"/>
      <c r="I9" s="348"/>
      <c r="J9" s="348"/>
      <c r="K9" s="349"/>
      <c r="L9" s="189"/>
    </row>
    <row r="10" spans="2:13" ht="54.95" customHeight="1" thickBot="1">
      <c r="B10" s="334" t="s">
        <v>32</v>
      </c>
      <c r="C10" s="84" t="s">
        <v>33</v>
      </c>
      <c r="E10" s="353" t="s">
        <v>34</v>
      </c>
      <c r="F10" s="328"/>
      <c r="G10" s="328"/>
      <c r="H10" s="328" t="s">
        <v>35</v>
      </c>
      <c r="I10" s="328"/>
      <c r="J10" s="251"/>
      <c r="K10" s="252"/>
    </row>
    <row r="11" spans="2:13" ht="39.950000000000003" customHeight="1" thickBot="1">
      <c r="B11" s="336"/>
      <c r="C11" s="84" t="s">
        <v>36</v>
      </c>
      <c r="E11" s="354" t="s">
        <v>37</v>
      </c>
      <c r="F11" s="329"/>
      <c r="G11" s="329"/>
      <c r="H11" s="329" t="s">
        <v>38</v>
      </c>
      <c r="I11" s="329"/>
      <c r="J11" s="253"/>
      <c r="K11" s="254"/>
    </row>
    <row r="12" spans="2:13" ht="90.75" thickBot="1">
      <c r="B12" s="95" t="s">
        <v>39</v>
      </c>
      <c r="C12" s="102" t="s">
        <v>40</v>
      </c>
      <c r="D12" s="103"/>
      <c r="E12" s="103"/>
      <c r="F12" s="103"/>
      <c r="G12" s="103"/>
      <c r="H12" s="103"/>
      <c r="I12" s="103"/>
      <c r="J12" s="103"/>
      <c r="K12" s="103"/>
      <c r="L12" s="184"/>
    </row>
    <row r="13" spans="2:13" ht="39.950000000000003" customHeight="1" thickBot="1">
      <c r="B13" s="95" t="s">
        <v>41</v>
      </c>
      <c r="C13" s="102" t="s">
        <v>42</v>
      </c>
      <c r="D13" s="103"/>
      <c r="E13" s="103"/>
      <c r="F13" s="103"/>
      <c r="G13" s="103"/>
      <c r="H13" s="103"/>
      <c r="I13" s="103"/>
      <c r="J13" s="103"/>
      <c r="K13" s="103"/>
      <c r="L13" s="184"/>
    </row>
    <row r="14" spans="2:13" ht="12" thickBot="1">
      <c r="B14" s="85"/>
      <c r="C14" s="86"/>
    </row>
    <row r="15" spans="2:13" ht="12" thickBot="1">
      <c r="B15" s="330" t="s">
        <v>43</v>
      </c>
      <c r="C15" s="331"/>
    </row>
    <row r="16" spans="2:13" ht="12" thickBot="1">
      <c r="B16" s="87" t="s">
        <v>44</v>
      </c>
      <c r="C16" s="79" t="s">
        <v>2</v>
      </c>
    </row>
    <row r="17" spans="2:13">
      <c r="B17" s="88"/>
      <c r="C17" s="89" t="s">
        <v>45</v>
      </c>
    </row>
    <row r="18" spans="2:13">
      <c r="B18" s="90"/>
      <c r="C18" s="91" t="s">
        <v>46</v>
      </c>
    </row>
    <row r="19" spans="2:13">
      <c r="B19" s="92" t="s">
        <v>47</v>
      </c>
      <c r="C19" s="91" t="s">
        <v>48</v>
      </c>
    </row>
    <row r="20" spans="2:13" ht="12" thickBot="1">
      <c r="B20" s="93" t="s">
        <v>49</v>
      </c>
      <c r="C20" s="94" t="s">
        <v>50</v>
      </c>
    </row>
    <row r="21" spans="2:13"/>
    <row r="22" spans="2:13" s="4" customFormat="1" ht="15" hidden="1">
      <c r="L22" s="187"/>
      <c r="M22" s="187"/>
    </row>
    <row r="23" spans="2:13" s="4" customFormat="1" ht="15" hidden="1">
      <c r="L23" s="187"/>
      <c r="M23" s="187"/>
    </row>
    <row r="24" spans="2:13" s="4" customFormat="1" ht="15" hidden="1">
      <c r="L24" s="187"/>
      <c r="M24" s="187"/>
    </row>
    <row r="25" spans="2:13" s="4" customFormat="1" ht="15" hidden="1">
      <c r="L25" s="187"/>
      <c r="M25" s="187"/>
    </row>
    <row r="26" spans="2:13" s="4" customFormat="1" ht="15" hidden="1">
      <c r="L26" s="187"/>
      <c r="M26" s="187"/>
    </row>
    <row r="27" spans="2:13" s="4" customFormat="1" ht="15" hidden="1">
      <c r="L27" s="187"/>
      <c r="M27" s="187"/>
    </row>
    <row r="28" spans="2:13" s="4" customFormat="1" ht="15" hidden="1">
      <c r="L28" s="187"/>
      <c r="M28" s="187"/>
    </row>
    <row r="29" spans="2:13" s="4" customFormat="1" ht="15" hidden="1">
      <c r="L29" s="187"/>
      <c r="M29" s="187"/>
    </row>
    <row r="30" spans="2:13" s="4" customFormat="1" ht="15" hidden="1">
      <c r="L30" s="187"/>
      <c r="M30" s="187"/>
    </row>
    <row r="31" spans="2:13" s="4" customFormat="1" ht="15" hidden="1">
      <c r="L31" s="187"/>
      <c r="M31" s="187"/>
    </row>
    <row r="32" spans="2:13" s="4" customFormat="1" ht="15" hidden="1">
      <c r="L32" s="187"/>
      <c r="M32" s="187"/>
    </row>
    <row r="33" spans="12:13" s="4" customFormat="1" ht="15" hidden="1">
      <c r="L33" s="187"/>
      <c r="M33" s="187"/>
    </row>
    <row r="34" spans="12:13" s="4" customFormat="1" ht="15" hidden="1">
      <c r="L34" s="187"/>
      <c r="M34" s="187"/>
    </row>
    <row r="35" spans="12:13" s="4" customFormat="1" ht="15" hidden="1">
      <c r="L35" s="187"/>
      <c r="M35" s="187"/>
    </row>
    <row r="36" spans="12:13" s="4" customFormat="1" ht="15" hidden="1">
      <c r="L36" s="187"/>
      <c r="M36" s="187"/>
    </row>
    <row r="37" spans="12:13" s="4" customFormat="1" ht="15" hidden="1">
      <c r="L37" s="187"/>
      <c r="M37" s="187"/>
    </row>
    <row r="38" spans="12:13" s="4" customFormat="1" ht="15" hidden="1">
      <c r="L38" s="187"/>
      <c r="M38" s="187"/>
    </row>
    <row r="39" spans="12:13" s="4" customFormat="1" ht="15" hidden="1">
      <c r="L39" s="187"/>
      <c r="M39" s="187"/>
    </row>
    <row r="40" spans="12:13" s="4" customFormat="1" ht="15" hidden="1">
      <c r="L40" s="187"/>
      <c r="M40" s="187"/>
    </row>
    <row r="41" spans="12:13" s="4" customFormat="1" ht="15" hidden="1">
      <c r="L41" s="187"/>
      <c r="M41" s="187"/>
    </row>
    <row r="42" spans="12:13" s="4" customFormat="1" ht="15" hidden="1">
      <c r="L42" s="187"/>
      <c r="M42" s="187"/>
    </row>
    <row r="43" spans="12:13" s="4" customFormat="1" ht="15" hidden="1">
      <c r="L43" s="187"/>
      <c r="M43" s="187"/>
    </row>
    <row r="44" spans="12:13" s="4" customFormat="1" ht="15" hidden="1">
      <c r="L44" s="187"/>
      <c r="M44" s="187"/>
    </row>
    <row r="45" spans="12:13" s="4" customFormat="1" ht="15" hidden="1">
      <c r="L45" s="187"/>
      <c r="M45" s="187"/>
    </row>
    <row r="46" spans="12:13" s="4" customFormat="1" ht="15" hidden="1">
      <c r="L46" s="187"/>
      <c r="M46" s="187"/>
    </row>
    <row r="47" spans="12:13" s="4" customFormat="1" ht="15" hidden="1">
      <c r="L47" s="187"/>
      <c r="M47" s="187"/>
    </row>
    <row r="81"/>
  </sheetData>
  <sheetProtection algorithmName="SHA-512" hashValue="4VPqc8+ecydwaGufgh4IvfaLX3O4QTBMR7pcRLF1aS9xlWxHPZSFzVzrtWyra3wVxHf6X7Cu5jdupH/nfnk2wA==" saltValue="6eJMvMAe2N8I8QCevGaF7Q==" spinCount="100000" sheet="1" objects="1" scenarios="1"/>
  <mergeCells count="14">
    <mergeCell ref="H10:I10"/>
    <mergeCell ref="H11:I11"/>
    <mergeCell ref="B15:C15"/>
    <mergeCell ref="B2:C2"/>
    <mergeCell ref="B5:B9"/>
    <mergeCell ref="B10:B11"/>
    <mergeCell ref="I4:K4"/>
    <mergeCell ref="I5:K5"/>
    <mergeCell ref="E8:K8"/>
    <mergeCell ref="E6:K6"/>
    <mergeCell ref="E9:K9"/>
    <mergeCell ref="E3:K3"/>
    <mergeCell ref="E10:G10"/>
    <mergeCell ref="E11:G11"/>
  </mergeCells>
  <printOptions horizontalCentered="1"/>
  <pageMargins left="0.39370078740157483" right="0.39370078740157483" top="0.39370078740157483" bottom="0.39370078740157483" header="0.39370078740157483" footer="0.39370078740157483"/>
  <pageSetup paperSize="9" orientation="portrait" horizontalDpi="0" verticalDpi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2106F-3464-4E75-A32B-8BA15FB6337C}">
  <sheetPr codeName="Feuil4" filterMode="1">
    <tabColor theme="6"/>
  </sheetPr>
  <dimension ref="A1:BE263"/>
  <sheetViews>
    <sheetView showGridLines="0" zoomScale="113" zoomScaleNormal="100" workbookViewId="0">
      <pane xSplit="14" ySplit="11" topLeftCell="O12" activePane="bottomRight" state="frozen"/>
      <selection pane="topRight" activeCell="I1" sqref="I1"/>
      <selection pane="bottomLeft" activeCell="A12" sqref="A12"/>
      <selection pane="bottomRight" activeCell="E2" sqref="E2:J2"/>
    </sheetView>
  </sheetViews>
  <sheetFormatPr baseColWidth="10" defaultColWidth="0" defaultRowHeight="11.25" zeroHeight="1"/>
  <cols>
    <col min="1" max="1" width="6.7109375" style="133" customWidth="1"/>
    <col min="2" max="2" width="5.28515625" style="131" customWidth="1"/>
    <col min="3" max="3" width="20.85546875" style="133" customWidth="1"/>
    <col min="4" max="4" width="15.85546875" style="133" customWidth="1"/>
    <col min="5" max="5" width="9.28515625" style="133" customWidth="1"/>
    <col min="6" max="6" width="6" style="131" customWidth="1"/>
    <col min="7" max="9" width="7.85546875" style="131" customWidth="1"/>
    <col min="10" max="10" width="8.85546875" style="131" customWidth="1"/>
    <col min="11" max="12" width="10.7109375" style="131" customWidth="1"/>
    <col min="13" max="13" width="10.7109375" style="133" customWidth="1"/>
    <col min="14" max="14" width="1.7109375" style="156" customWidth="1"/>
    <col min="15" max="15" width="7.7109375" style="158" customWidth="1"/>
    <col min="16" max="16" width="9.7109375" style="133" customWidth="1"/>
    <col min="17" max="17" width="7" style="131" bestFit="1" customWidth="1"/>
    <col min="18" max="18" width="9.7109375" style="131" customWidth="1"/>
    <col min="19" max="19" width="7" style="131" bestFit="1" customWidth="1"/>
    <col min="20" max="20" width="9.7109375" style="131" customWidth="1"/>
    <col min="21" max="21" width="7" style="131" bestFit="1" customWidth="1"/>
    <col min="22" max="22" width="9.7109375" style="131" customWidth="1"/>
    <col min="23" max="23" width="7" style="131" bestFit="1" customWidth="1"/>
    <col min="24" max="24" width="9.7109375" style="131" customWidth="1"/>
    <col min="25" max="25" width="7" style="131" bestFit="1" customWidth="1"/>
    <col min="26" max="26" width="9.7109375" style="131" customWidth="1"/>
    <col min="27" max="27" width="7" style="131" bestFit="1" customWidth="1"/>
    <col min="28" max="28" width="9.7109375" style="131" customWidth="1"/>
    <col min="29" max="29" width="7" style="131" bestFit="1" customWidth="1"/>
    <col min="30" max="30" width="9.7109375" style="131" customWidth="1"/>
    <col min="31" max="31" width="7" style="131" bestFit="1" customWidth="1"/>
    <col min="32" max="32" width="9.7109375" style="131" customWidth="1"/>
    <col min="33" max="33" width="7" style="131" bestFit="1" customWidth="1"/>
    <col min="34" max="34" width="9.7109375" style="131" customWidth="1"/>
    <col min="35" max="35" width="7" style="131" bestFit="1" customWidth="1"/>
    <col min="36" max="36" width="9.7109375" style="131" customWidth="1"/>
    <col min="37" max="37" width="7" style="131" bestFit="1" customWidth="1"/>
    <col min="38" max="38" width="9.7109375" style="131" customWidth="1"/>
    <col min="39" max="39" width="7" style="131" bestFit="1" customWidth="1"/>
    <col min="40" max="40" width="9.7109375" style="131" customWidth="1"/>
    <col min="41" max="41" width="7" style="131" bestFit="1" customWidth="1"/>
    <col min="42" max="42" width="9.7109375" style="131" customWidth="1"/>
    <col min="43" max="43" width="7" style="131" bestFit="1" customWidth="1"/>
    <col min="44" max="44" width="9.7109375" style="131" customWidth="1"/>
    <col min="45" max="45" width="7" style="131" bestFit="1" customWidth="1"/>
    <col min="46" max="46" width="9.7109375" style="131" customWidth="1"/>
    <col min="47" max="47" width="7" style="131" bestFit="1" customWidth="1"/>
    <col min="48" max="48" width="9.7109375" style="131" customWidth="1"/>
    <col min="49" max="49" width="7" style="131" bestFit="1" customWidth="1"/>
    <col min="50" max="50" width="9.7109375" style="131" customWidth="1"/>
    <col min="51" max="51" width="7" style="131" bestFit="1" customWidth="1"/>
    <col min="52" max="52" width="9.7109375" style="131" customWidth="1"/>
    <col min="53" max="53" width="7" style="131" bestFit="1" customWidth="1"/>
    <col min="54" max="54" width="9.7109375" style="131" customWidth="1"/>
    <col min="55" max="55" width="3.140625" style="131" customWidth="1"/>
    <col min="56" max="57" width="0" style="133" hidden="1" customWidth="1"/>
    <col min="58" max="16384" width="11.42578125" style="133" hidden="1"/>
  </cols>
  <sheetData>
    <row r="1" spans="1:55" ht="39.950000000000003" customHeight="1" thickTop="1" thickBot="1">
      <c r="A1" s="376" t="s">
        <v>694</v>
      </c>
      <c r="B1" s="377"/>
      <c r="C1" s="377"/>
      <c r="D1" s="381"/>
      <c r="E1" s="381"/>
      <c r="F1" s="381"/>
      <c r="G1" s="381"/>
      <c r="H1" s="381"/>
      <c r="I1" s="381"/>
      <c r="J1" s="381"/>
      <c r="K1" s="376" t="s">
        <v>754</v>
      </c>
      <c r="L1" s="377"/>
      <c r="M1" s="378"/>
      <c r="N1" s="361"/>
      <c r="O1" s="166"/>
      <c r="P1" s="167"/>
      <c r="Q1" s="130"/>
      <c r="T1" s="132"/>
    </row>
    <row r="2" spans="1:55" ht="18" customHeight="1" thickTop="1" thickBot="1">
      <c r="A2" s="398" t="s">
        <v>51</v>
      </c>
      <c r="B2" s="399"/>
      <c r="C2" s="176" t="s">
        <v>52</v>
      </c>
      <c r="D2" s="177" t="s">
        <v>53</v>
      </c>
      <c r="E2" s="370"/>
      <c r="F2" s="371"/>
      <c r="G2" s="371"/>
      <c r="H2" s="371"/>
      <c r="I2" s="371"/>
      <c r="J2" s="372"/>
      <c r="K2" s="384" t="s">
        <v>54</v>
      </c>
      <c r="L2" s="385"/>
      <c r="M2" s="386"/>
      <c r="N2" s="362"/>
      <c r="O2" s="355"/>
      <c r="P2" s="356"/>
      <c r="Q2" s="134"/>
      <c r="R2" s="134"/>
      <c r="S2" s="134"/>
    </row>
    <row r="3" spans="1:55" ht="18" customHeight="1" thickTop="1">
      <c r="A3" s="400"/>
      <c r="B3" s="401"/>
      <c r="C3" s="404" t="s">
        <v>56</v>
      </c>
      <c r="D3" s="178" t="s">
        <v>57</v>
      </c>
      <c r="E3" s="373" t="s">
        <v>757</v>
      </c>
      <c r="F3" s="374"/>
      <c r="G3" s="374"/>
      <c r="H3" s="374"/>
      <c r="I3" s="374"/>
      <c r="J3" s="375"/>
      <c r="K3" s="387"/>
      <c r="L3" s="388"/>
      <c r="M3" s="389"/>
      <c r="N3" s="362"/>
      <c r="O3" s="411" t="s">
        <v>59</v>
      </c>
      <c r="P3" s="412"/>
      <c r="Q3" s="296"/>
      <c r="R3" s="135"/>
      <c r="S3" s="135"/>
      <c r="T3" s="136"/>
      <c r="U3" s="136"/>
      <c r="V3" s="136"/>
      <c r="W3" s="136"/>
      <c r="X3" s="136"/>
      <c r="Y3" s="136"/>
      <c r="Z3" s="136"/>
      <c r="AA3" s="136"/>
      <c r="AB3" s="136"/>
      <c r="AC3" s="136"/>
      <c r="AD3" s="136"/>
      <c r="AE3" s="136"/>
      <c r="AF3" s="136"/>
      <c r="AG3" s="136"/>
      <c r="AH3" s="136"/>
      <c r="AI3" s="136"/>
      <c r="AJ3" s="136"/>
      <c r="AK3" s="136"/>
      <c r="AL3" s="136"/>
      <c r="AM3" s="136"/>
      <c r="AN3" s="136"/>
      <c r="AO3" s="136"/>
      <c r="AP3" s="136"/>
      <c r="AQ3" s="136"/>
      <c r="AR3" s="136"/>
      <c r="AS3" s="136"/>
      <c r="AT3" s="136"/>
      <c r="AU3" s="136"/>
      <c r="AV3" s="136"/>
      <c r="AW3" s="136"/>
      <c r="AX3" s="136"/>
      <c r="AY3" s="136"/>
      <c r="AZ3" s="136"/>
      <c r="BA3" s="136"/>
      <c r="BB3" s="136"/>
    </row>
    <row r="4" spans="1:55" ht="18" customHeight="1" thickBot="1">
      <c r="A4" s="400"/>
      <c r="B4" s="401"/>
      <c r="C4" s="404"/>
      <c r="D4" s="178" t="s">
        <v>58</v>
      </c>
      <c r="E4" s="373" t="s">
        <v>757</v>
      </c>
      <c r="F4" s="374"/>
      <c r="G4" s="374"/>
      <c r="H4" s="374"/>
      <c r="I4" s="374"/>
      <c r="J4" s="375"/>
      <c r="K4" s="387"/>
      <c r="L4" s="388"/>
      <c r="M4" s="389"/>
      <c r="N4" s="362"/>
      <c r="O4" s="413"/>
      <c r="P4" s="414"/>
      <c r="Q4" s="296"/>
      <c r="R4" s="135"/>
      <c r="S4" s="135"/>
      <c r="T4" s="136"/>
      <c r="U4" s="136"/>
      <c r="V4" s="136"/>
      <c r="W4" s="136"/>
      <c r="X4" s="136"/>
      <c r="Y4" s="136"/>
      <c r="Z4" s="136"/>
      <c r="AA4" s="136"/>
      <c r="AB4" s="136"/>
      <c r="AC4" s="136"/>
      <c r="AD4" s="136"/>
      <c r="AE4" s="136"/>
      <c r="AF4" s="136"/>
      <c r="AG4" s="136"/>
      <c r="AH4" s="136"/>
      <c r="AI4" s="136"/>
      <c r="AJ4" s="136"/>
      <c r="AK4" s="136"/>
      <c r="AL4" s="136"/>
      <c r="AM4" s="136"/>
      <c r="AN4" s="136"/>
      <c r="AO4" s="136"/>
      <c r="AP4" s="136"/>
      <c r="AQ4" s="136"/>
      <c r="AR4" s="136"/>
      <c r="AS4" s="136"/>
      <c r="AT4" s="136"/>
      <c r="AU4" s="136"/>
      <c r="AV4" s="136"/>
      <c r="AW4" s="136"/>
      <c r="AX4" s="136"/>
      <c r="AY4" s="136"/>
      <c r="AZ4" s="136"/>
      <c r="BA4" s="136"/>
      <c r="BB4" s="136"/>
      <c r="BC4" s="137"/>
    </row>
    <row r="5" spans="1:55" ht="18" customHeight="1" thickTop="1">
      <c r="A5" s="400"/>
      <c r="B5" s="401"/>
      <c r="C5" s="404"/>
      <c r="D5" s="178" t="s">
        <v>60</v>
      </c>
      <c r="E5" s="373" t="s">
        <v>757</v>
      </c>
      <c r="F5" s="374"/>
      <c r="G5" s="374"/>
      <c r="H5" s="374"/>
      <c r="I5" s="374"/>
      <c r="J5" s="375"/>
      <c r="K5" s="387"/>
      <c r="L5" s="388"/>
      <c r="M5" s="389"/>
      <c r="N5" s="363"/>
      <c r="O5" s="417">
        <v>1</v>
      </c>
      <c r="P5" s="418"/>
      <c r="Q5" s="365">
        <v>2</v>
      </c>
      <c r="R5" s="365"/>
      <c r="S5" s="365">
        <v>3</v>
      </c>
      <c r="T5" s="365"/>
      <c r="U5" s="365">
        <v>4</v>
      </c>
      <c r="V5" s="365"/>
      <c r="W5" s="365">
        <v>5</v>
      </c>
      <c r="X5" s="365"/>
      <c r="Y5" s="365">
        <v>6</v>
      </c>
      <c r="Z5" s="365"/>
      <c r="AA5" s="365">
        <v>7</v>
      </c>
      <c r="AB5" s="365"/>
      <c r="AC5" s="365">
        <v>8</v>
      </c>
      <c r="AD5" s="365"/>
      <c r="AE5" s="365">
        <v>9</v>
      </c>
      <c r="AF5" s="365"/>
      <c r="AG5" s="365">
        <v>10</v>
      </c>
      <c r="AH5" s="365"/>
      <c r="AI5" s="365">
        <v>11</v>
      </c>
      <c r="AJ5" s="365"/>
      <c r="AK5" s="365">
        <v>12</v>
      </c>
      <c r="AL5" s="365"/>
      <c r="AM5" s="365">
        <v>13</v>
      </c>
      <c r="AN5" s="365"/>
      <c r="AO5" s="365">
        <v>14</v>
      </c>
      <c r="AP5" s="365"/>
      <c r="AQ5" s="365">
        <v>15</v>
      </c>
      <c r="AR5" s="365"/>
      <c r="AS5" s="365">
        <v>16</v>
      </c>
      <c r="AT5" s="365"/>
      <c r="AU5" s="365">
        <v>17</v>
      </c>
      <c r="AV5" s="365"/>
      <c r="AW5" s="365">
        <v>18</v>
      </c>
      <c r="AX5" s="365"/>
      <c r="AY5" s="365">
        <v>19</v>
      </c>
      <c r="AZ5" s="365"/>
      <c r="BA5" s="365">
        <v>20</v>
      </c>
      <c r="BB5" s="365"/>
      <c r="BC5" s="137"/>
    </row>
    <row r="6" spans="1:55" ht="18" customHeight="1" thickBot="1">
      <c r="A6" s="400"/>
      <c r="B6" s="401"/>
      <c r="C6" s="404"/>
      <c r="D6" s="178" t="s">
        <v>61</v>
      </c>
      <c r="E6" s="373" t="s">
        <v>757</v>
      </c>
      <c r="F6" s="374"/>
      <c r="G6" s="374"/>
      <c r="H6" s="374"/>
      <c r="I6" s="374"/>
      <c r="J6" s="375"/>
      <c r="K6" s="390"/>
      <c r="L6" s="391"/>
      <c r="M6" s="392"/>
      <c r="N6" s="363"/>
      <c r="O6" s="419"/>
      <c r="P6" s="420"/>
      <c r="Q6" s="366"/>
      <c r="R6" s="366"/>
      <c r="S6" s="366"/>
      <c r="T6" s="366"/>
      <c r="U6" s="366"/>
      <c r="V6" s="366"/>
      <c r="W6" s="366"/>
      <c r="X6" s="366"/>
      <c r="Y6" s="366"/>
      <c r="Z6" s="366"/>
      <c r="AA6" s="366"/>
      <c r="AB6" s="366"/>
      <c r="AC6" s="366"/>
      <c r="AD6" s="366"/>
      <c r="AE6" s="366"/>
      <c r="AF6" s="366"/>
      <c r="AG6" s="366"/>
      <c r="AH6" s="366"/>
      <c r="AI6" s="366"/>
      <c r="AJ6" s="366"/>
      <c r="AK6" s="366"/>
      <c r="AL6" s="366"/>
      <c r="AM6" s="366"/>
      <c r="AN6" s="366"/>
      <c r="AO6" s="366"/>
      <c r="AP6" s="366"/>
      <c r="AQ6" s="366"/>
      <c r="AR6" s="366"/>
      <c r="AS6" s="366"/>
      <c r="AT6" s="366"/>
      <c r="AU6" s="366"/>
      <c r="AV6" s="366"/>
      <c r="AW6" s="366"/>
      <c r="AX6" s="366"/>
      <c r="AY6" s="366"/>
      <c r="AZ6" s="366"/>
      <c r="BA6" s="366"/>
      <c r="BB6" s="366"/>
      <c r="BC6" s="137"/>
    </row>
    <row r="7" spans="1:55" ht="24.95" customHeight="1" thickTop="1" thickBot="1">
      <c r="A7" s="400"/>
      <c r="B7" s="401"/>
      <c r="C7" s="405"/>
      <c r="D7" s="179" t="s">
        <v>63</v>
      </c>
      <c r="E7" s="379" t="s">
        <v>757</v>
      </c>
      <c r="F7" s="379"/>
      <c r="G7" s="397" t="s">
        <v>64</v>
      </c>
      <c r="H7" s="397"/>
      <c r="I7" s="379" t="s">
        <v>757</v>
      </c>
      <c r="J7" s="380"/>
      <c r="K7" s="382" t="s">
        <v>62</v>
      </c>
      <c r="L7" s="287" t="s">
        <v>66</v>
      </c>
      <c r="M7" s="288" t="e">
        <f>#REF!</f>
        <v>#REF!</v>
      </c>
      <c r="N7" s="363"/>
      <c r="O7" s="415" t="str">
        <f>E8</f>
        <v>À REMPLIR</v>
      </c>
      <c r="P7" s="416"/>
      <c r="Q7" s="359" t="s">
        <v>756</v>
      </c>
      <c r="R7" s="360"/>
      <c r="S7" s="359" t="s">
        <v>756</v>
      </c>
      <c r="T7" s="360"/>
      <c r="U7" s="359" t="s">
        <v>756</v>
      </c>
      <c r="V7" s="360"/>
      <c r="W7" s="359" t="s">
        <v>756</v>
      </c>
      <c r="X7" s="360"/>
      <c r="Y7" s="359" t="s">
        <v>756</v>
      </c>
      <c r="Z7" s="360"/>
      <c r="AA7" s="359" t="s">
        <v>756</v>
      </c>
      <c r="AB7" s="360"/>
      <c r="AC7" s="359" t="s">
        <v>756</v>
      </c>
      <c r="AD7" s="360"/>
      <c r="AE7" s="359" t="s">
        <v>756</v>
      </c>
      <c r="AF7" s="360"/>
      <c r="AG7" s="359" t="s">
        <v>756</v>
      </c>
      <c r="AH7" s="360"/>
      <c r="AI7" s="359" t="s">
        <v>756</v>
      </c>
      <c r="AJ7" s="360"/>
      <c r="AK7" s="359" t="s">
        <v>756</v>
      </c>
      <c r="AL7" s="360"/>
      <c r="AM7" s="359" t="s">
        <v>756</v>
      </c>
      <c r="AN7" s="360"/>
      <c r="AO7" s="359" t="s">
        <v>756</v>
      </c>
      <c r="AP7" s="360"/>
      <c r="AQ7" s="359" t="s">
        <v>756</v>
      </c>
      <c r="AR7" s="368"/>
      <c r="AS7" s="359" t="s">
        <v>756</v>
      </c>
      <c r="AT7" s="360"/>
      <c r="AU7" s="359" t="s">
        <v>756</v>
      </c>
      <c r="AV7" s="360"/>
      <c r="AW7" s="359" t="s">
        <v>756</v>
      </c>
      <c r="AX7" s="360"/>
      <c r="AY7" s="359" t="s">
        <v>756</v>
      </c>
      <c r="AZ7" s="360"/>
      <c r="BA7" s="359" t="s">
        <v>756</v>
      </c>
      <c r="BB7" s="368"/>
      <c r="BC7" s="137"/>
    </row>
    <row r="8" spans="1:55" ht="24.95" customHeight="1" thickTop="1" thickBot="1">
      <c r="A8" s="400"/>
      <c r="B8" s="401"/>
      <c r="C8" s="406" t="s">
        <v>59</v>
      </c>
      <c r="D8" s="174" t="s">
        <v>57</v>
      </c>
      <c r="E8" s="373" t="s">
        <v>757</v>
      </c>
      <c r="F8" s="374"/>
      <c r="G8" s="374"/>
      <c r="H8" s="374"/>
      <c r="I8" s="374"/>
      <c r="J8" s="375"/>
      <c r="K8" s="383"/>
      <c r="L8" s="289" t="s">
        <v>65</v>
      </c>
      <c r="M8" s="290" t="e">
        <f>FDP_CMD</f>
        <v>#REF!</v>
      </c>
      <c r="N8" s="363"/>
      <c r="O8" s="292" t="s">
        <v>55</v>
      </c>
      <c r="P8" s="293" t="e">
        <f>#REF!</f>
        <v>#REF!</v>
      </c>
      <c r="Q8" s="357" t="s">
        <v>110</v>
      </c>
      <c r="R8" s="367"/>
      <c r="S8" s="357" t="s">
        <v>110</v>
      </c>
      <c r="T8" s="367"/>
      <c r="U8" s="357" t="s">
        <v>110</v>
      </c>
      <c r="V8" s="367"/>
      <c r="W8" s="357" t="s">
        <v>110</v>
      </c>
      <c r="X8" s="367"/>
      <c r="Y8" s="357" t="s">
        <v>110</v>
      </c>
      <c r="Z8" s="367"/>
      <c r="AA8" s="357" t="s">
        <v>110</v>
      </c>
      <c r="AB8" s="367"/>
      <c r="AC8" s="357" t="s">
        <v>110</v>
      </c>
      <c r="AD8" s="367"/>
      <c r="AE8" s="357" t="s">
        <v>110</v>
      </c>
      <c r="AF8" s="367"/>
      <c r="AG8" s="357" t="s">
        <v>110</v>
      </c>
      <c r="AH8" s="367"/>
      <c r="AI8" s="357" t="s">
        <v>110</v>
      </c>
      <c r="AJ8" s="367"/>
      <c r="AK8" s="357" t="s">
        <v>110</v>
      </c>
      <c r="AL8" s="367"/>
      <c r="AM8" s="357" t="s">
        <v>110</v>
      </c>
      <c r="AN8" s="367"/>
      <c r="AO8" s="357" t="s">
        <v>110</v>
      </c>
      <c r="AP8" s="367"/>
      <c r="AQ8" s="357" t="s">
        <v>110</v>
      </c>
      <c r="AR8" s="358"/>
      <c r="AS8" s="357" t="s">
        <v>110</v>
      </c>
      <c r="AT8" s="367"/>
      <c r="AU8" s="357" t="s">
        <v>110</v>
      </c>
      <c r="AV8" s="367"/>
      <c r="AW8" s="357" t="s">
        <v>110</v>
      </c>
      <c r="AX8" s="367"/>
      <c r="AY8" s="357" t="s">
        <v>110</v>
      </c>
      <c r="AZ8" s="367"/>
      <c r="BA8" s="357" t="s">
        <v>110</v>
      </c>
      <c r="BB8" s="358"/>
      <c r="BC8" s="137"/>
    </row>
    <row r="9" spans="1:55" ht="15" customHeight="1" thickTop="1">
      <c r="A9" s="400"/>
      <c r="B9" s="401"/>
      <c r="C9" s="407"/>
      <c r="D9" s="173" t="s">
        <v>67</v>
      </c>
      <c r="E9" s="373" t="s">
        <v>757</v>
      </c>
      <c r="F9" s="374"/>
      <c r="G9" s="374"/>
      <c r="H9" s="374"/>
      <c r="I9" s="374"/>
      <c r="J9" s="375"/>
      <c r="K9" s="393" t="s">
        <v>68</v>
      </c>
      <c r="L9" s="394"/>
      <c r="M9" s="162" t="s">
        <v>69</v>
      </c>
      <c r="N9" s="362"/>
      <c r="O9" s="161" t="s">
        <v>65</v>
      </c>
      <c r="P9" s="162" t="s">
        <v>65</v>
      </c>
      <c r="Q9" s="163" t="s">
        <v>65</v>
      </c>
      <c r="R9" s="162" t="s">
        <v>65</v>
      </c>
      <c r="S9" s="161" t="s">
        <v>65</v>
      </c>
      <c r="T9" s="164" t="s">
        <v>65</v>
      </c>
      <c r="U9" s="163" t="s">
        <v>65</v>
      </c>
      <c r="V9" s="162" t="s">
        <v>65</v>
      </c>
      <c r="W9" s="161" t="s">
        <v>65</v>
      </c>
      <c r="X9" s="164" t="s">
        <v>65</v>
      </c>
      <c r="Y9" s="163" t="s">
        <v>65</v>
      </c>
      <c r="Z9" s="162" t="s">
        <v>65</v>
      </c>
      <c r="AA9" s="161" t="s">
        <v>65</v>
      </c>
      <c r="AB9" s="164" t="s">
        <v>65</v>
      </c>
      <c r="AC9" s="163" t="s">
        <v>65</v>
      </c>
      <c r="AD9" s="162" t="s">
        <v>65</v>
      </c>
      <c r="AE9" s="161" t="s">
        <v>65</v>
      </c>
      <c r="AF9" s="164" t="s">
        <v>65</v>
      </c>
      <c r="AG9" s="163" t="s">
        <v>65</v>
      </c>
      <c r="AH9" s="162" t="s">
        <v>65</v>
      </c>
      <c r="AI9" s="161" t="s">
        <v>65</v>
      </c>
      <c r="AJ9" s="164" t="s">
        <v>65</v>
      </c>
      <c r="AK9" s="163" t="s">
        <v>65</v>
      </c>
      <c r="AL9" s="162" t="s">
        <v>65</v>
      </c>
      <c r="AM9" s="161" t="s">
        <v>65</v>
      </c>
      <c r="AN9" s="164" t="s">
        <v>65</v>
      </c>
      <c r="AO9" s="163" t="s">
        <v>65</v>
      </c>
      <c r="AP9" s="162" t="s">
        <v>65</v>
      </c>
      <c r="AQ9" s="163" t="s">
        <v>65</v>
      </c>
      <c r="AR9" s="165" t="s">
        <v>65</v>
      </c>
      <c r="AS9" s="161" t="s">
        <v>65</v>
      </c>
      <c r="AT9" s="164" t="s">
        <v>65</v>
      </c>
      <c r="AU9" s="163" t="s">
        <v>65</v>
      </c>
      <c r="AV9" s="162" t="s">
        <v>65</v>
      </c>
      <c r="AW9" s="161" t="s">
        <v>65</v>
      </c>
      <c r="AX9" s="164" t="s">
        <v>65</v>
      </c>
      <c r="AY9" s="163" t="s">
        <v>65</v>
      </c>
      <c r="AZ9" s="162" t="s">
        <v>65</v>
      </c>
      <c r="BA9" s="163" t="s">
        <v>65</v>
      </c>
      <c r="BB9" s="165" t="s">
        <v>65</v>
      </c>
      <c r="BC9" s="137"/>
    </row>
    <row r="10" spans="1:55" ht="15" customHeight="1" thickBot="1">
      <c r="A10" s="402"/>
      <c r="B10" s="403"/>
      <c r="C10" s="408"/>
      <c r="D10" s="175" t="s">
        <v>70</v>
      </c>
      <c r="E10" s="373" t="s">
        <v>757</v>
      </c>
      <c r="F10" s="374"/>
      <c r="G10" s="374"/>
      <c r="H10" s="374"/>
      <c r="I10" s="374"/>
      <c r="J10" s="375"/>
      <c r="K10" s="395" t="e">
        <f>SUM(K12:K261)</f>
        <v>#REF!</v>
      </c>
      <c r="L10" s="396"/>
      <c r="M10" s="116" t="e">
        <f>SUM(M12:M261)</f>
        <v>#REF!</v>
      </c>
      <c r="N10" s="362"/>
      <c r="O10" s="138" t="e">
        <f>#REF!</f>
        <v>#REF!</v>
      </c>
      <c r="P10" s="116" t="e">
        <f>#REF!</f>
        <v>#REF!</v>
      </c>
      <c r="Q10" s="139" t="e">
        <f>#REF!</f>
        <v>#REF!</v>
      </c>
      <c r="R10" s="116" t="e">
        <f>#REF!</f>
        <v>#REF!</v>
      </c>
      <c r="S10" s="138" t="e">
        <f>#REF!</f>
        <v>#REF!</v>
      </c>
      <c r="T10" s="140" t="e">
        <f>#REF!</f>
        <v>#REF!</v>
      </c>
      <c r="U10" s="139" t="e">
        <f>#REF!</f>
        <v>#REF!</v>
      </c>
      <c r="V10" s="116" t="e">
        <f>#REF!</f>
        <v>#REF!</v>
      </c>
      <c r="W10" s="138" t="e">
        <f>#REF!</f>
        <v>#REF!</v>
      </c>
      <c r="X10" s="140" t="e">
        <f>#REF!</f>
        <v>#REF!</v>
      </c>
      <c r="Y10" s="139" t="e">
        <f>#REF!</f>
        <v>#REF!</v>
      </c>
      <c r="Z10" s="116" t="e">
        <f>#REF!</f>
        <v>#REF!</v>
      </c>
      <c r="AA10" s="138" t="e">
        <f>#REF!</f>
        <v>#REF!</v>
      </c>
      <c r="AB10" s="140" t="e">
        <f>#REF!</f>
        <v>#REF!</v>
      </c>
      <c r="AC10" s="139" t="e">
        <f>#REF!</f>
        <v>#REF!</v>
      </c>
      <c r="AD10" s="116" t="e">
        <f>#REF!</f>
        <v>#REF!</v>
      </c>
      <c r="AE10" s="138" t="e">
        <f>#REF!</f>
        <v>#REF!</v>
      </c>
      <c r="AF10" s="140" t="e">
        <f>#REF!</f>
        <v>#REF!</v>
      </c>
      <c r="AG10" s="139" t="e">
        <f>#REF!</f>
        <v>#REF!</v>
      </c>
      <c r="AH10" s="116" t="e">
        <f>#REF!</f>
        <v>#REF!</v>
      </c>
      <c r="AI10" s="138" t="e">
        <f>#REF!</f>
        <v>#REF!</v>
      </c>
      <c r="AJ10" s="140" t="e">
        <f>#REF!</f>
        <v>#REF!</v>
      </c>
      <c r="AK10" s="139" t="e">
        <f>#REF!</f>
        <v>#REF!</v>
      </c>
      <c r="AL10" s="116" t="e">
        <f>#REF!</f>
        <v>#REF!</v>
      </c>
      <c r="AM10" s="138" t="e">
        <f>#REF!</f>
        <v>#REF!</v>
      </c>
      <c r="AN10" s="140" t="e">
        <f>#REF!</f>
        <v>#REF!</v>
      </c>
      <c r="AO10" s="139" t="e">
        <f>#REF!</f>
        <v>#REF!</v>
      </c>
      <c r="AP10" s="116" t="e">
        <f>#REF!</f>
        <v>#REF!</v>
      </c>
      <c r="AQ10" s="139" t="e">
        <f>#REF!</f>
        <v>#REF!</v>
      </c>
      <c r="AR10" s="141" t="e">
        <f>#REF!</f>
        <v>#REF!</v>
      </c>
      <c r="AS10" s="138" t="e">
        <f>#REF!</f>
        <v>#REF!</v>
      </c>
      <c r="AT10" s="140" t="e">
        <f>#REF!</f>
        <v>#REF!</v>
      </c>
      <c r="AU10" s="139" t="e">
        <f>#REF!</f>
        <v>#REF!</v>
      </c>
      <c r="AV10" s="116" t="e">
        <f>#REF!</f>
        <v>#REF!</v>
      </c>
      <c r="AW10" s="138" t="e">
        <f>#REF!</f>
        <v>#REF!</v>
      </c>
      <c r="AX10" s="140" t="e">
        <f>#REF!</f>
        <v>#REF!</v>
      </c>
      <c r="AY10" s="139" t="e">
        <f>#REF!</f>
        <v>#REF!</v>
      </c>
      <c r="AZ10" s="116" t="e">
        <f>#REF!</f>
        <v>#REF!</v>
      </c>
      <c r="BA10" s="139" t="e">
        <f>#REF!</f>
        <v>#REF!</v>
      </c>
      <c r="BB10" s="141" t="e">
        <f>#REF!</f>
        <v>#REF!</v>
      </c>
      <c r="BC10" s="137"/>
    </row>
    <row r="11" spans="1:55" ht="54.95" customHeight="1" thickTop="1">
      <c r="A11" s="192" t="s">
        <v>71</v>
      </c>
      <c r="B11" s="192" t="s">
        <v>72</v>
      </c>
      <c r="C11" s="409" t="s">
        <v>73</v>
      </c>
      <c r="D11" s="410"/>
      <c r="E11" s="169" t="s">
        <v>514</v>
      </c>
      <c r="F11" s="168" t="s">
        <v>75</v>
      </c>
      <c r="G11" s="169" t="s">
        <v>76</v>
      </c>
      <c r="H11" s="169" t="s">
        <v>77</v>
      </c>
      <c r="I11" s="170" t="s">
        <v>78</v>
      </c>
      <c r="J11" s="170" t="s">
        <v>74</v>
      </c>
      <c r="K11" s="171" t="s">
        <v>79</v>
      </c>
      <c r="L11" s="169" t="s">
        <v>85</v>
      </c>
      <c r="M11" s="172" t="s">
        <v>80</v>
      </c>
      <c r="N11" s="362"/>
      <c r="O11" s="145" t="s">
        <v>79</v>
      </c>
      <c r="P11" s="144" t="s">
        <v>80</v>
      </c>
      <c r="Q11" s="143" t="s">
        <v>79</v>
      </c>
      <c r="R11" s="144" t="s">
        <v>80</v>
      </c>
      <c r="S11" s="143" t="s">
        <v>79</v>
      </c>
      <c r="T11" s="142" t="s">
        <v>80</v>
      </c>
      <c r="U11" s="143" t="s">
        <v>79</v>
      </c>
      <c r="V11" s="144" t="s">
        <v>80</v>
      </c>
      <c r="W11" s="143" t="s">
        <v>79</v>
      </c>
      <c r="X11" s="142" t="s">
        <v>80</v>
      </c>
      <c r="Y11" s="143" t="s">
        <v>79</v>
      </c>
      <c r="Z11" s="144" t="s">
        <v>80</v>
      </c>
      <c r="AA11" s="143" t="s">
        <v>79</v>
      </c>
      <c r="AB11" s="142" t="s">
        <v>80</v>
      </c>
      <c r="AC11" s="143" t="s">
        <v>79</v>
      </c>
      <c r="AD11" s="144" t="s">
        <v>80</v>
      </c>
      <c r="AE11" s="143" t="s">
        <v>79</v>
      </c>
      <c r="AF11" s="142" t="s">
        <v>80</v>
      </c>
      <c r="AG11" s="143" t="s">
        <v>79</v>
      </c>
      <c r="AH11" s="144" t="s">
        <v>80</v>
      </c>
      <c r="AI11" s="143" t="s">
        <v>79</v>
      </c>
      <c r="AJ11" s="142" t="s">
        <v>80</v>
      </c>
      <c r="AK11" s="143" t="s">
        <v>79</v>
      </c>
      <c r="AL11" s="144" t="s">
        <v>80</v>
      </c>
      <c r="AM11" s="143" t="s">
        <v>79</v>
      </c>
      <c r="AN11" s="142" t="s">
        <v>80</v>
      </c>
      <c r="AO11" s="143" t="s">
        <v>79</v>
      </c>
      <c r="AP11" s="144" t="s">
        <v>80</v>
      </c>
      <c r="AQ11" s="146" t="s">
        <v>79</v>
      </c>
      <c r="AR11" s="147" t="s">
        <v>80</v>
      </c>
      <c r="AS11" s="143" t="s">
        <v>79</v>
      </c>
      <c r="AT11" s="142" t="s">
        <v>80</v>
      </c>
      <c r="AU11" s="143" t="s">
        <v>79</v>
      </c>
      <c r="AV11" s="144" t="s">
        <v>80</v>
      </c>
      <c r="AW11" s="143" t="s">
        <v>79</v>
      </c>
      <c r="AX11" s="142" t="s">
        <v>80</v>
      </c>
      <c r="AY11" s="143" t="s">
        <v>79</v>
      </c>
      <c r="AZ11" s="144" t="s">
        <v>80</v>
      </c>
      <c r="BA11" s="146" t="s">
        <v>79</v>
      </c>
      <c r="BB11" s="147" t="s">
        <v>80</v>
      </c>
      <c r="BC11" s="137"/>
    </row>
    <row r="12" spans="1:55" ht="30" customHeight="1">
      <c r="A12" s="203" t="e">
        <f>#REF!</f>
        <v>#REF!</v>
      </c>
      <c r="B12" s="204" t="e">
        <f xml:space="preserve"> IF(#REF!=0, "",#REF!)</f>
        <v>#REF!</v>
      </c>
      <c r="C12" s="369" t="e">
        <f>#REF!</f>
        <v>#REF!</v>
      </c>
      <c r="D12" s="369"/>
      <c r="E12" s="291" t="e">
        <f>#REF!</f>
        <v>#REF!</v>
      </c>
      <c r="F12" s="148" t="e">
        <f>#REF!</f>
        <v>#REF!</v>
      </c>
      <c r="G12" s="205" t="e">
        <f xml:space="preserve"> IF(#REF!="", "",#REF!)</f>
        <v>#REF!</v>
      </c>
      <c r="H12" s="205" t="e">
        <f xml:space="preserve"> IF(#REF!="", "",#REF!)</f>
        <v>#REF!</v>
      </c>
      <c r="I12" s="205" t="e">
        <f xml:space="preserve"> IF(#REF!="", "",#REF!)</f>
        <v>#REF!</v>
      </c>
      <c r="J12" s="298" t="e">
        <f>#REF!</f>
        <v>#REF!</v>
      </c>
      <c r="K12" s="149" t="e">
        <f>#REF!</f>
        <v>#REF!</v>
      </c>
      <c r="L12" s="149" t="e">
        <f>#REF!</f>
        <v>#REF!</v>
      </c>
      <c r="M12" s="150" t="e">
        <f>#REF!</f>
        <v>#REF!</v>
      </c>
      <c r="N12" s="364"/>
      <c r="O12" s="202"/>
      <c r="P12" s="151" t="e">
        <f>#REF!</f>
        <v>#REF!</v>
      </c>
      <c r="Q12" s="202"/>
      <c r="R12" s="152" t="e">
        <f>#REF!</f>
        <v>#REF!</v>
      </c>
      <c r="S12" s="202"/>
      <c r="T12" s="153" t="e">
        <f>#REF!</f>
        <v>#REF!</v>
      </c>
      <c r="U12" s="202"/>
      <c r="V12" s="153" t="e">
        <f>#REF!</f>
        <v>#REF!</v>
      </c>
      <c r="W12" s="202"/>
      <c r="X12" s="153" t="e">
        <f>#REF!</f>
        <v>#REF!</v>
      </c>
      <c r="Y12" s="202"/>
      <c r="Z12" s="152" t="e">
        <f>#REF!</f>
        <v>#REF!</v>
      </c>
      <c r="AA12" s="202"/>
      <c r="AB12" s="153" t="e">
        <f>#REF!</f>
        <v>#REF!</v>
      </c>
      <c r="AC12" s="202"/>
      <c r="AD12" s="152" t="e">
        <f>#REF!</f>
        <v>#REF!</v>
      </c>
      <c r="AE12" s="202"/>
      <c r="AF12" s="153" t="e">
        <f>#REF!</f>
        <v>#REF!</v>
      </c>
      <c r="AG12" s="202"/>
      <c r="AH12" s="152" t="e">
        <f>#REF!</f>
        <v>#REF!</v>
      </c>
      <c r="AI12" s="202"/>
      <c r="AJ12" s="153" t="e">
        <f>#REF!</f>
        <v>#REF!</v>
      </c>
      <c r="AK12" s="202"/>
      <c r="AL12" s="152" t="e">
        <f>#REF!</f>
        <v>#REF!</v>
      </c>
      <c r="AM12" s="202"/>
      <c r="AN12" s="153" t="e">
        <f>#REF!</f>
        <v>#REF!</v>
      </c>
      <c r="AO12" s="202"/>
      <c r="AP12" s="152" t="e">
        <f>#REF!</f>
        <v>#REF!</v>
      </c>
      <c r="AQ12" s="202"/>
      <c r="AR12" s="154" t="e">
        <f>#REF!</f>
        <v>#REF!</v>
      </c>
      <c r="AS12" s="202"/>
      <c r="AT12" s="153" t="e">
        <f>#REF!</f>
        <v>#REF!</v>
      </c>
      <c r="AU12" s="202"/>
      <c r="AV12" s="152" t="e">
        <f>#REF!</f>
        <v>#REF!</v>
      </c>
      <c r="AW12" s="202"/>
      <c r="AX12" s="153" t="e">
        <f>#REF!</f>
        <v>#REF!</v>
      </c>
      <c r="AY12" s="202"/>
      <c r="AZ12" s="152" t="e">
        <f>#REF!</f>
        <v>#REF!</v>
      </c>
      <c r="BA12" s="202"/>
      <c r="BB12" s="154" t="e">
        <f>#REF!</f>
        <v>#REF!</v>
      </c>
      <c r="BC12" s="137"/>
    </row>
    <row r="13" spans="1:55" ht="30" customHeight="1">
      <c r="A13" s="203" t="e">
        <f>#REF!</f>
        <v>#REF!</v>
      </c>
      <c r="B13" s="204" t="e">
        <f xml:space="preserve"> IF(#REF!=0, "",#REF!)</f>
        <v>#REF!</v>
      </c>
      <c r="C13" s="369" t="e">
        <f>#REF!</f>
        <v>#REF!</v>
      </c>
      <c r="D13" s="369"/>
      <c r="E13" s="291" t="e">
        <f>#REF!</f>
        <v>#REF!</v>
      </c>
      <c r="F13" s="148" t="e">
        <f>#REF!</f>
        <v>#REF!</v>
      </c>
      <c r="G13" s="205" t="e">
        <f xml:space="preserve"> IF(#REF!="", "",#REF!)</f>
        <v>#REF!</v>
      </c>
      <c r="H13" s="205" t="e">
        <f xml:space="preserve"> IF(#REF!="", "",#REF!)</f>
        <v>#REF!</v>
      </c>
      <c r="I13" s="205" t="e">
        <f xml:space="preserve"> IF(#REF!="", "",#REF!)</f>
        <v>#REF!</v>
      </c>
      <c r="J13" s="298" t="e">
        <f>#REF!</f>
        <v>#REF!</v>
      </c>
      <c r="K13" s="149" t="e">
        <f>#REF!</f>
        <v>#REF!</v>
      </c>
      <c r="L13" s="149" t="e">
        <f>#REF!</f>
        <v>#REF!</v>
      </c>
      <c r="M13" s="150" t="e">
        <f>#REF!</f>
        <v>#REF!</v>
      </c>
      <c r="N13" s="364"/>
      <c r="O13" s="202"/>
      <c r="P13" s="151" t="e">
        <f>#REF!</f>
        <v>#REF!</v>
      </c>
      <c r="Q13" s="202"/>
      <c r="R13" s="152" t="e">
        <f>#REF!</f>
        <v>#REF!</v>
      </c>
      <c r="S13" s="202"/>
      <c r="T13" s="153" t="e">
        <f>#REF!</f>
        <v>#REF!</v>
      </c>
      <c r="U13" s="202"/>
      <c r="V13" s="153" t="e">
        <f>#REF!</f>
        <v>#REF!</v>
      </c>
      <c r="W13" s="202"/>
      <c r="X13" s="153" t="e">
        <f>#REF!</f>
        <v>#REF!</v>
      </c>
      <c r="Y13" s="202"/>
      <c r="Z13" s="152" t="e">
        <f>#REF!</f>
        <v>#REF!</v>
      </c>
      <c r="AA13" s="202"/>
      <c r="AB13" s="153" t="e">
        <f>#REF!</f>
        <v>#REF!</v>
      </c>
      <c r="AC13" s="202"/>
      <c r="AD13" s="152" t="e">
        <f>#REF!</f>
        <v>#REF!</v>
      </c>
      <c r="AE13" s="202"/>
      <c r="AF13" s="153" t="e">
        <f>#REF!</f>
        <v>#REF!</v>
      </c>
      <c r="AG13" s="202"/>
      <c r="AH13" s="152" t="e">
        <f>#REF!</f>
        <v>#REF!</v>
      </c>
      <c r="AI13" s="202"/>
      <c r="AJ13" s="153" t="e">
        <f>#REF!</f>
        <v>#REF!</v>
      </c>
      <c r="AK13" s="202"/>
      <c r="AL13" s="152" t="e">
        <f>#REF!</f>
        <v>#REF!</v>
      </c>
      <c r="AM13" s="202"/>
      <c r="AN13" s="153" t="e">
        <f>#REF!</f>
        <v>#REF!</v>
      </c>
      <c r="AO13" s="202"/>
      <c r="AP13" s="152" t="e">
        <f>#REF!</f>
        <v>#REF!</v>
      </c>
      <c r="AQ13" s="202"/>
      <c r="AR13" s="154" t="e">
        <f>#REF!</f>
        <v>#REF!</v>
      </c>
      <c r="AS13" s="202"/>
      <c r="AT13" s="153" t="e">
        <f>#REF!</f>
        <v>#REF!</v>
      </c>
      <c r="AU13" s="202"/>
      <c r="AV13" s="152" t="e">
        <f>#REF!</f>
        <v>#REF!</v>
      </c>
      <c r="AW13" s="202"/>
      <c r="AX13" s="153" t="e">
        <f>#REF!</f>
        <v>#REF!</v>
      </c>
      <c r="AY13" s="202"/>
      <c r="AZ13" s="152" t="e">
        <f>#REF!</f>
        <v>#REF!</v>
      </c>
      <c r="BA13" s="202"/>
      <c r="BB13" s="154" t="e">
        <f>#REF!</f>
        <v>#REF!</v>
      </c>
      <c r="BC13" s="137"/>
    </row>
    <row r="14" spans="1:55" ht="30" customHeight="1">
      <c r="A14" s="203" t="e">
        <f>#REF!</f>
        <v>#REF!</v>
      </c>
      <c r="B14" s="204" t="e">
        <f xml:space="preserve"> IF(#REF!=0, "",#REF!)</f>
        <v>#REF!</v>
      </c>
      <c r="C14" s="369" t="e">
        <f>#REF!</f>
        <v>#REF!</v>
      </c>
      <c r="D14" s="369"/>
      <c r="E14" s="291" t="e">
        <f>#REF!</f>
        <v>#REF!</v>
      </c>
      <c r="F14" s="148" t="e">
        <f>#REF!</f>
        <v>#REF!</v>
      </c>
      <c r="G14" s="205" t="e">
        <f xml:space="preserve"> IF(#REF!="", "",#REF!)</f>
        <v>#REF!</v>
      </c>
      <c r="H14" s="205" t="e">
        <f xml:space="preserve"> IF(#REF!="", "",#REF!)</f>
        <v>#REF!</v>
      </c>
      <c r="I14" s="205" t="e">
        <f xml:space="preserve"> IF(#REF!="", "",#REF!)</f>
        <v>#REF!</v>
      </c>
      <c r="J14" s="298" t="e">
        <f>#REF!</f>
        <v>#REF!</v>
      </c>
      <c r="K14" s="149" t="e">
        <f>#REF!</f>
        <v>#REF!</v>
      </c>
      <c r="L14" s="149" t="e">
        <f>#REF!</f>
        <v>#REF!</v>
      </c>
      <c r="M14" s="150" t="e">
        <f>#REF!</f>
        <v>#REF!</v>
      </c>
      <c r="N14" s="364"/>
      <c r="O14" s="202"/>
      <c r="P14" s="151" t="e">
        <f>#REF!</f>
        <v>#REF!</v>
      </c>
      <c r="Q14" s="202"/>
      <c r="R14" s="152" t="e">
        <f>#REF!</f>
        <v>#REF!</v>
      </c>
      <c r="S14" s="202"/>
      <c r="T14" s="153" t="e">
        <f>#REF!</f>
        <v>#REF!</v>
      </c>
      <c r="U14" s="202"/>
      <c r="V14" s="153" t="e">
        <f>#REF!</f>
        <v>#REF!</v>
      </c>
      <c r="W14" s="202"/>
      <c r="X14" s="153" t="e">
        <f>#REF!</f>
        <v>#REF!</v>
      </c>
      <c r="Y14" s="202"/>
      <c r="Z14" s="152" t="e">
        <f>#REF!</f>
        <v>#REF!</v>
      </c>
      <c r="AA14" s="202"/>
      <c r="AB14" s="153" t="e">
        <f>#REF!</f>
        <v>#REF!</v>
      </c>
      <c r="AC14" s="202"/>
      <c r="AD14" s="152" t="e">
        <f>#REF!</f>
        <v>#REF!</v>
      </c>
      <c r="AE14" s="202"/>
      <c r="AF14" s="153" t="e">
        <f>#REF!</f>
        <v>#REF!</v>
      </c>
      <c r="AG14" s="202"/>
      <c r="AH14" s="152" t="e">
        <f>#REF!</f>
        <v>#REF!</v>
      </c>
      <c r="AI14" s="202"/>
      <c r="AJ14" s="153" t="e">
        <f>#REF!</f>
        <v>#REF!</v>
      </c>
      <c r="AK14" s="202"/>
      <c r="AL14" s="152" t="e">
        <f>#REF!</f>
        <v>#REF!</v>
      </c>
      <c r="AM14" s="202"/>
      <c r="AN14" s="153" t="e">
        <f>#REF!</f>
        <v>#REF!</v>
      </c>
      <c r="AO14" s="202"/>
      <c r="AP14" s="152" t="e">
        <f>#REF!</f>
        <v>#REF!</v>
      </c>
      <c r="AQ14" s="202"/>
      <c r="AR14" s="154" t="e">
        <f>#REF!</f>
        <v>#REF!</v>
      </c>
      <c r="AS14" s="202"/>
      <c r="AT14" s="153" t="e">
        <f>#REF!</f>
        <v>#REF!</v>
      </c>
      <c r="AU14" s="202"/>
      <c r="AV14" s="152" t="e">
        <f>#REF!</f>
        <v>#REF!</v>
      </c>
      <c r="AW14" s="202"/>
      <c r="AX14" s="153" t="e">
        <f>#REF!</f>
        <v>#REF!</v>
      </c>
      <c r="AY14" s="202"/>
      <c r="AZ14" s="152" t="e">
        <f>#REF!</f>
        <v>#REF!</v>
      </c>
      <c r="BA14" s="202"/>
      <c r="BB14" s="154" t="e">
        <f>#REF!</f>
        <v>#REF!</v>
      </c>
      <c r="BC14" s="137"/>
    </row>
    <row r="15" spans="1:55" ht="30" customHeight="1">
      <c r="A15" s="203" t="e">
        <f>#REF!</f>
        <v>#REF!</v>
      </c>
      <c r="B15" s="204" t="e">
        <f xml:space="preserve"> IF(#REF!=0, "",#REF!)</f>
        <v>#REF!</v>
      </c>
      <c r="C15" s="369" t="e">
        <f>#REF!</f>
        <v>#REF!</v>
      </c>
      <c r="D15" s="369"/>
      <c r="E15" s="291" t="e">
        <f>#REF!</f>
        <v>#REF!</v>
      </c>
      <c r="F15" s="148" t="e">
        <f>#REF!</f>
        <v>#REF!</v>
      </c>
      <c r="G15" s="205" t="e">
        <f xml:space="preserve"> IF(#REF!="", "",#REF!)</f>
        <v>#REF!</v>
      </c>
      <c r="H15" s="205" t="e">
        <f xml:space="preserve"> IF(#REF!="", "",#REF!)</f>
        <v>#REF!</v>
      </c>
      <c r="I15" s="205" t="e">
        <f xml:space="preserve"> IF(#REF!="", "",#REF!)</f>
        <v>#REF!</v>
      </c>
      <c r="J15" s="298" t="e">
        <f>#REF!</f>
        <v>#REF!</v>
      </c>
      <c r="K15" s="149" t="e">
        <f>#REF!</f>
        <v>#REF!</v>
      </c>
      <c r="L15" s="149" t="e">
        <f>#REF!</f>
        <v>#REF!</v>
      </c>
      <c r="M15" s="150" t="e">
        <f>#REF!</f>
        <v>#REF!</v>
      </c>
      <c r="N15" s="364"/>
      <c r="O15" s="202"/>
      <c r="P15" s="151" t="e">
        <f>#REF!</f>
        <v>#REF!</v>
      </c>
      <c r="Q15" s="202"/>
      <c r="R15" s="152" t="e">
        <f>#REF!</f>
        <v>#REF!</v>
      </c>
      <c r="S15" s="202"/>
      <c r="T15" s="153" t="e">
        <f>#REF!</f>
        <v>#REF!</v>
      </c>
      <c r="U15" s="202"/>
      <c r="V15" s="153" t="e">
        <f>#REF!</f>
        <v>#REF!</v>
      </c>
      <c r="W15" s="202"/>
      <c r="X15" s="153" t="e">
        <f>#REF!</f>
        <v>#REF!</v>
      </c>
      <c r="Y15" s="202"/>
      <c r="Z15" s="152" t="e">
        <f>#REF!</f>
        <v>#REF!</v>
      </c>
      <c r="AA15" s="202"/>
      <c r="AB15" s="153" t="e">
        <f>#REF!</f>
        <v>#REF!</v>
      </c>
      <c r="AC15" s="202"/>
      <c r="AD15" s="152" t="e">
        <f>#REF!</f>
        <v>#REF!</v>
      </c>
      <c r="AE15" s="202"/>
      <c r="AF15" s="153" t="e">
        <f>#REF!</f>
        <v>#REF!</v>
      </c>
      <c r="AG15" s="202"/>
      <c r="AH15" s="152" t="e">
        <f>#REF!</f>
        <v>#REF!</v>
      </c>
      <c r="AI15" s="202"/>
      <c r="AJ15" s="153" t="e">
        <f>#REF!</f>
        <v>#REF!</v>
      </c>
      <c r="AK15" s="202"/>
      <c r="AL15" s="152" t="e">
        <f>#REF!</f>
        <v>#REF!</v>
      </c>
      <c r="AM15" s="202"/>
      <c r="AN15" s="153" t="e">
        <f>#REF!</f>
        <v>#REF!</v>
      </c>
      <c r="AO15" s="202"/>
      <c r="AP15" s="152" t="e">
        <f>#REF!</f>
        <v>#REF!</v>
      </c>
      <c r="AQ15" s="202"/>
      <c r="AR15" s="154" t="e">
        <f>#REF!</f>
        <v>#REF!</v>
      </c>
      <c r="AS15" s="202"/>
      <c r="AT15" s="153" t="e">
        <f>#REF!</f>
        <v>#REF!</v>
      </c>
      <c r="AU15" s="202"/>
      <c r="AV15" s="152" t="e">
        <f>#REF!</f>
        <v>#REF!</v>
      </c>
      <c r="AW15" s="202"/>
      <c r="AX15" s="153" t="e">
        <f>#REF!</f>
        <v>#REF!</v>
      </c>
      <c r="AY15" s="202"/>
      <c r="AZ15" s="152" t="e">
        <f>#REF!</f>
        <v>#REF!</v>
      </c>
      <c r="BA15" s="202"/>
      <c r="BB15" s="154" t="e">
        <f>#REF!</f>
        <v>#REF!</v>
      </c>
      <c r="BC15" s="137"/>
    </row>
    <row r="16" spans="1:55" ht="30" customHeight="1">
      <c r="A16" s="203" t="e">
        <f>#REF!</f>
        <v>#REF!</v>
      </c>
      <c r="B16" s="204" t="e">
        <f xml:space="preserve"> IF(#REF!=0, "",#REF!)</f>
        <v>#REF!</v>
      </c>
      <c r="C16" s="369" t="e">
        <f>#REF!</f>
        <v>#REF!</v>
      </c>
      <c r="D16" s="369"/>
      <c r="E16" s="291" t="e">
        <f>#REF!</f>
        <v>#REF!</v>
      </c>
      <c r="F16" s="148" t="e">
        <f>#REF!</f>
        <v>#REF!</v>
      </c>
      <c r="G16" s="205" t="e">
        <f xml:space="preserve"> IF(#REF!="", "",#REF!)</f>
        <v>#REF!</v>
      </c>
      <c r="H16" s="205" t="e">
        <f xml:space="preserve"> IF(#REF!="", "",#REF!)</f>
        <v>#REF!</v>
      </c>
      <c r="I16" s="205" t="e">
        <f xml:space="preserve"> IF(#REF!="", "",#REF!)</f>
        <v>#REF!</v>
      </c>
      <c r="J16" s="298" t="e">
        <f>#REF!</f>
        <v>#REF!</v>
      </c>
      <c r="K16" s="149" t="e">
        <f>#REF!</f>
        <v>#REF!</v>
      </c>
      <c r="L16" s="149" t="e">
        <f>#REF!</f>
        <v>#REF!</v>
      </c>
      <c r="M16" s="150" t="e">
        <f>#REF!</f>
        <v>#REF!</v>
      </c>
      <c r="N16" s="364"/>
      <c r="O16" s="202"/>
      <c r="P16" s="151" t="e">
        <f>#REF!</f>
        <v>#REF!</v>
      </c>
      <c r="Q16" s="202"/>
      <c r="R16" s="152" t="e">
        <f>#REF!</f>
        <v>#REF!</v>
      </c>
      <c r="S16" s="202"/>
      <c r="T16" s="153" t="e">
        <f>#REF!</f>
        <v>#REF!</v>
      </c>
      <c r="U16" s="202"/>
      <c r="V16" s="153" t="e">
        <f>#REF!</f>
        <v>#REF!</v>
      </c>
      <c r="W16" s="202"/>
      <c r="X16" s="153" t="e">
        <f>#REF!</f>
        <v>#REF!</v>
      </c>
      <c r="Y16" s="202"/>
      <c r="Z16" s="152" t="e">
        <f>#REF!</f>
        <v>#REF!</v>
      </c>
      <c r="AA16" s="202"/>
      <c r="AB16" s="153" t="e">
        <f>#REF!</f>
        <v>#REF!</v>
      </c>
      <c r="AC16" s="202"/>
      <c r="AD16" s="152" t="e">
        <f>#REF!</f>
        <v>#REF!</v>
      </c>
      <c r="AE16" s="202"/>
      <c r="AF16" s="153" t="e">
        <f>#REF!</f>
        <v>#REF!</v>
      </c>
      <c r="AG16" s="202"/>
      <c r="AH16" s="152" t="e">
        <f>#REF!</f>
        <v>#REF!</v>
      </c>
      <c r="AI16" s="202"/>
      <c r="AJ16" s="153" t="e">
        <f>#REF!</f>
        <v>#REF!</v>
      </c>
      <c r="AK16" s="202"/>
      <c r="AL16" s="152" t="e">
        <f>#REF!</f>
        <v>#REF!</v>
      </c>
      <c r="AM16" s="202"/>
      <c r="AN16" s="153" t="e">
        <f>#REF!</f>
        <v>#REF!</v>
      </c>
      <c r="AO16" s="202"/>
      <c r="AP16" s="152" t="e">
        <f>#REF!</f>
        <v>#REF!</v>
      </c>
      <c r="AQ16" s="202"/>
      <c r="AR16" s="154" t="e">
        <f>#REF!</f>
        <v>#REF!</v>
      </c>
      <c r="AS16" s="202"/>
      <c r="AT16" s="153" t="e">
        <f>#REF!</f>
        <v>#REF!</v>
      </c>
      <c r="AU16" s="202"/>
      <c r="AV16" s="152" t="e">
        <f>#REF!</f>
        <v>#REF!</v>
      </c>
      <c r="AW16" s="202"/>
      <c r="AX16" s="153" t="e">
        <f>#REF!</f>
        <v>#REF!</v>
      </c>
      <c r="AY16" s="202"/>
      <c r="AZ16" s="152" t="e">
        <f>#REF!</f>
        <v>#REF!</v>
      </c>
      <c r="BA16" s="202"/>
      <c r="BB16" s="154" t="e">
        <f>#REF!</f>
        <v>#REF!</v>
      </c>
      <c r="BC16" s="137"/>
    </row>
    <row r="17" spans="1:55" ht="30" customHeight="1">
      <c r="A17" s="203" t="e">
        <f>#REF!</f>
        <v>#REF!</v>
      </c>
      <c r="B17" s="204" t="e">
        <f xml:space="preserve"> IF(#REF!=0, "",#REF!)</f>
        <v>#REF!</v>
      </c>
      <c r="C17" s="369" t="e">
        <f>#REF!</f>
        <v>#REF!</v>
      </c>
      <c r="D17" s="369"/>
      <c r="E17" s="291" t="e">
        <f>#REF!</f>
        <v>#REF!</v>
      </c>
      <c r="F17" s="148" t="e">
        <f>#REF!</f>
        <v>#REF!</v>
      </c>
      <c r="G17" s="205" t="e">
        <f xml:space="preserve"> IF(#REF!="", "",#REF!)</f>
        <v>#REF!</v>
      </c>
      <c r="H17" s="205" t="e">
        <f xml:space="preserve"> IF(#REF!="", "",#REF!)</f>
        <v>#REF!</v>
      </c>
      <c r="I17" s="205" t="e">
        <f xml:space="preserve"> IF(#REF!="", "",#REF!)</f>
        <v>#REF!</v>
      </c>
      <c r="J17" s="298" t="e">
        <f>#REF!</f>
        <v>#REF!</v>
      </c>
      <c r="K17" s="149" t="e">
        <f>#REF!</f>
        <v>#REF!</v>
      </c>
      <c r="L17" s="149" t="e">
        <f>#REF!</f>
        <v>#REF!</v>
      </c>
      <c r="M17" s="150" t="e">
        <f>#REF!</f>
        <v>#REF!</v>
      </c>
      <c r="N17" s="364"/>
      <c r="O17" s="202"/>
      <c r="P17" s="151" t="e">
        <f>#REF!</f>
        <v>#REF!</v>
      </c>
      <c r="Q17" s="202"/>
      <c r="R17" s="152" t="e">
        <f>#REF!</f>
        <v>#REF!</v>
      </c>
      <c r="S17" s="202"/>
      <c r="T17" s="153" t="e">
        <f>#REF!</f>
        <v>#REF!</v>
      </c>
      <c r="U17" s="202"/>
      <c r="V17" s="153" t="e">
        <f>#REF!</f>
        <v>#REF!</v>
      </c>
      <c r="W17" s="202"/>
      <c r="X17" s="153" t="e">
        <f>#REF!</f>
        <v>#REF!</v>
      </c>
      <c r="Y17" s="202"/>
      <c r="Z17" s="152" t="e">
        <f>#REF!</f>
        <v>#REF!</v>
      </c>
      <c r="AA17" s="202"/>
      <c r="AB17" s="153" t="e">
        <f>#REF!</f>
        <v>#REF!</v>
      </c>
      <c r="AC17" s="202"/>
      <c r="AD17" s="152" t="e">
        <f>#REF!</f>
        <v>#REF!</v>
      </c>
      <c r="AE17" s="202"/>
      <c r="AF17" s="153" t="e">
        <f>#REF!</f>
        <v>#REF!</v>
      </c>
      <c r="AG17" s="202"/>
      <c r="AH17" s="152" t="e">
        <f>#REF!</f>
        <v>#REF!</v>
      </c>
      <c r="AI17" s="202"/>
      <c r="AJ17" s="153" t="e">
        <f>#REF!</f>
        <v>#REF!</v>
      </c>
      <c r="AK17" s="202"/>
      <c r="AL17" s="152" t="e">
        <f>#REF!</f>
        <v>#REF!</v>
      </c>
      <c r="AM17" s="202"/>
      <c r="AN17" s="153" t="e">
        <f>#REF!</f>
        <v>#REF!</v>
      </c>
      <c r="AO17" s="202"/>
      <c r="AP17" s="152" t="e">
        <f>#REF!</f>
        <v>#REF!</v>
      </c>
      <c r="AQ17" s="202"/>
      <c r="AR17" s="154" t="e">
        <f>#REF!</f>
        <v>#REF!</v>
      </c>
      <c r="AS17" s="202"/>
      <c r="AT17" s="153" t="e">
        <f>#REF!</f>
        <v>#REF!</v>
      </c>
      <c r="AU17" s="202"/>
      <c r="AV17" s="152" t="e">
        <f>#REF!</f>
        <v>#REF!</v>
      </c>
      <c r="AW17" s="202"/>
      <c r="AX17" s="153" t="e">
        <f>#REF!</f>
        <v>#REF!</v>
      </c>
      <c r="AY17" s="202"/>
      <c r="AZ17" s="152" t="e">
        <f>#REF!</f>
        <v>#REF!</v>
      </c>
      <c r="BA17" s="202"/>
      <c r="BB17" s="154" t="e">
        <f>#REF!</f>
        <v>#REF!</v>
      </c>
      <c r="BC17" s="137"/>
    </row>
    <row r="18" spans="1:55" ht="30" customHeight="1">
      <c r="A18" s="203" t="e">
        <f>#REF!</f>
        <v>#REF!</v>
      </c>
      <c r="B18" s="204" t="e">
        <f xml:space="preserve"> IF(#REF!=0, "",#REF!)</f>
        <v>#REF!</v>
      </c>
      <c r="C18" s="369" t="e">
        <f>#REF!</f>
        <v>#REF!</v>
      </c>
      <c r="D18" s="369"/>
      <c r="E18" s="291" t="e">
        <f>#REF!</f>
        <v>#REF!</v>
      </c>
      <c r="F18" s="148" t="e">
        <f>#REF!</f>
        <v>#REF!</v>
      </c>
      <c r="G18" s="205" t="e">
        <f xml:space="preserve"> IF(#REF!="", "",#REF!)</f>
        <v>#REF!</v>
      </c>
      <c r="H18" s="205" t="e">
        <f xml:space="preserve"> IF(#REF!="", "",#REF!)</f>
        <v>#REF!</v>
      </c>
      <c r="I18" s="205" t="e">
        <f xml:space="preserve"> IF(#REF!="", "",#REF!)</f>
        <v>#REF!</v>
      </c>
      <c r="J18" s="298" t="e">
        <f>#REF!</f>
        <v>#REF!</v>
      </c>
      <c r="K18" s="149" t="e">
        <f>#REF!</f>
        <v>#REF!</v>
      </c>
      <c r="L18" s="149" t="e">
        <f>#REF!</f>
        <v>#REF!</v>
      </c>
      <c r="M18" s="150" t="e">
        <f>#REF!</f>
        <v>#REF!</v>
      </c>
      <c r="N18" s="364"/>
      <c r="O18" s="202"/>
      <c r="P18" s="151" t="e">
        <f>#REF!</f>
        <v>#REF!</v>
      </c>
      <c r="Q18" s="202"/>
      <c r="R18" s="152" t="e">
        <f>#REF!</f>
        <v>#REF!</v>
      </c>
      <c r="S18" s="202"/>
      <c r="T18" s="153" t="e">
        <f>#REF!</f>
        <v>#REF!</v>
      </c>
      <c r="U18" s="202"/>
      <c r="V18" s="153" t="e">
        <f>#REF!</f>
        <v>#REF!</v>
      </c>
      <c r="W18" s="202"/>
      <c r="X18" s="153" t="e">
        <f>#REF!</f>
        <v>#REF!</v>
      </c>
      <c r="Y18" s="202"/>
      <c r="Z18" s="152" t="e">
        <f>#REF!</f>
        <v>#REF!</v>
      </c>
      <c r="AA18" s="202"/>
      <c r="AB18" s="153" t="e">
        <f>#REF!</f>
        <v>#REF!</v>
      </c>
      <c r="AC18" s="202"/>
      <c r="AD18" s="152" t="e">
        <f>#REF!</f>
        <v>#REF!</v>
      </c>
      <c r="AE18" s="202"/>
      <c r="AF18" s="153" t="e">
        <f>#REF!</f>
        <v>#REF!</v>
      </c>
      <c r="AG18" s="202"/>
      <c r="AH18" s="152" t="e">
        <f>#REF!</f>
        <v>#REF!</v>
      </c>
      <c r="AI18" s="202"/>
      <c r="AJ18" s="153" t="e">
        <f>#REF!</f>
        <v>#REF!</v>
      </c>
      <c r="AK18" s="202"/>
      <c r="AL18" s="152" t="e">
        <f>#REF!</f>
        <v>#REF!</v>
      </c>
      <c r="AM18" s="202"/>
      <c r="AN18" s="153" t="e">
        <f>#REF!</f>
        <v>#REF!</v>
      </c>
      <c r="AO18" s="202"/>
      <c r="AP18" s="152" t="e">
        <f>#REF!</f>
        <v>#REF!</v>
      </c>
      <c r="AQ18" s="202"/>
      <c r="AR18" s="154" t="e">
        <f>#REF!</f>
        <v>#REF!</v>
      </c>
      <c r="AS18" s="202"/>
      <c r="AT18" s="153" t="e">
        <f>#REF!</f>
        <v>#REF!</v>
      </c>
      <c r="AU18" s="202"/>
      <c r="AV18" s="152" t="e">
        <f>#REF!</f>
        <v>#REF!</v>
      </c>
      <c r="AW18" s="202"/>
      <c r="AX18" s="153" t="e">
        <f>#REF!</f>
        <v>#REF!</v>
      </c>
      <c r="AY18" s="202"/>
      <c r="AZ18" s="152" t="e">
        <f>#REF!</f>
        <v>#REF!</v>
      </c>
      <c r="BA18" s="202"/>
      <c r="BB18" s="154" t="e">
        <f>#REF!</f>
        <v>#REF!</v>
      </c>
      <c r="BC18" s="137"/>
    </row>
    <row r="19" spans="1:55" ht="30" customHeight="1">
      <c r="A19" s="203" t="e">
        <f>#REF!</f>
        <v>#REF!</v>
      </c>
      <c r="B19" s="204" t="e">
        <f xml:space="preserve"> IF(#REF!=0, "",#REF!)</f>
        <v>#REF!</v>
      </c>
      <c r="C19" s="369" t="e">
        <f>#REF!</f>
        <v>#REF!</v>
      </c>
      <c r="D19" s="369"/>
      <c r="E19" s="291" t="e">
        <f>#REF!</f>
        <v>#REF!</v>
      </c>
      <c r="F19" s="148" t="e">
        <f>#REF!</f>
        <v>#REF!</v>
      </c>
      <c r="G19" s="205" t="e">
        <f xml:space="preserve"> IF(#REF!="", "",#REF!)</f>
        <v>#REF!</v>
      </c>
      <c r="H19" s="205" t="e">
        <f xml:space="preserve"> IF(#REF!="", "",#REF!)</f>
        <v>#REF!</v>
      </c>
      <c r="I19" s="205" t="e">
        <f xml:space="preserve"> IF(#REF!="", "",#REF!)</f>
        <v>#REF!</v>
      </c>
      <c r="J19" s="298" t="e">
        <f>#REF!</f>
        <v>#REF!</v>
      </c>
      <c r="K19" s="149" t="e">
        <f>#REF!</f>
        <v>#REF!</v>
      </c>
      <c r="L19" s="149" t="e">
        <f>#REF!</f>
        <v>#REF!</v>
      </c>
      <c r="M19" s="150" t="e">
        <f>#REF!</f>
        <v>#REF!</v>
      </c>
      <c r="N19" s="364"/>
      <c r="O19" s="202"/>
      <c r="P19" s="151" t="e">
        <f>#REF!</f>
        <v>#REF!</v>
      </c>
      <c r="Q19" s="202"/>
      <c r="R19" s="152" t="e">
        <f>#REF!</f>
        <v>#REF!</v>
      </c>
      <c r="S19" s="202"/>
      <c r="T19" s="153" t="e">
        <f>#REF!</f>
        <v>#REF!</v>
      </c>
      <c r="U19" s="202"/>
      <c r="V19" s="153" t="e">
        <f>#REF!</f>
        <v>#REF!</v>
      </c>
      <c r="W19" s="202"/>
      <c r="X19" s="153" t="e">
        <f>#REF!</f>
        <v>#REF!</v>
      </c>
      <c r="Y19" s="202"/>
      <c r="Z19" s="152" t="e">
        <f>#REF!</f>
        <v>#REF!</v>
      </c>
      <c r="AA19" s="202"/>
      <c r="AB19" s="153" t="e">
        <f>#REF!</f>
        <v>#REF!</v>
      </c>
      <c r="AC19" s="202"/>
      <c r="AD19" s="152" t="e">
        <f>#REF!</f>
        <v>#REF!</v>
      </c>
      <c r="AE19" s="202"/>
      <c r="AF19" s="153" t="e">
        <f>#REF!</f>
        <v>#REF!</v>
      </c>
      <c r="AG19" s="202"/>
      <c r="AH19" s="152" t="e">
        <f>#REF!</f>
        <v>#REF!</v>
      </c>
      <c r="AI19" s="202"/>
      <c r="AJ19" s="153" t="e">
        <f>#REF!</f>
        <v>#REF!</v>
      </c>
      <c r="AK19" s="202"/>
      <c r="AL19" s="152" t="e">
        <f>#REF!</f>
        <v>#REF!</v>
      </c>
      <c r="AM19" s="202"/>
      <c r="AN19" s="153" t="e">
        <f>#REF!</f>
        <v>#REF!</v>
      </c>
      <c r="AO19" s="202"/>
      <c r="AP19" s="152" t="e">
        <f>#REF!</f>
        <v>#REF!</v>
      </c>
      <c r="AQ19" s="202"/>
      <c r="AR19" s="154" t="e">
        <f>#REF!</f>
        <v>#REF!</v>
      </c>
      <c r="AS19" s="202"/>
      <c r="AT19" s="153" t="e">
        <f>#REF!</f>
        <v>#REF!</v>
      </c>
      <c r="AU19" s="202"/>
      <c r="AV19" s="152" t="e">
        <f>#REF!</f>
        <v>#REF!</v>
      </c>
      <c r="AW19" s="202"/>
      <c r="AX19" s="153" t="e">
        <f>#REF!</f>
        <v>#REF!</v>
      </c>
      <c r="AY19" s="202"/>
      <c r="AZ19" s="152" t="e">
        <f>#REF!</f>
        <v>#REF!</v>
      </c>
      <c r="BA19" s="202"/>
      <c r="BB19" s="154" t="e">
        <f>#REF!</f>
        <v>#REF!</v>
      </c>
      <c r="BC19" s="137"/>
    </row>
    <row r="20" spans="1:55" ht="30" customHeight="1">
      <c r="A20" s="203" t="e">
        <f>#REF!</f>
        <v>#REF!</v>
      </c>
      <c r="B20" s="204" t="e">
        <f xml:space="preserve"> IF(#REF!=0, "",#REF!)</f>
        <v>#REF!</v>
      </c>
      <c r="C20" s="369" t="e">
        <f>#REF!</f>
        <v>#REF!</v>
      </c>
      <c r="D20" s="369"/>
      <c r="E20" s="291" t="e">
        <f>#REF!</f>
        <v>#REF!</v>
      </c>
      <c r="F20" s="148" t="e">
        <f>#REF!</f>
        <v>#REF!</v>
      </c>
      <c r="G20" s="205" t="e">
        <f xml:space="preserve"> IF(#REF!="", "",#REF!)</f>
        <v>#REF!</v>
      </c>
      <c r="H20" s="205" t="e">
        <f xml:space="preserve"> IF(#REF!="", "",#REF!)</f>
        <v>#REF!</v>
      </c>
      <c r="I20" s="205" t="e">
        <f xml:space="preserve"> IF(#REF!="", "",#REF!)</f>
        <v>#REF!</v>
      </c>
      <c r="J20" s="298" t="e">
        <f>#REF!</f>
        <v>#REF!</v>
      </c>
      <c r="K20" s="149" t="e">
        <f>#REF!</f>
        <v>#REF!</v>
      </c>
      <c r="L20" s="149" t="e">
        <f>#REF!</f>
        <v>#REF!</v>
      </c>
      <c r="M20" s="150" t="e">
        <f>#REF!</f>
        <v>#REF!</v>
      </c>
      <c r="N20" s="364"/>
      <c r="O20" s="202"/>
      <c r="P20" s="151" t="e">
        <f>#REF!</f>
        <v>#REF!</v>
      </c>
      <c r="Q20" s="202"/>
      <c r="R20" s="152" t="e">
        <f>#REF!</f>
        <v>#REF!</v>
      </c>
      <c r="S20" s="202"/>
      <c r="T20" s="153" t="e">
        <f>#REF!</f>
        <v>#REF!</v>
      </c>
      <c r="U20" s="202"/>
      <c r="V20" s="153" t="e">
        <f>#REF!</f>
        <v>#REF!</v>
      </c>
      <c r="W20" s="202"/>
      <c r="X20" s="153" t="e">
        <f>#REF!</f>
        <v>#REF!</v>
      </c>
      <c r="Y20" s="202"/>
      <c r="Z20" s="152" t="e">
        <f>#REF!</f>
        <v>#REF!</v>
      </c>
      <c r="AA20" s="202"/>
      <c r="AB20" s="153" t="e">
        <f>#REF!</f>
        <v>#REF!</v>
      </c>
      <c r="AC20" s="202"/>
      <c r="AD20" s="152" t="e">
        <f>#REF!</f>
        <v>#REF!</v>
      </c>
      <c r="AE20" s="202"/>
      <c r="AF20" s="153" t="e">
        <f>#REF!</f>
        <v>#REF!</v>
      </c>
      <c r="AG20" s="202"/>
      <c r="AH20" s="152" t="e">
        <f>#REF!</f>
        <v>#REF!</v>
      </c>
      <c r="AI20" s="202"/>
      <c r="AJ20" s="153" t="e">
        <f>#REF!</f>
        <v>#REF!</v>
      </c>
      <c r="AK20" s="202"/>
      <c r="AL20" s="152" t="e">
        <f>#REF!</f>
        <v>#REF!</v>
      </c>
      <c r="AM20" s="202"/>
      <c r="AN20" s="153" t="e">
        <f>#REF!</f>
        <v>#REF!</v>
      </c>
      <c r="AO20" s="202"/>
      <c r="AP20" s="152" t="e">
        <f>#REF!</f>
        <v>#REF!</v>
      </c>
      <c r="AQ20" s="202"/>
      <c r="AR20" s="154" t="e">
        <f>#REF!</f>
        <v>#REF!</v>
      </c>
      <c r="AS20" s="202"/>
      <c r="AT20" s="153" t="e">
        <f>#REF!</f>
        <v>#REF!</v>
      </c>
      <c r="AU20" s="202"/>
      <c r="AV20" s="152" t="e">
        <f>#REF!</f>
        <v>#REF!</v>
      </c>
      <c r="AW20" s="202"/>
      <c r="AX20" s="153" t="e">
        <f>#REF!</f>
        <v>#REF!</v>
      </c>
      <c r="AY20" s="202"/>
      <c r="AZ20" s="152" t="e">
        <f>#REF!</f>
        <v>#REF!</v>
      </c>
      <c r="BA20" s="202"/>
      <c r="BB20" s="154" t="e">
        <f>#REF!</f>
        <v>#REF!</v>
      </c>
      <c r="BC20" s="137"/>
    </row>
    <row r="21" spans="1:55" ht="30" customHeight="1">
      <c r="A21" s="203" t="e">
        <f>#REF!</f>
        <v>#REF!</v>
      </c>
      <c r="B21" s="204" t="e">
        <f xml:space="preserve"> IF(#REF!=0, "",#REF!)</f>
        <v>#REF!</v>
      </c>
      <c r="C21" s="369" t="e">
        <f>#REF!</f>
        <v>#REF!</v>
      </c>
      <c r="D21" s="369"/>
      <c r="E21" s="291" t="e">
        <f>#REF!</f>
        <v>#REF!</v>
      </c>
      <c r="F21" s="148" t="e">
        <f>#REF!</f>
        <v>#REF!</v>
      </c>
      <c r="G21" s="205" t="e">
        <f xml:space="preserve"> IF(#REF!="", "",#REF!)</f>
        <v>#REF!</v>
      </c>
      <c r="H21" s="205" t="e">
        <f xml:space="preserve"> IF(#REF!="", "",#REF!)</f>
        <v>#REF!</v>
      </c>
      <c r="I21" s="205" t="e">
        <f xml:space="preserve"> IF(#REF!="", "",#REF!)</f>
        <v>#REF!</v>
      </c>
      <c r="J21" s="298" t="e">
        <f>#REF!</f>
        <v>#REF!</v>
      </c>
      <c r="K21" s="149" t="e">
        <f>#REF!</f>
        <v>#REF!</v>
      </c>
      <c r="L21" s="149" t="e">
        <f>#REF!</f>
        <v>#REF!</v>
      </c>
      <c r="M21" s="150" t="e">
        <f>#REF!</f>
        <v>#REF!</v>
      </c>
      <c r="N21" s="364"/>
      <c r="O21" s="202"/>
      <c r="P21" s="151" t="e">
        <f>#REF!</f>
        <v>#REF!</v>
      </c>
      <c r="Q21" s="202"/>
      <c r="R21" s="152" t="e">
        <f>#REF!</f>
        <v>#REF!</v>
      </c>
      <c r="S21" s="202"/>
      <c r="T21" s="153" t="e">
        <f>#REF!</f>
        <v>#REF!</v>
      </c>
      <c r="U21" s="202"/>
      <c r="V21" s="153" t="e">
        <f>#REF!</f>
        <v>#REF!</v>
      </c>
      <c r="W21" s="202"/>
      <c r="X21" s="153" t="e">
        <f>#REF!</f>
        <v>#REF!</v>
      </c>
      <c r="Y21" s="202"/>
      <c r="Z21" s="152" t="e">
        <f>#REF!</f>
        <v>#REF!</v>
      </c>
      <c r="AA21" s="202"/>
      <c r="AB21" s="153" t="e">
        <f>#REF!</f>
        <v>#REF!</v>
      </c>
      <c r="AC21" s="202"/>
      <c r="AD21" s="152" t="e">
        <f>#REF!</f>
        <v>#REF!</v>
      </c>
      <c r="AE21" s="202"/>
      <c r="AF21" s="153" t="e">
        <f>#REF!</f>
        <v>#REF!</v>
      </c>
      <c r="AG21" s="202"/>
      <c r="AH21" s="152" t="e">
        <f>#REF!</f>
        <v>#REF!</v>
      </c>
      <c r="AI21" s="202"/>
      <c r="AJ21" s="153" t="e">
        <f>#REF!</f>
        <v>#REF!</v>
      </c>
      <c r="AK21" s="202"/>
      <c r="AL21" s="152" t="e">
        <f>#REF!</f>
        <v>#REF!</v>
      </c>
      <c r="AM21" s="202"/>
      <c r="AN21" s="153" t="e">
        <f>#REF!</f>
        <v>#REF!</v>
      </c>
      <c r="AO21" s="202"/>
      <c r="AP21" s="152" t="e">
        <f>#REF!</f>
        <v>#REF!</v>
      </c>
      <c r="AQ21" s="202"/>
      <c r="AR21" s="154" t="e">
        <f>#REF!</f>
        <v>#REF!</v>
      </c>
      <c r="AS21" s="202"/>
      <c r="AT21" s="153" t="e">
        <f>#REF!</f>
        <v>#REF!</v>
      </c>
      <c r="AU21" s="202"/>
      <c r="AV21" s="152" t="e">
        <f>#REF!</f>
        <v>#REF!</v>
      </c>
      <c r="AW21" s="202"/>
      <c r="AX21" s="153" t="e">
        <f>#REF!</f>
        <v>#REF!</v>
      </c>
      <c r="AY21" s="202"/>
      <c r="AZ21" s="152" t="e">
        <f>#REF!</f>
        <v>#REF!</v>
      </c>
      <c r="BA21" s="202"/>
      <c r="BB21" s="154" t="e">
        <f>#REF!</f>
        <v>#REF!</v>
      </c>
      <c r="BC21" s="137"/>
    </row>
    <row r="22" spans="1:55" ht="30" customHeight="1">
      <c r="A22" s="203" t="e">
        <f>#REF!</f>
        <v>#REF!</v>
      </c>
      <c r="B22" s="204" t="e">
        <f xml:space="preserve"> IF(#REF!=0, "",#REF!)</f>
        <v>#REF!</v>
      </c>
      <c r="C22" s="369" t="e">
        <f>#REF!</f>
        <v>#REF!</v>
      </c>
      <c r="D22" s="369"/>
      <c r="E22" s="291" t="e">
        <f>#REF!</f>
        <v>#REF!</v>
      </c>
      <c r="F22" s="148" t="e">
        <f>#REF!</f>
        <v>#REF!</v>
      </c>
      <c r="G22" s="205" t="e">
        <f xml:space="preserve"> IF(#REF!="", "",#REF!)</f>
        <v>#REF!</v>
      </c>
      <c r="H22" s="205" t="e">
        <f xml:space="preserve"> IF(#REF!="", "",#REF!)</f>
        <v>#REF!</v>
      </c>
      <c r="I22" s="205" t="e">
        <f xml:space="preserve"> IF(#REF!="", "",#REF!)</f>
        <v>#REF!</v>
      </c>
      <c r="J22" s="298" t="e">
        <f>#REF!</f>
        <v>#REF!</v>
      </c>
      <c r="K22" s="149" t="e">
        <f>#REF!</f>
        <v>#REF!</v>
      </c>
      <c r="L22" s="149" t="e">
        <f>#REF!</f>
        <v>#REF!</v>
      </c>
      <c r="M22" s="150" t="e">
        <f>#REF!</f>
        <v>#REF!</v>
      </c>
      <c r="N22" s="364"/>
      <c r="O22" s="202"/>
      <c r="P22" s="151" t="e">
        <f>#REF!</f>
        <v>#REF!</v>
      </c>
      <c r="Q22" s="202"/>
      <c r="R22" s="152" t="e">
        <f>#REF!</f>
        <v>#REF!</v>
      </c>
      <c r="S22" s="202"/>
      <c r="T22" s="153" t="e">
        <f>#REF!</f>
        <v>#REF!</v>
      </c>
      <c r="U22" s="202"/>
      <c r="V22" s="153" t="e">
        <f>#REF!</f>
        <v>#REF!</v>
      </c>
      <c r="W22" s="202"/>
      <c r="X22" s="153" t="e">
        <f>#REF!</f>
        <v>#REF!</v>
      </c>
      <c r="Y22" s="202"/>
      <c r="Z22" s="152" t="e">
        <f>#REF!</f>
        <v>#REF!</v>
      </c>
      <c r="AA22" s="202"/>
      <c r="AB22" s="153" t="e">
        <f>#REF!</f>
        <v>#REF!</v>
      </c>
      <c r="AC22" s="202"/>
      <c r="AD22" s="152" t="e">
        <f>#REF!</f>
        <v>#REF!</v>
      </c>
      <c r="AE22" s="202"/>
      <c r="AF22" s="153" t="e">
        <f>#REF!</f>
        <v>#REF!</v>
      </c>
      <c r="AG22" s="202"/>
      <c r="AH22" s="152" t="e">
        <f>#REF!</f>
        <v>#REF!</v>
      </c>
      <c r="AI22" s="202"/>
      <c r="AJ22" s="153" t="e">
        <f>#REF!</f>
        <v>#REF!</v>
      </c>
      <c r="AK22" s="202"/>
      <c r="AL22" s="152" t="e">
        <f>#REF!</f>
        <v>#REF!</v>
      </c>
      <c r="AM22" s="202"/>
      <c r="AN22" s="153" t="e">
        <f>#REF!</f>
        <v>#REF!</v>
      </c>
      <c r="AO22" s="202"/>
      <c r="AP22" s="152" t="e">
        <f>#REF!</f>
        <v>#REF!</v>
      </c>
      <c r="AQ22" s="202"/>
      <c r="AR22" s="154" t="e">
        <f>#REF!</f>
        <v>#REF!</v>
      </c>
      <c r="AS22" s="202"/>
      <c r="AT22" s="153" t="e">
        <f>#REF!</f>
        <v>#REF!</v>
      </c>
      <c r="AU22" s="202"/>
      <c r="AV22" s="152" t="e">
        <f>#REF!</f>
        <v>#REF!</v>
      </c>
      <c r="AW22" s="202"/>
      <c r="AX22" s="153" t="e">
        <f>#REF!</f>
        <v>#REF!</v>
      </c>
      <c r="AY22" s="202"/>
      <c r="AZ22" s="152" t="e">
        <f>#REF!</f>
        <v>#REF!</v>
      </c>
      <c r="BA22" s="202"/>
      <c r="BB22" s="154" t="e">
        <f>#REF!</f>
        <v>#REF!</v>
      </c>
      <c r="BC22" s="137"/>
    </row>
    <row r="23" spans="1:55" ht="30" customHeight="1">
      <c r="A23" s="203" t="e">
        <f>#REF!</f>
        <v>#REF!</v>
      </c>
      <c r="B23" s="204" t="e">
        <f xml:space="preserve"> IF(#REF!=0, "",#REF!)</f>
        <v>#REF!</v>
      </c>
      <c r="C23" s="369" t="e">
        <f>#REF!</f>
        <v>#REF!</v>
      </c>
      <c r="D23" s="369"/>
      <c r="E23" s="291" t="e">
        <f>#REF!</f>
        <v>#REF!</v>
      </c>
      <c r="F23" s="148" t="e">
        <f>#REF!</f>
        <v>#REF!</v>
      </c>
      <c r="G23" s="205" t="e">
        <f xml:space="preserve"> IF(#REF!="", "",#REF!)</f>
        <v>#REF!</v>
      </c>
      <c r="H23" s="205" t="e">
        <f xml:space="preserve"> IF(#REF!="", "",#REF!)</f>
        <v>#REF!</v>
      </c>
      <c r="I23" s="205" t="e">
        <f xml:space="preserve"> IF(#REF!="", "",#REF!)</f>
        <v>#REF!</v>
      </c>
      <c r="J23" s="298" t="e">
        <f>#REF!</f>
        <v>#REF!</v>
      </c>
      <c r="K23" s="149" t="e">
        <f>#REF!</f>
        <v>#REF!</v>
      </c>
      <c r="L23" s="149" t="e">
        <f>#REF!</f>
        <v>#REF!</v>
      </c>
      <c r="M23" s="150" t="e">
        <f>#REF!</f>
        <v>#REF!</v>
      </c>
      <c r="N23" s="364"/>
      <c r="O23" s="202"/>
      <c r="P23" s="151" t="e">
        <f>#REF!</f>
        <v>#REF!</v>
      </c>
      <c r="Q23" s="202"/>
      <c r="R23" s="152" t="e">
        <f>#REF!</f>
        <v>#REF!</v>
      </c>
      <c r="S23" s="202"/>
      <c r="T23" s="153" t="e">
        <f>#REF!</f>
        <v>#REF!</v>
      </c>
      <c r="U23" s="202"/>
      <c r="V23" s="153" t="e">
        <f>#REF!</f>
        <v>#REF!</v>
      </c>
      <c r="W23" s="202"/>
      <c r="X23" s="153" t="e">
        <f>#REF!</f>
        <v>#REF!</v>
      </c>
      <c r="Y23" s="202"/>
      <c r="Z23" s="152" t="e">
        <f>#REF!</f>
        <v>#REF!</v>
      </c>
      <c r="AA23" s="202"/>
      <c r="AB23" s="153" t="e">
        <f>#REF!</f>
        <v>#REF!</v>
      </c>
      <c r="AC23" s="202"/>
      <c r="AD23" s="152" t="e">
        <f>#REF!</f>
        <v>#REF!</v>
      </c>
      <c r="AE23" s="202"/>
      <c r="AF23" s="153" t="e">
        <f>#REF!</f>
        <v>#REF!</v>
      </c>
      <c r="AG23" s="202"/>
      <c r="AH23" s="152" t="e">
        <f>#REF!</f>
        <v>#REF!</v>
      </c>
      <c r="AI23" s="202"/>
      <c r="AJ23" s="153" t="e">
        <f>#REF!</f>
        <v>#REF!</v>
      </c>
      <c r="AK23" s="202"/>
      <c r="AL23" s="152" t="e">
        <f>#REF!</f>
        <v>#REF!</v>
      </c>
      <c r="AM23" s="202"/>
      <c r="AN23" s="153" t="e">
        <f>#REF!</f>
        <v>#REF!</v>
      </c>
      <c r="AO23" s="202"/>
      <c r="AP23" s="152" t="e">
        <f>#REF!</f>
        <v>#REF!</v>
      </c>
      <c r="AQ23" s="202"/>
      <c r="AR23" s="154" t="e">
        <f>#REF!</f>
        <v>#REF!</v>
      </c>
      <c r="AS23" s="202"/>
      <c r="AT23" s="153" t="e">
        <f>#REF!</f>
        <v>#REF!</v>
      </c>
      <c r="AU23" s="202"/>
      <c r="AV23" s="152" t="e">
        <f>#REF!</f>
        <v>#REF!</v>
      </c>
      <c r="AW23" s="202"/>
      <c r="AX23" s="153" t="e">
        <f>#REF!</f>
        <v>#REF!</v>
      </c>
      <c r="AY23" s="202"/>
      <c r="AZ23" s="152" t="e">
        <f>#REF!</f>
        <v>#REF!</v>
      </c>
      <c r="BA23" s="202"/>
      <c r="BB23" s="154" t="e">
        <f>#REF!</f>
        <v>#REF!</v>
      </c>
      <c r="BC23" s="137"/>
    </row>
    <row r="24" spans="1:55" ht="30" customHeight="1">
      <c r="A24" s="203" t="e">
        <f>#REF!</f>
        <v>#REF!</v>
      </c>
      <c r="B24" s="204" t="e">
        <f xml:space="preserve"> IF(#REF!=0, "",#REF!)</f>
        <v>#REF!</v>
      </c>
      <c r="C24" s="369" t="e">
        <f>#REF!</f>
        <v>#REF!</v>
      </c>
      <c r="D24" s="369"/>
      <c r="E24" s="291" t="e">
        <f>#REF!</f>
        <v>#REF!</v>
      </c>
      <c r="F24" s="148" t="e">
        <f>#REF!</f>
        <v>#REF!</v>
      </c>
      <c r="G24" s="205" t="e">
        <f xml:space="preserve"> IF(#REF!="", "",#REF!)</f>
        <v>#REF!</v>
      </c>
      <c r="H24" s="205" t="e">
        <f xml:space="preserve"> IF(#REF!="", "",#REF!)</f>
        <v>#REF!</v>
      </c>
      <c r="I24" s="205" t="e">
        <f xml:space="preserve"> IF(#REF!="", "",#REF!)</f>
        <v>#REF!</v>
      </c>
      <c r="J24" s="298" t="e">
        <f>#REF!</f>
        <v>#REF!</v>
      </c>
      <c r="K24" s="149" t="e">
        <f>#REF!</f>
        <v>#REF!</v>
      </c>
      <c r="L24" s="149" t="e">
        <f>#REF!</f>
        <v>#REF!</v>
      </c>
      <c r="M24" s="150" t="e">
        <f>#REF!</f>
        <v>#REF!</v>
      </c>
      <c r="N24" s="364"/>
      <c r="O24" s="202"/>
      <c r="P24" s="151" t="e">
        <f>#REF!</f>
        <v>#REF!</v>
      </c>
      <c r="Q24" s="202"/>
      <c r="R24" s="152" t="e">
        <f>#REF!</f>
        <v>#REF!</v>
      </c>
      <c r="S24" s="202"/>
      <c r="T24" s="153" t="e">
        <f>#REF!</f>
        <v>#REF!</v>
      </c>
      <c r="U24" s="202"/>
      <c r="V24" s="153" t="e">
        <f>#REF!</f>
        <v>#REF!</v>
      </c>
      <c r="W24" s="202"/>
      <c r="X24" s="153" t="e">
        <f>#REF!</f>
        <v>#REF!</v>
      </c>
      <c r="Y24" s="202"/>
      <c r="Z24" s="152" t="e">
        <f>#REF!</f>
        <v>#REF!</v>
      </c>
      <c r="AA24" s="202"/>
      <c r="AB24" s="153" t="e">
        <f>#REF!</f>
        <v>#REF!</v>
      </c>
      <c r="AC24" s="202"/>
      <c r="AD24" s="152" t="e">
        <f>#REF!</f>
        <v>#REF!</v>
      </c>
      <c r="AE24" s="202"/>
      <c r="AF24" s="153" t="e">
        <f>#REF!</f>
        <v>#REF!</v>
      </c>
      <c r="AG24" s="202"/>
      <c r="AH24" s="152" t="e">
        <f>#REF!</f>
        <v>#REF!</v>
      </c>
      <c r="AI24" s="202"/>
      <c r="AJ24" s="153" t="e">
        <f>#REF!</f>
        <v>#REF!</v>
      </c>
      <c r="AK24" s="202"/>
      <c r="AL24" s="152" t="e">
        <f>#REF!</f>
        <v>#REF!</v>
      </c>
      <c r="AM24" s="202"/>
      <c r="AN24" s="153" t="e">
        <f>#REF!</f>
        <v>#REF!</v>
      </c>
      <c r="AO24" s="202"/>
      <c r="AP24" s="152" t="e">
        <f>#REF!</f>
        <v>#REF!</v>
      </c>
      <c r="AQ24" s="202"/>
      <c r="AR24" s="154" t="e">
        <f>#REF!</f>
        <v>#REF!</v>
      </c>
      <c r="AS24" s="202"/>
      <c r="AT24" s="153" t="e">
        <f>#REF!</f>
        <v>#REF!</v>
      </c>
      <c r="AU24" s="202"/>
      <c r="AV24" s="152" t="e">
        <f>#REF!</f>
        <v>#REF!</v>
      </c>
      <c r="AW24" s="202"/>
      <c r="AX24" s="153" t="e">
        <f>#REF!</f>
        <v>#REF!</v>
      </c>
      <c r="AY24" s="202"/>
      <c r="AZ24" s="152" t="e">
        <f>#REF!</f>
        <v>#REF!</v>
      </c>
      <c r="BA24" s="202"/>
      <c r="BB24" s="154" t="e">
        <f>#REF!</f>
        <v>#REF!</v>
      </c>
      <c r="BC24" s="137"/>
    </row>
    <row r="25" spans="1:55" ht="30" customHeight="1">
      <c r="A25" s="203" t="e">
        <f>#REF!</f>
        <v>#REF!</v>
      </c>
      <c r="B25" s="204" t="e">
        <f xml:space="preserve"> IF(#REF!=0, "",#REF!)</f>
        <v>#REF!</v>
      </c>
      <c r="C25" s="369" t="e">
        <f>#REF!</f>
        <v>#REF!</v>
      </c>
      <c r="D25" s="369"/>
      <c r="E25" s="291" t="e">
        <f>#REF!</f>
        <v>#REF!</v>
      </c>
      <c r="F25" s="148" t="e">
        <f>#REF!</f>
        <v>#REF!</v>
      </c>
      <c r="G25" s="205" t="e">
        <f xml:space="preserve"> IF(#REF!="", "",#REF!)</f>
        <v>#REF!</v>
      </c>
      <c r="H25" s="205" t="e">
        <f xml:space="preserve"> IF(#REF!="", "",#REF!)</f>
        <v>#REF!</v>
      </c>
      <c r="I25" s="205" t="e">
        <f xml:space="preserve"> IF(#REF!="", "",#REF!)</f>
        <v>#REF!</v>
      </c>
      <c r="J25" s="298" t="e">
        <f>#REF!</f>
        <v>#REF!</v>
      </c>
      <c r="K25" s="149" t="e">
        <f>#REF!</f>
        <v>#REF!</v>
      </c>
      <c r="L25" s="149" t="e">
        <f>#REF!</f>
        <v>#REF!</v>
      </c>
      <c r="M25" s="150" t="e">
        <f>#REF!</f>
        <v>#REF!</v>
      </c>
      <c r="N25" s="364"/>
      <c r="O25" s="202"/>
      <c r="P25" s="151" t="e">
        <f>#REF!</f>
        <v>#REF!</v>
      </c>
      <c r="Q25" s="202"/>
      <c r="R25" s="152" t="e">
        <f>#REF!</f>
        <v>#REF!</v>
      </c>
      <c r="S25" s="202"/>
      <c r="T25" s="153" t="e">
        <f>#REF!</f>
        <v>#REF!</v>
      </c>
      <c r="U25" s="202"/>
      <c r="V25" s="153" t="e">
        <f>#REF!</f>
        <v>#REF!</v>
      </c>
      <c r="W25" s="202"/>
      <c r="X25" s="153" t="e">
        <f>#REF!</f>
        <v>#REF!</v>
      </c>
      <c r="Y25" s="202"/>
      <c r="Z25" s="152" t="e">
        <f>#REF!</f>
        <v>#REF!</v>
      </c>
      <c r="AA25" s="202"/>
      <c r="AB25" s="153" t="e">
        <f>#REF!</f>
        <v>#REF!</v>
      </c>
      <c r="AC25" s="202"/>
      <c r="AD25" s="152" t="e">
        <f>#REF!</f>
        <v>#REF!</v>
      </c>
      <c r="AE25" s="202"/>
      <c r="AF25" s="153" t="e">
        <f>#REF!</f>
        <v>#REF!</v>
      </c>
      <c r="AG25" s="202"/>
      <c r="AH25" s="152" t="e">
        <f>#REF!</f>
        <v>#REF!</v>
      </c>
      <c r="AI25" s="202"/>
      <c r="AJ25" s="153" t="e">
        <f>#REF!</f>
        <v>#REF!</v>
      </c>
      <c r="AK25" s="202"/>
      <c r="AL25" s="152" t="e">
        <f>#REF!</f>
        <v>#REF!</v>
      </c>
      <c r="AM25" s="202"/>
      <c r="AN25" s="153" t="e">
        <f>#REF!</f>
        <v>#REF!</v>
      </c>
      <c r="AO25" s="202"/>
      <c r="AP25" s="152" t="e">
        <f>#REF!</f>
        <v>#REF!</v>
      </c>
      <c r="AQ25" s="202"/>
      <c r="AR25" s="154" t="e">
        <f>#REF!</f>
        <v>#REF!</v>
      </c>
      <c r="AS25" s="202"/>
      <c r="AT25" s="153" t="e">
        <f>#REF!</f>
        <v>#REF!</v>
      </c>
      <c r="AU25" s="202"/>
      <c r="AV25" s="152" t="e">
        <f>#REF!</f>
        <v>#REF!</v>
      </c>
      <c r="AW25" s="202"/>
      <c r="AX25" s="153" t="e">
        <f>#REF!</f>
        <v>#REF!</v>
      </c>
      <c r="AY25" s="202"/>
      <c r="AZ25" s="152" t="e">
        <f>#REF!</f>
        <v>#REF!</v>
      </c>
      <c r="BA25" s="202"/>
      <c r="BB25" s="154" t="e">
        <f>#REF!</f>
        <v>#REF!</v>
      </c>
      <c r="BC25" s="137"/>
    </row>
    <row r="26" spans="1:55" ht="30" customHeight="1">
      <c r="A26" s="203" t="e">
        <f>#REF!</f>
        <v>#REF!</v>
      </c>
      <c r="B26" s="204" t="e">
        <f xml:space="preserve"> IF(#REF!=0, "",#REF!)</f>
        <v>#REF!</v>
      </c>
      <c r="C26" s="369" t="e">
        <f>#REF!</f>
        <v>#REF!</v>
      </c>
      <c r="D26" s="369"/>
      <c r="E26" s="291" t="e">
        <f>#REF!</f>
        <v>#REF!</v>
      </c>
      <c r="F26" s="148" t="e">
        <f>#REF!</f>
        <v>#REF!</v>
      </c>
      <c r="G26" s="205" t="e">
        <f xml:space="preserve"> IF(#REF!="", "",#REF!)</f>
        <v>#REF!</v>
      </c>
      <c r="H26" s="205" t="e">
        <f xml:space="preserve"> IF(#REF!="", "",#REF!)</f>
        <v>#REF!</v>
      </c>
      <c r="I26" s="205" t="e">
        <f xml:space="preserve"> IF(#REF!="", "",#REF!)</f>
        <v>#REF!</v>
      </c>
      <c r="J26" s="298" t="e">
        <f>#REF!</f>
        <v>#REF!</v>
      </c>
      <c r="K26" s="149" t="e">
        <f>#REF!</f>
        <v>#REF!</v>
      </c>
      <c r="L26" s="149" t="e">
        <f>#REF!</f>
        <v>#REF!</v>
      </c>
      <c r="M26" s="150" t="e">
        <f>#REF!</f>
        <v>#REF!</v>
      </c>
      <c r="N26" s="364"/>
      <c r="O26" s="202"/>
      <c r="P26" s="151" t="e">
        <f>#REF!</f>
        <v>#REF!</v>
      </c>
      <c r="Q26" s="202"/>
      <c r="R26" s="152" t="e">
        <f>#REF!</f>
        <v>#REF!</v>
      </c>
      <c r="S26" s="202"/>
      <c r="T26" s="153" t="e">
        <f>#REF!</f>
        <v>#REF!</v>
      </c>
      <c r="U26" s="202"/>
      <c r="V26" s="153" t="e">
        <f>#REF!</f>
        <v>#REF!</v>
      </c>
      <c r="W26" s="202"/>
      <c r="X26" s="153" t="e">
        <f>#REF!</f>
        <v>#REF!</v>
      </c>
      <c r="Y26" s="202"/>
      <c r="Z26" s="152" t="e">
        <f>#REF!</f>
        <v>#REF!</v>
      </c>
      <c r="AA26" s="202"/>
      <c r="AB26" s="153" t="e">
        <f>#REF!</f>
        <v>#REF!</v>
      </c>
      <c r="AC26" s="202"/>
      <c r="AD26" s="152" t="e">
        <f>#REF!</f>
        <v>#REF!</v>
      </c>
      <c r="AE26" s="202"/>
      <c r="AF26" s="153" t="e">
        <f>#REF!</f>
        <v>#REF!</v>
      </c>
      <c r="AG26" s="202"/>
      <c r="AH26" s="152" t="e">
        <f>#REF!</f>
        <v>#REF!</v>
      </c>
      <c r="AI26" s="202"/>
      <c r="AJ26" s="153" t="e">
        <f>#REF!</f>
        <v>#REF!</v>
      </c>
      <c r="AK26" s="202"/>
      <c r="AL26" s="152" t="e">
        <f>#REF!</f>
        <v>#REF!</v>
      </c>
      <c r="AM26" s="202"/>
      <c r="AN26" s="153" t="e">
        <f>#REF!</f>
        <v>#REF!</v>
      </c>
      <c r="AO26" s="202"/>
      <c r="AP26" s="152" t="e">
        <f>#REF!</f>
        <v>#REF!</v>
      </c>
      <c r="AQ26" s="202"/>
      <c r="AR26" s="154" t="e">
        <f>#REF!</f>
        <v>#REF!</v>
      </c>
      <c r="AS26" s="202"/>
      <c r="AT26" s="153" t="e">
        <f>#REF!</f>
        <v>#REF!</v>
      </c>
      <c r="AU26" s="202"/>
      <c r="AV26" s="152" t="e">
        <f>#REF!</f>
        <v>#REF!</v>
      </c>
      <c r="AW26" s="202"/>
      <c r="AX26" s="153" t="e">
        <f>#REF!</f>
        <v>#REF!</v>
      </c>
      <c r="AY26" s="202"/>
      <c r="AZ26" s="152" t="e">
        <f>#REF!</f>
        <v>#REF!</v>
      </c>
      <c r="BA26" s="202"/>
      <c r="BB26" s="154" t="e">
        <f>#REF!</f>
        <v>#REF!</v>
      </c>
      <c r="BC26" s="137"/>
    </row>
    <row r="27" spans="1:55" ht="30" customHeight="1">
      <c r="A27" s="203" t="e">
        <f>#REF!</f>
        <v>#REF!</v>
      </c>
      <c r="B27" s="204" t="e">
        <f xml:space="preserve"> IF(#REF!=0, "",#REF!)</f>
        <v>#REF!</v>
      </c>
      <c r="C27" s="369" t="e">
        <f>#REF!</f>
        <v>#REF!</v>
      </c>
      <c r="D27" s="369"/>
      <c r="E27" s="291" t="e">
        <f>#REF!</f>
        <v>#REF!</v>
      </c>
      <c r="F27" s="148" t="e">
        <f>#REF!</f>
        <v>#REF!</v>
      </c>
      <c r="G27" s="205" t="e">
        <f xml:space="preserve"> IF(#REF!="", "",#REF!)</f>
        <v>#REF!</v>
      </c>
      <c r="H27" s="205" t="e">
        <f xml:space="preserve"> IF(#REF!="", "",#REF!)</f>
        <v>#REF!</v>
      </c>
      <c r="I27" s="205" t="e">
        <f xml:space="preserve"> IF(#REF!="", "",#REF!)</f>
        <v>#REF!</v>
      </c>
      <c r="J27" s="298" t="e">
        <f>#REF!</f>
        <v>#REF!</v>
      </c>
      <c r="K27" s="149" t="e">
        <f>#REF!</f>
        <v>#REF!</v>
      </c>
      <c r="L27" s="149" t="e">
        <f>#REF!</f>
        <v>#REF!</v>
      </c>
      <c r="M27" s="150" t="e">
        <f>#REF!</f>
        <v>#REF!</v>
      </c>
      <c r="N27" s="364"/>
      <c r="O27" s="202"/>
      <c r="P27" s="151" t="e">
        <f>#REF!</f>
        <v>#REF!</v>
      </c>
      <c r="Q27" s="202"/>
      <c r="R27" s="152" t="e">
        <f>#REF!</f>
        <v>#REF!</v>
      </c>
      <c r="S27" s="202"/>
      <c r="T27" s="153" t="e">
        <f>#REF!</f>
        <v>#REF!</v>
      </c>
      <c r="U27" s="202"/>
      <c r="V27" s="153" t="e">
        <f>#REF!</f>
        <v>#REF!</v>
      </c>
      <c r="W27" s="202"/>
      <c r="X27" s="153" t="e">
        <f>#REF!</f>
        <v>#REF!</v>
      </c>
      <c r="Y27" s="202"/>
      <c r="Z27" s="152" t="e">
        <f>#REF!</f>
        <v>#REF!</v>
      </c>
      <c r="AA27" s="202"/>
      <c r="AB27" s="153" t="e">
        <f>#REF!</f>
        <v>#REF!</v>
      </c>
      <c r="AC27" s="202"/>
      <c r="AD27" s="152" t="e">
        <f>#REF!</f>
        <v>#REF!</v>
      </c>
      <c r="AE27" s="202"/>
      <c r="AF27" s="153" t="e">
        <f>#REF!</f>
        <v>#REF!</v>
      </c>
      <c r="AG27" s="202"/>
      <c r="AH27" s="152" t="e">
        <f>#REF!</f>
        <v>#REF!</v>
      </c>
      <c r="AI27" s="202"/>
      <c r="AJ27" s="153" t="e">
        <f>#REF!</f>
        <v>#REF!</v>
      </c>
      <c r="AK27" s="202"/>
      <c r="AL27" s="152" t="e">
        <f>#REF!</f>
        <v>#REF!</v>
      </c>
      <c r="AM27" s="202"/>
      <c r="AN27" s="153" t="e">
        <f>#REF!</f>
        <v>#REF!</v>
      </c>
      <c r="AO27" s="202"/>
      <c r="AP27" s="152" t="e">
        <f>#REF!</f>
        <v>#REF!</v>
      </c>
      <c r="AQ27" s="202"/>
      <c r="AR27" s="154" t="e">
        <f>#REF!</f>
        <v>#REF!</v>
      </c>
      <c r="AS27" s="202"/>
      <c r="AT27" s="153" t="e">
        <f>#REF!</f>
        <v>#REF!</v>
      </c>
      <c r="AU27" s="202"/>
      <c r="AV27" s="152" t="e">
        <f>#REF!</f>
        <v>#REF!</v>
      </c>
      <c r="AW27" s="202"/>
      <c r="AX27" s="153" t="e">
        <f>#REF!</f>
        <v>#REF!</v>
      </c>
      <c r="AY27" s="202"/>
      <c r="AZ27" s="152" t="e">
        <f>#REF!</f>
        <v>#REF!</v>
      </c>
      <c r="BA27" s="202"/>
      <c r="BB27" s="154" t="e">
        <f>#REF!</f>
        <v>#REF!</v>
      </c>
      <c r="BC27" s="137"/>
    </row>
    <row r="28" spans="1:55" ht="30" customHeight="1">
      <c r="A28" s="203" t="e">
        <f>#REF!</f>
        <v>#REF!</v>
      </c>
      <c r="B28" s="204" t="e">
        <f xml:space="preserve"> IF(#REF!=0, "",#REF!)</f>
        <v>#REF!</v>
      </c>
      <c r="C28" s="369" t="e">
        <f>#REF!</f>
        <v>#REF!</v>
      </c>
      <c r="D28" s="369"/>
      <c r="E28" s="291" t="e">
        <f>#REF!</f>
        <v>#REF!</v>
      </c>
      <c r="F28" s="148" t="e">
        <f>#REF!</f>
        <v>#REF!</v>
      </c>
      <c r="G28" s="205" t="e">
        <f xml:space="preserve"> IF(#REF!="", "",#REF!)</f>
        <v>#REF!</v>
      </c>
      <c r="H28" s="205" t="e">
        <f xml:space="preserve"> IF(#REF!="", "",#REF!)</f>
        <v>#REF!</v>
      </c>
      <c r="I28" s="205" t="e">
        <f xml:space="preserve"> IF(#REF!="", "",#REF!)</f>
        <v>#REF!</v>
      </c>
      <c r="J28" s="298" t="e">
        <f>#REF!</f>
        <v>#REF!</v>
      </c>
      <c r="K28" s="149" t="e">
        <f>#REF!</f>
        <v>#REF!</v>
      </c>
      <c r="L28" s="149" t="e">
        <f>#REF!</f>
        <v>#REF!</v>
      </c>
      <c r="M28" s="150" t="e">
        <f>#REF!</f>
        <v>#REF!</v>
      </c>
      <c r="N28" s="364"/>
      <c r="O28" s="202"/>
      <c r="P28" s="151" t="e">
        <f>#REF!</f>
        <v>#REF!</v>
      </c>
      <c r="Q28" s="202"/>
      <c r="R28" s="152" t="e">
        <f>#REF!</f>
        <v>#REF!</v>
      </c>
      <c r="S28" s="202"/>
      <c r="T28" s="153" t="e">
        <f>#REF!</f>
        <v>#REF!</v>
      </c>
      <c r="U28" s="202"/>
      <c r="V28" s="153" t="e">
        <f>#REF!</f>
        <v>#REF!</v>
      </c>
      <c r="W28" s="202"/>
      <c r="X28" s="153" t="e">
        <f>#REF!</f>
        <v>#REF!</v>
      </c>
      <c r="Y28" s="202"/>
      <c r="Z28" s="152" t="e">
        <f>#REF!</f>
        <v>#REF!</v>
      </c>
      <c r="AA28" s="202"/>
      <c r="AB28" s="153" t="e">
        <f>#REF!</f>
        <v>#REF!</v>
      </c>
      <c r="AC28" s="202"/>
      <c r="AD28" s="152" t="e">
        <f>#REF!</f>
        <v>#REF!</v>
      </c>
      <c r="AE28" s="202"/>
      <c r="AF28" s="153" t="e">
        <f>#REF!</f>
        <v>#REF!</v>
      </c>
      <c r="AG28" s="202"/>
      <c r="AH28" s="152" t="e">
        <f>#REF!</f>
        <v>#REF!</v>
      </c>
      <c r="AI28" s="202"/>
      <c r="AJ28" s="153" t="e">
        <f>#REF!</f>
        <v>#REF!</v>
      </c>
      <c r="AK28" s="202"/>
      <c r="AL28" s="152" t="e">
        <f>#REF!</f>
        <v>#REF!</v>
      </c>
      <c r="AM28" s="202"/>
      <c r="AN28" s="153" t="e">
        <f>#REF!</f>
        <v>#REF!</v>
      </c>
      <c r="AO28" s="202"/>
      <c r="AP28" s="152" t="e">
        <f>#REF!</f>
        <v>#REF!</v>
      </c>
      <c r="AQ28" s="202"/>
      <c r="AR28" s="154" t="e">
        <f>#REF!</f>
        <v>#REF!</v>
      </c>
      <c r="AS28" s="202"/>
      <c r="AT28" s="153" t="e">
        <f>#REF!</f>
        <v>#REF!</v>
      </c>
      <c r="AU28" s="202"/>
      <c r="AV28" s="152" t="e">
        <f>#REF!</f>
        <v>#REF!</v>
      </c>
      <c r="AW28" s="202"/>
      <c r="AX28" s="153" t="e">
        <f>#REF!</f>
        <v>#REF!</v>
      </c>
      <c r="AY28" s="202"/>
      <c r="AZ28" s="152" t="e">
        <f>#REF!</f>
        <v>#REF!</v>
      </c>
      <c r="BA28" s="202"/>
      <c r="BB28" s="154" t="e">
        <f>#REF!</f>
        <v>#REF!</v>
      </c>
      <c r="BC28" s="137"/>
    </row>
    <row r="29" spans="1:55" ht="30" customHeight="1">
      <c r="A29" s="203" t="e">
        <f>#REF!</f>
        <v>#REF!</v>
      </c>
      <c r="B29" s="204" t="e">
        <f xml:space="preserve"> IF(#REF!=0, "",#REF!)</f>
        <v>#REF!</v>
      </c>
      <c r="C29" s="369" t="e">
        <f>#REF!</f>
        <v>#REF!</v>
      </c>
      <c r="D29" s="369"/>
      <c r="E29" s="291" t="e">
        <f>#REF!</f>
        <v>#REF!</v>
      </c>
      <c r="F29" s="148" t="e">
        <f>#REF!</f>
        <v>#REF!</v>
      </c>
      <c r="G29" s="205" t="e">
        <f xml:space="preserve"> IF(#REF!="", "",#REF!)</f>
        <v>#REF!</v>
      </c>
      <c r="H29" s="205" t="e">
        <f xml:space="preserve"> IF(#REF!="", "",#REF!)</f>
        <v>#REF!</v>
      </c>
      <c r="I29" s="205" t="e">
        <f xml:space="preserve"> IF(#REF!="", "",#REF!)</f>
        <v>#REF!</v>
      </c>
      <c r="J29" s="298" t="e">
        <f>#REF!</f>
        <v>#REF!</v>
      </c>
      <c r="K29" s="149" t="e">
        <f>#REF!</f>
        <v>#REF!</v>
      </c>
      <c r="L29" s="149" t="e">
        <f>#REF!</f>
        <v>#REF!</v>
      </c>
      <c r="M29" s="150" t="e">
        <f>#REF!</f>
        <v>#REF!</v>
      </c>
      <c r="N29" s="364"/>
      <c r="O29" s="202"/>
      <c r="P29" s="151" t="e">
        <f>#REF!</f>
        <v>#REF!</v>
      </c>
      <c r="Q29" s="202"/>
      <c r="R29" s="152" t="e">
        <f>#REF!</f>
        <v>#REF!</v>
      </c>
      <c r="S29" s="202"/>
      <c r="T29" s="153" t="e">
        <f>#REF!</f>
        <v>#REF!</v>
      </c>
      <c r="U29" s="202"/>
      <c r="V29" s="153" t="e">
        <f>#REF!</f>
        <v>#REF!</v>
      </c>
      <c r="W29" s="202"/>
      <c r="X29" s="153" t="e">
        <f>#REF!</f>
        <v>#REF!</v>
      </c>
      <c r="Y29" s="202"/>
      <c r="Z29" s="152" t="e">
        <f>#REF!</f>
        <v>#REF!</v>
      </c>
      <c r="AA29" s="202"/>
      <c r="AB29" s="153" t="e">
        <f>#REF!</f>
        <v>#REF!</v>
      </c>
      <c r="AC29" s="202"/>
      <c r="AD29" s="152" t="e">
        <f>#REF!</f>
        <v>#REF!</v>
      </c>
      <c r="AE29" s="202"/>
      <c r="AF29" s="153" t="e">
        <f>#REF!</f>
        <v>#REF!</v>
      </c>
      <c r="AG29" s="202"/>
      <c r="AH29" s="152" t="e">
        <f>#REF!</f>
        <v>#REF!</v>
      </c>
      <c r="AI29" s="202"/>
      <c r="AJ29" s="153" t="e">
        <f>#REF!</f>
        <v>#REF!</v>
      </c>
      <c r="AK29" s="202"/>
      <c r="AL29" s="152" t="e">
        <f>#REF!</f>
        <v>#REF!</v>
      </c>
      <c r="AM29" s="202"/>
      <c r="AN29" s="153" t="e">
        <f>#REF!</f>
        <v>#REF!</v>
      </c>
      <c r="AO29" s="202"/>
      <c r="AP29" s="152" t="e">
        <f>#REF!</f>
        <v>#REF!</v>
      </c>
      <c r="AQ29" s="202"/>
      <c r="AR29" s="154" t="e">
        <f>#REF!</f>
        <v>#REF!</v>
      </c>
      <c r="AS29" s="202"/>
      <c r="AT29" s="153" t="e">
        <f>#REF!</f>
        <v>#REF!</v>
      </c>
      <c r="AU29" s="202"/>
      <c r="AV29" s="152" t="e">
        <f>#REF!</f>
        <v>#REF!</v>
      </c>
      <c r="AW29" s="202"/>
      <c r="AX29" s="153" t="e">
        <f>#REF!</f>
        <v>#REF!</v>
      </c>
      <c r="AY29" s="202"/>
      <c r="AZ29" s="152" t="e">
        <f>#REF!</f>
        <v>#REF!</v>
      </c>
      <c r="BA29" s="202"/>
      <c r="BB29" s="154" t="e">
        <f>#REF!</f>
        <v>#REF!</v>
      </c>
      <c r="BC29" s="137"/>
    </row>
    <row r="30" spans="1:55" ht="30" customHeight="1">
      <c r="A30" s="203" t="e">
        <f>#REF!</f>
        <v>#REF!</v>
      </c>
      <c r="B30" s="204" t="e">
        <f xml:space="preserve"> IF(#REF!=0, "",#REF!)</f>
        <v>#REF!</v>
      </c>
      <c r="C30" s="369" t="e">
        <f>#REF!</f>
        <v>#REF!</v>
      </c>
      <c r="D30" s="369"/>
      <c r="E30" s="291" t="e">
        <f>#REF!</f>
        <v>#REF!</v>
      </c>
      <c r="F30" s="148" t="e">
        <f>#REF!</f>
        <v>#REF!</v>
      </c>
      <c r="G30" s="205" t="e">
        <f xml:space="preserve"> IF(#REF!="", "",#REF!)</f>
        <v>#REF!</v>
      </c>
      <c r="H30" s="205" t="e">
        <f xml:space="preserve"> IF(#REF!="", "",#REF!)</f>
        <v>#REF!</v>
      </c>
      <c r="I30" s="205" t="e">
        <f xml:space="preserve"> IF(#REF!="", "",#REF!)</f>
        <v>#REF!</v>
      </c>
      <c r="J30" s="298" t="e">
        <f>#REF!</f>
        <v>#REF!</v>
      </c>
      <c r="K30" s="149" t="e">
        <f>#REF!</f>
        <v>#REF!</v>
      </c>
      <c r="L30" s="149" t="e">
        <f>#REF!</f>
        <v>#REF!</v>
      </c>
      <c r="M30" s="150" t="e">
        <f>#REF!</f>
        <v>#REF!</v>
      </c>
      <c r="N30" s="364"/>
      <c r="O30" s="202"/>
      <c r="P30" s="151" t="e">
        <f>#REF!</f>
        <v>#REF!</v>
      </c>
      <c r="Q30" s="202"/>
      <c r="R30" s="152" t="e">
        <f>#REF!</f>
        <v>#REF!</v>
      </c>
      <c r="S30" s="202"/>
      <c r="T30" s="153" t="e">
        <f>#REF!</f>
        <v>#REF!</v>
      </c>
      <c r="U30" s="202"/>
      <c r="V30" s="153" t="e">
        <f>#REF!</f>
        <v>#REF!</v>
      </c>
      <c r="W30" s="202"/>
      <c r="X30" s="153" t="e">
        <f>#REF!</f>
        <v>#REF!</v>
      </c>
      <c r="Y30" s="202"/>
      <c r="Z30" s="152" t="e">
        <f>#REF!</f>
        <v>#REF!</v>
      </c>
      <c r="AA30" s="202"/>
      <c r="AB30" s="153" t="e">
        <f>#REF!</f>
        <v>#REF!</v>
      </c>
      <c r="AC30" s="202"/>
      <c r="AD30" s="152" t="e">
        <f>#REF!</f>
        <v>#REF!</v>
      </c>
      <c r="AE30" s="202"/>
      <c r="AF30" s="153" t="e">
        <f>#REF!</f>
        <v>#REF!</v>
      </c>
      <c r="AG30" s="202"/>
      <c r="AH30" s="152" t="e">
        <f>#REF!</f>
        <v>#REF!</v>
      </c>
      <c r="AI30" s="202"/>
      <c r="AJ30" s="153" t="e">
        <f>#REF!</f>
        <v>#REF!</v>
      </c>
      <c r="AK30" s="202"/>
      <c r="AL30" s="152" t="e">
        <f>#REF!</f>
        <v>#REF!</v>
      </c>
      <c r="AM30" s="202"/>
      <c r="AN30" s="153" t="e">
        <f>#REF!</f>
        <v>#REF!</v>
      </c>
      <c r="AO30" s="202"/>
      <c r="AP30" s="152" t="e">
        <f>#REF!</f>
        <v>#REF!</v>
      </c>
      <c r="AQ30" s="202"/>
      <c r="AR30" s="154" t="e">
        <f>#REF!</f>
        <v>#REF!</v>
      </c>
      <c r="AS30" s="202"/>
      <c r="AT30" s="153" t="e">
        <f>#REF!</f>
        <v>#REF!</v>
      </c>
      <c r="AU30" s="202"/>
      <c r="AV30" s="152" t="e">
        <f>#REF!</f>
        <v>#REF!</v>
      </c>
      <c r="AW30" s="202"/>
      <c r="AX30" s="153" t="e">
        <f>#REF!</f>
        <v>#REF!</v>
      </c>
      <c r="AY30" s="202"/>
      <c r="AZ30" s="152" t="e">
        <f>#REF!</f>
        <v>#REF!</v>
      </c>
      <c r="BA30" s="202"/>
      <c r="BB30" s="154" t="e">
        <f>#REF!</f>
        <v>#REF!</v>
      </c>
      <c r="BC30" s="137"/>
    </row>
    <row r="31" spans="1:55" ht="30" customHeight="1">
      <c r="A31" s="203" t="e">
        <f>#REF!</f>
        <v>#REF!</v>
      </c>
      <c r="B31" s="204" t="e">
        <f xml:space="preserve"> IF(#REF!=0, "",#REF!)</f>
        <v>#REF!</v>
      </c>
      <c r="C31" s="369" t="e">
        <f>#REF!</f>
        <v>#REF!</v>
      </c>
      <c r="D31" s="369"/>
      <c r="E31" s="291" t="e">
        <f>#REF!</f>
        <v>#REF!</v>
      </c>
      <c r="F31" s="148" t="e">
        <f>#REF!</f>
        <v>#REF!</v>
      </c>
      <c r="G31" s="205" t="e">
        <f xml:space="preserve"> IF(#REF!="", "",#REF!)</f>
        <v>#REF!</v>
      </c>
      <c r="H31" s="205" t="e">
        <f xml:space="preserve"> IF(#REF!="", "",#REF!)</f>
        <v>#REF!</v>
      </c>
      <c r="I31" s="205" t="e">
        <f xml:space="preserve"> IF(#REF!="", "",#REF!)</f>
        <v>#REF!</v>
      </c>
      <c r="J31" s="298" t="e">
        <f>#REF!</f>
        <v>#REF!</v>
      </c>
      <c r="K31" s="149" t="e">
        <f>#REF!</f>
        <v>#REF!</v>
      </c>
      <c r="L31" s="149" t="e">
        <f>#REF!</f>
        <v>#REF!</v>
      </c>
      <c r="M31" s="150" t="e">
        <f>#REF!</f>
        <v>#REF!</v>
      </c>
      <c r="N31" s="364"/>
      <c r="O31" s="202"/>
      <c r="P31" s="151" t="e">
        <f>#REF!</f>
        <v>#REF!</v>
      </c>
      <c r="Q31" s="202"/>
      <c r="R31" s="152" t="e">
        <f>#REF!</f>
        <v>#REF!</v>
      </c>
      <c r="S31" s="202"/>
      <c r="T31" s="153" t="e">
        <f>#REF!</f>
        <v>#REF!</v>
      </c>
      <c r="U31" s="202"/>
      <c r="V31" s="153" t="e">
        <f>#REF!</f>
        <v>#REF!</v>
      </c>
      <c r="W31" s="202"/>
      <c r="X31" s="153" t="e">
        <f>#REF!</f>
        <v>#REF!</v>
      </c>
      <c r="Y31" s="202"/>
      <c r="Z31" s="152" t="e">
        <f>#REF!</f>
        <v>#REF!</v>
      </c>
      <c r="AA31" s="202"/>
      <c r="AB31" s="153" t="e">
        <f>#REF!</f>
        <v>#REF!</v>
      </c>
      <c r="AC31" s="202"/>
      <c r="AD31" s="152" t="e">
        <f>#REF!</f>
        <v>#REF!</v>
      </c>
      <c r="AE31" s="202"/>
      <c r="AF31" s="153" t="e">
        <f>#REF!</f>
        <v>#REF!</v>
      </c>
      <c r="AG31" s="202"/>
      <c r="AH31" s="152" t="e">
        <f>#REF!</f>
        <v>#REF!</v>
      </c>
      <c r="AI31" s="202"/>
      <c r="AJ31" s="153" t="e">
        <f>#REF!</f>
        <v>#REF!</v>
      </c>
      <c r="AK31" s="202"/>
      <c r="AL31" s="152" t="e">
        <f>#REF!</f>
        <v>#REF!</v>
      </c>
      <c r="AM31" s="202"/>
      <c r="AN31" s="153" t="e">
        <f>#REF!</f>
        <v>#REF!</v>
      </c>
      <c r="AO31" s="202"/>
      <c r="AP31" s="152" t="e">
        <f>#REF!</f>
        <v>#REF!</v>
      </c>
      <c r="AQ31" s="202"/>
      <c r="AR31" s="154" t="e">
        <f>#REF!</f>
        <v>#REF!</v>
      </c>
      <c r="AS31" s="202"/>
      <c r="AT31" s="153" t="e">
        <f>#REF!</f>
        <v>#REF!</v>
      </c>
      <c r="AU31" s="202"/>
      <c r="AV31" s="152" t="e">
        <f>#REF!</f>
        <v>#REF!</v>
      </c>
      <c r="AW31" s="202"/>
      <c r="AX31" s="153" t="e">
        <f>#REF!</f>
        <v>#REF!</v>
      </c>
      <c r="AY31" s="202"/>
      <c r="AZ31" s="152" t="e">
        <f>#REF!</f>
        <v>#REF!</v>
      </c>
      <c r="BA31" s="202"/>
      <c r="BB31" s="154" t="e">
        <f>#REF!</f>
        <v>#REF!</v>
      </c>
      <c r="BC31" s="137"/>
    </row>
    <row r="32" spans="1:55" ht="30" customHeight="1">
      <c r="A32" s="203" t="e">
        <f>#REF!</f>
        <v>#REF!</v>
      </c>
      <c r="B32" s="204" t="e">
        <f xml:space="preserve"> IF(#REF!=0, "",#REF!)</f>
        <v>#REF!</v>
      </c>
      <c r="C32" s="369" t="e">
        <f>#REF!</f>
        <v>#REF!</v>
      </c>
      <c r="D32" s="369"/>
      <c r="E32" s="291" t="e">
        <f>#REF!</f>
        <v>#REF!</v>
      </c>
      <c r="F32" s="148" t="e">
        <f>#REF!</f>
        <v>#REF!</v>
      </c>
      <c r="G32" s="205" t="e">
        <f xml:space="preserve"> IF(#REF!="", "",#REF!)</f>
        <v>#REF!</v>
      </c>
      <c r="H32" s="205" t="e">
        <f xml:space="preserve"> IF(#REF!="", "",#REF!)</f>
        <v>#REF!</v>
      </c>
      <c r="I32" s="205" t="e">
        <f xml:space="preserve"> IF(#REF!="", "",#REF!)</f>
        <v>#REF!</v>
      </c>
      <c r="J32" s="298" t="e">
        <f>#REF!</f>
        <v>#REF!</v>
      </c>
      <c r="K32" s="149" t="e">
        <f>#REF!</f>
        <v>#REF!</v>
      </c>
      <c r="L32" s="149" t="e">
        <f>#REF!</f>
        <v>#REF!</v>
      </c>
      <c r="M32" s="150" t="e">
        <f>#REF!</f>
        <v>#REF!</v>
      </c>
      <c r="N32" s="364"/>
      <c r="O32" s="202"/>
      <c r="P32" s="151" t="e">
        <f>#REF!</f>
        <v>#REF!</v>
      </c>
      <c r="Q32" s="202"/>
      <c r="R32" s="152" t="e">
        <f>#REF!</f>
        <v>#REF!</v>
      </c>
      <c r="S32" s="202"/>
      <c r="T32" s="153" t="e">
        <f>#REF!</f>
        <v>#REF!</v>
      </c>
      <c r="U32" s="202"/>
      <c r="V32" s="153" t="e">
        <f>#REF!</f>
        <v>#REF!</v>
      </c>
      <c r="W32" s="202"/>
      <c r="X32" s="153" t="e">
        <f>#REF!</f>
        <v>#REF!</v>
      </c>
      <c r="Y32" s="202"/>
      <c r="Z32" s="152" t="e">
        <f>#REF!</f>
        <v>#REF!</v>
      </c>
      <c r="AA32" s="202"/>
      <c r="AB32" s="153" t="e">
        <f>#REF!</f>
        <v>#REF!</v>
      </c>
      <c r="AC32" s="202"/>
      <c r="AD32" s="152" t="e">
        <f>#REF!</f>
        <v>#REF!</v>
      </c>
      <c r="AE32" s="202"/>
      <c r="AF32" s="153" t="e">
        <f>#REF!</f>
        <v>#REF!</v>
      </c>
      <c r="AG32" s="202"/>
      <c r="AH32" s="152" t="e">
        <f>#REF!</f>
        <v>#REF!</v>
      </c>
      <c r="AI32" s="202"/>
      <c r="AJ32" s="153" t="e">
        <f>#REF!</f>
        <v>#REF!</v>
      </c>
      <c r="AK32" s="202"/>
      <c r="AL32" s="152" t="e">
        <f>#REF!</f>
        <v>#REF!</v>
      </c>
      <c r="AM32" s="202"/>
      <c r="AN32" s="153" t="e">
        <f>#REF!</f>
        <v>#REF!</v>
      </c>
      <c r="AO32" s="202"/>
      <c r="AP32" s="152" t="e">
        <f>#REF!</f>
        <v>#REF!</v>
      </c>
      <c r="AQ32" s="202"/>
      <c r="AR32" s="154" t="e">
        <f>#REF!</f>
        <v>#REF!</v>
      </c>
      <c r="AS32" s="202"/>
      <c r="AT32" s="153" t="e">
        <f>#REF!</f>
        <v>#REF!</v>
      </c>
      <c r="AU32" s="202"/>
      <c r="AV32" s="152" t="e">
        <f>#REF!</f>
        <v>#REF!</v>
      </c>
      <c r="AW32" s="202"/>
      <c r="AX32" s="153" t="e">
        <f>#REF!</f>
        <v>#REF!</v>
      </c>
      <c r="AY32" s="202"/>
      <c r="AZ32" s="152" t="e">
        <f>#REF!</f>
        <v>#REF!</v>
      </c>
      <c r="BA32" s="202"/>
      <c r="BB32" s="154" t="e">
        <f>#REF!</f>
        <v>#REF!</v>
      </c>
      <c r="BC32" s="137"/>
    </row>
    <row r="33" spans="1:55" ht="30" customHeight="1">
      <c r="A33" s="203" t="e">
        <f>#REF!</f>
        <v>#REF!</v>
      </c>
      <c r="B33" s="204" t="e">
        <f xml:space="preserve"> IF(#REF!=0, "",#REF!)</f>
        <v>#REF!</v>
      </c>
      <c r="C33" s="369" t="e">
        <f>#REF!</f>
        <v>#REF!</v>
      </c>
      <c r="D33" s="369"/>
      <c r="E33" s="291" t="e">
        <f>#REF!</f>
        <v>#REF!</v>
      </c>
      <c r="F33" s="148" t="e">
        <f>#REF!</f>
        <v>#REF!</v>
      </c>
      <c r="G33" s="205" t="e">
        <f xml:space="preserve"> IF(#REF!="", "",#REF!)</f>
        <v>#REF!</v>
      </c>
      <c r="H33" s="205" t="e">
        <f xml:space="preserve"> IF(#REF!="", "",#REF!)</f>
        <v>#REF!</v>
      </c>
      <c r="I33" s="205" t="e">
        <f xml:space="preserve"> IF(#REF!="", "",#REF!)</f>
        <v>#REF!</v>
      </c>
      <c r="J33" s="298" t="e">
        <f>#REF!</f>
        <v>#REF!</v>
      </c>
      <c r="K33" s="149" t="e">
        <f>#REF!</f>
        <v>#REF!</v>
      </c>
      <c r="L33" s="149" t="e">
        <f>#REF!</f>
        <v>#REF!</v>
      </c>
      <c r="M33" s="150" t="e">
        <f>#REF!</f>
        <v>#REF!</v>
      </c>
      <c r="N33" s="364"/>
      <c r="O33" s="202"/>
      <c r="P33" s="151" t="e">
        <f>#REF!</f>
        <v>#REF!</v>
      </c>
      <c r="Q33" s="202"/>
      <c r="R33" s="152" t="e">
        <f>#REF!</f>
        <v>#REF!</v>
      </c>
      <c r="S33" s="202"/>
      <c r="T33" s="153" t="e">
        <f>#REF!</f>
        <v>#REF!</v>
      </c>
      <c r="U33" s="202"/>
      <c r="V33" s="153" t="e">
        <f>#REF!</f>
        <v>#REF!</v>
      </c>
      <c r="W33" s="202"/>
      <c r="X33" s="153" t="e">
        <f>#REF!</f>
        <v>#REF!</v>
      </c>
      <c r="Y33" s="202"/>
      <c r="Z33" s="152" t="e">
        <f>#REF!</f>
        <v>#REF!</v>
      </c>
      <c r="AA33" s="202"/>
      <c r="AB33" s="153" t="e">
        <f>#REF!</f>
        <v>#REF!</v>
      </c>
      <c r="AC33" s="202"/>
      <c r="AD33" s="152" t="e">
        <f>#REF!</f>
        <v>#REF!</v>
      </c>
      <c r="AE33" s="202"/>
      <c r="AF33" s="153" t="e">
        <f>#REF!</f>
        <v>#REF!</v>
      </c>
      <c r="AG33" s="202"/>
      <c r="AH33" s="152" t="e">
        <f>#REF!</f>
        <v>#REF!</v>
      </c>
      <c r="AI33" s="202"/>
      <c r="AJ33" s="153" t="e">
        <f>#REF!</f>
        <v>#REF!</v>
      </c>
      <c r="AK33" s="202"/>
      <c r="AL33" s="152" t="e">
        <f>#REF!</f>
        <v>#REF!</v>
      </c>
      <c r="AM33" s="202"/>
      <c r="AN33" s="153" t="e">
        <f>#REF!</f>
        <v>#REF!</v>
      </c>
      <c r="AO33" s="202"/>
      <c r="AP33" s="152" t="e">
        <f>#REF!</f>
        <v>#REF!</v>
      </c>
      <c r="AQ33" s="202"/>
      <c r="AR33" s="154" t="e">
        <f>#REF!</f>
        <v>#REF!</v>
      </c>
      <c r="AS33" s="202"/>
      <c r="AT33" s="153" t="e">
        <f>#REF!</f>
        <v>#REF!</v>
      </c>
      <c r="AU33" s="202"/>
      <c r="AV33" s="152" t="e">
        <f>#REF!</f>
        <v>#REF!</v>
      </c>
      <c r="AW33" s="202"/>
      <c r="AX33" s="153" t="e">
        <f>#REF!</f>
        <v>#REF!</v>
      </c>
      <c r="AY33" s="202"/>
      <c r="AZ33" s="152" t="e">
        <f>#REF!</f>
        <v>#REF!</v>
      </c>
      <c r="BA33" s="202"/>
      <c r="BB33" s="154" t="e">
        <f>#REF!</f>
        <v>#REF!</v>
      </c>
      <c r="BC33" s="137"/>
    </row>
    <row r="34" spans="1:55" ht="30" customHeight="1">
      <c r="A34" s="203" t="e">
        <f>#REF!</f>
        <v>#REF!</v>
      </c>
      <c r="B34" s="204" t="e">
        <f xml:space="preserve"> IF(#REF!=0, "",#REF!)</f>
        <v>#REF!</v>
      </c>
      <c r="C34" s="369" t="e">
        <f>#REF!</f>
        <v>#REF!</v>
      </c>
      <c r="D34" s="369"/>
      <c r="E34" s="291" t="e">
        <f>#REF!</f>
        <v>#REF!</v>
      </c>
      <c r="F34" s="148" t="e">
        <f>#REF!</f>
        <v>#REF!</v>
      </c>
      <c r="G34" s="205" t="e">
        <f xml:space="preserve"> IF(#REF!="", "",#REF!)</f>
        <v>#REF!</v>
      </c>
      <c r="H34" s="205" t="e">
        <f xml:space="preserve"> IF(#REF!="", "",#REF!)</f>
        <v>#REF!</v>
      </c>
      <c r="I34" s="205" t="e">
        <f xml:space="preserve"> IF(#REF!="", "",#REF!)</f>
        <v>#REF!</v>
      </c>
      <c r="J34" s="298" t="e">
        <f>#REF!</f>
        <v>#REF!</v>
      </c>
      <c r="K34" s="149" t="e">
        <f>#REF!</f>
        <v>#REF!</v>
      </c>
      <c r="L34" s="149" t="e">
        <f>#REF!</f>
        <v>#REF!</v>
      </c>
      <c r="M34" s="150" t="e">
        <f>#REF!</f>
        <v>#REF!</v>
      </c>
      <c r="N34" s="364"/>
      <c r="O34" s="202"/>
      <c r="P34" s="151" t="e">
        <f>#REF!</f>
        <v>#REF!</v>
      </c>
      <c r="Q34" s="202"/>
      <c r="R34" s="152" t="e">
        <f>#REF!</f>
        <v>#REF!</v>
      </c>
      <c r="S34" s="202"/>
      <c r="T34" s="153" t="e">
        <f>#REF!</f>
        <v>#REF!</v>
      </c>
      <c r="U34" s="202"/>
      <c r="V34" s="153" t="e">
        <f>#REF!</f>
        <v>#REF!</v>
      </c>
      <c r="W34" s="202"/>
      <c r="X34" s="153" t="e">
        <f>#REF!</f>
        <v>#REF!</v>
      </c>
      <c r="Y34" s="202"/>
      <c r="Z34" s="152" t="e">
        <f>#REF!</f>
        <v>#REF!</v>
      </c>
      <c r="AA34" s="202"/>
      <c r="AB34" s="153" t="e">
        <f>#REF!</f>
        <v>#REF!</v>
      </c>
      <c r="AC34" s="202"/>
      <c r="AD34" s="152" t="e">
        <f>#REF!</f>
        <v>#REF!</v>
      </c>
      <c r="AE34" s="202"/>
      <c r="AF34" s="153" t="e">
        <f>#REF!</f>
        <v>#REF!</v>
      </c>
      <c r="AG34" s="202"/>
      <c r="AH34" s="152" t="e">
        <f>#REF!</f>
        <v>#REF!</v>
      </c>
      <c r="AI34" s="202"/>
      <c r="AJ34" s="153" t="e">
        <f>#REF!</f>
        <v>#REF!</v>
      </c>
      <c r="AK34" s="202"/>
      <c r="AL34" s="152" t="e">
        <f>#REF!</f>
        <v>#REF!</v>
      </c>
      <c r="AM34" s="202"/>
      <c r="AN34" s="153" t="e">
        <f>#REF!</f>
        <v>#REF!</v>
      </c>
      <c r="AO34" s="202"/>
      <c r="AP34" s="152" t="e">
        <f>#REF!</f>
        <v>#REF!</v>
      </c>
      <c r="AQ34" s="202"/>
      <c r="AR34" s="154" t="e">
        <f>#REF!</f>
        <v>#REF!</v>
      </c>
      <c r="AS34" s="202"/>
      <c r="AT34" s="153" t="e">
        <f>#REF!</f>
        <v>#REF!</v>
      </c>
      <c r="AU34" s="202"/>
      <c r="AV34" s="152" t="e">
        <f>#REF!</f>
        <v>#REF!</v>
      </c>
      <c r="AW34" s="202"/>
      <c r="AX34" s="153" t="e">
        <f>#REF!</f>
        <v>#REF!</v>
      </c>
      <c r="AY34" s="202"/>
      <c r="AZ34" s="152" t="e">
        <f>#REF!</f>
        <v>#REF!</v>
      </c>
      <c r="BA34" s="202"/>
      <c r="BB34" s="154" t="e">
        <f>#REF!</f>
        <v>#REF!</v>
      </c>
      <c r="BC34" s="137"/>
    </row>
    <row r="35" spans="1:55" ht="30" customHeight="1">
      <c r="A35" s="203" t="e">
        <f>#REF!</f>
        <v>#REF!</v>
      </c>
      <c r="B35" s="204" t="e">
        <f xml:space="preserve"> IF(#REF!=0, "",#REF!)</f>
        <v>#REF!</v>
      </c>
      <c r="C35" s="369" t="e">
        <f>#REF!</f>
        <v>#REF!</v>
      </c>
      <c r="D35" s="369"/>
      <c r="E35" s="291" t="e">
        <f>#REF!</f>
        <v>#REF!</v>
      </c>
      <c r="F35" s="148" t="e">
        <f>#REF!</f>
        <v>#REF!</v>
      </c>
      <c r="G35" s="205" t="e">
        <f xml:space="preserve"> IF(#REF!="", "",#REF!)</f>
        <v>#REF!</v>
      </c>
      <c r="H35" s="205" t="e">
        <f xml:space="preserve"> IF(#REF!="", "",#REF!)</f>
        <v>#REF!</v>
      </c>
      <c r="I35" s="205" t="e">
        <f xml:space="preserve"> IF(#REF!="", "",#REF!)</f>
        <v>#REF!</v>
      </c>
      <c r="J35" s="298" t="e">
        <f>#REF!</f>
        <v>#REF!</v>
      </c>
      <c r="K35" s="149" t="e">
        <f>#REF!</f>
        <v>#REF!</v>
      </c>
      <c r="L35" s="149" t="e">
        <f>#REF!</f>
        <v>#REF!</v>
      </c>
      <c r="M35" s="150" t="e">
        <f>#REF!</f>
        <v>#REF!</v>
      </c>
      <c r="N35" s="364"/>
      <c r="O35" s="202"/>
      <c r="P35" s="151" t="e">
        <f>#REF!</f>
        <v>#REF!</v>
      </c>
      <c r="Q35" s="202"/>
      <c r="R35" s="152" t="e">
        <f>#REF!</f>
        <v>#REF!</v>
      </c>
      <c r="S35" s="202"/>
      <c r="T35" s="153" t="e">
        <f>#REF!</f>
        <v>#REF!</v>
      </c>
      <c r="U35" s="202"/>
      <c r="V35" s="153" t="e">
        <f>#REF!</f>
        <v>#REF!</v>
      </c>
      <c r="W35" s="202"/>
      <c r="X35" s="153" t="e">
        <f>#REF!</f>
        <v>#REF!</v>
      </c>
      <c r="Y35" s="202"/>
      <c r="Z35" s="152" t="e">
        <f>#REF!</f>
        <v>#REF!</v>
      </c>
      <c r="AA35" s="202"/>
      <c r="AB35" s="153" t="e">
        <f>#REF!</f>
        <v>#REF!</v>
      </c>
      <c r="AC35" s="202"/>
      <c r="AD35" s="152" t="e">
        <f>#REF!</f>
        <v>#REF!</v>
      </c>
      <c r="AE35" s="202"/>
      <c r="AF35" s="153" t="e">
        <f>#REF!</f>
        <v>#REF!</v>
      </c>
      <c r="AG35" s="202"/>
      <c r="AH35" s="152" t="e">
        <f>#REF!</f>
        <v>#REF!</v>
      </c>
      <c r="AI35" s="202"/>
      <c r="AJ35" s="153" t="e">
        <f>#REF!</f>
        <v>#REF!</v>
      </c>
      <c r="AK35" s="202"/>
      <c r="AL35" s="152" t="e">
        <f>#REF!</f>
        <v>#REF!</v>
      </c>
      <c r="AM35" s="202"/>
      <c r="AN35" s="153" t="e">
        <f>#REF!</f>
        <v>#REF!</v>
      </c>
      <c r="AO35" s="202"/>
      <c r="AP35" s="152" t="e">
        <f>#REF!</f>
        <v>#REF!</v>
      </c>
      <c r="AQ35" s="202"/>
      <c r="AR35" s="154" t="e">
        <f>#REF!</f>
        <v>#REF!</v>
      </c>
      <c r="AS35" s="202"/>
      <c r="AT35" s="153" t="e">
        <f>#REF!</f>
        <v>#REF!</v>
      </c>
      <c r="AU35" s="202"/>
      <c r="AV35" s="152" t="e">
        <f>#REF!</f>
        <v>#REF!</v>
      </c>
      <c r="AW35" s="202"/>
      <c r="AX35" s="153" t="e">
        <f>#REF!</f>
        <v>#REF!</v>
      </c>
      <c r="AY35" s="202"/>
      <c r="AZ35" s="152" t="e">
        <f>#REF!</f>
        <v>#REF!</v>
      </c>
      <c r="BA35" s="202"/>
      <c r="BB35" s="154" t="e">
        <f>#REF!</f>
        <v>#REF!</v>
      </c>
      <c r="BC35" s="137"/>
    </row>
    <row r="36" spans="1:55" ht="30" customHeight="1">
      <c r="A36" s="203" t="e">
        <f>#REF!</f>
        <v>#REF!</v>
      </c>
      <c r="B36" s="204" t="e">
        <f xml:space="preserve"> IF(#REF!=0, "",#REF!)</f>
        <v>#REF!</v>
      </c>
      <c r="C36" s="369" t="e">
        <f>#REF!</f>
        <v>#REF!</v>
      </c>
      <c r="D36" s="369"/>
      <c r="E36" s="291" t="e">
        <f>#REF!</f>
        <v>#REF!</v>
      </c>
      <c r="F36" s="148" t="e">
        <f>#REF!</f>
        <v>#REF!</v>
      </c>
      <c r="G36" s="205" t="e">
        <f xml:space="preserve"> IF(#REF!="", "",#REF!)</f>
        <v>#REF!</v>
      </c>
      <c r="H36" s="205" t="e">
        <f xml:space="preserve"> IF(#REF!="", "",#REF!)</f>
        <v>#REF!</v>
      </c>
      <c r="I36" s="205" t="e">
        <f xml:space="preserve"> IF(#REF!="", "",#REF!)</f>
        <v>#REF!</v>
      </c>
      <c r="J36" s="298" t="e">
        <f>#REF!</f>
        <v>#REF!</v>
      </c>
      <c r="K36" s="149" t="e">
        <f>#REF!</f>
        <v>#REF!</v>
      </c>
      <c r="L36" s="149" t="e">
        <f>#REF!</f>
        <v>#REF!</v>
      </c>
      <c r="M36" s="150" t="e">
        <f>#REF!</f>
        <v>#REF!</v>
      </c>
      <c r="N36" s="364"/>
      <c r="O36" s="202"/>
      <c r="P36" s="151" t="e">
        <f>#REF!</f>
        <v>#REF!</v>
      </c>
      <c r="Q36" s="202"/>
      <c r="R36" s="152" t="e">
        <f>#REF!</f>
        <v>#REF!</v>
      </c>
      <c r="S36" s="202"/>
      <c r="T36" s="153" t="e">
        <f>#REF!</f>
        <v>#REF!</v>
      </c>
      <c r="U36" s="202"/>
      <c r="V36" s="153" t="e">
        <f>#REF!</f>
        <v>#REF!</v>
      </c>
      <c r="W36" s="202"/>
      <c r="X36" s="153" t="e">
        <f>#REF!</f>
        <v>#REF!</v>
      </c>
      <c r="Y36" s="202"/>
      <c r="Z36" s="152" t="e">
        <f>#REF!</f>
        <v>#REF!</v>
      </c>
      <c r="AA36" s="202"/>
      <c r="AB36" s="153" t="e">
        <f>#REF!</f>
        <v>#REF!</v>
      </c>
      <c r="AC36" s="202"/>
      <c r="AD36" s="152" t="e">
        <f>#REF!</f>
        <v>#REF!</v>
      </c>
      <c r="AE36" s="202"/>
      <c r="AF36" s="153" t="e">
        <f>#REF!</f>
        <v>#REF!</v>
      </c>
      <c r="AG36" s="202"/>
      <c r="AH36" s="152" t="e">
        <f>#REF!</f>
        <v>#REF!</v>
      </c>
      <c r="AI36" s="202"/>
      <c r="AJ36" s="153" t="e">
        <f>#REF!</f>
        <v>#REF!</v>
      </c>
      <c r="AK36" s="202"/>
      <c r="AL36" s="152" t="e">
        <f>#REF!</f>
        <v>#REF!</v>
      </c>
      <c r="AM36" s="202"/>
      <c r="AN36" s="153" t="e">
        <f>#REF!</f>
        <v>#REF!</v>
      </c>
      <c r="AO36" s="202"/>
      <c r="AP36" s="152" t="e">
        <f>#REF!</f>
        <v>#REF!</v>
      </c>
      <c r="AQ36" s="202"/>
      <c r="AR36" s="154" t="e">
        <f>#REF!</f>
        <v>#REF!</v>
      </c>
      <c r="AS36" s="202"/>
      <c r="AT36" s="153" t="e">
        <f>#REF!</f>
        <v>#REF!</v>
      </c>
      <c r="AU36" s="202"/>
      <c r="AV36" s="152" t="e">
        <f>#REF!</f>
        <v>#REF!</v>
      </c>
      <c r="AW36" s="202"/>
      <c r="AX36" s="153" t="e">
        <f>#REF!</f>
        <v>#REF!</v>
      </c>
      <c r="AY36" s="202"/>
      <c r="AZ36" s="152" t="e">
        <f>#REF!</f>
        <v>#REF!</v>
      </c>
      <c r="BA36" s="202"/>
      <c r="BB36" s="154" t="e">
        <f>#REF!</f>
        <v>#REF!</v>
      </c>
      <c r="BC36" s="137"/>
    </row>
    <row r="37" spans="1:55" ht="30" customHeight="1">
      <c r="A37" s="203" t="e">
        <f>#REF!</f>
        <v>#REF!</v>
      </c>
      <c r="B37" s="204" t="e">
        <f xml:space="preserve"> IF(#REF!=0, "",#REF!)</f>
        <v>#REF!</v>
      </c>
      <c r="C37" s="369" t="e">
        <f>#REF!</f>
        <v>#REF!</v>
      </c>
      <c r="D37" s="369"/>
      <c r="E37" s="291" t="e">
        <f>#REF!</f>
        <v>#REF!</v>
      </c>
      <c r="F37" s="148" t="e">
        <f>#REF!</f>
        <v>#REF!</v>
      </c>
      <c r="G37" s="205" t="e">
        <f xml:space="preserve"> IF(#REF!="", "",#REF!)</f>
        <v>#REF!</v>
      </c>
      <c r="H37" s="205" t="e">
        <f xml:space="preserve"> IF(#REF!="", "",#REF!)</f>
        <v>#REF!</v>
      </c>
      <c r="I37" s="205" t="e">
        <f xml:space="preserve"> IF(#REF!="", "",#REF!)</f>
        <v>#REF!</v>
      </c>
      <c r="J37" s="298" t="e">
        <f>#REF!</f>
        <v>#REF!</v>
      </c>
      <c r="K37" s="149" t="e">
        <f>#REF!</f>
        <v>#REF!</v>
      </c>
      <c r="L37" s="149" t="e">
        <f>#REF!</f>
        <v>#REF!</v>
      </c>
      <c r="M37" s="150" t="e">
        <f>#REF!</f>
        <v>#REF!</v>
      </c>
      <c r="N37" s="364"/>
      <c r="O37" s="202"/>
      <c r="P37" s="151" t="e">
        <f>#REF!</f>
        <v>#REF!</v>
      </c>
      <c r="Q37" s="202"/>
      <c r="R37" s="152" t="e">
        <f>#REF!</f>
        <v>#REF!</v>
      </c>
      <c r="S37" s="202"/>
      <c r="T37" s="153" t="e">
        <f>#REF!</f>
        <v>#REF!</v>
      </c>
      <c r="U37" s="202"/>
      <c r="V37" s="153" t="e">
        <f>#REF!</f>
        <v>#REF!</v>
      </c>
      <c r="W37" s="202"/>
      <c r="X37" s="153" t="e">
        <f>#REF!</f>
        <v>#REF!</v>
      </c>
      <c r="Y37" s="202"/>
      <c r="Z37" s="152" t="e">
        <f>#REF!</f>
        <v>#REF!</v>
      </c>
      <c r="AA37" s="202"/>
      <c r="AB37" s="153" t="e">
        <f>#REF!</f>
        <v>#REF!</v>
      </c>
      <c r="AC37" s="202"/>
      <c r="AD37" s="152" t="e">
        <f>#REF!</f>
        <v>#REF!</v>
      </c>
      <c r="AE37" s="202"/>
      <c r="AF37" s="153" t="e">
        <f>#REF!</f>
        <v>#REF!</v>
      </c>
      <c r="AG37" s="202"/>
      <c r="AH37" s="152" t="e">
        <f>#REF!</f>
        <v>#REF!</v>
      </c>
      <c r="AI37" s="202"/>
      <c r="AJ37" s="153" t="e">
        <f>#REF!</f>
        <v>#REF!</v>
      </c>
      <c r="AK37" s="202"/>
      <c r="AL37" s="152" t="e">
        <f>#REF!</f>
        <v>#REF!</v>
      </c>
      <c r="AM37" s="202"/>
      <c r="AN37" s="153" t="e">
        <f>#REF!</f>
        <v>#REF!</v>
      </c>
      <c r="AO37" s="202"/>
      <c r="AP37" s="152" t="e">
        <f>#REF!</f>
        <v>#REF!</v>
      </c>
      <c r="AQ37" s="202"/>
      <c r="AR37" s="154" t="e">
        <f>#REF!</f>
        <v>#REF!</v>
      </c>
      <c r="AS37" s="202"/>
      <c r="AT37" s="153" t="e">
        <f>#REF!</f>
        <v>#REF!</v>
      </c>
      <c r="AU37" s="202"/>
      <c r="AV37" s="152" t="e">
        <f>#REF!</f>
        <v>#REF!</v>
      </c>
      <c r="AW37" s="202"/>
      <c r="AX37" s="153" t="e">
        <f>#REF!</f>
        <v>#REF!</v>
      </c>
      <c r="AY37" s="202"/>
      <c r="AZ37" s="152" t="e">
        <f>#REF!</f>
        <v>#REF!</v>
      </c>
      <c r="BA37" s="202"/>
      <c r="BB37" s="154" t="e">
        <f>#REF!</f>
        <v>#REF!</v>
      </c>
      <c r="BC37" s="137"/>
    </row>
    <row r="38" spans="1:55" ht="30" customHeight="1">
      <c r="A38" s="203" t="e">
        <f>#REF!</f>
        <v>#REF!</v>
      </c>
      <c r="B38" s="204" t="e">
        <f xml:space="preserve"> IF(#REF!=0, "",#REF!)</f>
        <v>#REF!</v>
      </c>
      <c r="C38" s="369" t="e">
        <f>#REF!</f>
        <v>#REF!</v>
      </c>
      <c r="D38" s="369"/>
      <c r="E38" s="291" t="e">
        <f>#REF!</f>
        <v>#REF!</v>
      </c>
      <c r="F38" s="148" t="e">
        <f>#REF!</f>
        <v>#REF!</v>
      </c>
      <c r="G38" s="205" t="e">
        <f xml:space="preserve"> IF(#REF!="", "",#REF!)</f>
        <v>#REF!</v>
      </c>
      <c r="H38" s="205" t="e">
        <f xml:space="preserve"> IF(#REF!="", "",#REF!)</f>
        <v>#REF!</v>
      </c>
      <c r="I38" s="205" t="e">
        <f xml:space="preserve"> IF(#REF!="", "",#REF!)</f>
        <v>#REF!</v>
      </c>
      <c r="J38" s="298" t="e">
        <f>#REF!</f>
        <v>#REF!</v>
      </c>
      <c r="K38" s="149" t="e">
        <f>#REF!</f>
        <v>#REF!</v>
      </c>
      <c r="L38" s="149" t="e">
        <f>#REF!</f>
        <v>#REF!</v>
      </c>
      <c r="M38" s="150" t="e">
        <f>#REF!</f>
        <v>#REF!</v>
      </c>
      <c r="N38" s="364"/>
      <c r="O38" s="202"/>
      <c r="P38" s="151" t="e">
        <f>#REF!</f>
        <v>#REF!</v>
      </c>
      <c r="Q38" s="202"/>
      <c r="R38" s="152" t="e">
        <f>#REF!</f>
        <v>#REF!</v>
      </c>
      <c r="S38" s="202"/>
      <c r="T38" s="153" t="e">
        <f>#REF!</f>
        <v>#REF!</v>
      </c>
      <c r="U38" s="202"/>
      <c r="V38" s="153" t="e">
        <f>#REF!</f>
        <v>#REF!</v>
      </c>
      <c r="W38" s="202"/>
      <c r="X38" s="153" t="e">
        <f>#REF!</f>
        <v>#REF!</v>
      </c>
      <c r="Y38" s="202"/>
      <c r="Z38" s="152" t="e">
        <f>#REF!</f>
        <v>#REF!</v>
      </c>
      <c r="AA38" s="202"/>
      <c r="AB38" s="153" t="e">
        <f>#REF!</f>
        <v>#REF!</v>
      </c>
      <c r="AC38" s="202"/>
      <c r="AD38" s="152" t="e">
        <f>#REF!</f>
        <v>#REF!</v>
      </c>
      <c r="AE38" s="202"/>
      <c r="AF38" s="153" t="e">
        <f>#REF!</f>
        <v>#REF!</v>
      </c>
      <c r="AG38" s="202"/>
      <c r="AH38" s="152" t="e">
        <f>#REF!</f>
        <v>#REF!</v>
      </c>
      <c r="AI38" s="202"/>
      <c r="AJ38" s="153" t="e">
        <f>#REF!</f>
        <v>#REF!</v>
      </c>
      <c r="AK38" s="202"/>
      <c r="AL38" s="152" t="e">
        <f>#REF!</f>
        <v>#REF!</v>
      </c>
      <c r="AM38" s="202"/>
      <c r="AN38" s="153" t="e">
        <f>#REF!</f>
        <v>#REF!</v>
      </c>
      <c r="AO38" s="202"/>
      <c r="AP38" s="152" t="e">
        <f>#REF!</f>
        <v>#REF!</v>
      </c>
      <c r="AQ38" s="202"/>
      <c r="AR38" s="154" t="e">
        <f>#REF!</f>
        <v>#REF!</v>
      </c>
      <c r="AS38" s="202"/>
      <c r="AT38" s="153" t="e">
        <f>#REF!</f>
        <v>#REF!</v>
      </c>
      <c r="AU38" s="202"/>
      <c r="AV38" s="152" t="e">
        <f>#REF!</f>
        <v>#REF!</v>
      </c>
      <c r="AW38" s="202"/>
      <c r="AX38" s="153" t="e">
        <f>#REF!</f>
        <v>#REF!</v>
      </c>
      <c r="AY38" s="202"/>
      <c r="AZ38" s="152" t="e">
        <f>#REF!</f>
        <v>#REF!</v>
      </c>
      <c r="BA38" s="202"/>
      <c r="BB38" s="154" t="e">
        <f>#REF!</f>
        <v>#REF!</v>
      </c>
      <c r="BC38" s="137"/>
    </row>
    <row r="39" spans="1:55" ht="30" customHeight="1">
      <c r="A39" s="203" t="e">
        <f>#REF!</f>
        <v>#REF!</v>
      </c>
      <c r="B39" s="204" t="e">
        <f xml:space="preserve"> IF(#REF!=0, "",#REF!)</f>
        <v>#REF!</v>
      </c>
      <c r="C39" s="369" t="e">
        <f>#REF!</f>
        <v>#REF!</v>
      </c>
      <c r="D39" s="369"/>
      <c r="E39" s="291" t="e">
        <f>#REF!</f>
        <v>#REF!</v>
      </c>
      <c r="F39" s="148" t="e">
        <f>#REF!</f>
        <v>#REF!</v>
      </c>
      <c r="G39" s="205" t="e">
        <f xml:space="preserve"> IF(#REF!="", "",#REF!)</f>
        <v>#REF!</v>
      </c>
      <c r="H39" s="205" t="e">
        <f xml:space="preserve"> IF(#REF!="", "",#REF!)</f>
        <v>#REF!</v>
      </c>
      <c r="I39" s="205" t="e">
        <f xml:space="preserve"> IF(#REF!="", "",#REF!)</f>
        <v>#REF!</v>
      </c>
      <c r="J39" s="298" t="e">
        <f>#REF!</f>
        <v>#REF!</v>
      </c>
      <c r="K39" s="149" t="e">
        <f>#REF!</f>
        <v>#REF!</v>
      </c>
      <c r="L39" s="149" t="e">
        <f>#REF!</f>
        <v>#REF!</v>
      </c>
      <c r="M39" s="150" t="e">
        <f>#REF!</f>
        <v>#REF!</v>
      </c>
      <c r="N39" s="364"/>
      <c r="O39" s="202"/>
      <c r="P39" s="151" t="e">
        <f>#REF!</f>
        <v>#REF!</v>
      </c>
      <c r="Q39" s="202"/>
      <c r="R39" s="152" t="e">
        <f>#REF!</f>
        <v>#REF!</v>
      </c>
      <c r="S39" s="202"/>
      <c r="T39" s="153" t="e">
        <f>#REF!</f>
        <v>#REF!</v>
      </c>
      <c r="U39" s="202"/>
      <c r="V39" s="153" t="e">
        <f>#REF!</f>
        <v>#REF!</v>
      </c>
      <c r="W39" s="202"/>
      <c r="X39" s="153" t="e">
        <f>#REF!</f>
        <v>#REF!</v>
      </c>
      <c r="Y39" s="202"/>
      <c r="Z39" s="152" t="e">
        <f>#REF!</f>
        <v>#REF!</v>
      </c>
      <c r="AA39" s="202"/>
      <c r="AB39" s="153" t="e">
        <f>#REF!</f>
        <v>#REF!</v>
      </c>
      <c r="AC39" s="202"/>
      <c r="AD39" s="152" t="e">
        <f>#REF!</f>
        <v>#REF!</v>
      </c>
      <c r="AE39" s="202"/>
      <c r="AF39" s="153" t="e">
        <f>#REF!</f>
        <v>#REF!</v>
      </c>
      <c r="AG39" s="202"/>
      <c r="AH39" s="152" t="e">
        <f>#REF!</f>
        <v>#REF!</v>
      </c>
      <c r="AI39" s="202"/>
      <c r="AJ39" s="153" t="e">
        <f>#REF!</f>
        <v>#REF!</v>
      </c>
      <c r="AK39" s="202"/>
      <c r="AL39" s="152" t="e">
        <f>#REF!</f>
        <v>#REF!</v>
      </c>
      <c r="AM39" s="202"/>
      <c r="AN39" s="153" t="e">
        <f>#REF!</f>
        <v>#REF!</v>
      </c>
      <c r="AO39" s="202"/>
      <c r="AP39" s="152" t="e">
        <f>#REF!</f>
        <v>#REF!</v>
      </c>
      <c r="AQ39" s="202"/>
      <c r="AR39" s="154" t="e">
        <f>#REF!</f>
        <v>#REF!</v>
      </c>
      <c r="AS39" s="202"/>
      <c r="AT39" s="153" t="e">
        <f>#REF!</f>
        <v>#REF!</v>
      </c>
      <c r="AU39" s="202"/>
      <c r="AV39" s="152" t="e">
        <f>#REF!</f>
        <v>#REF!</v>
      </c>
      <c r="AW39" s="202"/>
      <c r="AX39" s="153" t="e">
        <f>#REF!</f>
        <v>#REF!</v>
      </c>
      <c r="AY39" s="202"/>
      <c r="AZ39" s="152" t="e">
        <f>#REF!</f>
        <v>#REF!</v>
      </c>
      <c r="BA39" s="202"/>
      <c r="BB39" s="154" t="e">
        <f>#REF!</f>
        <v>#REF!</v>
      </c>
      <c r="BC39" s="137"/>
    </row>
    <row r="40" spans="1:55" ht="30" customHeight="1">
      <c r="A40" s="203" t="e">
        <f>#REF!</f>
        <v>#REF!</v>
      </c>
      <c r="B40" s="204" t="e">
        <f xml:space="preserve"> IF(#REF!=0, "",#REF!)</f>
        <v>#REF!</v>
      </c>
      <c r="C40" s="369" t="e">
        <f>#REF!</f>
        <v>#REF!</v>
      </c>
      <c r="D40" s="369"/>
      <c r="E40" s="291" t="e">
        <f>#REF!</f>
        <v>#REF!</v>
      </c>
      <c r="F40" s="148" t="e">
        <f>#REF!</f>
        <v>#REF!</v>
      </c>
      <c r="G40" s="205" t="e">
        <f xml:space="preserve"> IF(#REF!="", "",#REF!)</f>
        <v>#REF!</v>
      </c>
      <c r="H40" s="205" t="e">
        <f xml:space="preserve"> IF(#REF!="", "",#REF!)</f>
        <v>#REF!</v>
      </c>
      <c r="I40" s="205" t="e">
        <f xml:space="preserve"> IF(#REF!="", "",#REF!)</f>
        <v>#REF!</v>
      </c>
      <c r="J40" s="298" t="e">
        <f>#REF!</f>
        <v>#REF!</v>
      </c>
      <c r="K40" s="149" t="e">
        <f>#REF!</f>
        <v>#REF!</v>
      </c>
      <c r="L40" s="149" t="e">
        <f>#REF!</f>
        <v>#REF!</v>
      </c>
      <c r="M40" s="150" t="e">
        <f>#REF!</f>
        <v>#REF!</v>
      </c>
      <c r="N40" s="364"/>
      <c r="O40" s="202"/>
      <c r="P40" s="151" t="e">
        <f>#REF!</f>
        <v>#REF!</v>
      </c>
      <c r="Q40" s="202"/>
      <c r="R40" s="152" t="e">
        <f>#REF!</f>
        <v>#REF!</v>
      </c>
      <c r="S40" s="202"/>
      <c r="T40" s="153" t="e">
        <f>#REF!</f>
        <v>#REF!</v>
      </c>
      <c r="U40" s="202"/>
      <c r="V40" s="153" t="e">
        <f>#REF!</f>
        <v>#REF!</v>
      </c>
      <c r="W40" s="202"/>
      <c r="X40" s="153" t="e">
        <f>#REF!</f>
        <v>#REF!</v>
      </c>
      <c r="Y40" s="202"/>
      <c r="Z40" s="152" t="e">
        <f>#REF!</f>
        <v>#REF!</v>
      </c>
      <c r="AA40" s="202"/>
      <c r="AB40" s="153" t="e">
        <f>#REF!</f>
        <v>#REF!</v>
      </c>
      <c r="AC40" s="202"/>
      <c r="AD40" s="152" t="e">
        <f>#REF!</f>
        <v>#REF!</v>
      </c>
      <c r="AE40" s="202"/>
      <c r="AF40" s="153" t="e">
        <f>#REF!</f>
        <v>#REF!</v>
      </c>
      <c r="AG40" s="202"/>
      <c r="AH40" s="152" t="e">
        <f>#REF!</f>
        <v>#REF!</v>
      </c>
      <c r="AI40" s="202"/>
      <c r="AJ40" s="153" t="e">
        <f>#REF!</f>
        <v>#REF!</v>
      </c>
      <c r="AK40" s="202"/>
      <c r="AL40" s="152" t="e">
        <f>#REF!</f>
        <v>#REF!</v>
      </c>
      <c r="AM40" s="202"/>
      <c r="AN40" s="153" t="e">
        <f>#REF!</f>
        <v>#REF!</v>
      </c>
      <c r="AO40" s="202"/>
      <c r="AP40" s="152" t="e">
        <f>#REF!</f>
        <v>#REF!</v>
      </c>
      <c r="AQ40" s="202"/>
      <c r="AR40" s="154" t="e">
        <f>#REF!</f>
        <v>#REF!</v>
      </c>
      <c r="AS40" s="202"/>
      <c r="AT40" s="153" t="e">
        <f>#REF!</f>
        <v>#REF!</v>
      </c>
      <c r="AU40" s="202"/>
      <c r="AV40" s="152" t="e">
        <f>#REF!</f>
        <v>#REF!</v>
      </c>
      <c r="AW40" s="202"/>
      <c r="AX40" s="153" t="e">
        <f>#REF!</f>
        <v>#REF!</v>
      </c>
      <c r="AY40" s="202"/>
      <c r="AZ40" s="152" t="e">
        <f>#REF!</f>
        <v>#REF!</v>
      </c>
      <c r="BA40" s="202"/>
      <c r="BB40" s="154" t="e">
        <f>#REF!</f>
        <v>#REF!</v>
      </c>
      <c r="BC40" s="137"/>
    </row>
    <row r="41" spans="1:55" ht="30" customHeight="1">
      <c r="A41" s="203" t="e">
        <f>#REF!</f>
        <v>#REF!</v>
      </c>
      <c r="B41" s="204" t="e">
        <f xml:space="preserve"> IF(#REF!=0, "",#REF!)</f>
        <v>#REF!</v>
      </c>
      <c r="C41" s="369" t="e">
        <f>#REF!</f>
        <v>#REF!</v>
      </c>
      <c r="D41" s="369"/>
      <c r="E41" s="291" t="e">
        <f>#REF!</f>
        <v>#REF!</v>
      </c>
      <c r="F41" s="148" t="e">
        <f>#REF!</f>
        <v>#REF!</v>
      </c>
      <c r="G41" s="205" t="e">
        <f xml:space="preserve"> IF(#REF!="", "",#REF!)</f>
        <v>#REF!</v>
      </c>
      <c r="H41" s="205" t="e">
        <f xml:space="preserve"> IF(#REF!="", "",#REF!)</f>
        <v>#REF!</v>
      </c>
      <c r="I41" s="205" t="e">
        <f xml:space="preserve"> IF(#REF!="", "",#REF!)</f>
        <v>#REF!</v>
      </c>
      <c r="J41" s="298" t="e">
        <f>#REF!</f>
        <v>#REF!</v>
      </c>
      <c r="K41" s="149" t="e">
        <f>#REF!</f>
        <v>#REF!</v>
      </c>
      <c r="L41" s="149" t="e">
        <f>#REF!</f>
        <v>#REF!</v>
      </c>
      <c r="M41" s="150" t="e">
        <f>#REF!</f>
        <v>#REF!</v>
      </c>
      <c r="N41" s="364"/>
      <c r="O41" s="202"/>
      <c r="P41" s="151" t="e">
        <f>#REF!</f>
        <v>#REF!</v>
      </c>
      <c r="Q41" s="202"/>
      <c r="R41" s="152" t="e">
        <f>#REF!</f>
        <v>#REF!</v>
      </c>
      <c r="S41" s="202"/>
      <c r="T41" s="153" t="e">
        <f>#REF!</f>
        <v>#REF!</v>
      </c>
      <c r="U41" s="202"/>
      <c r="V41" s="153" t="e">
        <f>#REF!</f>
        <v>#REF!</v>
      </c>
      <c r="W41" s="202"/>
      <c r="X41" s="153" t="e">
        <f>#REF!</f>
        <v>#REF!</v>
      </c>
      <c r="Y41" s="202"/>
      <c r="Z41" s="152" t="e">
        <f>#REF!</f>
        <v>#REF!</v>
      </c>
      <c r="AA41" s="202"/>
      <c r="AB41" s="153" t="e">
        <f>#REF!</f>
        <v>#REF!</v>
      </c>
      <c r="AC41" s="202"/>
      <c r="AD41" s="152" t="e">
        <f>#REF!</f>
        <v>#REF!</v>
      </c>
      <c r="AE41" s="202"/>
      <c r="AF41" s="153" t="e">
        <f>#REF!</f>
        <v>#REF!</v>
      </c>
      <c r="AG41" s="202"/>
      <c r="AH41" s="152" t="e">
        <f>#REF!</f>
        <v>#REF!</v>
      </c>
      <c r="AI41" s="202"/>
      <c r="AJ41" s="153" t="e">
        <f>#REF!</f>
        <v>#REF!</v>
      </c>
      <c r="AK41" s="202"/>
      <c r="AL41" s="152" t="e">
        <f>#REF!</f>
        <v>#REF!</v>
      </c>
      <c r="AM41" s="202"/>
      <c r="AN41" s="153" t="e">
        <f>#REF!</f>
        <v>#REF!</v>
      </c>
      <c r="AO41" s="202"/>
      <c r="AP41" s="152" t="e">
        <f>#REF!</f>
        <v>#REF!</v>
      </c>
      <c r="AQ41" s="202"/>
      <c r="AR41" s="154" t="e">
        <f>#REF!</f>
        <v>#REF!</v>
      </c>
      <c r="AS41" s="202"/>
      <c r="AT41" s="153" t="e">
        <f>#REF!</f>
        <v>#REF!</v>
      </c>
      <c r="AU41" s="202"/>
      <c r="AV41" s="152" t="e">
        <f>#REF!</f>
        <v>#REF!</v>
      </c>
      <c r="AW41" s="202"/>
      <c r="AX41" s="153" t="e">
        <f>#REF!</f>
        <v>#REF!</v>
      </c>
      <c r="AY41" s="202"/>
      <c r="AZ41" s="152" t="e">
        <f>#REF!</f>
        <v>#REF!</v>
      </c>
      <c r="BA41" s="202"/>
      <c r="BB41" s="154" t="e">
        <f>#REF!</f>
        <v>#REF!</v>
      </c>
      <c r="BC41" s="137"/>
    </row>
    <row r="42" spans="1:55" ht="30" customHeight="1">
      <c r="A42" s="203" t="e">
        <f>#REF!</f>
        <v>#REF!</v>
      </c>
      <c r="B42" s="204" t="e">
        <f xml:space="preserve"> IF(#REF!=0, "",#REF!)</f>
        <v>#REF!</v>
      </c>
      <c r="C42" s="369" t="e">
        <f>#REF!</f>
        <v>#REF!</v>
      </c>
      <c r="D42" s="369"/>
      <c r="E42" s="291" t="e">
        <f>#REF!</f>
        <v>#REF!</v>
      </c>
      <c r="F42" s="148" t="e">
        <f>#REF!</f>
        <v>#REF!</v>
      </c>
      <c r="G42" s="205" t="e">
        <f xml:space="preserve"> IF(#REF!="", "",#REF!)</f>
        <v>#REF!</v>
      </c>
      <c r="H42" s="205" t="e">
        <f xml:space="preserve"> IF(#REF!="", "",#REF!)</f>
        <v>#REF!</v>
      </c>
      <c r="I42" s="205" t="e">
        <f xml:space="preserve"> IF(#REF!="", "",#REF!)</f>
        <v>#REF!</v>
      </c>
      <c r="J42" s="298" t="e">
        <f>#REF!</f>
        <v>#REF!</v>
      </c>
      <c r="K42" s="149" t="e">
        <f>#REF!</f>
        <v>#REF!</v>
      </c>
      <c r="L42" s="149" t="e">
        <f>#REF!</f>
        <v>#REF!</v>
      </c>
      <c r="M42" s="150" t="e">
        <f>#REF!</f>
        <v>#REF!</v>
      </c>
      <c r="N42" s="364"/>
      <c r="O42" s="202"/>
      <c r="P42" s="151" t="e">
        <f>#REF!</f>
        <v>#REF!</v>
      </c>
      <c r="Q42" s="202"/>
      <c r="R42" s="152" t="e">
        <f>#REF!</f>
        <v>#REF!</v>
      </c>
      <c r="S42" s="202"/>
      <c r="T42" s="153" t="e">
        <f>#REF!</f>
        <v>#REF!</v>
      </c>
      <c r="U42" s="202"/>
      <c r="V42" s="153" t="e">
        <f>#REF!</f>
        <v>#REF!</v>
      </c>
      <c r="W42" s="202"/>
      <c r="X42" s="153" t="e">
        <f>#REF!</f>
        <v>#REF!</v>
      </c>
      <c r="Y42" s="202"/>
      <c r="Z42" s="152" t="e">
        <f>#REF!</f>
        <v>#REF!</v>
      </c>
      <c r="AA42" s="202"/>
      <c r="AB42" s="153" t="e">
        <f>#REF!</f>
        <v>#REF!</v>
      </c>
      <c r="AC42" s="202"/>
      <c r="AD42" s="152" t="e">
        <f>#REF!</f>
        <v>#REF!</v>
      </c>
      <c r="AE42" s="202"/>
      <c r="AF42" s="153" t="e">
        <f>#REF!</f>
        <v>#REF!</v>
      </c>
      <c r="AG42" s="202"/>
      <c r="AH42" s="152" t="e">
        <f>#REF!</f>
        <v>#REF!</v>
      </c>
      <c r="AI42" s="202"/>
      <c r="AJ42" s="153" t="e">
        <f>#REF!</f>
        <v>#REF!</v>
      </c>
      <c r="AK42" s="202"/>
      <c r="AL42" s="152" t="e">
        <f>#REF!</f>
        <v>#REF!</v>
      </c>
      <c r="AM42" s="202"/>
      <c r="AN42" s="153" t="e">
        <f>#REF!</f>
        <v>#REF!</v>
      </c>
      <c r="AO42" s="202"/>
      <c r="AP42" s="152" t="e">
        <f>#REF!</f>
        <v>#REF!</v>
      </c>
      <c r="AQ42" s="202"/>
      <c r="AR42" s="154" t="e">
        <f>#REF!</f>
        <v>#REF!</v>
      </c>
      <c r="AS42" s="202"/>
      <c r="AT42" s="153" t="e">
        <f>#REF!</f>
        <v>#REF!</v>
      </c>
      <c r="AU42" s="202"/>
      <c r="AV42" s="152" t="e">
        <f>#REF!</f>
        <v>#REF!</v>
      </c>
      <c r="AW42" s="202"/>
      <c r="AX42" s="153" t="e">
        <f>#REF!</f>
        <v>#REF!</v>
      </c>
      <c r="AY42" s="202"/>
      <c r="AZ42" s="152" t="e">
        <f>#REF!</f>
        <v>#REF!</v>
      </c>
      <c r="BA42" s="202"/>
      <c r="BB42" s="154" t="e">
        <f>#REF!</f>
        <v>#REF!</v>
      </c>
      <c r="BC42" s="137"/>
    </row>
    <row r="43" spans="1:55" ht="30" customHeight="1">
      <c r="A43" s="203" t="e">
        <f>#REF!</f>
        <v>#REF!</v>
      </c>
      <c r="B43" s="204" t="e">
        <f xml:space="preserve"> IF(#REF!=0, "",#REF!)</f>
        <v>#REF!</v>
      </c>
      <c r="C43" s="369" t="e">
        <f>#REF!</f>
        <v>#REF!</v>
      </c>
      <c r="D43" s="369"/>
      <c r="E43" s="291" t="e">
        <f>#REF!</f>
        <v>#REF!</v>
      </c>
      <c r="F43" s="148" t="e">
        <f>#REF!</f>
        <v>#REF!</v>
      </c>
      <c r="G43" s="205" t="e">
        <f xml:space="preserve"> IF(#REF!="", "",#REF!)</f>
        <v>#REF!</v>
      </c>
      <c r="H43" s="205" t="e">
        <f xml:space="preserve"> IF(#REF!="", "",#REF!)</f>
        <v>#REF!</v>
      </c>
      <c r="I43" s="205" t="e">
        <f xml:space="preserve"> IF(#REF!="", "",#REF!)</f>
        <v>#REF!</v>
      </c>
      <c r="J43" s="298" t="e">
        <f>#REF!</f>
        <v>#REF!</v>
      </c>
      <c r="K43" s="149" t="e">
        <f>#REF!</f>
        <v>#REF!</v>
      </c>
      <c r="L43" s="149" t="e">
        <f>#REF!</f>
        <v>#REF!</v>
      </c>
      <c r="M43" s="150" t="e">
        <f>#REF!</f>
        <v>#REF!</v>
      </c>
      <c r="N43" s="364"/>
      <c r="O43" s="202"/>
      <c r="P43" s="151" t="e">
        <f>#REF!</f>
        <v>#REF!</v>
      </c>
      <c r="Q43" s="202"/>
      <c r="R43" s="152" t="e">
        <f>#REF!</f>
        <v>#REF!</v>
      </c>
      <c r="S43" s="202"/>
      <c r="T43" s="153" t="e">
        <f>#REF!</f>
        <v>#REF!</v>
      </c>
      <c r="U43" s="202"/>
      <c r="V43" s="153" t="e">
        <f>#REF!</f>
        <v>#REF!</v>
      </c>
      <c r="W43" s="202"/>
      <c r="X43" s="153" t="e">
        <f>#REF!</f>
        <v>#REF!</v>
      </c>
      <c r="Y43" s="202"/>
      <c r="Z43" s="152" t="e">
        <f>#REF!</f>
        <v>#REF!</v>
      </c>
      <c r="AA43" s="202"/>
      <c r="AB43" s="153" t="e">
        <f>#REF!</f>
        <v>#REF!</v>
      </c>
      <c r="AC43" s="202"/>
      <c r="AD43" s="152" t="e">
        <f>#REF!</f>
        <v>#REF!</v>
      </c>
      <c r="AE43" s="202"/>
      <c r="AF43" s="153" t="e">
        <f>#REF!</f>
        <v>#REF!</v>
      </c>
      <c r="AG43" s="202"/>
      <c r="AH43" s="152" t="e">
        <f>#REF!</f>
        <v>#REF!</v>
      </c>
      <c r="AI43" s="202"/>
      <c r="AJ43" s="153" t="e">
        <f>#REF!</f>
        <v>#REF!</v>
      </c>
      <c r="AK43" s="202"/>
      <c r="AL43" s="152" t="e">
        <f>#REF!</f>
        <v>#REF!</v>
      </c>
      <c r="AM43" s="202"/>
      <c r="AN43" s="153" t="e">
        <f>#REF!</f>
        <v>#REF!</v>
      </c>
      <c r="AO43" s="202"/>
      <c r="AP43" s="152" t="e">
        <f>#REF!</f>
        <v>#REF!</v>
      </c>
      <c r="AQ43" s="202"/>
      <c r="AR43" s="154" t="e">
        <f>#REF!</f>
        <v>#REF!</v>
      </c>
      <c r="AS43" s="202"/>
      <c r="AT43" s="153" t="e">
        <f>#REF!</f>
        <v>#REF!</v>
      </c>
      <c r="AU43" s="202"/>
      <c r="AV43" s="152" t="e">
        <f>#REF!</f>
        <v>#REF!</v>
      </c>
      <c r="AW43" s="202"/>
      <c r="AX43" s="153" t="e">
        <f>#REF!</f>
        <v>#REF!</v>
      </c>
      <c r="AY43" s="202"/>
      <c r="AZ43" s="152" t="e">
        <f>#REF!</f>
        <v>#REF!</v>
      </c>
      <c r="BA43" s="202"/>
      <c r="BB43" s="154" t="e">
        <f>#REF!</f>
        <v>#REF!</v>
      </c>
      <c r="BC43" s="137"/>
    </row>
    <row r="44" spans="1:55" ht="30" customHeight="1">
      <c r="A44" s="203" t="e">
        <f>#REF!</f>
        <v>#REF!</v>
      </c>
      <c r="B44" s="204" t="e">
        <f xml:space="preserve"> IF(#REF!=0, "",#REF!)</f>
        <v>#REF!</v>
      </c>
      <c r="C44" s="369" t="e">
        <f>#REF!</f>
        <v>#REF!</v>
      </c>
      <c r="D44" s="369"/>
      <c r="E44" s="291" t="e">
        <f>#REF!</f>
        <v>#REF!</v>
      </c>
      <c r="F44" s="148" t="e">
        <f>#REF!</f>
        <v>#REF!</v>
      </c>
      <c r="G44" s="205" t="e">
        <f xml:space="preserve"> IF(#REF!="", "",#REF!)</f>
        <v>#REF!</v>
      </c>
      <c r="H44" s="205" t="e">
        <f xml:space="preserve"> IF(#REF!="", "",#REF!)</f>
        <v>#REF!</v>
      </c>
      <c r="I44" s="205" t="e">
        <f xml:space="preserve"> IF(#REF!="", "",#REF!)</f>
        <v>#REF!</v>
      </c>
      <c r="J44" s="298" t="e">
        <f>#REF!</f>
        <v>#REF!</v>
      </c>
      <c r="K44" s="149" t="e">
        <f>#REF!</f>
        <v>#REF!</v>
      </c>
      <c r="L44" s="149" t="e">
        <f>#REF!</f>
        <v>#REF!</v>
      </c>
      <c r="M44" s="150" t="e">
        <f>#REF!</f>
        <v>#REF!</v>
      </c>
      <c r="N44" s="364"/>
      <c r="O44" s="202"/>
      <c r="P44" s="151" t="e">
        <f>#REF!</f>
        <v>#REF!</v>
      </c>
      <c r="Q44" s="202"/>
      <c r="R44" s="152" t="e">
        <f>#REF!</f>
        <v>#REF!</v>
      </c>
      <c r="S44" s="202"/>
      <c r="T44" s="153" t="e">
        <f>#REF!</f>
        <v>#REF!</v>
      </c>
      <c r="U44" s="202"/>
      <c r="V44" s="153" t="e">
        <f>#REF!</f>
        <v>#REF!</v>
      </c>
      <c r="W44" s="202"/>
      <c r="X44" s="153" t="e">
        <f>#REF!</f>
        <v>#REF!</v>
      </c>
      <c r="Y44" s="202"/>
      <c r="Z44" s="152" t="e">
        <f>#REF!</f>
        <v>#REF!</v>
      </c>
      <c r="AA44" s="202"/>
      <c r="AB44" s="153" t="e">
        <f>#REF!</f>
        <v>#REF!</v>
      </c>
      <c r="AC44" s="202"/>
      <c r="AD44" s="152" t="e">
        <f>#REF!</f>
        <v>#REF!</v>
      </c>
      <c r="AE44" s="202"/>
      <c r="AF44" s="153" t="e">
        <f>#REF!</f>
        <v>#REF!</v>
      </c>
      <c r="AG44" s="202"/>
      <c r="AH44" s="152" t="e">
        <f>#REF!</f>
        <v>#REF!</v>
      </c>
      <c r="AI44" s="202"/>
      <c r="AJ44" s="153" t="e">
        <f>#REF!</f>
        <v>#REF!</v>
      </c>
      <c r="AK44" s="202"/>
      <c r="AL44" s="152" t="e">
        <f>#REF!</f>
        <v>#REF!</v>
      </c>
      <c r="AM44" s="202"/>
      <c r="AN44" s="153" t="e">
        <f>#REF!</f>
        <v>#REF!</v>
      </c>
      <c r="AO44" s="202"/>
      <c r="AP44" s="152" t="e">
        <f>#REF!</f>
        <v>#REF!</v>
      </c>
      <c r="AQ44" s="202"/>
      <c r="AR44" s="154" t="e">
        <f>#REF!</f>
        <v>#REF!</v>
      </c>
      <c r="AS44" s="202"/>
      <c r="AT44" s="153" t="e">
        <f>#REF!</f>
        <v>#REF!</v>
      </c>
      <c r="AU44" s="202"/>
      <c r="AV44" s="152" t="e">
        <f>#REF!</f>
        <v>#REF!</v>
      </c>
      <c r="AW44" s="202"/>
      <c r="AX44" s="153" t="e">
        <f>#REF!</f>
        <v>#REF!</v>
      </c>
      <c r="AY44" s="202"/>
      <c r="AZ44" s="152" t="e">
        <f>#REF!</f>
        <v>#REF!</v>
      </c>
      <c r="BA44" s="202"/>
      <c r="BB44" s="154" t="e">
        <f>#REF!</f>
        <v>#REF!</v>
      </c>
      <c r="BC44" s="137"/>
    </row>
    <row r="45" spans="1:55" ht="30" customHeight="1">
      <c r="A45" s="203" t="e">
        <f>#REF!</f>
        <v>#REF!</v>
      </c>
      <c r="B45" s="204" t="e">
        <f xml:space="preserve"> IF(#REF!=0, "",#REF!)</f>
        <v>#REF!</v>
      </c>
      <c r="C45" s="369" t="e">
        <f>#REF!</f>
        <v>#REF!</v>
      </c>
      <c r="D45" s="369"/>
      <c r="E45" s="291" t="e">
        <f>#REF!</f>
        <v>#REF!</v>
      </c>
      <c r="F45" s="148" t="e">
        <f>#REF!</f>
        <v>#REF!</v>
      </c>
      <c r="G45" s="205" t="e">
        <f xml:space="preserve"> IF(#REF!="", "",#REF!)</f>
        <v>#REF!</v>
      </c>
      <c r="H45" s="205" t="e">
        <f xml:space="preserve"> IF(#REF!="", "",#REF!)</f>
        <v>#REF!</v>
      </c>
      <c r="I45" s="205" t="e">
        <f xml:space="preserve"> IF(#REF!="", "",#REF!)</f>
        <v>#REF!</v>
      </c>
      <c r="J45" s="298" t="e">
        <f>#REF!</f>
        <v>#REF!</v>
      </c>
      <c r="K45" s="149" t="e">
        <f>#REF!</f>
        <v>#REF!</v>
      </c>
      <c r="L45" s="149" t="e">
        <f>#REF!</f>
        <v>#REF!</v>
      </c>
      <c r="M45" s="150" t="e">
        <f>#REF!</f>
        <v>#REF!</v>
      </c>
      <c r="N45" s="364"/>
      <c r="O45" s="202"/>
      <c r="P45" s="151" t="e">
        <f>#REF!</f>
        <v>#REF!</v>
      </c>
      <c r="Q45" s="202"/>
      <c r="R45" s="152" t="e">
        <f>#REF!</f>
        <v>#REF!</v>
      </c>
      <c r="S45" s="202"/>
      <c r="T45" s="153" t="e">
        <f>#REF!</f>
        <v>#REF!</v>
      </c>
      <c r="U45" s="202"/>
      <c r="V45" s="153" t="e">
        <f>#REF!</f>
        <v>#REF!</v>
      </c>
      <c r="W45" s="202"/>
      <c r="X45" s="153" t="e">
        <f>#REF!</f>
        <v>#REF!</v>
      </c>
      <c r="Y45" s="202"/>
      <c r="Z45" s="152" t="e">
        <f>#REF!</f>
        <v>#REF!</v>
      </c>
      <c r="AA45" s="202"/>
      <c r="AB45" s="153" t="e">
        <f>#REF!</f>
        <v>#REF!</v>
      </c>
      <c r="AC45" s="202"/>
      <c r="AD45" s="152" t="e">
        <f>#REF!</f>
        <v>#REF!</v>
      </c>
      <c r="AE45" s="202"/>
      <c r="AF45" s="153" t="e">
        <f>#REF!</f>
        <v>#REF!</v>
      </c>
      <c r="AG45" s="202"/>
      <c r="AH45" s="152" t="e">
        <f>#REF!</f>
        <v>#REF!</v>
      </c>
      <c r="AI45" s="202"/>
      <c r="AJ45" s="153" t="e">
        <f>#REF!</f>
        <v>#REF!</v>
      </c>
      <c r="AK45" s="202"/>
      <c r="AL45" s="152" t="e">
        <f>#REF!</f>
        <v>#REF!</v>
      </c>
      <c r="AM45" s="202"/>
      <c r="AN45" s="153" t="e">
        <f>#REF!</f>
        <v>#REF!</v>
      </c>
      <c r="AO45" s="202"/>
      <c r="AP45" s="152" t="e">
        <f>#REF!</f>
        <v>#REF!</v>
      </c>
      <c r="AQ45" s="202"/>
      <c r="AR45" s="154" t="e">
        <f>#REF!</f>
        <v>#REF!</v>
      </c>
      <c r="AS45" s="202"/>
      <c r="AT45" s="153" t="e">
        <f>#REF!</f>
        <v>#REF!</v>
      </c>
      <c r="AU45" s="202"/>
      <c r="AV45" s="152" t="e">
        <f>#REF!</f>
        <v>#REF!</v>
      </c>
      <c r="AW45" s="202"/>
      <c r="AX45" s="153" t="e">
        <f>#REF!</f>
        <v>#REF!</v>
      </c>
      <c r="AY45" s="202"/>
      <c r="AZ45" s="152" t="e">
        <f>#REF!</f>
        <v>#REF!</v>
      </c>
      <c r="BA45" s="202"/>
      <c r="BB45" s="154" t="e">
        <f>#REF!</f>
        <v>#REF!</v>
      </c>
      <c r="BC45" s="137"/>
    </row>
    <row r="46" spans="1:55" ht="30" customHeight="1">
      <c r="A46" s="203" t="e">
        <f>#REF!</f>
        <v>#REF!</v>
      </c>
      <c r="B46" s="204" t="e">
        <f xml:space="preserve"> IF(#REF!=0, "",#REF!)</f>
        <v>#REF!</v>
      </c>
      <c r="C46" s="369" t="e">
        <f>#REF!</f>
        <v>#REF!</v>
      </c>
      <c r="D46" s="369"/>
      <c r="E46" s="291" t="e">
        <f>#REF!</f>
        <v>#REF!</v>
      </c>
      <c r="F46" s="148" t="e">
        <f>#REF!</f>
        <v>#REF!</v>
      </c>
      <c r="G46" s="205" t="e">
        <f xml:space="preserve"> IF(#REF!="", "",#REF!)</f>
        <v>#REF!</v>
      </c>
      <c r="H46" s="205" t="e">
        <f xml:space="preserve"> IF(#REF!="", "",#REF!)</f>
        <v>#REF!</v>
      </c>
      <c r="I46" s="205" t="e">
        <f xml:space="preserve"> IF(#REF!="", "",#REF!)</f>
        <v>#REF!</v>
      </c>
      <c r="J46" s="298" t="e">
        <f>#REF!</f>
        <v>#REF!</v>
      </c>
      <c r="K46" s="149" t="e">
        <f>#REF!</f>
        <v>#REF!</v>
      </c>
      <c r="L46" s="149" t="e">
        <f>#REF!</f>
        <v>#REF!</v>
      </c>
      <c r="M46" s="150" t="e">
        <f>#REF!</f>
        <v>#REF!</v>
      </c>
      <c r="N46" s="364"/>
      <c r="O46" s="202"/>
      <c r="P46" s="151" t="e">
        <f>#REF!</f>
        <v>#REF!</v>
      </c>
      <c r="Q46" s="202"/>
      <c r="R46" s="152" t="e">
        <f>#REF!</f>
        <v>#REF!</v>
      </c>
      <c r="S46" s="202"/>
      <c r="T46" s="153" t="e">
        <f>#REF!</f>
        <v>#REF!</v>
      </c>
      <c r="U46" s="202"/>
      <c r="V46" s="153" t="e">
        <f>#REF!</f>
        <v>#REF!</v>
      </c>
      <c r="W46" s="202"/>
      <c r="X46" s="153" t="e">
        <f>#REF!</f>
        <v>#REF!</v>
      </c>
      <c r="Y46" s="202"/>
      <c r="Z46" s="152" t="e">
        <f>#REF!</f>
        <v>#REF!</v>
      </c>
      <c r="AA46" s="202"/>
      <c r="AB46" s="153" t="e">
        <f>#REF!</f>
        <v>#REF!</v>
      </c>
      <c r="AC46" s="202"/>
      <c r="AD46" s="152" t="e">
        <f>#REF!</f>
        <v>#REF!</v>
      </c>
      <c r="AE46" s="202"/>
      <c r="AF46" s="153" t="e">
        <f>#REF!</f>
        <v>#REF!</v>
      </c>
      <c r="AG46" s="202"/>
      <c r="AH46" s="152" t="e">
        <f>#REF!</f>
        <v>#REF!</v>
      </c>
      <c r="AI46" s="202"/>
      <c r="AJ46" s="153" t="e">
        <f>#REF!</f>
        <v>#REF!</v>
      </c>
      <c r="AK46" s="202"/>
      <c r="AL46" s="152" t="e">
        <f>#REF!</f>
        <v>#REF!</v>
      </c>
      <c r="AM46" s="202"/>
      <c r="AN46" s="153" t="e">
        <f>#REF!</f>
        <v>#REF!</v>
      </c>
      <c r="AO46" s="202"/>
      <c r="AP46" s="152" t="e">
        <f>#REF!</f>
        <v>#REF!</v>
      </c>
      <c r="AQ46" s="202"/>
      <c r="AR46" s="154" t="e">
        <f>#REF!</f>
        <v>#REF!</v>
      </c>
      <c r="AS46" s="202"/>
      <c r="AT46" s="153" t="e">
        <f>#REF!</f>
        <v>#REF!</v>
      </c>
      <c r="AU46" s="202"/>
      <c r="AV46" s="152" t="e">
        <f>#REF!</f>
        <v>#REF!</v>
      </c>
      <c r="AW46" s="202"/>
      <c r="AX46" s="153" t="e">
        <f>#REF!</f>
        <v>#REF!</v>
      </c>
      <c r="AY46" s="202"/>
      <c r="AZ46" s="152" t="e">
        <f>#REF!</f>
        <v>#REF!</v>
      </c>
      <c r="BA46" s="202"/>
      <c r="BB46" s="154" t="e">
        <f>#REF!</f>
        <v>#REF!</v>
      </c>
      <c r="BC46" s="137"/>
    </row>
    <row r="47" spans="1:55" ht="30" customHeight="1">
      <c r="A47" s="203" t="e">
        <f>#REF!</f>
        <v>#REF!</v>
      </c>
      <c r="B47" s="204" t="e">
        <f xml:space="preserve"> IF(#REF!=0, "",#REF!)</f>
        <v>#REF!</v>
      </c>
      <c r="C47" s="369" t="e">
        <f>#REF!</f>
        <v>#REF!</v>
      </c>
      <c r="D47" s="369"/>
      <c r="E47" s="291" t="e">
        <f>#REF!</f>
        <v>#REF!</v>
      </c>
      <c r="F47" s="148" t="e">
        <f>#REF!</f>
        <v>#REF!</v>
      </c>
      <c r="G47" s="205" t="e">
        <f xml:space="preserve"> IF(#REF!="", "",#REF!)</f>
        <v>#REF!</v>
      </c>
      <c r="H47" s="205" t="e">
        <f xml:space="preserve"> IF(#REF!="", "",#REF!)</f>
        <v>#REF!</v>
      </c>
      <c r="I47" s="205" t="e">
        <f xml:space="preserve"> IF(#REF!="", "",#REF!)</f>
        <v>#REF!</v>
      </c>
      <c r="J47" s="298" t="e">
        <f>#REF!</f>
        <v>#REF!</v>
      </c>
      <c r="K47" s="149" t="e">
        <f>#REF!</f>
        <v>#REF!</v>
      </c>
      <c r="L47" s="149" t="e">
        <f>#REF!</f>
        <v>#REF!</v>
      </c>
      <c r="M47" s="150" t="e">
        <f>#REF!</f>
        <v>#REF!</v>
      </c>
      <c r="N47" s="364"/>
      <c r="O47" s="202"/>
      <c r="P47" s="151" t="e">
        <f>#REF!</f>
        <v>#REF!</v>
      </c>
      <c r="Q47" s="202"/>
      <c r="R47" s="152" t="e">
        <f>#REF!</f>
        <v>#REF!</v>
      </c>
      <c r="S47" s="202"/>
      <c r="T47" s="153" t="e">
        <f>#REF!</f>
        <v>#REF!</v>
      </c>
      <c r="U47" s="202"/>
      <c r="V47" s="153" t="e">
        <f>#REF!</f>
        <v>#REF!</v>
      </c>
      <c r="W47" s="202"/>
      <c r="X47" s="153" t="e">
        <f>#REF!</f>
        <v>#REF!</v>
      </c>
      <c r="Y47" s="202"/>
      <c r="Z47" s="152" t="e">
        <f>#REF!</f>
        <v>#REF!</v>
      </c>
      <c r="AA47" s="202"/>
      <c r="AB47" s="153" t="e">
        <f>#REF!</f>
        <v>#REF!</v>
      </c>
      <c r="AC47" s="202"/>
      <c r="AD47" s="152" t="e">
        <f>#REF!</f>
        <v>#REF!</v>
      </c>
      <c r="AE47" s="202"/>
      <c r="AF47" s="153" t="e">
        <f>#REF!</f>
        <v>#REF!</v>
      </c>
      <c r="AG47" s="202"/>
      <c r="AH47" s="152" t="e">
        <f>#REF!</f>
        <v>#REF!</v>
      </c>
      <c r="AI47" s="202"/>
      <c r="AJ47" s="153" t="e">
        <f>#REF!</f>
        <v>#REF!</v>
      </c>
      <c r="AK47" s="202"/>
      <c r="AL47" s="152" t="e">
        <f>#REF!</f>
        <v>#REF!</v>
      </c>
      <c r="AM47" s="202"/>
      <c r="AN47" s="153" t="e">
        <f>#REF!</f>
        <v>#REF!</v>
      </c>
      <c r="AO47" s="202"/>
      <c r="AP47" s="152" t="e">
        <f>#REF!</f>
        <v>#REF!</v>
      </c>
      <c r="AQ47" s="202"/>
      <c r="AR47" s="154" t="e">
        <f>#REF!</f>
        <v>#REF!</v>
      </c>
      <c r="AS47" s="202"/>
      <c r="AT47" s="153" t="e">
        <f>#REF!</f>
        <v>#REF!</v>
      </c>
      <c r="AU47" s="202"/>
      <c r="AV47" s="152" t="e">
        <f>#REF!</f>
        <v>#REF!</v>
      </c>
      <c r="AW47" s="202"/>
      <c r="AX47" s="153" t="e">
        <f>#REF!</f>
        <v>#REF!</v>
      </c>
      <c r="AY47" s="202"/>
      <c r="AZ47" s="152" t="e">
        <f>#REF!</f>
        <v>#REF!</v>
      </c>
      <c r="BA47" s="202"/>
      <c r="BB47" s="154" t="e">
        <f>#REF!</f>
        <v>#REF!</v>
      </c>
      <c r="BC47" s="137"/>
    </row>
    <row r="48" spans="1:55" ht="30" customHeight="1">
      <c r="A48" s="203" t="e">
        <f>#REF!</f>
        <v>#REF!</v>
      </c>
      <c r="B48" s="204" t="e">
        <f xml:space="preserve"> IF(#REF!=0, "",#REF!)</f>
        <v>#REF!</v>
      </c>
      <c r="C48" s="369" t="e">
        <f>#REF!</f>
        <v>#REF!</v>
      </c>
      <c r="D48" s="369"/>
      <c r="E48" s="291" t="e">
        <f>#REF!</f>
        <v>#REF!</v>
      </c>
      <c r="F48" s="148" t="e">
        <f>#REF!</f>
        <v>#REF!</v>
      </c>
      <c r="G48" s="205" t="e">
        <f xml:space="preserve"> IF(#REF!="", "",#REF!)</f>
        <v>#REF!</v>
      </c>
      <c r="H48" s="205" t="e">
        <f xml:space="preserve"> IF(#REF!="", "",#REF!)</f>
        <v>#REF!</v>
      </c>
      <c r="I48" s="205" t="e">
        <f xml:space="preserve"> IF(#REF!="", "",#REF!)</f>
        <v>#REF!</v>
      </c>
      <c r="J48" s="298" t="e">
        <f>#REF!</f>
        <v>#REF!</v>
      </c>
      <c r="K48" s="149" t="e">
        <f>#REF!</f>
        <v>#REF!</v>
      </c>
      <c r="L48" s="149" t="e">
        <f>#REF!</f>
        <v>#REF!</v>
      </c>
      <c r="M48" s="150" t="e">
        <f>#REF!</f>
        <v>#REF!</v>
      </c>
      <c r="N48" s="364"/>
      <c r="O48" s="202"/>
      <c r="P48" s="151" t="e">
        <f>#REF!</f>
        <v>#REF!</v>
      </c>
      <c r="Q48" s="202"/>
      <c r="R48" s="152" t="e">
        <f>#REF!</f>
        <v>#REF!</v>
      </c>
      <c r="S48" s="202"/>
      <c r="T48" s="153" t="e">
        <f>#REF!</f>
        <v>#REF!</v>
      </c>
      <c r="U48" s="202"/>
      <c r="V48" s="153" t="e">
        <f>#REF!</f>
        <v>#REF!</v>
      </c>
      <c r="W48" s="202"/>
      <c r="X48" s="153" t="e">
        <f>#REF!</f>
        <v>#REF!</v>
      </c>
      <c r="Y48" s="202"/>
      <c r="Z48" s="152" t="e">
        <f>#REF!</f>
        <v>#REF!</v>
      </c>
      <c r="AA48" s="202"/>
      <c r="AB48" s="153" t="e">
        <f>#REF!</f>
        <v>#REF!</v>
      </c>
      <c r="AC48" s="202"/>
      <c r="AD48" s="152" t="e">
        <f>#REF!</f>
        <v>#REF!</v>
      </c>
      <c r="AE48" s="202"/>
      <c r="AF48" s="153" t="e">
        <f>#REF!</f>
        <v>#REF!</v>
      </c>
      <c r="AG48" s="202"/>
      <c r="AH48" s="152" t="e">
        <f>#REF!</f>
        <v>#REF!</v>
      </c>
      <c r="AI48" s="202"/>
      <c r="AJ48" s="153" t="e">
        <f>#REF!</f>
        <v>#REF!</v>
      </c>
      <c r="AK48" s="202"/>
      <c r="AL48" s="152" t="e">
        <f>#REF!</f>
        <v>#REF!</v>
      </c>
      <c r="AM48" s="202"/>
      <c r="AN48" s="153" t="e">
        <f>#REF!</f>
        <v>#REF!</v>
      </c>
      <c r="AO48" s="202"/>
      <c r="AP48" s="152" t="e">
        <f>#REF!</f>
        <v>#REF!</v>
      </c>
      <c r="AQ48" s="202"/>
      <c r="AR48" s="154" t="e">
        <f>#REF!</f>
        <v>#REF!</v>
      </c>
      <c r="AS48" s="202"/>
      <c r="AT48" s="153" t="e">
        <f>#REF!</f>
        <v>#REF!</v>
      </c>
      <c r="AU48" s="202"/>
      <c r="AV48" s="152" t="e">
        <f>#REF!</f>
        <v>#REF!</v>
      </c>
      <c r="AW48" s="202"/>
      <c r="AX48" s="153" t="e">
        <f>#REF!</f>
        <v>#REF!</v>
      </c>
      <c r="AY48" s="202"/>
      <c r="AZ48" s="152" t="e">
        <f>#REF!</f>
        <v>#REF!</v>
      </c>
      <c r="BA48" s="202"/>
      <c r="BB48" s="154" t="e">
        <f>#REF!</f>
        <v>#REF!</v>
      </c>
      <c r="BC48" s="137"/>
    </row>
    <row r="49" spans="1:55" ht="30" customHeight="1">
      <c r="A49" s="203" t="e">
        <f>#REF!</f>
        <v>#REF!</v>
      </c>
      <c r="B49" s="204" t="e">
        <f xml:space="preserve"> IF(#REF!=0, "",#REF!)</f>
        <v>#REF!</v>
      </c>
      <c r="C49" s="369" t="e">
        <f>#REF!</f>
        <v>#REF!</v>
      </c>
      <c r="D49" s="369"/>
      <c r="E49" s="291" t="e">
        <f>#REF!</f>
        <v>#REF!</v>
      </c>
      <c r="F49" s="148" t="e">
        <f>#REF!</f>
        <v>#REF!</v>
      </c>
      <c r="G49" s="205" t="e">
        <f xml:space="preserve"> IF(#REF!="", "",#REF!)</f>
        <v>#REF!</v>
      </c>
      <c r="H49" s="205" t="e">
        <f xml:space="preserve"> IF(#REF!="", "",#REF!)</f>
        <v>#REF!</v>
      </c>
      <c r="I49" s="205" t="e">
        <f xml:space="preserve"> IF(#REF!="", "",#REF!)</f>
        <v>#REF!</v>
      </c>
      <c r="J49" s="298" t="e">
        <f>#REF!</f>
        <v>#REF!</v>
      </c>
      <c r="K49" s="149" t="e">
        <f>#REF!</f>
        <v>#REF!</v>
      </c>
      <c r="L49" s="149" t="e">
        <f>#REF!</f>
        <v>#REF!</v>
      </c>
      <c r="M49" s="150" t="e">
        <f>#REF!</f>
        <v>#REF!</v>
      </c>
      <c r="N49" s="364"/>
      <c r="O49" s="202"/>
      <c r="P49" s="151" t="e">
        <f>#REF!</f>
        <v>#REF!</v>
      </c>
      <c r="Q49" s="202"/>
      <c r="R49" s="152" t="e">
        <f>#REF!</f>
        <v>#REF!</v>
      </c>
      <c r="S49" s="202"/>
      <c r="T49" s="153" t="e">
        <f>#REF!</f>
        <v>#REF!</v>
      </c>
      <c r="U49" s="202"/>
      <c r="V49" s="153" t="e">
        <f>#REF!</f>
        <v>#REF!</v>
      </c>
      <c r="W49" s="202"/>
      <c r="X49" s="153" t="e">
        <f>#REF!</f>
        <v>#REF!</v>
      </c>
      <c r="Y49" s="202"/>
      <c r="Z49" s="152" t="e">
        <f>#REF!</f>
        <v>#REF!</v>
      </c>
      <c r="AA49" s="202"/>
      <c r="AB49" s="153" t="e">
        <f>#REF!</f>
        <v>#REF!</v>
      </c>
      <c r="AC49" s="202"/>
      <c r="AD49" s="152" t="e">
        <f>#REF!</f>
        <v>#REF!</v>
      </c>
      <c r="AE49" s="202"/>
      <c r="AF49" s="153" t="e">
        <f>#REF!</f>
        <v>#REF!</v>
      </c>
      <c r="AG49" s="202"/>
      <c r="AH49" s="152" t="e">
        <f>#REF!</f>
        <v>#REF!</v>
      </c>
      <c r="AI49" s="202"/>
      <c r="AJ49" s="153" t="e">
        <f>#REF!</f>
        <v>#REF!</v>
      </c>
      <c r="AK49" s="202"/>
      <c r="AL49" s="152" t="e">
        <f>#REF!</f>
        <v>#REF!</v>
      </c>
      <c r="AM49" s="202"/>
      <c r="AN49" s="153" t="e">
        <f>#REF!</f>
        <v>#REF!</v>
      </c>
      <c r="AO49" s="202"/>
      <c r="AP49" s="152" t="e">
        <f>#REF!</f>
        <v>#REF!</v>
      </c>
      <c r="AQ49" s="202"/>
      <c r="AR49" s="154" t="e">
        <f>#REF!</f>
        <v>#REF!</v>
      </c>
      <c r="AS49" s="202"/>
      <c r="AT49" s="153" t="e">
        <f>#REF!</f>
        <v>#REF!</v>
      </c>
      <c r="AU49" s="202"/>
      <c r="AV49" s="152" t="e">
        <f>#REF!</f>
        <v>#REF!</v>
      </c>
      <c r="AW49" s="202"/>
      <c r="AX49" s="153" t="e">
        <f>#REF!</f>
        <v>#REF!</v>
      </c>
      <c r="AY49" s="202"/>
      <c r="AZ49" s="152" t="e">
        <f>#REF!</f>
        <v>#REF!</v>
      </c>
      <c r="BA49" s="202"/>
      <c r="BB49" s="154" t="e">
        <f>#REF!</f>
        <v>#REF!</v>
      </c>
      <c r="BC49" s="137"/>
    </row>
    <row r="50" spans="1:55" ht="30" customHeight="1">
      <c r="A50" s="203" t="e">
        <f>#REF!</f>
        <v>#REF!</v>
      </c>
      <c r="B50" s="204" t="e">
        <f xml:space="preserve"> IF(#REF!=0, "",#REF!)</f>
        <v>#REF!</v>
      </c>
      <c r="C50" s="369" t="e">
        <f>#REF!</f>
        <v>#REF!</v>
      </c>
      <c r="D50" s="369"/>
      <c r="E50" s="291" t="e">
        <f>#REF!</f>
        <v>#REF!</v>
      </c>
      <c r="F50" s="148" t="e">
        <f>#REF!</f>
        <v>#REF!</v>
      </c>
      <c r="G50" s="205" t="e">
        <f xml:space="preserve"> IF(#REF!="", "",#REF!)</f>
        <v>#REF!</v>
      </c>
      <c r="H50" s="205" t="e">
        <f xml:space="preserve"> IF(#REF!="", "",#REF!)</f>
        <v>#REF!</v>
      </c>
      <c r="I50" s="205" t="e">
        <f xml:space="preserve"> IF(#REF!="", "",#REF!)</f>
        <v>#REF!</v>
      </c>
      <c r="J50" s="298" t="e">
        <f>#REF!</f>
        <v>#REF!</v>
      </c>
      <c r="K50" s="149" t="e">
        <f>#REF!</f>
        <v>#REF!</v>
      </c>
      <c r="L50" s="149" t="e">
        <f>#REF!</f>
        <v>#REF!</v>
      </c>
      <c r="M50" s="150" t="e">
        <f>#REF!</f>
        <v>#REF!</v>
      </c>
      <c r="N50" s="364"/>
      <c r="O50" s="202"/>
      <c r="P50" s="151" t="e">
        <f>#REF!</f>
        <v>#REF!</v>
      </c>
      <c r="Q50" s="202"/>
      <c r="R50" s="152" t="e">
        <f>#REF!</f>
        <v>#REF!</v>
      </c>
      <c r="S50" s="202"/>
      <c r="T50" s="153" t="e">
        <f>#REF!</f>
        <v>#REF!</v>
      </c>
      <c r="U50" s="202"/>
      <c r="V50" s="153" t="e">
        <f>#REF!</f>
        <v>#REF!</v>
      </c>
      <c r="W50" s="202"/>
      <c r="X50" s="153" t="e">
        <f>#REF!</f>
        <v>#REF!</v>
      </c>
      <c r="Y50" s="202"/>
      <c r="Z50" s="152" t="e">
        <f>#REF!</f>
        <v>#REF!</v>
      </c>
      <c r="AA50" s="202"/>
      <c r="AB50" s="153" t="e">
        <f>#REF!</f>
        <v>#REF!</v>
      </c>
      <c r="AC50" s="202"/>
      <c r="AD50" s="152" t="e">
        <f>#REF!</f>
        <v>#REF!</v>
      </c>
      <c r="AE50" s="202"/>
      <c r="AF50" s="153" t="e">
        <f>#REF!</f>
        <v>#REF!</v>
      </c>
      <c r="AG50" s="202"/>
      <c r="AH50" s="152" t="e">
        <f>#REF!</f>
        <v>#REF!</v>
      </c>
      <c r="AI50" s="202"/>
      <c r="AJ50" s="153" t="e">
        <f>#REF!</f>
        <v>#REF!</v>
      </c>
      <c r="AK50" s="202"/>
      <c r="AL50" s="152" t="e">
        <f>#REF!</f>
        <v>#REF!</v>
      </c>
      <c r="AM50" s="202"/>
      <c r="AN50" s="153" t="e">
        <f>#REF!</f>
        <v>#REF!</v>
      </c>
      <c r="AO50" s="202"/>
      <c r="AP50" s="152" t="e">
        <f>#REF!</f>
        <v>#REF!</v>
      </c>
      <c r="AQ50" s="202"/>
      <c r="AR50" s="154" t="e">
        <f>#REF!</f>
        <v>#REF!</v>
      </c>
      <c r="AS50" s="202"/>
      <c r="AT50" s="153" t="e">
        <f>#REF!</f>
        <v>#REF!</v>
      </c>
      <c r="AU50" s="202"/>
      <c r="AV50" s="152" t="e">
        <f>#REF!</f>
        <v>#REF!</v>
      </c>
      <c r="AW50" s="202"/>
      <c r="AX50" s="153" t="e">
        <f>#REF!</f>
        <v>#REF!</v>
      </c>
      <c r="AY50" s="202"/>
      <c r="AZ50" s="152" t="e">
        <f>#REF!</f>
        <v>#REF!</v>
      </c>
      <c r="BA50" s="202"/>
      <c r="BB50" s="154" t="e">
        <f>#REF!</f>
        <v>#REF!</v>
      </c>
      <c r="BC50" s="137"/>
    </row>
    <row r="51" spans="1:55" ht="30" customHeight="1">
      <c r="A51" s="203" t="e">
        <f>#REF!</f>
        <v>#REF!</v>
      </c>
      <c r="B51" s="204" t="e">
        <f xml:space="preserve"> IF(#REF!=0, "",#REF!)</f>
        <v>#REF!</v>
      </c>
      <c r="C51" s="369" t="e">
        <f>#REF!</f>
        <v>#REF!</v>
      </c>
      <c r="D51" s="369"/>
      <c r="E51" s="291" t="e">
        <f>#REF!</f>
        <v>#REF!</v>
      </c>
      <c r="F51" s="148" t="e">
        <f>#REF!</f>
        <v>#REF!</v>
      </c>
      <c r="G51" s="205" t="e">
        <f xml:space="preserve"> IF(#REF!="", "",#REF!)</f>
        <v>#REF!</v>
      </c>
      <c r="H51" s="205" t="e">
        <f xml:space="preserve"> IF(#REF!="", "",#REF!)</f>
        <v>#REF!</v>
      </c>
      <c r="I51" s="205" t="e">
        <f xml:space="preserve"> IF(#REF!="", "",#REF!)</f>
        <v>#REF!</v>
      </c>
      <c r="J51" s="298" t="e">
        <f>#REF!</f>
        <v>#REF!</v>
      </c>
      <c r="K51" s="149" t="e">
        <f>#REF!</f>
        <v>#REF!</v>
      </c>
      <c r="L51" s="149" t="e">
        <f>#REF!</f>
        <v>#REF!</v>
      </c>
      <c r="M51" s="150" t="e">
        <f>#REF!</f>
        <v>#REF!</v>
      </c>
      <c r="N51" s="364"/>
      <c r="O51" s="202"/>
      <c r="P51" s="151" t="e">
        <f>#REF!</f>
        <v>#REF!</v>
      </c>
      <c r="Q51" s="202"/>
      <c r="R51" s="152" t="e">
        <f>#REF!</f>
        <v>#REF!</v>
      </c>
      <c r="S51" s="202"/>
      <c r="T51" s="153" t="e">
        <f>#REF!</f>
        <v>#REF!</v>
      </c>
      <c r="U51" s="202"/>
      <c r="V51" s="153" t="e">
        <f>#REF!</f>
        <v>#REF!</v>
      </c>
      <c r="W51" s="202"/>
      <c r="X51" s="153" t="e">
        <f>#REF!</f>
        <v>#REF!</v>
      </c>
      <c r="Y51" s="202"/>
      <c r="Z51" s="152" t="e">
        <f>#REF!</f>
        <v>#REF!</v>
      </c>
      <c r="AA51" s="202"/>
      <c r="AB51" s="153" t="e">
        <f>#REF!</f>
        <v>#REF!</v>
      </c>
      <c r="AC51" s="202"/>
      <c r="AD51" s="152" t="e">
        <f>#REF!</f>
        <v>#REF!</v>
      </c>
      <c r="AE51" s="202"/>
      <c r="AF51" s="153" t="e">
        <f>#REF!</f>
        <v>#REF!</v>
      </c>
      <c r="AG51" s="202"/>
      <c r="AH51" s="152" t="e">
        <f>#REF!</f>
        <v>#REF!</v>
      </c>
      <c r="AI51" s="202"/>
      <c r="AJ51" s="153" t="e">
        <f>#REF!</f>
        <v>#REF!</v>
      </c>
      <c r="AK51" s="202"/>
      <c r="AL51" s="152" t="e">
        <f>#REF!</f>
        <v>#REF!</v>
      </c>
      <c r="AM51" s="202"/>
      <c r="AN51" s="153" t="e">
        <f>#REF!</f>
        <v>#REF!</v>
      </c>
      <c r="AO51" s="202"/>
      <c r="AP51" s="152" t="e">
        <f>#REF!</f>
        <v>#REF!</v>
      </c>
      <c r="AQ51" s="202"/>
      <c r="AR51" s="154" t="e">
        <f>#REF!</f>
        <v>#REF!</v>
      </c>
      <c r="AS51" s="202"/>
      <c r="AT51" s="153" t="e">
        <f>#REF!</f>
        <v>#REF!</v>
      </c>
      <c r="AU51" s="202"/>
      <c r="AV51" s="152" t="e">
        <f>#REF!</f>
        <v>#REF!</v>
      </c>
      <c r="AW51" s="202"/>
      <c r="AX51" s="153" t="e">
        <f>#REF!</f>
        <v>#REF!</v>
      </c>
      <c r="AY51" s="202"/>
      <c r="AZ51" s="152" t="e">
        <f>#REF!</f>
        <v>#REF!</v>
      </c>
      <c r="BA51" s="202"/>
      <c r="BB51" s="154" t="e">
        <f>#REF!</f>
        <v>#REF!</v>
      </c>
      <c r="BC51" s="137"/>
    </row>
    <row r="52" spans="1:55" ht="30" customHeight="1">
      <c r="A52" s="203" t="e">
        <f>#REF!</f>
        <v>#REF!</v>
      </c>
      <c r="B52" s="204" t="e">
        <f xml:space="preserve"> IF(#REF!=0, "",#REF!)</f>
        <v>#REF!</v>
      </c>
      <c r="C52" s="369" t="e">
        <f>#REF!</f>
        <v>#REF!</v>
      </c>
      <c r="D52" s="369"/>
      <c r="E52" s="291" t="e">
        <f>#REF!</f>
        <v>#REF!</v>
      </c>
      <c r="F52" s="148" t="e">
        <f>#REF!</f>
        <v>#REF!</v>
      </c>
      <c r="G52" s="205" t="e">
        <f xml:space="preserve"> IF(#REF!="", "",#REF!)</f>
        <v>#REF!</v>
      </c>
      <c r="H52" s="205" t="e">
        <f xml:space="preserve"> IF(#REF!="", "",#REF!)</f>
        <v>#REF!</v>
      </c>
      <c r="I52" s="205" t="e">
        <f xml:space="preserve"> IF(#REF!="", "",#REF!)</f>
        <v>#REF!</v>
      </c>
      <c r="J52" s="298" t="e">
        <f>#REF!</f>
        <v>#REF!</v>
      </c>
      <c r="K52" s="149" t="e">
        <f>#REF!</f>
        <v>#REF!</v>
      </c>
      <c r="L52" s="149" t="e">
        <f>#REF!</f>
        <v>#REF!</v>
      </c>
      <c r="M52" s="150" t="e">
        <f>#REF!</f>
        <v>#REF!</v>
      </c>
      <c r="N52" s="364"/>
      <c r="O52" s="202"/>
      <c r="P52" s="151" t="e">
        <f>#REF!</f>
        <v>#REF!</v>
      </c>
      <c r="Q52" s="202"/>
      <c r="R52" s="152" t="e">
        <f>#REF!</f>
        <v>#REF!</v>
      </c>
      <c r="S52" s="202"/>
      <c r="T52" s="153" t="e">
        <f>#REF!</f>
        <v>#REF!</v>
      </c>
      <c r="U52" s="202"/>
      <c r="V52" s="153" t="e">
        <f>#REF!</f>
        <v>#REF!</v>
      </c>
      <c r="W52" s="202"/>
      <c r="X52" s="153" t="e">
        <f>#REF!</f>
        <v>#REF!</v>
      </c>
      <c r="Y52" s="202"/>
      <c r="Z52" s="152" t="e">
        <f>#REF!</f>
        <v>#REF!</v>
      </c>
      <c r="AA52" s="202"/>
      <c r="AB52" s="153" t="e">
        <f>#REF!</f>
        <v>#REF!</v>
      </c>
      <c r="AC52" s="202"/>
      <c r="AD52" s="152" t="e">
        <f>#REF!</f>
        <v>#REF!</v>
      </c>
      <c r="AE52" s="202"/>
      <c r="AF52" s="153" t="e">
        <f>#REF!</f>
        <v>#REF!</v>
      </c>
      <c r="AG52" s="202"/>
      <c r="AH52" s="152" t="e">
        <f>#REF!</f>
        <v>#REF!</v>
      </c>
      <c r="AI52" s="202"/>
      <c r="AJ52" s="153" t="e">
        <f>#REF!</f>
        <v>#REF!</v>
      </c>
      <c r="AK52" s="202"/>
      <c r="AL52" s="152" t="e">
        <f>#REF!</f>
        <v>#REF!</v>
      </c>
      <c r="AM52" s="202"/>
      <c r="AN52" s="153" t="e">
        <f>#REF!</f>
        <v>#REF!</v>
      </c>
      <c r="AO52" s="202"/>
      <c r="AP52" s="152" t="e">
        <f>#REF!</f>
        <v>#REF!</v>
      </c>
      <c r="AQ52" s="202"/>
      <c r="AR52" s="154" t="e">
        <f>#REF!</f>
        <v>#REF!</v>
      </c>
      <c r="AS52" s="202"/>
      <c r="AT52" s="153" t="e">
        <f>#REF!</f>
        <v>#REF!</v>
      </c>
      <c r="AU52" s="202"/>
      <c r="AV52" s="152" t="e">
        <f>#REF!</f>
        <v>#REF!</v>
      </c>
      <c r="AW52" s="202"/>
      <c r="AX52" s="153" t="e">
        <f>#REF!</f>
        <v>#REF!</v>
      </c>
      <c r="AY52" s="202"/>
      <c r="AZ52" s="152" t="e">
        <f>#REF!</f>
        <v>#REF!</v>
      </c>
      <c r="BA52" s="202"/>
      <c r="BB52" s="154" t="e">
        <f>#REF!</f>
        <v>#REF!</v>
      </c>
      <c r="BC52" s="137"/>
    </row>
    <row r="53" spans="1:55" ht="30" customHeight="1">
      <c r="A53" s="203" t="e">
        <f>#REF!</f>
        <v>#REF!</v>
      </c>
      <c r="B53" s="204" t="e">
        <f xml:space="preserve"> IF(#REF!=0, "",#REF!)</f>
        <v>#REF!</v>
      </c>
      <c r="C53" s="369" t="e">
        <f>#REF!</f>
        <v>#REF!</v>
      </c>
      <c r="D53" s="369"/>
      <c r="E53" s="291" t="e">
        <f>#REF!</f>
        <v>#REF!</v>
      </c>
      <c r="F53" s="148" t="e">
        <f>#REF!</f>
        <v>#REF!</v>
      </c>
      <c r="G53" s="205" t="e">
        <f xml:space="preserve"> IF(#REF!="", "",#REF!)</f>
        <v>#REF!</v>
      </c>
      <c r="H53" s="205" t="e">
        <f xml:space="preserve"> IF(#REF!="", "",#REF!)</f>
        <v>#REF!</v>
      </c>
      <c r="I53" s="205" t="e">
        <f xml:space="preserve"> IF(#REF!="", "",#REF!)</f>
        <v>#REF!</v>
      </c>
      <c r="J53" s="298" t="e">
        <f>#REF!</f>
        <v>#REF!</v>
      </c>
      <c r="K53" s="149" t="e">
        <f>#REF!</f>
        <v>#REF!</v>
      </c>
      <c r="L53" s="149" t="e">
        <f>#REF!</f>
        <v>#REF!</v>
      </c>
      <c r="M53" s="150" t="e">
        <f>#REF!</f>
        <v>#REF!</v>
      </c>
      <c r="N53" s="364"/>
      <c r="O53" s="202"/>
      <c r="P53" s="151" t="e">
        <f>#REF!</f>
        <v>#REF!</v>
      </c>
      <c r="Q53" s="202"/>
      <c r="R53" s="152" t="e">
        <f>#REF!</f>
        <v>#REF!</v>
      </c>
      <c r="S53" s="202"/>
      <c r="T53" s="153" t="e">
        <f>#REF!</f>
        <v>#REF!</v>
      </c>
      <c r="U53" s="202"/>
      <c r="V53" s="153" t="e">
        <f>#REF!</f>
        <v>#REF!</v>
      </c>
      <c r="W53" s="202"/>
      <c r="X53" s="153" t="e">
        <f>#REF!</f>
        <v>#REF!</v>
      </c>
      <c r="Y53" s="202"/>
      <c r="Z53" s="152" t="e">
        <f>#REF!</f>
        <v>#REF!</v>
      </c>
      <c r="AA53" s="202"/>
      <c r="AB53" s="153" t="e">
        <f>#REF!</f>
        <v>#REF!</v>
      </c>
      <c r="AC53" s="202"/>
      <c r="AD53" s="152" t="e">
        <f>#REF!</f>
        <v>#REF!</v>
      </c>
      <c r="AE53" s="202"/>
      <c r="AF53" s="153" t="e">
        <f>#REF!</f>
        <v>#REF!</v>
      </c>
      <c r="AG53" s="202"/>
      <c r="AH53" s="152" t="e">
        <f>#REF!</f>
        <v>#REF!</v>
      </c>
      <c r="AI53" s="202"/>
      <c r="AJ53" s="153" t="e">
        <f>#REF!</f>
        <v>#REF!</v>
      </c>
      <c r="AK53" s="202"/>
      <c r="AL53" s="152" t="e">
        <f>#REF!</f>
        <v>#REF!</v>
      </c>
      <c r="AM53" s="202"/>
      <c r="AN53" s="153" t="e">
        <f>#REF!</f>
        <v>#REF!</v>
      </c>
      <c r="AO53" s="202"/>
      <c r="AP53" s="152" t="e">
        <f>#REF!</f>
        <v>#REF!</v>
      </c>
      <c r="AQ53" s="202"/>
      <c r="AR53" s="154" t="e">
        <f>#REF!</f>
        <v>#REF!</v>
      </c>
      <c r="AS53" s="202"/>
      <c r="AT53" s="153" t="e">
        <f>#REF!</f>
        <v>#REF!</v>
      </c>
      <c r="AU53" s="202"/>
      <c r="AV53" s="152" t="e">
        <f>#REF!</f>
        <v>#REF!</v>
      </c>
      <c r="AW53" s="202"/>
      <c r="AX53" s="153" t="e">
        <f>#REF!</f>
        <v>#REF!</v>
      </c>
      <c r="AY53" s="202"/>
      <c r="AZ53" s="152" t="e">
        <f>#REF!</f>
        <v>#REF!</v>
      </c>
      <c r="BA53" s="202"/>
      <c r="BB53" s="154" t="e">
        <f>#REF!</f>
        <v>#REF!</v>
      </c>
      <c r="BC53" s="137"/>
    </row>
    <row r="54" spans="1:55" ht="30" customHeight="1">
      <c r="A54" s="203" t="e">
        <f>#REF!</f>
        <v>#REF!</v>
      </c>
      <c r="B54" s="204" t="e">
        <f xml:space="preserve"> IF(#REF!=0, "",#REF!)</f>
        <v>#REF!</v>
      </c>
      <c r="C54" s="369" t="e">
        <f>#REF!</f>
        <v>#REF!</v>
      </c>
      <c r="D54" s="369"/>
      <c r="E54" s="291" t="e">
        <f>#REF!</f>
        <v>#REF!</v>
      </c>
      <c r="F54" s="148" t="e">
        <f>#REF!</f>
        <v>#REF!</v>
      </c>
      <c r="G54" s="205" t="e">
        <f xml:space="preserve"> IF(#REF!="", "",#REF!)</f>
        <v>#REF!</v>
      </c>
      <c r="H54" s="205" t="e">
        <f xml:space="preserve"> IF(#REF!="", "",#REF!)</f>
        <v>#REF!</v>
      </c>
      <c r="I54" s="205" t="e">
        <f xml:space="preserve"> IF(#REF!="", "",#REF!)</f>
        <v>#REF!</v>
      </c>
      <c r="J54" s="298" t="e">
        <f>#REF!</f>
        <v>#REF!</v>
      </c>
      <c r="K54" s="149" t="e">
        <f>#REF!</f>
        <v>#REF!</v>
      </c>
      <c r="L54" s="149" t="e">
        <f>#REF!</f>
        <v>#REF!</v>
      </c>
      <c r="M54" s="150" t="e">
        <f>#REF!</f>
        <v>#REF!</v>
      </c>
      <c r="N54" s="364"/>
      <c r="O54" s="202"/>
      <c r="P54" s="151" t="e">
        <f>#REF!</f>
        <v>#REF!</v>
      </c>
      <c r="Q54" s="202"/>
      <c r="R54" s="152" t="e">
        <f>#REF!</f>
        <v>#REF!</v>
      </c>
      <c r="S54" s="202"/>
      <c r="T54" s="153" t="e">
        <f>#REF!</f>
        <v>#REF!</v>
      </c>
      <c r="U54" s="202"/>
      <c r="V54" s="153" t="e">
        <f>#REF!</f>
        <v>#REF!</v>
      </c>
      <c r="W54" s="202"/>
      <c r="X54" s="153" t="e">
        <f>#REF!</f>
        <v>#REF!</v>
      </c>
      <c r="Y54" s="202"/>
      <c r="Z54" s="152" t="e">
        <f>#REF!</f>
        <v>#REF!</v>
      </c>
      <c r="AA54" s="202"/>
      <c r="AB54" s="153" t="e">
        <f>#REF!</f>
        <v>#REF!</v>
      </c>
      <c r="AC54" s="202"/>
      <c r="AD54" s="152" t="e">
        <f>#REF!</f>
        <v>#REF!</v>
      </c>
      <c r="AE54" s="202"/>
      <c r="AF54" s="153" t="e">
        <f>#REF!</f>
        <v>#REF!</v>
      </c>
      <c r="AG54" s="202"/>
      <c r="AH54" s="152" t="e">
        <f>#REF!</f>
        <v>#REF!</v>
      </c>
      <c r="AI54" s="202"/>
      <c r="AJ54" s="153" t="e">
        <f>#REF!</f>
        <v>#REF!</v>
      </c>
      <c r="AK54" s="202"/>
      <c r="AL54" s="152" t="e">
        <f>#REF!</f>
        <v>#REF!</v>
      </c>
      <c r="AM54" s="202"/>
      <c r="AN54" s="153" t="e">
        <f>#REF!</f>
        <v>#REF!</v>
      </c>
      <c r="AO54" s="202"/>
      <c r="AP54" s="152" t="e">
        <f>#REF!</f>
        <v>#REF!</v>
      </c>
      <c r="AQ54" s="202"/>
      <c r="AR54" s="154" t="e">
        <f>#REF!</f>
        <v>#REF!</v>
      </c>
      <c r="AS54" s="202"/>
      <c r="AT54" s="153" t="e">
        <f>#REF!</f>
        <v>#REF!</v>
      </c>
      <c r="AU54" s="202"/>
      <c r="AV54" s="152" t="e">
        <f>#REF!</f>
        <v>#REF!</v>
      </c>
      <c r="AW54" s="202"/>
      <c r="AX54" s="153" t="e">
        <f>#REF!</f>
        <v>#REF!</v>
      </c>
      <c r="AY54" s="202"/>
      <c r="AZ54" s="152" t="e">
        <f>#REF!</f>
        <v>#REF!</v>
      </c>
      <c r="BA54" s="202"/>
      <c r="BB54" s="154" t="e">
        <f>#REF!</f>
        <v>#REF!</v>
      </c>
      <c r="BC54" s="137"/>
    </row>
    <row r="55" spans="1:55" ht="30" customHeight="1">
      <c r="A55" s="203" t="e">
        <f>#REF!</f>
        <v>#REF!</v>
      </c>
      <c r="B55" s="204" t="e">
        <f xml:space="preserve"> IF(#REF!=0, "",#REF!)</f>
        <v>#REF!</v>
      </c>
      <c r="C55" s="369" t="e">
        <f>#REF!</f>
        <v>#REF!</v>
      </c>
      <c r="D55" s="369"/>
      <c r="E55" s="291" t="e">
        <f>#REF!</f>
        <v>#REF!</v>
      </c>
      <c r="F55" s="148" t="e">
        <f>#REF!</f>
        <v>#REF!</v>
      </c>
      <c r="G55" s="205" t="e">
        <f xml:space="preserve"> IF(#REF!="", "",#REF!)</f>
        <v>#REF!</v>
      </c>
      <c r="H55" s="205" t="e">
        <f xml:space="preserve"> IF(#REF!="", "",#REF!)</f>
        <v>#REF!</v>
      </c>
      <c r="I55" s="205" t="e">
        <f xml:space="preserve"> IF(#REF!="", "",#REF!)</f>
        <v>#REF!</v>
      </c>
      <c r="J55" s="298" t="e">
        <f>#REF!</f>
        <v>#REF!</v>
      </c>
      <c r="K55" s="149" t="e">
        <f>#REF!</f>
        <v>#REF!</v>
      </c>
      <c r="L55" s="149" t="e">
        <f>#REF!</f>
        <v>#REF!</v>
      </c>
      <c r="M55" s="150" t="e">
        <f>#REF!</f>
        <v>#REF!</v>
      </c>
      <c r="N55" s="364"/>
      <c r="O55" s="202"/>
      <c r="P55" s="151" t="e">
        <f>#REF!</f>
        <v>#REF!</v>
      </c>
      <c r="Q55" s="202"/>
      <c r="R55" s="152" t="e">
        <f>#REF!</f>
        <v>#REF!</v>
      </c>
      <c r="S55" s="202"/>
      <c r="T55" s="153" t="e">
        <f>#REF!</f>
        <v>#REF!</v>
      </c>
      <c r="U55" s="202"/>
      <c r="V55" s="153" t="e">
        <f>#REF!</f>
        <v>#REF!</v>
      </c>
      <c r="W55" s="202"/>
      <c r="X55" s="153" t="e">
        <f>#REF!</f>
        <v>#REF!</v>
      </c>
      <c r="Y55" s="202"/>
      <c r="Z55" s="152" t="e">
        <f>#REF!</f>
        <v>#REF!</v>
      </c>
      <c r="AA55" s="202"/>
      <c r="AB55" s="153" t="e">
        <f>#REF!</f>
        <v>#REF!</v>
      </c>
      <c r="AC55" s="202"/>
      <c r="AD55" s="152" t="e">
        <f>#REF!</f>
        <v>#REF!</v>
      </c>
      <c r="AE55" s="202"/>
      <c r="AF55" s="153" t="e">
        <f>#REF!</f>
        <v>#REF!</v>
      </c>
      <c r="AG55" s="202"/>
      <c r="AH55" s="152" t="e">
        <f>#REF!</f>
        <v>#REF!</v>
      </c>
      <c r="AI55" s="202"/>
      <c r="AJ55" s="153" t="e">
        <f>#REF!</f>
        <v>#REF!</v>
      </c>
      <c r="AK55" s="202"/>
      <c r="AL55" s="152" t="e">
        <f>#REF!</f>
        <v>#REF!</v>
      </c>
      <c r="AM55" s="202"/>
      <c r="AN55" s="153" t="e">
        <f>#REF!</f>
        <v>#REF!</v>
      </c>
      <c r="AO55" s="202"/>
      <c r="AP55" s="152" t="e">
        <f>#REF!</f>
        <v>#REF!</v>
      </c>
      <c r="AQ55" s="202"/>
      <c r="AR55" s="154" t="e">
        <f>#REF!</f>
        <v>#REF!</v>
      </c>
      <c r="AS55" s="202"/>
      <c r="AT55" s="153" t="e">
        <f>#REF!</f>
        <v>#REF!</v>
      </c>
      <c r="AU55" s="202"/>
      <c r="AV55" s="152" t="e">
        <f>#REF!</f>
        <v>#REF!</v>
      </c>
      <c r="AW55" s="202"/>
      <c r="AX55" s="153" t="e">
        <f>#REF!</f>
        <v>#REF!</v>
      </c>
      <c r="AY55" s="202"/>
      <c r="AZ55" s="152" t="e">
        <f>#REF!</f>
        <v>#REF!</v>
      </c>
      <c r="BA55" s="202"/>
      <c r="BB55" s="154" t="e">
        <f>#REF!</f>
        <v>#REF!</v>
      </c>
      <c r="BC55" s="137"/>
    </row>
    <row r="56" spans="1:55" ht="30" customHeight="1">
      <c r="A56" s="203" t="e">
        <f>#REF!</f>
        <v>#REF!</v>
      </c>
      <c r="B56" s="204" t="e">
        <f xml:space="preserve"> IF(#REF!=0, "",#REF!)</f>
        <v>#REF!</v>
      </c>
      <c r="C56" s="369" t="e">
        <f>#REF!</f>
        <v>#REF!</v>
      </c>
      <c r="D56" s="369"/>
      <c r="E56" s="291" t="e">
        <f>#REF!</f>
        <v>#REF!</v>
      </c>
      <c r="F56" s="148" t="e">
        <f>#REF!</f>
        <v>#REF!</v>
      </c>
      <c r="G56" s="205" t="e">
        <f xml:space="preserve"> IF(#REF!="", "",#REF!)</f>
        <v>#REF!</v>
      </c>
      <c r="H56" s="205" t="e">
        <f xml:space="preserve"> IF(#REF!="", "",#REF!)</f>
        <v>#REF!</v>
      </c>
      <c r="I56" s="205" t="e">
        <f xml:space="preserve"> IF(#REF!="", "",#REF!)</f>
        <v>#REF!</v>
      </c>
      <c r="J56" s="298" t="e">
        <f>#REF!</f>
        <v>#REF!</v>
      </c>
      <c r="K56" s="149" t="e">
        <f>#REF!</f>
        <v>#REF!</v>
      </c>
      <c r="L56" s="149" t="e">
        <f>#REF!</f>
        <v>#REF!</v>
      </c>
      <c r="M56" s="150" t="e">
        <f>#REF!</f>
        <v>#REF!</v>
      </c>
      <c r="N56" s="364"/>
      <c r="O56" s="202"/>
      <c r="P56" s="151" t="e">
        <f>#REF!</f>
        <v>#REF!</v>
      </c>
      <c r="Q56" s="202"/>
      <c r="R56" s="152" t="e">
        <f>#REF!</f>
        <v>#REF!</v>
      </c>
      <c r="S56" s="202"/>
      <c r="T56" s="153" t="e">
        <f>#REF!</f>
        <v>#REF!</v>
      </c>
      <c r="U56" s="202"/>
      <c r="V56" s="153" t="e">
        <f>#REF!</f>
        <v>#REF!</v>
      </c>
      <c r="W56" s="202"/>
      <c r="X56" s="153" t="e">
        <f>#REF!</f>
        <v>#REF!</v>
      </c>
      <c r="Y56" s="202"/>
      <c r="Z56" s="152" t="e">
        <f>#REF!</f>
        <v>#REF!</v>
      </c>
      <c r="AA56" s="202"/>
      <c r="AB56" s="153" t="e">
        <f>#REF!</f>
        <v>#REF!</v>
      </c>
      <c r="AC56" s="202"/>
      <c r="AD56" s="152" t="e">
        <f>#REF!</f>
        <v>#REF!</v>
      </c>
      <c r="AE56" s="202"/>
      <c r="AF56" s="153" t="e">
        <f>#REF!</f>
        <v>#REF!</v>
      </c>
      <c r="AG56" s="202"/>
      <c r="AH56" s="152" t="e">
        <f>#REF!</f>
        <v>#REF!</v>
      </c>
      <c r="AI56" s="202"/>
      <c r="AJ56" s="153" t="e">
        <f>#REF!</f>
        <v>#REF!</v>
      </c>
      <c r="AK56" s="202"/>
      <c r="AL56" s="152" t="e">
        <f>#REF!</f>
        <v>#REF!</v>
      </c>
      <c r="AM56" s="202"/>
      <c r="AN56" s="153" t="e">
        <f>#REF!</f>
        <v>#REF!</v>
      </c>
      <c r="AO56" s="202"/>
      <c r="AP56" s="152" t="e">
        <f>#REF!</f>
        <v>#REF!</v>
      </c>
      <c r="AQ56" s="202"/>
      <c r="AR56" s="154" t="e">
        <f>#REF!</f>
        <v>#REF!</v>
      </c>
      <c r="AS56" s="202"/>
      <c r="AT56" s="153" t="e">
        <f>#REF!</f>
        <v>#REF!</v>
      </c>
      <c r="AU56" s="202"/>
      <c r="AV56" s="152" t="e">
        <f>#REF!</f>
        <v>#REF!</v>
      </c>
      <c r="AW56" s="202"/>
      <c r="AX56" s="153" t="e">
        <f>#REF!</f>
        <v>#REF!</v>
      </c>
      <c r="AY56" s="202"/>
      <c r="AZ56" s="152" t="e">
        <f>#REF!</f>
        <v>#REF!</v>
      </c>
      <c r="BA56" s="202"/>
      <c r="BB56" s="154" t="e">
        <f>#REF!</f>
        <v>#REF!</v>
      </c>
      <c r="BC56" s="137"/>
    </row>
    <row r="57" spans="1:55" ht="30" customHeight="1">
      <c r="A57" s="203" t="e">
        <f>#REF!</f>
        <v>#REF!</v>
      </c>
      <c r="B57" s="204" t="e">
        <f xml:space="preserve"> IF(#REF!=0, "",#REF!)</f>
        <v>#REF!</v>
      </c>
      <c r="C57" s="369" t="e">
        <f>#REF!</f>
        <v>#REF!</v>
      </c>
      <c r="D57" s="369"/>
      <c r="E57" s="291" t="e">
        <f>#REF!</f>
        <v>#REF!</v>
      </c>
      <c r="F57" s="148" t="e">
        <f>#REF!</f>
        <v>#REF!</v>
      </c>
      <c r="G57" s="205" t="e">
        <f xml:space="preserve"> IF(#REF!="", "",#REF!)</f>
        <v>#REF!</v>
      </c>
      <c r="H57" s="205" t="e">
        <f xml:space="preserve"> IF(#REF!="", "",#REF!)</f>
        <v>#REF!</v>
      </c>
      <c r="I57" s="205" t="e">
        <f xml:space="preserve"> IF(#REF!="", "",#REF!)</f>
        <v>#REF!</v>
      </c>
      <c r="J57" s="298" t="e">
        <f>#REF!</f>
        <v>#REF!</v>
      </c>
      <c r="K57" s="149" t="e">
        <f>#REF!</f>
        <v>#REF!</v>
      </c>
      <c r="L57" s="149" t="e">
        <f>#REF!</f>
        <v>#REF!</v>
      </c>
      <c r="M57" s="150" t="e">
        <f>#REF!</f>
        <v>#REF!</v>
      </c>
      <c r="N57" s="364"/>
      <c r="O57" s="202"/>
      <c r="P57" s="151" t="e">
        <f>#REF!</f>
        <v>#REF!</v>
      </c>
      <c r="Q57" s="202"/>
      <c r="R57" s="152" t="e">
        <f>#REF!</f>
        <v>#REF!</v>
      </c>
      <c r="S57" s="202"/>
      <c r="T57" s="153" t="e">
        <f>#REF!</f>
        <v>#REF!</v>
      </c>
      <c r="U57" s="202"/>
      <c r="V57" s="153" t="e">
        <f>#REF!</f>
        <v>#REF!</v>
      </c>
      <c r="W57" s="202"/>
      <c r="X57" s="153" t="e">
        <f>#REF!</f>
        <v>#REF!</v>
      </c>
      <c r="Y57" s="202"/>
      <c r="Z57" s="152" t="e">
        <f>#REF!</f>
        <v>#REF!</v>
      </c>
      <c r="AA57" s="202"/>
      <c r="AB57" s="153" t="e">
        <f>#REF!</f>
        <v>#REF!</v>
      </c>
      <c r="AC57" s="202"/>
      <c r="AD57" s="152" t="e">
        <f>#REF!</f>
        <v>#REF!</v>
      </c>
      <c r="AE57" s="202"/>
      <c r="AF57" s="153" t="e">
        <f>#REF!</f>
        <v>#REF!</v>
      </c>
      <c r="AG57" s="202"/>
      <c r="AH57" s="152" t="e">
        <f>#REF!</f>
        <v>#REF!</v>
      </c>
      <c r="AI57" s="202"/>
      <c r="AJ57" s="153" t="e">
        <f>#REF!</f>
        <v>#REF!</v>
      </c>
      <c r="AK57" s="202"/>
      <c r="AL57" s="152" t="e">
        <f>#REF!</f>
        <v>#REF!</v>
      </c>
      <c r="AM57" s="202"/>
      <c r="AN57" s="153" t="e">
        <f>#REF!</f>
        <v>#REF!</v>
      </c>
      <c r="AO57" s="202"/>
      <c r="AP57" s="152" t="e">
        <f>#REF!</f>
        <v>#REF!</v>
      </c>
      <c r="AQ57" s="202"/>
      <c r="AR57" s="154" t="e">
        <f>#REF!</f>
        <v>#REF!</v>
      </c>
      <c r="AS57" s="202"/>
      <c r="AT57" s="153" t="e">
        <f>#REF!</f>
        <v>#REF!</v>
      </c>
      <c r="AU57" s="202"/>
      <c r="AV57" s="152" t="e">
        <f>#REF!</f>
        <v>#REF!</v>
      </c>
      <c r="AW57" s="202"/>
      <c r="AX57" s="153" t="e">
        <f>#REF!</f>
        <v>#REF!</v>
      </c>
      <c r="AY57" s="202"/>
      <c r="AZ57" s="152" t="e">
        <f>#REF!</f>
        <v>#REF!</v>
      </c>
      <c r="BA57" s="202"/>
      <c r="BB57" s="154" t="e">
        <f>#REF!</f>
        <v>#REF!</v>
      </c>
      <c r="BC57" s="137"/>
    </row>
    <row r="58" spans="1:55" ht="30" customHeight="1">
      <c r="A58" s="203" t="e">
        <f>#REF!</f>
        <v>#REF!</v>
      </c>
      <c r="B58" s="204" t="e">
        <f xml:space="preserve"> IF(#REF!=0, "",#REF!)</f>
        <v>#REF!</v>
      </c>
      <c r="C58" s="369" t="e">
        <f>#REF!</f>
        <v>#REF!</v>
      </c>
      <c r="D58" s="369"/>
      <c r="E58" s="291" t="e">
        <f>#REF!</f>
        <v>#REF!</v>
      </c>
      <c r="F58" s="148" t="e">
        <f>#REF!</f>
        <v>#REF!</v>
      </c>
      <c r="G58" s="205" t="e">
        <f xml:space="preserve"> IF(#REF!="", "",#REF!)</f>
        <v>#REF!</v>
      </c>
      <c r="H58" s="205" t="e">
        <f xml:space="preserve"> IF(#REF!="", "",#REF!)</f>
        <v>#REF!</v>
      </c>
      <c r="I58" s="205" t="e">
        <f xml:space="preserve"> IF(#REF!="", "",#REF!)</f>
        <v>#REF!</v>
      </c>
      <c r="J58" s="298" t="e">
        <f>#REF!</f>
        <v>#REF!</v>
      </c>
      <c r="K58" s="149" t="e">
        <f>#REF!</f>
        <v>#REF!</v>
      </c>
      <c r="L58" s="149" t="e">
        <f>#REF!</f>
        <v>#REF!</v>
      </c>
      <c r="M58" s="150" t="e">
        <f>#REF!</f>
        <v>#REF!</v>
      </c>
      <c r="N58" s="364"/>
      <c r="O58" s="202"/>
      <c r="P58" s="151" t="e">
        <f>#REF!</f>
        <v>#REF!</v>
      </c>
      <c r="Q58" s="202"/>
      <c r="R58" s="152" t="e">
        <f>#REF!</f>
        <v>#REF!</v>
      </c>
      <c r="S58" s="202"/>
      <c r="T58" s="153" t="e">
        <f>#REF!</f>
        <v>#REF!</v>
      </c>
      <c r="U58" s="202"/>
      <c r="V58" s="153" t="e">
        <f>#REF!</f>
        <v>#REF!</v>
      </c>
      <c r="W58" s="202"/>
      <c r="X58" s="153" t="e">
        <f>#REF!</f>
        <v>#REF!</v>
      </c>
      <c r="Y58" s="202"/>
      <c r="Z58" s="152" t="e">
        <f>#REF!</f>
        <v>#REF!</v>
      </c>
      <c r="AA58" s="202"/>
      <c r="AB58" s="153" t="e">
        <f>#REF!</f>
        <v>#REF!</v>
      </c>
      <c r="AC58" s="202"/>
      <c r="AD58" s="152" t="e">
        <f>#REF!</f>
        <v>#REF!</v>
      </c>
      <c r="AE58" s="202"/>
      <c r="AF58" s="153" t="e">
        <f>#REF!</f>
        <v>#REF!</v>
      </c>
      <c r="AG58" s="202"/>
      <c r="AH58" s="152" t="e">
        <f>#REF!</f>
        <v>#REF!</v>
      </c>
      <c r="AI58" s="202"/>
      <c r="AJ58" s="153" t="e">
        <f>#REF!</f>
        <v>#REF!</v>
      </c>
      <c r="AK58" s="202"/>
      <c r="AL58" s="152" t="e">
        <f>#REF!</f>
        <v>#REF!</v>
      </c>
      <c r="AM58" s="202"/>
      <c r="AN58" s="153" t="e">
        <f>#REF!</f>
        <v>#REF!</v>
      </c>
      <c r="AO58" s="202"/>
      <c r="AP58" s="152" t="e">
        <f>#REF!</f>
        <v>#REF!</v>
      </c>
      <c r="AQ58" s="202"/>
      <c r="AR58" s="154" t="e">
        <f>#REF!</f>
        <v>#REF!</v>
      </c>
      <c r="AS58" s="202"/>
      <c r="AT58" s="153" t="e">
        <f>#REF!</f>
        <v>#REF!</v>
      </c>
      <c r="AU58" s="202"/>
      <c r="AV58" s="152" t="e">
        <f>#REF!</f>
        <v>#REF!</v>
      </c>
      <c r="AW58" s="202"/>
      <c r="AX58" s="153" t="e">
        <f>#REF!</f>
        <v>#REF!</v>
      </c>
      <c r="AY58" s="202"/>
      <c r="AZ58" s="152" t="e">
        <f>#REF!</f>
        <v>#REF!</v>
      </c>
      <c r="BA58" s="202"/>
      <c r="BB58" s="154" t="e">
        <f>#REF!</f>
        <v>#REF!</v>
      </c>
      <c r="BC58" s="137"/>
    </row>
    <row r="59" spans="1:55" ht="30" customHeight="1">
      <c r="A59" s="203" t="e">
        <f>#REF!</f>
        <v>#REF!</v>
      </c>
      <c r="B59" s="204" t="e">
        <f xml:space="preserve"> IF(#REF!=0, "",#REF!)</f>
        <v>#REF!</v>
      </c>
      <c r="C59" s="369" t="e">
        <f>#REF!</f>
        <v>#REF!</v>
      </c>
      <c r="D59" s="369"/>
      <c r="E59" s="291" t="e">
        <f>#REF!</f>
        <v>#REF!</v>
      </c>
      <c r="F59" s="148" t="e">
        <f>#REF!</f>
        <v>#REF!</v>
      </c>
      <c r="G59" s="205" t="e">
        <f xml:space="preserve"> IF(#REF!="", "",#REF!)</f>
        <v>#REF!</v>
      </c>
      <c r="H59" s="205" t="e">
        <f xml:space="preserve"> IF(#REF!="", "",#REF!)</f>
        <v>#REF!</v>
      </c>
      <c r="I59" s="205" t="e">
        <f xml:space="preserve"> IF(#REF!="", "",#REF!)</f>
        <v>#REF!</v>
      </c>
      <c r="J59" s="298" t="e">
        <f>#REF!</f>
        <v>#REF!</v>
      </c>
      <c r="K59" s="149" t="e">
        <f>#REF!</f>
        <v>#REF!</v>
      </c>
      <c r="L59" s="149" t="e">
        <f>#REF!</f>
        <v>#REF!</v>
      </c>
      <c r="M59" s="150" t="e">
        <f>#REF!</f>
        <v>#REF!</v>
      </c>
      <c r="N59" s="364"/>
      <c r="O59" s="202"/>
      <c r="P59" s="151" t="e">
        <f>#REF!</f>
        <v>#REF!</v>
      </c>
      <c r="Q59" s="202"/>
      <c r="R59" s="152" t="e">
        <f>#REF!</f>
        <v>#REF!</v>
      </c>
      <c r="S59" s="202"/>
      <c r="T59" s="153" t="e">
        <f>#REF!</f>
        <v>#REF!</v>
      </c>
      <c r="U59" s="202"/>
      <c r="V59" s="153" t="e">
        <f>#REF!</f>
        <v>#REF!</v>
      </c>
      <c r="W59" s="202"/>
      <c r="X59" s="153" t="e">
        <f>#REF!</f>
        <v>#REF!</v>
      </c>
      <c r="Y59" s="202"/>
      <c r="Z59" s="152" t="e">
        <f>#REF!</f>
        <v>#REF!</v>
      </c>
      <c r="AA59" s="202"/>
      <c r="AB59" s="153" t="e">
        <f>#REF!</f>
        <v>#REF!</v>
      </c>
      <c r="AC59" s="202"/>
      <c r="AD59" s="152" t="e">
        <f>#REF!</f>
        <v>#REF!</v>
      </c>
      <c r="AE59" s="202"/>
      <c r="AF59" s="153" t="e">
        <f>#REF!</f>
        <v>#REF!</v>
      </c>
      <c r="AG59" s="202"/>
      <c r="AH59" s="152" t="e">
        <f>#REF!</f>
        <v>#REF!</v>
      </c>
      <c r="AI59" s="202"/>
      <c r="AJ59" s="153" t="e">
        <f>#REF!</f>
        <v>#REF!</v>
      </c>
      <c r="AK59" s="202"/>
      <c r="AL59" s="152" t="e">
        <f>#REF!</f>
        <v>#REF!</v>
      </c>
      <c r="AM59" s="202"/>
      <c r="AN59" s="153" t="e">
        <f>#REF!</f>
        <v>#REF!</v>
      </c>
      <c r="AO59" s="202"/>
      <c r="AP59" s="152" t="e">
        <f>#REF!</f>
        <v>#REF!</v>
      </c>
      <c r="AQ59" s="202"/>
      <c r="AR59" s="154" t="e">
        <f>#REF!</f>
        <v>#REF!</v>
      </c>
      <c r="AS59" s="202"/>
      <c r="AT59" s="153" t="e">
        <f>#REF!</f>
        <v>#REF!</v>
      </c>
      <c r="AU59" s="202"/>
      <c r="AV59" s="152" t="e">
        <f>#REF!</f>
        <v>#REF!</v>
      </c>
      <c r="AW59" s="202"/>
      <c r="AX59" s="153" t="e">
        <f>#REF!</f>
        <v>#REF!</v>
      </c>
      <c r="AY59" s="202"/>
      <c r="AZ59" s="152" t="e">
        <f>#REF!</f>
        <v>#REF!</v>
      </c>
      <c r="BA59" s="202"/>
      <c r="BB59" s="154" t="e">
        <f>#REF!</f>
        <v>#REF!</v>
      </c>
      <c r="BC59" s="137"/>
    </row>
    <row r="60" spans="1:55" ht="30" customHeight="1">
      <c r="A60" s="203" t="e">
        <f>#REF!</f>
        <v>#REF!</v>
      </c>
      <c r="B60" s="204" t="e">
        <f xml:space="preserve"> IF(#REF!=0, "",#REF!)</f>
        <v>#REF!</v>
      </c>
      <c r="C60" s="369" t="e">
        <f>#REF!</f>
        <v>#REF!</v>
      </c>
      <c r="D60" s="369"/>
      <c r="E60" s="291" t="e">
        <f>#REF!</f>
        <v>#REF!</v>
      </c>
      <c r="F60" s="148" t="e">
        <f>#REF!</f>
        <v>#REF!</v>
      </c>
      <c r="G60" s="205" t="e">
        <f xml:space="preserve"> IF(#REF!="", "",#REF!)</f>
        <v>#REF!</v>
      </c>
      <c r="H60" s="205" t="e">
        <f xml:space="preserve"> IF(#REF!="", "",#REF!)</f>
        <v>#REF!</v>
      </c>
      <c r="I60" s="205" t="e">
        <f xml:space="preserve"> IF(#REF!="", "",#REF!)</f>
        <v>#REF!</v>
      </c>
      <c r="J60" s="298" t="e">
        <f>#REF!</f>
        <v>#REF!</v>
      </c>
      <c r="K60" s="149" t="e">
        <f>#REF!</f>
        <v>#REF!</v>
      </c>
      <c r="L60" s="149" t="e">
        <f>#REF!</f>
        <v>#REF!</v>
      </c>
      <c r="M60" s="150" t="e">
        <f>#REF!</f>
        <v>#REF!</v>
      </c>
      <c r="N60" s="364"/>
      <c r="O60" s="202"/>
      <c r="P60" s="151" t="e">
        <f>#REF!</f>
        <v>#REF!</v>
      </c>
      <c r="Q60" s="202"/>
      <c r="R60" s="152" t="e">
        <f>#REF!</f>
        <v>#REF!</v>
      </c>
      <c r="S60" s="202"/>
      <c r="T60" s="153" t="e">
        <f>#REF!</f>
        <v>#REF!</v>
      </c>
      <c r="U60" s="202"/>
      <c r="V60" s="153" t="e">
        <f>#REF!</f>
        <v>#REF!</v>
      </c>
      <c r="W60" s="202"/>
      <c r="X60" s="153" t="e">
        <f>#REF!</f>
        <v>#REF!</v>
      </c>
      <c r="Y60" s="202"/>
      <c r="Z60" s="152" t="e">
        <f>#REF!</f>
        <v>#REF!</v>
      </c>
      <c r="AA60" s="202"/>
      <c r="AB60" s="153" t="e">
        <f>#REF!</f>
        <v>#REF!</v>
      </c>
      <c r="AC60" s="202"/>
      <c r="AD60" s="152" t="e">
        <f>#REF!</f>
        <v>#REF!</v>
      </c>
      <c r="AE60" s="202"/>
      <c r="AF60" s="153" t="e">
        <f>#REF!</f>
        <v>#REF!</v>
      </c>
      <c r="AG60" s="202"/>
      <c r="AH60" s="152" t="e">
        <f>#REF!</f>
        <v>#REF!</v>
      </c>
      <c r="AI60" s="202"/>
      <c r="AJ60" s="153" t="e">
        <f>#REF!</f>
        <v>#REF!</v>
      </c>
      <c r="AK60" s="202"/>
      <c r="AL60" s="152" t="e">
        <f>#REF!</f>
        <v>#REF!</v>
      </c>
      <c r="AM60" s="202"/>
      <c r="AN60" s="153" t="e">
        <f>#REF!</f>
        <v>#REF!</v>
      </c>
      <c r="AO60" s="202"/>
      <c r="AP60" s="152" t="e">
        <f>#REF!</f>
        <v>#REF!</v>
      </c>
      <c r="AQ60" s="202"/>
      <c r="AR60" s="154" t="e">
        <f>#REF!</f>
        <v>#REF!</v>
      </c>
      <c r="AS60" s="202"/>
      <c r="AT60" s="153" t="e">
        <f>#REF!</f>
        <v>#REF!</v>
      </c>
      <c r="AU60" s="202"/>
      <c r="AV60" s="152" t="e">
        <f>#REF!</f>
        <v>#REF!</v>
      </c>
      <c r="AW60" s="202"/>
      <c r="AX60" s="153" t="e">
        <f>#REF!</f>
        <v>#REF!</v>
      </c>
      <c r="AY60" s="202"/>
      <c r="AZ60" s="152" t="e">
        <f>#REF!</f>
        <v>#REF!</v>
      </c>
      <c r="BA60" s="202"/>
      <c r="BB60" s="154" t="e">
        <f>#REF!</f>
        <v>#REF!</v>
      </c>
      <c r="BC60" s="137"/>
    </row>
    <row r="61" spans="1:55" ht="30" customHeight="1">
      <c r="A61" s="203" t="e">
        <f>#REF!</f>
        <v>#REF!</v>
      </c>
      <c r="B61" s="204" t="e">
        <f xml:space="preserve"> IF(#REF!=0, "",#REF!)</f>
        <v>#REF!</v>
      </c>
      <c r="C61" s="369" t="e">
        <f>#REF!</f>
        <v>#REF!</v>
      </c>
      <c r="D61" s="369"/>
      <c r="E61" s="291" t="e">
        <f>#REF!</f>
        <v>#REF!</v>
      </c>
      <c r="F61" s="148" t="e">
        <f>#REF!</f>
        <v>#REF!</v>
      </c>
      <c r="G61" s="205" t="e">
        <f xml:space="preserve"> IF(#REF!="", "",#REF!)</f>
        <v>#REF!</v>
      </c>
      <c r="H61" s="205" t="e">
        <f xml:space="preserve"> IF(#REF!="", "",#REF!)</f>
        <v>#REF!</v>
      </c>
      <c r="I61" s="205" t="e">
        <f xml:space="preserve"> IF(#REF!="", "",#REF!)</f>
        <v>#REF!</v>
      </c>
      <c r="J61" s="298" t="e">
        <f>#REF!</f>
        <v>#REF!</v>
      </c>
      <c r="K61" s="149" t="e">
        <f>#REF!</f>
        <v>#REF!</v>
      </c>
      <c r="L61" s="149" t="e">
        <f>#REF!</f>
        <v>#REF!</v>
      </c>
      <c r="M61" s="150" t="e">
        <f>#REF!</f>
        <v>#REF!</v>
      </c>
      <c r="N61" s="364"/>
      <c r="O61" s="202"/>
      <c r="P61" s="151" t="e">
        <f>#REF!</f>
        <v>#REF!</v>
      </c>
      <c r="Q61" s="202"/>
      <c r="R61" s="152" t="e">
        <f>#REF!</f>
        <v>#REF!</v>
      </c>
      <c r="S61" s="202"/>
      <c r="T61" s="153" t="e">
        <f>#REF!</f>
        <v>#REF!</v>
      </c>
      <c r="U61" s="202"/>
      <c r="V61" s="153" t="e">
        <f>#REF!</f>
        <v>#REF!</v>
      </c>
      <c r="W61" s="202"/>
      <c r="X61" s="153" t="e">
        <f>#REF!</f>
        <v>#REF!</v>
      </c>
      <c r="Y61" s="202"/>
      <c r="Z61" s="152" t="e">
        <f>#REF!</f>
        <v>#REF!</v>
      </c>
      <c r="AA61" s="202"/>
      <c r="AB61" s="153" t="e">
        <f>#REF!</f>
        <v>#REF!</v>
      </c>
      <c r="AC61" s="202"/>
      <c r="AD61" s="152" t="e">
        <f>#REF!</f>
        <v>#REF!</v>
      </c>
      <c r="AE61" s="202"/>
      <c r="AF61" s="153" t="e">
        <f>#REF!</f>
        <v>#REF!</v>
      </c>
      <c r="AG61" s="202"/>
      <c r="AH61" s="152" t="e">
        <f>#REF!</f>
        <v>#REF!</v>
      </c>
      <c r="AI61" s="202"/>
      <c r="AJ61" s="153" t="e">
        <f>#REF!</f>
        <v>#REF!</v>
      </c>
      <c r="AK61" s="202"/>
      <c r="AL61" s="152" t="e">
        <f>#REF!</f>
        <v>#REF!</v>
      </c>
      <c r="AM61" s="202"/>
      <c r="AN61" s="153" t="e">
        <f>#REF!</f>
        <v>#REF!</v>
      </c>
      <c r="AO61" s="202"/>
      <c r="AP61" s="152" t="e">
        <f>#REF!</f>
        <v>#REF!</v>
      </c>
      <c r="AQ61" s="202"/>
      <c r="AR61" s="154" t="e">
        <f>#REF!</f>
        <v>#REF!</v>
      </c>
      <c r="AS61" s="202"/>
      <c r="AT61" s="153" t="e">
        <f>#REF!</f>
        <v>#REF!</v>
      </c>
      <c r="AU61" s="202"/>
      <c r="AV61" s="152" t="e">
        <f>#REF!</f>
        <v>#REF!</v>
      </c>
      <c r="AW61" s="202"/>
      <c r="AX61" s="153" t="e">
        <f>#REF!</f>
        <v>#REF!</v>
      </c>
      <c r="AY61" s="202"/>
      <c r="AZ61" s="152" t="e">
        <f>#REF!</f>
        <v>#REF!</v>
      </c>
      <c r="BA61" s="202"/>
      <c r="BB61" s="154" t="e">
        <f>#REF!</f>
        <v>#REF!</v>
      </c>
      <c r="BC61" s="137"/>
    </row>
    <row r="62" spans="1:55" ht="30" customHeight="1">
      <c r="A62" s="203" t="e">
        <f>#REF!</f>
        <v>#REF!</v>
      </c>
      <c r="B62" s="204" t="e">
        <f xml:space="preserve"> IF(#REF!=0, "",#REF!)</f>
        <v>#REF!</v>
      </c>
      <c r="C62" s="369" t="e">
        <f>#REF!</f>
        <v>#REF!</v>
      </c>
      <c r="D62" s="369"/>
      <c r="E62" s="291" t="e">
        <f>#REF!</f>
        <v>#REF!</v>
      </c>
      <c r="F62" s="148" t="e">
        <f>#REF!</f>
        <v>#REF!</v>
      </c>
      <c r="G62" s="205" t="e">
        <f xml:space="preserve"> IF(#REF!="", "",#REF!)</f>
        <v>#REF!</v>
      </c>
      <c r="H62" s="205" t="e">
        <f xml:space="preserve"> IF(#REF!="", "",#REF!)</f>
        <v>#REF!</v>
      </c>
      <c r="I62" s="205" t="e">
        <f xml:space="preserve"> IF(#REF!="", "",#REF!)</f>
        <v>#REF!</v>
      </c>
      <c r="J62" s="298" t="e">
        <f>#REF!</f>
        <v>#REF!</v>
      </c>
      <c r="K62" s="149" t="e">
        <f>#REF!</f>
        <v>#REF!</v>
      </c>
      <c r="L62" s="149" t="e">
        <f>#REF!</f>
        <v>#REF!</v>
      </c>
      <c r="M62" s="150" t="e">
        <f>#REF!</f>
        <v>#REF!</v>
      </c>
      <c r="N62" s="364"/>
      <c r="O62" s="202"/>
      <c r="P62" s="151" t="e">
        <f>#REF!</f>
        <v>#REF!</v>
      </c>
      <c r="Q62" s="202"/>
      <c r="R62" s="152" t="e">
        <f>#REF!</f>
        <v>#REF!</v>
      </c>
      <c r="S62" s="202"/>
      <c r="T62" s="153" t="e">
        <f>#REF!</f>
        <v>#REF!</v>
      </c>
      <c r="U62" s="202"/>
      <c r="V62" s="153" t="e">
        <f>#REF!</f>
        <v>#REF!</v>
      </c>
      <c r="W62" s="202"/>
      <c r="X62" s="153" t="e">
        <f>#REF!</f>
        <v>#REF!</v>
      </c>
      <c r="Y62" s="202"/>
      <c r="Z62" s="152" t="e">
        <f>#REF!</f>
        <v>#REF!</v>
      </c>
      <c r="AA62" s="202"/>
      <c r="AB62" s="153" t="e">
        <f>#REF!</f>
        <v>#REF!</v>
      </c>
      <c r="AC62" s="202"/>
      <c r="AD62" s="152" t="e">
        <f>#REF!</f>
        <v>#REF!</v>
      </c>
      <c r="AE62" s="202"/>
      <c r="AF62" s="153" t="e">
        <f>#REF!</f>
        <v>#REF!</v>
      </c>
      <c r="AG62" s="202"/>
      <c r="AH62" s="152" t="e">
        <f>#REF!</f>
        <v>#REF!</v>
      </c>
      <c r="AI62" s="202"/>
      <c r="AJ62" s="153" t="e">
        <f>#REF!</f>
        <v>#REF!</v>
      </c>
      <c r="AK62" s="202"/>
      <c r="AL62" s="152" t="e">
        <f>#REF!</f>
        <v>#REF!</v>
      </c>
      <c r="AM62" s="202"/>
      <c r="AN62" s="153" t="e">
        <f>#REF!</f>
        <v>#REF!</v>
      </c>
      <c r="AO62" s="202"/>
      <c r="AP62" s="152" t="e">
        <f>#REF!</f>
        <v>#REF!</v>
      </c>
      <c r="AQ62" s="202"/>
      <c r="AR62" s="154" t="e">
        <f>#REF!</f>
        <v>#REF!</v>
      </c>
      <c r="AS62" s="202"/>
      <c r="AT62" s="153" t="e">
        <f>#REF!</f>
        <v>#REF!</v>
      </c>
      <c r="AU62" s="202"/>
      <c r="AV62" s="152" t="e">
        <f>#REF!</f>
        <v>#REF!</v>
      </c>
      <c r="AW62" s="202"/>
      <c r="AX62" s="153" t="e">
        <f>#REF!</f>
        <v>#REF!</v>
      </c>
      <c r="AY62" s="202"/>
      <c r="AZ62" s="152" t="e">
        <f>#REF!</f>
        <v>#REF!</v>
      </c>
      <c r="BA62" s="202"/>
      <c r="BB62" s="154" t="e">
        <f>#REF!</f>
        <v>#REF!</v>
      </c>
      <c r="BC62" s="137"/>
    </row>
    <row r="63" spans="1:55" ht="30" customHeight="1">
      <c r="A63" s="203" t="e">
        <f>#REF!</f>
        <v>#REF!</v>
      </c>
      <c r="B63" s="204" t="e">
        <f xml:space="preserve"> IF(#REF!=0, "",#REF!)</f>
        <v>#REF!</v>
      </c>
      <c r="C63" s="369" t="e">
        <f>#REF!</f>
        <v>#REF!</v>
      </c>
      <c r="D63" s="369"/>
      <c r="E63" s="291" t="e">
        <f>#REF!</f>
        <v>#REF!</v>
      </c>
      <c r="F63" s="148" t="e">
        <f>#REF!</f>
        <v>#REF!</v>
      </c>
      <c r="G63" s="205" t="e">
        <f xml:space="preserve"> IF(#REF!="", "",#REF!)</f>
        <v>#REF!</v>
      </c>
      <c r="H63" s="205" t="e">
        <f xml:space="preserve"> IF(#REF!="", "",#REF!)</f>
        <v>#REF!</v>
      </c>
      <c r="I63" s="205" t="e">
        <f xml:space="preserve"> IF(#REF!="", "",#REF!)</f>
        <v>#REF!</v>
      </c>
      <c r="J63" s="298" t="e">
        <f>#REF!</f>
        <v>#REF!</v>
      </c>
      <c r="K63" s="149" t="e">
        <f>#REF!</f>
        <v>#REF!</v>
      </c>
      <c r="L63" s="149" t="e">
        <f>#REF!</f>
        <v>#REF!</v>
      </c>
      <c r="M63" s="150" t="e">
        <f>#REF!</f>
        <v>#REF!</v>
      </c>
      <c r="N63" s="364"/>
      <c r="O63" s="202"/>
      <c r="P63" s="151" t="e">
        <f>#REF!</f>
        <v>#REF!</v>
      </c>
      <c r="Q63" s="202"/>
      <c r="R63" s="152" t="e">
        <f>#REF!</f>
        <v>#REF!</v>
      </c>
      <c r="S63" s="202"/>
      <c r="T63" s="153" t="e">
        <f>#REF!</f>
        <v>#REF!</v>
      </c>
      <c r="U63" s="202"/>
      <c r="V63" s="153" t="e">
        <f>#REF!</f>
        <v>#REF!</v>
      </c>
      <c r="W63" s="202"/>
      <c r="X63" s="153" t="e">
        <f>#REF!</f>
        <v>#REF!</v>
      </c>
      <c r="Y63" s="202"/>
      <c r="Z63" s="152" t="e">
        <f>#REF!</f>
        <v>#REF!</v>
      </c>
      <c r="AA63" s="202"/>
      <c r="AB63" s="153" t="e">
        <f>#REF!</f>
        <v>#REF!</v>
      </c>
      <c r="AC63" s="202"/>
      <c r="AD63" s="152" t="e">
        <f>#REF!</f>
        <v>#REF!</v>
      </c>
      <c r="AE63" s="202"/>
      <c r="AF63" s="153" t="e">
        <f>#REF!</f>
        <v>#REF!</v>
      </c>
      <c r="AG63" s="202"/>
      <c r="AH63" s="152" t="e">
        <f>#REF!</f>
        <v>#REF!</v>
      </c>
      <c r="AI63" s="202"/>
      <c r="AJ63" s="153" t="e">
        <f>#REF!</f>
        <v>#REF!</v>
      </c>
      <c r="AK63" s="202"/>
      <c r="AL63" s="152" t="e">
        <f>#REF!</f>
        <v>#REF!</v>
      </c>
      <c r="AM63" s="202"/>
      <c r="AN63" s="153" t="e">
        <f>#REF!</f>
        <v>#REF!</v>
      </c>
      <c r="AO63" s="202"/>
      <c r="AP63" s="152" t="e">
        <f>#REF!</f>
        <v>#REF!</v>
      </c>
      <c r="AQ63" s="202"/>
      <c r="AR63" s="154" t="e">
        <f>#REF!</f>
        <v>#REF!</v>
      </c>
      <c r="AS63" s="202"/>
      <c r="AT63" s="153" t="e">
        <f>#REF!</f>
        <v>#REF!</v>
      </c>
      <c r="AU63" s="202"/>
      <c r="AV63" s="152" t="e">
        <f>#REF!</f>
        <v>#REF!</v>
      </c>
      <c r="AW63" s="202"/>
      <c r="AX63" s="153" t="e">
        <f>#REF!</f>
        <v>#REF!</v>
      </c>
      <c r="AY63" s="202"/>
      <c r="AZ63" s="152" t="e">
        <f>#REF!</f>
        <v>#REF!</v>
      </c>
      <c r="BA63" s="202"/>
      <c r="BB63" s="154" t="e">
        <f>#REF!</f>
        <v>#REF!</v>
      </c>
      <c r="BC63" s="137"/>
    </row>
    <row r="64" spans="1:55" ht="30" customHeight="1">
      <c r="A64" s="203" t="e">
        <f>#REF!</f>
        <v>#REF!</v>
      </c>
      <c r="B64" s="204" t="e">
        <f xml:space="preserve"> IF(#REF!=0, "",#REF!)</f>
        <v>#REF!</v>
      </c>
      <c r="C64" s="369" t="e">
        <f>#REF!</f>
        <v>#REF!</v>
      </c>
      <c r="D64" s="369"/>
      <c r="E64" s="291" t="e">
        <f>#REF!</f>
        <v>#REF!</v>
      </c>
      <c r="F64" s="148" t="e">
        <f>#REF!</f>
        <v>#REF!</v>
      </c>
      <c r="G64" s="205" t="e">
        <f xml:space="preserve"> IF(#REF!="", "",#REF!)</f>
        <v>#REF!</v>
      </c>
      <c r="H64" s="205" t="e">
        <f xml:space="preserve"> IF(#REF!="", "",#REF!)</f>
        <v>#REF!</v>
      </c>
      <c r="I64" s="205" t="e">
        <f xml:space="preserve"> IF(#REF!="", "",#REF!)</f>
        <v>#REF!</v>
      </c>
      <c r="J64" s="298" t="e">
        <f>#REF!</f>
        <v>#REF!</v>
      </c>
      <c r="K64" s="149" t="e">
        <f>#REF!</f>
        <v>#REF!</v>
      </c>
      <c r="L64" s="149" t="e">
        <f>#REF!</f>
        <v>#REF!</v>
      </c>
      <c r="M64" s="150" t="e">
        <f>#REF!</f>
        <v>#REF!</v>
      </c>
      <c r="N64" s="364"/>
      <c r="O64" s="202"/>
      <c r="P64" s="151" t="e">
        <f>#REF!</f>
        <v>#REF!</v>
      </c>
      <c r="Q64" s="202"/>
      <c r="R64" s="152" t="e">
        <f>#REF!</f>
        <v>#REF!</v>
      </c>
      <c r="S64" s="202"/>
      <c r="T64" s="153" t="e">
        <f>#REF!</f>
        <v>#REF!</v>
      </c>
      <c r="U64" s="202"/>
      <c r="V64" s="153" t="e">
        <f>#REF!</f>
        <v>#REF!</v>
      </c>
      <c r="W64" s="202"/>
      <c r="X64" s="153" t="e">
        <f>#REF!</f>
        <v>#REF!</v>
      </c>
      <c r="Y64" s="202"/>
      <c r="Z64" s="152" t="e">
        <f>#REF!</f>
        <v>#REF!</v>
      </c>
      <c r="AA64" s="202"/>
      <c r="AB64" s="153" t="e">
        <f>#REF!</f>
        <v>#REF!</v>
      </c>
      <c r="AC64" s="202"/>
      <c r="AD64" s="152" t="e">
        <f>#REF!</f>
        <v>#REF!</v>
      </c>
      <c r="AE64" s="202"/>
      <c r="AF64" s="153" t="e">
        <f>#REF!</f>
        <v>#REF!</v>
      </c>
      <c r="AG64" s="202"/>
      <c r="AH64" s="152" t="e">
        <f>#REF!</f>
        <v>#REF!</v>
      </c>
      <c r="AI64" s="202"/>
      <c r="AJ64" s="153" t="e">
        <f>#REF!</f>
        <v>#REF!</v>
      </c>
      <c r="AK64" s="202"/>
      <c r="AL64" s="152" t="e">
        <f>#REF!</f>
        <v>#REF!</v>
      </c>
      <c r="AM64" s="202"/>
      <c r="AN64" s="153" t="e">
        <f>#REF!</f>
        <v>#REF!</v>
      </c>
      <c r="AO64" s="202"/>
      <c r="AP64" s="152" t="e">
        <f>#REF!</f>
        <v>#REF!</v>
      </c>
      <c r="AQ64" s="202"/>
      <c r="AR64" s="154" t="e">
        <f>#REF!</f>
        <v>#REF!</v>
      </c>
      <c r="AS64" s="202"/>
      <c r="AT64" s="153" t="e">
        <f>#REF!</f>
        <v>#REF!</v>
      </c>
      <c r="AU64" s="202"/>
      <c r="AV64" s="152" t="e">
        <f>#REF!</f>
        <v>#REF!</v>
      </c>
      <c r="AW64" s="202"/>
      <c r="AX64" s="153" t="e">
        <f>#REF!</f>
        <v>#REF!</v>
      </c>
      <c r="AY64" s="202"/>
      <c r="AZ64" s="152" t="e">
        <f>#REF!</f>
        <v>#REF!</v>
      </c>
      <c r="BA64" s="202"/>
      <c r="BB64" s="154" t="e">
        <f>#REF!</f>
        <v>#REF!</v>
      </c>
      <c r="BC64" s="137"/>
    </row>
    <row r="65" spans="1:55" ht="30" customHeight="1">
      <c r="A65" s="203" t="e">
        <f>#REF!</f>
        <v>#REF!</v>
      </c>
      <c r="B65" s="204" t="e">
        <f xml:space="preserve"> IF(#REF!=0, "",#REF!)</f>
        <v>#REF!</v>
      </c>
      <c r="C65" s="369" t="e">
        <f>#REF!</f>
        <v>#REF!</v>
      </c>
      <c r="D65" s="369"/>
      <c r="E65" s="291" t="e">
        <f>#REF!</f>
        <v>#REF!</v>
      </c>
      <c r="F65" s="148" t="e">
        <f>#REF!</f>
        <v>#REF!</v>
      </c>
      <c r="G65" s="205" t="e">
        <f xml:space="preserve"> IF(#REF!="", "",#REF!)</f>
        <v>#REF!</v>
      </c>
      <c r="H65" s="205" t="e">
        <f xml:space="preserve"> IF(#REF!="", "",#REF!)</f>
        <v>#REF!</v>
      </c>
      <c r="I65" s="205" t="e">
        <f xml:space="preserve"> IF(#REF!="", "",#REF!)</f>
        <v>#REF!</v>
      </c>
      <c r="J65" s="298" t="e">
        <f>#REF!</f>
        <v>#REF!</v>
      </c>
      <c r="K65" s="149" t="e">
        <f>#REF!</f>
        <v>#REF!</v>
      </c>
      <c r="L65" s="149" t="e">
        <f>#REF!</f>
        <v>#REF!</v>
      </c>
      <c r="M65" s="150" t="e">
        <f>#REF!</f>
        <v>#REF!</v>
      </c>
      <c r="N65" s="364"/>
      <c r="O65" s="202"/>
      <c r="P65" s="151" t="e">
        <f>#REF!</f>
        <v>#REF!</v>
      </c>
      <c r="Q65" s="202"/>
      <c r="R65" s="152" t="e">
        <f>#REF!</f>
        <v>#REF!</v>
      </c>
      <c r="S65" s="202"/>
      <c r="T65" s="153" t="e">
        <f>#REF!</f>
        <v>#REF!</v>
      </c>
      <c r="U65" s="202"/>
      <c r="V65" s="153" t="e">
        <f>#REF!</f>
        <v>#REF!</v>
      </c>
      <c r="W65" s="202"/>
      <c r="X65" s="153" t="e">
        <f>#REF!</f>
        <v>#REF!</v>
      </c>
      <c r="Y65" s="202"/>
      <c r="Z65" s="152" t="e">
        <f>#REF!</f>
        <v>#REF!</v>
      </c>
      <c r="AA65" s="202"/>
      <c r="AB65" s="153" t="e">
        <f>#REF!</f>
        <v>#REF!</v>
      </c>
      <c r="AC65" s="202"/>
      <c r="AD65" s="152" t="e">
        <f>#REF!</f>
        <v>#REF!</v>
      </c>
      <c r="AE65" s="202"/>
      <c r="AF65" s="153" t="e">
        <f>#REF!</f>
        <v>#REF!</v>
      </c>
      <c r="AG65" s="202"/>
      <c r="AH65" s="152" t="e">
        <f>#REF!</f>
        <v>#REF!</v>
      </c>
      <c r="AI65" s="202"/>
      <c r="AJ65" s="153" t="e">
        <f>#REF!</f>
        <v>#REF!</v>
      </c>
      <c r="AK65" s="202"/>
      <c r="AL65" s="152" t="e">
        <f>#REF!</f>
        <v>#REF!</v>
      </c>
      <c r="AM65" s="202"/>
      <c r="AN65" s="153" t="e">
        <f>#REF!</f>
        <v>#REF!</v>
      </c>
      <c r="AO65" s="202"/>
      <c r="AP65" s="152" t="e">
        <f>#REF!</f>
        <v>#REF!</v>
      </c>
      <c r="AQ65" s="202"/>
      <c r="AR65" s="154" t="e">
        <f>#REF!</f>
        <v>#REF!</v>
      </c>
      <c r="AS65" s="202"/>
      <c r="AT65" s="153" t="e">
        <f>#REF!</f>
        <v>#REF!</v>
      </c>
      <c r="AU65" s="202"/>
      <c r="AV65" s="152" t="e">
        <f>#REF!</f>
        <v>#REF!</v>
      </c>
      <c r="AW65" s="202"/>
      <c r="AX65" s="153" t="e">
        <f>#REF!</f>
        <v>#REF!</v>
      </c>
      <c r="AY65" s="202"/>
      <c r="AZ65" s="152" t="e">
        <f>#REF!</f>
        <v>#REF!</v>
      </c>
      <c r="BA65" s="202"/>
      <c r="BB65" s="154" t="e">
        <f>#REF!</f>
        <v>#REF!</v>
      </c>
      <c r="BC65" s="137"/>
    </row>
    <row r="66" spans="1:55" ht="30" customHeight="1">
      <c r="A66" s="203" t="e">
        <f>#REF!</f>
        <v>#REF!</v>
      </c>
      <c r="B66" s="204" t="e">
        <f xml:space="preserve"> IF(#REF!=0, "",#REF!)</f>
        <v>#REF!</v>
      </c>
      <c r="C66" s="369" t="e">
        <f>#REF!</f>
        <v>#REF!</v>
      </c>
      <c r="D66" s="369"/>
      <c r="E66" s="291" t="e">
        <f>#REF!</f>
        <v>#REF!</v>
      </c>
      <c r="F66" s="148" t="e">
        <f>#REF!</f>
        <v>#REF!</v>
      </c>
      <c r="G66" s="205" t="e">
        <f xml:space="preserve"> IF(#REF!="", "",#REF!)</f>
        <v>#REF!</v>
      </c>
      <c r="H66" s="205" t="e">
        <f xml:space="preserve"> IF(#REF!="", "",#REF!)</f>
        <v>#REF!</v>
      </c>
      <c r="I66" s="205" t="e">
        <f xml:space="preserve"> IF(#REF!="", "",#REF!)</f>
        <v>#REF!</v>
      </c>
      <c r="J66" s="298" t="e">
        <f>#REF!</f>
        <v>#REF!</v>
      </c>
      <c r="K66" s="149" t="e">
        <f>#REF!</f>
        <v>#REF!</v>
      </c>
      <c r="L66" s="149" t="e">
        <f>#REF!</f>
        <v>#REF!</v>
      </c>
      <c r="M66" s="150" t="e">
        <f>#REF!</f>
        <v>#REF!</v>
      </c>
      <c r="N66" s="364"/>
      <c r="O66" s="202"/>
      <c r="P66" s="151" t="e">
        <f>#REF!</f>
        <v>#REF!</v>
      </c>
      <c r="Q66" s="202"/>
      <c r="R66" s="152" t="e">
        <f>#REF!</f>
        <v>#REF!</v>
      </c>
      <c r="S66" s="202"/>
      <c r="T66" s="153" t="e">
        <f>#REF!</f>
        <v>#REF!</v>
      </c>
      <c r="U66" s="202"/>
      <c r="V66" s="153" t="e">
        <f>#REF!</f>
        <v>#REF!</v>
      </c>
      <c r="W66" s="202"/>
      <c r="X66" s="153" t="e">
        <f>#REF!</f>
        <v>#REF!</v>
      </c>
      <c r="Y66" s="202"/>
      <c r="Z66" s="152" t="e">
        <f>#REF!</f>
        <v>#REF!</v>
      </c>
      <c r="AA66" s="202"/>
      <c r="AB66" s="153" t="e">
        <f>#REF!</f>
        <v>#REF!</v>
      </c>
      <c r="AC66" s="202"/>
      <c r="AD66" s="152" t="e">
        <f>#REF!</f>
        <v>#REF!</v>
      </c>
      <c r="AE66" s="202"/>
      <c r="AF66" s="153" t="e">
        <f>#REF!</f>
        <v>#REF!</v>
      </c>
      <c r="AG66" s="202"/>
      <c r="AH66" s="152" t="e">
        <f>#REF!</f>
        <v>#REF!</v>
      </c>
      <c r="AI66" s="202"/>
      <c r="AJ66" s="153" t="e">
        <f>#REF!</f>
        <v>#REF!</v>
      </c>
      <c r="AK66" s="202"/>
      <c r="AL66" s="152" t="e">
        <f>#REF!</f>
        <v>#REF!</v>
      </c>
      <c r="AM66" s="202"/>
      <c r="AN66" s="153" t="e">
        <f>#REF!</f>
        <v>#REF!</v>
      </c>
      <c r="AO66" s="202"/>
      <c r="AP66" s="152" t="e">
        <f>#REF!</f>
        <v>#REF!</v>
      </c>
      <c r="AQ66" s="202"/>
      <c r="AR66" s="154" t="e">
        <f>#REF!</f>
        <v>#REF!</v>
      </c>
      <c r="AS66" s="202"/>
      <c r="AT66" s="153" t="e">
        <f>#REF!</f>
        <v>#REF!</v>
      </c>
      <c r="AU66" s="202"/>
      <c r="AV66" s="152" t="e">
        <f>#REF!</f>
        <v>#REF!</v>
      </c>
      <c r="AW66" s="202"/>
      <c r="AX66" s="153" t="e">
        <f>#REF!</f>
        <v>#REF!</v>
      </c>
      <c r="AY66" s="202"/>
      <c r="AZ66" s="152" t="e">
        <f>#REF!</f>
        <v>#REF!</v>
      </c>
      <c r="BA66" s="202"/>
      <c r="BB66" s="154" t="e">
        <f>#REF!</f>
        <v>#REF!</v>
      </c>
      <c r="BC66" s="137"/>
    </row>
    <row r="67" spans="1:55" ht="30" customHeight="1">
      <c r="A67" s="203" t="e">
        <f>#REF!</f>
        <v>#REF!</v>
      </c>
      <c r="B67" s="204" t="e">
        <f xml:space="preserve"> IF(#REF!=0, "",#REF!)</f>
        <v>#REF!</v>
      </c>
      <c r="C67" s="369" t="e">
        <f>#REF!</f>
        <v>#REF!</v>
      </c>
      <c r="D67" s="369"/>
      <c r="E67" s="291" t="e">
        <f>#REF!</f>
        <v>#REF!</v>
      </c>
      <c r="F67" s="148" t="e">
        <f>#REF!</f>
        <v>#REF!</v>
      </c>
      <c r="G67" s="205" t="e">
        <f xml:space="preserve"> IF(#REF!="", "",#REF!)</f>
        <v>#REF!</v>
      </c>
      <c r="H67" s="205" t="e">
        <f xml:space="preserve"> IF(#REF!="", "",#REF!)</f>
        <v>#REF!</v>
      </c>
      <c r="I67" s="205" t="e">
        <f xml:space="preserve"> IF(#REF!="", "",#REF!)</f>
        <v>#REF!</v>
      </c>
      <c r="J67" s="298" t="e">
        <f>#REF!</f>
        <v>#REF!</v>
      </c>
      <c r="K67" s="149" t="e">
        <f>#REF!</f>
        <v>#REF!</v>
      </c>
      <c r="L67" s="149" t="e">
        <f>#REF!</f>
        <v>#REF!</v>
      </c>
      <c r="M67" s="150" t="e">
        <f>#REF!</f>
        <v>#REF!</v>
      </c>
      <c r="N67" s="364"/>
      <c r="O67" s="202"/>
      <c r="P67" s="151" t="e">
        <f>#REF!</f>
        <v>#REF!</v>
      </c>
      <c r="Q67" s="202"/>
      <c r="R67" s="152" t="e">
        <f>#REF!</f>
        <v>#REF!</v>
      </c>
      <c r="S67" s="202"/>
      <c r="T67" s="153" t="e">
        <f>#REF!</f>
        <v>#REF!</v>
      </c>
      <c r="U67" s="202"/>
      <c r="V67" s="153" t="e">
        <f>#REF!</f>
        <v>#REF!</v>
      </c>
      <c r="W67" s="202"/>
      <c r="X67" s="153" t="e">
        <f>#REF!</f>
        <v>#REF!</v>
      </c>
      <c r="Y67" s="202"/>
      <c r="Z67" s="152" t="e">
        <f>#REF!</f>
        <v>#REF!</v>
      </c>
      <c r="AA67" s="202"/>
      <c r="AB67" s="153" t="e">
        <f>#REF!</f>
        <v>#REF!</v>
      </c>
      <c r="AC67" s="202"/>
      <c r="AD67" s="152" t="e">
        <f>#REF!</f>
        <v>#REF!</v>
      </c>
      <c r="AE67" s="202"/>
      <c r="AF67" s="153" t="e">
        <f>#REF!</f>
        <v>#REF!</v>
      </c>
      <c r="AG67" s="202"/>
      <c r="AH67" s="152" t="e">
        <f>#REF!</f>
        <v>#REF!</v>
      </c>
      <c r="AI67" s="202"/>
      <c r="AJ67" s="153" t="e">
        <f>#REF!</f>
        <v>#REF!</v>
      </c>
      <c r="AK67" s="202"/>
      <c r="AL67" s="152" t="e">
        <f>#REF!</f>
        <v>#REF!</v>
      </c>
      <c r="AM67" s="202"/>
      <c r="AN67" s="153" t="e">
        <f>#REF!</f>
        <v>#REF!</v>
      </c>
      <c r="AO67" s="202"/>
      <c r="AP67" s="152" t="e">
        <f>#REF!</f>
        <v>#REF!</v>
      </c>
      <c r="AQ67" s="202"/>
      <c r="AR67" s="154" t="e">
        <f>#REF!</f>
        <v>#REF!</v>
      </c>
      <c r="AS67" s="202"/>
      <c r="AT67" s="153" t="e">
        <f>#REF!</f>
        <v>#REF!</v>
      </c>
      <c r="AU67" s="202"/>
      <c r="AV67" s="152" t="e">
        <f>#REF!</f>
        <v>#REF!</v>
      </c>
      <c r="AW67" s="202"/>
      <c r="AX67" s="153" t="e">
        <f>#REF!</f>
        <v>#REF!</v>
      </c>
      <c r="AY67" s="202"/>
      <c r="AZ67" s="152" t="e">
        <f>#REF!</f>
        <v>#REF!</v>
      </c>
      <c r="BA67" s="202"/>
      <c r="BB67" s="154" t="e">
        <f>#REF!</f>
        <v>#REF!</v>
      </c>
      <c r="BC67" s="137"/>
    </row>
    <row r="68" spans="1:55" ht="30" customHeight="1">
      <c r="A68" s="203" t="e">
        <f>#REF!</f>
        <v>#REF!</v>
      </c>
      <c r="B68" s="204" t="e">
        <f xml:space="preserve"> IF(#REF!=0, "",#REF!)</f>
        <v>#REF!</v>
      </c>
      <c r="C68" s="369" t="e">
        <f>#REF!</f>
        <v>#REF!</v>
      </c>
      <c r="D68" s="369"/>
      <c r="E68" s="291" t="e">
        <f>#REF!</f>
        <v>#REF!</v>
      </c>
      <c r="F68" s="148" t="e">
        <f>#REF!</f>
        <v>#REF!</v>
      </c>
      <c r="G68" s="205" t="e">
        <f xml:space="preserve"> IF(#REF!="", "",#REF!)</f>
        <v>#REF!</v>
      </c>
      <c r="H68" s="205" t="e">
        <f xml:space="preserve"> IF(#REF!="", "",#REF!)</f>
        <v>#REF!</v>
      </c>
      <c r="I68" s="205" t="e">
        <f xml:space="preserve"> IF(#REF!="", "",#REF!)</f>
        <v>#REF!</v>
      </c>
      <c r="J68" s="298" t="e">
        <f>#REF!</f>
        <v>#REF!</v>
      </c>
      <c r="K68" s="149" t="e">
        <f>#REF!</f>
        <v>#REF!</v>
      </c>
      <c r="L68" s="149" t="e">
        <f>#REF!</f>
        <v>#REF!</v>
      </c>
      <c r="M68" s="150" t="e">
        <f>#REF!</f>
        <v>#REF!</v>
      </c>
      <c r="N68" s="364"/>
      <c r="O68" s="202"/>
      <c r="P68" s="151" t="e">
        <f>#REF!</f>
        <v>#REF!</v>
      </c>
      <c r="Q68" s="202"/>
      <c r="R68" s="152" t="e">
        <f>#REF!</f>
        <v>#REF!</v>
      </c>
      <c r="S68" s="202"/>
      <c r="T68" s="153" t="e">
        <f>#REF!</f>
        <v>#REF!</v>
      </c>
      <c r="U68" s="202"/>
      <c r="V68" s="153" t="e">
        <f>#REF!</f>
        <v>#REF!</v>
      </c>
      <c r="W68" s="202"/>
      <c r="X68" s="153" t="e">
        <f>#REF!</f>
        <v>#REF!</v>
      </c>
      <c r="Y68" s="202"/>
      <c r="Z68" s="152" t="e">
        <f>#REF!</f>
        <v>#REF!</v>
      </c>
      <c r="AA68" s="202"/>
      <c r="AB68" s="153" t="e">
        <f>#REF!</f>
        <v>#REF!</v>
      </c>
      <c r="AC68" s="202"/>
      <c r="AD68" s="152" t="e">
        <f>#REF!</f>
        <v>#REF!</v>
      </c>
      <c r="AE68" s="202"/>
      <c r="AF68" s="153" t="e">
        <f>#REF!</f>
        <v>#REF!</v>
      </c>
      <c r="AG68" s="202"/>
      <c r="AH68" s="152" t="e">
        <f>#REF!</f>
        <v>#REF!</v>
      </c>
      <c r="AI68" s="202"/>
      <c r="AJ68" s="153" t="e">
        <f>#REF!</f>
        <v>#REF!</v>
      </c>
      <c r="AK68" s="202"/>
      <c r="AL68" s="152" t="e">
        <f>#REF!</f>
        <v>#REF!</v>
      </c>
      <c r="AM68" s="202"/>
      <c r="AN68" s="153" t="e">
        <f>#REF!</f>
        <v>#REF!</v>
      </c>
      <c r="AO68" s="202"/>
      <c r="AP68" s="152" t="e">
        <f>#REF!</f>
        <v>#REF!</v>
      </c>
      <c r="AQ68" s="202"/>
      <c r="AR68" s="154" t="e">
        <f>#REF!</f>
        <v>#REF!</v>
      </c>
      <c r="AS68" s="202"/>
      <c r="AT68" s="153" t="e">
        <f>#REF!</f>
        <v>#REF!</v>
      </c>
      <c r="AU68" s="202"/>
      <c r="AV68" s="152" t="e">
        <f>#REF!</f>
        <v>#REF!</v>
      </c>
      <c r="AW68" s="202"/>
      <c r="AX68" s="153" t="e">
        <f>#REF!</f>
        <v>#REF!</v>
      </c>
      <c r="AY68" s="202"/>
      <c r="AZ68" s="152" t="e">
        <f>#REF!</f>
        <v>#REF!</v>
      </c>
      <c r="BA68" s="202"/>
      <c r="BB68" s="154" t="e">
        <f>#REF!</f>
        <v>#REF!</v>
      </c>
      <c r="BC68" s="137"/>
    </row>
    <row r="69" spans="1:55" ht="30" customHeight="1">
      <c r="A69" s="203" t="e">
        <f>#REF!</f>
        <v>#REF!</v>
      </c>
      <c r="B69" s="204" t="e">
        <f xml:space="preserve"> IF(#REF!=0, "",#REF!)</f>
        <v>#REF!</v>
      </c>
      <c r="C69" s="369" t="e">
        <f>#REF!</f>
        <v>#REF!</v>
      </c>
      <c r="D69" s="369"/>
      <c r="E69" s="291" t="e">
        <f>#REF!</f>
        <v>#REF!</v>
      </c>
      <c r="F69" s="148" t="e">
        <f>#REF!</f>
        <v>#REF!</v>
      </c>
      <c r="G69" s="205" t="e">
        <f xml:space="preserve"> IF(#REF!="", "",#REF!)</f>
        <v>#REF!</v>
      </c>
      <c r="H69" s="205" t="e">
        <f xml:space="preserve"> IF(#REF!="", "",#REF!)</f>
        <v>#REF!</v>
      </c>
      <c r="I69" s="205" t="e">
        <f xml:space="preserve"> IF(#REF!="", "",#REF!)</f>
        <v>#REF!</v>
      </c>
      <c r="J69" s="298" t="e">
        <f>#REF!</f>
        <v>#REF!</v>
      </c>
      <c r="K69" s="149" t="e">
        <f>#REF!</f>
        <v>#REF!</v>
      </c>
      <c r="L69" s="149" t="e">
        <f>#REF!</f>
        <v>#REF!</v>
      </c>
      <c r="M69" s="150" t="e">
        <f>#REF!</f>
        <v>#REF!</v>
      </c>
      <c r="N69" s="364"/>
      <c r="O69" s="202"/>
      <c r="P69" s="151" t="e">
        <f>#REF!</f>
        <v>#REF!</v>
      </c>
      <c r="Q69" s="202"/>
      <c r="R69" s="152" t="e">
        <f>#REF!</f>
        <v>#REF!</v>
      </c>
      <c r="S69" s="202"/>
      <c r="T69" s="153" t="e">
        <f>#REF!</f>
        <v>#REF!</v>
      </c>
      <c r="U69" s="202"/>
      <c r="V69" s="153" t="e">
        <f>#REF!</f>
        <v>#REF!</v>
      </c>
      <c r="W69" s="202"/>
      <c r="X69" s="153" t="e">
        <f>#REF!</f>
        <v>#REF!</v>
      </c>
      <c r="Y69" s="202"/>
      <c r="Z69" s="152" t="e">
        <f>#REF!</f>
        <v>#REF!</v>
      </c>
      <c r="AA69" s="202"/>
      <c r="AB69" s="153" t="e">
        <f>#REF!</f>
        <v>#REF!</v>
      </c>
      <c r="AC69" s="202"/>
      <c r="AD69" s="152" t="e">
        <f>#REF!</f>
        <v>#REF!</v>
      </c>
      <c r="AE69" s="202"/>
      <c r="AF69" s="153" t="e">
        <f>#REF!</f>
        <v>#REF!</v>
      </c>
      <c r="AG69" s="202"/>
      <c r="AH69" s="152" t="e">
        <f>#REF!</f>
        <v>#REF!</v>
      </c>
      <c r="AI69" s="202"/>
      <c r="AJ69" s="153" t="e">
        <f>#REF!</f>
        <v>#REF!</v>
      </c>
      <c r="AK69" s="202"/>
      <c r="AL69" s="152" t="e">
        <f>#REF!</f>
        <v>#REF!</v>
      </c>
      <c r="AM69" s="202"/>
      <c r="AN69" s="153" t="e">
        <f>#REF!</f>
        <v>#REF!</v>
      </c>
      <c r="AO69" s="202"/>
      <c r="AP69" s="152" t="e">
        <f>#REF!</f>
        <v>#REF!</v>
      </c>
      <c r="AQ69" s="202"/>
      <c r="AR69" s="154" t="e">
        <f>#REF!</f>
        <v>#REF!</v>
      </c>
      <c r="AS69" s="202"/>
      <c r="AT69" s="153" t="e">
        <f>#REF!</f>
        <v>#REF!</v>
      </c>
      <c r="AU69" s="202"/>
      <c r="AV69" s="152" t="e">
        <f>#REF!</f>
        <v>#REF!</v>
      </c>
      <c r="AW69" s="202"/>
      <c r="AX69" s="153" t="e">
        <f>#REF!</f>
        <v>#REF!</v>
      </c>
      <c r="AY69" s="202"/>
      <c r="AZ69" s="152" t="e">
        <f>#REF!</f>
        <v>#REF!</v>
      </c>
      <c r="BA69" s="202"/>
      <c r="BB69" s="154" t="e">
        <f>#REF!</f>
        <v>#REF!</v>
      </c>
      <c r="BC69" s="137"/>
    </row>
    <row r="70" spans="1:55" ht="30" customHeight="1">
      <c r="A70" s="203" t="e">
        <f>#REF!</f>
        <v>#REF!</v>
      </c>
      <c r="B70" s="204" t="e">
        <f xml:space="preserve"> IF(#REF!=0, "",#REF!)</f>
        <v>#REF!</v>
      </c>
      <c r="C70" s="369" t="e">
        <f>#REF!</f>
        <v>#REF!</v>
      </c>
      <c r="D70" s="369"/>
      <c r="E70" s="291" t="e">
        <f>#REF!</f>
        <v>#REF!</v>
      </c>
      <c r="F70" s="148" t="e">
        <f>#REF!</f>
        <v>#REF!</v>
      </c>
      <c r="G70" s="205" t="e">
        <f xml:space="preserve"> IF(#REF!="", "",#REF!)</f>
        <v>#REF!</v>
      </c>
      <c r="H70" s="205" t="e">
        <f xml:space="preserve"> IF(#REF!="", "",#REF!)</f>
        <v>#REF!</v>
      </c>
      <c r="I70" s="205" t="e">
        <f xml:space="preserve"> IF(#REF!="", "",#REF!)</f>
        <v>#REF!</v>
      </c>
      <c r="J70" s="298" t="e">
        <f>#REF!</f>
        <v>#REF!</v>
      </c>
      <c r="K70" s="149" t="e">
        <f>#REF!</f>
        <v>#REF!</v>
      </c>
      <c r="L70" s="149" t="e">
        <f>#REF!</f>
        <v>#REF!</v>
      </c>
      <c r="M70" s="150" t="e">
        <f>#REF!</f>
        <v>#REF!</v>
      </c>
      <c r="N70" s="364"/>
      <c r="O70" s="202"/>
      <c r="P70" s="151" t="e">
        <f>#REF!</f>
        <v>#REF!</v>
      </c>
      <c r="Q70" s="202"/>
      <c r="R70" s="152" t="e">
        <f>#REF!</f>
        <v>#REF!</v>
      </c>
      <c r="S70" s="202"/>
      <c r="T70" s="153" t="e">
        <f>#REF!</f>
        <v>#REF!</v>
      </c>
      <c r="U70" s="202"/>
      <c r="V70" s="153" t="e">
        <f>#REF!</f>
        <v>#REF!</v>
      </c>
      <c r="W70" s="202"/>
      <c r="X70" s="153" t="e">
        <f>#REF!</f>
        <v>#REF!</v>
      </c>
      <c r="Y70" s="202"/>
      <c r="Z70" s="152" t="e">
        <f>#REF!</f>
        <v>#REF!</v>
      </c>
      <c r="AA70" s="202"/>
      <c r="AB70" s="153" t="e">
        <f>#REF!</f>
        <v>#REF!</v>
      </c>
      <c r="AC70" s="202"/>
      <c r="AD70" s="152" t="e">
        <f>#REF!</f>
        <v>#REF!</v>
      </c>
      <c r="AE70" s="202"/>
      <c r="AF70" s="153" t="e">
        <f>#REF!</f>
        <v>#REF!</v>
      </c>
      <c r="AG70" s="202"/>
      <c r="AH70" s="152" t="e">
        <f>#REF!</f>
        <v>#REF!</v>
      </c>
      <c r="AI70" s="202"/>
      <c r="AJ70" s="153" t="e">
        <f>#REF!</f>
        <v>#REF!</v>
      </c>
      <c r="AK70" s="202"/>
      <c r="AL70" s="152" t="e">
        <f>#REF!</f>
        <v>#REF!</v>
      </c>
      <c r="AM70" s="202"/>
      <c r="AN70" s="153" t="e">
        <f>#REF!</f>
        <v>#REF!</v>
      </c>
      <c r="AO70" s="202"/>
      <c r="AP70" s="152" t="e">
        <f>#REF!</f>
        <v>#REF!</v>
      </c>
      <c r="AQ70" s="202"/>
      <c r="AR70" s="154" t="e">
        <f>#REF!</f>
        <v>#REF!</v>
      </c>
      <c r="AS70" s="202"/>
      <c r="AT70" s="153" t="e">
        <f>#REF!</f>
        <v>#REF!</v>
      </c>
      <c r="AU70" s="202"/>
      <c r="AV70" s="152" t="e">
        <f>#REF!</f>
        <v>#REF!</v>
      </c>
      <c r="AW70" s="202"/>
      <c r="AX70" s="153" t="e">
        <f>#REF!</f>
        <v>#REF!</v>
      </c>
      <c r="AY70" s="202"/>
      <c r="AZ70" s="152" t="e">
        <f>#REF!</f>
        <v>#REF!</v>
      </c>
      <c r="BA70" s="202"/>
      <c r="BB70" s="154" t="e">
        <f>#REF!</f>
        <v>#REF!</v>
      </c>
      <c r="BC70" s="137"/>
    </row>
    <row r="71" spans="1:55" ht="30" customHeight="1">
      <c r="A71" s="203" t="e">
        <f>#REF!</f>
        <v>#REF!</v>
      </c>
      <c r="B71" s="204" t="e">
        <f xml:space="preserve"> IF(#REF!=0, "",#REF!)</f>
        <v>#REF!</v>
      </c>
      <c r="C71" s="369" t="e">
        <f>#REF!</f>
        <v>#REF!</v>
      </c>
      <c r="D71" s="369"/>
      <c r="E71" s="291" t="e">
        <f>#REF!</f>
        <v>#REF!</v>
      </c>
      <c r="F71" s="148" t="e">
        <f>#REF!</f>
        <v>#REF!</v>
      </c>
      <c r="G71" s="205" t="e">
        <f xml:space="preserve"> IF(#REF!="", "",#REF!)</f>
        <v>#REF!</v>
      </c>
      <c r="H71" s="205" t="e">
        <f xml:space="preserve"> IF(#REF!="", "",#REF!)</f>
        <v>#REF!</v>
      </c>
      <c r="I71" s="205" t="e">
        <f xml:space="preserve"> IF(#REF!="", "",#REF!)</f>
        <v>#REF!</v>
      </c>
      <c r="J71" s="298" t="e">
        <f>#REF!</f>
        <v>#REF!</v>
      </c>
      <c r="K71" s="149" t="e">
        <f>#REF!</f>
        <v>#REF!</v>
      </c>
      <c r="L71" s="149" t="e">
        <f>#REF!</f>
        <v>#REF!</v>
      </c>
      <c r="M71" s="150" t="e">
        <f>#REF!</f>
        <v>#REF!</v>
      </c>
      <c r="N71" s="364"/>
      <c r="O71" s="202"/>
      <c r="P71" s="151" t="e">
        <f>#REF!</f>
        <v>#REF!</v>
      </c>
      <c r="Q71" s="202"/>
      <c r="R71" s="152" t="e">
        <f>#REF!</f>
        <v>#REF!</v>
      </c>
      <c r="S71" s="202"/>
      <c r="T71" s="153" t="e">
        <f>#REF!</f>
        <v>#REF!</v>
      </c>
      <c r="U71" s="202"/>
      <c r="V71" s="153" t="e">
        <f>#REF!</f>
        <v>#REF!</v>
      </c>
      <c r="W71" s="202"/>
      <c r="X71" s="153" t="e">
        <f>#REF!</f>
        <v>#REF!</v>
      </c>
      <c r="Y71" s="202"/>
      <c r="Z71" s="152" t="e">
        <f>#REF!</f>
        <v>#REF!</v>
      </c>
      <c r="AA71" s="202"/>
      <c r="AB71" s="153" t="e">
        <f>#REF!</f>
        <v>#REF!</v>
      </c>
      <c r="AC71" s="202"/>
      <c r="AD71" s="152" t="e">
        <f>#REF!</f>
        <v>#REF!</v>
      </c>
      <c r="AE71" s="202"/>
      <c r="AF71" s="153" t="e">
        <f>#REF!</f>
        <v>#REF!</v>
      </c>
      <c r="AG71" s="202"/>
      <c r="AH71" s="152" t="e">
        <f>#REF!</f>
        <v>#REF!</v>
      </c>
      <c r="AI71" s="202"/>
      <c r="AJ71" s="153" t="e">
        <f>#REF!</f>
        <v>#REF!</v>
      </c>
      <c r="AK71" s="202"/>
      <c r="AL71" s="152" t="e">
        <f>#REF!</f>
        <v>#REF!</v>
      </c>
      <c r="AM71" s="202"/>
      <c r="AN71" s="153" t="e">
        <f>#REF!</f>
        <v>#REF!</v>
      </c>
      <c r="AO71" s="202"/>
      <c r="AP71" s="152" t="e">
        <f>#REF!</f>
        <v>#REF!</v>
      </c>
      <c r="AQ71" s="202"/>
      <c r="AR71" s="154" t="e">
        <f>#REF!</f>
        <v>#REF!</v>
      </c>
      <c r="AS71" s="202"/>
      <c r="AT71" s="153" t="e">
        <f>#REF!</f>
        <v>#REF!</v>
      </c>
      <c r="AU71" s="202"/>
      <c r="AV71" s="152" t="e">
        <f>#REF!</f>
        <v>#REF!</v>
      </c>
      <c r="AW71" s="202"/>
      <c r="AX71" s="153" t="e">
        <f>#REF!</f>
        <v>#REF!</v>
      </c>
      <c r="AY71" s="202"/>
      <c r="AZ71" s="152" t="e">
        <f>#REF!</f>
        <v>#REF!</v>
      </c>
      <c r="BA71" s="202"/>
      <c r="BB71" s="154" t="e">
        <f>#REF!</f>
        <v>#REF!</v>
      </c>
      <c r="BC71" s="137"/>
    </row>
    <row r="72" spans="1:55" ht="30" customHeight="1">
      <c r="A72" s="203" t="e">
        <f>#REF!</f>
        <v>#REF!</v>
      </c>
      <c r="B72" s="204" t="e">
        <f xml:space="preserve"> IF(#REF!=0, "",#REF!)</f>
        <v>#REF!</v>
      </c>
      <c r="C72" s="369" t="e">
        <f>#REF!</f>
        <v>#REF!</v>
      </c>
      <c r="D72" s="369"/>
      <c r="E72" s="291" t="e">
        <f>#REF!</f>
        <v>#REF!</v>
      </c>
      <c r="F72" s="148" t="e">
        <f>#REF!</f>
        <v>#REF!</v>
      </c>
      <c r="G72" s="205" t="e">
        <f xml:space="preserve"> IF(#REF!="", "",#REF!)</f>
        <v>#REF!</v>
      </c>
      <c r="H72" s="205" t="e">
        <f xml:space="preserve"> IF(#REF!="", "",#REF!)</f>
        <v>#REF!</v>
      </c>
      <c r="I72" s="205" t="e">
        <f xml:space="preserve"> IF(#REF!="", "",#REF!)</f>
        <v>#REF!</v>
      </c>
      <c r="J72" s="298" t="e">
        <f>#REF!</f>
        <v>#REF!</v>
      </c>
      <c r="K72" s="149" t="e">
        <f>#REF!</f>
        <v>#REF!</v>
      </c>
      <c r="L72" s="149" t="e">
        <f>#REF!</f>
        <v>#REF!</v>
      </c>
      <c r="M72" s="150" t="e">
        <f>#REF!</f>
        <v>#REF!</v>
      </c>
      <c r="N72" s="364"/>
      <c r="O72" s="202"/>
      <c r="P72" s="151" t="e">
        <f>#REF!</f>
        <v>#REF!</v>
      </c>
      <c r="Q72" s="202"/>
      <c r="R72" s="152" t="e">
        <f>#REF!</f>
        <v>#REF!</v>
      </c>
      <c r="S72" s="202"/>
      <c r="T72" s="153" t="e">
        <f>#REF!</f>
        <v>#REF!</v>
      </c>
      <c r="U72" s="202"/>
      <c r="V72" s="153" t="e">
        <f>#REF!</f>
        <v>#REF!</v>
      </c>
      <c r="W72" s="202"/>
      <c r="X72" s="153" t="e">
        <f>#REF!</f>
        <v>#REF!</v>
      </c>
      <c r="Y72" s="202"/>
      <c r="Z72" s="152" t="e">
        <f>#REF!</f>
        <v>#REF!</v>
      </c>
      <c r="AA72" s="202"/>
      <c r="AB72" s="153" t="e">
        <f>#REF!</f>
        <v>#REF!</v>
      </c>
      <c r="AC72" s="202"/>
      <c r="AD72" s="152" t="e">
        <f>#REF!</f>
        <v>#REF!</v>
      </c>
      <c r="AE72" s="202"/>
      <c r="AF72" s="153" t="e">
        <f>#REF!</f>
        <v>#REF!</v>
      </c>
      <c r="AG72" s="202"/>
      <c r="AH72" s="152" t="e">
        <f>#REF!</f>
        <v>#REF!</v>
      </c>
      <c r="AI72" s="202"/>
      <c r="AJ72" s="153" t="e">
        <f>#REF!</f>
        <v>#REF!</v>
      </c>
      <c r="AK72" s="202"/>
      <c r="AL72" s="152" t="e">
        <f>#REF!</f>
        <v>#REF!</v>
      </c>
      <c r="AM72" s="202"/>
      <c r="AN72" s="153" t="e">
        <f>#REF!</f>
        <v>#REF!</v>
      </c>
      <c r="AO72" s="202"/>
      <c r="AP72" s="152" t="e">
        <f>#REF!</f>
        <v>#REF!</v>
      </c>
      <c r="AQ72" s="202"/>
      <c r="AR72" s="154" t="e">
        <f>#REF!</f>
        <v>#REF!</v>
      </c>
      <c r="AS72" s="202"/>
      <c r="AT72" s="153" t="e">
        <f>#REF!</f>
        <v>#REF!</v>
      </c>
      <c r="AU72" s="202"/>
      <c r="AV72" s="152" t="e">
        <f>#REF!</f>
        <v>#REF!</v>
      </c>
      <c r="AW72" s="202"/>
      <c r="AX72" s="153" t="e">
        <f>#REF!</f>
        <v>#REF!</v>
      </c>
      <c r="AY72" s="202"/>
      <c r="AZ72" s="152" t="e">
        <f>#REF!</f>
        <v>#REF!</v>
      </c>
      <c r="BA72" s="202"/>
      <c r="BB72" s="154" t="e">
        <f>#REF!</f>
        <v>#REF!</v>
      </c>
      <c r="BC72" s="137"/>
    </row>
    <row r="73" spans="1:55" ht="30" customHeight="1">
      <c r="A73" s="203" t="e">
        <f>#REF!</f>
        <v>#REF!</v>
      </c>
      <c r="B73" s="204" t="e">
        <f xml:space="preserve"> IF(#REF!=0, "",#REF!)</f>
        <v>#REF!</v>
      </c>
      <c r="C73" s="369" t="e">
        <f>#REF!</f>
        <v>#REF!</v>
      </c>
      <c r="D73" s="369"/>
      <c r="E73" s="291" t="e">
        <f>#REF!</f>
        <v>#REF!</v>
      </c>
      <c r="F73" s="148" t="e">
        <f>#REF!</f>
        <v>#REF!</v>
      </c>
      <c r="G73" s="205" t="e">
        <f xml:space="preserve"> IF(#REF!="", "",#REF!)</f>
        <v>#REF!</v>
      </c>
      <c r="H73" s="205" t="e">
        <f xml:space="preserve"> IF(#REF!="", "",#REF!)</f>
        <v>#REF!</v>
      </c>
      <c r="I73" s="205" t="e">
        <f xml:space="preserve"> IF(#REF!="", "",#REF!)</f>
        <v>#REF!</v>
      </c>
      <c r="J73" s="298" t="e">
        <f>#REF!</f>
        <v>#REF!</v>
      </c>
      <c r="K73" s="149" t="e">
        <f>#REF!</f>
        <v>#REF!</v>
      </c>
      <c r="L73" s="149" t="e">
        <f>#REF!</f>
        <v>#REF!</v>
      </c>
      <c r="M73" s="150" t="e">
        <f>#REF!</f>
        <v>#REF!</v>
      </c>
      <c r="N73" s="364"/>
      <c r="O73" s="202"/>
      <c r="P73" s="151" t="e">
        <f>#REF!</f>
        <v>#REF!</v>
      </c>
      <c r="Q73" s="202"/>
      <c r="R73" s="152" t="e">
        <f>#REF!</f>
        <v>#REF!</v>
      </c>
      <c r="S73" s="202"/>
      <c r="T73" s="153" t="e">
        <f>#REF!</f>
        <v>#REF!</v>
      </c>
      <c r="U73" s="202"/>
      <c r="V73" s="153" t="e">
        <f>#REF!</f>
        <v>#REF!</v>
      </c>
      <c r="W73" s="202"/>
      <c r="X73" s="153" t="e">
        <f>#REF!</f>
        <v>#REF!</v>
      </c>
      <c r="Y73" s="202"/>
      <c r="Z73" s="152" t="e">
        <f>#REF!</f>
        <v>#REF!</v>
      </c>
      <c r="AA73" s="202"/>
      <c r="AB73" s="153" t="e">
        <f>#REF!</f>
        <v>#REF!</v>
      </c>
      <c r="AC73" s="202"/>
      <c r="AD73" s="152" t="e">
        <f>#REF!</f>
        <v>#REF!</v>
      </c>
      <c r="AE73" s="202"/>
      <c r="AF73" s="153" t="e">
        <f>#REF!</f>
        <v>#REF!</v>
      </c>
      <c r="AG73" s="202"/>
      <c r="AH73" s="152" t="e">
        <f>#REF!</f>
        <v>#REF!</v>
      </c>
      <c r="AI73" s="202"/>
      <c r="AJ73" s="153" t="e">
        <f>#REF!</f>
        <v>#REF!</v>
      </c>
      <c r="AK73" s="202"/>
      <c r="AL73" s="152" t="e">
        <f>#REF!</f>
        <v>#REF!</v>
      </c>
      <c r="AM73" s="202"/>
      <c r="AN73" s="153" t="e">
        <f>#REF!</f>
        <v>#REF!</v>
      </c>
      <c r="AO73" s="202"/>
      <c r="AP73" s="152" t="e">
        <f>#REF!</f>
        <v>#REF!</v>
      </c>
      <c r="AQ73" s="202"/>
      <c r="AR73" s="154" t="e">
        <f>#REF!</f>
        <v>#REF!</v>
      </c>
      <c r="AS73" s="202"/>
      <c r="AT73" s="153" t="e">
        <f>#REF!</f>
        <v>#REF!</v>
      </c>
      <c r="AU73" s="202"/>
      <c r="AV73" s="152" t="e">
        <f>#REF!</f>
        <v>#REF!</v>
      </c>
      <c r="AW73" s="202"/>
      <c r="AX73" s="153" t="e">
        <f>#REF!</f>
        <v>#REF!</v>
      </c>
      <c r="AY73" s="202"/>
      <c r="AZ73" s="152" t="e">
        <f>#REF!</f>
        <v>#REF!</v>
      </c>
      <c r="BA73" s="202"/>
      <c r="BB73" s="154" t="e">
        <f>#REF!</f>
        <v>#REF!</v>
      </c>
      <c r="BC73" s="137"/>
    </row>
    <row r="74" spans="1:55" ht="30" customHeight="1">
      <c r="A74" s="203" t="e">
        <f>#REF!</f>
        <v>#REF!</v>
      </c>
      <c r="B74" s="204" t="e">
        <f xml:space="preserve"> IF(#REF!=0, "",#REF!)</f>
        <v>#REF!</v>
      </c>
      <c r="C74" s="369" t="e">
        <f>#REF!</f>
        <v>#REF!</v>
      </c>
      <c r="D74" s="369"/>
      <c r="E74" s="291" t="e">
        <f>#REF!</f>
        <v>#REF!</v>
      </c>
      <c r="F74" s="148" t="e">
        <f>#REF!</f>
        <v>#REF!</v>
      </c>
      <c r="G74" s="205" t="e">
        <f xml:space="preserve"> IF(#REF!="", "",#REF!)</f>
        <v>#REF!</v>
      </c>
      <c r="H74" s="205" t="e">
        <f xml:space="preserve"> IF(#REF!="", "",#REF!)</f>
        <v>#REF!</v>
      </c>
      <c r="I74" s="205" t="e">
        <f xml:space="preserve"> IF(#REF!="", "",#REF!)</f>
        <v>#REF!</v>
      </c>
      <c r="J74" s="298" t="e">
        <f>#REF!</f>
        <v>#REF!</v>
      </c>
      <c r="K74" s="149" t="e">
        <f>#REF!</f>
        <v>#REF!</v>
      </c>
      <c r="L74" s="149" t="e">
        <f>#REF!</f>
        <v>#REF!</v>
      </c>
      <c r="M74" s="150" t="e">
        <f>#REF!</f>
        <v>#REF!</v>
      </c>
      <c r="N74" s="364"/>
      <c r="O74" s="202"/>
      <c r="P74" s="151" t="e">
        <f>#REF!</f>
        <v>#REF!</v>
      </c>
      <c r="Q74" s="202"/>
      <c r="R74" s="152" t="e">
        <f>#REF!</f>
        <v>#REF!</v>
      </c>
      <c r="S74" s="202"/>
      <c r="T74" s="153" t="e">
        <f>#REF!</f>
        <v>#REF!</v>
      </c>
      <c r="U74" s="202"/>
      <c r="V74" s="153" t="e">
        <f>#REF!</f>
        <v>#REF!</v>
      </c>
      <c r="W74" s="202"/>
      <c r="X74" s="153" t="e">
        <f>#REF!</f>
        <v>#REF!</v>
      </c>
      <c r="Y74" s="202"/>
      <c r="Z74" s="152" t="e">
        <f>#REF!</f>
        <v>#REF!</v>
      </c>
      <c r="AA74" s="202"/>
      <c r="AB74" s="153" t="e">
        <f>#REF!</f>
        <v>#REF!</v>
      </c>
      <c r="AC74" s="202"/>
      <c r="AD74" s="152" t="e">
        <f>#REF!</f>
        <v>#REF!</v>
      </c>
      <c r="AE74" s="202"/>
      <c r="AF74" s="153" t="e">
        <f>#REF!</f>
        <v>#REF!</v>
      </c>
      <c r="AG74" s="202"/>
      <c r="AH74" s="152" t="e">
        <f>#REF!</f>
        <v>#REF!</v>
      </c>
      <c r="AI74" s="202"/>
      <c r="AJ74" s="153" t="e">
        <f>#REF!</f>
        <v>#REF!</v>
      </c>
      <c r="AK74" s="202"/>
      <c r="AL74" s="152" t="e">
        <f>#REF!</f>
        <v>#REF!</v>
      </c>
      <c r="AM74" s="202"/>
      <c r="AN74" s="153" t="e">
        <f>#REF!</f>
        <v>#REF!</v>
      </c>
      <c r="AO74" s="202"/>
      <c r="AP74" s="152" t="e">
        <f>#REF!</f>
        <v>#REF!</v>
      </c>
      <c r="AQ74" s="202"/>
      <c r="AR74" s="154" t="e">
        <f>#REF!</f>
        <v>#REF!</v>
      </c>
      <c r="AS74" s="202"/>
      <c r="AT74" s="153" t="e">
        <f>#REF!</f>
        <v>#REF!</v>
      </c>
      <c r="AU74" s="202"/>
      <c r="AV74" s="152" t="e">
        <f>#REF!</f>
        <v>#REF!</v>
      </c>
      <c r="AW74" s="202"/>
      <c r="AX74" s="153" t="e">
        <f>#REF!</f>
        <v>#REF!</v>
      </c>
      <c r="AY74" s="202"/>
      <c r="AZ74" s="152" t="e">
        <f>#REF!</f>
        <v>#REF!</v>
      </c>
      <c r="BA74" s="202"/>
      <c r="BB74" s="154" t="e">
        <f>#REF!</f>
        <v>#REF!</v>
      </c>
      <c r="BC74" s="137"/>
    </row>
    <row r="75" spans="1:55" ht="30" customHeight="1">
      <c r="A75" s="203" t="e">
        <f>#REF!</f>
        <v>#REF!</v>
      </c>
      <c r="B75" s="204" t="e">
        <f xml:space="preserve"> IF(#REF!=0, "",#REF!)</f>
        <v>#REF!</v>
      </c>
      <c r="C75" s="369" t="e">
        <f>#REF!</f>
        <v>#REF!</v>
      </c>
      <c r="D75" s="369"/>
      <c r="E75" s="291" t="e">
        <f>#REF!</f>
        <v>#REF!</v>
      </c>
      <c r="F75" s="148" t="e">
        <f>#REF!</f>
        <v>#REF!</v>
      </c>
      <c r="G75" s="205" t="e">
        <f xml:space="preserve"> IF(#REF!="", "",#REF!)</f>
        <v>#REF!</v>
      </c>
      <c r="H75" s="205" t="e">
        <f xml:space="preserve"> IF(#REF!="", "",#REF!)</f>
        <v>#REF!</v>
      </c>
      <c r="I75" s="205" t="e">
        <f xml:space="preserve"> IF(#REF!="", "",#REF!)</f>
        <v>#REF!</v>
      </c>
      <c r="J75" s="298" t="e">
        <f>#REF!</f>
        <v>#REF!</v>
      </c>
      <c r="K75" s="149" t="e">
        <f>#REF!</f>
        <v>#REF!</v>
      </c>
      <c r="L75" s="149" t="e">
        <f>#REF!</f>
        <v>#REF!</v>
      </c>
      <c r="M75" s="150" t="e">
        <f>#REF!</f>
        <v>#REF!</v>
      </c>
      <c r="N75" s="364"/>
      <c r="O75" s="202"/>
      <c r="P75" s="151" t="e">
        <f>#REF!</f>
        <v>#REF!</v>
      </c>
      <c r="Q75" s="202"/>
      <c r="R75" s="152" t="e">
        <f>#REF!</f>
        <v>#REF!</v>
      </c>
      <c r="S75" s="202"/>
      <c r="T75" s="153" t="e">
        <f>#REF!</f>
        <v>#REF!</v>
      </c>
      <c r="U75" s="202"/>
      <c r="V75" s="153" t="e">
        <f>#REF!</f>
        <v>#REF!</v>
      </c>
      <c r="W75" s="202"/>
      <c r="X75" s="153" t="e">
        <f>#REF!</f>
        <v>#REF!</v>
      </c>
      <c r="Y75" s="202"/>
      <c r="Z75" s="152" t="e">
        <f>#REF!</f>
        <v>#REF!</v>
      </c>
      <c r="AA75" s="202"/>
      <c r="AB75" s="153" t="e">
        <f>#REF!</f>
        <v>#REF!</v>
      </c>
      <c r="AC75" s="202"/>
      <c r="AD75" s="152" t="e">
        <f>#REF!</f>
        <v>#REF!</v>
      </c>
      <c r="AE75" s="202"/>
      <c r="AF75" s="153" t="e">
        <f>#REF!</f>
        <v>#REF!</v>
      </c>
      <c r="AG75" s="202"/>
      <c r="AH75" s="152" t="e">
        <f>#REF!</f>
        <v>#REF!</v>
      </c>
      <c r="AI75" s="202"/>
      <c r="AJ75" s="153" t="e">
        <f>#REF!</f>
        <v>#REF!</v>
      </c>
      <c r="AK75" s="202"/>
      <c r="AL75" s="152" t="e">
        <f>#REF!</f>
        <v>#REF!</v>
      </c>
      <c r="AM75" s="202"/>
      <c r="AN75" s="153" t="e">
        <f>#REF!</f>
        <v>#REF!</v>
      </c>
      <c r="AO75" s="202"/>
      <c r="AP75" s="152" t="e">
        <f>#REF!</f>
        <v>#REF!</v>
      </c>
      <c r="AQ75" s="202"/>
      <c r="AR75" s="154" t="e">
        <f>#REF!</f>
        <v>#REF!</v>
      </c>
      <c r="AS75" s="202"/>
      <c r="AT75" s="153" t="e">
        <f>#REF!</f>
        <v>#REF!</v>
      </c>
      <c r="AU75" s="202"/>
      <c r="AV75" s="152" t="e">
        <f>#REF!</f>
        <v>#REF!</v>
      </c>
      <c r="AW75" s="202"/>
      <c r="AX75" s="153" t="e">
        <f>#REF!</f>
        <v>#REF!</v>
      </c>
      <c r="AY75" s="202"/>
      <c r="AZ75" s="152" t="e">
        <f>#REF!</f>
        <v>#REF!</v>
      </c>
      <c r="BA75" s="202"/>
      <c r="BB75" s="154" t="e">
        <f>#REF!</f>
        <v>#REF!</v>
      </c>
      <c r="BC75" s="137"/>
    </row>
    <row r="76" spans="1:55" ht="30" customHeight="1">
      <c r="A76" s="203" t="e">
        <f>#REF!</f>
        <v>#REF!</v>
      </c>
      <c r="B76" s="204" t="e">
        <f xml:space="preserve"> IF(#REF!=0, "",#REF!)</f>
        <v>#REF!</v>
      </c>
      <c r="C76" s="369" t="e">
        <f>#REF!</f>
        <v>#REF!</v>
      </c>
      <c r="D76" s="369"/>
      <c r="E76" s="291" t="e">
        <f>#REF!</f>
        <v>#REF!</v>
      </c>
      <c r="F76" s="148" t="e">
        <f>#REF!</f>
        <v>#REF!</v>
      </c>
      <c r="G76" s="205" t="e">
        <f xml:space="preserve"> IF(#REF!="", "",#REF!)</f>
        <v>#REF!</v>
      </c>
      <c r="H76" s="205" t="e">
        <f xml:space="preserve"> IF(#REF!="", "",#REF!)</f>
        <v>#REF!</v>
      </c>
      <c r="I76" s="205" t="e">
        <f xml:space="preserve"> IF(#REF!="", "",#REF!)</f>
        <v>#REF!</v>
      </c>
      <c r="J76" s="298" t="e">
        <f>#REF!</f>
        <v>#REF!</v>
      </c>
      <c r="K76" s="149" t="e">
        <f>#REF!</f>
        <v>#REF!</v>
      </c>
      <c r="L76" s="149" t="e">
        <f>#REF!</f>
        <v>#REF!</v>
      </c>
      <c r="M76" s="150" t="e">
        <f>#REF!</f>
        <v>#REF!</v>
      </c>
      <c r="N76" s="364"/>
      <c r="O76" s="202"/>
      <c r="P76" s="151" t="e">
        <f>#REF!</f>
        <v>#REF!</v>
      </c>
      <c r="Q76" s="202"/>
      <c r="R76" s="152" t="e">
        <f>#REF!</f>
        <v>#REF!</v>
      </c>
      <c r="S76" s="202"/>
      <c r="T76" s="153" t="e">
        <f>#REF!</f>
        <v>#REF!</v>
      </c>
      <c r="U76" s="202"/>
      <c r="V76" s="153" t="e">
        <f>#REF!</f>
        <v>#REF!</v>
      </c>
      <c r="W76" s="202"/>
      <c r="X76" s="153" t="e">
        <f>#REF!</f>
        <v>#REF!</v>
      </c>
      <c r="Y76" s="202"/>
      <c r="Z76" s="152" t="e">
        <f>#REF!</f>
        <v>#REF!</v>
      </c>
      <c r="AA76" s="202"/>
      <c r="AB76" s="153" t="e">
        <f>#REF!</f>
        <v>#REF!</v>
      </c>
      <c r="AC76" s="202"/>
      <c r="AD76" s="152" t="e">
        <f>#REF!</f>
        <v>#REF!</v>
      </c>
      <c r="AE76" s="202"/>
      <c r="AF76" s="153" t="e">
        <f>#REF!</f>
        <v>#REF!</v>
      </c>
      <c r="AG76" s="202"/>
      <c r="AH76" s="152" t="e">
        <f>#REF!</f>
        <v>#REF!</v>
      </c>
      <c r="AI76" s="202"/>
      <c r="AJ76" s="153" t="e">
        <f>#REF!</f>
        <v>#REF!</v>
      </c>
      <c r="AK76" s="202"/>
      <c r="AL76" s="152" t="e">
        <f>#REF!</f>
        <v>#REF!</v>
      </c>
      <c r="AM76" s="202"/>
      <c r="AN76" s="153" t="e">
        <f>#REF!</f>
        <v>#REF!</v>
      </c>
      <c r="AO76" s="202"/>
      <c r="AP76" s="152" t="e">
        <f>#REF!</f>
        <v>#REF!</v>
      </c>
      <c r="AQ76" s="202"/>
      <c r="AR76" s="154" t="e">
        <f>#REF!</f>
        <v>#REF!</v>
      </c>
      <c r="AS76" s="202"/>
      <c r="AT76" s="153" t="e">
        <f>#REF!</f>
        <v>#REF!</v>
      </c>
      <c r="AU76" s="202"/>
      <c r="AV76" s="152" t="e">
        <f>#REF!</f>
        <v>#REF!</v>
      </c>
      <c r="AW76" s="202"/>
      <c r="AX76" s="153" t="e">
        <f>#REF!</f>
        <v>#REF!</v>
      </c>
      <c r="AY76" s="202"/>
      <c r="AZ76" s="152" t="e">
        <f>#REF!</f>
        <v>#REF!</v>
      </c>
      <c r="BA76" s="202"/>
      <c r="BB76" s="154" t="e">
        <f>#REF!</f>
        <v>#REF!</v>
      </c>
      <c r="BC76" s="137"/>
    </row>
    <row r="77" spans="1:55" ht="30" customHeight="1">
      <c r="A77" s="203" t="e">
        <f>#REF!</f>
        <v>#REF!</v>
      </c>
      <c r="B77" s="204" t="e">
        <f xml:space="preserve"> IF(#REF!=0, "",#REF!)</f>
        <v>#REF!</v>
      </c>
      <c r="C77" s="369" t="e">
        <f>#REF!</f>
        <v>#REF!</v>
      </c>
      <c r="D77" s="369"/>
      <c r="E77" s="291" t="e">
        <f>#REF!</f>
        <v>#REF!</v>
      </c>
      <c r="F77" s="148" t="e">
        <f>#REF!</f>
        <v>#REF!</v>
      </c>
      <c r="G77" s="205" t="e">
        <f xml:space="preserve"> IF(#REF!="", "",#REF!)</f>
        <v>#REF!</v>
      </c>
      <c r="H77" s="205" t="e">
        <f xml:space="preserve"> IF(#REF!="", "",#REF!)</f>
        <v>#REF!</v>
      </c>
      <c r="I77" s="205" t="e">
        <f xml:space="preserve"> IF(#REF!="", "",#REF!)</f>
        <v>#REF!</v>
      </c>
      <c r="J77" s="298" t="e">
        <f>#REF!</f>
        <v>#REF!</v>
      </c>
      <c r="K77" s="149" t="e">
        <f>#REF!</f>
        <v>#REF!</v>
      </c>
      <c r="L77" s="149" t="e">
        <f>#REF!</f>
        <v>#REF!</v>
      </c>
      <c r="M77" s="150" t="e">
        <f>#REF!</f>
        <v>#REF!</v>
      </c>
      <c r="N77" s="364"/>
      <c r="O77" s="202"/>
      <c r="P77" s="151" t="e">
        <f>#REF!</f>
        <v>#REF!</v>
      </c>
      <c r="Q77" s="202"/>
      <c r="R77" s="152" t="e">
        <f>#REF!</f>
        <v>#REF!</v>
      </c>
      <c r="S77" s="202"/>
      <c r="T77" s="153" t="e">
        <f>#REF!</f>
        <v>#REF!</v>
      </c>
      <c r="U77" s="202"/>
      <c r="V77" s="153" t="e">
        <f>#REF!</f>
        <v>#REF!</v>
      </c>
      <c r="W77" s="202"/>
      <c r="X77" s="153" t="e">
        <f>#REF!</f>
        <v>#REF!</v>
      </c>
      <c r="Y77" s="202"/>
      <c r="Z77" s="152" t="e">
        <f>#REF!</f>
        <v>#REF!</v>
      </c>
      <c r="AA77" s="202"/>
      <c r="AB77" s="153" t="e">
        <f>#REF!</f>
        <v>#REF!</v>
      </c>
      <c r="AC77" s="202"/>
      <c r="AD77" s="152" t="e">
        <f>#REF!</f>
        <v>#REF!</v>
      </c>
      <c r="AE77" s="202"/>
      <c r="AF77" s="153" t="e">
        <f>#REF!</f>
        <v>#REF!</v>
      </c>
      <c r="AG77" s="202"/>
      <c r="AH77" s="152" t="e">
        <f>#REF!</f>
        <v>#REF!</v>
      </c>
      <c r="AI77" s="202"/>
      <c r="AJ77" s="153" t="e">
        <f>#REF!</f>
        <v>#REF!</v>
      </c>
      <c r="AK77" s="202"/>
      <c r="AL77" s="152" t="e">
        <f>#REF!</f>
        <v>#REF!</v>
      </c>
      <c r="AM77" s="202"/>
      <c r="AN77" s="153" t="e">
        <f>#REF!</f>
        <v>#REF!</v>
      </c>
      <c r="AO77" s="202"/>
      <c r="AP77" s="152" t="e">
        <f>#REF!</f>
        <v>#REF!</v>
      </c>
      <c r="AQ77" s="202"/>
      <c r="AR77" s="154" t="e">
        <f>#REF!</f>
        <v>#REF!</v>
      </c>
      <c r="AS77" s="202"/>
      <c r="AT77" s="153" t="e">
        <f>#REF!</f>
        <v>#REF!</v>
      </c>
      <c r="AU77" s="202"/>
      <c r="AV77" s="152" t="e">
        <f>#REF!</f>
        <v>#REF!</v>
      </c>
      <c r="AW77" s="202"/>
      <c r="AX77" s="153" t="e">
        <f>#REF!</f>
        <v>#REF!</v>
      </c>
      <c r="AY77" s="202"/>
      <c r="AZ77" s="152" t="e">
        <f>#REF!</f>
        <v>#REF!</v>
      </c>
      <c r="BA77" s="202"/>
      <c r="BB77" s="154" t="e">
        <f>#REF!</f>
        <v>#REF!</v>
      </c>
      <c r="BC77" s="137"/>
    </row>
    <row r="78" spans="1:55" ht="30" customHeight="1">
      <c r="A78" s="203" t="e">
        <f>#REF!</f>
        <v>#REF!</v>
      </c>
      <c r="B78" s="204" t="e">
        <f xml:space="preserve"> IF(#REF!=0, "",#REF!)</f>
        <v>#REF!</v>
      </c>
      <c r="C78" s="369" t="e">
        <f>#REF!</f>
        <v>#REF!</v>
      </c>
      <c r="D78" s="369"/>
      <c r="E78" s="291" t="e">
        <f>#REF!</f>
        <v>#REF!</v>
      </c>
      <c r="F78" s="148" t="e">
        <f>#REF!</f>
        <v>#REF!</v>
      </c>
      <c r="G78" s="205" t="e">
        <f xml:space="preserve"> IF(#REF!="", "",#REF!)</f>
        <v>#REF!</v>
      </c>
      <c r="H78" s="205" t="e">
        <f xml:space="preserve"> IF(#REF!="", "",#REF!)</f>
        <v>#REF!</v>
      </c>
      <c r="I78" s="205" t="e">
        <f xml:space="preserve"> IF(#REF!="", "",#REF!)</f>
        <v>#REF!</v>
      </c>
      <c r="J78" s="298" t="e">
        <f>#REF!</f>
        <v>#REF!</v>
      </c>
      <c r="K78" s="149" t="e">
        <f>#REF!</f>
        <v>#REF!</v>
      </c>
      <c r="L78" s="149" t="e">
        <f>#REF!</f>
        <v>#REF!</v>
      </c>
      <c r="M78" s="150" t="e">
        <f>#REF!</f>
        <v>#REF!</v>
      </c>
      <c r="N78" s="364"/>
      <c r="O78" s="202"/>
      <c r="P78" s="151" t="e">
        <f>#REF!</f>
        <v>#REF!</v>
      </c>
      <c r="Q78" s="202"/>
      <c r="R78" s="152" t="e">
        <f>#REF!</f>
        <v>#REF!</v>
      </c>
      <c r="S78" s="202"/>
      <c r="T78" s="153" t="e">
        <f>#REF!</f>
        <v>#REF!</v>
      </c>
      <c r="U78" s="202"/>
      <c r="V78" s="153" t="e">
        <f>#REF!</f>
        <v>#REF!</v>
      </c>
      <c r="W78" s="202"/>
      <c r="X78" s="153" t="e">
        <f>#REF!</f>
        <v>#REF!</v>
      </c>
      <c r="Y78" s="202"/>
      <c r="Z78" s="152" t="e">
        <f>#REF!</f>
        <v>#REF!</v>
      </c>
      <c r="AA78" s="202"/>
      <c r="AB78" s="153" t="e">
        <f>#REF!</f>
        <v>#REF!</v>
      </c>
      <c r="AC78" s="202"/>
      <c r="AD78" s="152" t="e">
        <f>#REF!</f>
        <v>#REF!</v>
      </c>
      <c r="AE78" s="202"/>
      <c r="AF78" s="153" t="e">
        <f>#REF!</f>
        <v>#REF!</v>
      </c>
      <c r="AG78" s="202"/>
      <c r="AH78" s="152" t="e">
        <f>#REF!</f>
        <v>#REF!</v>
      </c>
      <c r="AI78" s="202"/>
      <c r="AJ78" s="153" t="e">
        <f>#REF!</f>
        <v>#REF!</v>
      </c>
      <c r="AK78" s="202"/>
      <c r="AL78" s="152" t="e">
        <f>#REF!</f>
        <v>#REF!</v>
      </c>
      <c r="AM78" s="202"/>
      <c r="AN78" s="153" t="e">
        <f>#REF!</f>
        <v>#REF!</v>
      </c>
      <c r="AO78" s="202"/>
      <c r="AP78" s="152" t="e">
        <f>#REF!</f>
        <v>#REF!</v>
      </c>
      <c r="AQ78" s="202"/>
      <c r="AR78" s="154" t="e">
        <f>#REF!</f>
        <v>#REF!</v>
      </c>
      <c r="AS78" s="202"/>
      <c r="AT78" s="153" t="e">
        <f>#REF!</f>
        <v>#REF!</v>
      </c>
      <c r="AU78" s="202"/>
      <c r="AV78" s="152" t="e">
        <f>#REF!</f>
        <v>#REF!</v>
      </c>
      <c r="AW78" s="202"/>
      <c r="AX78" s="153" t="e">
        <f>#REF!</f>
        <v>#REF!</v>
      </c>
      <c r="AY78" s="202"/>
      <c r="AZ78" s="152" t="e">
        <f>#REF!</f>
        <v>#REF!</v>
      </c>
      <c r="BA78" s="202"/>
      <c r="BB78" s="154" t="e">
        <f>#REF!</f>
        <v>#REF!</v>
      </c>
      <c r="BC78" s="137"/>
    </row>
    <row r="79" spans="1:55" ht="30" customHeight="1">
      <c r="A79" s="203" t="e">
        <f>#REF!</f>
        <v>#REF!</v>
      </c>
      <c r="B79" s="204" t="e">
        <f xml:space="preserve"> IF(#REF!=0, "",#REF!)</f>
        <v>#REF!</v>
      </c>
      <c r="C79" s="369" t="e">
        <f>#REF!</f>
        <v>#REF!</v>
      </c>
      <c r="D79" s="369"/>
      <c r="E79" s="291" t="e">
        <f>#REF!</f>
        <v>#REF!</v>
      </c>
      <c r="F79" s="148" t="e">
        <f>#REF!</f>
        <v>#REF!</v>
      </c>
      <c r="G79" s="205" t="e">
        <f xml:space="preserve"> IF(#REF!="", "",#REF!)</f>
        <v>#REF!</v>
      </c>
      <c r="H79" s="205" t="e">
        <f xml:space="preserve"> IF(#REF!="", "",#REF!)</f>
        <v>#REF!</v>
      </c>
      <c r="I79" s="205" t="e">
        <f xml:space="preserve"> IF(#REF!="", "",#REF!)</f>
        <v>#REF!</v>
      </c>
      <c r="J79" s="298" t="e">
        <f>#REF!</f>
        <v>#REF!</v>
      </c>
      <c r="K79" s="149" t="e">
        <f>#REF!</f>
        <v>#REF!</v>
      </c>
      <c r="L79" s="149" t="e">
        <f>#REF!</f>
        <v>#REF!</v>
      </c>
      <c r="M79" s="150" t="e">
        <f>#REF!</f>
        <v>#REF!</v>
      </c>
      <c r="N79" s="364"/>
      <c r="O79" s="202"/>
      <c r="P79" s="151" t="e">
        <f>#REF!</f>
        <v>#REF!</v>
      </c>
      <c r="Q79" s="202"/>
      <c r="R79" s="152" t="e">
        <f>#REF!</f>
        <v>#REF!</v>
      </c>
      <c r="S79" s="202"/>
      <c r="T79" s="153" t="e">
        <f>#REF!</f>
        <v>#REF!</v>
      </c>
      <c r="U79" s="202"/>
      <c r="V79" s="153" t="e">
        <f>#REF!</f>
        <v>#REF!</v>
      </c>
      <c r="W79" s="202"/>
      <c r="X79" s="153" t="e">
        <f>#REF!</f>
        <v>#REF!</v>
      </c>
      <c r="Y79" s="202"/>
      <c r="Z79" s="152" t="e">
        <f>#REF!</f>
        <v>#REF!</v>
      </c>
      <c r="AA79" s="202"/>
      <c r="AB79" s="153" t="e">
        <f>#REF!</f>
        <v>#REF!</v>
      </c>
      <c r="AC79" s="202"/>
      <c r="AD79" s="152" t="e">
        <f>#REF!</f>
        <v>#REF!</v>
      </c>
      <c r="AE79" s="202"/>
      <c r="AF79" s="153" t="e">
        <f>#REF!</f>
        <v>#REF!</v>
      </c>
      <c r="AG79" s="202"/>
      <c r="AH79" s="152" t="e">
        <f>#REF!</f>
        <v>#REF!</v>
      </c>
      <c r="AI79" s="202"/>
      <c r="AJ79" s="153" t="e">
        <f>#REF!</f>
        <v>#REF!</v>
      </c>
      <c r="AK79" s="202"/>
      <c r="AL79" s="152" t="e">
        <f>#REF!</f>
        <v>#REF!</v>
      </c>
      <c r="AM79" s="202"/>
      <c r="AN79" s="153" t="e">
        <f>#REF!</f>
        <v>#REF!</v>
      </c>
      <c r="AO79" s="202"/>
      <c r="AP79" s="152" t="e">
        <f>#REF!</f>
        <v>#REF!</v>
      </c>
      <c r="AQ79" s="202"/>
      <c r="AR79" s="154" t="e">
        <f>#REF!</f>
        <v>#REF!</v>
      </c>
      <c r="AS79" s="202"/>
      <c r="AT79" s="153" t="e">
        <f>#REF!</f>
        <v>#REF!</v>
      </c>
      <c r="AU79" s="202"/>
      <c r="AV79" s="152" t="e">
        <f>#REF!</f>
        <v>#REF!</v>
      </c>
      <c r="AW79" s="202"/>
      <c r="AX79" s="153" t="e">
        <f>#REF!</f>
        <v>#REF!</v>
      </c>
      <c r="AY79" s="202"/>
      <c r="AZ79" s="152" t="e">
        <f>#REF!</f>
        <v>#REF!</v>
      </c>
      <c r="BA79" s="202"/>
      <c r="BB79" s="154" t="e">
        <f>#REF!</f>
        <v>#REF!</v>
      </c>
      <c r="BC79" s="137"/>
    </row>
    <row r="80" spans="1:55" ht="30" customHeight="1">
      <c r="A80" s="203" t="e">
        <f>#REF!</f>
        <v>#REF!</v>
      </c>
      <c r="B80" s="204" t="e">
        <f xml:space="preserve"> IF(#REF!=0, "",#REF!)</f>
        <v>#REF!</v>
      </c>
      <c r="C80" s="369" t="e">
        <f>#REF!</f>
        <v>#REF!</v>
      </c>
      <c r="D80" s="369"/>
      <c r="E80" s="291" t="e">
        <f>#REF!</f>
        <v>#REF!</v>
      </c>
      <c r="F80" s="148" t="e">
        <f>#REF!</f>
        <v>#REF!</v>
      </c>
      <c r="G80" s="205" t="e">
        <f xml:space="preserve"> IF(#REF!="", "",#REF!)</f>
        <v>#REF!</v>
      </c>
      <c r="H80" s="205" t="e">
        <f xml:space="preserve"> IF(#REF!="", "",#REF!)</f>
        <v>#REF!</v>
      </c>
      <c r="I80" s="205" t="e">
        <f xml:space="preserve"> IF(#REF!="", "",#REF!)</f>
        <v>#REF!</v>
      </c>
      <c r="J80" s="298" t="e">
        <f>#REF!</f>
        <v>#REF!</v>
      </c>
      <c r="K80" s="149" t="e">
        <f>#REF!</f>
        <v>#REF!</v>
      </c>
      <c r="L80" s="149" t="e">
        <f>#REF!</f>
        <v>#REF!</v>
      </c>
      <c r="M80" s="150" t="e">
        <f>#REF!</f>
        <v>#REF!</v>
      </c>
      <c r="N80" s="364"/>
      <c r="O80" s="202"/>
      <c r="P80" s="151" t="e">
        <f>#REF!</f>
        <v>#REF!</v>
      </c>
      <c r="Q80" s="202"/>
      <c r="R80" s="152" t="e">
        <f>#REF!</f>
        <v>#REF!</v>
      </c>
      <c r="S80" s="202"/>
      <c r="T80" s="153" t="e">
        <f>#REF!</f>
        <v>#REF!</v>
      </c>
      <c r="U80" s="202"/>
      <c r="V80" s="153" t="e">
        <f>#REF!</f>
        <v>#REF!</v>
      </c>
      <c r="W80" s="202"/>
      <c r="X80" s="153" t="e">
        <f>#REF!</f>
        <v>#REF!</v>
      </c>
      <c r="Y80" s="202"/>
      <c r="Z80" s="152" t="e">
        <f>#REF!</f>
        <v>#REF!</v>
      </c>
      <c r="AA80" s="202"/>
      <c r="AB80" s="153" t="e">
        <f>#REF!</f>
        <v>#REF!</v>
      </c>
      <c r="AC80" s="202"/>
      <c r="AD80" s="152" t="e">
        <f>#REF!</f>
        <v>#REF!</v>
      </c>
      <c r="AE80" s="202"/>
      <c r="AF80" s="153" t="e">
        <f>#REF!</f>
        <v>#REF!</v>
      </c>
      <c r="AG80" s="202"/>
      <c r="AH80" s="152" t="e">
        <f>#REF!</f>
        <v>#REF!</v>
      </c>
      <c r="AI80" s="202"/>
      <c r="AJ80" s="153" t="e">
        <f>#REF!</f>
        <v>#REF!</v>
      </c>
      <c r="AK80" s="202"/>
      <c r="AL80" s="152" t="e">
        <f>#REF!</f>
        <v>#REF!</v>
      </c>
      <c r="AM80" s="202"/>
      <c r="AN80" s="153" t="e">
        <f>#REF!</f>
        <v>#REF!</v>
      </c>
      <c r="AO80" s="202"/>
      <c r="AP80" s="152" t="e">
        <f>#REF!</f>
        <v>#REF!</v>
      </c>
      <c r="AQ80" s="202"/>
      <c r="AR80" s="154" t="e">
        <f>#REF!</f>
        <v>#REF!</v>
      </c>
      <c r="AS80" s="202"/>
      <c r="AT80" s="153" t="e">
        <f>#REF!</f>
        <v>#REF!</v>
      </c>
      <c r="AU80" s="202"/>
      <c r="AV80" s="152" t="e">
        <f>#REF!</f>
        <v>#REF!</v>
      </c>
      <c r="AW80" s="202"/>
      <c r="AX80" s="153" t="e">
        <f>#REF!</f>
        <v>#REF!</v>
      </c>
      <c r="AY80" s="202"/>
      <c r="AZ80" s="152" t="e">
        <f>#REF!</f>
        <v>#REF!</v>
      </c>
      <c r="BA80" s="202"/>
      <c r="BB80" s="154" t="e">
        <f>#REF!</f>
        <v>#REF!</v>
      </c>
      <c r="BC80" s="137"/>
    </row>
    <row r="81" spans="1:55" ht="30" customHeight="1">
      <c r="A81" s="203" t="e">
        <f>#REF!</f>
        <v>#REF!</v>
      </c>
      <c r="B81" s="204" t="e">
        <f xml:space="preserve"> IF(#REF!=0, "",#REF!)</f>
        <v>#REF!</v>
      </c>
      <c r="C81" s="369" t="e">
        <f>#REF!</f>
        <v>#REF!</v>
      </c>
      <c r="D81" s="369"/>
      <c r="E81" s="291" t="e">
        <f>#REF!</f>
        <v>#REF!</v>
      </c>
      <c r="F81" s="148" t="e">
        <f>#REF!</f>
        <v>#REF!</v>
      </c>
      <c r="G81" s="205" t="e">
        <f xml:space="preserve"> IF(#REF!="", "",#REF!)</f>
        <v>#REF!</v>
      </c>
      <c r="H81" s="205" t="e">
        <f xml:space="preserve"> IF(#REF!="", "",#REF!)</f>
        <v>#REF!</v>
      </c>
      <c r="I81" s="205" t="e">
        <f xml:space="preserve"> IF(#REF!="", "",#REF!)</f>
        <v>#REF!</v>
      </c>
      <c r="J81" s="298" t="e">
        <f>#REF!</f>
        <v>#REF!</v>
      </c>
      <c r="K81" s="149" t="e">
        <f>#REF!</f>
        <v>#REF!</v>
      </c>
      <c r="L81" s="149" t="e">
        <f>#REF!</f>
        <v>#REF!</v>
      </c>
      <c r="M81" s="150" t="e">
        <f>#REF!</f>
        <v>#REF!</v>
      </c>
      <c r="N81" s="364"/>
      <c r="O81" s="202"/>
      <c r="P81" s="151" t="e">
        <f>#REF!</f>
        <v>#REF!</v>
      </c>
      <c r="Q81" s="202"/>
      <c r="R81" s="152" t="e">
        <f>#REF!</f>
        <v>#REF!</v>
      </c>
      <c r="S81" s="202"/>
      <c r="T81" s="153" t="e">
        <f>#REF!</f>
        <v>#REF!</v>
      </c>
      <c r="U81" s="202"/>
      <c r="V81" s="153" t="e">
        <f>#REF!</f>
        <v>#REF!</v>
      </c>
      <c r="W81" s="202"/>
      <c r="X81" s="153" t="e">
        <f>#REF!</f>
        <v>#REF!</v>
      </c>
      <c r="Y81" s="202"/>
      <c r="Z81" s="152" t="e">
        <f>#REF!</f>
        <v>#REF!</v>
      </c>
      <c r="AA81" s="202"/>
      <c r="AB81" s="153" t="e">
        <f>#REF!</f>
        <v>#REF!</v>
      </c>
      <c r="AC81" s="202"/>
      <c r="AD81" s="152" t="e">
        <f>#REF!</f>
        <v>#REF!</v>
      </c>
      <c r="AE81" s="202"/>
      <c r="AF81" s="153" t="e">
        <f>#REF!</f>
        <v>#REF!</v>
      </c>
      <c r="AG81" s="202"/>
      <c r="AH81" s="152" t="e">
        <f>#REF!</f>
        <v>#REF!</v>
      </c>
      <c r="AI81" s="202"/>
      <c r="AJ81" s="153" t="e">
        <f>#REF!</f>
        <v>#REF!</v>
      </c>
      <c r="AK81" s="202"/>
      <c r="AL81" s="152" t="e">
        <f>#REF!</f>
        <v>#REF!</v>
      </c>
      <c r="AM81" s="202"/>
      <c r="AN81" s="153" t="e">
        <f>#REF!</f>
        <v>#REF!</v>
      </c>
      <c r="AO81" s="202"/>
      <c r="AP81" s="152" t="e">
        <f>#REF!</f>
        <v>#REF!</v>
      </c>
      <c r="AQ81" s="202"/>
      <c r="AR81" s="154" t="e">
        <f>#REF!</f>
        <v>#REF!</v>
      </c>
      <c r="AS81" s="202"/>
      <c r="AT81" s="153" t="e">
        <f>#REF!</f>
        <v>#REF!</v>
      </c>
      <c r="AU81" s="202"/>
      <c r="AV81" s="152" t="e">
        <f>#REF!</f>
        <v>#REF!</v>
      </c>
      <c r="AW81" s="202"/>
      <c r="AX81" s="153" t="e">
        <f>#REF!</f>
        <v>#REF!</v>
      </c>
      <c r="AY81" s="202"/>
      <c r="AZ81" s="152" t="e">
        <f>#REF!</f>
        <v>#REF!</v>
      </c>
      <c r="BA81" s="202"/>
      <c r="BB81" s="154" t="e">
        <f>#REF!</f>
        <v>#REF!</v>
      </c>
      <c r="BC81" s="137"/>
    </row>
    <row r="82" spans="1:55" ht="30" customHeight="1">
      <c r="A82" s="203" t="e">
        <f>#REF!</f>
        <v>#REF!</v>
      </c>
      <c r="B82" s="204" t="e">
        <f xml:space="preserve"> IF(#REF!=0, "",#REF!)</f>
        <v>#REF!</v>
      </c>
      <c r="C82" s="369" t="e">
        <f>#REF!</f>
        <v>#REF!</v>
      </c>
      <c r="D82" s="369"/>
      <c r="E82" s="291" t="e">
        <f>#REF!</f>
        <v>#REF!</v>
      </c>
      <c r="F82" s="148" t="e">
        <f>#REF!</f>
        <v>#REF!</v>
      </c>
      <c r="G82" s="205" t="e">
        <f xml:space="preserve"> IF(#REF!="", "",#REF!)</f>
        <v>#REF!</v>
      </c>
      <c r="H82" s="205" t="e">
        <f xml:space="preserve"> IF(#REF!="", "",#REF!)</f>
        <v>#REF!</v>
      </c>
      <c r="I82" s="205" t="e">
        <f xml:space="preserve"> IF(#REF!="", "",#REF!)</f>
        <v>#REF!</v>
      </c>
      <c r="J82" s="298" t="e">
        <f>#REF!</f>
        <v>#REF!</v>
      </c>
      <c r="K82" s="149" t="e">
        <f>#REF!</f>
        <v>#REF!</v>
      </c>
      <c r="L82" s="149" t="e">
        <f>#REF!</f>
        <v>#REF!</v>
      </c>
      <c r="M82" s="150" t="e">
        <f>#REF!</f>
        <v>#REF!</v>
      </c>
      <c r="N82" s="364"/>
      <c r="O82" s="202"/>
      <c r="P82" s="151" t="e">
        <f>#REF!</f>
        <v>#REF!</v>
      </c>
      <c r="Q82" s="202"/>
      <c r="R82" s="152" t="e">
        <f>#REF!</f>
        <v>#REF!</v>
      </c>
      <c r="S82" s="202"/>
      <c r="T82" s="153" t="e">
        <f>#REF!</f>
        <v>#REF!</v>
      </c>
      <c r="U82" s="202"/>
      <c r="V82" s="153" t="e">
        <f>#REF!</f>
        <v>#REF!</v>
      </c>
      <c r="W82" s="202"/>
      <c r="X82" s="153" t="e">
        <f>#REF!</f>
        <v>#REF!</v>
      </c>
      <c r="Y82" s="202"/>
      <c r="Z82" s="152" t="e">
        <f>#REF!</f>
        <v>#REF!</v>
      </c>
      <c r="AA82" s="202"/>
      <c r="AB82" s="153" t="e">
        <f>#REF!</f>
        <v>#REF!</v>
      </c>
      <c r="AC82" s="202"/>
      <c r="AD82" s="152" t="e">
        <f>#REF!</f>
        <v>#REF!</v>
      </c>
      <c r="AE82" s="202"/>
      <c r="AF82" s="153" t="e">
        <f>#REF!</f>
        <v>#REF!</v>
      </c>
      <c r="AG82" s="202"/>
      <c r="AH82" s="152" t="e">
        <f>#REF!</f>
        <v>#REF!</v>
      </c>
      <c r="AI82" s="202"/>
      <c r="AJ82" s="153" t="e">
        <f>#REF!</f>
        <v>#REF!</v>
      </c>
      <c r="AK82" s="202"/>
      <c r="AL82" s="152" t="e">
        <f>#REF!</f>
        <v>#REF!</v>
      </c>
      <c r="AM82" s="202"/>
      <c r="AN82" s="153" t="e">
        <f>#REF!</f>
        <v>#REF!</v>
      </c>
      <c r="AO82" s="202"/>
      <c r="AP82" s="152" t="e">
        <f>#REF!</f>
        <v>#REF!</v>
      </c>
      <c r="AQ82" s="202"/>
      <c r="AR82" s="154" t="e">
        <f>#REF!</f>
        <v>#REF!</v>
      </c>
      <c r="AS82" s="202"/>
      <c r="AT82" s="153" t="e">
        <f>#REF!</f>
        <v>#REF!</v>
      </c>
      <c r="AU82" s="202"/>
      <c r="AV82" s="152" t="e">
        <f>#REF!</f>
        <v>#REF!</v>
      </c>
      <c r="AW82" s="202"/>
      <c r="AX82" s="153" t="e">
        <f>#REF!</f>
        <v>#REF!</v>
      </c>
      <c r="AY82" s="202"/>
      <c r="AZ82" s="152" t="e">
        <f>#REF!</f>
        <v>#REF!</v>
      </c>
      <c r="BA82" s="202"/>
      <c r="BB82" s="154" t="e">
        <f>#REF!</f>
        <v>#REF!</v>
      </c>
      <c r="BC82" s="137"/>
    </row>
    <row r="83" spans="1:55" ht="30" customHeight="1">
      <c r="A83" s="203" t="e">
        <f>#REF!</f>
        <v>#REF!</v>
      </c>
      <c r="B83" s="204" t="e">
        <f xml:space="preserve"> IF(#REF!=0, "",#REF!)</f>
        <v>#REF!</v>
      </c>
      <c r="C83" s="369" t="e">
        <f>#REF!</f>
        <v>#REF!</v>
      </c>
      <c r="D83" s="369"/>
      <c r="E83" s="291" t="e">
        <f>#REF!</f>
        <v>#REF!</v>
      </c>
      <c r="F83" s="148" t="e">
        <f>#REF!</f>
        <v>#REF!</v>
      </c>
      <c r="G83" s="205" t="e">
        <f xml:space="preserve"> IF(#REF!="", "",#REF!)</f>
        <v>#REF!</v>
      </c>
      <c r="H83" s="205" t="e">
        <f xml:space="preserve"> IF(#REF!="", "",#REF!)</f>
        <v>#REF!</v>
      </c>
      <c r="I83" s="205" t="e">
        <f xml:space="preserve"> IF(#REF!="", "",#REF!)</f>
        <v>#REF!</v>
      </c>
      <c r="J83" s="298" t="e">
        <f>#REF!</f>
        <v>#REF!</v>
      </c>
      <c r="K83" s="149" t="e">
        <f>#REF!</f>
        <v>#REF!</v>
      </c>
      <c r="L83" s="149" t="e">
        <f>#REF!</f>
        <v>#REF!</v>
      </c>
      <c r="M83" s="150" t="e">
        <f>#REF!</f>
        <v>#REF!</v>
      </c>
      <c r="N83" s="364"/>
      <c r="O83" s="202"/>
      <c r="P83" s="151" t="e">
        <f>#REF!</f>
        <v>#REF!</v>
      </c>
      <c r="Q83" s="202"/>
      <c r="R83" s="152" t="e">
        <f>#REF!</f>
        <v>#REF!</v>
      </c>
      <c r="S83" s="202"/>
      <c r="T83" s="153" t="e">
        <f>#REF!</f>
        <v>#REF!</v>
      </c>
      <c r="U83" s="202"/>
      <c r="V83" s="153" t="e">
        <f>#REF!</f>
        <v>#REF!</v>
      </c>
      <c r="W83" s="202"/>
      <c r="X83" s="153" t="e">
        <f>#REF!</f>
        <v>#REF!</v>
      </c>
      <c r="Y83" s="202"/>
      <c r="Z83" s="152" t="e">
        <f>#REF!</f>
        <v>#REF!</v>
      </c>
      <c r="AA83" s="202"/>
      <c r="AB83" s="153" t="e">
        <f>#REF!</f>
        <v>#REF!</v>
      </c>
      <c r="AC83" s="202"/>
      <c r="AD83" s="152" t="e">
        <f>#REF!</f>
        <v>#REF!</v>
      </c>
      <c r="AE83" s="202"/>
      <c r="AF83" s="153" t="e">
        <f>#REF!</f>
        <v>#REF!</v>
      </c>
      <c r="AG83" s="202"/>
      <c r="AH83" s="152" t="e">
        <f>#REF!</f>
        <v>#REF!</v>
      </c>
      <c r="AI83" s="202"/>
      <c r="AJ83" s="153" t="e">
        <f>#REF!</f>
        <v>#REF!</v>
      </c>
      <c r="AK83" s="202"/>
      <c r="AL83" s="152" t="e">
        <f>#REF!</f>
        <v>#REF!</v>
      </c>
      <c r="AM83" s="202"/>
      <c r="AN83" s="153" t="e">
        <f>#REF!</f>
        <v>#REF!</v>
      </c>
      <c r="AO83" s="202"/>
      <c r="AP83" s="152" t="e">
        <f>#REF!</f>
        <v>#REF!</v>
      </c>
      <c r="AQ83" s="202"/>
      <c r="AR83" s="154" t="e">
        <f>#REF!</f>
        <v>#REF!</v>
      </c>
      <c r="AS83" s="202"/>
      <c r="AT83" s="153" t="e">
        <f>#REF!</f>
        <v>#REF!</v>
      </c>
      <c r="AU83" s="202"/>
      <c r="AV83" s="152" t="e">
        <f>#REF!</f>
        <v>#REF!</v>
      </c>
      <c r="AW83" s="202"/>
      <c r="AX83" s="153" t="e">
        <f>#REF!</f>
        <v>#REF!</v>
      </c>
      <c r="AY83" s="202"/>
      <c r="AZ83" s="152" t="e">
        <f>#REF!</f>
        <v>#REF!</v>
      </c>
      <c r="BA83" s="202"/>
      <c r="BB83" s="154" t="e">
        <f>#REF!</f>
        <v>#REF!</v>
      </c>
      <c r="BC83" s="137"/>
    </row>
    <row r="84" spans="1:55" ht="30" customHeight="1">
      <c r="A84" s="203" t="e">
        <f>#REF!</f>
        <v>#REF!</v>
      </c>
      <c r="B84" s="204" t="e">
        <f xml:space="preserve"> IF(#REF!=0, "",#REF!)</f>
        <v>#REF!</v>
      </c>
      <c r="C84" s="369" t="e">
        <f>#REF!</f>
        <v>#REF!</v>
      </c>
      <c r="D84" s="369"/>
      <c r="E84" s="291" t="e">
        <f>#REF!</f>
        <v>#REF!</v>
      </c>
      <c r="F84" s="148" t="e">
        <f>#REF!</f>
        <v>#REF!</v>
      </c>
      <c r="G84" s="205" t="e">
        <f xml:space="preserve"> IF(#REF!="", "",#REF!)</f>
        <v>#REF!</v>
      </c>
      <c r="H84" s="205" t="e">
        <f xml:space="preserve"> IF(#REF!="", "",#REF!)</f>
        <v>#REF!</v>
      </c>
      <c r="I84" s="205" t="e">
        <f xml:space="preserve"> IF(#REF!="", "",#REF!)</f>
        <v>#REF!</v>
      </c>
      <c r="J84" s="298" t="e">
        <f>#REF!</f>
        <v>#REF!</v>
      </c>
      <c r="K84" s="149" t="e">
        <f>#REF!</f>
        <v>#REF!</v>
      </c>
      <c r="L84" s="149" t="e">
        <f>#REF!</f>
        <v>#REF!</v>
      </c>
      <c r="M84" s="150" t="e">
        <f>#REF!</f>
        <v>#REF!</v>
      </c>
      <c r="N84" s="364"/>
      <c r="O84" s="202"/>
      <c r="P84" s="151" t="e">
        <f>#REF!</f>
        <v>#REF!</v>
      </c>
      <c r="Q84" s="202"/>
      <c r="R84" s="152" t="e">
        <f>#REF!</f>
        <v>#REF!</v>
      </c>
      <c r="S84" s="202"/>
      <c r="T84" s="153" t="e">
        <f>#REF!</f>
        <v>#REF!</v>
      </c>
      <c r="U84" s="202"/>
      <c r="V84" s="153" t="e">
        <f>#REF!</f>
        <v>#REF!</v>
      </c>
      <c r="W84" s="202"/>
      <c r="X84" s="153" t="e">
        <f>#REF!</f>
        <v>#REF!</v>
      </c>
      <c r="Y84" s="202"/>
      <c r="Z84" s="152" t="e">
        <f>#REF!</f>
        <v>#REF!</v>
      </c>
      <c r="AA84" s="202"/>
      <c r="AB84" s="153" t="e">
        <f>#REF!</f>
        <v>#REF!</v>
      </c>
      <c r="AC84" s="202"/>
      <c r="AD84" s="152" t="e">
        <f>#REF!</f>
        <v>#REF!</v>
      </c>
      <c r="AE84" s="202"/>
      <c r="AF84" s="153" t="e">
        <f>#REF!</f>
        <v>#REF!</v>
      </c>
      <c r="AG84" s="202"/>
      <c r="AH84" s="152" t="e">
        <f>#REF!</f>
        <v>#REF!</v>
      </c>
      <c r="AI84" s="202"/>
      <c r="AJ84" s="153" t="e">
        <f>#REF!</f>
        <v>#REF!</v>
      </c>
      <c r="AK84" s="202"/>
      <c r="AL84" s="152" t="e">
        <f>#REF!</f>
        <v>#REF!</v>
      </c>
      <c r="AM84" s="202"/>
      <c r="AN84" s="153" t="e">
        <f>#REF!</f>
        <v>#REF!</v>
      </c>
      <c r="AO84" s="202"/>
      <c r="AP84" s="152" t="e">
        <f>#REF!</f>
        <v>#REF!</v>
      </c>
      <c r="AQ84" s="202"/>
      <c r="AR84" s="154" t="e">
        <f>#REF!</f>
        <v>#REF!</v>
      </c>
      <c r="AS84" s="202"/>
      <c r="AT84" s="153" t="e">
        <f>#REF!</f>
        <v>#REF!</v>
      </c>
      <c r="AU84" s="202"/>
      <c r="AV84" s="152" t="e">
        <f>#REF!</f>
        <v>#REF!</v>
      </c>
      <c r="AW84" s="202"/>
      <c r="AX84" s="153" t="e">
        <f>#REF!</f>
        <v>#REF!</v>
      </c>
      <c r="AY84" s="202"/>
      <c r="AZ84" s="152" t="e">
        <f>#REF!</f>
        <v>#REF!</v>
      </c>
      <c r="BA84" s="202"/>
      <c r="BB84" s="154" t="e">
        <f>#REF!</f>
        <v>#REF!</v>
      </c>
      <c r="BC84" s="137"/>
    </row>
    <row r="85" spans="1:55" ht="30" customHeight="1">
      <c r="A85" s="203" t="e">
        <f>#REF!</f>
        <v>#REF!</v>
      </c>
      <c r="B85" s="204" t="e">
        <f xml:space="preserve"> IF(#REF!=0, "",#REF!)</f>
        <v>#REF!</v>
      </c>
      <c r="C85" s="369" t="e">
        <f>#REF!</f>
        <v>#REF!</v>
      </c>
      <c r="D85" s="369"/>
      <c r="E85" s="291" t="e">
        <f>#REF!</f>
        <v>#REF!</v>
      </c>
      <c r="F85" s="148" t="e">
        <f>#REF!</f>
        <v>#REF!</v>
      </c>
      <c r="G85" s="205" t="e">
        <f xml:space="preserve"> IF(#REF!="", "",#REF!)</f>
        <v>#REF!</v>
      </c>
      <c r="H85" s="205" t="e">
        <f xml:space="preserve"> IF(#REF!="", "",#REF!)</f>
        <v>#REF!</v>
      </c>
      <c r="I85" s="205" t="e">
        <f xml:space="preserve"> IF(#REF!="", "",#REF!)</f>
        <v>#REF!</v>
      </c>
      <c r="J85" s="298" t="e">
        <f>#REF!</f>
        <v>#REF!</v>
      </c>
      <c r="K85" s="149" t="e">
        <f>#REF!</f>
        <v>#REF!</v>
      </c>
      <c r="L85" s="149" t="e">
        <f>#REF!</f>
        <v>#REF!</v>
      </c>
      <c r="M85" s="150" t="e">
        <f>#REF!</f>
        <v>#REF!</v>
      </c>
      <c r="N85" s="364"/>
      <c r="O85" s="202"/>
      <c r="P85" s="151" t="e">
        <f>#REF!</f>
        <v>#REF!</v>
      </c>
      <c r="Q85" s="202"/>
      <c r="R85" s="152" t="e">
        <f>#REF!</f>
        <v>#REF!</v>
      </c>
      <c r="S85" s="202"/>
      <c r="T85" s="153" t="e">
        <f>#REF!</f>
        <v>#REF!</v>
      </c>
      <c r="U85" s="202"/>
      <c r="V85" s="153" t="e">
        <f>#REF!</f>
        <v>#REF!</v>
      </c>
      <c r="W85" s="202"/>
      <c r="X85" s="153" t="e">
        <f>#REF!</f>
        <v>#REF!</v>
      </c>
      <c r="Y85" s="202"/>
      <c r="Z85" s="152" t="e">
        <f>#REF!</f>
        <v>#REF!</v>
      </c>
      <c r="AA85" s="202"/>
      <c r="AB85" s="153" t="e">
        <f>#REF!</f>
        <v>#REF!</v>
      </c>
      <c r="AC85" s="202"/>
      <c r="AD85" s="152" t="e">
        <f>#REF!</f>
        <v>#REF!</v>
      </c>
      <c r="AE85" s="202"/>
      <c r="AF85" s="153" t="e">
        <f>#REF!</f>
        <v>#REF!</v>
      </c>
      <c r="AG85" s="202"/>
      <c r="AH85" s="152" t="e">
        <f>#REF!</f>
        <v>#REF!</v>
      </c>
      <c r="AI85" s="202"/>
      <c r="AJ85" s="153" t="e">
        <f>#REF!</f>
        <v>#REF!</v>
      </c>
      <c r="AK85" s="202"/>
      <c r="AL85" s="152" t="e">
        <f>#REF!</f>
        <v>#REF!</v>
      </c>
      <c r="AM85" s="202"/>
      <c r="AN85" s="153" t="e">
        <f>#REF!</f>
        <v>#REF!</v>
      </c>
      <c r="AO85" s="202"/>
      <c r="AP85" s="152" t="e">
        <f>#REF!</f>
        <v>#REF!</v>
      </c>
      <c r="AQ85" s="202"/>
      <c r="AR85" s="154" t="e">
        <f>#REF!</f>
        <v>#REF!</v>
      </c>
      <c r="AS85" s="202"/>
      <c r="AT85" s="153" t="e">
        <f>#REF!</f>
        <v>#REF!</v>
      </c>
      <c r="AU85" s="202"/>
      <c r="AV85" s="152" t="e">
        <f>#REF!</f>
        <v>#REF!</v>
      </c>
      <c r="AW85" s="202"/>
      <c r="AX85" s="153" t="e">
        <f>#REF!</f>
        <v>#REF!</v>
      </c>
      <c r="AY85" s="202"/>
      <c r="AZ85" s="152" t="e">
        <f>#REF!</f>
        <v>#REF!</v>
      </c>
      <c r="BA85" s="202"/>
      <c r="BB85" s="154" t="e">
        <f>#REF!</f>
        <v>#REF!</v>
      </c>
      <c r="BC85" s="137"/>
    </row>
    <row r="86" spans="1:55" ht="30" customHeight="1">
      <c r="A86" s="203" t="e">
        <f>#REF!</f>
        <v>#REF!</v>
      </c>
      <c r="B86" s="204" t="e">
        <f xml:space="preserve"> IF(#REF!=0, "",#REF!)</f>
        <v>#REF!</v>
      </c>
      <c r="C86" s="369" t="e">
        <f>#REF!</f>
        <v>#REF!</v>
      </c>
      <c r="D86" s="369"/>
      <c r="E86" s="291" t="e">
        <f>#REF!</f>
        <v>#REF!</v>
      </c>
      <c r="F86" s="148" t="e">
        <f>#REF!</f>
        <v>#REF!</v>
      </c>
      <c r="G86" s="205" t="e">
        <f xml:space="preserve"> IF(#REF!="", "",#REF!)</f>
        <v>#REF!</v>
      </c>
      <c r="H86" s="205" t="e">
        <f xml:space="preserve"> IF(#REF!="", "",#REF!)</f>
        <v>#REF!</v>
      </c>
      <c r="I86" s="205" t="e">
        <f xml:space="preserve"> IF(#REF!="", "",#REF!)</f>
        <v>#REF!</v>
      </c>
      <c r="J86" s="298" t="e">
        <f>#REF!</f>
        <v>#REF!</v>
      </c>
      <c r="K86" s="149" t="e">
        <f>#REF!</f>
        <v>#REF!</v>
      </c>
      <c r="L86" s="149" t="e">
        <f>#REF!</f>
        <v>#REF!</v>
      </c>
      <c r="M86" s="150" t="e">
        <f>#REF!</f>
        <v>#REF!</v>
      </c>
      <c r="N86" s="364"/>
      <c r="O86" s="202"/>
      <c r="P86" s="151" t="e">
        <f>#REF!</f>
        <v>#REF!</v>
      </c>
      <c r="Q86" s="202"/>
      <c r="R86" s="152" t="e">
        <f>#REF!</f>
        <v>#REF!</v>
      </c>
      <c r="S86" s="202"/>
      <c r="T86" s="153" t="e">
        <f>#REF!</f>
        <v>#REF!</v>
      </c>
      <c r="U86" s="202"/>
      <c r="V86" s="153" t="e">
        <f>#REF!</f>
        <v>#REF!</v>
      </c>
      <c r="W86" s="202"/>
      <c r="X86" s="153" t="e">
        <f>#REF!</f>
        <v>#REF!</v>
      </c>
      <c r="Y86" s="202"/>
      <c r="Z86" s="152" t="e">
        <f>#REF!</f>
        <v>#REF!</v>
      </c>
      <c r="AA86" s="202"/>
      <c r="AB86" s="153" t="e">
        <f>#REF!</f>
        <v>#REF!</v>
      </c>
      <c r="AC86" s="202"/>
      <c r="AD86" s="152" t="e">
        <f>#REF!</f>
        <v>#REF!</v>
      </c>
      <c r="AE86" s="202"/>
      <c r="AF86" s="153" t="e">
        <f>#REF!</f>
        <v>#REF!</v>
      </c>
      <c r="AG86" s="202"/>
      <c r="AH86" s="152" t="e">
        <f>#REF!</f>
        <v>#REF!</v>
      </c>
      <c r="AI86" s="202"/>
      <c r="AJ86" s="153" t="e">
        <f>#REF!</f>
        <v>#REF!</v>
      </c>
      <c r="AK86" s="202"/>
      <c r="AL86" s="152" t="e">
        <f>#REF!</f>
        <v>#REF!</v>
      </c>
      <c r="AM86" s="202"/>
      <c r="AN86" s="153" t="e">
        <f>#REF!</f>
        <v>#REF!</v>
      </c>
      <c r="AO86" s="202"/>
      <c r="AP86" s="152" t="e">
        <f>#REF!</f>
        <v>#REF!</v>
      </c>
      <c r="AQ86" s="202"/>
      <c r="AR86" s="154" t="e">
        <f>#REF!</f>
        <v>#REF!</v>
      </c>
      <c r="AS86" s="202"/>
      <c r="AT86" s="153" t="e">
        <f>#REF!</f>
        <v>#REF!</v>
      </c>
      <c r="AU86" s="202"/>
      <c r="AV86" s="152" t="e">
        <f>#REF!</f>
        <v>#REF!</v>
      </c>
      <c r="AW86" s="202"/>
      <c r="AX86" s="153" t="e">
        <f>#REF!</f>
        <v>#REF!</v>
      </c>
      <c r="AY86" s="202"/>
      <c r="AZ86" s="152" t="e">
        <f>#REF!</f>
        <v>#REF!</v>
      </c>
      <c r="BA86" s="202"/>
      <c r="BB86" s="154" t="e">
        <f>#REF!</f>
        <v>#REF!</v>
      </c>
      <c r="BC86" s="137"/>
    </row>
    <row r="87" spans="1:55" ht="30" customHeight="1">
      <c r="A87" s="203" t="e">
        <f>#REF!</f>
        <v>#REF!</v>
      </c>
      <c r="B87" s="204" t="e">
        <f xml:space="preserve"> IF(#REF!=0, "",#REF!)</f>
        <v>#REF!</v>
      </c>
      <c r="C87" s="369" t="e">
        <f>#REF!</f>
        <v>#REF!</v>
      </c>
      <c r="D87" s="369"/>
      <c r="E87" s="291" t="e">
        <f>#REF!</f>
        <v>#REF!</v>
      </c>
      <c r="F87" s="148" t="e">
        <f>#REF!</f>
        <v>#REF!</v>
      </c>
      <c r="G87" s="205" t="e">
        <f xml:space="preserve"> IF(#REF!="", "",#REF!)</f>
        <v>#REF!</v>
      </c>
      <c r="H87" s="205" t="e">
        <f xml:space="preserve"> IF(#REF!="", "",#REF!)</f>
        <v>#REF!</v>
      </c>
      <c r="I87" s="205" t="e">
        <f xml:space="preserve"> IF(#REF!="", "",#REF!)</f>
        <v>#REF!</v>
      </c>
      <c r="J87" s="298" t="e">
        <f>#REF!</f>
        <v>#REF!</v>
      </c>
      <c r="K87" s="149" t="e">
        <f>#REF!</f>
        <v>#REF!</v>
      </c>
      <c r="L87" s="149" t="e">
        <f>#REF!</f>
        <v>#REF!</v>
      </c>
      <c r="M87" s="150" t="e">
        <f>#REF!</f>
        <v>#REF!</v>
      </c>
      <c r="N87" s="364"/>
      <c r="O87" s="202"/>
      <c r="P87" s="151" t="e">
        <f>#REF!</f>
        <v>#REF!</v>
      </c>
      <c r="Q87" s="202"/>
      <c r="R87" s="152" t="e">
        <f>#REF!</f>
        <v>#REF!</v>
      </c>
      <c r="S87" s="202"/>
      <c r="T87" s="153" t="e">
        <f>#REF!</f>
        <v>#REF!</v>
      </c>
      <c r="U87" s="202"/>
      <c r="V87" s="153" t="e">
        <f>#REF!</f>
        <v>#REF!</v>
      </c>
      <c r="W87" s="202"/>
      <c r="X87" s="153" t="e">
        <f>#REF!</f>
        <v>#REF!</v>
      </c>
      <c r="Y87" s="202"/>
      <c r="Z87" s="152" t="e">
        <f>#REF!</f>
        <v>#REF!</v>
      </c>
      <c r="AA87" s="202"/>
      <c r="AB87" s="153" t="e">
        <f>#REF!</f>
        <v>#REF!</v>
      </c>
      <c r="AC87" s="202"/>
      <c r="AD87" s="152" t="e">
        <f>#REF!</f>
        <v>#REF!</v>
      </c>
      <c r="AE87" s="202"/>
      <c r="AF87" s="153" t="e">
        <f>#REF!</f>
        <v>#REF!</v>
      </c>
      <c r="AG87" s="202"/>
      <c r="AH87" s="152" t="e">
        <f>#REF!</f>
        <v>#REF!</v>
      </c>
      <c r="AI87" s="202"/>
      <c r="AJ87" s="153" t="e">
        <f>#REF!</f>
        <v>#REF!</v>
      </c>
      <c r="AK87" s="202"/>
      <c r="AL87" s="152" t="e">
        <f>#REF!</f>
        <v>#REF!</v>
      </c>
      <c r="AM87" s="202"/>
      <c r="AN87" s="153" t="e">
        <f>#REF!</f>
        <v>#REF!</v>
      </c>
      <c r="AO87" s="202"/>
      <c r="AP87" s="152" t="e">
        <f>#REF!</f>
        <v>#REF!</v>
      </c>
      <c r="AQ87" s="202"/>
      <c r="AR87" s="154" t="e">
        <f>#REF!</f>
        <v>#REF!</v>
      </c>
      <c r="AS87" s="202"/>
      <c r="AT87" s="153" t="e">
        <f>#REF!</f>
        <v>#REF!</v>
      </c>
      <c r="AU87" s="202"/>
      <c r="AV87" s="152" t="e">
        <f>#REF!</f>
        <v>#REF!</v>
      </c>
      <c r="AW87" s="202"/>
      <c r="AX87" s="153" t="e">
        <f>#REF!</f>
        <v>#REF!</v>
      </c>
      <c r="AY87" s="202"/>
      <c r="AZ87" s="152" t="e">
        <f>#REF!</f>
        <v>#REF!</v>
      </c>
      <c r="BA87" s="202"/>
      <c r="BB87" s="154" t="e">
        <f>#REF!</f>
        <v>#REF!</v>
      </c>
      <c r="BC87" s="137"/>
    </row>
    <row r="88" spans="1:55" ht="30" customHeight="1">
      <c r="A88" s="203" t="e">
        <f>#REF!</f>
        <v>#REF!</v>
      </c>
      <c r="B88" s="204" t="e">
        <f xml:space="preserve"> IF(#REF!=0, "",#REF!)</f>
        <v>#REF!</v>
      </c>
      <c r="C88" s="369" t="e">
        <f>#REF!</f>
        <v>#REF!</v>
      </c>
      <c r="D88" s="369"/>
      <c r="E88" s="291" t="e">
        <f>#REF!</f>
        <v>#REF!</v>
      </c>
      <c r="F88" s="148" t="e">
        <f>#REF!</f>
        <v>#REF!</v>
      </c>
      <c r="G88" s="205" t="e">
        <f xml:space="preserve"> IF(#REF!="", "",#REF!)</f>
        <v>#REF!</v>
      </c>
      <c r="H88" s="205" t="e">
        <f xml:space="preserve"> IF(#REF!="", "",#REF!)</f>
        <v>#REF!</v>
      </c>
      <c r="I88" s="205" t="e">
        <f xml:space="preserve"> IF(#REF!="", "",#REF!)</f>
        <v>#REF!</v>
      </c>
      <c r="J88" s="298" t="e">
        <f>#REF!</f>
        <v>#REF!</v>
      </c>
      <c r="K88" s="149" t="e">
        <f>#REF!</f>
        <v>#REF!</v>
      </c>
      <c r="L88" s="149" t="e">
        <f>#REF!</f>
        <v>#REF!</v>
      </c>
      <c r="M88" s="150" t="e">
        <f>#REF!</f>
        <v>#REF!</v>
      </c>
      <c r="N88" s="364"/>
      <c r="O88" s="202"/>
      <c r="P88" s="151" t="e">
        <f>#REF!</f>
        <v>#REF!</v>
      </c>
      <c r="Q88" s="202"/>
      <c r="R88" s="152" t="e">
        <f>#REF!</f>
        <v>#REF!</v>
      </c>
      <c r="S88" s="202"/>
      <c r="T88" s="153" t="e">
        <f>#REF!</f>
        <v>#REF!</v>
      </c>
      <c r="U88" s="202"/>
      <c r="V88" s="153" t="e">
        <f>#REF!</f>
        <v>#REF!</v>
      </c>
      <c r="W88" s="202"/>
      <c r="X88" s="153" t="e">
        <f>#REF!</f>
        <v>#REF!</v>
      </c>
      <c r="Y88" s="202"/>
      <c r="Z88" s="152" t="e">
        <f>#REF!</f>
        <v>#REF!</v>
      </c>
      <c r="AA88" s="202"/>
      <c r="AB88" s="153" t="e">
        <f>#REF!</f>
        <v>#REF!</v>
      </c>
      <c r="AC88" s="202"/>
      <c r="AD88" s="152" t="e">
        <f>#REF!</f>
        <v>#REF!</v>
      </c>
      <c r="AE88" s="202"/>
      <c r="AF88" s="153" t="e">
        <f>#REF!</f>
        <v>#REF!</v>
      </c>
      <c r="AG88" s="202"/>
      <c r="AH88" s="152" t="e">
        <f>#REF!</f>
        <v>#REF!</v>
      </c>
      <c r="AI88" s="202"/>
      <c r="AJ88" s="153" t="e">
        <f>#REF!</f>
        <v>#REF!</v>
      </c>
      <c r="AK88" s="202"/>
      <c r="AL88" s="152" t="e">
        <f>#REF!</f>
        <v>#REF!</v>
      </c>
      <c r="AM88" s="202"/>
      <c r="AN88" s="153" t="e">
        <f>#REF!</f>
        <v>#REF!</v>
      </c>
      <c r="AO88" s="202"/>
      <c r="AP88" s="152" t="e">
        <f>#REF!</f>
        <v>#REF!</v>
      </c>
      <c r="AQ88" s="202"/>
      <c r="AR88" s="154" t="e">
        <f>#REF!</f>
        <v>#REF!</v>
      </c>
      <c r="AS88" s="202"/>
      <c r="AT88" s="153" t="e">
        <f>#REF!</f>
        <v>#REF!</v>
      </c>
      <c r="AU88" s="202"/>
      <c r="AV88" s="152" t="e">
        <f>#REF!</f>
        <v>#REF!</v>
      </c>
      <c r="AW88" s="202"/>
      <c r="AX88" s="153" t="e">
        <f>#REF!</f>
        <v>#REF!</v>
      </c>
      <c r="AY88" s="202"/>
      <c r="AZ88" s="152" t="e">
        <f>#REF!</f>
        <v>#REF!</v>
      </c>
      <c r="BA88" s="202"/>
      <c r="BB88" s="154" t="e">
        <f>#REF!</f>
        <v>#REF!</v>
      </c>
      <c r="BC88" s="137"/>
    </row>
    <row r="89" spans="1:55" ht="30" customHeight="1">
      <c r="A89" s="203" t="e">
        <f>#REF!</f>
        <v>#REF!</v>
      </c>
      <c r="B89" s="204" t="e">
        <f xml:space="preserve"> IF(#REF!=0, "",#REF!)</f>
        <v>#REF!</v>
      </c>
      <c r="C89" s="369" t="e">
        <f>#REF!</f>
        <v>#REF!</v>
      </c>
      <c r="D89" s="369"/>
      <c r="E89" s="291" t="e">
        <f>#REF!</f>
        <v>#REF!</v>
      </c>
      <c r="F89" s="148" t="e">
        <f>#REF!</f>
        <v>#REF!</v>
      </c>
      <c r="G89" s="205" t="e">
        <f xml:space="preserve"> IF(#REF!="", "",#REF!)</f>
        <v>#REF!</v>
      </c>
      <c r="H89" s="205" t="e">
        <f xml:space="preserve"> IF(#REF!="", "",#REF!)</f>
        <v>#REF!</v>
      </c>
      <c r="I89" s="205" t="e">
        <f xml:space="preserve"> IF(#REF!="", "",#REF!)</f>
        <v>#REF!</v>
      </c>
      <c r="J89" s="298" t="e">
        <f>#REF!</f>
        <v>#REF!</v>
      </c>
      <c r="K89" s="149" t="e">
        <f>#REF!</f>
        <v>#REF!</v>
      </c>
      <c r="L89" s="149" t="e">
        <f>#REF!</f>
        <v>#REF!</v>
      </c>
      <c r="M89" s="150" t="e">
        <f>#REF!</f>
        <v>#REF!</v>
      </c>
      <c r="N89" s="364"/>
      <c r="O89" s="202"/>
      <c r="P89" s="151" t="e">
        <f>#REF!</f>
        <v>#REF!</v>
      </c>
      <c r="Q89" s="202"/>
      <c r="R89" s="152" t="e">
        <f>#REF!</f>
        <v>#REF!</v>
      </c>
      <c r="S89" s="202"/>
      <c r="T89" s="153" t="e">
        <f>#REF!</f>
        <v>#REF!</v>
      </c>
      <c r="U89" s="202"/>
      <c r="V89" s="153" t="e">
        <f>#REF!</f>
        <v>#REF!</v>
      </c>
      <c r="W89" s="202"/>
      <c r="X89" s="153" t="e">
        <f>#REF!</f>
        <v>#REF!</v>
      </c>
      <c r="Y89" s="202"/>
      <c r="Z89" s="152" t="e">
        <f>#REF!</f>
        <v>#REF!</v>
      </c>
      <c r="AA89" s="202"/>
      <c r="AB89" s="153" t="e">
        <f>#REF!</f>
        <v>#REF!</v>
      </c>
      <c r="AC89" s="202"/>
      <c r="AD89" s="152" t="e">
        <f>#REF!</f>
        <v>#REF!</v>
      </c>
      <c r="AE89" s="202"/>
      <c r="AF89" s="153" t="e">
        <f>#REF!</f>
        <v>#REF!</v>
      </c>
      <c r="AG89" s="202"/>
      <c r="AH89" s="152" t="e">
        <f>#REF!</f>
        <v>#REF!</v>
      </c>
      <c r="AI89" s="202"/>
      <c r="AJ89" s="153" t="e">
        <f>#REF!</f>
        <v>#REF!</v>
      </c>
      <c r="AK89" s="202"/>
      <c r="AL89" s="152" t="e">
        <f>#REF!</f>
        <v>#REF!</v>
      </c>
      <c r="AM89" s="202"/>
      <c r="AN89" s="153" t="e">
        <f>#REF!</f>
        <v>#REF!</v>
      </c>
      <c r="AO89" s="202"/>
      <c r="AP89" s="152" t="e">
        <f>#REF!</f>
        <v>#REF!</v>
      </c>
      <c r="AQ89" s="202"/>
      <c r="AR89" s="154" t="e">
        <f>#REF!</f>
        <v>#REF!</v>
      </c>
      <c r="AS89" s="202"/>
      <c r="AT89" s="153" t="e">
        <f>#REF!</f>
        <v>#REF!</v>
      </c>
      <c r="AU89" s="202"/>
      <c r="AV89" s="152" t="e">
        <f>#REF!</f>
        <v>#REF!</v>
      </c>
      <c r="AW89" s="202"/>
      <c r="AX89" s="153" t="e">
        <f>#REF!</f>
        <v>#REF!</v>
      </c>
      <c r="AY89" s="202"/>
      <c r="AZ89" s="152" t="e">
        <f>#REF!</f>
        <v>#REF!</v>
      </c>
      <c r="BA89" s="202"/>
      <c r="BB89" s="154" t="e">
        <f>#REF!</f>
        <v>#REF!</v>
      </c>
      <c r="BC89" s="137"/>
    </row>
    <row r="90" spans="1:55" ht="30" customHeight="1">
      <c r="A90" s="203" t="e">
        <f>#REF!</f>
        <v>#REF!</v>
      </c>
      <c r="B90" s="204" t="e">
        <f xml:space="preserve"> IF(#REF!=0, "",#REF!)</f>
        <v>#REF!</v>
      </c>
      <c r="C90" s="369" t="e">
        <f>#REF!</f>
        <v>#REF!</v>
      </c>
      <c r="D90" s="369"/>
      <c r="E90" s="291" t="e">
        <f>#REF!</f>
        <v>#REF!</v>
      </c>
      <c r="F90" s="148" t="e">
        <f>#REF!</f>
        <v>#REF!</v>
      </c>
      <c r="G90" s="205" t="e">
        <f xml:space="preserve"> IF(#REF!="", "",#REF!)</f>
        <v>#REF!</v>
      </c>
      <c r="H90" s="205" t="e">
        <f xml:space="preserve"> IF(#REF!="", "",#REF!)</f>
        <v>#REF!</v>
      </c>
      <c r="I90" s="205" t="e">
        <f xml:space="preserve"> IF(#REF!="", "",#REF!)</f>
        <v>#REF!</v>
      </c>
      <c r="J90" s="298" t="e">
        <f>#REF!</f>
        <v>#REF!</v>
      </c>
      <c r="K90" s="149" t="e">
        <f>#REF!</f>
        <v>#REF!</v>
      </c>
      <c r="L90" s="149" t="e">
        <f>#REF!</f>
        <v>#REF!</v>
      </c>
      <c r="M90" s="150" t="e">
        <f>#REF!</f>
        <v>#REF!</v>
      </c>
      <c r="N90" s="364"/>
      <c r="O90" s="202"/>
      <c r="P90" s="151" t="e">
        <f>#REF!</f>
        <v>#REF!</v>
      </c>
      <c r="Q90" s="202"/>
      <c r="R90" s="152" t="e">
        <f>#REF!</f>
        <v>#REF!</v>
      </c>
      <c r="S90" s="202"/>
      <c r="T90" s="153" t="e">
        <f>#REF!</f>
        <v>#REF!</v>
      </c>
      <c r="U90" s="202"/>
      <c r="V90" s="153" t="e">
        <f>#REF!</f>
        <v>#REF!</v>
      </c>
      <c r="W90" s="202"/>
      <c r="X90" s="153" t="e">
        <f>#REF!</f>
        <v>#REF!</v>
      </c>
      <c r="Y90" s="202"/>
      <c r="Z90" s="152" t="e">
        <f>#REF!</f>
        <v>#REF!</v>
      </c>
      <c r="AA90" s="202"/>
      <c r="AB90" s="153" t="e">
        <f>#REF!</f>
        <v>#REF!</v>
      </c>
      <c r="AC90" s="202"/>
      <c r="AD90" s="152" t="e">
        <f>#REF!</f>
        <v>#REF!</v>
      </c>
      <c r="AE90" s="202"/>
      <c r="AF90" s="153" t="e">
        <f>#REF!</f>
        <v>#REF!</v>
      </c>
      <c r="AG90" s="202"/>
      <c r="AH90" s="152" t="e">
        <f>#REF!</f>
        <v>#REF!</v>
      </c>
      <c r="AI90" s="202"/>
      <c r="AJ90" s="153" t="e">
        <f>#REF!</f>
        <v>#REF!</v>
      </c>
      <c r="AK90" s="202"/>
      <c r="AL90" s="152" t="e">
        <f>#REF!</f>
        <v>#REF!</v>
      </c>
      <c r="AM90" s="202"/>
      <c r="AN90" s="153" t="e">
        <f>#REF!</f>
        <v>#REF!</v>
      </c>
      <c r="AO90" s="202"/>
      <c r="AP90" s="152" t="e">
        <f>#REF!</f>
        <v>#REF!</v>
      </c>
      <c r="AQ90" s="202"/>
      <c r="AR90" s="154" t="e">
        <f>#REF!</f>
        <v>#REF!</v>
      </c>
      <c r="AS90" s="202"/>
      <c r="AT90" s="153" t="e">
        <f>#REF!</f>
        <v>#REF!</v>
      </c>
      <c r="AU90" s="202"/>
      <c r="AV90" s="152" t="e">
        <f>#REF!</f>
        <v>#REF!</v>
      </c>
      <c r="AW90" s="202"/>
      <c r="AX90" s="153" t="e">
        <f>#REF!</f>
        <v>#REF!</v>
      </c>
      <c r="AY90" s="202"/>
      <c r="AZ90" s="152" t="e">
        <f>#REF!</f>
        <v>#REF!</v>
      </c>
      <c r="BA90" s="202"/>
      <c r="BB90" s="154" t="e">
        <f>#REF!</f>
        <v>#REF!</v>
      </c>
      <c r="BC90" s="137"/>
    </row>
    <row r="91" spans="1:55" ht="30" customHeight="1">
      <c r="A91" s="203" t="e">
        <f>#REF!</f>
        <v>#REF!</v>
      </c>
      <c r="B91" s="204" t="e">
        <f xml:space="preserve"> IF(#REF!=0, "",#REF!)</f>
        <v>#REF!</v>
      </c>
      <c r="C91" s="369" t="e">
        <f>#REF!</f>
        <v>#REF!</v>
      </c>
      <c r="D91" s="369"/>
      <c r="E91" s="291" t="e">
        <f>#REF!</f>
        <v>#REF!</v>
      </c>
      <c r="F91" s="148" t="e">
        <f>#REF!</f>
        <v>#REF!</v>
      </c>
      <c r="G91" s="205" t="e">
        <f xml:space="preserve"> IF(#REF!="", "",#REF!)</f>
        <v>#REF!</v>
      </c>
      <c r="H91" s="205" t="e">
        <f xml:space="preserve"> IF(#REF!="", "",#REF!)</f>
        <v>#REF!</v>
      </c>
      <c r="I91" s="205" t="e">
        <f xml:space="preserve"> IF(#REF!="", "",#REF!)</f>
        <v>#REF!</v>
      </c>
      <c r="J91" s="298" t="e">
        <f>#REF!</f>
        <v>#REF!</v>
      </c>
      <c r="K91" s="149" t="e">
        <f>#REF!</f>
        <v>#REF!</v>
      </c>
      <c r="L91" s="149" t="e">
        <f>#REF!</f>
        <v>#REF!</v>
      </c>
      <c r="M91" s="150" t="e">
        <f>#REF!</f>
        <v>#REF!</v>
      </c>
      <c r="N91" s="364"/>
      <c r="O91" s="202"/>
      <c r="P91" s="151" t="e">
        <f>#REF!</f>
        <v>#REF!</v>
      </c>
      <c r="Q91" s="202"/>
      <c r="R91" s="152" t="e">
        <f>#REF!</f>
        <v>#REF!</v>
      </c>
      <c r="S91" s="202"/>
      <c r="T91" s="153" t="e">
        <f>#REF!</f>
        <v>#REF!</v>
      </c>
      <c r="U91" s="202"/>
      <c r="V91" s="153" t="e">
        <f>#REF!</f>
        <v>#REF!</v>
      </c>
      <c r="W91" s="202"/>
      <c r="X91" s="153" t="e">
        <f>#REF!</f>
        <v>#REF!</v>
      </c>
      <c r="Y91" s="202"/>
      <c r="Z91" s="152" t="e">
        <f>#REF!</f>
        <v>#REF!</v>
      </c>
      <c r="AA91" s="202"/>
      <c r="AB91" s="153" t="e">
        <f>#REF!</f>
        <v>#REF!</v>
      </c>
      <c r="AC91" s="202"/>
      <c r="AD91" s="152" t="e">
        <f>#REF!</f>
        <v>#REF!</v>
      </c>
      <c r="AE91" s="202"/>
      <c r="AF91" s="153" t="e">
        <f>#REF!</f>
        <v>#REF!</v>
      </c>
      <c r="AG91" s="202"/>
      <c r="AH91" s="152" t="e">
        <f>#REF!</f>
        <v>#REF!</v>
      </c>
      <c r="AI91" s="202"/>
      <c r="AJ91" s="153" t="e">
        <f>#REF!</f>
        <v>#REF!</v>
      </c>
      <c r="AK91" s="202"/>
      <c r="AL91" s="152" t="e">
        <f>#REF!</f>
        <v>#REF!</v>
      </c>
      <c r="AM91" s="202"/>
      <c r="AN91" s="153" t="e">
        <f>#REF!</f>
        <v>#REF!</v>
      </c>
      <c r="AO91" s="202"/>
      <c r="AP91" s="152" t="e">
        <f>#REF!</f>
        <v>#REF!</v>
      </c>
      <c r="AQ91" s="202"/>
      <c r="AR91" s="154" t="e">
        <f>#REF!</f>
        <v>#REF!</v>
      </c>
      <c r="AS91" s="202"/>
      <c r="AT91" s="153" t="e">
        <f>#REF!</f>
        <v>#REF!</v>
      </c>
      <c r="AU91" s="202"/>
      <c r="AV91" s="152" t="e">
        <f>#REF!</f>
        <v>#REF!</v>
      </c>
      <c r="AW91" s="202"/>
      <c r="AX91" s="153" t="e">
        <f>#REF!</f>
        <v>#REF!</v>
      </c>
      <c r="AY91" s="202"/>
      <c r="AZ91" s="152" t="e">
        <f>#REF!</f>
        <v>#REF!</v>
      </c>
      <c r="BA91" s="202"/>
      <c r="BB91" s="154" t="e">
        <f>#REF!</f>
        <v>#REF!</v>
      </c>
      <c r="BC91" s="137"/>
    </row>
    <row r="92" spans="1:55" ht="30" customHeight="1">
      <c r="A92" s="203" t="e">
        <f>#REF!</f>
        <v>#REF!</v>
      </c>
      <c r="B92" s="204" t="e">
        <f xml:space="preserve"> IF(#REF!=0, "",#REF!)</f>
        <v>#REF!</v>
      </c>
      <c r="C92" s="369" t="e">
        <f>#REF!</f>
        <v>#REF!</v>
      </c>
      <c r="D92" s="369"/>
      <c r="E92" s="291" t="e">
        <f>#REF!</f>
        <v>#REF!</v>
      </c>
      <c r="F92" s="148" t="e">
        <f>#REF!</f>
        <v>#REF!</v>
      </c>
      <c r="G92" s="205" t="e">
        <f xml:space="preserve"> IF(#REF!="", "",#REF!)</f>
        <v>#REF!</v>
      </c>
      <c r="H92" s="205" t="e">
        <f xml:space="preserve"> IF(#REF!="", "",#REF!)</f>
        <v>#REF!</v>
      </c>
      <c r="I92" s="205" t="e">
        <f xml:space="preserve"> IF(#REF!="", "",#REF!)</f>
        <v>#REF!</v>
      </c>
      <c r="J92" s="298" t="e">
        <f>#REF!</f>
        <v>#REF!</v>
      </c>
      <c r="K92" s="149" t="e">
        <f>#REF!</f>
        <v>#REF!</v>
      </c>
      <c r="L92" s="149" t="e">
        <f>#REF!</f>
        <v>#REF!</v>
      </c>
      <c r="M92" s="150" t="e">
        <f>#REF!</f>
        <v>#REF!</v>
      </c>
      <c r="N92" s="364"/>
      <c r="O92" s="202"/>
      <c r="P92" s="151" t="e">
        <f>#REF!</f>
        <v>#REF!</v>
      </c>
      <c r="Q92" s="202"/>
      <c r="R92" s="152" t="e">
        <f>#REF!</f>
        <v>#REF!</v>
      </c>
      <c r="S92" s="202"/>
      <c r="T92" s="153" t="e">
        <f>#REF!</f>
        <v>#REF!</v>
      </c>
      <c r="U92" s="202"/>
      <c r="V92" s="153" t="e">
        <f>#REF!</f>
        <v>#REF!</v>
      </c>
      <c r="W92" s="202"/>
      <c r="X92" s="153" t="e">
        <f>#REF!</f>
        <v>#REF!</v>
      </c>
      <c r="Y92" s="202"/>
      <c r="Z92" s="152" t="e">
        <f>#REF!</f>
        <v>#REF!</v>
      </c>
      <c r="AA92" s="202"/>
      <c r="AB92" s="153" t="e">
        <f>#REF!</f>
        <v>#REF!</v>
      </c>
      <c r="AC92" s="202"/>
      <c r="AD92" s="152" t="e">
        <f>#REF!</f>
        <v>#REF!</v>
      </c>
      <c r="AE92" s="202"/>
      <c r="AF92" s="153" t="e">
        <f>#REF!</f>
        <v>#REF!</v>
      </c>
      <c r="AG92" s="202"/>
      <c r="AH92" s="152" t="e">
        <f>#REF!</f>
        <v>#REF!</v>
      </c>
      <c r="AI92" s="202"/>
      <c r="AJ92" s="153" t="e">
        <f>#REF!</f>
        <v>#REF!</v>
      </c>
      <c r="AK92" s="202"/>
      <c r="AL92" s="152" t="e">
        <f>#REF!</f>
        <v>#REF!</v>
      </c>
      <c r="AM92" s="202"/>
      <c r="AN92" s="153" t="e">
        <f>#REF!</f>
        <v>#REF!</v>
      </c>
      <c r="AO92" s="202"/>
      <c r="AP92" s="152" t="e">
        <f>#REF!</f>
        <v>#REF!</v>
      </c>
      <c r="AQ92" s="202"/>
      <c r="AR92" s="154" t="e">
        <f>#REF!</f>
        <v>#REF!</v>
      </c>
      <c r="AS92" s="202"/>
      <c r="AT92" s="153" t="e">
        <f>#REF!</f>
        <v>#REF!</v>
      </c>
      <c r="AU92" s="202"/>
      <c r="AV92" s="152" t="e">
        <f>#REF!</f>
        <v>#REF!</v>
      </c>
      <c r="AW92" s="202"/>
      <c r="AX92" s="153" t="e">
        <f>#REF!</f>
        <v>#REF!</v>
      </c>
      <c r="AY92" s="202"/>
      <c r="AZ92" s="152" t="e">
        <f>#REF!</f>
        <v>#REF!</v>
      </c>
      <c r="BA92" s="202"/>
      <c r="BB92" s="154" t="e">
        <f>#REF!</f>
        <v>#REF!</v>
      </c>
      <c r="BC92" s="137"/>
    </row>
    <row r="93" spans="1:55" ht="30" customHeight="1">
      <c r="A93" s="203" t="e">
        <f>#REF!</f>
        <v>#REF!</v>
      </c>
      <c r="B93" s="204" t="e">
        <f xml:space="preserve"> IF(#REF!=0, "",#REF!)</f>
        <v>#REF!</v>
      </c>
      <c r="C93" s="369" t="e">
        <f>#REF!</f>
        <v>#REF!</v>
      </c>
      <c r="D93" s="369"/>
      <c r="E93" s="291" t="e">
        <f>#REF!</f>
        <v>#REF!</v>
      </c>
      <c r="F93" s="148" t="e">
        <f>#REF!</f>
        <v>#REF!</v>
      </c>
      <c r="G93" s="205" t="e">
        <f xml:space="preserve"> IF(#REF!="", "",#REF!)</f>
        <v>#REF!</v>
      </c>
      <c r="H93" s="205" t="e">
        <f xml:space="preserve"> IF(#REF!="", "",#REF!)</f>
        <v>#REF!</v>
      </c>
      <c r="I93" s="205" t="e">
        <f xml:space="preserve"> IF(#REF!="", "",#REF!)</f>
        <v>#REF!</v>
      </c>
      <c r="J93" s="298" t="e">
        <f>#REF!</f>
        <v>#REF!</v>
      </c>
      <c r="K93" s="149" t="e">
        <f>#REF!</f>
        <v>#REF!</v>
      </c>
      <c r="L93" s="149" t="e">
        <f>#REF!</f>
        <v>#REF!</v>
      </c>
      <c r="M93" s="150" t="e">
        <f>#REF!</f>
        <v>#REF!</v>
      </c>
      <c r="N93" s="364"/>
      <c r="O93" s="202"/>
      <c r="P93" s="151" t="e">
        <f>#REF!</f>
        <v>#REF!</v>
      </c>
      <c r="Q93" s="202"/>
      <c r="R93" s="152" t="e">
        <f>#REF!</f>
        <v>#REF!</v>
      </c>
      <c r="S93" s="202"/>
      <c r="T93" s="153" t="e">
        <f>#REF!</f>
        <v>#REF!</v>
      </c>
      <c r="U93" s="202"/>
      <c r="V93" s="153" t="e">
        <f>#REF!</f>
        <v>#REF!</v>
      </c>
      <c r="W93" s="202"/>
      <c r="X93" s="153" t="e">
        <f>#REF!</f>
        <v>#REF!</v>
      </c>
      <c r="Y93" s="202"/>
      <c r="Z93" s="152" t="e">
        <f>#REF!</f>
        <v>#REF!</v>
      </c>
      <c r="AA93" s="202"/>
      <c r="AB93" s="153" t="e">
        <f>#REF!</f>
        <v>#REF!</v>
      </c>
      <c r="AC93" s="202"/>
      <c r="AD93" s="152" t="e">
        <f>#REF!</f>
        <v>#REF!</v>
      </c>
      <c r="AE93" s="202"/>
      <c r="AF93" s="153" t="e">
        <f>#REF!</f>
        <v>#REF!</v>
      </c>
      <c r="AG93" s="202"/>
      <c r="AH93" s="152" t="e">
        <f>#REF!</f>
        <v>#REF!</v>
      </c>
      <c r="AI93" s="202"/>
      <c r="AJ93" s="153" t="e">
        <f>#REF!</f>
        <v>#REF!</v>
      </c>
      <c r="AK93" s="202"/>
      <c r="AL93" s="152" t="e">
        <f>#REF!</f>
        <v>#REF!</v>
      </c>
      <c r="AM93" s="202"/>
      <c r="AN93" s="153" t="e">
        <f>#REF!</f>
        <v>#REF!</v>
      </c>
      <c r="AO93" s="202"/>
      <c r="AP93" s="152" t="e">
        <f>#REF!</f>
        <v>#REF!</v>
      </c>
      <c r="AQ93" s="202"/>
      <c r="AR93" s="154" t="e">
        <f>#REF!</f>
        <v>#REF!</v>
      </c>
      <c r="AS93" s="202"/>
      <c r="AT93" s="153" t="e">
        <f>#REF!</f>
        <v>#REF!</v>
      </c>
      <c r="AU93" s="202"/>
      <c r="AV93" s="152" t="e">
        <f>#REF!</f>
        <v>#REF!</v>
      </c>
      <c r="AW93" s="202"/>
      <c r="AX93" s="153" t="e">
        <f>#REF!</f>
        <v>#REF!</v>
      </c>
      <c r="AY93" s="202"/>
      <c r="AZ93" s="152" t="e">
        <f>#REF!</f>
        <v>#REF!</v>
      </c>
      <c r="BA93" s="202"/>
      <c r="BB93" s="154" t="e">
        <f>#REF!</f>
        <v>#REF!</v>
      </c>
      <c r="BC93" s="137"/>
    </row>
    <row r="94" spans="1:55" ht="30" customHeight="1">
      <c r="A94" s="203" t="e">
        <f>#REF!</f>
        <v>#REF!</v>
      </c>
      <c r="B94" s="204" t="e">
        <f xml:space="preserve"> IF(#REF!=0, "",#REF!)</f>
        <v>#REF!</v>
      </c>
      <c r="C94" s="369" t="e">
        <f>#REF!</f>
        <v>#REF!</v>
      </c>
      <c r="D94" s="369"/>
      <c r="E94" s="291" t="e">
        <f>#REF!</f>
        <v>#REF!</v>
      </c>
      <c r="F94" s="148" t="e">
        <f>#REF!</f>
        <v>#REF!</v>
      </c>
      <c r="G94" s="205" t="e">
        <f xml:space="preserve"> IF(#REF!="", "",#REF!)</f>
        <v>#REF!</v>
      </c>
      <c r="H94" s="205" t="e">
        <f xml:space="preserve"> IF(#REF!="", "",#REF!)</f>
        <v>#REF!</v>
      </c>
      <c r="I94" s="205" t="e">
        <f xml:space="preserve"> IF(#REF!="", "",#REF!)</f>
        <v>#REF!</v>
      </c>
      <c r="J94" s="298" t="e">
        <f>#REF!</f>
        <v>#REF!</v>
      </c>
      <c r="K94" s="149" t="e">
        <f>#REF!</f>
        <v>#REF!</v>
      </c>
      <c r="L94" s="149" t="e">
        <f>#REF!</f>
        <v>#REF!</v>
      </c>
      <c r="M94" s="150" t="e">
        <f>#REF!</f>
        <v>#REF!</v>
      </c>
      <c r="N94" s="364"/>
      <c r="O94" s="202"/>
      <c r="P94" s="151" t="e">
        <f>#REF!</f>
        <v>#REF!</v>
      </c>
      <c r="Q94" s="202"/>
      <c r="R94" s="152" t="e">
        <f>#REF!</f>
        <v>#REF!</v>
      </c>
      <c r="S94" s="202"/>
      <c r="T94" s="153" t="e">
        <f>#REF!</f>
        <v>#REF!</v>
      </c>
      <c r="U94" s="202"/>
      <c r="V94" s="153" t="e">
        <f>#REF!</f>
        <v>#REF!</v>
      </c>
      <c r="W94" s="202"/>
      <c r="X94" s="153" t="e">
        <f>#REF!</f>
        <v>#REF!</v>
      </c>
      <c r="Y94" s="202"/>
      <c r="Z94" s="152" t="e">
        <f>#REF!</f>
        <v>#REF!</v>
      </c>
      <c r="AA94" s="202"/>
      <c r="AB94" s="153" t="e">
        <f>#REF!</f>
        <v>#REF!</v>
      </c>
      <c r="AC94" s="202"/>
      <c r="AD94" s="152" t="e">
        <f>#REF!</f>
        <v>#REF!</v>
      </c>
      <c r="AE94" s="202"/>
      <c r="AF94" s="153" t="e">
        <f>#REF!</f>
        <v>#REF!</v>
      </c>
      <c r="AG94" s="202"/>
      <c r="AH94" s="152" t="e">
        <f>#REF!</f>
        <v>#REF!</v>
      </c>
      <c r="AI94" s="202"/>
      <c r="AJ94" s="153" t="e">
        <f>#REF!</f>
        <v>#REF!</v>
      </c>
      <c r="AK94" s="202"/>
      <c r="AL94" s="152" t="e">
        <f>#REF!</f>
        <v>#REF!</v>
      </c>
      <c r="AM94" s="202"/>
      <c r="AN94" s="153" t="e">
        <f>#REF!</f>
        <v>#REF!</v>
      </c>
      <c r="AO94" s="202"/>
      <c r="AP94" s="152" t="e">
        <f>#REF!</f>
        <v>#REF!</v>
      </c>
      <c r="AQ94" s="202"/>
      <c r="AR94" s="154" t="e">
        <f>#REF!</f>
        <v>#REF!</v>
      </c>
      <c r="AS94" s="202"/>
      <c r="AT94" s="153" t="e">
        <f>#REF!</f>
        <v>#REF!</v>
      </c>
      <c r="AU94" s="202"/>
      <c r="AV94" s="152" t="e">
        <f>#REF!</f>
        <v>#REF!</v>
      </c>
      <c r="AW94" s="202"/>
      <c r="AX94" s="153" t="e">
        <f>#REF!</f>
        <v>#REF!</v>
      </c>
      <c r="AY94" s="202"/>
      <c r="AZ94" s="152" t="e">
        <f>#REF!</f>
        <v>#REF!</v>
      </c>
      <c r="BA94" s="202"/>
      <c r="BB94" s="154" t="e">
        <f>#REF!</f>
        <v>#REF!</v>
      </c>
      <c r="BC94" s="137"/>
    </row>
    <row r="95" spans="1:55" ht="30" customHeight="1">
      <c r="A95" s="203" t="e">
        <f>#REF!</f>
        <v>#REF!</v>
      </c>
      <c r="B95" s="204" t="e">
        <f xml:space="preserve"> IF(#REF!=0, "",#REF!)</f>
        <v>#REF!</v>
      </c>
      <c r="C95" s="369" t="e">
        <f>#REF!</f>
        <v>#REF!</v>
      </c>
      <c r="D95" s="369"/>
      <c r="E95" s="291" t="e">
        <f>#REF!</f>
        <v>#REF!</v>
      </c>
      <c r="F95" s="148" t="e">
        <f>#REF!</f>
        <v>#REF!</v>
      </c>
      <c r="G95" s="205" t="e">
        <f xml:space="preserve"> IF(#REF!="", "",#REF!)</f>
        <v>#REF!</v>
      </c>
      <c r="H95" s="205" t="e">
        <f xml:space="preserve"> IF(#REF!="", "",#REF!)</f>
        <v>#REF!</v>
      </c>
      <c r="I95" s="205" t="e">
        <f xml:space="preserve"> IF(#REF!="", "",#REF!)</f>
        <v>#REF!</v>
      </c>
      <c r="J95" s="298" t="e">
        <f>#REF!</f>
        <v>#REF!</v>
      </c>
      <c r="K95" s="149" t="e">
        <f>#REF!</f>
        <v>#REF!</v>
      </c>
      <c r="L95" s="149" t="e">
        <f>#REF!</f>
        <v>#REF!</v>
      </c>
      <c r="M95" s="150" t="e">
        <f>#REF!</f>
        <v>#REF!</v>
      </c>
      <c r="N95" s="364"/>
      <c r="O95" s="202"/>
      <c r="P95" s="151" t="e">
        <f>#REF!</f>
        <v>#REF!</v>
      </c>
      <c r="Q95" s="202"/>
      <c r="R95" s="152" t="e">
        <f>#REF!</f>
        <v>#REF!</v>
      </c>
      <c r="S95" s="202"/>
      <c r="T95" s="153" t="e">
        <f>#REF!</f>
        <v>#REF!</v>
      </c>
      <c r="U95" s="202"/>
      <c r="V95" s="153" t="e">
        <f>#REF!</f>
        <v>#REF!</v>
      </c>
      <c r="W95" s="202"/>
      <c r="X95" s="153" t="e">
        <f>#REF!</f>
        <v>#REF!</v>
      </c>
      <c r="Y95" s="202"/>
      <c r="Z95" s="152" t="e">
        <f>#REF!</f>
        <v>#REF!</v>
      </c>
      <c r="AA95" s="202"/>
      <c r="AB95" s="153" t="e">
        <f>#REF!</f>
        <v>#REF!</v>
      </c>
      <c r="AC95" s="202"/>
      <c r="AD95" s="152" t="e">
        <f>#REF!</f>
        <v>#REF!</v>
      </c>
      <c r="AE95" s="202"/>
      <c r="AF95" s="153" t="e">
        <f>#REF!</f>
        <v>#REF!</v>
      </c>
      <c r="AG95" s="202"/>
      <c r="AH95" s="152" t="e">
        <f>#REF!</f>
        <v>#REF!</v>
      </c>
      <c r="AI95" s="202"/>
      <c r="AJ95" s="153" t="e">
        <f>#REF!</f>
        <v>#REF!</v>
      </c>
      <c r="AK95" s="202"/>
      <c r="AL95" s="152" t="e">
        <f>#REF!</f>
        <v>#REF!</v>
      </c>
      <c r="AM95" s="202"/>
      <c r="AN95" s="153" t="e">
        <f>#REF!</f>
        <v>#REF!</v>
      </c>
      <c r="AO95" s="202"/>
      <c r="AP95" s="152" t="e">
        <f>#REF!</f>
        <v>#REF!</v>
      </c>
      <c r="AQ95" s="202"/>
      <c r="AR95" s="154" t="e">
        <f>#REF!</f>
        <v>#REF!</v>
      </c>
      <c r="AS95" s="202"/>
      <c r="AT95" s="153" t="e">
        <f>#REF!</f>
        <v>#REF!</v>
      </c>
      <c r="AU95" s="202"/>
      <c r="AV95" s="152" t="e">
        <f>#REF!</f>
        <v>#REF!</v>
      </c>
      <c r="AW95" s="202"/>
      <c r="AX95" s="153" t="e">
        <f>#REF!</f>
        <v>#REF!</v>
      </c>
      <c r="AY95" s="202"/>
      <c r="AZ95" s="152" t="e">
        <f>#REF!</f>
        <v>#REF!</v>
      </c>
      <c r="BA95" s="202"/>
      <c r="BB95" s="154" t="e">
        <f>#REF!</f>
        <v>#REF!</v>
      </c>
      <c r="BC95" s="137"/>
    </row>
    <row r="96" spans="1:55" ht="30" customHeight="1">
      <c r="A96" s="203" t="e">
        <f>#REF!</f>
        <v>#REF!</v>
      </c>
      <c r="B96" s="204" t="e">
        <f xml:space="preserve"> IF(#REF!=0, "",#REF!)</f>
        <v>#REF!</v>
      </c>
      <c r="C96" s="369" t="e">
        <f>#REF!</f>
        <v>#REF!</v>
      </c>
      <c r="D96" s="369"/>
      <c r="E96" s="291" t="e">
        <f>#REF!</f>
        <v>#REF!</v>
      </c>
      <c r="F96" s="148" t="e">
        <f>#REF!</f>
        <v>#REF!</v>
      </c>
      <c r="G96" s="205" t="e">
        <f xml:space="preserve"> IF(#REF!="", "",#REF!)</f>
        <v>#REF!</v>
      </c>
      <c r="H96" s="205" t="e">
        <f xml:space="preserve"> IF(#REF!="", "",#REF!)</f>
        <v>#REF!</v>
      </c>
      <c r="I96" s="205" t="e">
        <f xml:space="preserve"> IF(#REF!="", "",#REF!)</f>
        <v>#REF!</v>
      </c>
      <c r="J96" s="298" t="e">
        <f>#REF!</f>
        <v>#REF!</v>
      </c>
      <c r="K96" s="149" t="e">
        <f>#REF!</f>
        <v>#REF!</v>
      </c>
      <c r="L96" s="149" t="e">
        <f>#REF!</f>
        <v>#REF!</v>
      </c>
      <c r="M96" s="150" t="e">
        <f>#REF!</f>
        <v>#REF!</v>
      </c>
      <c r="N96" s="364"/>
      <c r="O96" s="202"/>
      <c r="P96" s="151" t="e">
        <f>#REF!</f>
        <v>#REF!</v>
      </c>
      <c r="Q96" s="202"/>
      <c r="R96" s="152" t="e">
        <f>#REF!</f>
        <v>#REF!</v>
      </c>
      <c r="S96" s="202"/>
      <c r="T96" s="153" t="e">
        <f>#REF!</f>
        <v>#REF!</v>
      </c>
      <c r="U96" s="202"/>
      <c r="V96" s="153" t="e">
        <f>#REF!</f>
        <v>#REF!</v>
      </c>
      <c r="W96" s="202"/>
      <c r="X96" s="153" t="e">
        <f>#REF!</f>
        <v>#REF!</v>
      </c>
      <c r="Y96" s="202"/>
      <c r="Z96" s="152" t="e">
        <f>#REF!</f>
        <v>#REF!</v>
      </c>
      <c r="AA96" s="202"/>
      <c r="AB96" s="153" t="e">
        <f>#REF!</f>
        <v>#REF!</v>
      </c>
      <c r="AC96" s="202"/>
      <c r="AD96" s="152" t="e">
        <f>#REF!</f>
        <v>#REF!</v>
      </c>
      <c r="AE96" s="202"/>
      <c r="AF96" s="153" t="e">
        <f>#REF!</f>
        <v>#REF!</v>
      </c>
      <c r="AG96" s="202"/>
      <c r="AH96" s="152" t="e">
        <f>#REF!</f>
        <v>#REF!</v>
      </c>
      <c r="AI96" s="202"/>
      <c r="AJ96" s="153" t="e">
        <f>#REF!</f>
        <v>#REF!</v>
      </c>
      <c r="AK96" s="202"/>
      <c r="AL96" s="152" t="e">
        <f>#REF!</f>
        <v>#REF!</v>
      </c>
      <c r="AM96" s="202"/>
      <c r="AN96" s="153" t="e">
        <f>#REF!</f>
        <v>#REF!</v>
      </c>
      <c r="AO96" s="202"/>
      <c r="AP96" s="152" t="e">
        <f>#REF!</f>
        <v>#REF!</v>
      </c>
      <c r="AQ96" s="202"/>
      <c r="AR96" s="154" t="e">
        <f>#REF!</f>
        <v>#REF!</v>
      </c>
      <c r="AS96" s="202"/>
      <c r="AT96" s="153" t="e">
        <f>#REF!</f>
        <v>#REF!</v>
      </c>
      <c r="AU96" s="202"/>
      <c r="AV96" s="152" t="e">
        <f>#REF!</f>
        <v>#REF!</v>
      </c>
      <c r="AW96" s="202"/>
      <c r="AX96" s="153" t="e">
        <f>#REF!</f>
        <v>#REF!</v>
      </c>
      <c r="AY96" s="202"/>
      <c r="AZ96" s="152" t="e">
        <f>#REF!</f>
        <v>#REF!</v>
      </c>
      <c r="BA96" s="202"/>
      <c r="BB96" s="154" t="e">
        <f>#REF!</f>
        <v>#REF!</v>
      </c>
      <c r="BC96" s="137"/>
    </row>
    <row r="97" spans="1:55" ht="30" customHeight="1">
      <c r="A97" s="203" t="e">
        <f>#REF!</f>
        <v>#REF!</v>
      </c>
      <c r="B97" s="204" t="e">
        <f xml:space="preserve"> IF(#REF!=0, "",#REF!)</f>
        <v>#REF!</v>
      </c>
      <c r="C97" s="369" t="e">
        <f>#REF!</f>
        <v>#REF!</v>
      </c>
      <c r="D97" s="369"/>
      <c r="E97" s="291" t="e">
        <f>#REF!</f>
        <v>#REF!</v>
      </c>
      <c r="F97" s="148" t="e">
        <f>#REF!</f>
        <v>#REF!</v>
      </c>
      <c r="G97" s="205" t="e">
        <f xml:space="preserve"> IF(#REF!="", "",#REF!)</f>
        <v>#REF!</v>
      </c>
      <c r="H97" s="205" t="e">
        <f xml:space="preserve"> IF(#REF!="", "",#REF!)</f>
        <v>#REF!</v>
      </c>
      <c r="I97" s="205" t="e">
        <f xml:space="preserve"> IF(#REF!="", "",#REF!)</f>
        <v>#REF!</v>
      </c>
      <c r="J97" s="298" t="e">
        <f>#REF!</f>
        <v>#REF!</v>
      </c>
      <c r="K97" s="149" t="e">
        <f>#REF!</f>
        <v>#REF!</v>
      </c>
      <c r="L97" s="149" t="e">
        <f>#REF!</f>
        <v>#REF!</v>
      </c>
      <c r="M97" s="150" t="e">
        <f>#REF!</f>
        <v>#REF!</v>
      </c>
      <c r="N97" s="364"/>
      <c r="O97" s="202"/>
      <c r="P97" s="151" t="e">
        <f>#REF!</f>
        <v>#REF!</v>
      </c>
      <c r="Q97" s="202"/>
      <c r="R97" s="152" t="e">
        <f>#REF!</f>
        <v>#REF!</v>
      </c>
      <c r="S97" s="202"/>
      <c r="T97" s="153" t="e">
        <f>#REF!</f>
        <v>#REF!</v>
      </c>
      <c r="U97" s="202"/>
      <c r="V97" s="153" t="e">
        <f>#REF!</f>
        <v>#REF!</v>
      </c>
      <c r="W97" s="202"/>
      <c r="X97" s="153" t="e">
        <f>#REF!</f>
        <v>#REF!</v>
      </c>
      <c r="Y97" s="202"/>
      <c r="Z97" s="152" t="e">
        <f>#REF!</f>
        <v>#REF!</v>
      </c>
      <c r="AA97" s="202"/>
      <c r="AB97" s="153" t="e">
        <f>#REF!</f>
        <v>#REF!</v>
      </c>
      <c r="AC97" s="202"/>
      <c r="AD97" s="152" t="e">
        <f>#REF!</f>
        <v>#REF!</v>
      </c>
      <c r="AE97" s="202"/>
      <c r="AF97" s="153" t="e">
        <f>#REF!</f>
        <v>#REF!</v>
      </c>
      <c r="AG97" s="202"/>
      <c r="AH97" s="152" t="e">
        <f>#REF!</f>
        <v>#REF!</v>
      </c>
      <c r="AI97" s="202"/>
      <c r="AJ97" s="153" t="e">
        <f>#REF!</f>
        <v>#REF!</v>
      </c>
      <c r="AK97" s="202"/>
      <c r="AL97" s="152" t="e">
        <f>#REF!</f>
        <v>#REF!</v>
      </c>
      <c r="AM97" s="202"/>
      <c r="AN97" s="153" t="e">
        <f>#REF!</f>
        <v>#REF!</v>
      </c>
      <c r="AO97" s="202"/>
      <c r="AP97" s="152" t="e">
        <f>#REF!</f>
        <v>#REF!</v>
      </c>
      <c r="AQ97" s="202"/>
      <c r="AR97" s="154" t="e">
        <f>#REF!</f>
        <v>#REF!</v>
      </c>
      <c r="AS97" s="202"/>
      <c r="AT97" s="153" t="e">
        <f>#REF!</f>
        <v>#REF!</v>
      </c>
      <c r="AU97" s="202"/>
      <c r="AV97" s="152" t="e">
        <f>#REF!</f>
        <v>#REF!</v>
      </c>
      <c r="AW97" s="202"/>
      <c r="AX97" s="153" t="e">
        <f>#REF!</f>
        <v>#REF!</v>
      </c>
      <c r="AY97" s="202"/>
      <c r="AZ97" s="152" t="e">
        <f>#REF!</f>
        <v>#REF!</v>
      </c>
      <c r="BA97" s="202"/>
      <c r="BB97" s="154" t="e">
        <f>#REF!</f>
        <v>#REF!</v>
      </c>
      <c r="BC97" s="137"/>
    </row>
    <row r="98" spans="1:55" ht="30" customHeight="1">
      <c r="A98" s="203" t="e">
        <f>#REF!</f>
        <v>#REF!</v>
      </c>
      <c r="B98" s="204" t="e">
        <f xml:space="preserve"> IF(#REF!=0, "",#REF!)</f>
        <v>#REF!</v>
      </c>
      <c r="C98" s="369" t="e">
        <f>#REF!</f>
        <v>#REF!</v>
      </c>
      <c r="D98" s="369"/>
      <c r="E98" s="291" t="e">
        <f>#REF!</f>
        <v>#REF!</v>
      </c>
      <c r="F98" s="148" t="e">
        <f>#REF!</f>
        <v>#REF!</v>
      </c>
      <c r="G98" s="205" t="e">
        <f xml:space="preserve"> IF(#REF!="", "",#REF!)</f>
        <v>#REF!</v>
      </c>
      <c r="H98" s="205" t="e">
        <f xml:space="preserve"> IF(#REF!="", "",#REF!)</f>
        <v>#REF!</v>
      </c>
      <c r="I98" s="205" t="e">
        <f xml:space="preserve"> IF(#REF!="", "",#REF!)</f>
        <v>#REF!</v>
      </c>
      <c r="J98" s="298" t="e">
        <f>#REF!</f>
        <v>#REF!</v>
      </c>
      <c r="K98" s="149" t="e">
        <f>#REF!</f>
        <v>#REF!</v>
      </c>
      <c r="L98" s="149" t="e">
        <f>#REF!</f>
        <v>#REF!</v>
      </c>
      <c r="M98" s="150" t="e">
        <f>#REF!</f>
        <v>#REF!</v>
      </c>
      <c r="N98" s="364"/>
      <c r="O98" s="202"/>
      <c r="P98" s="151" t="e">
        <f>#REF!</f>
        <v>#REF!</v>
      </c>
      <c r="Q98" s="202"/>
      <c r="R98" s="152" t="e">
        <f>#REF!</f>
        <v>#REF!</v>
      </c>
      <c r="S98" s="202"/>
      <c r="T98" s="153" t="e">
        <f>#REF!</f>
        <v>#REF!</v>
      </c>
      <c r="U98" s="202"/>
      <c r="V98" s="153" t="e">
        <f>#REF!</f>
        <v>#REF!</v>
      </c>
      <c r="W98" s="202"/>
      <c r="X98" s="153" t="e">
        <f>#REF!</f>
        <v>#REF!</v>
      </c>
      <c r="Y98" s="202"/>
      <c r="Z98" s="152" t="e">
        <f>#REF!</f>
        <v>#REF!</v>
      </c>
      <c r="AA98" s="202"/>
      <c r="AB98" s="153" t="e">
        <f>#REF!</f>
        <v>#REF!</v>
      </c>
      <c r="AC98" s="202"/>
      <c r="AD98" s="152" t="e">
        <f>#REF!</f>
        <v>#REF!</v>
      </c>
      <c r="AE98" s="202"/>
      <c r="AF98" s="153" t="e">
        <f>#REF!</f>
        <v>#REF!</v>
      </c>
      <c r="AG98" s="202"/>
      <c r="AH98" s="152" t="e">
        <f>#REF!</f>
        <v>#REF!</v>
      </c>
      <c r="AI98" s="202"/>
      <c r="AJ98" s="153" t="e">
        <f>#REF!</f>
        <v>#REF!</v>
      </c>
      <c r="AK98" s="202"/>
      <c r="AL98" s="152" t="e">
        <f>#REF!</f>
        <v>#REF!</v>
      </c>
      <c r="AM98" s="202"/>
      <c r="AN98" s="153" t="e">
        <f>#REF!</f>
        <v>#REF!</v>
      </c>
      <c r="AO98" s="202"/>
      <c r="AP98" s="152" t="e">
        <f>#REF!</f>
        <v>#REF!</v>
      </c>
      <c r="AQ98" s="202"/>
      <c r="AR98" s="154" t="e">
        <f>#REF!</f>
        <v>#REF!</v>
      </c>
      <c r="AS98" s="202"/>
      <c r="AT98" s="153" t="e">
        <f>#REF!</f>
        <v>#REF!</v>
      </c>
      <c r="AU98" s="202"/>
      <c r="AV98" s="152" t="e">
        <f>#REF!</f>
        <v>#REF!</v>
      </c>
      <c r="AW98" s="202"/>
      <c r="AX98" s="153" t="e">
        <f>#REF!</f>
        <v>#REF!</v>
      </c>
      <c r="AY98" s="202"/>
      <c r="AZ98" s="152" t="e">
        <f>#REF!</f>
        <v>#REF!</v>
      </c>
      <c r="BA98" s="202"/>
      <c r="BB98" s="154" t="e">
        <f>#REF!</f>
        <v>#REF!</v>
      </c>
      <c r="BC98" s="137"/>
    </row>
    <row r="99" spans="1:55" ht="30" customHeight="1">
      <c r="A99" s="203" t="e">
        <f>#REF!</f>
        <v>#REF!</v>
      </c>
      <c r="B99" s="204" t="e">
        <f xml:space="preserve"> IF(#REF!=0, "",#REF!)</f>
        <v>#REF!</v>
      </c>
      <c r="C99" s="369" t="e">
        <f>#REF!</f>
        <v>#REF!</v>
      </c>
      <c r="D99" s="369"/>
      <c r="E99" s="291" t="e">
        <f>#REF!</f>
        <v>#REF!</v>
      </c>
      <c r="F99" s="148" t="e">
        <f>#REF!</f>
        <v>#REF!</v>
      </c>
      <c r="G99" s="205" t="e">
        <f xml:space="preserve"> IF(#REF!="", "",#REF!)</f>
        <v>#REF!</v>
      </c>
      <c r="H99" s="205" t="e">
        <f xml:space="preserve"> IF(#REF!="", "",#REF!)</f>
        <v>#REF!</v>
      </c>
      <c r="I99" s="205" t="e">
        <f xml:space="preserve"> IF(#REF!="", "",#REF!)</f>
        <v>#REF!</v>
      </c>
      <c r="J99" s="298" t="e">
        <f>#REF!</f>
        <v>#REF!</v>
      </c>
      <c r="K99" s="149" t="e">
        <f>#REF!</f>
        <v>#REF!</v>
      </c>
      <c r="L99" s="149" t="e">
        <f>#REF!</f>
        <v>#REF!</v>
      </c>
      <c r="M99" s="150" t="e">
        <f>#REF!</f>
        <v>#REF!</v>
      </c>
      <c r="N99" s="364"/>
      <c r="O99" s="202"/>
      <c r="P99" s="151" t="e">
        <f>#REF!</f>
        <v>#REF!</v>
      </c>
      <c r="Q99" s="202"/>
      <c r="R99" s="152" t="e">
        <f>#REF!</f>
        <v>#REF!</v>
      </c>
      <c r="S99" s="202"/>
      <c r="T99" s="153" t="e">
        <f>#REF!</f>
        <v>#REF!</v>
      </c>
      <c r="U99" s="202"/>
      <c r="V99" s="153" t="e">
        <f>#REF!</f>
        <v>#REF!</v>
      </c>
      <c r="W99" s="202"/>
      <c r="X99" s="153" t="e">
        <f>#REF!</f>
        <v>#REF!</v>
      </c>
      <c r="Y99" s="202"/>
      <c r="Z99" s="152" t="e">
        <f>#REF!</f>
        <v>#REF!</v>
      </c>
      <c r="AA99" s="202"/>
      <c r="AB99" s="153" t="e">
        <f>#REF!</f>
        <v>#REF!</v>
      </c>
      <c r="AC99" s="202"/>
      <c r="AD99" s="152" t="e">
        <f>#REF!</f>
        <v>#REF!</v>
      </c>
      <c r="AE99" s="202"/>
      <c r="AF99" s="153" t="e">
        <f>#REF!</f>
        <v>#REF!</v>
      </c>
      <c r="AG99" s="202"/>
      <c r="AH99" s="152" t="e">
        <f>#REF!</f>
        <v>#REF!</v>
      </c>
      <c r="AI99" s="202"/>
      <c r="AJ99" s="153" t="e">
        <f>#REF!</f>
        <v>#REF!</v>
      </c>
      <c r="AK99" s="202"/>
      <c r="AL99" s="152" t="e">
        <f>#REF!</f>
        <v>#REF!</v>
      </c>
      <c r="AM99" s="202"/>
      <c r="AN99" s="153" t="e">
        <f>#REF!</f>
        <v>#REF!</v>
      </c>
      <c r="AO99" s="202"/>
      <c r="AP99" s="152" t="e">
        <f>#REF!</f>
        <v>#REF!</v>
      </c>
      <c r="AQ99" s="202"/>
      <c r="AR99" s="154" t="e">
        <f>#REF!</f>
        <v>#REF!</v>
      </c>
      <c r="AS99" s="202"/>
      <c r="AT99" s="153" t="e">
        <f>#REF!</f>
        <v>#REF!</v>
      </c>
      <c r="AU99" s="202"/>
      <c r="AV99" s="152" t="e">
        <f>#REF!</f>
        <v>#REF!</v>
      </c>
      <c r="AW99" s="202"/>
      <c r="AX99" s="153" t="e">
        <f>#REF!</f>
        <v>#REF!</v>
      </c>
      <c r="AY99" s="202"/>
      <c r="AZ99" s="152" t="e">
        <f>#REF!</f>
        <v>#REF!</v>
      </c>
      <c r="BA99" s="202"/>
      <c r="BB99" s="154" t="e">
        <f>#REF!</f>
        <v>#REF!</v>
      </c>
      <c r="BC99" s="137"/>
    </row>
    <row r="100" spans="1:55" ht="30" customHeight="1">
      <c r="A100" s="203" t="e">
        <f>#REF!</f>
        <v>#REF!</v>
      </c>
      <c r="B100" s="204" t="e">
        <f xml:space="preserve"> IF(#REF!=0, "",#REF!)</f>
        <v>#REF!</v>
      </c>
      <c r="C100" s="369" t="e">
        <f>#REF!</f>
        <v>#REF!</v>
      </c>
      <c r="D100" s="369"/>
      <c r="E100" s="291" t="e">
        <f>#REF!</f>
        <v>#REF!</v>
      </c>
      <c r="F100" s="148" t="e">
        <f>#REF!</f>
        <v>#REF!</v>
      </c>
      <c r="G100" s="205" t="e">
        <f xml:space="preserve"> IF(#REF!="", "",#REF!)</f>
        <v>#REF!</v>
      </c>
      <c r="H100" s="205" t="e">
        <f xml:space="preserve"> IF(#REF!="", "",#REF!)</f>
        <v>#REF!</v>
      </c>
      <c r="I100" s="205" t="e">
        <f xml:space="preserve"> IF(#REF!="", "",#REF!)</f>
        <v>#REF!</v>
      </c>
      <c r="J100" s="298" t="e">
        <f>#REF!</f>
        <v>#REF!</v>
      </c>
      <c r="K100" s="149" t="e">
        <f>#REF!</f>
        <v>#REF!</v>
      </c>
      <c r="L100" s="149" t="e">
        <f>#REF!</f>
        <v>#REF!</v>
      </c>
      <c r="M100" s="150" t="e">
        <f>#REF!</f>
        <v>#REF!</v>
      </c>
      <c r="N100" s="364"/>
      <c r="O100" s="202"/>
      <c r="P100" s="151" t="e">
        <f>#REF!</f>
        <v>#REF!</v>
      </c>
      <c r="Q100" s="202"/>
      <c r="R100" s="152" t="e">
        <f>#REF!</f>
        <v>#REF!</v>
      </c>
      <c r="S100" s="202"/>
      <c r="T100" s="153" t="e">
        <f>#REF!</f>
        <v>#REF!</v>
      </c>
      <c r="U100" s="202"/>
      <c r="V100" s="153" t="e">
        <f>#REF!</f>
        <v>#REF!</v>
      </c>
      <c r="W100" s="202"/>
      <c r="X100" s="153" t="e">
        <f>#REF!</f>
        <v>#REF!</v>
      </c>
      <c r="Y100" s="202"/>
      <c r="Z100" s="152" t="e">
        <f>#REF!</f>
        <v>#REF!</v>
      </c>
      <c r="AA100" s="202"/>
      <c r="AB100" s="153" t="e">
        <f>#REF!</f>
        <v>#REF!</v>
      </c>
      <c r="AC100" s="202"/>
      <c r="AD100" s="152" t="e">
        <f>#REF!</f>
        <v>#REF!</v>
      </c>
      <c r="AE100" s="202"/>
      <c r="AF100" s="153" t="e">
        <f>#REF!</f>
        <v>#REF!</v>
      </c>
      <c r="AG100" s="202"/>
      <c r="AH100" s="152" t="e">
        <f>#REF!</f>
        <v>#REF!</v>
      </c>
      <c r="AI100" s="202"/>
      <c r="AJ100" s="153" t="e">
        <f>#REF!</f>
        <v>#REF!</v>
      </c>
      <c r="AK100" s="202"/>
      <c r="AL100" s="152" t="e">
        <f>#REF!</f>
        <v>#REF!</v>
      </c>
      <c r="AM100" s="202"/>
      <c r="AN100" s="153" t="e">
        <f>#REF!</f>
        <v>#REF!</v>
      </c>
      <c r="AO100" s="202"/>
      <c r="AP100" s="152" t="e">
        <f>#REF!</f>
        <v>#REF!</v>
      </c>
      <c r="AQ100" s="202"/>
      <c r="AR100" s="154" t="e">
        <f>#REF!</f>
        <v>#REF!</v>
      </c>
      <c r="AS100" s="202"/>
      <c r="AT100" s="153" t="e">
        <f>#REF!</f>
        <v>#REF!</v>
      </c>
      <c r="AU100" s="202"/>
      <c r="AV100" s="152" t="e">
        <f>#REF!</f>
        <v>#REF!</v>
      </c>
      <c r="AW100" s="202"/>
      <c r="AX100" s="153" t="e">
        <f>#REF!</f>
        <v>#REF!</v>
      </c>
      <c r="AY100" s="202"/>
      <c r="AZ100" s="152" t="e">
        <f>#REF!</f>
        <v>#REF!</v>
      </c>
      <c r="BA100" s="202"/>
      <c r="BB100" s="154" t="e">
        <f>#REF!</f>
        <v>#REF!</v>
      </c>
      <c r="BC100" s="137"/>
    </row>
    <row r="101" spans="1:55" ht="30" customHeight="1">
      <c r="A101" s="203" t="e">
        <f>#REF!</f>
        <v>#REF!</v>
      </c>
      <c r="B101" s="204" t="e">
        <f xml:space="preserve"> IF(#REF!=0, "",#REF!)</f>
        <v>#REF!</v>
      </c>
      <c r="C101" s="369" t="e">
        <f>#REF!</f>
        <v>#REF!</v>
      </c>
      <c r="D101" s="369"/>
      <c r="E101" s="291" t="e">
        <f>#REF!</f>
        <v>#REF!</v>
      </c>
      <c r="F101" s="148" t="e">
        <f>#REF!</f>
        <v>#REF!</v>
      </c>
      <c r="G101" s="205" t="e">
        <f xml:space="preserve"> IF(#REF!="", "",#REF!)</f>
        <v>#REF!</v>
      </c>
      <c r="H101" s="205" t="e">
        <f xml:space="preserve"> IF(#REF!="", "",#REF!)</f>
        <v>#REF!</v>
      </c>
      <c r="I101" s="205" t="e">
        <f xml:space="preserve"> IF(#REF!="", "",#REF!)</f>
        <v>#REF!</v>
      </c>
      <c r="J101" s="298" t="e">
        <f>#REF!</f>
        <v>#REF!</v>
      </c>
      <c r="K101" s="149" t="e">
        <f>#REF!</f>
        <v>#REF!</v>
      </c>
      <c r="L101" s="149" t="e">
        <f>#REF!</f>
        <v>#REF!</v>
      </c>
      <c r="M101" s="150" t="e">
        <f>#REF!</f>
        <v>#REF!</v>
      </c>
      <c r="N101" s="364"/>
      <c r="O101" s="202"/>
      <c r="P101" s="151" t="e">
        <f>#REF!</f>
        <v>#REF!</v>
      </c>
      <c r="Q101" s="202"/>
      <c r="R101" s="152" t="e">
        <f>#REF!</f>
        <v>#REF!</v>
      </c>
      <c r="S101" s="202"/>
      <c r="T101" s="153" t="e">
        <f>#REF!</f>
        <v>#REF!</v>
      </c>
      <c r="U101" s="202"/>
      <c r="V101" s="153" t="e">
        <f>#REF!</f>
        <v>#REF!</v>
      </c>
      <c r="W101" s="202"/>
      <c r="X101" s="153" t="e">
        <f>#REF!</f>
        <v>#REF!</v>
      </c>
      <c r="Y101" s="202"/>
      <c r="Z101" s="152" t="e">
        <f>#REF!</f>
        <v>#REF!</v>
      </c>
      <c r="AA101" s="202"/>
      <c r="AB101" s="153" t="e">
        <f>#REF!</f>
        <v>#REF!</v>
      </c>
      <c r="AC101" s="202"/>
      <c r="AD101" s="152" t="e">
        <f>#REF!</f>
        <v>#REF!</v>
      </c>
      <c r="AE101" s="202"/>
      <c r="AF101" s="153" t="e">
        <f>#REF!</f>
        <v>#REF!</v>
      </c>
      <c r="AG101" s="202"/>
      <c r="AH101" s="152" t="e">
        <f>#REF!</f>
        <v>#REF!</v>
      </c>
      <c r="AI101" s="202"/>
      <c r="AJ101" s="153" t="e">
        <f>#REF!</f>
        <v>#REF!</v>
      </c>
      <c r="AK101" s="202"/>
      <c r="AL101" s="152" t="e">
        <f>#REF!</f>
        <v>#REF!</v>
      </c>
      <c r="AM101" s="202"/>
      <c r="AN101" s="153" t="e">
        <f>#REF!</f>
        <v>#REF!</v>
      </c>
      <c r="AO101" s="202"/>
      <c r="AP101" s="152" t="e">
        <f>#REF!</f>
        <v>#REF!</v>
      </c>
      <c r="AQ101" s="202"/>
      <c r="AR101" s="154" t="e">
        <f>#REF!</f>
        <v>#REF!</v>
      </c>
      <c r="AS101" s="202"/>
      <c r="AT101" s="153" t="e">
        <f>#REF!</f>
        <v>#REF!</v>
      </c>
      <c r="AU101" s="202"/>
      <c r="AV101" s="152" t="e">
        <f>#REF!</f>
        <v>#REF!</v>
      </c>
      <c r="AW101" s="202"/>
      <c r="AX101" s="153" t="e">
        <f>#REF!</f>
        <v>#REF!</v>
      </c>
      <c r="AY101" s="202"/>
      <c r="AZ101" s="152" t="e">
        <f>#REF!</f>
        <v>#REF!</v>
      </c>
      <c r="BA101" s="202"/>
      <c r="BB101" s="154" t="e">
        <f>#REF!</f>
        <v>#REF!</v>
      </c>
      <c r="BC101" s="137"/>
    </row>
    <row r="102" spans="1:55" ht="30" customHeight="1">
      <c r="A102" s="203" t="e">
        <f>#REF!</f>
        <v>#REF!</v>
      </c>
      <c r="B102" s="204" t="e">
        <f xml:space="preserve"> IF(#REF!=0, "",#REF!)</f>
        <v>#REF!</v>
      </c>
      <c r="C102" s="369" t="e">
        <f>#REF!</f>
        <v>#REF!</v>
      </c>
      <c r="D102" s="369"/>
      <c r="E102" s="291" t="e">
        <f>#REF!</f>
        <v>#REF!</v>
      </c>
      <c r="F102" s="148" t="e">
        <f>#REF!</f>
        <v>#REF!</v>
      </c>
      <c r="G102" s="205" t="e">
        <f xml:space="preserve"> IF(#REF!="", "",#REF!)</f>
        <v>#REF!</v>
      </c>
      <c r="H102" s="205" t="e">
        <f xml:space="preserve"> IF(#REF!="", "",#REF!)</f>
        <v>#REF!</v>
      </c>
      <c r="I102" s="205" t="e">
        <f xml:space="preserve"> IF(#REF!="", "",#REF!)</f>
        <v>#REF!</v>
      </c>
      <c r="J102" s="298" t="e">
        <f>#REF!</f>
        <v>#REF!</v>
      </c>
      <c r="K102" s="149" t="e">
        <f>#REF!</f>
        <v>#REF!</v>
      </c>
      <c r="L102" s="149" t="e">
        <f>#REF!</f>
        <v>#REF!</v>
      </c>
      <c r="M102" s="150" t="e">
        <f>#REF!</f>
        <v>#REF!</v>
      </c>
      <c r="N102" s="364"/>
      <c r="O102" s="202"/>
      <c r="P102" s="151" t="e">
        <f>#REF!</f>
        <v>#REF!</v>
      </c>
      <c r="Q102" s="202"/>
      <c r="R102" s="152" t="e">
        <f>#REF!</f>
        <v>#REF!</v>
      </c>
      <c r="S102" s="202"/>
      <c r="T102" s="153" t="e">
        <f>#REF!</f>
        <v>#REF!</v>
      </c>
      <c r="U102" s="202"/>
      <c r="V102" s="153" t="e">
        <f>#REF!</f>
        <v>#REF!</v>
      </c>
      <c r="W102" s="202"/>
      <c r="X102" s="153" t="e">
        <f>#REF!</f>
        <v>#REF!</v>
      </c>
      <c r="Y102" s="202"/>
      <c r="Z102" s="152" t="e">
        <f>#REF!</f>
        <v>#REF!</v>
      </c>
      <c r="AA102" s="202"/>
      <c r="AB102" s="153" t="e">
        <f>#REF!</f>
        <v>#REF!</v>
      </c>
      <c r="AC102" s="202"/>
      <c r="AD102" s="152" t="e">
        <f>#REF!</f>
        <v>#REF!</v>
      </c>
      <c r="AE102" s="202"/>
      <c r="AF102" s="153" t="e">
        <f>#REF!</f>
        <v>#REF!</v>
      </c>
      <c r="AG102" s="202"/>
      <c r="AH102" s="152" t="e">
        <f>#REF!</f>
        <v>#REF!</v>
      </c>
      <c r="AI102" s="202"/>
      <c r="AJ102" s="153" t="e">
        <f>#REF!</f>
        <v>#REF!</v>
      </c>
      <c r="AK102" s="202"/>
      <c r="AL102" s="152" t="e">
        <f>#REF!</f>
        <v>#REF!</v>
      </c>
      <c r="AM102" s="202"/>
      <c r="AN102" s="153" t="e">
        <f>#REF!</f>
        <v>#REF!</v>
      </c>
      <c r="AO102" s="202"/>
      <c r="AP102" s="152" t="e">
        <f>#REF!</f>
        <v>#REF!</v>
      </c>
      <c r="AQ102" s="202"/>
      <c r="AR102" s="154" t="e">
        <f>#REF!</f>
        <v>#REF!</v>
      </c>
      <c r="AS102" s="202"/>
      <c r="AT102" s="153" t="e">
        <f>#REF!</f>
        <v>#REF!</v>
      </c>
      <c r="AU102" s="202"/>
      <c r="AV102" s="152" t="e">
        <f>#REF!</f>
        <v>#REF!</v>
      </c>
      <c r="AW102" s="202"/>
      <c r="AX102" s="153" t="e">
        <f>#REF!</f>
        <v>#REF!</v>
      </c>
      <c r="AY102" s="202"/>
      <c r="AZ102" s="152" t="e">
        <f>#REF!</f>
        <v>#REF!</v>
      </c>
      <c r="BA102" s="202"/>
      <c r="BB102" s="154" t="e">
        <f>#REF!</f>
        <v>#REF!</v>
      </c>
      <c r="BC102" s="137"/>
    </row>
    <row r="103" spans="1:55" ht="30" customHeight="1">
      <c r="A103" s="203" t="e">
        <f>#REF!</f>
        <v>#REF!</v>
      </c>
      <c r="B103" s="204" t="e">
        <f xml:space="preserve"> IF(#REF!=0, "",#REF!)</f>
        <v>#REF!</v>
      </c>
      <c r="C103" s="369" t="e">
        <f>#REF!</f>
        <v>#REF!</v>
      </c>
      <c r="D103" s="369"/>
      <c r="E103" s="291" t="e">
        <f>#REF!</f>
        <v>#REF!</v>
      </c>
      <c r="F103" s="148" t="e">
        <f>#REF!</f>
        <v>#REF!</v>
      </c>
      <c r="G103" s="205" t="e">
        <f xml:space="preserve"> IF(#REF!="", "",#REF!)</f>
        <v>#REF!</v>
      </c>
      <c r="H103" s="205" t="e">
        <f xml:space="preserve"> IF(#REF!="", "",#REF!)</f>
        <v>#REF!</v>
      </c>
      <c r="I103" s="205" t="e">
        <f xml:space="preserve"> IF(#REF!="", "",#REF!)</f>
        <v>#REF!</v>
      </c>
      <c r="J103" s="298" t="e">
        <f>#REF!</f>
        <v>#REF!</v>
      </c>
      <c r="K103" s="149" t="e">
        <f>#REF!</f>
        <v>#REF!</v>
      </c>
      <c r="L103" s="149" t="e">
        <f>#REF!</f>
        <v>#REF!</v>
      </c>
      <c r="M103" s="150" t="e">
        <f>#REF!</f>
        <v>#REF!</v>
      </c>
      <c r="N103" s="364"/>
      <c r="O103" s="202"/>
      <c r="P103" s="151" t="e">
        <f>#REF!</f>
        <v>#REF!</v>
      </c>
      <c r="Q103" s="202"/>
      <c r="R103" s="152" t="e">
        <f>#REF!</f>
        <v>#REF!</v>
      </c>
      <c r="S103" s="202"/>
      <c r="T103" s="153" t="e">
        <f>#REF!</f>
        <v>#REF!</v>
      </c>
      <c r="U103" s="202"/>
      <c r="V103" s="153" t="e">
        <f>#REF!</f>
        <v>#REF!</v>
      </c>
      <c r="W103" s="202"/>
      <c r="X103" s="153" t="e">
        <f>#REF!</f>
        <v>#REF!</v>
      </c>
      <c r="Y103" s="202"/>
      <c r="Z103" s="152" t="e">
        <f>#REF!</f>
        <v>#REF!</v>
      </c>
      <c r="AA103" s="202"/>
      <c r="AB103" s="153" t="e">
        <f>#REF!</f>
        <v>#REF!</v>
      </c>
      <c r="AC103" s="202"/>
      <c r="AD103" s="152" t="e">
        <f>#REF!</f>
        <v>#REF!</v>
      </c>
      <c r="AE103" s="202"/>
      <c r="AF103" s="153" t="e">
        <f>#REF!</f>
        <v>#REF!</v>
      </c>
      <c r="AG103" s="202"/>
      <c r="AH103" s="152" t="e">
        <f>#REF!</f>
        <v>#REF!</v>
      </c>
      <c r="AI103" s="202"/>
      <c r="AJ103" s="153" t="e">
        <f>#REF!</f>
        <v>#REF!</v>
      </c>
      <c r="AK103" s="202"/>
      <c r="AL103" s="152" t="e">
        <f>#REF!</f>
        <v>#REF!</v>
      </c>
      <c r="AM103" s="202"/>
      <c r="AN103" s="153" t="e">
        <f>#REF!</f>
        <v>#REF!</v>
      </c>
      <c r="AO103" s="202"/>
      <c r="AP103" s="152" t="e">
        <f>#REF!</f>
        <v>#REF!</v>
      </c>
      <c r="AQ103" s="202"/>
      <c r="AR103" s="154" t="e">
        <f>#REF!</f>
        <v>#REF!</v>
      </c>
      <c r="AS103" s="202"/>
      <c r="AT103" s="153" t="e">
        <f>#REF!</f>
        <v>#REF!</v>
      </c>
      <c r="AU103" s="202"/>
      <c r="AV103" s="152" t="e">
        <f>#REF!</f>
        <v>#REF!</v>
      </c>
      <c r="AW103" s="202"/>
      <c r="AX103" s="153" t="e">
        <f>#REF!</f>
        <v>#REF!</v>
      </c>
      <c r="AY103" s="202"/>
      <c r="AZ103" s="152" t="e">
        <f>#REF!</f>
        <v>#REF!</v>
      </c>
      <c r="BA103" s="202"/>
      <c r="BB103" s="154" t="e">
        <f>#REF!</f>
        <v>#REF!</v>
      </c>
      <c r="BC103" s="137"/>
    </row>
    <row r="104" spans="1:55" ht="30" customHeight="1">
      <c r="A104" s="203" t="e">
        <f>#REF!</f>
        <v>#REF!</v>
      </c>
      <c r="B104" s="204" t="e">
        <f xml:space="preserve"> IF(#REF!=0, "",#REF!)</f>
        <v>#REF!</v>
      </c>
      <c r="C104" s="369" t="e">
        <f>#REF!</f>
        <v>#REF!</v>
      </c>
      <c r="D104" s="369"/>
      <c r="E104" s="291" t="e">
        <f>#REF!</f>
        <v>#REF!</v>
      </c>
      <c r="F104" s="148" t="e">
        <f>#REF!</f>
        <v>#REF!</v>
      </c>
      <c r="G104" s="205" t="e">
        <f xml:space="preserve"> IF(#REF!="", "",#REF!)</f>
        <v>#REF!</v>
      </c>
      <c r="H104" s="205" t="e">
        <f xml:space="preserve"> IF(#REF!="", "",#REF!)</f>
        <v>#REF!</v>
      </c>
      <c r="I104" s="205" t="e">
        <f xml:space="preserve"> IF(#REF!="", "",#REF!)</f>
        <v>#REF!</v>
      </c>
      <c r="J104" s="298" t="e">
        <f>#REF!</f>
        <v>#REF!</v>
      </c>
      <c r="K104" s="149" t="e">
        <f>#REF!</f>
        <v>#REF!</v>
      </c>
      <c r="L104" s="149" t="e">
        <f>#REF!</f>
        <v>#REF!</v>
      </c>
      <c r="M104" s="150" t="e">
        <f>#REF!</f>
        <v>#REF!</v>
      </c>
      <c r="N104" s="364"/>
      <c r="O104" s="202"/>
      <c r="P104" s="151" t="e">
        <f>#REF!</f>
        <v>#REF!</v>
      </c>
      <c r="Q104" s="202"/>
      <c r="R104" s="152" t="e">
        <f>#REF!</f>
        <v>#REF!</v>
      </c>
      <c r="S104" s="202"/>
      <c r="T104" s="153" t="e">
        <f>#REF!</f>
        <v>#REF!</v>
      </c>
      <c r="U104" s="202"/>
      <c r="V104" s="153" t="e">
        <f>#REF!</f>
        <v>#REF!</v>
      </c>
      <c r="W104" s="202"/>
      <c r="X104" s="153" t="e">
        <f>#REF!</f>
        <v>#REF!</v>
      </c>
      <c r="Y104" s="202"/>
      <c r="Z104" s="152" t="e">
        <f>#REF!</f>
        <v>#REF!</v>
      </c>
      <c r="AA104" s="202"/>
      <c r="AB104" s="153" t="e">
        <f>#REF!</f>
        <v>#REF!</v>
      </c>
      <c r="AC104" s="202"/>
      <c r="AD104" s="152" t="e">
        <f>#REF!</f>
        <v>#REF!</v>
      </c>
      <c r="AE104" s="202"/>
      <c r="AF104" s="153" t="e">
        <f>#REF!</f>
        <v>#REF!</v>
      </c>
      <c r="AG104" s="202"/>
      <c r="AH104" s="152" t="e">
        <f>#REF!</f>
        <v>#REF!</v>
      </c>
      <c r="AI104" s="202"/>
      <c r="AJ104" s="153" t="e">
        <f>#REF!</f>
        <v>#REF!</v>
      </c>
      <c r="AK104" s="202"/>
      <c r="AL104" s="152" t="e">
        <f>#REF!</f>
        <v>#REF!</v>
      </c>
      <c r="AM104" s="202"/>
      <c r="AN104" s="153" t="e">
        <f>#REF!</f>
        <v>#REF!</v>
      </c>
      <c r="AO104" s="202"/>
      <c r="AP104" s="152" t="e">
        <f>#REF!</f>
        <v>#REF!</v>
      </c>
      <c r="AQ104" s="202"/>
      <c r="AR104" s="154" t="e">
        <f>#REF!</f>
        <v>#REF!</v>
      </c>
      <c r="AS104" s="202"/>
      <c r="AT104" s="153" t="e">
        <f>#REF!</f>
        <v>#REF!</v>
      </c>
      <c r="AU104" s="202"/>
      <c r="AV104" s="152" t="e">
        <f>#REF!</f>
        <v>#REF!</v>
      </c>
      <c r="AW104" s="202"/>
      <c r="AX104" s="153" t="e">
        <f>#REF!</f>
        <v>#REF!</v>
      </c>
      <c r="AY104" s="202"/>
      <c r="AZ104" s="152" t="e">
        <f>#REF!</f>
        <v>#REF!</v>
      </c>
      <c r="BA104" s="202"/>
      <c r="BB104" s="154" t="e">
        <f>#REF!</f>
        <v>#REF!</v>
      </c>
      <c r="BC104" s="137"/>
    </row>
    <row r="105" spans="1:55" ht="30" customHeight="1">
      <c r="A105" s="203" t="e">
        <f>#REF!</f>
        <v>#REF!</v>
      </c>
      <c r="B105" s="204" t="e">
        <f xml:space="preserve"> IF(#REF!=0, "",#REF!)</f>
        <v>#REF!</v>
      </c>
      <c r="C105" s="369" t="e">
        <f>#REF!</f>
        <v>#REF!</v>
      </c>
      <c r="D105" s="369"/>
      <c r="E105" s="291" t="e">
        <f>#REF!</f>
        <v>#REF!</v>
      </c>
      <c r="F105" s="148" t="e">
        <f>#REF!</f>
        <v>#REF!</v>
      </c>
      <c r="G105" s="205" t="e">
        <f xml:space="preserve"> IF(#REF!="", "",#REF!)</f>
        <v>#REF!</v>
      </c>
      <c r="H105" s="205" t="e">
        <f xml:space="preserve"> IF(#REF!="", "",#REF!)</f>
        <v>#REF!</v>
      </c>
      <c r="I105" s="205" t="e">
        <f xml:space="preserve"> IF(#REF!="", "",#REF!)</f>
        <v>#REF!</v>
      </c>
      <c r="J105" s="298" t="e">
        <f>#REF!</f>
        <v>#REF!</v>
      </c>
      <c r="K105" s="149" t="e">
        <f>#REF!</f>
        <v>#REF!</v>
      </c>
      <c r="L105" s="149" t="e">
        <f>#REF!</f>
        <v>#REF!</v>
      </c>
      <c r="M105" s="150" t="e">
        <f>#REF!</f>
        <v>#REF!</v>
      </c>
      <c r="N105" s="364"/>
      <c r="O105" s="202"/>
      <c r="P105" s="151" t="e">
        <f>#REF!</f>
        <v>#REF!</v>
      </c>
      <c r="Q105" s="202"/>
      <c r="R105" s="152" t="e">
        <f>#REF!</f>
        <v>#REF!</v>
      </c>
      <c r="S105" s="202"/>
      <c r="T105" s="153" t="e">
        <f>#REF!</f>
        <v>#REF!</v>
      </c>
      <c r="U105" s="202"/>
      <c r="V105" s="153" t="e">
        <f>#REF!</f>
        <v>#REF!</v>
      </c>
      <c r="W105" s="202"/>
      <c r="X105" s="153" t="e">
        <f>#REF!</f>
        <v>#REF!</v>
      </c>
      <c r="Y105" s="202"/>
      <c r="Z105" s="152" t="e">
        <f>#REF!</f>
        <v>#REF!</v>
      </c>
      <c r="AA105" s="202"/>
      <c r="AB105" s="153" t="e">
        <f>#REF!</f>
        <v>#REF!</v>
      </c>
      <c r="AC105" s="202"/>
      <c r="AD105" s="152" t="e">
        <f>#REF!</f>
        <v>#REF!</v>
      </c>
      <c r="AE105" s="202"/>
      <c r="AF105" s="153" t="e">
        <f>#REF!</f>
        <v>#REF!</v>
      </c>
      <c r="AG105" s="202"/>
      <c r="AH105" s="152" t="e">
        <f>#REF!</f>
        <v>#REF!</v>
      </c>
      <c r="AI105" s="202"/>
      <c r="AJ105" s="153" t="e">
        <f>#REF!</f>
        <v>#REF!</v>
      </c>
      <c r="AK105" s="202"/>
      <c r="AL105" s="152" t="e">
        <f>#REF!</f>
        <v>#REF!</v>
      </c>
      <c r="AM105" s="202"/>
      <c r="AN105" s="153" t="e">
        <f>#REF!</f>
        <v>#REF!</v>
      </c>
      <c r="AO105" s="202"/>
      <c r="AP105" s="152" t="e">
        <f>#REF!</f>
        <v>#REF!</v>
      </c>
      <c r="AQ105" s="202"/>
      <c r="AR105" s="154" t="e">
        <f>#REF!</f>
        <v>#REF!</v>
      </c>
      <c r="AS105" s="202"/>
      <c r="AT105" s="153" t="e">
        <f>#REF!</f>
        <v>#REF!</v>
      </c>
      <c r="AU105" s="202"/>
      <c r="AV105" s="152" t="e">
        <f>#REF!</f>
        <v>#REF!</v>
      </c>
      <c r="AW105" s="202"/>
      <c r="AX105" s="153" t="e">
        <f>#REF!</f>
        <v>#REF!</v>
      </c>
      <c r="AY105" s="202"/>
      <c r="AZ105" s="152" t="e">
        <f>#REF!</f>
        <v>#REF!</v>
      </c>
      <c r="BA105" s="202"/>
      <c r="BB105" s="154" t="e">
        <f>#REF!</f>
        <v>#REF!</v>
      </c>
      <c r="BC105" s="137"/>
    </row>
    <row r="106" spans="1:55" ht="30" customHeight="1">
      <c r="A106" s="203" t="e">
        <f>#REF!</f>
        <v>#REF!</v>
      </c>
      <c r="B106" s="204" t="e">
        <f xml:space="preserve"> IF(#REF!=0, "",#REF!)</f>
        <v>#REF!</v>
      </c>
      <c r="C106" s="369" t="e">
        <f>#REF!</f>
        <v>#REF!</v>
      </c>
      <c r="D106" s="369"/>
      <c r="E106" s="291" t="e">
        <f>#REF!</f>
        <v>#REF!</v>
      </c>
      <c r="F106" s="148" t="e">
        <f>#REF!</f>
        <v>#REF!</v>
      </c>
      <c r="G106" s="205" t="e">
        <f xml:space="preserve"> IF(#REF!="", "",#REF!)</f>
        <v>#REF!</v>
      </c>
      <c r="H106" s="205" t="e">
        <f xml:space="preserve"> IF(#REF!="", "",#REF!)</f>
        <v>#REF!</v>
      </c>
      <c r="I106" s="205" t="e">
        <f xml:space="preserve"> IF(#REF!="", "",#REF!)</f>
        <v>#REF!</v>
      </c>
      <c r="J106" s="298" t="e">
        <f>#REF!</f>
        <v>#REF!</v>
      </c>
      <c r="K106" s="149" t="e">
        <f>#REF!</f>
        <v>#REF!</v>
      </c>
      <c r="L106" s="149" t="e">
        <f>#REF!</f>
        <v>#REF!</v>
      </c>
      <c r="M106" s="150" t="e">
        <f>#REF!</f>
        <v>#REF!</v>
      </c>
      <c r="N106" s="364"/>
      <c r="O106" s="202"/>
      <c r="P106" s="151" t="e">
        <f>#REF!</f>
        <v>#REF!</v>
      </c>
      <c r="Q106" s="202"/>
      <c r="R106" s="152" t="e">
        <f>#REF!</f>
        <v>#REF!</v>
      </c>
      <c r="S106" s="202"/>
      <c r="T106" s="153" t="e">
        <f>#REF!</f>
        <v>#REF!</v>
      </c>
      <c r="U106" s="202"/>
      <c r="V106" s="153" t="e">
        <f>#REF!</f>
        <v>#REF!</v>
      </c>
      <c r="W106" s="202"/>
      <c r="X106" s="153" t="e">
        <f>#REF!</f>
        <v>#REF!</v>
      </c>
      <c r="Y106" s="202"/>
      <c r="Z106" s="152" t="e">
        <f>#REF!</f>
        <v>#REF!</v>
      </c>
      <c r="AA106" s="202"/>
      <c r="AB106" s="153" t="e">
        <f>#REF!</f>
        <v>#REF!</v>
      </c>
      <c r="AC106" s="202"/>
      <c r="AD106" s="152" t="e">
        <f>#REF!</f>
        <v>#REF!</v>
      </c>
      <c r="AE106" s="202"/>
      <c r="AF106" s="153" t="e">
        <f>#REF!</f>
        <v>#REF!</v>
      </c>
      <c r="AG106" s="202"/>
      <c r="AH106" s="152" t="e">
        <f>#REF!</f>
        <v>#REF!</v>
      </c>
      <c r="AI106" s="202"/>
      <c r="AJ106" s="153" t="e">
        <f>#REF!</f>
        <v>#REF!</v>
      </c>
      <c r="AK106" s="202"/>
      <c r="AL106" s="152" t="e">
        <f>#REF!</f>
        <v>#REF!</v>
      </c>
      <c r="AM106" s="202"/>
      <c r="AN106" s="153" t="e">
        <f>#REF!</f>
        <v>#REF!</v>
      </c>
      <c r="AO106" s="202"/>
      <c r="AP106" s="152" t="e">
        <f>#REF!</f>
        <v>#REF!</v>
      </c>
      <c r="AQ106" s="202"/>
      <c r="AR106" s="154" t="e">
        <f>#REF!</f>
        <v>#REF!</v>
      </c>
      <c r="AS106" s="202"/>
      <c r="AT106" s="153" t="e">
        <f>#REF!</f>
        <v>#REF!</v>
      </c>
      <c r="AU106" s="202"/>
      <c r="AV106" s="152" t="e">
        <f>#REF!</f>
        <v>#REF!</v>
      </c>
      <c r="AW106" s="202"/>
      <c r="AX106" s="153" t="e">
        <f>#REF!</f>
        <v>#REF!</v>
      </c>
      <c r="AY106" s="202"/>
      <c r="AZ106" s="152" t="e">
        <f>#REF!</f>
        <v>#REF!</v>
      </c>
      <c r="BA106" s="202"/>
      <c r="BB106" s="154" t="e">
        <f>#REF!</f>
        <v>#REF!</v>
      </c>
      <c r="BC106" s="137"/>
    </row>
    <row r="107" spans="1:55" ht="30" customHeight="1">
      <c r="A107" s="203" t="e">
        <f>#REF!</f>
        <v>#REF!</v>
      </c>
      <c r="B107" s="204" t="e">
        <f xml:space="preserve"> IF(#REF!=0, "",#REF!)</f>
        <v>#REF!</v>
      </c>
      <c r="C107" s="369" t="e">
        <f>#REF!</f>
        <v>#REF!</v>
      </c>
      <c r="D107" s="369"/>
      <c r="E107" s="291" t="e">
        <f>#REF!</f>
        <v>#REF!</v>
      </c>
      <c r="F107" s="148" t="e">
        <f>#REF!</f>
        <v>#REF!</v>
      </c>
      <c r="G107" s="205" t="e">
        <f xml:space="preserve"> IF(#REF!="", "",#REF!)</f>
        <v>#REF!</v>
      </c>
      <c r="H107" s="205" t="e">
        <f xml:space="preserve"> IF(#REF!="", "",#REF!)</f>
        <v>#REF!</v>
      </c>
      <c r="I107" s="205" t="e">
        <f xml:space="preserve"> IF(#REF!="", "",#REF!)</f>
        <v>#REF!</v>
      </c>
      <c r="J107" s="298" t="e">
        <f>#REF!</f>
        <v>#REF!</v>
      </c>
      <c r="K107" s="149" t="e">
        <f>#REF!</f>
        <v>#REF!</v>
      </c>
      <c r="L107" s="149" t="e">
        <f>#REF!</f>
        <v>#REF!</v>
      </c>
      <c r="M107" s="150" t="e">
        <f>#REF!</f>
        <v>#REF!</v>
      </c>
      <c r="N107" s="364"/>
      <c r="O107" s="202"/>
      <c r="P107" s="151" t="e">
        <f>#REF!</f>
        <v>#REF!</v>
      </c>
      <c r="Q107" s="202"/>
      <c r="R107" s="152" t="e">
        <f>#REF!</f>
        <v>#REF!</v>
      </c>
      <c r="S107" s="202"/>
      <c r="T107" s="153" t="e">
        <f>#REF!</f>
        <v>#REF!</v>
      </c>
      <c r="U107" s="202"/>
      <c r="V107" s="153" t="e">
        <f>#REF!</f>
        <v>#REF!</v>
      </c>
      <c r="W107" s="202"/>
      <c r="X107" s="153" t="e">
        <f>#REF!</f>
        <v>#REF!</v>
      </c>
      <c r="Y107" s="202"/>
      <c r="Z107" s="152" t="e">
        <f>#REF!</f>
        <v>#REF!</v>
      </c>
      <c r="AA107" s="202"/>
      <c r="AB107" s="153" t="e">
        <f>#REF!</f>
        <v>#REF!</v>
      </c>
      <c r="AC107" s="202"/>
      <c r="AD107" s="152" t="e">
        <f>#REF!</f>
        <v>#REF!</v>
      </c>
      <c r="AE107" s="202"/>
      <c r="AF107" s="153" t="e">
        <f>#REF!</f>
        <v>#REF!</v>
      </c>
      <c r="AG107" s="202"/>
      <c r="AH107" s="152" t="e">
        <f>#REF!</f>
        <v>#REF!</v>
      </c>
      <c r="AI107" s="202"/>
      <c r="AJ107" s="153" t="e">
        <f>#REF!</f>
        <v>#REF!</v>
      </c>
      <c r="AK107" s="202"/>
      <c r="AL107" s="152" t="e">
        <f>#REF!</f>
        <v>#REF!</v>
      </c>
      <c r="AM107" s="202"/>
      <c r="AN107" s="153" t="e">
        <f>#REF!</f>
        <v>#REF!</v>
      </c>
      <c r="AO107" s="202"/>
      <c r="AP107" s="152" t="e">
        <f>#REF!</f>
        <v>#REF!</v>
      </c>
      <c r="AQ107" s="202"/>
      <c r="AR107" s="154" t="e">
        <f>#REF!</f>
        <v>#REF!</v>
      </c>
      <c r="AS107" s="202"/>
      <c r="AT107" s="153" t="e">
        <f>#REF!</f>
        <v>#REF!</v>
      </c>
      <c r="AU107" s="202"/>
      <c r="AV107" s="152" t="e">
        <f>#REF!</f>
        <v>#REF!</v>
      </c>
      <c r="AW107" s="202"/>
      <c r="AX107" s="153" t="e">
        <f>#REF!</f>
        <v>#REF!</v>
      </c>
      <c r="AY107" s="202"/>
      <c r="AZ107" s="152" t="e">
        <f>#REF!</f>
        <v>#REF!</v>
      </c>
      <c r="BA107" s="202"/>
      <c r="BB107" s="154" t="e">
        <f>#REF!</f>
        <v>#REF!</v>
      </c>
      <c r="BC107" s="137"/>
    </row>
    <row r="108" spans="1:55" ht="30" customHeight="1">
      <c r="A108" s="203" t="e">
        <f>#REF!</f>
        <v>#REF!</v>
      </c>
      <c r="B108" s="204" t="e">
        <f xml:space="preserve"> IF(#REF!=0, "",#REF!)</f>
        <v>#REF!</v>
      </c>
      <c r="C108" s="369" t="e">
        <f>#REF!</f>
        <v>#REF!</v>
      </c>
      <c r="D108" s="369"/>
      <c r="E108" s="291" t="e">
        <f>#REF!</f>
        <v>#REF!</v>
      </c>
      <c r="F108" s="148" t="e">
        <f>#REF!</f>
        <v>#REF!</v>
      </c>
      <c r="G108" s="205" t="e">
        <f xml:space="preserve"> IF(#REF!="", "",#REF!)</f>
        <v>#REF!</v>
      </c>
      <c r="H108" s="205" t="e">
        <f xml:space="preserve"> IF(#REF!="", "",#REF!)</f>
        <v>#REF!</v>
      </c>
      <c r="I108" s="205" t="e">
        <f xml:space="preserve"> IF(#REF!="", "",#REF!)</f>
        <v>#REF!</v>
      </c>
      <c r="J108" s="298" t="e">
        <f>#REF!</f>
        <v>#REF!</v>
      </c>
      <c r="K108" s="149" t="e">
        <f>#REF!</f>
        <v>#REF!</v>
      </c>
      <c r="L108" s="149" t="e">
        <f>#REF!</f>
        <v>#REF!</v>
      </c>
      <c r="M108" s="150" t="e">
        <f>#REF!</f>
        <v>#REF!</v>
      </c>
      <c r="N108" s="364"/>
      <c r="O108" s="202"/>
      <c r="P108" s="151" t="e">
        <f>#REF!</f>
        <v>#REF!</v>
      </c>
      <c r="Q108" s="202"/>
      <c r="R108" s="152" t="e">
        <f>#REF!</f>
        <v>#REF!</v>
      </c>
      <c r="S108" s="202"/>
      <c r="T108" s="153" t="e">
        <f>#REF!</f>
        <v>#REF!</v>
      </c>
      <c r="U108" s="202"/>
      <c r="V108" s="153" t="e">
        <f>#REF!</f>
        <v>#REF!</v>
      </c>
      <c r="W108" s="202"/>
      <c r="X108" s="153" t="e">
        <f>#REF!</f>
        <v>#REF!</v>
      </c>
      <c r="Y108" s="202"/>
      <c r="Z108" s="152" t="e">
        <f>#REF!</f>
        <v>#REF!</v>
      </c>
      <c r="AA108" s="202"/>
      <c r="AB108" s="153" t="e">
        <f>#REF!</f>
        <v>#REF!</v>
      </c>
      <c r="AC108" s="202"/>
      <c r="AD108" s="152" t="e">
        <f>#REF!</f>
        <v>#REF!</v>
      </c>
      <c r="AE108" s="202"/>
      <c r="AF108" s="153" t="e">
        <f>#REF!</f>
        <v>#REF!</v>
      </c>
      <c r="AG108" s="202"/>
      <c r="AH108" s="152" t="e">
        <f>#REF!</f>
        <v>#REF!</v>
      </c>
      <c r="AI108" s="202"/>
      <c r="AJ108" s="153" t="e">
        <f>#REF!</f>
        <v>#REF!</v>
      </c>
      <c r="AK108" s="202"/>
      <c r="AL108" s="152" t="e">
        <f>#REF!</f>
        <v>#REF!</v>
      </c>
      <c r="AM108" s="202"/>
      <c r="AN108" s="153" t="e">
        <f>#REF!</f>
        <v>#REF!</v>
      </c>
      <c r="AO108" s="202"/>
      <c r="AP108" s="152" t="e">
        <f>#REF!</f>
        <v>#REF!</v>
      </c>
      <c r="AQ108" s="202"/>
      <c r="AR108" s="154" t="e">
        <f>#REF!</f>
        <v>#REF!</v>
      </c>
      <c r="AS108" s="202"/>
      <c r="AT108" s="153" t="e">
        <f>#REF!</f>
        <v>#REF!</v>
      </c>
      <c r="AU108" s="202"/>
      <c r="AV108" s="152" t="e">
        <f>#REF!</f>
        <v>#REF!</v>
      </c>
      <c r="AW108" s="202"/>
      <c r="AX108" s="153" t="e">
        <f>#REF!</f>
        <v>#REF!</v>
      </c>
      <c r="AY108" s="202"/>
      <c r="AZ108" s="152" t="e">
        <f>#REF!</f>
        <v>#REF!</v>
      </c>
      <c r="BA108" s="202"/>
      <c r="BB108" s="154" t="e">
        <f>#REF!</f>
        <v>#REF!</v>
      </c>
      <c r="BC108" s="137"/>
    </row>
    <row r="109" spans="1:55" ht="30" customHeight="1">
      <c r="A109" s="203" t="e">
        <f>#REF!</f>
        <v>#REF!</v>
      </c>
      <c r="B109" s="204" t="e">
        <f xml:space="preserve"> IF(#REF!=0, "",#REF!)</f>
        <v>#REF!</v>
      </c>
      <c r="C109" s="369" t="e">
        <f>#REF!</f>
        <v>#REF!</v>
      </c>
      <c r="D109" s="369"/>
      <c r="E109" s="291" t="e">
        <f>#REF!</f>
        <v>#REF!</v>
      </c>
      <c r="F109" s="148" t="e">
        <f>#REF!</f>
        <v>#REF!</v>
      </c>
      <c r="G109" s="205" t="e">
        <f xml:space="preserve"> IF(#REF!="", "",#REF!)</f>
        <v>#REF!</v>
      </c>
      <c r="H109" s="205" t="e">
        <f xml:space="preserve"> IF(#REF!="", "",#REF!)</f>
        <v>#REF!</v>
      </c>
      <c r="I109" s="205" t="e">
        <f xml:space="preserve"> IF(#REF!="", "",#REF!)</f>
        <v>#REF!</v>
      </c>
      <c r="J109" s="298" t="e">
        <f>#REF!</f>
        <v>#REF!</v>
      </c>
      <c r="K109" s="149" t="e">
        <f>#REF!</f>
        <v>#REF!</v>
      </c>
      <c r="L109" s="149" t="e">
        <f>#REF!</f>
        <v>#REF!</v>
      </c>
      <c r="M109" s="150" t="e">
        <f>#REF!</f>
        <v>#REF!</v>
      </c>
      <c r="N109" s="364"/>
      <c r="O109" s="202"/>
      <c r="P109" s="151" t="e">
        <f>#REF!</f>
        <v>#REF!</v>
      </c>
      <c r="Q109" s="202"/>
      <c r="R109" s="152" t="e">
        <f>#REF!</f>
        <v>#REF!</v>
      </c>
      <c r="S109" s="202"/>
      <c r="T109" s="153" t="e">
        <f>#REF!</f>
        <v>#REF!</v>
      </c>
      <c r="U109" s="202"/>
      <c r="V109" s="153" t="e">
        <f>#REF!</f>
        <v>#REF!</v>
      </c>
      <c r="W109" s="202"/>
      <c r="X109" s="153" t="e">
        <f>#REF!</f>
        <v>#REF!</v>
      </c>
      <c r="Y109" s="202"/>
      <c r="Z109" s="152" t="e">
        <f>#REF!</f>
        <v>#REF!</v>
      </c>
      <c r="AA109" s="202"/>
      <c r="AB109" s="153" t="e">
        <f>#REF!</f>
        <v>#REF!</v>
      </c>
      <c r="AC109" s="202"/>
      <c r="AD109" s="152" t="e">
        <f>#REF!</f>
        <v>#REF!</v>
      </c>
      <c r="AE109" s="202"/>
      <c r="AF109" s="153" t="e">
        <f>#REF!</f>
        <v>#REF!</v>
      </c>
      <c r="AG109" s="202"/>
      <c r="AH109" s="152" t="e">
        <f>#REF!</f>
        <v>#REF!</v>
      </c>
      <c r="AI109" s="202"/>
      <c r="AJ109" s="153" t="e">
        <f>#REF!</f>
        <v>#REF!</v>
      </c>
      <c r="AK109" s="202"/>
      <c r="AL109" s="152" t="e">
        <f>#REF!</f>
        <v>#REF!</v>
      </c>
      <c r="AM109" s="202"/>
      <c r="AN109" s="153" t="e">
        <f>#REF!</f>
        <v>#REF!</v>
      </c>
      <c r="AO109" s="202"/>
      <c r="AP109" s="152" t="e">
        <f>#REF!</f>
        <v>#REF!</v>
      </c>
      <c r="AQ109" s="202"/>
      <c r="AR109" s="154" t="e">
        <f>#REF!</f>
        <v>#REF!</v>
      </c>
      <c r="AS109" s="202"/>
      <c r="AT109" s="153" t="e">
        <f>#REF!</f>
        <v>#REF!</v>
      </c>
      <c r="AU109" s="202"/>
      <c r="AV109" s="152" t="e">
        <f>#REF!</f>
        <v>#REF!</v>
      </c>
      <c r="AW109" s="202"/>
      <c r="AX109" s="153" t="e">
        <f>#REF!</f>
        <v>#REF!</v>
      </c>
      <c r="AY109" s="202"/>
      <c r="AZ109" s="152" t="e">
        <f>#REF!</f>
        <v>#REF!</v>
      </c>
      <c r="BA109" s="202"/>
      <c r="BB109" s="154" t="e">
        <f>#REF!</f>
        <v>#REF!</v>
      </c>
      <c r="BC109" s="137"/>
    </row>
    <row r="110" spans="1:55" ht="30" customHeight="1">
      <c r="A110" s="203" t="e">
        <f>#REF!</f>
        <v>#REF!</v>
      </c>
      <c r="B110" s="204" t="e">
        <f xml:space="preserve"> IF(#REF!=0, "",#REF!)</f>
        <v>#REF!</v>
      </c>
      <c r="C110" s="369" t="e">
        <f>#REF!</f>
        <v>#REF!</v>
      </c>
      <c r="D110" s="369"/>
      <c r="E110" s="291" t="e">
        <f>#REF!</f>
        <v>#REF!</v>
      </c>
      <c r="F110" s="148" t="e">
        <f>#REF!</f>
        <v>#REF!</v>
      </c>
      <c r="G110" s="205" t="e">
        <f xml:space="preserve"> IF(#REF!="", "",#REF!)</f>
        <v>#REF!</v>
      </c>
      <c r="H110" s="205" t="e">
        <f xml:space="preserve"> IF(#REF!="", "",#REF!)</f>
        <v>#REF!</v>
      </c>
      <c r="I110" s="205" t="e">
        <f xml:space="preserve"> IF(#REF!="", "",#REF!)</f>
        <v>#REF!</v>
      </c>
      <c r="J110" s="298" t="e">
        <f>#REF!</f>
        <v>#REF!</v>
      </c>
      <c r="K110" s="149" t="e">
        <f>#REF!</f>
        <v>#REF!</v>
      </c>
      <c r="L110" s="149" t="e">
        <f>#REF!</f>
        <v>#REF!</v>
      </c>
      <c r="M110" s="150" t="e">
        <f>#REF!</f>
        <v>#REF!</v>
      </c>
      <c r="N110" s="364"/>
      <c r="O110" s="202"/>
      <c r="P110" s="151" t="e">
        <f>#REF!</f>
        <v>#REF!</v>
      </c>
      <c r="Q110" s="202"/>
      <c r="R110" s="152" t="e">
        <f>#REF!</f>
        <v>#REF!</v>
      </c>
      <c r="S110" s="202"/>
      <c r="T110" s="153" t="e">
        <f>#REF!</f>
        <v>#REF!</v>
      </c>
      <c r="U110" s="202"/>
      <c r="V110" s="153" t="e">
        <f>#REF!</f>
        <v>#REF!</v>
      </c>
      <c r="W110" s="202"/>
      <c r="X110" s="153" t="e">
        <f>#REF!</f>
        <v>#REF!</v>
      </c>
      <c r="Y110" s="202"/>
      <c r="Z110" s="152" t="e">
        <f>#REF!</f>
        <v>#REF!</v>
      </c>
      <c r="AA110" s="202"/>
      <c r="AB110" s="153" t="e">
        <f>#REF!</f>
        <v>#REF!</v>
      </c>
      <c r="AC110" s="202"/>
      <c r="AD110" s="152" t="e">
        <f>#REF!</f>
        <v>#REF!</v>
      </c>
      <c r="AE110" s="202"/>
      <c r="AF110" s="153" t="e">
        <f>#REF!</f>
        <v>#REF!</v>
      </c>
      <c r="AG110" s="202"/>
      <c r="AH110" s="152" t="e">
        <f>#REF!</f>
        <v>#REF!</v>
      </c>
      <c r="AI110" s="202"/>
      <c r="AJ110" s="153" t="e">
        <f>#REF!</f>
        <v>#REF!</v>
      </c>
      <c r="AK110" s="202"/>
      <c r="AL110" s="152" t="e">
        <f>#REF!</f>
        <v>#REF!</v>
      </c>
      <c r="AM110" s="202"/>
      <c r="AN110" s="153" t="e">
        <f>#REF!</f>
        <v>#REF!</v>
      </c>
      <c r="AO110" s="202"/>
      <c r="AP110" s="152" t="e">
        <f>#REF!</f>
        <v>#REF!</v>
      </c>
      <c r="AQ110" s="202"/>
      <c r="AR110" s="154" t="e">
        <f>#REF!</f>
        <v>#REF!</v>
      </c>
      <c r="AS110" s="202"/>
      <c r="AT110" s="153" t="e">
        <f>#REF!</f>
        <v>#REF!</v>
      </c>
      <c r="AU110" s="202"/>
      <c r="AV110" s="152" t="e">
        <f>#REF!</f>
        <v>#REF!</v>
      </c>
      <c r="AW110" s="202"/>
      <c r="AX110" s="153" t="e">
        <f>#REF!</f>
        <v>#REF!</v>
      </c>
      <c r="AY110" s="202"/>
      <c r="AZ110" s="152" t="e">
        <f>#REF!</f>
        <v>#REF!</v>
      </c>
      <c r="BA110" s="202"/>
      <c r="BB110" s="154" t="e">
        <f>#REF!</f>
        <v>#REF!</v>
      </c>
      <c r="BC110" s="137"/>
    </row>
    <row r="111" spans="1:55" ht="30" customHeight="1">
      <c r="A111" s="203" t="e">
        <f>#REF!</f>
        <v>#REF!</v>
      </c>
      <c r="B111" s="204" t="e">
        <f xml:space="preserve"> IF(#REF!=0, "",#REF!)</f>
        <v>#REF!</v>
      </c>
      <c r="C111" s="369" t="e">
        <f>#REF!</f>
        <v>#REF!</v>
      </c>
      <c r="D111" s="369"/>
      <c r="E111" s="291" t="e">
        <f>#REF!</f>
        <v>#REF!</v>
      </c>
      <c r="F111" s="148" t="e">
        <f>#REF!</f>
        <v>#REF!</v>
      </c>
      <c r="G111" s="205" t="e">
        <f xml:space="preserve"> IF(#REF!="", "",#REF!)</f>
        <v>#REF!</v>
      </c>
      <c r="H111" s="205" t="e">
        <f xml:space="preserve"> IF(#REF!="", "",#REF!)</f>
        <v>#REF!</v>
      </c>
      <c r="I111" s="205" t="e">
        <f xml:space="preserve"> IF(#REF!="", "",#REF!)</f>
        <v>#REF!</v>
      </c>
      <c r="J111" s="298" t="e">
        <f>#REF!</f>
        <v>#REF!</v>
      </c>
      <c r="K111" s="149" t="e">
        <f>#REF!</f>
        <v>#REF!</v>
      </c>
      <c r="L111" s="149" t="e">
        <f>#REF!</f>
        <v>#REF!</v>
      </c>
      <c r="M111" s="150" t="e">
        <f>#REF!</f>
        <v>#REF!</v>
      </c>
      <c r="N111" s="364"/>
      <c r="O111" s="202"/>
      <c r="P111" s="151" t="e">
        <f>#REF!</f>
        <v>#REF!</v>
      </c>
      <c r="Q111" s="202"/>
      <c r="R111" s="152" t="e">
        <f>#REF!</f>
        <v>#REF!</v>
      </c>
      <c r="S111" s="202"/>
      <c r="T111" s="153" t="e">
        <f>#REF!</f>
        <v>#REF!</v>
      </c>
      <c r="U111" s="202"/>
      <c r="V111" s="153" t="e">
        <f>#REF!</f>
        <v>#REF!</v>
      </c>
      <c r="W111" s="202"/>
      <c r="X111" s="153" t="e">
        <f>#REF!</f>
        <v>#REF!</v>
      </c>
      <c r="Y111" s="202"/>
      <c r="Z111" s="152" t="e">
        <f>#REF!</f>
        <v>#REF!</v>
      </c>
      <c r="AA111" s="202"/>
      <c r="AB111" s="153" t="e">
        <f>#REF!</f>
        <v>#REF!</v>
      </c>
      <c r="AC111" s="202"/>
      <c r="AD111" s="152" t="e">
        <f>#REF!</f>
        <v>#REF!</v>
      </c>
      <c r="AE111" s="202"/>
      <c r="AF111" s="153" t="e">
        <f>#REF!</f>
        <v>#REF!</v>
      </c>
      <c r="AG111" s="202"/>
      <c r="AH111" s="152" t="e">
        <f>#REF!</f>
        <v>#REF!</v>
      </c>
      <c r="AI111" s="202"/>
      <c r="AJ111" s="153" t="e">
        <f>#REF!</f>
        <v>#REF!</v>
      </c>
      <c r="AK111" s="202"/>
      <c r="AL111" s="152" t="e">
        <f>#REF!</f>
        <v>#REF!</v>
      </c>
      <c r="AM111" s="202"/>
      <c r="AN111" s="153" t="e">
        <f>#REF!</f>
        <v>#REF!</v>
      </c>
      <c r="AO111" s="202"/>
      <c r="AP111" s="152" t="e">
        <f>#REF!</f>
        <v>#REF!</v>
      </c>
      <c r="AQ111" s="202"/>
      <c r="AR111" s="154" t="e">
        <f>#REF!</f>
        <v>#REF!</v>
      </c>
      <c r="AS111" s="202"/>
      <c r="AT111" s="153" t="e">
        <f>#REF!</f>
        <v>#REF!</v>
      </c>
      <c r="AU111" s="202"/>
      <c r="AV111" s="152" t="e">
        <f>#REF!</f>
        <v>#REF!</v>
      </c>
      <c r="AW111" s="202"/>
      <c r="AX111" s="153" t="e">
        <f>#REF!</f>
        <v>#REF!</v>
      </c>
      <c r="AY111" s="202"/>
      <c r="AZ111" s="152" t="e">
        <f>#REF!</f>
        <v>#REF!</v>
      </c>
      <c r="BA111" s="202"/>
      <c r="BB111" s="154" t="e">
        <f>#REF!</f>
        <v>#REF!</v>
      </c>
      <c r="BC111" s="137"/>
    </row>
    <row r="112" spans="1:55" ht="30" customHeight="1">
      <c r="A112" s="203" t="e">
        <f>#REF!</f>
        <v>#REF!</v>
      </c>
      <c r="B112" s="204" t="e">
        <f xml:space="preserve"> IF(#REF!=0, "",#REF!)</f>
        <v>#REF!</v>
      </c>
      <c r="C112" s="369" t="e">
        <f>#REF!</f>
        <v>#REF!</v>
      </c>
      <c r="D112" s="369"/>
      <c r="E112" s="291" t="e">
        <f>#REF!</f>
        <v>#REF!</v>
      </c>
      <c r="F112" s="148" t="e">
        <f>#REF!</f>
        <v>#REF!</v>
      </c>
      <c r="G112" s="205" t="e">
        <f xml:space="preserve"> IF(#REF!="", "",#REF!)</f>
        <v>#REF!</v>
      </c>
      <c r="H112" s="205" t="e">
        <f xml:space="preserve"> IF(#REF!="", "",#REF!)</f>
        <v>#REF!</v>
      </c>
      <c r="I112" s="205" t="e">
        <f xml:space="preserve"> IF(#REF!="", "",#REF!)</f>
        <v>#REF!</v>
      </c>
      <c r="J112" s="298" t="e">
        <f>#REF!</f>
        <v>#REF!</v>
      </c>
      <c r="K112" s="149" t="e">
        <f>#REF!</f>
        <v>#REF!</v>
      </c>
      <c r="L112" s="149" t="e">
        <f>#REF!</f>
        <v>#REF!</v>
      </c>
      <c r="M112" s="150" t="e">
        <f>#REF!</f>
        <v>#REF!</v>
      </c>
      <c r="N112" s="364"/>
      <c r="O112" s="202"/>
      <c r="P112" s="151" t="e">
        <f>#REF!</f>
        <v>#REF!</v>
      </c>
      <c r="Q112" s="202"/>
      <c r="R112" s="152" t="e">
        <f>#REF!</f>
        <v>#REF!</v>
      </c>
      <c r="S112" s="202"/>
      <c r="T112" s="153" t="e">
        <f>#REF!</f>
        <v>#REF!</v>
      </c>
      <c r="U112" s="202"/>
      <c r="V112" s="153" t="e">
        <f>#REF!</f>
        <v>#REF!</v>
      </c>
      <c r="W112" s="202"/>
      <c r="X112" s="153" t="e">
        <f>#REF!</f>
        <v>#REF!</v>
      </c>
      <c r="Y112" s="202"/>
      <c r="Z112" s="152" t="e">
        <f>#REF!</f>
        <v>#REF!</v>
      </c>
      <c r="AA112" s="202"/>
      <c r="AB112" s="153" t="e">
        <f>#REF!</f>
        <v>#REF!</v>
      </c>
      <c r="AC112" s="202"/>
      <c r="AD112" s="152" t="e">
        <f>#REF!</f>
        <v>#REF!</v>
      </c>
      <c r="AE112" s="202"/>
      <c r="AF112" s="153" t="e">
        <f>#REF!</f>
        <v>#REF!</v>
      </c>
      <c r="AG112" s="202"/>
      <c r="AH112" s="152" t="e">
        <f>#REF!</f>
        <v>#REF!</v>
      </c>
      <c r="AI112" s="202"/>
      <c r="AJ112" s="153" t="e">
        <f>#REF!</f>
        <v>#REF!</v>
      </c>
      <c r="AK112" s="202"/>
      <c r="AL112" s="152" t="e">
        <f>#REF!</f>
        <v>#REF!</v>
      </c>
      <c r="AM112" s="202"/>
      <c r="AN112" s="153" t="e">
        <f>#REF!</f>
        <v>#REF!</v>
      </c>
      <c r="AO112" s="202"/>
      <c r="AP112" s="152" t="e">
        <f>#REF!</f>
        <v>#REF!</v>
      </c>
      <c r="AQ112" s="202"/>
      <c r="AR112" s="154" t="e">
        <f>#REF!</f>
        <v>#REF!</v>
      </c>
      <c r="AS112" s="202"/>
      <c r="AT112" s="153" t="e">
        <f>#REF!</f>
        <v>#REF!</v>
      </c>
      <c r="AU112" s="202"/>
      <c r="AV112" s="152" t="e">
        <f>#REF!</f>
        <v>#REF!</v>
      </c>
      <c r="AW112" s="202"/>
      <c r="AX112" s="153" t="e">
        <f>#REF!</f>
        <v>#REF!</v>
      </c>
      <c r="AY112" s="202"/>
      <c r="AZ112" s="152" t="e">
        <f>#REF!</f>
        <v>#REF!</v>
      </c>
      <c r="BA112" s="202"/>
      <c r="BB112" s="154" t="e">
        <f>#REF!</f>
        <v>#REF!</v>
      </c>
      <c r="BC112" s="137"/>
    </row>
    <row r="113" spans="1:55" ht="30" customHeight="1">
      <c r="A113" s="203" t="e">
        <f>#REF!</f>
        <v>#REF!</v>
      </c>
      <c r="B113" s="204" t="e">
        <f xml:space="preserve"> IF(#REF!=0, "",#REF!)</f>
        <v>#REF!</v>
      </c>
      <c r="C113" s="369" t="e">
        <f>#REF!</f>
        <v>#REF!</v>
      </c>
      <c r="D113" s="369"/>
      <c r="E113" s="291" t="e">
        <f>#REF!</f>
        <v>#REF!</v>
      </c>
      <c r="F113" s="148" t="e">
        <f>#REF!</f>
        <v>#REF!</v>
      </c>
      <c r="G113" s="205" t="e">
        <f xml:space="preserve"> IF(#REF!="", "",#REF!)</f>
        <v>#REF!</v>
      </c>
      <c r="H113" s="205" t="e">
        <f xml:space="preserve"> IF(#REF!="", "",#REF!)</f>
        <v>#REF!</v>
      </c>
      <c r="I113" s="205" t="e">
        <f xml:space="preserve"> IF(#REF!="", "",#REF!)</f>
        <v>#REF!</v>
      </c>
      <c r="J113" s="298" t="e">
        <f>#REF!</f>
        <v>#REF!</v>
      </c>
      <c r="K113" s="149" t="e">
        <f>#REF!</f>
        <v>#REF!</v>
      </c>
      <c r="L113" s="149" t="e">
        <f>#REF!</f>
        <v>#REF!</v>
      </c>
      <c r="M113" s="150" t="e">
        <f>#REF!</f>
        <v>#REF!</v>
      </c>
      <c r="N113" s="364"/>
      <c r="O113" s="202"/>
      <c r="P113" s="151" t="e">
        <f>#REF!</f>
        <v>#REF!</v>
      </c>
      <c r="Q113" s="202"/>
      <c r="R113" s="152" t="e">
        <f>#REF!</f>
        <v>#REF!</v>
      </c>
      <c r="S113" s="202"/>
      <c r="T113" s="153" t="e">
        <f>#REF!</f>
        <v>#REF!</v>
      </c>
      <c r="U113" s="202"/>
      <c r="V113" s="153" t="e">
        <f>#REF!</f>
        <v>#REF!</v>
      </c>
      <c r="W113" s="202"/>
      <c r="X113" s="153" t="e">
        <f>#REF!</f>
        <v>#REF!</v>
      </c>
      <c r="Y113" s="202"/>
      <c r="Z113" s="152" t="e">
        <f>#REF!</f>
        <v>#REF!</v>
      </c>
      <c r="AA113" s="202"/>
      <c r="AB113" s="153" t="e">
        <f>#REF!</f>
        <v>#REF!</v>
      </c>
      <c r="AC113" s="202"/>
      <c r="AD113" s="152" t="e">
        <f>#REF!</f>
        <v>#REF!</v>
      </c>
      <c r="AE113" s="202"/>
      <c r="AF113" s="153" t="e">
        <f>#REF!</f>
        <v>#REF!</v>
      </c>
      <c r="AG113" s="202"/>
      <c r="AH113" s="152" t="e">
        <f>#REF!</f>
        <v>#REF!</v>
      </c>
      <c r="AI113" s="202"/>
      <c r="AJ113" s="153" t="e">
        <f>#REF!</f>
        <v>#REF!</v>
      </c>
      <c r="AK113" s="202"/>
      <c r="AL113" s="152" t="e">
        <f>#REF!</f>
        <v>#REF!</v>
      </c>
      <c r="AM113" s="202"/>
      <c r="AN113" s="153" t="e">
        <f>#REF!</f>
        <v>#REF!</v>
      </c>
      <c r="AO113" s="202"/>
      <c r="AP113" s="152" t="e">
        <f>#REF!</f>
        <v>#REF!</v>
      </c>
      <c r="AQ113" s="202"/>
      <c r="AR113" s="154" t="e">
        <f>#REF!</f>
        <v>#REF!</v>
      </c>
      <c r="AS113" s="202"/>
      <c r="AT113" s="153" t="e">
        <f>#REF!</f>
        <v>#REF!</v>
      </c>
      <c r="AU113" s="202"/>
      <c r="AV113" s="152" t="e">
        <f>#REF!</f>
        <v>#REF!</v>
      </c>
      <c r="AW113" s="202"/>
      <c r="AX113" s="153" t="e">
        <f>#REF!</f>
        <v>#REF!</v>
      </c>
      <c r="AY113" s="202"/>
      <c r="AZ113" s="152" t="e">
        <f>#REF!</f>
        <v>#REF!</v>
      </c>
      <c r="BA113" s="202"/>
      <c r="BB113" s="154" t="e">
        <f>#REF!</f>
        <v>#REF!</v>
      </c>
      <c r="BC113" s="137"/>
    </row>
    <row r="114" spans="1:55" ht="30" customHeight="1">
      <c r="A114" s="203" t="e">
        <f>#REF!</f>
        <v>#REF!</v>
      </c>
      <c r="B114" s="204" t="e">
        <f xml:space="preserve"> IF(#REF!=0, "",#REF!)</f>
        <v>#REF!</v>
      </c>
      <c r="C114" s="369" t="e">
        <f>#REF!</f>
        <v>#REF!</v>
      </c>
      <c r="D114" s="369"/>
      <c r="E114" s="291" t="e">
        <f>#REF!</f>
        <v>#REF!</v>
      </c>
      <c r="F114" s="148" t="e">
        <f>#REF!</f>
        <v>#REF!</v>
      </c>
      <c r="G114" s="205" t="e">
        <f xml:space="preserve"> IF(#REF!="", "",#REF!)</f>
        <v>#REF!</v>
      </c>
      <c r="H114" s="205" t="e">
        <f xml:space="preserve"> IF(#REF!="", "",#REF!)</f>
        <v>#REF!</v>
      </c>
      <c r="I114" s="205" t="e">
        <f xml:space="preserve"> IF(#REF!="", "",#REF!)</f>
        <v>#REF!</v>
      </c>
      <c r="J114" s="298" t="e">
        <f>#REF!</f>
        <v>#REF!</v>
      </c>
      <c r="K114" s="149" t="e">
        <f>#REF!</f>
        <v>#REF!</v>
      </c>
      <c r="L114" s="149" t="e">
        <f>#REF!</f>
        <v>#REF!</v>
      </c>
      <c r="M114" s="150" t="e">
        <f>#REF!</f>
        <v>#REF!</v>
      </c>
      <c r="N114" s="364"/>
      <c r="O114" s="202"/>
      <c r="P114" s="151" t="e">
        <f>#REF!</f>
        <v>#REF!</v>
      </c>
      <c r="Q114" s="202"/>
      <c r="R114" s="152" t="e">
        <f>#REF!</f>
        <v>#REF!</v>
      </c>
      <c r="S114" s="202"/>
      <c r="T114" s="153" t="e">
        <f>#REF!</f>
        <v>#REF!</v>
      </c>
      <c r="U114" s="202"/>
      <c r="V114" s="153" t="e">
        <f>#REF!</f>
        <v>#REF!</v>
      </c>
      <c r="W114" s="202"/>
      <c r="X114" s="153" t="e">
        <f>#REF!</f>
        <v>#REF!</v>
      </c>
      <c r="Y114" s="202"/>
      <c r="Z114" s="152" t="e">
        <f>#REF!</f>
        <v>#REF!</v>
      </c>
      <c r="AA114" s="202"/>
      <c r="AB114" s="153" t="e">
        <f>#REF!</f>
        <v>#REF!</v>
      </c>
      <c r="AC114" s="202"/>
      <c r="AD114" s="152" t="e">
        <f>#REF!</f>
        <v>#REF!</v>
      </c>
      <c r="AE114" s="202"/>
      <c r="AF114" s="153" t="e">
        <f>#REF!</f>
        <v>#REF!</v>
      </c>
      <c r="AG114" s="202"/>
      <c r="AH114" s="152" t="e">
        <f>#REF!</f>
        <v>#REF!</v>
      </c>
      <c r="AI114" s="202"/>
      <c r="AJ114" s="153" t="e">
        <f>#REF!</f>
        <v>#REF!</v>
      </c>
      <c r="AK114" s="202"/>
      <c r="AL114" s="152" t="e">
        <f>#REF!</f>
        <v>#REF!</v>
      </c>
      <c r="AM114" s="202"/>
      <c r="AN114" s="153" t="e">
        <f>#REF!</f>
        <v>#REF!</v>
      </c>
      <c r="AO114" s="202"/>
      <c r="AP114" s="152" t="e">
        <f>#REF!</f>
        <v>#REF!</v>
      </c>
      <c r="AQ114" s="202"/>
      <c r="AR114" s="154" t="e">
        <f>#REF!</f>
        <v>#REF!</v>
      </c>
      <c r="AS114" s="202"/>
      <c r="AT114" s="153" t="e">
        <f>#REF!</f>
        <v>#REF!</v>
      </c>
      <c r="AU114" s="202"/>
      <c r="AV114" s="152" t="e">
        <f>#REF!</f>
        <v>#REF!</v>
      </c>
      <c r="AW114" s="202"/>
      <c r="AX114" s="153" t="e">
        <f>#REF!</f>
        <v>#REF!</v>
      </c>
      <c r="AY114" s="202"/>
      <c r="AZ114" s="152" t="e">
        <f>#REF!</f>
        <v>#REF!</v>
      </c>
      <c r="BA114" s="202"/>
      <c r="BB114" s="154" t="e">
        <f>#REF!</f>
        <v>#REF!</v>
      </c>
      <c r="BC114" s="137"/>
    </row>
    <row r="115" spans="1:55" ht="30" customHeight="1">
      <c r="A115" s="203" t="e">
        <f>#REF!</f>
        <v>#REF!</v>
      </c>
      <c r="B115" s="204" t="e">
        <f xml:space="preserve"> IF(#REF!=0, "",#REF!)</f>
        <v>#REF!</v>
      </c>
      <c r="C115" s="369" t="e">
        <f>#REF!</f>
        <v>#REF!</v>
      </c>
      <c r="D115" s="369"/>
      <c r="E115" s="291" t="e">
        <f>#REF!</f>
        <v>#REF!</v>
      </c>
      <c r="F115" s="148" t="e">
        <f>#REF!</f>
        <v>#REF!</v>
      </c>
      <c r="G115" s="205" t="e">
        <f xml:space="preserve"> IF(#REF!="", "",#REF!)</f>
        <v>#REF!</v>
      </c>
      <c r="H115" s="205" t="e">
        <f xml:space="preserve"> IF(#REF!="", "",#REF!)</f>
        <v>#REF!</v>
      </c>
      <c r="I115" s="205" t="e">
        <f xml:space="preserve"> IF(#REF!="", "",#REF!)</f>
        <v>#REF!</v>
      </c>
      <c r="J115" s="298" t="e">
        <f>#REF!</f>
        <v>#REF!</v>
      </c>
      <c r="K115" s="149" t="e">
        <f>#REF!</f>
        <v>#REF!</v>
      </c>
      <c r="L115" s="149" t="e">
        <f>#REF!</f>
        <v>#REF!</v>
      </c>
      <c r="M115" s="150" t="e">
        <f>#REF!</f>
        <v>#REF!</v>
      </c>
      <c r="N115" s="364"/>
      <c r="O115" s="202"/>
      <c r="P115" s="151" t="e">
        <f>#REF!</f>
        <v>#REF!</v>
      </c>
      <c r="Q115" s="202"/>
      <c r="R115" s="152" t="e">
        <f>#REF!</f>
        <v>#REF!</v>
      </c>
      <c r="S115" s="202"/>
      <c r="T115" s="153" t="e">
        <f>#REF!</f>
        <v>#REF!</v>
      </c>
      <c r="U115" s="202"/>
      <c r="V115" s="153" t="e">
        <f>#REF!</f>
        <v>#REF!</v>
      </c>
      <c r="W115" s="202"/>
      <c r="X115" s="153" t="e">
        <f>#REF!</f>
        <v>#REF!</v>
      </c>
      <c r="Y115" s="202"/>
      <c r="Z115" s="152" t="e">
        <f>#REF!</f>
        <v>#REF!</v>
      </c>
      <c r="AA115" s="202"/>
      <c r="AB115" s="153" t="e">
        <f>#REF!</f>
        <v>#REF!</v>
      </c>
      <c r="AC115" s="202"/>
      <c r="AD115" s="152" t="e">
        <f>#REF!</f>
        <v>#REF!</v>
      </c>
      <c r="AE115" s="202"/>
      <c r="AF115" s="153" t="e">
        <f>#REF!</f>
        <v>#REF!</v>
      </c>
      <c r="AG115" s="202"/>
      <c r="AH115" s="152" t="e">
        <f>#REF!</f>
        <v>#REF!</v>
      </c>
      <c r="AI115" s="202"/>
      <c r="AJ115" s="153" t="e">
        <f>#REF!</f>
        <v>#REF!</v>
      </c>
      <c r="AK115" s="202"/>
      <c r="AL115" s="152" t="e">
        <f>#REF!</f>
        <v>#REF!</v>
      </c>
      <c r="AM115" s="202"/>
      <c r="AN115" s="153" t="e">
        <f>#REF!</f>
        <v>#REF!</v>
      </c>
      <c r="AO115" s="202"/>
      <c r="AP115" s="152" t="e">
        <f>#REF!</f>
        <v>#REF!</v>
      </c>
      <c r="AQ115" s="202"/>
      <c r="AR115" s="154" t="e">
        <f>#REF!</f>
        <v>#REF!</v>
      </c>
      <c r="AS115" s="202"/>
      <c r="AT115" s="153" t="e">
        <f>#REF!</f>
        <v>#REF!</v>
      </c>
      <c r="AU115" s="202"/>
      <c r="AV115" s="152" t="e">
        <f>#REF!</f>
        <v>#REF!</v>
      </c>
      <c r="AW115" s="202"/>
      <c r="AX115" s="153" t="e">
        <f>#REF!</f>
        <v>#REF!</v>
      </c>
      <c r="AY115" s="202"/>
      <c r="AZ115" s="152" t="e">
        <f>#REF!</f>
        <v>#REF!</v>
      </c>
      <c r="BA115" s="202"/>
      <c r="BB115" s="154" t="e">
        <f>#REF!</f>
        <v>#REF!</v>
      </c>
      <c r="BC115" s="137"/>
    </row>
    <row r="116" spans="1:55" ht="30" customHeight="1">
      <c r="A116" s="203" t="e">
        <f>#REF!</f>
        <v>#REF!</v>
      </c>
      <c r="B116" s="204" t="e">
        <f xml:space="preserve"> IF(#REF!=0, "",#REF!)</f>
        <v>#REF!</v>
      </c>
      <c r="C116" s="369" t="e">
        <f>#REF!</f>
        <v>#REF!</v>
      </c>
      <c r="D116" s="369"/>
      <c r="E116" s="291" t="e">
        <f>#REF!</f>
        <v>#REF!</v>
      </c>
      <c r="F116" s="148" t="e">
        <f>#REF!</f>
        <v>#REF!</v>
      </c>
      <c r="G116" s="205" t="e">
        <f xml:space="preserve"> IF(#REF!="", "",#REF!)</f>
        <v>#REF!</v>
      </c>
      <c r="H116" s="205" t="e">
        <f xml:space="preserve"> IF(#REF!="", "",#REF!)</f>
        <v>#REF!</v>
      </c>
      <c r="I116" s="205" t="e">
        <f xml:space="preserve"> IF(#REF!="", "",#REF!)</f>
        <v>#REF!</v>
      </c>
      <c r="J116" s="298" t="e">
        <f>#REF!</f>
        <v>#REF!</v>
      </c>
      <c r="K116" s="149" t="e">
        <f>#REF!</f>
        <v>#REF!</v>
      </c>
      <c r="L116" s="149" t="e">
        <f>#REF!</f>
        <v>#REF!</v>
      </c>
      <c r="M116" s="150" t="e">
        <f>#REF!</f>
        <v>#REF!</v>
      </c>
      <c r="N116" s="364"/>
      <c r="O116" s="202"/>
      <c r="P116" s="151" t="e">
        <f>#REF!</f>
        <v>#REF!</v>
      </c>
      <c r="Q116" s="202"/>
      <c r="R116" s="152" t="e">
        <f>#REF!</f>
        <v>#REF!</v>
      </c>
      <c r="S116" s="202"/>
      <c r="T116" s="153" t="e">
        <f>#REF!</f>
        <v>#REF!</v>
      </c>
      <c r="U116" s="202"/>
      <c r="V116" s="153" t="e">
        <f>#REF!</f>
        <v>#REF!</v>
      </c>
      <c r="W116" s="202"/>
      <c r="X116" s="153" t="e">
        <f>#REF!</f>
        <v>#REF!</v>
      </c>
      <c r="Y116" s="202"/>
      <c r="Z116" s="152" t="e">
        <f>#REF!</f>
        <v>#REF!</v>
      </c>
      <c r="AA116" s="202"/>
      <c r="AB116" s="153" t="e">
        <f>#REF!</f>
        <v>#REF!</v>
      </c>
      <c r="AC116" s="202"/>
      <c r="AD116" s="152" t="e">
        <f>#REF!</f>
        <v>#REF!</v>
      </c>
      <c r="AE116" s="202"/>
      <c r="AF116" s="153" t="e">
        <f>#REF!</f>
        <v>#REF!</v>
      </c>
      <c r="AG116" s="202"/>
      <c r="AH116" s="152" t="e">
        <f>#REF!</f>
        <v>#REF!</v>
      </c>
      <c r="AI116" s="202"/>
      <c r="AJ116" s="153" t="e">
        <f>#REF!</f>
        <v>#REF!</v>
      </c>
      <c r="AK116" s="202"/>
      <c r="AL116" s="152" t="e">
        <f>#REF!</f>
        <v>#REF!</v>
      </c>
      <c r="AM116" s="202"/>
      <c r="AN116" s="153" t="e">
        <f>#REF!</f>
        <v>#REF!</v>
      </c>
      <c r="AO116" s="202"/>
      <c r="AP116" s="152" t="e">
        <f>#REF!</f>
        <v>#REF!</v>
      </c>
      <c r="AQ116" s="202"/>
      <c r="AR116" s="154" t="e">
        <f>#REF!</f>
        <v>#REF!</v>
      </c>
      <c r="AS116" s="202"/>
      <c r="AT116" s="153" t="e">
        <f>#REF!</f>
        <v>#REF!</v>
      </c>
      <c r="AU116" s="202"/>
      <c r="AV116" s="152" t="e">
        <f>#REF!</f>
        <v>#REF!</v>
      </c>
      <c r="AW116" s="202"/>
      <c r="AX116" s="153" t="e">
        <f>#REF!</f>
        <v>#REF!</v>
      </c>
      <c r="AY116" s="202"/>
      <c r="AZ116" s="152" t="e">
        <f>#REF!</f>
        <v>#REF!</v>
      </c>
      <c r="BA116" s="202"/>
      <c r="BB116" s="154" t="e">
        <f>#REF!</f>
        <v>#REF!</v>
      </c>
      <c r="BC116" s="137"/>
    </row>
    <row r="117" spans="1:55" ht="30" customHeight="1">
      <c r="A117" s="203" t="e">
        <f>#REF!</f>
        <v>#REF!</v>
      </c>
      <c r="B117" s="204" t="e">
        <f xml:space="preserve"> IF(#REF!=0, "",#REF!)</f>
        <v>#REF!</v>
      </c>
      <c r="C117" s="369" t="e">
        <f>#REF!</f>
        <v>#REF!</v>
      </c>
      <c r="D117" s="369"/>
      <c r="E117" s="291" t="e">
        <f>#REF!</f>
        <v>#REF!</v>
      </c>
      <c r="F117" s="148" t="e">
        <f>#REF!</f>
        <v>#REF!</v>
      </c>
      <c r="G117" s="205" t="e">
        <f xml:space="preserve"> IF(#REF!="", "",#REF!)</f>
        <v>#REF!</v>
      </c>
      <c r="H117" s="205" t="e">
        <f xml:space="preserve"> IF(#REF!="", "",#REF!)</f>
        <v>#REF!</v>
      </c>
      <c r="I117" s="205" t="e">
        <f xml:space="preserve"> IF(#REF!="", "",#REF!)</f>
        <v>#REF!</v>
      </c>
      <c r="J117" s="298" t="e">
        <f>#REF!</f>
        <v>#REF!</v>
      </c>
      <c r="K117" s="149" t="e">
        <f>#REF!</f>
        <v>#REF!</v>
      </c>
      <c r="L117" s="149" t="e">
        <f>#REF!</f>
        <v>#REF!</v>
      </c>
      <c r="M117" s="150" t="e">
        <f>#REF!</f>
        <v>#REF!</v>
      </c>
      <c r="N117" s="364"/>
      <c r="O117" s="202"/>
      <c r="P117" s="151" t="e">
        <f>#REF!</f>
        <v>#REF!</v>
      </c>
      <c r="Q117" s="202"/>
      <c r="R117" s="152" t="e">
        <f>#REF!</f>
        <v>#REF!</v>
      </c>
      <c r="S117" s="202"/>
      <c r="T117" s="153" t="e">
        <f>#REF!</f>
        <v>#REF!</v>
      </c>
      <c r="U117" s="202"/>
      <c r="V117" s="153" t="e">
        <f>#REF!</f>
        <v>#REF!</v>
      </c>
      <c r="W117" s="202"/>
      <c r="X117" s="153" t="e">
        <f>#REF!</f>
        <v>#REF!</v>
      </c>
      <c r="Y117" s="202"/>
      <c r="Z117" s="152" t="e">
        <f>#REF!</f>
        <v>#REF!</v>
      </c>
      <c r="AA117" s="202"/>
      <c r="AB117" s="153" t="e">
        <f>#REF!</f>
        <v>#REF!</v>
      </c>
      <c r="AC117" s="202"/>
      <c r="AD117" s="152" t="e">
        <f>#REF!</f>
        <v>#REF!</v>
      </c>
      <c r="AE117" s="202"/>
      <c r="AF117" s="153" t="e">
        <f>#REF!</f>
        <v>#REF!</v>
      </c>
      <c r="AG117" s="202"/>
      <c r="AH117" s="152" t="e">
        <f>#REF!</f>
        <v>#REF!</v>
      </c>
      <c r="AI117" s="202"/>
      <c r="AJ117" s="153" t="e">
        <f>#REF!</f>
        <v>#REF!</v>
      </c>
      <c r="AK117" s="202"/>
      <c r="AL117" s="152" t="e">
        <f>#REF!</f>
        <v>#REF!</v>
      </c>
      <c r="AM117" s="202"/>
      <c r="AN117" s="153" t="e">
        <f>#REF!</f>
        <v>#REF!</v>
      </c>
      <c r="AO117" s="202"/>
      <c r="AP117" s="152" t="e">
        <f>#REF!</f>
        <v>#REF!</v>
      </c>
      <c r="AQ117" s="202"/>
      <c r="AR117" s="154" t="e">
        <f>#REF!</f>
        <v>#REF!</v>
      </c>
      <c r="AS117" s="202"/>
      <c r="AT117" s="153" t="e">
        <f>#REF!</f>
        <v>#REF!</v>
      </c>
      <c r="AU117" s="202"/>
      <c r="AV117" s="152" t="e">
        <f>#REF!</f>
        <v>#REF!</v>
      </c>
      <c r="AW117" s="202"/>
      <c r="AX117" s="153" t="e">
        <f>#REF!</f>
        <v>#REF!</v>
      </c>
      <c r="AY117" s="202"/>
      <c r="AZ117" s="152" t="e">
        <f>#REF!</f>
        <v>#REF!</v>
      </c>
      <c r="BA117" s="202"/>
      <c r="BB117" s="154" t="e">
        <f>#REF!</f>
        <v>#REF!</v>
      </c>
      <c r="BC117" s="137"/>
    </row>
    <row r="118" spans="1:55" ht="30" customHeight="1">
      <c r="A118" s="203" t="e">
        <f>#REF!</f>
        <v>#REF!</v>
      </c>
      <c r="B118" s="204" t="e">
        <f xml:space="preserve"> IF(#REF!=0, "",#REF!)</f>
        <v>#REF!</v>
      </c>
      <c r="C118" s="369" t="e">
        <f>#REF!</f>
        <v>#REF!</v>
      </c>
      <c r="D118" s="369"/>
      <c r="E118" s="291" t="e">
        <f>#REF!</f>
        <v>#REF!</v>
      </c>
      <c r="F118" s="148" t="e">
        <f>#REF!</f>
        <v>#REF!</v>
      </c>
      <c r="G118" s="205" t="e">
        <f xml:space="preserve"> IF(#REF!="", "",#REF!)</f>
        <v>#REF!</v>
      </c>
      <c r="H118" s="205" t="e">
        <f xml:space="preserve"> IF(#REF!="", "",#REF!)</f>
        <v>#REF!</v>
      </c>
      <c r="I118" s="205" t="e">
        <f xml:space="preserve"> IF(#REF!="", "",#REF!)</f>
        <v>#REF!</v>
      </c>
      <c r="J118" s="298" t="e">
        <f>#REF!</f>
        <v>#REF!</v>
      </c>
      <c r="K118" s="149" t="e">
        <f>#REF!</f>
        <v>#REF!</v>
      </c>
      <c r="L118" s="149" t="e">
        <f>#REF!</f>
        <v>#REF!</v>
      </c>
      <c r="M118" s="150" t="e">
        <f>#REF!</f>
        <v>#REF!</v>
      </c>
      <c r="N118" s="364"/>
      <c r="O118" s="202"/>
      <c r="P118" s="151" t="e">
        <f>#REF!</f>
        <v>#REF!</v>
      </c>
      <c r="Q118" s="202"/>
      <c r="R118" s="152" t="e">
        <f>#REF!</f>
        <v>#REF!</v>
      </c>
      <c r="S118" s="202"/>
      <c r="T118" s="153" t="e">
        <f>#REF!</f>
        <v>#REF!</v>
      </c>
      <c r="U118" s="202"/>
      <c r="V118" s="153" t="e">
        <f>#REF!</f>
        <v>#REF!</v>
      </c>
      <c r="W118" s="202"/>
      <c r="X118" s="153" t="e">
        <f>#REF!</f>
        <v>#REF!</v>
      </c>
      <c r="Y118" s="202"/>
      <c r="Z118" s="152" t="e">
        <f>#REF!</f>
        <v>#REF!</v>
      </c>
      <c r="AA118" s="202"/>
      <c r="AB118" s="153" t="e">
        <f>#REF!</f>
        <v>#REF!</v>
      </c>
      <c r="AC118" s="202"/>
      <c r="AD118" s="152" t="e">
        <f>#REF!</f>
        <v>#REF!</v>
      </c>
      <c r="AE118" s="202"/>
      <c r="AF118" s="153" t="e">
        <f>#REF!</f>
        <v>#REF!</v>
      </c>
      <c r="AG118" s="202"/>
      <c r="AH118" s="152" t="e">
        <f>#REF!</f>
        <v>#REF!</v>
      </c>
      <c r="AI118" s="202"/>
      <c r="AJ118" s="153" t="e">
        <f>#REF!</f>
        <v>#REF!</v>
      </c>
      <c r="AK118" s="202"/>
      <c r="AL118" s="152" t="e">
        <f>#REF!</f>
        <v>#REF!</v>
      </c>
      <c r="AM118" s="202"/>
      <c r="AN118" s="153" t="e">
        <f>#REF!</f>
        <v>#REF!</v>
      </c>
      <c r="AO118" s="202"/>
      <c r="AP118" s="152" t="e">
        <f>#REF!</f>
        <v>#REF!</v>
      </c>
      <c r="AQ118" s="202"/>
      <c r="AR118" s="154" t="e">
        <f>#REF!</f>
        <v>#REF!</v>
      </c>
      <c r="AS118" s="202"/>
      <c r="AT118" s="153" t="e">
        <f>#REF!</f>
        <v>#REF!</v>
      </c>
      <c r="AU118" s="202"/>
      <c r="AV118" s="152" t="e">
        <f>#REF!</f>
        <v>#REF!</v>
      </c>
      <c r="AW118" s="202"/>
      <c r="AX118" s="153" t="e">
        <f>#REF!</f>
        <v>#REF!</v>
      </c>
      <c r="AY118" s="202"/>
      <c r="AZ118" s="152" t="e">
        <f>#REF!</f>
        <v>#REF!</v>
      </c>
      <c r="BA118" s="202"/>
      <c r="BB118" s="154" t="e">
        <f>#REF!</f>
        <v>#REF!</v>
      </c>
      <c r="BC118" s="137"/>
    </row>
    <row r="119" spans="1:55" ht="30" customHeight="1">
      <c r="A119" s="203" t="e">
        <f>#REF!</f>
        <v>#REF!</v>
      </c>
      <c r="B119" s="204" t="e">
        <f xml:space="preserve"> IF(#REF!=0, "",#REF!)</f>
        <v>#REF!</v>
      </c>
      <c r="C119" s="369" t="e">
        <f>#REF!</f>
        <v>#REF!</v>
      </c>
      <c r="D119" s="369"/>
      <c r="E119" s="291" t="e">
        <f>#REF!</f>
        <v>#REF!</v>
      </c>
      <c r="F119" s="148" t="e">
        <f>#REF!</f>
        <v>#REF!</v>
      </c>
      <c r="G119" s="205" t="e">
        <f xml:space="preserve"> IF(#REF!="", "",#REF!)</f>
        <v>#REF!</v>
      </c>
      <c r="H119" s="205" t="e">
        <f xml:space="preserve"> IF(#REF!="", "",#REF!)</f>
        <v>#REF!</v>
      </c>
      <c r="I119" s="205" t="e">
        <f xml:space="preserve"> IF(#REF!="", "",#REF!)</f>
        <v>#REF!</v>
      </c>
      <c r="J119" s="298" t="e">
        <f>#REF!</f>
        <v>#REF!</v>
      </c>
      <c r="K119" s="149" t="e">
        <f>#REF!</f>
        <v>#REF!</v>
      </c>
      <c r="L119" s="149" t="e">
        <f>#REF!</f>
        <v>#REF!</v>
      </c>
      <c r="M119" s="150" t="e">
        <f>#REF!</f>
        <v>#REF!</v>
      </c>
      <c r="N119" s="364"/>
      <c r="O119" s="202"/>
      <c r="P119" s="151" t="e">
        <f>#REF!</f>
        <v>#REF!</v>
      </c>
      <c r="Q119" s="202"/>
      <c r="R119" s="152" t="e">
        <f>#REF!</f>
        <v>#REF!</v>
      </c>
      <c r="S119" s="202"/>
      <c r="T119" s="153" t="e">
        <f>#REF!</f>
        <v>#REF!</v>
      </c>
      <c r="U119" s="202"/>
      <c r="V119" s="153" t="e">
        <f>#REF!</f>
        <v>#REF!</v>
      </c>
      <c r="W119" s="202"/>
      <c r="X119" s="153" t="e">
        <f>#REF!</f>
        <v>#REF!</v>
      </c>
      <c r="Y119" s="202"/>
      <c r="Z119" s="152" t="e">
        <f>#REF!</f>
        <v>#REF!</v>
      </c>
      <c r="AA119" s="202"/>
      <c r="AB119" s="153" t="e">
        <f>#REF!</f>
        <v>#REF!</v>
      </c>
      <c r="AC119" s="202"/>
      <c r="AD119" s="152" t="e">
        <f>#REF!</f>
        <v>#REF!</v>
      </c>
      <c r="AE119" s="202"/>
      <c r="AF119" s="153" t="e">
        <f>#REF!</f>
        <v>#REF!</v>
      </c>
      <c r="AG119" s="202"/>
      <c r="AH119" s="152" t="e">
        <f>#REF!</f>
        <v>#REF!</v>
      </c>
      <c r="AI119" s="202"/>
      <c r="AJ119" s="153" t="e">
        <f>#REF!</f>
        <v>#REF!</v>
      </c>
      <c r="AK119" s="202"/>
      <c r="AL119" s="152" t="e">
        <f>#REF!</f>
        <v>#REF!</v>
      </c>
      <c r="AM119" s="202"/>
      <c r="AN119" s="153" t="e">
        <f>#REF!</f>
        <v>#REF!</v>
      </c>
      <c r="AO119" s="202"/>
      <c r="AP119" s="152" t="e">
        <f>#REF!</f>
        <v>#REF!</v>
      </c>
      <c r="AQ119" s="202"/>
      <c r="AR119" s="154" t="e">
        <f>#REF!</f>
        <v>#REF!</v>
      </c>
      <c r="AS119" s="202"/>
      <c r="AT119" s="153" t="e">
        <f>#REF!</f>
        <v>#REF!</v>
      </c>
      <c r="AU119" s="202"/>
      <c r="AV119" s="152" t="e">
        <f>#REF!</f>
        <v>#REF!</v>
      </c>
      <c r="AW119" s="202"/>
      <c r="AX119" s="153" t="e">
        <f>#REF!</f>
        <v>#REF!</v>
      </c>
      <c r="AY119" s="202"/>
      <c r="AZ119" s="152" t="e">
        <f>#REF!</f>
        <v>#REF!</v>
      </c>
      <c r="BA119" s="202"/>
      <c r="BB119" s="154" t="e">
        <f>#REF!</f>
        <v>#REF!</v>
      </c>
      <c r="BC119" s="137"/>
    </row>
    <row r="120" spans="1:55" ht="30" customHeight="1">
      <c r="A120" s="203" t="e">
        <f>#REF!</f>
        <v>#REF!</v>
      </c>
      <c r="B120" s="204" t="e">
        <f xml:space="preserve"> IF(#REF!=0, "",#REF!)</f>
        <v>#REF!</v>
      </c>
      <c r="C120" s="369" t="e">
        <f>#REF!</f>
        <v>#REF!</v>
      </c>
      <c r="D120" s="369"/>
      <c r="E120" s="291" t="e">
        <f>#REF!</f>
        <v>#REF!</v>
      </c>
      <c r="F120" s="148" t="e">
        <f>#REF!</f>
        <v>#REF!</v>
      </c>
      <c r="G120" s="205" t="e">
        <f xml:space="preserve"> IF(#REF!="", "",#REF!)</f>
        <v>#REF!</v>
      </c>
      <c r="H120" s="205" t="e">
        <f xml:space="preserve"> IF(#REF!="", "",#REF!)</f>
        <v>#REF!</v>
      </c>
      <c r="I120" s="205" t="e">
        <f xml:space="preserve"> IF(#REF!="", "",#REF!)</f>
        <v>#REF!</v>
      </c>
      <c r="J120" s="298" t="e">
        <f>#REF!</f>
        <v>#REF!</v>
      </c>
      <c r="K120" s="149" t="e">
        <f>#REF!</f>
        <v>#REF!</v>
      </c>
      <c r="L120" s="149" t="e">
        <f>#REF!</f>
        <v>#REF!</v>
      </c>
      <c r="M120" s="150" t="e">
        <f>#REF!</f>
        <v>#REF!</v>
      </c>
      <c r="N120" s="364"/>
      <c r="O120" s="202"/>
      <c r="P120" s="151" t="e">
        <f>#REF!</f>
        <v>#REF!</v>
      </c>
      <c r="Q120" s="202"/>
      <c r="R120" s="152" t="e">
        <f>#REF!</f>
        <v>#REF!</v>
      </c>
      <c r="S120" s="202"/>
      <c r="T120" s="153" t="e">
        <f>#REF!</f>
        <v>#REF!</v>
      </c>
      <c r="U120" s="202"/>
      <c r="V120" s="153" t="e">
        <f>#REF!</f>
        <v>#REF!</v>
      </c>
      <c r="W120" s="202"/>
      <c r="X120" s="153" t="e">
        <f>#REF!</f>
        <v>#REF!</v>
      </c>
      <c r="Y120" s="202"/>
      <c r="Z120" s="152" t="e">
        <f>#REF!</f>
        <v>#REF!</v>
      </c>
      <c r="AA120" s="202"/>
      <c r="AB120" s="153" t="e">
        <f>#REF!</f>
        <v>#REF!</v>
      </c>
      <c r="AC120" s="202"/>
      <c r="AD120" s="152" t="e">
        <f>#REF!</f>
        <v>#REF!</v>
      </c>
      <c r="AE120" s="202"/>
      <c r="AF120" s="153" t="e">
        <f>#REF!</f>
        <v>#REF!</v>
      </c>
      <c r="AG120" s="202"/>
      <c r="AH120" s="152" t="e">
        <f>#REF!</f>
        <v>#REF!</v>
      </c>
      <c r="AI120" s="202"/>
      <c r="AJ120" s="153" t="e">
        <f>#REF!</f>
        <v>#REF!</v>
      </c>
      <c r="AK120" s="202"/>
      <c r="AL120" s="152" t="e">
        <f>#REF!</f>
        <v>#REF!</v>
      </c>
      <c r="AM120" s="202"/>
      <c r="AN120" s="153" t="e">
        <f>#REF!</f>
        <v>#REF!</v>
      </c>
      <c r="AO120" s="202"/>
      <c r="AP120" s="152" t="e">
        <f>#REF!</f>
        <v>#REF!</v>
      </c>
      <c r="AQ120" s="202"/>
      <c r="AR120" s="154" t="e">
        <f>#REF!</f>
        <v>#REF!</v>
      </c>
      <c r="AS120" s="202"/>
      <c r="AT120" s="153" t="e">
        <f>#REF!</f>
        <v>#REF!</v>
      </c>
      <c r="AU120" s="202"/>
      <c r="AV120" s="152" t="e">
        <f>#REF!</f>
        <v>#REF!</v>
      </c>
      <c r="AW120" s="202"/>
      <c r="AX120" s="153" t="e">
        <f>#REF!</f>
        <v>#REF!</v>
      </c>
      <c r="AY120" s="202"/>
      <c r="AZ120" s="152" t="e">
        <f>#REF!</f>
        <v>#REF!</v>
      </c>
      <c r="BA120" s="202"/>
      <c r="BB120" s="154" t="e">
        <f>#REF!</f>
        <v>#REF!</v>
      </c>
      <c r="BC120" s="137"/>
    </row>
    <row r="121" spans="1:55" ht="30" customHeight="1">
      <c r="A121" s="203" t="e">
        <f>#REF!</f>
        <v>#REF!</v>
      </c>
      <c r="B121" s="204" t="e">
        <f xml:space="preserve"> IF(#REF!=0, "",#REF!)</f>
        <v>#REF!</v>
      </c>
      <c r="C121" s="369" t="e">
        <f>#REF!</f>
        <v>#REF!</v>
      </c>
      <c r="D121" s="369"/>
      <c r="E121" s="291" t="e">
        <f>#REF!</f>
        <v>#REF!</v>
      </c>
      <c r="F121" s="148" t="e">
        <f>#REF!</f>
        <v>#REF!</v>
      </c>
      <c r="G121" s="205" t="e">
        <f xml:space="preserve"> IF(#REF!="", "",#REF!)</f>
        <v>#REF!</v>
      </c>
      <c r="H121" s="205" t="e">
        <f xml:space="preserve"> IF(#REF!="", "",#REF!)</f>
        <v>#REF!</v>
      </c>
      <c r="I121" s="205" t="e">
        <f xml:space="preserve"> IF(#REF!="", "",#REF!)</f>
        <v>#REF!</v>
      </c>
      <c r="J121" s="298" t="e">
        <f>#REF!</f>
        <v>#REF!</v>
      </c>
      <c r="K121" s="149" t="e">
        <f>#REF!</f>
        <v>#REF!</v>
      </c>
      <c r="L121" s="149" t="e">
        <f>#REF!</f>
        <v>#REF!</v>
      </c>
      <c r="M121" s="150" t="e">
        <f>#REF!</f>
        <v>#REF!</v>
      </c>
      <c r="N121" s="364"/>
      <c r="O121" s="202"/>
      <c r="P121" s="151" t="e">
        <f>#REF!</f>
        <v>#REF!</v>
      </c>
      <c r="Q121" s="202"/>
      <c r="R121" s="152" t="e">
        <f>#REF!</f>
        <v>#REF!</v>
      </c>
      <c r="S121" s="202"/>
      <c r="T121" s="153" t="e">
        <f>#REF!</f>
        <v>#REF!</v>
      </c>
      <c r="U121" s="202"/>
      <c r="V121" s="153" t="e">
        <f>#REF!</f>
        <v>#REF!</v>
      </c>
      <c r="W121" s="202"/>
      <c r="X121" s="153" t="e">
        <f>#REF!</f>
        <v>#REF!</v>
      </c>
      <c r="Y121" s="202"/>
      <c r="Z121" s="152" t="e">
        <f>#REF!</f>
        <v>#REF!</v>
      </c>
      <c r="AA121" s="202"/>
      <c r="AB121" s="153" t="e">
        <f>#REF!</f>
        <v>#REF!</v>
      </c>
      <c r="AC121" s="202"/>
      <c r="AD121" s="152" t="e">
        <f>#REF!</f>
        <v>#REF!</v>
      </c>
      <c r="AE121" s="202"/>
      <c r="AF121" s="153" t="e">
        <f>#REF!</f>
        <v>#REF!</v>
      </c>
      <c r="AG121" s="202"/>
      <c r="AH121" s="152" t="e">
        <f>#REF!</f>
        <v>#REF!</v>
      </c>
      <c r="AI121" s="202"/>
      <c r="AJ121" s="153" t="e">
        <f>#REF!</f>
        <v>#REF!</v>
      </c>
      <c r="AK121" s="202"/>
      <c r="AL121" s="152" t="e">
        <f>#REF!</f>
        <v>#REF!</v>
      </c>
      <c r="AM121" s="202"/>
      <c r="AN121" s="153" t="e">
        <f>#REF!</f>
        <v>#REF!</v>
      </c>
      <c r="AO121" s="202"/>
      <c r="AP121" s="152" t="e">
        <f>#REF!</f>
        <v>#REF!</v>
      </c>
      <c r="AQ121" s="202"/>
      <c r="AR121" s="154" t="e">
        <f>#REF!</f>
        <v>#REF!</v>
      </c>
      <c r="AS121" s="202"/>
      <c r="AT121" s="153" t="e">
        <f>#REF!</f>
        <v>#REF!</v>
      </c>
      <c r="AU121" s="202"/>
      <c r="AV121" s="152" t="e">
        <f>#REF!</f>
        <v>#REF!</v>
      </c>
      <c r="AW121" s="202"/>
      <c r="AX121" s="153" t="e">
        <f>#REF!</f>
        <v>#REF!</v>
      </c>
      <c r="AY121" s="202"/>
      <c r="AZ121" s="152" t="e">
        <f>#REF!</f>
        <v>#REF!</v>
      </c>
      <c r="BA121" s="202"/>
      <c r="BB121" s="154" t="e">
        <f>#REF!</f>
        <v>#REF!</v>
      </c>
      <c r="BC121" s="137"/>
    </row>
    <row r="122" spans="1:55" ht="30" customHeight="1">
      <c r="A122" s="203" t="e">
        <f>#REF!</f>
        <v>#REF!</v>
      </c>
      <c r="B122" s="204" t="e">
        <f xml:space="preserve"> IF(#REF!=0, "",#REF!)</f>
        <v>#REF!</v>
      </c>
      <c r="C122" s="369" t="e">
        <f>#REF!</f>
        <v>#REF!</v>
      </c>
      <c r="D122" s="369"/>
      <c r="E122" s="291" t="e">
        <f>#REF!</f>
        <v>#REF!</v>
      </c>
      <c r="F122" s="148" t="e">
        <f>#REF!</f>
        <v>#REF!</v>
      </c>
      <c r="G122" s="205" t="e">
        <f xml:space="preserve"> IF(#REF!="", "",#REF!)</f>
        <v>#REF!</v>
      </c>
      <c r="H122" s="205" t="e">
        <f xml:space="preserve"> IF(#REF!="", "",#REF!)</f>
        <v>#REF!</v>
      </c>
      <c r="I122" s="205" t="e">
        <f xml:space="preserve"> IF(#REF!="", "",#REF!)</f>
        <v>#REF!</v>
      </c>
      <c r="J122" s="298" t="e">
        <f>#REF!</f>
        <v>#REF!</v>
      </c>
      <c r="K122" s="149" t="e">
        <f>#REF!</f>
        <v>#REF!</v>
      </c>
      <c r="L122" s="149" t="e">
        <f>#REF!</f>
        <v>#REF!</v>
      </c>
      <c r="M122" s="150" t="e">
        <f>#REF!</f>
        <v>#REF!</v>
      </c>
      <c r="N122" s="364"/>
      <c r="O122" s="202"/>
      <c r="P122" s="151" t="e">
        <f>#REF!</f>
        <v>#REF!</v>
      </c>
      <c r="Q122" s="202"/>
      <c r="R122" s="152" t="e">
        <f>#REF!</f>
        <v>#REF!</v>
      </c>
      <c r="S122" s="202"/>
      <c r="T122" s="153" t="e">
        <f>#REF!</f>
        <v>#REF!</v>
      </c>
      <c r="U122" s="202"/>
      <c r="V122" s="153" t="e">
        <f>#REF!</f>
        <v>#REF!</v>
      </c>
      <c r="W122" s="202"/>
      <c r="X122" s="153" t="e">
        <f>#REF!</f>
        <v>#REF!</v>
      </c>
      <c r="Y122" s="202"/>
      <c r="Z122" s="152" t="e">
        <f>#REF!</f>
        <v>#REF!</v>
      </c>
      <c r="AA122" s="202"/>
      <c r="AB122" s="153" t="e">
        <f>#REF!</f>
        <v>#REF!</v>
      </c>
      <c r="AC122" s="202"/>
      <c r="AD122" s="152" t="e">
        <f>#REF!</f>
        <v>#REF!</v>
      </c>
      <c r="AE122" s="202"/>
      <c r="AF122" s="153" t="e">
        <f>#REF!</f>
        <v>#REF!</v>
      </c>
      <c r="AG122" s="202"/>
      <c r="AH122" s="152" t="e">
        <f>#REF!</f>
        <v>#REF!</v>
      </c>
      <c r="AI122" s="202"/>
      <c r="AJ122" s="153" t="e">
        <f>#REF!</f>
        <v>#REF!</v>
      </c>
      <c r="AK122" s="202"/>
      <c r="AL122" s="152" t="e">
        <f>#REF!</f>
        <v>#REF!</v>
      </c>
      <c r="AM122" s="202"/>
      <c r="AN122" s="153" t="e">
        <f>#REF!</f>
        <v>#REF!</v>
      </c>
      <c r="AO122" s="202"/>
      <c r="AP122" s="152" t="e">
        <f>#REF!</f>
        <v>#REF!</v>
      </c>
      <c r="AQ122" s="202"/>
      <c r="AR122" s="154" t="e">
        <f>#REF!</f>
        <v>#REF!</v>
      </c>
      <c r="AS122" s="202"/>
      <c r="AT122" s="153" t="e">
        <f>#REF!</f>
        <v>#REF!</v>
      </c>
      <c r="AU122" s="202"/>
      <c r="AV122" s="152" t="e">
        <f>#REF!</f>
        <v>#REF!</v>
      </c>
      <c r="AW122" s="202"/>
      <c r="AX122" s="153" t="e">
        <f>#REF!</f>
        <v>#REF!</v>
      </c>
      <c r="AY122" s="202"/>
      <c r="AZ122" s="152" t="e">
        <f>#REF!</f>
        <v>#REF!</v>
      </c>
      <c r="BA122" s="202"/>
      <c r="BB122" s="154" t="e">
        <f>#REF!</f>
        <v>#REF!</v>
      </c>
      <c r="BC122" s="137"/>
    </row>
    <row r="123" spans="1:55" ht="30" customHeight="1">
      <c r="A123" s="203" t="e">
        <f>#REF!</f>
        <v>#REF!</v>
      </c>
      <c r="B123" s="204" t="e">
        <f xml:space="preserve"> IF(#REF!=0, "",#REF!)</f>
        <v>#REF!</v>
      </c>
      <c r="C123" s="369" t="e">
        <f>#REF!</f>
        <v>#REF!</v>
      </c>
      <c r="D123" s="369"/>
      <c r="E123" s="291" t="e">
        <f>#REF!</f>
        <v>#REF!</v>
      </c>
      <c r="F123" s="148" t="e">
        <f>#REF!</f>
        <v>#REF!</v>
      </c>
      <c r="G123" s="205" t="e">
        <f xml:space="preserve"> IF(#REF!="", "",#REF!)</f>
        <v>#REF!</v>
      </c>
      <c r="H123" s="205" t="e">
        <f xml:space="preserve"> IF(#REF!="", "",#REF!)</f>
        <v>#REF!</v>
      </c>
      <c r="I123" s="205" t="e">
        <f xml:space="preserve"> IF(#REF!="", "",#REF!)</f>
        <v>#REF!</v>
      </c>
      <c r="J123" s="298" t="e">
        <f>#REF!</f>
        <v>#REF!</v>
      </c>
      <c r="K123" s="149" t="e">
        <f>#REF!</f>
        <v>#REF!</v>
      </c>
      <c r="L123" s="149" t="e">
        <f>#REF!</f>
        <v>#REF!</v>
      </c>
      <c r="M123" s="150" t="e">
        <f>#REF!</f>
        <v>#REF!</v>
      </c>
      <c r="N123" s="364"/>
      <c r="O123" s="202"/>
      <c r="P123" s="151" t="e">
        <f>#REF!</f>
        <v>#REF!</v>
      </c>
      <c r="Q123" s="202"/>
      <c r="R123" s="152" t="e">
        <f>#REF!</f>
        <v>#REF!</v>
      </c>
      <c r="S123" s="202"/>
      <c r="T123" s="153" t="e">
        <f>#REF!</f>
        <v>#REF!</v>
      </c>
      <c r="U123" s="202"/>
      <c r="V123" s="153" t="e">
        <f>#REF!</f>
        <v>#REF!</v>
      </c>
      <c r="W123" s="202"/>
      <c r="X123" s="153" t="e">
        <f>#REF!</f>
        <v>#REF!</v>
      </c>
      <c r="Y123" s="202"/>
      <c r="Z123" s="152" t="e">
        <f>#REF!</f>
        <v>#REF!</v>
      </c>
      <c r="AA123" s="202"/>
      <c r="AB123" s="153" t="e">
        <f>#REF!</f>
        <v>#REF!</v>
      </c>
      <c r="AC123" s="202"/>
      <c r="AD123" s="152" t="e">
        <f>#REF!</f>
        <v>#REF!</v>
      </c>
      <c r="AE123" s="202"/>
      <c r="AF123" s="153" t="e">
        <f>#REF!</f>
        <v>#REF!</v>
      </c>
      <c r="AG123" s="202"/>
      <c r="AH123" s="152" t="e">
        <f>#REF!</f>
        <v>#REF!</v>
      </c>
      <c r="AI123" s="202"/>
      <c r="AJ123" s="153" t="e">
        <f>#REF!</f>
        <v>#REF!</v>
      </c>
      <c r="AK123" s="202"/>
      <c r="AL123" s="152" t="e">
        <f>#REF!</f>
        <v>#REF!</v>
      </c>
      <c r="AM123" s="202"/>
      <c r="AN123" s="153" t="e">
        <f>#REF!</f>
        <v>#REF!</v>
      </c>
      <c r="AO123" s="202"/>
      <c r="AP123" s="152" t="e">
        <f>#REF!</f>
        <v>#REF!</v>
      </c>
      <c r="AQ123" s="202"/>
      <c r="AR123" s="154" t="e">
        <f>#REF!</f>
        <v>#REF!</v>
      </c>
      <c r="AS123" s="202"/>
      <c r="AT123" s="153" t="e">
        <f>#REF!</f>
        <v>#REF!</v>
      </c>
      <c r="AU123" s="202"/>
      <c r="AV123" s="152" t="e">
        <f>#REF!</f>
        <v>#REF!</v>
      </c>
      <c r="AW123" s="202"/>
      <c r="AX123" s="153" t="e">
        <f>#REF!</f>
        <v>#REF!</v>
      </c>
      <c r="AY123" s="202"/>
      <c r="AZ123" s="152" t="e">
        <f>#REF!</f>
        <v>#REF!</v>
      </c>
      <c r="BA123" s="202"/>
      <c r="BB123" s="154" t="e">
        <f>#REF!</f>
        <v>#REF!</v>
      </c>
      <c r="BC123" s="137"/>
    </row>
    <row r="124" spans="1:55" ht="30" customHeight="1">
      <c r="A124" s="203" t="e">
        <f>#REF!</f>
        <v>#REF!</v>
      </c>
      <c r="B124" s="204" t="e">
        <f xml:space="preserve"> IF(#REF!=0, "",#REF!)</f>
        <v>#REF!</v>
      </c>
      <c r="C124" s="369" t="e">
        <f>#REF!</f>
        <v>#REF!</v>
      </c>
      <c r="D124" s="369"/>
      <c r="E124" s="291" t="e">
        <f>#REF!</f>
        <v>#REF!</v>
      </c>
      <c r="F124" s="148" t="e">
        <f>#REF!</f>
        <v>#REF!</v>
      </c>
      <c r="G124" s="205" t="e">
        <f xml:space="preserve"> IF(#REF!="", "",#REF!)</f>
        <v>#REF!</v>
      </c>
      <c r="H124" s="205" t="e">
        <f xml:space="preserve"> IF(#REF!="", "",#REF!)</f>
        <v>#REF!</v>
      </c>
      <c r="I124" s="205" t="e">
        <f xml:space="preserve"> IF(#REF!="", "",#REF!)</f>
        <v>#REF!</v>
      </c>
      <c r="J124" s="298" t="e">
        <f>#REF!</f>
        <v>#REF!</v>
      </c>
      <c r="K124" s="149" t="e">
        <f>#REF!</f>
        <v>#REF!</v>
      </c>
      <c r="L124" s="149" t="e">
        <f>#REF!</f>
        <v>#REF!</v>
      </c>
      <c r="M124" s="150" t="e">
        <f>#REF!</f>
        <v>#REF!</v>
      </c>
      <c r="N124" s="364"/>
      <c r="O124" s="202"/>
      <c r="P124" s="151" t="e">
        <f>#REF!</f>
        <v>#REF!</v>
      </c>
      <c r="Q124" s="202"/>
      <c r="R124" s="152" t="e">
        <f>#REF!</f>
        <v>#REF!</v>
      </c>
      <c r="S124" s="202"/>
      <c r="T124" s="153" t="e">
        <f>#REF!</f>
        <v>#REF!</v>
      </c>
      <c r="U124" s="202"/>
      <c r="V124" s="153" t="e">
        <f>#REF!</f>
        <v>#REF!</v>
      </c>
      <c r="W124" s="202"/>
      <c r="X124" s="153" t="e">
        <f>#REF!</f>
        <v>#REF!</v>
      </c>
      <c r="Y124" s="202"/>
      <c r="Z124" s="152" t="e">
        <f>#REF!</f>
        <v>#REF!</v>
      </c>
      <c r="AA124" s="202"/>
      <c r="AB124" s="153" t="e">
        <f>#REF!</f>
        <v>#REF!</v>
      </c>
      <c r="AC124" s="202"/>
      <c r="AD124" s="152" t="e">
        <f>#REF!</f>
        <v>#REF!</v>
      </c>
      <c r="AE124" s="202"/>
      <c r="AF124" s="153" t="e">
        <f>#REF!</f>
        <v>#REF!</v>
      </c>
      <c r="AG124" s="202"/>
      <c r="AH124" s="152" t="e">
        <f>#REF!</f>
        <v>#REF!</v>
      </c>
      <c r="AI124" s="202"/>
      <c r="AJ124" s="153" t="e">
        <f>#REF!</f>
        <v>#REF!</v>
      </c>
      <c r="AK124" s="202"/>
      <c r="AL124" s="152" t="e">
        <f>#REF!</f>
        <v>#REF!</v>
      </c>
      <c r="AM124" s="202"/>
      <c r="AN124" s="153" t="e">
        <f>#REF!</f>
        <v>#REF!</v>
      </c>
      <c r="AO124" s="202"/>
      <c r="AP124" s="152" t="e">
        <f>#REF!</f>
        <v>#REF!</v>
      </c>
      <c r="AQ124" s="202"/>
      <c r="AR124" s="154" t="e">
        <f>#REF!</f>
        <v>#REF!</v>
      </c>
      <c r="AS124" s="202"/>
      <c r="AT124" s="153" t="e">
        <f>#REF!</f>
        <v>#REF!</v>
      </c>
      <c r="AU124" s="202"/>
      <c r="AV124" s="152" t="e">
        <f>#REF!</f>
        <v>#REF!</v>
      </c>
      <c r="AW124" s="202"/>
      <c r="AX124" s="153" t="e">
        <f>#REF!</f>
        <v>#REF!</v>
      </c>
      <c r="AY124" s="202"/>
      <c r="AZ124" s="152" t="e">
        <f>#REF!</f>
        <v>#REF!</v>
      </c>
      <c r="BA124" s="202"/>
      <c r="BB124" s="154" t="e">
        <f>#REF!</f>
        <v>#REF!</v>
      </c>
      <c r="BC124" s="137"/>
    </row>
    <row r="125" spans="1:55" ht="30" customHeight="1">
      <c r="A125" s="203" t="e">
        <f>#REF!</f>
        <v>#REF!</v>
      </c>
      <c r="B125" s="204" t="e">
        <f xml:space="preserve"> IF(#REF!=0, "",#REF!)</f>
        <v>#REF!</v>
      </c>
      <c r="C125" s="369" t="e">
        <f>#REF!</f>
        <v>#REF!</v>
      </c>
      <c r="D125" s="369"/>
      <c r="E125" s="291" t="e">
        <f>#REF!</f>
        <v>#REF!</v>
      </c>
      <c r="F125" s="148" t="e">
        <f>#REF!</f>
        <v>#REF!</v>
      </c>
      <c r="G125" s="205" t="e">
        <f xml:space="preserve"> IF(#REF!="", "",#REF!)</f>
        <v>#REF!</v>
      </c>
      <c r="H125" s="205" t="e">
        <f xml:space="preserve"> IF(#REF!="", "",#REF!)</f>
        <v>#REF!</v>
      </c>
      <c r="I125" s="205" t="e">
        <f xml:space="preserve"> IF(#REF!="", "",#REF!)</f>
        <v>#REF!</v>
      </c>
      <c r="J125" s="298" t="e">
        <f>#REF!</f>
        <v>#REF!</v>
      </c>
      <c r="K125" s="149" t="e">
        <f>#REF!</f>
        <v>#REF!</v>
      </c>
      <c r="L125" s="149" t="e">
        <f>#REF!</f>
        <v>#REF!</v>
      </c>
      <c r="M125" s="150" t="e">
        <f>#REF!</f>
        <v>#REF!</v>
      </c>
      <c r="N125" s="364"/>
      <c r="O125" s="202"/>
      <c r="P125" s="151" t="e">
        <f>#REF!</f>
        <v>#REF!</v>
      </c>
      <c r="Q125" s="202"/>
      <c r="R125" s="152" t="e">
        <f>#REF!</f>
        <v>#REF!</v>
      </c>
      <c r="S125" s="202"/>
      <c r="T125" s="153" t="e">
        <f>#REF!</f>
        <v>#REF!</v>
      </c>
      <c r="U125" s="202"/>
      <c r="V125" s="153" t="e">
        <f>#REF!</f>
        <v>#REF!</v>
      </c>
      <c r="W125" s="202"/>
      <c r="X125" s="153" t="e">
        <f>#REF!</f>
        <v>#REF!</v>
      </c>
      <c r="Y125" s="202"/>
      <c r="Z125" s="152" t="e">
        <f>#REF!</f>
        <v>#REF!</v>
      </c>
      <c r="AA125" s="202"/>
      <c r="AB125" s="153" t="e">
        <f>#REF!</f>
        <v>#REF!</v>
      </c>
      <c r="AC125" s="202"/>
      <c r="AD125" s="152" t="e">
        <f>#REF!</f>
        <v>#REF!</v>
      </c>
      <c r="AE125" s="202"/>
      <c r="AF125" s="153" t="e">
        <f>#REF!</f>
        <v>#REF!</v>
      </c>
      <c r="AG125" s="202"/>
      <c r="AH125" s="152" t="e">
        <f>#REF!</f>
        <v>#REF!</v>
      </c>
      <c r="AI125" s="202"/>
      <c r="AJ125" s="153" t="e">
        <f>#REF!</f>
        <v>#REF!</v>
      </c>
      <c r="AK125" s="202"/>
      <c r="AL125" s="152" t="e">
        <f>#REF!</f>
        <v>#REF!</v>
      </c>
      <c r="AM125" s="202"/>
      <c r="AN125" s="153" t="e">
        <f>#REF!</f>
        <v>#REF!</v>
      </c>
      <c r="AO125" s="202"/>
      <c r="AP125" s="152" t="e">
        <f>#REF!</f>
        <v>#REF!</v>
      </c>
      <c r="AQ125" s="202"/>
      <c r="AR125" s="154" t="e">
        <f>#REF!</f>
        <v>#REF!</v>
      </c>
      <c r="AS125" s="202"/>
      <c r="AT125" s="153" t="e">
        <f>#REF!</f>
        <v>#REF!</v>
      </c>
      <c r="AU125" s="202"/>
      <c r="AV125" s="152" t="e">
        <f>#REF!</f>
        <v>#REF!</v>
      </c>
      <c r="AW125" s="202"/>
      <c r="AX125" s="153" t="e">
        <f>#REF!</f>
        <v>#REF!</v>
      </c>
      <c r="AY125" s="202"/>
      <c r="AZ125" s="152" t="e">
        <f>#REF!</f>
        <v>#REF!</v>
      </c>
      <c r="BA125" s="202"/>
      <c r="BB125" s="154" t="e">
        <f>#REF!</f>
        <v>#REF!</v>
      </c>
      <c r="BC125" s="137"/>
    </row>
    <row r="126" spans="1:55" ht="30" customHeight="1">
      <c r="A126" s="203" t="e">
        <f>#REF!</f>
        <v>#REF!</v>
      </c>
      <c r="B126" s="204" t="e">
        <f xml:space="preserve"> IF(#REF!=0, "",#REF!)</f>
        <v>#REF!</v>
      </c>
      <c r="C126" s="369" t="e">
        <f>#REF!</f>
        <v>#REF!</v>
      </c>
      <c r="D126" s="369"/>
      <c r="E126" s="291" t="e">
        <f>#REF!</f>
        <v>#REF!</v>
      </c>
      <c r="F126" s="148" t="e">
        <f>#REF!</f>
        <v>#REF!</v>
      </c>
      <c r="G126" s="205" t="e">
        <f xml:space="preserve"> IF(#REF!="", "",#REF!)</f>
        <v>#REF!</v>
      </c>
      <c r="H126" s="205" t="e">
        <f xml:space="preserve"> IF(#REF!="", "",#REF!)</f>
        <v>#REF!</v>
      </c>
      <c r="I126" s="205" t="e">
        <f xml:space="preserve"> IF(#REF!="", "",#REF!)</f>
        <v>#REF!</v>
      </c>
      <c r="J126" s="298" t="e">
        <f>#REF!</f>
        <v>#REF!</v>
      </c>
      <c r="K126" s="149" t="e">
        <f>#REF!</f>
        <v>#REF!</v>
      </c>
      <c r="L126" s="149" t="e">
        <f>#REF!</f>
        <v>#REF!</v>
      </c>
      <c r="M126" s="150" t="e">
        <f>#REF!</f>
        <v>#REF!</v>
      </c>
      <c r="N126" s="364"/>
      <c r="O126" s="202"/>
      <c r="P126" s="151" t="e">
        <f>#REF!</f>
        <v>#REF!</v>
      </c>
      <c r="Q126" s="202"/>
      <c r="R126" s="152" t="e">
        <f>#REF!</f>
        <v>#REF!</v>
      </c>
      <c r="S126" s="202"/>
      <c r="T126" s="153" t="e">
        <f>#REF!</f>
        <v>#REF!</v>
      </c>
      <c r="U126" s="202"/>
      <c r="V126" s="153" t="e">
        <f>#REF!</f>
        <v>#REF!</v>
      </c>
      <c r="W126" s="202"/>
      <c r="X126" s="153" t="e">
        <f>#REF!</f>
        <v>#REF!</v>
      </c>
      <c r="Y126" s="202"/>
      <c r="Z126" s="152" t="e">
        <f>#REF!</f>
        <v>#REF!</v>
      </c>
      <c r="AA126" s="202"/>
      <c r="AB126" s="153" t="e">
        <f>#REF!</f>
        <v>#REF!</v>
      </c>
      <c r="AC126" s="202"/>
      <c r="AD126" s="152" t="e">
        <f>#REF!</f>
        <v>#REF!</v>
      </c>
      <c r="AE126" s="202"/>
      <c r="AF126" s="153" t="e">
        <f>#REF!</f>
        <v>#REF!</v>
      </c>
      <c r="AG126" s="202"/>
      <c r="AH126" s="152" t="e">
        <f>#REF!</f>
        <v>#REF!</v>
      </c>
      <c r="AI126" s="202"/>
      <c r="AJ126" s="153" t="e">
        <f>#REF!</f>
        <v>#REF!</v>
      </c>
      <c r="AK126" s="202"/>
      <c r="AL126" s="152" t="e">
        <f>#REF!</f>
        <v>#REF!</v>
      </c>
      <c r="AM126" s="202"/>
      <c r="AN126" s="153" t="e">
        <f>#REF!</f>
        <v>#REF!</v>
      </c>
      <c r="AO126" s="202"/>
      <c r="AP126" s="152" t="e">
        <f>#REF!</f>
        <v>#REF!</v>
      </c>
      <c r="AQ126" s="202"/>
      <c r="AR126" s="154" t="e">
        <f>#REF!</f>
        <v>#REF!</v>
      </c>
      <c r="AS126" s="202"/>
      <c r="AT126" s="153" t="e">
        <f>#REF!</f>
        <v>#REF!</v>
      </c>
      <c r="AU126" s="202"/>
      <c r="AV126" s="152" t="e">
        <f>#REF!</f>
        <v>#REF!</v>
      </c>
      <c r="AW126" s="202"/>
      <c r="AX126" s="153" t="e">
        <f>#REF!</f>
        <v>#REF!</v>
      </c>
      <c r="AY126" s="202"/>
      <c r="AZ126" s="152" t="e">
        <f>#REF!</f>
        <v>#REF!</v>
      </c>
      <c r="BA126" s="202"/>
      <c r="BB126" s="154" t="e">
        <f>#REF!</f>
        <v>#REF!</v>
      </c>
      <c r="BC126" s="137"/>
    </row>
    <row r="127" spans="1:55" ht="30" customHeight="1">
      <c r="A127" s="203" t="e">
        <f>#REF!</f>
        <v>#REF!</v>
      </c>
      <c r="B127" s="204" t="e">
        <f xml:space="preserve"> IF(#REF!=0, "",#REF!)</f>
        <v>#REF!</v>
      </c>
      <c r="C127" s="369" t="e">
        <f>#REF!</f>
        <v>#REF!</v>
      </c>
      <c r="D127" s="369"/>
      <c r="E127" s="291" t="e">
        <f>#REF!</f>
        <v>#REF!</v>
      </c>
      <c r="F127" s="148" t="e">
        <f>#REF!</f>
        <v>#REF!</v>
      </c>
      <c r="G127" s="205" t="e">
        <f xml:space="preserve"> IF(#REF!="", "",#REF!)</f>
        <v>#REF!</v>
      </c>
      <c r="H127" s="205" t="e">
        <f xml:space="preserve"> IF(#REF!="", "",#REF!)</f>
        <v>#REF!</v>
      </c>
      <c r="I127" s="205" t="e">
        <f xml:space="preserve"> IF(#REF!="", "",#REF!)</f>
        <v>#REF!</v>
      </c>
      <c r="J127" s="298" t="e">
        <f>#REF!</f>
        <v>#REF!</v>
      </c>
      <c r="K127" s="149" t="e">
        <f>#REF!</f>
        <v>#REF!</v>
      </c>
      <c r="L127" s="149" t="e">
        <f>#REF!</f>
        <v>#REF!</v>
      </c>
      <c r="M127" s="150" t="e">
        <f>#REF!</f>
        <v>#REF!</v>
      </c>
      <c r="N127" s="364"/>
      <c r="O127" s="202"/>
      <c r="P127" s="151" t="e">
        <f>#REF!</f>
        <v>#REF!</v>
      </c>
      <c r="Q127" s="202"/>
      <c r="R127" s="152" t="e">
        <f>#REF!</f>
        <v>#REF!</v>
      </c>
      <c r="S127" s="202"/>
      <c r="T127" s="153" t="e">
        <f>#REF!</f>
        <v>#REF!</v>
      </c>
      <c r="U127" s="202"/>
      <c r="V127" s="153" t="e">
        <f>#REF!</f>
        <v>#REF!</v>
      </c>
      <c r="W127" s="202"/>
      <c r="X127" s="153" t="e">
        <f>#REF!</f>
        <v>#REF!</v>
      </c>
      <c r="Y127" s="202"/>
      <c r="Z127" s="152" t="e">
        <f>#REF!</f>
        <v>#REF!</v>
      </c>
      <c r="AA127" s="202"/>
      <c r="AB127" s="153" t="e">
        <f>#REF!</f>
        <v>#REF!</v>
      </c>
      <c r="AC127" s="202"/>
      <c r="AD127" s="152" t="e">
        <f>#REF!</f>
        <v>#REF!</v>
      </c>
      <c r="AE127" s="202"/>
      <c r="AF127" s="153" t="e">
        <f>#REF!</f>
        <v>#REF!</v>
      </c>
      <c r="AG127" s="202"/>
      <c r="AH127" s="152" t="e">
        <f>#REF!</f>
        <v>#REF!</v>
      </c>
      <c r="AI127" s="202"/>
      <c r="AJ127" s="153" t="e">
        <f>#REF!</f>
        <v>#REF!</v>
      </c>
      <c r="AK127" s="202"/>
      <c r="AL127" s="152" t="e">
        <f>#REF!</f>
        <v>#REF!</v>
      </c>
      <c r="AM127" s="202"/>
      <c r="AN127" s="153" t="e">
        <f>#REF!</f>
        <v>#REF!</v>
      </c>
      <c r="AO127" s="202"/>
      <c r="AP127" s="152" t="e">
        <f>#REF!</f>
        <v>#REF!</v>
      </c>
      <c r="AQ127" s="202"/>
      <c r="AR127" s="154" t="e">
        <f>#REF!</f>
        <v>#REF!</v>
      </c>
      <c r="AS127" s="202"/>
      <c r="AT127" s="153" t="e">
        <f>#REF!</f>
        <v>#REF!</v>
      </c>
      <c r="AU127" s="202"/>
      <c r="AV127" s="152" t="e">
        <f>#REF!</f>
        <v>#REF!</v>
      </c>
      <c r="AW127" s="202"/>
      <c r="AX127" s="153" t="e">
        <f>#REF!</f>
        <v>#REF!</v>
      </c>
      <c r="AY127" s="202"/>
      <c r="AZ127" s="152" t="e">
        <f>#REF!</f>
        <v>#REF!</v>
      </c>
      <c r="BA127" s="202"/>
      <c r="BB127" s="154" t="e">
        <f>#REF!</f>
        <v>#REF!</v>
      </c>
      <c r="BC127" s="137"/>
    </row>
    <row r="128" spans="1:55" ht="30" customHeight="1">
      <c r="A128" s="203" t="e">
        <f>#REF!</f>
        <v>#REF!</v>
      </c>
      <c r="B128" s="204" t="e">
        <f xml:space="preserve"> IF(#REF!=0, "",#REF!)</f>
        <v>#REF!</v>
      </c>
      <c r="C128" s="369" t="e">
        <f>#REF!</f>
        <v>#REF!</v>
      </c>
      <c r="D128" s="369"/>
      <c r="E128" s="291" t="e">
        <f>#REF!</f>
        <v>#REF!</v>
      </c>
      <c r="F128" s="148" t="e">
        <f>#REF!</f>
        <v>#REF!</v>
      </c>
      <c r="G128" s="205" t="e">
        <f xml:space="preserve"> IF(#REF!="", "",#REF!)</f>
        <v>#REF!</v>
      </c>
      <c r="H128" s="205" t="e">
        <f xml:space="preserve"> IF(#REF!="", "",#REF!)</f>
        <v>#REF!</v>
      </c>
      <c r="I128" s="205" t="e">
        <f xml:space="preserve"> IF(#REF!="", "",#REF!)</f>
        <v>#REF!</v>
      </c>
      <c r="J128" s="298" t="e">
        <f>#REF!</f>
        <v>#REF!</v>
      </c>
      <c r="K128" s="149" t="e">
        <f>#REF!</f>
        <v>#REF!</v>
      </c>
      <c r="L128" s="149" t="e">
        <f>#REF!</f>
        <v>#REF!</v>
      </c>
      <c r="M128" s="150" t="e">
        <f>#REF!</f>
        <v>#REF!</v>
      </c>
      <c r="N128" s="364"/>
      <c r="O128" s="202"/>
      <c r="P128" s="151" t="e">
        <f>#REF!</f>
        <v>#REF!</v>
      </c>
      <c r="Q128" s="202"/>
      <c r="R128" s="152" t="e">
        <f>#REF!</f>
        <v>#REF!</v>
      </c>
      <c r="S128" s="202"/>
      <c r="T128" s="153" t="e">
        <f>#REF!</f>
        <v>#REF!</v>
      </c>
      <c r="U128" s="202"/>
      <c r="V128" s="153" t="e">
        <f>#REF!</f>
        <v>#REF!</v>
      </c>
      <c r="W128" s="202"/>
      <c r="X128" s="153" t="e">
        <f>#REF!</f>
        <v>#REF!</v>
      </c>
      <c r="Y128" s="202"/>
      <c r="Z128" s="152" t="e">
        <f>#REF!</f>
        <v>#REF!</v>
      </c>
      <c r="AA128" s="202"/>
      <c r="AB128" s="153" t="e">
        <f>#REF!</f>
        <v>#REF!</v>
      </c>
      <c r="AC128" s="202"/>
      <c r="AD128" s="152" t="e">
        <f>#REF!</f>
        <v>#REF!</v>
      </c>
      <c r="AE128" s="202"/>
      <c r="AF128" s="153" t="e">
        <f>#REF!</f>
        <v>#REF!</v>
      </c>
      <c r="AG128" s="202"/>
      <c r="AH128" s="152" t="e">
        <f>#REF!</f>
        <v>#REF!</v>
      </c>
      <c r="AI128" s="202"/>
      <c r="AJ128" s="153" t="e">
        <f>#REF!</f>
        <v>#REF!</v>
      </c>
      <c r="AK128" s="202"/>
      <c r="AL128" s="152" t="e">
        <f>#REF!</f>
        <v>#REF!</v>
      </c>
      <c r="AM128" s="202"/>
      <c r="AN128" s="153" t="e">
        <f>#REF!</f>
        <v>#REF!</v>
      </c>
      <c r="AO128" s="202"/>
      <c r="AP128" s="152" t="e">
        <f>#REF!</f>
        <v>#REF!</v>
      </c>
      <c r="AQ128" s="202"/>
      <c r="AR128" s="154" t="e">
        <f>#REF!</f>
        <v>#REF!</v>
      </c>
      <c r="AS128" s="202"/>
      <c r="AT128" s="153" t="e">
        <f>#REF!</f>
        <v>#REF!</v>
      </c>
      <c r="AU128" s="202"/>
      <c r="AV128" s="152" t="e">
        <f>#REF!</f>
        <v>#REF!</v>
      </c>
      <c r="AW128" s="202"/>
      <c r="AX128" s="153" t="e">
        <f>#REF!</f>
        <v>#REF!</v>
      </c>
      <c r="AY128" s="202"/>
      <c r="AZ128" s="152" t="e">
        <f>#REF!</f>
        <v>#REF!</v>
      </c>
      <c r="BA128" s="202"/>
      <c r="BB128" s="154" t="e">
        <f>#REF!</f>
        <v>#REF!</v>
      </c>
      <c r="BC128" s="137"/>
    </row>
    <row r="129" spans="1:55" ht="30" customHeight="1">
      <c r="A129" s="203" t="e">
        <f>#REF!</f>
        <v>#REF!</v>
      </c>
      <c r="B129" s="204" t="e">
        <f xml:space="preserve"> IF(#REF!=0, "",#REF!)</f>
        <v>#REF!</v>
      </c>
      <c r="C129" s="369" t="e">
        <f>#REF!</f>
        <v>#REF!</v>
      </c>
      <c r="D129" s="369"/>
      <c r="E129" s="291" t="e">
        <f>#REF!</f>
        <v>#REF!</v>
      </c>
      <c r="F129" s="148" t="e">
        <f>#REF!</f>
        <v>#REF!</v>
      </c>
      <c r="G129" s="205" t="e">
        <f xml:space="preserve"> IF(#REF!="", "",#REF!)</f>
        <v>#REF!</v>
      </c>
      <c r="H129" s="205" t="e">
        <f xml:space="preserve"> IF(#REF!="", "",#REF!)</f>
        <v>#REF!</v>
      </c>
      <c r="I129" s="205" t="e">
        <f xml:space="preserve"> IF(#REF!="", "",#REF!)</f>
        <v>#REF!</v>
      </c>
      <c r="J129" s="298" t="e">
        <f>#REF!</f>
        <v>#REF!</v>
      </c>
      <c r="K129" s="149" t="e">
        <f>#REF!</f>
        <v>#REF!</v>
      </c>
      <c r="L129" s="149" t="e">
        <f>#REF!</f>
        <v>#REF!</v>
      </c>
      <c r="M129" s="150" t="e">
        <f>#REF!</f>
        <v>#REF!</v>
      </c>
      <c r="N129" s="364"/>
      <c r="O129" s="202"/>
      <c r="P129" s="151" t="e">
        <f>#REF!</f>
        <v>#REF!</v>
      </c>
      <c r="Q129" s="202"/>
      <c r="R129" s="152" t="e">
        <f>#REF!</f>
        <v>#REF!</v>
      </c>
      <c r="S129" s="202"/>
      <c r="T129" s="153" t="e">
        <f>#REF!</f>
        <v>#REF!</v>
      </c>
      <c r="U129" s="202"/>
      <c r="V129" s="153" t="e">
        <f>#REF!</f>
        <v>#REF!</v>
      </c>
      <c r="W129" s="202"/>
      <c r="X129" s="153" t="e">
        <f>#REF!</f>
        <v>#REF!</v>
      </c>
      <c r="Y129" s="202"/>
      <c r="Z129" s="152" t="e">
        <f>#REF!</f>
        <v>#REF!</v>
      </c>
      <c r="AA129" s="202"/>
      <c r="AB129" s="153" t="e">
        <f>#REF!</f>
        <v>#REF!</v>
      </c>
      <c r="AC129" s="202"/>
      <c r="AD129" s="152" t="e">
        <f>#REF!</f>
        <v>#REF!</v>
      </c>
      <c r="AE129" s="202"/>
      <c r="AF129" s="153" t="e">
        <f>#REF!</f>
        <v>#REF!</v>
      </c>
      <c r="AG129" s="202"/>
      <c r="AH129" s="152" t="e">
        <f>#REF!</f>
        <v>#REF!</v>
      </c>
      <c r="AI129" s="202"/>
      <c r="AJ129" s="153" t="e">
        <f>#REF!</f>
        <v>#REF!</v>
      </c>
      <c r="AK129" s="202"/>
      <c r="AL129" s="152" t="e">
        <f>#REF!</f>
        <v>#REF!</v>
      </c>
      <c r="AM129" s="202"/>
      <c r="AN129" s="153" t="e">
        <f>#REF!</f>
        <v>#REF!</v>
      </c>
      <c r="AO129" s="202"/>
      <c r="AP129" s="152" t="e">
        <f>#REF!</f>
        <v>#REF!</v>
      </c>
      <c r="AQ129" s="202"/>
      <c r="AR129" s="154" t="e">
        <f>#REF!</f>
        <v>#REF!</v>
      </c>
      <c r="AS129" s="202"/>
      <c r="AT129" s="153" t="e">
        <f>#REF!</f>
        <v>#REF!</v>
      </c>
      <c r="AU129" s="202"/>
      <c r="AV129" s="152" t="e">
        <f>#REF!</f>
        <v>#REF!</v>
      </c>
      <c r="AW129" s="202"/>
      <c r="AX129" s="153" t="e">
        <f>#REF!</f>
        <v>#REF!</v>
      </c>
      <c r="AY129" s="202"/>
      <c r="AZ129" s="152" t="e">
        <f>#REF!</f>
        <v>#REF!</v>
      </c>
      <c r="BA129" s="202"/>
      <c r="BB129" s="154" t="e">
        <f>#REF!</f>
        <v>#REF!</v>
      </c>
      <c r="BC129" s="137"/>
    </row>
    <row r="130" spans="1:55" ht="30" customHeight="1">
      <c r="A130" s="203" t="e">
        <f>#REF!</f>
        <v>#REF!</v>
      </c>
      <c r="B130" s="204" t="e">
        <f xml:space="preserve"> IF(#REF!=0, "",#REF!)</f>
        <v>#REF!</v>
      </c>
      <c r="C130" s="369" t="e">
        <f>#REF!</f>
        <v>#REF!</v>
      </c>
      <c r="D130" s="369"/>
      <c r="E130" s="291" t="e">
        <f>#REF!</f>
        <v>#REF!</v>
      </c>
      <c r="F130" s="148" t="e">
        <f>#REF!</f>
        <v>#REF!</v>
      </c>
      <c r="G130" s="205" t="e">
        <f xml:space="preserve"> IF(#REF!="", "",#REF!)</f>
        <v>#REF!</v>
      </c>
      <c r="H130" s="205" t="e">
        <f xml:space="preserve"> IF(#REF!="", "",#REF!)</f>
        <v>#REF!</v>
      </c>
      <c r="I130" s="205" t="e">
        <f xml:space="preserve"> IF(#REF!="", "",#REF!)</f>
        <v>#REF!</v>
      </c>
      <c r="J130" s="298" t="e">
        <f>#REF!</f>
        <v>#REF!</v>
      </c>
      <c r="K130" s="149" t="e">
        <f>#REF!</f>
        <v>#REF!</v>
      </c>
      <c r="L130" s="149" t="e">
        <f>#REF!</f>
        <v>#REF!</v>
      </c>
      <c r="M130" s="150" t="e">
        <f>#REF!</f>
        <v>#REF!</v>
      </c>
      <c r="N130" s="364"/>
      <c r="O130" s="202"/>
      <c r="P130" s="151" t="e">
        <f>#REF!</f>
        <v>#REF!</v>
      </c>
      <c r="Q130" s="202"/>
      <c r="R130" s="152" t="e">
        <f>#REF!</f>
        <v>#REF!</v>
      </c>
      <c r="S130" s="202"/>
      <c r="T130" s="153" t="e">
        <f>#REF!</f>
        <v>#REF!</v>
      </c>
      <c r="U130" s="202"/>
      <c r="V130" s="153" t="e">
        <f>#REF!</f>
        <v>#REF!</v>
      </c>
      <c r="W130" s="202"/>
      <c r="X130" s="153" t="e">
        <f>#REF!</f>
        <v>#REF!</v>
      </c>
      <c r="Y130" s="202"/>
      <c r="Z130" s="152" t="e">
        <f>#REF!</f>
        <v>#REF!</v>
      </c>
      <c r="AA130" s="202"/>
      <c r="AB130" s="153" t="e">
        <f>#REF!</f>
        <v>#REF!</v>
      </c>
      <c r="AC130" s="202"/>
      <c r="AD130" s="152" t="e">
        <f>#REF!</f>
        <v>#REF!</v>
      </c>
      <c r="AE130" s="202"/>
      <c r="AF130" s="153" t="e">
        <f>#REF!</f>
        <v>#REF!</v>
      </c>
      <c r="AG130" s="202"/>
      <c r="AH130" s="152" t="e">
        <f>#REF!</f>
        <v>#REF!</v>
      </c>
      <c r="AI130" s="202"/>
      <c r="AJ130" s="153" t="e">
        <f>#REF!</f>
        <v>#REF!</v>
      </c>
      <c r="AK130" s="202"/>
      <c r="AL130" s="152" t="e">
        <f>#REF!</f>
        <v>#REF!</v>
      </c>
      <c r="AM130" s="202"/>
      <c r="AN130" s="153" t="e">
        <f>#REF!</f>
        <v>#REF!</v>
      </c>
      <c r="AO130" s="202"/>
      <c r="AP130" s="152" t="e">
        <f>#REF!</f>
        <v>#REF!</v>
      </c>
      <c r="AQ130" s="202"/>
      <c r="AR130" s="154" t="e">
        <f>#REF!</f>
        <v>#REF!</v>
      </c>
      <c r="AS130" s="202"/>
      <c r="AT130" s="153" t="e">
        <f>#REF!</f>
        <v>#REF!</v>
      </c>
      <c r="AU130" s="202"/>
      <c r="AV130" s="152" t="e">
        <f>#REF!</f>
        <v>#REF!</v>
      </c>
      <c r="AW130" s="202"/>
      <c r="AX130" s="153" t="e">
        <f>#REF!</f>
        <v>#REF!</v>
      </c>
      <c r="AY130" s="202"/>
      <c r="AZ130" s="152" t="e">
        <f>#REF!</f>
        <v>#REF!</v>
      </c>
      <c r="BA130" s="202"/>
      <c r="BB130" s="154" t="e">
        <f>#REF!</f>
        <v>#REF!</v>
      </c>
      <c r="BC130" s="137"/>
    </row>
    <row r="131" spans="1:55" ht="30" customHeight="1">
      <c r="A131" s="203" t="e">
        <f>#REF!</f>
        <v>#REF!</v>
      </c>
      <c r="B131" s="204" t="e">
        <f xml:space="preserve"> IF(#REF!=0, "",#REF!)</f>
        <v>#REF!</v>
      </c>
      <c r="C131" s="369" t="e">
        <f>#REF!</f>
        <v>#REF!</v>
      </c>
      <c r="D131" s="369"/>
      <c r="E131" s="291" t="e">
        <f>#REF!</f>
        <v>#REF!</v>
      </c>
      <c r="F131" s="148" t="e">
        <f>#REF!</f>
        <v>#REF!</v>
      </c>
      <c r="G131" s="205" t="e">
        <f xml:space="preserve"> IF(#REF!="", "",#REF!)</f>
        <v>#REF!</v>
      </c>
      <c r="H131" s="205" t="e">
        <f xml:space="preserve"> IF(#REF!="", "",#REF!)</f>
        <v>#REF!</v>
      </c>
      <c r="I131" s="205" t="e">
        <f xml:space="preserve"> IF(#REF!="", "",#REF!)</f>
        <v>#REF!</v>
      </c>
      <c r="J131" s="298" t="e">
        <f>#REF!</f>
        <v>#REF!</v>
      </c>
      <c r="K131" s="149" t="e">
        <f>#REF!</f>
        <v>#REF!</v>
      </c>
      <c r="L131" s="149" t="e">
        <f>#REF!</f>
        <v>#REF!</v>
      </c>
      <c r="M131" s="150" t="e">
        <f>#REF!</f>
        <v>#REF!</v>
      </c>
      <c r="N131" s="364"/>
      <c r="O131" s="202"/>
      <c r="P131" s="151" t="e">
        <f>#REF!</f>
        <v>#REF!</v>
      </c>
      <c r="Q131" s="202"/>
      <c r="R131" s="152" t="e">
        <f>#REF!</f>
        <v>#REF!</v>
      </c>
      <c r="S131" s="202"/>
      <c r="T131" s="153" t="e">
        <f>#REF!</f>
        <v>#REF!</v>
      </c>
      <c r="U131" s="202"/>
      <c r="V131" s="153" t="e">
        <f>#REF!</f>
        <v>#REF!</v>
      </c>
      <c r="W131" s="202"/>
      <c r="X131" s="153" t="e">
        <f>#REF!</f>
        <v>#REF!</v>
      </c>
      <c r="Y131" s="202"/>
      <c r="Z131" s="152" t="e">
        <f>#REF!</f>
        <v>#REF!</v>
      </c>
      <c r="AA131" s="202"/>
      <c r="AB131" s="153" t="e">
        <f>#REF!</f>
        <v>#REF!</v>
      </c>
      <c r="AC131" s="202"/>
      <c r="AD131" s="152" t="e">
        <f>#REF!</f>
        <v>#REF!</v>
      </c>
      <c r="AE131" s="202"/>
      <c r="AF131" s="153" t="e">
        <f>#REF!</f>
        <v>#REF!</v>
      </c>
      <c r="AG131" s="202"/>
      <c r="AH131" s="152" t="e">
        <f>#REF!</f>
        <v>#REF!</v>
      </c>
      <c r="AI131" s="202"/>
      <c r="AJ131" s="153" t="e">
        <f>#REF!</f>
        <v>#REF!</v>
      </c>
      <c r="AK131" s="202"/>
      <c r="AL131" s="152" t="e">
        <f>#REF!</f>
        <v>#REF!</v>
      </c>
      <c r="AM131" s="202"/>
      <c r="AN131" s="153" t="e">
        <f>#REF!</f>
        <v>#REF!</v>
      </c>
      <c r="AO131" s="202"/>
      <c r="AP131" s="152" t="e">
        <f>#REF!</f>
        <v>#REF!</v>
      </c>
      <c r="AQ131" s="202"/>
      <c r="AR131" s="154" t="e">
        <f>#REF!</f>
        <v>#REF!</v>
      </c>
      <c r="AS131" s="202"/>
      <c r="AT131" s="153" t="e">
        <f>#REF!</f>
        <v>#REF!</v>
      </c>
      <c r="AU131" s="202"/>
      <c r="AV131" s="152" t="e">
        <f>#REF!</f>
        <v>#REF!</v>
      </c>
      <c r="AW131" s="202"/>
      <c r="AX131" s="153" t="e">
        <f>#REF!</f>
        <v>#REF!</v>
      </c>
      <c r="AY131" s="202"/>
      <c r="AZ131" s="152" t="e">
        <f>#REF!</f>
        <v>#REF!</v>
      </c>
      <c r="BA131" s="202"/>
      <c r="BB131" s="154" t="e">
        <f>#REF!</f>
        <v>#REF!</v>
      </c>
      <c r="BC131" s="137"/>
    </row>
    <row r="132" spans="1:55" ht="30" customHeight="1">
      <c r="A132" s="203" t="e">
        <f>#REF!</f>
        <v>#REF!</v>
      </c>
      <c r="B132" s="204" t="e">
        <f xml:space="preserve"> IF(#REF!=0, "",#REF!)</f>
        <v>#REF!</v>
      </c>
      <c r="C132" s="369" t="e">
        <f>#REF!</f>
        <v>#REF!</v>
      </c>
      <c r="D132" s="369"/>
      <c r="E132" s="291" t="e">
        <f>#REF!</f>
        <v>#REF!</v>
      </c>
      <c r="F132" s="148" t="e">
        <f>#REF!</f>
        <v>#REF!</v>
      </c>
      <c r="G132" s="205" t="e">
        <f xml:space="preserve"> IF(#REF!="", "",#REF!)</f>
        <v>#REF!</v>
      </c>
      <c r="H132" s="205" t="e">
        <f xml:space="preserve"> IF(#REF!="", "",#REF!)</f>
        <v>#REF!</v>
      </c>
      <c r="I132" s="205" t="e">
        <f xml:space="preserve"> IF(#REF!="", "",#REF!)</f>
        <v>#REF!</v>
      </c>
      <c r="J132" s="298" t="e">
        <f>#REF!</f>
        <v>#REF!</v>
      </c>
      <c r="K132" s="149" t="e">
        <f>#REF!</f>
        <v>#REF!</v>
      </c>
      <c r="L132" s="149" t="e">
        <f>#REF!</f>
        <v>#REF!</v>
      </c>
      <c r="M132" s="150" t="e">
        <f>#REF!</f>
        <v>#REF!</v>
      </c>
      <c r="N132" s="364"/>
      <c r="O132" s="202"/>
      <c r="P132" s="151" t="e">
        <f>#REF!</f>
        <v>#REF!</v>
      </c>
      <c r="Q132" s="202"/>
      <c r="R132" s="152" t="e">
        <f>#REF!</f>
        <v>#REF!</v>
      </c>
      <c r="S132" s="202"/>
      <c r="T132" s="153" t="e">
        <f>#REF!</f>
        <v>#REF!</v>
      </c>
      <c r="U132" s="202"/>
      <c r="V132" s="153" t="e">
        <f>#REF!</f>
        <v>#REF!</v>
      </c>
      <c r="W132" s="202"/>
      <c r="X132" s="153" t="e">
        <f>#REF!</f>
        <v>#REF!</v>
      </c>
      <c r="Y132" s="202"/>
      <c r="Z132" s="152" t="e">
        <f>#REF!</f>
        <v>#REF!</v>
      </c>
      <c r="AA132" s="202"/>
      <c r="AB132" s="153" t="e">
        <f>#REF!</f>
        <v>#REF!</v>
      </c>
      <c r="AC132" s="202"/>
      <c r="AD132" s="152" t="e">
        <f>#REF!</f>
        <v>#REF!</v>
      </c>
      <c r="AE132" s="202"/>
      <c r="AF132" s="153" t="e">
        <f>#REF!</f>
        <v>#REF!</v>
      </c>
      <c r="AG132" s="202"/>
      <c r="AH132" s="152" t="e">
        <f>#REF!</f>
        <v>#REF!</v>
      </c>
      <c r="AI132" s="202"/>
      <c r="AJ132" s="153" t="e">
        <f>#REF!</f>
        <v>#REF!</v>
      </c>
      <c r="AK132" s="202"/>
      <c r="AL132" s="152" t="e">
        <f>#REF!</f>
        <v>#REF!</v>
      </c>
      <c r="AM132" s="202"/>
      <c r="AN132" s="153" t="e">
        <f>#REF!</f>
        <v>#REF!</v>
      </c>
      <c r="AO132" s="202"/>
      <c r="AP132" s="152" t="e">
        <f>#REF!</f>
        <v>#REF!</v>
      </c>
      <c r="AQ132" s="202"/>
      <c r="AR132" s="154" t="e">
        <f>#REF!</f>
        <v>#REF!</v>
      </c>
      <c r="AS132" s="202"/>
      <c r="AT132" s="153" t="e">
        <f>#REF!</f>
        <v>#REF!</v>
      </c>
      <c r="AU132" s="202"/>
      <c r="AV132" s="152" t="e">
        <f>#REF!</f>
        <v>#REF!</v>
      </c>
      <c r="AW132" s="202"/>
      <c r="AX132" s="153" t="e">
        <f>#REF!</f>
        <v>#REF!</v>
      </c>
      <c r="AY132" s="202"/>
      <c r="AZ132" s="152" t="e">
        <f>#REF!</f>
        <v>#REF!</v>
      </c>
      <c r="BA132" s="202"/>
      <c r="BB132" s="154" t="e">
        <f>#REF!</f>
        <v>#REF!</v>
      </c>
      <c r="BC132" s="137"/>
    </row>
    <row r="133" spans="1:55" ht="30" customHeight="1">
      <c r="A133" s="203" t="e">
        <f>#REF!</f>
        <v>#REF!</v>
      </c>
      <c r="B133" s="204" t="e">
        <f xml:space="preserve"> IF(#REF!=0, "",#REF!)</f>
        <v>#REF!</v>
      </c>
      <c r="C133" s="369" t="e">
        <f>#REF!</f>
        <v>#REF!</v>
      </c>
      <c r="D133" s="369"/>
      <c r="E133" s="291" t="e">
        <f>#REF!</f>
        <v>#REF!</v>
      </c>
      <c r="F133" s="148" t="e">
        <f>#REF!</f>
        <v>#REF!</v>
      </c>
      <c r="G133" s="205" t="e">
        <f xml:space="preserve"> IF(#REF!="", "",#REF!)</f>
        <v>#REF!</v>
      </c>
      <c r="H133" s="205" t="e">
        <f xml:space="preserve"> IF(#REF!="", "",#REF!)</f>
        <v>#REF!</v>
      </c>
      <c r="I133" s="205" t="e">
        <f xml:space="preserve"> IF(#REF!="", "",#REF!)</f>
        <v>#REF!</v>
      </c>
      <c r="J133" s="298" t="e">
        <f>#REF!</f>
        <v>#REF!</v>
      </c>
      <c r="K133" s="149" t="e">
        <f>#REF!</f>
        <v>#REF!</v>
      </c>
      <c r="L133" s="149" t="e">
        <f>#REF!</f>
        <v>#REF!</v>
      </c>
      <c r="M133" s="150" t="e">
        <f>#REF!</f>
        <v>#REF!</v>
      </c>
      <c r="N133" s="364"/>
      <c r="O133" s="202"/>
      <c r="P133" s="151" t="e">
        <f>#REF!</f>
        <v>#REF!</v>
      </c>
      <c r="Q133" s="202"/>
      <c r="R133" s="152" t="e">
        <f>#REF!</f>
        <v>#REF!</v>
      </c>
      <c r="S133" s="202"/>
      <c r="T133" s="153" t="e">
        <f>#REF!</f>
        <v>#REF!</v>
      </c>
      <c r="U133" s="202"/>
      <c r="V133" s="153" t="e">
        <f>#REF!</f>
        <v>#REF!</v>
      </c>
      <c r="W133" s="202"/>
      <c r="X133" s="153" t="e">
        <f>#REF!</f>
        <v>#REF!</v>
      </c>
      <c r="Y133" s="202"/>
      <c r="Z133" s="152" t="e">
        <f>#REF!</f>
        <v>#REF!</v>
      </c>
      <c r="AA133" s="202"/>
      <c r="AB133" s="153" t="e">
        <f>#REF!</f>
        <v>#REF!</v>
      </c>
      <c r="AC133" s="202"/>
      <c r="AD133" s="152" t="e">
        <f>#REF!</f>
        <v>#REF!</v>
      </c>
      <c r="AE133" s="202"/>
      <c r="AF133" s="153" t="e">
        <f>#REF!</f>
        <v>#REF!</v>
      </c>
      <c r="AG133" s="202"/>
      <c r="AH133" s="152" t="e">
        <f>#REF!</f>
        <v>#REF!</v>
      </c>
      <c r="AI133" s="202"/>
      <c r="AJ133" s="153" t="e">
        <f>#REF!</f>
        <v>#REF!</v>
      </c>
      <c r="AK133" s="202"/>
      <c r="AL133" s="152" t="e">
        <f>#REF!</f>
        <v>#REF!</v>
      </c>
      <c r="AM133" s="202"/>
      <c r="AN133" s="153" t="e">
        <f>#REF!</f>
        <v>#REF!</v>
      </c>
      <c r="AO133" s="202"/>
      <c r="AP133" s="152" t="e">
        <f>#REF!</f>
        <v>#REF!</v>
      </c>
      <c r="AQ133" s="202"/>
      <c r="AR133" s="154" t="e">
        <f>#REF!</f>
        <v>#REF!</v>
      </c>
      <c r="AS133" s="202"/>
      <c r="AT133" s="153" t="e">
        <f>#REF!</f>
        <v>#REF!</v>
      </c>
      <c r="AU133" s="202"/>
      <c r="AV133" s="152" t="e">
        <f>#REF!</f>
        <v>#REF!</v>
      </c>
      <c r="AW133" s="202"/>
      <c r="AX133" s="153" t="e">
        <f>#REF!</f>
        <v>#REF!</v>
      </c>
      <c r="AY133" s="202"/>
      <c r="AZ133" s="152" t="e">
        <f>#REF!</f>
        <v>#REF!</v>
      </c>
      <c r="BA133" s="202"/>
      <c r="BB133" s="154" t="e">
        <f>#REF!</f>
        <v>#REF!</v>
      </c>
      <c r="BC133" s="137"/>
    </row>
    <row r="134" spans="1:55" ht="30" customHeight="1">
      <c r="A134" s="203" t="e">
        <f>#REF!</f>
        <v>#REF!</v>
      </c>
      <c r="B134" s="204" t="e">
        <f xml:space="preserve"> IF(#REF!=0, "",#REF!)</f>
        <v>#REF!</v>
      </c>
      <c r="C134" s="369" t="e">
        <f>#REF!</f>
        <v>#REF!</v>
      </c>
      <c r="D134" s="369"/>
      <c r="E134" s="291" t="e">
        <f>#REF!</f>
        <v>#REF!</v>
      </c>
      <c r="F134" s="148" t="e">
        <f>#REF!</f>
        <v>#REF!</v>
      </c>
      <c r="G134" s="205" t="e">
        <f xml:space="preserve"> IF(#REF!="", "",#REF!)</f>
        <v>#REF!</v>
      </c>
      <c r="H134" s="205" t="e">
        <f xml:space="preserve"> IF(#REF!="", "",#REF!)</f>
        <v>#REF!</v>
      </c>
      <c r="I134" s="205" t="e">
        <f xml:space="preserve"> IF(#REF!="", "",#REF!)</f>
        <v>#REF!</v>
      </c>
      <c r="J134" s="298" t="e">
        <f>#REF!</f>
        <v>#REF!</v>
      </c>
      <c r="K134" s="149" t="e">
        <f>#REF!</f>
        <v>#REF!</v>
      </c>
      <c r="L134" s="149" t="e">
        <f>#REF!</f>
        <v>#REF!</v>
      </c>
      <c r="M134" s="150" t="e">
        <f>#REF!</f>
        <v>#REF!</v>
      </c>
      <c r="N134" s="364"/>
      <c r="O134" s="202"/>
      <c r="P134" s="151" t="e">
        <f>#REF!</f>
        <v>#REF!</v>
      </c>
      <c r="Q134" s="202"/>
      <c r="R134" s="152" t="e">
        <f>#REF!</f>
        <v>#REF!</v>
      </c>
      <c r="S134" s="202"/>
      <c r="T134" s="153" t="e">
        <f>#REF!</f>
        <v>#REF!</v>
      </c>
      <c r="U134" s="202"/>
      <c r="V134" s="153" t="e">
        <f>#REF!</f>
        <v>#REF!</v>
      </c>
      <c r="W134" s="202"/>
      <c r="X134" s="153" t="e">
        <f>#REF!</f>
        <v>#REF!</v>
      </c>
      <c r="Y134" s="202"/>
      <c r="Z134" s="152" t="e">
        <f>#REF!</f>
        <v>#REF!</v>
      </c>
      <c r="AA134" s="202"/>
      <c r="AB134" s="153" t="e">
        <f>#REF!</f>
        <v>#REF!</v>
      </c>
      <c r="AC134" s="202"/>
      <c r="AD134" s="152" t="e">
        <f>#REF!</f>
        <v>#REF!</v>
      </c>
      <c r="AE134" s="202"/>
      <c r="AF134" s="153" t="e">
        <f>#REF!</f>
        <v>#REF!</v>
      </c>
      <c r="AG134" s="202"/>
      <c r="AH134" s="152" t="e">
        <f>#REF!</f>
        <v>#REF!</v>
      </c>
      <c r="AI134" s="202"/>
      <c r="AJ134" s="153" t="e">
        <f>#REF!</f>
        <v>#REF!</v>
      </c>
      <c r="AK134" s="202"/>
      <c r="AL134" s="152" t="e">
        <f>#REF!</f>
        <v>#REF!</v>
      </c>
      <c r="AM134" s="202"/>
      <c r="AN134" s="153" t="e">
        <f>#REF!</f>
        <v>#REF!</v>
      </c>
      <c r="AO134" s="202"/>
      <c r="AP134" s="152" t="e">
        <f>#REF!</f>
        <v>#REF!</v>
      </c>
      <c r="AQ134" s="202"/>
      <c r="AR134" s="154" t="e">
        <f>#REF!</f>
        <v>#REF!</v>
      </c>
      <c r="AS134" s="202"/>
      <c r="AT134" s="153" t="e">
        <f>#REF!</f>
        <v>#REF!</v>
      </c>
      <c r="AU134" s="202"/>
      <c r="AV134" s="152" t="e">
        <f>#REF!</f>
        <v>#REF!</v>
      </c>
      <c r="AW134" s="202"/>
      <c r="AX134" s="153" t="e">
        <f>#REF!</f>
        <v>#REF!</v>
      </c>
      <c r="AY134" s="202"/>
      <c r="AZ134" s="152" t="e">
        <f>#REF!</f>
        <v>#REF!</v>
      </c>
      <c r="BA134" s="202"/>
      <c r="BB134" s="154" t="e">
        <f>#REF!</f>
        <v>#REF!</v>
      </c>
      <c r="BC134" s="137"/>
    </row>
    <row r="135" spans="1:55" ht="30" customHeight="1">
      <c r="A135" s="203" t="e">
        <f>#REF!</f>
        <v>#REF!</v>
      </c>
      <c r="B135" s="204" t="e">
        <f xml:space="preserve"> IF(#REF!=0, "",#REF!)</f>
        <v>#REF!</v>
      </c>
      <c r="C135" s="369" t="e">
        <f>#REF!</f>
        <v>#REF!</v>
      </c>
      <c r="D135" s="369"/>
      <c r="E135" s="291" t="e">
        <f>#REF!</f>
        <v>#REF!</v>
      </c>
      <c r="F135" s="148" t="e">
        <f>#REF!</f>
        <v>#REF!</v>
      </c>
      <c r="G135" s="205" t="e">
        <f xml:space="preserve"> IF(#REF!="", "",#REF!)</f>
        <v>#REF!</v>
      </c>
      <c r="H135" s="205" t="e">
        <f xml:space="preserve"> IF(#REF!="", "",#REF!)</f>
        <v>#REF!</v>
      </c>
      <c r="I135" s="205" t="e">
        <f xml:space="preserve"> IF(#REF!="", "",#REF!)</f>
        <v>#REF!</v>
      </c>
      <c r="J135" s="298" t="e">
        <f>#REF!</f>
        <v>#REF!</v>
      </c>
      <c r="K135" s="149" t="e">
        <f>#REF!</f>
        <v>#REF!</v>
      </c>
      <c r="L135" s="149" t="e">
        <f>#REF!</f>
        <v>#REF!</v>
      </c>
      <c r="M135" s="150" t="e">
        <f>#REF!</f>
        <v>#REF!</v>
      </c>
      <c r="N135" s="364"/>
      <c r="O135" s="202"/>
      <c r="P135" s="151" t="e">
        <f>#REF!</f>
        <v>#REF!</v>
      </c>
      <c r="Q135" s="202"/>
      <c r="R135" s="152" t="e">
        <f>#REF!</f>
        <v>#REF!</v>
      </c>
      <c r="S135" s="202"/>
      <c r="T135" s="153" t="e">
        <f>#REF!</f>
        <v>#REF!</v>
      </c>
      <c r="U135" s="202"/>
      <c r="V135" s="153" t="e">
        <f>#REF!</f>
        <v>#REF!</v>
      </c>
      <c r="W135" s="202"/>
      <c r="X135" s="153" t="e">
        <f>#REF!</f>
        <v>#REF!</v>
      </c>
      <c r="Y135" s="202"/>
      <c r="Z135" s="152" t="e">
        <f>#REF!</f>
        <v>#REF!</v>
      </c>
      <c r="AA135" s="202"/>
      <c r="AB135" s="153" t="e">
        <f>#REF!</f>
        <v>#REF!</v>
      </c>
      <c r="AC135" s="202"/>
      <c r="AD135" s="152" t="e">
        <f>#REF!</f>
        <v>#REF!</v>
      </c>
      <c r="AE135" s="202"/>
      <c r="AF135" s="153" t="e">
        <f>#REF!</f>
        <v>#REF!</v>
      </c>
      <c r="AG135" s="202"/>
      <c r="AH135" s="152" t="e">
        <f>#REF!</f>
        <v>#REF!</v>
      </c>
      <c r="AI135" s="202"/>
      <c r="AJ135" s="153" t="e">
        <f>#REF!</f>
        <v>#REF!</v>
      </c>
      <c r="AK135" s="202"/>
      <c r="AL135" s="152" t="e">
        <f>#REF!</f>
        <v>#REF!</v>
      </c>
      <c r="AM135" s="202"/>
      <c r="AN135" s="153" t="e">
        <f>#REF!</f>
        <v>#REF!</v>
      </c>
      <c r="AO135" s="202"/>
      <c r="AP135" s="152" t="e">
        <f>#REF!</f>
        <v>#REF!</v>
      </c>
      <c r="AQ135" s="202"/>
      <c r="AR135" s="154" t="e">
        <f>#REF!</f>
        <v>#REF!</v>
      </c>
      <c r="AS135" s="202"/>
      <c r="AT135" s="153" t="e">
        <f>#REF!</f>
        <v>#REF!</v>
      </c>
      <c r="AU135" s="202"/>
      <c r="AV135" s="152" t="e">
        <f>#REF!</f>
        <v>#REF!</v>
      </c>
      <c r="AW135" s="202"/>
      <c r="AX135" s="153" t="e">
        <f>#REF!</f>
        <v>#REF!</v>
      </c>
      <c r="AY135" s="202"/>
      <c r="AZ135" s="152" t="e">
        <f>#REF!</f>
        <v>#REF!</v>
      </c>
      <c r="BA135" s="202"/>
      <c r="BB135" s="154" t="e">
        <f>#REF!</f>
        <v>#REF!</v>
      </c>
      <c r="BC135" s="137"/>
    </row>
    <row r="136" spans="1:55" ht="30" customHeight="1">
      <c r="A136" s="203" t="e">
        <f>#REF!</f>
        <v>#REF!</v>
      </c>
      <c r="B136" s="204" t="e">
        <f xml:space="preserve"> IF(#REF!=0, "",#REF!)</f>
        <v>#REF!</v>
      </c>
      <c r="C136" s="369" t="e">
        <f>#REF!</f>
        <v>#REF!</v>
      </c>
      <c r="D136" s="369"/>
      <c r="E136" s="291" t="e">
        <f>#REF!</f>
        <v>#REF!</v>
      </c>
      <c r="F136" s="148" t="e">
        <f>#REF!</f>
        <v>#REF!</v>
      </c>
      <c r="G136" s="205" t="e">
        <f xml:space="preserve"> IF(#REF!="", "",#REF!)</f>
        <v>#REF!</v>
      </c>
      <c r="H136" s="205" t="e">
        <f xml:space="preserve"> IF(#REF!="", "",#REF!)</f>
        <v>#REF!</v>
      </c>
      <c r="I136" s="205" t="e">
        <f xml:space="preserve"> IF(#REF!="", "",#REF!)</f>
        <v>#REF!</v>
      </c>
      <c r="J136" s="298" t="e">
        <f>#REF!</f>
        <v>#REF!</v>
      </c>
      <c r="K136" s="149" t="e">
        <f>#REF!</f>
        <v>#REF!</v>
      </c>
      <c r="L136" s="149" t="e">
        <f>#REF!</f>
        <v>#REF!</v>
      </c>
      <c r="M136" s="150" t="e">
        <f>#REF!</f>
        <v>#REF!</v>
      </c>
      <c r="N136" s="364"/>
      <c r="O136" s="202"/>
      <c r="P136" s="151" t="e">
        <f>#REF!</f>
        <v>#REF!</v>
      </c>
      <c r="Q136" s="202"/>
      <c r="R136" s="152" t="e">
        <f>#REF!</f>
        <v>#REF!</v>
      </c>
      <c r="S136" s="202"/>
      <c r="T136" s="153" t="e">
        <f>#REF!</f>
        <v>#REF!</v>
      </c>
      <c r="U136" s="202"/>
      <c r="V136" s="153" t="e">
        <f>#REF!</f>
        <v>#REF!</v>
      </c>
      <c r="W136" s="202"/>
      <c r="X136" s="153" t="e">
        <f>#REF!</f>
        <v>#REF!</v>
      </c>
      <c r="Y136" s="202"/>
      <c r="Z136" s="152" t="e">
        <f>#REF!</f>
        <v>#REF!</v>
      </c>
      <c r="AA136" s="202"/>
      <c r="AB136" s="153" t="e">
        <f>#REF!</f>
        <v>#REF!</v>
      </c>
      <c r="AC136" s="202"/>
      <c r="AD136" s="152" t="e">
        <f>#REF!</f>
        <v>#REF!</v>
      </c>
      <c r="AE136" s="202"/>
      <c r="AF136" s="153" t="e">
        <f>#REF!</f>
        <v>#REF!</v>
      </c>
      <c r="AG136" s="202"/>
      <c r="AH136" s="152" t="e">
        <f>#REF!</f>
        <v>#REF!</v>
      </c>
      <c r="AI136" s="202"/>
      <c r="AJ136" s="153" t="e">
        <f>#REF!</f>
        <v>#REF!</v>
      </c>
      <c r="AK136" s="202"/>
      <c r="AL136" s="152" t="e">
        <f>#REF!</f>
        <v>#REF!</v>
      </c>
      <c r="AM136" s="202"/>
      <c r="AN136" s="153" t="e">
        <f>#REF!</f>
        <v>#REF!</v>
      </c>
      <c r="AO136" s="202"/>
      <c r="AP136" s="152" t="e">
        <f>#REF!</f>
        <v>#REF!</v>
      </c>
      <c r="AQ136" s="202"/>
      <c r="AR136" s="154" t="e">
        <f>#REF!</f>
        <v>#REF!</v>
      </c>
      <c r="AS136" s="202"/>
      <c r="AT136" s="153" t="e">
        <f>#REF!</f>
        <v>#REF!</v>
      </c>
      <c r="AU136" s="202"/>
      <c r="AV136" s="152" t="e">
        <f>#REF!</f>
        <v>#REF!</v>
      </c>
      <c r="AW136" s="202"/>
      <c r="AX136" s="153" t="e">
        <f>#REF!</f>
        <v>#REF!</v>
      </c>
      <c r="AY136" s="202"/>
      <c r="AZ136" s="152" t="e">
        <f>#REF!</f>
        <v>#REF!</v>
      </c>
      <c r="BA136" s="202"/>
      <c r="BB136" s="154" t="e">
        <f>#REF!</f>
        <v>#REF!</v>
      </c>
      <c r="BC136" s="137"/>
    </row>
    <row r="137" spans="1:55" ht="30" customHeight="1">
      <c r="A137" s="203" t="e">
        <f>#REF!</f>
        <v>#REF!</v>
      </c>
      <c r="B137" s="204" t="e">
        <f xml:space="preserve"> IF(#REF!=0, "",#REF!)</f>
        <v>#REF!</v>
      </c>
      <c r="C137" s="369" t="e">
        <f>#REF!</f>
        <v>#REF!</v>
      </c>
      <c r="D137" s="369"/>
      <c r="E137" s="291" t="e">
        <f>#REF!</f>
        <v>#REF!</v>
      </c>
      <c r="F137" s="148" t="e">
        <f>#REF!</f>
        <v>#REF!</v>
      </c>
      <c r="G137" s="205" t="e">
        <f xml:space="preserve"> IF(#REF!="", "",#REF!)</f>
        <v>#REF!</v>
      </c>
      <c r="H137" s="205" t="e">
        <f xml:space="preserve"> IF(#REF!="", "",#REF!)</f>
        <v>#REF!</v>
      </c>
      <c r="I137" s="205" t="e">
        <f xml:space="preserve"> IF(#REF!="", "",#REF!)</f>
        <v>#REF!</v>
      </c>
      <c r="J137" s="298" t="e">
        <f>#REF!</f>
        <v>#REF!</v>
      </c>
      <c r="K137" s="149" t="e">
        <f>#REF!</f>
        <v>#REF!</v>
      </c>
      <c r="L137" s="149" t="e">
        <f>#REF!</f>
        <v>#REF!</v>
      </c>
      <c r="M137" s="150" t="e">
        <f>#REF!</f>
        <v>#REF!</v>
      </c>
      <c r="N137" s="364"/>
      <c r="O137" s="202"/>
      <c r="P137" s="151" t="e">
        <f>#REF!</f>
        <v>#REF!</v>
      </c>
      <c r="Q137" s="202"/>
      <c r="R137" s="152" t="e">
        <f>#REF!</f>
        <v>#REF!</v>
      </c>
      <c r="S137" s="202"/>
      <c r="T137" s="153" t="e">
        <f>#REF!</f>
        <v>#REF!</v>
      </c>
      <c r="U137" s="202"/>
      <c r="V137" s="153" t="e">
        <f>#REF!</f>
        <v>#REF!</v>
      </c>
      <c r="W137" s="202"/>
      <c r="X137" s="153" t="e">
        <f>#REF!</f>
        <v>#REF!</v>
      </c>
      <c r="Y137" s="202"/>
      <c r="Z137" s="152" t="e">
        <f>#REF!</f>
        <v>#REF!</v>
      </c>
      <c r="AA137" s="202"/>
      <c r="AB137" s="153" t="e">
        <f>#REF!</f>
        <v>#REF!</v>
      </c>
      <c r="AC137" s="202"/>
      <c r="AD137" s="152" t="e">
        <f>#REF!</f>
        <v>#REF!</v>
      </c>
      <c r="AE137" s="202"/>
      <c r="AF137" s="153" t="e">
        <f>#REF!</f>
        <v>#REF!</v>
      </c>
      <c r="AG137" s="202"/>
      <c r="AH137" s="152" t="e">
        <f>#REF!</f>
        <v>#REF!</v>
      </c>
      <c r="AI137" s="202"/>
      <c r="AJ137" s="153" t="e">
        <f>#REF!</f>
        <v>#REF!</v>
      </c>
      <c r="AK137" s="202"/>
      <c r="AL137" s="152" t="e">
        <f>#REF!</f>
        <v>#REF!</v>
      </c>
      <c r="AM137" s="202"/>
      <c r="AN137" s="153" t="e">
        <f>#REF!</f>
        <v>#REF!</v>
      </c>
      <c r="AO137" s="202"/>
      <c r="AP137" s="152" t="e">
        <f>#REF!</f>
        <v>#REF!</v>
      </c>
      <c r="AQ137" s="202"/>
      <c r="AR137" s="154" t="e">
        <f>#REF!</f>
        <v>#REF!</v>
      </c>
      <c r="AS137" s="202"/>
      <c r="AT137" s="153" t="e">
        <f>#REF!</f>
        <v>#REF!</v>
      </c>
      <c r="AU137" s="202"/>
      <c r="AV137" s="152" t="e">
        <f>#REF!</f>
        <v>#REF!</v>
      </c>
      <c r="AW137" s="202"/>
      <c r="AX137" s="153" t="e">
        <f>#REF!</f>
        <v>#REF!</v>
      </c>
      <c r="AY137" s="202"/>
      <c r="AZ137" s="152" t="e">
        <f>#REF!</f>
        <v>#REF!</v>
      </c>
      <c r="BA137" s="202"/>
      <c r="BB137" s="154" t="e">
        <f>#REF!</f>
        <v>#REF!</v>
      </c>
      <c r="BC137" s="137"/>
    </row>
    <row r="138" spans="1:55" ht="30" customHeight="1">
      <c r="A138" s="203" t="e">
        <f>#REF!</f>
        <v>#REF!</v>
      </c>
      <c r="B138" s="204" t="e">
        <f xml:space="preserve"> IF(#REF!=0, "",#REF!)</f>
        <v>#REF!</v>
      </c>
      <c r="C138" s="369" t="e">
        <f>#REF!</f>
        <v>#REF!</v>
      </c>
      <c r="D138" s="369"/>
      <c r="E138" s="291" t="e">
        <f>#REF!</f>
        <v>#REF!</v>
      </c>
      <c r="F138" s="148" t="e">
        <f>#REF!</f>
        <v>#REF!</v>
      </c>
      <c r="G138" s="205" t="e">
        <f xml:space="preserve"> IF(#REF!="", "",#REF!)</f>
        <v>#REF!</v>
      </c>
      <c r="H138" s="205" t="e">
        <f xml:space="preserve"> IF(#REF!="", "",#REF!)</f>
        <v>#REF!</v>
      </c>
      <c r="I138" s="205" t="e">
        <f xml:space="preserve"> IF(#REF!="", "",#REF!)</f>
        <v>#REF!</v>
      </c>
      <c r="J138" s="298" t="e">
        <f>#REF!</f>
        <v>#REF!</v>
      </c>
      <c r="K138" s="149" t="e">
        <f>#REF!</f>
        <v>#REF!</v>
      </c>
      <c r="L138" s="149" t="e">
        <f>#REF!</f>
        <v>#REF!</v>
      </c>
      <c r="M138" s="150" t="e">
        <f>#REF!</f>
        <v>#REF!</v>
      </c>
      <c r="N138" s="364"/>
      <c r="O138" s="202"/>
      <c r="P138" s="151" t="e">
        <f>#REF!</f>
        <v>#REF!</v>
      </c>
      <c r="Q138" s="202"/>
      <c r="R138" s="152" t="e">
        <f>#REF!</f>
        <v>#REF!</v>
      </c>
      <c r="S138" s="202"/>
      <c r="T138" s="153" t="e">
        <f>#REF!</f>
        <v>#REF!</v>
      </c>
      <c r="U138" s="202"/>
      <c r="V138" s="153" t="e">
        <f>#REF!</f>
        <v>#REF!</v>
      </c>
      <c r="W138" s="202"/>
      <c r="X138" s="153" t="e">
        <f>#REF!</f>
        <v>#REF!</v>
      </c>
      <c r="Y138" s="202"/>
      <c r="Z138" s="152" t="e">
        <f>#REF!</f>
        <v>#REF!</v>
      </c>
      <c r="AA138" s="202"/>
      <c r="AB138" s="153" t="e">
        <f>#REF!</f>
        <v>#REF!</v>
      </c>
      <c r="AC138" s="202"/>
      <c r="AD138" s="152" t="e">
        <f>#REF!</f>
        <v>#REF!</v>
      </c>
      <c r="AE138" s="202"/>
      <c r="AF138" s="153" t="e">
        <f>#REF!</f>
        <v>#REF!</v>
      </c>
      <c r="AG138" s="202"/>
      <c r="AH138" s="152" t="e">
        <f>#REF!</f>
        <v>#REF!</v>
      </c>
      <c r="AI138" s="202"/>
      <c r="AJ138" s="153" t="e">
        <f>#REF!</f>
        <v>#REF!</v>
      </c>
      <c r="AK138" s="202"/>
      <c r="AL138" s="152" t="e">
        <f>#REF!</f>
        <v>#REF!</v>
      </c>
      <c r="AM138" s="202"/>
      <c r="AN138" s="153" t="e">
        <f>#REF!</f>
        <v>#REF!</v>
      </c>
      <c r="AO138" s="202"/>
      <c r="AP138" s="152" t="e">
        <f>#REF!</f>
        <v>#REF!</v>
      </c>
      <c r="AQ138" s="202"/>
      <c r="AR138" s="154" t="e">
        <f>#REF!</f>
        <v>#REF!</v>
      </c>
      <c r="AS138" s="202"/>
      <c r="AT138" s="153" t="e">
        <f>#REF!</f>
        <v>#REF!</v>
      </c>
      <c r="AU138" s="202"/>
      <c r="AV138" s="152" t="e">
        <f>#REF!</f>
        <v>#REF!</v>
      </c>
      <c r="AW138" s="202"/>
      <c r="AX138" s="153" t="e">
        <f>#REF!</f>
        <v>#REF!</v>
      </c>
      <c r="AY138" s="202"/>
      <c r="AZ138" s="152" t="e">
        <f>#REF!</f>
        <v>#REF!</v>
      </c>
      <c r="BA138" s="202"/>
      <c r="BB138" s="154" t="e">
        <f>#REF!</f>
        <v>#REF!</v>
      </c>
      <c r="BC138" s="137"/>
    </row>
    <row r="139" spans="1:55" ht="30" customHeight="1">
      <c r="A139" s="203" t="e">
        <f>#REF!</f>
        <v>#REF!</v>
      </c>
      <c r="B139" s="204" t="e">
        <f xml:space="preserve"> IF(#REF!=0, "",#REF!)</f>
        <v>#REF!</v>
      </c>
      <c r="C139" s="369" t="e">
        <f>#REF!</f>
        <v>#REF!</v>
      </c>
      <c r="D139" s="369"/>
      <c r="E139" s="291" t="e">
        <f>#REF!</f>
        <v>#REF!</v>
      </c>
      <c r="F139" s="148" t="e">
        <f>#REF!</f>
        <v>#REF!</v>
      </c>
      <c r="G139" s="205" t="e">
        <f xml:space="preserve"> IF(#REF!="", "",#REF!)</f>
        <v>#REF!</v>
      </c>
      <c r="H139" s="205" t="e">
        <f xml:space="preserve"> IF(#REF!="", "",#REF!)</f>
        <v>#REF!</v>
      </c>
      <c r="I139" s="205" t="e">
        <f xml:space="preserve"> IF(#REF!="", "",#REF!)</f>
        <v>#REF!</v>
      </c>
      <c r="J139" s="298" t="e">
        <f>#REF!</f>
        <v>#REF!</v>
      </c>
      <c r="K139" s="149" t="e">
        <f>#REF!</f>
        <v>#REF!</v>
      </c>
      <c r="L139" s="149" t="e">
        <f>#REF!</f>
        <v>#REF!</v>
      </c>
      <c r="M139" s="150" t="e">
        <f>#REF!</f>
        <v>#REF!</v>
      </c>
      <c r="N139" s="364"/>
      <c r="O139" s="202"/>
      <c r="P139" s="151" t="e">
        <f>#REF!</f>
        <v>#REF!</v>
      </c>
      <c r="Q139" s="202"/>
      <c r="R139" s="152" t="e">
        <f>#REF!</f>
        <v>#REF!</v>
      </c>
      <c r="S139" s="202"/>
      <c r="T139" s="153" t="e">
        <f>#REF!</f>
        <v>#REF!</v>
      </c>
      <c r="U139" s="202"/>
      <c r="V139" s="153" t="e">
        <f>#REF!</f>
        <v>#REF!</v>
      </c>
      <c r="W139" s="202"/>
      <c r="X139" s="153" t="e">
        <f>#REF!</f>
        <v>#REF!</v>
      </c>
      <c r="Y139" s="202"/>
      <c r="Z139" s="152" t="e">
        <f>#REF!</f>
        <v>#REF!</v>
      </c>
      <c r="AA139" s="202"/>
      <c r="AB139" s="153" t="e">
        <f>#REF!</f>
        <v>#REF!</v>
      </c>
      <c r="AC139" s="202"/>
      <c r="AD139" s="152" t="e">
        <f>#REF!</f>
        <v>#REF!</v>
      </c>
      <c r="AE139" s="202"/>
      <c r="AF139" s="153" t="e">
        <f>#REF!</f>
        <v>#REF!</v>
      </c>
      <c r="AG139" s="202"/>
      <c r="AH139" s="152" t="e">
        <f>#REF!</f>
        <v>#REF!</v>
      </c>
      <c r="AI139" s="202"/>
      <c r="AJ139" s="153" t="e">
        <f>#REF!</f>
        <v>#REF!</v>
      </c>
      <c r="AK139" s="202"/>
      <c r="AL139" s="152" t="e">
        <f>#REF!</f>
        <v>#REF!</v>
      </c>
      <c r="AM139" s="202"/>
      <c r="AN139" s="153" t="e">
        <f>#REF!</f>
        <v>#REF!</v>
      </c>
      <c r="AO139" s="202"/>
      <c r="AP139" s="152" t="e">
        <f>#REF!</f>
        <v>#REF!</v>
      </c>
      <c r="AQ139" s="202"/>
      <c r="AR139" s="154" t="e">
        <f>#REF!</f>
        <v>#REF!</v>
      </c>
      <c r="AS139" s="202"/>
      <c r="AT139" s="153" t="e">
        <f>#REF!</f>
        <v>#REF!</v>
      </c>
      <c r="AU139" s="202"/>
      <c r="AV139" s="152" t="e">
        <f>#REF!</f>
        <v>#REF!</v>
      </c>
      <c r="AW139" s="202"/>
      <c r="AX139" s="153" t="e">
        <f>#REF!</f>
        <v>#REF!</v>
      </c>
      <c r="AY139" s="202"/>
      <c r="AZ139" s="152" t="e">
        <f>#REF!</f>
        <v>#REF!</v>
      </c>
      <c r="BA139" s="202"/>
      <c r="BB139" s="154" t="e">
        <f>#REF!</f>
        <v>#REF!</v>
      </c>
      <c r="BC139" s="137"/>
    </row>
    <row r="140" spans="1:55" ht="30" customHeight="1">
      <c r="A140" s="203" t="e">
        <f>#REF!</f>
        <v>#REF!</v>
      </c>
      <c r="B140" s="204" t="e">
        <f xml:space="preserve"> IF(#REF!=0, "",#REF!)</f>
        <v>#REF!</v>
      </c>
      <c r="C140" s="369" t="e">
        <f>#REF!</f>
        <v>#REF!</v>
      </c>
      <c r="D140" s="369"/>
      <c r="E140" s="291" t="e">
        <f>#REF!</f>
        <v>#REF!</v>
      </c>
      <c r="F140" s="148" t="e">
        <f>#REF!</f>
        <v>#REF!</v>
      </c>
      <c r="G140" s="205" t="e">
        <f xml:space="preserve"> IF(#REF!="", "",#REF!)</f>
        <v>#REF!</v>
      </c>
      <c r="H140" s="205" t="e">
        <f xml:space="preserve"> IF(#REF!="", "",#REF!)</f>
        <v>#REF!</v>
      </c>
      <c r="I140" s="205" t="e">
        <f xml:space="preserve"> IF(#REF!="", "",#REF!)</f>
        <v>#REF!</v>
      </c>
      <c r="J140" s="298" t="e">
        <f>#REF!</f>
        <v>#REF!</v>
      </c>
      <c r="K140" s="149" t="e">
        <f>#REF!</f>
        <v>#REF!</v>
      </c>
      <c r="L140" s="149" t="e">
        <f>#REF!</f>
        <v>#REF!</v>
      </c>
      <c r="M140" s="150" t="e">
        <f>#REF!</f>
        <v>#REF!</v>
      </c>
      <c r="N140" s="364"/>
      <c r="O140" s="202"/>
      <c r="P140" s="151" t="e">
        <f>#REF!</f>
        <v>#REF!</v>
      </c>
      <c r="Q140" s="202"/>
      <c r="R140" s="152" t="e">
        <f>#REF!</f>
        <v>#REF!</v>
      </c>
      <c r="S140" s="202"/>
      <c r="T140" s="153" t="e">
        <f>#REF!</f>
        <v>#REF!</v>
      </c>
      <c r="U140" s="202"/>
      <c r="V140" s="153" t="e">
        <f>#REF!</f>
        <v>#REF!</v>
      </c>
      <c r="W140" s="202"/>
      <c r="X140" s="153" t="e">
        <f>#REF!</f>
        <v>#REF!</v>
      </c>
      <c r="Y140" s="202"/>
      <c r="Z140" s="152" t="e">
        <f>#REF!</f>
        <v>#REF!</v>
      </c>
      <c r="AA140" s="202"/>
      <c r="AB140" s="153" t="e">
        <f>#REF!</f>
        <v>#REF!</v>
      </c>
      <c r="AC140" s="202"/>
      <c r="AD140" s="152" t="e">
        <f>#REF!</f>
        <v>#REF!</v>
      </c>
      <c r="AE140" s="202"/>
      <c r="AF140" s="153" t="e">
        <f>#REF!</f>
        <v>#REF!</v>
      </c>
      <c r="AG140" s="202"/>
      <c r="AH140" s="152" t="e">
        <f>#REF!</f>
        <v>#REF!</v>
      </c>
      <c r="AI140" s="202"/>
      <c r="AJ140" s="153" t="e">
        <f>#REF!</f>
        <v>#REF!</v>
      </c>
      <c r="AK140" s="202"/>
      <c r="AL140" s="152" t="e">
        <f>#REF!</f>
        <v>#REF!</v>
      </c>
      <c r="AM140" s="202"/>
      <c r="AN140" s="153" t="e">
        <f>#REF!</f>
        <v>#REF!</v>
      </c>
      <c r="AO140" s="202"/>
      <c r="AP140" s="152" t="e">
        <f>#REF!</f>
        <v>#REF!</v>
      </c>
      <c r="AQ140" s="202"/>
      <c r="AR140" s="154" t="e">
        <f>#REF!</f>
        <v>#REF!</v>
      </c>
      <c r="AS140" s="202"/>
      <c r="AT140" s="153" t="e">
        <f>#REF!</f>
        <v>#REF!</v>
      </c>
      <c r="AU140" s="202"/>
      <c r="AV140" s="152" t="e">
        <f>#REF!</f>
        <v>#REF!</v>
      </c>
      <c r="AW140" s="202"/>
      <c r="AX140" s="153" t="e">
        <f>#REF!</f>
        <v>#REF!</v>
      </c>
      <c r="AY140" s="202"/>
      <c r="AZ140" s="152" t="e">
        <f>#REF!</f>
        <v>#REF!</v>
      </c>
      <c r="BA140" s="202"/>
      <c r="BB140" s="154" t="e">
        <f>#REF!</f>
        <v>#REF!</v>
      </c>
      <c r="BC140" s="137"/>
    </row>
    <row r="141" spans="1:55" ht="30" customHeight="1">
      <c r="A141" s="203" t="e">
        <f>#REF!</f>
        <v>#REF!</v>
      </c>
      <c r="B141" s="204" t="e">
        <f xml:space="preserve"> IF(#REF!=0, "",#REF!)</f>
        <v>#REF!</v>
      </c>
      <c r="C141" s="369" t="e">
        <f>#REF!</f>
        <v>#REF!</v>
      </c>
      <c r="D141" s="369"/>
      <c r="E141" s="291" t="e">
        <f>#REF!</f>
        <v>#REF!</v>
      </c>
      <c r="F141" s="148" t="e">
        <f>#REF!</f>
        <v>#REF!</v>
      </c>
      <c r="G141" s="205" t="e">
        <f xml:space="preserve"> IF(#REF!="", "",#REF!)</f>
        <v>#REF!</v>
      </c>
      <c r="H141" s="205" t="e">
        <f xml:space="preserve"> IF(#REF!="", "",#REF!)</f>
        <v>#REF!</v>
      </c>
      <c r="I141" s="205" t="e">
        <f xml:space="preserve"> IF(#REF!="", "",#REF!)</f>
        <v>#REF!</v>
      </c>
      <c r="J141" s="298" t="e">
        <f>#REF!</f>
        <v>#REF!</v>
      </c>
      <c r="K141" s="149" t="e">
        <f>#REF!</f>
        <v>#REF!</v>
      </c>
      <c r="L141" s="149" t="e">
        <f>#REF!</f>
        <v>#REF!</v>
      </c>
      <c r="M141" s="150" t="e">
        <f>#REF!</f>
        <v>#REF!</v>
      </c>
      <c r="N141" s="364"/>
      <c r="O141" s="202"/>
      <c r="P141" s="151" t="e">
        <f>#REF!</f>
        <v>#REF!</v>
      </c>
      <c r="Q141" s="202"/>
      <c r="R141" s="152" t="e">
        <f>#REF!</f>
        <v>#REF!</v>
      </c>
      <c r="S141" s="202"/>
      <c r="T141" s="153" t="e">
        <f>#REF!</f>
        <v>#REF!</v>
      </c>
      <c r="U141" s="202"/>
      <c r="V141" s="153" t="e">
        <f>#REF!</f>
        <v>#REF!</v>
      </c>
      <c r="W141" s="202"/>
      <c r="X141" s="153" t="e">
        <f>#REF!</f>
        <v>#REF!</v>
      </c>
      <c r="Y141" s="202"/>
      <c r="Z141" s="152" t="e">
        <f>#REF!</f>
        <v>#REF!</v>
      </c>
      <c r="AA141" s="202"/>
      <c r="AB141" s="153" t="e">
        <f>#REF!</f>
        <v>#REF!</v>
      </c>
      <c r="AC141" s="202"/>
      <c r="AD141" s="152" t="e">
        <f>#REF!</f>
        <v>#REF!</v>
      </c>
      <c r="AE141" s="202"/>
      <c r="AF141" s="153" t="e">
        <f>#REF!</f>
        <v>#REF!</v>
      </c>
      <c r="AG141" s="202"/>
      <c r="AH141" s="152" t="e">
        <f>#REF!</f>
        <v>#REF!</v>
      </c>
      <c r="AI141" s="202"/>
      <c r="AJ141" s="153" t="e">
        <f>#REF!</f>
        <v>#REF!</v>
      </c>
      <c r="AK141" s="202"/>
      <c r="AL141" s="152" t="e">
        <f>#REF!</f>
        <v>#REF!</v>
      </c>
      <c r="AM141" s="202"/>
      <c r="AN141" s="153" t="e">
        <f>#REF!</f>
        <v>#REF!</v>
      </c>
      <c r="AO141" s="202"/>
      <c r="AP141" s="152" t="e">
        <f>#REF!</f>
        <v>#REF!</v>
      </c>
      <c r="AQ141" s="202"/>
      <c r="AR141" s="154" t="e">
        <f>#REF!</f>
        <v>#REF!</v>
      </c>
      <c r="AS141" s="202"/>
      <c r="AT141" s="153" t="e">
        <f>#REF!</f>
        <v>#REF!</v>
      </c>
      <c r="AU141" s="202"/>
      <c r="AV141" s="152" t="e">
        <f>#REF!</f>
        <v>#REF!</v>
      </c>
      <c r="AW141" s="202"/>
      <c r="AX141" s="153" t="e">
        <f>#REF!</f>
        <v>#REF!</v>
      </c>
      <c r="AY141" s="202"/>
      <c r="AZ141" s="152" t="e">
        <f>#REF!</f>
        <v>#REF!</v>
      </c>
      <c r="BA141" s="202"/>
      <c r="BB141" s="154" t="e">
        <f>#REF!</f>
        <v>#REF!</v>
      </c>
      <c r="BC141" s="137"/>
    </row>
    <row r="142" spans="1:55" ht="30" customHeight="1">
      <c r="A142" s="203" t="e">
        <f>#REF!</f>
        <v>#REF!</v>
      </c>
      <c r="B142" s="204" t="e">
        <f xml:space="preserve"> IF(#REF!=0, "",#REF!)</f>
        <v>#REF!</v>
      </c>
      <c r="C142" s="369" t="e">
        <f>#REF!</f>
        <v>#REF!</v>
      </c>
      <c r="D142" s="369"/>
      <c r="E142" s="291" t="e">
        <f>#REF!</f>
        <v>#REF!</v>
      </c>
      <c r="F142" s="148" t="e">
        <f>#REF!</f>
        <v>#REF!</v>
      </c>
      <c r="G142" s="205" t="e">
        <f xml:space="preserve"> IF(#REF!="", "",#REF!)</f>
        <v>#REF!</v>
      </c>
      <c r="H142" s="205" t="e">
        <f xml:space="preserve"> IF(#REF!="", "",#REF!)</f>
        <v>#REF!</v>
      </c>
      <c r="I142" s="205" t="e">
        <f xml:space="preserve"> IF(#REF!="", "",#REF!)</f>
        <v>#REF!</v>
      </c>
      <c r="J142" s="298" t="e">
        <f>#REF!</f>
        <v>#REF!</v>
      </c>
      <c r="K142" s="149" t="e">
        <f>#REF!</f>
        <v>#REF!</v>
      </c>
      <c r="L142" s="149" t="e">
        <f>#REF!</f>
        <v>#REF!</v>
      </c>
      <c r="M142" s="150" t="e">
        <f>#REF!</f>
        <v>#REF!</v>
      </c>
      <c r="N142" s="364"/>
      <c r="O142" s="202"/>
      <c r="P142" s="151" t="e">
        <f>#REF!</f>
        <v>#REF!</v>
      </c>
      <c r="Q142" s="202"/>
      <c r="R142" s="152" t="e">
        <f>#REF!</f>
        <v>#REF!</v>
      </c>
      <c r="S142" s="202"/>
      <c r="T142" s="153" t="e">
        <f>#REF!</f>
        <v>#REF!</v>
      </c>
      <c r="U142" s="202"/>
      <c r="V142" s="153" t="e">
        <f>#REF!</f>
        <v>#REF!</v>
      </c>
      <c r="W142" s="202"/>
      <c r="X142" s="153" t="e">
        <f>#REF!</f>
        <v>#REF!</v>
      </c>
      <c r="Y142" s="202"/>
      <c r="Z142" s="152" t="e">
        <f>#REF!</f>
        <v>#REF!</v>
      </c>
      <c r="AA142" s="202"/>
      <c r="AB142" s="153" t="e">
        <f>#REF!</f>
        <v>#REF!</v>
      </c>
      <c r="AC142" s="202"/>
      <c r="AD142" s="152" t="e">
        <f>#REF!</f>
        <v>#REF!</v>
      </c>
      <c r="AE142" s="202"/>
      <c r="AF142" s="153" t="e">
        <f>#REF!</f>
        <v>#REF!</v>
      </c>
      <c r="AG142" s="202"/>
      <c r="AH142" s="152" t="e">
        <f>#REF!</f>
        <v>#REF!</v>
      </c>
      <c r="AI142" s="202"/>
      <c r="AJ142" s="153" t="e">
        <f>#REF!</f>
        <v>#REF!</v>
      </c>
      <c r="AK142" s="202"/>
      <c r="AL142" s="152" t="e">
        <f>#REF!</f>
        <v>#REF!</v>
      </c>
      <c r="AM142" s="202"/>
      <c r="AN142" s="153" t="e">
        <f>#REF!</f>
        <v>#REF!</v>
      </c>
      <c r="AO142" s="202"/>
      <c r="AP142" s="152" t="e">
        <f>#REF!</f>
        <v>#REF!</v>
      </c>
      <c r="AQ142" s="202"/>
      <c r="AR142" s="154" t="e">
        <f>#REF!</f>
        <v>#REF!</v>
      </c>
      <c r="AS142" s="202"/>
      <c r="AT142" s="153" t="e">
        <f>#REF!</f>
        <v>#REF!</v>
      </c>
      <c r="AU142" s="202"/>
      <c r="AV142" s="152" t="e">
        <f>#REF!</f>
        <v>#REF!</v>
      </c>
      <c r="AW142" s="202"/>
      <c r="AX142" s="153" t="e">
        <f>#REF!</f>
        <v>#REF!</v>
      </c>
      <c r="AY142" s="202"/>
      <c r="AZ142" s="152" t="e">
        <f>#REF!</f>
        <v>#REF!</v>
      </c>
      <c r="BA142" s="202"/>
      <c r="BB142" s="154" t="e">
        <f>#REF!</f>
        <v>#REF!</v>
      </c>
      <c r="BC142" s="137"/>
    </row>
    <row r="143" spans="1:55" ht="30" customHeight="1">
      <c r="A143" s="203" t="e">
        <f>#REF!</f>
        <v>#REF!</v>
      </c>
      <c r="B143" s="204" t="e">
        <f xml:space="preserve"> IF(#REF!=0, "",#REF!)</f>
        <v>#REF!</v>
      </c>
      <c r="C143" s="369" t="e">
        <f>#REF!</f>
        <v>#REF!</v>
      </c>
      <c r="D143" s="369"/>
      <c r="E143" s="291" t="e">
        <f>#REF!</f>
        <v>#REF!</v>
      </c>
      <c r="F143" s="148" t="e">
        <f>#REF!</f>
        <v>#REF!</v>
      </c>
      <c r="G143" s="205" t="e">
        <f xml:space="preserve"> IF(#REF!="", "",#REF!)</f>
        <v>#REF!</v>
      </c>
      <c r="H143" s="205" t="e">
        <f xml:space="preserve"> IF(#REF!="", "",#REF!)</f>
        <v>#REF!</v>
      </c>
      <c r="I143" s="205" t="e">
        <f xml:space="preserve"> IF(#REF!="", "",#REF!)</f>
        <v>#REF!</v>
      </c>
      <c r="J143" s="298" t="e">
        <f>#REF!</f>
        <v>#REF!</v>
      </c>
      <c r="K143" s="149" t="e">
        <f>#REF!</f>
        <v>#REF!</v>
      </c>
      <c r="L143" s="149" t="e">
        <f>#REF!</f>
        <v>#REF!</v>
      </c>
      <c r="M143" s="150" t="e">
        <f>#REF!</f>
        <v>#REF!</v>
      </c>
      <c r="N143" s="364"/>
      <c r="O143" s="202"/>
      <c r="P143" s="151" t="e">
        <f>#REF!</f>
        <v>#REF!</v>
      </c>
      <c r="Q143" s="202"/>
      <c r="R143" s="152" t="e">
        <f>#REF!</f>
        <v>#REF!</v>
      </c>
      <c r="S143" s="202"/>
      <c r="T143" s="153" t="e">
        <f>#REF!</f>
        <v>#REF!</v>
      </c>
      <c r="U143" s="202"/>
      <c r="V143" s="153" t="e">
        <f>#REF!</f>
        <v>#REF!</v>
      </c>
      <c r="W143" s="202"/>
      <c r="X143" s="153" t="e">
        <f>#REF!</f>
        <v>#REF!</v>
      </c>
      <c r="Y143" s="202"/>
      <c r="Z143" s="152" t="e">
        <f>#REF!</f>
        <v>#REF!</v>
      </c>
      <c r="AA143" s="202"/>
      <c r="AB143" s="153" t="e">
        <f>#REF!</f>
        <v>#REF!</v>
      </c>
      <c r="AC143" s="202"/>
      <c r="AD143" s="152" t="e">
        <f>#REF!</f>
        <v>#REF!</v>
      </c>
      <c r="AE143" s="202"/>
      <c r="AF143" s="153" t="e">
        <f>#REF!</f>
        <v>#REF!</v>
      </c>
      <c r="AG143" s="202"/>
      <c r="AH143" s="152" t="e">
        <f>#REF!</f>
        <v>#REF!</v>
      </c>
      <c r="AI143" s="202"/>
      <c r="AJ143" s="153" t="e">
        <f>#REF!</f>
        <v>#REF!</v>
      </c>
      <c r="AK143" s="202"/>
      <c r="AL143" s="152" t="e">
        <f>#REF!</f>
        <v>#REF!</v>
      </c>
      <c r="AM143" s="202"/>
      <c r="AN143" s="153" t="e">
        <f>#REF!</f>
        <v>#REF!</v>
      </c>
      <c r="AO143" s="202"/>
      <c r="AP143" s="152" t="e">
        <f>#REF!</f>
        <v>#REF!</v>
      </c>
      <c r="AQ143" s="202"/>
      <c r="AR143" s="154" t="e">
        <f>#REF!</f>
        <v>#REF!</v>
      </c>
      <c r="AS143" s="202"/>
      <c r="AT143" s="153" t="e">
        <f>#REF!</f>
        <v>#REF!</v>
      </c>
      <c r="AU143" s="202"/>
      <c r="AV143" s="152" t="e">
        <f>#REF!</f>
        <v>#REF!</v>
      </c>
      <c r="AW143" s="202"/>
      <c r="AX143" s="153" t="e">
        <f>#REF!</f>
        <v>#REF!</v>
      </c>
      <c r="AY143" s="202"/>
      <c r="AZ143" s="152" t="e">
        <f>#REF!</f>
        <v>#REF!</v>
      </c>
      <c r="BA143" s="202"/>
      <c r="BB143" s="154" t="e">
        <f>#REF!</f>
        <v>#REF!</v>
      </c>
      <c r="BC143" s="137"/>
    </row>
    <row r="144" spans="1:55" ht="30" customHeight="1">
      <c r="A144" s="203" t="e">
        <f>#REF!</f>
        <v>#REF!</v>
      </c>
      <c r="B144" s="204" t="e">
        <f xml:space="preserve"> IF(#REF!=0, "",#REF!)</f>
        <v>#REF!</v>
      </c>
      <c r="C144" s="369" t="e">
        <f>#REF!</f>
        <v>#REF!</v>
      </c>
      <c r="D144" s="369"/>
      <c r="E144" s="291" t="e">
        <f>#REF!</f>
        <v>#REF!</v>
      </c>
      <c r="F144" s="148" t="e">
        <f>#REF!</f>
        <v>#REF!</v>
      </c>
      <c r="G144" s="205" t="e">
        <f xml:space="preserve"> IF(#REF!="", "",#REF!)</f>
        <v>#REF!</v>
      </c>
      <c r="H144" s="205" t="e">
        <f xml:space="preserve"> IF(#REF!="", "",#REF!)</f>
        <v>#REF!</v>
      </c>
      <c r="I144" s="205" t="e">
        <f xml:space="preserve"> IF(#REF!="", "",#REF!)</f>
        <v>#REF!</v>
      </c>
      <c r="J144" s="298" t="e">
        <f>#REF!</f>
        <v>#REF!</v>
      </c>
      <c r="K144" s="149" t="e">
        <f>#REF!</f>
        <v>#REF!</v>
      </c>
      <c r="L144" s="149" t="e">
        <f>#REF!</f>
        <v>#REF!</v>
      </c>
      <c r="M144" s="150" t="e">
        <f>#REF!</f>
        <v>#REF!</v>
      </c>
      <c r="N144" s="364"/>
      <c r="O144" s="202"/>
      <c r="P144" s="151" t="e">
        <f>#REF!</f>
        <v>#REF!</v>
      </c>
      <c r="Q144" s="202"/>
      <c r="R144" s="152" t="e">
        <f>#REF!</f>
        <v>#REF!</v>
      </c>
      <c r="S144" s="202"/>
      <c r="T144" s="153" t="e">
        <f>#REF!</f>
        <v>#REF!</v>
      </c>
      <c r="U144" s="202"/>
      <c r="V144" s="153" t="e">
        <f>#REF!</f>
        <v>#REF!</v>
      </c>
      <c r="W144" s="202"/>
      <c r="X144" s="153" t="e">
        <f>#REF!</f>
        <v>#REF!</v>
      </c>
      <c r="Y144" s="202"/>
      <c r="Z144" s="152" t="e">
        <f>#REF!</f>
        <v>#REF!</v>
      </c>
      <c r="AA144" s="202"/>
      <c r="AB144" s="153" t="e">
        <f>#REF!</f>
        <v>#REF!</v>
      </c>
      <c r="AC144" s="202"/>
      <c r="AD144" s="152" t="e">
        <f>#REF!</f>
        <v>#REF!</v>
      </c>
      <c r="AE144" s="202"/>
      <c r="AF144" s="153" t="e">
        <f>#REF!</f>
        <v>#REF!</v>
      </c>
      <c r="AG144" s="202"/>
      <c r="AH144" s="152" t="e">
        <f>#REF!</f>
        <v>#REF!</v>
      </c>
      <c r="AI144" s="202"/>
      <c r="AJ144" s="153" t="e">
        <f>#REF!</f>
        <v>#REF!</v>
      </c>
      <c r="AK144" s="202"/>
      <c r="AL144" s="152" t="e">
        <f>#REF!</f>
        <v>#REF!</v>
      </c>
      <c r="AM144" s="202"/>
      <c r="AN144" s="153" t="e">
        <f>#REF!</f>
        <v>#REF!</v>
      </c>
      <c r="AO144" s="202"/>
      <c r="AP144" s="152" t="e">
        <f>#REF!</f>
        <v>#REF!</v>
      </c>
      <c r="AQ144" s="202"/>
      <c r="AR144" s="154" t="e">
        <f>#REF!</f>
        <v>#REF!</v>
      </c>
      <c r="AS144" s="202"/>
      <c r="AT144" s="153" t="e">
        <f>#REF!</f>
        <v>#REF!</v>
      </c>
      <c r="AU144" s="202"/>
      <c r="AV144" s="152" t="e">
        <f>#REF!</f>
        <v>#REF!</v>
      </c>
      <c r="AW144" s="202"/>
      <c r="AX144" s="153" t="e">
        <f>#REF!</f>
        <v>#REF!</v>
      </c>
      <c r="AY144" s="202"/>
      <c r="AZ144" s="152" t="e">
        <f>#REF!</f>
        <v>#REF!</v>
      </c>
      <c r="BA144" s="202"/>
      <c r="BB144" s="154" t="e">
        <f>#REF!</f>
        <v>#REF!</v>
      </c>
      <c r="BC144" s="137"/>
    </row>
    <row r="145" spans="1:55" ht="30" customHeight="1">
      <c r="A145" s="203" t="e">
        <f>#REF!</f>
        <v>#REF!</v>
      </c>
      <c r="B145" s="204" t="e">
        <f xml:space="preserve"> IF(#REF!=0, "",#REF!)</f>
        <v>#REF!</v>
      </c>
      <c r="C145" s="369" t="e">
        <f>#REF!</f>
        <v>#REF!</v>
      </c>
      <c r="D145" s="369"/>
      <c r="E145" s="291" t="e">
        <f>#REF!</f>
        <v>#REF!</v>
      </c>
      <c r="F145" s="148" t="e">
        <f>#REF!</f>
        <v>#REF!</v>
      </c>
      <c r="G145" s="205" t="e">
        <f xml:space="preserve"> IF(#REF!="", "",#REF!)</f>
        <v>#REF!</v>
      </c>
      <c r="H145" s="205" t="e">
        <f xml:space="preserve"> IF(#REF!="", "",#REF!)</f>
        <v>#REF!</v>
      </c>
      <c r="I145" s="205" t="e">
        <f xml:space="preserve"> IF(#REF!="", "",#REF!)</f>
        <v>#REF!</v>
      </c>
      <c r="J145" s="298" t="e">
        <f>#REF!</f>
        <v>#REF!</v>
      </c>
      <c r="K145" s="149" t="e">
        <f>#REF!</f>
        <v>#REF!</v>
      </c>
      <c r="L145" s="149" t="e">
        <f>#REF!</f>
        <v>#REF!</v>
      </c>
      <c r="M145" s="150" t="e">
        <f>#REF!</f>
        <v>#REF!</v>
      </c>
      <c r="N145" s="364"/>
      <c r="O145" s="202"/>
      <c r="P145" s="151" t="e">
        <f>#REF!</f>
        <v>#REF!</v>
      </c>
      <c r="Q145" s="202"/>
      <c r="R145" s="152" t="e">
        <f>#REF!</f>
        <v>#REF!</v>
      </c>
      <c r="S145" s="202"/>
      <c r="T145" s="153" t="e">
        <f>#REF!</f>
        <v>#REF!</v>
      </c>
      <c r="U145" s="202"/>
      <c r="V145" s="153" t="e">
        <f>#REF!</f>
        <v>#REF!</v>
      </c>
      <c r="W145" s="202"/>
      <c r="X145" s="153" t="e">
        <f>#REF!</f>
        <v>#REF!</v>
      </c>
      <c r="Y145" s="202"/>
      <c r="Z145" s="152" t="e">
        <f>#REF!</f>
        <v>#REF!</v>
      </c>
      <c r="AA145" s="202"/>
      <c r="AB145" s="153" t="e">
        <f>#REF!</f>
        <v>#REF!</v>
      </c>
      <c r="AC145" s="202"/>
      <c r="AD145" s="152" t="e">
        <f>#REF!</f>
        <v>#REF!</v>
      </c>
      <c r="AE145" s="202"/>
      <c r="AF145" s="153" t="e">
        <f>#REF!</f>
        <v>#REF!</v>
      </c>
      <c r="AG145" s="202"/>
      <c r="AH145" s="152" t="e">
        <f>#REF!</f>
        <v>#REF!</v>
      </c>
      <c r="AI145" s="202"/>
      <c r="AJ145" s="153" t="e">
        <f>#REF!</f>
        <v>#REF!</v>
      </c>
      <c r="AK145" s="202"/>
      <c r="AL145" s="152" t="e">
        <f>#REF!</f>
        <v>#REF!</v>
      </c>
      <c r="AM145" s="202"/>
      <c r="AN145" s="153" t="e">
        <f>#REF!</f>
        <v>#REF!</v>
      </c>
      <c r="AO145" s="202"/>
      <c r="AP145" s="152" t="e">
        <f>#REF!</f>
        <v>#REF!</v>
      </c>
      <c r="AQ145" s="202"/>
      <c r="AR145" s="154" t="e">
        <f>#REF!</f>
        <v>#REF!</v>
      </c>
      <c r="AS145" s="202"/>
      <c r="AT145" s="153" t="e">
        <f>#REF!</f>
        <v>#REF!</v>
      </c>
      <c r="AU145" s="202"/>
      <c r="AV145" s="152" t="e">
        <f>#REF!</f>
        <v>#REF!</v>
      </c>
      <c r="AW145" s="202"/>
      <c r="AX145" s="153" t="e">
        <f>#REF!</f>
        <v>#REF!</v>
      </c>
      <c r="AY145" s="202"/>
      <c r="AZ145" s="152" t="e">
        <f>#REF!</f>
        <v>#REF!</v>
      </c>
      <c r="BA145" s="202"/>
      <c r="BB145" s="154" t="e">
        <f>#REF!</f>
        <v>#REF!</v>
      </c>
      <c r="BC145" s="137"/>
    </row>
    <row r="146" spans="1:55" ht="30" customHeight="1">
      <c r="A146" s="203" t="e">
        <f>#REF!</f>
        <v>#REF!</v>
      </c>
      <c r="B146" s="204" t="e">
        <f xml:space="preserve"> IF(#REF!=0, "",#REF!)</f>
        <v>#REF!</v>
      </c>
      <c r="C146" s="369" t="e">
        <f>#REF!</f>
        <v>#REF!</v>
      </c>
      <c r="D146" s="369"/>
      <c r="E146" s="291" t="e">
        <f>#REF!</f>
        <v>#REF!</v>
      </c>
      <c r="F146" s="148" t="e">
        <f>#REF!</f>
        <v>#REF!</v>
      </c>
      <c r="G146" s="205" t="e">
        <f xml:space="preserve"> IF(#REF!="", "",#REF!)</f>
        <v>#REF!</v>
      </c>
      <c r="H146" s="205" t="e">
        <f xml:space="preserve"> IF(#REF!="", "",#REF!)</f>
        <v>#REF!</v>
      </c>
      <c r="I146" s="205" t="e">
        <f xml:space="preserve"> IF(#REF!="", "",#REF!)</f>
        <v>#REF!</v>
      </c>
      <c r="J146" s="298" t="e">
        <f>#REF!</f>
        <v>#REF!</v>
      </c>
      <c r="K146" s="149" t="e">
        <f>#REF!</f>
        <v>#REF!</v>
      </c>
      <c r="L146" s="149" t="e">
        <f>#REF!</f>
        <v>#REF!</v>
      </c>
      <c r="M146" s="150" t="e">
        <f>#REF!</f>
        <v>#REF!</v>
      </c>
      <c r="N146" s="364"/>
      <c r="O146" s="202"/>
      <c r="P146" s="151" t="e">
        <f>#REF!</f>
        <v>#REF!</v>
      </c>
      <c r="Q146" s="202"/>
      <c r="R146" s="152" t="e">
        <f>#REF!</f>
        <v>#REF!</v>
      </c>
      <c r="S146" s="202"/>
      <c r="T146" s="153" t="e">
        <f>#REF!</f>
        <v>#REF!</v>
      </c>
      <c r="U146" s="202"/>
      <c r="V146" s="153" t="e">
        <f>#REF!</f>
        <v>#REF!</v>
      </c>
      <c r="W146" s="202"/>
      <c r="X146" s="153" t="e">
        <f>#REF!</f>
        <v>#REF!</v>
      </c>
      <c r="Y146" s="202"/>
      <c r="Z146" s="152" t="e">
        <f>#REF!</f>
        <v>#REF!</v>
      </c>
      <c r="AA146" s="202"/>
      <c r="AB146" s="153" t="e">
        <f>#REF!</f>
        <v>#REF!</v>
      </c>
      <c r="AC146" s="202"/>
      <c r="AD146" s="152" t="e">
        <f>#REF!</f>
        <v>#REF!</v>
      </c>
      <c r="AE146" s="202"/>
      <c r="AF146" s="153" t="e">
        <f>#REF!</f>
        <v>#REF!</v>
      </c>
      <c r="AG146" s="202"/>
      <c r="AH146" s="152" t="e">
        <f>#REF!</f>
        <v>#REF!</v>
      </c>
      <c r="AI146" s="202"/>
      <c r="AJ146" s="153" t="e">
        <f>#REF!</f>
        <v>#REF!</v>
      </c>
      <c r="AK146" s="202"/>
      <c r="AL146" s="152" t="e">
        <f>#REF!</f>
        <v>#REF!</v>
      </c>
      <c r="AM146" s="202"/>
      <c r="AN146" s="153" t="e">
        <f>#REF!</f>
        <v>#REF!</v>
      </c>
      <c r="AO146" s="202"/>
      <c r="AP146" s="152" t="e">
        <f>#REF!</f>
        <v>#REF!</v>
      </c>
      <c r="AQ146" s="202"/>
      <c r="AR146" s="154" t="e">
        <f>#REF!</f>
        <v>#REF!</v>
      </c>
      <c r="AS146" s="202"/>
      <c r="AT146" s="153" t="e">
        <f>#REF!</f>
        <v>#REF!</v>
      </c>
      <c r="AU146" s="202"/>
      <c r="AV146" s="152" t="e">
        <f>#REF!</f>
        <v>#REF!</v>
      </c>
      <c r="AW146" s="202"/>
      <c r="AX146" s="153" t="e">
        <f>#REF!</f>
        <v>#REF!</v>
      </c>
      <c r="AY146" s="202"/>
      <c r="AZ146" s="152" t="e">
        <f>#REF!</f>
        <v>#REF!</v>
      </c>
      <c r="BA146" s="202"/>
      <c r="BB146" s="154" t="e">
        <f>#REF!</f>
        <v>#REF!</v>
      </c>
      <c r="BC146" s="137"/>
    </row>
    <row r="147" spans="1:55" ht="30" customHeight="1">
      <c r="A147" s="203" t="e">
        <f>#REF!</f>
        <v>#REF!</v>
      </c>
      <c r="B147" s="204" t="e">
        <f xml:space="preserve"> IF(#REF!=0, "",#REF!)</f>
        <v>#REF!</v>
      </c>
      <c r="C147" s="369" t="e">
        <f>#REF!</f>
        <v>#REF!</v>
      </c>
      <c r="D147" s="369"/>
      <c r="E147" s="291" t="e">
        <f>#REF!</f>
        <v>#REF!</v>
      </c>
      <c r="F147" s="148" t="e">
        <f>#REF!</f>
        <v>#REF!</v>
      </c>
      <c r="G147" s="205" t="e">
        <f xml:space="preserve"> IF(#REF!="", "",#REF!)</f>
        <v>#REF!</v>
      </c>
      <c r="H147" s="205" t="e">
        <f xml:space="preserve"> IF(#REF!="", "",#REF!)</f>
        <v>#REF!</v>
      </c>
      <c r="I147" s="205" t="e">
        <f xml:space="preserve"> IF(#REF!="", "",#REF!)</f>
        <v>#REF!</v>
      </c>
      <c r="J147" s="298" t="e">
        <f>#REF!</f>
        <v>#REF!</v>
      </c>
      <c r="K147" s="149" t="e">
        <f>#REF!</f>
        <v>#REF!</v>
      </c>
      <c r="L147" s="149" t="e">
        <f>#REF!</f>
        <v>#REF!</v>
      </c>
      <c r="M147" s="150" t="e">
        <f>#REF!</f>
        <v>#REF!</v>
      </c>
      <c r="N147" s="364"/>
      <c r="O147" s="202"/>
      <c r="P147" s="151" t="e">
        <f>#REF!</f>
        <v>#REF!</v>
      </c>
      <c r="Q147" s="202"/>
      <c r="R147" s="152" t="e">
        <f>#REF!</f>
        <v>#REF!</v>
      </c>
      <c r="S147" s="202"/>
      <c r="T147" s="153" t="e">
        <f>#REF!</f>
        <v>#REF!</v>
      </c>
      <c r="U147" s="202"/>
      <c r="V147" s="153" t="e">
        <f>#REF!</f>
        <v>#REF!</v>
      </c>
      <c r="W147" s="202"/>
      <c r="X147" s="153" t="e">
        <f>#REF!</f>
        <v>#REF!</v>
      </c>
      <c r="Y147" s="202"/>
      <c r="Z147" s="152" t="e">
        <f>#REF!</f>
        <v>#REF!</v>
      </c>
      <c r="AA147" s="202"/>
      <c r="AB147" s="153" t="e">
        <f>#REF!</f>
        <v>#REF!</v>
      </c>
      <c r="AC147" s="202"/>
      <c r="AD147" s="152" t="e">
        <f>#REF!</f>
        <v>#REF!</v>
      </c>
      <c r="AE147" s="202"/>
      <c r="AF147" s="153" t="e">
        <f>#REF!</f>
        <v>#REF!</v>
      </c>
      <c r="AG147" s="202"/>
      <c r="AH147" s="152" t="e">
        <f>#REF!</f>
        <v>#REF!</v>
      </c>
      <c r="AI147" s="202"/>
      <c r="AJ147" s="153" t="e">
        <f>#REF!</f>
        <v>#REF!</v>
      </c>
      <c r="AK147" s="202"/>
      <c r="AL147" s="152" t="e">
        <f>#REF!</f>
        <v>#REF!</v>
      </c>
      <c r="AM147" s="202"/>
      <c r="AN147" s="153" t="e">
        <f>#REF!</f>
        <v>#REF!</v>
      </c>
      <c r="AO147" s="202"/>
      <c r="AP147" s="152" t="e">
        <f>#REF!</f>
        <v>#REF!</v>
      </c>
      <c r="AQ147" s="202"/>
      <c r="AR147" s="154" t="e">
        <f>#REF!</f>
        <v>#REF!</v>
      </c>
      <c r="AS147" s="202"/>
      <c r="AT147" s="153" t="e">
        <f>#REF!</f>
        <v>#REF!</v>
      </c>
      <c r="AU147" s="202"/>
      <c r="AV147" s="152" t="e">
        <f>#REF!</f>
        <v>#REF!</v>
      </c>
      <c r="AW147" s="202"/>
      <c r="AX147" s="153" t="e">
        <f>#REF!</f>
        <v>#REF!</v>
      </c>
      <c r="AY147" s="202"/>
      <c r="AZ147" s="152" t="e">
        <f>#REF!</f>
        <v>#REF!</v>
      </c>
      <c r="BA147" s="202"/>
      <c r="BB147" s="154" t="e">
        <f>#REF!</f>
        <v>#REF!</v>
      </c>
      <c r="BC147" s="137"/>
    </row>
    <row r="148" spans="1:55" ht="30" customHeight="1">
      <c r="A148" s="203" t="e">
        <f>#REF!</f>
        <v>#REF!</v>
      </c>
      <c r="B148" s="204" t="e">
        <f xml:space="preserve"> IF(#REF!=0, "",#REF!)</f>
        <v>#REF!</v>
      </c>
      <c r="C148" s="369" t="e">
        <f>#REF!</f>
        <v>#REF!</v>
      </c>
      <c r="D148" s="369"/>
      <c r="E148" s="291" t="e">
        <f>#REF!</f>
        <v>#REF!</v>
      </c>
      <c r="F148" s="148" t="e">
        <f>#REF!</f>
        <v>#REF!</v>
      </c>
      <c r="G148" s="205" t="e">
        <f xml:space="preserve"> IF(#REF!="", "",#REF!)</f>
        <v>#REF!</v>
      </c>
      <c r="H148" s="205" t="e">
        <f xml:space="preserve"> IF(#REF!="", "",#REF!)</f>
        <v>#REF!</v>
      </c>
      <c r="I148" s="205" t="e">
        <f xml:space="preserve"> IF(#REF!="", "",#REF!)</f>
        <v>#REF!</v>
      </c>
      <c r="J148" s="298" t="e">
        <f>#REF!</f>
        <v>#REF!</v>
      </c>
      <c r="K148" s="149" t="e">
        <f>#REF!</f>
        <v>#REF!</v>
      </c>
      <c r="L148" s="149" t="e">
        <f>#REF!</f>
        <v>#REF!</v>
      </c>
      <c r="M148" s="150" t="e">
        <f>#REF!</f>
        <v>#REF!</v>
      </c>
      <c r="N148" s="364"/>
      <c r="O148" s="202"/>
      <c r="P148" s="151" t="e">
        <f>#REF!</f>
        <v>#REF!</v>
      </c>
      <c r="Q148" s="202"/>
      <c r="R148" s="152" t="e">
        <f>#REF!</f>
        <v>#REF!</v>
      </c>
      <c r="S148" s="202"/>
      <c r="T148" s="153" t="e">
        <f>#REF!</f>
        <v>#REF!</v>
      </c>
      <c r="U148" s="202"/>
      <c r="V148" s="153" t="e">
        <f>#REF!</f>
        <v>#REF!</v>
      </c>
      <c r="W148" s="202"/>
      <c r="X148" s="153" t="e">
        <f>#REF!</f>
        <v>#REF!</v>
      </c>
      <c r="Y148" s="202"/>
      <c r="Z148" s="152" t="e">
        <f>#REF!</f>
        <v>#REF!</v>
      </c>
      <c r="AA148" s="202"/>
      <c r="AB148" s="153" t="e">
        <f>#REF!</f>
        <v>#REF!</v>
      </c>
      <c r="AC148" s="202"/>
      <c r="AD148" s="152" t="e">
        <f>#REF!</f>
        <v>#REF!</v>
      </c>
      <c r="AE148" s="202"/>
      <c r="AF148" s="153" t="e">
        <f>#REF!</f>
        <v>#REF!</v>
      </c>
      <c r="AG148" s="202"/>
      <c r="AH148" s="152" t="e">
        <f>#REF!</f>
        <v>#REF!</v>
      </c>
      <c r="AI148" s="202"/>
      <c r="AJ148" s="153" t="e">
        <f>#REF!</f>
        <v>#REF!</v>
      </c>
      <c r="AK148" s="202"/>
      <c r="AL148" s="152" t="e">
        <f>#REF!</f>
        <v>#REF!</v>
      </c>
      <c r="AM148" s="202"/>
      <c r="AN148" s="153" t="e">
        <f>#REF!</f>
        <v>#REF!</v>
      </c>
      <c r="AO148" s="202"/>
      <c r="AP148" s="152" t="e">
        <f>#REF!</f>
        <v>#REF!</v>
      </c>
      <c r="AQ148" s="202"/>
      <c r="AR148" s="154" t="e">
        <f>#REF!</f>
        <v>#REF!</v>
      </c>
      <c r="AS148" s="202"/>
      <c r="AT148" s="153" t="e">
        <f>#REF!</f>
        <v>#REF!</v>
      </c>
      <c r="AU148" s="202"/>
      <c r="AV148" s="152" t="e">
        <f>#REF!</f>
        <v>#REF!</v>
      </c>
      <c r="AW148" s="202"/>
      <c r="AX148" s="153" t="e">
        <f>#REF!</f>
        <v>#REF!</v>
      </c>
      <c r="AY148" s="202"/>
      <c r="AZ148" s="152" t="e">
        <f>#REF!</f>
        <v>#REF!</v>
      </c>
      <c r="BA148" s="202"/>
      <c r="BB148" s="154" t="e">
        <f>#REF!</f>
        <v>#REF!</v>
      </c>
      <c r="BC148" s="137"/>
    </row>
    <row r="149" spans="1:55" ht="30" customHeight="1">
      <c r="A149" s="203" t="e">
        <f>#REF!</f>
        <v>#REF!</v>
      </c>
      <c r="B149" s="204" t="e">
        <f xml:space="preserve"> IF(#REF!=0, "",#REF!)</f>
        <v>#REF!</v>
      </c>
      <c r="C149" s="369" t="e">
        <f>#REF!</f>
        <v>#REF!</v>
      </c>
      <c r="D149" s="369"/>
      <c r="E149" s="291" t="e">
        <f>#REF!</f>
        <v>#REF!</v>
      </c>
      <c r="F149" s="148" t="e">
        <f>#REF!</f>
        <v>#REF!</v>
      </c>
      <c r="G149" s="205" t="e">
        <f xml:space="preserve"> IF(#REF!="", "",#REF!)</f>
        <v>#REF!</v>
      </c>
      <c r="H149" s="205" t="e">
        <f xml:space="preserve"> IF(#REF!="", "",#REF!)</f>
        <v>#REF!</v>
      </c>
      <c r="I149" s="205" t="e">
        <f xml:space="preserve"> IF(#REF!="", "",#REF!)</f>
        <v>#REF!</v>
      </c>
      <c r="J149" s="298" t="e">
        <f>#REF!</f>
        <v>#REF!</v>
      </c>
      <c r="K149" s="149" t="e">
        <f>#REF!</f>
        <v>#REF!</v>
      </c>
      <c r="L149" s="149" t="e">
        <f>#REF!</f>
        <v>#REF!</v>
      </c>
      <c r="M149" s="150" t="e">
        <f>#REF!</f>
        <v>#REF!</v>
      </c>
      <c r="N149" s="364"/>
      <c r="O149" s="202"/>
      <c r="P149" s="151" t="e">
        <f>#REF!</f>
        <v>#REF!</v>
      </c>
      <c r="Q149" s="202"/>
      <c r="R149" s="152" t="e">
        <f>#REF!</f>
        <v>#REF!</v>
      </c>
      <c r="S149" s="202"/>
      <c r="T149" s="153" t="e">
        <f>#REF!</f>
        <v>#REF!</v>
      </c>
      <c r="U149" s="202"/>
      <c r="V149" s="153" t="e">
        <f>#REF!</f>
        <v>#REF!</v>
      </c>
      <c r="W149" s="202"/>
      <c r="X149" s="153" t="e">
        <f>#REF!</f>
        <v>#REF!</v>
      </c>
      <c r="Y149" s="202"/>
      <c r="Z149" s="152" t="e">
        <f>#REF!</f>
        <v>#REF!</v>
      </c>
      <c r="AA149" s="202"/>
      <c r="AB149" s="153" t="e">
        <f>#REF!</f>
        <v>#REF!</v>
      </c>
      <c r="AC149" s="202"/>
      <c r="AD149" s="152" t="e">
        <f>#REF!</f>
        <v>#REF!</v>
      </c>
      <c r="AE149" s="202"/>
      <c r="AF149" s="153" t="e">
        <f>#REF!</f>
        <v>#REF!</v>
      </c>
      <c r="AG149" s="202"/>
      <c r="AH149" s="152" t="e">
        <f>#REF!</f>
        <v>#REF!</v>
      </c>
      <c r="AI149" s="202"/>
      <c r="AJ149" s="153" t="e">
        <f>#REF!</f>
        <v>#REF!</v>
      </c>
      <c r="AK149" s="202"/>
      <c r="AL149" s="152" t="e">
        <f>#REF!</f>
        <v>#REF!</v>
      </c>
      <c r="AM149" s="202"/>
      <c r="AN149" s="153" t="e">
        <f>#REF!</f>
        <v>#REF!</v>
      </c>
      <c r="AO149" s="202"/>
      <c r="AP149" s="152" t="e">
        <f>#REF!</f>
        <v>#REF!</v>
      </c>
      <c r="AQ149" s="202"/>
      <c r="AR149" s="154" t="e">
        <f>#REF!</f>
        <v>#REF!</v>
      </c>
      <c r="AS149" s="202"/>
      <c r="AT149" s="153" t="e">
        <f>#REF!</f>
        <v>#REF!</v>
      </c>
      <c r="AU149" s="202"/>
      <c r="AV149" s="152" t="e">
        <f>#REF!</f>
        <v>#REF!</v>
      </c>
      <c r="AW149" s="202"/>
      <c r="AX149" s="153" t="e">
        <f>#REF!</f>
        <v>#REF!</v>
      </c>
      <c r="AY149" s="202"/>
      <c r="AZ149" s="152" t="e">
        <f>#REF!</f>
        <v>#REF!</v>
      </c>
      <c r="BA149" s="202"/>
      <c r="BB149" s="154" t="e">
        <f>#REF!</f>
        <v>#REF!</v>
      </c>
      <c r="BC149" s="137"/>
    </row>
    <row r="150" spans="1:55" ht="30" customHeight="1">
      <c r="A150" s="203" t="e">
        <f>#REF!</f>
        <v>#REF!</v>
      </c>
      <c r="B150" s="204" t="e">
        <f xml:space="preserve"> IF(#REF!=0, "",#REF!)</f>
        <v>#REF!</v>
      </c>
      <c r="C150" s="369" t="e">
        <f>#REF!</f>
        <v>#REF!</v>
      </c>
      <c r="D150" s="369"/>
      <c r="E150" s="291" t="e">
        <f>#REF!</f>
        <v>#REF!</v>
      </c>
      <c r="F150" s="148" t="e">
        <f>#REF!</f>
        <v>#REF!</v>
      </c>
      <c r="G150" s="205" t="e">
        <f xml:space="preserve"> IF(#REF!="", "",#REF!)</f>
        <v>#REF!</v>
      </c>
      <c r="H150" s="205" t="e">
        <f xml:space="preserve"> IF(#REF!="", "",#REF!)</f>
        <v>#REF!</v>
      </c>
      <c r="I150" s="205" t="e">
        <f xml:space="preserve"> IF(#REF!="", "",#REF!)</f>
        <v>#REF!</v>
      </c>
      <c r="J150" s="298" t="e">
        <f>#REF!</f>
        <v>#REF!</v>
      </c>
      <c r="K150" s="149" t="e">
        <f>#REF!</f>
        <v>#REF!</v>
      </c>
      <c r="L150" s="149" t="e">
        <f>#REF!</f>
        <v>#REF!</v>
      </c>
      <c r="M150" s="150" t="e">
        <f>#REF!</f>
        <v>#REF!</v>
      </c>
      <c r="N150" s="364"/>
      <c r="O150" s="202"/>
      <c r="P150" s="151" t="e">
        <f>#REF!</f>
        <v>#REF!</v>
      </c>
      <c r="Q150" s="202"/>
      <c r="R150" s="152" t="e">
        <f>#REF!</f>
        <v>#REF!</v>
      </c>
      <c r="S150" s="202"/>
      <c r="T150" s="153" t="e">
        <f>#REF!</f>
        <v>#REF!</v>
      </c>
      <c r="U150" s="202"/>
      <c r="V150" s="153" t="e">
        <f>#REF!</f>
        <v>#REF!</v>
      </c>
      <c r="W150" s="202"/>
      <c r="X150" s="153" t="e">
        <f>#REF!</f>
        <v>#REF!</v>
      </c>
      <c r="Y150" s="202"/>
      <c r="Z150" s="152" t="e">
        <f>#REF!</f>
        <v>#REF!</v>
      </c>
      <c r="AA150" s="202"/>
      <c r="AB150" s="153" t="e">
        <f>#REF!</f>
        <v>#REF!</v>
      </c>
      <c r="AC150" s="202"/>
      <c r="AD150" s="152" t="e">
        <f>#REF!</f>
        <v>#REF!</v>
      </c>
      <c r="AE150" s="202"/>
      <c r="AF150" s="153" t="e">
        <f>#REF!</f>
        <v>#REF!</v>
      </c>
      <c r="AG150" s="202"/>
      <c r="AH150" s="152" t="e">
        <f>#REF!</f>
        <v>#REF!</v>
      </c>
      <c r="AI150" s="202"/>
      <c r="AJ150" s="153" t="e">
        <f>#REF!</f>
        <v>#REF!</v>
      </c>
      <c r="AK150" s="202"/>
      <c r="AL150" s="152" t="e">
        <f>#REF!</f>
        <v>#REF!</v>
      </c>
      <c r="AM150" s="202"/>
      <c r="AN150" s="153" t="e">
        <f>#REF!</f>
        <v>#REF!</v>
      </c>
      <c r="AO150" s="202"/>
      <c r="AP150" s="152" t="e">
        <f>#REF!</f>
        <v>#REF!</v>
      </c>
      <c r="AQ150" s="202"/>
      <c r="AR150" s="154" t="e">
        <f>#REF!</f>
        <v>#REF!</v>
      </c>
      <c r="AS150" s="202"/>
      <c r="AT150" s="153" t="e">
        <f>#REF!</f>
        <v>#REF!</v>
      </c>
      <c r="AU150" s="202"/>
      <c r="AV150" s="152" t="e">
        <f>#REF!</f>
        <v>#REF!</v>
      </c>
      <c r="AW150" s="202"/>
      <c r="AX150" s="153" t="e">
        <f>#REF!</f>
        <v>#REF!</v>
      </c>
      <c r="AY150" s="202"/>
      <c r="AZ150" s="152" t="e">
        <f>#REF!</f>
        <v>#REF!</v>
      </c>
      <c r="BA150" s="202"/>
      <c r="BB150" s="154" t="e">
        <f>#REF!</f>
        <v>#REF!</v>
      </c>
      <c r="BC150" s="137"/>
    </row>
    <row r="151" spans="1:55" ht="30" customHeight="1">
      <c r="A151" s="203" t="e">
        <f>#REF!</f>
        <v>#REF!</v>
      </c>
      <c r="B151" s="204" t="e">
        <f xml:space="preserve"> IF(#REF!=0, "",#REF!)</f>
        <v>#REF!</v>
      </c>
      <c r="C151" s="369" t="e">
        <f>#REF!</f>
        <v>#REF!</v>
      </c>
      <c r="D151" s="369"/>
      <c r="E151" s="291" t="e">
        <f>#REF!</f>
        <v>#REF!</v>
      </c>
      <c r="F151" s="148" t="e">
        <f>#REF!</f>
        <v>#REF!</v>
      </c>
      <c r="G151" s="205" t="e">
        <f xml:space="preserve"> IF(#REF!="", "",#REF!)</f>
        <v>#REF!</v>
      </c>
      <c r="H151" s="205" t="e">
        <f xml:space="preserve"> IF(#REF!="", "",#REF!)</f>
        <v>#REF!</v>
      </c>
      <c r="I151" s="205" t="e">
        <f xml:space="preserve"> IF(#REF!="", "",#REF!)</f>
        <v>#REF!</v>
      </c>
      <c r="J151" s="298" t="e">
        <f>#REF!</f>
        <v>#REF!</v>
      </c>
      <c r="K151" s="149" t="e">
        <f>#REF!</f>
        <v>#REF!</v>
      </c>
      <c r="L151" s="149" t="e">
        <f>#REF!</f>
        <v>#REF!</v>
      </c>
      <c r="M151" s="150" t="e">
        <f>#REF!</f>
        <v>#REF!</v>
      </c>
      <c r="N151" s="364"/>
      <c r="O151" s="202"/>
      <c r="P151" s="151" t="e">
        <f>#REF!</f>
        <v>#REF!</v>
      </c>
      <c r="Q151" s="202"/>
      <c r="R151" s="152" t="e">
        <f>#REF!</f>
        <v>#REF!</v>
      </c>
      <c r="S151" s="202"/>
      <c r="T151" s="153" t="e">
        <f>#REF!</f>
        <v>#REF!</v>
      </c>
      <c r="U151" s="202"/>
      <c r="V151" s="153" t="e">
        <f>#REF!</f>
        <v>#REF!</v>
      </c>
      <c r="W151" s="202"/>
      <c r="X151" s="153" t="e">
        <f>#REF!</f>
        <v>#REF!</v>
      </c>
      <c r="Y151" s="202"/>
      <c r="Z151" s="152" t="e">
        <f>#REF!</f>
        <v>#REF!</v>
      </c>
      <c r="AA151" s="202"/>
      <c r="AB151" s="153" t="e">
        <f>#REF!</f>
        <v>#REF!</v>
      </c>
      <c r="AC151" s="202"/>
      <c r="AD151" s="152" t="e">
        <f>#REF!</f>
        <v>#REF!</v>
      </c>
      <c r="AE151" s="202"/>
      <c r="AF151" s="153" t="e">
        <f>#REF!</f>
        <v>#REF!</v>
      </c>
      <c r="AG151" s="202"/>
      <c r="AH151" s="152" t="e">
        <f>#REF!</f>
        <v>#REF!</v>
      </c>
      <c r="AI151" s="202"/>
      <c r="AJ151" s="153" t="e">
        <f>#REF!</f>
        <v>#REF!</v>
      </c>
      <c r="AK151" s="202"/>
      <c r="AL151" s="152" t="e">
        <f>#REF!</f>
        <v>#REF!</v>
      </c>
      <c r="AM151" s="202"/>
      <c r="AN151" s="153" t="e">
        <f>#REF!</f>
        <v>#REF!</v>
      </c>
      <c r="AO151" s="202"/>
      <c r="AP151" s="152" t="e">
        <f>#REF!</f>
        <v>#REF!</v>
      </c>
      <c r="AQ151" s="202"/>
      <c r="AR151" s="154" t="e">
        <f>#REF!</f>
        <v>#REF!</v>
      </c>
      <c r="AS151" s="202"/>
      <c r="AT151" s="153" t="e">
        <f>#REF!</f>
        <v>#REF!</v>
      </c>
      <c r="AU151" s="202"/>
      <c r="AV151" s="152" t="e">
        <f>#REF!</f>
        <v>#REF!</v>
      </c>
      <c r="AW151" s="202"/>
      <c r="AX151" s="153" t="e">
        <f>#REF!</f>
        <v>#REF!</v>
      </c>
      <c r="AY151" s="202"/>
      <c r="AZ151" s="152" t="e">
        <f>#REF!</f>
        <v>#REF!</v>
      </c>
      <c r="BA151" s="202"/>
      <c r="BB151" s="154" t="e">
        <f>#REF!</f>
        <v>#REF!</v>
      </c>
      <c r="BC151" s="137"/>
    </row>
    <row r="152" spans="1:55" ht="30" customHeight="1">
      <c r="A152" s="203" t="e">
        <f>#REF!</f>
        <v>#REF!</v>
      </c>
      <c r="B152" s="204" t="e">
        <f xml:space="preserve"> IF(#REF!=0, "",#REF!)</f>
        <v>#REF!</v>
      </c>
      <c r="C152" s="369" t="e">
        <f>#REF!</f>
        <v>#REF!</v>
      </c>
      <c r="D152" s="369"/>
      <c r="E152" s="291" t="e">
        <f>#REF!</f>
        <v>#REF!</v>
      </c>
      <c r="F152" s="148" t="e">
        <f>#REF!</f>
        <v>#REF!</v>
      </c>
      <c r="G152" s="205" t="e">
        <f xml:space="preserve"> IF(#REF!="", "",#REF!)</f>
        <v>#REF!</v>
      </c>
      <c r="H152" s="205" t="e">
        <f xml:space="preserve"> IF(#REF!="", "",#REF!)</f>
        <v>#REF!</v>
      </c>
      <c r="I152" s="205" t="e">
        <f xml:space="preserve"> IF(#REF!="", "",#REF!)</f>
        <v>#REF!</v>
      </c>
      <c r="J152" s="298" t="e">
        <f>#REF!</f>
        <v>#REF!</v>
      </c>
      <c r="K152" s="149" t="e">
        <f>#REF!</f>
        <v>#REF!</v>
      </c>
      <c r="L152" s="149" t="e">
        <f>#REF!</f>
        <v>#REF!</v>
      </c>
      <c r="M152" s="150" t="e">
        <f>#REF!</f>
        <v>#REF!</v>
      </c>
      <c r="N152" s="364"/>
      <c r="O152" s="202"/>
      <c r="P152" s="151" t="e">
        <f>#REF!</f>
        <v>#REF!</v>
      </c>
      <c r="Q152" s="202"/>
      <c r="R152" s="152" t="e">
        <f>#REF!</f>
        <v>#REF!</v>
      </c>
      <c r="S152" s="202"/>
      <c r="T152" s="153" t="e">
        <f>#REF!</f>
        <v>#REF!</v>
      </c>
      <c r="U152" s="202"/>
      <c r="V152" s="153" t="e">
        <f>#REF!</f>
        <v>#REF!</v>
      </c>
      <c r="W152" s="202"/>
      <c r="X152" s="153" t="e">
        <f>#REF!</f>
        <v>#REF!</v>
      </c>
      <c r="Y152" s="202"/>
      <c r="Z152" s="152" t="e">
        <f>#REF!</f>
        <v>#REF!</v>
      </c>
      <c r="AA152" s="202"/>
      <c r="AB152" s="153" t="e">
        <f>#REF!</f>
        <v>#REF!</v>
      </c>
      <c r="AC152" s="202"/>
      <c r="AD152" s="152" t="e">
        <f>#REF!</f>
        <v>#REF!</v>
      </c>
      <c r="AE152" s="202"/>
      <c r="AF152" s="153" t="e">
        <f>#REF!</f>
        <v>#REF!</v>
      </c>
      <c r="AG152" s="202"/>
      <c r="AH152" s="152" t="e">
        <f>#REF!</f>
        <v>#REF!</v>
      </c>
      <c r="AI152" s="202"/>
      <c r="AJ152" s="153" t="e">
        <f>#REF!</f>
        <v>#REF!</v>
      </c>
      <c r="AK152" s="202"/>
      <c r="AL152" s="152" t="e">
        <f>#REF!</f>
        <v>#REF!</v>
      </c>
      <c r="AM152" s="202"/>
      <c r="AN152" s="153" t="e">
        <f>#REF!</f>
        <v>#REF!</v>
      </c>
      <c r="AO152" s="202"/>
      <c r="AP152" s="152" t="e">
        <f>#REF!</f>
        <v>#REF!</v>
      </c>
      <c r="AQ152" s="202"/>
      <c r="AR152" s="154" t="e">
        <f>#REF!</f>
        <v>#REF!</v>
      </c>
      <c r="AS152" s="202"/>
      <c r="AT152" s="153" t="e">
        <f>#REF!</f>
        <v>#REF!</v>
      </c>
      <c r="AU152" s="202"/>
      <c r="AV152" s="152" t="e">
        <f>#REF!</f>
        <v>#REF!</v>
      </c>
      <c r="AW152" s="202"/>
      <c r="AX152" s="153" t="e">
        <f>#REF!</f>
        <v>#REF!</v>
      </c>
      <c r="AY152" s="202"/>
      <c r="AZ152" s="152" t="e">
        <f>#REF!</f>
        <v>#REF!</v>
      </c>
      <c r="BA152" s="202"/>
      <c r="BB152" s="154" t="e">
        <f>#REF!</f>
        <v>#REF!</v>
      </c>
      <c r="BC152" s="137"/>
    </row>
    <row r="153" spans="1:55" ht="30" customHeight="1">
      <c r="A153" s="203" t="e">
        <f>#REF!</f>
        <v>#REF!</v>
      </c>
      <c r="B153" s="204" t="e">
        <f xml:space="preserve"> IF(#REF!=0, "",#REF!)</f>
        <v>#REF!</v>
      </c>
      <c r="C153" s="369" t="e">
        <f>#REF!</f>
        <v>#REF!</v>
      </c>
      <c r="D153" s="369"/>
      <c r="E153" s="291" t="e">
        <f>#REF!</f>
        <v>#REF!</v>
      </c>
      <c r="F153" s="148" t="e">
        <f>#REF!</f>
        <v>#REF!</v>
      </c>
      <c r="G153" s="205" t="e">
        <f xml:space="preserve"> IF(#REF!="", "",#REF!)</f>
        <v>#REF!</v>
      </c>
      <c r="H153" s="205" t="e">
        <f xml:space="preserve"> IF(#REF!="", "",#REF!)</f>
        <v>#REF!</v>
      </c>
      <c r="I153" s="205" t="e">
        <f xml:space="preserve"> IF(#REF!="", "",#REF!)</f>
        <v>#REF!</v>
      </c>
      <c r="J153" s="298" t="e">
        <f>#REF!</f>
        <v>#REF!</v>
      </c>
      <c r="K153" s="149" t="e">
        <f>#REF!</f>
        <v>#REF!</v>
      </c>
      <c r="L153" s="149" t="e">
        <f>#REF!</f>
        <v>#REF!</v>
      </c>
      <c r="M153" s="150" t="e">
        <f>#REF!</f>
        <v>#REF!</v>
      </c>
      <c r="N153" s="364"/>
      <c r="O153" s="202"/>
      <c r="P153" s="151" t="e">
        <f>#REF!</f>
        <v>#REF!</v>
      </c>
      <c r="Q153" s="202"/>
      <c r="R153" s="152" t="e">
        <f>#REF!</f>
        <v>#REF!</v>
      </c>
      <c r="S153" s="202"/>
      <c r="T153" s="153" t="e">
        <f>#REF!</f>
        <v>#REF!</v>
      </c>
      <c r="U153" s="202"/>
      <c r="V153" s="153" t="e">
        <f>#REF!</f>
        <v>#REF!</v>
      </c>
      <c r="W153" s="202"/>
      <c r="X153" s="153" t="e">
        <f>#REF!</f>
        <v>#REF!</v>
      </c>
      <c r="Y153" s="202"/>
      <c r="Z153" s="152" t="e">
        <f>#REF!</f>
        <v>#REF!</v>
      </c>
      <c r="AA153" s="202"/>
      <c r="AB153" s="153" t="e">
        <f>#REF!</f>
        <v>#REF!</v>
      </c>
      <c r="AC153" s="202"/>
      <c r="AD153" s="152" t="e">
        <f>#REF!</f>
        <v>#REF!</v>
      </c>
      <c r="AE153" s="202"/>
      <c r="AF153" s="153" t="e">
        <f>#REF!</f>
        <v>#REF!</v>
      </c>
      <c r="AG153" s="202"/>
      <c r="AH153" s="152" t="e">
        <f>#REF!</f>
        <v>#REF!</v>
      </c>
      <c r="AI153" s="202"/>
      <c r="AJ153" s="153" t="e">
        <f>#REF!</f>
        <v>#REF!</v>
      </c>
      <c r="AK153" s="202"/>
      <c r="AL153" s="152" t="e">
        <f>#REF!</f>
        <v>#REF!</v>
      </c>
      <c r="AM153" s="202"/>
      <c r="AN153" s="153" t="e">
        <f>#REF!</f>
        <v>#REF!</v>
      </c>
      <c r="AO153" s="202"/>
      <c r="AP153" s="152" t="e">
        <f>#REF!</f>
        <v>#REF!</v>
      </c>
      <c r="AQ153" s="202"/>
      <c r="AR153" s="154" t="e">
        <f>#REF!</f>
        <v>#REF!</v>
      </c>
      <c r="AS153" s="202"/>
      <c r="AT153" s="153" t="e">
        <f>#REF!</f>
        <v>#REF!</v>
      </c>
      <c r="AU153" s="202"/>
      <c r="AV153" s="152" t="e">
        <f>#REF!</f>
        <v>#REF!</v>
      </c>
      <c r="AW153" s="202"/>
      <c r="AX153" s="153" t="e">
        <f>#REF!</f>
        <v>#REF!</v>
      </c>
      <c r="AY153" s="202"/>
      <c r="AZ153" s="152" t="e">
        <f>#REF!</f>
        <v>#REF!</v>
      </c>
      <c r="BA153" s="202"/>
      <c r="BB153" s="154" t="e">
        <f>#REF!</f>
        <v>#REF!</v>
      </c>
      <c r="BC153" s="137"/>
    </row>
    <row r="154" spans="1:55" ht="30" customHeight="1">
      <c r="A154" s="203" t="e">
        <f>#REF!</f>
        <v>#REF!</v>
      </c>
      <c r="B154" s="204" t="e">
        <f xml:space="preserve"> IF(#REF!=0, "",#REF!)</f>
        <v>#REF!</v>
      </c>
      <c r="C154" s="369" t="e">
        <f>#REF!</f>
        <v>#REF!</v>
      </c>
      <c r="D154" s="369"/>
      <c r="E154" s="291" t="e">
        <f>#REF!</f>
        <v>#REF!</v>
      </c>
      <c r="F154" s="148" t="e">
        <f>#REF!</f>
        <v>#REF!</v>
      </c>
      <c r="G154" s="205" t="e">
        <f xml:space="preserve"> IF(#REF!="", "",#REF!)</f>
        <v>#REF!</v>
      </c>
      <c r="H154" s="205" t="e">
        <f xml:space="preserve"> IF(#REF!="", "",#REF!)</f>
        <v>#REF!</v>
      </c>
      <c r="I154" s="205" t="e">
        <f xml:space="preserve"> IF(#REF!="", "",#REF!)</f>
        <v>#REF!</v>
      </c>
      <c r="J154" s="298" t="e">
        <f>#REF!</f>
        <v>#REF!</v>
      </c>
      <c r="K154" s="149" t="e">
        <f>#REF!</f>
        <v>#REF!</v>
      </c>
      <c r="L154" s="149" t="e">
        <f>#REF!</f>
        <v>#REF!</v>
      </c>
      <c r="M154" s="150" t="e">
        <f>#REF!</f>
        <v>#REF!</v>
      </c>
      <c r="N154" s="364"/>
      <c r="O154" s="202"/>
      <c r="P154" s="151" t="e">
        <f>#REF!</f>
        <v>#REF!</v>
      </c>
      <c r="Q154" s="202"/>
      <c r="R154" s="152" t="e">
        <f>#REF!</f>
        <v>#REF!</v>
      </c>
      <c r="S154" s="202"/>
      <c r="T154" s="153" t="e">
        <f>#REF!</f>
        <v>#REF!</v>
      </c>
      <c r="U154" s="202"/>
      <c r="V154" s="153" t="e">
        <f>#REF!</f>
        <v>#REF!</v>
      </c>
      <c r="W154" s="202"/>
      <c r="X154" s="153" t="e">
        <f>#REF!</f>
        <v>#REF!</v>
      </c>
      <c r="Y154" s="202"/>
      <c r="Z154" s="152" t="e">
        <f>#REF!</f>
        <v>#REF!</v>
      </c>
      <c r="AA154" s="202"/>
      <c r="AB154" s="153" t="e">
        <f>#REF!</f>
        <v>#REF!</v>
      </c>
      <c r="AC154" s="202"/>
      <c r="AD154" s="152" t="e">
        <f>#REF!</f>
        <v>#REF!</v>
      </c>
      <c r="AE154" s="202"/>
      <c r="AF154" s="153" t="e">
        <f>#REF!</f>
        <v>#REF!</v>
      </c>
      <c r="AG154" s="202"/>
      <c r="AH154" s="152" t="e">
        <f>#REF!</f>
        <v>#REF!</v>
      </c>
      <c r="AI154" s="202"/>
      <c r="AJ154" s="153" t="e">
        <f>#REF!</f>
        <v>#REF!</v>
      </c>
      <c r="AK154" s="202"/>
      <c r="AL154" s="152" t="e">
        <f>#REF!</f>
        <v>#REF!</v>
      </c>
      <c r="AM154" s="202"/>
      <c r="AN154" s="153" t="e">
        <f>#REF!</f>
        <v>#REF!</v>
      </c>
      <c r="AO154" s="202"/>
      <c r="AP154" s="152" t="e">
        <f>#REF!</f>
        <v>#REF!</v>
      </c>
      <c r="AQ154" s="202"/>
      <c r="AR154" s="154" t="e">
        <f>#REF!</f>
        <v>#REF!</v>
      </c>
      <c r="AS154" s="202"/>
      <c r="AT154" s="153" t="e">
        <f>#REF!</f>
        <v>#REF!</v>
      </c>
      <c r="AU154" s="202"/>
      <c r="AV154" s="152" t="e">
        <f>#REF!</f>
        <v>#REF!</v>
      </c>
      <c r="AW154" s="202"/>
      <c r="AX154" s="153" t="e">
        <f>#REF!</f>
        <v>#REF!</v>
      </c>
      <c r="AY154" s="202"/>
      <c r="AZ154" s="152" t="e">
        <f>#REF!</f>
        <v>#REF!</v>
      </c>
      <c r="BA154" s="202"/>
      <c r="BB154" s="154" t="e">
        <f>#REF!</f>
        <v>#REF!</v>
      </c>
      <c r="BC154" s="137"/>
    </row>
    <row r="155" spans="1:55" ht="30" customHeight="1">
      <c r="A155" s="203" t="e">
        <f>#REF!</f>
        <v>#REF!</v>
      </c>
      <c r="B155" s="204" t="e">
        <f xml:space="preserve"> IF(#REF!=0, "",#REF!)</f>
        <v>#REF!</v>
      </c>
      <c r="C155" s="369" t="e">
        <f>#REF!</f>
        <v>#REF!</v>
      </c>
      <c r="D155" s="369"/>
      <c r="E155" s="291" t="e">
        <f>#REF!</f>
        <v>#REF!</v>
      </c>
      <c r="F155" s="148" t="e">
        <f>#REF!</f>
        <v>#REF!</v>
      </c>
      <c r="G155" s="205" t="e">
        <f xml:space="preserve"> IF(#REF!="", "",#REF!)</f>
        <v>#REF!</v>
      </c>
      <c r="H155" s="205" t="e">
        <f xml:space="preserve"> IF(#REF!="", "",#REF!)</f>
        <v>#REF!</v>
      </c>
      <c r="I155" s="205" t="e">
        <f xml:space="preserve"> IF(#REF!="", "",#REF!)</f>
        <v>#REF!</v>
      </c>
      <c r="J155" s="298" t="e">
        <f>#REF!</f>
        <v>#REF!</v>
      </c>
      <c r="K155" s="149" t="e">
        <f>#REF!</f>
        <v>#REF!</v>
      </c>
      <c r="L155" s="149" t="e">
        <f>#REF!</f>
        <v>#REF!</v>
      </c>
      <c r="M155" s="150" t="e">
        <f>#REF!</f>
        <v>#REF!</v>
      </c>
      <c r="N155" s="364"/>
      <c r="O155" s="202"/>
      <c r="P155" s="151" t="e">
        <f>#REF!</f>
        <v>#REF!</v>
      </c>
      <c r="Q155" s="202"/>
      <c r="R155" s="152" t="e">
        <f>#REF!</f>
        <v>#REF!</v>
      </c>
      <c r="S155" s="202"/>
      <c r="T155" s="153" t="e">
        <f>#REF!</f>
        <v>#REF!</v>
      </c>
      <c r="U155" s="202"/>
      <c r="V155" s="153" t="e">
        <f>#REF!</f>
        <v>#REF!</v>
      </c>
      <c r="W155" s="202"/>
      <c r="X155" s="153" t="e">
        <f>#REF!</f>
        <v>#REF!</v>
      </c>
      <c r="Y155" s="202"/>
      <c r="Z155" s="152" t="e">
        <f>#REF!</f>
        <v>#REF!</v>
      </c>
      <c r="AA155" s="202"/>
      <c r="AB155" s="153" t="e">
        <f>#REF!</f>
        <v>#REF!</v>
      </c>
      <c r="AC155" s="202"/>
      <c r="AD155" s="152" t="e">
        <f>#REF!</f>
        <v>#REF!</v>
      </c>
      <c r="AE155" s="202"/>
      <c r="AF155" s="153" t="e">
        <f>#REF!</f>
        <v>#REF!</v>
      </c>
      <c r="AG155" s="202"/>
      <c r="AH155" s="152" t="e">
        <f>#REF!</f>
        <v>#REF!</v>
      </c>
      <c r="AI155" s="202"/>
      <c r="AJ155" s="153" t="e">
        <f>#REF!</f>
        <v>#REF!</v>
      </c>
      <c r="AK155" s="202"/>
      <c r="AL155" s="152" t="e">
        <f>#REF!</f>
        <v>#REF!</v>
      </c>
      <c r="AM155" s="202"/>
      <c r="AN155" s="153" t="e">
        <f>#REF!</f>
        <v>#REF!</v>
      </c>
      <c r="AO155" s="202"/>
      <c r="AP155" s="152" t="e">
        <f>#REF!</f>
        <v>#REF!</v>
      </c>
      <c r="AQ155" s="202"/>
      <c r="AR155" s="154" t="e">
        <f>#REF!</f>
        <v>#REF!</v>
      </c>
      <c r="AS155" s="202"/>
      <c r="AT155" s="153" t="e">
        <f>#REF!</f>
        <v>#REF!</v>
      </c>
      <c r="AU155" s="202"/>
      <c r="AV155" s="152" t="e">
        <f>#REF!</f>
        <v>#REF!</v>
      </c>
      <c r="AW155" s="202"/>
      <c r="AX155" s="153" t="e">
        <f>#REF!</f>
        <v>#REF!</v>
      </c>
      <c r="AY155" s="202"/>
      <c r="AZ155" s="152" t="e">
        <f>#REF!</f>
        <v>#REF!</v>
      </c>
      <c r="BA155" s="202"/>
      <c r="BB155" s="154" t="e">
        <f>#REF!</f>
        <v>#REF!</v>
      </c>
      <c r="BC155" s="137"/>
    </row>
    <row r="156" spans="1:55" ht="30" customHeight="1">
      <c r="A156" s="203" t="e">
        <f>#REF!</f>
        <v>#REF!</v>
      </c>
      <c r="B156" s="204" t="e">
        <f xml:space="preserve"> IF(#REF!=0, "",#REF!)</f>
        <v>#REF!</v>
      </c>
      <c r="C156" s="369" t="e">
        <f>#REF!</f>
        <v>#REF!</v>
      </c>
      <c r="D156" s="369"/>
      <c r="E156" s="291" t="e">
        <f>#REF!</f>
        <v>#REF!</v>
      </c>
      <c r="F156" s="148" t="e">
        <f>#REF!</f>
        <v>#REF!</v>
      </c>
      <c r="G156" s="205" t="e">
        <f xml:space="preserve"> IF(#REF!="", "",#REF!)</f>
        <v>#REF!</v>
      </c>
      <c r="H156" s="205" t="e">
        <f xml:space="preserve"> IF(#REF!="", "",#REF!)</f>
        <v>#REF!</v>
      </c>
      <c r="I156" s="205" t="e">
        <f xml:space="preserve"> IF(#REF!="", "",#REF!)</f>
        <v>#REF!</v>
      </c>
      <c r="J156" s="298" t="e">
        <f>#REF!</f>
        <v>#REF!</v>
      </c>
      <c r="K156" s="149" t="e">
        <f>#REF!</f>
        <v>#REF!</v>
      </c>
      <c r="L156" s="149" t="e">
        <f>#REF!</f>
        <v>#REF!</v>
      </c>
      <c r="M156" s="150" t="e">
        <f>#REF!</f>
        <v>#REF!</v>
      </c>
      <c r="N156" s="364"/>
      <c r="O156" s="202"/>
      <c r="P156" s="151" t="e">
        <f>#REF!</f>
        <v>#REF!</v>
      </c>
      <c r="Q156" s="202"/>
      <c r="R156" s="152" t="e">
        <f>#REF!</f>
        <v>#REF!</v>
      </c>
      <c r="S156" s="202"/>
      <c r="T156" s="153" t="e">
        <f>#REF!</f>
        <v>#REF!</v>
      </c>
      <c r="U156" s="202"/>
      <c r="V156" s="153" t="e">
        <f>#REF!</f>
        <v>#REF!</v>
      </c>
      <c r="W156" s="202"/>
      <c r="X156" s="153" t="e">
        <f>#REF!</f>
        <v>#REF!</v>
      </c>
      <c r="Y156" s="202"/>
      <c r="Z156" s="152" t="e">
        <f>#REF!</f>
        <v>#REF!</v>
      </c>
      <c r="AA156" s="202"/>
      <c r="AB156" s="153" t="e">
        <f>#REF!</f>
        <v>#REF!</v>
      </c>
      <c r="AC156" s="202"/>
      <c r="AD156" s="152" t="e">
        <f>#REF!</f>
        <v>#REF!</v>
      </c>
      <c r="AE156" s="202"/>
      <c r="AF156" s="153" t="e">
        <f>#REF!</f>
        <v>#REF!</v>
      </c>
      <c r="AG156" s="202"/>
      <c r="AH156" s="152" t="e">
        <f>#REF!</f>
        <v>#REF!</v>
      </c>
      <c r="AI156" s="202"/>
      <c r="AJ156" s="153" t="e">
        <f>#REF!</f>
        <v>#REF!</v>
      </c>
      <c r="AK156" s="202"/>
      <c r="AL156" s="152" t="e">
        <f>#REF!</f>
        <v>#REF!</v>
      </c>
      <c r="AM156" s="202"/>
      <c r="AN156" s="153" t="e">
        <f>#REF!</f>
        <v>#REF!</v>
      </c>
      <c r="AO156" s="202"/>
      <c r="AP156" s="152" t="e">
        <f>#REF!</f>
        <v>#REF!</v>
      </c>
      <c r="AQ156" s="202"/>
      <c r="AR156" s="154" t="e">
        <f>#REF!</f>
        <v>#REF!</v>
      </c>
      <c r="AS156" s="202"/>
      <c r="AT156" s="153" t="e">
        <f>#REF!</f>
        <v>#REF!</v>
      </c>
      <c r="AU156" s="202"/>
      <c r="AV156" s="152" t="e">
        <f>#REF!</f>
        <v>#REF!</v>
      </c>
      <c r="AW156" s="202"/>
      <c r="AX156" s="153" t="e">
        <f>#REF!</f>
        <v>#REF!</v>
      </c>
      <c r="AY156" s="202"/>
      <c r="AZ156" s="152" t="e">
        <f>#REF!</f>
        <v>#REF!</v>
      </c>
      <c r="BA156" s="202"/>
      <c r="BB156" s="154" t="e">
        <f>#REF!</f>
        <v>#REF!</v>
      </c>
      <c r="BC156" s="137"/>
    </row>
    <row r="157" spans="1:55" ht="30" customHeight="1">
      <c r="A157" s="203" t="e">
        <f>#REF!</f>
        <v>#REF!</v>
      </c>
      <c r="B157" s="204" t="e">
        <f xml:space="preserve"> IF(#REF!=0, "",#REF!)</f>
        <v>#REF!</v>
      </c>
      <c r="C157" s="369" t="e">
        <f>#REF!</f>
        <v>#REF!</v>
      </c>
      <c r="D157" s="369"/>
      <c r="E157" s="291" t="e">
        <f>#REF!</f>
        <v>#REF!</v>
      </c>
      <c r="F157" s="148" t="e">
        <f>#REF!</f>
        <v>#REF!</v>
      </c>
      <c r="G157" s="205" t="e">
        <f xml:space="preserve"> IF(#REF!="", "",#REF!)</f>
        <v>#REF!</v>
      </c>
      <c r="H157" s="205" t="e">
        <f xml:space="preserve"> IF(#REF!="", "",#REF!)</f>
        <v>#REF!</v>
      </c>
      <c r="I157" s="205" t="e">
        <f xml:space="preserve"> IF(#REF!="", "",#REF!)</f>
        <v>#REF!</v>
      </c>
      <c r="J157" s="298" t="e">
        <f>#REF!</f>
        <v>#REF!</v>
      </c>
      <c r="K157" s="149" t="e">
        <f>#REF!</f>
        <v>#REF!</v>
      </c>
      <c r="L157" s="149" t="e">
        <f>#REF!</f>
        <v>#REF!</v>
      </c>
      <c r="M157" s="150" t="e">
        <f>#REF!</f>
        <v>#REF!</v>
      </c>
      <c r="N157" s="364"/>
      <c r="O157" s="202"/>
      <c r="P157" s="151" t="e">
        <f>#REF!</f>
        <v>#REF!</v>
      </c>
      <c r="Q157" s="202"/>
      <c r="R157" s="152" t="e">
        <f>#REF!</f>
        <v>#REF!</v>
      </c>
      <c r="S157" s="202"/>
      <c r="T157" s="153" t="e">
        <f>#REF!</f>
        <v>#REF!</v>
      </c>
      <c r="U157" s="202"/>
      <c r="V157" s="153" t="e">
        <f>#REF!</f>
        <v>#REF!</v>
      </c>
      <c r="W157" s="202"/>
      <c r="X157" s="153" t="e">
        <f>#REF!</f>
        <v>#REF!</v>
      </c>
      <c r="Y157" s="202"/>
      <c r="Z157" s="152" t="e">
        <f>#REF!</f>
        <v>#REF!</v>
      </c>
      <c r="AA157" s="202"/>
      <c r="AB157" s="153" t="e">
        <f>#REF!</f>
        <v>#REF!</v>
      </c>
      <c r="AC157" s="202"/>
      <c r="AD157" s="152" t="e">
        <f>#REF!</f>
        <v>#REF!</v>
      </c>
      <c r="AE157" s="202"/>
      <c r="AF157" s="153" t="e">
        <f>#REF!</f>
        <v>#REF!</v>
      </c>
      <c r="AG157" s="202"/>
      <c r="AH157" s="152" t="e">
        <f>#REF!</f>
        <v>#REF!</v>
      </c>
      <c r="AI157" s="202"/>
      <c r="AJ157" s="153" t="e">
        <f>#REF!</f>
        <v>#REF!</v>
      </c>
      <c r="AK157" s="202"/>
      <c r="AL157" s="152" t="e">
        <f>#REF!</f>
        <v>#REF!</v>
      </c>
      <c r="AM157" s="202"/>
      <c r="AN157" s="153" t="e">
        <f>#REF!</f>
        <v>#REF!</v>
      </c>
      <c r="AO157" s="202"/>
      <c r="AP157" s="152" t="e">
        <f>#REF!</f>
        <v>#REF!</v>
      </c>
      <c r="AQ157" s="202"/>
      <c r="AR157" s="154" t="e">
        <f>#REF!</f>
        <v>#REF!</v>
      </c>
      <c r="AS157" s="202"/>
      <c r="AT157" s="153" t="e">
        <f>#REF!</f>
        <v>#REF!</v>
      </c>
      <c r="AU157" s="202"/>
      <c r="AV157" s="152" t="e">
        <f>#REF!</f>
        <v>#REF!</v>
      </c>
      <c r="AW157" s="202"/>
      <c r="AX157" s="153" t="e">
        <f>#REF!</f>
        <v>#REF!</v>
      </c>
      <c r="AY157" s="202"/>
      <c r="AZ157" s="152" t="e">
        <f>#REF!</f>
        <v>#REF!</v>
      </c>
      <c r="BA157" s="202"/>
      <c r="BB157" s="154" t="e">
        <f>#REF!</f>
        <v>#REF!</v>
      </c>
      <c r="BC157" s="137"/>
    </row>
    <row r="158" spans="1:55" ht="30" customHeight="1">
      <c r="A158" s="203" t="e">
        <f>#REF!</f>
        <v>#REF!</v>
      </c>
      <c r="B158" s="204" t="e">
        <f xml:space="preserve"> IF(#REF!=0, "",#REF!)</f>
        <v>#REF!</v>
      </c>
      <c r="C158" s="369" t="e">
        <f>#REF!</f>
        <v>#REF!</v>
      </c>
      <c r="D158" s="369"/>
      <c r="E158" s="291" t="e">
        <f>#REF!</f>
        <v>#REF!</v>
      </c>
      <c r="F158" s="148" t="e">
        <f>#REF!</f>
        <v>#REF!</v>
      </c>
      <c r="G158" s="205" t="e">
        <f xml:space="preserve"> IF(#REF!="", "",#REF!)</f>
        <v>#REF!</v>
      </c>
      <c r="H158" s="205" t="e">
        <f xml:space="preserve"> IF(#REF!="", "",#REF!)</f>
        <v>#REF!</v>
      </c>
      <c r="I158" s="205" t="e">
        <f xml:space="preserve"> IF(#REF!="", "",#REF!)</f>
        <v>#REF!</v>
      </c>
      <c r="J158" s="298" t="e">
        <f>#REF!</f>
        <v>#REF!</v>
      </c>
      <c r="K158" s="149" t="e">
        <f>#REF!</f>
        <v>#REF!</v>
      </c>
      <c r="L158" s="149" t="e">
        <f>#REF!</f>
        <v>#REF!</v>
      </c>
      <c r="M158" s="150" t="e">
        <f>#REF!</f>
        <v>#REF!</v>
      </c>
      <c r="N158" s="364"/>
      <c r="O158" s="202"/>
      <c r="P158" s="151" t="e">
        <f>#REF!</f>
        <v>#REF!</v>
      </c>
      <c r="Q158" s="202"/>
      <c r="R158" s="152" t="e">
        <f>#REF!</f>
        <v>#REF!</v>
      </c>
      <c r="S158" s="202"/>
      <c r="T158" s="153" t="e">
        <f>#REF!</f>
        <v>#REF!</v>
      </c>
      <c r="U158" s="202"/>
      <c r="V158" s="153" t="e">
        <f>#REF!</f>
        <v>#REF!</v>
      </c>
      <c r="W158" s="202"/>
      <c r="X158" s="153" t="e">
        <f>#REF!</f>
        <v>#REF!</v>
      </c>
      <c r="Y158" s="202"/>
      <c r="Z158" s="152" t="e">
        <f>#REF!</f>
        <v>#REF!</v>
      </c>
      <c r="AA158" s="202"/>
      <c r="AB158" s="153" t="e">
        <f>#REF!</f>
        <v>#REF!</v>
      </c>
      <c r="AC158" s="202"/>
      <c r="AD158" s="152" t="e">
        <f>#REF!</f>
        <v>#REF!</v>
      </c>
      <c r="AE158" s="202"/>
      <c r="AF158" s="153" t="e">
        <f>#REF!</f>
        <v>#REF!</v>
      </c>
      <c r="AG158" s="202"/>
      <c r="AH158" s="152" t="e">
        <f>#REF!</f>
        <v>#REF!</v>
      </c>
      <c r="AI158" s="202"/>
      <c r="AJ158" s="153" t="e">
        <f>#REF!</f>
        <v>#REF!</v>
      </c>
      <c r="AK158" s="202"/>
      <c r="AL158" s="152" t="e">
        <f>#REF!</f>
        <v>#REF!</v>
      </c>
      <c r="AM158" s="202"/>
      <c r="AN158" s="153" t="e">
        <f>#REF!</f>
        <v>#REF!</v>
      </c>
      <c r="AO158" s="202"/>
      <c r="AP158" s="152" t="e">
        <f>#REF!</f>
        <v>#REF!</v>
      </c>
      <c r="AQ158" s="202"/>
      <c r="AR158" s="154" t="e">
        <f>#REF!</f>
        <v>#REF!</v>
      </c>
      <c r="AS158" s="202"/>
      <c r="AT158" s="153" t="e">
        <f>#REF!</f>
        <v>#REF!</v>
      </c>
      <c r="AU158" s="202"/>
      <c r="AV158" s="152" t="e">
        <f>#REF!</f>
        <v>#REF!</v>
      </c>
      <c r="AW158" s="202"/>
      <c r="AX158" s="153" t="e">
        <f>#REF!</f>
        <v>#REF!</v>
      </c>
      <c r="AY158" s="202"/>
      <c r="AZ158" s="152" t="e">
        <f>#REF!</f>
        <v>#REF!</v>
      </c>
      <c r="BA158" s="202"/>
      <c r="BB158" s="154" t="e">
        <f>#REF!</f>
        <v>#REF!</v>
      </c>
      <c r="BC158" s="137"/>
    </row>
    <row r="159" spans="1:55" ht="30" customHeight="1">
      <c r="A159" s="203" t="e">
        <f>#REF!</f>
        <v>#REF!</v>
      </c>
      <c r="B159" s="204" t="e">
        <f xml:space="preserve"> IF(#REF!=0, "",#REF!)</f>
        <v>#REF!</v>
      </c>
      <c r="C159" s="369" t="e">
        <f>#REF!</f>
        <v>#REF!</v>
      </c>
      <c r="D159" s="369"/>
      <c r="E159" s="291" t="e">
        <f>#REF!</f>
        <v>#REF!</v>
      </c>
      <c r="F159" s="148" t="e">
        <f>#REF!</f>
        <v>#REF!</v>
      </c>
      <c r="G159" s="205" t="e">
        <f xml:space="preserve"> IF(#REF!="", "",#REF!)</f>
        <v>#REF!</v>
      </c>
      <c r="H159" s="205" t="e">
        <f xml:space="preserve"> IF(#REF!="", "",#REF!)</f>
        <v>#REF!</v>
      </c>
      <c r="I159" s="205" t="e">
        <f xml:space="preserve"> IF(#REF!="", "",#REF!)</f>
        <v>#REF!</v>
      </c>
      <c r="J159" s="298" t="e">
        <f>#REF!</f>
        <v>#REF!</v>
      </c>
      <c r="K159" s="149" t="e">
        <f>#REF!</f>
        <v>#REF!</v>
      </c>
      <c r="L159" s="149" t="e">
        <f>#REF!</f>
        <v>#REF!</v>
      </c>
      <c r="M159" s="150" t="e">
        <f>#REF!</f>
        <v>#REF!</v>
      </c>
      <c r="N159" s="364"/>
      <c r="O159" s="202"/>
      <c r="P159" s="151" t="e">
        <f>#REF!</f>
        <v>#REF!</v>
      </c>
      <c r="Q159" s="202"/>
      <c r="R159" s="152" t="e">
        <f>#REF!</f>
        <v>#REF!</v>
      </c>
      <c r="S159" s="202"/>
      <c r="T159" s="153" t="e">
        <f>#REF!</f>
        <v>#REF!</v>
      </c>
      <c r="U159" s="202"/>
      <c r="V159" s="153" t="e">
        <f>#REF!</f>
        <v>#REF!</v>
      </c>
      <c r="W159" s="202"/>
      <c r="X159" s="153" t="e">
        <f>#REF!</f>
        <v>#REF!</v>
      </c>
      <c r="Y159" s="202"/>
      <c r="Z159" s="152" t="e">
        <f>#REF!</f>
        <v>#REF!</v>
      </c>
      <c r="AA159" s="202"/>
      <c r="AB159" s="153" t="e">
        <f>#REF!</f>
        <v>#REF!</v>
      </c>
      <c r="AC159" s="202"/>
      <c r="AD159" s="152" t="e">
        <f>#REF!</f>
        <v>#REF!</v>
      </c>
      <c r="AE159" s="202"/>
      <c r="AF159" s="153" t="e">
        <f>#REF!</f>
        <v>#REF!</v>
      </c>
      <c r="AG159" s="202"/>
      <c r="AH159" s="152" t="e">
        <f>#REF!</f>
        <v>#REF!</v>
      </c>
      <c r="AI159" s="202"/>
      <c r="AJ159" s="153" t="e">
        <f>#REF!</f>
        <v>#REF!</v>
      </c>
      <c r="AK159" s="202"/>
      <c r="AL159" s="152" t="e">
        <f>#REF!</f>
        <v>#REF!</v>
      </c>
      <c r="AM159" s="202"/>
      <c r="AN159" s="153" t="e">
        <f>#REF!</f>
        <v>#REF!</v>
      </c>
      <c r="AO159" s="202"/>
      <c r="AP159" s="152" t="e">
        <f>#REF!</f>
        <v>#REF!</v>
      </c>
      <c r="AQ159" s="202"/>
      <c r="AR159" s="154" t="e">
        <f>#REF!</f>
        <v>#REF!</v>
      </c>
      <c r="AS159" s="202"/>
      <c r="AT159" s="153" t="e">
        <f>#REF!</f>
        <v>#REF!</v>
      </c>
      <c r="AU159" s="202"/>
      <c r="AV159" s="152" t="e">
        <f>#REF!</f>
        <v>#REF!</v>
      </c>
      <c r="AW159" s="202"/>
      <c r="AX159" s="153" t="e">
        <f>#REF!</f>
        <v>#REF!</v>
      </c>
      <c r="AY159" s="202"/>
      <c r="AZ159" s="152" t="e">
        <f>#REF!</f>
        <v>#REF!</v>
      </c>
      <c r="BA159" s="202"/>
      <c r="BB159" s="154" t="e">
        <f>#REF!</f>
        <v>#REF!</v>
      </c>
      <c r="BC159" s="137"/>
    </row>
    <row r="160" spans="1:55" ht="30" customHeight="1">
      <c r="A160" s="203" t="e">
        <f>#REF!</f>
        <v>#REF!</v>
      </c>
      <c r="B160" s="204" t="e">
        <f xml:space="preserve"> IF(#REF!=0, "",#REF!)</f>
        <v>#REF!</v>
      </c>
      <c r="C160" s="369" t="e">
        <f>#REF!</f>
        <v>#REF!</v>
      </c>
      <c r="D160" s="369"/>
      <c r="E160" s="291" t="e">
        <f>#REF!</f>
        <v>#REF!</v>
      </c>
      <c r="F160" s="148" t="e">
        <f>#REF!</f>
        <v>#REF!</v>
      </c>
      <c r="G160" s="205" t="e">
        <f xml:space="preserve"> IF(#REF!="", "",#REF!)</f>
        <v>#REF!</v>
      </c>
      <c r="H160" s="205" t="e">
        <f xml:space="preserve"> IF(#REF!="", "",#REF!)</f>
        <v>#REF!</v>
      </c>
      <c r="I160" s="205" t="e">
        <f xml:space="preserve"> IF(#REF!="", "",#REF!)</f>
        <v>#REF!</v>
      </c>
      <c r="J160" s="298" t="e">
        <f>#REF!</f>
        <v>#REF!</v>
      </c>
      <c r="K160" s="149" t="e">
        <f>#REF!</f>
        <v>#REF!</v>
      </c>
      <c r="L160" s="149" t="e">
        <f>#REF!</f>
        <v>#REF!</v>
      </c>
      <c r="M160" s="150" t="e">
        <f>#REF!</f>
        <v>#REF!</v>
      </c>
      <c r="N160" s="364"/>
      <c r="O160" s="202"/>
      <c r="P160" s="151" t="e">
        <f>#REF!</f>
        <v>#REF!</v>
      </c>
      <c r="Q160" s="202"/>
      <c r="R160" s="152" t="e">
        <f>#REF!</f>
        <v>#REF!</v>
      </c>
      <c r="S160" s="202"/>
      <c r="T160" s="153" t="e">
        <f>#REF!</f>
        <v>#REF!</v>
      </c>
      <c r="U160" s="202"/>
      <c r="V160" s="153" t="e">
        <f>#REF!</f>
        <v>#REF!</v>
      </c>
      <c r="W160" s="202"/>
      <c r="X160" s="153" t="e">
        <f>#REF!</f>
        <v>#REF!</v>
      </c>
      <c r="Y160" s="202"/>
      <c r="Z160" s="152" t="e">
        <f>#REF!</f>
        <v>#REF!</v>
      </c>
      <c r="AA160" s="202"/>
      <c r="AB160" s="153" t="e">
        <f>#REF!</f>
        <v>#REF!</v>
      </c>
      <c r="AC160" s="202"/>
      <c r="AD160" s="152" t="e">
        <f>#REF!</f>
        <v>#REF!</v>
      </c>
      <c r="AE160" s="202"/>
      <c r="AF160" s="153" t="e">
        <f>#REF!</f>
        <v>#REF!</v>
      </c>
      <c r="AG160" s="202"/>
      <c r="AH160" s="152" t="e">
        <f>#REF!</f>
        <v>#REF!</v>
      </c>
      <c r="AI160" s="202"/>
      <c r="AJ160" s="153" t="e">
        <f>#REF!</f>
        <v>#REF!</v>
      </c>
      <c r="AK160" s="202"/>
      <c r="AL160" s="152" t="e">
        <f>#REF!</f>
        <v>#REF!</v>
      </c>
      <c r="AM160" s="202"/>
      <c r="AN160" s="153" t="e">
        <f>#REF!</f>
        <v>#REF!</v>
      </c>
      <c r="AO160" s="202"/>
      <c r="AP160" s="152" t="e">
        <f>#REF!</f>
        <v>#REF!</v>
      </c>
      <c r="AQ160" s="202"/>
      <c r="AR160" s="154" t="e">
        <f>#REF!</f>
        <v>#REF!</v>
      </c>
      <c r="AS160" s="202"/>
      <c r="AT160" s="153" t="e">
        <f>#REF!</f>
        <v>#REF!</v>
      </c>
      <c r="AU160" s="202"/>
      <c r="AV160" s="152" t="e">
        <f>#REF!</f>
        <v>#REF!</v>
      </c>
      <c r="AW160" s="202"/>
      <c r="AX160" s="153" t="e">
        <f>#REF!</f>
        <v>#REF!</v>
      </c>
      <c r="AY160" s="202"/>
      <c r="AZ160" s="152" t="e">
        <f>#REF!</f>
        <v>#REF!</v>
      </c>
      <c r="BA160" s="202"/>
      <c r="BB160" s="154" t="e">
        <f>#REF!</f>
        <v>#REF!</v>
      </c>
      <c r="BC160" s="137"/>
    </row>
    <row r="161" spans="1:55" ht="30" customHeight="1">
      <c r="A161" s="203" t="e">
        <f>#REF!</f>
        <v>#REF!</v>
      </c>
      <c r="B161" s="204" t="e">
        <f xml:space="preserve"> IF(#REF!=0, "",#REF!)</f>
        <v>#REF!</v>
      </c>
      <c r="C161" s="369" t="e">
        <f>#REF!</f>
        <v>#REF!</v>
      </c>
      <c r="D161" s="369"/>
      <c r="E161" s="291" t="e">
        <f>#REF!</f>
        <v>#REF!</v>
      </c>
      <c r="F161" s="148" t="e">
        <f>#REF!</f>
        <v>#REF!</v>
      </c>
      <c r="G161" s="205" t="e">
        <f xml:space="preserve"> IF(#REF!="", "",#REF!)</f>
        <v>#REF!</v>
      </c>
      <c r="H161" s="205" t="e">
        <f xml:space="preserve"> IF(#REF!="", "",#REF!)</f>
        <v>#REF!</v>
      </c>
      <c r="I161" s="205" t="e">
        <f xml:space="preserve"> IF(#REF!="", "",#REF!)</f>
        <v>#REF!</v>
      </c>
      <c r="J161" s="298" t="e">
        <f>#REF!</f>
        <v>#REF!</v>
      </c>
      <c r="K161" s="149" t="e">
        <f>#REF!</f>
        <v>#REF!</v>
      </c>
      <c r="L161" s="149" t="e">
        <f>#REF!</f>
        <v>#REF!</v>
      </c>
      <c r="M161" s="150" t="e">
        <f>#REF!</f>
        <v>#REF!</v>
      </c>
      <c r="N161" s="364"/>
      <c r="O161" s="202"/>
      <c r="P161" s="151" t="e">
        <f>#REF!</f>
        <v>#REF!</v>
      </c>
      <c r="Q161" s="202"/>
      <c r="R161" s="152" t="e">
        <f>#REF!</f>
        <v>#REF!</v>
      </c>
      <c r="S161" s="202"/>
      <c r="T161" s="153" t="e">
        <f>#REF!</f>
        <v>#REF!</v>
      </c>
      <c r="U161" s="202"/>
      <c r="V161" s="153" t="e">
        <f>#REF!</f>
        <v>#REF!</v>
      </c>
      <c r="W161" s="202"/>
      <c r="X161" s="153" t="e">
        <f>#REF!</f>
        <v>#REF!</v>
      </c>
      <c r="Y161" s="202"/>
      <c r="Z161" s="152" t="e">
        <f>#REF!</f>
        <v>#REF!</v>
      </c>
      <c r="AA161" s="202"/>
      <c r="AB161" s="153" t="e">
        <f>#REF!</f>
        <v>#REF!</v>
      </c>
      <c r="AC161" s="202"/>
      <c r="AD161" s="152" t="e">
        <f>#REF!</f>
        <v>#REF!</v>
      </c>
      <c r="AE161" s="202"/>
      <c r="AF161" s="153" t="e">
        <f>#REF!</f>
        <v>#REF!</v>
      </c>
      <c r="AG161" s="202"/>
      <c r="AH161" s="152" t="e">
        <f>#REF!</f>
        <v>#REF!</v>
      </c>
      <c r="AI161" s="202"/>
      <c r="AJ161" s="153" t="e">
        <f>#REF!</f>
        <v>#REF!</v>
      </c>
      <c r="AK161" s="202"/>
      <c r="AL161" s="152" t="e">
        <f>#REF!</f>
        <v>#REF!</v>
      </c>
      <c r="AM161" s="202"/>
      <c r="AN161" s="153" t="e">
        <f>#REF!</f>
        <v>#REF!</v>
      </c>
      <c r="AO161" s="202"/>
      <c r="AP161" s="152" t="e">
        <f>#REF!</f>
        <v>#REF!</v>
      </c>
      <c r="AQ161" s="202"/>
      <c r="AR161" s="154" t="e">
        <f>#REF!</f>
        <v>#REF!</v>
      </c>
      <c r="AS161" s="202"/>
      <c r="AT161" s="153" t="e">
        <f>#REF!</f>
        <v>#REF!</v>
      </c>
      <c r="AU161" s="202"/>
      <c r="AV161" s="152" t="e">
        <f>#REF!</f>
        <v>#REF!</v>
      </c>
      <c r="AW161" s="202"/>
      <c r="AX161" s="153" t="e">
        <f>#REF!</f>
        <v>#REF!</v>
      </c>
      <c r="AY161" s="202"/>
      <c r="AZ161" s="152" t="e">
        <f>#REF!</f>
        <v>#REF!</v>
      </c>
      <c r="BA161" s="202"/>
      <c r="BB161" s="154" t="e">
        <f>#REF!</f>
        <v>#REF!</v>
      </c>
      <c r="BC161" s="137"/>
    </row>
    <row r="162" spans="1:55" ht="30" customHeight="1">
      <c r="A162" s="203" t="e">
        <f>#REF!</f>
        <v>#REF!</v>
      </c>
      <c r="B162" s="204" t="e">
        <f xml:space="preserve"> IF(#REF!=0, "",#REF!)</f>
        <v>#REF!</v>
      </c>
      <c r="C162" s="369" t="e">
        <f>#REF!</f>
        <v>#REF!</v>
      </c>
      <c r="D162" s="369"/>
      <c r="E162" s="291" t="e">
        <f>#REF!</f>
        <v>#REF!</v>
      </c>
      <c r="F162" s="148" t="e">
        <f>#REF!</f>
        <v>#REF!</v>
      </c>
      <c r="G162" s="205" t="e">
        <f xml:space="preserve"> IF(#REF!="", "",#REF!)</f>
        <v>#REF!</v>
      </c>
      <c r="H162" s="205" t="e">
        <f xml:space="preserve"> IF(#REF!="", "",#REF!)</f>
        <v>#REF!</v>
      </c>
      <c r="I162" s="205" t="e">
        <f xml:space="preserve"> IF(#REF!="", "",#REF!)</f>
        <v>#REF!</v>
      </c>
      <c r="J162" s="298" t="e">
        <f>#REF!</f>
        <v>#REF!</v>
      </c>
      <c r="K162" s="149" t="e">
        <f>#REF!</f>
        <v>#REF!</v>
      </c>
      <c r="L162" s="149" t="e">
        <f>#REF!</f>
        <v>#REF!</v>
      </c>
      <c r="M162" s="150" t="e">
        <f>#REF!</f>
        <v>#REF!</v>
      </c>
      <c r="N162" s="364"/>
      <c r="O162" s="202"/>
      <c r="P162" s="151" t="e">
        <f>#REF!</f>
        <v>#REF!</v>
      </c>
      <c r="Q162" s="202"/>
      <c r="R162" s="152" t="e">
        <f>#REF!</f>
        <v>#REF!</v>
      </c>
      <c r="S162" s="202"/>
      <c r="T162" s="153" t="e">
        <f>#REF!</f>
        <v>#REF!</v>
      </c>
      <c r="U162" s="202"/>
      <c r="V162" s="153" t="e">
        <f>#REF!</f>
        <v>#REF!</v>
      </c>
      <c r="W162" s="202"/>
      <c r="X162" s="153" t="e">
        <f>#REF!</f>
        <v>#REF!</v>
      </c>
      <c r="Y162" s="202"/>
      <c r="Z162" s="152" t="e">
        <f>#REF!</f>
        <v>#REF!</v>
      </c>
      <c r="AA162" s="202"/>
      <c r="AB162" s="153" t="e">
        <f>#REF!</f>
        <v>#REF!</v>
      </c>
      <c r="AC162" s="202"/>
      <c r="AD162" s="152" t="e">
        <f>#REF!</f>
        <v>#REF!</v>
      </c>
      <c r="AE162" s="202"/>
      <c r="AF162" s="153" t="e">
        <f>#REF!</f>
        <v>#REF!</v>
      </c>
      <c r="AG162" s="202"/>
      <c r="AH162" s="152" t="e">
        <f>#REF!</f>
        <v>#REF!</v>
      </c>
      <c r="AI162" s="202"/>
      <c r="AJ162" s="153" t="e">
        <f>#REF!</f>
        <v>#REF!</v>
      </c>
      <c r="AK162" s="202"/>
      <c r="AL162" s="152" t="e">
        <f>#REF!</f>
        <v>#REF!</v>
      </c>
      <c r="AM162" s="202"/>
      <c r="AN162" s="153" t="e">
        <f>#REF!</f>
        <v>#REF!</v>
      </c>
      <c r="AO162" s="202"/>
      <c r="AP162" s="152" t="e">
        <f>#REF!</f>
        <v>#REF!</v>
      </c>
      <c r="AQ162" s="202"/>
      <c r="AR162" s="154" t="e">
        <f>#REF!</f>
        <v>#REF!</v>
      </c>
      <c r="AS162" s="202"/>
      <c r="AT162" s="153" t="e">
        <f>#REF!</f>
        <v>#REF!</v>
      </c>
      <c r="AU162" s="202"/>
      <c r="AV162" s="152" t="e">
        <f>#REF!</f>
        <v>#REF!</v>
      </c>
      <c r="AW162" s="202"/>
      <c r="AX162" s="153" t="e">
        <f>#REF!</f>
        <v>#REF!</v>
      </c>
      <c r="AY162" s="202"/>
      <c r="AZ162" s="152" t="e">
        <f>#REF!</f>
        <v>#REF!</v>
      </c>
      <c r="BA162" s="202"/>
      <c r="BB162" s="154" t="e">
        <f>#REF!</f>
        <v>#REF!</v>
      </c>
      <c r="BC162" s="137"/>
    </row>
    <row r="163" spans="1:55" ht="30" customHeight="1">
      <c r="A163" s="203" t="e">
        <f>#REF!</f>
        <v>#REF!</v>
      </c>
      <c r="B163" s="204" t="e">
        <f xml:space="preserve"> IF(#REF!=0, "",#REF!)</f>
        <v>#REF!</v>
      </c>
      <c r="C163" s="369" t="e">
        <f>#REF!</f>
        <v>#REF!</v>
      </c>
      <c r="D163" s="369"/>
      <c r="E163" s="291" t="e">
        <f>#REF!</f>
        <v>#REF!</v>
      </c>
      <c r="F163" s="148" t="e">
        <f>#REF!</f>
        <v>#REF!</v>
      </c>
      <c r="G163" s="205" t="e">
        <f xml:space="preserve"> IF(#REF!="", "",#REF!)</f>
        <v>#REF!</v>
      </c>
      <c r="H163" s="205" t="e">
        <f xml:space="preserve"> IF(#REF!="", "",#REF!)</f>
        <v>#REF!</v>
      </c>
      <c r="I163" s="205" t="e">
        <f xml:space="preserve"> IF(#REF!="", "",#REF!)</f>
        <v>#REF!</v>
      </c>
      <c r="J163" s="298" t="e">
        <f>#REF!</f>
        <v>#REF!</v>
      </c>
      <c r="K163" s="149" t="e">
        <f>#REF!</f>
        <v>#REF!</v>
      </c>
      <c r="L163" s="149" t="e">
        <f>#REF!</f>
        <v>#REF!</v>
      </c>
      <c r="M163" s="150" t="e">
        <f>#REF!</f>
        <v>#REF!</v>
      </c>
      <c r="N163" s="364"/>
      <c r="O163" s="202"/>
      <c r="P163" s="151" t="e">
        <f>#REF!</f>
        <v>#REF!</v>
      </c>
      <c r="Q163" s="202"/>
      <c r="R163" s="152" t="e">
        <f>#REF!</f>
        <v>#REF!</v>
      </c>
      <c r="S163" s="202"/>
      <c r="T163" s="153" t="e">
        <f>#REF!</f>
        <v>#REF!</v>
      </c>
      <c r="U163" s="202"/>
      <c r="V163" s="153" t="e">
        <f>#REF!</f>
        <v>#REF!</v>
      </c>
      <c r="W163" s="202"/>
      <c r="X163" s="153" t="e">
        <f>#REF!</f>
        <v>#REF!</v>
      </c>
      <c r="Y163" s="202"/>
      <c r="Z163" s="152" t="e">
        <f>#REF!</f>
        <v>#REF!</v>
      </c>
      <c r="AA163" s="202"/>
      <c r="AB163" s="153" t="e">
        <f>#REF!</f>
        <v>#REF!</v>
      </c>
      <c r="AC163" s="202"/>
      <c r="AD163" s="152" t="e">
        <f>#REF!</f>
        <v>#REF!</v>
      </c>
      <c r="AE163" s="202"/>
      <c r="AF163" s="153" t="e">
        <f>#REF!</f>
        <v>#REF!</v>
      </c>
      <c r="AG163" s="202"/>
      <c r="AH163" s="152" t="e">
        <f>#REF!</f>
        <v>#REF!</v>
      </c>
      <c r="AI163" s="202"/>
      <c r="AJ163" s="153" t="e">
        <f>#REF!</f>
        <v>#REF!</v>
      </c>
      <c r="AK163" s="202"/>
      <c r="AL163" s="152" t="e">
        <f>#REF!</f>
        <v>#REF!</v>
      </c>
      <c r="AM163" s="202"/>
      <c r="AN163" s="153" t="e">
        <f>#REF!</f>
        <v>#REF!</v>
      </c>
      <c r="AO163" s="202"/>
      <c r="AP163" s="152" t="e">
        <f>#REF!</f>
        <v>#REF!</v>
      </c>
      <c r="AQ163" s="202"/>
      <c r="AR163" s="154" t="e">
        <f>#REF!</f>
        <v>#REF!</v>
      </c>
      <c r="AS163" s="202"/>
      <c r="AT163" s="153" t="e">
        <f>#REF!</f>
        <v>#REF!</v>
      </c>
      <c r="AU163" s="202"/>
      <c r="AV163" s="152" t="e">
        <f>#REF!</f>
        <v>#REF!</v>
      </c>
      <c r="AW163" s="202"/>
      <c r="AX163" s="153" t="e">
        <f>#REF!</f>
        <v>#REF!</v>
      </c>
      <c r="AY163" s="202"/>
      <c r="AZ163" s="152" t="e">
        <f>#REF!</f>
        <v>#REF!</v>
      </c>
      <c r="BA163" s="202"/>
      <c r="BB163" s="154" t="e">
        <f>#REF!</f>
        <v>#REF!</v>
      </c>
      <c r="BC163" s="137"/>
    </row>
    <row r="164" spans="1:55" ht="30" customHeight="1">
      <c r="A164" s="203" t="e">
        <f>#REF!</f>
        <v>#REF!</v>
      </c>
      <c r="B164" s="204" t="e">
        <f xml:space="preserve"> IF(#REF!=0, "",#REF!)</f>
        <v>#REF!</v>
      </c>
      <c r="C164" s="369" t="e">
        <f>#REF!</f>
        <v>#REF!</v>
      </c>
      <c r="D164" s="369"/>
      <c r="E164" s="291" t="e">
        <f>#REF!</f>
        <v>#REF!</v>
      </c>
      <c r="F164" s="148" t="e">
        <f>#REF!</f>
        <v>#REF!</v>
      </c>
      <c r="G164" s="205" t="e">
        <f xml:space="preserve"> IF(#REF!="", "",#REF!)</f>
        <v>#REF!</v>
      </c>
      <c r="H164" s="205" t="e">
        <f xml:space="preserve"> IF(#REF!="", "",#REF!)</f>
        <v>#REF!</v>
      </c>
      <c r="I164" s="205" t="e">
        <f xml:space="preserve"> IF(#REF!="", "",#REF!)</f>
        <v>#REF!</v>
      </c>
      <c r="J164" s="298" t="e">
        <f>#REF!</f>
        <v>#REF!</v>
      </c>
      <c r="K164" s="149" t="e">
        <f>#REF!</f>
        <v>#REF!</v>
      </c>
      <c r="L164" s="149" t="e">
        <f>#REF!</f>
        <v>#REF!</v>
      </c>
      <c r="M164" s="150" t="e">
        <f>#REF!</f>
        <v>#REF!</v>
      </c>
      <c r="N164" s="364"/>
      <c r="O164" s="202"/>
      <c r="P164" s="151" t="e">
        <f>#REF!</f>
        <v>#REF!</v>
      </c>
      <c r="Q164" s="202"/>
      <c r="R164" s="152" t="e">
        <f>#REF!</f>
        <v>#REF!</v>
      </c>
      <c r="S164" s="202"/>
      <c r="T164" s="153" t="e">
        <f>#REF!</f>
        <v>#REF!</v>
      </c>
      <c r="U164" s="202"/>
      <c r="V164" s="153" t="e">
        <f>#REF!</f>
        <v>#REF!</v>
      </c>
      <c r="W164" s="202"/>
      <c r="X164" s="153" t="e">
        <f>#REF!</f>
        <v>#REF!</v>
      </c>
      <c r="Y164" s="202"/>
      <c r="Z164" s="152" t="e">
        <f>#REF!</f>
        <v>#REF!</v>
      </c>
      <c r="AA164" s="202"/>
      <c r="AB164" s="153" t="e">
        <f>#REF!</f>
        <v>#REF!</v>
      </c>
      <c r="AC164" s="202"/>
      <c r="AD164" s="152" t="e">
        <f>#REF!</f>
        <v>#REF!</v>
      </c>
      <c r="AE164" s="202"/>
      <c r="AF164" s="153" t="e">
        <f>#REF!</f>
        <v>#REF!</v>
      </c>
      <c r="AG164" s="202"/>
      <c r="AH164" s="152" t="e">
        <f>#REF!</f>
        <v>#REF!</v>
      </c>
      <c r="AI164" s="202"/>
      <c r="AJ164" s="153" t="e">
        <f>#REF!</f>
        <v>#REF!</v>
      </c>
      <c r="AK164" s="202"/>
      <c r="AL164" s="152" t="e">
        <f>#REF!</f>
        <v>#REF!</v>
      </c>
      <c r="AM164" s="202"/>
      <c r="AN164" s="153" t="e">
        <f>#REF!</f>
        <v>#REF!</v>
      </c>
      <c r="AO164" s="202"/>
      <c r="AP164" s="152" t="e">
        <f>#REF!</f>
        <v>#REF!</v>
      </c>
      <c r="AQ164" s="202"/>
      <c r="AR164" s="154" t="e">
        <f>#REF!</f>
        <v>#REF!</v>
      </c>
      <c r="AS164" s="202"/>
      <c r="AT164" s="153" t="e">
        <f>#REF!</f>
        <v>#REF!</v>
      </c>
      <c r="AU164" s="202"/>
      <c r="AV164" s="152" t="e">
        <f>#REF!</f>
        <v>#REF!</v>
      </c>
      <c r="AW164" s="202"/>
      <c r="AX164" s="153" t="e">
        <f>#REF!</f>
        <v>#REF!</v>
      </c>
      <c r="AY164" s="202"/>
      <c r="AZ164" s="152" t="e">
        <f>#REF!</f>
        <v>#REF!</v>
      </c>
      <c r="BA164" s="202"/>
      <c r="BB164" s="154" t="e">
        <f>#REF!</f>
        <v>#REF!</v>
      </c>
      <c r="BC164" s="137"/>
    </row>
    <row r="165" spans="1:55" ht="30" customHeight="1">
      <c r="A165" s="203" t="e">
        <f>#REF!</f>
        <v>#REF!</v>
      </c>
      <c r="B165" s="204" t="e">
        <f xml:space="preserve"> IF(#REF!=0, "",#REF!)</f>
        <v>#REF!</v>
      </c>
      <c r="C165" s="369" t="e">
        <f>#REF!</f>
        <v>#REF!</v>
      </c>
      <c r="D165" s="369"/>
      <c r="E165" s="291" t="e">
        <f>#REF!</f>
        <v>#REF!</v>
      </c>
      <c r="F165" s="148" t="e">
        <f>#REF!</f>
        <v>#REF!</v>
      </c>
      <c r="G165" s="205" t="e">
        <f xml:space="preserve"> IF(#REF!="", "",#REF!)</f>
        <v>#REF!</v>
      </c>
      <c r="H165" s="205" t="e">
        <f xml:space="preserve"> IF(#REF!="", "",#REF!)</f>
        <v>#REF!</v>
      </c>
      <c r="I165" s="205" t="e">
        <f xml:space="preserve"> IF(#REF!="", "",#REF!)</f>
        <v>#REF!</v>
      </c>
      <c r="J165" s="298" t="e">
        <f>#REF!</f>
        <v>#REF!</v>
      </c>
      <c r="K165" s="149" t="e">
        <f>#REF!</f>
        <v>#REF!</v>
      </c>
      <c r="L165" s="149" t="e">
        <f>#REF!</f>
        <v>#REF!</v>
      </c>
      <c r="M165" s="150" t="e">
        <f>#REF!</f>
        <v>#REF!</v>
      </c>
      <c r="N165" s="364"/>
      <c r="O165" s="202"/>
      <c r="P165" s="151" t="e">
        <f>#REF!</f>
        <v>#REF!</v>
      </c>
      <c r="Q165" s="202"/>
      <c r="R165" s="152" t="e">
        <f>#REF!</f>
        <v>#REF!</v>
      </c>
      <c r="S165" s="202"/>
      <c r="T165" s="153" t="e">
        <f>#REF!</f>
        <v>#REF!</v>
      </c>
      <c r="U165" s="202"/>
      <c r="V165" s="153" t="e">
        <f>#REF!</f>
        <v>#REF!</v>
      </c>
      <c r="W165" s="202"/>
      <c r="X165" s="153" t="e">
        <f>#REF!</f>
        <v>#REF!</v>
      </c>
      <c r="Y165" s="202"/>
      <c r="Z165" s="152" t="e">
        <f>#REF!</f>
        <v>#REF!</v>
      </c>
      <c r="AA165" s="202"/>
      <c r="AB165" s="153" t="e">
        <f>#REF!</f>
        <v>#REF!</v>
      </c>
      <c r="AC165" s="202"/>
      <c r="AD165" s="152" t="e">
        <f>#REF!</f>
        <v>#REF!</v>
      </c>
      <c r="AE165" s="202"/>
      <c r="AF165" s="153" t="e">
        <f>#REF!</f>
        <v>#REF!</v>
      </c>
      <c r="AG165" s="202"/>
      <c r="AH165" s="152" t="e">
        <f>#REF!</f>
        <v>#REF!</v>
      </c>
      <c r="AI165" s="202"/>
      <c r="AJ165" s="153" t="e">
        <f>#REF!</f>
        <v>#REF!</v>
      </c>
      <c r="AK165" s="202"/>
      <c r="AL165" s="152" t="e">
        <f>#REF!</f>
        <v>#REF!</v>
      </c>
      <c r="AM165" s="202"/>
      <c r="AN165" s="153" t="e">
        <f>#REF!</f>
        <v>#REF!</v>
      </c>
      <c r="AO165" s="202"/>
      <c r="AP165" s="152" t="e">
        <f>#REF!</f>
        <v>#REF!</v>
      </c>
      <c r="AQ165" s="202"/>
      <c r="AR165" s="154" t="e">
        <f>#REF!</f>
        <v>#REF!</v>
      </c>
      <c r="AS165" s="202"/>
      <c r="AT165" s="153" t="e">
        <f>#REF!</f>
        <v>#REF!</v>
      </c>
      <c r="AU165" s="202"/>
      <c r="AV165" s="152" t="e">
        <f>#REF!</f>
        <v>#REF!</v>
      </c>
      <c r="AW165" s="202"/>
      <c r="AX165" s="153" t="e">
        <f>#REF!</f>
        <v>#REF!</v>
      </c>
      <c r="AY165" s="202"/>
      <c r="AZ165" s="152" t="e">
        <f>#REF!</f>
        <v>#REF!</v>
      </c>
      <c r="BA165" s="202"/>
      <c r="BB165" s="154" t="e">
        <f>#REF!</f>
        <v>#REF!</v>
      </c>
      <c r="BC165" s="137"/>
    </row>
    <row r="166" spans="1:55" ht="30" customHeight="1">
      <c r="A166" s="203" t="e">
        <f>#REF!</f>
        <v>#REF!</v>
      </c>
      <c r="B166" s="204" t="e">
        <f xml:space="preserve"> IF(#REF!=0, "",#REF!)</f>
        <v>#REF!</v>
      </c>
      <c r="C166" s="369" t="e">
        <f>#REF!</f>
        <v>#REF!</v>
      </c>
      <c r="D166" s="369"/>
      <c r="E166" s="291" t="e">
        <f>#REF!</f>
        <v>#REF!</v>
      </c>
      <c r="F166" s="148" t="e">
        <f>#REF!</f>
        <v>#REF!</v>
      </c>
      <c r="G166" s="205" t="e">
        <f xml:space="preserve"> IF(#REF!="", "",#REF!)</f>
        <v>#REF!</v>
      </c>
      <c r="H166" s="205" t="e">
        <f xml:space="preserve"> IF(#REF!="", "",#REF!)</f>
        <v>#REF!</v>
      </c>
      <c r="I166" s="205" t="e">
        <f xml:space="preserve"> IF(#REF!="", "",#REF!)</f>
        <v>#REF!</v>
      </c>
      <c r="J166" s="298" t="e">
        <f>#REF!</f>
        <v>#REF!</v>
      </c>
      <c r="K166" s="149" t="e">
        <f>#REF!</f>
        <v>#REF!</v>
      </c>
      <c r="L166" s="149" t="e">
        <f>#REF!</f>
        <v>#REF!</v>
      </c>
      <c r="M166" s="150" t="e">
        <f>#REF!</f>
        <v>#REF!</v>
      </c>
      <c r="N166" s="364"/>
      <c r="O166" s="202"/>
      <c r="P166" s="151" t="e">
        <f>#REF!</f>
        <v>#REF!</v>
      </c>
      <c r="Q166" s="202"/>
      <c r="R166" s="152" t="e">
        <f>#REF!</f>
        <v>#REF!</v>
      </c>
      <c r="S166" s="202"/>
      <c r="T166" s="153" t="e">
        <f>#REF!</f>
        <v>#REF!</v>
      </c>
      <c r="U166" s="202"/>
      <c r="V166" s="153" t="e">
        <f>#REF!</f>
        <v>#REF!</v>
      </c>
      <c r="W166" s="202"/>
      <c r="X166" s="153" t="e">
        <f>#REF!</f>
        <v>#REF!</v>
      </c>
      <c r="Y166" s="202"/>
      <c r="Z166" s="152" t="e">
        <f>#REF!</f>
        <v>#REF!</v>
      </c>
      <c r="AA166" s="202"/>
      <c r="AB166" s="153" t="e">
        <f>#REF!</f>
        <v>#REF!</v>
      </c>
      <c r="AC166" s="202"/>
      <c r="AD166" s="152" t="e">
        <f>#REF!</f>
        <v>#REF!</v>
      </c>
      <c r="AE166" s="202"/>
      <c r="AF166" s="153" t="e">
        <f>#REF!</f>
        <v>#REF!</v>
      </c>
      <c r="AG166" s="202"/>
      <c r="AH166" s="152" t="e">
        <f>#REF!</f>
        <v>#REF!</v>
      </c>
      <c r="AI166" s="202"/>
      <c r="AJ166" s="153" t="e">
        <f>#REF!</f>
        <v>#REF!</v>
      </c>
      <c r="AK166" s="202"/>
      <c r="AL166" s="152" t="e">
        <f>#REF!</f>
        <v>#REF!</v>
      </c>
      <c r="AM166" s="202"/>
      <c r="AN166" s="153" t="e">
        <f>#REF!</f>
        <v>#REF!</v>
      </c>
      <c r="AO166" s="202"/>
      <c r="AP166" s="152" t="e">
        <f>#REF!</f>
        <v>#REF!</v>
      </c>
      <c r="AQ166" s="202"/>
      <c r="AR166" s="154" t="e">
        <f>#REF!</f>
        <v>#REF!</v>
      </c>
      <c r="AS166" s="202"/>
      <c r="AT166" s="153" t="e">
        <f>#REF!</f>
        <v>#REF!</v>
      </c>
      <c r="AU166" s="202"/>
      <c r="AV166" s="152" t="e">
        <f>#REF!</f>
        <v>#REF!</v>
      </c>
      <c r="AW166" s="202"/>
      <c r="AX166" s="153" t="e">
        <f>#REF!</f>
        <v>#REF!</v>
      </c>
      <c r="AY166" s="202"/>
      <c r="AZ166" s="152" t="e">
        <f>#REF!</f>
        <v>#REF!</v>
      </c>
      <c r="BA166" s="202"/>
      <c r="BB166" s="154" t="e">
        <f>#REF!</f>
        <v>#REF!</v>
      </c>
      <c r="BC166" s="137"/>
    </row>
    <row r="167" spans="1:55" ht="30" customHeight="1">
      <c r="A167" s="203" t="e">
        <f>#REF!</f>
        <v>#REF!</v>
      </c>
      <c r="B167" s="204" t="e">
        <f xml:space="preserve"> IF(#REF!=0, "",#REF!)</f>
        <v>#REF!</v>
      </c>
      <c r="C167" s="369" t="e">
        <f>#REF!</f>
        <v>#REF!</v>
      </c>
      <c r="D167" s="369"/>
      <c r="E167" s="291" t="e">
        <f>#REF!</f>
        <v>#REF!</v>
      </c>
      <c r="F167" s="148" t="e">
        <f>#REF!</f>
        <v>#REF!</v>
      </c>
      <c r="G167" s="205" t="e">
        <f xml:space="preserve"> IF(#REF!="", "",#REF!)</f>
        <v>#REF!</v>
      </c>
      <c r="H167" s="205" t="e">
        <f xml:space="preserve"> IF(#REF!="", "",#REF!)</f>
        <v>#REF!</v>
      </c>
      <c r="I167" s="205" t="e">
        <f xml:space="preserve"> IF(#REF!="", "",#REF!)</f>
        <v>#REF!</v>
      </c>
      <c r="J167" s="298" t="e">
        <f>#REF!</f>
        <v>#REF!</v>
      </c>
      <c r="K167" s="149" t="e">
        <f>#REF!</f>
        <v>#REF!</v>
      </c>
      <c r="L167" s="149" t="e">
        <f>#REF!</f>
        <v>#REF!</v>
      </c>
      <c r="M167" s="150" t="e">
        <f>#REF!</f>
        <v>#REF!</v>
      </c>
      <c r="N167" s="364"/>
      <c r="O167" s="202"/>
      <c r="P167" s="151" t="e">
        <f>#REF!</f>
        <v>#REF!</v>
      </c>
      <c r="Q167" s="202"/>
      <c r="R167" s="152" t="e">
        <f>#REF!</f>
        <v>#REF!</v>
      </c>
      <c r="S167" s="202"/>
      <c r="T167" s="153" t="e">
        <f>#REF!</f>
        <v>#REF!</v>
      </c>
      <c r="U167" s="202"/>
      <c r="V167" s="153" t="e">
        <f>#REF!</f>
        <v>#REF!</v>
      </c>
      <c r="W167" s="202"/>
      <c r="X167" s="153" t="e">
        <f>#REF!</f>
        <v>#REF!</v>
      </c>
      <c r="Y167" s="202"/>
      <c r="Z167" s="152" t="e">
        <f>#REF!</f>
        <v>#REF!</v>
      </c>
      <c r="AA167" s="202"/>
      <c r="AB167" s="153" t="e">
        <f>#REF!</f>
        <v>#REF!</v>
      </c>
      <c r="AC167" s="202"/>
      <c r="AD167" s="152" t="e">
        <f>#REF!</f>
        <v>#REF!</v>
      </c>
      <c r="AE167" s="202"/>
      <c r="AF167" s="153" t="e">
        <f>#REF!</f>
        <v>#REF!</v>
      </c>
      <c r="AG167" s="202"/>
      <c r="AH167" s="152" t="e">
        <f>#REF!</f>
        <v>#REF!</v>
      </c>
      <c r="AI167" s="202"/>
      <c r="AJ167" s="153" t="e">
        <f>#REF!</f>
        <v>#REF!</v>
      </c>
      <c r="AK167" s="202"/>
      <c r="AL167" s="152" t="e">
        <f>#REF!</f>
        <v>#REF!</v>
      </c>
      <c r="AM167" s="202"/>
      <c r="AN167" s="153" t="e">
        <f>#REF!</f>
        <v>#REF!</v>
      </c>
      <c r="AO167" s="202"/>
      <c r="AP167" s="152" t="e">
        <f>#REF!</f>
        <v>#REF!</v>
      </c>
      <c r="AQ167" s="202"/>
      <c r="AR167" s="154" t="e">
        <f>#REF!</f>
        <v>#REF!</v>
      </c>
      <c r="AS167" s="202"/>
      <c r="AT167" s="153" t="e">
        <f>#REF!</f>
        <v>#REF!</v>
      </c>
      <c r="AU167" s="202"/>
      <c r="AV167" s="152" t="e">
        <f>#REF!</f>
        <v>#REF!</v>
      </c>
      <c r="AW167" s="202"/>
      <c r="AX167" s="153" t="e">
        <f>#REF!</f>
        <v>#REF!</v>
      </c>
      <c r="AY167" s="202"/>
      <c r="AZ167" s="152" t="e">
        <f>#REF!</f>
        <v>#REF!</v>
      </c>
      <c r="BA167" s="202"/>
      <c r="BB167" s="154" t="e">
        <f>#REF!</f>
        <v>#REF!</v>
      </c>
      <c r="BC167" s="137"/>
    </row>
    <row r="168" spans="1:55" ht="30" customHeight="1">
      <c r="A168" s="203" t="e">
        <f>#REF!</f>
        <v>#REF!</v>
      </c>
      <c r="B168" s="204" t="e">
        <f xml:space="preserve"> IF(#REF!=0, "",#REF!)</f>
        <v>#REF!</v>
      </c>
      <c r="C168" s="369" t="e">
        <f>#REF!</f>
        <v>#REF!</v>
      </c>
      <c r="D168" s="369"/>
      <c r="E168" s="291" t="e">
        <f>#REF!</f>
        <v>#REF!</v>
      </c>
      <c r="F168" s="148" t="e">
        <f>#REF!</f>
        <v>#REF!</v>
      </c>
      <c r="G168" s="205" t="e">
        <f xml:space="preserve"> IF(#REF!="", "",#REF!)</f>
        <v>#REF!</v>
      </c>
      <c r="H168" s="205" t="e">
        <f xml:space="preserve"> IF(#REF!="", "",#REF!)</f>
        <v>#REF!</v>
      </c>
      <c r="I168" s="205" t="e">
        <f xml:space="preserve"> IF(#REF!="", "",#REF!)</f>
        <v>#REF!</v>
      </c>
      <c r="J168" s="298" t="e">
        <f>#REF!</f>
        <v>#REF!</v>
      </c>
      <c r="K168" s="149" t="e">
        <f>#REF!</f>
        <v>#REF!</v>
      </c>
      <c r="L168" s="149" t="e">
        <f>#REF!</f>
        <v>#REF!</v>
      </c>
      <c r="M168" s="150" t="e">
        <f>#REF!</f>
        <v>#REF!</v>
      </c>
      <c r="N168" s="364"/>
      <c r="O168" s="202"/>
      <c r="P168" s="151" t="e">
        <f>#REF!</f>
        <v>#REF!</v>
      </c>
      <c r="Q168" s="202"/>
      <c r="R168" s="152" t="e">
        <f>#REF!</f>
        <v>#REF!</v>
      </c>
      <c r="S168" s="202"/>
      <c r="T168" s="153" t="e">
        <f>#REF!</f>
        <v>#REF!</v>
      </c>
      <c r="U168" s="202"/>
      <c r="V168" s="153" t="e">
        <f>#REF!</f>
        <v>#REF!</v>
      </c>
      <c r="W168" s="202"/>
      <c r="X168" s="153" t="e">
        <f>#REF!</f>
        <v>#REF!</v>
      </c>
      <c r="Y168" s="202"/>
      <c r="Z168" s="152" t="e">
        <f>#REF!</f>
        <v>#REF!</v>
      </c>
      <c r="AA168" s="202"/>
      <c r="AB168" s="153" t="e">
        <f>#REF!</f>
        <v>#REF!</v>
      </c>
      <c r="AC168" s="202"/>
      <c r="AD168" s="152" t="e">
        <f>#REF!</f>
        <v>#REF!</v>
      </c>
      <c r="AE168" s="202"/>
      <c r="AF168" s="153" t="e">
        <f>#REF!</f>
        <v>#REF!</v>
      </c>
      <c r="AG168" s="202"/>
      <c r="AH168" s="152" t="e">
        <f>#REF!</f>
        <v>#REF!</v>
      </c>
      <c r="AI168" s="202"/>
      <c r="AJ168" s="153" t="e">
        <f>#REF!</f>
        <v>#REF!</v>
      </c>
      <c r="AK168" s="202"/>
      <c r="AL168" s="152" t="e">
        <f>#REF!</f>
        <v>#REF!</v>
      </c>
      <c r="AM168" s="202"/>
      <c r="AN168" s="153" t="e">
        <f>#REF!</f>
        <v>#REF!</v>
      </c>
      <c r="AO168" s="202"/>
      <c r="AP168" s="152" t="e">
        <f>#REF!</f>
        <v>#REF!</v>
      </c>
      <c r="AQ168" s="202"/>
      <c r="AR168" s="154" t="e">
        <f>#REF!</f>
        <v>#REF!</v>
      </c>
      <c r="AS168" s="202"/>
      <c r="AT168" s="153" t="e">
        <f>#REF!</f>
        <v>#REF!</v>
      </c>
      <c r="AU168" s="202"/>
      <c r="AV168" s="152" t="e">
        <f>#REF!</f>
        <v>#REF!</v>
      </c>
      <c r="AW168" s="202"/>
      <c r="AX168" s="153" t="e">
        <f>#REF!</f>
        <v>#REF!</v>
      </c>
      <c r="AY168" s="202"/>
      <c r="AZ168" s="152" t="e">
        <f>#REF!</f>
        <v>#REF!</v>
      </c>
      <c r="BA168" s="202"/>
      <c r="BB168" s="154" t="e">
        <f>#REF!</f>
        <v>#REF!</v>
      </c>
      <c r="BC168" s="137"/>
    </row>
    <row r="169" spans="1:55" ht="30" customHeight="1">
      <c r="A169" s="203" t="e">
        <f>#REF!</f>
        <v>#REF!</v>
      </c>
      <c r="B169" s="204" t="e">
        <f xml:space="preserve"> IF(#REF!=0, "",#REF!)</f>
        <v>#REF!</v>
      </c>
      <c r="C169" s="369" t="e">
        <f>#REF!</f>
        <v>#REF!</v>
      </c>
      <c r="D169" s="369"/>
      <c r="E169" s="291" t="e">
        <f>#REF!</f>
        <v>#REF!</v>
      </c>
      <c r="F169" s="148" t="e">
        <f>#REF!</f>
        <v>#REF!</v>
      </c>
      <c r="G169" s="205" t="e">
        <f xml:space="preserve"> IF(#REF!="", "",#REF!)</f>
        <v>#REF!</v>
      </c>
      <c r="H169" s="205" t="e">
        <f xml:space="preserve"> IF(#REF!="", "",#REF!)</f>
        <v>#REF!</v>
      </c>
      <c r="I169" s="205" t="e">
        <f xml:space="preserve"> IF(#REF!="", "",#REF!)</f>
        <v>#REF!</v>
      </c>
      <c r="J169" s="298" t="e">
        <f>#REF!</f>
        <v>#REF!</v>
      </c>
      <c r="K169" s="149" t="e">
        <f>#REF!</f>
        <v>#REF!</v>
      </c>
      <c r="L169" s="149" t="e">
        <f>#REF!</f>
        <v>#REF!</v>
      </c>
      <c r="M169" s="150" t="e">
        <f>#REF!</f>
        <v>#REF!</v>
      </c>
      <c r="N169" s="364"/>
      <c r="O169" s="202"/>
      <c r="P169" s="151" t="e">
        <f>#REF!</f>
        <v>#REF!</v>
      </c>
      <c r="Q169" s="202"/>
      <c r="R169" s="152" t="e">
        <f>#REF!</f>
        <v>#REF!</v>
      </c>
      <c r="S169" s="202"/>
      <c r="T169" s="153" t="e">
        <f>#REF!</f>
        <v>#REF!</v>
      </c>
      <c r="U169" s="202"/>
      <c r="V169" s="153" t="e">
        <f>#REF!</f>
        <v>#REF!</v>
      </c>
      <c r="W169" s="202"/>
      <c r="X169" s="153" t="e">
        <f>#REF!</f>
        <v>#REF!</v>
      </c>
      <c r="Y169" s="202"/>
      <c r="Z169" s="152" t="e">
        <f>#REF!</f>
        <v>#REF!</v>
      </c>
      <c r="AA169" s="202"/>
      <c r="AB169" s="153" t="e">
        <f>#REF!</f>
        <v>#REF!</v>
      </c>
      <c r="AC169" s="202"/>
      <c r="AD169" s="152" t="e">
        <f>#REF!</f>
        <v>#REF!</v>
      </c>
      <c r="AE169" s="202"/>
      <c r="AF169" s="153" t="e">
        <f>#REF!</f>
        <v>#REF!</v>
      </c>
      <c r="AG169" s="202"/>
      <c r="AH169" s="152" t="e">
        <f>#REF!</f>
        <v>#REF!</v>
      </c>
      <c r="AI169" s="202"/>
      <c r="AJ169" s="153" t="e">
        <f>#REF!</f>
        <v>#REF!</v>
      </c>
      <c r="AK169" s="202"/>
      <c r="AL169" s="152" t="e">
        <f>#REF!</f>
        <v>#REF!</v>
      </c>
      <c r="AM169" s="202"/>
      <c r="AN169" s="153" t="e">
        <f>#REF!</f>
        <v>#REF!</v>
      </c>
      <c r="AO169" s="202"/>
      <c r="AP169" s="152" t="e">
        <f>#REF!</f>
        <v>#REF!</v>
      </c>
      <c r="AQ169" s="202"/>
      <c r="AR169" s="154" t="e">
        <f>#REF!</f>
        <v>#REF!</v>
      </c>
      <c r="AS169" s="202"/>
      <c r="AT169" s="153" t="e">
        <f>#REF!</f>
        <v>#REF!</v>
      </c>
      <c r="AU169" s="202"/>
      <c r="AV169" s="152" t="e">
        <f>#REF!</f>
        <v>#REF!</v>
      </c>
      <c r="AW169" s="202"/>
      <c r="AX169" s="153" t="e">
        <f>#REF!</f>
        <v>#REF!</v>
      </c>
      <c r="AY169" s="202"/>
      <c r="AZ169" s="152" t="e">
        <f>#REF!</f>
        <v>#REF!</v>
      </c>
      <c r="BA169" s="202"/>
      <c r="BB169" s="154" t="e">
        <f>#REF!</f>
        <v>#REF!</v>
      </c>
      <c r="BC169" s="137"/>
    </row>
    <row r="170" spans="1:55" ht="30" customHeight="1">
      <c r="A170" s="203" t="e">
        <f>#REF!</f>
        <v>#REF!</v>
      </c>
      <c r="B170" s="204" t="e">
        <f xml:space="preserve"> IF(#REF!=0, "",#REF!)</f>
        <v>#REF!</v>
      </c>
      <c r="C170" s="369" t="e">
        <f>#REF!</f>
        <v>#REF!</v>
      </c>
      <c r="D170" s="369"/>
      <c r="E170" s="291" t="e">
        <f>#REF!</f>
        <v>#REF!</v>
      </c>
      <c r="F170" s="148" t="e">
        <f>#REF!</f>
        <v>#REF!</v>
      </c>
      <c r="G170" s="205" t="e">
        <f xml:space="preserve"> IF(#REF!="", "",#REF!)</f>
        <v>#REF!</v>
      </c>
      <c r="H170" s="205" t="e">
        <f xml:space="preserve"> IF(#REF!="", "",#REF!)</f>
        <v>#REF!</v>
      </c>
      <c r="I170" s="205" t="e">
        <f xml:space="preserve"> IF(#REF!="", "",#REF!)</f>
        <v>#REF!</v>
      </c>
      <c r="J170" s="298" t="e">
        <f>#REF!</f>
        <v>#REF!</v>
      </c>
      <c r="K170" s="149" t="e">
        <f>#REF!</f>
        <v>#REF!</v>
      </c>
      <c r="L170" s="149" t="e">
        <f>#REF!</f>
        <v>#REF!</v>
      </c>
      <c r="M170" s="150" t="e">
        <f>#REF!</f>
        <v>#REF!</v>
      </c>
      <c r="N170" s="364"/>
      <c r="O170" s="202"/>
      <c r="P170" s="151" t="e">
        <f>#REF!</f>
        <v>#REF!</v>
      </c>
      <c r="Q170" s="202"/>
      <c r="R170" s="152" t="e">
        <f>#REF!</f>
        <v>#REF!</v>
      </c>
      <c r="S170" s="202"/>
      <c r="T170" s="153" t="e">
        <f>#REF!</f>
        <v>#REF!</v>
      </c>
      <c r="U170" s="202"/>
      <c r="V170" s="153" t="e">
        <f>#REF!</f>
        <v>#REF!</v>
      </c>
      <c r="W170" s="202"/>
      <c r="X170" s="153" t="e">
        <f>#REF!</f>
        <v>#REF!</v>
      </c>
      <c r="Y170" s="202"/>
      <c r="Z170" s="152" t="e">
        <f>#REF!</f>
        <v>#REF!</v>
      </c>
      <c r="AA170" s="202"/>
      <c r="AB170" s="153" t="e">
        <f>#REF!</f>
        <v>#REF!</v>
      </c>
      <c r="AC170" s="202"/>
      <c r="AD170" s="152" t="e">
        <f>#REF!</f>
        <v>#REF!</v>
      </c>
      <c r="AE170" s="202"/>
      <c r="AF170" s="153" t="e">
        <f>#REF!</f>
        <v>#REF!</v>
      </c>
      <c r="AG170" s="202"/>
      <c r="AH170" s="152" t="e">
        <f>#REF!</f>
        <v>#REF!</v>
      </c>
      <c r="AI170" s="202"/>
      <c r="AJ170" s="153" t="e">
        <f>#REF!</f>
        <v>#REF!</v>
      </c>
      <c r="AK170" s="202"/>
      <c r="AL170" s="152" t="e">
        <f>#REF!</f>
        <v>#REF!</v>
      </c>
      <c r="AM170" s="202"/>
      <c r="AN170" s="153" t="e">
        <f>#REF!</f>
        <v>#REF!</v>
      </c>
      <c r="AO170" s="202"/>
      <c r="AP170" s="152" t="e">
        <f>#REF!</f>
        <v>#REF!</v>
      </c>
      <c r="AQ170" s="202"/>
      <c r="AR170" s="154" t="e">
        <f>#REF!</f>
        <v>#REF!</v>
      </c>
      <c r="AS170" s="202"/>
      <c r="AT170" s="153" t="e">
        <f>#REF!</f>
        <v>#REF!</v>
      </c>
      <c r="AU170" s="202"/>
      <c r="AV170" s="152" t="e">
        <f>#REF!</f>
        <v>#REF!</v>
      </c>
      <c r="AW170" s="202"/>
      <c r="AX170" s="153" t="e">
        <f>#REF!</f>
        <v>#REF!</v>
      </c>
      <c r="AY170" s="202"/>
      <c r="AZ170" s="152" t="e">
        <f>#REF!</f>
        <v>#REF!</v>
      </c>
      <c r="BA170" s="202"/>
      <c r="BB170" s="154" t="e">
        <f>#REF!</f>
        <v>#REF!</v>
      </c>
      <c r="BC170" s="137"/>
    </row>
    <row r="171" spans="1:55" ht="30" customHeight="1">
      <c r="A171" s="203" t="e">
        <f>#REF!</f>
        <v>#REF!</v>
      </c>
      <c r="B171" s="204" t="e">
        <f xml:space="preserve"> IF(#REF!=0, "",#REF!)</f>
        <v>#REF!</v>
      </c>
      <c r="C171" s="369" t="e">
        <f>#REF!</f>
        <v>#REF!</v>
      </c>
      <c r="D171" s="369"/>
      <c r="E171" s="291" t="e">
        <f>#REF!</f>
        <v>#REF!</v>
      </c>
      <c r="F171" s="148" t="e">
        <f>#REF!</f>
        <v>#REF!</v>
      </c>
      <c r="G171" s="205" t="e">
        <f xml:space="preserve"> IF(#REF!="", "",#REF!)</f>
        <v>#REF!</v>
      </c>
      <c r="H171" s="205" t="e">
        <f xml:space="preserve"> IF(#REF!="", "",#REF!)</f>
        <v>#REF!</v>
      </c>
      <c r="I171" s="205" t="e">
        <f xml:space="preserve"> IF(#REF!="", "",#REF!)</f>
        <v>#REF!</v>
      </c>
      <c r="J171" s="298" t="e">
        <f>#REF!</f>
        <v>#REF!</v>
      </c>
      <c r="K171" s="149" t="e">
        <f>#REF!</f>
        <v>#REF!</v>
      </c>
      <c r="L171" s="149" t="e">
        <f>#REF!</f>
        <v>#REF!</v>
      </c>
      <c r="M171" s="150" t="e">
        <f>#REF!</f>
        <v>#REF!</v>
      </c>
      <c r="N171" s="364"/>
      <c r="O171" s="202"/>
      <c r="P171" s="151" t="e">
        <f>#REF!</f>
        <v>#REF!</v>
      </c>
      <c r="Q171" s="202"/>
      <c r="R171" s="152" t="e">
        <f>#REF!</f>
        <v>#REF!</v>
      </c>
      <c r="S171" s="202"/>
      <c r="T171" s="153" t="e">
        <f>#REF!</f>
        <v>#REF!</v>
      </c>
      <c r="U171" s="202"/>
      <c r="V171" s="153" t="e">
        <f>#REF!</f>
        <v>#REF!</v>
      </c>
      <c r="W171" s="202"/>
      <c r="X171" s="153" t="e">
        <f>#REF!</f>
        <v>#REF!</v>
      </c>
      <c r="Y171" s="202"/>
      <c r="Z171" s="152" t="e">
        <f>#REF!</f>
        <v>#REF!</v>
      </c>
      <c r="AA171" s="202"/>
      <c r="AB171" s="153" t="e">
        <f>#REF!</f>
        <v>#REF!</v>
      </c>
      <c r="AC171" s="202"/>
      <c r="AD171" s="152" t="e">
        <f>#REF!</f>
        <v>#REF!</v>
      </c>
      <c r="AE171" s="202"/>
      <c r="AF171" s="153" t="e">
        <f>#REF!</f>
        <v>#REF!</v>
      </c>
      <c r="AG171" s="202"/>
      <c r="AH171" s="152" t="e">
        <f>#REF!</f>
        <v>#REF!</v>
      </c>
      <c r="AI171" s="202"/>
      <c r="AJ171" s="153" t="e">
        <f>#REF!</f>
        <v>#REF!</v>
      </c>
      <c r="AK171" s="202"/>
      <c r="AL171" s="152" t="e">
        <f>#REF!</f>
        <v>#REF!</v>
      </c>
      <c r="AM171" s="202"/>
      <c r="AN171" s="153" t="e">
        <f>#REF!</f>
        <v>#REF!</v>
      </c>
      <c r="AO171" s="202"/>
      <c r="AP171" s="152" t="e">
        <f>#REF!</f>
        <v>#REF!</v>
      </c>
      <c r="AQ171" s="202"/>
      <c r="AR171" s="154" t="e">
        <f>#REF!</f>
        <v>#REF!</v>
      </c>
      <c r="AS171" s="202"/>
      <c r="AT171" s="153" t="e">
        <f>#REF!</f>
        <v>#REF!</v>
      </c>
      <c r="AU171" s="202"/>
      <c r="AV171" s="152" t="e">
        <f>#REF!</f>
        <v>#REF!</v>
      </c>
      <c r="AW171" s="202"/>
      <c r="AX171" s="153" t="e">
        <f>#REF!</f>
        <v>#REF!</v>
      </c>
      <c r="AY171" s="202"/>
      <c r="AZ171" s="152" t="e">
        <f>#REF!</f>
        <v>#REF!</v>
      </c>
      <c r="BA171" s="202"/>
      <c r="BB171" s="154" t="e">
        <f>#REF!</f>
        <v>#REF!</v>
      </c>
      <c r="BC171" s="137"/>
    </row>
    <row r="172" spans="1:55" ht="30" customHeight="1">
      <c r="A172" s="203" t="e">
        <f>#REF!</f>
        <v>#REF!</v>
      </c>
      <c r="B172" s="204" t="e">
        <f xml:space="preserve"> IF(#REF!=0, "",#REF!)</f>
        <v>#REF!</v>
      </c>
      <c r="C172" s="369" t="e">
        <f>#REF!</f>
        <v>#REF!</v>
      </c>
      <c r="D172" s="369"/>
      <c r="E172" s="291" t="e">
        <f>#REF!</f>
        <v>#REF!</v>
      </c>
      <c r="F172" s="148" t="e">
        <f>#REF!</f>
        <v>#REF!</v>
      </c>
      <c r="G172" s="205" t="e">
        <f xml:space="preserve"> IF(#REF!="", "",#REF!)</f>
        <v>#REF!</v>
      </c>
      <c r="H172" s="205" t="e">
        <f xml:space="preserve"> IF(#REF!="", "",#REF!)</f>
        <v>#REF!</v>
      </c>
      <c r="I172" s="205" t="e">
        <f xml:space="preserve"> IF(#REF!="", "",#REF!)</f>
        <v>#REF!</v>
      </c>
      <c r="J172" s="298" t="e">
        <f>#REF!</f>
        <v>#REF!</v>
      </c>
      <c r="K172" s="149" t="e">
        <f>#REF!</f>
        <v>#REF!</v>
      </c>
      <c r="L172" s="149" t="e">
        <f>#REF!</f>
        <v>#REF!</v>
      </c>
      <c r="M172" s="150" t="e">
        <f>#REF!</f>
        <v>#REF!</v>
      </c>
      <c r="N172" s="364"/>
      <c r="O172" s="202"/>
      <c r="P172" s="151" t="e">
        <f>#REF!</f>
        <v>#REF!</v>
      </c>
      <c r="Q172" s="202"/>
      <c r="R172" s="152" t="e">
        <f>#REF!</f>
        <v>#REF!</v>
      </c>
      <c r="S172" s="202"/>
      <c r="T172" s="153" t="e">
        <f>#REF!</f>
        <v>#REF!</v>
      </c>
      <c r="U172" s="202"/>
      <c r="V172" s="153" t="e">
        <f>#REF!</f>
        <v>#REF!</v>
      </c>
      <c r="W172" s="202"/>
      <c r="X172" s="153" t="e">
        <f>#REF!</f>
        <v>#REF!</v>
      </c>
      <c r="Y172" s="202"/>
      <c r="Z172" s="152" t="e">
        <f>#REF!</f>
        <v>#REF!</v>
      </c>
      <c r="AA172" s="202"/>
      <c r="AB172" s="153" t="e">
        <f>#REF!</f>
        <v>#REF!</v>
      </c>
      <c r="AC172" s="202"/>
      <c r="AD172" s="152" t="e">
        <f>#REF!</f>
        <v>#REF!</v>
      </c>
      <c r="AE172" s="202"/>
      <c r="AF172" s="153" t="e">
        <f>#REF!</f>
        <v>#REF!</v>
      </c>
      <c r="AG172" s="202"/>
      <c r="AH172" s="152" t="e">
        <f>#REF!</f>
        <v>#REF!</v>
      </c>
      <c r="AI172" s="202"/>
      <c r="AJ172" s="153" t="e">
        <f>#REF!</f>
        <v>#REF!</v>
      </c>
      <c r="AK172" s="202"/>
      <c r="AL172" s="152" t="e">
        <f>#REF!</f>
        <v>#REF!</v>
      </c>
      <c r="AM172" s="202"/>
      <c r="AN172" s="153" t="e">
        <f>#REF!</f>
        <v>#REF!</v>
      </c>
      <c r="AO172" s="202"/>
      <c r="AP172" s="152" t="e">
        <f>#REF!</f>
        <v>#REF!</v>
      </c>
      <c r="AQ172" s="202"/>
      <c r="AR172" s="154" t="e">
        <f>#REF!</f>
        <v>#REF!</v>
      </c>
      <c r="AS172" s="202"/>
      <c r="AT172" s="153" t="e">
        <f>#REF!</f>
        <v>#REF!</v>
      </c>
      <c r="AU172" s="202"/>
      <c r="AV172" s="152" t="e">
        <f>#REF!</f>
        <v>#REF!</v>
      </c>
      <c r="AW172" s="202"/>
      <c r="AX172" s="153" t="e">
        <f>#REF!</f>
        <v>#REF!</v>
      </c>
      <c r="AY172" s="202"/>
      <c r="AZ172" s="152" t="e">
        <f>#REF!</f>
        <v>#REF!</v>
      </c>
      <c r="BA172" s="202"/>
      <c r="BB172" s="154" t="e">
        <f>#REF!</f>
        <v>#REF!</v>
      </c>
      <c r="BC172" s="137"/>
    </row>
    <row r="173" spans="1:55" ht="30" customHeight="1">
      <c r="A173" s="203" t="e">
        <f>#REF!</f>
        <v>#REF!</v>
      </c>
      <c r="B173" s="204" t="e">
        <f xml:space="preserve"> IF(#REF!=0, "",#REF!)</f>
        <v>#REF!</v>
      </c>
      <c r="C173" s="369" t="e">
        <f>#REF!</f>
        <v>#REF!</v>
      </c>
      <c r="D173" s="369"/>
      <c r="E173" s="291" t="e">
        <f>#REF!</f>
        <v>#REF!</v>
      </c>
      <c r="F173" s="148" t="e">
        <f>#REF!</f>
        <v>#REF!</v>
      </c>
      <c r="G173" s="205" t="e">
        <f xml:space="preserve"> IF(#REF!="", "",#REF!)</f>
        <v>#REF!</v>
      </c>
      <c r="H173" s="205" t="e">
        <f xml:space="preserve"> IF(#REF!="", "",#REF!)</f>
        <v>#REF!</v>
      </c>
      <c r="I173" s="205" t="e">
        <f xml:space="preserve"> IF(#REF!="", "",#REF!)</f>
        <v>#REF!</v>
      </c>
      <c r="J173" s="298" t="e">
        <f>#REF!</f>
        <v>#REF!</v>
      </c>
      <c r="K173" s="149" t="e">
        <f>#REF!</f>
        <v>#REF!</v>
      </c>
      <c r="L173" s="149" t="e">
        <f>#REF!</f>
        <v>#REF!</v>
      </c>
      <c r="M173" s="150" t="e">
        <f>#REF!</f>
        <v>#REF!</v>
      </c>
      <c r="N173" s="364"/>
      <c r="O173" s="202"/>
      <c r="P173" s="151" t="e">
        <f>#REF!</f>
        <v>#REF!</v>
      </c>
      <c r="Q173" s="202"/>
      <c r="R173" s="152" t="e">
        <f>#REF!</f>
        <v>#REF!</v>
      </c>
      <c r="S173" s="202"/>
      <c r="T173" s="153" t="e">
        <f>#REF!</f>
        <v>#REF!</v>
      </c>
      <c r="U173" s="202"/>
      <c r="V173" s="153" t="e">
        <f>#REF!</f>
        <v>#REF!</v>
      </c>
      <c r="W173" s="202"/>
      <c r="X173" s="153" t="e">
        <f>#REF!</f>
        <v>#REF!</v>
      </c>
      <c r="Y173" s="202"/>
      <c r="Z173" s="152" t="e">
        <f>#REF!</f>
        <v>#REF!</v>
      </c>
      <c r="AA173" s="202"/>
      <c r="AB173" s="153" t="e">
        <f>#REF!</f>
        <v>#REF!</v>
      </c>
      <c r="AC173" s="202"/>
      <c r="AD173" s="152" t="e">
        <f>#REF!</f>
        <v>#REF!</v>
      </c>
      <c r="AE173" s="202"/>
      <c r="AF173" s="153" t="e">
        <f>#REF!</f>
        <v>#REF!</v>
      </c>
      <c r="AG173" s="202"/>
      <c r="AH173" s="152" t="e">
        <f>#REF!</f>
        <v>#REF!</v>
      </c>
      <c r="AI173" s="202"/>
      <c r="AJ173" s="153" t="e">
        <f>#REF!</f>
        <v>#REF!</v>
      </c>
      <c r="AK173" s="202"/>
      <c r="AL173" s="152" t="e">
        <f>#REF!</f>
        <v>#REF!</v>
      </c>
      <c r="AM173" s="202"/>
      <c r="AN173" s="153" t="e">
        <f>#REF!</f>
        <v>#REF!</v>
      </c>
      <c r="AO173" s="202"/>
      <c r="AP173" s="152" t="e">
        <f>#REF!</f>
        <v>#REF!</v>
      </c>
      <c r="AQ173" s="202"/>
      <c r="AR173" s="154" t="e">
        <f>#REF!</f>
        <v>#REF!</v>
      </c>
      <c r="AS173" s="202"/>
      <c r="AT173" s="153" t="e">
        <f>#REF!</f>
        <v>#REF!</v>
      </c>
      <c r="AU173" s="202"/>
      <c r="AV173" s="152" t="e">
        <f>#REF!</f>
        <v>#REF!</v>
      </c>
      <c r="AW173" s="202"/>
      <c r="AX173" s="153" t="e">
        <f>#REF!</f>
        <v>#REF!</v>
      </c>
      <c r="AY173" s="202"/>
      <c r="AZ173" s="152" t="e">
        <f>#REF!</f>
        <v>#REF!</v>
      </c>
      <c r="BA173" s="202"/>
      <c r="BB173" s="154" t="e">
        <f>#REF!</f>
        <v>#REF!</v>
      </c>
      <c r="BC173" s="137"/>
    </row>
    <row r="174" spans="1:55" ht="30" customHeight="1">
      <c r="A174" s="203" t="e">
        <f>#REF!</f>
        <v>#REF!</v>
      </c>
      <c r="B174" s="204" t="e">
        <f xml:space="preserve"> IF(#REF!=0, "",#REF!)</f>
        <v>#REF!</v>
      </c>
      <c r="C174" s="369" t="e">
        <f>#REF!</f>
        <v>#REF!</v>
      </c>
      <c r="D174" s="369"/>
      <c r="E174" s="291" t="e">
        <f>#REF!</f>
        <v>#REF!</v>
      </c>
      <c r="F174" s="148" t="e">
        <f>#REF!</f>
        <v>#REF!</v>
      </c>
      <c r="G174" s="205" t="e">
        <f xml:space="preserve"> IF(#REF!="", "",#REF!)</f>
        <v>#REF!</v>
      </c>
      <c r="H174" s="205" t="e">
        <f xml:space="preserve"> IF(#REF!="", "",#REF!)</f>
        <v>#REF!</v>
      </c>
      <c r="I174" s="205" t="e">
        <f xml:space="preserve"> IF(#REF!="", "",#REF!)</f>
        <v>#REF!</v>
      </c>
      <c r="J174" s="298" t="e">
        <f>#REF!</f>
        <v>#REF!</v>
      </c>
      <c r="K174" s="149" t="e">
        <f>#REF!</f>
        <v>#REF!</v>
      </c>
      <c r="L174" s="149" t="e">
        <f>#REF!</f>
        <v>#REF!</v>
      </c>
      <c r="M174" s="150" t="e">
        <f>#REF!</f>
        <v>#REF!</v>
      </c>
      <c r="N174" s="364"/>
      <c r="O174" s="202"/>
      <c r="P174" s="151" t="e">
        <f>#REF!</f>
        <v>#REF!</v>
      </c>
      <c r="Q174" s="202"/>
      <c r="R174" s="152" t="e">
        <f>#REF!</f>
        <v>#REF!</v>
      </c>
      <c r="S174" s="202"/>
      <c r="T174" s="153" t="e">
        <f>#REF!</f>
        <v>#REF!</v>
      </c>
      <c r="U174" s="202"/>
      <c r="V174" s="153" t="e">
        <f>#REF!</f>
        <v>#REF!</v>
      </c>
      <c r="W174" s="202"/>
      <c r="X174" s="153" t="e">
        <f>#REF!</f>
        <v>#REF!</v>
      </c>
      <c r="Y174" s="202"/>
      <c r="Z174" s="152" t="e">
        <f>#REF!</f>
        <v>#REF!</v>
      </c>
      <c r="AA174" s="202"/>
      <c r="AB174" s="153" t="e">
        <f>#REF!</f>
        <v>#REF!</v>
      </c>
      <c r="AC174" s="202"/>
      <c r="AD174" s="152" t="e">
        <f>#REF!</f>
        <v>#REF!</v>
      </c>
      <c r="AE174" s="202"/>
      <c r="AF174" s="153" t="e">
        <f>#REF!</f>
        <v>#REF!</v>
      </c>
      <c r="AG174" s="202"/>
      <c r="AH174" s="152" t="e">
        <f>#REF!</f>
        <v>#REF!</v>
      </c>
      <c r="AI174" s="202"/>
      <c r="AJ174" s="153" t="e">
        <f>#REF!</f>
        <v>#REF!</v>
      </c>
      <c r="AK174" s="202"/>
      <c r="AL174" s="152" t="e">
        <f>#REF!</f>
        <v>#REF!</v>
      </c>
      <c r="AM174" s="202"/>
      <c r="AN174" s="153" t="e">
        <f>#REF!</f>
        <v>#REF!</v>
      </c>
      <c r="AO174" s="202"/>
      <c r="AP174" s="152" t="e">
        <f>#REF!</f>
        <v>#REF!</v>
      </c>
      <c r="AQ174" s="202"/>
      <c r="AR174" s="154" t="e">
        <f>#REF!</f>
        <v>#REF!</v>
      </c>
      <c r="AS174" s="202"/>
      <c r="AT174" s="153" t="e">
        <f>#REF!</f>
        <v>#REF!</v>
      </c>
      <c r="AU174" s="202"/>
      <c r="AV174" s="152" t="e">
        <f>#REF!</f>
        <v>#REF!</v>
      </c>
      <c r="AW174" s="202"/>
      <c r="AX174" s="153" t="e">
        <f>#REF!</f>
        <v>#REF!</v>
      </c>
      <c r="AY174" s="202"/>
      <c r="AZ174" s="152" t="e">
        <f>#REF!</f>
        <v>#REF!</v>
      </c>
      <c r="BA174" s="202"/>
      <c r="BB174" s="154" t="e">
        <f>#REF!</f>
        <v>#REF!</v>
      </c>
      <c r="BC174" s="137"/>
    </row>
    <row r="175" spans="1:55" ht="30" customHeight="1">
      <c r="A175" s="203" t="e">
        <f>#REF!</f>
        <v>#REF!</v>
      </c>
      <c r="B175" s="204" t="e">
        <f xml:space="preserve"> IF(#REF!=0, "",#REF!)</f>
        <v>#REF!</v>
      </c>
      <c r="C175" s="369" t="e">
        <f>#REF!</f>
        <v>#REF!</v>
      </c>
      <c r="D175" s="369"/>
      <c r="E175" s="291" t="e">
        <f>#REF!</f>
        <v>#REF!</v>
      </c>
      <c r="F175" s="148" t="e">
        <f>#REF!</f>
        <v>#REF!</v>
      </c>
      <c r="G175" s="205" t="e">
        <f xml:space="preserve"> IF(#REF!="", "",#REF!)</f>
        <v>#REF!</v>
      </c>
      <c r="H175" s="205" t="e">
        <f xml:space="preserve"> IF(#REF!="", "",#REF!)</f>
        <v>#REF!</v>
      </c>
      <c r="I175" s="205" t="e">
        <f xml:space="preserve"> IF(#REF!="", "",#REF!)</f>
        <v>#REF!</v>
      </c>
      <c r="J175" s="298" t="e">
        <f>#REF!</f>
        <v>#REF!</v>
      </c>
      <c r="K175" s="149" t="e">
        <f>#REF!</f>
        <v>#REF!</v>
      </c>
      <c r="L175" s="149" t="e">
        <f>#REF!</f>
        <v>#REF!</v>
      </c>
      <c r="M175" s="150" t="e">
        <f>#REF!</f>
        <v>#REF!</v>
      </c>
      <c r="N175" s="364"/>
      <c r="O175" s="202"/>
      <c r="P175" s="151" t="e">
        <f>#REF!</f>
        <v>#REF!</v>
      </c>
      <c r="Q175" s="202"/>
      <c r="R175" s="152" t="e">
        <f>#REF!</f>
        <v>#REF!</v>
      </c>
      <c r="S175" s="202"/>
      <c r="T175" s="153" t="e">
        <f>#REF!</f>
        <v>#REF!</v>
      </c>
      <c r="U175" s="202"/>
      <c r="V175" s="153" t="e">
        <f>#REF!</f>
        <v>#REF!</v>
      </c>
      <c r="W175" s="202"/>
      <c r="X175" s="153" t="e">
        <f>#REF!</f>
        <v>#REF!</v>
      </c>
      <c r="Y175" s="202"/>
      <c r="Z175" s="152" t="e">
        <f>#REF!</f>
        <v>#REF!</v>
      </c>
      <c r="AA175" s="202"/>
      <c r="AB175" s="153" t="e">
        <f>#REF!</f>
        <v>#REF!</v>
      </c>
      <c r="AC175" s="202"/>
      <c r="AD175" s="152" t="e">
        <f>#REF!</f>
        <v>#REF!</v>
      </c>
      <c r="AE175" s="202"/>
      <c r="AF175" s="153" t="e">
        <f>#REF!</f>
        <v>#REF!</v>
      </c>
      <c r="AG175" s="202"/>
      <c r="AH175" s="152" t="e">
        <f>#REF!</f>
        <v>#REF!</v>
      </c>
      <c r="AI175" s="202"/>
      <c r="AJ175" s="153" t="e">
        <f>#REF!</f>
        <v>#REF!</v>
      </c>
      <c r="AK175" s="202"/>
      <c r="AL175" s="152" t="e">
        <f>#REF!</f>
        <v>#REF!</v>
      </c>
      <c r="AM175" s="202"/>
      <c r="AN175" s="153" t="e">
        <f>#REF!</f>
        <v>#REF!</v>
      </c>
      <c r="AO175" s="202"/>
      <c r="AP175" s="152" t="e">
        <f>#REF!</f>
        <v>#REF!</v>
      </c>
      <c r="AQ175" s="202"/>
      <c r="AR175" s="154" t="e">
        <f>#REF!</f>
        <v>#REF!</v>
      </c>
      <c r="AS175" s="202"/>
      <c r="AT175" s="153" t="e">
        <f>#REF!</f>
        <v>#REF!</v>
      </c>
      <c r="AU175" s="202"/>
      <c r="AV175" s="152" t="e">
        <f>#REF!</f>
        <v>#REF!</v>
      </c>
      <c r="AW175" s="202"/>
      <c r="AX175" s="153" t="e">
        <f>#REF!</f>
        <v>#REF!</v>
      </c>
      <c r="AY175" s="202"/>
      <c r="AZ175" s="152" t="e">
        <f>#REF!</f>
        <v>#REF!</v>
      </c>
      <c r="BA175" s="202"/>
      <c r="BB175" s="154" t="e">
        <f>#REF!</f>
        <v>#REF!</v>
      </c>
      <c r="BC175" s="137"/>
    </row>
    <row r="176" spans="1:55" ht="30" customHeight="1">
      <c r="A176" s="203" t="e">
        <f>#REF!</f>
        <v>#REF!</v>
      </c>
      <c r="B176" s="204" t="e">
        <f xml:space="preserve"> IF(#REF!=0, "",#REF!)</f>
        <v>#REF!</v>
      </c>
      <c r="C176" s="369" t="e">
        <f>#REF!</f>
        <v>#REF!</v>
      </c>
      <c r="D176" s="369"/>
      <c r="E176" s="291" t="e">
        <f>#REF!</f>
        <v>#REF!</v>
      </c>
      <c r="F176" s="148" t="e">
        <f>#REF!</f>
        <v>#REF!</v>
      </c>
      <c r="G176" s="205" t="e">
        <f xml:space="preserve"> IF(#REF!="", "",#REF!)</f>
        <v>#REF!</v>
      </c>
      <c r="H176" s="205" t="e">
        <f xml:space="preserve"> IF(#REF!="", "",#REF!)</f>
        <v>#REF!</v>
      </c>
      <c r="I176" s="205" t="e">
        <f xml:space="preserve"> IF(#REF!="", "",#REF!)</f>
        <v>#REF!</v>
      </c>
      <c r="J176" s="298" t="e">
        <f>#REF!</f>
        <v>#REF!</v>
      </c>
      <c r="K176" s="149" t="e">
        <f>#REF!</f>
        <v>#REF!</v>
      </c>
      <c r="L176" s="149" t="e">
        <f>#REF!</f>
        <v>#REF!</v>
      </c>
      <c r="M176" s="150" t="e">
        <f>#REF!</f>
        <v>#REF!</v>
      </c>
      <c r="N176" s="364"/>
      <c r="O176" s="202"/>
      <c r="P176" s="151" t="e">
        <f>#REF!</f>
        <v>#REF!</v>
      </c>
      <c r="Q176" s="202"/>
      <c r="R176" s="152" t="e">
        <f>#REF!</f>
        <v>#REF!</v>
      </c>
      <c r="S176" s="202"/>
      <c r="T176" s="153" t="e">
        <f>#REF!</f>
        <v>#REF!</v>
      </c>
      <c r="U176" s="202"/>
      <c r="V176" s="153" t="e">
        <f>#REF!</f>
        <v>#REF!</v>
      </c>
      <c r="W176" s="202"/>
      <c r="X176" s="153" t="e">
        <f>#REF!</f>
        <v>#REF!</v>
      </c>
      <c r="Y176" s="202"/>
      <c r="Z176" s="152" t="e">
        <f>#REF!</f>
        <v>#REF!</v>
      </c>
      <c r="AA176" s="202"/>
      <c r="AB176" s="153" t="e">
        <f>#REF!</f>
        <v>#REF!</v>
      </c>
      <c r="AC176" s="202"/>
      <c r="AD176" s="152" t="e">
        <f>#REF!</f>
        <v>#REF!</v>
      </c>
      <c r="AE176" s="202"/>
      <c r="AF176" s="153" t="e">
        <f>#REF!</f>
        <v>#REF!</v>
      </c>
      <c r="AG176" s="202"/>
      <c r="AH176" s="152" t="e">
        <f>#REF!</f>
        <v>#REF!</v>
      </c>
      <c r="AI176" s="202"/>
      <c r="AJ176" s="153" t="e">
        <f>#REF!</f>
        <v>#REF!</v>
      </c>
      <c r="AK176" s="202"/>
      <c r="AL176" s="152" t="e">
        <f>#REF!</f>
        <v>#REF!</v>
      </c>
      <c r="AM176" s="202"/>
      <c r="AN176" s="153" t="e">
        <f>#REF!</f>
        <v>#REF!</v>
      </c>
      <c r="AO176" s="202"/>
      <c r="AP176" s="152" t="e">
        <f>#REF!</f>
        <v>#REF!</v>
      </c>
      <c r="AQ176" s="202"/>
      <c r="AR176" s="154" t="e">
        <f>#REF!</f>
        <v>#REF!</v>
      </c>
      <c r="AS176" s="202"/>
      <c r="AT176" s="153" t="e">
        <f>#REF!</f>
        <v>#REF!</v>
      </c>
      <c r="AU176" s="202"/>
      <c r="AV176" s="152" t="e">
        <f>#REF!</f>
        <v>#REF!</v>
      </c>
      <c r="AW176" s="202"/>
      <c r="AX176" s="153" t="e">
        <f>#REF!</f>
        <v>#REF!</v>
      </c>
      <c r="AY176" s="202"/>
      <c r="AZ176" s="152" t="e">
        <f>#REF!</f>
        <v>#REF!</v>
      </c>
      <c r="BA176" s="202"/>
      <c r="BB176" s="154" t="e">
        <f>#REF!</f>
        <v>#REF!</v>
      </c>
      <c r="BC176" s="137"/>
    </row>
    <row r="177" spans="1:55" ht="30" customHeight="1">
      <c r="A177" s="203" t="e">
        <f>#REF!</f>
        <v>#REF!</v>
      </c>
      <c r="B177" s="204" t="e">
        <f xml:space="preserve"> IF(#REF!=0, "",#REF!)</f>
        <v>#REF!</v>
      </c>
      <c r="C177" s="369" t="e">
        <f>#REF!</f>
        <v>#REF!</v>
      </c>
      <c r="D177" s="369"/>
      <c r="E177" s="291" t="e">
        <f>#REF!</f>
        <v>#REF!</v>
      </c>
      <c r="F177" s="148" t="e">
        <f>#REF!</f>
        <v>#REF!</v>
      </c>
      <c r="G177" s="205" t="e">
        <f xml:space="preserve"> IF(#REF!="", "",#REF!)</f>
        <v>#REF!</v>
      </c>
      <c r="H177" s="205" t="e">
        <f xml:space="preserve"> IF(#REF!="", "",#REF!)</f>
        <v>#REF!</v>
      </c>
      <c r="I177" s="205" t="e">
        <f xml:space="preserve"> IF(#REF!="", "",#REF!)</f>
        <v>#REF!</v>
      </c>
      <c r="J177" s="298" t="e">
        <f>#REF!</f>
        <v>#REF!</v>
      </c>
      <c r="K177" s="149" t="e">
        <f>#REF!</f>
        <v>#REF!</v>
      </c>
      <c r="L177" s="149" t="e">
        <f>#REF!</f>
        <v>#REF!</v>
      </c>
      <c r="M177" s="150" t="e">
        <f>#REF!</f>
        <v>#REF!</v>
      </c>
      <c r="N177" s="364"/>
      <c r="O177" s="202"/>
      <c r="P177" s="151" t="e">
        <f>#REF!</f>
        <v>#REF!</v>
      </c>
      <c r="Q177" s="202"/>
      <c r="R177" s="152" t="e">
        <f>#REF!</f>
        <v>#REF!</v>
      </c>
      <c r="S177" s="202"/>
      <c r="T177" s="153" t="e">
        <f>#REF!</f>
        <v>#REF!</v>
      </c>
      <c r="U177" s="202"/>
      <c r="V177" s="153" t="e">
        <f>#REF!</f>
        <v>#REF!</v>
      </c>
      <c r="W177" s="202"/>
      <c r="X177" s="153" t="e">
        <f>#REF!</f>
        <v>#REF!</v>
      </c>
      <c r="Y177" s="202"/>
      <c r="Z177" s="152" t="e">
        <f>#REF!</f>
        <v>#REF!</v>
      </c>
      <c r="AA177" s="202"/>
      <c r="AB177" s="153" t="e">
        <f>#REF!</f>
        <v>#REF!</v>
      </c>
      <c r="AC177" s="202"/>
      <c r="AD177" s="152" t="e">
        <f>#REF!</f>
        <v>#REF!</v>
      </c>
      <c r="AE177" s="202"/>
      <c r="AF177" s="153" t="e">
        <f>#REF!</f>
        <v>#REF!</v>
      </c>
      <c r="AG177" s="202"/>
      <c r="AH177" s="152" t="e">
        <f>#REF!</f>
        <v>#REF!</v>
      </c>
      <c r="AI177" s="202"/>
      <c r="AJ177" s="153" t="e">
        <f>#REF!</f>
        <v>#REF!</v>
      </c>
      <c r="AK177" s="202"/>
      <c r="AL177" s="152" t="e">
        <f>#REF!</f>
        <v>#REF!</v>
      </c>
      <c r="AM177" s="202"/>
      <c r="AN177" s="153" t="e">
        <f>#REF!</f>
        <v>#REF!</v>
      </c>
      <c r="AO177" s="202"/>
      <c r="AP177" s="152" t="e">
        <f>#REF!</f>
        <v>#REF!</v>
      </c>
      <c r="AQ177" s="202"/>
      <c r="AR177" s="154" t="e">
        <f>#REF!</f>
        <v>#REF!</v>
      </c>
      <c r="AS177" s="202"/>
      <c r="AT177" s="153" t="e">
        <f>#REF!</f>
        <v>#REF!</v>
      </c>
      <c r="AU177" s="202"/>
      <c r="AV177" s="152" t="e">
        <f>#REF!</f>
        <v>#REF!</v>
      </c>
      <c r="AW177" s="202"/>
      <c r="AX177" s="153" t="e">
        <f>#REF!</f>
        <v>#REF!</v>
      </c>
      <c r="AY177" s="202"/>
      <c r="AZ177" s="152" t="e">
        <f>#REF!</f>
        <v>#REF!</v>
      </c>
      <c r="BA177" s="202"/>
      <c r="BB177" s="154" t="e">
        <f>#REF!</f>
        <v>#REF!</v>
      </c>
      <c r="BC177" s="137"/>
    </row>
    <row r="178" spans="1:55" ht="30" customHeight="1">
      <c r="A178" s="203" t="e">
        <f>#REF!</f>
        <v>#REF!</v>
      </c>
      <c r="B178" s="204" t="e">
        <f xml:space="preserve"> IF(#REF!=0, "",#REF!)</f>
        <v>#REF!</v>
      </c>
      <c r="C178" s="369" t="e">
        <f>#REF!</f>
        <v>#REF!</v>
      </c>
      <c r="D178" s="369"/>
      <c r="E178" s="291" t="e">
        <f>#REF!</f>
        <v>#REF!</v>
      </c>
      <c r="F178" s="148" t="e">
        <f>#REF!</f>
        <v>#REF!</v>
      </c>
      <c r="G178" s="205" t="e">
        <f xml:space="preserve"> IF(#REF!="", "",#REF!)</f>
        <v>#REF!</v>
      </c>
      <c r="H178" s="205" t="e">
        <f xml:space="preserve"> IF(#REF!="", "",#REF!)</f>
        <v>#REF!</v>
      </c>
      <c r="I178" s="205" t="e">
        <f xml:space="preserve"> IF(#REF!="", "",#REF!)</f>
        <v>#REF!</v>
      </c>
      <c r="J178" s="298" t="e">
        <f>#REF!</f>
        <v>#REF!</v>
      </c>
      <c r="K178" s="149" t="e">
        <f>#REF!</f>
        <v>#REF!</v>
      </c>
      <c r="L178" s="149" t="e">
        <f>#REF!</f>
        <v>#REF!</v>
      </c>
      <c r="M178" s="150" t="e">
        <f>#REF!</f>
        <v>#REF!</v>
      </c>
      <c r="N178" s="364"/>
      <c r="O178" s="202"/>
      <c r="P178" s="151" t="e">
        <f>#REF!</f>
        <v>#REF!</v>
      </c>
      <c r="Q178" s="202"/>
      <c r="R178" s="152" t="e">
        <f>#REF!</f>
        <v>#REF!</v>
      </c>
      <c r="S178" s="202"/>
      <c r="T178" s="153" t="e">
        <f>#REF!</f>
        <v>#REF!</v>
      </c>
      <c r="U178" s="202"/>
      <c r="V178" s="153" t="e">
        <f>#REF!</f>
        <v>#REF!</v>
      </c>
      <c r="W178" s="202"/>
      <c r="X178" s="153" t="e">
        <f>#REF!</f>
        <v>#REF!</v>
      </c>
      <c r="Y178" s="202"/>
      <c r="Z178" s="152" t="e">
        <f>#REF!</f>
        <v>#REF!</v>
      </c>
      <c r="AA178" s="202"/>
      <c r="AB178" s="153" t="e">
        <f>#REF!</f>
        <v>#REF!</v>
      </c>
      <c r="AC178" s="202"/>
      <c r="AD178" s="152" t="e">
        <f>#REF!</f>
        <v>#REF!</v>
      </c>
      <c r="AE178" s="202"/>
      <c r="AF178" s="153" t="e">
        <f>#REF!</f>
        <v>#REF!</v>
      </c>
      <c r="AG178" s="202"/>
      <c r="AH178" s="152" t="e">
        <f>#REF!</f>
        <v>#REF!</v>
      </c>
      <c r="AI178" s="202"/>
      <c r="AJ178" s="153" t="e">
        <f>#REF!</f>
        <v>#REF!</v>
      </c>
      <c r="AK178" s="202"/>
      <c r="AL178" s="152" t="e">
        <f>#REF!</f>
        <v>#REF!</v>
      </c>
      <c r="AM178" s="202"/>
      <c r="AN178" s="153" t="e">
        <f>#REF!</f>
        <v>#REF!</v>
      </c>
      <c r="AO178" s="202"/>
      <c r="AP178" s="152" t="e">
        <f>#REF!</f>
        <v>#REF!</v>
      </c>
      <c r="AQ178" s="202"/>
      <c r="AR178" s="154" t="e">
        <f>#REF!</f>
        <v>#REF!</v>
      </c>
      <c r="AS178" s="202"/>
      <c r="AT178" s="153" t="e">
        <f>#REF!</f>
        <v>#REF!</v>
      </c>
      <c r="AU178" s="202"/>
      <c r="AV178" s="152" t="e">
        <f>#REF!</f>
        <v>#REF!</v>
      </c>
      <c r="AW178" s="202"/>
      <c r="AX178" s="153" t="e">
        <f>#REF!</f>
        <v>#REF!</v>
      </c>
      <c r="AY178" s="202"/>
      <c r="AZ178" s="152" t="e">
        <f>#REF!</f>
        <v>#REF!</v>
      </c>
      <c r="BA178" s="202"/>
      <c r="BB178" s="154" t="e">
        <f>#REF!</f>
        <v>#REF!</v>
      </c>
      <c r="BC178" s="137"/>
    </row>
    <row r="179" spans="1:55" ht="30" customHeight="1">
      <c r="A179" s="203" t="e">
        <f>#REF!</f>
        <v>#REF!</v>
      </c>
      <c r="B179" s="204" t="e">
        <f xml:space="preserve"> IF(#REF!=0, "",#REF!)</f>
        <v>#REF!</v>
      </c>
      <c r="C179" s="369" t="e">
        <f>#REF!</f>
        <v>#REF!</v>
      </c>
      <c r="D179" s="369"/>
      <c r="E179" s="291" t="e">
        <f>#REF!</f>
        <v>#REF!</v>
      </c>
      <c r="F179" s="148" t="e">
        <f>#REF!</f>
        <v>#REF!</v>
      </c>
      <c r="G179" s="205" t="e">
        <f xml:space="preserve"> IF(#REF!="", "",#REF!)</f>
        <v>#REF!</v>
      </c>
      <c r="H179" s="205" t="e">
        <f xml:space="preserve"> IF(#REF!="", "",#REF!)</f>
        <v>#REF!</v>
      </c>
      <c r="I179" s="205" t="e">
        <f xml:space="preserve"> IF(#REF!="", "",#REF!)</f>
        <v>#REF!</v>
      </c>
      <c r="J179" s="298" t="e">
        <f>#REF!</f>
        <v>#REF!</v>
      </c>
      <c r="K179" s="149" t="e">
        <f>#REF!</f>
        <v>#REF!</v>
      </c>
      <c r="L179" s="149" t="e">
        <f>#REF!</f>
        <v>#REF!</v>
      </c>
      <c r="M179" s="150" t="e">
        <f>#REF!</f>
        <v>#REF!</v>
      </c>
      <c r="N179" s="364"/>
      <c r="O179" s="202"/>
      <c r="P179" s="151" t="e">
        <f>#REF!</f>
        <v>#REF!</v>
      </c>
      <c r="Q179" s="202"/>
      <c r="R179" s="152" t="e">
        <f>#REF!</f>
        <v>#REF!</v>
      </c>
      <c r="S179" s="202"/>
      <c r="T179" s="153" t="e">
        <f>#REF!</f>
        <v>#REF!</v>
      </c>
      <c r="U179" s="202"/>
      <c r="V179" s="153" t="e">
        <f>#REF!</f>
        <v>#REF!</v>
      </c>
      <c r="W179" s="202"/>
      <c r="X179" s="153" t="e">
        <f>#REF!</f>
        <v>#REF!</v>
      </c>
      <c r="Y179" s="202"/>
      <c r="Z179" s="152" t="e">
        <f>#REF!</f>
        <v>#REF!</v>
      </c>
      <c r="AA179" s="202"/>
      <c r="AB179" s="153" t="e">
        <f>#REF!</f>
        <v>#REF!</v>
      </c>
      <c r="AC179" s="202"/>
      <c r="AD179" s="152" t="e">
        <f>#REF!</f>
        <v>#REF!</v>
      </c>
      <c r="AE179" s="202"/>
      <c r="AF179" s="153" t="e">
        <f>#REF!</f>
        <v>#REF!</v>
      </c>
      <c r="AG179" s="202"/>
      <c r="AH179" s="152" t="e">
        <f>#REF!</f>
        <v>#REF!</v>
      </c>
      <c r="AI179" s="202"/>
      <c r="AJ179" s="153" t="e">
        <f>#REF!</f>
        <v>#REF!</v>
      </c>
      <c r="AK179" s="202"/>
      <c r="AL179" s="152" t="e">
        <f>#REF!</f>
        <v>#REF!</v>
      </c>
      <c r="AM179" s="202"/>
      <c r="AN179" s="153" t="e">
        <f>#REF!</f>
        <v>#REF!</v>
      </c>
      <c r="AO179" s="202"/>
      <c r="AP179" s="152" t="e">
        <f>#REF!</f>
        <v>#REF!</v>
      </c>
      <c r="AQ179" s="202"/>
      <c r="AR179" s="154" t="e">
        <f>#REF!</f>
        <v>#REF!</v>
      </c>
      <c r="AS179" s="202"/>
      <c r="AT179" s="153" t="e">
        <f>#REF!</f>
        <v>#REF!</v>
      </c>
      <c r="AU179" s="202"/>
      <c r="AV179" s="152" t="e">
        <f>#REF!</f>
        <v>#REF!</v>
      </c>
      <c r="AW179" s="202"/>
      <c r="AX179" s="153" t="e">
        <f>#REF!</f>
        <v>#REF!</v>
      </c>
      <c r="AY179" s="202"/>
      <c r="AZ179" s="152" t="e">
        <f>#REF!</f>
        <v>#REF!</v>
      </c>
      <c r="BA179" s="202"/>
      <c r="BB179" s="154" t="e">
        <f>#REF!</f>
        <v>#REF!</v>
      </c>
      <c r="BC179" s="137"/>
    </row>
    <row r="180" spans="1:55" ht="30" customHeight="1">
      <c r="A180" s="203" t="e">
        <f>#REF!</f>
        <v>#REF!</v>
      </c>
      <c r="B180" s="204" t="e">
        <f xml:space="preserve"> IF(#REF!=0, "",#REF!)</f>
        <v>#REF!</v>
      </c>
      <c r="C180" s="369" t="e">
        <f>#REF!</f>
        <v>#REF!</v>
      </c>
      <c r="D180" s="369"/>
      <c r="E180" s="291" t="e">
        <f>#REF!</f>
        <v>#REF!</v>
      </c>
      <c r="F180" s="148" t="e">
        <f>#REF!</f>
        <v>#REF!</v>
      </c>
      <c r="G180" s="205" t="e">
        <f xml:space="preserve"> IF(#REF!="", "",#REF!)</f>
        <v>#REF!</v>
      </c>
      <c r="H180" s="205" t="e">
        <f xml:space="preserve"> IF(#REF!="", "",#REF!)</f>
        <v>#REF!</v>
      </c>
      <c r="I180" s="205" t="e">
        <f xml:space="preserve"> IF(#REF!="", "",#REF!)</f>
        <v>#REF!</v>
      </c>
      <c r="J180" s="298" t="e">
        <f>#REF!</f>
        <v>#REF!</v>
      </c>
      <c r="K180" s="149" t="e">
        <f>#REF!</f>
        <v>#REF!</v>
      </c>
      <c r="L180" s="149" t="e">
        <f>#REF!</f>
        <v>#REF!</v>
      </c>
      <c r="M180" s="150" t="e">
        <f>#REF!</f>
        <v>#REF!</v>
      </c>
      <c r="N180" s="364"/>
      <c r="O180" s="202"/>
      <c r="P180" s="151" t="e">
        <f>#REF!</f>
        <v>#REF!</v>
      </c>
      <c r="Q180" s="202"/>
      <c r="R180" s="152" t="e">
        <f>#REF!</f>
        <v>#REF!</v>
      </c>
      <c r="S180" s="202"/>
      <c r="T180" s="153" t="e">
        <f>#REF!</f>
        <v>#REF!</v>
      </c>
      <c r="U180" s="202"/>
      <c r="V180" s="153" t="e">
        <f>#REF!</f>
        <v>#REF!</v>
      </c>
      <c r="W180" s="202"/>
      <c r="X180" s="153" t="e">
        <f>#REF!</f>
        <v>#REF!</v>
      </c>
      <c r="Y180" s="202"/>
      <c r="Z180" s="152" t="e">
        <f>#REF!</f>
        <v>#REF!</v>
      </c>
      <c r="AA180" s="202"/>
      <c r="AB180" s="153" t="e">
        <f>#REF!</f>
        <v>#REF!</v>
      </c>
      <c r="AC180" s="202"/>
      <c r="AD180" s="152" t="e">
        <f>#REF!</f>
        <v>#REF!</v>
      </c>
      <c r="AE180" s="202"/>
      <c r="AF180" s="153" t="e">
        <f>#REF!</f>
        <v>#REF!</v>
      </c>
      <c r="AG180" s="202"/>
      <c r="AH180" s="152" t="e">
        <f>#REF!</f>
        <v>#REF!</v>
      </c>
      <c r="AI180" s="202"/>
      <c r="AJ180" s="153" t="e">
        <f>#REF!</f>
        <v>#REF!</v>
      </c>
      <c r="AK180" s="202"/>
      <c r="AL180" s="152" t="e">
        <f>#REF!</f>
        <v>#REF!</v>
      </c>
      <c r="AM180" s="202"/>
      <c r="AN180" s="153" t="e">
        <f>#REF!</f>
        <v>#REF!</v>
      </c>
      <c r="AO180" s="202"/>
      <c r="AP180" s="152" t="e">
        <f>#REF!</f>
        <v>#REF!</v>
      </c>
      <c r="AQ180" s="202"/>
      <c r="AR180" s="154" t="e">
        <f>#REF!</f>
        <v>#REF!</v>
      </c>
      <c r="AS180" s="202"/>
      <c r="AT180" s="153" t="e">
        <f>#REF!</f>
        <v>#REF!</v>
      </c>
      <c r="AU180" s="202"/>
      <c r="AV180" s="152" t="e">
        <f>#REF!</f>
        <v>#REF!</v>
      </c>
      <c r="AW180" s="202"/>
      <c r="AX180" s="153" t="e">
        <f>#REF!</f>
        <v>#REF!</v>
      </c>
      <c r="AY180" s="202"/>
      <c r="AZ180" s="152" t="e">
        <f>#REF!</f>
        <v>#REF!</v>
      </c>
      <c r="BA180" s="202"/>
      <c r="BB180" s="154" t="e">
        <f>#REF!</f>
        <v>#REF!</v>
      </c>
      <c r="BC180" s="137"/>
    </row>
    <row r="181" spans="1:55" ht="30" customHeight="1">
      <c r="A181" s="203" t="e">
        <f>#REF!</f>
        <v>#REF!</v>
      </c>
      <c r="B181" s="204" t="e">
        <f xml:space="preserve"> IF(#REF!=0, "",#REF!)</f>
        <v>#REF!</v>
      </c>
      <c r="C181" s="369" t="e">
        <f>#REF!</f>
        <v>#REF!</v>
      </c>
      <c r="D181" s="369"/>
      <c r="E181" s="291" t="e">
        <f>#REF!</f>
        <v>#REF!</v>
      </c>
      <c r="F181" s="148" t="e">
        <f>#REF!</f>
        <v>#REF!</v>
      </c>
      <c r="G181" s="205" t="e">
        <f xml:space="preserve"> IF(#REF!="", "",#REF!)</f>
        <v>#REF!</v>
      </c>
      <c r="H181" s="205" t="e">
        <f xml:space="preserve"> IF(#REF!="", "",#REF!)</f>
        <v>#REF!</v>
      </c>
      <c r="I181" s="205" t="e">
        <f xml:space="preserve"> IF(#REF!="", "",#REF!)</f>
        <v>#REF!</v>
      </c>
      <c r="J181" s="298" t="e">
        <f>#REF!</f>
        <v>#REF!</v>
      </c>
      <c r="K181" s="149" t="e">
        <f>#REF!</f>
        <v>#REF!</v>
      </c>
      <c r="L181" s="149" t="e">
        <f>#REF!</f>
        <v>#REF!</v>
      </c>
      <c r="M181" s="150" t="e">
        <f>#REF!</f>
        <v>#REF!</v>
      </c>
      <c r="N181" s="364"/>
      <c r="O181" s="202"/>
      <c r="P181" s="151" t="e">
        <f>#REF!</f>
        <v>#REF!</v>
      </c>
      <c r="Q181" s="202"/>
      <c r="R181" s="152" t="e">
        <f>#REF!</f>
        <v>#REF!</v>
      </c>
      <c r="S181" s="202"/>
      <c r="T181" s="153" t="e">
        <f>#REF!</f>
        <v>#REF!</v>
      </c>
      <c r="U181" s="202"/>
      <c r="V181" s="153" t="e">
        <f>#REF!</f>
        <v>#REF!</v>
      </c>
      <c r="W181" s="202"/>
      <c r="X181" s="153" t="e">
        <f>#REF!</f>
        <v>#REF!</v>
      </c>
      <c r="Y181" s="202"/>
      <c r="Z181" s="152" t="e">
        <f>#REF!</f>
        <v>#REF!</v>
      </c>
      <c r="AA181" s="202"/>
      <c r="AB181" s="153" t="e">
        <f>#REF!</f>
        <v>#REF!</v>
      </c>
      <c r="AC181" s="202"/>
      <c r="AD181" s="152" t="e">
        <f>#REF!</f>
        <v>#REF!</v>
      </c>
      <c r="AE181" s="202"/>
      <c r="AF181" s="153" t="e">
        <f>#REF!</f>
        <v>#REF!</v>
      </c>
      <c r="AG181" s="202"/>
      <c r="AH181" s="152" t="e">
        <f>#REF!</f>
        <v>#REF!</v>
      </c>
      <c r="AI181" s="202"/>
      <c r="AJ181" s="153" t="e">
        <f>#REF!</f>
        <v>#REF!</v>
      </c>
      <c r="AK181" s="202"/>
      <c r="AL181" s="152" t="e">
        <f>#REF!</f>
        <v>#REF!</v>
      </c>
      <c r="AM181" s="202"/>
      <c r="AN181" s="153" t="e">
        <f>#REF!</f>
        <v>#REF!</v>
      </c>
      <c r="AO181" s="202"/>
      <c r="AP181" s="152" t="e">
        <f>#REF!</f>
        <v>#REF!</v>
      </c>
      <c r="AQ181" s="202"/>
      <c r="AR181" s="154" t="e">
        <f>#REF!</f>
        <v>#REF!</v>
      </c>
      <c r="AS181" s="202"/>
      <c r="AT181" s="153" t="e">
        <f>#REF!</f>
        <v>#REF!</v>
      </c>
      <c r="AU181" s="202"/>
      <c r="AV181" s="152" t="e">
        <f>#REF!</f>
        <v>#REF!</v>
      </c>
      <c r="AW181" s="202"/>
      <c r="AX181" s="153" t="e">
        <f>#REF!</f>
        <v>#REF!</v>
      </c>
      <c r="AY181" s="202"/>
      <c r="AZ181" s="152" t="e">
        <f>#REF!</f>
        <v>#REF!</v>
      </c>
      <c r="BA181" s="202"/>
      <c r="BB181" s="154" t="e">
        <f>#REF!</f>
        <v>#REF!</v>
      </c>
      <c r="BC181" s="137"/>
    </row>
    <row r="182" spans="1:55" ht="30" customHeight="1">
      <c r="A182" s="203" t="e">
        <f>#REF!</f>
        <v>#REF!</v>
      </c>
      <c r="B182" s="204" t="e">
        <f xml:space="preserve"> IF(#REF!=0, "",#REF!)</f>
        <v>#REF!</v>
      </c>
      <c r="C182" s="369" t="e">
        <f>#REF!</f>
        <v>#REF!</v>
      </c>
      <c r="D182" s="369"/>
      <c r="E182" s="291" t="e">
        <f>#REF!</f>
        <v>#REF!</v>
      </c>
      <c r="F182" s="148" t="e">
        <f>#REF!</f>
        <v>#REF!</v>
      </c>
      <c r="G182" s="205" t="e">
        <f xml:space="preserve"> IF(#REF!="", "",#REF!)</f>
        <v>#REF!</v>
      </c>
      <c r="H182" s="205" t="e">
        <f xml:space="preserve"> IF(#REF!="", "",#REF!)</f>
        <v>#REF!</v>
      </c>
      <c r="I182" s="205" t="e">
        <f xml:space="preserve"> IF(#REF!="", "",#REF!)</f>
        <v>#REF!</v>
      </c>
      <c r="J182" s="298" t="e">
        <f>#REF!</f>
        <v>#REF!</v>
      </c>
      <c r="K182" s="149" t="e">
        <f>#REF!</f>
        <v>#REF!</v>
      </c>
      <c r="L182" s="149" t="e">
        <f>#REF!</f>
        <v>#REF!</v>
      </c>
      <c r="M182" s="150" t="e">
        <f>#REF!</f>
        <v>#REF!</v>
      </c>
      <c r="N182" s="364"/>
      <c r="O182" s="202"/>
      <c r="P182" s="151" t="e">
        <f>#REF!</f>
        <v>#REF!</v>
      </c>
      <c r="Q182" s="202"/>
      <c r="R182" s="152" t="e">
        <f>#REF!</f>
        <v>#REF!</v>
      </c>
      <c r="S182" s="202"/>
      <c r="T182" s="153" t="e">
        <f>#REF!</f>
        <v>#REF!</v>
      </c>
      <c r="U182" s="202"/>
      <c r="V182" s="153" t="e">
        <f>#REF!</f>
        <v>#REF!</v>
      </c>
      <c r="W182" s="202"/>
      <c r="X182" s="153" t="e">
        <f>#REF!</f>
        <v>#REF!</v>
      </c>
      <c r="Y182" s="202"/>
      <c r="Z182" s="152" t="e">
        <f>#REF!</f>
        <v>#REF!</v>
      </c>
      <c r="AA182" s="202"/>
      <c r="AB182" s="153" t="e">
        <f>#REF!</f>
        <v>#REF!</v>
      </c>
      <c r="AC182" s="202"/>
      <c r="AD182" s="152" t="e">
        <f>#REF!</f>
        <v>#REF!</v>
      </c>
      <c r="AE182" s="202"/>
      <c r="AF182" s="153" t="e">
        <f>#REF!</f>
        <v>#REF!</v>
      </c>
      <c r="AG182" s="202"/>
      <c r="AH182" s="152" t="e">
        <f>#REF!</f>
        <v>#REF!</v>
      </c>
      <c r="AI182" s="202"/>
      <c r="AJ182" s="153" t="e">
        <f>#REF!</f>
        <v>#REF!</v>
      </c>
      <c r="AK182" s="202"/>
      <c r="AL182" s="152" t="e">
        <f>#REF!</f>
        <v>#REF!</v>
      </c>
      <c r="AM182" s="202"/>
      <c r="AN182" s="153" t="e">
        <f>#REF!</f>
        <v>#REF!</v>
      </c>
      <c r="AO182" s="202"/>
      <c r="AP182" s="152" t="e">
        <f>#REF!</f>
        <v>#REF!</v>
      </c>
      <c r="AQ182" s="202"/>
      <c r="AR182" s="154" t="e">
        <f>#REF!</f>
        <v>#REF!</v>
      </c>
      <c r="AS182" s="202"/>
      <c r="AT182" s="153" t="e">
        <f>#REF!</f>
        <v>#REF!</v>
      </c>
      <c r="AU182" s="202"/>
      <c r="AV182" s="152" t="e">
        <f>#REF!</f>
        <v>#REF!</v>
      </c>
      <c r="AW182" s="202"/>
      <c r="AX182" s="153" t="e">
        <f>#REF!</f>
        <v>#REF!</v>
      </c>
      <c r="AY182" s="202"/>
      <c r="AZ182" s="152" t="e">
        <f>#REF!</f>
        <v>#REF!</v>
      </c>
      <c r="BA182" s="202"/>
      <c r="BB182" s="154" t="e">
        <f>#REF!</f>
        <v>#REF!</v>
      </c>
      <c r="BC182" s="137"/>
    </row>
    <row r="183" spans="1:55" ht="30" customHeight="1">
      <c r="A183" s="203" t="e">
        <f>#REF!</f>
        <v>#REF!</v>
      </c>
      <c r="B183" s="204" t="e">
        <f xml:space="preserve"> IF(#REF!=0, "",#REF!)</f>
        <v>#REF!</v>
      </c>
      <c r="C183" s="369" t="e">
        <f>#REF!</f>
        <v>#REF!</v>
      </c>
      <c r="D183" s="369"/>
      <c r="E183" s="291" t="e">
        <f>#REF!</f>
        <v>#REF!</v>
      </c>
      <c r="F183" s="148" t="e">
        <f>#REF!</f>
        <v>#REF!</v>
      </c>
      <c r="G183" s="205" t="e">
        <f xml:space="preserve"> IF(#REF!="", "",#REF!)</f>
        <v>#REF!</v>
      </c>
      <c r="H183" s="205" t="e">
        <f xml:space="preserve"> IF(#REF!="", "",#REF!)</f>
        <v>#REF!</v>
      </c>
      <c r="I183" s="205" t="e">
        <f xml:space="preserve"> IF(#REF!="", "",#REF!)</f>
        <v>#REF!</v>
      </c>
      <c r="J183" s="298" t="e">
        <f>#REF!</f>
        <v>#REF!</v>
      </c>
      <c r="K183" s="149" t="e">
        <f>#REF!</f>
        <v>#REF!</v>
      </c>
      <c r="L183" s="149" t="e">
        <f>#REF!</f>
        <v>#REF!</v>
      </c>
      <c r="M183" s="150" t="e">
        <f>#REF!</f>
        <v>#REF!</v>
      </c>
      <c r="N183" s="364"/>
      <c r="O183" s="202"/>
      <c r="P183" s="151" t="e">
        <f>#REF!</f>
        <v>#REF!</v>
      </c>
      <c r="Q183" s="202"/>
      <c r="R183" s="152" t="e">
        <f>#REF!</f>
        <v>#REF!</v>
      </c>
      <c r="S183" s="202"/>
      <c r="T183" s="153" t="e">
        <f>#REF!</f>
        <v>#REF!</v>
      </c>
      <c r="U183" s="202"/>
      <c r="V183" s="153" t="e">
        <f>#REF!</f>
        <v>#REF!</v>
      </c>
      <c r="W183" s="202"/>
      <c r="X183" s="153" t="e">
        <f>#REF!</f>
        <v>#REF!</v>
      </c>
      <c r="Y183" s="202"/>
      <c r="Z183" s="152" t="e">
        <f>#REF!</f>
        <v>#REF!</v>
      </c>
      <c r="AA183" s="202"/>
      <c r="AB183" s="153" t="e">
        <f>#REF!</f>
        <v>#REF!</v>
      </c>
      <c r="AC183" s="202"/>
      <c r="AD183" s="152" t="e">
        <f>#REF!</f>
        <v>#REF!</v>
      </c>
      <c r="AE183" s="202"/>
      <c r="AF183" s="153" t="e">
        <f>#REF!</f>
        <v>#REF!</v>
      </c>
      <c r="AG183" s="202"/>
      <c r="AH183" s="152" t="e">
        <f>#REF!</f>
        <v>#REF!</v>
      </c>
      <c r="AI183" s="202"/>
      <c r="AJ183" s="153" t="e">
        <f>#REF!</f>
        <v>#REF!</v>
      </c>
      <c r="AK183" s="202"/>
      <c r="AL183" s="152" t="e">
        <f>#REF!</f>
        <v>#REF!</v>
      </c>
      <c r="AM183" s="202"/>
      <c r="AN183" s="153" t="e">
        <f>#REF!</f>
        <v>#REF!</v>
      </c>
      <c r="AO183" s="202"/>
      <c r="AP183" s="152" t="e">
        <f>#REF!</f>
        <v>#REF!</v>
      </c>
      <c r="AQ183" s="202"/>
      <c r="AR183" s="154" t="e">
        <f>#REF!</f>
        <v>#REF!</v>
      </c>
      <c r="AS183" s="202"/>
      <c r="AT183" s="153" t="e">
        <f>#REF!</f>
        <v>#REF!</v>
      </c>
      <c r="AU183" s="202"/>
      <c r="AV183" s="152" t="e">
        <f>#REF!</f>
        <v>#REF!</v>
      </c>
      <c r="AW183" s="202"/>
      <c r="AX183" s="153" t="e">
        <f>#REF!</f>
        <v>#REF!</v>
      </c>
      <c r="AY183" s="202"/>
      <c r="AZ183" s="152" t="e">
        <f>#REF!</f>
        <v>#REF!</v>
      </c>
      <c r="BA183" s="202"/>
      <c r="BB183" s="154" t="e">
        <f>#REF!</f>
        <v>#REF!</v>
      </c>
      <c r="BC183" s="137"/>
    </row>
    <row r="184" spans="1:55" ht="30" customHeight="1">
      <c r="A184" s="203" t="e">
        <f>#REF!</f>
        <v>#REF!</v>
      </c>
      <c r="B184" s="204" t="e">
        <f xml:space="preserve"> IF(#REF!=0, "",#REF!)</f>
        <v>#REF!</v>
      </c>
      <c r="C184" s="369" t="e">
        <f>#REF!</f>
        <v>#REF!</v>
      </c>
      <c r="D184" s="369"/>
      <c r="E184" s="291" t="e">
        <f>#REF!</f>
        <v>#REF!</v>
      </c>
      <c r="F184" s="148" t="e">
        <f>#REF!</f>
        <v>#REF!</v>
      </c>
      <c r="G184" s="205" t="e">
        <f xml:space="preserve"> IF(#REF!="", "",#REF!)</f>
        <v>#REF!</v>
      </c>
      <c r="H184" s="205" t="e">
        <f xml:space="preserve"> IF(#REF!="", "",#REF!)</f>
        <v>#REF!</v>
      </c>
      <c r="I184" s="205" t="e">
        <f xml:space="preserve"> IF(#REF!="", "",#REF!)</f>
        <v>#REF!</v>
      </c>
      <c r="J184" s="298" t="e">
        <f>#REF!</f>
        <v>#REF!</v>
      </c>
      <c r="K184" s="149" t="e">
        <f>#REF!</f>
        <v>#REF!</v>
      </c>
      <c r="L184" s="149" t="e">
        <f>#REF!</f>
        <v>#REF!</v>
      </c>
      <c r="M184" s="150" t="e">
        <f>#REF!</f>
        <v>#REF!</v>
      </c>
      <c r="N184" s="364"/>
      <c r="O184" s="202"/>
      <c r="P184" s="151" t="e">
        <f>#REF!</f>
        <v>#REF!</v>
      </c>
      <c r="Q184" s="202"/>
      <c r="R184" s="152" t="e">
        <f>#REF!</f>
        <v>#REF!</v>
      </c>
      <c r="S184" s="202"/>
      <c r="T184" s="153" t="e">
        <f>#REF!</f>
        <v>#REF!</v>
      </c>
      <c r="U184" s="202"/>
      <c r="V184" s="153" t="e">
        <f>#REF!</f>
        <v>#REF!</v>
      </c>
      <c r="W184" s="202"/>
      <c r="X184" s="153" t="e">
        <f>#REF!</f>
        <v>#REF!</v>
      </c>
      <c r="Y184" s="202"/>
      <c r="Z184" s="152" t="e">
        <f>#REF!</f>
        <v>#REF!</v>
      </c>
      <c r="AA184" s="202"/>
      <c r="AB184" s="153" t="e">
        <f>#REF!</f>
        <v>#REF!</v>
      </c>
      <c r="AC184" s="202"/>
      <c r="AD184" s="152" t="e">
        <f>#REF!</f>
        <v>#REF!</v>
      </c>
      <c r="AE184" s="202"/>
      <c r="AF184" s="153" t="e">
        <f>#REF!</f>
        <v>#REF!</v>
      </c>
      <c r="AG184" s="202"/>
      <c r="AH184" s="152" t="e">
        <f>#REF!</f>
        <v>#REF!</v>
      </c>
      <c r="AI184" s="202"/>
      <c r="AJ184" s="153" t="e">
        <f>#REF!</f>
        <v>#REF!</v>
      </c>
      <c r="AK184" s="202"/>
      <c r="AL184" s="152" t="e">
        <f>#REF!</f>
        <v>#REF!</v>
      </c>
      <c r="AM184" s="202"/>
      <c r="AN184" s="153" t="e">
        <f>#REF!</f>
        <v>#REF!</v>
      </c>
      <c r="AO184" s="202"/>
      <c r="AP184" s="152" t="e">
        <f>#REF!</f>
        <v>#REF!</v>
      </c>
      <c r="AQ184" s="202"/>
      <c r="AR184" s="154" t="e">
        <f>#REF!</f>
        <v>#REF!</v>
      </c>
      <c r="AS184" s="202"/>
      <c r="AT184" s="153" t="e">
        <f>#REF!</f>
        <v>#REF!</v>
      </c>
      <c r="AU184" s="202"/>
      <c r="AV184" s="152" t="e">
        <f>#REF!</f>
        <v>#REF!</v>
      </c>
      <c r="AW184" s="202"/>
      <c r="AX184" s="153" t="e">
        <f>#REF!</f>
        <v>#REF!</v>
      </c>
      <c r="AY184" s="202"/>
      <c r="AZ184" s="152" t="e">
        <f>#REF!</f>
        <v>#REF!</v>
      </c>
      <c r="BA184" s="202"/>
      <c r="BB184" s="154" t="e">
        <f>#REF!</f>
        <v>#REF!</v>
      </c>
      <c r="BC184" s="137"/>
    </row>
    <row r="185" spans="1:55" ht="30" customHeight="1">
      <c r="A185" s="203" t="e">
        <f>#REF!</f>
        <v>#REF!</v>
      </c>
      <c r="B185" s="204" t="e">
        <f xml:space="preserve"> IF(#REF!=0, "",#REF!)</f>
        <v>#REF!</v>
      </c>
      <c r="C185" s="369" t="e">
        <f>#REF!</f>
        <v>#REF!</v>
      </c>
      <c r="D185" s="369"/>
      <c r="E185" s="291" t="e">
        <f>#REF!</f>
        <v>#REF!</v>
      </c>
      <c r="F185" s="148" t="e">
        <f>#REF!</f>
        <v>#REF!</v>
      </c>
      <c r="G185" s="205" t="e">
        <f xml:space="preserve"> IF(#REF!="", "",#REF!)</f>
        <v>#REF!</v>
      </c>
      <c r="H185" s="205" t="e">
        <f xml:space="preserve"> IF(#REF!="", "",#REF!)</f>
        <v>#REF!</v>
      </c>
      <c r="I185" s="205" t="e">
        <f xml:space="preserve"> IF(#REF!="", "",#REF!)</f>
        <v>#REF!</v>
      </c>
      <c r="J185" s="298" t="e">
        <f>#REF!</f>
        <v>#REF!</v>
      </c>
      <c r="K185" s="149" t="e">
        <f>#REF!</f>
        <v>#REF!</v>
      </c>
      <c r="L185" s="149" t="e">
        <f>#REF!</f>
        <v>#REF!</v>
      </c>
      <c r="M185" s="150" t="e">
        <f>#REF!</f>
        <v>#REF!</v>
      </c>
      <c r="N185" s="364"/>
      <c r="O185" s="202"/>
      <c r="P185" s="151" t="e">
        <f>#REF!</f>
        <v>#REF!</v>
      </c>
      <c r="Q185" s="202"/>
      <c r="R185" s="152" t="e">
        <f>#REF!</f>
        <v>#REF!</v>
      </c>
      <c r="S185" s="202"/>
      <c r="T185" s="153" t="e">
        <f>#REF!</f>
        <v>#REF!</v>
      </c>
      <c r="U185" s="202"/>
      <c r="V185" s="153" t="e">
        <f>#REF!</f>
        <v>#REF!</v>
      </c>
      <c r="W185" s="202"/>
      <c r="X185" s="153" t="e">
        <f>#REF!</f>
        <v>#REF!</v>
      </c>
      <c r="Y185" s="202"/>
      <c r="Z185" s="152" t="e">
        <f>#REF!</f>
        <v>#REF!</v>
      </c>
      <c r="AA185" s="202"/>
      <c r="AB185" s="153" t="e">
        <f>#REF!</f>
        <v>#REF!</v>
      </c>
      <c r="AC185" s="202"/>
      <c r="AD185" s="152" t="e">
        <f>#REF!</f>
        <v>#REF!</v>
      </c>
      <c r="AE185" s="202"/>
      <c r="AF185" s="153" t="e">
        <f>#REF!</f>
        <v>#REF!</v>
      </c>
      <c r="AG185" s="202"/>
      <c r="AH185" s="152" t="e">
        <f>#REF!</f>
        <v>#REF!</v>
      </c>
      <c r="AI185" s="202"/>
      <c r="AJ185" s="153" t="e">
        <f>#REF!</f>
        <v>#REF!</v>
      </c>
      <c r="AK185" s="202"/>
      <c r="AL185" s="152" t="e">
        <f>#REF!</f>
        <v>#REF!</v>
      </c>
      <c r="AM185" s="202"/>
      <c r="AN185" s="153" t="e">
        <f>#REF!</f>
        <v>#REF!</v>
      </c>
      <c r="AO185" s="202"/>
      <c r="AP185" s="152" t="e">
        <f>#REF!</f>
        <v>#REF!</v>
      </c>
      <c r="AQ185" s="202"/>
      <c r="AR185" s="154" t="e">
        <f>#REF!</f>
        <v>#REF!</v>
      </c>
      <c r="AS185" s="202"/>
      <c r="AT185" s="153" t="e">
        <f>#REF!</f>
        <v>#REF!</v>
      </c>
      <c r="AU185" s="202"/>
      <c r="AV185" s="152" t="e">
        <f>#REF!</f>
        <v>#REF!</v>
      </c>
      <c r="AW185" s="202"/>
      <c r="AX185" s="153" t="e">
        <f>#REF!</f>
        <v>#REF!</v>
      </c>
      <c r="AY185" s="202"/>
      <c r="AZ185" s="152" t="e">
        <f>#REF!</f>
        <v>#REF!</v>
      </c>
      <c r="BA185" s="202"/>
      <c r="BB185" s="154" t="e">
        <f>#REF!</f>
        <v>#REF!</v>
      </c>
      <c r="BC185" s="137"/>
    </row>
    <row r="186" spans="1:55" ht="30" customHeight="1">
      <c r="A186" s="203" t="e">
        <f>#REF!</f>
        <v>#REF!</v>
      </c>
      <c r="B186" s="204" t="e">
        <f xml:space="preserve"> IF(#REF!=0, "",#REF!)</f>
        <v>#REF!</v>
      </c>
      <c r="C186" s="369" t="e">
        <f>#REF!</f>
        <v>#REF!</v>
      </c>
      <c r="D186" s="369"/>
      <c r="E186" s="291" t="e">
        <f>#REF!</f>
        <v>#REF!</v>
      </c>
      <c r="F186" s="148" t="e">
        <f>#REF!</f>
        <v>#REF!</v>
      </c>
      <c r="G186" s="205" t="e">
        <f xml:space="preserve"> IF(#REF!="", "",#REF!)</f>
        <v>#REF!</v>
      </c>
      <c r="H186" s="205" t="e">
        <f xml:space="preserve"> IF(#REF!="", "",#REF!)</f>
        <v>#REF!</v>
      </c>
      <c r="I186" s="205" t="e">
        <f xml:space="preserve"> IF(#REF!="", "",#REF!)</f>
        <v>#REF!</v>
      </c>
      <c r="J186" s="298" t="e">
        <f>#REF!</f>
        <v>#REF!</v>
      </c>
      <c r="K186" s="149" t="e">
        <f>#REF!</f>
        <v>#REF!</v>
      </c>
      <c r="L186" s="149" t="e">
        <f>#REF!</f>
        <v>#REF!</v>
      </c>
      <c r="M186" s="150" t="e">
        <f>#REF!</f>
        <v>#REF!</v>
      </c>
      <c r="N186" s="364"/>
      <c r="O186" s="202"/>
      <c r="P186" s="151" t="e">
        <f>#REF!</f>
        <v>#REF!</v>
      </c>
      <c r="Q186" s="202"/>
      <c r="R186" s="152" t="e">
        <f>#REF!</f>
        <v>#REF!</v>
      </c>
      <c r="S186" s="202"/>
      <c r="T186" s="153" t="e">
        <f>#REF!</f>
        <v>#REF!</v>
      </c>
      <c r="U186" s="202"/>
      <c r="V186" s="153" t="e">
        <f>#REF!</f>
        <v>#REF!</v>
      </c>
      <c r="W186" s="202"/>
      <c r="X186" s="153" t="e">
        <f>#REF!</f>
        <v>#REF!</v>
      </c>
      <c r="Y186" s="202"/>
      <c r="Z186" s="152" t="e">
        <f>#REF!</f>
        <v>#REF!</v>
      </c>
      <c r="AA186" s="202"/>
      <c r="AB186" s="153" t="e">
        <f>#REF!</f>
        <v>#REF!</v>
      </c>
      <c r="AC186" s="202"/>
      <c r="AD186" s="152" t="e">
        <f>#REF!</f>
        <v>#REF!</v>
      </c>
      <c r="AE186" s="202"/>
      <c r="AF186" s="153" t="e">
        <f>#REF!</f>
        <v>#REF!</v>
      </c>
      <c r="AG186" s="202"/>
      <c r="AH186" s="152" t="e">
        <f>#REF!</f>
        <v>#REF!</v>
      </c>
      <c r="AI186" s="202"/>
      <c r="AJ186" s="153" t="e">
        <f>#REF!</f>
        <v>#REF!</v>
      </c>
      <c r="AK186" s="202"/>
      <c r="AL186" s="152" t="e">
        <f>#REF!</f>
        <v>#REF!</v>
      </c>
      <c r="AM186" s="202"/>
      <c r="AN186" s="153" t="e">
        <f>#REF!</f>
        <v>#REF!</v>
      </c>
      <c r="AO186" s="202"/>
      <c r="AP186" s="152" t="e">
        <f>#REF!</f>
        <v>#REF!</v>
      </c>
      <c r="AQ186" s="202"/>
      <c r="AR186" s="154" t="e">
        <f>#REF!</f>
        <v>#REF!</v>
      </c>
      <c r="AS186" s="202"/>
      <c r="AT186" s="153" t="e">
        <f>#REF!</f>
        <v>#REF!</v>
      </c>
      <c r="AU186" s="202"/>
      <c r="AV186" s="152" t="e">
        <f>#REF!</f>
        <v>#REF!</v>
      </c>
      <c r="AW186" s="202"/>
      <c r="AX186" s="153" t="e">
        <f>#REF!</f>
        <v>#REF!</v>
      </c>
      <c r="AY186" s="202"/>
      <c r="AZ186" s="152" t="e">
        <f>#REF!</f>
        <v>#REF!</v>
      </c>
      <c r="BA186" s="202"/>
      <c r="BB186" s="154" t="e">
        <f>#REF!</f>
        <v>#REF!</v>
      </c>
      <c r="BC186" s="137"/>
    </row>
    <row r="187" spans="1:55" ht="30" customHeight="1">
      <c r="A187" s="203" t="e">
        <f>#REF!</f>
        <v>#REF!</v>
      </c>
      <c r="B187" s="204" t="e">
        <f xml:space="preserve"> IF(#REF!=0, "",#REF!)</f>
        <v>#REF!</v>
      </c>
      <c r="C187" s="369" t="e">
        <f>#REF!</f>
        <v>#REF!</v>
      </c>
      <c r="D187" s="369"/>
      <c r="E187" s="291" t="e">
        <f>#REF!</f>
        <v>#REF!</v>
      </c>
      <c r="F187" s="148" t="e">
        <f>#REF!</f>
        <v>#REF!</v>
      </c>
      <c r="G187" s="205" t="e">
        <f xml:space="preserve"> IF(#REF!="", "",#REF!)</f>
        <v>#REF!</v>
      </c>
      <c r="H187" s="205" t="e">
        <f xml:space="preserve"> IF(#REF!="", "",#REF!)</f>
        <v>#REF!</v>
      </c>
      <c r="I187" s="205" t="e">
        <f xml:space="preserve"> IF(#REF!="", "",#REF!)</f>
        <v>#REF!</v>
      </c>
      <c r="J187" s="298" t="e">
        <f>#REF!</f>
        <v>#REF!</v>
      </c>
      <c r="K187" s="149" t="e">
        <f>#REF!</f>
        <v>#REF!</v>
      </c>
      <c r="L187" s="149" t="e">
        <f>#REF!</f>
        <v>#REF!</v>
      </c>
      <c r="M187" s="150" t="e">
        <f>#REF!</f>
        <v>#REF!</v>
      </c>
      <c r="N187" s="364"/>
      <c r="O187" s="202"/>
      <c r="P187" s="151" t="e">
        <f>#REF!</f>
        <v>#REF!</v>
      </c>
      <c r="Q187" s="202"/>
      <c r="R187" s="152" t="e">
        <f>#REF!</f>
        <v>#REF!</v>
      </c>
      <c r="S187" s="202"/>
      <c r="T187" s="153" t="e">
        <f>#REF!</f>
        <v>#REF!</v>
      </c>
      <c r="U187" s="202"/>
      <c r="V187" s="153" t="e">
        <f>#REF!</f>
        <v>#REF!</v>
      </c>
      <c r="W187" s="202"/>
      <c r="X187" s="153" t="e">
        <f>#REF!</f>
        <v>#REF!</v>
      </c>
      <c r="Y187" s="202"/>
      <c r="Z187" s="152" t="e">
        <f>#REF!</f>
        <v>#REF!</v>
      </c>
      <c r="AA187" s="202"/>
      <c r="AB187" s="153" t="e">
        <f>#REF!</f>
        <v>#REF!</v>
      </c>
      <c r="AC187" s="202"/>
      <c r="AD187" s="152" t="e">
        <f>#REF!</f>
        <v>#REF!</v>
      </c>
      <c r="AE187" s="202"/>
      <c r="AF187" s="153" t="e">
        <f>#REF!</f>
        <v>#REF!</v>
      </c>
      <c r="AG187" s="202"/>
      <c r="AH187" s="152" t="e">
        <f>#REF!</f>
        <v>#REF!</v>
      </c>
      <c r="AI187" s="202"/>
      <c r="AJ187" s="153" t="e">
        <f>#REF!</f>
        <v>#REF!</v>
      </c>
      <c r="AK187" s="202"/>
      <c r="AL187" s="152" t="e">
        <f>#REF!</f>
        <v>#REF!</v>
      </c>
      <c r="AM187" s="202"/>
      <c r="AN187" s="153" t="e">
        <f>#REF!</f>
        <v>#REF!</v>
      </c>
      <c r="AO187" s="202"/>
      <c r="AP187" s="152" t="e">
        <f>#REF!</f>
        <v>#REF!</v>
      </c>
      <c r="AQ187" s="202"/>
      <c r="AR187" s="154" t="e">
        <f>#REF!</f>
        <v>#REF!</v>
      </c>
      <c r="AS187" s="202"/>
      <c r="AT187" s="153" t="e">
        <f>#REF!</f>
        <v>#REF!</v>
      </c>
      <c r="AU187" s="202"/>
      <c r="AV187" s="152" t="e">
        <f>#REF!</f>
        <v>#REF!</v>
      </c>
      <c r="AW187" s="202"/>
      <c r="AX187" s="153" t="e">
        <f>#REF!</f>
        <v>#REF!</v>
      </c>
      <c r="AY187" s="202"/>
      <c r="AZ187" s="152" t="e">
        <f>#REF!</f>
        <v>#REF!</v>
      </c>
      <c r="BA187" s="202"/>
      <c r="BB187" s="154" t="e">
        <f>#REF!</f>
        <v>#REF!</v>
      </c>
      <c r="BC187" s="137"/>
    </row>
    <row r="188" spans="1:55" ht="30" customHeight="1">
      <c r="A188" s="203" t="e">
        <f>#REF!</f>
        <v>#REF!</v>
      </c>
      <c r="B188" s="204" t="e">
        <f xml:space="preserve"> IF(#REF!=0, "",#REF!)</f>
        <v>#REF!</v>
      </c>
      <c r="C188" s="369" t="e">
        <f>#REF!</f>
        <v>#REF!</v>
      </c>
      <c r="D188" s="369"/>
      <c r="E188" s="291" t="e">
        <f>#REF!</f>
        <v>#REF!</v>
      </c>
      <c r="F188" s="148" t="e">
        <f>#REF!</f>
        <v>#REF!</v>
      </c>
      <c r="G188" s="205" t="e">
        <f xml:space="preserve"> IF(#REF!="", "",#REF!)</f>
        <v>#REF!</v>
      </c>
      <c r="H188" s="205" t="e">
        <f xml:space="preserve"> IF(#REF!="", "",#REF!)</f>
        <v>#REF!</v>
      </c>
      <c r="I188" s="205" t="e">
        <f xml:space="preserve"> IF(#REF!="", "",#REF!)</f>
        <v>#REF!</v>
      </c>
      <c r="J188" s="298" t="e">
        <f>#REF!</f>
        <v>#REF!</v>
      </c>
      <c r="K188" s="149" t="e">
        <f>#REF!</f>
        <v>#REF!</v>
      </c>
      <c r="L188" s="149" t="e">
        <f>#REF!</f>
        <v>#REF!</v>
      </c>
      <c r="M188" s="150" t="e">
        <f>#REF!</f>
        <v>#REF!</v>
      </c>
      <c r="N188" s="364"/>
      <c r="O188" s="202"/>
      <c r="P188" s="151" t="e">
        <f>#REF!</f>
        <v>#REF!</v>
      </c>
      <c r="Q188" s="202"/>
      <c r="R188" s="152" t="e">
        <f>#REF!</f>
        <v>#REF!</v>
      </c>
      <c r="S188" s="202"/>
      <c r="T188" s="153" t="e">
        <f>#REF!</f>
        <v>#REF!</v>
      </c>
      <c r="U188" s="202"/>
      <c r="V188" s="153" t="e">
        <f>#REF!</f>
        <v>#REF!</v>
      </c>
      <c r="W188" s="202"/>
      <c r="X188" s="153" t="e">
        <f>#REF!</f>
        <v>#REF!</v>
      </c>
      <c r="Y188" s="202"/>
      <c r="Z188" s="152" t="e">
        <f>#REF!</f>
        <v>#REF!</v>
      </c>
      <c r="AA188" s="202"/>
      <c r="AB188" s="153" t="e">
        <f>#REF!</f>
        <v>#REF!</v>
      </c>
      <c r="AC188" s="202"/>
      <c r="AD188" s="152" t="e">
        <f>#REF!</f>
        <v>#REF!</v>
      </c>
      <c r="AE188" s="202"/>
      <c r="AF188" s="153" t="e">
        <f>#REF!</f>
        <v>#REF!</v>
      </c>
      <c r="AG188" s="202"/>
      <c r="AH188" s="152" t="e">
        <f>#REF!</f>
        <v>#REF!</v>
      </c>
      <c r="AI188" s="202"/>
      <c r="AJ188" s="153" t="e">
        <f>#REF!</f>
        <v>#REF!</v>
      </c>
      <c r="AK188" s="202"/>
      <c r="AL188" s="152" t="e">
        <f>#REF!</f>
        <v>#REF!</v>
      </c>
      <c r="AM188" s="202"/>
      <c r="AN188" s="153" t="e">
        <f>#REF!</f>
        <v>#REF!</v>
      </c>
      <c r="AO188" s="202"/>
      <c r="AP188" s="152" t="e">
        <f>#REF!</f>
        <v>#REF!</v>
      </c>
      <c r="AQ188" s="202"/>
      <c r="AR188" s="154" t="e">
        <f>#REF!</f>
        <v>#REF!</v>
      </c>
      <c r="AS188" s="202"/>
      <c r="AT188" s="153" t="e">
        <f>#REF!</f>
        <v>#REF!</v>
      </c>
      <c r="AU188" s="202"/>
      <c r="AV188" s="152" t="e">
        <f>#REF!</f>
        <v>#REF!</v>
      </c>
      <c r="AW188" s="202"/>
      <c r="AX188" s="153" t="e">
        <f>#REF!</f>
        <v>#REF!</v>
      </c>
      <c r="AY188" s="202"/>
      <c r="AZ188" s="152" t="e">
        <f>#REF!</f>
        <v>#REF!</v>
      </c>
      <c r="BA188" s="202"/>
      <c r="BB188" s="154" t="e">
        <f>#REF!</f>
        <v>#REF!</v>
      </c>
      <c r="BC188" s="137"/>
    </row>
    <row r="189" spans="1:55" ht="30" customHeight="1">
      <c r="A189" s="203" t="e">
        <f>#REF!</f>
        <v>#REF!</v>
      </c>
      <c r="B189" s="204" t="e">
        <f xml:space="preserve"> IF(#REF!=0, "",#REF!)</f>
        <v>#REF!</v>
      </c>
      <c r="C189" s="369" t="e">
        <f>#REF!</f>
        <v>#REF!</v>
      </c>
      <c r="D189" s="369"/>
      <c r="E189" s="291" t="e">
        <f>#REF!</f>
        <v>#REF!</v>
      </c>
      <c r="F189" s="148" t="e">
        <f>#REF!</f>
        <v>#REF!</v>
      </c>
      <c r="G189" s="205" t="e">
        <f xml:space="preserve"> IF(#REF!="", "",#REF!)</f>
        <v>#REF!</v>
      </c>
      <c r="H189" s="205" t="e">
        <f xml:space="preserve"> IF(#REF!="", "",#REF!)</f>
        <v>#REF!</v>
      </c>
      <c r="I189" s="205" t="e">
        <f xml:space="preserve"> IF(#REF!="", "",#REF!)</f>
        <v>#REF!</v>
      </c>
      <c r="J189" s="298" t="e">
        <f>#REF!</f>
        <v>#REF!</v>
      </c>
      <c r="K189" s="149" t="e">
        <f>#REF!</f>
        <v>#REF!</v>
      </c>
      <c r="L189" s="149" t="e">
        <f>#REF!</f>
        <v>#REF!</v>
      </c>
      <c r="M189" s="150" t="e">
        <f>#REF!</f>
        <v>#REF!</v>
      </c>
      <c r="N189" s="364"/>
      <c r="O189" s="202"/>
      <c r="P189" s="151" t="e">
        <f>#REF!</f>
        <v>#REF!</v>
      </c>
      <c r="Q189" s="202"/>
      <c r="R189" s="152" t="e">
        <f>#REF!</f>
        <v>#REF!</v>
      </c>
      <c r="S189" s="202"/>
      <c r="T189" s="153" t="e">
        <f>#REF!</f>
        <v>#REF!</v>
      </c>
      <c r="U189" s="202"/>
      <c r="V189" s="153" t="e">
        <f>#REF!</f>
        <v>#REF!</v>
      </c>
      <c r="W189" s="202"/>
      <c r="X189" s="153" t="e">
        <f>#REF!</f>
        <v>#REF!</v>
      </c>
      <c r="Y189" s="202"/>
      <c r="Z189" s="152" t="e">
        <f>#REF!</f>
        <v>#REF!</v>
      </c>
      <c r="AA189" s="202"/>
      <c r="AB189" s="153" t="e">
        <f>#REF!</f>
        <v>#REF!</v>
      </c>
      <c r="AC189" s="202"/>
      <c r="AD189" s="152" t="e">
        <f>#REF!</f>
        <v>#REF!</v>
      </c>
      <c r="AE189" s="202"/>
      <c r="AF189" s="153" t="e">
        <f>#REF!</f>
        <v>#REF!</v>
      </c>
      <c r="AG189" s="202"/>
      <c r="AH189" s="152" t="e">
        <f>#REF!</f>
        <v>#REF!</v>
      </c>
      <c r="AI189" s="202"/>
      <c r="AJ189" s="153" t="e">
        <f>#REF!</f>
        <v>#REF!</v>
      </c>
      <c r="AK189" s="202"/>
      <c r="AL189" s="152" t="e">
        <f>#REF!</f>
        <v>#REF!</v>
      </c>
      <c r="AM189" s="202"/>
      <c r="AN189" s="153" t="e">
        <f>#REF!</f>
        <v>#REF!</v>
      </c>
      <c r="AO189" s="202"/>
      <c r="AP189" s="152" t="e">
        <f>#REF!</f>
        <v>#REF!</v>
      </c>
      <c r="AQ189" s="202"/>
      <c r="AR189" s="154" t="e">
        <f>#REF!</f>
        <v>#REF!</v>
      </c>
      <c r="AS189" s="202"/>
      <c r="AT189" s="153" t="e">
        <f>#REF!</f>
        <v>#REF!</v>
      </c>
      <c r="AU189" s="202"/>
      <c r="AV189" s="152" t="e">
        <f>#REF!</f>
        <v>#REF!</v>
      </c>
      <c r="AW189" s="202"/>
      <c r="AX189" s="153" t="e">
        <f>#REF!</f>
        <v>#REF!</v>
      </c>
      <c r="AY189" s="202"/>
      <c r="AZ189" s="152" t="e">
        <f>#REF!</f>
        <v>#REF!</v>
      </c>
      <c r="BA189" s="202"/>
      <c r="BB189" s="154" t="e">
        <f>#REF!</f>
        <v>#REF!</v>
      </c>
      <c r="BC189" s="137"/>
    </row>
    <row r="190" spans="1:55" ht="30" customHeight="1">
      <c r="A190" s="203" t="e">
        <f>#REF!</f>
        <v>#REF!</v>
      </c>
      <c r="B190" s="204" t="e">
        <f xml:space="preserve"> IF(#REF!=0, "",#REF!)</f>
        <v>#REF!</v>
      </c>
      <c r="C190" s="369" t="e">
        <f>#REF!</f>
        <v>#REF!</v>
      </c>
      <c r="D190" s="369"/>
      <c r="E190" s="291" t="e">
        <f>#REF!</f>
        <v>#REF!</v>
      </c>
      <c r="F190" s="148" t="e">
        <f>#REF!</f>
        <v>#REF!</v>
      </c>
      <c r="G190" s="205" t="e">
        <f xml:space="preserve"> IF(#REF!="", "",#REF!)</f>
        <v>#REF!</v>
      </c>
      <c r="H190" s="205" t="e">
        <f xml:space="preserve"> IF(#REF!="", "",#REF!)</f>
        <v>#REF!</v>
      </c>
      <c r="I190" s="205" t="e">
        <f xml:space="preserve"> IF(#REF!="", "",#REF!)</f>
        <v>#REF!</v>
      </c>
      <c r="J190" s="298" t="e">
        <f>#REF!</f>
        <v>#REF!</v>
      </c>
      <c r="K190" s="149" t="e">
        <f>#REF!</f>
        <v>#REF!</v>
      </c>
      <c r="L190" s="149" t="e">
        <f>#REF!</f>
        <v>#REF!</v>
      </c>
      <c r="M190" s="150" t="e">
        <f>#REF!</f>
        <v>#REF!</v>
      </c>
      <c r="N190" s="364"/>
      <c r="O190" s="202"/>
      <c r="P190" s="151" t="e">
        <f>#REF!</f>
        <v>#REF!</v>
      </c>
      <c r="Q190" s="202"/>
      <c r="R190" s="152" t="e">
        <f>#REF!</f>
        <v>#REF!</v>
      </c>
      <c r="S190" s="202"/>
      <c r="T190" s="153" t="e">
        <f>#REF!</f>
        <v>#REF!</v>
      </c>
      <c r="U190" s="202"/>
      <c r="V190" s="153" t="e">
        <f>#REF!</f>
        <v>#REF!</v>
      </c>
      <c r="W190" s="202"/>
      <c r="X190" s="153" t="e">
        <f>#REF!</f>
        <v>#REF!</v>
      </c>
      <c r="Y190" s="202"/>
      <c r="Z190" s="152" t="e">
        <f>#REF!</f>
        <v>#REF!</v>
      </c>
      <c r="AA190" s="202"/>
      <c r="AB190" s="153" t="e">
        <f>#REF!</f>
        <v>#REF!</v>
      </c>
      <c r="AC190" s="202"/>
      <c r="AD190" s="152" t="e">
        <f>#REF!</f>
        <v>#REF!</v>
      </c>
      <c r="AE190" s="202"/>
      <c r="AF190" s="153" t="e">
        <f>#REF!</f>
        <v>#REF!</v>
      </c>
      <c r="AG190" s="202"/>
      <c r="AH190" s="152" t="e">
        <f>#REF!</f>
        <v>#REF!</v>
      </c>
      <c r="AI190" s="202"/>
      <c r="AJ190" s="153" t="e">
        <f>#REF!</f>
        <v>#REF!</v>
      </c>
      <c r="AK190" s="202"/>
      <c r="AL190" s="152" t="e">
        <f>#REF!</f>
        <v>#REF!</v>
      </c>
      <c r="AM190" s="202"/>
      <c r="AN190" s="153" t="e">
        <f>#REF!</f>
        <v>#REF!</v>
      </c>
      <c r="AO190" s="202"/>
      <c r="AP190" s="152" t="e">
        <f>#REF!</f>
        <v>#REF!</v>
      </c>
      <c r="AQ190" s="202"/>
      <c r="AR190" s="154" t="e">
        <f>#REF!</f>
        <v>#REF!</v>
      </c>
      <c r="AS190" s="202"/>
      <c r="AT190" s="153" t="e">
        <f>#REF!</f>
        <v>#REF!</v>
      </c>
      <c r="AU190" s="202"/>
      <c r="AV190" s="152" t="e">
        <f>#REF!</f>
        <v>#REF!</v>
      </c>
      <c r="AW190" s="202"/>
      <c r="AX190" s="153" t="e">
        <f>#REF!</f>
        <v>#REF!</v>
      </c>
      <c r="AY190" s="202"/>
      <c r="AZ190" s="152" t="e">
        <f>#REF!</f>
        <v>#REF!</v>
      </c>
      <c r="BA190" s="202"/>
      <c r="BB190" s="154" t="e">
        <f>#REF!</f>
        <v>#REF!</v>
      </c>
      <c r="BC190" s="137"/>
    </row>
    <row r="191" spans="1:55" ht="30" customHeight="1">
      <c r="A191" s="203" t="e">
        <f>#REF!</f>
        <v>#REF!</v>
      </c>
      <c r="B191" s="204" t="e">
        <f xml:space="preserve"> IF(#REF!=0, "",#REF!)</f>
        <v>#REF!</v>
      </c>
      <c r="C191" s="369" t="e">
        <f>#REF!</f>
        <v>#REF!</v>
      </c>
      <c r="D191" s="369"/>
      <c r="E191" s="291" t="e">
        <f>#REF!</f>
        <v>#REF!</v>
      </c>
      <c r="F191" s="148" t="e">
        <f>#REF!</f>
        <v>#REF!</v>
      </c>
      <c r="G191" s="205" t="e">
        <f xml:space="preserve"> IF(#REF!="", "",#REF!)</f>
        <v>#REF!</v>
      </c>
      <c r="H191" s="205" t="e">
        <f xml:space="preserve"> IF(#REF!="", "",#REF!)</f>
        <v>#REF!</v>
      </c>
      <c r="I191" s="205" t="e">
        <f xml:space="preserve"> IF(#REF!="", "",#REF!)</f>
        <v>#REF!</v>
      </c>
      <c r="J191" s="298" t="e">
        <f>#REF!</f>
        <v>#REF!</v>
      </c>
      <c r="K191" s="149" t="e">
        <f>#REF!</f>
        <v>#REF!</v>
      </c>
      <c r="L191" s="149" t="e">
        <f>#REF!</f>
        <v>#REF!</v>
      </c>
      <c r="M191" s="150" t="e">
        <f>#REF!</f>
        <v>#REF!</v>
      </c>
      <c r="N191" s="364"/>
      <c r="O191" s="202"/>
      <c r="P191" s="151" t="e">
        <f>#REF!</f>
        <v>#REF!</v>
      </c>
      <c r="Q191" s="202"/>
      <c r="R191" s="152" t="e">
        <f>#REF!</f>
        <v>#REF!</v>
      </c>
      <c r="S191" s="202"/>
      <c r="T191" s="153" t="e">
        <f>#REF!</f>
        <v>#REF!</v>
      </c>
      <c r="U191" s="202"/>
      <c r="V191" s="153" t="e">
        <f>#REF!</f>
        <v>#REF!</v>
      </c>
      <c r="W191" s="202"/>
      <c r="X191" s="153" t="e">
        <f>#REF!</f>
        <v>#REF!</v>
      </c>
      <c r="Y191" s="202"/>
      <c r="Z191" s="152" t="e">
        <f>#REF!</f>
        <v>#REF!</v>
      </c>
      <c r="AA191" s="202"/>
      <c r="AB191" s="153" t="e">
        <f>#REF!</f>
        <v>#REF!</v>
      </c>
      <c r="AC191" s="202"/>
      <c r="AD191" s="152" t="e">
        <f>#REF!</f>
        <v>#REF!</v>
      </c>
      <c r="AE191" s="202"/>
      <c r="AF191" s="153" t="e">
        <f>#REF!</f>
        <v>#REF!</v>
      </c>
      <c r="AG191" s="202"/>
      <c r="AH191" s="152" t="e">
        <f>#REF!</f>
        <v>#REF!</v>
      </c>
      <c r="AI191" s="202"/>
      <c r="AJ191" s="153" t="e">
        <f>#REF!</f>
        <v>#REF!</v>
      </c>
      <c r="AK191" s="202"/>
      <c r="AL191" s="152" t="e">
        <f>#REF!</f>
        <v>#REF!</v>
      </c>
      <c r="AM191" s="202"/>
      <c r="AN191" s="153" t="e">
        <f>#REF!</f>
        <v>#REF!</v>
      </c>
      <c r="AO191" s="202"/>
      <c r="AP191" s="152" t="e">
        <f>#REF!</f>
        <v>#REF!</v>
      </c>
      <c r="AQ191" s="202"/>
      <c r="AR191" s="154" t="e">
        <f>#REF!</f>
        <v>#REF!</v>
      </c>
      <c r="AS191" s="202"/>
      <c r="AT191" s="153" t="e">
        <f>#REF!</f>
        <v>#REF!</v>
      </c>
      <c r="AU191" s="202"/>
      <c r="AV191" s="152" t="e">
        <f>#REF!</f>
        <v>#REF!</v>
      </c>
      <c r="AW191" s="202"/>
      <c r="AX191" s="153" t="e">
        <f>#REF!</f>
        <v>#REF!</v>
      </c>
      <c r="AY191" s="202"/>
      <c r="AZ191" s="152" t="e">
        <f>#REF!</f>
        <v>#REF!</v>
      </c>
      <c r="BA191" s="202"/>
      <c r="BB191" s="154" t="e">
        <f>#REF!</f>
        <v>#REF!</v>
      </c>
      <c r="BC191" s="137"/>
    </row>
    <row r="192" spans="1:55" ht="30" customHeight="1">
      <c r="A192" s="203" t="e">
        <f>#REF!</f>
        <v>#REF!</v>
      </c>
      <c r="B192" s="204" t="e">
        <f xml:space="preserve"> IF(#REF!=0, "",#REF!)</f>
        <v>#REF!</v>
      </c>
      <c r="C192" s="369" t="e">
        <f>#REF!</f>
        <v>#REF!</v>
      </c>
      <c r="D192" s="369"/>
      <c r="E192" s="291" t="e">
        <f>#REF!</f>
        <v>#REF!</v>
      </c>
      <c r="F192" s="148" t="e">
        <f>#REF!</f>
        <v>#REF!</v>
      </c>
      <c r="G192" s="205" t="e">
        <f xml:space="preserve"> IF(#REF!="", "",#REF!)</f>
        <v>#REF!</v>
      </c>
      <c r="H192" s="205" t="e">
        <f xml:space="preserve"> IF(#REF!="", "",#REF!)</f>
        <v>#REF!</v>
      </c>
      <c r="I192" s="205" t="e">
        <f xml:space="preserve"> IF(#REF!="", "",#REF!)</f>
        <v>#REF!</v>
      </c>
      <c r="J192" s="298" t="e">
        <f>#REF!</f>
        <v>#REF!</v>
      </c>
      <c r="K192" s="149" t="e">
        <f>#REF!</f>
        <v>#REF!</v>
      </c>
      <c r="L192" s="149" t="e">
        <f>#REF!</f>
        <v>#REF!</v>
      </c>
      <c r="M192" s="150" t="e">
        <f>#REF!</f>
        <v>#REF!</v>
      </c>
      <c r="N192" s="364"/>
      <c r="O192" s="202"/>
      <c r="P192" s="151" t="e">
        <f>#REF!</f>
        <v>#REF!</v>
      </c>
      <c r="Q192" s="202"/>
      <c r="R192" s="152" t="e">
        <f>#REF!</f>
        <v>#REF!</v>
      </c>
      <c r="S192" s="202"/>
      <c r="T192" s="153" t="e">
        <f>#REF!</f>
        <v>#REF!</v>
      </c>
      <c r="U192" s="202"/>
      <c r="V192" s="153" t="e">
        <f>#REF!</f>
        <v>#REF!</v>
      </c>
      <c r="W192" s="202"/>
      <c r="X192" s="153" t="e">
        <f>#REF!</f>
        <v>#REF!</v>
      </c>
      <c r="Y192" s="202"/>
      <c r="Z192" s="152" t="e">
        <f>#REF!</f>
        <v>#REF!</v>
      </c>
      <c r="AA192" s="202"/>
      <c r="AB192" s="153" t="e">
        <f>#REF!</f>
        <v>#REF!</v>
      </c>
      <c r="AC192" s="202"/>
      <c r="AD192" s="152" t="e">
        <f>#REF!</f>
        <v>#REF!</v>
      </c>
      <c r="AE192" s="202"/>
      <c r="AF192" s="153" t="e">
        <f>#REF!</f>
        <v>#REF!</v>
      </c>
      <c r="AG192" s="202"/>
      <c r="AH192" s="152" t="e">
        <f>#REF!</f>
        <v>#REF!</v>
      </c>
      <c r="AI192" s="202"/>
      <c r="AJ192" s="153" t="e">
        <f>#REF!</f>
        <v>#REF!</v>
      </c>
      <c r="AK192" s="202"/>
      <c r="AL192" s="152" t="e">
        <f>#REF!</f>
        <v>#REF!</v>
      </c>
      <c r="AM192" s="202"/>
      <c r="AN192" s="153" t="e">
        <f>#REF!</f>
        <v>#REF!</v>
      </c>
      <c r="AO192" s="202"/>
      <c r="AP192" s="152" t="e">
        <f>#REF!</f>
        <v>#REF!</v>
      </c>
      <c r="AQ192" s="202"/>
      <c r="AR192" s="154" t="e">
        <f>#REF!</f>
        <v>#REF!</v>
      </c>
      <c r="AS192" s="202"/>
      <c r="AT192" s="153" t="e">
        <f>#REF!</f>
        <v>#REF!</v>
      </c>
      <c r="AU192" s="202"/>
      <c r="AV192" s="152" t="e">
        <f>#REF!</f>
        <v>#REF!</v>
      </c>
      <c r="AW192" s="202"/>
      <c r="AX192" s="153" t="e">
        <f>#REF!</f>
        <v>#REF!</v>
      </c>
      <c r="AY192" s="202"/>
      <c r="AZ192" s="152" t="e">
        <f>#REF!</f>
        <v>#REF!</v>
      </c>
      <c r="BA192" s="202"/>
      <c r="BB192" s="154" t="e">
        <f>#REF!</f>
        <v>#REF!</v>
      </c>
      <c r="BC192" s="137"/>
    </row>
    <row r="193" spans="1:55" ht="30" customHeight="1">
      <c r="A193" s="203" t="e">
        <f>#REF!</f>
        <v>#REF!</v>
      </c>
      <c r="B193" s="204" t="e">
        <f xml:space="preserve"> IF(#REF!=0, "",#REF!)</f>
        <v>#REF!</v>
      </c>
      <c r="C193" s="369" t="e">
        <f>#REF!</f>
        <v>#REF!</v>
      </c>
      <c r="D193" s="369"/>
      <c r="E193" s="291" t="e">
        <f>#REF!</f>
        <v>#REF!</v>
      </c>
      <c r="F193" s="148" t="e">
        <f>#REF!</f>
        <v>#REF!</v>
      </c>
      <c r="G193" s="205" t="e">
        <f xml:space="preserve"> IF(#REF!="", "",#REF!)</f>
        <v>#REF!</v>
      </c>
      <c r="H193" s="205" t="e">
        <f xml:space="preserve"> IF(#REF!="", "",#REF!)</f>
        <v>#REF!</v>
      </c>
      <c r="I193" s="205" t="e">
        <f xml:space="preserve"> IF(#REF!="", "",#REF!)</f>
        <v>#REF!</v>
      </c>
      <c r="J193" s="298" t="e">
        <f>#REF!</f>
        <v>#REF!</v>
      </c>
      <c r="K193" s="149" t="e">
        <f>#REF!</f>
        <v>#REF!</v>
      </c>
      <c r="L193" s="149" t="e">
        <f>#REF!</f>
        <v>#REF!</v>
      </c>
      <c r="M193" s="150" t="e">
        <f>#REF!</f>
        <v>#REF!</v>
      </c>
      <c r="N193" s="364"/>
      <c r="O193" s="202"/>
      <c r="P193" s="151" t="e">
        <f>#REF!</f>
        <v>#REF!</v>
      </c>
      <c r="Q193" s="202"/>
      <c r="R193" s="152" t="e">
        <f>#REF!</f>
        <v>#REF!</v>
      </c>
      <c r="S193" s="202"/>
      <c r="T193" s="153" t="e">
        <f>#REF!</f>
        <v>#REF!</v>
      </c>
      <c r="U193" s="202"/>
      <c r="V193" s="153" t="e">
        <f>#REF!</f>
        <v>#REF!</v>
      </c>
      <c r="W193" s="202"/>
      <c r="X193" s="153" t="e">
        <f>#REF!</f>
        <v>#REF!</v>
      </c>
      <c r="Y193" s="202"/>
      <c r="Z193" s="152" t="e">
        <f>#REF!</f>
        <v>#REF!</v>
      </c>
      <c r="AA193" s="202"/>
      <c r="AB193" s="153" t="e">
        <f>#REF!</f>
        <v>#REF!</v>
      </c>
      <c r="AC193" s="202"/>
      <c r="AD193" s="152" t="e">
        <f>#REF!</f>
        <v>#REF!</v>
      </c>
      <c r="AE193" s="202"/>
      <c r="AF193" s="153" t="e">
        <f>#REF!</f>
        <v>#REF!</v>
      </c>
      <c r="AG193" s="202"/>
      <c r="AH193" s="152" t="e">
        <f>#REF!</f>
        <v>#REF!</v>
      </c>
      <c r="AI193" s="202"/>
      <c r="AJ193" s="153" t="e">
        <f>#REF!</f>
        <v>#REF!</v>
      </c>
      <c r="AK193" s="202"/>
      <c r="AL193" s="152" t="e">
        <f>#REF!</f>
        <v>#REF!</v>
      </c>
      <c r="AM193" s="202"/>
      <c r="AN193" s="153" t="e">
        <f>#REF!</f>
        <v>#REF!</v>
      </c>
      <c r="AO193" s="202"/>
      <c r="AP193" s="152" t="e">
        <f>#REF!</f>
        <v>#REF!</v>
      </c>
      <c r="AQ193" s="202"/>
      <c r="AR193" s="154" t="e">
        <f>#REF!</f>
        <v>#REF!</v>
      </c>
      <c r="AS193" s="202"/>
      <c r="AT193" s="153" t="e">
        <f>#REF!</f>
        <v>#REF!</v>
      </c>
      <c r="AU193" s="202"/>
      <c r="AV193" s="152" t="e">
        <f>#REF!</f>
        <v>#REF!</v>
      </c>
      <c r="AW193" s="202"/>
      <c r="AX193" s="153" t="e">
        <f>#REF!</f>
        <v>#REF!</v>
      </c>
      <c r="AY193" s="202"/>
      <c r="AZ193" s="152" t="e">
        <f>#REF!</f>
        <v>#REF!</v>
      </c>
      <c r="BA193" s="202"/>
      <c r="BB193" s="154" t="e">
        <f>#REF!</f>
        <v>#REF!</v>
      </c>
      <c r="BC193" s="137"/>
    </row>
    <row r="194" spans="1:55" ht="30" customHeight="1">
      <c r="A194" s="203" t="e">
        <f>#REF!</f>
        <v>#REF!</v>
      </c>
      <c r="B194" s="204" t="e">
        <f xml:space="preserve"> IF(#REF!=0, "",#REF!)</f>
        <v>#REF!</v>
      </c>
      <c r="C194" s="369" t="e">
        <f>#REF!</f>
        <v>#REF!</v>
      </c>
      <c r="D194" s="369"/>
      <c r="E194" s="291" t="e">
        <f>#REF!</f>
        <v>#REF!</v>
      </c>
      <c r="F194" s="148" t="e">
        <f>#REF!</f>
        <v>#REF!</v>
      </c>
      <c r="G194" s="205" t="e">
        <f xml:space="preserve"> IF(#REF!="", "",#REF!)</f>
        <v>#REF!</v>
      </c>
      <c r="H194" s="205" t="e">
        <f xml:space="preserve"> IF(#REF!="", "",#REF!)</f>
        <v>#REF!</v>
      </c>
      <c r="I194" s="205" t="e">
        <f xml:space="preserve"> IF(#REF!="", "",#REF!)</f>
        <v>#REF!</v>
      </c>
      <c r="J194" s="298" t="e">
        <f>#REF!</f>
        <v>#REF!</v>
      </c>
      <c r="K194" s="149" t="e">
        <f>#REF!</f>
        <v>#REF!</v>
      </c>
      <c r="L194" s="149" t="e">
        <f>#REF!</f>
        <v>#REF!</v>
      </c>
      <c r="M194" s="150" t="e">
        <f>#REF!</f>
        <v>#REF!</v>
      </c>
      <c r="N194" s="364"/>
      <c r="O194" s="202"/>
      <c r="P194" s="151" t="e">
        <f>#REF!</f>
        <v>#REF!</v>
      </c>
      <c r="Q194" s="202"/>
      <c r="R194" s="152" t="e">
        <f>#REF!</f>
        <v>#REF!</v>
      </c>
      <c r="S194" s="202"/>
      <c r="T194" s="153" t="e">
        <f>#REF!</f>
        <v>#REF!</v>
      </c>
      <c r="U194" s="202"/>
      <c r="V194" s="153" t="e">
        <f>#REF!</f>
        <v>#REF!</v>
      </c>
      <c r="W194" s="202"/>
      <c r="X194" s="153" t="e">
        <f>#REF!</f>
        <v>#REF!</v>
      </c>
      <c r="Y194" s="202"/>
      <c r="Z194" s="152" t="e">
        <f>#REF!</f>
        <v>#REF!</v>
      </c>
      <c r="AA194" s="202"/>
      <c r="AB194" s="153" t="e">
        <f>#REF!</f>
        <v>#REF!</v>
      </c>
      <c r="AC194" s="202"/>
      <c r="AD194" s="152" t="e">
        <f>#REF!</f>
        <v>#REF!</v>
      </c>
      <c r="AE194" s="202"/>
      <c r="AF194" s="153" t="e">
        <f>#REF!</f>
        <v>#REF!</v>
      </c>
      <c r="AG194" s="202"/>
      <c r="AH194" s="152" t="e">
        <f>#REF!</f>
        <v>#REF!</v>
      </c>
      <c r="AI194" s="202"/>
      <c r="AJ194" s="153" t="e">
        <f>#REF!</f>
        <v>#REF!</v>
      </c>
      <c r="AK194" s="202"/>
      <c r="AL194" s="152" t="e">
        <f>#REF!</f>
        <v>#REF!</v>
      </c>
      <c r="AM194" s="202"/>
      <c r="AN194" s="153" t="e">
        <f>#REF!</f>
        <v>#REF!</v>
      </c>
      <c r="AO194" s="202"/>
      <c r="AP194" s="152" t="e">
        <f>#REF!</f>
        <v>#REF!</v>
      </c>
      <c r="AQ194" s="202"/>
      <c r="AR194" s="154" t="e">
        <f>#REF!</f>
        <v>#REF!</v>
      </c>
      <c r="AS194" s="202"/>
      <c r="AT194" s="153" t="e">
        <f>#REF!</f>
        <v>#REF!</v>
      </c>
      <c r="AU194" s="202"/>
      <c r="AV194" s="152" t="e">
        <f>#REF!</f>
        <v>#REF!</v>
      </c>
      <c r="AW194" s="202"/>
      <c r="AX194" s="153" t="e">
        <f>#REF!</f>
        <v>#REF!</v>
      </c>
      <c r="AY194" s="202"/>
      <c r="AZ194" s="152" t="e">
        <f>#REF!</f>
        <v>#REF!</v>
      </c>
      <c r="BA194" s="202"/>
      <c r="BB194" s="154" t="e">
        <f>#REF!</f>
        <v>#REF!</v>
      </c>
      <c r="BC194" s="137"/>
    </row>
    <row r="195" spans="1:55" ht="30" customHeight="1">
      <c r="A195" s="203" t="e">
        <f>#REF!</f>
        <v>#REF!</v>
      </c>
      <c r="B195" s="204" t="e">
        <f xml:space="preserve"> IF(#REF!=0, "",#REF!)</f>
        <v>#REF!</v>
      </c>
      <c r="C195" s="369" t="e">
        <f>#REF!</f>
        <v>#REF!</v>
      </c>
      <c r="D195" s="369"/>
      <c r="E195" s="291" t="e">
        <f>#REF!</f>
        <v>#REF!</v>
      </c>
      <c r="F195" s="148" t="e">
        <f>#REF!</f>
        <v>#REF!</v>
      </c>
      <c r="G195" s="205" t="e">
        <f xml:space="preserve"> IF(#REF!="", "",#REF!)</f>
        <v>#REF!</v>
      </c>
      <c r="H195" s="205" t="e">
        <f xml:space="preserve"> IF(#REF!="", "",#REF!)</f>
        <v>#REF!</v>
      </c>
      <c r="I195" s="205" t="e">
        <f xml:space="preserve"> IF(#REF!="", "",#REF!)</f>
        <v>#REF!</v>
      </c>
      <c r="J195" s="298" t="e">
        <f>#REF!</f>
        <v>#REF!</v>
      </c>
      <c r="K195" s="149" t="e">
        <f>#REF!</f>
        <v>#REF!</v>
      </c>
      <c r="L195" s="149" t="e">
        <f>#REF!</f>
        <v>#REF!</v>
      </c>
      <c r="M195" s="150" t="e">
        <f>#REF!</f>
        <v>#REF!</v>
      </c>
      <c r="N195" s="364"/>
      <c r="O195" s="202"/>
      <c r="P195" s="151" t="e">
        <f>#REF!</f>
        <v>#REF!</v>
      </c>
      <c r="Q195" s="202"/>
      <c r="R195" s="152" t="e">
        <f>#REF!</f>
        <v>#REF!</v>
      </c>
      <c r="S195" s="202"/>
      <c r="T195" s="153" t="e">
        <f>#REF!</f>
        <v>#REF!</v>
      </c>
      <c r="U195" s="202"/>
      <c r="V195" s="153" t="e">
        <f>#REF!</f>
        <v>#REF!</v>
      </c>
      <c r="W195" s="202"/>
      <c r="X195" s="153" t="e">
        <f>#REF!</f>
        <v>#REF!</v>
      </c>
      <c r="Y195" s="202"/>
      <c r="Z195" s="152" t="e">
        <f>#REF!</f>
        <v>#REF!</v>
      </c>
      <c r="AA195" s="202"/>
      <c r="AB195" s="153" t="e">
        <f>#REF!</f>
        <v>#REF!</v>
      </c>
      <c r="AC195" s="202"/>
      <c r="AD195" s="152" t="e">
        <f>#REF!</f>
        <v>#REF!</v>
      </c>
      <c r="AE195" s="202"/>
      <c r="AF195" s="153" t="e">
        <f>#REF!</f>
        <v>#REF!</v>
      </c>
      <c r="AG195" s="202"/>
      <c r="AH195" s="152" t="e">
        <f>#REF!</f>
        <v>#REF!</v>
      </c>
      <c r="AI195" s="202"/>
      <c r="AJ195" s="153" t="e">
        <f>#REF!</f>
        <v>#REF!</v>
      </c>
      <c r="AK195" s="202"/>
      <c r="AL195" s="152" t="e">
        <f>#REF!</f>
        <v>#REF!</v>
      </c>
      <c r="AM195" s="202"/>
      <c r="AN195" s="153" t="e">
        <f>#REF!</f>
        <v>#REF!</v>
      </c>
      <c r="AO195" s="202"/>
      <c r="AP195" s="152" t="e">
        <f>#REF!</f>
        <v>#REF!</v>
      </c>
      <c r="AQ195" s="202"/>
      <c r="AR195" s="154" t="e">
        <f>#REF!</f>
        <v>#REF!</v>
      </c>
      <c r="AS195" s="202"/>
      <c r="AT195" s="153" t="e">
        <f>#REF!</f>
        <v>#REF!</v>
      </c>
      <c r="AU195" s="202"/>
      <c r="AV195" s="152" t="e">
        <f>#REF!</f>
        <v>#REF!</v>
      </c>
      <c r="AW195" s="202"/>
      <c r="AX195" s="153" t="e">
        <f>#REF!</f>
        <v>#REF!</v>
      </c>
      <c r="AY195" s="202"/>
      <c r="AZ195" s="152" t="e">
        <f>#REF!</f>
        <v>#REF!</v>
      </c>
      <c r="BA195" s="202"/>
      <c r="BB195" s="154" t="e">
        <f>#REF!</f>
        <v>#REF!</v>
      </c>
      <c r="BC195" s="137"/>
    </row>
    <row r="196" spans="1:55" ht="30" customHeight="1">
      <c r="A196" s="203" t="e">
        <f>#REF!</f>
        <v>#REF!</v>
      </c>
      <c r="B196" s="204" t="e">
        <f xml:space="preserve"> IF(#REF!=0, "",#REF!)</f>
        <v>#REF!</v>
      </c>
      <c r="C196" s="369" t="e">
        <f>#REF!</f>
        <v>#REF!</v>
      </c>
      <c r="D196" s="369"/>
      <c r="E196" s="291" t="e">
        <f>#REF!</f>
        <v>#REF!</v>
      </c>
      <c r="F196" s="148" t="e">
        <f>#REF!</f>
        <v>#REF!</v>
      </c>
      <c r="G196" s="205" t="e">
        <f xml:space="preserve"> IF(#REF!="", "",#REF!)</f>
        <v>#REF!</v>
      </c>
      <c r="H196" s="205" t="e">
        <f xml:space="preserve"> IF(#REF!="", "",#REF!)</f>
        <v>#REF!</v>
      </c>
      <c r="I196" s="205" t="e">
        <f xml:space="preserve"> IF(#REF!="", "",#REF!)</f>
        <v>#REF!</v>
      </c>
      <c r="J196" s="298" t="e">
        <f>#REF!</f>
        <v>#REF!</v>
      </c>
      <c r="K196" s="149" t="e">
        <f>#REF!</f>
        <v>#REF!</v>
      </c>
      <c r="L196" s="149" t="e">
        <f>#REF!</f>
        <v>#REF!</v>
      </c>
      <c r="M196" s="150" t="e">
        <f>#REF!</f>
        <v>#REF!</v>
      </c>
      <c r="N196" s="364"/>
      <c r="O196" s="202"/>
      <c r="P196" s="151" t="e">
        <f>#REF!</f>
        <v>#REF!</v>
      </c>
      <c r="Q196" s="202"/>
      <c r="R196" s="152" t="e">
        <f>#REF!</f>
        <v>#REF!</v>
      </c>
      <c r="S196" s="202"/>
      <c r="T196" s="153" t="e">
        <f>#REF!</f>
        <v>#REF!</v>
      </c>
      <c r="U196" s="202"/>
      <c r="V196" s="153" t="e">
        <f>#REF!</f>
        <v>#REF!</v>
      </c>
      <c r="W196" s="202"/>
      <c r="X196" s="153" t="e">
        <f>#REF!</f>
        <v>#REF!</v>
      </c>
      <c r="Y196" s="202"/>
      <c r="Z196" s="152" t="e">
        <f>#REF!</f>
        <v>#REF!</v>
      </c>
      <c r="AA196" s="202"/>
      <c r="AB196" s="153" t="e">
        <f>#REF!</f>
        <v>#REF!</v>
      </c>
      <c r="AC196" s="202"/>
      <c r="AD196" s="152" t="e">
        <f>#REF!</f>
        <v>#REF!</v>
      </c>
      <c r="AE196" s="202"/>
      <c r="AF196" s="153" t="e">
        <f>#REF!</f>
        <v>#REF!</v>
      </c>
      <c r="AG196" s="202"/>
      <c r="AH196" s="152" t="e">
        <f>#REF!</f>
        <v>#REF!</v>
      </c>
      <c r="AI196" s="202"/>
      <c r="AJ196" s="153" t="e">
        <f>#REF!</f>
        <v>#REF!</v>
      </c>
      <c r="AK196" s="202"/>
      <c r="AL196" s="152" t="e">
        <f>#REF!</f>
        <v>#REF!</v>
      </c>
      <c r="AM196" s="202"/>
      <c r="AN196" s="153" t="e">
        <f>#REF!</f>
        <v>#REF!</v>
      </c>
      <c r="AO196" s="202"/>
      <c r="AP196" s="152" t="e">
        <f>#REF!</f>
        <v>#REF!</v>
      </c>
      <c r="AQ196" s="202"/>
      <c r="AR196" s="154" t="e">
        <f>#REF!</f>
        <v>#REF!</v>
      </c>
      <c r="AS196" s="202"/>
      <c r="AT196" s="153" t="e">
        <f>#REF!</f>
        <v>#REF!</v>
      </c>
      <c r="AU196" s="202"/>
      <c r="AV196" s="152" t="e">
        <f>#REF!</f>
        <v>#REF!</v>
      </c>
      <c r="AW196" s="202"/>
      <c r="AX196" s="153" t="e">
        <f>#REF!</f>
        <v>#REF!</v>
      </c>
      <c r="AY196" s="202"/>
      <c r="AZ196" s="152" t="e">
        <f>#REF!</f>
        <v>#REF!</v>
      </c>
      <c r="BA196" s="202"/>
      <c r="BB196" s="154" t="e">
        <f>#REF!</f>
        <v>#REF!</v>
      </c>
      <c r="BC196" s="137"/>
    </row>
    <row r="197" spans="1:55" ht="30" customHeight="1">
      <c r="A197" s="203" t="e">
        <f>#REF!</f>
        <v>#REF!</v>
      </c>
      <c r="B197" s="204" t="e">
        <f xml:space="preserve"> IF(#REF!=0, "",#REF!)</f>
        <v>#REF!</v>
      </c>
      <c r="C197" s="369" t="e">
        <f>#REF!</f>
        <v>#REF!</v>
      </c>
      <c r="D197" s="369"/>
      <c r="E197" s="291" t="e">
        <f>#REF!</f>
        <v>#REF!</v>
      </c>
      <c r="F197" s="148" t="e">
        <f>#REF!</f>
        <v>#REF!</v>
      </c>
      <c r="G197" s="205" t="e">
        <f xml:space="preserve"> IF(#REF!="", "",#REF!)</f>
        <v>#REF!</v>
      </c>
      <c r="H197" s="205" t="e">
        <f xml:space="preserve"> IF(#REF!="", "",#REF!)</f>
        <v>#REF!</v>
      </c>
      <c r="I197" s="205" t="e">
        <f xml:space="preserve"> IF(#REF!="", "",#REF!)</f>
        <v>#REF!</v>
      </c>
      <c r="J197" s="298" t="e">
        <f>#REF!</f>
        <v>#REF!</v>
      </c>
      <c r="K197" s="149" t="e">
        <f>#REF!</f>
        <v>#REF!</v>
      </c>
      <c r="L197" s="149" t="e">
        <f>#REF!</f>
        <v>#REF!</v>
      </c>
      <c r="M197" s="150" t="e">
        <f>#REF!</f>
        <v>#REF!</v>
      </c>
      <c r="N197" s="364"/>
      <c r="O197" s="202"/>
      <c r="P197" s="151" t="e">
        <f>#REF!</f>
        <v>#REF!</v>
      </c>
      <c r="Q197" s="202"/>
      <c r="R197" s="152" t="e">
        <f>#REF!</f>
        <v>#REF!</v>
      </c>
      <c r="S197" s="202"/>
      <c r="T197" s="153" t="e">
        <f>#REF!</f>
        <v>#REF!</v>
      </c>
      <c r="U197" s="202"/>
      <c r="V197" s="153" t="e">
        <f>#REF!</f>
        <v>#REF!</v>
      </c>
      <c r="W197" s="202"/>
      <c r="X197" s="153" t="e">
        <f>#REF!</f>
        <v>#REF!</v>
      </c>
      <c r="Y197" s="202"/>
      <c r="Z197" s="152" t="e">
        <f>#REF!</f>
        <v>#REF!</v>
      </c>
      <c r="AA197" s="202"/>
      <c r="AB197" s="153" t="e">
        <f>#REF!</f>
        <v>#REF!</v>
      </c>
      <c r="AC197" s="202"/>
      <c r="AD197" s="152" t="e">
        <f>#REF!</f>
        <v>#REF!</v>
      </c>
      <c r="AE197" s="202"/>
      <c r="AF197" s="153" t="e">
        <f>#REF!</f>
        <v>#REF!</v>
      </c>
      <c r="AG197" s="202"/>
      <c r="AH197" s="152" t="e">
        <f>#REF!</f>
        <v>#REF!</v>
      </c>
      <c r="AI197" s="202"/>
      <c r="AJ197" s="153" t="e">
        <f>#REF!</f>
        <v>#REF!</v>
      </c>
      <c r="AK197" s="202"/>
      <c r="AL197" s="152" t="e">
        <f>#REF!</f>
        <v>#REF!</v>
      </c>
      <c r="AM197" s="202"/>
      <c r="AN197" s="153" t="e">
        <f>#REF!</f>
        <v>#REF!</v>
      </c>
      <c r="AO197" s="202"/>
      <c r="AP197" s="152" t="e">
        <f>#REF!</f>
        <v>#REF!</v>
      </c>
      <c r="AQ197" s="202"/>
      <c r="AR197" s="154" t="e">
        <f>#REF!</f>
        <v>#REF!</v>
      </c>
      <c r="AS197" s="202"/>
      <c r="AT197" s="153" t="e">
        <f>#REF!</f>
        <v>#REF!</v>
      </c>
      <c r="AU197" s="202"/>
      <c r="AV197" s="152" t="e">
        <f>#REF!</f>
        <v>#REF!</v>
      </c>
      <c r="AW197" s="202"/>
      <c r="AX197" s="153" t="e">
        <f>#REF!</f>
        <v>#REF!</v>
      </c>
      <c r="AY197" s="202"/>
      <c r="AZ197" s="152" t="e">
        <f>#REF!</f>
        <v>#REF!</v>
      </c>
      <c r="BA197" s="202"/>
      <c r="BB197" s="154" t="e">
        <f>#REF!</f>
        <v>#REF!</v>
      </c>
      <c r="BC197" s="137"/>
    </row>
    <row r="198" spans="1:55" ht="30" customHeight="1">
      <c r="A198" s="203" t="e">
        <f>#REF!</f>
        <v>#REF!</v>
      </c>
      <c r="B198" s="204" t="e">
        <f xml:space="preserve"> IF(#REF!=0, "",#REF!)</f>
        <v>#REF!</v>
      </c>
      <c r="C198" s="369" t="e">
        <f>#REF!</f>
        <v>#REF!</v>
      </c>
      <c r="D198" s="369"/>
      <c r="E198" s="291" t="e">
        <f>#REF!</f>
        <v>#REF!</v>
      </c>
      <c r="F198" s="148" t="e">
        <f>#REF!</f>
        <v>#REF!</v>
      </c>
      <c r="G198" s="205" t="e">
        <f xml:space="preserve"> IF(#REF!="", "",#REF!)</f>
        <v>#REF!</v>
      </c>
      <c r="H198" s="205" t="e">
        <f xml:space="preserve"> IF(#REF!="", "",#REF!)</f>
        <v>#REF!</v>
      </c>
      <c r="I198" s="205" t="e">
        <f xml:space="preserve"> IF(#REF!="", "",#REF!)</f>
        <v>#REF!</v>
      </c>
      <c r="J198" s="298" t="e">
        <f>#REF!</f>
        <v>#REF!</v>
      </c>
      <c r="K198" s="149" t="e">
        <f>#REF!</f>
        <v>#REF!</v>
      </c>
      <c r="L198" s="149" t="e">
        <f>#REF!</f>
        <v>#REF!</v>
      </c>
      <c r="M198" s="150" t="e">
        <f>#REF!</f>
        <v>#REF!</v>
      </c>
      <c r="N198" s="364"/>
      <c r="O198" s="202"/>
      <c r="P198" s="151" t="e">
        <f>#REF!</f>
        <v>#REF!</v>
      </c>
      <c r="Q198" s="202"/>
      <c r="R198" s="152" t="e">
        <f>#REF!</f>
        <v>#REF!</v>
      </c>
      <c r="S198" s="202"/>
      <c r="T198" s="153" t="e">
        <f>#REF!</f>
        <v>#REF!</v>
      </c>
      <c r="U198" s="202"/>
      <c r="V198" s="153" t="e">
        <f>#REF!</f>
        <v>#REF!</v>
      </c>
      <c r="W198" s="202"/>
      <c r="X198" s="153" t="e">
        <f>#REF!</f>
        <v>#REF!</v>
      </c>
      <c r="Y198" s="202"/>
      <c r="Z198" s="152" t="e">
        <f>#REF!</f>
        <v>#REF!</v>
      </c>
      <c r="AA198" s="202"/>
      <c r="AB198" s="153" t="e">
        <f>#REF!</f>
        <v>#REF!</v>
      </c>
      <c r="AC198" s="202"/>
      <c r="AD198" s="152" t="e">
        <f>#REF!</f>
        <v>#REF!</v>
      </c>
      <c r="AE198" s="202"/>
      <c r="AF198" s="153" t="e">
        <f>#REF!</f>
        <v>#REF!</v>
      </c>
      <c r="AG198" s="202"/>
      <c r="AH198" s="152" t="e">
        <f>#REF!</f>
        <v>#REF!</v>
      </c>
      <c r="AI198" s="202"/>
      <c r="AJ198" s="153" t="e">
        <f>#REF!</f>
        <v>#REF!</v>
      </c>
      <c r="AK198" s="202"/>
      <c r="AL198" s="152" t="e">
        <f>#REF!</f>
        <v>#REF!</v>
      </c>
      <c r="AM198" s="202"/>
      <c r="AN198" s="153" t="e">
        <f>#REF!</f>
        <v>#REF!</v>
      </c>
      <c r="AO198" s="202"/>
      <c r="AP198" s="152" t="e">
        <f>#REF!</f>
        <v>#REF!</v>
      </c>
      <c r="AQ198" s="202"/>
      <c r="AR198" s="154" t="e">
        <f>#REF!</f>
        <v>#REF!</v>
      </c>
      <c r="AS198" s="202"/>
      <c r="AT198" s="153" t="e">
        <f>#REF!</f>
        <v>#REF!</v>
      </c>
      <c r="AU198" s="202"/>
      <c r="AV198" s="152" t="e">
        <f>#REF!</f>
        <v>#REF!</v>
      </c>
      <c r="AW198" s="202"/>
      <c r="AX198" s="153" t="e">
        <f>#REF!</f>
        <v>#REF!</v>
      </c>
      <c r="AY198" s="202"/>
      <c r="AZ198" s="152" t="e">
        <f>#REF!</f>
        <v>#REF!</v>
      </c>
      <c r="BA198" s="202"/>
      <c r="BB198" s="154" t="e">
        <f>#REF!</f>
        <v>#REF!</v>
      </c>
      <c r="BC198" s="137"/>
    </row>
    <row r="199" spans="1:55" ht="30" hidden="1" customHeight="1">
      <c r="A199" s="203" t="e">
        <f>#REF!</f>
        <v>#REF!</v>
      </c>
      <c r="B199" s="204" t="e">
        <f xml:space="preserve"> IF(#REF!=0, "",#REF!)</f>
        <v>#REF!</v>
      </c>
      <c r="C199" s="369" t="e">
        <f>#REF!</f>
        <v>#REF!</v>
      </c>
      <c r="D199" s="369"/>
      <c r="E199" s="291" t="e">
        <f>#REF!</f>
        <v>#REF!</v>
      </c>
      <c r="F199" s="148" t="e">
        <f>#REF!</f>
        <v>#REF!</v>
      </c>
      <c r="G199" s="205" t="e">
        <f xml:space="preserve"> IF(#REF!="", "",#REF!)</f>
        <v>#REF!</v>
      </c>
      <c r="H199" s="205" t="e">
        <f xml:space="preserve"> IF(#REF!="", "",#REF!)</f>
        <v>#REF!</v>
      </c>
      <c r="I199" s="205" t="e">
        <f xml:space="preserve"> IF(#REF!="", "",#REF!)</f>
        <v>#REF!</v>
      </c>
      <c r="J199" s="298" t="e">
        <f>#REF!</f>
        <v>#REF!</v>
      </c>
      <c r="K199" s="149" t="e">
        <f>#REF!</f>
        <v>#REF!</v>
      </c>
      <c r="L199" s="149" t="e">
        <f>#REF!</f>
        <v>#REF!</v>
      </c>
      <c r="M199" s="150" t="e">
        <f>#REF!</f>
        <v>#REF!</v>
      </c>
      <c r="N199" s="364"/>
      <c r="O199" s="202"/>
      <c r="P199" s="151" t="e">
        <f>#REF!</f>
        <v>#REF!</v>
      </c>
      <c r="Q199" s="202"/>
      <c r="R199" s="152" t="e">
        <f>#REF!</f>
        <v>#REF!</v>
      </c>
      <c r="S199" s="202"/>
      <c r="T199" s="153" t="e">
        <f>#REF!</f>
        <v>#REF!</v>
      </c>
      <c r="U199" s="202"/>
      <c r="V199" s="153" t="e">
        <f>#REF!</f>
        <v>#REF!</v>
      </c>
      <c r="W199" s="202"/>
      <c r="X199" s="153" t="e">
        <f>#REF!</f>
        <v>#REF!</v>
      </c>
      <c r="Y199" s="202"/>
      <c r="Z199" s="152" t="e">
        <f>#REF!</f>
        <v>#REF!</v>
      </c>
      <c r="AA199" s="202"/>
      <c r="AB199" s="153" t="e">
        <f>#REF!</f>
        <v>#REF!</v>
      </c>
      <c r="AC199" s="202"/>
      <c r="AD199" s="152" t="e">
        <f>#REF!</f>
        <v>#REF!</v>
      </c>
      <c r="AE199" s="202"/>
      <c r="AF199" s="153" t="e">
        <f>#REF!</f>
        <v>#REF!</v>
      </c>
      <c r="AG199" s="202"/>
      <c r="AH199" s="152" t="e">
        <f>#REF!</f>
        <v>#REF!</v>
      </c>
      <c r="AI199" s="202"/>
      <c r="AJ199" s="153" t="e">
        <f>#REF!</f>
        <v>#REF!</v>
      </c>
      <c r="AK199" s="202"/>
      <c r="AL199" s="152" t="e">
        <f>#REF!</f>
        <v>#REF!</v>
      </c>
      <c r="AM199" s="202"/>
      <c r="AN199" s="153" t="e">
        <f>#REF!</f>
        <v>#REF!</v>
      </c>
      <c r="AO199" s="202"/>
      <c r="AP199" s="152" t="e">
        <f>#REF!</f>
        <v>#REF!</v>
      </c>
      <c r="AQ199" s="202"/>
      <c r="AR199" s="154" t="e">
        <f>#REF!</f>
        <v>#REF!</v>
      </c>
      <c r="AS199" s="202"/>
      <c r="AT199" s="153" t="e">
        <f>#REF!</f>
        <v>#REF!</v>
      </c>
      <c r="AU199" s="202"/>
      <c r="AV199" s="152" t="e">
        <f>#REF!</f>
        <v>#REF!</v>
      </c>
      <c r="AW199" s="202"/>
      <c r="AX199" s="153" t="e">
        <f>#REF!</f>
        <v>#REF!</v>
      </c>
      <c r="AY199" s="202"/>
      <c r="AZ199" s="152" t="e">
        <f>#REF!</f>
        <v>#REF!</v>
      </c>
      <c r="BA199" s="202"/>
      <c r="BB199" s="154" t="e">
        <f>#REF!</f>
        <v>#REF!</v>
      </c>
      <c r="BC199" s="137"/>
    </row>
    <row r="200" spans="1:55" ht="30" hidden="1" customHeight="1">
      <c r="A200" s="203" t="e">
        <f>#REF!</f>
        <v>#REF!</v>
      </c>
      <c r="B200" s="204" t="e">
        <f xml:space="preserve"> IF(#REF!=0, "",#REF!)</f>
        <v>#REF!</v>
      </c>
      <c r="C200" s="369" t="e">
        <f>#REF!</f>
        <v>#REF!</v>
      </c>
      <c r="D200" s="369"/>
      <c r="E200" s="291" t="e">
        <f>#REF!</f>
        <v>#REF!</v>
      </c>
      <c r="F200" s="148" t="e">
        <f>#REF!</f>
        <v>#REF!</v>
      </c>
      <c r="G200" s="205" t="e">
        <f xml:space="preserve"> IF(#REF!="", "",#REF!)</f>
        <v>#REF!</v>
      </c>
      <c r="H200" s="205" t="e">
        <f xml:space="preserve"> IF(#REF!="", "",#REF!)</f>
        <v>#REF!</v>
      </c>
      <c r="I200" s="205" t="e">
        <f xml:space="preserve"> IF(#REF!="", "",#REF!)</f>
        <v>#REF!</v>
      </c>
      <c r="J200" s="298" t="e">
        <f>#REF!</f>
        <v>#REF!</v>
      </c>
      <c r="K200" s="149" t="e">
        <f>#REF!</f>
        <v>#REF!</v>
      </c>
      <c r="L200" s="149" t="e">
        <f>#REF!</f>
        <v>#REF!</v>
      </c>
      <c r="M200" s="150" t="e">
        <f>#REF!</f>
        <v>#REF!</v>
      </c>
      <c r="N200" s="364"/>
      <c r="O200" s="202"/>
      <c r="P200" s="151" t="e">
        <f>#REF!</f>
        <v>#REF!</v>
      </c>
      <c r="Q200" s="202"/>
      <c r="R200" s="152" t="e">
        <f>#REF!</f>
        <v>#REF!</v>
      </c>
      <c r="S200" s="202"/>
      <c r="T200" s="153" t="e">
        <f>#REF!</f>
        <v>#REF!</v>
      </c>
      <c r="U200" s="202"/>
      <c r="V200" s="153" t="e">
        <f>#REF!</f>
        <v>#REF!</v>
      </c>
      <c r="W200" s="202"/>
      <c r="X200" s="153" t="e">
        <f>#REF!</f>
        <v>#REF!</v>
      </c>
      <c r="Y200" s="202"/>
      <c r="Z200" s="152" t="e">
        <f>#REF!</f>
        <v>#REF!</v>
      </c>
      <c r="AA200" s="202"/>
      <c r="AB200" s="153" t="e">
        <f>#REF!</f>
        <v>#REF!</v>
      </c>
      <c r="AC200" s="202"/>
      <c r="AD200" s="152" t="e">
        <f>#REF!</f>
        <v>#REF!</v>
      </c>
      <c r="AE200" s="202"/>
      <c r="AF200" s="153" t="e">
        <f>#REF!</f>
        <v>#REF!</v>
      </c>
      <c r="AG200" s="202"/>
      <c r="AH200" s="152" t="e">
        <f>#REF!</f>
        <v>#REF!</v>
      </c>
      <c r="AI200" s="202"/>
      <c r="AJ200" s="153" t="e">
        <f>#REF!</f>
        <v>#REF!</v>
      </c>
      <c r="AK200" s="202"/>
      <c r="AL200" s="152" t="e">
        <f>#REF!</f>
        <v>#REF!</v>
      </c>
      <c r="AM200" s="202"/>
      <c r="AN200" s="153" t="e">
        <f>#REF!</f>
        <v>#REF!</v>
      </c>
      <c r="AO200" s="202"/>
      <c r="AP200" s="152" t="e">
        <f>#REF!</f>
        <v>#REF!</v>
      </c>
      <c r="AQ200" s="202"/>
      <c r="AR200" s="154" t="e">
        <f>#REF!</f>
        <v>#REF!</v>
      </c>
      <c r="AS200" s="202"/>
      <c r="AT200" s="153" t="e">
        <f>#REF!</f>
        <v>#REF!</v>
      </c>
      <c r="AU200" s="202"/>
      <c r="AV200" s="152" t="e">
        <f>#REF!</f>
        <v>#REF!</v>
      </c>
      <c r="AW200" s="202"/>
      <c r="AX200" s="153" t="e">
        <f>#REF!</f>
        <v>#REF!</v>
      </c>
      <c r="AY200" s="202"/>
      <c r="AZ200" s="152" t="e">
        <f>#REF!</f>
        <v>#REF!</v>
      </c>
      <c r="BA200" s="202"/>
      <c r="BB200" s="154" t="e">
        <f>#REF!</f>
        <v>#REF!</v>
      </c>
      <c r="BC200" s="137"/>
    </row>
    <row r="201" spans="1:55" ht="30" hidden="1" customHeight="1">
      <c r="A201" s="203" t="e">
        <f>#REF!</f>
        <v>#REF!</v>
      </c>
      <c r="B201" s="204" t="e">
        <f xml:space="preserve"> IF(#REF!=0, "",#REF!)</f>
        <v>#REF!</v>
      </c>
      <c r="C201" s="369" t="e">
        <f>#REF!</f>
        <v>#REF!</v>
      </c>
      <c r="D201" s="369"/>
      <c r="E201" s="291" t="e">
        <f>#REF!</f>
        <v>#REF!</v>
      </c>
      <c r="F201" s="148" t="e">
        <f>#REF!</f>
        <v>#REF!</v>
      </c>
      <c r="G201" s="205" t="e">
        <f xml:space="preserve"> IF(#REF!="", "",#REF!)</f>
        <v>#REF!</v>
      </c>
      <c r="H201" s="205" t="e">
        <f xml:space="preserve"> IF(#REF!="", "",#REF!)</f>
        <v>#REF!</v>
      </c>
      <c r="I201" s="205" t="e">
        <f xml:space="preserve"> IF(#REF!="", "",#REF!)</f>
        <v>#REF!</v>
      </c>
      <c r="J201" s="298" t="e">
        <f>#REF!</f>
        <v>#REF!</v>
      </c>
      <c r="K201" s="149" t="e">
        <f>#REF!</f>
        <v>#REF!</v>
      </c>
      <c r="L201" s="149" t="e">
        <f>#REF!</f>
        <v>#REF!</v>
      </c>
      <c r="M201" s="150" t="e">
        <f>#REF!</f>
        <v>#REF!</v>
      </c>
      <c r="N201" s="364"/>
      <c r="O201" s="202"/>
      <c r="P201" s="151" t="e">
        <f>#REF!</f>
        <v>#REF!</v>
      </c>
      <c r="Q201" s="202"/>
      <c r="R201" s="152" t="e">
        <f>#REF!</f>
        <v>#REF!</v>
      </c>
      <c r="S201" s="202"/>
      <c r="T201" s="153" t="e">
        <f>#REF!</f>
        <v>#REF!</v>
      </c>
      <c r="U201" s="202"/>
      <c r="V201" s="153" t="e">
        <f>#REF!</f>
        <v>#REF!</v>
      </c>
      <c r="W201" s="202"/>
      <c r="X201" s="153" t="e">
        <f>#REF!</f>
        <v>#REF!</v>
      </c>
      <c r="Y201" s="202"/>
      <c r="Z201" s="152" t="e">
        <f>#REF!</f>
        <v>#REF!</v>
      </c>
      <c r="AA201" s="202"/>
      <c r="AB201" s="153" t="e">
        <f>#REF!</f>
        <v>#REF!</v>
      </c>
      <c r="AC201" s="202"/>
      <c r="AD201" s="152" t="e">
        <f>#REF!</f>
        <v>#REF!</v>
      </c>
      <c r="AE201" s="202"/>
      <c r="AF201" s="153" t="e">
        <f>#REF!</f>
        <v>#REF!</v>
      </c>
      <c r="AG201" s="202"/>
      <c r="AH201" s="152" t="e">
        <f>#REF!</f>
        <v>#REF!</v>
      </c>
      <c r="AI201" s="202"/>
      <c r="AJ201" s="153" t="e">
        <f>#REF!</f>
        <v>#REF!</v>
      </c>
      <c r="AK201" s="202"/>
      <c r="AL201" s="152" t="e">
        <f>#REF!</f>
        <v>#REF!</v>
      </c>
      <c r="AM201" s="202"/>
      <c r="AN201" s="153" t="e">
        <f>#REF!</f>
        <v>#REF!</v>
      </c>
      <c r="AO201" s="202"/>
      <c r="AP201" s="152" t="e">
        <f>#REF!</f>
        <v>#REF!</v>
      </c>
      <c r="AQ201" s="202"/>
      <c r="AR201" s="154" t="e">
        <f>#REF!</f>
        <v>#REF!</v>
      </c>
      <c r="AS201" s="202"/>
      <c r="AT201" s="153" t="e">
        <f>#REF!</f>
        <v>#REF!</v>
      </c>
      <c r="AU201" s="202"/>
      <c r="AV201" s="152" t="e">
        <f>#REF!</f>
        <v>#REF!</v>
      </c>
      <c r="AW201" s="202"/>
      <c r="AX201" s="153" t="e">
        <f>#REF!</f>
        <v>#REF!</v>
      </c>
      <c r="AY201" s="202"/>
      <c r="AZ201" s="152" t="e">
        <f>#REF!</f>
        <v>#REF!</v>
      </c>
      <c r="BA201" s="202"/>
      <c r="BB201" s="154" t="e">
        <f>#REF!</f>
        <v>#REF!</v>
      </c>
      <c r="BC201" s="137"/>
    </row>
    <row r="202" spans="1:55" ht="30" hidden="1" customHeight="1">
      <c r="A202" s="203" t="e">
        <f>#REF!</f>
        <v>#REF!</v>
      </c>
      <c r="B202" s="204" t="e">
        <f xml:space="preserve"> IF(#REF!=0, "",#REF!)</f>
        <v>#REF!</v>
      </c>
      <c r="C202" s="369" t="e">
        <f>#REF!</f>
        <v>#REF!</v>
      </c>
      <c r="D202" s="369"/>
      <c r="E202" s="291" t="e">
        <f>#REF!</f>
        <v>#REF!</v>
      </c>
      <c r="F202" s="148" t="e">
        <f>#REF!</f>
        <v>#REF!</v>
      </c>
      <c r="G202" s="205" t="e">
        <f xml:space="preserve"> IF(#REF!="", "",#REF!)</f>
        <v>#REF!</v>
      </c>
      <c r="H202" s="205" t="e">
        <f xml:space="preserve"> IF(#REF!="", "",#REF!)</f>
        <v>#REF!</v>
      </c>
      <c r="I202" s="205" t="e">
        <f xml:space="preserve"> IF(#REF!="", "",#REF!)</f>
        <v>#REF!</v>
      </c>
      <c r="J202" s="298" t="e">
        <f>#REF!</f>
        <v>#REF!</v>
      </c>
      <c r="K202" s="149" t="e">
        <f>#REF!</f>
        <v>#REF!</v>
      </c>
      <c r="L202" s="149" t="e">
        <f>#REF!</f>
        <v>#REF!</v>
      </c>
      <c r="M202" s="150" t="e">
        <f>#REF!</f>
        <v>#REF!</v>
      </c>
      <c r="N202" s="364"/>
      <c r="O202" s="202"/>
      <c r="P202" s="151" t="e">
        <f>#REF!</f>
        <v>#REF!</v>
      </c>
      <c r="Q202" s="202"/>
      <c r="R202" s="152" t="e">
        <f>#REF!</f>
        <v>#REF!</v>
      </c>
      <c r="S202" s="202"/>
      <c r="T202" s="153" t="e">
        <f>#REF!</f>
        <v>#REF!</v>
      </c>
      <c r="U202" s="202"/>
      <c r="V202" s="153" t="e">
        <f>#REF!</f>
        <v>#REF!</v>
      </c>
      <c r="W202" s="202"/>
      <c r="X202" s="153" t="e">
        <f>#REF!</f>
        <v>#REF!</v>
      </c>
      <c r="Y202" s="202"/>
      <c r="Z202" s="152" t="e">
        <f>#REF!</f>
        <v>#REF!</v>
      </c>
      <c r="AA202" s="202"/>
      <c r="AB202" s="153" t="e">
        <f>#REF!</f>
        <v>#REF!</v>
      </c>
      <c r="AC202" s="202"/>
      <c r="AD202" s="152" t="e">
        <f>#REF!</f>
        <v>#REF!</v>
      </c>
      <c r="AE202" s="202"/>
      <c r="AF202" s="153" t="e">
        <f>#REF!</f>
        <v>#REF!</v>
      </c>
      <c r="AG202" s="202"/>
      <c r="AH202" s="152" t="e">
        <f>#REF!</f>
        <v>#REF!</v>
      </c>
      <c r="AI202" s="202"/>
      <c r="AJ202" s="153" t="e">
        <f>#REF!</f>
        <v>#REF!</v>
      </c>
      <c r="AK202" s="202"/>
      <c r="AL202" s="152" t="e">
        <f>#REF!</f>
        <v>#REF!</v>
      </c>
      <c r="AM202" s="202"/>
      <c r="AN202" s="153" t="e">
        <f>#REF!</f>
        <v>#REF!</v>
      </c>
      <c r="AO202" s="202"/>
      <c r="AP202" s="152" t="e">
        <f>#REF!</f>
        <v>#REF!</v>
      </c>
      <c r="AQ202" s="202"/>
      <c r="AR202" s="154" t="e">
        <f>#REF!</f>
        <v>#REF!</v>
      </c>
      <c r="AS202" s="202"/>
      <c r="AT202" s="153" t="e">
        <f>#REF!</f>
        <v>#REF!</v>
      </c>
      <c r="AU202" s="202"/>
      <c r="AV202" s="152" t="e">
        <f>#REF!</f>
        <v>#REF!</v>
      </c>
      <c r="AW202" s="202"/>
      <c r="AX202" s="153" t="e">
        <f>#REF!</f>
        <v>#REF!</v>
      </c>
      <c r="AY202" s="202"/>
      <c r="AZ202" s="152" t="e">
        <f>#REF!</f>
        <v>#REF!</v>
      </c>
      <c r="BA202" s="202"/>
      <c r="BB202" s="154" t="e">
        <f>#REF!</f>
        <v>#REF!</v>
      </c>
      <c r="BC202" s="137"/>
    </row>
    <row r="203" spans="1:55" ht="30" hidden="1" customHeight="1">
      <c r="A203" s="203" t="e">
        <f>#REF!</f>
        <v>#REF!</v>
      </c>
      <c r="B203" s="204" t="e">
        <f xml:space="preserve"> IF(#REF!=0, "",#REF!)</f>
        <v>#REF!</v>
      </c>
      <c r="C203" s="369" t="e">
        <f>#REF!</f>
        <v>#REF!</v>
      </c>
      <c r="D203" s="369"/>
      <c r="E203" s="291" t="e">
        <f>#REF!</f>
        <v>#REF!</v>
      </c>
      <c r="F203" s="148" t="e">
        <f>#REF!</f>
        <v>#REF!</v>
      </c>
      <c r="G203" s="205" t="e">
        <f xml:space="preserve"> IF(#REF!="", "",#REF!)</f>
        <v>#REF!</v>
      </c>
      <c r="H203" s="205" t="e">
        <f xml:space="preserve"> IF(#REF!="", "",#REF!)</f>
        <v>#REF!</v>
      </c>
      <c r="I203" s="205" t="e">
        <f xml:space="preserve"> IF(#REF!="", "",#REF!)</f>
        <v>#REF!</v>
      </c>
      <c r="J203" s="298" t="e">
        <f>#REF!</f>
        <v>#REF!</v>
      </c>
      <c r="K203" s="149" t="e">
        <f>#REF!</f>
        <v>#REF!</v>
      </c>
      <c r="L203" s="149" t="e">
        <f>#REF!</f>
        <v>#REF!</v>
      </c>
      <c r="M203" s="150" t="e">
        <f>#REF!</f>
        <v>#REF!</v>
      </c>
      <c r="N203" s="364"/>
      <c r="O203" s="202"/>
      <c r="P203" s="151" t="e">
        <f>#REF!</f>
        <v>#REF!</v>
      </c>
      <c r="Q203" s="202"/>
      <c r="R203" s="152" t="e">
        <f>#REF!</f>
        <v>#REF!</v>
      </c>
      <c r="S203" s="202"/>
      <c r="T203" s="153" t="e">
        <f>#REF!</f>
        <v>#REF!</v>
      </c>
      <c r="U203" s="202"/>
      <c r="V203" s="153" t="e">
        <f>#REF!</f>
        <v>#REF!</v>
      </c>
      <c r="W203" s="202"/>
      <c r="X203" s="153" t="e">
        <f>#REF!</f>
        <v>#REF!</v>
      </c>
      <c r="Y203" s="202"/>
      <c r="Z203" s="152" t="e">
        <f>#REF!</f>
        <v>#REF!</v>
      </c>
      <c r="AA203" s="202"/>
      <c r="AB203" s="153" t="e">
        <f>#REF!</f>
        <v>#REF!</v>
      </c>
      <c r="AC203" s="202"/>
      <c r="AD203" s="152" t="e">
        <f>#REF!</f>
        <v>#REF!</v>
      </c>
      <c r="AE203" s="202"/>
      <c r="AF203" s="153" t="e">
        <f>#REF!</f>
        <v>#REF!</v>
      </c>
      <c r="AG203" s="202"/>
      <c r="AH203" s="152" t="e">
        <f>#REF!</f>
        <v>#REF!</v>
      </c>
      <c r="AI203" s="202"/>
      <c r="AJ203" s="153" t="e">
        <f>#REF!</f>
        <v>#REF!</v>
      </c>
      <c r="AK203" s="202"/>
      <c r="AL203" s="152" t="e">
        <f>#REF!</f>
        <v>#REF!</v>
      </c>
      <c r="AM203" s="202"/>
      <c r="AN203" s="153" t="e">
        <f>#REF!</f>
        <v>#REF!</v>
      </c>
      <c r="AO203" s="202"/>
      <c r="AP203" s="152" t="e">
        <f>#REF!</f>
        <v>#REF!</v>
      </c>
      <c r="AQ203" s="202"/>
      <c r="AR203" s="154" t="e">
        <f>#REF!</f>
        <v>#REF!</v>
      </c>
      <c r="AS203" s="202"/>
      <c r="AT203" s="153" t="e">
        <f>#REF!</f>
        <v>#REF!</v>
      </c>
      <c r="AU203" s="202"/>
      <c r="AV203" s="152" t="e">
        <f>#REF!</f>
        <v>#REF!</v>
      </c>
      <c r="AW203" s="202"/>
      <c r="AX203" s="153" t="e">
        <f>#REF!</f>
        <v>#REF!</v>
      </c>
      <c r="AY203" s="202"/>
      <c r="AZ203" s="152" t="e">
        <f>#REF!</f>
        <v>#REF!</v>
      </c>
      <c r="BA203" s="202"/>
      <c r="BB203" s="154" t="e">
        <f>#REF!</f>
        <v>#REF!</v>
      </c>
      <c r="BC203" s="137"/>
    </row>
    <row r="204" spans="1:55" ht="30" hidden="1" customHeight="1">
      <c r="A204" s="203" t="e">
        <f>#REF!</f>
        <v>#REF!</v>
      </c>
      <c r="B204" s="204" t="e">
        <f xml:space="preserve"> IF(#REF!=0, "",#REF!)</f>
        <v>#REF!</v>
      </c>
      <c r="C204" s="369" t="e">
        <f>#REF!</f>
        <v>#REF!</v>
      </c>
      <c r="D204" s="369"/>
      <c r="E204" s="291" t="e">
        <f>#REF!</f>
        <v>#REF!</v>
      </c>
      <c r="F204" s="148" t="e">
        <f>#REF!</f>
        <v>#REF!</v>
      </c>
      <c r="G204" s="205" t="e">
        <f xml:space="preserve"> IF(#REF!="", "",#REF!)</f>
        <v>#REF!</v>
      </c>
      <c r="H204" s="205" t="e">
        <f xml:space="preserve"> IF(#REF!="", "",#REF!)</f>
        <v>#REF!</v>
      </c>
      <c r="I204" s="205" t="e">
        <f xml:space="preserve"> IF(#REF!="", "",#REF!)</f>
        <v>#REF!</v>
      </c>
      <c r="J204" s="298" t="e">
        <f>#REF!</f>
        <v>#REF!</v>
      </c>
      <c r="K204" s="149" t="e">
        <f>#REF!</f>
        <v>#REF!</v>
      </c>
      <c r="L204" s="149" t="e">
        <f>#REF!</f>
        <v>#REF!</v>
      </c>
      <c r="M204" s="150" t="e">
        <f>#REF!</f>
        <v>#REF!</v>
      </c>
      <c r="N204" s="364"/>
      <c r="O204" s="202"/>
      <c r="P204" s="151" t="e">
        <f>#REF!</f>
        <v>#REF!</v>
      </c>
      <c r="Q204" s="202"/>
      <c r="R204" s="152" t="e">
        <f>#REF!</f>
        <v>#REF!</v>
      </c>
      <c r="S204" s="202"/>
      <c r="T204" s="153" t="e">
        <f>#REF!</f>
        <v>#REF!</v>
      </c>
      <c r="U204" s="202"/>
      <c r="V204" s="153" t="e">
        <f>#REF!</f>
        <v>#REF!</v>
      </c>
      <c r="W204" s="202"/>
      <c r="X204" s="153" t="e">
        <f>#REF!</f>
        <v>#REF!</v>
      </c>
      <c r="Y204" s="202"/>
      <c r="Z204" s="152" t="e">
        <f>#REF!</f>
        <v>#REF!</v>
      </c>
      <c r="AA204" s="202"/>
      <c r="AB204" s="153" t="e">
        <f>#REF!</f>
        <v>#REF!</v>
      </c>
      <c r="AC204" s="202"/>
      <c r="AD204" s="152" t="e">
        <f>#REF!</f>
        <v>#REF!</v>
      </c>
      <c r="AE204" s="202"/>
      <c r="AF204" s="153" t="e">
        <f>#REF!</f>
        <v>#REF!</v>
      </c>
      <c r="AG204" s="202"/>
      <c r="AH204" s="152" t="e">
        <f>#REF!</f>
        <v>#REF!</v>
      </c>
      <c r="AI204" s="202"/>
      <c r="AJ204" s="153" t="e">
        <f>#REF!</f>
        <v>#REF!</v>
      </c>
      <c r="AK204" s="202"/>
      <c r="AL204" s="152" t="e">
        <f>#REF!</f>
        <v>#REF!</v>
      </c>
      <c r="AM204" s="202"/>
      <c r="AN204" s="153" t="e">
        <f>#REF!</f>
        <v>#REF!</v>
      </c>
      <c r="AO204" s="202"/>
      <c r="AP204" s="152" t="e">
        <f>#REF!</f>
        <v>#REF!</v>
      </c>
      <c r="AQ204" s="202"/>
      <c r="AR204" s="154" t="e">
        <f>#REF!</f>
        <v>#REF!</v>
      </c>
      <c r="AS204" s="202"/>
      <c r="AT204" s="153" t="e">
        <f>#REF!</f>
        <v>#REF!</v>
      </c>
      <c r="AU204" s="202"/>
      <c r="AV204" s="152" t="e">
        <f>#REF!</f>
        <v>#REF!</v>
      </c>
      <c r="AW204" s="202"/>
      <c r="AX204" s="153" t="e">
        <f>#REF!</f>
        <v>#REF!</v>
      </c>
      <c r="AY204" s="202"/>
      <c r="AZ204" s="152" t="e">
        <f>#REF!</f>
        <v>#REF!</v>
      </c>
      <c r="BA204" s="202"/>
      <c r="BB204" s="154" t="e">
        <f>#REF!</f>
        <v>#REF!</v>
      </c>
      <c r="BC204" s="137"/>
    </row>
    <row r="205" spans="1:55" ht="30" hidden="1" customHeight="1">
      <c r="A205" s="203" t="e">
        <f>#REF!</f>
        <v>#REF!</v>
      </c>
      <c r="B205" s="204" t="e">
        <f xml:space="preserve"> IF(#REF!=0, "",#REF!)</f>
        <v>#REF!</v>
      </c>
      <c r="C205" s="369" t="e">
        <f>#REF!</f>
        <v>#REF!</v>
      </c>
      <c r="D205" s="369"/>
      <c r="E205" s="291" t="e">
        <f>#REF!</f>
        <v>#REF!</v>
      </c>
      <c r="F205" s="148" t="e">
        <f>#REF!</f>
        <v>#REF!</v>
      </c>
      <c r="G205" s="205" t="e">
        <f xml:space="preserve"> IF(#REF!="", "",#REF!)</f>
        <v>#REF!</v>
      </c>
      <c r="H205" s="205" t="e">
        <f xml:space="preserve"> IF(#REF!="", "",#REF!)</f>
        <v>#REF!</v>
      </c>
      <c r="I205" s="205" t="e">
        <f xml:space="preserve"> IF(#REF!="", "",#REF!)</f>
        <v>#REF!</v>
      </c>
      <c r="J205" s="298" t="e">
        <f>#REF!</f>
        <v>#REF!</v>
      </c>
      <c r="K205" s="149" t="e">
        <f>#REF!</f>
        <v>#REF!</v>
      </c>
      <c r="L205" s="149" t="e">
        <f>#REF!</f>
        <v>#REF!</v>
      </c>
      <c r="M205" s="150" t="e">
        <f>#REF!</f>
        <v>#REF!</v>
      </c>
      <c r="N205" s="364"/>
      <c r="O205" s="202"/>
      <c r="P205" s="151" t="e">
        <f>#REF!</f>
        <v>#REF!</v>
      </c>
      <c r="Q205" s="202"/>
      <c r="R205" s="152" t="e">
        <f>#REF!</f>
        <v>#REF!</v>
      </c>
      <c r="S205" s="202"/>
      <c r="T205" s="153" t="e">
        <f>#REF!</f>
        <v>#REF!</v>
      </c>
      <c r="U205" s="202"/>
      <c r="V205" s="153" t="e">
        <f>#REF!</f>
        <v>#REF!</v>
      </c>
      <c r="W205" s="202"/>
      <c r="X205" s="153" t="e">
        <f>#REF!</f>
        <v>#REF!</v>
      </c>
      <c r="Y205" s="202"/>
      <c r="Z205" s="152" t="e">
        <f>#REF!</f>
        <v>#REF!</v>
      </c>
      <c r="AA205" s="202"/>
      <c r="AB205" s="153" t="e">
        <f>#REF!</f>
        <v>#REF!</v>
      </c>
      <c r="AC205" s="202"/>
      <c r="AD205" s="152" t="e">
        <f>#REF!</f>
        <v>#REF!</v>
      </c>
      <c r="AE205" s="202"/>
      <c r="AF205" s="153" t="e">
        <f>#REF!</f>
        <v>#REF!</v>
      </c>
      <c r="AG205" s="202"/>
      <c r="AH205" s="152" t="e">
        <f>#REF!</f>
        <v>#REF!</v>
      </c>
      <c r="AI205" s="202"/>
      <c r="AJ205" s="153" t="e">
        <f>#REF!</f>
        <v>#REF!</v>
      </c>
      <c r="AK205" s="202"/>
      <c r="AL205" s="152" t="e">
        <f>#REF!</f>
        <v>#REF!</v>
      </c>
      <c r="AM205" s="202"/>
      <c r="AN205" s="153" t="e">
        <f>#REF!</f>
        <v>#REF!</v>
      </c>
      <c r="AO205" s="202"/>
      <c r="AP205" s="152" t="e">
        <f>#REF!</f>
        <v>#REF!</v>
      </c>
      <c r="AQ205" s="202"/>
      <c r="AR205" s="154" t="e">
        <f>#REF!</f>
        <v>#REF!</v>
      </c>
      <c r="AS205" s="202"/>
      <c r="AT205" s="153" t="e">
        <f>#REF!</f>
        <v>#REF!</v>
      </c>
      <c r="AU205" s="202"/>
      <c r="AV205" s="152" t="e">
        <f>#REF!</f>
        <v>#REF!</v>
      </c>
      <c r="AW205" s="202"/>
      <c r="AX205" s="153" t="e">
        <f>#REF!</f>
        <v>#REF!</v>
      </c>
      <c r="AY205" s="202"/>
      <c r="AZ205" s="152" t="e">
        <f>#REF!</f>
        <v>#REF!</v>
      </c>
      <c r="BA205" s="202"/>
      <c r="BB205" s="154" t="e">
        <f>#REF!</f>
        <v>#REF!</v>
      </c>
      <c r="BC205" s="137"/>
    </row>
    <row r="206" spans="1:55" ht="30" hidden="1" customHeight="1">
      <c r="A206" s="203" t="e">
        <f>#REF!</f>
        <v>#REF!</v>
      </c>
      <c r="B206" s="204" t="e">
        <f xml:space="preserve"> IF(#REF!=0, "",#REF!)</f>
        <v>#REF!</v>
      </c>
      <c r="C206" s="369" t="e">
        <f>#REF!</f>
        <v>#REF!</v>
      </c>
      <c r="D206" s="369"/>
      <c r="E206" s="291" t="e">
        <f>#REF!</f>
        <v>#REF!</v>
      </c>
      <c r="F206" s="148" t="e">
        <f>#REF!</f>
        <v>#REF!</v>
      </c>
      <c r="G206" s="205" t="e">
        <f xml:space="preserve"> IF(#REF!="", "",#REF!)</f>
        <v>#REF!</v>
      </c>
      <c r="H206" s="205" t="e">
        <f xml:space="preserve"> IF(#REF!="", "",#REF!)</f>
        <v>#REF!</v>
      </c>
      <c r="I206" s="205" t="e">
        <f xml:space="preserve"> IF(#REF!="", "",#REF!)</f>
        <v>#REF!</v>
      </c>
      <c r="J206" s="298" t="e">
        <f>#REF!</f>
        <v>#REF!</v>
      </c>
      <c r="K206" s="149" t="e">
        <f>#REF!</f>
        <v>#REF!</v>
      </c>
      <c r="L206" s="149" t="e">
        <f>#REF!</f>
        <v>#REF!</v>
      </c>
      <c r="M206" s="150" t="e">
        <f>#REF!</f>
        <v>#REF!</v>
      </c>
      <c r="N206" s="364"/>
      <c r="O206" s="202"/>
      <c r="P206" s="151" t="e">
        <f>#REF!</f>
        <v>#REF!</v>
      </c>
      <c r="Q206" s="202"/>
      <c r="R206" s="152" t="e">
        <f>#REF!</f>
        <v>#REF!</v>
      </c>
      <c r="S206" s="202"/>
      <c r="T206" s="153" t="e">
        <f>#REF!</f>
        <v>#REF!</v>
      </c>
      <c r="U206" s="202"/>
      <c r="V206" s="153" t="e">
        <f>#REF!</f>
        <v>#REF!</v>
      </c>
      <c r="W206" s="202"/>
      <c r="X206" s="153" t="e">
        <f>#REF!</f>
        <v>#REF!</v>
      </c>
      <c r="Y206" s="202"/>
      <c r="Z206" s="152" t="e">
        <f>#REF!</f>
        <v>#REF!</v>
      </c>
      <c r="AA206" s="202"/>
      <c r="AB206" s="153" t="e">
        <f>#REF!</f>
        <v>#REF!</v>
      </c>
      <c r="AC206" s="202"/>
      <c r="AD206" s="152" t="e">
        <f>#REF!</f>
        <v>#REF!</v>
      </c>
      <c r="AE206" s="202"/>
      <c r="AF206" s="153" t="e">
        <f>#REF!</f>
        <v>#REF!</v>
      </c>
      <c r="AG206" s="202"/>
      <c r="AH206" s="152" t="e">
        <f>#REF!</f>
        <v>#REF!</v>
      </c>
      <c r="AI206" s="202"/>
      <c r="AJ206" s="153" t="e">
        <f>#REF!</f>
        <v>#REF!</v>
      </c>
      <c r="AK206" s="202"/>
      <c r="AL206" s="152" t="e">
        <f>#REF!</f>
        <v>#REF!</v>
      </c>
      <c r="AM206" s="202"/>
      <c r="AN206" s="153" t="e">
        <f>#REF!</f>
        <v>#REF!</v>
      </c>
      <c r="AO206" s="202"/>
      <c r="AP206" s="152" t="e">
        <f>#REF!</f>
        <v>#REF!</v>
      </c>
      <c r="AQ206" s="202"/>
      <c r="AR206" s="154" t="e">
        <f>#REF!</f>
        <v>#REF!</v>
      </c>
      <c r="AS206" s="202"/>
      <c r="AT206" s="153" t="e">
        <f>#REF!</f>
        <v>#REF!</v>
      </c>
      <c r="AU206" s="202"/>
      <c r="AV206" s="152" t="e">
        <f>#REF!</f>
        <v>#REF!</v>
      </c>
      <c r="AW206" s="202"/>
      <c r="AX206" s="153" t="e">
        <f>#REF!</f>
        <v>#REF!</v>
      </c>
      <c r="AY206" s="202"/>
      <c r="AZ206" s="152" t="e">
        <f>#REF!</f>
        <v>#REF!</v>
      </c>
      <c r="BA206" s="202"/>
      <c r="BB206" s="154" t="e">
        <f>#REF!</f>
        <v>#REF!</v>
      </c>
      <c r="BC206" s="137"/>
    </row>
    <row r="207" spans="1:55" ht="30" hidden="1" customHeight="1">
      <c r="A207" s="203" t="e">
        <f>#REF!</f>
        <v>#REF!</v>
      </c>
      <c r="B207" s="204" t="e">
        <f xml:space="preserve"> IF(#REF!=0, "",#REF!)</f>
        <v>#REF!</v>
      </c>
      <c r="C207" s="369" t="e">
        <f>#REF!</f>
        <v>#REF!</v>
      </c>
      <c r="D207" s="369"/>
      <c r="E207" s="291" t="e">
        <f>#REF!</f>
        <v>#REF!</v>
      </c>
      <c r="F207" s="148" t="e">
        <f>#REF!</f>
        <v>#REF!</v>
      </c>
      <c r="G207" s="205" t="e">
        <f xml:space="preserve"> IF(#REF!="", "",#REF!)</f>
        <v>#REF!</v>
      </c>
      <c r="H207" s="205" t="e">
        <f xml:space="preserve"> IF(#REF!="", "",#REF!)</f>
        <v>#REF!</v>
      </c>
      <c r="I207" s="205" t="e">
        <f xml:space="preserve"> IF(#REF!="", "",#REF!)</f>
        <v>#REF!</v>
      </c>
      <c r="J207" s="298" t="e">
        <f>#REF!</f>
        <v>#REF!</v>
      </c>
      <c r="K207" s="149" t="e">
        <f>#REF!</f>
        <v>#REF!</v>
      </c>
      <c r="L207" s="149" t="e">
        <f>#REF!</f>
        <v>#REF!</v>
      </c>
      <c r="M207" s="150" t="e">
        <f>#REF!</f>
        <v>#REF!</v>
      </c>
      <c r="N207" s="364"/>
      <c r="O207" s="202"/>
      <c r="P207" s="151" t="e">
        <f>#REF!</f>
        <v>#REF!</v>
      </c>
      <c r="Q207" s="202"/>
      <c r="R207" s="152" t="e">
        <f>#REF!</f>
        <v>#REF!</v>
      </c>
      <c r="S207" s="202"/>
      <c r="T207" s="153" t="e">
        <f>#REF!</f>
        <v>#REF!</v>
      </c>
      <c r="U207" s="202"/>
      <c r="V207" s="153" t="e">
        <f>#REF!</f>
        <v>#REF!</v>
      </c>
      <c r="W207" s="202"/>
      <c r="X207" s="153" t="e">
        <f>#REF!</f>
        <v>#REF!</v>
      </c>
      <c r="Y207" s="202"/>
      <c r="Z207" s="152" t="e">
        <f>#REF!</f>
        <v>#REF!</v>
      </c>
      <c r="AA207" s="202"/>
      <c r="AB207" s="153" t="e">
        <f>#REF!</f>
        <v>#REF!</v>
      </c>
      <c r="AC207" s="202"/>
      <c r="AD207" s="152" t="e">
        <f>#REF!</f>
        <v>#REF!</v>
      </c>
      <c r="AE207" s="202"/>
      <c r="AF207" s="153" t="e">
        <f>#REF!</f>
        <v>#REF!</v>
      </c>
      <c r="AG207" s="202"/>
      <c r="AH207" s="152" t="e">
        <f>#REF!</f>
        <v>#REF!</v>
      </c>
      <c r="AI207" s="202"/>
      <c r="AJ207" s="153" t="e">
        <f>#REF!</f>
        <v>#REF!</v>
      </c>
      <c r="AK207" s="202"/>
      <c r="AL207" s="152" t="e">
        <f>#REF!</f>
        <v>#REF!</v>
      </c>
      <c r="AM207" s="202"/>
      <c r="AN207" s="153" t="e">
        <f>#REF!</f>
        <v>#REF!</v>
      </c>
      <c r="AO207" s="202"/>
      <c r="AP207" s="152" t="e">
        <f>#REF!</f>
        <v>#REF!</v>
      </c>
      <c r="AQ207" s="202"/>
      <c r="AR207" s="154" t="e">
        <f>#REF!</f>
        <v>#REF!</v>
      </c>
      <c r="AS207" s="202"/>
      <c r="AT207" s="153" t="e">
        <f>#REF!</f>
        <v>#REF!</v>
      </c>
      <c r="AU207" s="202"/>
      <c r="AV207" s="152" t="e">
        <f>#REF!</f>
        <v>#REF!</v>
      </c>
      <c r="AW207" s="202"/>
      <c r="AX207" s="153" t="e">
        <f>#REF!</f>
        <v>#REF!</v>
      </c>
      <c r="AY207" s="202"/>
      <c r="AZ207" s="152" t="e">
        <f>#REF!</f>
        <v>#REF!</v>
      </c>
      <c r="BA207" s="202"/>
      <c r="BB207" s="154" t="e">
        <f>#REF!</f>
        <v>#REF!</v>
      </c>
      <c r="BC207" s="137"/>
    </row>
    <row r="208" spans="1:55" ht="30" hidden="1" customHeight="1">
      <c r="A208" s="203" t="e">
        <f>#REF!</f>
        <v>#REF!</v>
      </c>
      <c r="B208" s="204" t="e">
        <f xml:space="preserve"> IF(#REF!=0, "",#REF!)</f>
        <v>#REF!</v>
      </c>
      <c r="C208" s="369" t="e">
        <f>#REF!</f>
        <v>#REF!</v>
      </c>
      <c r="D208" s="369"/>
      <c r="E208" s="291" t="e">
        <f>#REF!</f>
        <v>#REF!</v>
      </c>
      <c r="F208" s="148" t="e">
        <f>#REF!</f>
        <v>#REF!</v>
      </c>
      <c r="G208" s="205" t="e">
        <f xml:space="preserve"> IF(#REF!="", "",#REF!)</f>
        <v>#REF!</v>
      </c>
      <c r="H208" s="205" t="e">
        <f xml:space="preserve"> IF(#REF!="", "",#REF!)</f>
        <v>#REF!</v>
      </c>
      <c r="I208" s="205" t="e">
        <f xml:space="preserve"> IF(#REF!="", "",#REF!)</f>
        <v>#REF!</v>
      </c>
      <c r="J208" s="298" t="e">
        <f>#REF!</f>
        <v>#REF!</v>
      </c>
      <c r="K208" s="149" t="e">
        <f>#REF!</f>
        <v>#REF!</v>
      </c>
      <c r="L208" s="149" t="e">
        <f>#REF!</f>
        <v>#REF!</v>
      </c>
      <c r="M208" s="150" t="e">
        <f>#REF!</f>
        <v>#REF!</v>
      </c>
      <c r="N208" s="364"/>
      <c r="O208" s="202"/>
      <c r="P208" s="151" t="e">
        <f>#REF!</f>
        <v>#REF!</v>
      </c>
      <c r="Q208" s="202"/>
      <c r="R208" s="152" t="e">
        <f>#REF!</f>
        <v>#REF!</v>
      </c>
      <c r="S208" s="202"/>
      <c r="T208" s="153" t="e">
        <f>#REF!</f>
        <v>#REF!</v>
      </c>
      <c r="U208" s="202"/>
      <c r="V208" s="153" t="e">
        <f>#REF!</f>
        <v>#REF!</v>
      </c>
      <c r="W208" s="202"/>
      <c r="X208" s="153" t="e">
        <f>#REF!</f>
        <v>#REF!</v>
      </c>
      <c r="Y208" s="202"/>
      <c r="Z208" s="152" t="e">
        <f>#REF!</f>
        <v>#REF!</v>
      </c>
      <c r="AA208" s="202"/>
      <c r="AB208" s="153" t="e">
        <f>#REF!</f>
        <v>#REF!</v>
      </c>
      <c r="AC208" s="202"/>
      <c r="AD208" s="152" t="e">
        <f>#REF!</f>
        <v>#REF!</v>
      </c>
      <c r="AE208" s="202"/>
      <c r="AF208" s="153" t="e">
        <f>#REF!</f>
        <v>#REF!</v>
      </c>
      <c r="AG208" s="202"/>
      <c r="AH208" s="152" t="e">
        <f>#REF!</f>
        <v>#REF!</v>
      </c>
      <c r="AI208" s="202"/>
      <c r="AJ208" s="153" t="e">
        <f>#REF!</f>
        <v>#REF!</v>
      </c>
      <c r="AK208" s="202"/>
      <c r="AL208" s="152" t="e">
        <f>#REF!</f>
        <v>#REF!</v>
      </c>
      <c r="AM208" s="202"/>
      <c r="AN208" s="153" t="e">
        <f>#REF!</f>
        <v>#REF!</v>
      </c>
      <c r="AO208" s="202"/>
      <c r="AP208" s="152" t="e">
        <f>#REF!</f>
        <v>#REF!</v>
      </c>
      <c r="AQ208" s="202"/>
      <c r="AR208" s="154" t="e">
        <f>#REF!</f>
        <v>#REF!</v>
      </c>
      <c r="AS208" s="202"/>
      <c r="AT208" s="153" t="e">
        <f>#REF!</f>
        <v>#REF!</v>
      </c>
      <c r="AU208" s="202"/>
      <c r="AV208" s="152" t="e">
        <f>#REF!</f>
        <v>#REF!</v>
      </c>
      <c r="AW208" s="202"/>
      <c r="AX208" s="153" t="e">
        <f>#REF!</f>
        <v>#REF!</v>
      </c>
      <c r="AY208" s="202"/>
      <c r="AZ208" s="152" t="e">
        <f>#REF!</f>
        <v>#REF!</v>
      </c>
      <c r="BA208" s="202"/>
      <c r="BB208" s="154" t="e">
        <f>#REF!</f>
        <v>#REF!</v>
      </c>
      <c r="BC208" s="137"/>
    </row>
    <row r="209" spans="1:55" ht="30" hidden="1" customHeight="1">
      <c r="A209" s="203" t="e">
        <f>#REF!</f>
        <v>#REF!</v>
      </c>
      <c r="B209" s="204" t="e">
        <f xml:space="preserve"> IF(#REF!=0, "",#REF!)</f>
        <v>#REF!</v>
      </c>
      <c r="C209" s="369" t="e">
        <f>#REF!</f>
        <v>#REF!</v>
      </c>
      <c r="D209" s="369"/>
      <c r="E209" s="291" t="e">
        <f>#REF!</f>
        <v>#REF!</v>
      </c>
      <c r="F209" s="148" t="e">
        <f>#REF!</f>
        <v>#REF!</v>
      </c>
      <c r="G209" s="205" t="e">
        <f xml:space="preserve"> IF(#REF!="", "",#REF!)</f>
        <v>#REF!</v>
      </c>
      <c r="H209" s="205" t="e">
        <f xml:space="preserve"> IF(#REF!="", "",#REF!)</f>
        <v>#REF!</v>
      </c>
      <c r="I209" s="205" t="e">
        <f xml:space="preserve"> IF(#REF!="", "",#REF!)</f>
        <v>#REF!</v>
      </c>
      <c r="J209" s="298" t="e">
        <f>#REF!</f>
        <v>#REF!</v>
      </c>
      <c r="K209" s="149" t="e">
        <f>#REF!</f>
        <v>#REF!</v>
      </c>
      <c r="L209" s="149" t="e">
        <f>#REF!</f>
        <v>#REF!</v>
      </c>
      <c r="M209" s="150" t="e">
        <f>#REF!</f>
        <v>#REF!</v>
      </c>
      <c r="N209" s="364"/>
      <c r="O209" s="202"/>
      <c r="P209" s="151" t="e">
        <f>#REF!</f>
        <v>#REF!</v>
      </c>
      <c r="Q209" s="202"/>
      <c r="R209" s="152" t="e">
        <f>#REF!</f>
        <v>#REF!</v>
      </c>
      <c r="S209" s="202"/>
      <c r="T209" s="153" t="e">
        <f>#REF!</f>
        <v>#REF!</v>
      </c>
      <c r="U209" s="202"/>
      <c r="V209" s="153" t="e">
        <f>#REF!</f>
        <v>#REF!</v>
      </c>
      <c r="W209" s="202"/>
      <c r="X209" s="153" t="e">
        <f>#REF!</f>
        <v>#REF!</v>
      </c>
      <c r="Y209" s="202"/>
      <c r="Z209" s="152" t="e">
        <f>#REF!</f>
        <v>#REF!</v>
      </c>
      <c r="AA209" s="202"/>
      <c r="AB209" s="153" t="e">
        <f>#REF!</f>
        <v>#REF!</v>
      </c>
      <c r="AC209" s="202"/>
      <c r="AD209" s="152" t="e">
        <f>#REF!</f>
        <v>#REF!</v>
      </c>
      <c r="AE209" s="202"/>
      <c r="AF209" s="153" t="e">
        <f>#REF!</f>
        <v>#REF!</v>
      </c>
      <c r="AG209" s="202"/>
      <c r="AH209" s="152" t="e">
        <f>#REF!</f>
        <v>#REF!</v>
      </c>
      <c r="AI209" s="202"/>
      <c r="AJ209" s="153" t="e">
        <f>#REF!</f>
        <v>#REF!</v>
      </c>
      <c r="AK209" s="202"/>
      <c r="AL209" s="152" t="e">
        <f>#REF!</f>
        <v>#REF!</v>
      </c>
      <c r="AM209" s="202"/>
      <c r="AN209" s="153" t="e">
        <f>#REF!</f>
        <v>#REF!</v>
      </c>
      <c r="AO209" s="202"/>
      <c r="AP209" s="152" t="e">
        <f>#REF!</f>
        <v>#REF!</v>
      </c>
      <c r="AQ209" s="202"/>
      <c r="AR209" s="154" t="e">
        <f>#REF!</f>
        <v>#REF!</v>
      </c>
      <c r="AS209" s="202"/>
      <c r="AT209" s="153" t="e">
        <f>#REF!</f>
        <v>#REF!</v>
      </c>
      <c r="AU209" s="202"/>
      <c r="AV209" s="152" t="e">
        <f>#REF!</f>
        <v>#REF!</v>
      </c>
      <c r="AW209" s="202"/>
      <c r="AX209" s="153" t="e">
        <f>#REF!</f>
        <v>#REF!</v>
      </c>
      <c r="AY209" s="202"/>
      <c r="AZ209" s="152" t="e">
        <f>#REF!</f>
        <v>#REF!</v>
      </c>
      <c r="BA209" s="202"/>
      <c r="BB209" s="154" t="e">
        <f>#REF!</f>
        <v>#REF!</v>
      </c>
      <c r="BC209" s="137"/>
    </row>
    <row r="210" spans="1:55" ht="30" hidden="1" customHeight="1">
      <c r="A210" s="203" t="e">
        <f>#REF!</f>
        <v>#REF!</v>
      </c>
      <c r="B210" s="204" t="e">
        <f xml:space="preserve"> IF(#REF!=0, "",#REF!)</f>
        <v>#REF!</v>
      </c>
      <c r="C210" s="369" t="e">
        <f>#REF!</f>
        <v>#REF!</v>
      </c>
      <c r="D210" s="369"/>
      <c r="E210" s="291" t="e">
        <f>#REF!</f>
        <v>#REF!</v>
      </c>
      <c r="F210" s="148" t="e">
        <f>#REF!</f>
        <v>#REF!</v>
      </c>
      <c r="G210" s="205" t="e">
        <f xml:space="preserve"> IF(#REF!="", "",#REF!)</f>
        <v>#REF!</v>
      </c>
      <c r="H210" s="205" t="e">
        <f xml:space="preserve"> IF(#REF!="", "",#REF!)</f>
        <v>#REF!</v>
      </c>
      <c r="I210" s="205" t="e">
        <f xml:space="preserve"> IF(#REF!="", "",#REF!)</f>
        <v>#REF!</v>
      </c>
      <c r="J210" s="298" t="e">
        <f>#REF!</f>
        <v>#REF!</v>
      </c>
      <c r="K210" s="149" t="e">
        <f>#REF!</f>
        <v>#REF!</v>
      </c>
      <c r="L210" s="149" t="e">
        <f>#REF!</f>
        <v>#REF!</v>
      </c>
      <c r="M210" s="150" t="e">
        <f>#REF!</f>
        <v>#REF!</v>
      </c>
      <c r="N210" s="364"/>
      <c r="O210" s="202"/>
      <c r="P210" s="151" t="e">
        <f>#REF!</f>
        <v>#REF!</v>
      </c>
      <c r="Q210" s="202"/>
      <c r="R210" s="152" t="e">
        <f>#REF!</f>
        <v>#REF!</v>
      </c>
      <c r="S210" s="202"/>
      <c r="T210" s="153" t="e">
        <f>#REF!</f>
        <v>#REF!</v>
      </c>
      <c r="U210" s="202"/>
      <c r="V210" s="153" t="e">
        <f>#REF!</f>
        <v>#REF!</v>
      </c>
      <c r="W210" s="202"/>
      <c r="X210" s="153" t="e">
        <f>#REF!</f>
        <v>#REF!</v>
      </c>
      <c r="Y210" s="202"/>
      <c r="Z210" s="152" t="e">
        <f>#REF!</f>
        <v>#REF!</v>
      </c>
      <c r="AA210" s="202"/>
      <c r="AB210" s="153" t="e">
        <f>#REF!</f>
        <v>#REF!</v>
      </c>
      <c r="AC210" s="202"/>
      <c r="AD210" s="152" t="e">
        <f>#REF!</f>
        <v>#REF!</v>
      </c>
      <c r="AE210" s="202"/>
      <c r="AF210" s="153" t="e">
        <f>#REF!</f>
        <v>#REF!</v>
      </c>
      <c r="AG210" s="202"/>
      <c r="AH210" s="152" t="e">
        <f>#REF!</f>
        <v>#REF!</v>
      </c>
      <c r="AI210" s="202"/>
      <c r="AJ210" s="153" t="e">
        <f>#REF!</f>
        <v>#REF!</v>
      </c>
      <c r="AK210" s="202"/>
      <c r="AL210" s="152" t="e">
        <f>#REF!</f>
        <v>#REF!</v>
      </c>
      <c r="AM210" s="202"/>
      <c r="AN210" s="153" t="e">
        <f>#REF!</f>
        <v>#REF!</v>
      </c>
      <c r="AO210" s="202"/>
      <c r="AP210" s="152" t="e">
        <f>#REF!</f>
        <v>#REF!</v>
      </c>
      <c r="AQ210" s="202"/>
      <c r="AR210" s="154" t="e">
        <f>#REF!</f>
        <v>#REF!</v>
      </c>
      <c r="AS210" s="202"/>
      <c r="AT210" s="153" t="e">
        <f>#REF!</f>
        <v>#REF!</v>
      </c>
      <c r="AU210" s="202"/>
      <c r="AV210" s="152" t="e">
        <f>#REF!</f>
        <v>#REF!</v>
      </c>
      <c r="AW210" s="202"/>
      <c r="AX210" s="153" t="e">
        <f>#REF!</f>
        <v>#REF!</v>
      </c>
      <c r="AY210" s="202"/>
      <c r="AZ210" s="152" t="e">
        <f>#REF!</f>
        <v>#REF!</v>
      </c>
      <c r="BA210" s="202"/>
      <c r="BB210" s="154" t="e">
        <f>#REF!</f>
        <v>#REF!</v>
      </c>
      <c r="BC210" s="137"/>
    </row>
    <row r="211" spans="1:55" ht="30" hidden="1" customHeight="1">
      <c r="A211" s="203" t="e">
        <f>#REF!</f>
        <v>#REF!</v>
      </c>
      <c r="B211" s="204" t="e">
        <f xml:space="preserve"> IF(#REF!=0, "",#REF!)</f>
        <v>#REF!</v>
      </c>
      <c r="C211" s="369" t="e">
        <f>#REF!</f>
        <v>#REF!</v>
      </c>
      <c r="D211" s="369"/>
      <c r="E211" s="291" t="e">
        <f>#REF!</f>
        <v>#REF!</v>
      </c>
      <c r="F211" s="148" t="e">
        <f>#REF!</f>
        <v>#REF!</v>
      </c>
      <c r="G211" s="205" t="e">
        <f xml:space="preserve"> IF(#REF!="", "",#REF!)</f>
        <v>#REF!</v>
      </c>
      <c r="H211" s="205" t="e">
        <f xml:space="preserve"> IF(#REF!="", "",#REF!)</f>
        <v>#REF!</v>
      </c>
      <c r="I211" s="205" t="e">
        <f xml:space="preserve"> IF(#REF!="", "",#REF!)</f>
        <v>#REF!</v>
      </c>
      <c r="J211" s="298" t="e">
        <f>#REF!</f>
        <v>#REF!</v>
      </c>
      <c r="K211" s="149" t="e">
        <f>#REF!</f>
        <v>#REF!</v>
      </c>
      <c r="L211" s="149" t="e">
        <f>#REF!</f>
        <v>#REF!</v>
      </c>
      <c r="M211" s="150" t="e">
        <f>#REF!</f>
        <v>#REF!</v>
      </c>
      <c r="N211" s="364"/>
      <c r="O211" s="202"/>
      <c r="P211" s="151" t="e">
        <f>#REF!</f>
        <v>#REF!</v>
      </c>
      <c r="Q211" s="202"/>
      <c r="R211" s="152" t="e">
        <f>#REF!</f>
        <v>#REF!</v>
      </c>
      <c r="S211" s="202"/>
      <c r="T211" s="153" t="e">
        <f>#REF!</f>
        <v>#REF!</v>
      </c>
      <c r="U211" s="202"/>
      <c r="V211" s="153" t="e">
        <f>#REF!</f>
        <v>#REF!</v>
      </c>
      <c r="W211" s="202"/>
      <c r="X211" s="153" t="e">
        <f>#REF!</f>
        <v>#REF!</v>
      </c>
      <c r="Y211" s="202"/>
      <c r="Z211" s="152" t="e">
        <f>#REF!</f>
        <v>#REF!</v>
      </c>
      <c r="AA211" s="202"/>
      <c r="AB211" s="153" t="e">
        <f>#REF!</f>
        <v>#REF!</v>
      </c>
      <c r="AC211" s="202"/>
      <c r="AD211" s="152" t="e">
        <f>#REF!</f>
        <v>#REF!</v>
      </c>
      <c r="AE211" s="202"/>
      <c r="AF211" s="153" t="e">
        <f>#REF!</f>
        <v>#REF!</v>
      </c>
      <c r="AG211" s="202"/>
      <c r="AH211" s="152" t="e">
        <f>#REF!</f>
        <v>#REF!</v>
      </c>
      <c r="AI211" s="202"/>
      <c r="AJ211" s="153" t="e">
        <f>#REF!</f>
        <v>#REF!</v>
      </c>
      <c r="AK211" s="202"/>
      <c r="AL211" s="152" t="e">
        <f>#REF!</f>
        <v>#REF!</v>
      </c>
      <c r="AM211" s="202"/>
      <c r="AN211" s="153" t="e">
        <f>#REF!</f>
        <v>#REF!</v>
      </c>
      <c r="AO211" s="202"/>
      <c r="AP211" s="152" t="e">
        <f>#REF!</f>
        <v>#REF!</v>
      </c>
      <c r="AQ211" s="202"/>
      <c r="AR211" s="154" t="e">
        <f>#REF!</f>
        <v>#REF!</v>
      </c>
      <c r="AS211" s="202"/>
      <c r="AT211" s="153" t="e">
        <f>#REF!</f>
        <v>#REF!</v>
      </c>
      <c r="AU211" s="202"/>
      <c r="AV211" s="152" t="e">
        <f>#REF!</f>
        <v>#REF!</v>
      </c>
      <c r="AW211" s="202"/>
      <c r="AX211" s="153" t="e">
        <f>#REF!</f>
        <v>#REF!</v>
      </c>
      <c r="AY211" s="202"/>
      <c r="AZ211" s="152" t="e">
        <f>#REF!</f>
        <v>#REF!</v>
      </c>
      <c r="BA211" s="202"/>
      <c r="BB211" s="154" t="e">
        <f>#REF!</f>
        <v>#REF!</v>
      </c>
      <c r="BC211" s="137"/>
    </row>
    <row r="212" spans="1:55" ht="30" hidden="1" customHeight="1">
      <c r="A212" s="203" t="e">
        <f>#REF!</f>
        <v>#REF!</v>
      </c>
      <c r="B212" s="204" t="e">
        <f xml:space="preserve"> IF(#REF!=0, "",#REF!)</f>
        <v>#REF!</v>
      </c>
      <c r="C212" s="369" t="e">
        <f>#REF!</f>
        <v>#REF!</v>
      </c>
      <c r="D212" s="369"/>
      <c r="E212" s="291" t="e">
        <f>#REF!</f>
        <v>#REF!</v>
      </c>
      <c r="F212" s="148" t="e">
        <f>#REF!</f>
        <v>#REF!</v>
      </c>
      <c r="G212" s="205" t="e">
        <f xml:space="preserve"> IF(#REF!="", "",#REF!)</f>
        <v>#REF!</v>
      </c>
      <c r="H212" s="205" t="e">
        <f xml:space="preserve"> IF(#REF!="", "",#REF!)</f>
        <v>#REF!</v>
      </c>
      <c r="I212" s="205" t="e">
        <f xml:space="preserve"> IF(#REF!="", "",#REF!)</f>
        <v>#REF!</v>
      </c>
      <c r="J212" s="298" t="e">
        <f>#REF!</f>
        <v>#REF!</v>
      </c>
      <c r="K212" s="149" t="e">
        <f>#REF!</f>
        <v>#REF!</v>
      </c>
      <c r="L212" s="149" t="e">
        <f>#REF!</f>
        <v>#REF!</v>
      </c>
      <c r="M212" s="150" t="e">
        <f>#REF!</f>
        <v>#REF!</v>
      </c>
      <c r="N212" s="364"/>
      <c r="O212" s="202"/>
      <c r="P212" s="151" t="e">
        <f>#REF!</f>
        <v>#REF!</v>
      </c>
      <c r="Q212" s="202"/>
      <c r="R212" s="152" t="e">
        <f>#REF!</f>
        <v>#REF!</v>
      </c>
      <c r="S212" s="202"/>
      <c r="T212" s="153" t="e">
        <f>#REF!</f>
        <v>#REF!</v>
      </c>
      <c r="U212" s="202"/>
      <c r="V212" s="153" t="e">
        <f>#REF!</f>
        <v>#REF!</v>
      </c>
      <c r="W212" s="202"/>
      <c r="X212" s="153" t="e">
        <f>#REF!</f>
        <v>#REF!</v>
      </c>
      <c r="Y212" s="202"/>
      <c r="Z212" s="152" t="e">
        <f>#REF!</f>
        <v>#REF!</v>
      </c>
      <c r="AA212" s="202"/>
      <c r="AB212" s="153" t="e">
        <f>#REF!</f>
        <v>#REF!</v>
      </c>
      <c r="AC212" s="202"/>
      <c r="AD212" s="152" t="e">
        <f>#REF!</f>
        <v>#REF!</v>
      </c>
      <c r="AE212" s="202"/>
      <c r="AF212" s="153" t="e">
        <f>#REF!</f>
        <v>#REF!</v>
      </c>
      <c r="AG212" s="202"/>
      <c r="AH212" s="152" t="e">
        <f>#REF!</f>
        <v>#REF!</v>
      </c>
      <c r="AI212" s="202"/>
      <c r="AJ212" s="153" t="e">
        <f>#REF!</f>
        <v>#REF!</v>
      </c>
      <c r="AK212" s="202"/>
      <c r="AL212" s="152" t="e">
        <f>#REF!</f>
        <v>#REF!</v>
      </c>
      <c r="AM212" s="202"/>
      <c r="AN212" s="153" t="e">
        <f>#REF!</f>
        <v>#REF!</v>
      </c>
      <c r="AO212" s="202"/>
      <c r="AP212" s="152" t="e">
        <f>#REF!</f>
        <v>#REF!</v>
      </c>
      <c r="AQ212" s="202"/>
      <c r="AR212" s="154" t="e">
        <f>#REF!</f>
        <v>#REF!</v>
      </c>
      <c r="AS212" s="202"/>
      <c r="AT212" s="153" t="e">
        <f>#REF!</f>
        <v>#REF!</v>
      </c>
      <c r="AU212" s="202"/>
      <c r="AV212" s="152" t="e">
        <f>#REF!</f>
        <v>#REF!</v>
      </c>
      <c r="AW212" s="202"/>
      <c r="AX212" s="153" t="e">
        <f>#REF!</f>
        <v>#REF!</v>
      </c>
      <c r="AY212" s="202"/>
      <c r="AZ212" s="152" t="e">
        <f>#REF!</f>
        <v>#REF!</v>
      </c>
      <c r="BA212" s="202"/>
      <c r="BB212" s="154" t="e">
        <f>#REF!</f>
        <v>#REF!</v>
      </c>
      <c r="BC212" s="137"/>
    </row>
    <row r="213" spans="1:55" ht="30" hidden="1" customHeight="1">
      <c r="A213" s="203" t="e">
        <f>#REF!</f>
        <v>#REF!</v>
      </c>
      <c r="B213" s="204" t="e">
        <f xml:space="preserve"> IF(#REF!=0, "",#REF!)</f>
        <v>#REF!</v>
      </c>
      <c r="C213" s="369" t="e">
        <f>#REF!</f>
        <v>#REF!</v>
      </c>
      <c r="D213" s="369"/>
      <c r="E213" s="291" t="e">
        <f>#REF!</f>
        <v>#REF!</v>
      </c>
      <c r="F213" s="148" t="e">
        <f>#REF!</f>
        <v>#REF!</v>
      </c>
      <c r="G213" s="205" t="e">
        <f xml:space="preserve"> IF(#REF!="", "",#REF!)</f>
        <v>#REF!</v>
      </c>
      <c r="H213" s="205" t="e">
        <f xml:space="preserve"> IF(#REF!="", "",#REF!)</f>
        <v>#REF!</v>
      </c>
      <c r="I213" s="205" t="e">
        <f xml:space="preserve"> IF(#REF!="", "",#REF!)</f>
        <v>#REF!</v>
      </c>
      <c r="J213" s="298" t="e">
        <f>#REF!</f>
        <v>#REF!</v>
      </c>
      <c r="K213" s="149" t="e">
        <f>#REF!</f>
        <v>#REF!</v>
      </c>
      <c r="L213" s="149" t="e">
        <f>#REF!</f>
        <v>#REF!</v>
      </c>
      <c r="M213" s="150" t="e">
        <f>#REF!</f>
        <v>#REF!</v>
      </c>
      <c r="N213" s="364"/>
      <c r="O213" s="202"/>
      <c r="P213" s="151" t="e">
        <f>#REF!</f>
        <v>#REF!</v>
      </c>
      <c r="Q213" s="202"/>
      <c r="R213" s="152" t="e">
        <f>#REF!</f>
        <v>#REF!</v>
      </c>
      <c r="S213" s="202"/>
      <c r="T213" s="153" t="e">
        <f>#REF!</f>
        <v>#REF!</v>
      </c>
      <c r="U213" s="202"/>
      <c r="V213" s="153" t="e">
        <f>#REF!</f>
        <v>#REF!</v>
      </c>
      <c r="W213" s="202"/>
      <c r="X213" s="153" t="e">
        <f>#REF!</f>
        <v>#REF!</v>
      </c>
      <c r="Y213" s="202"/>
      <c r="Z213" s="152" t="e">
        <f>#REF!</f>
        <v>#REF!</v>
      </c>
      <c r="AA213" s="202"/>
      <c r="AB213" s="153" t="e">
        <f>#REF!</f>
        <v>#REF!</v>
      </c>
      <c r="AC213" s="202"/>
      <c r="AD213" s="152" t="e">
        <f>#REF!</f>
        <v>#REF!</v>
      </c>
      <c r="AE213" s="202"/>
      <c r="AF213" s="153" t="e">
        <f>#REF!</f>
        <v>#REF!</v>
      </c>
      <c r="AG213" s="202"/>
      <c r="AH213" s="152" t="e">
        <f>#REF!</f>
        <v>#REF!</v>
      </c>
      <c r="AI213" s="202"/>
      <c r="AJ213" s="153" t="e">
        <f>#REF!</f>
        <v>#REF!</v>
      </c>
      <c r="AK213" s="202"/>
      <c r="AL213" s="152" t="e">
        <f>#REF!</f>
        <v>#REF!</v>
      </c>
      <c r="AM213" s="202"/>
      <c r="AN213" s="153" t="e">
        <f>#REF!</f>
        <v>#REF!</v>
      </c>
      <c r="AO213" s="202"/>
      <c r="AP213" s="152" t="e">
        <f>#REF!</f>
        <v>#REF!</v>
      </c>
      <c r="AQ213" s="202"/>
      <c r="AR213" s="154" t="e">
        <f>#REF!</f>
        <v>#REF!</v>
      </c>
      <c r="AS213" s="202"/>
      <c r="AT213" s="153" t="e">
        <f>#REF!</f>
        <v>#REF!</v>
      </c>
      <c r="AU213" s="202"/>
      <c r="AV213" s="152" t="e">
        <f>#REF!</f>
        <v>#REF!</v>
      </c>
      <c r="AW213" s="202"/>
      <c r="AX213" s="153" t="e">
        <f>#REF!</f>
        <v>#REF!</v>
      </c>
      <c r="AY213" s="202"/>
      <c r="AZ213" s="152" t="e">
        <f>#REF!</f>
        <v>#REF!</v>
      </c>
      <c r="BA213" s="202"/>
      <c r="BB213" s="154" t="e">
        <f>#REF!</f>
        <v>#REF!</v>
      </c>
      <c r="BC213" s="137"/>
    </row>
    <row r="214" spans="1:55" ht="30" hidden="1" customHeight="1">
      <c r="A214" s="203" t="e">
        <f>#REF!</f>
        <v>#REF!</v>
      </c>
      <c r="B214" s="204" t="e">
        <f xml:space="preserve"> IF(#REF!=0, "",#REF!)</f>
        <v>#REF!</v>
      </c>
      <c r="C214" s="369" t="e">
        <f>#REF!</f>
        <v>#REF!</v>
      </c>
      <c r="D214" s="369"/>
      <c r="E214" s="291" t="e">
        <f>#REF!</f>
        <v>#REF!</v>
      </c>
      <c r="F214" s="148" t="e">
        <f>#REF!</f>
        <v>#REF!</v>
      </c>
      <c r="G214" s="205" t="e">
        <f xml:space="preserve"> IF(#REF!="", "",#REF!)</f>
        <v>#REF!</v>
      </c>
      <c r="H214" s="205" t="e">
        <f xml:space="preserve"> IF(#REF!="", "",#REF!)</f>
        <v>#REF!</v>
      </c>
      <c r="I214" s="205" t="e">
        <f xml:space="preserve"> IF(#REF!="", "",#REF!)</f>
        <v>#REF!</v>
      </c>
      <c r="J214" s="298" t="e">
        <f>#REF!</f>
        <v>#REF!</v>
      </c>
      <c r="K214" s="149" t="e">
        <f>#REF!</f>
        <v>#REF!</v>
      </c>
      <c r="L214" s="149" t="e">
        <f>#REF!</f>
        <v>#REF!</v>
      </c>
      <c r="M214" s="150" t="e">
        <f>#REF!</f>
        <v>#REF!</v>
      </c>
      <c r="N214" s="364"/>
      <c r="O214" s="202"/>
      <c r="P214" s="151" t="e">
        <f>#REF!</f>
        <v>#REF!</v>
      </c>
      <c r="Q214" s="202"/>
      <c r="R214" s="152" t="e">
        <f>#REF!</f>
        <v>#REF!</v>
      </c>
      <c r="S214" s="202"/>
      <c r="T214" s="153" t="e">
        <f>#REF!</f>
        <v>#REF!</v>
      </c>
      <c r="U214" s="202"/>
      <c r="V214" s="153" t="e">
        <f>#REF!</f>
        <v>#REF!</v>
      </c>
      <c r="W214" s="202"/>
      <c r="X214" s="153" t="e">
        <f>#REF!</f>
        <v>#REF!</v>
      </c>
      <c r="Y214" s="202"/>
      <c r="Z214" s="152" t="e">
        <f>#REF!</f>
        <v>#REF!</v>
      </c>
      <c r="AA214" s="202"/>
      <c r="AB214" s="153" t="e">
        <f>#REF!</f>
        <v>#REF!</v>
      </c>
      <c r="AC214" s="202"/>
      <c r="AD214" s="152" t="e">
        <f>#REF!</f>
        <v>#REF!</v>
      </c>
      <c r="AE214" s="202"/>
      <c r="AF214" s="153" t="e">
        <f>#REF!</f>
        <v>#REF!</v>
      </c>
      <c r="AG214" s="202"/>
      <c r="AH214" s="152" t="e">
        <f>#REF!</f>
        <v>#REF!</v>
      </c>
      <c r="AI214" s="202"/>
      <c r="AJ214" s="153" t="e">
        <f>#REF!</f>
        <v>#REF!</v>
      </c>
      <c r="AK214" s="202"/>
      <c r="AL214" s="152" t="e">
        <f>#REF!</f>
        <v>#REF!</v>
      </c>
      <c r="AM214" s="202"/>
      <c r="AN214" s="153" t="e">
        <f>#REF!</f>
        <v>#REF!</v>
      </c>
      <c r="AO214" s="202"/>
      <c r="AP214" s="152" t="e">
        <f>#REF!</f>
        <v>#REF!</v>
      </c>
      <c r="AQ214" s="202"/>
      <c r="AR214" s="154" t="e">
        <f>#REF!</f>
        <v>#REF!</v>
      </c>
      <c r="AS214" s="202"/>
      <c r="AT214" s="153" t="e">
        <f>#REF!</f>
        <v>#REF!</v>
      </c>
      <c r="AU214" s="202"/>
      <c r="AV214" s="152" t="e">
        <f>#REF!</f>
        <v>#REF!</v>
      </c>
      <c r="AW214" s="202"/>
      <c r="AX214" s="153" t="e">
        <f>#REF!</f>
        <v>#REF!</v>
      </c>
      <c r="AY214" s="202"/>
      <c r="AZ214" s="152" t="e">
        <f>#REF!</f>
        <v>#REF!</v>
      </c>
      <c r="BA214" s="202"/>
      <c r="BB214" s="154" t="e">
        <f>#REF!</f>
        <v>#REF!</v>
      </c>
      <c r="BC214" s="137"/>
    </row>
    <row r="215" spans="1:55" ht="30" hidden="1" customHeight="1">
      <c r="A215" s="203" t="e">
        <f>#REF!</f>
        <v>#REF!</v>
      </c>
      <c r="B215" s="204" t="e">
        <f xml:space="preserve"> IF(#REF!=0, "",#REF!)</f>
        <v>#REF!</v>
      </c>
      <c r="C215" s="369" t="e">
        <f>#REF!</f>
        <v>#REF!</v>
      </c>
      <c r="D215" s="369"/>
      <c r="E215" s="291" t="e">
        <f>#REF!</f>
        <v>#REF!</v>
      </c>
      <c r="F215" s="148" t="e">
        <f>#REF!</f>
        <v>#REF!</v>
      </c>
      <c r="G215" s="205" t="e">
        <f xml:space="preserve"> IF(#REF!="", "",#REF!)</f>
        <v>#REF!</v>
      </c>
      <c r="H215" s="205" t="e">
        <f xml:space="preserve"> IF(#REF!="", "",#REF!)</f>
        <v>#REF!</v>
      </c>
      <c r="I215" s="205" t="e">
        <f xml:space="preserve"> IF(#REF!="", "",#REF!)</f>
        <v>#REF!</v>
      </c>
      <c r="J215" s="298" t="e">
        <f>#REF!</f>
        <v>#REF!</v>
      </c>
      <c r="K215" s="149" t="e">
        <f>#REF!</f>
        <v>#REF!</v>
      </c>
      <c r="L215" s="149" t="e">
        <f>#REF!</f>
        <v>#REF!</v>
      </c>
      <c r="M215" s="150" t="e">
        <f>#REF!</f>
        <v>#REF!</v>
      </c>
      <c r="N215" s="364"/>
      <c r="O215" s="202"/>
      <c r="P215" s="151" t="e">
        <f>#REF!</f>
        <v>#REF!</v>
      </c>
      <c r="Q215" s="202"/>
      <c r="R215" s="152" t="e">
        <f>#REF!</f>
        <v>#REF!</v>
      </c>
      <c r="S215" s="202"/>
      <c r="T215" s="153" t="e">
        <f>#REF!</f>
        <v>#REF!</v>
      </c>
      <c r="U215" s="202"/>
      <c r="V215" s="153" t="e">
        <f>#REF!</f>
        <v>#REF!</v>
      </c>
      <c r="W215" s="202"/>
      <c r="X215" s="153" t="e">
        <f>#REF!</f>
        <v>#REF!</v>
      </c>
      <c r="Y215" s="202"/>
      <c r="Z215" s="152" t="e">
        <f>#REF!</f>
        <v>#REF!</v>
      </c>
      <c r="AA215" s="202"/>
      <c r="AB215" s="153" t="e">
        <f>#REF!</f>
        <v>#REF!</v>
      </c>
      <c r="AC215" s="202"/>
      <c r="AD215" s="152" t="e">
        <f>#REF!</f>
        <v>#REF!</v>
      </c>
      <c r="AE215" s="202"/>
      <c r="AF215" s="153" t="e">
        <f>#REF!</f>
        <v>#REF!</v>
      </c>
      <c r="AG215" s="202"/>
      <c r="AH215" s="152" t="e">
        <f>#REF!</f>
        <v>#REF!</v>
      </c>
      <c r="AI215" s="202"/>
      <c r="AJ215" s="153" t="e">
        <f>#REF!</f>
        <v>#REF!</v>
      </c>
      <c r="AK215" s="202"/>
      <c r="AL215" s="152" t="e">
        <f>#REF!</f>
        <v>#REF!</v>
      </c>
      <c r="AM215" s="202"/>
      <c r="AN215" s="153" t="e">
        <f>#REF!</f>
        <v>#REF!</v>
      </c>
      <c r="AO215" s="202"/>
      <c r="AP215" s="152" t="e">
        <f>#REF!</f>
        <v>#REF!</v>
      </c>
      <c r="AQ215" s="202"/>
      <c r="AR215" s="154" t="e">
        <f>#REF!</f>
        <v>#REF!</v>
      </c>
      <c r="AS215" s="202"/>
      <c r="AT215" s="153" t="e">
        <f>#REF!</f>
        <v>#REF!</v>
      </c>
      <c r="AU215" s="202"/>
      <c r="AV215" s="152" t="e">
        <f>#REF!</f>
        <v>#REF!</v>
      </c>
      <c r="AW215" s="202"/>
      <c r="AX215" s="153" t="e">
        <f>#REF!</f>
        <v>#REF!</v>
      </c>
      <c r="AY215" s="202"/>
      <c r="AZ215" s="152" t="e">
        <f>#REF!</f>
        <v>#REF!</v>
      </c>
      <c r="BA215" s="202"/>
      <c r="BB215" s="154" t="e">
        <f>#REF!</f>
        <v>#REF!</v>
      </c>
      <c r="BC215" s="137"/>
    </row>
    <row r="216" spans="1:55" ht="30" hidden="1" customHeight="1">
      <c r="A216" s="203" t="e">
        <f>#REF!</f>
        <v>#REF!</v>
      </c>
      <c r="B216" s="204" t="e">
        <f xml:space="preserve"> IF(#REF!=0, "",#REF!)</f>
        <v>#REF!</v>
      </c>
      <c r="C216" s="369" t="e">
        <f>#REF!</f>
        <v>#REF!</v>
      </c>
      <c r="D216" s="369"/>
      <c r="E216" s="291" t="e">
        <f>#REF!</f>
        <v>#REF!</v>
      </c>
      <c r="F216" s="148" t="e">
        <f>#REF!</f>
        <v>#REF!</v>
      </c>
      <c r="G216" s="205" t="e">
        <f xml:space="preserve"> IF(#REF!="", "",#REF!)</f>
        <v>#REF!</v>
      </c>
      <c r="H216" s="205" t="e">
        <f xml:space="preserve"> IF(#REF!="", "",#REF!)</f>
        <v>#REF!</v>
      </c>
      <c r="I216" s="205" t="e">
        <f xml:space="preserve"> IF(#REF!="", "",#REF!)</f>
        <v>#REF!</v>
      </c>
      <c r="J216" s="298" t="e">
        <f>#REF!</f>
        <v>#REF!</v>
      </c>
      <c r="K216" s="149" t="e">
        <f>#REF!</f>
        <v>#REF!</v>
      </c>
      <c r="L216" s="149" t="e">
        <f>#REF!</f>
        <v>#REF!</v>
      </c>
      <c r="M216" s="150" t="e">
        <f>#REF!</f>
        <v>#REF!</v>
      </c>
      <c r="N216" s="364"/>
      <c r="O216" s="202"/>
      <c r="P216" s="151" t="e">
        <f>#REF!</f>
        <v>#REF!</v>
      </c>
      <c r="Q216" s="202"/>
      <c r="R216" s="152" t="e">
        <f>#REF!</f>
        <v>#REF!</v>
      </c>
      <c r="S216" s="202"/>
      <c r="T216" s="153" t="e">
        <f>#REF!</f>
        <v>#REF!</v>
      </c>
      <c r="U216" s="202"/>
      <c r="V216" s="153" t="e">
        <f>#REF!</f>
        <v>#REF!</v>
      </c>
      <c r="W216" s="202"/>
      <c r="X216" s="153" t="e">
        <f>#REF!</f>
        <v>#REF!</v>
      </c>
      <c r="Y216" s="202"/>
      <c r="Z216" s="152" t="e">
        <f>#REF!</f>
        <v>#REF!</v>
      </c>
      <c r="AA216" s="202"/>
      <c r="AB216" s="153" t="e">
        <f>#REF!</f>
        <v>#REF!</v>
      </c>
      <c r="AC216" s="202"/>
      <c r="AD216" s="152" t="e">
        <f>#REF!</f>
        <v>#REF!</v>
      </c>
      <c r="AE216" s="202"/>
      <c r="AF216" s="153" t="e">
        <f>#REF!</f>
        <v>#REF!</v>
      </c>
      <c r="AG216" s="202"/>
      <c r="AH216" s="152" t="e">
        <f>#REF!</f>
        <v>#REF!</v>
      </c>
      <c r="AI216" s="202"/>
      <c r="AJ216" s="153" t="e">
        <f>#REF!</f>
        <v>#REF!</v>
      </c>
      <c r="AK216" s="202"/>
      <c r="AL216" s="152" t="e">
        <f>#REF!</f>
        <v>#REF!</v>
      </c>
      <c r="AM216" s="202"/>
      <c r="AN216" s="153" t="e">
        <f>#REF!</f>
        <v>#REF!</v>
      </c>
      <c r="AO216" s="202"/>
      <c r="AP216" s="152" t="e">
        <f>#REF!</f>
        <v>#REF!</v>
      </c>
      <c r="AQ216" s="202"/>
      <c r="AR216" s="154" t="e">
        <f>#REF!</f>
        <v>#REF!</v>
      </c>
      <c r="AS216" s="202"/>
      <c r="AT216" s="153" t="e">
        <f>#REF!</f>
        <v>#REF!</v>
      </c>
      <c r="AU216" s="202"/>
      <c r="AV216" s="152" t="e">
        <f>#REF!</f>
        <v>#REF!</v>
      </c>
      <c r="AW216" s="202"/>
      <c r="AX216" s="153" t="e">
        <f>#REF!</f>
        <v>#REF!</v>
      </c>
      <c r="AY216" s="202"/>
      <c r="AZ216" s="152" t="e">
        <f>#REF!</f>
        <v>#REF!</v>
      </c>
      <c r="BA216" s="202"/>
      <c r="BB216" s="154" t="e">
        <f>#REF!</f>
        <v>#REF!</v>
      </c>
      <c r="BC216" s="137"/>
    </row>
    <row r="217" spans="1:55" ht="30" hidden="1" customHeight="1">
      <c r="A217" s="203" t="e">
        <f>#REF!</f>
        <v>#REF!</v>
      </c>
      <c r="B217" s="204" t="e">
        <f xml:space="preserve"> IF(#REF!=0, "",#REF!)</f>
        <v>#REF!</v>
      </c>
      <c r="C217" s="369" t="e">
        <f>#REF!</f>
        <v>#REF!</v>
      </c>
      <c r="D217" s="369"/>
      <c r="E217" s="291" t="e">
        <f>#REF!</f>
        <v>#REF!</v>
      </c>
      <c r="F217" s="148" t="e">
        <f>#REF!</f>
        <v>#REF!</v>
      </c>
      <c r="G217" s="205" t="e">
        <f xml:space="preserve"> IF(#REF!="", "",#REF!)</f>
        <v>#REF!</v>
      </c>
      <c r="H217" s="205" t="e">
        <f xml:space="preserve"> IF(#REF!="", "",#REF!)</f>
        <v>#REF!</v>
      </c>
      <c r="I217" s="205" t="e">
        <f xml:space="preserve"> IF(#REF!="", "",#REF!)</f>
        <v>#REF!</v>
      </c>
      <c r="J217" s="298" t="e">
        <f>#REF!</f>
        <v>#REF!</v>
      </c>
      <c r="K217" s="149" t="e">
        <f>#REF!</f>
        <v>#REF!</v>
      </c>
      <c r="L217" s="149" t="e">
        <f>#REF!</f>
        <v>#REF!</v>
      </c>
      <c r="M217" s="150" t="e">
        <f>#REF!</f>
        <v>#REF!</v>
      </c>
      <c r="N217" s="364"/>
      <c r="O217" s="202"/>
      <c r="P217" s="151" t="e">
        <f>#REF!</f>
        <v>#REF!</v>
      </c>
      <c r="Q217" s="202"/>
      <c r="R217" s="152" t="e">
        <f>#REF!</f>
        <v>#REF!</v>
      </c>
      <c r="S217" s="202"/>
      <c r="T217" s="153" t="e">
        <f>#REF!</f>
        <v>#REF!</v>
      </c>
      <c r="U217" s="202"/>
      <c r="V217" s="153" t="e">
        <f>#REF!</f>
        <v>#REF!</v>
      </c>
      <c r="W217" s="202"/>
      <c r="X217" s="153" t="e">
        <f>#REF!</f>
        <v>#REF!</v>
      </c>
      <c r="Y217" s="202"/>
      <c r="Z217" s="152" t="e">
        <f>#REF!</f>
        <v>#REF!</v>
      </c>
      <c r="AA217" s="202"/>
      <c r="AB217" s="153" t="e">
        <f>#REF!</f>
        <v>#REF!</v>
      </c>
      <c r="AC217" s="202"/>
      <c r="AD217" s="152" t="e">
        <f>#REF!</f>
        <v>#REF!</v>
      </c>
      <c r="AE217" s="202"/>
      <c r="AF217" s="153" t="e">
        <f>#REF!</f>
        <v>#REF!</v>
      </c>
      <c r="AG217" s="202"/>
      <c r="AH217" s="152" t="e">
        <f>#REF!</f>
        <v>#REF!</v>
      </c>
      <c r="AI217" s="202"/>
      <c r="AJ217" s="153" t="e">
        <f>#REF!</f>
        <v>#REF!</v>
      </c>
      <c r="AK217" s="202"/>
      <c r="AL217" s="152" t="e">
        <f>#REF!</f>
        <v>#REF!</v>
      </c>
      <c r="AM217" s="202"/>
      <c r="AN217" s="153" t="e">
        <f>#REF!</f>
        <v>#REF!</v>
      </c>
      <c r="AO217" s="202"/>
      <c r="AP217" s="152" t="e">
        <f>#REF!</f>
        <v>#REF!</v>
      </c>
      <c r="AQ217" s="202"/>
      <c r="AR217" s="154" t="e">
        <f>#REF!</f>
        <v>#REF!</v>
      </c>
      <c r="AS217" s="202"/>
      <c r="AT217" s="153" t="e">
        <f>#REF!</f>
        <v>#REF!</v>
      </c>
      <c r="AU217" s="202"/>
      <c r="AV217" s="152" t="e">
        <f>#REF!</f>
        <v>#REF!</v>
      </c>
      <c r="AW217" s="202"/>
      <c r="AX217" s="153" t="e">
        <f>#REF!</f>
        <v>#REF!</v>
      </c>
      <c r="AY217" s="202"/>
      <c r="AZ217" s="152" t="e">
        <f>#REF!</f>
        <v>#REF!</v>
      </c>
      <c r="BA217" s="202"/>
      <c r="BB217" s="154" t="e">
        <f>#REF!</f>
        <v>#REF!</v>
      </c>
      <c r="BC217" s="137"/>
    </row>
    <row r="218" spans="1:55" ht="30" hidden="1" customHeight="1">
      <c r="A218" s="203" t="e">
        <f>#REF!</f>
        <v>#REF!</v>
      </c>
      <c r="B218" s="204" t="e">
        <f xml:space="preserve"> IF(#REF!=0, "",#REF!)</f>
        <v>#REF!</v>
      </c>
      <c r="C218" s="369" t="e">
        <f>#REF!</f>
        <v>#REF!</v>
      </c>
      <c r="D218" s="369"/>
      <c r="E218" s="291" t="e">
        <f>#REF!</f>
        <v>#REF!</v>
      </c>
      <c r="F218" s="148" t="e">
        <f>#REF!</f>
        <v>#REF!</v>
      </c>
      <c r="G218" s="205" t="e">
        <f xml:space="preserve"> IF(#REF!="", "",#REF!)</f>
        <v>#REF!</v>
      </c>
      <c r="H218" s="205" t="e">
        <f xml:space="preserve"> IF(#REF!="", "",#REF!)</f>
        <v>#REF!</v>
      </c>
      <c r="I218" s="205" t="e">
        <f xml:space="preserve"> IF(#REF!="", "",#REF!)</f>
        <v>#REF!</v>
      </c>
      <c r="J218" s="298" t="e">
        <f>#REF!</f>
        <v>#REF!</v>
      </c>
      <c r="K218" s="149" t="e">
        <f>#REF!</f>
        <v>#REF!</v>
      </c>
      <c r="L218" s="149" t="e">
        <f>#REF!</f>
        <v>#REF!</v>
      </c>
      <c r="M218" s="150" t="e">
        <f>#REF!</f>
        <v>#REF!</v>
      </c>
      <c r="N218" s="364"/>
      <c r="O218" s="202"/>
      <c r="P218" s="151" t="e">
        <f>#REF!</f>
        <v>#REF!</v>
      </c>
      <c r="Q218" s="202"/>
      <c r="R218" s="152" t="e">
        <f>#REF!</f>
        <v>#REF!</v>
      </c>
      <c r="S218" s="202"/>
      <c r="T218" s="153" t="e">
        <f>#REF!</f>
        <v>#REF!</v>
      </c>
      <c r="U218" s="202"/>
      <c r="V218" s="153" t="e">
        <f>#REF!</f>
        <v>#REF!</v>
      </c>
      <c r="W218" s="202"/>
      <c r="X218" s="153" t="e">
        <f>#REF!</f>
        <v>#REF!</v>
      </c>
      <c r="Y218" s="202"/>
      <c r="Z218" s="152" t="e">
        <f>#REF!</f>
        <v>#REF!</v>
      </c>
      <c r="AA218" s="202"/>
      <c r="AB218" s="153" t="e">
        <f>#REF!</f>
        <v>#REF!</v>
      </c>
      <c r="AC218" s="202"/>
      <c r="AD218" s="152" t="e">
        <f>#REF!</f>
        <v>#REF!</v>
      </c>
      <c r="AE218" s="202"/>
      <c r="AF218" s="153" t="e">
        <f>#REF!</f>
        <v>#REF!</v>
      </c>
      <c r="AG218" s="202"/>
      <c r="AH218" s="152" t="e">
        <f>#REF!</f>
        <v>#REF!</v>
      </c>
      <c r="AI218" s="202"/>
      <c r="AJ218" s="153" t="e">
        <f>#REF!</f>
        <v>#REF!</v>
      </c>
      <c r="AK218" s="202"/>
      <c r="AL218" s="152" t="e">
        <f>#REF!</f>
        <v>#REF!</v>
      </c>
      <c r="AM218" s="202"/>
      <c r="AN218" s="153" t="e">
        <f>#REF!</f>
        <v>#REF!</v>
      </c>
      <c r="AO218" s="202"/>
      <c r="AP218" s="152" t="e">
        <f>#REF!</f>
        <v>#REF!</v>
      </c>
      <c r="AQ218" s="202"/>
      <c r="AR218" s="154" t="e">
        <f>#REF!</f>
        <v>#REF!</v>
      </c>
      <c r="AS218" s="202"/>
      <c r="AT218" s="153" t="e">
        <f>#REF!</f>
        <v>#REF!</v>
      </c>
      <c r="AU218" s="202"/>
      <c r="AV218" s="152" t="e">
        <f>#REF!</f>
        <v>#REF!</v>
      </c>
      <c r="AW218" s="202"/>
      <c r="AX218" s="153" t="e">
        <f>#REF!</f>
        <v>#REF!</v>
      </c>
      <c r="AY218" s="202"/>
      <c r="AZ218" s="152" t="e">
        <f>#REF!</f>
        <v>#REF!</v>
      </c>
      <c r="BA218" s="202"/>
      <c r="BB218" s="154" t="e">
        <f>#REF!</f>
        <v>#REF!</v>
      </c>
      <c r="BC218" s="137"/>
    </row>
    <row r="219" spans="1:55" ht="30" hidden="1" customHeight="1">
      <c r="A219" s="203" t="e">
        <f>#REF!</f>
        <v>#REF!</v>
      </c>
      <c r="B219" s="204" t="e">
        <f xml:space="preserve"> IF(#REF!=0, "",#REF!)</f>
        <v>#REF!</v>
      </c>
      <c r="C219" s="369" t="e">
        <f>#REF!</f>
        <v>#REF!</v>
      </c>
      <c r="D219" s="369"/>
      <c r="E219" s="291" t="e">
        <f>#REF!</f>
        <v>#REF!</v>
      </c>
      <c r="F219" s="148" t="e">
        <f>#REF!</f>
        <v>#REF!</v>
      </c>
      <c r="G219" s="205" t="e">
        <f xml:space="preserve"> IF(#REF!="", "",#REF!)</f>
        <v>#REF!</v>
      </c>
      <c r="H219" s="205" t="e">
        <f xml:space="preserve"> IF(#REF!="", "",#REF!)</f>
        <v>#REF!</v>
      </c>
      <c r="I219" s="205" t="e">
        <f xml:space="preserve"> IF(#REF!="", "",#REF!)</f>
        <v>#REF!</v>
      </c>
      <c r="J219" s="298" t="e">
        <f>#REF!</f>
        <v>#REF!</v>
      </c>
      <c r="K219" s="149" t="e">
        <f>#REF!</f>
        <v>#REF!</v>
      </c>
      <c r="L219" s="149" t="e">
        <f>#REF!</f>
        <v>#REF!</v>
      </c>
      <c r="M219" s="150" t="e">
        <f>#REF!</f>
        <v>#REF!</v>
      </c>
      <c r="N219" s="364"/>
      <c r="O219" s="202"/>
      <c r="P219" s="151" t="e">
        <f>#REF!</f>
        <v>#REF!</v>
      </c>
      <c r="Q219" s="202"/>
      <c r="R219" s="152" t="e">
        <f>#REF!</f>
        <v>#REF!</v>
      </c>
      <c r="S219" s="202"/>
      <c r="T219" s="153" t="e">
        <f>#REF!</f>
        <v>#REF!</v>
      </c>
      <c r="U219" s="202"/>
      <c r="V219" s="153" t="e">
        <f>#REF!</f>
        <v>#REF!</v>
      </c>
      <c r="W219" s="202"/>
      <c r="X219" s="153" t="e">
        <f>#REF!</f>
        <v>#REF!</v>
      </c>
      <c r="Y219" s="202"/>
      <c r="Z219" s="152" t="e">
        <f>#REF!</f>
        <v>#REF!</v>
      </c>
      <c r="AA219" s="202"/>
      <c r="AB219" s="153" t="e">
        <f>#REF!</f>
        <v>#REF!</v>
      </c>
      <c r="AC219" s="202"/>
      <c r="AD219" s="152" t="e">
        <f>#REF!</f>
        <v>#REF!</v>
      </c>
      <c r="AE219" s="202"/>
      <c r="AF219" s="153" t="e">
        <f>#REF!</f>
        <v>#REF!</v>
      </c>
      <c r="AG219" s="202"/>
      <c r="AH219" s="152" t="e">
        <f>#REF!</f>
        <v>#REF!</v>
      </c>
      <c r="AI219" s="202"/>
      <c r="AJ219" s="153" t="e">
        <f>#REF!</f>
        <v>#REF!</v>
      </c>
      <c r="AK219" s="202"/>
      <c r="AL219" s="152" t="e">
        <f>#REF!</f>
        <v>#REF!</v>
      </c>
      <c r="AM219" s="202"/>
      <c r="AN219" s="153" t="e">
        <f>#REF!</f>
        <v>#REF!</v>
      </c>
      <c r="AO219" s="202"/>
      <c r="AP219" s="152" t="e">
        <f>#REF!</f>
        <v>#REF!</v>
      </c>
      <c r="AQ219" s="202"/>
      <c r="AR219" s="154" t="e">
        <f>#REF!</f>
        <v>#REF!</v>
      </c>
      <c r="AS219" s="202"/>
      <c r="AT219" s="153" t="e">
        <f>#REF!</f>
        <v>#REF!</v>
      </c>
      <c r="AU219" s="202"/>
      <c r="AV219" s="152" t="e">
        <f>#REF!</f>
        <v>#REF!</v>
      </c>
      <c r="AW219" s="202"/>
      <c r="AX219" s="153" t="e">
        <f>#REF!</f>
        <v>#REF!</v>
      </c>
      <c r="AY219" s="202"/>
      <c r="AZ219" s="152" t="e">
        <f>#REF!</f>
        <v>#REF!</v>
      </c>
      <c r="BA219" s="202"/>
      <c r="BB219" s="154" t="e">
        <f>#REF!</f>
        <v>#REF!</v>
      </c>
      <c r="BC219" s="137"/>
    </row>
    <row r="220" spans="1:55" ht="30" hidden="1" customHeight="1">
      <c r="A220" s="203" t="e">
        <f>#REF!</f>
        <v>#REF!</v>
      </c>
      <c r="B220" s="204" t="e">
        <f xml:space="preserve"> IF(#REF!=0, "",#REF!)</f>
        <v>#REF!</v>
      </c>
      <c r="C220" s="369" t="e">
        <f>#REF!</f>
        <v>#REF!</v>
      </c>
      <c r="D220" s="369"/>
      <c r="E220" s="291" t="e">
        <f>#REF!</f>
        <v>#REF!</v>
      </c>
      <c r="F220" s="148" t="e">
        <f>#REF!</f>
        <v>#REF!</v>
      </c>
      <c r="G220" s="205" t="e">
        <f xml:space="preserve"> IF(#REF!="", "",#REF!)</f>
        <v>#REF!</v>
      </c>
      <c r="H220" s="205" t="e">
        <f xml:space="preserve"> IF(#REF!="", "",#REF!)</f>
        <v>#REF!</v>
      </c>
      <c r="I220" s="205" t="e">
        <f xml:space="preserve"> IF(#REF!="", "",#REF!)</f>
        <v>#REF!</v>
      </c>
      <c r="J220" s="298" t="e">
        <f>#REF!</f>
        <v>#REF!</v>
      </c>
      <c r="K220" s="149" t="e">
        <f>#REF!</f>
        <v>#REF!</v>
      </c>
      <c r="L220" s="149" t="e">
        <f>#REF!</f>
        <v>#REF!</v>
      </c>
      <c r="M220" s="150" t="e">
        <f>#REF!</f>
        <v>#REF!</v>
      </c>
      <c r="N220" s="364"/>
      <c r="O220" s="202"/>
      <c r="P220" s="151" t="e">
        <f>#REF!</f>
        <v>#REF!</v>
      </c>
      <c r="Q220" s="202"/>
      <c r="R220" s="152" t="e">
        <f>#REF!</f>
        <v>#REF!</v>
      </c>
      <c r="S220" s="202"/>
      <c r="T220" s="153" t="e">
        <f>#REF!</f>
        <v>#REF!</v>
      </c>
      <c r="U220" s="202"/>
      <c r="V220" s="153" t="e">
        <f>#REF!</f>
        <v>#REF!</v>
      </c>
      <c r="W220" s="202"/>
      <c r="X220" s="153" t="e">
        <f>#REF!</f>
        <v>#REF!</v>
      </c>
      <c r="Y220" s="202"/>
      <c r="Z220" s="152" t="e">
        <f>#REF!</f>
        <v>#REF!</v>
      </c>
      <c r="AA220" s="202"/>
      <c r="AB220" s="153" t="e">
        <f>#REF!</f>
        <v>#REF!</v>
      </c>
      <c r="AC220" s="202"/>
      <c r="AD220" s="152" t="e">
        <f>#REF!</f>
        <v>#REF!</v>
      </c>
      <c r="AE220" s="202"/>
      <c r="AF220" s="153" t="e">
        <f>#REF!</f>
        <v>#REF!</v>
      </c>
      <c r="AG220" s="202"/>
      <c r="AH220" s="152" t="e">
        <f>#REF!</f>
        <v>#REF!</v>
      </c>
      <c r="AI220" s="202"/>
      <c r="AJ220" s="153" t="e">
        <f>#REF!</f>
        <v>#REF!</v>
      </c>
      <c r="AK220" s="202"/>
      <c r="AL220" s="152" t="e">
        <f>#REF!</f>
        <v>#REF!</v>
      </c>
      <c r="AM220" s="202"/>
      <c r="AN220" s="153" t="e">
        <f>#REF!</f>
        <v>#REF!</v>
      </c>
      <c r="AO220" s="202"/>
      <c r="AP220" s="152" t="e">
        <f>#REF!</f>
        <v>#REF!</v>
      </c>
      <c r="AQ220" s="202"/>
      <c r="AR220" s="154" t="e">
        <f>#REF!</f>
        <v>#REF!</v>
      </c>
      <c r="AS220" s="202"/>
      <c r="AT220" s="153" t="e">
        <f>#REF!</f>
        <v>#REF!</v>
      </c>
      <c r="AU220" s="202"/>
      <c r="AV220" s="152" t="e">
        <f>#REF!</f>
        <v>#REF!</v>
      </c>
      <c r="AW220" s="202"/>
      <c r="AX220" s="153" t="e">
        <f>#REF!</f>
        <v>#REF!</v>
      </c>
      <c r="AY220" s="202"/>
      <c r="AZ220" s="152" t="e">
        <f>#REF!</f>
        <v>#REF!</v>
      </c>
      <c r="BA220" s="202"/>
      <c r="BB220" s="154" t="e">
        <f>#REF!</f>
        <v>#REF!</v>
      </c>
      <c r="BC220" s="137"/>
    </row>
    <row r="221" spans="1:55" ht="30" hidden="1" customHeight="1">
      <c r="A221" s="203" t="e">
        <f>#REF!</f>
        <v>#REF!</v>
      </c>
      <c r="B221" s="204" t="e">
        <f xml:space="preserve"> IF(#REF!=0, "",#REF!)</f>
        <v>#REF!</v>
      </c>
      <c r="C221" s="369" t="e">
        <f>#REF!</f>
        <v>#REF!</v>
      </c>
      <c r="D221" s="369"/>
      <c r="E221" s="291" t="e">
        <f>#REF!</f>
        <v>#REF!</v>
      </c>
      <c r="F221" s="148" t="e">
        <f>#REF!</f>
        <v>#REF!</v>
      </c>
      <c r="G221" s="205" t="e">
        <f xml:space="preserve"> IF(#REF!="", "",#REF!)</f>
        <v>#REF!</v>
      </c>
      <c r="H221" s="205" t="e">
        <f xml:space="preserve"> IF(#REF!="", "",#REF!)</f>
        <v>#REF!</v>
      </c>
      <c r="I221" s="205" t="e">
        <f xml:space="preserve"> IF(#REF!="", "",#REF!)</f>
        <v>#REF!</v>
      </c>
      <c r="J221" s="298" t="e">
        <f>#REF!</f>
        <v>#REF!</v>
      </c>
      <c r="K221" s="149" t="e">
        <f>#REF!</f>
        <v>#REF!</v>
      </c>
      <c r="L221" s="149" t="e">
        <f>#REF!</f>
        <v>#REF!</v>
      </c>
      <c r="M221" s="150" t="e">
        <f>#REF!</f>
        <v>#REF!</v>
      </c>
      <c r="N221" s="364"/>
      <c r="O221" s="202"/>
      <c r="P221" s="151" t="e">
        <f>#REF!</f>
        <v>#REF!</v>
      </c>
      <c r="Q221" s="202"/>
      <c r="R221" s="152" t="e">
        <f>#REF!</f>
        <v>#REF!</v>
      </c>
      <c r="S221" s="202"/>
      <c r="T221" s="153" t="e">
        <f>#REF!</f>
        <v>#REF!</v>
      </c>
      <c r="U221" s="202"/>
      <c r="V221" s="153" t="e">
        <f>#REF!</f>
        <v>#REF!</v>
      </c>
      <c r="W221" s="202"/>
      <c r="X221" s="153" t="e">
        <f>#REF!</f>
        <v>#REF!</v>
      </c>
      <c r="Y221" s="202"/>
      <c r="Z221" s="152" t="e">
        <f>#REF!</f>
        <v>#REF!</v>
      </c>
      <c r="AA221" s="202"/>
      <c r="AB221" s="153" t="e">
        <f>#REF!</f>
        <v>#REF!</v>
      </c>
      <c r="AC221" s="202"/>
      <c r="AD221" s="152" t="e">
        <f>#REF!</f>
        <v>#REF!</v>
      </c>
      <c r="AE221" s="202"/>
      <c r="AF221" s="153" t="e">
        <f>#REF!</f>
        <v>#REF!</v>
      </c>
      <c r="AG221" s="202"/>
      <c r="AH221" s="152" t="e">
        <f>#REF!</f>
        <v>#REF!</v>
      </c>
      <c r="AI221" s="202"/>
      <c r="AJ221" s="153" t="e">
        <f>#REF!</f>
        <v>#REF!</v>
      </c>
      <c r="AK221" s="202"/>
      <c r="AL221" s="152" t="e">
        <f>#REF!</f>
        <v>#REF!</v>
      </c>
      <c r="AM221" s="202"/>
      <c r="AN221" s="153" t="e">
        <f>#REF!</f>
        <v>#REF!</v>
      </c>
      <c r="AO221" s="202"/>
      <c r="AP221" s="152" t="e">
        <f>#REF!</f>
        <v>#REF!</v>
      </c>
      <c r="AQ221" s="202"/>
      <c r="AR221" s="154" t="e">
        <f>#REF!</f>
        <v>#REF!</v>
      </c>
      <c r="AS221" s="202"/>
      <c r="AT221" s="153" t="e">
        <f>#REF!</f>
        <v>#REF!</v>
      </c>
      <c r="AU221" s="202"/>
      <c r="AV221" s="152" t="e">
        <f>#REF!</f>
        <v>#REF!</v>
      </c>
      <c r="AW221" s="202"/>
      <c r="AX221" s="153" t="e">
        <f>#REF!</f>
        <v>#REF!</v>
      </c>
      <c r="AY221" s="202"/>
      <c r="AZ221" s="152" t="e">
        <f>#REF!</f>
        <v>#REF!</v>
      </c>
      <c r="BA221" s="202"/>
      <c r="BB221" s="154" t="e">
        <f>#REF!</f>
        <v>#REF!</v>
      </c>
      <c r="BC221" s="137"/>
    </row>
    <row r="222" spans="1:55" ht="30" hidden="1" customHeight="1">
      <c r="A222" s="203" t="e">
        <f>#REF!</f>
        <v>#REF!</v>
      </c>
      <c r="B222" s="204" t="e">
        <f xml:space="preserve"> IF(#REF!=0, "",#REF!)</f>
        <v>#REF!</v>
      </c>
      <c r="C222" s="369" t="e">
        <f>#REF!</f>
        <v>#REF!</v>
      </c>
      <c r="D222" s="369"/>
      <c r="E222" s="291" t="e">
        <f>#REF!</f>
        <v>#REF!</v>
      </c>
      <c r="F222" s="148" t="e">
        <f>#REF!</f>
        <v>#REF!</v>
      </c>
      <c r="G222" s="205" t="e">
        <f xml:space="preserve"> IF(#REF!="", "",#REF!)</f>
        <v>#REF!</v>
      </c>
      <c r="H222" s="205" t="e">
        <f xml:space="preserve"> IF(#REF!="", "",#REF!)</f>
        <v>#REF!</v>
      </c>
      <c r="I222" s="205" t="e">
        <f xml:space="preserve"> IF(#REF!="", "",#REF!)</f>
        <v>#REF!</v>
      </c>
      <c r="J222" s="298" t="e">
        <f>#REF!</f>
        <v>#REF!</v>
      </c>
      <c r="K222" s="149" t="e">
        <f>#REF!</f>
        <v>#REF!</v>
      </c>
      <c r="L222" s="149" t="e">
        <f>#REF!</f>
        <v>#REF!</v>
      </c>
      <c r="M222" s="150" t="e">
        <f>#REF!</f>
        <v>#REF!</v>
      </c>
      <c r="N222" s="364"/>
      <c r="O222" s="202"/>
      <c r="P222" s="151" t="e">
        <f>#REF!</f>
        <v>#REF!</v>
      </c>
      <c r="Q222" s="202"/>
      <c r="R222" s="152" t="e">
        <f>#REF!</f>
        <v>#REF!</v>
      </c>
      <c r="S222" s="202"/>
      <c r="T222" s="153" t="e">
        <f>#REF!</f>
        <v>#REF!</v>
      </c>
      <c r="U222" s="202"/>
      <c r="V222" s="153" t="e">
        <f>#REF!</f>
        <v>#REF!</v>
      </c>
      <c r="W222" s="202"/>
      <c r="X222" s="153" t="e">
        <f>#REF!</f>
        <v>#REF!</v>
      </c>
      <c r="Y222" s="202"/>
      <c r="Z222" s="152" t="e">
        <f>#REF!</f>
        <v>#REF!</v>
      </c>
      <c r="AA222" s="202"/>
      <c r="AB222" s="153" t="e">
        <f>#REF!</f>
        <v>#REF!</v>
      </c>
      <c r="AC222" s="202"/>
      <c r="AD222" s="152" t="e">
        <f>#REF!</f>
        <v>#REF!</v>
      </c>
      <c r="AE222" s="202"/>
      <c r="AF222" s="153" t="e">
        <f>#REF!</f>
        <v>#REF!</v>
      </c>
      <c r="AG222" s="202"/>
      <c r="AH222" s="152" t="e">
        <f>#REF!</f>
        <v>#REF!</v>
      </c>
      <c r="AI222" s="202"/>
      <c r="AJ222" s="153" t="e">
        <f>#REF!</f>
        <v>#REF!</v>
      </c>
      <c r="AK222" s="202"/>
      <c r="AL222" s="152" t="e">
        <f>#REF!</f>
        <v>#REF!</v>
      </c>
      <c r="AM222" s="202"/>
      <c r="AN222" s="153" t="e">
        <f>#REF!</f>
        <v>#REF!</v>
      </c>
      <c r="AO222" s="202"/>
      <c r="AP222" s="152" t="e">
        <f>#REF!</f>
        <v>#REF!</v>
      </c>
      <c r="AQ222" s="202"/>
      <c r="AR222" s="154" t="e">
        <f>#REF!</f>
        <v>#REF!</v>
      </c>
      <c r="AS222" s="202"/>
      <c r="AT222" s="153" t="e">
        <f>#REF!</f>
        <v>#REF!</v>
      </c>
      <c r="AU222" s="202"/>
      <c r="AV222" s="152" t="e">
        <f>#REF!</f>
        <v>#REF!</v>
      </c>
      <c r="AW222" s="202"/>
      <c r="AX222" s="153" t="e">
        <f>#REF!</f>
        <v>#REF!</v>
      </c>
      <c r="AY222" s="202"/>
      <c r="AZ222" s="152" t="e">
        <f>#REF!</f>
        <v>#REF!</v>
      </c>
      <c r="BA222" s="202"/>
      <c r="BB222" s="154" t="e">
        <f>#REF!</f>
        <v>#REF!</v>
      </c>
      <c r="BC222" s="137"/>
    </row>
    <row r="223" spans="1:55" ht="30" hidden="1" customHeight="1">
      <c r="A223" s="203" t="e">
        <f>#REF!</f>
        <v>#REF!</v>
      </c>
      <c r="B223" s="204" t="e">
        <f xml:space="preserve"> IF(#REF!=0, "",#REF!)</f>
        <v>#REF!</v>
      </c>
      <c r="C223" s="369" t="e">
        <f>#REF!</f>
        <v>#REF!</v>
      </c>
      <c r="D223" s="369"/>
      <c r="E223" s="291" t="e">
        <f>#REF!</f>
        <v>#REF!</v>
      </c>
      <c r="F223" s="148" t="e">
        <f>#REF!</f>
        <v>#REF!</v>
      </c>
      <c r="G223" s="205" t="e">
        <f xml:space="preserve"> IF(#REF!="", "",#REF!)</f>
        <v>#REF!</v>
      </c>
      <c r="H223" s="205" t="e">
        <f xml:space="preserve"> IF(#REF!="", "",#REF!)</f>
        <v>#REF!</v>
      </c>
      <c r="I223" s="205" t="e">
        <f xml:space="preserve"> IF(#REF!="", "",#REF!)</f>
        <v>#REF!</v>
      </c>
      <c r="J223" s="298" t="e">
        <f>#REF!</f>
        <v>#REF!</v>
      </c>
      <c r="K223" s="149" t="e">
        <f>#REF!</f>
        <v>#REF!</v>
      </c>
      <c r="L223" s="149" t="e">
        <f>#REF!</f>
        <v>#REF!</v>
      </c>
      <c r="M223" s="150" t="e">
        <f>#REF!</f>
        <v>#REF!</v>
      </c>
      <c r="N223" s="364"/>
      <c r="O223" s="202"/>
      <c r="P223" s="151" t="e">
        <f>#REF!</f>
        <v>#REF!</v>
      </c>
      <c r="Q223" s="202"/>
      <c r="R223" s="152" t="e">
        <f>#REF!</f>
        <v>#REF!</v>
      </c>
      <c r="S223" s="202"/>
      <c r="T223" s="153" t="e">
        <f>#REF!</f>
        <v>#REF!</v>
      </c>
      <c r="U223" s="202"/>
      <c r="V223" s="153" t="e">
        <f>#REF!</f>
        <v>#REF!</v>
      </c>
      <c r="W223" s="202"/>
      <c r="X223" s="153" t="e">
        <f>#REF!</f>
        <v>#REF!</v>
      </c>
      <c r="Y223" s="202"/>
      <c r="Z223" s="152" t="e">
        <f>#REF!</f>
        <v>#REF!</v>
      </c>
      <c r="AA223" s="202"/>
      <c r="AB223" s="153" t="e">
        <f>#REF!</f>
        <v>#REF!</v>
      </c>
      <c r="AC223" s="202"/>
      <c r="AD223" s="152" t="e">
        <f>#REF!</f>
        <v>#REF!</v>
      </c>
      <c r="AE223" s="202"/>
      <c r="AF223" s="153" t="e">
        <f>#REF!</f>
        <v>#REF!</v>
      </c>
      <c r="AG223" s="202"/>
      <c r="AH223" s="152" t="e">
        <f>#REF!</f>
        <v>#REF!</v>
      </c>
      <c r="AI223" s="202"/>
      <c r="AJ223" s="153" t="e">
        <f>#REF!</f>
        <v>#REF!</v>
      </c>
      <c r="AK223" s="202"/>
      <c r="AL223" s="152" t="e">
        <f>#REF!</f>
        <v>#REF!</v>
      </c>
      <c r="AM223" s="202"/>
      <c r="AN223" s="153" t="e">
        <f>#REF!</f>
        <v>#REF!</v>
      </c>
      <c r="AO223" s="202"/>
      <c r="AP223" s="152" t="e">
        <f>#REF!</f>
        <v>#REF!</v>
      </c>
      <c r="AQ223" s="202"/>
      <c r="AR223" s="154" t="e">
        <f>#REF!</f>
        <v>#REF!</v>
      </c>
      <c r="AS223" s="202"/>
      <c r="AT223" s="153" t="e">
        <f>#REF!</f>
        <v>#REF!</v>
      </c>
      <c r="AU223" s="202"/>
      <c r="AV223" s="152" t="e">
        <f>#REF!</f>
        <v>#REF!</v>
      </c>
      <c r="AW223" s="202"/>
      <c r="AX223" s="153" t="e">
        <f>#REF!</f>
        <v>#REF!</v>
      </c>
      <c r="AY223" s="202"/>
      <c r="AZ223" s="152" t="e">
        <f>#REF!</f>
        <v>#REF!</v>
      </c>
      <c r="BA223" s="202"/>
      <c r="BB223" s="154" t="e">
        <f>#REF!</f>
        <v>#REF!</v>
      </c>
      <c r="BC223" s="137"/>
    </row>
    <row r="224" spans="1:55" ht="30" hidden="1" customHeight="1">
      <c r="A224" s="203" t="e">
        <f>#REF!</f>
        <v>#REF!</v>
      </c>
      <c r="B224" s="204" t="e">
        <f xml:space="preserve"> IF(#REF!=0, "",#REF!)</f>
        <v>#REF!</v>
      </c>
      <c r="C224" s="369" t="e">
        <f>#REF!</f>
        <v>#REF!</v>
      </c>
      <c r="D224" s="369"/>
      <c r="E224" s="291" t="e">
        <f>#REF!</f>
        <v>#REF!</v>
      </c>
      <c r="F224" s="148" t="e">
        <f>#REF!</f>
        <v>#REF!</v>
      </c>
      <c r="G224" s="205" t="e">
        <f xml:space="preserve"> IF(#REF!="", "",#REF!)</f>
        <v>#REF!</v>
      </c>
      <c r="H224" s="205" t="e">
        <f xml:space="preserve"> IF(#REF!="", "",#REF!)</f>
        <v>#REF!</v>
      </c>
      <c r="I224" s="205" t="e">
        <f xml:space="preserve"> IF(#REF!="", "",#REF!)</f>
        <v>#REF!</v>
      </c>
      <c r="J224" s="298" t="e">
        <f>#REF!</f>
        <v>#REF!</v>
      </c>
      <c r="K224" s="149" t="e">
        <f>#REF!</f>
        <v>#REF!</v>
      </c>
      <c r="L224" s="149" t="e">
        <f>#REF!</f>
        <v>#REF!</v>
      </c>
      <c r="M224" s="150" t="e">
        <f>#REF!</f>
        <v>#REF!</v>
      </c>
      <c r="N224" s="364"/>
      <c r="O224" s="202"/>
      <c r="P224" s="151" t="e">
        <f>#REF!</f>
        <v>#REF!</v>
      </c>
      <c r="Q224" s="202"/>
      <c r="R224" s="152" t="e">
        <f>#REF!</f>
        <v>#REF!</v>
      </c>
      <c r="S224" s="202"/>
      <c r="T224" s="153" t="e">
        <f>#REF!</f>
        <v>#REF!</v>
      </c>
      <c r="U224" s="202"/>
      <c r="V224" s="153" t="e">
        <f>#REF!</f>
        <v>#REF!</v>
      </c>
      <c r="W224" s="202"/>
      <c r="X224" s="153" t="e">
        <f>#REF!</f>
        <v>#REF!</v>
      </c>
      <c r="Y224" s="202"/>
      <c r="Z224" s="152" t="e">
        <f>#REF!</f>
        <v>#REF!</v>
      </c>
      <c r="AA224" s="202"/>
      <c r="AB224" s="153" t="e">
        <f>#REF!</f>
        <v>#REF!</v>
      </c>
      <c r="AC224" s="202"/>
      <c r="AD224" s="152" t="e">
        <f>#REF!</f>
        <v>#REF!</v>
      </c>
      <c r="AE224" s="202"/>
      <c r="AF224" s="153" t="e">
        <f>#REF!</f>
        <v>#REF!</v>
      </c>
      <c r="AG224" s="202"/>
      <c r="AH224" s="152" t="e">
        <f>#REF!</f>
        <v>#REF!</v>
      </c>
      <c r="AI224" s="202"/>
      <c r="AJ224" s="153" t="e">
        <f>#REF!</f>
        <v>#REF!</v>
      </c>
      <c r="AK224" s="202"/>
      <c r="AL224" s="152" t="e">
        <f>#REF!</f>
        <v>#REF!</v>
      </c>
      <c r="AM224" s="202"/>
      <c r="AN224" s="153" t="e">
        <f>#REF!</f>
        <v>#REF!</v>
      </c>
      <c r="AO224" s="202"/>
      <c r="AP224" s="152" t="e">
        <f>#REF!</f>
        <v>#REF!</v>
      </c>
      <c r="AQ224" s="202"/>
      <c r="AR224" s="154" t="e">
        <f>#REF!</f>
        <v>#REF!</v>
      </c>
      <c r="AS224" s="202"/>
      <c r="AT224" s="153" t="e">
        <f>#REF!</f>
        <v>#REF!</v>
      </c>
      <c r="AU224" s="202"/>
      <c r="AV224" s="152" t="e">
        <f>#REF!</f>
        <v>#REF!</v>
      </c>
      <c r="AW224" s="202"/>
      <c r="AX224" s="153" t="e">
        <f>#REF!</f>
        <v>#REF!</v>
      </c>
      <c r="AY224" s="202"/>
      <c r="AZ224" s="152" t="e">
        <f>#REF!</f>
        <v>#REF!</v>
      </c>
      <c r="BA224" s="202"/>
      <c r="BB224" s="154" t="e">
        <f>#REF!</f>
        <v>#REF!</v>
      </c>
      <c r="BC224" s="137"/>
    </row>
    <row r="225" spans="1:55" ht="30" hidden="1" customHeight="1">
      <c r="A225" s="203" t="e">
        <f>#REF!</f>
        <v>#REF!</v>
      </c>
      <c r="B225" s="204" t="e">
        <f xml:space="preserve"> IF(#REF!=0, "",#REF!)</f>
        <v>#REF!</v>
      </c>
      <c r="C225" s="369" t="e">
        <f>#REF!</f>
        <v>#REF!</v>
      </c>
      <c r="D225" s="369"/>
      <c r="E225" s="291" t="e">
        <f>#REF!</f>
        <v>#REF!</v>
      </c>
      <c r="F225" s="148" t="e">
        <f>#REF!</f>
        <v>#REF!</v>
      </c>
      <c r="G225" s="205" t="e">
        <f xml:space="preserve"> IF(#REF!="", "",#REF!)</f>
        <v>#REF!</v>
      </c>
      <c r="H225" s="205" t="e">
        <f xml:space="preserve"> IF(#REF!="", "",#REF!)</f>
        <v>#REF!</v>
      </c>
      <c r="I225" s="205" t="e">
        <f xml:space="preserve"> IF(#REF!="", "",#REF!)</f>
        <v>#REF!</v>
      </c>
      <c r="J225" s="298" t="e">
        <f>#REF!</f>
        <v>#REF!</v>
      </c>
      <c r="K225" s="149" t="e">
        <f>#REF!</f>
        <v>#REF!</v>
      </c>
      <c r="L225" s="149" t="e">
        <f>#REF!</f>
        <v>#REF!</v>
      </c>
      <c r="M225" s="150" t="e">
        <f>#REF!</f>
        <v>#REF!</v>
      </c>
      <c r="N225" s="364"/>
      <c r="O225" s="202"/>
      <c r="P225" s="151" t="e">
        <f>#REF!</f>
        <v>#REF!</v>
      </c>
      <c r="Q225" s="202"/>
      <c r="R225" s="152" t="e">
        <f>#REF!</f>
        <v>#REF!</v>
      </c>
      <c r="S225" s="202"/>
      <c r="T225" s="153" t="e">
        <f>#REF!</f>
        <v>#REF!</v>
      </c>
      <c r="U225" s="202"/>
      <c r="V225" s="153" t="e">
        <f>#REF!</f>
        <v>#REF!</v>
      </c>
      <c r="W225" s="202"/>
      <c r="X225" s="153" t="e">
        <f>#REF!</f>
        <v>#REF!</v>
      </c>
      <c r="Y225" s="202"/>
      <c r="Z225" s="152" t="e">
        <f>#REF!</f>
        <v>#REF!</v>
      </c>
      <c r="AA225" s="202"/>
      <c r="AB225" s="153" t="e">
        <f>#REF!</f>
        <v>#REF!</v>
      </c>
      <c r="AC225" s="202"/>
      <c r="AD225" s="152" t="e">
        <f>#REF!</f>
        <v>#REF!</v>
      </c>
      <c r="AE225" s="202"/>
      <c r="AF225" s="153" t="e">
        <f>#REF!</f>
        <v>#REF!</v>
      </c>
      <c r="AG225" s="202"/>
      <c r="AH225" s="152" t="e">
        <f>#REF!</f>
        <v>#REF!</v>
      </c>
      <c r="AI225" s="202"/>
      <c r="AJ225" s="153" t="e">
        <f>#REF!</f>
        <v>#REF!</v>
      </c>
      <c r="AK225" s="202"/>
      <c r="AL225" s="152" t="e">
        <f>#REF!</f>
        <v>#REF!</v>
      </c>
      <c r="AM225" s="202"/>
      <c r="AN225" s="153" t="e">
        <f>#REF!</f>
        <v>#REF!</v>
      </c>
      <c r="AO225" s="202"/>
      <c r="AP225" s="152" t="e">
        <f>#REF!</f>
        <v>#REF!</v>
      </c>
      <c r="AQ225" s="202"/>
      <c r="AR225" s="154" t="e">
        <f>#REF!</f>
        <v>#REF!</v>
      </c>
      <c r="AS225" s="202"/>
      <c r="AT225" s="153" t="e">
        <f>#REF!</f>
        <v>#REF!</v>
      </c>
      <c r="AU225" s="202"/>
      <c r="AV225" s="152" t="e">
        <f>#REF!</f>
        <v>#REF!</v>
      </c>
      <c r="AW225" s="202"/>
      <c r="AX225" s="153" t="e">
        <f>#REF!</f>
        <v>#REF!</v>
      </c>
      <c r="AY225" s="202"/>
      <c r="AZ225" s="152" t="e">
        <f>#REF!</f>
        <v>#REF!</v>
      </c>
      <c r="BA225" s="202"/>
      <c r="BB225" s="154" t="e">
        <f>#REF!</f>
        <v>#REF!</v>
      </c>
      <c r="BC225" s="137"/>
    </row>
    <row r="226" spans="1:55" ht="30" hidden="1" customHeight="1">
      <c r="A226" s="203" t="e">
        <f>#REF!</f>
        <v>#REF!</v>
      </c>
      <c r="B226" s="204" t="e">
        <f xml:space="preserve"> IF(#REF!=0, "",#REF!)</f>
        <v>#REF!</v>
      </c>
      <c r="C226" s="369" t="e">
        <f>#REF!</f>
        <v>#REF!</v>
      </c>
      <c r="D226" s="369"/>
      <c r="E226" s="291" t="e">
        <f>#REF!</f>
        <v>#REF!</v>
      </c>
      <c r="F226" s="148" t="e">
        <f>#REF!</f>
        <v>#REF!</v>
      </c>
      <c r="G226" s="205" t="e">
        <f xml:space="preserve"> IF(#REF!="", "",#REF!)</f>
        <v>#REF!</v>
      </c>
      <c r="H226" s="205" t="e">
        <f xml:space="preserve"> IF(#REF!="", "",#REF!)</f>
        <v>#REF!</v>
      </c>
      <c r="I226" s="205" t="e">
        <f xml:space="preserve"> IF(#REF!="", "",#REF!)</f>
        <v>#REF!</v>
      </c>
      <c r="J226" s="298" t="e">
        <f>#REF!</f>
        <v>#REF!</v>
      </c>
      <c r="K226" s="149" t="e">
        <f>#REF!</f>
        <v>#REF!</v>
      </c>
      <c r="L226" s="149" t="e">
        <f>#REF!</f>
        <v>#REF!</v>
      </c>
      <c r="M226" s="150" t="e">
        <f>#REF!</f>
        <v>#REF!</v>
      </c>
      <c r="N226" s="364"/>
      <c r="O226" s="202"/>
      <c r="P226" s="151" t="e">
        <f>#REF!</f>
        <v>#REF!</v>
      </c>
      <c r="Q226" s="202"/>
      <c r="R226" s="152" t="e">
        <f>#REF!</f>
        <v>#REF!</v>
      </c>
      <c r="S226" s="202"/>
      <c r="T226" s="153" t="e">
        <f>#REF!</f>
        <v>#REF!</v>
      </c>
      <c r="U226" s="202"/>
      <c r="V226" s="153" t="e">
        <f>#REF!</f>
        <v>#REF!</v>
      </c>
      <c r="W226" s="202"/>
      <c r="X226" s="153" t="e">
        <f>#REF!</f>
        <v>#REF!</v>
      </c>
      <c r="Y226" s="202"/>
      <c r="Z226" s="152" t="e">
        <f>#REF!</f>
        <v>#REF!</v>
      </c>
      <c r="AA226" s="202"/>
      <c r="AB226" s="153" t="e">
        <f>#REF!</f>
        <v>#REF!</v>
      </c>
      <c r="AC226" s="202"/>
      <c r="AD226" s="152" t="e">
        <f>#REF!</f>
        <v>#REF!</v>
      </c>
      <c r="AE226" s="202"/>
      <c r="AF226" s="153" t="e">
        <f>#REF!</f>
        <v>#REF!</v>
      </c>
      <c r="AG226" s="202"/>
      <c r="AH226" s="152" t="e">
        <f>#REF!</f>
        <v>#REF!</v>
      </c>
      <c r="AI226" s="202"/>
      <c r="AJ226" s="153" t="e">
        <f>#REF!</f>
        <v>#REF!</v>
      </c>
      <c r="AK226" s="202"/>
      <c r="AL226" s="152" t="e">
        <f>#REF!</f>
        <v>#REF!</v>
      </c>
      <c r="AM226" s="202"/>
      <c r="AN226" s="153" t="e">
        <f>#REF!</f>
        <v>#REF!</v>
      </c>
      <c r="AO226" s="202"/>
      <c r="AP226" s="152" t="e">
        <f>#REF!</f>
        <v>#REF!</v>
      </c>
      <c r="AQ226" s="202"/>
      <c r="AR226" s="154" t="e">
        <f>#REF!</f>
        <v>#REF!</v>
      </c>
      <c r="AS226" s="202"/>
      <c r="AT226" s="153" t="e">
        <f>#REF!</f>
        <v>#REF!</v>
      </c>
      <c r="AU226" s="202"/>
      <c r="AV226" s="152" t="e">
        <f>#REF!</f>
        <v>#REF!</v>
      </c>
      <c r="AW226" s="202"/>
      <c r="AX226" s="153" t="e">
        <f>#REF!</f>
        <v>#REF!</v>
      </c>
      <c r="AY226" s="202"/>
      <c r="AZ226" s="152" t="e">
        <f>#REF!</f>
        <v>#REF!</v>
      </c>
      <c r="BA226" s="202"/>
      <c r="BB226" s="154" t="e">
        <f>#REF!</f>
        <v>#REF!</v>
      </c>
      <c r="BC226" s="137"/>
    </row>
    <row r="227" spans="1:55" ht="30" hidden="1" customHeight="1">
      <c r="A227" s="203" t="e">
        <f>#REF!</f>
        <v>#REF!</v>
      </c>
      <c r="B227" s="204" t="e">
        <f xml:space="preserve"> IF(#REF!=0, "",#REF!)</f>
        <v>#REF!</v>
      </c>
      <c r="C227" s="369" t="e">
        <f>#REF!</f>
        <v>#REF!</v>
      </c>
      <c r="D227" s="369"/>
      <c r="E227" s="291" t="e">
        <f>#REF!</f>
        <v>#REF!</v>
      </c>
      <c r="F227" s="148" t="e">
        <f>#REF!</f>
        <v>#REF!</v>
      </c>
      <c r="G227" s="205" t="e">
        <f xml:space="preserve"> IF(#REF!="", "",#REF!)</f>
        <v>#REF!</v>
      </c>
      <c r="H227" s="205" t="e">
        <f xml:space="preserve"> IF(#REF!="", "",#REF!)</f>
        <v>#REF!</v>
      </c>
      <c r="I227" s="205" t="e">
        <f xml:space="preserve"> IF(#REF!="", "",#REF!)</f>
        <v>#REF!</v>
      </c>
      <c r="J227" s="298" t="e">
        <f>#REF!</f>
        <v>#REF!</v>
      </c>
      <c r="K227" s="149" t="e">
        <f>#REF!</f>
        <v>#REF!</v>
      </c>
      <c r="L227" s="149" t="e">
        <f>#REF!</f>
        <v>#REF!</v>
      </c>
      <c r="M227" s="150" t="e">
        <f>#REF!</f>
        <v>#REF!</v>
      </c>
      <c r="N227" s="364"/>
      <c r="O227" s="202"/>
      <c r="P227" s="151" t="e">
        <f>#REF!</f>
        <v>#REF!</v>
      </c>
      <c r="Q227" s="202"/>
      <c r="R227" s="152" t="e">
        <f>#REF!</f>
        <v>#REF!</v>
      </c>
      <c r="S227" s="202"/>
      <c r="T227" s="153" t="e">
        <f>#REF!</f>
        <v>#REF!</v>
      </c>
      <c r="U227" s="202"/>
      <c r="V227" s="153" t="e">
        <f>#REF!</f>
        <v>#REF!</v>
      </c>
      <c r="W227" s="202"/>
      <c r="X227" s="153" t="e">
        <f>#REF!</f>
        <v>#REF!</v>
      </c>
      <c r="Y227" s="202"/>
      <c r="Z227" s="152" t="e">
        <f>#REF!</f>
        <v>#REF!</v>
      </c>
      <c r="AA227" s="202"/>
      <c r="AB227" s="153" t="e">
        <f>#REF!</f>
        <v>#REF!</v>
      </c>
      <c r="AC227" s="202"/>
      <c r="AD227" s="152" t="e">
        <f>#REF!</f>
        <v>#REF!</v>
      </c>
      <c r="AE227" s="202"/>
      <c r="AF227" s="153" t="e">
        <f>#REF!</f>
        <v>#REF!</v>
      </c>
      <c r="AG227" s="202"/>
      <c r="AH227" s="152" t="e">
        <f>#REF!</f>
        <v>#REF!</v>
      </c>
      <c r="AI227" s="202"/>
      <c r="AJ227" s="153" t="e">
        <f>#REF!</f>
        <v>#REF!</v>
      </c>
      <c r="AK227" s="202"/>
      <c r="AL227" s="152" t="e">
        <f>#REF!</f>
        <v>#REF!</v>
      </c>
      <c r="AM227" s="202"/>
      <c r="AN227" s="153" t="e">
        <f>#REF!</f>
        <v>#REF!</v>
      </c>
      <c r="AO227" s="202"/>
      <c r="AP227" s="152" t="e">
        <f>#REF!</f>
        <v>#REF!</v>
      </c>
      <c r="AQ227" s="202"/>
      <c r="AR227" s="154" t="e">
        <f>#REF!</f>
        <v>#REF!</v>
      </c>
      <c r="AS227" s="202"/>
      <c r="AT227" s="153" t="e">
        <f>#REF!</f>
        <v>#REF!</v>
      </c>
      <c r="AU227" s="202"/>
      <c r="AV227" s="152" t="e">
        <f>#REF!</f>
        <v>#REF!</v>
      </c>
      <c r="AW227" s="202"/>
      <c r="AX227" s="153" t="e">
        <f>#REF!</f>
        <v>#REF!</v>
      </c>
      <c r="AY227" s="202"/>
      <c r="AZ227" s="152" t="e">
        <f>#REF!</f>
        <v>#REF!</v>
      </c>
      <c r="BA227" s="202"/>
      <c r="BB227" s="154" t="e">
        <f>#REF!</f>
        <v>#REF!</v>
      </c>
      <c r="BC227" s="137"/>
    </row>
    <row r="228" spans="1:55" ht="30" hidden="1" customHeight="1">
      <c r="A228" s="203" t="e">
        <f>#REF!</f>
        <v>#REF!</v>
      </c>
      <c r="B228" s="204" t="e">
        <f xml:space="preserve"> IF(#REF!=0, "",#REF!)</f>
        <v>#REF!</v>
      </c>
      <c r="C228" s="369" t="e">
        <f>#REF!</f>
        <v>#REF!</v>
      </c>
      <c r="D228" s="369"/>
      <c r="E228" s="291" t="e">
        <f>#REF!</f>
        <v>#REF!</v>
      </c>
      <c r="F228" s="148" t="e">
        <f>#REF!</f>
        <v>#REF!</v>
      </c>
      <c r="G228" s="205" t="e">
        <f xml:space="preserve"> IF(#REF!="", "",#REF!)</f>
        <v>#REF!</v>
      </c>
      <c r="H228" s="205" t="e">
        <f xml:space="preserve"> IF(#REF!="", "",#REF!)</f>
        <v>#REF!</v>
      </c>
      <c r="I228" s="205" t="e">
        <f xml:space="preserve"> IF(#REF!="", "",#REF!)</f>
        <v>#REF!</v>
      </c>
      <c r="J228" s="298" t="e">
        <f>#REF!</f>
        <v>#REF!</v>
      </c>
      <c r="K228" s="149" t="e">
        <f>#REF!</f>
        <v>#REF!</v>
      </c>
      <c r="L228" s="149" t="e">
        <f>#REF!</f>
        <v>#REF!</v>
      </c>
      <c r="M228" s="150" t="e">
        <f>#REF!</f>
        <v>#REF!</v>
      </c>
      <c r="N228" s="364"/>
      <c r="O228" s="202"/>
      <c r="P228" s="151" t="e">
        <f>#REF!</f>
        <v>#REF!</v>
      </c>
      <c r="Q228" s="202"/>
      <c r="R228" s="152" t="e">
        <f>#REF!</f>
        <v>#REF!</v>
      </c>
      <c r="S228" s="202"/>
      <c r="T228" s="153" t="e">
        <f>#REF!</f>
        <v>#REF!</v>
      </c>
      <c r="U228" s="202"/>
      <c r="V228" s="153" t="e">
        <f>#REF!</f>
        <v>#REF!</v>
      </c>
      <c r="W228" s="202"/>
      <c r="X228" s="153" t="e">
        <f>#REF!</f>
        <v>#REF!</v>
      </c>
      <c r="Y228" s="202"/>
      <c r="Z228" s="152" t="e">
        <f>#REF!</f>
        <v>#REF!</v>
      </c>
      <c r="AA228" s="202"/>
      <c r="AB228" s="153" t="e">
        <f>#REF!</f>
        <v>#REF!</v>
      </c>
      <c r="AC228" s="202"/>
      <c r="AD228" s="152" t="e">
        <f>#REF!</f>
        <v>#REF!</v>
      </c>
      <c r="AE228" s="202"/>
      <c r="AF228" s="153" t="e">
        <f>#REF!</f>
        <v>#REF!</v>
      </c>
      <c r="AG228" s="202"/>
      <c r="AH228" s="152" t="e">
        <f>#REF!</f>
        <v>#REF!</v>
      </c>
      <c r="AI228" s="202"/>
      <c r="AJ228" s="153" t="e">
        <f>#REF!</f>
        <v>#REF!</v>
      </c>
      <c r="AK228" s="202"/>
      <c r="AL228" s="152" t="e">
        <f>#REF!</f>
        <v>#REF!</v>
      </c>
      <c r="AM228" s="202"/>
      <c r="AN228" s="153" t="e">
        <f>#REF!</f>
        <v>#REF!</v>
      </c>
      <c r="AO228" s="202"/>
      <c r="AP228" s="152" t="e">
        <f>#REF!</f>
        <v>#REF!</v>
      </c>
      <c r="AQ228" s="202"/>
      <c r="AR228" s="154" t="e">
        <f>#REF!</f>
        <v>#REF!</v>
      </c>
      <c r="AS228" s="202"/>
      <c r="AT228" s="153" t="e">
        <f>#REF!</f>
        <v>#REF!</v>
      </c>
      <c r="AU228" s="202"/>
      <c r="AV228" s="152" t="e">
        <f>#REF!</f>
        <v>#REF!</v>
      </c>
      <c r="AW228" s="202"/>
      <c r="AX228" s="153" t="e">
        <f>#REF!</f>
        <v>#REF!</v>
      </c>
      <c r="AY228" s="202"/>
      <c r="AZ228" s="152" t="e">
        <f>#REF!</f>
        <v>#REF!</v>
      </c>
      <c r="BA228" s="202"/>
      <c r="BB228" s="154" t="e">
        <f>#REF!</f>
        <v>#REF!</v>
      </c>
      <c r="BC228" s="137"/>
    </row>
    <row r="229" spans="1:55" ht="30" hidden="1" customHeight="1">
      <c r="A229" s="203" t="e">
        <f>#REF!</f>
        <v>#REF!</v>
      </c>
      <c r="B229" s="204" t="e">
        <f xml:space="preserve"> IF(#REF!=0, "",#REF!)</f>
        <v>#REF!</v>
      </c>
      <c r="C229" s="369" t="e">
        <f>#REF!</f>
        <v>#REF!</v>
      </c>
      <c r="D229" s="369"/>
      <c r="E229" s="291" t="e">
        <f>#REF!</f>
        <v>#REF!</v>
      </c>
      <c r="F229" s="148" t="e">
        <f>#REF!</f>
        <v>#REF!</v>
      </c>
      <c r="G229" s="205" t="e">
        <f xml:space="preserve"> IF(#REF!="", "",#REF!)</f>
        <v>#REF!</v>
      </c>
      <c r="H229" s="205" t="e">
        <f xml:space="preserve"> IF(#REF!="", "",#REF!)</f>
        <v>#REF!</v>
      </c>
      <c r="I229" s="205" t="e">
        <f xml:space="preserve"> IF(#REF!="", "",#REF!)</f>
        <v>#REF!</v>
      </c>
      <c r="J229" s="298" t="e">
        <f>#REF!</f>
        <v>#REF!</v>
      </c>
      <c r="K229" s="149" t="e">
        <f>#REF!</f>
        <v>#REF!</v>
      </c>
      <c r="L229" s="149" t="e">
        <f>#REF!</f>
        <v>#REF!</v>
      </c>
      <c r="M229" s="150" t="e">
        <f>#REF!</f>
        <v>#REF!</v>
      </c>
      <c r="N229" s="364"/>
      <c r="O229" s="202"/>
      <c r="P229" s="151" t="e">
        <f>#REF!</f>
        <v>#REF!</v>
      </c>
      <c r="Q229" s="202"/>
      <c r="R229" s="152" t="e">
        <f>#REF!</f>
        <v>#REF!</v>
      </c>
      <c r="S229" s="202"/>
      <c r="T229" s="153" t="e">
        <f>#REF!</f>
        <v>#REF!</v>
      </c>
      <c r="U229" s="202"/>
      <c r="V229" s="153" t="e">
        <f>#REF!</f>
        <v>#REF!</v>
      </c>
      <c r="W229" s="202"/>
      <c r="X229" s="153" t="e">
        <f>#REF!</f>
        <v>#REF!</v>
      </c>
      <c r="Y229" s="202"/>
      <c r="Z229" s="152" t="e">
        <f>#REF!</f>
        <v>#REF!</v>
      </c>
      <c r="AA229" s="202"/>
      <c r="AB229" s="153" t="e">
        <f>#REF!</f>
        <v>#REF!</v>
      </c>
      <c r="AC229" s="202"/>
      <c r="AD229" s="152" t="e">
        <f>#REF!</f>
        <v>#REF!</v>
      </c>
      <c r="AE229" s="202"/>
      <c r="AF229" s="153" t="e">
        <f>#REF!</f>
        <v>#REF!</v>
      </c>
      <c r="AG229" s="202"/>
      <c r="AH229" s="152" t="e">
        <f>#REF!</f>
        <v>#REF!</v>
      </c>
      <c r="AI229" s="202"/>
      <c r="AJ229" s="153" t="e">
        <f>#REF!</f>
        <v>#REF!</v>
      </c>
      <c r="AK229" s="202"/>
      <c r="AL229" s="152" t="e">
        <f>#REF!</f>
        <v>#REF!</v>
      </c>
      <c r="AM229" s="202"/>
      <c r="AN229" s="153" t="e">
        <f>#REF!</f>
        <v>#REF!</v>
      </c>
      <c r="AO229" s="202"/>
      <c r="AP229" s="152" t="e">
        <f>#REF!</f>
        <v>#REF!</v>
      </c>
      <c r="AQ229" s="202"/>
      <c r="AR229" s="154" t="e">
        <f>#REF!</f>
        <v>#REF!</v>
      </c>
      <c r="AS229" s="202"/>
      <c r="AT229" s="153" t="e">
        <f>#REF!</f>
        <v>#REF!</v>
      </c>
      <c r="AU229" s="202"/>
      <c r="AV229" s="152" t="e">
        <f>#REF!</f>
        <v>#REF!</v>
      </c>
      <c r="AW229" s="202"/>
      <c r="AX229" s="153" t="e">
        <f>#REF!</f>
        <v>#REF!</v>
      </c>
      <c r="AY229" s="202"/>
      <c r="AZ229" s="152" t="e">
        <f>#REF!</f>
        <v>#REF!</v>
      </c>
      <c r="BA229" s="202"/>
      <c r="BB229" s="154" t="e">
        <f>#REF!</f>
        <v>#REF!</v>
      </c>
      <c r="BC229" s="137"/>
    </row>
    <row r="230" spans="1:55" ht="30" hidden="1" customHeight="1">
      <c r="A230" s="203" t="e">
        <f>#REF!</f>
        <v>#REF!</v>
      </c>
      <c r="B230" s="204" t="e">
        <f xml:space="preserve"> IF(#REF!=0, "",#REF!)</f>
        <v>#REF!</v>
      </c>
      <c r="C230" s="369" t="e">
        <f>#REF!</f>
        <v>#REF!</v>
      </c>
      <c r="D230" s="369"/>
      <c r="E230" s="291" t="e">
        <f>#REF!</f>
        <v>#REF!</v>
      </c>
      <c r="F230" s="148" t="e">
        <f>#REF!</f>
        <v>#REF!</v>
      </c>
      <c r="G230" s="205" t="e">
        <f xml:space="preserve"> IF(#REF!="", "",#REF!)</f>
        <v>#REF!</v>
      </c>
      <c r="H230" s="205" t="e">
        <f xml:space="preserve"> IF(#REF!="", "",#REF!)</f>
        <v>#REF!</v>
      </c>
      <c r="I230" s="205" t="e">
        <f xml:space="preserve"> IF(#REF!="", "",#REF!)</f>
        <v>#REF!</v>
      </c>
      <c r="J230" s="298" t="e">
        <f>#REF!</f>
        <v>#REF!</v>
      </c>
      <c r="K230" s="149" t="e">
        <f>#REF!</f>
        <v>#REF!</v>
      </c>
      <c r="L230" s="149" t="e">
        <f>#REF!</f>
        <v>#REF!</v>
      </c>
      <c r="M230" s="150" t="e">
        <f>#REF!</f>
        <v>#REF!</v>
      </c>
      <c r="N230" s="364"/>
      <c r="O230" s="202"/>
      <c r="P230" s="151" t="e">
        <f>#REF!</f>
        <v>#REF!</v>
      </c>
      <c r="Q230" s="202"/>
      <c r="R230" s="152" t="e">
        <f>#REF!</f>
        <v>#REF!</v>
      </c>
      <c r="S230" s="202"/>
      <c r="T230" s="153" t="e">
        <f>#REF!</f>
        <v>#REF!</v>
      </c>
      <c r="U230" s="202"/>
      <c r="V230" s="153" t="e">
        <f>#REF!</f>
        <v>#REF!</v>
      </c>
      <c r="W230" s="202"/>
      <c r="X230" s="153" t="e">
        <f>#REF!</f>
        <v>#REF!</v>
      </c>
      <c r="Y230" s="202"/>
      <c r="Z230" s="152" t="e">
        <f>#REF!</f>
        <v>#REF!</v>
      </c>
      <c r="AA230" s="202"/>
      <c r="AB230" s="153" t="e">
        <f>#REF!</f>
        <v>#REF!</v>
      </c>
      <c r="AC230" s="202"/>
      <c r="AD230" s="152" t="e">
        <f>#REF!</f>
        <v>#REF!</v>
      </c>
      <c r="AE230" s="202"/>
      <c r="AF230" s="153" t="e">
        <f>#REF!</f>
        <v>#REF!</v>
      </c>
      <c r="AG230" s="202"/>
      <c r="AH230" s="152" t="e">
        <f>#REF!</f>
        <v>#REF!</v>
      </c>
      <c r="AI230" s="202"/>
      <c r="AJ230" s="153" t="e">
        <f>#REF!</f>
        <v>#REF!</v>
      </c>
      <c r="AK230" s="202"/>
      <c r="AL230" s="152" t="e">
        <f>#REF!</f>
        <v>#REF!</v>
      </c>
      <c r="AM230" s="202"/>
      <c r="AN230" s="153" t="e">
        <f>#REF!</f>
        <v>#REF!</v>
      </c>
      <c r="AO230" s="202"/>
      <c r="AP230" s="152" t="e">
        <f>#REF!</f>
        <v>#REF!</v>
      </c>
      <c r="AQ230" s="202"/>
      <c r="AR230" s="154" t="e">
        <f>#REF!</f>
        <v>#REF!</v>
      </c>
      <c r="AS230" s="202"/>
      <c r="AT230" s="153" t="e">
        <f>#REF!</f>
        <v>#REF!</v>
      </c>
      <c r="AU230" s="202"/>
      <c r="AV230" s="152" t="e">
        <f>#REF!</f>
        <v>#REF!</v>
      </c>
      <c r="AW230" s="202"/>
      <c r="AX230" s="153" t="e">
        <f>#REF!</f>
        <v>#REF!</v>
      </c>
      <c r="AY230" s="202"/>
      <c r="AZ230" s="152" t="e">
        <f>#REF!</f>
        <v>#REF!</v>
      </c>
      <c r="BA230" s="202"/>
      <c r="BB230" s="154" t="e">
        <f>#REF!</f>
        <v>#REF!</v>
      </c>
      <c r="BC230" s="137"/>
    </row>
    <row r="231" spans="1:55" ht="30" hidden="1" customHeight="1">
      <c r="A231" s="203" t="e">
        <f>#REF!</f>
        <v>#REF!</v>
      </c>
      <c r="B231" s="204" t="e">
        <f xml:space="preserve"> IF(#REF!=0, "",#REF!)</f>
        <v>#REF!</v>
      </c>
      <c r="C231" s="369" t="e">
        <f>#REF!</f>
        <v>#REF!</v>
      </c>
      <c r="D231" s="369"/>
      <c r="E231" s="291" t="e">
        <f>#REF!</f>
        <v>#REF!</v>
      </c>
      <c r="F231" s="148" t="e">
        <f>#REF!</f>
        <v>#REF!</v>
      </c>
      <c r="G231" s="205" t="e">
        <f xml:space="preserve"> IF(#REF!="", "",#REF!)</f>
        <v>#REF!</v>
      </c>
      <c r="H231" s="205" t="e">
        <f xml:space="preserve"> IF(#REF!="", "",#REF!)</f>
        <v>#REF!</v>
      </c>
      <c r="I231" s="205" t="e">
        <f xml:space="preserve"> IF(#REF!="", "",#REF!)</f>
        <v>#REF!</v>
      </c>
      <c r="J231" s="298" t="e">
        <f>#REF!</f>
        <v>#REF!</v>
      </c>
      <c r="K231" s="149" t="e">
        <f>#REF!</f>
        <v>#REF!</v>
      </c>
      <c r="L231" s="149" t="e">
        <f>#REF!</f>
        <v>#REF!</v>
      </c>
      <c r="M231" s="150" t="e">
        <f>#REF!</f>
        <v>#REF!</v>
      </c>
      <c r="N231" s="364"/>
      <c r="O231" s="202"/>
      <c r="P231" s="151" t="e">
        <f>#REF!</f>
        <v>#REF!</v>
      </c>
      <c r="Q231" s="202"/>
      <c r="R231" s="152" t="e">
        <f>#REF!</f>
        <v>#REF!</v>
      </c>
      <c r="S231" s="202"/>
      <c r="T231" s="153" t="e">
        <f>#REF!</f>
        <v>#REF!</v>
      </c>
      <c r="U231" s="202"/>
      <c r="V231" s="153" t="e">
        <f>#REF!</f>
        <v>#REF!</v>
      </c>
      <c r="W231" s="202"/>
      <c r="X231" s="153" t="e">
        <f>#REF!</f>
        <v>#REF!</v>
      </c>
      <c r="Y231" s="202"/>
      <c r="Z231" s="152" t="e">
        <f>#REF!</f>
        <v>#REF!</v>
      </c>
      <c r="AA231" s="202"/>
      <c r="AB231" s="153" t="e">
        <f>#REF!</f>
        <v>#REF!</v>
      </c>
      <c r="AC231" s="202"/>
      <c r="AD231" s="152" t="e">
        <f>#REF!</f>
        <v>#REF!</v>
      </c>
      <c r="AE231" s="202"/>
      <c r="AF231" s="153" t="e">
        <f>#REF!</f>
        <v>#REF!</v>
      </c>
      <c r="AG231" s="202"/>
      <c r="AH231" s="152" t="e">
        <f>#REF!</f>
        <v>#REF!</v>
      </c>
      <c r="AI231" s="202"/>
      <c r="AJ231" s="153" t="e">
        <f>#REF!</f>
        <v>#REF!</v>
      </c>
      <c r="AK231" s="202"/>
      <c r="AL231" s="152" t="e">
        <f>#REF!</f>
        <v>#REF!</v>
      </c>
      <c r="AM231" s="202"/>
      <c r="AN231" s="153" t="e">
        <f>#REF!</f>
        <v>#REF!</v>
      </c>
      <c r="AO231" s="202"/>
      <c r="AP231" s="152" t="e">
        <f>#REF!</f>
        <v>#REF!</v>
      </c>
      <c r="AQ231" s="202"/>
      <c r="AR231" s="154" t="e">
        <f>#REF!</f>
        <v>#REF!</v>
      </c>
      <c r="AS231" s="202"/>
      <c r="AT231" s="153" t="e">
        <f>#REF!</f>
        <v>#REF!</v>
      </c>
      <c r="AU231" s="202"/>
      <c r="AV231" s="152" t="e">
        <f>#REF!</f>
        <v>#REF!</v>
      </c>
      <c r="AW231" s="202"/>
      <c r="AX231" s="153" t="e">
        <f>#REF!</f>
        <v>#REF!</v>
      </c>
      <c r="AY231" s="202"/>
      <c r="AZ231" s="152" t="e">
        <f>#REF!</f>
        <v>#REF!</v>
      </c>
      <c r="BA231" s="202"/>
      <c r="BB231" s="154" t="e">
        <f>#REF!</f>
        <v>#REF!</v>
      </c>
      <c r="BC231" s="137"/>
    </row>
    <row r="232" spans="1:55" ht="30" hidden="1" customHeight="1">
      <c r="A232" s="203" t="e">
        <f>#REF!</f>
        <v>#REF!</v>
      </c>
      <c r="B232" s="204" t="e">
        <f xml:space="preserve"> IF(#REF!=0, "",#REF!)</f>
        <v>#REF!</v>
      </c>
      <c r="C232" s="369" t="e">
        <f>#REF!</f>
        <v>#REF!</v>
      </c>
      <c r="D232" s="369"/>
      <c r="E232" s="291" t="e">
        <f>#REF!</f>
        <v>#REF!</v>
      </c>
      <c r="F232" s="148" t="e">
        <f>#REF!</f>
        <v>#REF!</v>
      </c>
      <c r="G232" s="205" t="e">
        <f xml:space="preserve"> IF(#REF!="", "",#REF!)</f>
        <v>#REF!</v>
      </c>
      <c r="H232" s="205" t="e">
        <f xml:space="preserve"> IF(#REF!="", "",#REF!)</f>
        <v>#REF!</v>
      </c>
      <c r="I232" s="205" t="e">
        <f xml:space="preserve"> IF(#REF!="", "",#REF!)</f>
        <v>#REF!</v>
      </c>
      <c r="J232" s="298" t="e">
        <f>#REF!</f>
        <v>#REF!</v>
      </c>
      <c r="K232" s="149" t="e">
        <f>#REF!</f>
        <v>#REF!</v>
      </c>
      <c r="L232" s="149" t="e">
        <f>#REF!</f>
        <v>#REF!</v>
      </c>
      <c r="M232" s="150" t="e">
        <f>#REF!</f>
        <v>#REF!</v>
      </c>
      <c r="N232" s="364"/>
      <c r="O232" s="202"/>
      <c r="P232" s="151" t="e">
        <f>#REF!</f>
        <v>#REF!</v>
      </c>
      <c r="Q232" s="202"/>
      <c r="R232" s="152" t="e">
        <f>#REF!</f>
        <v>#REF!</v>
      </c>
      <c r="S232" s="202"/>
      <c r="T232" s="153" t="e">
        <f>#REF!</f>
        <v>#REF!</v>
      </c>
      <c r="U232" s="202"/>
      <c r="V232" s="153" t="e">
        <f>#REF!</f>
        <v>#REF!</v>
      </c>
      <c r="W232" s="202"/>
      <c r="X232" s="153" t="e">
        <f>#REF!</f>
        <v>#REF!</v>
      </c>
      <c r="Y232" s="202"/>
      <c r="Z232" s="152" t="e">
        <f>#REF!</f>
        <v>#REF!</v>
      </c>
      <c r="AA232" s="202"/>
      <c r="AB232" s="153" t="e">
        <f>#REF!</f>
        <v>#REF!</v>
      </c>
      <c r="AC232" s="202"/>
      <c r="AD232" s="152" t="e">
        <f>#REF!</f>
        <v>#REF!</v>
      </c>
      <c r="AE232" s="202"/>
      <c r="AF232" s="153" t="e">
        <f>#REF!</f>
        <v>#REF!</v>
      </c>
      <c r="AG232" s="202"/>
      <c r="AH232" s="152" t="e">
        <f>#REF!</f>
        <v>#REF!</v>
      </c>
      <c r="AI232" s="202"/>
      <c r="AJ232" s="153" t="e">
        <f>#REF!</f>
        <v>#REF!</v>
      </c>
      <c r="AK232" s="202"/>
      <c r="AL232" s="152" t="e">
        <f>#REF!</f>
        <v>#REF!</v>
      </c>
      <c r="AM232" s="202"/>
      <c r="AN232" s="153" t="e">
        <f>#REF!</f>
        <v>#REF!</v>
      </c>
      <c r="AO232" s="202"/>
      <c r="AP232" s="152" t="e">
        <f>#REF!</f>
        <v>#REF!</v>
      </c>
      <c r="AQ232" s="202"/>
      <c r="AR232" s="154" t="e">
        <f>#REF!</f>
        <v>#REF!</v>
      </c>
      <c r="AS232" s="202"/>
      <c r="AT232" s="153" t="e">
        <f>#REF!</f>
        <v>#REF!</v>
      </c>
      <c r="AU232" s="202"/>
      <c r="AV232" s="152" t="e">
        <f>#REF!</f>
        <v>#REF!</v>
      </c>
      <c r="AW232" s="202"/>
      <c r="AX232" s="153" t="e">
        <f>#REF!</f>
        <v>#REF!</v>
      </c>
      <c r="AY232" s="202"/>
      <c r="AZ232" s="152" t="e">
        <f>#REF!</f>
        <v>#REF!</v>
      </c>
      <c r="BA232" s="202"/>
      <c r="BB232" s="154" t="e">
        <f>#REF!</f>
        <v>#REF!</v>
      </c>
      <c r="BC232" s="137"/>
    </row>
    <row r="233" spans="1:55" ht="30" hidden="1" customHeight="1">
      <c r="A233" s="203" t="e">
        <f>#REF!</f>
        <v>#REF!</v>
      </c>
      <c r="B233" s="204" t="e">
        <f xml:space="preserve"> IF(#REF!=0, "",#REF!)</f>
        <v>#REF!</v>
      </c>
      <c r="C233" s="369" t="e">
        <f>#REF!</f>
        <v>#REF!</v>
      </c>
      <c r="D233" s="369"/>
      <c r="E233" s="291" t="e">
        <f>#REF!</f>
        <v>#REF!</v>
      </c>
      <c r="F233" s="148" t="e">
        <f>#REF!</f>
        <v>#REF!</v>
      </c>
      <c r="G233" s="205" t="e">
        <f xml:space="preserve"> IF(#REF!="", "",#REF!)</f>
        <v>#REF!</v>
      </c>
      <c r="H233" s="205" t="e">
        <f xml:space="preserve"> IF(#REF!="", "",#REF!)</f>
        <v>#REF!</v>
      </c>
      <c r="I233" s="205" t="e">
        <f xml:space="preserve"> IF(#REF!="", "",#REF!)</f>
        <v>#REF!</v>
      </c>
      <c r="J233" s="298" t="e">
        <f>#REF!</f>
        <v>#REF!</v>
      </c>
      <c r="K233" s="149" t="e">
        <f>#REF!</f>
        <v>#REF!</v>
      </c>
      <c r="L233" s="149" t="e">
        <f>#REF!</f>
        <v>#REF!</v>
      </c>
      <c r="M233" s="150" t="e">
        <f>#REF!</f>
        <v>#REF!</v>
      </c>
      <c r="N233" s="364"/>
      <c r="O233" s="202"/>
      <c r="P233" s="151" t="e">
        <f>#REF!</f>
        <v>#REF!</v>
      </c>
      <c r="Q233" s="202"/>
      <c r="R233" s="152" t="e">
        <f>#REF!</f>
        <v>#REF!</v>
      </c>
      <c r="S233" s="202"/>
      <c r="T233" s="153" t="e">
        <f>#REF!</f>
        <v>#REF!</v>
      </c>
      <c r="U233" s="202"/>
      <c r="V233" s="153" t="e">
        <f>#REF!</f>
        <v>#REF!</v>
      </c>
      <c r="W233" s="202"/>
      <c r="X233" s="153" t="e">
        <f>#REF!</f>
        <v>#REF!</v>
      </c>
      <c r="Y233" s="202"/>
      <c r="Z233" s="152" t="e">
        <f>#REF!</f>
        <v>#REF!</v>
      </c>
      <c r="AA233" s="202"/>
      <c r="AB233" s="153" t="e">
        <f>#REF!</f>
        <v>#REF!</v>
      </c>
      <c r="AC233" s="202"/>
      <c r="AD233" s="152" t="e">
        <f>#REF!</f>
        <v>#REF!</v>
      </c>
      <c r="AE233" s="202"/>
      <c r="AF233" s="153" t="e">
        <f>#REF!</f>
        <v>#REF!</v>
      </c>
      <c r="AG233" s="202"/>
      <c r="AH233" s="152" t="e">
        <f>#REF!</f>
        <v>#REF!</v>
      </c>
      <c r="AI233" s="202"/>
      <c r="AJ233" s="153" t="e">
        <f>#REF!</f>
        <v>#REF!</v>
      </c>
      <c r="AK233" s="202"/>
      <c r="AL233" s="152" t="e">
        <f>#REF!</f>
        <v>#REF!</v>
      </c>
      <c r="AM233" s="202"/>
      <c r="AN233" s="153" t="e">
        <f>#REF!</f>
        <v>#REF!</v>
      </c>
      <c r="AO233" s="202"/>
      <c r="AP233" s="152" t="e">
        <f>#REF!</f>
        <v>#REF!</v>
      </c>
      <c r="AQ233" s="202"/>
      <c r="AR233" s="154" t="e">
        <f>#REF!</f>
        <v>#REF!</v>
      </c>
      <c r="AS233" s="202"/>
      <c r="AT233" s="153" t="e">
        <f>#REF!</f>
        <v>#REF!</v>
      </c>
      <c r="AU233" s="202"/>
      <c r="AV233" s="152" t="e">
        <f>#REF!</f>
        <v>#REF!</v>
      </c>
      <c r="AW233" s="202"/>
      <c r="AX233" s="153" t="e">
        <f>#REF!</f>
        <v>#REF!</v>
      </c>
      <c r="AY233" s="202"/>
      <c r="AZ233" s="152" t="e">
        <f>#REF!</f>
        <v>#REF!</v>
      </c>
      <c r="BA233" s="202"/>
      <c r="BB233" s="154" t="e">
        <f>#REF!</f>
        <v>#REF!</v>
      </c>
      <c r="BC233" s="137"/>
    </row>
    <row r="234" spans="1:55" ht="30" hidden="1" customHeight="1">
      <c r="A234" s="203" t="e">
        <f>#REF!</f>
        <v>#REF!</v>
      </c>
      <c r="B234" s="204" t="e">
        <f xml:space="preserve"> IF(#REF!=0, "",#REF!)</f>
        <v>#REF!</v>
      </c>
      <c r="C234" s="369" t="e">
        <f>#REF!</f>
        <v>#REF!</v>
      </c>
      <c r="D234" s="369"/>
      <c r="E234" s="291" t="e">
        <f>#REF!</f>
        <v>#REF!</v>
      </c>
      <c r="F234" s="148" t="e">
        <f>#REF!</f>
        <v>#REF!</v>
      </c>
      <c r="G234" s="205" t="e">
        <f xml:space="preserve"> IF(#REF!="", "",#REF!)</f>
        <v>#REF!</v>
      </c>
      <c r="H234" s="205" t="e">
        <f xml:space="preserve"> IF(#REF!="", "",#REF!)</f>
        <v>#REF!</v>
      </c>
      <c r="I234" s="205" t="e">
        <f xml:space="preserve"> IF(#REF!="", "",#REF!)</f>
        <v>#REF!</v>
      </c>
      <c r="J234" s="298" t="e">
        <f>#REF!</f>
        <v>#REF!</v>
      </c>
      <c r="K234" s="149" t="e">
        <f>#REF!</f>
        <v>#REF!</v>
      </c>
      <c r="L234" s="149" t="e">
        <f>#REF!</f>
        <v>#REF!</v>
      </c>
      <c r="M234" s="150" t="e">
        <f>#REF!</f>
        <v>#REF!</v>
      </c>
      <c r="N234" s="364"/>
      <c r="O234" s="202"/>
      <c r="P234" s="151" t="e">
        <f>#REF!</f>
        <v>#REF!</v>
      </c>
      <c r="Q234" s="202"/>
      <c r="R234" s="152" t="e">
        <f>#REF!</f>
        <v>#REF!</v>
      </c>
      <c r="S234" s="202"/>
      <c r="T234" s="153" t="e">
        <f>#REF!</f>
        <v>#REF!</v>
      </c>
      <c r="U234" s="202"/>
      <c r="V234" s="153" t="e">
        <f>#REF!</f>
        <v>#REF!</v>
      </c>
      <c r="W234" s="202"/>
      <c r="X234" s="153" t="e">
        <f>#REF!</f>
        <v>#REF!</v>
      </c>
      <c r="Y234" s="202"/>
      <c r="Z234" s="152" t="e">
        <f>#REF!</f>
        <v>#REF!</v>
      </c>
      <c r="AA234" s="202"/>
      <c r="AB234" s="153" t="e">
        <f>#REF!</f>
        <v>#REF!</v>
      </c>
      <c r="AC234" s="202"/>
      <c r="AD234" s="152" t="e">
        <f>#REF!</f>
        <v>#REF!</v>
      </c>
      <c r="AE234" s="202"/>
      <c r="AF234" s="153" t="e">
        <f>#REF!</f>
        <v>#REF!</v>
      </c>
      <c r="AG234" s="202"/>
      <c r="AH234" s="152" t="e">
        <f>#REF!</f>
        <v>#REF!</v>
      </c>
      <c r="AI234" s="202"/>
      <c r="AJ234" s="153" t="e">
        <f>#REF!</f>
        <v>#REF!</v>
      </c>
      <c r="AK234" s="202"/>
      <c r="AL234" s="152" t="e">
        <f>#REF!</f>
        <v>#REF!</v>
      </c>
      <c r="AM234" s="202"/>
      <c r="AN234" s="153" t="e">
        <f>#REF!</f>
        <v>#REF!</v>
      </c>
      <c r="AO234" s="202"/>
      <c r="AP234" s="152" t="e">
        <f>#REF!</f>
        <v>#REF!</v>
      </c>
      <c r="AQ234" s="202"/>
      <c r="AR234" s="154" t="e">
        <f>#REF!</f>
        <v>#REF!</v>
      </c>
      <c r="AS234" s="202"/>
      <c r="AT234" s="153" t="e">
        <f>#REF!</f>
        <v>#REF!</v>
      </c>
      <c r="AU234" s="202"/>
      <c r="AV234" s="152" t="e">
        <f>#REF!</f>
        <v>#REF!</v>
      </c>
      <c r="AW234" s="202"/>
      <c r="AX234" s="153" t="e">
        <f>#REF!</f>
        <v>#REF!</v>
      </c>
      <c r="AY234" s="202"/>
      <c r="AZ234" s="152" t="e">
        <f>#REF!</f>
        <v>#REF!</v>
      </c>
      <c r="BA234" s="202"/>
      <c r="BB234" s="154" t="e">
        <f>#REF!</f>
        <v>#REF!</v>
      </c>
      <c r="BC234" s="137"/>
    </row>
    <row r="235" spans="1:55" ht="30" hidden="1" customHeight="1">
      <c r="A235" s="203" t="e">
        <f>#REF!</f>
        <v>#REF!</v>
      </c>
      <c r="B235" s="204" t="e">
        <f xml:space="preserve"> IF(#REF!=0, "",#REF!)</f>
        <v>#REF!</v>
      </c>
      <c r="C235" s="369" t="e">
        <f>#REF!</f>
        <v>#REF!</v>
      </c>
      <c r="D235" s="369"/>
      <c r="E235" s="291" t="e">
        <f>#REF!</f>
        <v>#REF!</v>
      </c>
      <c r="F235" s="148" t="e">
        <f>#REF!</f>
        <v>#REF!</v>
      </c>
      <c r="G235" s="205" t="e">
        <f xml:space="preserve"> IF(#REF!="", "",#REF!)</f>
        <v>#REF!</v>
      </c>
      <c r="H235" s="205" t="e">
        <f xml:space="preserve"> IF(#REF!="", "",#REF!)</f>
        <v>#REF!</v>
      </c>
      <c r="I235" s="205" t="e">
        <f xml:space="preserve"> IF(#REF!="", "",#REF!)</f>
        <v>#REF!</v>
      </c>
      <c r="J235" s="298" t="e">
        <f>#REF!</f>
        <v>#REF!</v>
      </c>
      <c r="K235" s="149" t="e">
        <f>#REF!</f>
        <v>#REF!</v>
      </c>
      <c r="L235" s="149" t="e">
        <f>#REF!</f>
        <v>#REF!</v>
      </c>
      <c r="M235" s="150" t="e">
        <f>#REF!</f>
        <v>#REF!</v>
      </c>
      <c r="N235" s="364"/>
      <c r="O235" s="202"/>
      <c r="P235" s="151" t="e">
        <f>#REF!</f>
        <v>#REF!</v>
      </c>
      <c r="Q235" s="202"/>
      <c r="R235" s="152" t="e">
        <f>#REF!</f>
        <v>#REF!</v>
      </c>
      <c r="S235" s="202"/>
      <c r="T235" s="153" t="e">
        <f>#REF!</f>
        <v>#REF!</v>
      </c>
      <c r="U235" s="202"/>
      <c r="V235" s="153" t="e">
        <f>#REF!</f>
        <v>#REF!</v>
      </c>
      <c r="W235" s="202"/>
      <c r="X235" s="153" t="e">
        <f>#REF!</f>
        <v>#REF!</v>
      </c>
      <c r="Y235" s="202"/>
      <c r="Z235" s="152" t="e">
        <f>#REF!</f>
        <v>#REF!</v>
      </c>
      <c r="AA235" s="202"/>
      <c r="AB235" s="153" t="e">
        <f>#REF!</f>
        <v>#REF!</v>
      </c>
      <c r="AC235" s="202"/>
      <c r="AD235" s="152" t="e">
        <f>#REF!</f>
        <v>#REF!</v>
      </c>
      <c r="AE235" s="202"/>
      <c r="AF235" s="153" t="e">
        <f>#REF!</f>
        <v>#REF!</v>
      </c>
      <c r="AG235" s="202"/>
      <c r="AH235" s="152" t="e">
        <f>#REF!</f>
        <v>#REF!</v>
      </c>
      <c r="AI235" s="202"/>
      <c r="AJ235" s="153" t="e">
        <f>#REF!</f>
        <v>#REF!</v>
      </c>
      <c r="AK235" s="202"/>
      <c r="AL235" s="152" t="e">
        <f>#REF!</f>
        <v>#REF!</v>
      </c>
      <c r="AM235" s="202"/>
      <c r="AN235" s="153" t="e">
        <f>#REF!</f>
        <v>#REF!</v>
      </c>
      <c r="AO235" s="202"/>
      <c r="AP235" s="152" t="e">
        <f>#REF!</f>
        <v>#REF!</v>
      </c>
      <c r="AQ235" s="202"/>
      <c r="AR235" s="154" t="e">
        <f>#REF!</f>
        <v>#REF!</v>
      </c>
      <c r="AS235" s="202"/>
      <c r="AT235" s="153" t="e">
        <f>#REF!</f>
        <v>#REF!</v>
      </c>
      <c r="AU235" s="202"/>
      <c r="AV235" s="152" t="e">
        <f>#REF!</f>
        <v>#REF!</v>
      </c>
      <c r="AW235" s="202"/>
      <c r="AX235" s="153" t="e">
        <f>#REF!</f>
        <v>#REF!</v>
      </c>
      <c r="AY235" s="202"/>
      <c r="AZ235" s="152" t="e">
        <f>#REF!</f>
        <v>#REF!</v>
      </c>
      <c r="BA235" s="202"/>
      <c r="BB235" s="154" t="e">
        <f>#REF!</f>
        <v>#REF!</v>
      </c>
      <c r="BC235" s="137"/>
    </row>
    <row r="236" spans="1:55" ht="30" hidden="1" customHeight="1">
      <c r="A236" s="203" t="e">
        <f>#REF!</f>
        <v>#REF!</v>
      </c>
      <c r="B236" s="204" t="e">
        <f xml:space="preserve"> IF(#REF!=0, "",#REF!)</f>
        <v>#REF!</v>
      </c>
      <c r="C236" s="369" t="e">
        <f>#REF!</f>
        <v>#REF!</v>
      </c>
      <c r="D236" s="369"/>
      <c r="E236" s="291" t="e">
        <f>#REF!</f>
        <v>#REF!</v>
      </c>
      <c r="F236" s="148" t="e">
        <f>#REF!</f>
        <v>#REF!</v>
      </c>
      <c r="G236" s="205" t="e">
        <f xml:space="preserve"> IF(#REF!="", "",#REF!)</f>
        <v>#REF!</v>
      </c>
      <c r="H236" s="205" t="e">
        <f xml:space="preserve"> IF(#REF!="", "",#REF!)</f>
        <v>#REF!</v>
      </c>
      <c r="I236" s="205" t="e">
        <f xml:space="preserve"> IF(#REF!="", "",#REF!)</f>
        <v>#REF!</v>
      </c>
      <c r="J236" s="298" t="e">
        <f>#REF!</f>
        <v>#REF!</v>
      </c>
      <c r="K236" s="149" t="e">
        <f>#REF!</f>
        <v>#REF!</v>
      </c>
      <c r="L236" s="149" t="e">
        <f>#REF!</f>
        <v>#REF!</v>
      </c>
      <c r="M236" s="150" t="e">
        <f>#REF!</f>
        <v>#REF!</v>
      </c>
      <c r="N236" s="364"/>
      <c r="O236" s="202"/>
      <c r="P236" s="151" t="e">
        <f>#REF!</f>
        <v>#REF!</v>
      </c>
      <c r="Q236" s="202"/>
      <c r="R236" s="152" t="e">
        <f>#REF!</f>
        <v>#REF!</v>
      </c>
      <c r="S236" s="202"/>
      <c r="T236" s="153" t="e">
        <f>#REF!</f>
        <v>#REF!</v>
      </c>
      <c r="U236" s="202"/>
      <c r="V236" s="153" t="e">
        <f>#REF!</f>
        <v>#REF!</v>
      </c>
      <c r="W236" s="202"/>
      <c r="X236" s="153" t="e">
        <f>#REF!</f>
        <v>#REF!</v>
      </c>
      <c r="Y236" s="202"/>
      <c r="Z236" s="152" t="e">
        <f>#REF!</f>
        <v>#REF!</v>
      </c>
      <c r="AA236" s="202"/>
      <c r="AB236" s="153" t="e">
        <f>#REF!</f>
        <v>#REF!</v>
      </c>
      <c r="AC236" s="202"/>
      <c r="AD236" s="152" t="e">
        <f>#REF!</f>
        <v>#REF!</v>
      </c>
      <c r="AE236" s="202"/>
      <c r="AF236" s="153" t="e">
        <f>#REF!</f>
        <v>#REF!</v>
      </c>
      <c r="AG236" s="202"/>
      <c r="AH236" s="152" t="e">
        <f>#REF!</f>
        <v>#REF!</v>
      </c>
      <c r="AI236" s="202"/>
      <c r="AJ236" s="153" t="e">
        <f>#REF!</f>
        <v>#REF!</v>
      </c>
      <c r="AK236" s="202"/>
      <c r="AL236" s="152" t="e">
        <f>#REF!</f>
        <v>#REF!</v>
      </c>
      <c r="AM236" s="202"/>
      <c r="AN236" s="153" t="e">
        <f>#REF!</f>
        <v>#REF!</v>
      </c>
      <c r="AO236" s="202"/>
      <c r="AP236" s="152" t="e">
        <f>#REF!</f>
        <v>#REF!</v>
      </c>
      <c r="AQ236" s="202"/>
      <c r="AR236" s="154" t="e">
        <f>#REF!</f>
        <v>#REF!</v>
      </c>
      <c r="AS236" s="202"/>
      <c r="AT236" s="153" t="e">
        <f>#REF!</f>
        <v>#REF!</v>
      </c>
      <c r="AU236" s="202"/>
      <c r="AV236" s="152" t="e">
        <f>#REF!</f>
        <v>#REF!</v>
      </c>
      <c r="AW236" s="202"/>
      <c r="AX236" s="153" t="e">
        <f>#REF!</f>
        <v>#REF!</v>
      </c>
      <c r="AY236" s="202"/>
      <c r="AZ236" s="152" t="e">
        <f>#REF!</f>
        <v>#REF!</v>
      </c>
      <c r="BA236" s="202"/>
      <c r="BB236" s="154" t="e">
        <f>#REF!</f>
        <v>#REF!</v>
      </c>
      <c r="BC236" s="137"/>
    </row>
    <row r="237" spans="1:55" ht="30" hidden="1" customHeight="1">
      <c r="A237" s="203" t="e">
        <f>#REF!</f>
        <v>#REF!</v>
      </c>
      <c r="B237" s="204" t="e">
        <f xml:space="preserve"> IF(#REF!=0, "",#REF!)</f>
        <v>#REF!</v>
      </c>
      <c r="C237" s="369" t="e">
        <f>#REF!</f>
        <v>#REF!</v>
      </c>
      <c r="D237" s="369"/>
      <c r="E237" s="291" t="e">
        <f>#REF!</f>
        <v>#REF!</v>
      </c>
      <c r="F237" s="148" t="e">
        <f>#REF!</f>
        <v>#REF!</v>
      </c>
      <c r="G237" s="205" t="e">
        <f xml:space="preserve"> IF(#REF!="", "",#REF!)</f>
        <v>#REF!</v>
      </c>
      <c r="H237" s="205" t="e">
        <f xml:space="preserve"> IF(#REF!="", "",#REF!)</f>
        <v>#REF!</v>
      </c>
      <c r="I237" s="205" t="e">
        <f xml:space="preserve"> IF(#REF!="", "",#REF!)</f>
        <v>#REF!</v>
      </c>
      <c r="J237" s="298" t="e">
        <f>#REF!</f>
        <v>#REF!</v>
      </c>
      <c r="K237" s="149" t="e">
        <f>#REF!</f>
        <v>#REF!</v>
      </c>
      <c r="L237" s="149" t="e">
        <f>#REF!</f>
        <v>#REF!</v>
      </c>
      <c r="M237" s="150" t="e">
        <f>#REF!</f>
        <v>#REF!</v>
      </c>
      <c r="N237" s="364"/>
      <c r="O237" s="202"/>
      <c r="P237" s="151" t="e">
        <f>#REF!</f>
        <v>#REF!</v>
      </c>
      <c r="Q237" s="202"/>
      <c r="R237" s="152" t="e">
        <f>#REF!</f>
        <v>#REF!</v>
      </c>
      <c r="S237" s="202"/>
      <c r="T237" s="153" t="e">
        <f>#REF!</f>
        <v>#REF!</v>
      </c>
      <c r="U237" s="202"/>
      <c r="V237" s="153" t="e">
        <f>#REF!</f>
        <v>#REF!</v>
      </c>
      <c r="W237" s="202"/>
      <c r="X237" s="153" t="e">
        <f>#REF!</f>
        <v>#REF!</v>
      </c>
      <c r="Y237" s="202"/>
      <c r="Z237" s="152" t="e">
        <f>#REF!</f>
        <v>#REF!</v>
      </c>
      <c r="AA237" s="202"/>
      <c r="AB237" s="153" t="e">
        <f>#REF!</f>
        <v>#REF!</v>
      </c>
      <c r="AC237" s="202"/>
      <c r="AD237" s="152" t="e">
        <f>#REF!</f>
        <v>#REF!</v>
      </c>
      <c r="AE237" s="202"/>
      <c r="AF237" s="153" t="e">
        <f>#REF!</f>
        <v>#REF!</v>
      </c>
      <c r="AG237" s="202"/>
      <c r="AH237" s="152" t="e">
        <f>#REF!</f>
        <v>#REF!</v>
      </c>
      <c r="AI237" s="202"/>
      <c r="AJ237" s="153" t="e">
        <f>#REF!</f>
        <v>#REF!</v>
      </c>
      <c r="AK237" s="202"/>
      <c r="AL237" s="152" t="e">
        <f>#REF!</f>
        <v>#REF!</v>
      </c>
      <c r="AM237" s="202"/>
      <c r="AN237" s="153" t="e">
        <f>#REF!</f>
        <v>#REF!</v>
      </c>
      <c r="AO237" s="202"/>
      <c r="AP237" s="152" t="e">
        <f>#REF!</f>
        <v>#REF!</v>
      </c>
      <c r="AQ237" s="202"/>
      <c r="AR237" s="154" t="e">
        <f>#REF!</f>
        <v>#REF!</v>
      </c>
      <c r="AS237" s="202"/>
      <c r="AT237" s="153" t="e">
        <f>#REF!</f>
        <v>#REF!</v>
      </c>
      <c r="AU237" s="202"/>
      <c r="AV237" s="152" t="e">
        <f>#REF!</f>
        <v>#REF!</v>
      </c>
      <c r="AW237" s="202"/>
      <c r="AX237" s="153" t="e">
        <f>#REF!</f>
        <v>#REF!</v>
      </c>
      <c r="AY237" s="202"/>
      <c r="AZ237" s="152" t="e">
        <f>#REF!</f>
        <v>#REF!</v>
      </c>
      <c r="BA237" s="202"/>
      <c r="BB237" s="154" t="e">
        <f>#REF!</f>
        <v>#REF!</v>
      </c>
      <c r="BC237" s="137"/>
    </row>
    <row r="238" spans="1:55" ht="30" hidden="1" customHeight="1">
      <c r="A238" s="203" t="e">
        <f>#REF!</f>
        <v>#REF!</v>
      </c>
      <c r="B238" s="204" t="e">
        <f xml:space="preserve"> IF(#REF!=0, "",#REF!)</f>
        <v>#REF!</v>
      </c>
      <c r="C238" s="369" t="e">
        <f>#REF!</f>
        <v>#REF!</v>
      </c>
      <c r="D238" s="369"/>
      <c r="E238" s="291" t="e">
        <f>#REF!</f>
        <v>#REF!</v>
      </c>
      <c r="F238" s="148" t="e">
        <f>#REF!</f>
        <v>#REF!</v>
      </c>
      <c r="G238" s="205" t="e">
        <f xml:space="preserve"> IF(#REF!="", "",#REF!)</f>
        <v>#REF!</v>
      </c>
      <c r="H238" s="205" t="e">
        <f xml:space="preserve"> IF(#REF!="", "",#REF!)</f>
        <v>#REF!</v>
      </c>
      <c r="I238" s="205" t="e">
        <f xml:space="preserve"> IF(#REF!="", "",#REF!)</f>
        <v>#REF!</v>
      </c>
      <c r="J238" s="298" t="e">
        <f>#REF!</f>
        <v>#REF!</v>
      </c>
      <c r="K238" s="149" t="e">
        <f>#REF!</f>
        <v>#REF!</v>
      </c>
      <c r="L238" s="149" t="e">
        <f>#REF!</f>
        <v>#REF!</v>
      </c>
      <c r="M238" s="150" t="e">
        <f>#REF!</f>
        <v>#REF!</v>
      </c>
      <c r="N238" s="364"/>
      <c r="O238" s="202"/>
      <c r="P238" s="151" t="e">
        <f>#REF!</f>
        <v>#REF!</v>
      </c>
      <c r="Q238" s="202"/>
      <c r="R238" s="152" t="e">
        <f>#REF!</f>
        <v>#REF!</v>
      </c>
      <c r="S238" s="202"/>
      <c r="T238" s="153" t="e">
        <f>#REF!</f>
        <v>#REF!</v>
      </c>
      <c r="U238" s="202"/>
      <c r="V238" s="153" t="e">
        <f>#REF!</f>
        <v>#REF!</v>
      </c>
      <c r="W238" s="202"/>
      <c r="X238" s="153" t="e">
        <f>#REF!</f>
        <v>#REF!</v>
      </c>
      <c r="Y238" s="202"/>
      <c r="Z238" s="152" t="e">
        <f>#REF!</f>
        <v>#REF!</v>
      </c>
      <c r="AA238" s="202"/>
      <c r="AB238" s="153" t="e">
        <f>#REF!</f>
        <v>#REF!</v>
      </c>
      <c r="AC238" s="202"/>
      <c r="AD238" s="152" t="e">
        <f>#REF!</f>
        <v>#REF!</v>
      </c>
      <c r="AE238" s="202"/>
      <c r="AF238" s="153" t="e">
        <f>#REF!</f>
        <v>#REF!</v>
      </c>
      <c r="AG238" s="202"/>
      <c r="AH238" s="152" t="e">
        <f>#REF!</f>
        <v>#REF!</v>
      </c>
      <c r="AI238" s="202"/>
      <c r="AJ238" s="153" t="e">
        <f>#REF!</f>
        <v>#REF!</v>
      </c>
      <c r="AK238" s="202"/>
      <c r="AL238" s="152" t="e">
        <f>#REF!</f>
        <v>#REF!</v>
      </c>
      <c r="AM238" s="202"/>
      <c r="AN238" s="153" t="e">
        <f>#REF!</f>
        <v>#REF!</v>
      </c>
      <c r="AO238" s="202"/>
      <c r="AP238" s="152" t="e">
        <f>#REF!</f>
        <v>#REF!</v>
      </c>
      <c r="AQ238" s="202"/>
      <c r="AR238" s="154" t="e">
        <f>#REF!</f>
        <v>#REF!</v>
      </c>
      <c r="AS238" s="202"/>
      <c r="AT238" s="153" t="e">
        <f>#REF!</f>
        <v>#REF!</v>
      </c>
      <c r="AU238" s="202"/>
      <c r="AV238" s="152" t="e">
        <f>#REF!</f>
        <v>#REF!</v>
      </c>
      <c r="AW238" s="202"/>
      <c r="AX238" s="153" t="e">
        <f>#REF!</f>
        <v>#REF!</v>
      </c>
      <c r="AY238" s="202"/>
      <c r="AZ238" s="152" t="e">
        <f>#REF!</f>
        <v>#REF!</v>
      </c>
      <c r="BA238" s="202"/>
      <c r="BB238" s="154" t="e">
        <f>#REF!</f>
        <v>#REF!</v>
      </c>
      <c r="BC238" s="137"/>
    </row>
    <row r="239" spans="1:55" ht="30" hidden="1" customHeight="1">
      <c r="A239" s="203" t="e">
        <f>#REF!</f>
        <v>#REF!</v>
      </c>
      <c r="B239" s="204" t="e">
        <f xml:space="preserve"> IF(#REF!=0, "",#REF!)</f>
        <v>#REF!</v>
      </c>
      <c r="C239" s="369" t="e">
        <f>#REF!</f>
        <v>#REF!</v>
      </c>
      <c r="D239" s="369"/>
      <c r="E239" s="291" t="e">
        <f>#REF!</f>
        <v>#REF!</v>
      </c>
      <c r="F239" s="148" t="e">
        <f>#REF!</f>
        <v>#REF!</v>
      </c>
      <c r="G239" s="205" t="e">
        <f xml:space="preserve"> IF(#REF!="", "",#REF!)</f>
        <v>#REF!</v>
      </c>
      <c r="H239" s="205" t="e">
        <f xml:space="preserve"> IF(#REF!="", "",#REF!)</f>
        <v>#REF!</v>
      </c>
      <c r="I239" s="205" t="e">
        <f xml:space="preserve"> IF(#REF!="", "",#REF!)</f>
        <v>#REF!</v>
      </c>
      <c r="J239" s="298" t="e">
        <f>#REF!</f>
        <v>#REF!</v>
      </c>
      <c r="K239" s="149" t="e">
        <f>#REF!</f>
        <v>#REF!</v>
      </c>
      <c r="L239" s="149" t="e">
        <f>#REF!</f>
        <v>#REF!</v>
      </c>
      <c r="M239" s="150" t="e">
        <f>#REF!</f>
        <v>#REF!</v>
      </c>
      <c r="N239" s="364"/>
      <c r="O239" s="202"/>
      <c r="P239" s="151" t="e">
        <f>#REF!</f>
        <v>#REF!</v>
      </c>
      <c r="Q239" s="202"/>
      <c r="R239" s="152" t="e">
        <f>#REF!</f>
        <v>#REF!</v>
      </c>
      <c r="S239" s="202"/>
      <c r="T239" s="153" t="e">
        <f>#REF!</f>
        <v>#REF!</v>
      </c>
      <c r="U239" s="202"/>
      <c r="V239" s="153" t="e">
        <f>#REF!</f>
        <v>#REF!</v>
      </c>
      <c r="W239" s="202"/>
      <c r="X239" s="153" t="e">
        <f>#REF!</f>
        <v>#REF!</v>
      </c>
      <c r="Y239" s="202"/>
      <c r="Z239" s="152" t="e">
        <f>#REF!</f>
        <v>#REF!</v>
      </c>
      <c r="AA239" s="202"/>
      <c r="AB239" s="153" t="e">
        <f>#REF!</f>
        <v>#REF!</v>
      </c>
      <c r="AC239" s="202"/>
      <c r="AD239" s="152" t="e">
        <f>#REF!</f>
        <v>#REF!</v>
      </c>
      <c r="AE239" s="202"/>
      <c r="AF239" s="153" t="e">
        <f>#REF!</f>
        <v>#REF!</v>
      </c>
      <c r="AG239" s="202"/>
      <c r="AH239" s="152" t="e">
        <f>#REF!</f>
        <v>#REF!</v>
      </c>
      <c r="AI239" s="202"/>
      <c r="AJ239" s="153" t="e">
        <f>#REF!</f>
        <v>#REF!</v>
      </c>
      <c r="AK239" s="202"/>
      <c r="AL239" s="152" t="e">
        <f>#REF!</f>
        <v>#REF!</v>
      </c>
      <c r="AM239" s="202"/>
      <c r="AN239" s="153" t="e">
        <f>#REF!</f>
        <v>#REF!</v>
      </c>
      <c r="AO239" s="202"/>
      <c r="AP239" s="152" t="e">
        <f>#REF!</f>
        <v>#REF!</v>
      </c>
      <c r="AQ239" s="202"/>
      <c r="AR239" s="154" t="e">
        <f>#REF!</f>
        <v>#REF!</v>
      </c>
      <c r="AS239" s="202"/>
      <c r="AT239" s="153" t="e">
        <f>#REF!</f>
        <v>#REF!</v>
      </c>
      <c r="AU239" s="202"/>
      <c r="AV239" s="152" t="e">
        <f>#REF!</f>
        <v>#REF!</v>
      </c>
      <c r="AW239" s="202"/>
      <c r="AX239" s="153" t="e">
        <f>#REF!</f>
        <v>#REF!</v>
      </c>
      <c r="AY239" s="202"/>
      <c r="AZ239" s="152" t="e">
        <f>#REF!</f>
        <v>#REF!</v>
      </c>
      <c r="BA239" s="202"/>
      <c r="BB239" s="154" t="e">
        <f>#REF!</f>
        <v>#REF!</v>
      </c>
      <c r="BC239" s="137"/>
    </row>
    <row r="240" spans="1:55" ht="30" hidden="1" customHeight="1">
      <c r="A240" s="203" t="e">
        <f>#REF!</f>
        <v>#REF!</v>
      </c>
      <c r="B240" s="204" t="e">
        <f xml:space="preserve"> IF(#REF!=0, "",#REF!)</f>
        <v>#REF!</v>
      </c>
      <c r="C240" s="369" t="e">
        <f>#REF!</f>
        <v>#REF!</v>
      </c>
      <c r="D240" s="369"/>
      <c r="E240" s="291" t="e">
        <f>#REF!</f>
        <v>#REF!</v>
      </c>
      <c r="F240" s="148" t="e">
        <f>#REF!</f>
        <v>#REF!</v>
      </c>
      <c r="G240" s="205" t="e">
        <f xml:space="preserve"> IF(#REF!="", "",#REF!)</f>
        <v>#REF!</v>
      </c>
      <c r="H240" s="205" t="e">
        <f xml:space="preserve"> IF(#REF!="", "",#REF!)</f>
        <v>#REF!</v>
      </c>
      <c r="I240" s="205" t="e">
        <f xml:space="preserve"> IF(#REF!="", "",#REF!)</f>
        <v>#REF!</v>
      </c>
      <c r="J240" s="298" t="e">
        <f>#REF!</f>
        <v>#REF!</v>
      </c>
      <c r="K240" s="149" t="e">
        <f>#REF!</f>
        <v>#REF!</v>
      </c>
      <c r="L240" s="149" t="e">
        <f>#REF!</f>
        <v>#REF!</v>
      </c>
      <c r="M240" s="150" t="e">
        <f>#REF!</f>
        <v>#REF!</v>
      </c>
      <c r="N240" s="364"/>
      <c r="O240" s="202"/>
      <c r="P240" s="151" t="e">
        <f>#REF!</f>
        <v>#REF!</v>
      </c>
      <c r="Q240" s="202"/>
      <c r="R240" s="152" t="e">
        <f>#REF!</f>
        <v>#REF!</v>
      </c>
      <c r="S240" s="202"/>
      <c r="T240" s="153" t="e">
        <f>#REF!</f>
        <v>#REF!</v>
      </c>
      <c r="U240" s="202"/>
      <c r="V240" s="153" t="e">
        <f>#REF!</f>
        <v>#REF!</v>
      </c>
      <c r="W240" s="202"/>
      <c r="X240" s="153" t="e">
        <f>#REF!</f>
        <v>#REF!</v>
      </c>
      <c r="Y240" s="202"/>
      <c r="Z240" s="152" t="e">
        <f>#REF!</f>
        <v>#REF!</v>
      </c>
      <c r="AA240" s="202"/>
      <c r="AB240" s="153" t="e">
        <f>#REF!</f>
        <v>#REF!</v>
      </c>
      <c r="AC240" s="202"/>
      <c r="AD240" s="152" t="e">
        <f>#REF!</f>
        <v>#REF!</v>
      </c>
      <c r="AE240" s="202"/>
      <c r="AF240" s="153" t="e">
        <f>#REF!</f>
        <v>#REF!</v>
      </c>
      <c r="AG240" s="202"/>
      <c r="AH240" s="152" t="e">
        <f>#REF!</f>
        <v>#REF!</v>
      </c>
      <c r="AI240" s="202"/>
      <c r="AJ240" s="153" t="e">
        <f>#REF!</f>
        <v>#REF!</v>
      </c>
      <c r="AK240" s="202"/>
      <c r="AL240" s="152" t="e">
        <f>#REF!</f>
        <v>#REF!</v>
      </c>
      <c r="AM240" s="202"/>
      <c r="AN240" s="153" t="e">
        <f>#REF!</f>
        <v>#REF!</v>
      </c>
      <c r="AO240" s="202"/>
      <c r="AP240" s="152" t="e">
        <f>#REF!</f>
        <v>#REF!</v>
      </c>
      <c r="AQ240" s="202"/>
      <c r="AR240" s="154" t="e">
        <f>#REF!</f>
        <v>#REF!</v>
      </c>
      <c r="AS240" s="202"/>
      <c r="AT240" s="153" t="e">
        <f>#REF!</f>
        <v>#REF!</v>
      </c>
      <c r="AU240" s="202"/>
      <c r="AV240" s="152" t="e">
        <f>#REF!</f>
        <v>#REF!</v>
      </c>
      <c r="AW240" s="202"/>
      <c r="AX240" s="153" t="e">
        <f>#REF!</f>
        <v>#REF!</v>
      </c>
      <c r="AY240" s="202"/>
      <c r="AZ240" s="152" t="e">
        <f>#REF!</f>
        <v>#REF!</v>
      </c>
      <c r="BA240" s="202"/>
      <c r="BB240" s="154" t="e">
        <f>#REF!</f>
        <v>#REF!</v>
      </c>
      <c r="BC240" s="137"/>
    </row>
    <row r="241" spans="1:55" ht="30" hidden="1" customHeight="1">
      <c r="A241" s="203" t="e">
        <f>#REF!</f>
        <v>#REF!</v>
      </c>
      <c r="B241" s="204" t="e">
        <f xml:space="preserve"> IF(#REF!=0, "",#REF!)</f>
        <v>#REF!</v>
      </c>
      <c r="C241" s="369" t="e">
        <f>#REF!</f>
        <v>#REF!</v>
      </c>
      <c r="D241" s="369"/>
      <c r="E241" s="291" t="e">
        <f>#REF!</f>
        <v>#REF!</v>
      </c>
      <c r="F241" s="148" t="e">
        <f>#REF!</f>
        <v>#REF!</v>
      </c>
      <c r="G241" s="205" t="e">
        <f xml:space="preserve"> IF(#REF!="", "",#REF!)</f>
        <v>#REF!</v>
      </c>
      <c r="H241" s="205" t="e">
        <f xml:space="preserve"> IF(#REF!="", "",#REF!)</f>
        <v>#REF!</v>
      </c>
      <c r="I241" s="205" t="e">
        <f xml:space="preserve"> IF(#REF!="", "",#REF!)</f>
        <v>#REF!</v>
      </c>
      <c r="J241" s="298" t="e">
        <f>#REF!</f>
        <v>#REF!</v>
      </c>
      <c r="K241" s="149" t="e">
        <f>#REF!</f>
        <v>#REF!</v>
      </c>
      <c r="L241" s="149" t="e">
        <f>#REF!</f>
        <v>#REF!</v>
      </c>
      <c r="M241" s="150" t="e">
        <f>#REF!</f>
        <v>#REF!</v>
      </c>
      <c r="N241" s="364"/>
      <c r="O241" s="202"/>
      <c r="P241" s="151" t="e">
        <f>#REF!</f>
        <v>#REF!</v>
      </c>
      <c r="Q241" s="202"/>
      <c r="R241" s="152" t="e">
        <f>#REF!</f>
        <v>#REF!</v>
      </c>
      <c r="S241" s="202"/>
      <c r="T241" s="153" t="e">
        <f>#REF!</f>
        <v>#REF!</v>
      </c>
      <c r="U241" s="202"/>
      <c r="V241" s="153" t="e">
        <f>#REF!</f>
        <v>#REF!</v>
      </c>
      <c r="W241" s="202"/>
      <c r="X241" s="153" t="e">
        <f>#REF!</f>
        <v>#REF!</v>
      </c>
      <c r="Y241" s="202"/>
      <c r="Z241" s="152" t="e">
        <f>#REF!</f>
        <v>#REF!</v>
      </c>
      <c r="AA241" s="202"/>
      <c r="AB241" s="153" t="e">
        <f>#REF!</f>
        <v>#REF!</v>
      </c>
      <c r="AC241" s="202"/>
      <c r="AD241" s="152" t="e">
        <f>#REF!</f>
        <v>#REF!</v>
      </c>
      <c r="AE241" s="202"/>
      <c r="AF241" s="153" t="e">
        <f>#REF!</f>
        <v>#REF!</v>
      </c>
      <c r="AG241" s="202"/>
      <c r="AH241" s="152" t="e">
        <f>#REF!</f>
        <v>#REF!</v>
      </c>
      <c r="AI241" s="202"/>
      <c r="AJ241" s="153" t="e">
        <f>#REF!</f>
        <v>#REF!</v>
      </c>
      <c r="AK241" s="202"/>
      <c r="AL241" s="152" t="e">
        <f>#REF!</f>
        <v>#REF!</v>
      </c>
      <c r="AM241" s="202"/>
      <c r="AN241" s="153" t="e">
        <f>#REF!</f>
        <v>#REF!</v>
      </c>
      <c r="AO241" s="202"/>
      <c r="AP241" s="152" t="e">
        <f>#REF!</f>
        <v>#REF!</v>
      </c>
      <c r="AQ241" s="202"/>
      <c r="AR241" s="154" t="e">
        <f>#REF!</f>
        <v>#REF!</v>
      </c>
      <c r="AS241" s="202"/>
      <c r="AT241" s="153" t="e">
        <f>#REF!</f>
        <v>#REF!</v>
      </c>
      <c r="AU241" s="202"/>
      <c r="AV241" s="152" t="e">
        <f>#REF!</f>
        <v>#REF!</v>
      </c>
      <c r="AW241" s="202"/>
      <c r="AX241" s="153" t="e">
        <f>#REF!</f>
        <v>#REF!</v>
      </c>
      <c r="AY241" s="202"/>
      <c r="AZ241" s="152" t="e">
        <f>#REF!</f>
        <v>#REF!</v>
      </c>
      <c r="BA241" s="202"/>
      <c r="BB241" s="154" t="e">
        <f>#REF!</f>
        <v>#REF!</v>
      </c>
      <c r="BC241" s="137"/>
    </row>
    <row r="242" spans="1:55" ht="30" hidden="1" customHeight="1">
      <c r="A242" s="203" t="e">
        <f>#REF!</f>
        <v>#REF!</v>
      </c>
      <c r="B242" s="204" t="e">
        <f xml:space="preserve"> IF(#REF!=0, "",#REF!)</f>
        <v>#REF!</v>
      </c>
      <c r="C242" s="369" t="e">
        <f>#REF!</f>
        <v>#REF!</v>
      </c>
      <c r="D242" s="369"/>
      <c r="E242" s="291" t="e">
        <f>#REF!</f>
        <v>#REF!</v>
      </c>
      <c r="F242" s="148" t="e">
        <f>#REF!</f>
        <v>#REF!</v>
      </c>
      <c r="G242" s="205" t="e">
        <f xml:space="preserve"> IF(#REF!="", "",#REF!)</f>
        <v>#REF!</v>
      </c>
      <c r="H242" s="205" t="e">
        <f xml:space="preserve"> IF(#REF!="", "",#REF!)</f>
        <v>#REF!</v>
      </c>
      <c r="I242" s="205" t="e">
        <f xml:space="preserve"> IF(#REF!="", "",#REF!)</f>
        <v>#REF!</v>
      </c>
      <c r="J242" s="298" t="e">
        <f>#REF!</f>
        <v>#REF!</v>
      </c>
      <c r="K242" s="149" t="e">
        <f>#REF!</f>
        <v>#REF!</v>
      </c>
      <c r="L242" s="149" t="e">
        <f>#REF!</f>
        <v>#REF!</v>
      </c>
      <c r="M242" s="150" t="e">
        <f>#REF!</f>
        <v>#REF!</v>
      </c>
      <c r="N242" s="364"/>
      <c r="O242" s="202"/>
      <c r="P242" s="151" t="e">
        <f>#REF!</f>
        <v>#REF!</v>
      </c>
      <c r="Q242" s="202"/>
      <c r="R242" s="152" t="e">
        <f>#REF!</f>
        <v>#REF!</v>
      </c>
      <c r="S242" s="202"/>
      <c r="T242" s="153" t="e">
        <f>#REF!</f>
        <v>#REF!</v>
      </c>
      <c r="U242" s="202"/>
      <c r="V242" s="153" t="e">
        <f>#REF!</f>
        <v>#REF!</v>
      </c>
      <c r="W242" s="202"/>
      <c r="X242" s="153" t="e">
        <f>#REF!</f>
        <v>#REF!</v>
      </c>
      <c r="Y242" s="202"/>
      <c r="Z242" s="152" t="e">
        <f>#REF!</f>
        <v>#REF!</v>
      </c>
      <c r="AA242" s="202"/>
      <c r="AB242" s="153" t="e">
        <f>#REF!</f>
        <v>#REF!</v>
      </c>
      <c r="AC242" s="202"/>
      <c r="AD242" s="152" t="e">
        <f>#REF!</f>
        <v>#REF!</v>
      </c>
      <c r="AE242" s="202"/>
      <c r="AF242" s="153" t="e">
        <f>#REF!</f>
        <v>#REF!</v>
      </c>
      <c r="AG242" s="202"/>
      <c r="AH242" s="152" t="e">
        <f>#REF!</f>
        <v>#REF!</v>
      </c>
      <c r="AI242" s="202"/>
      <c r="AJ242" s="153" t="e">
        <f>#REF!</f>
        <v>#REF!</v>
      </c>
      <c r="AK242" s="202"/>
      <c r="AL242" s="152" t="e">
        <f>#REF!</f>
        <v>#REF!</v>
      </c>
      <c r="AM242" s="202"/>
      <c r="AN242" s="153" t="e">
        <f>#REF!</f>
        <v>#REF!</v>
      </c>
      <c r="AO242" s="202"/>
      <c r="AP242" s="152" t="e">
        <f>#REF!</f>
        <v>#REF!</v>
      </c>
      <c r="AQ242" s="202"/>
      <c r="AR242" s="154" t="e">
        <f>#REF!</f>
        <v>#REF!</v>
      </c>
      <c r="AS242" s="202"/>
      <c r="AT242" s="153" t="e">
        <f>#REF!</f>
        <v>#REF!</v>
      </c>
      <c r="AU242" s="202"/>
      <c r="AV242" s="152" t="e">
        <f>#REF!</f>
        <v>#REF!</v>
      </c>
      <c r="AW242" s="202"/>
      <c r="AX242" s="153" t="e">
        <f>#REF!</f>
        <v>#REF!</v>
      </c>
      <c r="AY242" s="202"/>
      <c r="AZ242" s="152" t="e">
        <f>#REF!</f>
        <v>#REF!</v>
      </c>
      <c r="BA242" s="202"/>
      <c r="BB242" s="154" t="e">
        <f>#REF!</f>
        <v>#REF!</v>
      </c>
      <c r="BC242" s="137"/>
    </row>
    <row r="243" spans="1:55" ht="30" hidden="1" customHeight="1">
      <c r="A243" s="203" t="e">
        <f>#REF!</f>
        <v>#REF!</v>
      </c>
      <c r="B243" s="204" t="e">
        <f xml:space="preserve"> IF(#REF!=0, "",#REF!)</f>
        <v>#REF!</v>
      </c>
      <c r="C243" s="369" t="e">
        <f>#REF!</f>
        <v>#REF!</v>
      </c>
      <c r="D243" s="369"/>
      <c r="E243" s="291" t="e">
        <f>#REF!</f>
        <v>#REF!</v>
      </c>
      <c r="F243" s="148" t="e">
        <f>#REF!</f>
        <v>#REF!</v>
      </c>
      <c r="G243" s="205" t="e">
        <f xml:space="preserve"> IF(#REF!="", "",#REF!)</f>
        <v>#REF!</v>
      </c>
      <c r="H243" s="205" t="e">
        <f xml:space="preserve"> IF(#REF!="", "",#REF!)</f>
        <v>#REF!</v>
      </c>
      <c r="I243" s="205" t="e">
        <f xml:space="preserve"> IF(#REF!="", "",#REF!)</f>
        <v>#REF!</v>
      </c>
      <c r="J243" s="298" t="e">
        <f>#REF!</f>
        <v>#REF!</v>
      </c>
      <c r="K243" s="149" t="e">
        <f>#REF!</f>
        <v>#REF!</v>
      </c>
      <c r="L243" s="149" t="e">
        <f>#REF!</f>
        <v>#REF!</v>
      </c>
      <c r="M243" s="150" t="e">
        <f>#REF!</f>
        <v>#REF!</v>
      </c>
      <c r="N243" s="364"/>
      <c r="O243" s="202"/>
      <c r="P243" s="151" t="e">
        <f>#REF!</f>
        <v>#REF!</v>
      </c>
      <c r="Q243" s="202"/>
      <c r="R243" s="152" t="e">
        <f>#REF!</f>
        <v>#REF!</v>
      </c>
      <c r="S243" s="202"/>
      <c r="T243" s="153" t="e">
        <f>#REF!</f>
        <v>#REF!</v>
      </c>
      <c r="U243" s="202"/>
      <c r="V243" s="153" t="e">
        <f>#REF!</f>
        <v>#REF!</v>
      </c>
      <c r="W243" s="202"/>
      <c r="X243" s="153" t="e">
        <f>#REF!</f>
        <v>#REF!</v>
      </c>
      <c r="Y243" s="202"/>
      <c r="Z243" s="152" t="e">
        <f>#REF!</f>
        <v>#REF!</v>
      </c>
      <c r="AA243" s="202"/>
      <c r="AB243" s="153" t="e">
        <f>#REF!</f>
        <v>#REF!</v>
      </c>
      <c r="AC243" s="202"/>
      <c r="AD243" s="152" t="e">
        <f>#REF!</f>
        <v>#REF!</v>
      </c>
      <c r="AE243" s="202"/>
      <c r="AF243" s="153" t="e">
        <f>#REF!</f>
        <v>#REF!</v>
      </c>
      <c r="AG243" s="202"/>
      <c r="AH243" s="152" t="e">
        <f>#REF!</f>
        <v>#REF!</v>
      </c>
      <c r="AI243" s="202"/>
      <c r="AJ243" s="153" t="e">
        <f>#REF!</f>
        <v>#REF!</v>
      </c>
      <c r="AK243" s="202"/>
      <c r="AL243" s="152" t="e">
        <f>#REF!</f>
        <v>#REF!</v>
      </c>
      <c r="AM243" s="202"/>
      <c r="AN243" s="153" t="e">
        <f>#REF!</f>
        <v>#REF!</v>
      </c>
      <c r="AO243" s="202"/>
      <c r="AP243" s="152" t="e">
        <f>#REF!</f>
        <v>#REF!</v>
      </c>
      <c r="AQ243" s="202"/>
      <c r="AR243" s="154" t="e">
        <f>#REF!</f>
        <v>#REF!</v>
      </c>
      <c r="AS243" s="202"/>
      <c r="AT243" s="153" t="e">
        <f>#REF!</f>
        <v>#REF!</v>
      </c>
      <c r="AU243" s="202"/>
      <c r="AV243" s="152" t="e">
        <f>#REF!</f>
        <v>#REF!</v>
      </c>
      <c r="AW243" s="202"/>
      <c r="AX243" s="153" t="e">
        <f>#REF!</f>
        <v>#REF!</v>
      </c>
      <c r="AY243" s="202"/>
      <c r="AZ243" s="152" t="e">
        <f>#REF!</f>
        <v>#REF!</v>
      </c>
      <c r="BA243" s="202"/>
      <c r="BB243" s="154" t="e">
        <f>#REF!</f>
        <v>#REF!</v>
      </c>
      <c r="BC243" s="137"/>
    </row>
    <row r="244" spans="1:55" ht="30" hidden="1" customHeight="1">
      <c r="A244" s="203" t="e">
        <f>#REF!</f>
        <v>#REF!</v>
      </c>
      <c r="B244" s="204" t="e">
        <f xml:space="preserve"> IF(#REF!=0, "",#REF!)</f>
        <v>#REF!</v>
      </c>
      <c r="C244" s="369" t="e">
        <f>#REF!</f>
        <v>#REF!</v>
      </c>
      <c r="D244" s="369"/>
      <c r="E244" s="291" t="e">
        <f>#REF!</f>
        <v>#REF!</v>
      </c>
      <c r="F244" s="148" t="e">
        <f>#REF!</f>
        <v>#REF!</v>
      </c>
      <c r="G244" s="205" t="e">
        <f xml:space="preserve"> IF(#REF!="", "",#REF!)</f>
        <v>#REF!</v>
      </c>
      <c r="H244" s="205" t="e">
        <f xml:space="preserve"> IF(#REF!="", "",#REF!)</f>
        <v>#REF!</v>
      </c>
      <c r="I244" s="205" t="e">
        <f xml:space="preserve"> IF(#REF!="", "",#REF!)</f>
        <v>#REF!</v>
      </c>
      <c r="J244" s="298" t="e">
        <f>#REF!</f>
        <v>#REF!</v>
      </c>
      <c r="K244" s="149" t="e">
        <f>#REF!</f>
        <v>#REF!</v>
      </c>
      <c r="L244" s="149" t="e">
        <f>#REF!</f>
        <v>#REF!</v>
      </c>
      <c r="M244" s="150" t="e">
        <f>#REF!</f>
        <v>#REF!</v>
      </c>
      <c r="N244" s="364"/>
      <c r="O244" s="202"/>
      <c r="P244" s="151" t="e">
        <f>#REF!</f>
        <v>#REF!</v>
      </c>
      <c r="Q244" s="202"/>
      <c r="R244" s="152" t="e">
        <f>#REF!</f>
        <v>#REF!</v>
      </c>
      <c r="S244" s="202"/>
      <c r="T244" s="153" t="e">
        <f>#REF!</f>
        <v>#REF!</v>
      </c>
      <c r="U244" s="202"/>
      <c r="V244" s="153" t="e">
        <f>#REF!</f>
        <v>#REF!</v>
      </c>
      <c r="W244" s="202"/>
      <c r="X244" s="153" t="e">
        <f>#REF!</f>
        <v>#REF!</v>
      </c>
      <c r="Y244" s="202"/>
      <c r="Z244" s="152" t="e">
        <f>#REF!</f>
        <v>#REF!</v>
      </c>
      <c r="AA244" s="202"/>
      <c r="AB244" s="153" t="e">
        <f>#REF!</f>
        <v>#REF!</v>
      </c>
      <c r="AC244" s="202"/>
      <c r="AD244" s="152" t="e">
        <f>#REF!</f>
        <v>#REF!</v>
      </c>
      <c r="AE244" s="202"/>
      <c r="AF244" s="153" t="e">
        <f>#REF!</f>
        <v>#REF!</v>
      </c>
      <c r="AG244" s="202"/>
      <c r="AH244" s="152" t="e">
        <f>#REF!</f>
        <v>#REF!</v>
      </c>
      <c r="AI244" s="202"/>
      <c r="AJ244" s="153" t="e">
        <f>#REF!</f>
        <v>#REF!</v>
      </c>
      <c r="AK244" s="202"/>
      <c r="AL244" s="152" t="e">
        <f>#REF!</f>
        <v>#REF!</v>
      </c>
      <c r="AM244" s="202"/>
      <c r="AN244" s="153" t="e">
        <f>#REF!</f>
        <v>#REF!</v>
      </c>
      <c r="AO244" s="202"/>
      <c r="AP244" s="152" t="e">
        <f>#REF!</f>
        <v>#REF!</v>
      </c>
      <c r="AQ244" s="202"/>
      <c r="AR244" s="154" t="e">
        <f>#REF!</f>
        <v>#REF!</v>
      </c>
      <c r="AS244" s="202"/>
      <c r="AT244" s="153" t="e">
        <f>#REF!</f>
        <v>#REF!</v>
      </c>
      <c r="AU244" s="202"/>
      <c r="AV244" s="152" t="e">
        <f>#REF!</f>
        <v>#REF!</v>
      </c>
      <c r="AW244" s="202"/>
      <c r="AX244" s="153" t="e">
        <f>#REF!</f>
        <v>#REF!</v>
      </c>
      <c r="AY244" s="202"/>
      <c r="AZ244" s="152" t="e">
        <f>#REF!</f>
        <v>#REF!</v>
      </c>
      <c r="BA244" s="202"/>
      <c r="BB244" s="154" t="e">
        <f>#REF!</f>
        <v>#REF!</v>
      </c>
      <c r="BC244" s="137"/>
    </row>
    <row r="245" spans="1:55" ht="30" hidden="1" customHeight="1">
      <c r="A245" s="203" t="e">
        <f>#REF!</f>
        <v>#REF!</v>
      </c>
      <c r="B245" s="204" t="e">
        <f xml:space="preserve"> IF(#REF!=0, "",#REF!)</f>
        <v>#REF!</v>
      </c>
      <c r="C245" s="369" t="e">
        <f>#REF!</f>
        <v>#REF!</v>
      </c>
      <c r="D245" s="369"/>
      <c r="E245" s="291" t="e">
        <f>#REF!</f>
        <v>#REF!</v>
      </c>
      <c r="F245" s="148" t="e">
        <f>#REF!</f>
        <v>#REF!</v>
      </c>
      <c r="G245" s="205" t="e">
        <f xml:space="preserve"> IF(#REF!="", "",#REF!)</f>
        <v>#REF!</v>
      </c>
      <c r="H245" s="205" t="e">
        <f xml:space="preserve"> IF(#REF!="", "",#REF!)</f>
        <v>#REF!</v>
      </c>
      <c r="I245" s="205" t="e">
        <f xml:space="preserve"> IF(#REF!="", "",#REF!)</f>
        <v>#REF!</v>
      </c>
      <c r="J245" s="298" t="e">
        <f>#REF!</f>
        <v>#REF!</v>
      </c>
      <c r="K245" s="149" t="e">
        <f>#REF!</f>
        <v>#REF!</v>
      </c>
      <c r="L245" s="149" t="e">
        <f>#REF!</f>
        <v>#REF!</v>
      </c>
      <c r="M245" s="150" t="e">
        <f>#REF!</f>
        <v>#REF!</v>
      </c>
      <c r="N245" s="364"/>
      <c r="O245" s="202"/>
      <c r="P245" s="151" t="e">
        <f>#REF!</f>
        <v>#REF!</v>
      </c>
      <c r="Q245" s="202"/>
      <c r="R245" s="152" t="e">
        <f>#REF!</f>
        <v>#REF!</v>
      </c>
      <c r="S245" s="202"/>
      <c r="T245" s="153" t="e">
        <f>#REF!</f>
        <v>#REF!</v>
      </c>
      <c r="U245" s="202"/>
      <c r="V245" s="153" t="e">
        <f>#REF!</f>
        <v>#REF!</v>
      </c>
      <c r="W245" s="202"/>
      <c r="X245" s="153" t="e">
        <f>#REF!</f>
        <v>#REF!</v>
      </c>
      <c r="Y245" s="202"/>
      <c r="Z245" s="152" t="e">
        <f>#REF!</f>
        <v>#REF!</v>
      </c>
      <c r="AA245" s="202"/>
      <c r="AB245" s="153" t="e">
        <f>#REF!</f>
        <v>#REF!</v>
      </c>
      <c r="AC245" s="202"/>
      <c r="AD245" s="152" t="e">
        <f>#REF!</f>
        <v>#REF!</v>
      </c>
      <c r="AE245" s="202"/>
      <c r="AF245" s="153" t="e">
        <f>#REF!</f>
        <v>#REF!</v>
      </c>
      <c r="AG245" s="202"/>
      <c r="AH245" s="152" t="e">
        <f>#REF!</f>
        <v>#REF!</v>
      </c>
      <c r="AI245" s="202"/>
      <c r="AJ245" s="153" t="e">
        <f>#REF!</f>
        <v>#REF!</v>
      </c>
      <c r="AK245" s="202"/>
      <c r="AL245" s="152" t="e">
        <f>#REF!</f>
        <v>#REF!</v>
      </c>
      <c r="AM245" s="202"/>
      <c r="AN245" s="153" t="e">
        <f>#REF!</f>
        <v>#REF!</v>
      </c>
      <c r="AO245" s="202"/>
      <c r="AP245" s="152" t="e">
        <f>#REF!</f>
        <v>#REF!</v>
      </c>
      <c r="AQ245" s="202"/>
      <c r="AR245" s="154" t="e">
        <f>#REF!</f>
        <v>#REF!</v>
      </c>
      <c r="AS245" s="202"/>
      <c r="AT245" s="153" t="e">
        <f>#REF!</f>
        <v>#REF!</v>
      </c>
      <c r="AU245" s="202"/>
      <c r="AV245" s="152" t="e">
        <f>#REF!</f>
        <v>#REF!</v>
      </c>
      <c r="AW245" s="202"/>
      <c r="AX245" s="153" t="e">
        <f>#REF!</f>
        <v>#REF!</v>
      </c>
      <c r="AY245" s="202"/>
      <c r="AZ245" s="152" t="e">
        <f>#REF!</f>
        <v>#REF!</v>
      </c>
      <c r="BA245" s="202"/>
      <c r="BB245" s="154" t="e">
        <f>#REF!</f>
        <v>#REF!</v>
      </c>
      <c r="BC245" s="137"/>
    </row>
    <row r="246" spans="1:55" ht="30" hidden="1" customHeight="1">
      <c r="A246" s="203" t="e">
        <f>#REF!</f>
        <v>#REF!</v>
      </c>
      <c r="B246" s="204" t="e">
        <f xml:space="preserve"> IF(#REF!=0, "",#REF!)</f>
        <v>#REF!</v>
      </c>
      <c r="C246" s="369" t="e">
        <f>#REF!</f>
        <v>#REF!</v>
      </c>
      <c r="D246" s="369"/>
      <c r="E246" s="291" t="e">
        <f>#REF!</f>
        <v>#REF!</v>
      </c>
      <c r="F246" s="148" t="e">
        <f>#REF!</f>
        <v>#REF!</v>
      </c>
      <c r="G246" s="205" t="e">
        <f xml:space="preserve"> IF(#REF!="", "",#REF!)</f>
        <v>#REF!</v>
      </c>
      <c r="H246" s="205" t="e">
        <f xml:space="preserve"> IF(#REF!="", "",#REF!)</f>
        <v>#REF!</v>
      </c>
      <c r="I246" s="205" t="e">
        <f xml:space="preserve"> IF(#REF!="", "",#REF!)</f>
        <v>#REF!</v>
      </c>
      <c r="J246" s="298" t="e">
        <f>#REF!</f>
        <v>#REF!</v>
      </c>
      <c r="K246" s="149" t="e">
        <f>#REF!</f>
        <v>#REF!</v>
      </c>
      <c r="L246" s="149" t="e">
        <f>#REF!</f>
        <v>#REF!</v>
      </c>
      <c r="M246" s="150" t="e">
        <f>#REF!</f>
        <v>#REF!</v>
      </c>
      <c r="N246" s="364"/>
      <c r="O246" s="202"/>
      <c r="P246" s="151" t="e">
        <f>#REF!</f>
        <v>#REF!</v>
      </c>
      <c r="Q246" s="202"/>
      <c r="R246" s="152" t="e">
        <f>#REF!</f>
        <v>#REF!</v>
      </c>
      <c r="S246" s="202"/>
      <c r="T246" s="153" t="e">
        <f>#REF!</f>
        <v>#REF!</v>
      </c>
      <c r="U246" s="202"/>
      <c r="V246" s="153" t="e">
        <f>#REF!</f>
        <v>#REF!</v>
      </c>
      <c r="W246" s="202"/>
      <c r="X246" s="153" t="e">
        <f>#REF!</f>
        <v>#REF!</v>
      </c>
      <c r="Y246" s="202"/>
      <c r="Z246" s="152" t="e">
        <f>#REF!</f>
        <v>#REF!</v>
      </c>
      <c r="AA246" s="202"/>
      <c r="AB246" s="153" t="e">
        <f>#REF!</f>
        <v>#REF!</v>
      </c>
      <c r="AC246" s="202"/>
      <c r="AD246" s="152" t="e">
        <f>#REF!</f>
        <v>#REF!</v>
      </c>
      <c r="AE246" s="202"/>
      <c r="AF246" s="153" t="e">
        <f>#REF!</f>
        <v>#REF!</v>
      </c>
      <c r="AG246" s="202"/>
      <c r="AH246" s="152" t="e">
        <f>#REF!</f>
        <v>#REF!</v>
      </c>
      <c r="AI246" s="202"/>
      <c r="AJ246" s="153" t="e">
        <f>#REF!</f>
        <v>#REF!</v>
      </c>
      <c r="AK246" s="202"/>
      <c r="AL246" s="152" t="e">
        <f>#REF!</f>
        <v>#REF!</v>
      </c>
      <c r="AM246" s="202"/>
      <c r="AN246" s="153" t="e">
        <f>#REF!</f>
        <v>#REF!</v>
      </c>
      <c r="AO246" s="202"/>
      <c r="AP246" s="152" t="e">
        <f>#REF!</f>
        <v>#REF!</v>
      </c>
      <c r="AQ246" s="202"/>
      <c r="AR246" s="154" t="e">
        <f>#REF!</f>
        <v>#REF!</v>
      </c>
      <c r="AS246" s="202"/>
      <c r="AT246" s="153" t="e">
        <f>#REF!</f>
        <v>#REF!</v>
      </c>
      <c r="AU246" s="202"/>
      <c r="AV246" s="152" t="e">
        <f>#REF!</f>
        <v>#REF!</v>
      </c>
      <c r="AW246" s="202"/>
      <c r="AX246" s="153" t="e">
        <f>#REF!</f>
        <v>#REF!</v>
      </c>
      <c r="AY246" s="202"/>
      <c r="AZ246" s="152" t="e">
        <f>#REF!</f>
        <v>#REF!</v>
      </c>
      <c r="BA246" s="202"/>
      <c r="BB246" s="154" t="e">
        <f>#REF!</f>
        <v>#REF!</v>
      </c>
      <c r="BC246" s="137"/>
    </row>
    <row r="247" spans="1:55" ht="30" hidden="1" customHeight="1">
      <c r="A247" s="203" t="e">
        <f>#REF!</f>
        <v>#REF!</v>
      </c>
      <c r="B247" s="204" t="e">
        <f xml:space="preserve"> IF(#REF!=0, "",#REF!)</f>
        <v>#REF!</v>
      </c>
      <c r="C247" s="369" t="e">
        <f>#REF!</f>
        <v>#REF!</v>
      </c>
      <c r="D247" s="369"/>
      <c r="E247" s="291" t="e">
        <f>#REF!</f>
        <v>#REF!</v>
      </c>
      <c r="F247" s="148" t="e">
        <f>#REF!</f>
        <v>#REF!</v>
      </c>
      <c r="G247" s="205" t="e">
        <f xml:space="preserve"> IF(#REF!="", "",#REF!)</f>
        <v>#REF!</v>
      </c>
      <c r="H247" s="205" t="e">
        <f xml:space="preserve"> IF(#REF!="", "",#REF!)</f>
        <v>#REF!</v>
      </c>
      <c r="I247" s="205" t="e">
        <f xml:space="preserve"> IF(#REF!="", "",#REF!)</f>
        <v>#REF!</v>
      </c>
      <c r="J247" s="298" t="e">
        <f>#REF!</f>
        <v>#REF!</v>
      </c>
      <c r="K247" s="149" t="e">
        <f>#REF!</f>
        <v>#REF!</v>
      </c>
      <c r="L247" s="149" t="e">
        <f>#REF!</f>
        <v>#REF!</v>
      </c>
      <c r="M247" s="150" t="e">
        <f>#REF!</f>
        <v>#REF!</v>
      </c>
      <c r="N247" s="364"/>
      <c r="O247" s="202"/>
      <c r="P247" s="151" t="e">
        <f>#REF!</f>
        <v>#REF!</v>
      </c>
      <c r="Q247" s="202"/>
      <c r="R247" s="152" t="e">
        <f>#REF!</f>
        <v>#REF!</v>
      </c>
      <c r="S247" s="202"/>
      <c r="T247" s="153" t="e">
        <f>#REF!</f>
        <v>#REF!</v>
      </c>
      <c r="U247" s="202"/>
      <c r="V247" s="153" t="e">
        <f>#REF!</f>
        <v>#REF!</v>
      </c>
      <c r="W247" s="202"/>
      <c r="X247" s="153" t="e">
        <f>#REF!</f>
        <v>#REF!</v>
      </c>
      <c r="Y247" s="202"/>
      <c r="Z247" s="152" t="e">
        <f>#REF!</f>
        <v>#REF!</v>
      </c>
      <c r="AA247" s="202"/>
      <c r="AB247" s="153" t="e">
        <f>#REF!</f>
        <v>#REF!</v>
      </c>
      <c r="AC247" s="202"/>
      <c r="AD247" s="152" t="e">
        <f>#REF!</f>
        <v>#REF!</v>
      </c>
      <c r="AE247" s="202"/>
      <c r="AF247" s="153" t="e">
        <f>#REF!</f>
        <v>#REF!</v>
      </c>
      <c r="AG247" s="202"/>
      <c r="AH247" s="152" t="e">
        <f>#REF!</f>
        <v>#REF!</v>
      </c>
      <c r="AI247" s="202"/>
      <c r="AJ247" s="153" t="e">
        <f>#REF!</f>
        <v>#REF!</v>
      </c>
      <c r="AK247" s="202"/>
      <c r="AL247" s="152" t="e">
        <f>#REF!</f>
        <v>#REF!</v>
      </c>
      <c r="AM247" s="202"/>
      <c r="AN247" s="153" t="e">
        <f>#REF!</f>
        <v>#REF!</v>
      </c>
      <c r="AO247" s="202"/>
      <c r="AP247" s="152" t="e">
        <f>#REF!</f>
        <v>#REF!</v>
      </c>
      <c r="AQ247" s="202"/>
      <c r="AR247" s="154" t="e">
        <f>#REF!</f>
        <v>#REF!</v>
      </c>
      <c r="AS247" s="202"/>
      <c r="AT247" s="153" t="e">
        <f>#REF!</f>
        <v>#REF!</v>
      </c>
      <c r="AU247" s="202"/>
      <c r="AV247" s="152" t="e">
        <f>#REF!</f>
        <v>#REF!</v>
      </c>
      <c r="AW247" s="202"/>
      <c r="AX247" s="153" t="e">
        <f>#REF!</f>
        <v>#REF!</v>
      </c>
      <c r="AY247" s="202"/>
      <c r="AZ247" s="152" t="e">
        <f>#REF!</f>
        <v>#REF!</v>
      </c>
      <c r="BA247" s="202"/>
      <c r="BB247" s="154" t="e">
        <f>#REF!</f>
        <v>#REF!</v>
      </c>
      <c r="BC247" s="137"/>
    </row>
    <row r="248" spans="1:55" ht="30" hidden="1" customHeight="1">
      <c r="A248" s="203" t="e">
        <f>#REF!</f>
        <v>#REF!</v>
      </c>
      <c r="B248" s="204" t="e">
        <f xml:space="preserve"> IF(#REF!=0, "",#REF!)</f>
        <v>#REF!</v>
      </c>
      <c r="C248" s="369" t="e">
        <f>#REF!</f>
        <v>#REF!</v>
      </c>
      <c r="D248" s="369"/>
      <c r="E248" s="291" t="e">
        <f>#REF!</f>
        <v>#REF!</v>
      </c>
      <c r="F248" s="148" t="e">
        <f>#REF!</f>
        <v>#REF!</v>
      </c>
      <c r="G248" s="205" t="e">
        <f xml:space="preserve"> IF(#REF!="", "",#REF!)</f>
        <v>#REF!</v>
      </c>
      <c r="H248" s="205" t="e">
        <f xml:space="preserve"> IF(#REF!="", "",#REF!)</f>
        <v>#REF!</v>
      </c>
      <c r="I248" s="205" t="e">
        <f xml:space="preserve"> IF(#REF!="", "",#REF!)</f>
        <v>#REF!</v>
      </c>
      <c r="J248" s="298" t="e">
        <f>#REF!</f>
        <v>#REF!</v>
      </c>
      <c r="K248" s="149" t="e">
        <f>#REF!</f>
        <v>#REF!</v>
      </c>
      <c r="L248" s="149" t="e">
        <f>#REF!</f>
        <v>#REF!</v>
      </c>
      <c r="M248" s="150" t="e">
        <f>#REF!</f>
        <v>#REF!</v>
      </c>
      <c r="N248" s="364"/>
      <c r="O248" s="202"/>
      <c r="P248" s="151" t="e">
        <f>#REF!</f>
        <v>#REF!</v>
      </c>
      <c r="Q248" s="202"/>
      <c r="R248" s="152" t="e">
        <f>#REF!</f>
        <v>#REF!</v>
      </c>
      <c r="S248" s="202"/>
      <c r="T248" s="153" t="e">
        <f>#REF!</f>
        <v>#REF!</v>
      </c>
      <c r="U248" s="202"/>
      <c r="V248" s="153" t="e">
        <f>#REF!</f>
        <v>#REF!</v>
      </c>
      <c r="W248" s="202"/>
      <c r="X248" s="153" t="e">
        <f>#REF!</f>
        <v>#REF!</v>
      </c>
      <c r="Y248" s="202"/>
      <c r="Z248" s="152" t="e">
        <f>#REF!</f>
        <v>#REF!</v>
      </c>
      <c r="AA248" s="202"/>
      <c r="AB248" s="153" t="e">
        <f>#REF!</f>
        <v>#REF!</v>
      </c>
      <c r="AC248" s="202"/>
      <c r="AD248" s="152" t="e">
        <f>#REF!</f>
        <v>#REF!</v>
      </c>
      <c r="AE248" s="202"/>
      <c r="AF248" s="153" t="e">
        <f>#REF!</f>
        <v>#REF!</v>
      </c>
      <c r="AG248" s="202"/>
      <c r="AH248" s="152" t="e">
        <f>#REF!</f>
        <v>#REF!</v>
      </c>
      <c r="AI248" s="202"/>
      <c r="AJ248" s="153" t="e">
        <f>#REF!</f>
        <v>#REF!</v>
      </c>
      <c r="AK248" s="202"/>
      <c r="AL248" s="152" t="e">
        <f>#REF!</f>
        <v>#REF!</v>
      </c>
      <c r="AM248" s="202"/>
      <c r="AN248" s="153" t="e">
        <f>#REF!</f>
        <v>#REF!</v>
      </c>
      <c r="AO248" s="202"/>
      <c r="AP248" s="152" t="e">
        <f>#REF!</f>
        <v>#REF!</v>
      </c>
      <c r="AQ248" s="202"/>
      <c r="AR248" s="154" t="e">
        <f>#REF!</f>
        <v>#REF!</v>
      </c>
      <c r="AS248" s="202"/>
      <c r="AT248" s="153" t="e">
        <f>#REF!</f>
        <v>#REF!</v>
      </c>
      <c r="AU248" s="202"/>
      <c r="AV248" s="152" t="e">
        <f>#REF!</f>
        <v>#REF!</v>
      </c>
      <c r="AW248" s="202"/>
      <c r="AX248" s="153" t="e">
        <f>#REF!</f>
        <v>#REF!</v>
      </c>
      <c r="AY248" s="202"/>
      <c r="AZ248" s="152" t="e">
        <f>#REF!</f>
        <v>#REF!</v>
      </c>
      <c r="BA248" s="202"/>
      <c r="BB248" s="154" t="e">
        <f>#REF!</f>
        <v>#REF!</v>
      </c>
      <c r="BC248" s="137"/>
    </row>
    <row r="249" spans="1:55" ht="30" hidden="1" customHeight="1">
      <c r="A249" s="203" t="e">
        <f>#REF!</f>
        <v>#REF!</v>
      </c>
      <c r="B249" s="204" t="e">
        <f xml:space="preserve"> IF(#REF!=0, "",#REF!)</f>
        <v>#REF!</v>
      </c>
      <c r="C249" s="369" t="e">
        <f>#REF!</f>
        <v>#REF!</v>
      </c>
      <c r="D249" s="369"/>
      <c r="E249" s="291" t="e">
        <f>#REF!</f>
        <v>#REF!</v>
      </c>
      <c r="F249" s="148" t="e">
        <f>#REF!</f>
        <v>#REF!</v>
      </c>
      <c r="G249" s="205" t="e">
        <f xml:space="preserve"> IF(#REF!="", "",#REF!)</f>
        <v>#REF!</v>
      </c>
      <c r="H249" s="205" t="e">
        <f xml:space="preserve"> IF(#REF!="", "",#REF!)</f>
        <v>#REF!</v>
      </c>
      <c r="I249" s="205" t="e">
        <f xml:space="preserve"> IF(#REF!="", "",#REF!)</f>
        <v>#REF!</v>
      </c>
      <c r="J249" s="298" t="e">
        <f>#REF!</f>
        <v>#REF!</v>
      </c>
      <c r="K249" s="149" t="e">
        <f>#REF!</f>
        <v>#REF!</v>
      </c>
      <c r="L249" s="149" t="e">
        <f>#REF!</f>
        <v>#REF!</v>
      </c>
      <c r="M249" s="150" t="e">
        <f>#REF!</f>
        <v>#REF!</v>
      </c>
      <c r="N249" s="364"/>
      <c r="O249" s="202"/>
      <c r="P249" s="151" t="e">
        <f>#REF!</f>
        <v>#REF!</v>
      </c>
      <c r="Q249" s="202"/>
      <c r="R249" s="152" t="e">
        <f>#REF!</f>
        <v>#REF!</v>
      </c>
      <c r="S249" s="202"/>
      <c r="T249" s="153" t="e">
        <f>#REF!</f>
        <v>#REF!</v>
      </c>
      <c r="U249" s="202"/>
      <c r="V249" s="153" t="e">
        <f>#REF!</f>
        <v>#REF!</v>
      </c>
      <c r="W249" s="202"/>
      <c r="X249" s="153" t="e">
        <f>#REF!</f>
        <v>#REF!</v>
      </c>
      <c r="Y249" s="202"/>
      <c r="Z249" s="152" t="e">
        <f>#REF!</f>
        <v>#REF!</v>
      </c>
      <c r="AA249" s="202"/>
      <c r="AB249" s="153" t="e">
        <f>#REF!</f>
        <v>#REF!</v>
      </c>
      <c r="AC249" s="202"/>
      <c r="AD249" s="152" t="e">
        <f>#REF!</f>
        <v>#REF!</v>
      </c>
      <c r="AE249" s="202"/>
      <c r="AF249" s="153" t="e">
        <f>#REF!</f>
        <v>#REF!</v>
      </c>
      <c r="AG249" s="202"/>
      <c r="AH249" s="152" t="e">
        <f>#REF!</f>
        <v>#REF!</v>
      </c>
      <c r="AI249" s="202"/>
      <c r="AJ249" s="153" t="e">
        <f>#REF!</f>
        <v>#REF!</v>
      </c>
      <c r="AK249" s="202"/>
      <c r="AL249" s="152" t="e">
        <f>#REF!</f>
        <v>#REF!</v>
      </c>
      <c r="AM249" s="202"/>
      <c r="AN249" s="153" t="e">
        <f>#REF!</f>
        <v>#REF!</v>
      </c>
      <c r="AO249" s="202"/>
      <c r="AP249" s="152" t="e">
        <f>#REF!</f>
        <v>#REF!</v>
      </c>
      <c r="AQ249" s="202"/>
      <c r="AR249" s="154" t="e">
        <f>#REF!</f>
        <v>#REF!</v>
      </c>
      <c r="AS249" s="202"/>
      <c r="AT249" s="153" t="e">
        <f>#REF!</f>
        <v>#REF!</v>
      </c>
      <c r="AU249" s="202"/>
      <c r="AV249" s="152" t="e">
        <f>#REF!</f>
        <v>#REF!</v>
      </c>
      <c r="AW249" s="202"/>
      <c r="AX249" s="153" t="e">
        <f>#REF!</f>
        <v>#REF!</v>
      </c>
      <c r="AY249" s="202"/>
      <c r="AZ249" s="152" t="e">
        <f>#REF!</f>
        <v>#REF!</v>
      </c>
      <c r="BA249" s="202"/>
      <c r="BB249" s="154" t="e">
        <f>#REF!</f>
        <v>#REF!</v>
      </c>
      <c r="BC249" s="137"/>
    </row>
    <row r="250" spans="1:55" ht="30" hidden="1" customHeight="1">
      <c r="A250" s="203" t="e">
        <f>#REF!</f>
        <v>#REF!</v>
      </c>
      <c r="B250" s="204" t="e">
        <f xml:space="preserve"> IF(#REF!=0, "",#REF!)</f>
        <v>#REF!</v>
      </c>
      <c r="C250" s="369" t="e">
        <f>#REF!</f>
        <v>#REF!</v>
      </c>
      <c r="D250" s="369"/>
      <c r="E250" s="291" t="e">
        <f>#REF!</f>
        <v>#REF!</v>
      </c>
      <c r="F250" s="148" t="e">
        <f>#REF!</f>
        <v>#REF!</v>
      </c>
      <c r="G250" s="205" t="e">
        <f xml:space="preserve"> IF(#REF!="", "",#REF!)</f>
        <v>#REF!</v>
      </c>
      <c r="H250" s="205" t="e">
        <f xml:space="preserve"> IF(#REF!="", "",#REF!)</f>
        <v>#REF!</v>
      </c>
      <c r="I250" s="205" t="e">
        <f xml:space="preserve"> IF(#REF!="", "",#REF!)</f>
        <v>#REF!</v>
      </c>
      <c r="J250" s="298" t="e">
        <f>#REF!</f>
        <v>#REF!</v>
      </c>
      <c r="K250" s="149" t="e">
        <f>#REF!</f>
        <v>#REF!</v>
      </c>
      <c r="L250" s="149" t="e">
        <f>#REF!</f>
        <v>#REF!</v>
      </c>
      <c r="M250" s="150" t="e">
        <f>#REF!</f>
        <v>#REF!</v>
      </c>
      <c r="N250" s="364"/>
      <c r="O250" s="202"/>
      <c r="P250" s="151" t="e">
        <f>#REF!</f>
        <v>#REF!</v>
      </c>
      <c r="Q250" s="202"/>
      <c r="R250" s="152" t="e">
        <f>#REF!</f>
        <v>#REF!</v>
      </c>
      <c r="S250" s="202"/>
      <c r="T250" s="153" t="e">
        <f>#REF!</f>
        <v>#REF!</v>
      </c>
      <c r="U250" s="202"/>
      <c r="V250" s="153" t="e">
        <f>#REF!</f>
        <v>#REF!</v>
      </c>
      <c r="W250" s="202"/>
      <c r="X250" s="153" t="e">
        <f>#REF!</f>
        <v>#REF!</v>
      </c>
      <c r="Y250" s="202"/>
      <c r="Z250" s="152" t="e">
        <f>#REF!</f>
        <v>#REF!</v>
      </c>
      <c r="AA250" s="202"/>
      <c r="AB250" s="153" t="e">
        <f>#REF!</f>
        <v>#REF!</v>
      </c>
      <c r="AC250" s="202"/>
      <c r="AD250" s="152" t="e">
        <f>#REF!</f>
        <v>#REF!</v>
      </c>
      <c r="AE250" s="202"/>
      <c r="AF250" s="153" t="e">
        <f>#REF!</f>
        <v>#REF!</v>
      </c>
      <c r="AG250" s="202"/>
      <c r="AH250" s="152" t="e">
        <f>#REF!</f>
        <v>#REF!</v>
      </c>
      <c r="AI250" s="202"/>
      <c r="AJ250" s="153" t="e">
        <f>#REF!</f>
        <v>#REF!</v>
      </c>
      <c r="AK250" s="202"/>
      <c r="AL250" s="152" t="e">
        <f>#REF!</f>
        <v>#REF!</v>
      </c>
      <c r="AM250" s="202"/>
      <c r="AN250" s="153" t="e">
        <f>#REF!</f>
        <v>#REF!</v>
      </c>
      <c r="AO250" s="202"/>
      <c r="AP250" s="152" t="e">
        <f>#REF!</f>
        <v>#REF!</v>
      </c>
      <c r="AQ250" s="202"/>
      <c r="AR250" s="154" t="e">
        <f>#REF!</f>
        <v>#REF!</v>
      </c>
      <c r="AS250" s="202"/>
      <c r="AT250" s="153" t="e">
        <f>#REF!</f>
        <v>#REF!</v>
      </c>
      <c r="AU250" s="202"/>
      <c r="AV250" s="152" t="e">
        <f>#REF!</f>
        <v>#REF!</v>
      </c>
      <c r="AW250" s="202"/>
      <c r="AX250" s="153" t="e">
        <f>#REF!</f>
        <v>#REF!</v>
      </c>
      <c r="AY250" s="202"/>
      <c r="AZ250" s="152" t="e">
        <f>#REF!</f>
        <v>#REF!</v>
      </c>
      <c r="BA250" s="202"/>
      <c r="BB250" s="154" t="e">
        <f>#REF!</f>
        <v>#REF!</v>
      </c>
      <c r="BC250" s="137"/>
    </row>
    <row r="251" spans="1:55" ht="30" hidden="1" customHeight="1">
      <c r="A251" s="203" t="e">
        <f>#REF!</f>
        <v>#REF!</v>
      </c>
      <c r="B251" s="204" t="e">
        <f xml:space="preserve"> IF(#REF!=0, "",#REF!)</f>
        <v>#REF!</v>
      </c>
      <c r="C251" s="369" t="e">
        <f>#REF!</f>
        <v>#REF!</v>
      </c>
      <c r="D251" s="369"/>
      <c r="E251" s="291" t="e">
        <f>#REF!</f>
        <v>#REF!</v>
      </c>
      <c r="F251" s="148" t="e">
        <f>#REF!</f>
        <v>#REF!</v>
      </c>
      <c r="G251" s="205" t="e">
        <f xml:space="preserve"> IF(#REF!="", "",#REF!)</f>
        <v>#REF!</v>
      </c>
      <c r="H251" s="205" t="e">
        <f xml:space="preserve"> IF(#REF!="", "",#REF!)</f>
        <v>#REF!</v>
      </c>
      <c r="I251" s="205" t="e">
        <f xml:space="preserve"> IF(#REF!="", "",#REF!)</f>
        <v>#REF!</v>
      </c>
      <c r="J251" s="298" t="e">
        <f>#REF!</f>
        <v>#REF!</v>
      </c>
      <c r="K251" s="149" t="e">
        <f>#REF!</f>
        <v>#REF!</v>
      </c>
      <c r="L251" s="149" t="e">
        <f>#REF!</f>
        <v>#REF!</v>
      </c>
      <c r="M251" s="150" t="e">
        <f>#REF!</f>
        <v>#REF!</v>
      </c>
      <c r="N251" s="364"/>
      <c r="O251" s="202"/>
      <c r="P251" s="151" t="e">
        <f>#REF!</f>
        <v>#REF!</v>
      </c>
      <c r="Q251" s="202"/>
      <c r="R251" s="152" t="e">
        <f>#REF!</f>
        <v>#REF!</v>
      </c>
      <c r="S251" s="202"/>
      <c r="T251" s="153" t="e">
        <f>#REF!</f>
        <v>#REF!</v>
      </c>
      <c r="U251" s="202"/>
      <c r="V251" s="153" t="e">
        <f>#REF!</f>
        <v>#REF!</v>
      </c>
      <c r="W251" s="202"/>
      <c r="X251" s="153" t="e">
        <f>#REF!</f>
        <v>#REF!</v>
      </c>
      <c r="Y251" s="202"/>
      <c r="Z251" s="152" t="e">
        <f>#REF!</f>
        <v>#REF!</v>
      </c>
      <c r="AA251" s="202"/>
      <c r="AB251" s="153" t="e">
        <f>#REF!</f>
        <v>#REF!</v>
      </c>
      <c r="AC251" s="202"/>
      <c r="AD251" s="152" t="e">
        <f>#REF!</f>
        <v>#REF!</v>
      </c>
      <c r="AE251" s="202"/>
      <c r="AF251" s="153" t="e">
        <f>#REF!</f>
        <v>#REF!</v>
      </c>
      <c r="AG251" s="202"/>
      <c r="AH251" s="152" t="e">
        <f>#REF!</f>
        <v>#REF!</v>
      </c>
      <c r="AI251" s="202"/>
      <c r="AJ251" s="153" t="e">
        <f>#REF!</f>
        <v>#REF!</v>
      </c>
      <c r="AK251" s="202"/>
      <c r="AL251" s="152" t="e">
        <f>#REF!</f>
        <v>#REF!</v>
      </c>
      <c r="AM251" s="202"/>
      <c r="AN251" s="153" t="e">
        <f>#REF!</f>
        <v>#REF!</v>
      </c>
      <c r="AO251" s="202"/>
      <c r="AP251" s="152" t="e">
        <f>#REF!</f>
        <v>#REF!</v>
      </c>
      <c r="AQ251" s="202"/>
      <c r="AR251" s="154" t="e">
        <f>#REF!</f>
        <v>#REF!</v>
      </c>
      <c r="AS251" s="202"/>
      <c r="AT251" s="153" t="e">
        <f>#REF!</f>
        <v>#REF!</v>
      </c>
      <c r="AU251" s="202"/>
      <c r="AV251" s="152" t="e">
        <f>#REF!</f>
        <v>#REF!</v>
      </c>
      <c r="AW251" s="202"/>
      <c r="AX251" s="153" t="e">
        <f>#REF!</f>
        <v>#REF!</v>
      </c>
      <c r="AY251" s="202"/>
      <c r="AZ251" s="152" t="e">
        <f>#REF!</f>
        <v>#REF!</v>
      </c>
      <c r="BA251" s="202"/>
      <c r="BB251" s="154" t="e">
        <f>#REF!</f>
        <v>#REF!</v>
      </c>
      <c r="BC251" s="137"/>
    </row>
    <row r="252" spans="1:55" ht="30" hidden="1" customHeight="1">
      <c r="A252" s="203" t="e">
        <f>#REF!</f>
        <v>#REF!</v>
      </c>
      <c r="B252" s="204" t="e">
        <f xml:space="preserve"> IF(#REF!=0, "",#REF!)</f>
        <v>#REF!</v>
      </c>
      <c r="C252" s="369" t="e">
        <f>#REF!</f>
        <v>#REF!</v>
      </c>
      <c r="D252" s="369"/>
      <c r="E252" s="291" t="e">
        <f>#REF!</f>
        <v>#REF!</v>
      </c>
      <c r="F252" s="148" t="e">
        <f>#REF!</f>
        <v>#REF!</v>
      </c>
      <c r="G252" s="205" t="e">
        <f xml:space="preserve"> IF(#REF!="", "",#REF!)</f>
        <v>#REF!</v>
      </c>
      <c r="H252" s="205" t="e">
        <f xml:space="preserve"> IF(#REF!="", "",#REF!)</f>
        <v>#REF!</v>
      </c>
      <c r="I252" s="205" t="e">
        <f xml:space="preserve"> IF(#REF!="", "",#REF!)</f>
        <v>#REF!</v>
      </c>
      <c r="J252" s="298" t="e">
        <f>#REF!</f>
        <v>#REF!</v>
      </c>
      <c r="K252" s="149" t="e">
        <f>#REF!</f>
        <v>#REF!</v>
      </c>
      <c r="L252" s="149" t="e">
        <f>#REF!</f>
        <v>#REF!</v>
      </c>
      <c r="M252" s="150" t="e">
        <f>#REF!</f>
        <v>#REF!</v>
      </c>
      <c r="N252" s="364"/>
      <c r="O252" s="202"/>
      <c r="P252" s="151" t="e">
        <f>#REF!</f>
        <v>#REF!</v>
      </c>
      <c r="Q252" s="202"/>
      <c r="R252" s="152" t="e">
        <f>#REF!</f>
        <v>#REF!</v>
      </c>
      <c r="S252" s="202"/>
      <c r="T252" s="153" t="e">
        <f>#REF!</f>
        <v>#REF!</v>
      </c>
      <c r="U252" s="202"/>
      <c r="V252" s="153" t="e">
        <f>#REF!</f>
        <v>#REF!</v>
      </c>
      <c r="W252" s="202"/>
      <c r="X252" s="153" t="e">
        <f>#REF!</f>
        <v>#REF!</v>
      </c>
      <c r="Y252" s="202"/>
      <c r="Z252" s="152" t="e">
        <f>#REF!</f>
        <v>#REF!</v>
      </c>
      <c r="AA252" s="202"/>
      <c r="AB252" s="153" t="e">
        <f>#REF!</f>
        <v>#REF!</v>
      </c>
      <c r="AC252" s="202"/>
      <c r="AD252" s="152" t="e">
        <f>#REF!</f>
        <v>#REF!</v>
      </c>
      <c r="AE252" s="202"/>
      <c r="AF252" s="153" t="e">
        <f>#REF!</f>
        <v>#REF!</v>
      </c>
      <c r="AG252" s="202"/>
      <c r="AH252" s="152" t="e">
        <f>#REF!</f>
        <v>#REF!</v>
      </c>
      <c r="AI252" s="202"/>
      <c r="AJ252" s="153" t="e">
        <f>#REF!</f>
        <v>#REF!</v>
      </c>
      <c r="AK252" s="202"/>
      <c r="AL252" s="152" t="e">
        <f>#REF!</f>
        <v>#REF!</v>
      </c>
      <c r="AM252" s="202"/>
      <c r="AN252" s="153" t="e">
        <f>#REF!</f>
        <v>#REF!</v>
      </c>
      <c r="AO252" s="202"/>
      <c r="AP252" s="152" t="e">
        <f>#REF!</f>
        <v>#REF!</v>
      </c>
      <c r="AQ252" s="202"/>
      <c r="AR252" s="154" t="e">
        <f>#REF!</f>
        <v>#REF!</v>
      </c>
      <c r="AS252" s="202"/>
      <c r="AT252" s="153" t="e">
        <f>#REF!</f>
        <v>#REF!</v>
      </c>
      <c r="AU252" s="202"/>
      <c r="AV252" s="152" t="e">
        <f>#REF!</f>
        <v>#REF!</v>
      </c>
      <c r="AW252" s="202"/>
      <c r="AX252" s="153" t="e">
        <f>#REF!</f>
        <v>#REF!</v>
      </c>
      <c r="AY252" s="202"/>
      <c r="AZ252" s="152" t="e">
        <f>#REF!</f>
        <v>#REF!</v>
      </c>
      <c r="BA252" s="202"/>
      <c r="BB252" s="154" t="e">
        <f>#REF!</f>
        <v>#REF!</v>
      </c>
      <c r="BC252" s="137"/>
    </row>
    <row r="253" spans="1:55" ht="30" hidden="1" customHeight="1">
      <c r="A253" s="203" t="e">
        <f>#REF!</f>
        <v>#REF!</v>
      </c>
      <c r="B253" s="204" t="e">
        <f xml:space="preserve"> IF(#REF!=0, "",#REF!)</f>
        <v>#REF!</v>
      </c>
      <c r="C253" s="369" t="e">
        <f>#REF!</f>
        <v>#REF!</v>
      </c>
      <c r="D253" s="369"/>
      <c r="E253" s="291" t="e">
        <f>#REF!</f>
        <v>#REF!</v>
      </c>
      <c r="F253" s="148" t="e">
        <f>#REF!</f>
        <v>#REF!</v>
      </c>
      <c r="G253" s="205" t="e">
        <f xml:space="preserve"> IF(#REF!="", "",#REF!)</f>
        <v>#REF!</v>
      </c>
      <c r="H253" s="205" t="e">
        <f xml:space="preserve"> IF(#REF!="", "",#REF!)</f>
        <v>#REF!</v>
      </c>
      <c r="I253" s="205" t="e">
        <f xml:space="preserve"> IF(#REF!="", "",#REF!)</f>
        <v>#REF!</v>
      </c>
      <c r="J253" s="298" t="e">
        <f>#REF!</f>
        <v>#REF!</v>
      </c>
      <c r="K253" s="149" t="e">
        <f>#REF!</f>
        <v>#REF!</v>
      </c>
      <c r="L253" s="149" t="e">
        <f>#REF!</f>
        <v>#REF!</v>
      </c>
      <c r="M253" s="150" t="e">
        <f>#REF!</f>
        <v>#REF!</v>
      </c>
      <c r="N253" s="364"/>
      <c r="O253" s="202"/>
      <c r="P253" s="151" t="e">
        <f>#REF!</f>
        <v>#REF!</v>
      </c>
      <c r="Q253" s="202"/>
      <c r="R253" s="152" t="e">
        <f>#REF!</f>
        <v>#REF!</v>
      </c>
      <c r="S253" s="202"/>
      <c r="T253" s="153" t="e">
        <f>#REF!</f>
        <v>#REF!</v>
      </c>
      <c r="U253" s="202"/>
      <c r="V253" s="153" t="e">
        <f>#REF!</f>
        <v>#REF!</v>
      </c>
      <c r="W253" s="202"/>
      <c r="X253" s="153" t="e">
        <f>#REF!</f>
        <v>#REF!</v>
      </c>
      <c r="Y253" s="202"/>
      <c r="Z253" s="152" t="e">
        <f>#REF!</f>
        <v>#REF!</v>
      </c>
      <c r="AA253" s="202"/>
      <c r="AB253" s="153" t="e">
        <f>#REF!</f>
        <v>#REF!</v>
      </c>
      <c r="AC253" s="202"/>
      <c r="AD253" s="152" t="e">
        <f>#REF!</f>
        <v>#REF!</v>
      </c>
      <c r="AE253" s="202"/>
      <c r="AF253" s="153" t="e">
        <f>#REF!</f>
        <v>#REF!</v>
      </c>
      <c r="AG253" s="202"/>
      <c r="AH253" s="152" t="e">
        <f>#REF!</f>
        <v>#REF!</v>
      </c>
      <c r="AI253" s="202"/>
      <c r="AJ253" s="153" t="e">
        <f>#REF!</f>
        <v>#REF!</v>
      </c>
      <c r="AK253" s="202"/>
      <c r="AL253" s="152" t="e">
        <f>#REF!</f>
        <v>#REF!</v>
      </c>
      <c r="AM253" s="202"/>
      <c r="AN253" s="153" t="e">
        <f>#REF!</f>
        <v>#REF!</v>
      </c>
      <c r="AO253" s="202"/>
      <c r="AP253" s="152" t="e">
        <f>#REF!</f>
        <v>#REF!</v>
      </c>
      <c r="AQ253" s="202"/>
      <c r="AR253" s="154" t="e">
        <f>#REF!</f>
        <v>#REF!</v>
      </c>
      <c r="AS253" s="202"/>
      <c r="AT253" s="153" t="e">
        <f>#REF!</f>
        <v>#REF!</v>
      </c>
      <c r="AU253" s="202"/>
      <c r="AV253" s="152" t="e">
        <f>#REF!</f>
        <v>#REF!</v>
      </c>
      <c r="AW253" s="202"/>
      <c r="AX253" s="153" t="e">
        <f>#REF!</f>
        <v>#REF!</v>
      </c>
      <c r="AY253" s="202"/>
      <c r="AZ253" s="152" t="e">
        <f>#REF!</f>
        <v>#REF!</v>
      </c>
      <c r="BA253" s="202"/>
      <c r="BB253" s="154" t="e">
        <f>#REF!</f>
        <v>#REF!</v>
      </c>
      <c r="BC253" s="137"/>
    </row>
    <row r="254" spans="1:55" ht="30" hidden="1" customHeight="1">
      <c r="A254" s="203" t="e">
        <f>#REF!</f>
        <v>#REF!</v>
      </c>
      <c r="B254" s="204" t="e">
        <f xml:space="preserve"> IF(#REF!=0, "",#REF!)</f>
        <v>#REF!</v>
      </c>
      <c r="C254" s="369" t="e">
        <f>#REF!</f>
        <v>#REF!</v>
      </c>
      <c r="D254" s="369"/>
      <c r="E254" s="291" t="e">
        <f>#REF!</f>
        <v>#REF!</v>
      </c>
      <c r="F254" s="148" t="e">
        <f>#REF!</f>
        <v>#REF!</v>
      </c>
      <c r="G254" s="205" t="e">
        <f xml:space="preserve"> IF(#REF!="", "",#REF!)</f>
        <v>#REF!</v>
      </c>
      <c r="H254" s="205" t="e">
        <f xml:space="preserve"> IF(#REF!="", "",#REF!)</f>
        <v>#REF!</v>
      </c>
      <c r="I254" s="205" t="e">
        <f xml:space="preserve"> IF(#REF!="", "",#REF!)</f>
        <v>#REF!</v>
      </c>
      <c r="J254" s="298" t="e">
        <f>#REF!</f>
        <v>#REF!</v>
      </c>
      <c r="K254" s="149" t="e">
        <f>#REF!</f>
        <v>#REF!</v>
      </c>
      <c r="L254" s="149" t="e">
        <f>#REF!</f>
        <v>#REF!</v>
      </c>
      <c r="M254" s="150" t="e">
        <f>#REF!</f>
        <v>#REF!</v>
      </c>
      <c r="N254" s="364"/>
      <c r="O254" s="202"/>
      <c r="P254" s="151" t="e">
        <f>#REF!</f>
        <v>#REF!</v>
      </c>
      <c r="Q254" s="202"/>
      <c r="R254" s="152" t="e">
        <f>#REF!</f>
        <v>#REF!</v>
      </c>
      <c r="S254" s="202"/>
      <c r="T254" s="153" t="e">
        <f>#REF!</f>
        <v>#REF!</v>
      </c>
      <c r="U254" s="202"/>
      <c r="V254" s="153" t="e">
        <f>#REF!</f>
        <v>#REF!</v>
      </c>
      <c r="W254" s="202"/>
      <c r="X254" s="153" t="e">
        <f>#REF!</f>
        <v>#REF!</v>
      </c>
      <c r="Y254" s="202"/>
      <c r="Z254" s="152" t="e">
        <f>#REF!</f>
        <v>#REF!</v>
      </c>
      <c r="AA254" s="202"/>
      <c r="AB254" s="153" t="e">
        <f>#REF!</f>
        <v>#REF!</v>
      </c>
      <c r="AC254" s="202"/>
      <c r="AD254" s="152" t="e">
        <f>#REF!</f>
        <v>#REF!</v>
      </c>
      <c r="AE254" s="202"/>
      <c r="AF254" s="153" t="e">
        <f>#REF!</f>
        <v>#REF!</v>
      </c>
      <c r="AG254" s="202"/>
      <c r="AH254" s="152" t="e">
        <f>#REF!</f>
        <v>#REF!</v>
      </c>
      <c r="AI254" s="202"/>
      <c r="AJ254" s="153" t="e">
        <f>#REF!</f>
        <v>#REF!</v>
      </c>
      <c r="AK254" s="202"/>
      <c r="AL254" s="152" t="e">
        <f>#REF!</f>
        <v>#REF!</v>
      </c>
      <c r="AM254" s="202"/>
      <c r="AN254" s="153" t="e">
        <f>#REF!</f>
        <v>#REF!</v>
      </c>
      <c r="AO254" s="202"/>
      <c r="AP254" s="152" t="e">
        <f>#REF!</f>
        <v>#REF!</v>
      </c>
      <c r="AQ254" s="202"/>
      <c r="AR254" s="154" t="e">
        <f>#REF!</f>
        <v>#REF!</v>
      </c>
      <c r="AS254" s="202"/>
      <c r="AT254" s="153" t="e">
        <f>#REF!</f>
        <v>#REF!</v>
      </c>
      <c r="AU254" s="202"/>
      <c r="AV254" s="152" t="e">
        <f>#REF!</f>
        <v>#REF!</v>
      </c>
      <c r="AW254" s="202"/>
      <c r="AX254" s="153" t="e">
        <f>#REF!</f>
        <v>#REF!</v>
      </c>
      <c r="AY254" s="202"/>
      <c r="AZ254" s="152" t="e">
        <f>#REF!</f>
        <v>#REF!</v>
      </c>
      <c r="BA254" s="202"/>
      <c r="BB254" s="154" t="e">
        <f>#REF!</f>
        <v>#REF!</v>
      </c>
      <c r="BC254" s="137"/>
    </row>
    <row r="255" spans="1:55" ht="30" hidden="1" customHeight="1">
      <c r="A255" s="203" t="e">
        <f>#REF!</f>
        <v>#REF!</v>
      </c>
      <c r="B255" s="204" t="e">
        <f xml:space="preserve"> IF(#REF!=0, "",#REF!)</f>
        <v>#REF!</v>
      </c>
      <c r="C255" s="369" t="e">
        <f>#REF!</f>
        <v>#REF!</v>
      </c>
      <c r="D255" s="369"/>
      <c r="E255" s="291" t="e">
        <f>#REF!</f>
        <v>#REF!</v>
      </c>
      <c r="F255" s="148" t="e">
        <f>#REF!</f>
        <v>#REF!</v>
      </c>
      <c r="G255" s="205" t="e">
        <f xml:space="preserve"> IF(#REF!="", "",#REF!)</f>
        <v>#REF!</v>
      </c>
      <c r="H255" s="205" t="e">
        <f xml:space="preserve"> IF(#REF!="", "",#REF!)</f>
        <v>#REF!</v>
      </c>
      <c r="I255" s="205" t="e">
        <f xml:space="preserve"> IF(#REF!="", "",#REF!)</f>
        <v>#REF!</v>
      </c>
      <c r="J255" s="298" t="e">
        <f>#REF!</f>
        <v>#REF!</v>
      </c>
      <c r="K255" s="149" t="e">
        <f>#REF!</f>
        <v>#REF!</v>
      </c>
      <c r="L255" s="149" t="e">
        <f>#REF!</f>
        <v>#REF!</v>
      </c>
      <c r="M255" s="150" t="e">
        <f>#REF!</f>
        <v>#REF!</v>
      </c>
      <c r="N255" s="364"/>
      <c r="O255" s="202"/>
      <c r="P255" s="151" t="e">
        <f>#REF!</f>
        <v>#REF!</v>
      </c>
      <c r="Q255" s="202"/>
      <c r="R255" s="152" t="e">
        <f>#REF!</f>
        <v>#REF!</v>
      </c>
      <c r="S255" s="202"/>
      <c r="T255" s="153" t="e">
        <f>#REF!</f>
        <v>#REF!</v>
      </c>
      <c r="U255" s="202"/>
      <c r="V255" s="153" t="e">
        <f>#REF!</f>
        <v>#REF!</v>
      </c>
      <c r="W255" s="202"/>
      <c r="X255" s="153" t="e">
        <f>#REF!</f>
        <v>#REF!</v>
      </c>
      <c r="Y255" s="202"/>
      <c r="Z255" s="152" t="e">
        <f>#REF!</f>
        <v>#REF!</v>
      </c>
      <c r="AA255" s="202"/>
      <c r="AB255" s="153" t="e">
        <f>#REF!</f>
        <v>#REF!</v>
      </c>
      <c r="AC255" s="202"/>
      <c r="AD255" s="152" t="e">
        <f>#REF!</f>
        <v>#REF!</v>
      </c>
      <c r="AE255" s="202"/>
      <c r="AF255" s="153" t="e">
        <f>#REF!</f>
        <v>#REF!</v>
      </c>
      <c r="AG255" s="202"/>
      <c r="AH255" s="152" t="e">
        <f>#REF!</f>
        <v>#REF!</v>
      </c>
      <c r="AI255" s="202"/>
      <c r="AJ255" s="153" t="e">
        <f>#REF!</f>
        <v>#REF!</v>
      </c>
      <c r="AK255" s="202"/>
      <c r="AL255" s="152" t="e">
        <f>#REF!</f>
        <v>#REF!</v>
      </c>
      <c r="AM255" s="202"/>
      <c r="AN255" s="153" t="e">
        <f>#REF!</f>
        <v>#REF!</v>
      </c>
      <c r="AO255" s="202"/>
      <c r="AP255" s="152" t="e">
        <f>#REF!</f>
        <v>#REF!</v>
      </c>
      <c r="AQ255" s="202"/>
      <c r="AR255" s="154" t="e">
        <f>#REF!</f>
        <v>#REF!</v>
      </c>
      <c r="AS255" s="202"/>
      <c r="AT255" s="153" t="e">
        <f>#REF!</f>
        <v>#REF!</v>
      </c>
      <c r="AU255" s="202"/>
      <c r="AV255" s="152" t="e">
        <f>#REF!</f>
        <v>#REF!</v>
      </c>
      <c r="AW255" s="202"/>
      <c r="AX255" s="153" t="e">
        <f>#REF!</f>
        <v>#REF!</v>
      </c>
      <c r="AY255" s="202"/>
      <c r="AZ255" s="152" t="e">
        <f>#REF!</f>
        <v>#REF!</v>
      </c>
      <c r="BA255" s="202"/>
      <c r="BB255" s="154" t="e">
        <f>#REF!</f>
        <v>#REF!</v>
      </c>
      <c r="BC255" s="137"/>
    </row>
    <row r="256" spans="1:55" ht="30" hidden="1" customHeight="1">
      <c r="A256" s="203" t="e">
        <f>#REF!</f>
        <v>#REF!</v>
      </c>
      <c r="B256" s="204" t="e">
        <f xml:space="preserve"> IF(#REF!=0, "",#REF!)</f>
        <v>#REF!</v>
      </c>
      <c r="C256" s="369" t="e">
        <f>#REF!</f>
        <v>#REF!</v>
      </c>
      <c r="D256" s="369"/>
      <c r="E256" s="291" t="e">
        <f>#REF!</f>
        <v>#REF!</v>
      </c>
      <c r="F256" s="148" t="e">
        <f>#REF!</f>
        <v>#REF!</v>
      </c>
      <c r="G256" s="205" t="e">
        <f xml:space="preserve"> IF(#REF!="", "",#REF!)</f>
        <v>#REF!</v>
      </c>
      <c r="H256" s="205" t="e">
        <f xml:space="preserve"> IF(#REF!="", "",#REF!)</f>
        <v>#REF!</v>
      </c>
      <c r="I256" s="205" t="e">
        <f xml:space="preserve"> IF(#REF!="", "",#REF!)</f>
        <v>#REF!</v>
      </c>
      <c r="J256" s="298" t="e">
        <f>#REF!</f>
        <v>#REF!</v>
      </c>
      <c r="K256" s="149" t="e">
        <f>#REF!</f>
        <v>#REF!</v>
      </c>
      <c r="L256" s="149" t="e">
        <f>#REF!</f>
        <v>#REF!</v>
      </c>
      <c r="M256" s="150" t="e">
        <f>#REF!</f>
        <v>#REF!</v>
      </c>
      <c r="N256" s="364"/>
      <c r="O256" s="202"/>
      <c r="P256" s="151" t="e">
        <f>#REF!</f>
        <v>#REF!</v>
      </c>
      <c r="Q256" s="202"/>
      <c r="R256" s="152" t="e">
        <f>#REF!</f>
        <v>#REF!</v>
      </c>
      <c r="S256" s="202"/>
      <c r="T256" s="153" t="e">
        <f>#REF!</f>
        <v>#REF!</v>
      </c>
      <c r="U256" s="202"/>
      <c r="V256" s="153" t="e">
        <f>#REF!</f>
        <v>#REF!</v>
      </c>
      <c r="W256" s="202"/>
      <c r="X256" s="153" t="e">
        <f>#REF!</f>
        <v>#REF!</v>
      </c>
      <c r="Y256" s="202"/>
      <c r="Z256" s="152" t="e">
        <f>#REF!</f>
        <v>#REF!</v>
      </c>
      <c r="AA256" s="202"/>
      <c r="AB256" s="153" t="e">
        <f>#REF!</f>
        <v>#REF!</v>
      </c>
      <c r="AC256" s="202"/>
      <c r="AD256" s="152" t="e">
        <f>#REF!</f>
        <v>#REF!</v>
      </c>
      <c r="AE256" s="202"/>
      <c r="AF256" s="153" t="e">
        <f>#REF!</f>
        <v>#REF!</v>
      </c>
      <c r="AG256" s="202"/>
      <c r="AH256" s="152" t="e">
        <f>#REF!</f>
        <v>#REF!</v>
      </c>
      <c r="AI256" s="202"/>
      <c r="AJ256" s="153" t="e">
        <f>#REF!</f>
        <v>#REF!</v>
      </c>
      <c r="AK256" s="202"/>
      <c r="AL256" s="152" t="e">
        <f>#REF!</f>
        <v>#REF!</v>
      </c>
      <c r="AM256" s="202"/>
      <c r="AN256" s="153" t="e">
        <f>#REF!</f>
        <v>#REF!</v>
      </c>
      <c r="AO256" s="202"/>
      <c r="AP256" s="152" t="e">
        <f>#REF!</f>
        <v>#REF!</v>
      </c>
      <c r="AQ256" s="202"/>
      <c r="AR256" s="154" t="e">
        <f>#REF!</f>
        <v>#REF!</v>
      </c>
      <c r="AS256" s="202"/>
      <c r="AT256" s="153" t="e">
        <f>#REF!</f>
        <v>#REF!</v>
      </c>
      <c r="AU256" s="202"/>
      <c r="AV256" s="152" t="e">
        <f>#REF!</f>
        <v>#REF!</v>
      </c>
      <c r="AW256" s="202"/>
      <c r="AX256" s="153" t="e">
        <f>#REF!</f>
        <v>#REF!</v>
      </c>
      <c r="AY256" s="202"/>
      <c r="AZ256" s="152" t="e">
        <f>#REF!</f>
        <v>#REF!</v>
      </c>
      <c r="BA256" s="202"/>
      <c r="BB256" s="154" t="e">
        <f>#REF!</f>
        <v>#REF!</v>
      </c>
      <c r="BC256" s="137"/>
    </row>
    <row r="257" spans="1:55" ht="30" hidden="1" customHeight="1">
      <c r="A257" s="203" t="e">
        <f>#REF!</f>
        <v>#REF!</v>
      </c>
      <c r="B257" s="204" t="e">
        <f xml:space="preserve"> IF(#REF!=0, "",#REF!)</f>
        <v>#REF!</v>
      </c>
      <c r="C257" s="369" t="e">
        <f>#REF!</f>
        <v>#REF!</v>
      </c>
      <c r="D257" s="369"/>
      <c r="E257" s="291" t="e">
        <f>#REF!</f>
        <v>#REF!</v>
      </c>
      <c r="F257" s="148" t="e">
        <f>#REF!</f>
        <v>#REF!</v>
      </c>
      <c r="G257" s="205" t="e">
        <f xml:space="preserve"> IF(#REF!="", "",#REF!)</f>
        <v>#REF!</v>
      </c>
      <c r="H257" s="205" t="e">
        <f xml:space="preserve"> IF(#REF!="", "",#REF!)</f>
        <v>#REF!</v>
      </c>
      <c r="I257" s="205" t="e">
        <f xml:space="preserve"> IF(#REF!="", "",#REF!)</f>
        <v>#REF!</v>
      </c>
      <c r="J257" s="298" t="e">
        <f>#REF!</f>
        <v>#REF!</v>
      </c>
      <c r="K257" s="149" t="e">
        <f>#REF!</f>
        <v>#REF!</v>
      </c>
      <c r="L257" s="149" t="e">
        <f>#REF!</f>
        <v>#REF!</v>
      </c>
      <c r="M257" s="150" t="e">
        <f>#REF!</f>
        <v>#REF!</v>
      </c>
      <c r="N257" s="364"/>
      <c r="O257" s="202"/>
      <c r="P257" s="151" t="e">
        <f>#REF!</f>
        <v>#REF!</v>
      </c>
      <c r="Q257" s="202"/>
      <c r="R257" s="152" t="e">
        <f>#REF!</f>
        <v>#REF!</v>
      </c>
      <c r="S257" s="202"/>
      <c r="T257" s="153" t="e">
        <f>#REF!</f>
        <v>#REF!</v>
      </c>
      <c r="U257" s="202"/>
      <c r="V257" s="153" t="e">
        <f>#REF!</f>
        <v>#REF!</v>
      </c>
      <c r="W257" s="202"/>
      <c r="X257" s="153" t="e">
        <f>#REF!</f>
        <v>#REF!</v>
      </c>
      <c r="Y257" s="202"/>
      <c r="Z257" s="152" t="e">
        <f>#REF!</f>
        <v>#REF!</v>
      </c>
      <c r="AA257" s="202"/>
      <c r="AB257" s="153" t="e">
        <f>#REF!</f>
        <v>#REF!</v>
      </c>
      <c r="AC257" s="202"/>
      <c r="AD257" s="152" t="e">
        <f>#REF!</f>
        <v>#REF!</v>
      </c>
      <c r="AE257" s="202"/>
      <c r="AF257" s="153" t="e">
        <f>#REF!</f>
        <v>#REF!</v>
      </c>
      <c r="AG257" s="202"/>
      <c r="AH257" s="152" t="e">
        <f>#REF!</f>
        <v>#REF!</v>
      </c>
      <c r="AI257" s="202"/>
      <c r="AJ257" s="153" t="e">
        <f>#REF!</f>
        <v>#REF!</v>
      </c>
      <c r="AK257" s="202"/>
      <c r="AL257" s="152" t="e">
        <f>#REF!</f>
        <v>#REF!</v>
      </c>
      <c r="AM257" s="202"/>
      <c r="AN257" s="153" t="e">
        <f>#REF!</f>
        <v>#REF!</v>
      </c>
      <c r="AO257" s="202"/>
      <c r="AP257" s="152" t="e">
        <f>#REF!</f>
        <v>#REF!</v>
      </c>
      <c r="AQ257" s="202"/>
      <c r="AR257" s="154" t="e">
        <f>#REF!</f>
        <v>#REF!</v>
      </c>
      <c r="AS257" s="202"/>
      <c r="AT257" s="153" t="e">
        <f>#REF!</f>
        <v>#REF!</v>
      </c>
      <c r="AU257" s="202"/>
      <c r="AV257" s="152" t="e">
        <f>#REF!</f>
        <v>#REF!</v>
      </c>
      <c r="AW257" s="202"/>
      <c r="AX257" s="153" t="e">
        <f>#REF!</f>
        <v>#REF!</v>
      </c>
      <c r="AY257" s="202"/>
      <c r="AZ257" s="152" t="e">
        <f>#REF!</f>
        <v>#REF!</v>
      </c>
      <c r="BA257" s="202"/>
      <c r="BB257" s="154" t="e">
        <f>#REF!</f>
        <v>#REF!</v>
      </c>
      <c r="BC257" s="137"/>
    </row>
    <row r="258" spans="1:55" ht="30" hidden="1" customHeight="1">
      <c r="A258" s="203" t="e">
        <f>#REF!</f>
        <v>#REF!</v>
      </c>
      <c r="B258" s="204" t="e">
        <f xml:space="preserve"> IF(#REF!=0, "",#REF!)</f>
        <v>#REF!</v>
      </c>
      <c r="C258" s="369" t="e">
        <f>#REF!</f>
        <v>#REF!</v>
      </c>
      <c r="D258" s="369"/>
      <c r="E258" s="291" t="e">
        <f>#REF!</f>
        <v>#REF!</v>
      </c>
      <c r="F258" s="148" t="e">
        <f>#REF!</f>
        <v>#REF!</v>
      </c>
      <c r="G258" s="205" t="e">
        <f xml:space="preserve"> IF(#REF!="", "",#REF!)</f>
        <v>#REF!</v>
      </c>
      <c r="H258" s="205" t="e">
        <f xml:space="preserve"> IF(#REF!="", "",#REF!)</f>
        <v>#REF!</v>
      </c>
      <c r="I258" s="205" t="e">
        <f xml:space="preserve"> IF(#REF!="", "",#REF!)</f>
        <v>#REF!</v>
      </c>
      <c r="J258" s="298" t="e">
        <f>#REF!</f>
        <v>#REF!</v>
      </c>
      <c r="K258" s="149" t="e">
        <f>#REF!</f>
        <v>#REF!</v>
      </c>
      <c r="L258" s="149" t="e">
        <f>#REF!</f>
        <v>#REF!</v>
      </c>
      <c r="M258" s="150" t="e">
        <f>#REF!</f>
        <v>#REF!</v>
      </c>
      <c r="N258" s="364"/>
      <c r="O258" s="202"/>
      <c r="P258" s="151" t="e">
        <f>#REF!</f>
        <v>#REF!</v>
      </c>
      <c r="Q258" s="202"/>
      <c r="R258" s="152" t="e">
        <f>#REF!</f>
        <v>#REF!</v>
      </c>
      <c r="S258" s="202"/>
      <c r="T258" s="153" t="e">
        <f>#REF!</f>
        <v>#REF!</v>
      </c>
      <c r="U258" s="202"/>
      <c r="V258" s="153" t="e">
        <f>#REF!</f>
        <v>#REF!</v>
      </c>
      <c r="W258" s="202"/>
      <c r="X258" s="153" t="e">
        <f>#REF!</f>
        <v>#REF!</v>
      </c>
      <c r="Y258" s="202"/>
      <c r="Z258" s="152" t="e">
        <f>#REF!</f>
        <v>#REF!</v>
      </c>
      <c r="AA258" s="202"/>
      <c r="AB258" s="153" t="e">
        <f>#REF!</f>
        <v>#REF!</v>
      </c>
      <c r="AC258" s="202"/>
      <c r="AD258" s="152" t="e">
        <f>#REF!</f>
        <v>#REF!</v>
      </c>
      <c r="AE258" s="202"/>
      <c r="AF258" s="153" t="e">
        <f>#REF!</f>
        <v>#REF!</v>
      </c>
      <c r="AG258" s="202"/>
      <c r="AH258" s="152" t="e">
        <f>#REF!</f>
        <v>#REF!</v>
      </c>
      <c r="AI258" s="202"/>
      <c r="AJ258" s="153" t="e">
        <f>#REF!</f>
        <v>#REF!</v>
      </c>
      <c r="AK258" s="202"/>
      <c r="AL258" s="152" t="e">
        <f>#REF!</f>
        <v>#REF!</v>
      </c>
      <c r="AM258" s="202"/>
      <c r="AN258" s="153" t="e">
        <f>#REF!</f>
        <v>#REF!</v>
      </c>
      <c r="AO258" s="202"/>
      <c r="AP258" s="152" t="e">
        <f>#REF!</f>
        <v>#REF!</v>
      </c>
      <c r="AQ258" s="202"/>
      <c r="AR258" s="154" t="e">
        <f>#REF!</f>
        <v>#REF!</v>
      </c>
      <c r="AS258" s="202"/>
      <c r="AT258" s="153" t="e">
        <f>#REF!</f>
        <v>#REF!</v>
      </c>
      <c r="AU258" s="202"/>
      <c r="AV258" s="152" t="e">
        <f>#REF!</f>
        <v>#REF!</v>
      </c>
      <c r="AW258" s="202"/>
      <c r="AX258" s="153" t="e">
        <f>#REF!</f>
        <v>#REF!</v>
      </c>
      <c r="AY258" s="202"/>
      <c r="AZ258" s="152" t="e">
        <f>#REF!</f>
        <v>#REF!</v>
      </c>
      <c r="BA258" s="202"/>
      <c r="BB258" s="154" t="e">
        <f>#REF!</f>
        <v>#REF!</v>
      </c>
      <c r="BC258" s="137"/>
    </row>
    <row r="259" spans="1:55" ht="30" hidden="1" customHeight="1">
      <c r="A259" s="203" t="e">
        <f>#REF!</f>
        <v>#REF!</v>
      </c>
      <c r="B259" s="204" t="e">
        <f xml:space="preserve"> IF(#REF!=0, "",#REF!)</f>
        <v>#REF!</v>
      </c>
      <c r="C259" s="369" t="e">
        <f>#REF!</f>
        <v>#REF!</v>
      </c>
      <c r="D259" s="369"/>
      <c r="E259" s="291" t="e">
        <f>#REF!</f>
        <v>#REF!</v>
      </c>
      <c r="F259" s="148" t="e">
        <f>#REF!</f>
        <v>#REF!</v>
      </c>
      <c r="G259" s="205" t="e">
        <f xml:space="preserve"> IF(#REF!="", "",#REF!)</f>
        <v>#REF!</v>
      </c>
      <c r="H259" s="205" t="e">
        <f xml:space="preserve"> IF(#REF!="", "",#REF!)</f>
        <v>#REF!</v>
      </c>
      <c r="I259" s="205" t="e">
        <f xml:space="preserve"> IF(#REF!="", "",#REF!)</f>
        <v>#REF!</v>
      </c>
      <c r="J259" s="298" t="e">
        <f>#REF!</f>
        <v>#REF!</v>
      </c>
      <c r="K259" s="149" t="e">
        <f>#REF!</f>
        <v>#REF!</v>
      </c>
      <c r="L259" s="149" t="e">
        <f>#REF!</f>
        <v>#REF!</v>
      </c>
      <c r="M259" s="150" t="e">
        <f>#REF!</f>
        <v>#REF!</v>
      </c>
      <c r="N259" s="364"/>
      <c r="O259" s="202"/>
      <c r="P259" s="151" t="e">
        <f>#REF!</f>
        <v>#REF!</v>
      </c>
      <c r="Q259" s="202"/>
      <c r="R259" s="152" t="e">
        <f>#REF!</f>
        <v>#REF!</v>
      </c>
      <c r="S259" s="202"/>
      <c r="T259" s="153" t="e">
        <f>#REF!</f>
        <v>#REF!</v>
      </c>
      <c r="U259" s="202"/>
      <c r="V259" s="153" t="e">
        <f>#REF!</f>
        <v>#REF!</v>
      </c>
      <c r="W259" s="202"/>
      <c r="X259" s="153" t="e">
        <f>#REF!</f>
        <v>#REF!</v>
      </c>
      <c r="Y259" s="202"/>
      <c r="Z259" s="152" t="e">
        <f>#REF!</f>
        <v>#REF!</v>
      </c>
      <c r="AA259" s="202"/>
      <c r="AB259" s="153" t="e">
        <f>#REF!</f>
        <v>#REF!</v>
      </c>
      <c r="AC259" s="202"/>
      <c r="AD259" s="152" t="e">
        <f>#REF!</f>
        <v>#REF!</v>
      </c>
      <c r="AE259" s="202"/>
      <c r="AF259" s="153" t="e">
        <f>#REF!</f>
        <v>#REF!</v>
      </c>
      <c r="AG259" s="202"/>
      <c r="AH259" s="152" t="e">
        <f>#REF!</f>
        <v>#REF!</v>
      </c>
      <c r="AI259" s="202"/>
      <c r="AJ259" s="153" t="e">
        <f>#REF!</f>
        <v>#REF!</v>
      </c>
      <c r="AK259" s="202"/>
      <c r="AL259" s="152" t="e">
        <f>#REF!</f>
        <v>#REF!</v>
      </c>
      <c r="AM259" s="202"/>
      <c r="AN259" s="153" t="e">
        <f>#REF!</f>
        <v>#REF!</v>
      </c>
      <c r="AO259" s="202"/>
      <c r="AP259" s="152" t="e">
        <f>#REF!</f>
        <v>#REF!</v>
      </c>
      <c r="AQ259" s="202"/>
      <c r="AR259" s="154" t="e">
        <f>#REF!</f>
        <v>#REF!</v>
      </c>
      <c r="AS259" s="202"/>
      <c r="AT259" s="153" t="e">
        <f>#REF!</f>
        <v>#REF!</v>
      </c>
      <c r="AU259" s="202"/>
      <c r="AV259" s="152" t="e">
        <f>#REF!</f>
        <v>#REF!</v>
      </c>
      <c r="AW259" s="202"/>
      <c r="AX259" s="153" t="e">
        <f>#REF!</f>
        <v>#REF!</v>
      </c>
      <c r="AY259" s="202"/>
      <c r="AZ259" s="152" t="e">
        <f>#REF!</f>
        <v>#REF!</v>
      </c>
      <c r="BA259" s="202"/>
      <c r="BB259" s="154" t="e">
        <f>#REF!</f>
        <v>#REF!</v>
      </c>
      <c r="BC259" s="137"/>
    </row>
    <row r="260" spans="1:55" ht="30" hidden="1" customHeight="1">
      <c r="A260" s="203" t="e">
        <f>#REF!</f>
        <v>#REF!</v>
      </c>
      <c r="B260" s="204" t="e">
        <f xml:space="preserve"> IF(#REF!=0, "",#REF!)</f>
        <v>#REF!</v>
      </c>
      <c r="C260" s="369" t="e">
        <f>#REF!</f>
        <v>#REF!</v>
      </c>
      <c r="D260" s="369"/>
      <c r="E260" s="291" t="e">
        <f>#REF!</f>
        <v>#REF!</v>
      </c>
      <c r="F260" s="148" t="e">
        <f>#REF!</f>
        <v>#REF!</v>
      </c>
      <c r="G260" s="205" t="e">
        <f xml:space="preserve"> IF(#REF!="", "",#REF!)</f>
        <v>#REF!</v>
      </c>
      <c r="H260" s="205" t="e">
        <f xml:space="preserve"> IF(#REF!="", "",#REF!)</f>
        <v>#REF!</v>
      </c>
      <c r="I260" s="205" t="e">
        <f xml:space="preserve"> IF(#REF!="", "",#REF!)</f>
        <v>#REF!</v>
      </c>
      <c r="J260" s="298" t="e">
        <f>#REF!</f>
        <v>#REF!</v>
      </c>
      <c r="K260" s="149" t="e">
        <f>#REF!</f>
        <v>#REF!</v>
      </c>
      <c r="L260" s="149" t="e">
        <f>#REF!</f>
        <v>#REF!</v>
      </c>
      <c r="M260" s="150" t="e">
        <f>#REF!</f>
        <v>#REF!</v>
      </c>
      <c r="N260" s="364"/>
      <c r="O260" s="202"/>
      <c r="P260" s="151" t="e">
        <f>#REF!</f>
        <v>#REF!</v>
      </c>
      <c r="Q260" s="202"/>
      <c r="R260" s="152" t="e">
        <f>#REF!</f>
        <v>#REF!</v>
      </c>
      <c r="S260" s="202"/>
      <c r="T260" s="153" t="e">
        <f>#REF!</f>
        <v>#REF!</v>
      </c>
      <c r="U260" s="202"/>
      <c r="V260" s="153" t="e">
        <f>#REF!</f>
        <v>#REF!</v>
      </c>
      <c r="W260" s="202"/>
      <c r="X260" s="153" t="e">
        <f>#REF!</f>
        <v>#REF!</v>
      </c>
      <c r="Y260" s="202"/>
      <c r="Z260" s="152" t="e">
        <f>#REF!</f>
        <v>#REF!</v>
      </c>
      <c r="AA260" s="202"/>
      <c r="AB260" s="153" t="e">
        <f>#REF!</f>
        <v>#REF!</v>
      </c>
      <c r="AC260" s="202"/>
      <c r="AD260" s="152" t="e">
        <f>#REF!</f>
        <v>#REF!</v>
      </c>
      <c r="AE260" s="202"/>
      <c r="AF260" s="153" t="e">
        <f>#REF!</f>
        <v>#REF!</v>
      </c>
      <c r="AG260" s="202"/>
      <c r="AH260" s="152" t="e">
        <f>#REF!</f>
        <v>#REF!</v>
      </c>
      <c r="AI260" s="202"/>
      <c r="AJ260" s="153" t="e">
        <f>#REF!</f>
        <v>#REF!</v>
      </c>
      <c r="AK260" s="202"/>
      <c r="AL260" s="152" t="e">
        <f>#REF!</f>
        <v>#REF!</v>
      </c>
      <c r="AM260" s="202"/>
      <c r="AN260" s="153" t="e">
        <f>#REF!</f>
        <v>#REF!</v>
      </c>
      <c r="AO260" s="202"/>
      <c r="AP260" s="152" t="e">
        <f>#REF!</f>
        <v>#REF!</v>
      </c>
      <c r="AQ260" s="202"/>
      <c r="AR260" s="154" t="e">
        <f>#REF!</f>
        <v>#REF!</v>
      </c>
      <c r="AS260" s="202"/>
      <c r="AT260" s="153" t="e">
        <f>#REF!</f>
        <v>#REF!</v>
      </c>
      <c r="AU260" s="202"/>
      <c r="AV260" s="152" t="e">
        <f>#REF!</f>
        <v>#REF!</v>
      </c>
      <c r="AW260" s="202"/>
      <c r="AX260" s="153" t="e">
        <f>#REF!</f>
        <v>#REF!</v>
      </c>
      <c r="AY260" s="202"/>
      <c r="AZ260" s="152" t="e">
        <f>#REF!</f>
        <v>#REF!</v>
      </c>
      <c r="BA260" s="202"/>
      <c r="BB260" s="154" t="e">
        <f>#REF!</f>
        <v>#REF!</v>
      </c>
      <c r="BC260" s="137"/>
    </row>
    <row r="261" spans="1:55" ht="30" hidden="1" customHeight="1">
      <c r="A261" s="203" t="e">
        <f>#REF!</f>
        <v>#REF!</v>
      </c>
      <c r="B261" s="204" t="e">
        <f xml:space="preserve"> IF(#REF!=0, "",#REF!)</f>
        <v>#REF!</v>
      </c>
      <c r="C261" s="369" t="e">
        <f>#REF!</f>
        <v>#REF!</v>
      </c>
      <c r="D261" s="369"/>
      <c r="E261" s="291" t="e">
        <f>#REF!</f>
        <v>#REF!</v>
      </c>
      <c r="F261" s="148" t="e">
        <f>#REF!</f>
        <v>#REF!</v>
      </c>
      <c r="G261" s="205" t="e">
        <f xml:space="preserve"> IF(#REF!="", "",#REF!)</f>
        <v>#REF!</v>
      </c>
      <c r="H261" s="205" t="e">
        <f xml:space="preserve"> IF(#REF!="", "",#REF!)</f>
        <v>#REF!</v>
      </c>
      <c r="I261" s="205" t="e">
        <f xml:space="preserve"> IF(#REF!="", "",#REF!)</f>
        <v>#REF!</v>
      </c>
      <c r="J261" s="298" t="e">
        <f>#REF!</f>
        <v>#REF!</v>
      </c>
      <c r="K261" s="149" t="e">
        <f>#REF!</f>
        <v>#REF!</v>
      </c>
      <c r="L261" s="149" t="e">
        <f>#REF!</f>
        <v>#REF!</v>
      </c>
      <c r="M261" s="150" t="e">
        <f>#REF!</f>
        <v>#REF!</v>
      </c>
      <c r="N261" s="364"/>
      <c r="O261" s="202"/>
      <c r="P261" s="151" t="e">
        <f>#REF!</f>
        <v>#REF!</v>
      </c>
      <c r="Q261" s="202"/>
      <c r="R261" s="152" t="e">
        <f>#REF!</f>
        <v>#REF!</v>
      </c>
      <c r="S261" s="202"/>
      <c r="T261" s="153" t="e">
        <f>#REF!</f>
        <v>#REF!</v>
      </c>
      <c r="U261" s="202"/>
      <c r="V261" s="153" t="e">
        <f>#REF!</f>
        <v>#REF!</v>
      </c>
      <c r="W261" s="202"/>
      <c r="X261" s="153" t="e">
        <f>#REF!</f>
        <v>#REF!</v>
      </c>
      <c r="Y261" s="202"/>
      <c r="Z261" s="152" t="e">
        <f>#REF!</f>
        <v>#REF!</v>
      </c>
      <c r="AA261" s="202"/>
      <c r="AB261" s="153" t="e">
        <f>#REF!</f>
        <v>#REF!</v>
      </c>
      <c r="AC261" s="202"/>
      <c r="AD261" s="152" t="e">
        <f>#REF!</f>
        <v>#REF!</v>
      </c>
      <c r="AE261" s="202"/>
      <c r="AF261" s="153" t="e">
        <f>#REF!</f>
        <v>#REF!</v>
      </c>
      <c r="AG261" s="202"/>
      <c r="AH261" s="152" t="e">
        <f>#REF!</f>
        <v>#REF!</v>
      </c>
      <c r="AI261" s="202"/>
      <c r="AJ261" s="153" t="e">
        <f>#REF!</f>
        <v>#REF!</v>
      </c>
      <c r="AK261" s="202"/>
      <c r="AL261" s="152" t="e">
        <f>#REF!</f>
        <v>#REF!</v>
      </c>
      <c r="AM261" s="202"/>
      <c r="AN261" s="153" t="e">
        <f>#REF!</f>
        <v>#REF!</v>
      </c>
      <c r="AO261" s="202"/>
      <c r="AP261" s="152" t="e">
        <f>#REF!</f>
        <v>#REF!</v>
      </c>
      <c r="AQ261" s="202"/>
      <c r="AR261" s="154" t="e">
        <f>#REF!</f>
        <v>#REF!</v>
      </c>
      <c r="AS261" s="202"/>
      <c r="AT261" s="153" t="e">
        <f>#REF!</f>
        <v>#REF!</v>
      </c>
      <c r="AU261" s="202"/>
      <c r="AV261" s="152" t="e">
        <f>#REF!</f>
        <v>#REF!</v>
      </c>
      <c r="AW261" s="202"/>
      <c r="AX261" s="153" t="e">
        <f>#REF!</f>
        <v>#REF!</v>
      </c>
      <c r="AY261" s="202"/>
      <c r="AZ261" s="152" t="e">
        <f>#REF!</f>
        <v>#REF!</v>
      </c>
      <c r="BA261" s="202"/>
      <c r="BB261" s="154" t="e">
        <f>#REF!</f>
        <v>#REF!</v>
      </c>
      <c r="BC261" s="137"/>
    </row>
    <row r="262" spans="1:55" ht="15.75">
      <c r="A262" s="159"/>
      <c r="B262" s="160"/>
      <c r="C262" s="155"/>
      <c r="D262" s="113"/>
      <c r="E262" s="113"/>
      <c r="F262" s="112"/>
      <c r="G262" s="112"/>
      <c r="H262" s="112"/>
      <c r="I262" s="112"/>
      <c r="J262" s="112"/>
      <c r="K262" s="112"/>
      <c r="L262" s="112"/>
      <c r="M262" s="113"/>
      <c r="N262" s="113"/>
      <c r="O262" s="126"/>
      <c r="P262" s="127"/>
      <c r="Q262" s="126"/>
      <c r="R262" s="126"/>
      <c r="S262" s="126"/>
      <c r="T262" s="126"/>
      <c r="U262" s="126"/>
      <c r="V262" s="126"/>
      <c r="W262" s="126"/>
      <c r="X262" s="126"/>
      <c r="Y262" s="126"/>
      <c r="Z262" s="126"/>
      <c r="AA262" s="126"/>
      <c r="AB262" s="126"/>
      <c r="AC262" s="128"/>
      <c r="AD262" s="126"/>
      <c r="AE262" s="128"/>
      <c r="AF262" s="126"/>
      <c r="AG262" s="128"/>
      <c r="AH262" s="126"/>
      <c r="AI262" s="128"/>
      <c r="AJ262" s="126"/>
      <c r="AK262" s="128"/>
      <c r="AL262" s="126"/>
      <c r="AM262" s="128"/>
      <c r="AN262" s="126"/>
      <c r="AO262" s="128"/>
      <c r="AP262" s="126"/>
      <c r="AQ262" s="128"/>
      <c r="AR262" s="129"/>
      <c r="AS262" s="128"/>
      <c r="AT262" s="126"/>
      <c r="AU262" s="128"/>
      <c r="AV262" s="126"/>
      <c r="AW262" s="128"/>
      <c r="AX262" s="126"/>
      <c r="AY262" s="128"/>
      <c r="AZ262" s="126"/>
      <c r="BA262" s="128"/>
      <c r="BB262" s="129"/>
      <c r="BC262" s="137"/>
    </row>
    <row r="263" spans="1:55" hidden="1">
      <c r="A263" s="113"/>
      <c r="B263" s="112"/>
      <c r="O263" s="157"/>
      <c r="P263" s="113"/>
      <c r="Q263" s="112"/>
      <c r="R263" s="112"/>
      <c r="S263" s="112"/>
      <c r="T263" s="112"/>
      <c r="U263" s="112"/>
      <c r="V263" s="112"/>
      <c r="W263" s="112"/>
      <c r="X263" s="112"/>
      <c r="Y263" s="112"/>
      <c r="Z263" s="112"/>
      <c r="AA263" s="112"/>
      <c r="AB263" s="112"/>
      <c r="AC263" s="112"/>
      <c r="AD263" s="112"/>
      <c r="AE263" s="112"/>
      <c r="AF263" s="112"/>
      <c r="AG263" s="112"/>
      <c r="AH263" s="112"/>
      <c r="AI263" s="112"/>
      <c r="AJ263" s="112"/>
      <c r="AK263" s="112"/>
      <c r="AL263" s="112"/>
      <c r="AM263" s="112"/>
      <c r="AN263" s="112"/>
      <c r="AO263" s="112"/>
      <c r="AP263" s="112"/>
      <c r="AQ263" s="112"/>
      <c r="AR263" s="112"/>
      <c r="AS263" s="112"/>
      <c r="AT263" s="112"/>
      <c r="AU263" s="112"/>
      <c r="AV263" s="112"/>
      <c r="AW263" s="112"/>
      <c r="AX263" s="112"/>
      <c r="AY263" s="112"/>
      <c r="AZ263" s="112"/>
      <c r="BA263" s="112"/>
      <c r="BB263" s="112"/>
    </row>
  </sheetData>
  <sheetProtection autoFilter="0"/>
  <autoFilter ref="A11:M261" xr:uid="{EED43031-AAAB-4BEF-B61B-D1E25C428E9B}">
    <filterColumn colId="2" showButton="0">
      <filters>
        <filter val="Açaï en poudre iofilisée BIO (env. 250g)"/>
        <filter val="Ail blanc ou violet BIO"/>
        <filter val="Algue Chlorella en poudre BIO (env. 1kg)"/>
        <filter val="Algue Chlorella en poudre BIO (env. 500g)"/>
        <filter val="Algue Dulse déshydratée BIO (env. 1kg)"/>
        <filter val="Algue Dulse déshydratée BIO (env. 500g)"/>
        <filter val="Algue Kombu déshydratées BIO (env. 1kg)"/>
        <filter val="Algue Kombu déshydratées BIO (env. 500g)"/>
        <filter val="Algue Nori entière déshydratées BIO (env. 1kg)"/>
        <filter val="Algue Nori entière déshydratées BIO (env. 500g)"/>
        <filter val="Aloe Vera (feuille fraîche) BIO"/>
        <filter val="Amande Desmayo avec coque"/>
        <filter val="Amande Lauren avec coque (saveur sucrée)"/>
        <filter val="Amande Romera avec coque"/>
        <filter val="Amande sans coque CRU BIO (env. 1kg)"/>
        <filter val="Ananas (mûri sur plante, env. 2kg)_x000a_Super bon, couleur intense, très aromatique"/>
        <filter val="Ananas deshydraté BIO (env. 1kg)"/>
        <filter val="Arachides crues avec coque"/>
        <filter val="Arachides sans coque pelé CRU BIO"/>
        <filter val="Aubergine"/>
        <filter val="Avocat Bacon (grand)"/>
        <filter val="Avocat Bacon BIO"/>
        <filter val="Avocat Bacon Cocktail (petit calibre)"/>
        <filter val="Avocat Bacon médium BIO"/>
        <filter val="Avocat Fuerte"/>
        <filter val="Avocat Fuerte BIO"/>
        <filter val="Baie de Goji BIO (env. 1kg)"/>
        <filter val="Baie de Goji BIO (envi. 500g)"/>
        <filter val="Banane Cavendish (mûri sur plante)"/>
        <filter val="Banane Cavendish BIO/RECO_x000a_    - (robuste et ferme)"/>
        <filter val="Banane deshydratée BIO semi-sèche_x000a_    - (Production Rufino, env. 200g)"/>
        <filter val="Bâtons de cannelle BIO (env. 100g)"/>
        <filter val="Betterave BIO"/>
        <filter val="Betterave en poudre BIO (env. 1kg)"/>
        <filter val="Betterave en poudre BIO (env. 500g)"/>
        <filter val="Beurre de cacao BIO (env. 1kg)"/>
        <filter val="Blette BIO"/>
        <filter val="Cacao en poudre CRU BIO (env. 1 kg)"/>
        <filter val="Camu Camu en poudre BIO (env. 250g)"/>
        <filter val="Carambole / fruit étoilé"/>
        <filter val="Carotte avec fane"/>
        <filter val="Carotte sans fane"/>
        <filter val="Carotte sans fane BIO"/>
        <filter val="Caroube de l'Alpujarra BIO (env 400g)"/>
        <filter val="Céleri vert"/>
        <filter val="Céleri vert BIO"/>
        <filter val="Chia BIO (env. 1kg)"/>
        <filter val="Chips de coco CRU BIO (env. 1kg)"/>
        <filter val="Chirimoya (grand)"/>
        <filter val="Chirimoya BIO (production Rufino)"/>
        <filter val="Chou Kale BIO (production Rufino)"/>
        <filter val="Chou Kale Winterbor Crespa BIO baby (Production de Rufino)"/>
        <filter val="Chou vert BIO"/>
        <filter val="Citron Caviar (culture naturelle, plateau 200g)"/>
        <filter val="Citron Caviar (culture naturelle, plateau 500g)"/>
        <filter val="Citron Caviar BIO_x000a_    - (plateau de 200g)"/>
        <filter val="Citron Caviar BIO_x000a_    - (plateau de 500g)"/>
        <filter val="Citron jaune (mûri sur plante)"/>
        <filter val="Citron jaune BIO (seconde catégorie)"/>
        <filter val="Citron jaune Verna BIO (mûri sur arbre)_x000a_    - (grand/moyen)"/>
        <filter val="Citron vert"/>
        <filter val="Citronnelle BIO_x000a_    - (bouquet de 5 tiges)"/>
        <filter val="Coco Pagode fraîche"/>
        <filter val="Coing"/>
        <filter val="Concombre mini gourmet"/>
        <filter val="Courge Butternut BIO"/>
        <filter val="Courgette BIO (2nd catégorie)"/>
        <filter val="Crackers déshydratés CRU BIO (env. 200g)_x000a_    - (tomate, tournesol, sarrasin, lin, oignons, ...)"/>
        <filter val="Curcuma frais BIO (paquet 500g)"/>
        <filter val="Dattes Deglet Nour en rame BIO"/>
        <filter val="Dattes Deglet Nour sans rame BIO"/>
        <filter val="Dattes Deglet sans noyau BIO"/>
        <filter val="Dattes Mazafati de Bam BIO (env. 250g)"/>
        <filter val="Dattes Medjool Jumbo semi-sèche BIO"/>
        <filter val="Eau de mer micro-filtrée hypertonique_x000a_    - (n°1 : box 3L)"/>
        <filter val="Eau de mer micro-filtrée hypertonique_x000a_    - (n°2 : box 11L)"/>
        <filter val="Eau de mer micro-filtrée hypertonique_x000a_    - (n°3 : box 20L)"/>
        <filter val="Epi de maïs doux frais"/>
        <filter val="Extracteur de jus ANGEL 5500"/>
        <filter val="Fane de Betterave Baby BIO_x000a_    - (Production de Rufino)"/>
        <filter val="Fane de betterave BIO (production Rufino)"/>
        <filter val="Farine de coco (env. 1kg)"/>
        <filter val="Fenugrec en graines BIO (env. 500g)"/>
        <filter val="Fève de Cacao entière CRU BIO (env. 1kg)"/>
        <filter val="Figue de Barbarie"/>
        <filter val="Figues sèches BIO"/>
        <filter val="Fruits du Baobab en poudre BIO"/>
        <filter val="Gingembre BIO"/>
        <filter val="Goyave"/>
        <filter val="Graines de chanvre pelées CRU BIO_x000a_    - (env. 1 kg)"/>
        <filter val="Graines de tournesol sans coque CRU BIO_x000a_    - (env. 1kg)"/>
        <filter val="Graines de tournesol sans coque CRU BIO_x000a_    - (env. 500g)"/>
        <filter val="Grenade"/>
        <filter val="Grenade BIO"/>
        <filter val="Grenade Purple Queen BIO"/>
        <filter val="Huile d'olive Alorena 1L BIO"/>
        <filter val="Huile d'olive Aloreña 5L BIO"/>
        <filter val="Kaki différentes variétés_x000a_    - (persimon, rouge brillant, tomatero)"/>
        <filter val="Kaki Fuyu"/>
        <filter val="Kiwi"/>
        <filter val="Kiwi  BIO"/>
        <filter val="Kiwi Sun Gold"/>
        <filter val="Lait de coco en poudre CRU BIO (1kg)"/>
        <filter val="Lait de coco en poudre CRU BIO (500g)"/>
        <filter val="Lima-Limon BIO (entre citron vert et jaune)_x000a_    - (Variété indienne)"/>
        <filter val="Lucuma cru en poudre CRU BIO (env. 1 kg)"/>
        <filter val="Maca brute en poudre CRU BIO (env. 1kg)"/>
        <filter val="Maca brute en poudre CRU BIO (env. 500g)"/>
        <filter val="Maca noire BIO (env. 1kg)"/>
        <filter val="Maca noire BIO (env. 500g)"/>
        <filter val="Maïs doux frais (plateau de 2 pièces)"/>
        <filter val="Mangue déshydratée Irwin gourmet (à basse température, tranches)"/>
        <filter val="Mangue déshydratée rouge Palmer (semi-sèche  de fabrication artisanale, env. 500g)"/>
        <filter val="Mangue Irwin (grande)"/>
        <filter val="Mangue Keitt"/>
        <filter val="Mangue Keitt BIO"/>
        <filter val="Mangue Keitt BIO (légères brûlures superficielles à côté du pédoncule causées par le soleil)"/>
        <filter val="Mangue Keitt BIO (petit)"/>
        <filter val="Mangue Kent (moyen) murie sur l'arbre"/>
        <filter val="Mangue Kent Bio (légères brûlures superficielles à côté de la tige produites par le soleil)"/>
        <filter val="Mangue Lipens"/>
        <filter val="Mangue Osteen"/>
        <filter val="Mangue Osteen (Ferme Eparadise, mûrie sur plante, récoltée quotidiennement)"/>
        <filter val="Mangue Osteen BIO (Qualité supérieure, mûrie sur plante)"/>
        <filter val="Mangue Osteen mini gourmet"/>
        <filter val="Mangue Palmer Rouge BIO (Grand)"/>
        <filter val="Mangue Palmer rouge gourmet BIO"/>
        <filter val="Mangue plusieurs variétés_x000a_    - (Haden, Irwin, Lipens, Osteen, Tommy Atkins)"/>
        <filter val="Melon peau de crapaud"/>
        <filter val="Melon peau de crapaud BIO"/>
        <filter val="Miel d'avocat (Bocal en verre 1kg)"/>
        <filter val="Miel de Fleur d'oranger (Bocal en verre 1kg)"/>
        <filter val="Miel de Huelva multifleurs sans filtration CRU BIO  _x000a_    - (Bocal en verre 1kg)"/>
        <filter val="Miel de montagne (Bocal en verre 1kg)"/>
        <filter val="Miel de Romarin (Bocal en verre 1kg)"/>
        <filter val="Miel d'eucalyptus BIO (Bocal en verre 1kg)"/>
        <filter val="Miel Multi-fleurs (Bocal en verre 1kg)"/>
        <filter val="Néfle d'hiver"/>
        <filter val="Noisette sans coque CRU BIO (env. 1kg)"/>
        <filter val="Noix de cajou BIO (env. 1kg)"/>
        <filter val="Noix de Macadamia sans coque BIO_x000a_    - (env. 1kg)"/>
        <filter val="Noix de Macadamia sans coque BIO_x000a_    - (env. 500g)"/>
        <filter val="Noix de Pécan sans coque BIO (env. 1kg)"/>
        <filter val="Noix de Pécan sans coque BIO (env. 500g)"/>
        <filter val="Oignon blanc BIO"/>
        <filter val="Oignon rouge BIO"/>
        <filter val="Olives Aloreña BIO non pasteurisées (Bocal 800g)"/>
        <filter val="Olives fermentées BIO non pasteurisées (env. 450g, Fraîches, semi-sèches, sèches, au choix, sans sel, sans eau et sans autres ajouts)"/>
        <filter val="Olives noires BIO (bocal 500g, sans noyau, semi-séchées, non pasteurisées)"/>
        <filter val="Olives vertes Gordal Manzanilla fraîches"/>
        <filter val="Orange Valencialate"/>
        <filter val="Paprika épicé de la Vera BIO (env. 1kg)"/>
        <filter val="Patate douce BIO (Grande)"/>
        <filter val="Patate douce BIO (Moyenne)"/>
        <filter val="Patate Douce Violette BIO (Moyenne, grande) Nouvelle récolte"/>
        <filter val="Pistache avec coque CRU (env. 1kg)"/>
        <filter val="Pistache avec coque CRU (env. 500g)"/>
        <filter val="Pitaya (fruit du dragon, jaune à l'extérieur et pulpe blanche)"/>
        <filter val="Pitaya rouge BIO"/>
        <filter val="Poire Conférence"/>
        <filter val="Poire Conférence BIO"/>
        <filter val="Poireau BIO"/>
        <filter val="Poivron mini en couleur"/>
        <filter val="Poivron rouge Ramiro BIO"/>
        <filter val="Polen Frais BIO (bocal 500g)"/>
        <filter val="Polen sec BIO (bocal 500g)"/>
        <filter val="Pomme de terre Lucinda blanche BIO"/>
        <filter val="Pomme de terre rouge BIO"/>
        <filter val="Pomme Golden"/>
        <filter val="Pomme Granny Smith"/>
        <filter val="Pomme Reineta"/>
        <filter val="Pomme rouge Starky"/>
        <filter val="Pomme rouge Top Red"/>
        <filter val="Pomme verte Doncella"/>
        <filter val="Radis Daikon"/>
        <filter val="Raisin sec Sultana BIO_x000a_    - (env. 1kg)"/>
        <filter val="Raisins secs Muscat en grains_x000a_    - (env. 500g)"/>
        <filter val="Sel rose de l'Himalaya moulu_x000a_    - (sous vide, env. 1kg)"/>
        <filter val="Sésame CRU BIO (env. 1kg)"/>
        <filter val="Souchet BIO (env. 1kg)"/>
        <filter val="Spaguetti de mer déshydraté BIO (env. 1kg)"/>
        <filter val="Spaguetti de mer déshydraté BIO (env. 500g)"/>
        <filter val="Spiruline en poudre"/>
        <filter val="Sucre de coco BIO (env. 1kg)"/>
        <filter val="Tomate déshydratée CRU BIO (env. 1kg, à basse température 35º, qualité supérieure)"/>
        <filter val="Tomate déshydratée CRU BIO (env. 200g, à basse température 35º, qualité supérieure)"/>
        <filter val="Xylitol (sucre de bouleau) (env. 1kg)"/>
      </filters>
    </filterColumn>
  </autoFilter>
  <mergeCells count="333">
    <mergeCell ref="O3:P4"/>
    <mergeCell ref="AS8:AT8"/>
    <mergeCell ref="AU8:AV8"/>
    <mergeCell ref="AW8:AX8"/>
    <mergeCell ref="AY8:AZ8"/>
    <mergeCell ref="BA8:BB8"/>
    <mergeCell ref="AS5:AT6"/>
    <mergeCell ref="AU5:AV6"/>
    <mergeCell ref="AW5:AX6"/>
    <mergeCell ref="AY5:AZ6"/>
    <mergeCell ref="BA5:BB6"/>
    <mergeCell ref="AS7:AT7"/>
    <mergeCell ref="AU7:AV7"/>
    <mergeCell ref="AW7:AX7"/>
    <mergeCell ref="AY7:AZ7"/>
    <mergeCell ref="BA7:BB7"/>
    <mergeCell ref="AA8:AB8"/>
    <mergeCell ref="AC8:AD8"/>
    <mergeCell ref="AE8:AF8"/>
    <mergeCell ref="O7:P7"/>
    <mergeCell ref="O5:P6"/>
    <mergeCell ref="AM5:AN6"/>
    <mergeCell ref="AO5:AP6"/>
    <mergeCell ref="AQ5:AR6"/>
    <mergeCell ref="S5:T6"/>
    <mergeCell ref="AG5:AH6"/>
    <mergeCell ref="AI5:AJ6"/>
    <mergeCell ref="AK5:AL6"/>
    <mergeCell ref="AG7:AH7"/>
    <mergeCell ref="AI7:AJ7"/>
    <mergeCell ref="AK7:AL7"/>
    <mergeCell ref="AM7:AN7"/>
    <mergeCell ref="AO7:AP7"/>
    <mergeCell ref="AG8:AH8"/>
    <mergeCell ref="AI8:AJ8"/>
    <mergeCell ref="AK8:AL8"/>
    <mergeCell ref="AM8:AN8"/>
    <mergeCell ref="AO8:AP8"/>
    <mergeCell ref="C225:D225"/>
    <mergeCell ref="C226:D226"/>
    <mergeCell ref="C227:D227"/>
    <mergeCell ref="C25:D25"/>
    <mergeCell ref="C41:D41"/>
    <mergeCell ref="C30:D30"/>
    <mergeCell ref="C31:D31"/>
    <mergeCell ref="C32:D32"/>
    <mergeCell ref="C33:D33"/>
    <mergeCell ref="C34:D34"/>
    <mergeCell ref="C35:D35"/>
    <mergeCell ref="C206:D206"/>
    <mergeCell ref="C207:D207"/>
    <mergeCell ref="C203:D203"/>
    <mergeCell ref="C204:D204"/>
    <mergeCell ref="C205:D205"/>
    <mergeCell ref="C40:D40"/>
    <mergeCell ref="C58:D58"/>
    <mergeCell ref="C48:D48"/>
    <mergeCell ref="C228:D228"/>
    <mergeCell ref="C229:D229"/>
    <mergeCell ref="C230:D230"/>
    <mergeCell ref="C231:D231"/>
    <mergeCell ref="A2:B10"/>
    <mergeCell ref="C3:C7"/>
    <mergeCell ref="C8:C10"/>
    <mergeCell ref="C26:D26"/>
    <mergeCell ref="C27:D27"/>
    <mergeCell ref="C28:D28"/>
    <mergeCell ref="C29:D29"/>
    <mergeCell ref="C13:D13"/>
    <mergeCell ref="C14:D14"/>
    <mergeCell ref="C15:D15"/>
    <mergeCell ref="C16:D16"/>
    <mergeCell ref="C202:D202"/>
    <mergeCell ref="C21:D21"/>
    <mergeCell ref="C22:D22"/>
    <mergeCell ref="C23:D23"/>
    <mergeCell ref="C20:D20"/>
    <mergeCell ref="C18:D18"/>
    <mergeCell ref="C19:D19"/>
    <mergeCell ref="C11:D11"/>
    <mergeCell ref="C12:D12"/>
    <mergeCell ref="C261:D261"/>
    <mergeCell ref="C236:D236"/>
    <mergeCell ref="C237:D237"/>
    <mergeCell ref="C238:D238"/>
    <mergeCell ref="C239:D239"/>
    <mergeCell ref="C240:D240"/>
    <mergeCell ref="C241:D241"/>
    <mergeCell ref="C242:D242"/>
    <mergeCell ref="C243:D243"/>
    <mergeCell ref="C244:D244"/>
    <mergeCell ref="C245:D245"/>
    <mergeCell ref="C246:D246"/>
    <mergeCell ref="C247:D247"/>
    <mergeCell ref="C248:D248"/>
    <mergeCell ref="C249:D249"/>
    <mergeCell ref="C250:D250"/>
    <mergeCell ref="C251:D251"/>
    <mergeCell ref="C256:D256"/>
    <mergeCell ref="C257:D257"/>
    <mergeCell ref="C258:D258"/>
    <mergeCell ref="C259:D259"/>
    <mergeCell ref="C260:D260"/>
    <mergeCell ref="C253:D253"/>
    <mergeCell ref="C254:D254"/>
    <mergeCell ref="C49:D49"/>
    <mergeCell ref="C50:D50"/>
    <mergeCell ref="C51:D51"/>
    <mergeCell ref="C52:D52"/>
    <mergeCell ref="E6:J6"/>
    <mergeCell ref="E7:F7"/>
    <mergeCell ref="G7:H7"/>
    <mergeCell ref="C24:D24"/>
    <mergeCell ref="C42:D42"/>
    <mergeCell ref="C43:D43"/>
    <mergeCell ref="C44:D44"/>
    <mergeCell ref="C45:D45"/>
    <mergeCell ref="C46:D46"/>
    <mergeCell ref="C47:D47"/>
    <mergeCell ref="C36:D36"/>
    <mergeCell ref="C37:D37"/>
    <mergeCell ref="C38:D38"/>
    <mergeCell ref="C39:D39"/>
    <mergeCell ref="E2:J2"/>
    <mergeCell ref="E3:J3"/>
    <mergeCell ref="E4:J4"/>
    <mergeCell ref="E5:J5"/>
    <mergeCell ref="K1:M1"/>
    <mergeCell ref="C17:D17"/>
    <mergeCell ref="I7:J7"/>
    <mergeCell ref="A1:J1"/>
    <mergeCell ref="E8:J8"/>
    <mergeCell ref="E9:J9"/>
    <mergeCell ref="E10:J10"/>
    <mergeCell ref="K7:K8"/>
    <mergeCell ref="K2:M6"/>
    <mergeCell ref="K9:L9"/>
    <mergeCell ref="K10:L10"/>
    <mergeCell ref="C215:D215"/>
    <mergeCell ref="C216:D216"/>
    <mergeCell ref="C217:D217"/>
    <mergeCell ref="C218:D218"/>
    <mergeCell ref="C210:D210"/>
    <mergeCell ref="C211:D211"/>
    <mergeCell ref="C212:D212"/>
    <mergeCell ref="C213:D213"/>
    <mergeCell ref="C214:D214"/>
    <mergeCell ref="C53:D53"/>
    <mergeCell ref="C66:D66"/>
    <mergeCell ref="C67:D67"/>
    <mergeCell ref="C68:D68"/>
    <mergeCell ref="C69:D69"/>
    <mergeCell ref="C70:D70"/>
    <mergeCell ref="C71:D71"/>
    <mergeCell ref="C60:D60"/>
    <mergeCell ref="C61:D61"/>
    <mergeCell ref="C62:D62"/>
    <mergeCell ref="C63:D63"/>
    <mergeCell ref="C64:D64"/>
    <mergeCell ref="C65:D65"/>
    <mergeCell ref="C59:D59"/>
    <mergeCell ref="C54:D54"/>
    <mergeCell ref="C55:D55"/>
    <mergeCell ref="C56:D56"/>
    <mergeCell ref="C57:D57"/>
    <mergeCell ref="C78:D78"/>
    <mergeCell ref="C79:D79"/>
    <mergeCell ref="C80:D80"/>
    <mergeCell ref="C81:D81"/>
    <mergeCell ref="C82:D82"/>
    <mergeCell ref="C83:D83"/>
    <mergeCell ref="C72:D72"/>
    <mergeCell ref="C73:D73"/>
    <mergeCell ref="C74:D74"/>
    <mergeCell ref="C75:D75"/>
    <mergeCell ref="C76:D76"/>
    <mergeCell ref="C77:D77"/>
    <mergeCell ref="C90:D90"/>
    <mergeCell ref="C91:D91"/>
    <mergeCell ref="C92:D92"/>
    <mergeCell ref="C93:D93"/>
    <mergeCell ref="C94:D94"/>
    <mergeCell ref="C95:D95"/>
    <mergeCell ref="C84:D84"/>
    <mergeCell ref="C85:D85"/>
    <mergeCell ref="C86:D86"/>
    <mergeCell ref="C87:D87"/>
    <mergeCell ref="C88:D88"/>
    <mergeCell ref="C89:D89"/>
    <mergeCell ref="C102:D102"/>
    <mergeCell ref="C103:D103"/>
    <mergeCell ref="C104:D104"/>
    <mergeCell ref="C105:D105"/>
    <mergeCell ref="C106:D106"/>
    <mergeCell ref="C107:D107"/>
    <mergeCell ref="C96:D96"/>
    <mergeCell ref="C97:D97"/>
    <mergeCell ref="C98:D98"/>
    <mergeCell ref="C99:D99"/>
    <mergeCell ref="C100:D100"/>
    <mergeCell ref="C101:D101"/>
    <mergeCell ref="C114:D114"/>
    <mergeCell ref="C115:D115"/>
    <mergeCell ref="C116:D116"/>
    <mergeCell ref="C117:D117"/>
    <mergeCell ref="C118:D118"/>
    <mergeCell ref="C119:D119"/>
    <mergeCell ref="C108:D108"/>
    <mergeCell ref="C109:D109"/>
    <mergeCell ref="C110:D110"/>
    <mergeCell ref="C111:D111"/>
    <mergeCell ref="C112:D112"/>
    <mergeCell ref="C113:D113"/>
    <mergeCell ref="C126:D126"/>
    <mergeCell ref="C127:D127"/>
    <mergeCell ref="C128:D128"/>
    <mergeCell ref="C129:D129"/>
    <mergeCell ref="C130:D130"/>
    <mergeCell ref="C131:D131"/>
    <mergeCell ref="C120:D120"/>
    <mergeCell ref="C121:D121"/>
    <mergeCell ref="C122:D122"/>
    <mergeCell ref="C123:D123"/>
    <mergeCell ref="C124:D124"/>
    <mergeCell ref="C125:D125"/>
    <mergeCell ref="C138:D138"/>
    <mergeCell ref="C139:D139"/>
    <mergeCell ref="C140:D140"/>
    <mergeCell ref="C141:D141"/>
    <mergeCell ref="C142:D142"/>
    <mergeCell ref="C143:D143"/>
    <mergeCell ref="C132:D132"/>
    <mergeCell ref="C133:D133"/>
    <mergeCell ref="C134:D134"/>
    <mergeCell ref="C135:D135"/>
    <mergeCell ref="C136:D136"/>
    <mergeCell ref="C137:D137"/>
    <mergeCell ref="C150:D150"/>
    <mergeCell ref="C151:D151"/>
    <mergeCell ref="C152:D152"/>
    <mergeCell ref="C153:D153"/>
    <mergeCell ref="C154:D154"/>
    <mergeCell ref="C155:D155"/>
    <mergeCell ref="C144:D144"/>
    <mergeCell ref="C145:D145"/>
    <mergeCell ref="C146:D146"/>
    <mergeCell ref="C147:D147"/>
    <mergeCell ref="C148:D148"/>
    <mergeCell ref="C149:D149"/>
    <mergeCell ref="C162:D162"/>
    <mergeCell ref="C163:D163"/>
    <mergeCell ref="C164:D164"/>
    <mergeCell ref="C165:D165"/>
    <mergeCell ref="C166:D166"/>
    <mergeCell ref="C167:D167"/>
    <mergeCell ref="C156:D156"/>
    <mergeCell ref="C157:D157"/>
    <mergeCell ref="C158:D158"/>
    <mergeCell ref="C159:D159"/>
    <mergeCell ref="C160:D160"/>
    <mergeCell ref="C161:D161"/>
    <mergeCell ref="C168:D168"/>
    <mergeCell ref="C169:D169"/>
    <mergeCell ref="C170:D170"/>
    <mergeCell ref="C171:D171"/>
    <mergeCell ref="C172:D172"/>
    <mergeCell ref="C173:D173"/>
    <mergeCell ref="C185:D185"/>
    <mergeCell ref="C174:D174"/>
    <mergeCell ref="C175:D175"/>
    <mergeCell ref="C176:D176"/>
    <mergeCell ref="C177:D177"/>
    <mergeCell ref="C178:D178"/>
    <mergeCell ref="C179:D179"/>
    <mergeCell ref="C191:D191"/>
    <mergeCell ref="C180:D180"/>
    <mergeCell ref="C181:D181"/>
    <mergeCell ref="C182:D182"/>
    <mergeCell ref="C183:D183"/>
    <mergeCell ref="C184:D184"/>
    <mergeCell ref="C188:D188"/>
    <mergeCell ref="C189:D189"/>
    <mergeCell ref="C190:D190"/>
    <mergeCell ref="C186:D186"/>
    <mergeCell ref="C187:D187"/>
    <mergeCell ref="C255:D255"/>
    <mergeCell ref="C198:D198"/>
    <mergeCell ref="C199:D199"/>
    <mergeCell ref="C200:D200"/>
    <mergeCell ref="C201:D201"/>
    <mergeCell ref="C235:D235"/>
    <mergeCell ref="C252:D252"/>
    <mergeCell ref="C192:D192"/>
    <mergeCell ref="C193:D193"/>
    <mergeCell ref="C194:D194"/>
    <mergeCell ref="C195:D195"/>
    <mergeCell ref="C196:D196"/>
    <mergeCell ref="C197:D197"/>
    <mergeCell ref="C219:D219"/>
    <mergeCell ref="C220:D220"/>
    <mergeCell ref="C208:D208"/>
    <mergeCell ref="C209:D209"/>
    <mergeCell ref="C221:D221"/>
    <mergeCell ref="C222:D222"/>
    <mergeCell ref="C232:D232"/>
    <mergeCell ref="C233:D233"/>
    <mergeCell ref="C234:D234"/>
    <mergeCell ref="C223:D223"/>
    <mergeCell ref="C224:D224"/>
    <mergeCell ref="O2:P2"/>
    <mergeCell ref="AQ8:AR8"/>
    <mergeCell ref="Q7:R7"/>
    <mergeCell ref="S7:T7"/>
    <mergeCell ref="U7:V7"/>
    <mergeCell ref="W7:X7"/>
    <mergeCell ref="N1:N261"/>
    <mergeCell ref="U5:V6"/>
    <mergeCell ref="W5:X6"/>
    <mergeCell ref="Y5:Z6"/>
    <mergeCell ref="AA5:AB6"/>
    <mergeCell ref="AC5:AD6"/>
    <mergeCell ref="AE5:AF6"/>
    <mergeCell ref="Q5:R6"/>
    <mergeCell ref="Y7:Z7"/>
    <mergeCell ref="AA7:AB7"/>
    <mergeCell ref="AC7:AD7"/>
    <mergeCell ref="AE7:AF7"/>
    <mergeCell ref="Q8:R8"/>
    <mergeCell ref="S8:T8"/>
    <mergeCell ref="U8:V8"/>
    <mergeCell ref="W8:X8"/>
    <mergeCell ref="Y8:Z8"/>
    <mergeCell ref="AQ7:AR7"/>
  </mergeCells>
  <conditionalFormatting sqref="Q2:S2">
    <cfRule type="cellIs" dxfId="31" priority="139" operator="equal">
      <formula>"""À REMPLIR"""</formula>
    </cfRule>
  </conditionalFormatting>
  <conditionalFormatting sqref="Q3:S3">
    <cfRule type="cellIs" dxfId="30" priority="138" operator="equal">
      <formula>"""À REMPLIR"""</formula>
    </cfRule>
  </conditionalFormatting>
  <conditionalFormatting sqref="Q4:S4">
    <cfRule type="cellIs" dxfId="29" priority="137" operator="equal">
      <formula>"""À REMPLIR"""</formula>
    </cfRule>
  </conditionalFormatting>
  <conditionalFormatting sqref="E9:J9">
    <cfRule type="expression" dxfId="28" priority="121">
      <formula>COUNTIF($E$9,"*REMPLIR*")&gt;0</formula>
    </cfRule>
  </conditionalFormatting>
  <conditionalFormatting sqref="I7:J7">
    <cfRule type="expression" dxfId="27" priority="119">
      <formula>COUNTIF($I$7,"*REMPLIR*")&gt;0</formula>
    </cfRule>
  </conditionalFormatting>
  <conditionalFormatting sqref="E7:F7">
    <cfRule type="expression" dxfId="26" priority="118">
      <formula>COUNTIF($E$7,"*REMPLIR*")&gt;0</formula>
    </cfRule>
  </conditionalFormatting>
  <conditionalFormatting sqref="M12:M261">
    <cfRule type="cellIs" dxfId="25" priority="104" operator="greaterThan">
      <formula>0</formula>
    </cfRule>
  </conditionalFormatting>
  <conditionalFormatting sqref="E2:J2">
    <cfRule type="expression" dxfId="24" priority="101">
      <formula>COUNTIF($E$2,"*REMPLIR*")&gt;0</formula>
    </cfRule>
  </conditionalFormatting>
  <conditionalFormatting sqref="B12:J261">
    <cfRule type="expression" dxfId="23" priority="97">
      <formula>COUNTIF($C12,"*BIO*")=0</formula>
    </cfRule>
    <cfRule type="expression" dxfId="22" priority="98">
      <formula>COUNTIF($C12,"*BIO*")&gt;0</formula>
    </cfRule>
  </conditionalFormatting>
  <conditionalFormatting sqref="Q7:BB7">
    <cfRule type="expression" dxfId="21" priority="22711">
      <formula>COUNTIF(Q$7,"*Prénom*")&gt;0</formula>
    </cfRule>
  </conditionalFormatting>
  <conditionalFormatting sqref="Q8:BB8">
    <cfRule type="expression" dxfId="20" priority="20">
      <formula>COUNTIF(Q$8,"*Email*")&gt;0</formula>
    </cfRule>
  </conditionalFormatting>
  <conditionalFormatting sqref="K10">
    <cfRule type="cellIs" dxfId="19" priority="18" operator="lessThan">
      <formula>70</formula>
    </cfRule>
  </conditionalFormatting>
  <conditionalFormatting sqref="A12:A261">
    <cfRule type="expression" dxfId="18" priority="17">
      <formula>$K12&gt;0</formula>
    </cfRule>
  </conditionalFormatting>
  <conditionalFormatting sqref="P8">
    <cfRule type="cellIs" dxfId="17" priority="10" operator="equal">
      <formula>"""À REMPLIR"""</formula>
    </cfRule>
  </conditionalFormatting>
  <conditionalFormatting sqref="O7:P7">
    <cfRule type="expression" dxfId="16" priority="9">
      <formula>COUNTIF(O$7,"*Prénom*")&gt;0</formula>
    </cfRule>
  </conditionalFormatting>
  <conditionalFormatting sqref="E8:J8">
    <cfRule type="expression" dxfId="15" priority="6">
      <formula>COUNTIF($E$9,"*REMPLIR*")&gt;0</formula>
    </cfRule>
  </conditionalFormatting>
  <conditionalFormatting sqref="E10:J10">
    <cfRule type="expression" dxfId="14" priority="5">
      <formula>COUNTIF($E$9,"*REMPLIR*")&gt;0</formula>
    </cfRule>
  </conditionalFormatting>
  <conditionalFormatting sqref="E6:J6">
    <cfRule type="expression" dxfId="13" priority="4">
      <formula>COUNTIF($E$9,"*REMPLIR*")&gt;0</formula>
    </cfRule>
  </conditionalFormatting>
  <conditionalFormatting sqref="E5:J5">
    <cfRule type="expression" dxfId="12" priority="3">
      <formula>COUNTIF($E$9,"*REMPLIR*")&gt;0</formula>
    </cfRule>
  </conditionalFormatting>
  <conditionalFormatting sqref="E4:J4">
    <cfRule type="expression" dxfId="11" priority="2">
      <formula>COUNTIF($E$9,"*REMPLIR*")&gt;0</formula>
    </cfRule>
  </conditionalFormatting>
  <conditionalFormatting sqref="E3:J3">
    <cfRule type="expression" dxfId="10" priority="1">
      <formula>COUNTIF($E$9,"*REMPLIR*")&gt;0</formula>
    </cfRule>
  </conditionalFormatting>
  <dataValidations count="1">
    <dataValidation type="whole" allowBlank="1" showErrorMessage="1" error="Veuillez saisir un nombre entier entre 1 et 500" sqref="AC12:AC261 O12:O261 Q12:Q261 S12:S261 U12:U261 Y12:Y261 AA12:AA261 AQ12:AQ261 AG12:AG261 AE12:AE261 AI12:AI261 AK12:AK261 AM12:AM261 AO12:AO261 W12:W261 BA12:BA261 AS12:AS261 AU12:AU261 AW12:AW261 AY12:AY261" xr:uid="{EEBCFC1B-B4C3-5149-B522-545157A353D6}">
      <formula1>1</formula1>
      <formula2>500</formula2>
    </dataValidation>
  </dataValidations>
  <pageMargins left="0.7" right="0.7" top="0.75" bottom="0.75" header="0.3" footer="0.3"/>
  <pageSetup paperSize="0" orientation="portrait" horizontalDpi="0" verticalDpi="0" copies="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1" id="{C7C7FA57-A334-47B6-BF9F-856096FD1D06}">
            <xm:f>AND(BDD!$L2&lt;&gt;"", $K12&gt;=3, $K12&lt;=4.99)</xm:f>
            <x14:dxf>
              <fill>
                <patternFill>
                  <bgColor theme="9" tint="0.39994506668294322"/>
                </patternFill>
              </fill>
            </x14:dxf>
          </x14:cfRule>
          <x14:cfRule type="expression" priority="99" id="{00000000-000E-0000-0100-00004E000000}">
            <xm:f>AND(BDD!$L2&lt;&gt;"", AND($K12&gt;0, $K12&lt;3))</xm:f>
            <x14:dxf>
              <fill>
                <patternFill>
                  <bgColor theme="5" tint="0.39994506668294322"/>
                </patternFill>
              </fill>
            </x14:dxf>
          </x14:cfRule>
          <x14:cfRule type="expression" priority="100" id="{1F046356-3F0A-4E8E-BCFA-1F12628040ED}">
            <xm:f>OR(AND(BDD!$L2&lt;&gt;"", $K12&gt;4.99),  AND( BDD!$L2="", $K12&gt;0))</xm:f>
            <x14:dxf>
              <fill>
                <patternFill>
                  <bgColor theme="0" tint="-0.14996795556505021"/>
                </patternFill>
              </fill>
            </x14:dxf>
          </x14:cfRule>
          <xm:sqref>K12:L261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C6634B5-FE11-46D4-A9A0-BEA2935CDBF2}">
          <x14:formula1>
            <xm:f>POIDS!$B$3:$B$111</xm:f>
          </x14:formula1>
          <xm:sqref>E2:J2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3">
    <tabColor rgb="FF0070C0"/>
  </sheetPr>
  <dimension ref="A1:H18"/>
  <sheetViews>
    <sheetView zoomScale="150" workbookViewId="0">
      <selection activeCell="I14" sqref="I14"/>
    </sheetView>
  </sheetViews>
  <sheetFormatPr baseColWidth="10" defaultColWidth="10.85546875" defaultRowHeight="15" outlineLevelCol="1"/>
  <cols>
    <col min="1" max="1" width="5.42578125" style="4" customWidth="1"/>
    <col min="2" max="2" width="6" style="4" customWidth="1"/>
    <col min="3" max="3" width="5.140625" style="69" customWidth="1"/>
    <col min="4" max="4" width="5.42578125" style="4" customWidth="1" outlineLevel="1"/>
    <col min="5" max="5" width="19.140625" style="4" customWidth="1" outlineLevel="1"/>
    <col min="6" max="6" width="11" style="51" customWidth="1" outlineLevel="1"/>
    <col min="7" max="7" width="9.28515625" style="5" customWidth="1" outlineLevel="1"/>
    <col min="8" max="8" width="10.85546875" style="4" customWidth="1" outlineLevel="1"/>
    <col min="9" max="9" width="10.85546875" style="4"/>
    <col min="10" max="10" width="10.140625" style="4" customWidth="1"/>
    <col min="11" max="11" width="23.42578125" style="4" bestFit="1" customWidth="1"/>
    <col min="12" max="16384" width="10.85546875" style="4"/>
  </cols>
  <sheetData>
    <row r="1" spans="1:8" ht="15.75" thickTop="1">
      <c r="A1" s="425" t="s">
        <v>86</v>
      </c>
      <c r="B1" s="426"/>
      <c r="C1" s="54"/>
      <c r="D1" s="432" t="s">
        <v>87</v>
      </c>
      <c r="E1" s="6" t="s">
        <v>88</v>
      </c>
      <c r="F1" s="7">
        <v>2.12E-2</v>
      </c>
    </row>
    <row r="2" spans="1:8" ht="15.75" thickBot="1">
      <c r="A2" s="107">
        <v>-0.1</v>
      </c>
      <c r="B2" s="76">
        <v>0.9</v>
      </c>
      <c r="C2" s="53"/>
      <c r="D2" s="433"/>
      <c r="E2" s="9" t="s">
        <v>89</v>
      </c>
      <c r="F2" s="8">
        <v>5</v>
      </c>
    </row>
    <row r="3" spans="1:8" ht="16.5" thickTop="1" thickBot="1">
      <c r="A3" s="107">
        <v>-0.2</v>
      </c>
      <c r="B3" s="76">
        <v>0.8</v>
      </c>
      <c r="C3" s="53"/>
      <c r="D3" s="433"/>
      <c r="E3" s="9" t="s">
        <v>90</v>
      </c>
      <c r="F3" s="8">
        <v>0.6</v>
      </c>
      <c r="G3" s="427" t="s">
        <v>91</v>
      </c>
      <c r="H3" s="428"/>
    </row>
    <row r="4" spans="1:8" ht="16.5" thickTop="1" thickBot="1">
      <c r="A4" s="108">
        <v>-0.3</v>
      </c>
      <c r="B4" s="77">
        <v>0.7</v>
      </c>
      <c r="C4" s="53"/>
      <c r="D4" s="433"/>
      <c r="E4" s="9" t="s">
        <v>92</v>
      </c>
      <c r="F4" s="58" t="e">
        <f>ROUNDUP(QTE_CMD, -1)</f>
        <v>#REF!</v>
      </c>
      <c r="G4" s="55" t="s">
        <v>87</v>
      </c>
      <c r="H4" s="10" t="s">
        <v>93</v>
      </c>
    </row>
    <row r="5" spans="1:8" ht="15.75" thickTop="1">
      <c r="A5" s="11"/>
      <c r="B5" s="5"/>
      <c r="C5" s="52"/>
      <c r="D5" s="433"/>
      <c r="E5" s="9" t="s">
        <v>94</v>
      </c>
      <c r="F5" s="65" t="e">
        <f>VLOOKUP(DEPT,Tableau1[[DPT]:[1 à 100 kg]],2,FALSE)</f>
        <v>#REF!</v>
      </c>
      <c r="G5" s="62" t="e">
        <f>IF(OR(DEPT="2A",DEPT="CH10",DEPT="CH12"), FDP_1, SUM(FDP_1,IND_GAZ*FDP_1,FRS_ADM,RDV_SAN))</f>
        <v>#REF!</v>
      </c>
      <c r="H5" s="62" t="e">
        <f>IF(OR(DEPT="2A",DEPT="CH10",DEPT="CH12"), FDP_1, SUM(FDP_1, IND_GAZ*FDP_1, FRS_ADM, RDV_SAN))</f>
        <v>#REF!</v>
      </c>
    </row>
    <row r="6" spans="1:8">
      <c r="B6" s="12"/>
      <c r="C6" s="73"/>
      <c r="D6" s="433"/>
      <c r="E6" s="9" t="s">
        <v>95</v>
      </c>
      <c r="F6" s="65" t="e">
        <f>VLOOKUP(DEPT,Tableau1[[DPT]:[101 à 200 kg]],3,FALSE)</f>
        <v>#REF!</v>
      </c>
      <c r="G6" s="62" t="e">
        <f>IF(OR(DEPT="2A",DEPT="CH10",DEPT="CH12"), FDP_2, SUM(PDS_CMD_ARR*FDP_2/1000, IND_GAZ*(PDS_CMD_ARR*FDP_2/1000), FRS_ADM, RDV_SAN))</f>
        <v>#REF!</v>
      </c>
      <c r="H6" s="62" t="e">
        <f>IF(OR(DEPT="2A",DEPT="CH10",DEPT="CH12"), FDP_2, SUM(PDS_FACT_ARR*FDP_2/1000, IND_GAZ*(PDS_FACT_ARR*FDP_2/1000), FRS_ADM, RDV_SAN))</f>
        <v>#REF!</v>
      </c>
    </row>
    <row r="7" spans="1:8" ht="15.75" thickBot="1">
      <c r="D7" s="433"/>
      <c r="E7" s="13" t="s">
        <v>96</v>
      </c>
      <c r="F7" s="66" t="e">
        <f>VLOOKUP(DEPT,Tableau2[[DPT]:[1 à 1 pal]],2,FALSE)</f>
        <v>#REF!</v>
      </c>
      <c r="G7" s="63" t="e">
        <f>IF(OR(DEPT="2A",DEPT="CH10",DEPT="CH12"), FDP_3, SUM(FDP_3, IND_GAZ*FDP_3, FRS_ADM, RDV_SAN))</f>
        <v>#REF!</v>
      </c>
      <c r="H7" s="64" t="e">
        <f>IF(OR(DEPT="2A",DEPT="CH10",DEPT="CH12"), FDP_3, SUM(FDP_3, IND_GAZ*FDP_3, FRS_ADM, RDV_SAN))</f>
        <v>#REF!</v>
      </c>
    </row>
    <row r="8" spans="1:8" ht="15.75" thickTop="1">
      <c r="D8" s="433"/>
      <c r="E8" s="74" t="s">
        <v>82</v>
      </c>
      <c r="F8" s="65" t="e">
        <f>_xlfn.IFS(COUNTIF(DEPT, "*À REMPLIR*")&gt;0, "",     PDS_CMD_ARR&lt;101, TOT_FDP_1,    AND(PDS_CMD_ARR&gt;100, PDS_CMD_ARR&lt;201), TOT_FDP_2,    PDS_CMD_ARR&gt;200, TOT_FDP_3,    TRUE, 0)</f>
        <v>#REF!</v>
      </c>
    </row>
    <row r="9" spans="1:8" ht="15.75" thickBot="1">
      <c r="D9" s="434"/>
      <c r="E9" s="50" t="s">
        <v>97</v>
      </c>
      <c r="F9" s="59" t="e">
        <f>IF(QTE_CMD&gt;70, FDP_CMD/QTE_CMD, FDP_CMD/70)</f>
        <v>#REF!</v>
      </c>
      <c r="G9" s="53"/>
    </row>
    <row r="10" spans="1:8" ht="15.75" thickTop="1">
      <c r="D10" s="429" t="s">
        <v>93</v>
      </c>
      <c r="E10" s="6" t="s">
        <v>92</v>
      </c>
      <c r="F10" s="75" t="e">
        <f>ROUNDUP(QTE_FACT, -1)</f>
        <v>#REF!</v>
      </c>
      <c r="G10" s="54"/>
    </row>
    <row r="11" spans="1:8">
      <c r="D11" s="430"/>
      <c r="E11" s="56" t="s">
        <v>98</v>
      </c>
      <c r="F11" s="57" t="e">
        <f>_xlfn.IFS(PDS_FACT_ARR&lt;101, TOT_FDP_4,    AND(PDS_FACT_ARR&gt;100, PDS_FACT_ARR&lt;201), TOT_FDP_5,    PDS_FACT_ARR&gt;200, TOT_FDP_6,    TRUE, 0)</f>
        <v>#REF!</v>
      </c>
      <c r="G11" s="52"/>
    </row>
    <row r="12" spans="1:8">
      <c r="D12" s="430"/>
      <c r="E12" s="56" t="s">
        <v>99</v>
      </c>
      <c r="F12" s="225"/>
      <c r="G12" s="52"/>
    </row>
    <row r="13" spans="1:8">
      <c r="D13" s="430"/>
      <c r="E13" s="60" t="s">
        <v>81</v>
      </c>
      <c r="F13" s="61" t="e">
        <f>IF(FDP_FACT_MAN&gt;0, FDP_FACT_MAN/QTE_FACT, FDP_FACT_AUT/QTE_FACT)</f>
        <v>#REF!</v>
      </c>
    </row>
    <row r="14" spans="1:8" ht="15.75" thickBot="1">
      <c r="D14" s="431"/>
      <c r="E14" s="14" t="s">
        <v>100</v>
      </c>
      <c r="F14" s="67" t="e">
        <f>IF(FDP_FACT_MAN&gt;0, TOT_FACT-FDP_FACT_MAN, TOT_FACT-FDP_FACT_AUT)</f>
        <v>#REF!</v>
      </c>
    </row>
    <row r="15" spans="1:8" ht="16.5" thickTop="1" thickBot="1"/>
    <row r="16" spans="1:8">
      <c r="D16" s="435" t="s">
        <v>101</v>
      </c>
      <c r="E16" s="436"/>
      <c r="F16" s="437"/>
    </row>
    <row r="17" spans="4:6">
      <c r="D17" s="105"/>
      <c r="E17" s="421" t="s">
        <v>102</v>
      </c>
      <c r="F17" s="422"/>
    </row>
    <row r="18" spans="4:6" ht="15.75" thickBot="1">
      <c r="D18" s="106"/>
      <c r="E18" s="423" t="s">
        <v>103</v>
      </c>
      <c r="F18" s="424"/>
    </row>
  </sheetData>
  <sheetProtection algorithmName="SHA-512" hashValue="RinWFBhlzgq5rAdrZRBM1eDi48WPpVYAK8e9CCUkUHydXmLlai/gmqNcJoFpU1WoUYi8wzvk6TQrMAK6Nfw2/w==" saltValue="bCGnvLyozXbx/6B48rLLKw==" spinCount="100000" sheet="1" objects="1" scenarios="1"/>
  <mergeCells count="7">
    <mergeCell ref="E17:F17"/>
    <mergeCell ref="E18:F18"/>
    <mergeCell ref="A1:B1"/>
    <mergeCell ref="G3:H3"/>
    <mergeCell ref="D10:D14"/>
    <mergeCell ref="D1:D9"/>
    <mergeCell ref="D16:F16"/>
  </mergeCells>
  <pageMargins left="0.7" right="0.7" top="0.75" bottom="0.75" header="0.3" footer="0.3"/>
  <pageSetup paperSize="9"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AB744-8DF2-4A80-B72B-77CBAA7444EE}">
  <sheetPr codeName="Feuil6"/>
  <dimension ref="A1:Y252"/>
  <sheetViews>
    <sheetView showGridLines="0" zoomScale="90" zoomScaleNormal="100" workbookViewId="0">
      <selection activeCell="S11" sqref="S11"/>
    </sheetView>
  </sheetViews>
  <sheetFormatPr baseColWidth="10" defaultColWidth="0" defaultRowHeight="11.25" zeroHeight="1" outlineLevelCol="1"/>
  <cols>
    <col min="1" max="1" width="9.28515625" style="109" customWidth="1" outlineLevel="1"/>
    <col min="2" max="2" width="12.7109375" style="110" customWidth="1"/>
    <col min="3" max="3" width="39" style="110" customWidth="1"/>
    <col min="4" max="4" width="6.85546875" style="110" customWidth="1"/>
    <col min="5" max="24" width="5.7109375" style="111" customWidth="1"/>
    <col min="25" max="25" width="3.42578125" style="110" customWidth="1"/>
    <col min="26" max="16384" width="11.42578125" style="110" hidden="1"/>
  </cols>
  <sheetData>
    <row r="1" spans="1:24" ht="35.1" customHeight="1">
      <c r="B1" s="438" t="s">
        <v>104</v>
      </c>
      <c r="C1" s="438"/>
      <c r="D1" s="438"/>
      <c r="E1" s="438"/>
      <c r="F1" s="438"/>
      <c r="G1" s="438"/>
      <c r="H1" s="438"/>
      <c r="I1" s="438"/>
      <c r="J1" s="43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18"/>
      <c r="X1" s="118"/>
    </row>
    <row r="2" spans="1:24" ht="12.75">
      <c r="B2" s="269" t="s">
        <v>105</v>
      </c>
      <c r="C2" s="270" t="e">
        <f>#REF!</f>
        <v>#REF!</v>
      </c>
      <c r="D2" s="439" t="e">
        <f>#REF!</f>
        <v>#REF!</v>
      </c>
      <c r="E2" s="440"/>
      <c r="F2" s="440"/>
      <c r="G2" s="440"/>
      <c r="H2" s="440"/>
      <c r="I2" s="440"/>
      <c r="J2" s="440"/>
    </row>
    <row r="3" spans="1:24" ht="12.75">
      <c r="B3" s="271" t="s">
        <v>106</v>
      </c>
      <c r="C3" s="272" t="s">
        <v>107</v>
      </c>
      <c r="D3" s="439" t="e">
        <f>#REF!</f>
        <v>#REF!</v>
      </c>
      <c r="E3" s="441"/>
      <c r="F3" s="441"/>
      <c r="G3" s="441"/>
      <c r="H3" s="441"/>
      <c r="I3" s="441"/>
      <c r="J3" s="441"/>
    </row>
    <row r="4" spans="1:24" ht="104.25" customHeight="1">
      <c r="A4" s="282"/>
      <c r="B4" s="283" t="s">
        <v>112</v>
      </c>
      <c r="C4" s="442"/>
      <c r="D4" s="443"/>
      <c r="E4" s="285" t="e">
        <f>#REF!</f>
        <v>#REF!</v>
      </c>
      <c r="F4" s="285" t="e">
        <f>#REF!</f>
        <v>#REF!</v>
      </c>
      <c r="G4" s="285" t="e">
        <f>#REF!</f>
        <v>#REF!</v>
      </c>
      <c r="H4" s="285" t="e">
        <f>#REF!</f>
        <v>#REF!</v>
      </c>
      <c r="I4" s="285" t="e">
        <f>#REF!</f>
        <v>#REF!</v>
      </c>
      <c r="J4" s="285" t="e">
        <f>#REF!</f>
        <v>#REF!</v>
      </c>
      <c r="K4" s="285" t="e">
        <f>#REF!</f>
        <v>#REF!</v>
      </c>
      <c r="L4" s="285" t="e">
        <f>#REF!</f>
        <v>#REF!</v>
      </c>
      <c r="M4" s="285" t="e">
        <f>#REF!</f>
        <v>#REF!</v>
      </c>
      <c r="N4" s="285" t="e">
        <f>#REF!</f>
        <v>#REF!</v>
      </c>
      <c r="O4" s="285" t="e">
        <f>#REF!</f>
        <v>#REF!</v>
      </c>
      <c r="P4" s="285" t="e">
        <f>#REF!</f>
        <v>#REF!</v>
      </c>
      <c r="Q4" s="285" t="e">
        <f>#REF!</f>
        <v>#REF!</v>
      </c>
      <c r="R4" s="285" t="e">
        <f>#REF!</f>
        <v>#REF!</v>
      </c>
      <c r="S4" s="285" t="e">
        <f>#REF!</f>
        <v>#REF!</v>
      </c>
      <c r="T4" s="285" t="e">
        <f>#REF!</f>
        <v>#REF!</v>
      </c>
      <c r="U4" s="285" t="e">
        <f>#REF!</f>
        <v>#REF!</v>
      </c>
      <c r="V4" s="285" t="e">
        <f>#REF!</f>
        <v>#REF!</v>
      </c>
      <c r="W4" s="285" t="e">
        <f>#REF!</f>
        <v>#REF!</v>
      </c>
      <c r="X4" s="285" t="e">
        <f>#REF!</f>
        <v>#REF!</v>
      </c>
    </row>
    <row r="5" spans="1:24" s="111" customFormat="1" ht="48" customHeight="1">
      <c r="A5" s="273" t="s">
        <v>84</v>
      </c>
      <c r="B5" s="278" t="s">
        <v>71</v>
      </c>
      <c r="C5" s="279" t="s">
        <v>73</v>
      </c>
      <c r="D5" s="280" t="s">
        <v>79</v>
      </c>
      <c r="E5" s="284">
        <v>1</v>
      </c>
      <c r="F5" s="284">
        <v>2</v>
      </c>
      <c r="G5" s="284">
        <v>3</v>
      </c>
      <c r="H5" s="284">
        <v>4</v>
      </c>
      <c r="I5" s="284">
        <v>5</v>
      </c>
      <c r="J5" s="284">
        <v>6</v>
      </c>
      <c r="K5" s="284">
        <v>7</v>
      </c>
      <c r="L5" s="284">
        <v>8</v>
      </c>
      <c r="M5" s="284">
        <v>9</v>
      </c>
      <c r="N5" s="284">
        <v>10</v>
      </c>
      <c r="O5" s="284">
        <v>11</v>
      </c>
      <c r="P5" s="284">
        <v>12</v>
      </c>
      <c r="Q5" s="284">
        <v>13</v>
      </c>
      <c r="R5" s="284">
        <v>14</v>
      </c>
      <c r="S5" s="284">
        <v>15</v>
      </c>
      <c r="T5" s="284">
        <v>16</v>
      </c>
      <c r="U5" s="284">
        <v>17</v>
      </c>
      <c r="V5" s="284">
        <v>18</v>
      </c>
      <c r="W5" s="284">
        <v>19</v>
      </c>
      <c r="X5" s="284">
        <v>20</v>
      </c>
    </row>
    <row r="6" spans="1:24" ht="24.95" customHeight="1">
      <c r="A6" s="274" t="e">
        <f>#REF!</f>
        <v>#REF!</v>
      </c>
      <c r="B6" s="275" t="e">
        <f>#REF!</f>
        <v>#REF!</v>
      </c>
      <c r="C6" s="276" t="e">
        <f>#REF!</f>
        <v>#REF!</v>
      </c>
      <c r="D6" s="277" t="e">
        <f>#REF!</f>
        <v>#REF!</v>
      </c>
      <c r="E6" s="281" t="e">
        <f>#REF!</f>
        <v>#REF!</v>
      </c>
      <c r="F6" s="281" t="e">
        <f>#REF!</f>
        <v>#REF!</v>
      </c>
      <c r="G6" s="281" t="e">
        <f>#REF!</f>
        <v>#REF!</v>
      </c>
      <c r="H6" s="281" t="e">
        <f>#REF!</f>
        <v>#REF!</v>
      </c>
      <c r="I6" s="281" t="e">
        <f>#REF!</f>
        <v>#REF!</v>
      </c>
      <c r="J6" s="281" t="e">
        <f>#REF!</f>
        <v>#REF!</v>
      </c>
      <c r="K6" s="281" t="e">
        <f>#REF!</f>
        <v>#REF!</v>
      </c>
      <c r="L6" s="281" t="e">
        <f>#REF!</f>
        <v>#REF!</v>
      </c>
      <c r="M6" s="281" t="e">
        <f>#REF!</f>
        <v>#REF!</v>
      </c>
      <c r="N6" s="281" t="e">
        <f>#REF!</f>
        <v>#REF!</v>
      </c>
      <c r="O6" s="281" t="e">
        <f>#REF!</f>
        <v>#REF!</v>
      </c>
      <c r="P6" s="281" t="e">
        <f>#REF!</f>
        <v>#REF!</v>
      </c>
      <c r="Q6" s="281" t="e">
        <f>#REF!</f>
        <v>#REF!</v>
      </c>
      <c r="R6" s="281" t="e">
        <f>#REF!</f>
        <v>#REF!</v>
      </c>
      <c r="S6" s="281" t="e">
        <f>#REF!</f>
        <v>#REF!</v>
      </c>
      <c r="T6" s="281" t="e">
        <f>#REF!</f>
        <v>#REF!</v>
      </c>
      <c r="U6" s="281" t="e">
        <f>#REF!</f>
        <v>#REF!</v>
      </c>
      <c r="V6" s="281" t="e">
        <f>#REF!</f>
        <v>#REF!</v>
      </c>
      <c r="W6" s="281" t="e">
        <f>#REF!</f>
        <v>#REF!</v>
      </c>
      <c r="X6" s="281" t="e">
        <f>#REF!</f>
        <v>#REF!</v>
      </c>
    </row>
    <row r="7" spans="1:24" ht="24.95" customHeight="1">
      <c r="A7" s="274" t="e">
        <f>#REF!</f>
        <v>#REF!</v>
      </c>
      <c r="B7" s="275" t="e">
        <f>#REF!</f>
        <v>#REF!</v>
      </c>
      <c r="C7" s="276" t="e">
        <f>#REF!</f>
        <v>#REF!</v>
      </c>
      <c r="D7" s="277" t="e">
        <f>#REF!</f>
        <v>#REF!</v>
      </c>
      <c r="E7" s="277" t="e">
        <f>#REF!</f>
        <v>#REF!</v>
      </c>
      <c r="F7" s="277" t="e">
        <f>#REF!</f>
        <v>#REF!</v>
      </c>
      <c r="G7" s="277" t="e">
        <f>#REF!</f>
        <v>#REF!</v>
      </c>
      <c r="H7" s="277" t="e">
        <f>#REF!</f>
        <v>#REF!</v>
      </c>
      <c r="I7" s="277" t="e">
        <f>#REF!</f>
        <v>#REF!</v>
      </c>
      <c r="J7" s="277" t="e">
        <f>#REF!</f>
        <v>#REF!</v>
      </c>
      <c r="K7" s="277" t="e">
        <f>#REF!</f>
        <v>#REF!</v>
      </c>
      <c r="L7" s="277" t="e">
        <f>#REF!</f>
        <v>#REF!</v>
      </c>
      <c r="M7" s="277" t="e">
        <f>#REF!</f>
        <v>#REF!</v>
      </c>
      <c r="N7" s="277" t="e">
        <f>#REF!</f>
        <v>#REF!</v>
      </c>
      <c r="O7" s="277" t="e">
        <f>#REF!</f>
        <v>#REF!</v>
      </c>
      <c r="P7" s="277" t="e">
        <f>#REF!</f>
        <v>#REF!</v>
      </c>
      <c r="Q7" s="277" t="e">
        <f>#REF!</f>
        <v>#REF!</v>
      </c>
      <c r="R7" s="277" t="e">
        <f>#REF!</f>
        <v>#REF!</v>
      </c>
      <c r="S7" s="277" t="e">
        <f>#REF!</f>
        <v>#REF!</v>
      </c>
      <c r="T7" s="281" t="e">
        <f>#REF!</f>
        <v>#REF!</v>
      </c>
      <c r="U7" s="281" t="e">
        <f>#REF!</f>
        <v>#REF!</v>
      </c>
      <c r="V7" s="281" t="e">
        <f>#REF!</f>
        <v>#REF!</v>
      </c>
      <c r="W7" s="281" t="e">
        <f>#REF!</f>
        <v>#REF!</v>
      </c>
      <c r="X7" s="281" t="e">
        <f>#REF!</f>
        <v>#REF!</v>
      </c>
    </row>
    <row r="8" spans="1:24" ht="24.95" customHeight="1">
      <c r="A8" s="274" t="e">
        <f>#REF!</f>
        <v>#REF!</v>
      </c>
      <c r="B8" s="275" t="e">
        <f>#REF!</f>
        <v>#REF!</v>
      </c>
      <c r="C8" s="276" t="e">
        <f>#REF!</f>
        <v>#REF!</v>
      </c>
      <c r="D8" s="277" t="e">
        <f>#REF!</f>
        <v>#REF!</v>
      </c>
      <c r="E8" s="277" t="e">
        <f>#REF!</f>
        <v>#REF!</v>
      </c>
      <c r="F8" s="277" t="e">
        <f>#REF!</f>
        <v>#REF!</v>
      </c>
      <c r="G8" s="277" t="e">
        <f>#REF!</f>
        <v>#REF!</v>
      </c>
      <c r="H8" s="277" t="e">
        <f>#REF!</f>
        <v>#REF!</v>
      </c>
      <c r="I8" s="277" t="e">
        <f>#REF!</f>
        <v>#REF!</v>
      </c>
      <c r="J8" s="277" t="e">
        <f>#REF!</f>
        <v>#REF!</v>
      </c>
      <c r="K8" s="277" t="e">
        <f>#REF!</f>
        <v>#REF!</v>
      </c>
      <c r="L8" s="277" t="e">
        <f>#REF!</f>
        <v>#REF!</v>
      </c>
      <c r="M8" s="277" t="e">
        <f>#REF!</f>
        <v>#REF!</v>
      </c>
      <c r="N8" s="277" t="e">
        <f>#REF!</f>
        <v>#REF!</v>
      </c>
      <c r="O8" s="277" t="e">
        <f>#REF!</f>
        <v>#REF!</v>
      </c>
      <c r="P8" s="277" t="e">
        <f>#REF!</f>
        <v>#REF!</v>
      </c>
      <c r="Q8" s="277" t="e">
        <f>#REF!</f>
        <v>#REF!</v>
      </c>
      <c r="R8" s="277" t="e">
        <f>#REF!</f>
        <v>#REF!</v>
      </c>
      <c r="S8" s="277" t="e">
        <f>#REF!</f>
        <v>#REF!</v>
      </c>
      <c r="T8" s="281" t="e">
        <f>#REF!</f>
        <v>#REF!</v>
      </c>
      <c r="U8" s="281" t="e">
        <f>#REF!</f>
        <v>#REF!</v>
      </c>
      <c r="V8" s="281" t="e">
        <f>#REF!</f>
        <v>#REF!</v>
      </c>
      <c r="W8" s="281" t="e">
        <f>#REF!</f>
        <v>#REF!</v>
      </c>
      <c r="X8" s="281" t="e">
        <f>#REF!</f>
        <v>#REF!</v>
      </c>
    </row>
    <row r="9" spans="1:24" ht="24.95" customHeight="1">
      <c r="A9" s="274" t="e">
        <f>#REF!</f>
        <v>#REF!</v>
      </c>
      <c r="B9" s="275" t="e">
        <f>#REF!</f>
        <v>#REF!</v>
      </c>
      <c r="C9" s="276" t="e">
        <f>#REF!</f>
        <v>#REF!</v>
      </c>
      <c r="D9" s="277" t="e">
        <f>#REF!</f>
        <v>#REF!</v>
      </c>
      <c r="E9" s="277" t="e">
        <f>#REF!</f>
        <v>#REF!</v>
      </c>
      <c r="F9" s="277" t="e">
        <f>#REF!</f>
        <v>#REF!</v>
      </c>
      <c r="G9" s="277" t="e">
        <f>#REF!</f>
        <v>#REF!</v>
      </c>
      <c r="H9" s="277" t="e">
        <f>#REF!</f>
        <v>#REF!</v>
      </c>
      <c r="I9" s="277" t="e">
        <f>#REF!</f>
        <v>#REF!</v>
      </c>
      <c r="J9" s="277" t="e">
        <f>#REF!</f>
        <v>#REF!</v>
      </c>
      <c r="K9" s="277" t="e">
        <f>#REF!</f>
        <v>#REF!</v>
      </c>
      <c r="L9" s="277" t="e">
        <f>#REF!</f>
        <v>#REF!</v>
      </c>
      <c r="M9" s="277" t="e">
        <f>#REF!</f>
        <v>#REF!</v>
      </c>
      <c r="N9" s="277" t="e">
        <f>#REF!</f>
        <v>#REF!</v>
      </c>
      <c r="O9" s="277" t="e">
        <f>#REF!</f>
        <v>#REF!</v>
      </c>
      <c r="P9" s="277" t="e">
        <f>#REF!</f>
        <v>#REF!</v>
      </c>
      <c r="Q9" s="277" t="e">
        <f>#REF!</f>
        <v>#REF!</v>
      </c>
      <c r="R9" s="277" t="e">
        <f>#REF!</f>
        <v>#REF!</v>
      </c>
      <c r="S9" s="277" t="e">
        <f>#REF!</f>
        <v>#REF!</v>
      </c>
      <c r="T9" s="281" t="e">
        <f>#REF!</f>
        <v>#REF!</v>
      </c>
      <c r="U9" s="281" t="e">
        <f>#REF!</f>
        <v>#REF!</v>
      </c>
      <c r="V9" s="281" t="e">
        <f>#REF!</f>
        <v>#REF!</v>
      </c>
      <c r="W9" s="281" t="e">
        <f>#REF!</f>
        <v>#REF!</v>
      </c>
      <c r="X9" s="281" t="e">
        <f>#REF!</f>
        <v>#REF!</v>
      </c>
    </row>
    <row r="10" spans="1:24" ht="24.95" customHeight="1">
      <c r="A10" s="274" t="e">
        <f>#REF!</f>
        <v>#REF!</v>
      </c>
      <c r="B10" s="275" t="e">
        <f>#REF!</f>
        <v>#REF!</v>
      </c>
      <c r="C10" s="276" t="e">
        <f>#REF!</f>
        <v>#REF!</v>
      </c>
      <c r="D10" s="277" t="e">
        <f>#REF!</f>
        <v>#REF!</v>
      </c>
      <c r="E10" s="277" t="e">
        <f>#REF!</f>
        <v>#REF!</v>
      </c>
      <c r="F10" s="277" t="e">
        <f>#REF!</f>
        <v>#REF!</v>
      </c>
      <c r="G10" s="277" t="e">
        <f>#REF!</f>
        <v>#REF!</v>
      </c>
      <c r="H10" s="277" t="e">
        <f>#REF!</f>
        <v>#REF!</v>
      </c>
      <c r="I10" s="277" t="e">
        <f>#REF!</f>
        <v>#REF!</v>
      </c>
      <c r="J10" s="277" t="e">
        <f>#REF!</f>
        <v>#REF!</v>
      </c>
      <c r="K10" s="277" t="e">
        <f>#REF!</f>
        <v>#REF!</v>
      </c>
      <c r="L10" s="277" t="e">
        <f>#REF!</f>
        <v>#REF!</v>
      </c>
      <c r="M10" s="277" t="e">
        <f>#REF!</f>
        <v>#REF!</v>
      </c>
      <c r="N10" s="277" t="e">
        <f>#REF!</f>
        <v>#REF!</v>
      </c>
      <c r="O10" s="277" t="e">
        <f>#REF!</f>
        <v>#REF!</v>
      </c>
      <c r="P10" s="277" t="e">
        <f>#REF!</f>
        <v>#REF!</v>
      </c>
      <c r="Q10" s="277" t="e">
        <f>#REF!</f>
        <v>#REF!</v>
      </c>
      <c r="R10" s="277" t="e">
        <f>#REF!</f>
        <v>#REF!</v>
      </c>
      <c r="S10" s="277" t="e">
        <f>#REF!</f>
        <v>#REF!</v>
      </c>
      <c r="T10" s="281" t="e">
        <f>#REF!</f>
        <v>#REF!</v>
      </c>
      <c r="U10" s="281" t="e">
        <f>#REF!</f>
        <v>#REF!</v>
      </c>
      <c r="V10" s="281" t="e">
        <f>#REF!</f>
        <v>#REF!</v>
      </c>
      <c r="W10" s="281" t="e">
        <f>#REF!</f>
        <v>#REF!</v>
      </c>
      <c r="X10" s="281" t="e">
        <f>#REF!</f>
        <v>#REF!</v>
      </c>
    </row>
    <row r="11" spans="1:24" ht="24.95" customHeight="1">
      <c r="A11" s="274" t="e">
        <f>#REF!</f>
        <v>#REF!</v>
      </c>
      <c r="B11" s="275" t="e">
        <f>#REF!</f>
        <v>#REF!</v>
      </c>
      <c r="C11" s="276" t="e">
        <f>#REF!</f>
        <v>#REF!</v>
      </c>
      <c r="D11" s="277" t="e">
        <f>#REF!</f>
        <v>#REF!</v>
      </c>
      <c r="E11" s="277" t="e">
        <f>#REF!</f>
        <v>#REF!</v>
      </c>
      <c r="F11" s="277" t="e">
        <f>#REF!</f>
        <v>#REF!</v>
      </c>
      <c r="G11" s="277" t="e">
        <f>#REF!</f>
        <v>#REF!</v>
      </c>
      <c r="H11" s="277" t="e">
        <f>#REF!</f>
        <v>#REF!</v>
      </c>
      <c r="I11" s="277" t="e">
        <f>#REF!</f>
        <v>#REF!</v>
      </c>
      <c r="J11" s="277" t="e">
        <f>#REF!</f>
        <v>#REF!</v>
      </c>
      <c r="K11" s="277" t="e">
        <f>#REF!</f>
        <v>#REF!</v>
      </c>
      <c r="L11" s="277" t="e">
        <f>#REF!</f>
        <v>#REF!</v>
      </c>
      <c r="M11" s="277" t="e">
        <f>#REF!</f>
        <v>#REF!</v>
      </c>
      <c r="N11" s="277" t="e">
        <f>#REF!</f>
        <v>#REF!</v>
      </c>
      <c r="O11" s="277" t="e">
        <f>#REF!</f>
        <v>#REF!</v>
      </c>
      <c r="P11" s="277" t="e">
        <f>#REF!</f>
        <v>#REF!</v>
      </c>
      <c r="Q11" s="277" t="e">
        <f>#REF!</f>
        <v>#REF!</v>
      </c>
      <c r="R11" s="277" t="e">
        <f>#REF!</f>
        <v>#REF!</v>
      </c>
      <c r="S11" s="277" t="e">
        <f>#REF!</f>
        <v>#REF!</v>
      </c>
      <c r="T11" s="281" t="e">
        <f>#REF!</f>
        <v>#REF!</v>
      </c>
      <c r="U11" s="281" t="e">
        <f>#REF!</f>
        <v>#REF!</v>
      </c>
      <c r="V11" s="281" t="e">
        <f>#REF!</f>
        <v>#REF!</v>
      </c>
      <c r="W11" s="281" t="e">
        <f>#REF!</f>
        <v>#REF!</v>
      </c>
      <c r="X11" s="281" t="e">
        <f>#REF!</f>
        <v>#REF!</v>
      </c>
    </row>
    <row r="12" spans="1:24" ht="24.95" customHeight="1">
      <c r="A12" s="274" t="e">
        <f>#REF!</f>
        <v>#REF!</v>
      </c>
      <c r="B12" s="275" t="e">
        <f>#REF!</f>
        <v>#REF!</v>
      </c>
      <c r="C12" s="276" t="e">
        <f>#REF!</f>
        <v>#REF!</v>
      </c>
      <c r="D12" s="277" t="e">
        <f>#REF!</f>
        <v>#REF!</v>
      </c>
      <c r="E12" s="277" t="e">
        <f>#REF!</f>
        <v>#REF!</v>
      </c>
      <c r="F12" s="277" t="e">
        <f>#REF!</f>
        <v>#REF!</v>
      </c>
      <c r="G12" s="277" t="e">
        <f>#REF!</f>
        <v>#REF!</v>
      </c>
      <c r="H12" s="277" t="e">
        <f>#REF!</f>
        <v>#REF!</v>
      </c>
      <c r="I12" s="277" t="e">
        <f>#REF!</f>
        <v>#REF!</v>
      </c>
      <c r="J12" s="277" t="e">
        <f>#REF!</f>
        <v>#REF!</v>
      </c>
      <c r="K12" s="277" t="e">
        <f>#REF!</f>
        <v>#REF!</v>
      </c>
      <c r="L12" s="277" t="e">
        <f>#REF!</f>
        <v>#REF!</v>
      </c>
      <c r="M12" s="277" t="e">
        <f>#REF!</f>
        <v>#REF!</v>
      </c>
      <c r="N12" s="277" t="e">
        <f>#REF!</f>
        <v>#REF!</v>
      </c>
      <c r="O12" s="277" t="e">
        <f>#REF!</f>
        <v>#REF!</v>
      </c>
      <c r="P12" s="277" t="e">
        <f>#REF!</f>
        <v>#REF!</v>
      </c>
      <c r="Q12" s="277" t="e">
        <f>#REF!</f>
        <v>#REF!</v>
      </c>
      <c r="R12" s="277" t="e">
        <f>#REF!</f>
        <v>#REF!</v>
      </c>
      <c r="S12" s="277" t="e">
        <f>#REF!</f>
        <v>#REF!</v>
      </c>
      <c r="T12" s="281" t="e">
        <f>#REF!</f>
        <v>#REF!</v>
      </c>
      <c r="U12" s="281" t="e">
        <f>#REF!</f>
        <v>#REF!</v>
      </c>
      <c r="V12" s="281" t="e">
        <f>#REF!</f>
        <v>#REF!</v>
      </c>
      <c r="W12" s="281" t="e">
        <f>#REF!</f>
        <v>#REF!</v>
      </c>
      <c r="X12" s="281" t="e">
        <f>#REF!</f>
        <v>#REF!</v>
      </c>
    </row>
    <row r="13" spans="1:24" ht="24.95" customHeight="1">
      <c r="A13" s="274" t="e">
        <f>#REF!</f>
        <v>#REF!</v>
      </c>
      <c r="B13" s="275" t="e">
        <f>#REF!</f>
        <v>#REF!</v>
      </c>
      <c r="C13" s="276" t="e">
        <f>#REF!</f>
        <v>#REF!</v>
      </c>
      <c r="D13" s="277" t="e">
        <f>#REF!</f>
        <v>#REF!</v>
      </c>
      <c r="E13" s="277" t="e">
        <f>#REF!</f>
        <v>#REF!</v>
      </c>
      <c r="F13" s="277" t="e">
        <f>#REF!</f>
        <v>#REF!</v>
      </c>
      <c r="G13" s="277" t="e">
        <f>#REF!</f>
        <v>#REF!</v>
      </c>
      <c r="H13" s="277" t="e">
        <f>#REF!</f>
        <v>#REF!</v>
      </c>
      <c r="I13" s="277" t="e">
        <f>#REF!</f>
        <v>#REF!</v>
      </c>
      <c r="J13" s="277" t="e">
        <f>#REF!</f>
        <v>#REF!</v>
      </c>
      <c r="K13" s="277" t="e">
        <f>#REF!</f>
        <v>#REF!</v>
      </c>
      <c r="L13" s="277" t="e">
        <f>#REF!</f>
        <v>#REF!</v>
      </c>
      <c r="M13" s="277" t="e">
        <f>#REF!</f>
        <v>#REF!</v>
      </c>
      <c r="N13" s="277" t="e">
        <f>#REF!</f>
        <v>#REF!</v>
      </c>
      <c r="O13" s="277" t="e">
        <f>#REF!</f>
        <v>#REF!</v>
      </c>
      <c r="P13" s="277" t="e">
        <f>#REF!</f>
        <v>#REF!</v>
      </c>
      <c r="Q13" s="277" t="e">
        <f>#REF!</f>
        <v>#REF!</v>
      </c>
      <c r="R13" s="277" t="e">
        <f>#REF!</f>
        <v>#REF!</v>
      </c>
      <c r="S13" s="277" t="e">
        <f>#REF!</f>
        <v>#REF!</v>
      </c>
      <c r="T13" s="281" t="e">
        <f>#REF!</f>
        <v>#REF!</v>
      </c>
      <c r="U13" s="281" t="e">
        <f>#REF!</f>
        <v>#REF!</v>
      </c>
      <c r="V13" s="281" t="e">
        <f>#REF!</f>
        <v>#REF!</v>
      </c>
      <c r="W13" s="281" t="e">
        <f>#REF!</f>
        <v>#REF!</v>
      </c>
      <c r="X13" s="281" t="e">
        <f>#REF!</f>
        <v>#REF!</v>
      </c>
    </row>
    <row r="14" spans="1:24" ht="24.95" customHeight="1">
      <c r="A14" s="274" t="e">
        <f>#REF!</f>
        <v>#REF!</v>
      </c>
      <c r="B14" s="275" t="e">
        <f>#REF!</f>
        <v>#REF!</v>
      </c>
      <c r="C14" s="276" t="e">
        <f>#REF!</f>
        <v>#REF!</v>
      </c>
      <c r="D14" s="277" t="e">
        <f>#REF!</f>
        <v>#REF!</v>
      </c>
      <c r="E14" s="277" t="e">
        <f>#REF!</f>
        <v>#REF!</v>
      </c>
      <c r="F14" s="277" t="e">
        <f>#REF!</f>
        <v>#REF!</v>
      </c>
      <c r="G14" s="277" t="e">
        <f>#REF!</f>
        <v>#REF!</v>
      </c>
      <c r="H14" s="277" t="e">
        <f>#REF!</f>
        <v>#REF!</v>
      </c>
      <c r="I14" s="277" t="e">
        <f>#REF!</f>
        <v>#REF!</v>
      </c>
      <c r="J14" s="277" t="e">
        <f>#REF!</f>
        <v>#REF!</v>
      </c>
      <c r="K14" s="277" t="e">
        <f>#REF!</f>
        <v>#REF!</v>
      </c>
      <c r="L14" s="277" t="e">
        <f>#REF!</f>
        <v>#REF!</v>
      </c>
      <c r="M14" s="277" t="e">
        <f>#REF!</f>
        <v>#REF!</v>
      </c>
      <c r="N14" s="277" t="e">
        <f>#REF!</f>
        <v>#REF!</v>
      </c>
      <c r="O14" s="277" t="e">
        <f>#REF!</f>
        <v>#REF!</v>
      </c>
      <c r="P14" s="277" t="e">
        <f>#REF!</f>
        <v>#REF!</v>
      </c>
      <c r="Q14" s="277" t="e">
        <f>#REF!</f>
        <v>#REF!</v>
      </c>
      <c r="R14" s="277" t="e">
        <f>#REF!</f>
        <v>#REF!</v>
      </c>
      <c r="S14" s="277" t="e">
        <f>#REF!</f>
        <v>#REF!</v>
      </c>
      <c r="T14" s="281" t="e">
        <f>#REF!</f>
        <v>#REF!</v>
      </c>
      <c r="U14" s="281" t="e">
        <f>#REF!</f>
        <v>#REF!</v>
      </c>
      <c r="V14" s="281" t="e">
        <f>#REF!</f>
        <v>#REF!</v>
      </c>
      <c r="W14" s="281" t="e">
        <f>#REF!</f>
        <v>#REF!</v>
      </c>
      <c r="X14" s="281" t="e">
        <f>#REF!</f>
        <v>#REF!</v>
      </c>
    </row>
    <row r="15" spans="1:24" ht="24.95" customHeight="1">
      <c r="A15" s="274" t="e">
        <f>#REF!</f>
        <v>#REF!</v>
      </c>
      <c r="B15" s="275" t="e">
        <f>#REF!</f>
        <v>#REF!</v>
      </c>
      <c r="C15" s="276" t="e">
        <f>#REF!</f>
        <v>#REF!</v>
      </c>
      <c r="D15" s="277" t="e">
        <f>#REF!</f>
        <v>#REF!</v>
      </c>
      <c r="E15" s="277" t="e">
        <f>#REF!</f>
        <v>#REF!</v>
      </c>
      <c r="F15" s="277" t="e">
        <f>#REF!</f>
        <v>#REF!</v>
      </c>
      <c r="G15" s="277" t="e">
        <f>#REF!</f>
        <v>#REF!</v>
      </c>
      <c r="H15" s="277" t="e">
        <f>#REF!</f>
        <v>#REF!</v>
      </c>
      <c r="I15" s="277" t="e">
        <f>#REF!</f>
        <v>#REF!</v>
      </c>
      <c r="J15" s="277" t="e">
        <f>#REF!</f>
        <v>#REF!</v>
      </c>
      <c r="K15" s="277" t="e">
        <f>#REF!</f>
        <v>#REF!</v>
      </c>
      <c r="L15" s="277" t="e">
        <f>#REF!</f>
        <v>#REF!</v>
      </c>
      <c r="M15" s="277" t="e">
        <f>#REF!</f>
        <v>#REF!</v>
      </c>
      <c r="N15" s="277" t="e">
        <f>#REF!</f>
        <v>#REF!</v>
      </c>
      <c r="O15" s="277" t="e">
        <f>#REF!</f>
        <v>#REF!</v>
      </c>
      <c r="P15" s="277" t="e">
        <f>#REF!</f>
        <v>#REF!</v>
      </c>
      <c r="Q15" s="277" t="e">
        <f>#REF!</f>
        <v>#REF!</v>
      </c>
      <c r="R15" s="277" t="e">
        <f>#REF!</f>
        <v>#REF!</v>
      </c>
      <c r="S15" s="277" t="e">
        <f>#REF!</f>
        <v>#REF!</v>
      </c>
      <c r="T15" s="281" t="e">
        <f>#REF!</f>
        <v>#REF!</v>
      </c>
      <c r="U15" s="281" t="e">
        <f>#REF!</f>
        <v>#REF!</v>
      </c>
      <c r="V15" s="281" t="e">
        <f>#REF!</f>
        <v>#REF!</v>
      </c>
      <c r="W15" s="281" t="e">
        <f>#REF!</f>
        <v>#REF!</v>
      </c>
      <c r="X15" s="281" t="e">
        <f>#REF!</f>
        <v>#REF!</v>
      </c>
    </row>
    <row r="16" spans="1:24" ht="24.95" customHeight="1">
      <c r="A16" s="274" t="e">
        <f>#REF!</f>
        <v>#REF!</v>
      </c>
      <c r="B16" s="275" t="e">
        <f>#REF!</f>
        <v>#REF!</v>
      </c>
      <c r="C16" s="276" t="e">
        <f>#REF!</f>
        <v>#REF!</v>
      </c>
      <c r="D16" s="277" t="e">
        <f>#REF!</f>
        <v>#REF!</v>
      </c>
      <c r="E16" s="277" t="e">
        <f>#REF!</f>
        <v>#REF!</v>
      </c>
      <c r="F16" s="277" t="e">
        <f>#REF!</f>
        <v>#REF!</v>
      </c>
      <c r="G16" s="277" t="e">
        <f>#REF!</f>
        <v>#REF!</v>
      </c>
      <c r="H16" s="277" t="e">
        <f>#REF!</f>
        <v>#REF!</v>
      </c>
      <c r="I16" s="277" t="e">
        <f>#REF!</f>
        <v>#REF!</v>
      </c>
      <c r="J16" s="277" t="e">
        <f>#REF!</f>
        <v>#REF!</v>
      </c>
      <c r="K16" s="277" t="e">
        <f>#REF!</f>
        <v>#REF!</v>
      </c>
      <c r="L16" s="277" t="e">
        <f>#REF!</f>
        <v>#REF!</v>
      </c>
      <c r="M16" s="277" t="e">
        <f>#REF!</f>
        <v>#REF!</v>
      </c>
      <c r="N16" s="277" t="e">
        <f>#REF!</f>
        <v>#REF!</v>
      </c>
      <c r="O16" s="277" t="e">
        <f>#REF!</f>
        <v>#REF!</v>
      </c>
      <c r="P16" s="277" t="e">
        <f>#REF!</f>
        <v>#REF!</v>
      </c>
      <c r="Q16" s="277" t="e">
        <f>#REF!</f>
        <v>#REF!</v>
      </c>
      <c r="R16" s="277" t="e">
        <f>#REF!</f>
        <v>#REF!</v>
      </c>
      <c r="S16" s="277" t="e">
        <f>#REF!</f>
        <v>#REF!</v>
      </c>
      <c r="T16" s="281" t="e">
        <f>#REF!</f>
        <v>#REF!</v>
      </c>
      <c r="U16" s="281" t="e">
        <f>#REF!</f>
        <v>#REF!</v>
      </c>
      <c r="V16" s="281" t="e">
        <f>#REF!</f>
        <v>#REF!</v>
      </c>
      <c r="W16" s="281" t="e">
        <f>#REF!</f>
        <v>#REF!</v>
      </c>
      <c r="X16" s="281" t="e">
        <f>#REF!</f>
        <v>#REF!</v>
      </c>
    </row>
    <row r="17" spans="1:24" ht="24.95" customHeight="1">
      <c r="A17" s="274" t="e">
        <f>#REF!</f>
        <v>#REF!</v>
      </c>
      <c r="B17" s="275" t="e">
        <f>#REF!</f>
        <v>#REF!</v>
      </c>
      <c r="C17" s="276" t="e">
        <f>#REF!</f>
        <v>#REF!</v>
      </c>
      <c r="D17" s="277" t="e">
        <f>#REF!</f>
        <v>#REF!</v>
      </c>
      <c r="E17" s="277" t="e">
        <f>#REF!</f>
        <v>#REF!</v>
      </c>
      <c r="F17" s="277" t="e">
        <f>#REF!</f>
        <v>#REF!</v>
      </c>
      <c r="G17" s="277" t="e">
        <f>#REF!</f>
        <v>#REF!</v>
      </c>
      <c r="H17" s="277" t="e">
        <f>#REF!</f>
        <v>#REF!</v>
      </c>
      <c r="I17" s="277" t="e">
        <f>#REF!</f>
        <v>#REF!</v>
      </c>
      <c r="J17" s="277" t="e">
        <f>#REF!</f>
        <v>#REF!</v>
      </c>
      <c r="K17" s="277" t="e">
        <f>#REF!</f>
        <v>#REF!</v>
      </c>
      <c r="L17" s="277" t="e">
        <f>#REF!</f>
        <v>#REF!</v>
      </c>
      <c r="M17" s="277" t="e">
        <f>#REF!</f>
        <v>#REF!</v>
      </c>
      <c r="N17" s="277" t="e">
        <f>#REF!</f>
        <v>#REF!</v>
      </c>
      <c r="O17" s="277" t="e">
        <f>#REF!</f>
        <v>#REF!</v>
      </c>
      <c r="P17" s="277" t="e">
        <f>#REF!</f>
        <v>#REF!</v>
      </c>
      <c r="Q17" s="277" t="e">
        <f>#REF!</f>
        <v>#REF!</v>
      </c>
      <c r="R17" s="277" t="e">
        <f>#REF!</f>
        <v>#REF!</v>
      </c>
      <c r="S17" s="277" t="e">
        <f>#REF!</f>
        <v>#REF!</v>
      </c>
      <c r="T17" s="281" t="e">
        <f>#REF!</f>
        <v>#REF!</v>
      </c>
      <c r="U17" s="281" t="e">
        <f>#REF!</f>
        <v>#REF!</v>
      </c>
      <c r="V17" s="281" t="e">
        <f>#REF!</f>
        <v>#REF!</v>
      </c>
      <c r="W17" s="281" t="e">
        <f>#REF!</f>
        <v>#REF!</v>
      </c>
      <c r="X17" s="281" t="e">
        <f>#REF!</f>
        <v>#REF!</v>
      </c>
    </row>
    <row r="18" spans="1:24" ht="24.95" customHeight="1">
      <c r="A18" s="274" t="e">
        <f>#REF!</f>
        <v>#REF!</v>
      </c>
      <c r="B18" s="275" t="e">
        <f>#REF!</f>
        <v>#REF!</v>
      </c>
      <c r="C18" s="276" t="e">
        <f>#REF!</f>
        <v>#REF!</v>
      </c>
      <c r="D18" s="277" t="e">
        <f>#REF!</f>
        <v>#REF!</v>
      </c>
      <c r="E18" s="277" t="e">
        <f>#REF!</f>
        <v>#REF!</v>
      </c>
      <c r="F18" s="277" t="e">
        <f>#REF!</f>
        <v>#REF!</v>
      </c>
      <c r="G18" s="277" t="e">
        <f>#REF!</f>
        <v>#REF!</v>
      </c>
      <c r="H18" s="277" t="e">
        <f>#REF!</f>
        <v>#REF!</v>
      </c>
      <c r="I18" s="277" t="e">
        <f>#REF!</f>
        <v>#REF!</v>
      </c>
      <c r="J18" s="277" t="e">
        <f>#REF!</f>
        <v>#REF!</v>
      </c>
      <c r="K18" s="277" t="e">
        <f>#REF!</f>
        <v>#REF!</v>
      </c>
      <c r="L18" s="277" t="e">
        <f>#REF!</f>
        <v>#REF!</v>
      </c>
      <c r="M18" s="277" t="e">
        <f>#REF!</f>
        <v>#REF!</v>
      </c>
      <c r="N18" s="277" t="e">
        <f>#REF!</f>
        <v>#REF!</v>
      </c>
      <c r="O18" s="277" t="e">
        <f>#REF!</f>
        <v>#REF!</v>
      </c>
      <c r="P18" s="277" t="e">
        <f>#REF!</f>
        <v>#REF!</v>
      </c>
      <c r="Q18" s="277" t="e">
        <f>#REF!</f>
        <v>#REF!</v>
      </c>
      <c r="R18" s="277" t="e">
        <f>#REF!</f>
        <v>#REF!</v>
      </c>
      <c r="S18" s="277" t="e">
        <f>#REF!</f>
        <v>#REF!</v>
      </c>
      <c r="T18" s="281" t="e">
        <f>#REF!</f>
        <v>#REF!</v>
      </c>
      <c r="U18" s="281" t="e">
        <f>#REF!</f>
        <v>#REF!</v>
      </c>
      <c r="V18" s="281" t="e">
        <f>#REF!</f>
        <v>#REF!</v>
      </c>
      <c r="W18" s="281" t="e">
        <f>#REF!</f>
        <v>#REF!</v>
      </c>
      <c r="X18" s="281" t="e">
        <f>#REF!</f>
        <v>#REF!</v>
      </c>
    </row>
    <row r="19" spans="1:24" ht="24.95" customHeight="1">
      <c r="A19" s="274" t="e">
        <f>#REF!</f>
        <v>#REF!</v>
      </c>
      <c r="B19" s="275" t="e">
        <f>#REF!</f>
        <v>#REF!</v>
      </c>
      <c r="C19" s="276" t="e">
        <f>#REF!</f>
        <v>#REF!</v>
      </c>
      <c r="D19" s="277" t="e">
        <f>#REF!</f>
        <v>#REF!</v>
      </c>
      <c r="E19" s="277" t="e">
        <f>#REF!</f>
        <v>#REF!</v>
      </c>
      <c r="F19" s="277" t="e">
        <f>#REF!</f>
        <v>#REF!</v>
      </c>
      <c r="G19" s="277" t="e">
        <f>#REF!</f>
        <v>#REF!</v>
      </c>
      <c r="H19" s="277" t="e">
        <f>#REF!</f>
        <v>#REF!</v>
      </c>
      <c r="I19" s="277" t="e">
        <f>#REF!</f>
        <v>#REF!</v>
      </c>
      <c r="J19" s="277" t="e">
        <f>#REF!</f>
        <v>#REF!</v>
      </c>
      <c r="K19" s="277" t="e">
        <f>#REF!</f>
        <v>#REF!</v>
      </c>
      <c r="L19" s="277" t="e">
        <f>#REF!</f>
        <v>#REF!</v>
      </c>
      <c r="M19" s="277" t="e">
        <f>#REF!</f>
        <v>#REF!</v>
      </c>
      <c r="N19" s="277" t="e">
        <f>#REF!</f>
        <v>#REF!</v>
      </c>
      <c r="O19" s="277" t="e">
        <f>#REF!</f>
        <v>#REF!</v>
      </c>
      <c r="P19" s="277" t="e">
        <f>#REF!</f>
        <v>#REF!</v>
      </c>
      <c r="Q19" s="277" t="e">
        <f>#REF!</f>
        <v>#REF!</v>
      </c>
      <c r="R19" s="277" t="e">
        <f>#REF!</f>
        <v>#REF!</v>
      </c>
      <c r="S19" s="277" t="e">
        <f>#REF!</f>
        <v>#REF!</v>
      </c>
      <c r="T19" s="281" t="e">
        <f>#REF!</f>
        <v>#REF!</v>
      </c>
      <c r="U19" s="281" t="e">
        <f>#REF!</f>
        <v>#REF!</v>
      </c>
      <c r="V19" s="281" t="e">
        <f>#REF!</f>
        <v>#REF!</v>
      </c>
      <c r="W19" s="281" t="e">
        <f>#REF!</f>
        <v>#REF!</v>
      </c>
      <c r="X19" s="281" t="e">
        <f>#REF!</f>
        <v>#REF!</v>
      </c>
    </row>
    <row r="20" spans="1:24" ht="24.95" customHeight="1">
      <c r="A20" s="274" t="e">
        <f>#REF!</f>
        <v>#REF!</v>
      </c>
      <c r="B20" s="275" t="e">
        <f>#REF!</f>
        <v>#REF!</v>
      </c>
      <c r="C20" s="276" t="e">
        <f>#REF!</f>
        <v>#REF!</v>
      </c>
      <c r="D20" s="277" t="e">
        <f>#REF!</f>
        <v>#REF!</v>
      </c>
      <c r="E20" s="277" t="e">
        <f>#REF!</f>
        <v>#REF!</v>
      </c>
      <c r="F20" s="277" t="e">
        <f>#REF!</f>
        <v>#REF!</v>
      </c>
      <c r="G20" s="277" t="e">
        <f>#REF!</f>
        <v>#REF!</v>
      </c>
      <c r="H20" s="277" t="e">
        <f>#REF!</f>
        <v>#REF!</v>
      </c>
      <c r="I20" s="277" t="e">
        <f>#REF!</f>
        <v>#REF!</v>
      </c>
      <c r="J20" s="277" t="e">
        <f>#REF!</f>
        <v>#REF!</v>
      </c>
      <c r="K20" s="277" t="e">
        <f>#REF!</f>
        <v>#REF!</v>
      </c>
      <c r="L20" s="277" t="e">
        <f>#REF!</f>
        <v>#REF!</v>
      </c>
      <c r="M20" s="277" t="e">
        <f>#REF!</f>
        <v>#REF!</v>
      </c>
      <c r="N20" s="277" t="e">
        <f>#REF!</f>
        <v>#REF!</v>
      </c>
      <c r="O20" s="277" t="e">
        <f>#REF!</f>
        <v>#REF!</v>
      </c>
      <c r="P20" s="277" t="e">
        <f>#REF!</f>
        <v>#REF!</v>
      </c>
      <c r="Q20" s="277" t="e">
        <f>#REF!</f>
        <v>#REF!</v>
      </c>
      <c r="R20" s="277" t="e">
        <f>#REF!</f>
        <v>#REF!</v>
      </c>
      <c r="S20" s="277" t="e">
        <f>#REF!</f>
        <v>#REF!</v>
      </c>
      <c r="T20" s="281" t="e">
        <f>#REF!</f>
        <v>#REF!</v>
      </c>
      <c r="U20" s="281" t="e">
        <f>#REF!</f>
        <v>#REF!</v>
      </c>
      <c r="V20" s="281" t="e">
        <f>#REF!</f>
        <v>#REF!</v>
      </c>
      <c r="W20" s="281" t="e">
        <f>#REF!</f>
        <v>#REF!</v>
      </c>
      <c r="X20" s="281" t="e">
        <f>#REF!</f>
        <v>#REF!</v>
      </c>
    </row>
    <row r="21" spans="1:24" ht="24.95" customHeight="1">
      <c r="A21" s="274" t="e">
        <f>#REF!</f>
        <v>#REF!</v>
      </c>
      <c r="B21" s="275" t="e">
        <f>#REF!</f>
        <v>#REF!</v>
      </c>
      <c r="C21" s="276" t="e">
        <f>#REF!</f>
        <v>#REF!</v>
      </c>
      <c r="D21" s="277" t="e">
        <f>#REF!</f>
        <v>#REF!</v>
      </c>
      <c r="E21" s="277" t="e">
        <f>#REF!</f>
        <v>#REF!</v>
      </c>
      <c r="F21" s="277" t="e">
        <f>#REF!</f>
        <v>#REF!</v>
      </c>
      <c r="G21" s="277" t="e">
        <f>#REF!</f>
        <v>#REF!</v>
      </c>
      <c r="H21" s="277" t="e">
        <f>#REF!</f>
        <v>#REF!</v>
      </c>
      <c r="I21" s="277" t="e">
        <f>#REF!</f>
        <v>#REF!</v>
      </c>
      <c r="J21" s="277" t="e">
        <f>#REF!</f>
        <v>#REF!</v>
      </c>
      <c r="K21" s="277" t="e">
        <f>#REF!</f>
        <v>#REF!</v>
      </c>
      <c r="L21" s="277" t="e">
        <f>#REF!</f>
        <v>#REF!</v>
      </c>
      <c r="M21" s="277" t="e">
        <f>#REF!</f>
        <v>#REF!</v>
      </c>
      <c r="N21" s="277" t="e">
        <f>#REF!</f>
        <v>#REF!</v>
      </c>
      <c r="O21" s="277" t="e">
        <f>#REF!</f>
        <v>#REF!</v>
      </c>
      <c r="P21" s="277" t="e">
        <f>#REF!</f>
        <v>#REF!</v>
      </c>
      <c r="Q21" s="277" t="e">
        <f>#REF!</f>
        <v>#REF!</v>
      </c>
      <c r="R21" s="277" t="e">
        <f>#REF!</f>
        <v>#REF!</v>
      </c>
      <c r="S21" s="277" t="e">
        <f>#REF!</f>
        <v>#REF!</v>
      </c>
      <c r="T21" s="281" t="e">
        <f>#REF!</f>
        <v>#REF!</v>
      </c>
      <c r="U21" s="281" t="e">
        <f>#REF!</f>
        <v>#REF!</v>
      </c>
      <c r="V21" s="281" t="e">
        <f>#REF!</f>
        <v>#REF!</v>
      </c>
      <c r="W21" s="281" t="e">
        <f>#REF!</f>
        <v>#REF!</v>
      </c>
      <c r="X21" s="281" t="e">
        <f>#REF!</f>
        <v>#REF!</v>
      </c>
    </row>
    <row r="22" spans="1:24" ht="24.95" customHeight="1">
      <c r="A22" s="274" t="e">
        <f>#REF!</f>
        <v>#REF!</v>
      </c>
      <c r="B22" s="275" t="e">
        <f>#REF!</f>
        <v>#REF!</v>
      </c>
      <c r="C22" s="276" t="e">
        <f>#REF!</f>
        <v>#REF!</v>
      </c>
      <c r="D22" s="277" t="e">
        <f>#REF!</f>
        <v>#REF!</v>
      </c>
      <c r="E22" s="277" t="e">
        <f>#REF!</f>
        <v>#REF!</v>
      </c>
      <c r="F22" s="277" t="e">
        <f>#REF!</f>
        <v>#REF!</v>
      </c>
      <c r="G22" s="277" t="e">
        <f>#REF!</f>
        <v>#REF!</v>
      </c>
      <c r="H22" s="277" t="e">
        <f>#REF!</f>
        <v>#REF!</v>
      </c>
      <c r="I22" s="277" t="e">
        <f>#REF!</f>
        <v>#REF!</v>
      </c>
      <c r="J22" s="277" t="e">
        <f>#REF!</f>
        <v>#REF!</v>
      </c>
      <c r="K22" s="277" t="e">
        <f>#REF!</f>
        <v>#REF!</v>
      </c>
      <c r="L22" s="277" t="e">
        <f>#REF!</f>
        <v>#REF!</v>
      </c>
      <c r="M22" s="277" t="e">
        <f>#REF!</f>
        <v>#REF!</v>
      </c>
      <c r="N22" s="277" t="e">
        <f>#REF!</f>
        <v>#REF!</v>
      </c>
      <c r="O22" s="277" t="e">
        <f>#REF!</f>
        <v>#REF!</v>
      </c>
      <c r="P22" s="277" t="e">
        <f>#REF!</f>
        <v>#REF!</v>
      </c>
      <c r="Q22" s="277" t="e">
        <f>#REF!</f>
        <v>#REF!</v>
      </c>
      <c r="R22" s="277" t="e">
        <f>#REF!</f>
        <v>#REF!</v>
      </c>
      <c r="S22" s="277" t="e">
        <f>#REF!</f>
        <v>#REF!</v>
      </c>
      <c r="T22" s="281" t="e">
        <f>#REF!</f>
        <v>#REF!</v>
      </c>
      <c r="U22" s="281" t="e">
        <f>#REF!</f>
        <v>#REF!</v>
      </c>
      <c r="V22" s="281" t="e">
        <f>#REF!</f>
        <v>#REF!</v>
      </c>
      <c r="W22" s="281" t="e">
        <f>#REF!</f>
        <v>#REF!</v>
      </c>
      <c r="X22" s="281" t="e">
        <f>#REF!</f>
        <v>#REF!</v>
      </c>
    </row>
    <row r="23" spans="1:24" ht="24.95" customHeight="1">
      <c r="A23" s="274" t="e">
        <f>#REF!</f>
        <v>#REF!</v>
      </c>
      <c r="B23" s="275" t="e">
        <f>#REF!</f>
        <v>#REF!</v>
      </c>
      <c r="C23" s="276" t="e">
        <f>#REF!</f>
        <v>#REF!</v>
      </c>
      <c r="D23" s="277" t="e">
        <f>#REF!</f>
        <v>#REF!</v>
      </c>
      <c r="E23" s="277" t="e">
        <f>#REF!</f>
        <v>#REF!</v>
      </c>
      <c r="F23" s="277" t="e">
        <f>#REF!</f>
        <v>#REF!</v>
      </c>
      <c r="G23" s="277" t="e">
        <f>#REF!</f>
        <v>#REF!</v>
      </c>
      <c r="H23" s="277" t="e">
        <f>#REF!</f>
        <v>#REF!</v>
      </c>
      <c r="I23" s="277" t="e">
        <f>#REF!</f>
        <v>#REF!</v>
      </c>
      <c r="J23" s="277" t="e">
        <f>#REF!</f>
        <v>#REF!</v>
      </c>
      <c r="K23" s="277" t="e">
        <f>#REF!</f>
        <v>#REF!</v>
      </c>
      <c r="L23" s="277" t="e">
        <f>#REF!</f>
        <v>#REF!</v>
      </c>
      <c r="M23" s="277" t="e">
        <f>#REF!</f>
        <v>#REF!</v>
      </c>
      <c r="N23" s="277" t="e">
        <f>#REF!</f>
        <v>#REF!</v>
      </c>
      <c r="O23" s="277" t="e">
        <f>#REF!</f>
        <v>#REF!</v>
      </c>
      <c r="P23" s="277" t="e">
        <f>#REF!</f>
        <v>#REF!</v>
      </c>
      <c r="Q23" s="277" t="e">
        <f>#REF!</f>
        <v>#REF!</v>
      </c>
      <c r="R23" s="277" t="e">
        <f>#REF!</f>
        <v>#REF!</v>
      </c>
      <c r="S23" s="277" t="e">
        <f>#REF!</f>
        <v>#REF!</v>
      </c>
      <c r="T23" s="281" t="e">
        <f>#REF!</f>
        <v>#REF!</v>
      </c>
      <c r="U23" s="281" t="e">
        <f>#REF!</f>
        <v>#REF!</v>
      </c>
      <c r="V23" s="281" t="e">
        <f>#REF!</f>
        <v>#REF!</v>
      </c>
      <c r="W23" s="281" t="e">
        <f>#REF!</f>
        <v>#REF!</v>
      </c>
      <c r="X23" s="281" t="e">
        <f>#REF!</f>
        <v>#REF!</v>
      </c>
    </row>
    <row r="24" spans="1:24" ht="24.95" customHeight="1">
      <c r="A24" s="274" t="e">
        <f>#REF!</f>
        <v>#REF!</v>
      </c>
      <c r="B24" s="275" t="e">
        <f>#REF!</f>
        <v>#REF!</v>
      </c>
      <c r="C24" s="276" t="e">
        <f>#REF!</f>
        <v>#REF!</v>
      </c>
      <c r="D24" s="277" t="e">
        <f>#REF!</f>
        <v>#REF!</v>
      </c>
      <c r="E24" s="277" t="e">
        <f>#REF!</f>
        <v>#REF!</v>
      </c>
      <c r="F24" s="277" t="e">
        <f>#REF!</f>
        <v>#REF!</v>
      </c>
      <c r="G24" s="277" t="e">
        <f>#REF!</f>
        <v>#REF!</v>
      </c>
      <c r="H24" s="277" t="e">
        <f>#REF!</f>
        <v>#REF!</v>
      </c>
      <c r="I24" s="277" t="e">
        <f>#REF!</f>
        <v>#REF!</v>
      </c>
      <c r="J24" s="277" t="e">
        <f>#REF!</f>
        <v>#REF!</v>
      </c>
      <c r="K24" s="277" t="e">
        <f>#REF!</f>
        <v>#REF!</v>
      </c>
      <c r="L24" s="277" t="e">
        <f>#REF!</f>
        <v>#REF!</v>
      </c>
      <c r="M24" s="277" t="e">
        <f>#REF!</f>
        <v>#REF!</v>
      </c>
      <c r="N24" s="277" t="e">
        <f>#REF!</f>
        <v>#REF!</v>
      </c>
      <c r="O24" s="277" t="e">
        <f>#REF!</f>
        <v>#REF!</v>
      </c>
      <c r="P24" s="277" t="e">
        <f>#REF!</f>
        <v>#REF!</v>
      </c>
      <c r="Q24" s="277" t="e">
        <f>#REF!</f>
        <v>#REF!</v>
      </c>
      <c r="R24" s="277" t="e">
        <f>#REF!</f>
        <v>#REF!</v>
      </c>
      <c r="S24" s="277" t="e">
        <f>#REF!</f>
        <v>#REF!</v>
      </c>
      <c r="T24" s="281" t="e">
        <f>#REF!</f>
        <v>#REF!</v>
      </c>
      <c r="U24" s="281" t="e">
        <f>#REF!</f>
        <v>#REF!</v>
      </c>
      <c r="V24" s="281" t="e">
        <f>#REF!</f>
        <v>#REF!</v>
      </c>
      <c r="W24" s="281" t="e">
        <f>#REF!</f>
        <v>#REF!</v>
      </c>
      <c r="X24" s="281" t="e">
        <f>#REF!</f>
        <v>#REF!</v>
      </c>
    </row>
    <row r="25" spans="1:24" ht="24.95" customHeight="1">
      <c r="A25" s="274" t="e">
        <f>#REF!</f>
        <v>#REF!</v>
      </c>
      <c r="B25" s="275" t="e">
        <f>#REF!</f>
        <v>#REF!</v>
      </c>
      <c r="C25" s="276" t="e">
        <f>#REF!</f>
        <v>#REF!</v>
      </c>
      <c r="D25" s="277" t="e">
        <f>#REF!</f>
        <v>#REF!</v>
      </c>
      <c r="E25" s="277" t="e">
        <f>#REF!</f>
        <v>#REF!</v>
      </c>
      <c r="F25" s="277" t="e">
        <f>#REF!</f>
        <v>#REF!</v>
      </c>
      <c r="G25" s="277" t="e">
        <f>#REF!</f>
        <v>#REF!</v>
      </c>
      <c r="H25" s="277" t="e">
        <f>#REF!</f>
        <v>#REF!</v>
      </c>
      <c r="I25" s="277" t="e">
        <f>#REF!</f>
        <v>#REF!</v>
      </c>
      <c r="J25" s="277" t="e">
        <f>#REF!</f>
        <v>#REF!</v>
      </c>
      <c r="K25" s="277" t="e">
        <f>#REF!</f>
        <v>#REF!</v>
      </c>
      <c r="L25" s="277" t="e">
        <f>#REF!</f>
        <v>#REF!</v>
      </c>
      <c r="M25" s="277" t="e">
        <f>#REF!</f>
        <v>#REF!</v>
      </c>
      <c r="N25" s="277" t="e">
        <f>#REF!</f>
        <v>#REF!</v>
      </c>
      <c r="O25" s="277" t="e">
        <f>#REF!</f>
        <v>#REF!</v>
      </c>
      <c r="P25" s="277" t="e">
        <f>#REF!</f>
        <v>#REF!</v>
      </c>
      <c r="Q25" s="277" t="e">
        <f>#REF!</f>
        <v>#REF!</v>
      </c>
      <c r="R25" s="277" t="e">
        <f>#REF!</f>
        <v>#REF!</v>
      </c>
      <c r="S25" s="277" t="e">
        <f>#REF!</f>
        <v>#REF!</v>
      </c>
      <c r="T25" s="281" t="e">
        <f>#REF!</f>
        <v>#REF!</v>
      </c>
      <c r="U25" s="281" t="e">
        <f>#REF!</f>
        <v>#REF!</v>
      </c>
      <c r="V25" s="281" t="e">
        <f>#REF!</f>
        <v>#REF!</v>
      </c>
      <c r="W25" s="281" t="e">
        <f>#REF!</f>
        <v>#REF!</v>
      </c>
      <c r="X25" s="281" t="e">
        <f>#REF!</f>
        <v>#REF!</v>
      </c>
    </row>
    <row r="26" spans="1:24" ht="24.95" customHeight="1">
      <c r="A26" s="274" t="e">
        <f>#REF!</f>
        <v>#REF!</v>
      </c>
      <c r="B26" s="275" t="e">
        <f>#REF!</f>
        <v>#REF!</v>
      </c>
      <c r="C26" s="276" t="e">
        <f>#REF!</f>
        <v>#REF!</v>
      </c>
      <c r="D26" s="277" t="e">
        <f>#REF!</f>
        <v>#REF!</v>
      </c>
      <c r="E26" s="277" t="e">
        <f>#REF!</f>
        <v>#REF!</v>
      </c>
      <c r="F26" s="277" t="e">
        <f>#REF!</f>
        <v>#REF!</v>
      </c>
      <c r="G26" s="277" t="e">
        <f>#REF!</f>
        <v>#REF!</v>
      </c>
      <c r="H26" s="277" t="e">
        <f>#REF!</f>
        <v>#REF!</v>
      </c>
      <c r="I26" s="277" t="e">
        <f>#REF!</f>
        <v>#REF!</v>
      </c>
      <c r="J26" s="277" t="e">
        <f>#REF!</f>
        <v>#REF!</v>
      </c>
      <c r="K26" s="277" t="e">
        <f>#REF!</f>
        <v>#REF!</v>
      </c>
      <c r="L26" s="277" t="e">
        <f>#REF!</f>
        <v>#REF!</v>
      </c>
      <c r="M26" s="277" t="e">
        <f>#REF!</f>
        <v>#REF!</v>
      </c>
      <c r="N26" s="277" t="e">
        <f>#REF!</f>
        <v>#REF!</v>
      </c>
      <c r="O26" s="277" t="e">
        <f>#REF!</f>
        <v>#REF!</v>
      </c>
      <c r="P26" s="277" t="e">
        <f>#REF!</f>
        <v>#REF!</v>
      </c>
      <c r="Q26" s="277" t="e">
        <f>#REF!</f>
        <v>#REF!</v>
      </c>
      <c r="R26" s="277" t="e">
        <f>#REF!</f>
        <v>#REF!</v>
      </c>
      <c r="S26" s="277" t="e">
        <f>#REF!</f>
        <v>#REF!</v>
      </c>
      <c r="T26" s="281" t="e">
        <f>#REF!</f>
        <v>#REF!</v>
      </c>
      <c r="U26" s="281" t="e">
        <f>#REF!</f>
        <v>#REF!</v>
      </c>
      <c r="V26" s="281" t="e">
        <f>#REF!</f>
        <v>#REF!</v>
      </c>
      <c r="W26" s="281" t="e">
        <f>#REF!</f>
        <v>#REF!</v>
      </c>
      <c r="X26" s="281" t="e">
        <f>#REF!</f>
        <v>#REF!</v>
      </c>
    </row>
    <row r="27" spans="1:24" ht="24.95" customHeight="1">
      <c r="A27" s="274" t="e">
        <f>#REF!</f>
        <v>#REF!</v>
      </c>
      <c r="B27" s="275" t="e">
        <f>#REF!</f>
        <v>#REF!</v>
      </c>
      <c r="C27" s="276" t="e">
        <f>#REF!</f>
        <v>#REF!</v>
      </c>
      <c r="D27" s="277" t="e">
        <f>#REF!</f>
        <v>#REF!</v>
      </c>
      <c r="E27" s="277" t="e">
        <f>#REF!</f>
        <v>#REF!</v>
      </c>
      <c r="F27" s="277" t="e">
        <f>#REF!</f>
        <v>#REF!</v>
      </c>
      <c r="G27" s="277" t="e">
        <f>#REF!</f>
        <v>#REF!</v>
      </c>
      <c r="H27" s="277" t="e">
        <f>#REF!</f>
        <v>#REF!</v>
      </c>
      <c r="I27" s="277" t="e">
        <f>#REF!</f>
        <v>#REF!</v>
      </c>
      <c r="J27" s="277" t="e">
        <f>#REF!</f>
        <v>#REF!</v>
      </c>
      <c r="K27" s="277" t="e">
        <f>#REF!</f>
        <v>#REF!</v>
      </c>
      <c r="L27" s="277" t="e">
        <f>#REF!</f>
        <v>#REF!</v>
      </c>
      <c r="M27" s="277" t="e">
        <f>#REF!</f>
        <v>#REF!</v>
      </c>
      <c r="N27" s="277" t="e">
        <f>#REF!</f>
        <v>#REF!</v>
      </c>
      <c r="O27" s="277" t="e">
        <f>#REF!</f>
        <v>#REF!</v>
      </c>
      <c r="P27" s="277" t="e">
        <f>#REF!</f>
        <v>#REF!</v>
      </c>
      <c r="Q27" s="277" t="e">
        <f>#REF!</f>
        <v>#REF!</v>
      </c>
      <c r="R27" s="277" t="e">
        <f>#REF!</f>
        <v>#REF!</v>
      </c>
      <c r="S27" s="277" t="e">
        <f>#REF!</f>
        <v>#REF!</v>
      </c>
      <c r="T27" s="281" t="e">
        <f>#REF!</f>
        <v>#REF!</v>
      </c>
      <c r="U27" s="281" t="e">
        <f>#REF!</f>
        <v>#REF!</v>
      </c>
      <c r="V27" s="281" t="e">
        <f>#REF!</f>
        <v>#REF!</v>
      </c>
      <c r="W27" s="281" t="e">
        <f>#REF!</f>
        <v>#REF!</v>
      </c>
      <c r="X27" s="281" t="e">
        <f>#REF!</f>
        <v>#REF!</v>
      </c>
    </row>
    <row r="28" spans="1:24" ht="24.95" customHeight="1">
      <c r="A28" s="274" t="e">
        <f>#REF!</f>
        <v>#REF!</v>
      </c>
      <c r="B28" s="275" t="e">
        <f>#REF!</f>
        <v>#REF!</v>
      </c>
      <c r="C28" s="276" t="e">
        <f>#REF!</f>
        <v>#REF!</v>
      </c>
      <c r="D28" s="277" t="e">
        <f>#REF!</f>
        <v>#REF!</v>
      </c>
      <c r="E28" s="277" t="e">
        <f>#REF!</f>
        <v>#REF!</v>
      </c>
      <c r="F28" s="277" t="e">
        <f>#REF!</f>
        <v>#REF!</v>
      </c>
      <c r="G28" s="277" t="e">
        <f>#REF!</f>
        <v>#REF!</v>
      </c>
      <c r="H28" s="277" t="e">
        <f>#REF!</f>
        <v>#REF!</v>
      </c>
      <c r="I28" s="277" t="e">
        <f>#REF!</f>
        <v>#REF!</v>
      </c>
      <c r="J28" s="277" t="e">
        <f>#REF!</f>
        <v>#REF!</v>
      </c>
      <c r="K28" s="277" t="e">
        <f>#REF!</f>
        <v>#REF!</v>
      </c>
      <c r="L28" s="277" t="e">
        <f>#REF!</f>
        <v>#REF!</v>
      </c>
      <c r="M28" s="277" t="e">
        <f>#REF!</f>
        <v>#REF!</v>
      </c>
      <c r="N28" s="277" t="e">
        <f>#REF!</f>
        <v>#REF!</v>
      </c>
      <c r="O28" s="277" t="e">
        <f>#REF!</f>
        <v>#REF!</v>
      </c>
      <c r="P28" s="277" t="e">
        <f>#REF!</f>
        <v>#REF!</v>
      </c>
      <c r="Q28" s="277" t="e">
        <f>#REF!</f>
        <v>#REF!</v>
      </c>
      <c r="R28" s="277" t="e">
        <f>#REF!</f>
        <v>#REF!</v>
      </c>
      <c r="S28" s="277" t="e">
        <f>#REF!</f>
        <v>#REF!</v>
      </c>
      <c r="T28" s="281" t="e">
        <f>#REF!</f>
        <v>#REF!</v>
      </c>
      <c r="U28" s="281" t="e">
        <f>#REF!</f>
        <v>#REF!</v>
      </c>
      <c r="V28" s="281" t="e">
        <f>#REF!</f>
        <v>#REF!</v>
      </c>
      <c r="W28" s="281" t="e">
        <f>#REF!</f>
        <v>#REF!</v>
      </c>
      <c r="X28" s="281" t="e">
        <f>#REF!</f>
        <v>#REF!</v>
      </c>
    </row>
    <row r="29" spans="1:24" ht="24.95" customHeight="1">
      <c r="A29" s="274" t="e">
        <f>#REF!</f>
        <v>#REF!</v>
      </c>
      <c r="B29" s="275" t="e">
        <f>#REF!</f>
        <v>#REF!</v>
      </c>
      <c r="C29" s="276" t="e">
        <f>#REF!</f>
        <v>#REF!</v>
      </c>
      <c r="D29" s="277" t="e">
        <f>#REF!</f>
        <v>#REF!</v>
      </c>
      <c r="E29" s="277" t="e">
        <f>#REF!</f>
        <v>#REF!</v>
      </c>
      <c r="F29" s="277" t="e">
        <f>#REF!</f>
        <v>#REF!</v>
      </c>
      <c r="G29" s="277" t="e">
        <f>#REF!</f>
        <v>#REF!</v>
      </c>
      <c r="H29" s="277" t="e">
        <f>#REF!</f>
        <v>#REF!</v>
      </c>
      <c r="I29" s="277" t="e">
        <f>#REF!</f>
        <v>#REF!</v>
      </c>
      <c r="J29" s="277" t="e">
        <f>#REF!</f>
        <v>#REF!</v>
      </c>
      <c r="K29" s="277" t="e">
        <f>#REF!</f>
        <v>#REF!</v>
      </c>
      <c r="L29" s="277" t="e">
        <f>#REF!</f>
        <v>#REF!</v>
      </c>
      <c r="M29" s="277" t="e">
        <f>#REF!</f>
        <v>#REF!</v>
      </c>
      <c r="N29" s="277" t="e">
        <f>#REF!</f>
        <v>#REF!</v>
      </c>
      <c r="O29" s="277" t="e">
        <f>#REF!</f>
        <v>#REF!</v>
      </c>
      <c r="P29" s="277" t="e">
        <f>#REF!</f>
        <v>#REF!</v>
      </c>
      <c r="Q29" s="277" t="e">
        <f>#REF!</f>
        <v>#REF!</v>
      </c>
      <c r="R29" s="277" t="e">
        <f>#REF!</f>
        <v>#REF!</v>
      </c>
      <c r="S29" s="277" t="e">
        <f>#REF!</f>
        <v>#REF!</v>
      </c>
      <c r="T29" s="281" t="e">
        <f>#REF!</f>
        <v>#REF!</v>
      </c>
      <c r="U29" s="281" t="e">
        <f>#REF!</f>
        <v>#REF!</v>
      </c>
      <c r="V29" s="281" t="e">
        <f>#REF!</f>
        <v>#REF!</v>
      </c>
      <c r="W29" s="281" t="e">
        <f>#REF!</f>
        <v>#REF!</v>
      </c>
      <c r="X29" s="281" t="e">
        <f>#REF!</f>
        <v>#REF!</v>
      </c>
    </row>
    <row r="30" spans="1:24" ht="24.95" customHeight="1">
      <c r="A30" s="274" t="e">
        <f>#REF!</f>
        <v>#REF!</v>
      </c>
      <c r="B30" s="275" t="e">
        <f>#REF!</f>
        <v>#REF!</v>
      </c>
      <c r="C30" s="276" t="e">
        <f>#REF!</f>
        <v>#REF!</v>
      </c>
      <c r="D30" s="277" t="e">
        <f>#REF!</f>
        <v>#REF!</v>
      </c>
      <c r="E30" s="277" t="e">
        <f>#REF!</f>
        <v>#REF!</v>
      </c>
      <c r="F30" s="277" t="e">
        <f>#REF!</f>
        <v>#REF!</v>
      </c>
      <c r="G30" s="277" t="e">
        <f>#REF!</f>
        <v>#REF!</v>
      </c>
      <c r="H30" s="277" t="e">
        <f>#REF!</f>
        <v>#REF!</v>
      </c>
      <c r="I30" s="277" t="e">
        <f>#REF!</f>
        <v>#REF!</v>
      </c>
      <c r="J30" s="277" t="e">
        <f>#REF!</f>
        <v>#REF!</v>
      </c>
      <c r="K30" s="277" t="e">
        <f>#REF!</f>
        <v>#REF!</v>
      </c>
      <c r="L30" s="277" t="e">
        <f>#REF!</f>
        <v>#REF!</v>
      </c>
      <c r="M30" s="277" t="e">
        <f>#REF!</f>
        <v>#REF!</v>
      </c>
      <c r="N30" s="277" t="e">
        <f>#REF!</f>
        <v>#REF!</v>
      </c>
      <c r="O30" s="277" t="e">
        <f>#REF!</f>
        <v>#REF!</v>
      </c>
      <c r="P30" s="277" t="e">
        <f>#REF!</f>
        <v>#REF!</v>
      </c>
      <c r="Q30" s="277" t="e">
        <f>#REF!</f>
        <v>#REF!</v>
      </c>
      <c r="R30" s="277" t="e">
        <f>#REF!</f>
        <v>#REF!</v>
      </c>
      <c r="S30" s="277" t="e">
        <f>#REF!</f>
        <v>#REF!</v>
      </c>
      <c r="T30" s="281" t="e">
        <f>#REF!</f>
        <v>#REF!</v>
      </c>
      <c r="U30" s="281" t="e">
        <f>#REF!</f>
        <v>#REF!</v>
      </c>
      <c r="V30" s="281" t="e">
        <f>#REF!</f>
        <v>#REF!</v>
      </c>
      <c r="W30" s="281" t="e">
        <f>#REF!</f>
        <v>#REF!</v>
      </c>
      <c r="X30" s="281" t="e">
        <f>#REF!</f>
        <v>#REF!</v>
      </c>
    </row>
    <row r="31" spans="1:24" ht="24.95" customHeight="1">
      <c r="A31" s="274" t="e">
        <f>#REF!</f>
        <v>#REF!</v>
      </c>
      <c r="B31" s="275" t="e">
        <f>#REF!</f>
        <v>#REF!</v>
      </c>
      <c r="C31" s="276" t="e">
        <f>#REF!</f>
        <v>#REF!</v>
      </c>
      <c r="D31" s="277" t="e">
        <f>#REF!</f>
        <v>#REF!</v>
      </c>
      <c r="E31" s="277" t="e">
        <f>#REF!</f>
        <v>#REF!</v>
      </c>
      <c r="F31" s="277" t="e">
        <f>#REF!</f>
        <v>#REF!</v>
      </c>
      <c r="G31" s="277" t="e">
        <f>#REF!</f>
        <v>#REF!</v>
      </c>
      <c r="H31" s="277" t="e">
        <f>#REF!</f>
        <v>#REF!</v>
      </c>
      <c r="I31" s="277" t="e">
        <f>#REF!</f>
        <v>#REF!</v>
      </c>
      <c r="J31" s="277" t="e">
        <f>#REF!</f>
        <v>#REF!</v>
      </c>
      <c r="K31" s="277" t="e">
        <f>#REF!</f>
        <v>#REF!</v>
      </c>
      <c r="L31" s="277" t="e">
        <f>#REF!</f>
        <v>#REF!</v>
      </c>
      <c r="M31" s="277" t="e">
        <f>#REF!</f>
        <v>#REF!</v>
      </c>
      <c r="N31" s="277" t="e">
        <f>#REF!</f>
        <v>#REF!</v>
      </c>
      <c r="O31" s="277" t="e">
        <f>#REF!</f>
        <v>#REF!</v>
      </c>
      <c r="P31" s="277" t="e">
        <f>#REF!</f>
        <v>#REF!</v>
      </c>
      <c r="Q31" s="277" t="e">
        <f>#REF!</f>
        <v>#REF!</v>
      </c>
      <c r="R31" s="277" t="e">
        <f>#REF!</f>
        <v>#REF!</v>
      </c>
      <c r="S31" s="277" t="e">
        <f>#REF!</f>
        <v>#REF!</v>
      </c>
      <c r="T31" s="281" t="e">
        <f>#REF!</f>
        <v>#REF!</v>
      </c>
      <c r="U31" s="281" t="e">
        <f>#REF!</f>
        <v>#REF!</v>
      </c>
      <c r="V31" s="281" t="e">
        <f>#REF!</f>
        <v>#REF!</v>
      </c>
      <c r="W31" s="281" t="e">
        <f>#REF!</f>
        <v>#REF!</v>
      </c>
      <c r="X31" s="281" t="e">
        <f>#REF!</f>
        <v>#REF!</v>
      </c>
    </row>
    <row r="32" spans="1:24" ht="24.95" customHeight="1">
      <c r="A32" s="274" t="e">
        <f>#REF!</f>
        <v>#REF!</v>
      </c>
      <c r="B32" s="275" t="e">
        <f>#REF!</f>
        <v>#REF!</v>
      </c>
      <c r="C32" s="276" t="e">
        <f>#REF!</f>
        <v>#REF!</v>
      </c>
      <c r="D32" s="277" t="e">
        <f>#REF!</f>
        <v>#REF!</v>
      </c>
      <c r="E32" s="277" t="e">
        <f>#REF!</f>
        <v>#REF!</v>
      </c>
      <c r="F32" s="277" t="e">
        <f>#REF!</f>
        <v>#REF!</v>
      </c>
      <c r="G32" s="277" t="e">
        <f>#REF!</f>
        <v>#REF!</v>
      </c>
      <c r="H32" s="277" t="e">
        <f>#REF!</f>
        <v>#REF!</v>
      </c>
      <c r="I32" s="277" t="e">
        <f>#REF!</f>
        <v>#REF!</v>
      </c>
      <c r="J32" s="277" t="e">
        <f>#REF!</f>
        <v>#REF!</v>
      </c>
      <c r="K32" s="277" t="e">
        <f>#REF!</f>
        <v>#REF!</v>
      </c>
      <c r="L32" s="277" t="e">
        <f>#REF!</f>
        <v>#REF!</v>
      </c>
      <c r="M32" s="277" t="e">
        <f>#REF!</f>
        <v>#REF!</v>
      </c>
      <c r="N32" s="277" t="e">
        <f>#REF!</f>
        <v>#REF!</v>
      </c>
      <c r="O32" s="277" t="e">
        <f>#REF!</f>
        <v>#REF!</v>
      </c>
      <c r="P32" s="277" t="e">
        <f>#REF!</f>
        <v>#REF!</v>
      </c>
      <c r="Q32" s="277" t="e">
        <f>#REF!</f>
        <v>#REF!</v>
      </c>
      <c r="R32" s="277" t="e">
        <f>#REF!</f>
        <v>#REF!</v>
      </c>
      <c r="S32" s="277" t="e">
        <f>#REF!</f>
        <v>#REF!</v>
      </c>
      <c r="T32" s="281" t="e">
        <f>#REF!</f>
        <v>#REF!</v>
      </c>
      <c r="U32" s="281" t="e">
        <f>#REF!</f>
        <v>#REF!</v>
      </c>
      <c r="V32" s="281" t="e">
        <f>#REF!</f>
        <v>#REF!</v>
      </c>
      <c r="W32" s="281" t="e">
        <f>#REF!</f>
        <v>#REF!</v>
      </c>
      <c r="X32" s="281" t="e">
        <f>#REF!</f>
        <v>#REF!</v>
      </c>
    </row>
    <row r="33" spans="1:24" ht="24.95" customHeight="1">
      <c r="A33" s="274" t="e">
        <f>#REF!</f>
        <v>#REF!</v>
      </c>
      <c r="B33" s="275" t="e">
        <f>#REF!</f>
        <v>#REF!</v>
      </c>
      <c r="C33" s="276" t="e">
        <f>#REF!</f>
        <v>#REF!</v>
      </c>
      <c r="D33" s="277" t="e">
        <f>#REF!</f>
        <v>#REF!</v>
      </c>
      <c r="E33" s="277" t="e">
        <f>#REF!</f>
        <v>#REF!</v>
      </c>
      <c r="F33" s="277" t="e">
        <f>#REF!</f>
        <v>#REF!</v>
      </c>
      <c r="G33" s="277" t="e">
        <f>#REF!</f>
        <v>#REF!</v>
      </c>
      <c r="H33" s="277" t="e">
        <f>#REF!</f>
        <v>#REF!</v>
      </c>
      <c r="I33" s="277" t="e">
        <f>#REF!</f>
        <v>#REF!</v>
      </c>
      <c r="J33" s="277" t="e">
        <f>#REF!</f>
        <v>#REF!</v>
      </c>
      <c r="K33" s="277" t="e">
        <f>#REF!</f>
        <v>#REF!</v>
      </c>
      <c r="L33" s="277" t="e">
        <f>#REF!</f>
        <v>#REF!</v>
      </c>
      <c r="M33" s="277" t="e">
        <f>#REF!</f>
        <v>#REF!</v>
      </c>
      <c r="N33" s="277" t="e">
        <f>#REF!</f>
        <v>#REF!</v>
      </c>
      <c r="O33" s="277" t="e">
        <f>#REF!</f>
        <v>#REF!</v>
      </c>
      <c r="P33" s="277" t="e">
        <f>#REF!</f>
        <v>#REF!</v>
      </c>
      <c r="Q33" s="277" t="e">
        <f>#REF!</f>
        <v>#REF!</v>
      </c>
      <c r="R33" s="277" t="e">
        <f>#REF!</f>
        <v>#REF!</v>
      </c>
      <c r="S33" s="277" t="e">
        <f>#REF!</f>
        <v>#REF!</v>
      </c>
      <c r="T33" s="281" t="e">
        <f>#REF!</f>
        <v>#REF!</v>
      </c>
      <c r="U33" s="281" t="e">
        <f>#REF!</f>
        <v>#REF!</v>
      </c>
      <c r="V33" s="281" t="e">
        <f>#REF!</f>
        <v>#REF!</v>
      </c>
      <c r="W33" s="281" t="e">
        <f>#REF!</f>
        <v>#REF!</v>
      </c>
      <c r="X33" s="281" t="e">
        <f>#REF!</f>
        <v>#REF!</v>
      </c>
    </row>
    <row r="34" spans="1:24" ht="24.95" customHeight="1">
      <c r="A34" s="274" t="e">
        <f>#REF!</f>
        <v>#REF!</v>
      </c>
      <c r="B34" s="275" t="e">
        <f>#REF!</f>
        <v>#REF!</v>
      </c>
      <c r="C34" s="276" t="e">
        <f>#REF!</f>
        <v>#REF!</v>
      </c>
      <c r="D34" s="277" t="e">
        <f>#REF!</f>
        <v>#REF!</v>
      </c>
      <c r="E34" s="277" t="e">
        <f>#REF!</f>
        <v>#REF!</v>
      </c>
      <c r="F34" s="277" t="e">
        <f>#REF!</f>
        <v>#REF!</v>
      </c>
      <c r="G34" s="277" t="e">
        <f>#REF!</f>
        <v>#REF!</v>
      </c>
      <c r="H34" s="277" t="e">
        <f>#REF!</f>
        <v>#REF!</v>
      </c>
      <c r="I34" s="277" t="e">
        <f>#REF!</f>
        <v>#REF!</v>
      </c>
      <c r="J34" s="277" t="e">
        <f>#REF!</f>
        <v>#REF!</v>
      </c>
      <c r="K34" s="277" t="e">
        <f>#REF!</f>
        <v>#REF!</v>
      </c>
      <c r="L34" s="277" t="e">
        <f>#REF!</f>
        <v>#REF!</v>
      </c>
      <c r="M34" s="277" t="e">
        <f>#REF!</f>
        <v>#REF!</v>
      </c>
      <c r="N34" s="277" t="e">
        <f>#REF!</f>
        <v>#REF!</v>
      </c>
      <c r="O34" s="277" t="e">
        <f>#REF!</f>
        <v>#REF!</v>
      </c>
      <c r="P34" s="277" t="e">
        <f>#REF!</f>
        <v>#REF!</v>
      </c>
      <c r="Q34" s="277" t="e">
        <f>#REF!</f>
        <v>#REF!</v>
      </c>
      <c r="R34" s="277" t="e">
        <f>#REF!</f>
        <v>#REF!</v>
      </c>
      <c r="S34" s="277" t="e">
        <f>#REF!</f>
        <v>#REF!</v>
      </c>
      <c r="T34" s="281" t="e">
        <f>#REF!</f>
        <v>#REF!</v>
      </c>
      <c r="U34" s="281" t="e">
        <f>#REF!</f>
        <v>#REF!</v>
      </c>
      <c r="V34" s="281" t="e">
        <f>#REF!</f>
        <v>#REF!</v>
      </c>
      <c r="W34" s="281" t="e">
        <f>#REF!</f>
        <v>#REF!</v>
      </c>
      <c r="X34" s="281" t="e">
        <f>#REF!</f>
        <v>#REF!</v>
      </c>
    </row>
    <row r="35" spans="1:24" ht="24.95" customHeight="1">
      <c r="A35" s="274" t="e">
        <f>#REF!</f>
        <v>#REF!</v>
      </c>
      <c r="B35" s="275" t="e">
        <f>#REF!</f>
        <v>#REF!</v>
      </c>
      <c r="C35" s="276" t="e">
        <f>#REF!</f>
        <v>#REF!</v>
      </c>
      <c r="D35" s="277" t="e">
        <f>#REF!</f>
        <v>#REF!</v>
      </c>
      <c r="E35" s="277" t="e">
        <f>#REF!</f>
        <v>#REF!</v>
      </c>
      <c r="F35" s="277" t="e">
        <f>#REF!</f>
        <v>#REF!</v>
      </c>
      <c r="G35" s="277" t="e">
        <f>#REF!</f>
        <v>#REF!</v>
      </c>
      <c r="H35" s="277" t="e">
        <f>#REF!</f>
        <v>#REF!</v>
      </c>
      <c r="I35" s="277" t="e">
        <f>#REF!</f>
        <v>#REF!</v>
      </c>
      <c r="J35" s="277" t="e">
        <f>#REF!</f>
        <v>#REF!</v>
      </c>
      <c r="K35" s="277" t="e">
        <f>#REF!</f>
        <v>#REF!</v>
      </c>
      <c r="L35" s="277" t="e">
        <f>#REF!</f>
        <v>#REF!</v>
      </c>
      <c r="M35" s="277" t="e">
        <f>#REF!</f>
        <v>#REF!</v>
      </c>
      <c r="N35" s="277" t="e">
        <f>#REF!</f>
        <v>#REF!</v>
      </c>
      <c r="O35" s="277" t="e">
        <f>#REF!</f>
        <v>#REF!</v>
      </c>
      <c r="P35" s="277" t="e">
        <f>#REF!</f>
        <v>#REF!</v>
      </c>
      <c r="Q35" s="277" t="e">
        <f>#REF!</f>
        <v>#REF!</v>
      </c>
      <c r="R35" s="277" t="e">
        <f>#REF!</f>
        <v>#REF!</v>
      </c>
      <c r="S35" s="277" t="e">
        <f>#REF!</f>
        <v>#REF!</v>
      </c>
      <c r="T35" s="281" t="e">
        <f>#REF!</f>
        <v>#REF!</v>
      </c>
      <c r="U35" s="281" t="e">
        <f>#REF!</f>
        <v>#REF!</v>
      </c>
      <c r="V35" s="281" t="e">
        <f>#REF!</f>
        <v>#REF!</v>
      </c>
      <c r="W35" s="281" t="e">
        <f>#REF!</f>
        <v>#REF!</v>
      </c>
      <c r="X35" s="281" t="e">
        <f>#REF!</f>
        <v>#REF!</v>
      </c>
    </row>
    <row r="36" spans="1:24" ht="24.95" customHeight="1">
      <c r="A36" s="274" t="e">
        <f>#REF!</f>
        <v>#REF!</v>
      </c>
      <c r="B36" s="275" t="e">
        <f>#REF!</f>
        <v>#REF!</v>
      </c>
      <c r="C36" s="276" t="e">
        <f>#REF!</f>
        <v>#REF!</v>
      </c>
      <c r="D36" s="277" t="e">
        <f>#REF!</f>
        <v>#REF!</v>
      </c>
      <c r="E36" s="277" t="e">
        <f>#REF!</f>
        <v>#REF!</v>
      </c>
      <c r="F36" s="277" t="e">
        <f>#REF!</f>
        <v>#REF!</v>
      </c>
      <c r="G36" s="277" t="e">
        <f>#REF!</f>
        <v>#REF!</v>
      </c>
      <c r="H36" s="277" t="e">
        <f>#REF!</f>
        <v>#REF!</v>
      </c>
      <c r="I36" s="277" t="e">
        <f>#REF!</f>
        <v>#REF!</v>
      </c>
      <c r="J36" s="277" t="e">
        <f>#REF!</f>
        <v>#REF!</v>
      </c>
      <c r="K36" s="277" t="e">
        <f>#REF!</f>
        <v>#REF!</v>
      </c>
      <c r="L36" s="277" t="e">
        <f>#REF!</f>
        <v>#REF!</v>
      </c>
      <c r="M36" s="277" t="e">
        <f>#REF!</f>
        <v>#REF!</v>
      </c>
      <c r="N36" s="277" t="e">
        <f>#REF!</f>
        <v>#REF!</v>
      </c>
      <c r="O36" s="277" t="e">
        <f>#REF!</f>
        <v>#REF!</v>
      </c>
      <c r="P36" s="277" t="e">
        <f>#REF!</f>
        <v>#REF!</v>
      </c>
      <c r="Q36" s="277" t="e">
        <f>#REF!</f>
        <v>#REF!</v>
      </c>
      <c r="R36" s="277" t="e">
        <f>#REF!</f>
        <v>#REF!</v>
      </c>
      <c r="S36" s="277" t="e">
        <f>#REF!</f>
        <v>#REF!</v>
      </c>
      <c r="T36" s="281" t="e">
        <f>#REF!</f>
        <v>#REF!</v>
      </c>
      <c r="U36" s="281" t="e">
        <f>#REF!</f>
        <v>#REF!</v>
      </c>
      <c r="V36" s="281" t="e">
        <f>#REF!</f>
        <v>#REF!</v>
      </c>
      <c r="W36" s="281" t="e">
        <f>#REF!</f>
        <v>#REF!</v>
      </c>
      <c r="X36" s="281" t="e">
        <f>#REF!</f>
        <v>#REF!</v>
      </c>
    </row>
    <row r="37" spans="1:24" ht="24.95" customHeight="1">
      <c r="A37" s="274" t="e">
        <f>#REF!</f>
        <v>#REF!</v>
      </c>
      <c r="B37" s="275" t="e">
        <f>#REF!</f>
        <v>#REF!</v>
      </c>
      <c r="C37" s="276" t="e">
        <f>#REF!</f>
        <v>#REF!</v>
      </c>
      <c r="D37" s="277" t="e">
        <f>#REF!</f>
        <v>#REF!</v>
      </c>
      <c r="E37" s="277" t="e">
        <f>#REF!</f>
        <v>#REF!</v>
      </c>
      <c r="F37" s="277" t="e">
        <f>#REF!</f>
        <v>#REF!</v>
      </c>
      <c r="G37" s="277" t="e">
        <f>#REF!</f>
        <v>#REF!</v>
      </c>
      <c r="H37" s="277" t="e">
        <f>#REF!</f>
        <v>#REF!</v>
      </c>
      <c r="I37" s="277" t="e">
        <f>#REF!</f>
        <v>#REF!</v>
      </c>
      <c r="J37" s="277" t="e">
        <f>#REF!</f>
        <v>#REF!</v>
      </c>
      <c r="K37" s="277" t="e">
        <f>#REF!</f>
        <v>#REF!</v>
      </c>
      <c r="L37" s="277" t="e">
        <f>#REF!</f>
        <v>#REF!</v>
      </c>
      <c r="M37" s="277" t="e">
        <f>#REF!</f>
        <v>#REF!</v>
      </c>
      <c r="N37" s="277" t="e">
        <f>#REF!</f>
        <v>#REF!</v>
      </c>
      <c r="O37" s="277" t="e">
        <f>#REF!</f>
        <v>#REF!</v>
      </c>
      <c r="P37" s="277" t="e">
        <f>#REF!</f>
        <v>#REF!</v>
      </c>
      <c r="Q37" s="277" t="e">
        <f>#REF!</f>
        <v>#REF!</v>
      </c>
      <c r="R37" s="277" t="e">
        <f>#REF!</f>
        <v>#REF!</v>
      </c>
      <c r="S37" s="277" t="e">
        <f>#REF!</f>
        <v>#REF!</v>
      </c>
      <c r="T37" s="281" t="e">
        <f>#REF!</f>
        <v>#REF!</v>
      </c>
      <c r="U37" s="281" t="e">
        <f>#REF!</f>
        <v>#REF!</v>
      </c>
      <c r="V37" s="281" t="e">
        <f>#REF!</f>
        <v>#REF!</v>
      </c>
      <c r="W37" s="281" t="e">
        <f>#REF!</f>
        <v>#REF!</v>
      </c>
      <c r="X37" s="281" t="e">
        <f>#REF!</f>
        <v>#REF!</v>
      </c>
    </row>
    <row r="38" spans="1:24" ht="24.95" customHeight="1">
      <c r="A38" s="274" t="e">
        <f>#REF!</f>
        <v>#REF!</v>
      </c>
      <c r="B38" s="275" t="e">
        <f>#REF!</f>
        <v>#REF!</v>
      </c>
      <c r="C38" s="276" t="e">
        <f>#REF!</f>
        <v>#REF!</v>
      </c>
      <c r="D38" s="277" t="e">
        <f>#REF!</f>
        <v>#REF!</v>
      </c>
      <c r="E38" s="277" t="e">
        <f>#REF!</f>
        <v>#REF!</v>
      </c>
      <c r="F38" s="277" t="e">
        <f>#REF!</f>
        <v>#REF!</v>
      </c>
      <c r="G38" s="277" t="e">
        <f>#REF!</f>
        <v>#REF!</v>
      </c>
      <c r="H38" s="277" t="e">
        <f>#REF!</f>
        <v>#REF!</v>
      </c>
      <c r="I38" s="277" t="e">
        <f>#REF!</f>
        <v>#REF!</v>
      </c>
      <c r="J38" s="277" t="e">
        <f>#REF!</f>
        <v>#REF!</v>
      </c>
      <c r="K38" s="277" t="e">
        <f>#REF!</f>
        <v>#REF!</v>
      </c>
      <c r="L38" s="277" t="e">
        <f>#REF!</f>
        <v>#REF!</v>
      </c>
      <c r="M38" s="277" t="e">
        <f>#REF!</f>
        <v>#REF!</v>
      </c>
      <c r="N38" s="277" t="e">
        <f>#REF!</f>
        <v>#REF!</v>
      </c>
      <c r="O38" s="277" t="e">
        <f>#REF!</f>
        <v>#REF!</v>
      </c>
      <c r="P38" s="277" t="e">
        <f>#REF!</f>
        <v>#REF!</v>
      </c>
      <c r="Q38" s="277" t="e">
        <f>#REF!</f>
        <v>#REF!</v>
      </c>
      <c r="R38" s="277" t="e">
        <f>#REF!</f>
        <v>#REF!</v>
      </c>
      <c r="S38" s="277" t="e">
        <f>#REF!</f>
        <v>#REF!</v>
      </c>
      <c r="T38" s="281" t="e">
        <f>#REF!</f>
        <v>#REF!</v>
      </c>
      <c r="U38" s="281" t="e">
        <f>#REF!</f>
        <v>#REF!</v>
      </c>
      <c r="V38" s="281" t="e">
        <f>#REF!</f>
        <v>#REF!</v>
      </c>
      <c r="W38" s="281" t="e">
        <f>#REF!</f>
        <v>#REF!</v>
      </c>
      <c r="X38" s="281" t="e">
        <f>#REF!</f>
        <v>#REF!</v>
      </c>
    </row>
    <row r="39" spans="1:24" ht="24.95" customHeight="1">
      <c r="A39" s="274" t="e">
        <f>#REF!</f>
        <v>#REF!</v>
      </c>
      <c r="B39" s="275" t="e">
        <f>#REF!</f>
        <v>#REF!</v>
      </c>
      <c r="C39" s="276" t="e">
        <f>#REF!</f>
        <v>#REF!</v>
      </c>
      <c r="D39" s="277" t="e">
        <f>#REF!</f>
        <v>#REF!</v>
      </c>
      <c r="E39" s="277" t="e">
        <f>#REF!</f>
        <v>#REF!</v>
      </c>
      <c r="F39" s="277" t="e">
        <f>#REF!</f>
        <v>#REF!</v>
      </c>
      <c r="G39" s="277" t="e">
        <f>#REF!</f>
        <v>#REF!</v>
      </c>
      <c r="H39" s="277" t="e">
        <f>#REF!</f>
        <v>#REF!</v>
      </c>
      <c r="I39" s="277" t="e">
        <f>#REF!</f>
        <v>#REF!</v>
      </c>
      <c r="J39" s="277" t="e">
        <f>#REF!</f>
        <v>#REF!</v>
      </c>
      <c r="K39" s="277" t="e">
        <f>#REF!</f>
        <v>#REF!</v>
      </c>
      <c r="L39" s="277" t="e">
        <f>#REF!</f>
        <v>#REF!</v>
      </c>
      <c r="M39" s="277" t="e">
        <f>#REF!</f>
        <v>#REF!</v>
      </c>
      <c r="N39" s="277" t="e">
        <f>#REF!</f>
        <v>#REF!</v>
      </c>
      <c r="O39" s="277" t="e">
        <f>#REF!</f>
        <v>#REF!</v>
      </c>
      <c r="P39" s="277" t="e">
        <f>#REF!</f>
        <v>#REF!</v>
      </c>
      <c r="Q39" s="277" t="e">
        <f>#REF!</f>
        <v>#REF!</v>
      </c>
      <c r="R39" s="277" t="e">
        <f>#REF!</f>
        <v>#REF!</v>
      </c>
      <c r="S39" s="277" t="e">
        <f>#REF!</f>
        <v>#REF!</v>
      </c>
      <c r="T39" s="281" t="e">
        <f>#REF!</f>
        <v>#REF!</v>
      </c>
      <c r="U39" s="281" t="e">
        <f>#REF!</f>
        <v>#REF!</v>
      </c>
      <c r="V39" s="281" t="e">
        <f>#REF!</f>
        <v>#REF!</v>
      </c>
      <c r="W39" s="281" t="e">
        <f>#REF!</f>
        <v>#REF!</v>
      </c>
      <c r="X39" s="281" t="e">
        <f>#REF!</f>
        <v>#REF!</v>
      </c>
    </row>
    <row r="40" spans="1:24" ht="24.95" customHeight="1">
      <c r="A40" s="274" t="e">
        <f>#REF!</f>
        <v>#REF!</v>
      </c>
      <c r="B40" s="275" t="e">
        <f>#REF!</f>
        <v>#REF!</v>
      </c>
      <c r="C40" s="276" t="e">
        <f>#REF!</f>
        <v>#REF!</v>
      </c>
      <c r="D40" s="277" t="e">
        <f>#REF!</f>
        <v>#REF!</v>
      </c>
      <c r="E40" s="277" t="e">
        <f>#REF!</f>
        <v>#REF!</v>
      </c>
      <c r="F40" s="277" t="e">
        <f>#REF!</f>
        <v>#REF!</v>
      </c>
      <c r="G40" s="277" t="e">
        <f>#REF!</f>
        <v>#REF!</v>
      </c>
      <c r="H40" s="277" t="e">
        <f>#REF!</f>
        <v>#REF!</v>
      </c>
      <c r="I40" s="277" t="e">
        <f>#REF!</f>
        <v>#REF!</v>
      </c>
      <c r="J40" s="277" t="e">
        <f>#REF!</f>
        <v>#REF!</v>
      </c>
      <c r="K40" s="277" t="e">
        <f>#REF!</f>
        <v>#REF!</v>
      </c>
      <c r="L40" s="277" t="e">
        <f>#REF!</f>
        <v>#REF!</v>
      </c>
      <c r="M40" s="277" t="e">
        <f>#REF!</f>
        <v>#REF!</v>
      </c>
      <c r="N40" s="277" t="e">
        <f>#REF!</f>
        <v>#REF!</v>
      </c>
      <c r="O40" s="277" t="e">
        <f>#REF!</f>
        <v>#REF!</v>
      </c>
      <c r="P40" s="277" t="e">
        <f>#REF!</f>
        <v>#REF!</v>
      </c>
      <c r="Q40" s="277" t="e">
        <f>#REF!</f>
        <v>#REF!</v>
      </c>
      <c r="R40" s="277" t="e">
        <f>#REF!</f>
        <v>#REF!</v>
      </c>
      <c r="S40" s="277" t="e">
        <f>#REF!</f>
        <v>#REF!</v>
      </c>
      <c r="T40" s="281" t="e">
        <f>#REF!</f>
        <v>#REF!</v>
      </c>
      <c r="U40" s="281" t="e">
        <f>#REF!</f>
        <v>#REF!</v>
      </c>
      <c r="V40" s="281" t="e">
        <f>#REF!</f>
        <v>#REF!</v>
      </c>
      <c r="W40" s="281" t="e">
        <f>#REF!</f>
        <v>#REF!</v>
      </c>
      <c r="X40" s="281" t="e">
        <f>#REF!</f>
        <v>#REF!</v>
      </c>
    </row>
    <row r="41" spans="1:24" ht="24.95" customHeight="1">
      <c r="A41" s="274" t="e">
        <f>#REF!</f>
        <v>#REF!</v>
      </c>
      <c r="B41" s="275" t="e">
        <f>#REF!</f>
        <v>#REF!</v>
      </c>
      <c r="C41" s="276" t="e">
        <f>#REF!</f>
        <v>#REF!</v>
      </c>
      <c r="D41" s="277" t="e">
        <f>#REF!</f>
        <v>#REF!</v>
      </c>
      <c r="E41" s="277" t="e">
        <f>#REF!</f>
        <v>#REF!</v>
      </c>
      <c r="F41" s="277" t="e">
        <f>#REF!</f>
        <v>#REF!</v>
      </c>
      <c r="G41" s="277" t="e">
        <f>#REF!</f>
        <v>#REF!</v>
      </c>
      <c r="H41" s="277" t="e">
        <f>#REF!</f>
        <v>#REF!</v>
      </c>
      <c r="I41" s="277" t="e">
        <f>#REF!</f>
        <v>#REF!</v>
      </c>
      <c r="J41" s="277" t="e">
        <f>#REF!</f>
        <v>#REF!</v>
      </c>
      <c r="K41" s="277" t="e">
        <f>#REF!</f>
        <v>#REF!</v>
      </c>
      <c r="L41" s="277" t="e">
        <f>#REF!</f>
        <v>#REF!</v>
      </c>
      <c r="M41" s="277" t="e">
        <f>#REF!</f>
        <v>#REF!</v>
      </c>
      <c r="N41" s="277" t="e">
        <f>#REF!</f>
        <v>#REF!</v>
      </c>
      <c r="O41" s="277" t="e">
        <f>#REF!</f>
        <v>#REF!</v>
      </c>
      <c r="P41" s="277" t="e">
        <f>#REF!</f>
        <v>#REF!</v>
      </c>
      <c r="Q41" s="277" t="e">
        <f>#REF!</f>
        <v>#REF!</v>
      </c>
      <c r="R41" s="277" t="e">
        <f>#REF!</f>
        <v>#REF!</v>
      </c>
      <c r="S41" s="277" t="e">
        <f>#REF!</f>
        <v>#REF!</v>
      </c>
      <c r="T41" s="281" t="e">
        <f>#REF!</f>
        <v>#REF!</v>
      </c>
      <c r="U41" s="281" t="e">
        <f>#REF!</f>
        <v>#REF!</v>
      </c>
      <c r="V41" s="281" t="e">
        <f>#REF!</f>
        <v>#REF!</v>
      </c>
      <c r="W41" s="281" t="e">
        <f>#REF!</f>
        <v>#REF!</v>
      </c>
      <c r="X41" s="281" t="e">
        <f>#REF!</f>
        <v>#REF!</v>
      </c>
    </row>
    <row r="42" spans="1:24" ht="24.95" customHeight="1">
      <c r="A42" s="274" t="e">
        <f>#REF!</f>
        <v>#REF!</v>
      </c>
      <c r="B42" s="275" t="e">
        <f>#REF!</f>
        <v>#REF!</v>
      </c>
      <c r="C42" s="276" t="e">
        <f>#REF!</f>
        <v>#REF!</v>
      </c>
      <c r="D42" s="277" t="e">
        <f>#REF!</f>
        <v>#REF!</v>
      </c>
      <c r="E42" s="277" t="e">
        <f>#REF!</f>
        <v>#REF!</v>
      </c>
      <c r="F42" s="277" t="e">
        <f>#REF!</f>
        <v>#REF!</v>
      </c>
      <c r="G42" s="277" t="e">
        <f>#REF!</f>
        <v>#REF!</v>
      </c>
      <c r="H42" s="277" t="e">
        <f>#REF!</f>
        <v>#REF!</v>
      </c>
      <c r="I42" s="277" t="e">
        <f>#REF!</f>
        <v>#REF!</v>
      </c>
      <c r="J42" s="277" t="e">
        <f>#REF!</f>
        <v>#REF!</v>
      </c>
      <c r="K42" s="277" t="e">
        <f>#REF!</f>
        <v>#REF!</v>
      </c>
      <c r="L42" s="277" t="e">
        <f>#REF!</f>
        <v>#REF!</v>
      </c>
      <c r="M42" s="277" t="e">
        <f>#REF!</f>
        <v>#REF!</v>
      </c>
      <c r="N42" s="277" t="e">
        <f>#REF!</f>
        <v>#REF!</v>
      </c>
      <c r="O42" s="277" t="e">
        <f>#REF!</f>
        <v>#REF!</v>
      </c>
      <c r="P42" s="277" t="e">
        <f>#REF!</f>
        <v>#REF!</v>
      </c>
      <c r="Q42" s="277" t="e">
        <f>#REF!</f>
        <v>#REF!</v>
      </c>
      <c r="R42" s="277" t="e">
        <f>#REF!</f>
        <v>#REF!</v>
      </c>
      <c r="S42" s="277" t="e">
        <f>#REF!</f>
        <v>#REF!</v>
      </c>
      <c r="T42" s="281" t="e">
        <f>#REF!</f>
        <v>#REF!</v>
      </c>
      <c r="U42" s="281" t="e">
        <f>#REF!</f>
        <v>#REF!</v>
      </c>
      <c r="V42" s="281" t="e">
        <f>#REF!</f>
        <v>#REF!</v>
      </c>
      <c r="W42" s="281" t="e">
        <f>#REF!</f>
        <v>#REF!</v>
      </c>
      <c r="X42" s="281" t="e">
        <f>#REF!</f>
        <v>#REF!</v>
      </c>
    </row>
    <row r="43" spans="1:24" ht="24.95" customHeight="1">
      <c r="A43" s="274" t="e">
        <f>#REF!</f>
        <v>#REF!</v>
      </c>
      <c r="B43" s="275" t="e">
        <f>#REF!</f>
        <v>#REF!</v>
      </c>
      <c r="C43" s="276" t="e">
        <f>#REF!</f>
        <v>#REF!</v>
      </c>
      <c r="D43" s="277" t="e">
        <f>#REF!</f>
        <v>#REF!</v>
      </c>
      <c r="E43" s="277" t="e">
        <f>#REF!</f>
        <v>#REF!</v>
      </c>
      <c r="F43" s="277" t="e">
        <f>#REF!</f>
        <v>#REF!</v>
      </c>
      <c r="G43" s="277" t="e">
        <f>#REF!</f>
        <v>#REF!</v>
      </c>
      <c r="H43" s="277" t="e">
        <f>#REF!</f>
        <v>#REF!</v>
      </c>
      <c r="I43" s="277" t="e">
        <f>#REF!</f>
        <v>#REF!</v>
      </c>
      <c r="J43" s="277" t="e">
        <f>#REF!</f>
        <v>#REF!</v>
      </c>
      <c r="K43" s="277" t="e">
        <f>#REF!</f>
        <v>#REF!</v>
      </c>
      <c r="L43" s="277" t="e">
        <f>#REF!</f>
        <v>#REF!</v>
      </c>
      <c r="M43" s="277" t="e">
        <f>#REF!</f>
        <v>#REF!</v>
      </c>
      <c r="N43" s="277" t="e">
        <f>#REF!</f>
        <v>#REF!</v>
      </c>
      <c r="O43" s="277" t="e">
        <f>#REF!</f>
        <v>#REF!</v>
      </c>
      <c r="P43" s="277" t="e">
        <f>#REF!</f>
        <v>#REF!</v>
      </c>
      <c r="Q43" s="277" t="e">
        <f>#REF!</f>
        <v>#REF!</v>
      </c>
      <c r="R43" s="277" t="e">
        <f>#REF!</f>
        <v>#REF!</v>
      </c>
      <c r="S43" s="277" t="e">
        <f>#REF!</f>
        <v>#REF!</v>
      </c>
      <c r="T43" s="281" t="e">
        <f>#REF!</f>
        <v>#REF!</v>
      </c>
      <c r="U43" s="281" t="e">
        <f>#REF!</f>
        <v>#REF!</v>
      </c>
      <c r="V43" s="281" t="e">
        <f>#REF!</f>
        <v>#REF!</v>
      </c>
      <c r="W43" s="281" t="e">
        <f>#REF!</f>
        <v>#REF!</v>
      </c>
      <c r="X43" s="281" t="e">
        <f>#REF!</f>
        <v>#REF!</v>
      </c>
    </row>
    <row r="44" spans="1:24" ht="24.95" customHeight="1">
      <c r="A44" s="274" t="e">
        <f>#REF!</f>
        <v>#REF!</v>
      </c>
      <c r="B44" s="275" t="e">
        <f>#REF!</f>
        <v>#REF!</v>
      </c>
      <c r="C44" s="276" t="e">
        <f>#REF!</f>
        <v>#REF!</v>
      </c>
      <c r="D44" s="277" t="e">
        <f>#REF!</f>
        <v>#REF!</v>
      </c>
      <c r="E44" s="277" t="e">
        <f>#REF!</f>
        <v>#REF!</v>
      </c>
      <c r="F44" s="277" t="e">
        <f>#REF!</f>
        <v>#REF!</v>
      </c>
      <c r="G44" s="277" t="e">
        <f>#REF!</f>
        <v>#REF!</v>
      </c>
      <c r="H44" s="277" t="e">
        <f>#REF!</f>
        <v>#REF!</v>
      </c>
      <c r="I44" s="277" t="e">
        <f>#REF!</f>
        <v>#REF!</v>
      </c>
      <c r="J44" s="277" t="e">
        <f>#REF!</f>
        <v>#REF!</v>
      </c>
      <c r="K44" s="277" t="e">
        <f>#REF!</f>
        <v>#REF!</v>
      </c>
      <c r="L44" s="277" t="e">
        <f>#REF!</f>
        <v>#REF!</v>
      </c>
      <c r="M44" s="277" t="e">
        <f>#REF!</f>
        <v>#REF!</v>
      </c>
      <c r="N44" s="277" t="e">
        <f>#REF!</f>
        <v>#REF!</v>
      </c>
      <c r="O44" s="277" t="e">
        <f>#REF!</f>
        <v>#REF!</v>
      </c>
      <c r="P44" s="277" t="e">
        <f>#REF!</f>
        <v>#REF!</v>
      </c>
      <c r="Q44" s="277" t="e">
        <f>#REF!</f>
        <v>#REF!</v>
      </c>
      <c r="R44" s="277" t="e">
        <f>#REF!</f>
        <v>#REF!</v>
      </c>
      <c r="S44" s="277" t="e">
        <f>#REF!</f>
        <v>#REF!</v>
      </c>
      <c r="T44" s="281" t="e">
        <f>#REF!</f>
        <v>#REF!</v>
      </c>
      <c r="U44" s="281" t="e">
        <f>#REF!</f>
        <v>#REF!</v>
      </c>
      <c r="V44" s="281" t="e">
        <f>#REF!</f>
        <v>#REF!</v>
      </c>
      <c r="W44" s="281" t="e">
        <f>#REF!</f>
        <v>#REF!</v>
      </c>
      <c r="X44" s="281" t="e">
        <f>#REF!</f>
        <v>#REF!</v>
      </c>
    </row>
    <row r="45" spans="1:24" ht="24.95" customHeight="1">
      <c r="A45" s="274" t="e">
        <f>#REF!</f>
        <v>#REF!</v>
      </c>
      <c r="B45" s="275" t="e">
        <f>#REF!</f>
        <v>#REF!</v>
      </c>
      <c r="C45" s="276" t="e">
        <f>#REF!</f>
        <v>#REF!</v>
      </c>
      <c r="D45" s="277" t="e">
        <f>#REF!</f>
        <v>#REF!</v>
      </c>
      <c r="E45" s="277" t="e">
        <f>#REF!</f>
        <v>#REF!</v>
      </c>
      <c r="F45" s="277" t="e">
        <f>#REF!</f>
        <v>#REF!</v>
      </c>
      <c r="G45" s="277" t="e">
        <f>#REF!</f>
        <v>#REF!</v>
      </c>
      <c r="H45" s="277" t="e">
        <f>#REF!</f>
        <v>#REF!</v>
      </c>
      <c r="I45" s="277" t="e">
        <f>#REF!</f>
        <v>#REF!</v>
      </c>
      <c r="J45" s="277" t="e">
        <f>#REF!</f>
        <v>#REF!</v>
      </c>
      <c r="K45" s="277" t="e">
        <f>#REF!</f>
        <v>#REF!</v>
      </c>
      <c r="L45" s="277" t="e">
        <f>#REF!</f>
        <v>#REF!</v>
      </c>
      <c r="M45" s="277" t="e">
        <f>#REF!</f>
        <v>#REF!</v>
      </c>
      <c r="N45" s="277" t="e">
        <f>#REF!</f>
        <v>#REF!</v>
      </c>
      <c r="O45" s="277" t="e">
        <f>#REF!</f>
        <v>#REF!</v>
      </c>
      <c r="P45" s="277" t="e">
        <f>#REF!</f>
        <v>#REF!</v>
      </c>
      <c r="Q45" s="277" t="e">
        <f>#REF!</f>
        <v>#REF!</v>
      </c>
      <c r="R45" s="277" t="e">
        <f>#REF!</f>
        <v>#REF!</v>
      </c>
      <c r="S45" s="277" t="e">
        <f>#REF!</f>
        <v>#REF!</v>
      </c>
      <c r="T45" s="281" t="e">
        <f>#REF!</f>
        <v>#REF!</v>
      </c>
      <c r="U45" s="281" t="e">
        <f>#REF!</f>
        <v>#REF!</v>
      </c>
      <c r="V45" s="281" t="e">
        <f>#REF!</f>
        <v>#REF!</v>
      </c>
      <c r="W45" s="281" t="e">
        <f>#REF!</f>
        <v>#REF!</v>
      </c>
      <c r="X45" s="281" t="e">
        <f>#REF!</f>
        <v>#REF!</v>
      </c>
    </row>
    <row r="46" spans="1:24" ht="24.95" customHeight="1">
      <c r="A46" s="274" t="e">
        <f>#REF!</f>
        <v>#REF!</v>
      </c>
      <c r="B46" s="275" t="e">
        <f>#REF!</f>
        <v>#REF!</v>
      </c>
      <c r="C46" s="276" t="e">
        <f>#REF!</f>
        <v>#REF!</v>
      </c>
      <c r="D46" s="277" t="e">
        <f>#REF!</f>
        <v>#REF!</v>
      </c>
      <c r="E46" s="277" t="e">
        <f>#REF!</f>
        <v>#REF!</v>
      </c>
      <c r="F46" s="277" t="e">
        <f>#REF!</f>
        <v>#REF!</v>
      </c>
      <c r="G46" s="277" t="e">
        <f>#REF!</f>
        <v>#REF!</v>
      </c>
      <c r="H46" s="277" t="e">
        <f>#REF!</f>
        <v>#REF!</v>
      </c>
      <c r="I46" s="277" t="e">
        <f>#REF!</f>
        <v>#REF!</v>
      </c>
      <c r="J46" s="277" t="e">
        <f>#REF!</f>
        <v>#REF!</v>
      </c>
      <c r="K46" s="277" t="e">
        <f>#REF!</f>
        <v>#REF!</v>
      </c>
      <c r="L46" s="277" t="e">
        <f>#REF!</f>
        <v>#REF!</v>
      </c>
      <c r="M46" s="277" t="e">
        <f>#REF!</f>
        <v>#REF!</v>
      </c>
      <c r="N46" s="277" t="e">
        <f>#REF!</f>
        <v>#REF!</v>
      </c>
      <c r="O46" s="277" t="e">
        <f>#REF!</f>
        <v>#REF!</v>
      </c>
      <c r="P46" s="277" t="e">
        <f>#REF!</f>
        <v>#REF!</v>
      </c>
      <c r="Q46" s="277" t="e">
        <f>#REF!</f>
        <v>#REF!</v>
      </c>
      <c r="R46" s="277" t="e">
        <f>#REF!</f>
        <v>#REF!</v>
      </c>
      <c r="S46" s="277" t="e">
        <f>#REF!</f>
        <v>#REF!</v>
      </c>
      <c r="T46" s="281" t="e">
        <f>#REF!</f>
        <v>#REF!</v>
      </c>
      <c r="U46" s="281" t="e">
        <f>#REF!</f>
        <v>#REF!</v>
      </c>
      <c r="V46" s="281" t="e">
        <f>#REF!</f>
        <v>#REF!</v>
      </c>
      <c r="W46" s="281" t="e">
        <f>#REF!</f>
        <v>#REF!</v>
      </c>
      <c r="X46" s="281" t="e">
        <f>#REF!</f>
        <v>#REF!</v>
      </c>
    </row>
    <row r="47" spans="1:24" ht="24.95" customHeight="1">
      <c r="A47" s="274" t="e">
        <f>#REF!</f>
        <v>#REF!</v>
      </c>
      <c r="B47" s="275" t="e">
        <f>#REF!</f>
        <v>#REF!</v>
      </c>
      <c r="C47" s="276" t="e">
        <f>#REF!</f>
        <v>#REF!</v>
      </c>
      <c r="D47" s="277" t="e">
        <f>#REF!</f>
        <v>#REF!</v>
      </c>
      <c r="E47" s="277" t="e">
        <f>#REF!</f>
        <v>#REF!</v>
      </c>
      <c r="F47" s="277" t="e">
        <f>#REF!</f>
        <v>#REF!</v>
      </c>
      <c r="G47" s="277" t="e">
        <f>#REF!</f>
        <v>#REF!</v>
      </c>
      <c r="H47" s="277" t="e">
        <f>#REF!</f>
        <v>#REF!</v>
      </c>
      <c r="I47" s="277" t="e">
        <f>#REF!</f>
        <v>#REF!</v>
      </c>
      <c r="J47" s="277" t="e">
        <f>#REF!</f>
        <v>#REF!</v>
      </c>
      <c r="K47" s="277" t="e">
        <f>#REF!</f>
        <v>#REF!</v>
      </c>
      <c r="L47" s="277" t="e">
        <f>#REF!</f>
        <v>#REF!</v>
      </c>
      <c r="M47" s="277" t="e">
        <f>#REF!</f>
        <v>#REF!</v>
      </c>
      <c r="N47" s="277" t="e">
        <f>#REF!</f>
        <v>#REF!</v>
      </c>
      <c r="O47" s="277" t="e">
        <f>#REF!</f>
        <v>#REF!</v>
      </c>
      <c r="P47" s="277" t="e">
        <f>#REF!</f>
        <v>#REF!</v>
      </c>
      <c r="Q47" s="277" t="e">
        <f>#REF!</f>
        <v>#REF!</v>
      </c>
      <c r="R47" s="277" t="e">
        <f>#REF!</f>
        <v>#REF!</v>
      </c>
      <c r="S47" s="277" t="e">
        <f>#REF!</f>
        <v>#REF!</v>
      </c>
      <c r="T47" s="281" t="e">
        <f>#REF!</f>
        <v>#REF!</v>
      </c>
      <c r="U47" s="281" t="e">
        <f>#REF!</f>
        <v>#REF!</v>
      </c>
      <c r="V47" s="281" t="e">
        <f>#REF!</f>
        <v>#REF!</v>
      </c>
      <c r="W47" s="281" t="e">
        <f>#REF!</f>
        <v>#REF!</v>
      </c>
      <c r="X47" s="281" t="e">
        <f>#REF!</f>
        <v>#REF!</v>
      </c>
    </row>
    <row r="48" spans="1:24" ht="24.95" customHeight="1">
      <c r="A48" s="274" t="e">
        <f>#REF!</f>
        <v>#REF!</v>
      </c>
      <c r="B48" s="275" t="e">
        <f>#REF!</f>
        <v>#REF!</v>
      </c>
      <c r="C48" s="276" t="e">
        <f>#REF!</f>
        <v>#REF!</v>
      </c>
      <c r="D48" s="277" t="e">
        <f>#REF!</f>
        <v>#REF!</v>
      </c>
      <c r="E48" s="277" t="e">
        <f>#REF!</f>
        <v>#REF!</v>
      </c>
      <c r="F48" s="277" t="e">
        <f>#REF!</f>
        <v>#REF!</v>
      </c>
      <c r="G48" s="277" t="e">
        <f>#REF!</f>
        <v>#REF!</v>
      </c>
      <c r="H48" s="277" t="e">
        <f>#REF!</f>
        <v>#REF!</v>
      </c>
      <c r="I48" s="277" t="e">
        <f>#REF!</f>
        <v>#REF!</v>
      </c>
      <c r="J48" s="277" t="e">
        <f>#REF!</f>
        <v>#REF!</v>
      </c>
      <c r="K48" s="277" t="e">
        <f>#REF!</f>
        <v>#REF!</v>
      </c>
      <c r="L48" s="277" t="e">
        <f>#REF!</f>
        <v>#REF!</v>
      </c>
      <c r="M48" s="277" t="e">
        <f>#REF!</f>
        <v>#REF!</v>
      </c>
      <c r="N48" s="277" t="e">
        <f>#REF!</f>
        <v>#REF!</v>
      </c>
      <c r="O48" s="277" t="e">
        <f>#REF!</f>
        <v>#REF!</v>
      </c>
      <c r="P48" s="277" t="e">
        <f>#REF!</f>
        <v>#REF!</v>
      </c>
      <c r="Q48" s="277" t="e">
        <f>#REF!</f>
        <v>#REF!</v>
      </c>
      <c r="R48" s="277" t="e">
        <f>#REF!</f>
        <v>#REF!</v>
      </c>
      <c r="S48" s="277" t="e">
        <f>#REF!</f>
        <v>#REF!</v>
      </c>
      <c r="T48" s="281" t="e">
        <f>#REF!</f>
        <v>#REF!</v>
      </c>
      <c r="U48" s="281" t="e">
        <f>#REF!</f>
        <v>#REF!</v>
      </c>
      <c r="V48" s="281" t="e">
        <f>#REF!</f>
        <v>#REF!</v>
      </c>
      <c r="W48" s="281" t="e">
        <f>#REF!</f>
        <v>#REF!</v>
      </c>
      <c r="X48" s="281" t="e">
        <f>#REF!</f>
        <v>#REF!</v>
      </c>
    </row>
    <row r="49" spans="1:24" ht="24.95" customHeight="1">
      <c r="A49" s="274" t="e">
        <f>#REF!</f>
        <v>#REF!</v>
      </c>
      <c r="B49" s="275" t="e">
        <f>#REF!</f>
        <v>#REF!</v>
      </c>
      <c r="C49" s="276" t="e">
        <f>#REF!</f>
        <v>#REF!</v>
      </c>
      <c r="D49" s="277" t="e">
        <f>#REF!</f>
        <v>#REF!</v>
      </c>
      <c r="E49" s="277" t="e">
        <f>#REF!</f>
        <v>#REF!</v>
      </c>
      <c r="F49" s="277" t="e">
        <f>#REF!</f>
        <v>#REF!</v>
      </c>
      <c r="G49" s="277" t="e">
        <f>#REF!</f>
        <v>#REF!</v>
      </c>
      <c r="H49" s="277" t="e">
        <f>#REF!</f>
        <v>#REF!</v>
      </c>
      <c r="I49" s="277" t="e">
        <f>#REF!</f>
        <v>#REF!</v>
      </c>
      <c r="J49" s="277" t="e">
        <f>#REF!</f>
        <v>#REF!</v>
      </c>
      <c r="K49" s="277" t="e">
        <f>#REF!</f>
        <v>#REF!</v>
      </c>
      <c r="L49" s="277" t="e">
        <f>#REF!</f>
        <v>#REF!</v>
      </c>
      <c r="M49" s="277" t="e">
        <f>#REF!</f>
        <v>#REF!</v>
      </c>
      <c r="N49" s="277" t="e">
        <f>#REF!</f>
        <v>#REF!</v>
      </c>
      <c r="O49" s="277" t="e">
        <f>#REF!</f>
        <v>#REF!</v>
      </c>
      <c r="P49" s="277" t="e">
        <f>#REF!</f>
        <v>#REF!</v>
      </c>
      <c r="Q49" s="277" t="e">
        <f>#REF!</f>
        <v>#REF!</v>
      </c>
      <c r="R49" s="277" t="e">
        <f>#REF!</f>
        <v>#REF!</v>
      </c>
      <c r="S49" s="277" t="e">
        <f>#REF!</f>
        <v>#REF!</v>
      </c>
      <c r="T49" s="281" t="e">
        <f>#REF!</f>
        <v>#REF!</v>
      </c>
      <c r="U49" s="281" t="e">
        <f>#REF!</f>
        <v>#REF!</v>
      </c>
      <c r="V49" s="281" t="e">
        <f>#REF!</f>
        <v>#REF!</v>
      </c>
      <c r="W49" s="281" t="e">
        <f>#REF!</f>
        <v>#REF!</v>
      </c>
      <c r="X49" s="281" t="e">
        <f>#REF!</f>
        <v>#REF!</v>
      </c>
    </row>
    <row r="50" spans="1:24" ht="24.95" customHeight="1">
      <c r="A50" s="274" t="e">
        <f>#REF!</f>
        <v>#REF!</v>
      </c>
      <c r="B50" s="275" t="e">
        <f>#REF!</f>
        <v>#REF!</v>
      </c>
      <c r="C50" s="276" t="e">
        <f>#REF!</f>
        <v>#REF!</v>
      </c>
      <c r="D50" s="277" t="e">
        <f>#REF!</f>
        <v>#REF!</v>
      </c>
      <c r="E50" s="277" t="e">
        <f>#REF!</f>
        <v>#REF!</v>
      </c>
      <c r="F50" s="277" t="e">
        <f>#REF!</f>
        <v>#REF!</v>
      </c>
      <c r="G50" s="277" t="e">
        <f>#REF!</f>
        <v>#REF!</v>
      </c>
      <c r="H50" s="277" t="e">
        <f>#REF!</f>
        <v>#REF!</v>
      </c>
      <c r="I50" s="277" t="e">
        <f>#REF!</f>
        <v>#REF!</v>
      </c>
      <c r="J50" s="277" t="e">
        <f>#REF!</f>
        <v>#REF!</v>
      </c>
      <c r="K50" s="277" t="e">
        <f>#REF!</f>
        <v>#REF!</v>
      </c>
      <c r="L50" s="277" t="e">
        <f>#REF!</f>
        <v>#REF!</v>
      </c>
      <c r="M50" s="277" t="e">
        <f>#REF!</f>
        <v>#REF!</v>
      </c>
      <c r="N50" s="277" t="e">
        <f>#REF!</f>
        <v>#REF!</v>
      </c>
      <c r="O50" s="277" t="e">
        <f>#REF!</f>
        <v>#REF!</v>
      </c>
      <c r="P50" s="277" t="e">
        <f>#REF!</f>
        <v>#REF!</v>
      </c>
      <c r="Q50" s="277" t="e">
        <f>#REF!</f>
        <v>#REF!</v>
      </c>
      <c r="R50" s="277" t="e">
        <f>#REF!</f>
        <v>#REF!</v>
      </c>
      <c r="S50" s="277" t="e">
        <f>#REF!</f>
        <v>#REF!</v>
      </c>
      <c r="T50" s="281" t="e">
        <f>#REF!</f>
        <v>#REF!</v>
      </c>
      <c r="U50" s="281" t="e">
        <f>#REF!</f>
        <v>#REF!</v>
      </c>
      <c r="V50" s="281" t="e">
        <f>#REF!</f>
        <v>#REF!</v>
      </c>
      <c r="W50" s="281" t="e">
        <f>#REF!</f>
        <v>#REF!</v>
      </c>
      <c r="X50" s="281" t="e">
        <f>#REF!</f>
        <v>#REF!</v>
      </c>
    </row>
    <row r="51" spans="1:24" ht="24.95" customHeight="1">
      <c r="A51" s="274" t="e">
        <f>#REF!</f>
        <v>#REF!</v>
      </c>
      <c r="B51" s="275" t="e">
        <f>#REF!</f>
        <v>#REF!</v>
      </c>
      <c r="C51" s="276" t="e">
        <f>#REF!</f>
        <v>#REF!</v>
      </c>
      <c r="D51" s="277" t="e">
        <f>#REF!</f>
        <v>#REF!</v>
      </c>
      <c r="E51" s="277" t="e">
        <f>#REF!</f>
        <v>#REF!</v>
      </c>
      <c r="F51" s="277" t="e">
        <f>#REF!</f>
        <v>#REF!</v>
      </c>
      <c r="G51" s="277" t="e">
        <f>#REF!</f>
        <v>#REF!</v>
      </c>
      <c r="H51" s="277" t="e">
        <f>#REF!</f>
        <v>#REF!</v>
      </c>
      <c r="I51" s="277" t="e">
        <f>#REF!</f>
        <v>#REF!</v>
      </c>
      <c r="J51" s="277" t="e">
        <f>#REF!</f>
        <v>#REF!</v>
      </c>
      <c r="K51" s="277" t="e">
        <f>#REF!</f>
        <v>#REF!</v>
      </c>
      <c r="L51" s="277" t="e">
        <f>#REF!</f>
        <v>#REF!</v>
      </c>
      <c r="M51" s="277" t="e">
        <f>#REF!</f>
        <v>#REF!</v>
      </c>
      <c r="N51" s="277" t="e">
        <f>#REF!</f>
        <v>#REF!</v>
      </c>
      <c r="O51" s="277" t="e">
        <f>#REF!</f>
        <v>#REF!</v>
      </c>
      <c r="P51" s="277" t="e">
        <f>#REF!</f>
        <v>#REF!</v>
      </c>
      <c r="Q51" s="277" t="e">
        <f>#REF!</f>
        <v>#REF!</v>
      </c>
      <c r="R51" s="277" t="e">
        <f>#REF!</f>
        <v>#REF!</v>
      </c>
      <c r="S51" s="277" t="e">
        <f>#REF!</f>
        <v>#REF!</v>
      </c>
      <c r="T51" s="281" t="e">
        <f>#REF!</f>
        <v>#REF!</v>
      </c>
      <c r="U51" s="281" t="e">
        <f>#REF!</f>
        <v>#REF!</v>
      </c>
      <c r="V51" s="281" t="e">
        <f>#REF!</f>
        <v>#REF!</v>
      </c>
      <c r="W51" s="281" t="e">
        <f>#REF!</f>
        <v>#REF!</v>
      </c>
      <c r="X51" s="281" t="e">
        <f>#REF!</f>
        <v>#REF!</v>
      </c>
    </row>
    <row r="52" spans="1:24" ht="24.95" customHeight="1">
      <c r="A52" s="274" t="e">
        <f>#REF!</f>
        <v>#REF!</v>
      </c>
      <c r="B52" s="275" t="e">
        <f>#REF!</f>
        <v>#REF!</v>
      </c>
      <c r="C52" s="276" t="e">
        <f>#REF!</f>
        <v>#REF!</v>
      </c>
      <c r="D52" s="277" t="e">
        <f>#REF!</f>
        <v>#REF!</v>
      </c>
      <c r="E52" s="277" t="e">
        <f>#REF!</f>
        <v>#REF!</v>
      </c>
      <c r="F52" s="277" t="e">
        <f>#REF!</f>
        <v>#REF!</v>
      </c>
      <c r="G52" s="277" t="e">
        <f>#REF!</f>
        <v>#REF!</v>
      </c>
      <c r="H52" s="277" t="e">
        <f>#REF!</f>
        <v>#REF!</v>
      </c>
      <c r="I52" s="277" t="e">
        <f>#REF!</f>
        <v>#REF!</v>
      </c>
      <c r="J52" s="277" t="e">
        <f>#REF!</f>
        <v>#REF!</v>
      </c>
      <c r="K52" s="277" t="e">
        <f>#REF!</f>
        <v>#REF!</v>
      </c>
      <c r="L52" s="277" t="e">
        <f>#REF!</f>
        <v>#REF!</v>
      </c>
      <c r="M52" s="277" t="e">
        <f>#REF!</f>
        <v>#REF!</v>
      </c>
      <c r="N52" s="277" t="e">
        <f>#REF!</f>
        <v>#REF!</v>
      </c>
      <c r="O52" s="277" t="e">
        <f>#REF!</f>
        <v>#REF!</v>
      </c>
      <c r="P52" s="277" t="e">
        <f>#REF!</f>
        <v>#REF!</v>
      </c>
      <c r="Q52" s="277" t="e">
        <f>#REF!</f>
        <v>#REF!</v>
      </c>
      <c r="R52" s="277" t="e">
        <f>#REF!</f>
        <v>#REF!</v>
      </c>
      <c r="S52" s="277" t="e">
        <f>#REF!</f>
        <v>#REF!</v>
      </c>
      <c r="T52" s="281" t="e">
        <f>#REF!</f>
        <v>#REF!</v>
      </c>
      <c r="U52" s="281" t="e">
        <f>#REF!</f>
        <v>#REF!</v>
      </c>
      <c r="V52" s="281" t="e">
        <f>#REF!</f>
        <v>#REF!</v>
      </c>
      <c r="W52" s="281" t="e">
        <f>#REF!</f>
        <v>#REF!</v>
      </c>
      <c r="X52" s="281" t="e">
        <f>#REF!</f>
        <v>#REF!</v>
      </c>
    </row>
    <row r="53" spans="1:24" ht="24.95" customHeight="1">
      <c r="A53" s="274" t="e">
        <f>#REF!</f>
        <v>#REF!</v>
      </c>
      <c r="B53" s="275" t="e">
        <f>#REF!</f>
        <v>#REF!</v>
      </c>
      <c r="C53" s="276" t="e">
        <f>#REF!</f>
        <v>#REF!</v>
      </c>
      <c r="D53" s="277" t="e">
        <f>#REF!</f>
        <v>#REF!</v>
      </c>
      <c r="E53" s="277" t="e">
        <f>#REF!</f>
        <v>#REF!</v>
      </c>
      <c r="F53" s="277" t="e">
        <f>#REF!</f>
        <v>#REF!</v>
      </c>
      <c r="G53" s="277" t="e">
        <f>#REF!</f>
        <v>#REF!</v>
      </c>
      <c r="H53" s="277" t="e">
        <f>#REF!</f>
        <v>#REF!</v>
      </c>
      <c r="I53" s="277" t="e">
        <f>#REF!</f>
        <v>#REF!</v>
      </c>
      <c r="J53" s="277" t="e">
        <f>#REF!</f>
        <v>#REF!</v>
      </c>
      <c r="K53" s="277" t="e">
        <f>#REF!</f>
        <v>#REF!</v>
      </c>
      <c r="L53" s="277" t="e">
        <f>#REF!</f>
        <v>#REF!</v>
      </c>
      <c r="M53" s="277" t="e">
        <f>#REF!</f>
        <v>#REF!</v>
      </c>
      <c r="N53" s="277" t="e">
        <f>#REF!</f>
        <v>#REF!</v>
      </c>
      <c r="O53" s="277" t="e">
        <f>#REF!</f>
        <v>#REF!</v>
      </c>
      <c r="P53" s="277" t="e">
        <f>#REF!</f>
        <v>#REF!</v>
      </c>
      <c r="Q53" s="277" t="e">
        <f>#REF!</f>
        <v>#REF!</v>
      </c>
      <c r="R53" s="277" t="e">
        <f>#REF!</f>
        <v>#REF!</v>
      </c>
      <c r="S53" s="277" t="e">
        <f>#REF!</f>
        <v>#REF!</v>
      </c>
      <c r="T53" s="281" t="e">
        <f>#REF!</f>
        <v>#REF!</v>
      </c>
      <c r="U53" s="281" t="e">
        <f>#REF!</f>
        <v>#REF!</v>
      </c>
      <c r="V53" s="281" t="e">
        <f>#REF!</f>
        <v>#REF!</v>
      </c>
      <c r="W53" s="281" t="e">
        <f>#REF!</f>
        <v>#REF!</v>
      </c>
      <c r="X53" s="281" t="e">
        <f>#REF!</f>
        <v>#REF!</v>
      </c>
    </row>
    <row r="54" spans="1:24" ht="24.95" customHeight="1">
      <c r="A54" s="274" t="e">
        <f>#REF!</f>
        <v>#REF!</v>
      </c>
      <c r="B54" s="275" t="e">
        <f>#REF!</f>
        <v>#REF!</v>
      </c>
      <c r="C54" s="276" t="e">
        <f>#REF!</f>
        <v>#REF!</v>
      </c>
      <c r="D54" s="277" t="e">
        <f>#REF!</f>
        <v>#REF!</v>
      </c>
      <c r="E54" s="277" t="e">
        <f>#REF!</f>
        <v>#REF!</v>
      </c>
      <c r="F54" s="277" t="e">
        <f>#REF!</f>
        <v>#REF!</v>
      </c>
      <c r="G54" s="277" t="e">
        <f>#REF!</f>
        <v>#REF!</v>
      </c>
      <c r="H54" s="277" t="e">
        <f>#REF!</f>
        <v>#REF!</v>
      </c>
      <c r="I54" s="277" t="e">
        <f>#REF!</f>
        <v>#REF!</v>
      </c>
      <c r="J54" s="277" t="e">
        <f>#REF!</f>
        <v>#REF!</v>
      </c>
      <c r="K54" s="277" t="e">
        <f>#REF!</f>
        <v>#REF!</v>
      </c>
      <c r="L54" s="277" t="e">
        <f>#REF!</f>
        <v>#REF!</v>
      </c>
      <c r="M54" s="277" t="e">
        <f>#REF!</f>
        <v>#REF!</v>
      </c>
      <c r="N54" s="277" t="e">
        <f>#REF!</f>
        <v>#REF!</v>
      </c>
      <c r="O54" s="277" t="e">
        <f>#REF!</f>
        <v>#REF!</v>
      </c>
      <c r="P54" s="277" t="e">
        <f>#REF!</f>
        <v>#REF!</v>
      </c>
      <c r="Q54" s="277" t="e">
        <f>#REF!</f>
        <v>#REF!</v>
      </c>
      <c r="R54" s="277" t="e">
        <f>#REF!</f>
        <v>#REF!</v>
      </c>
      <c r="S54" s="277" t="e">
        <f>#REF!</f>
        <v>#REF!</v>
      </c>
      <c r="T54" s="281" t="e">
        <f>#REF!</f>
        <v>#REF!</v>
      </c>
      <c r="U54" s="281" t="e">
        <f>#REF!</f>
        <v>#REF!</v>
      </c>
      <c r="V54" s="281" t="e">
        <f>#REF!</f>
        <v>#REF!</v>
      </c>
      <c r="W54" s="281" t="e">
        <f>#REF!</f>
        <v>#REF!</v>
      </c>
      <c r="X54" s="281" t="e">
        <f>#REF!</f>
        <v>#REF!</v>
      </c>
    </row>
    <row r="55" spans="1:24" ht="24.95" customHeight="1">
      <c r="A55" s="274" t="e">
        <f>#REF!</f>
        <v>#REF!</v>
      </c>
      <c r="B55" s="275" t="e">
        <f>#REF!</f>
        <v>#REF!</v>
      </c>
      <c r="C55" s="276" t="e">
        <f>#REF!</f>
        <v>#REF!</v>
      </c>
      <c r="D55" s="277" t="e">
        <f>#REF!</f>
        <v>#REF!</v>
      </c>
      <c r="E55" s="277" t="e">
        <f>#REF!</f>
        <v>#REF!</v>
      </c>
      <c r="F55" s="277" t="e">
        <f>#REF!</f>
        <v>#REF!</v>
      </c>
      <c r="G55" s="277" t="e">
        <f>#REF!</f>
        <v>#REF!</v>
      </c>
      <c r="H55" s="277" t="e">
        <f>#REF!</f>
        <v>#REF!</v>
      </c>
      <c r="I55" s="277" t="e">
        <f>#REF!</f>
        <v>#REF!</v>
      </c>
      <c r="J55" s="277" t="e">
        <f>#REF!</f>
        <v>#REF!</v>
      </c>
      <c r="K55" s="277" t="e">
        <f>#REF!</f>
        <v>#REF!</v>
      </c>
      <c r="L55" s="277" t="e">
        <f>#REF!</f>
        <v>#REF!</v>
      </c>
      <c r="M55" s="277" t="e">
        <f>#REF!</f>
        <v>#REF!</v>
      </c>
      <c r="N55" s="277" t="e">
        <f>#REF!</f>
        <v>#REF!</v>
      </c>
      <c r="O55" s="277" t="e">
        <f>#REF!</f>
        <v>#REF!</v>
      </c>
      <c r="P55" s="277" t="e">
        <f>#REF!</f>
        <v>#REF!</v>
      </c>
      <c r="Q55" s="277" t="e">
        <f>#REF!</f>
        <v>#REF!</v>
      </c>
      <c r="R55" s="277" t="e">
        <f>#REF!</f>
        <v>#REF!</v>
      </c>
      <c r="S55" s="277" t="e">
        <f>#REF!</f>
        <v>#REF!</v>
      </c>
      <c r="T55" s="281" t="e">
        <f>#REF!</f>
        <v>#REF!</v>
      </c>
      <c r="U55" s="281" t="e">
        <f>#REF!</f>
        <v>#REF!</v>
      </c>
      <c r="V55" s="281" t="e">
        <f>#REF!</f>
        <v>#REF!</v>
      </c>
      <c r="W55" s="281" t="e">
        <f>#REF!</f>
        <v>#REF!</v>
      </c>
      <c r="X55" s="281" t="e">
        <f>#REF!</f>
        <v>#REF!</v>
      </c>
    </row>
    <row r="56" spans="1:24" ht="24.95" customHeight="1">
      <c r="A56" s="274" t="e">
        <f>#REF!</f>
        <v>#REF!</v>
      </c>
      <c r="B56" s="275" t="e">
        <f>#REF!</f>
        <v>#REF!</v>
      </c>
      <c r="C56" s="276" t="e">
        <f>#REF!</f>
        <v>#REF!</v>
      </c>
      <c r="D56" s="277" t="e">
        <f>#REF!</f>
        <v>#REF!</v>
      </c>
      <c r="E56" s="277" t="e">
        <f>#REF!</f>
        <v>#REF!</v>
      </c>
      <c r="F56" s="277" t="e">
        <f>#REF!</f>
        <v>#REF!</v>
      </c>
      <c r="G56" s="277" t="e">
        <f>#REF!</f>
        <v>#REF!</v>
      </c>
      <c r="H56" s="277" t="e">
        <f>#REF!</f>
        <v>#REF!</v>
      </c>
      <c r="I56" s="277" t="e">
        <f>#REF!</f>
        <v>#REF!</v>
      </c>
      <c r="J56" s="277" t="e">
        <f>#REF!</f>
        <v>#REF!</v>
      </c>
      <c r="K56" s="277" t="e">
        <f>#REF!</f>
        <v>#REF!</v>
      </c>
      <c r="L56" s="277" t="e">
        <f>#REF!</f>
        <v>#REF!</v>
      </c>
      <c r="M56" s="277" t="e">
        <f>#REF!</f>
        <v>#REF!</v>
      </c>
      <c r="N56" s="277" t="e">
        <f>#REF!</f>
        <v>#REF!</v>
      </c>
      <c r="O56" s="277" t="e">
        <f>#REF!</f>
        <v>#REF!</v>
      </c>
      <c r="P56" s="277" t="e">
        <f>#REF!</f>
        <v>#REF!</v>
      </c>
      <c r="Q56" s="277" t="e">
        <f>#REF!</f>
        <v>#REF!</v>
      </c>
      <c r="R56" s="277" t="e">
        <f>#REF!</f>
        <v>#REF!</v>
      </c>
      <c r="S56" s="277" t="e">
        <f>#REF!</f>
        <v>#REF!</v>
      </c>
      <c r="T56" s="281" t="e">
        <f>#REF!</f>
        <v>#REF!</v>
      </c>
      <c r="U56" s="281" t="e">
        <f>#REF!</f>
        <v>#REF!</v>
      </c>
      <c r="V56" s="281" t="e">
        <f>#REF!</f>
        <v>#REF!</v>
      </c>
      <c r="W56" s="281" t="e">
        <f>#REF!</f>
        <v>#REF!</v>
      </c>
      <c r="X56" s="281" t="e">
        <f>#REF!</f>
        <v>#REF!</v>
      </c>
    </row>
    <row r="57" spans="1:24" ht="24.95" customHeight="1">
      <c r="A57" s="274" t="e">
        <f>#REF!</f>
        <v>#REF!</v>
      </c>
      <c r="B57" s="275" t="e">
        <f>#REF!</f>
        <v>#REF!</v>
      </c>
      <c r="C57" s="276" t="e">
        <f>#REF!</f>
        <v>#REF!</v>
      </c>
      <c r="D57" s="277" t="e">
        <f>#REF!</f>
        <v>#REF!</v>
      </c>
      <c r="E57" s="277" t="e">
        <f>#REF!</f>
        <v>#REF!</v>
      </c>
      <c r="F57" s="277" t="e">
        <f>#REF!</f>
        <v>#REF!</v>
      </c>
      <c r="G57" s="277" t="e">
        <f>#REF!</f>
        <v>#REF!</v>
      </c>
      <c r="H57" s="277" t="e">
        <f>#REF!</f>
        <v>#REF!</v>
      </c>
      <c r="I57" s="277" t="e">
        <f>#REF!</f>
        <v>#REF!</v>
      </c>
      <c r="J57" s="277" t="e">
        <f>#REF!</f>
        <v>#REF!</v>
      </c>
      <c r="K57" s="277" t="e">
        <f>#REF!</f>
        <v>#REF!</v>
      </c>
      <c r="L57" s="277" t="e">
        <f>#REF!</f>
        <v>#REF!</v>
      </c>
      <c r="M57" s="277" t="e">
        <f>#REF!</f>
        <v>#REF!</v>
      </c>
      <c r="N57" s="277" t="e">
        <f>#REF!</f>
        <v>#REF!</v>
      </c>
      <c r="O57" s="277" t="e">
        <f>#REF!</f>
        <v>#REF!</v>
      </c>
      <c r="P57" s="277" t="e">
        <f>#REF!</f>
        <v>#REF!</v>
      </c>
      <c r="Q57" s="277" t="e">
        <f>#REF!</f>
        <v>#REF!</v>
      </c>
      <c r="R57" s="277" t="e">
        <f>#REF!</f>
        <v>#REF!</v>
      </c>
      <c r="S57" s="277" t="e">
        <f>#REF!</f>
        <v>#REF!</v>
      </c>
      <c r="T57" s="281" t="e">
        <f>#REF!</f>
        <v>#REF!</v>
      </c>
      <c r="U57" s="281" t="e">
        <f>#REF!</f>
        <v>#REF!</v>
      </c>
      <c r="V57" s="281" t="e">
        <f>#REF!</f>
        <v>#REF!</v>
      </c>
      <c r="W57" s="281" t="e">
        <f>#REF!</f>
        <v>#REF!</v>
      </c>
      <c r="X57" s="281" t="e">
        <f>#REF!</f>
        <v>#REF!</v>
      </c>
    </row>
    <row r="58" spans="1:24" ht="24.95" customHeight="1">
      <c r="A58" s="274" t="e">
        <f>#REF!</f>
        <v>#REF!</v>
      </c>
      <c r="B58" s="275" t="e">
        <f>#REF!</f>
        <v>#REF!</v>
      </c>
      <c r="C58" s="276" t="e">
        <f>#REF!</f>
        <v>#REF!</v>
      </c>
      <c r="D58" s="277" t="e">
        <f>#REF!</f>
        <v>#REF!</v>
      </c>
      <c r="E58" s="277" t="e">
        <f>#REF!</f>
        <v>#REF!</v>
      </c>
      <c r="F58" s="277" t="e">
        <f>#REF!</f>
        <v>#REF!</v>
      </c>
      <c r="G58" s="277" t="e">
        <f>#REF!</f>
        <v>#REF!</v>
      </c>
      <c r="H58" s="277" t="e">
        <f>#REF!</f>
        <v>#REF!</v>
      </c>
      <c r="I58" s="277" t="e">
        <f>#REF!</f>
        <v>#REF!</v>
      </c>
      <c r="J58" s="277" t="e">
        <f>#REF!</f>
        <v>#REF!</v>
      </c>
      <c r="K58" s="277" t="e">
        <f>#REF!</f>
        <v>#REF!</v>
      </c>
      <c r="L58" s="277" t="e">
        <f>#REF!</f>
        <v>#REF!</v>
      </c>
      <c r="M58" s="277" t="e">
        <f>#REF!</f>
        <v>#REF!</v>
      </c>
      <c r="N58" s="277" t="e">
        <f>#REF!</f>
        <v>#REF!</v>
      </c>
      <c r="O58" s="277" t="e">
        <f>#REF!</f>
        <v>#REF!</v>
      </c>
      <c r="P58" s="277" t="e">
        <f>#REF!</f>
        <v>#REF!</v>
      </c>
      <c r="Q58" s="277" t="e">
        <f>#REF!</f>
        <v>#REF!</v>
      </c>
      <c r="R58" s="277" t="e">
        <f>#REF!</f>
        <v>#REF!</v>
      </c>
      <c r="S58" s="277" t="e">
        <f>#REF!</f>
        <v>#REF!</v>
      </c>
      <c r="T58" s="281" t="e">
        <f>#REF!</f>
        <v>#REF!</v>
      </c>
      <c r="U58" s="281" t="e">
        <f>#REF!</f>
        <v>#REF!</v>
      </c>
      <c r="V58" s="281" t="e">
        <f>#REF!</f>
        <v>#REF!</v>
      </c>
      <c r="W58" s="281" t="e">
        <f>#REF!</f>
        <v>#REF!</v>
      </c>
      <c r="X58" s="281" t="e">
        <f>#REF!</f>
        <v>#REF!</v>
      </c>
    </row>
    <row r="59" spans="1:24" ht="24.95" customHeight="1">
      <c r="A59" s="274" t="e">
        <f>#REF!</f>
        <v>#REF!</v>
      </c>
      <c r="B59" s="275" t="e">
        <f>#REF!</f>
        <v>#REF!</v>
      </c>
      <c r="C59" s="276" t="e">
        <f>#REF!</f>
        <v>#REF!</v>
      </c>
      <c r="D59" s="277" t="e">
        <f>#REF!</f>
        <v>#REF!</v>
      </c>
      <c r="E59" s="277" t="e">
        <f>#REF!</f>
        <v>#REF!</v>
      </c>
      <c r="F59" s="277" t="e">
        <f>#REF!</f>
        <v>#REF!</v>
      </c>
      <c r="G59" s="277" t="e">
        <f>#REF!</f>
        <v>#REF!</v>
      </c>
      <c r="H59" s="277" t="e">
        <f>#REF!</f>
        <v>#REF!</v>
      </c>
      <c r="I59" s="277" t="e">
        <f>#REF!</f>
        <v>#REF!</v>
      </c>
      <c r="J59" s="277" t="e">
        <f>#REF!</f>
        <v>#REF!</v>
      </c>
      <c r="K59" s="277" t="e">
        <f>#REF!</f>
        <v>#REF!</v>
      </c>
      <c r="L59" s="277" t="e">
        <f>#REF!</f>
        <v>#REF!</v>
      </c>
      <c r="M59" s="277" t="e">
        <f>#REF!</f>
        <v>#REF!</v>
      </c>
      <c r="N59" s="277" t="e">
        <f>#REF!</f>
        <v>#REF!</v>
      </c>
      <c r="O59" s="277" t="e">
        <f>#REF!</f>
        <v>#REF!</v>
      </c>
      <c r="P59" s="277" t="e">
        <f>#REF!</f>
        <v>#REF!</v>
      </c>
      <c r="Q59" s="277" t="e">
        <f>#REF!</f>
        <v>#REF!</v>
      </c>
      <c r="R59" s="277" t="e">
        <f>#REF!</f>
        <v>#REF!</v>
      </c>
      <c r="S59" s="277" t="e">
        <f>#REF!</f>
        <v>#REF!</v>
      </c>
      <c r="T59" s="281" t="e">
        <f>#REF!</f>
        <v>#REF!</v>
      </c>
      <c r="U59" s="281" t="e">
        <f>#REF!</f>
        <v>#REF!</v>
      </c>
      <c r="V59" s="281" t="e">
        <f>#REF!</f>
        <v>#REF!</v>
      </c>
      <c r="W59" s="281" t="e">
        <f>#REF!</f>
        <v>#REF!</v>
      </c>
      <c r="X59" s="281" t="e">
        <f>#REF!</f>
        <v>#REF!</v>
      </c>
    </row>
    <row r="60" spans="1:24" ht="24.95" customHeight="1">
      <c r="A60" s="274" t="e">
        <f>#REF!</f>
        <v>#REF!</v>
      </c>
      <c r="B60" s="275" t="e">
        <f>#REF!</f>
        <v>#REF!</v>
      </c>
      <c r="C60" s="276" t="e">
        <f>#REF!</f>
        <v>#REF!</v>
      </c>
      <c r="D60" s="277" t="e">
        <f>#REF!</f>
        <v>#REF!</v>
      </c>
      <c r="E60" s="277" t="e">
        <f>#REF!</f>
        <v>#REF!</v>
      </c>
      <c r="F60" s="277" t="e">
        <f>#REF!</f>
        <v>#REF!</v>
      </c>
      <c r="G60" s="277" t="e">
        <f>#REF!</f>
        <v>#REF!</v>
      </c>
      <c r="H60" s="277" t="e">
        <f>#REF!</f>
        <v>#REF!</v>
      </c>
      <c r="I60" s="277" t="e">
        <f>#REF!</f>
        <v>#REF!</v>
      </c>
      <c r="J60" s="277" t="e">
        <f>#REF!</f>
        <v>#REF!</v>
      </c>
      <c r="K60" s="277" t="e">
        <f>#REF!</f>
        <v>#REF!</v>
      </c>
      <c r="L60" s="277" t="e">
        <f>#REF!</f>
        <v>#REF!</v>
      </c>
      <c r="M60" s="277" t="e">
        <f>#REF!</f>
        <v>#REF!</v>
      </c>
      <c r="N60" s="277" t="e">
        <f>#REF!</f>
        <v>#REF!</v>
      </c>
      <c r="O60" s="277" t="e">
        <f>#REF!</f>
        <v>#REF!</v>
      </c>
      <c r="P60" s="277" t="e">
        <f>#REF!</f>
        <v>#REF!</v>
      </c>
      <c r="Q60" s="277" t="e">
        <f>#REF!</f>
        <v>#REF!</v>
      </c>
      <c r="R60" s="277" t="e">
        <f>#REF!</f>
        <v>#REF!</v>
      </c>
      <c r="S60" s="277" t="e">
        <f>#REF!</f>
        <v>#REF!</v>
      </c>
      <c r="T60" s="281" t="e">
        <f>#REF!</f>
        <v>#REF!</v>
      </c>
      <c r="U60" s="281" t="e">
        <f>#REF!</f>
        <v>#REF!</v>
      </c>
      <c r="V60" s="281" t="e">
        <f>#REF!</f>
        <v>#REF!</v>
      </c>
      <c r="W60" s="281" t="e">
        <f>#REF!</f>
        <v>#REF!</v>
      </c>
      <c r="X60" s="281" t="e">
        <f>#REF!</f>
        <v>#REF!</v>
      </c>
    </row>
    <row r="61" spans="1:24" ht="24.95" customHeight="1">
      <c r="A61" s="274" t="e">
        <f>#REF!</f>
        <v>#REF!</v>
      </c>
      <c r="B61" s="275" t="e">
        <f>#REF!</f>
        <v>#REF!</v>
      </c>
      <c r="C61" s="276" t="e">
        <f>#REF!</f>
        <v>#REF!</v>
      </c>
      <c r="D61" s="277" t="e">
        <f>#REF!</f>
        <v>#REF!</v>
      </c>
      <c r="E61" s="277" t="e">
        <f>#REF!</f>
        <v>#REF!</v>
      </c>
      <c r="F61" s="277" t="e">
        <f>#REF!</f>
        <v>#REF!</v>
      </c>
      <c r="G61" s="277" t="e">
        <f>#REF!</f>
        <v>#REF!</v>
      </c>
      <c r="H61" s="277" t="e">
        <f>#REF!</f>
        <v>#REF!</v>
      </c>
      <c r="I61" s="277" t="e">
        <f>#REF!</f>
        <v>#REF!</v>
      </c>
      <c r="J61" s="277" t="e">
        <f>#REF!</f>
        <v>#REF!</v>
      </c>
      <c r="K61" s="277" t="e">
        <f>#REF!</f>
        <v>#REF!</v>
      </c>
      <c r="L61" s="277" t="e">
        <f>#REF!</f>
        <v>#REF!</v>
      </c>
      <c r="M61" s="277" t="e">
        <f>#REF!</f>
        <v>#REF!</v>
      </c>
      <c r="N61" s="277" t="e">
        <f>#REF!</f>
        <v>#REF!</v>
      </c>
      <c r="O61" s="277" t="e">
        <f>#REF!</f>
        <v>#REF!</v>
      </c>
      <c r="P61" s="277" t="e">
        <f>#REF!</f>
        <v>#REF!</v>
      </c>
      <c r="Q61" s="277" t="e">
        <f>#REF!</f>
        <v>#REF!</v>
      </c>
      <c r="R61" s="277" t="e">
        <f>#REF!</f>
        <v>#REF!</v>
      </c>
      <c r="S61" s="277" t="e">
        <f>#REF!</f>
        <v>#REF!</v>
      </c>
      <c r="T61" s="281" t="e">
        <f>#REF!</f>
        <v>#REF!</v>
      </c>
      <c r="U61" s="281" t="e">
        <f>#REF!</f>
        <v>#REF!</v>
      </c>
      <c r="V61" s="281" t="e">
        <f>#REF!</f>
        <v>#REF!</v>
      </c>
      <c r="W61" s="281" t="e">
        <f>#REF!</f>
        <v>#REF!</v>
      </c>
      <c r="X61" s="281" t="e">
        <f>#REF!</f>
        <v>#REF!</v>
      </c>
    </row>
    <row r="62" spans="1:24" ht="24.95" customHeight="1">
      <c r="A62" s="274" t="e">
        <f>#REF!</f>
        <v>#REF!</v>
      </c>
      <c r="B62" s="275" t="e">
        <f>#REF!</f>
        <v>#REF!</v>
      </c>
      <c r="C62" s="276" t="e">
        <f>#REF!</f>
        <v>#REF!</v>
      </c>
      <c r="D62" s="277" t="e">
        <f>#REF!</f>
        <v>#REF!</v>
      </c>
      <c r="E62" s="277" t="e">
        <f>#REF!</f>
        <v>#REF!</v>
      </c>
      <c r="F62" s="277" t="e">
        <f>#REF!</f>
        <v>#REF!</v>
      </c>
      <c r="G62" s="277" t="e">
        <f>#REF!</f>
        <v>#REF!</v>
      </c>
      <c r="H62" s="277" t="e">
        <f>#REF!</f>
        <v>#REF!</v>
      </c>
      <c r="I62" s="277" t="e">
        <f>#REF!</f>
        <v>#REF!</v>
      </c>
      <c r="J62" s="277" t="e">
        <f>#REF!</f>
        <v>#REF!</v>
      </c>
      <c r="K62" s="277" t="e">
        <f>#REF!</f>
        <v>#REF!</v>
      </c>
      <c r="L62" s="277" t="e">
        <f>#REF!</f>
        <v>#REF!</v>
      </c>
      <c r="M62" s="277" t="e">
        <f>#REF!</f>
        <v>#REF!</v>
      </c>
      <c r="N62" s="277" t="e">
        <f>#REF!</f>
        <v>#REF!</v>
      </c>
      <c r="O62" s="277" t="e">
        <f>#REF!</f>
        <v>#REF!</v>
      </c>
      <c r="P62" s="277" t="e">
        <f>#REF!</f>
        <v>#REF!</v>
      </c>
      <c r="Q62" s="277" t="e">
        <f>#REF!</f>
        <v>#REF!</v>
      </c>
      <c r="R62" s="277" t="e">
        <f>#REF!</f>
        <v>#REF!</v>
      </c>
      <c r="S62" s="277" t="e">
        <f>#REF!</f>
        <v>#REF!</v>
      </c>
      <c r="T62" s="281" t="e">
        <f>#REF!</f>
        <v>#REF!</v>
      </c>
      <c r="U62" s="281" t="e">
        <f>#REF!</f>
        <v>#REF!</v>
      </c>
      <c r="V62" s="281" t="e">
        <f>#REF!</f>
        <v>#REF!</v>
      </c>
      <c r="W62" s="281" t="e">
        <f>#REF!</f>
        <v>#REF!</v>
      </c>
      <c r="X62" s="281" t="e">
        <f>#REF!</f>
        <v>#REF!</v>
      </c>
    </row>
    <row r="63" spans="1:24" ht="24.95" customHeight="1">
      <c r="A63" s="274" t="e">
        <f>#REF!</f>
        <v>#REF!</v>
      </c>
      <c r="B63" s="275" t="e">
        <f>#REF!</f>
        <v>#REF!</v>
      </c>
      <c r="C63" s="276" t="e">
        <f>#REF!</f>
        <v>#REF!</v>
      </c>
      <c r="D63" s="277" t="e">
        <f>#REF!</f>
        <v>#REF!</v>
      </c>
      <c r="E63" s="277" t="e">
        <f>#REF!</f>
        <v>#REF!</v>
      </c>
      <c r="F63" s="277" t="e">
        <f>#REF!</f>
        <v>#REF!</v>
      </c>
      <c r="G63" s="277" t="e">
        <f>#REF!</f>
        <v>#REF!</v>
      </c>
      <c r="H63" s="277" t="e">
        <f>#REF!</f>
        <v>#REF!</v>
      </c>
      <c r="I63" s="277" t="e">
        <f>#REF!</f>
        <v>#REF!</v>
      </c>
      <c r="J63" s="277" t="e">
        <f>#REF!</f>
        <v>#REF!</v>
      </c>
      <c r="K63" s="277" t="e">
        <f>#REF!</f>
        <v>#REF!</v>
      </c>
      <c r="L63" s="277" t="e">
        <f>#REF!</f>
        <v>#REF!</v>
      </c>
      <c r="M63" s="277" t="e">
        <f>#REF!</f>
        <v>#REF!</v>
      </c>
      <c r="N63" s="277" t="e">
        <f>#REF!</f>
        <v>#REF!</v>
      </c>
      <c r="O63" s="277" t="e">
        <f>#REF!</f>
        <v>#REF!</v>
      </c>
      <c r="P63" s="277" t="e">
        <f>#REF!</f>
        <v>#REF!</v>
      </c>
      <c r="Q63" s="277" t="e">
        <f>#REF!</f>
        <v>#REF!</v>
      </c>
      <c r="R63" s="277" t="e">
        <f>#REF!</f>
        <v>#REF!</v>
      </c>
      <c r="S63" s="277" t="e">
        <f>#REF!</f>
        <v>#REF!</v>
      </c>
      <c r="T63" s="281" t="e">
        <f>#REF!</f>
        <v>#REF!</v>
      </c>
      <c r="U63" s="281" t="e">
        <f>#REF!</f>
        <v>#REF!</v>
      </c>
      <c r="V63" s="281" t="e">
        <f>#REF!</f>
        <v>#REF!</v>
      </c>
      <c r="W63" s="281" t="e">
        <f>#REF!</f>
        <v>#REF!</v>
      </c>
      <c r="X63" s="281" t="e">
        <f>#REF!</f>
        <v>#REF!</v>
      </c>
    </row>
    <row r="64" spans="1:24" ht="24.95" customHeight="1">
      <c r="A64" s="274" t="e">
        <f>#REF!</f>
        <v>#REF!</v>
      </c>
      <c r="B64" s="275" t="e">
        <f>#REF!</f>
        <v>#REF!</v>
      </c>
      <c r="C64" s="276" t="e">
        <f>#REF!</f>
        <v>#REF!</v>
      </c>
      <c r="D64" s="277" t="e">
        <f>#REF!</f>
        <v>#REF!</v>
      </c>
      <c r="E64" s="277" t="e">
        <f>#REF!</f>
        <v>#REF!</v>
      </c>
      <c r="F64" s="277" t="e">
        <f>#REF!</f>
        <v>#REF!</v>
      </c>
      <c r="G64" s="277" t="e">
        <f>#REF!</f>
        <v>#REF!</v>
      </c>
      <c r="H64" s="277" t="e">
        <f>#REF!</f>
        <v>#REF!</v>
      </c>
      <c r="I64" s="277" t="e">
        <f>#REF!</f>
        <v>#REF!</v>
      </c>
      <c r="J64" s="277" t="e">
        <f>#REF!</f>
        <v>#REF!</v>
      </c>
      <c r="K64" s="277" t="e">
        <f>#REF!</f>
        <v>#REF!</v>
      </c>
      <c r="L64" s="277" t="e">
        <f>#REF!</f>
        <v>#REF!</v>
      </c>
      <c r="M64" s="277" t="e">
        <f>#REF!</f>
        <v>#REF!</v>
      </c>
      <c r="N64" s="277" t="e">
        <f>#REF!</f>
        <v>#REF!</v>
      </c>
      <c r="O64" s="277" t="e">
        <f>#REF!</f>
        <v>#REF!</v>
      </c>
      <c r="P64" s="277" t="e">
        <f>#REF!</f>
        <v>#REF!</v>
      </c>
      <c r="Q64" s="277" t="e">
        <f>#REF!</f>
        <v>#REF!</v>
      </c>
      <c r="R64" s="277" t="e">
        <f>#REF!</f>
        <v>#REF!</v>
      </c>
      <c r="S64" s="277" t="e">
        <f>#REF!</f>
        <v>#REF!</v>
      </c>
      <c r="T64" s="281" t="e">
        <f>#REF!</f>
        <v>#REF!</v>
      </c>
      <c r="U64" s="281" t="e">
        <f>#REF!</f>
        <v>#REF!</v>
      </c>
      <c r="V64" s="281" t="e">
        <f>#REF!</f>
        <v>#REF!</v>
      </c>
      <c r="W64" s="281" t="e">
        <f>#REF!</f>
        <v>#REF!</v>
      </c>
      <c r="X64" s="281" t="e">
        <f>#REF!</f>
        <v>#REF!</v>
      </c>
    </row>
    <row r="65" spans="1:24" ht="24.95" customHeight="1">
      <c r="A65" s="274" t="e">
        <f>#REF!</f>
        <v>#REF!</v>
      </c>
      <c r="B65" s="275" t="e">
        <f>#REF!</f>
        <v>#REF!</v>
      </c>
      <c r="C65" s="276" t="e">
        <f>#REF!</f>
        <v>#REF!</v>
      </c>
      <c r="D65" s="277" t="e">
        <f>#REF!</f>
        <v>#REF!</v>
      </c>
      <c r="E65" s="277" t="e">
        <f>#REF!</f>
        <v>#REF!</v>
      </c>
      <c r="F65" s="277" t="e">
        <f>#REF!</f>
        <v>#REF!</v>
      </c>
      <c r="G65" s="277" t="e">
        <f>#REF!</f>
        <v>#REF!</v>
      </c>
      <c r="H65" s="277" t="e">
        <f>#REF!</f>
        <v>#REF!</v>
      </c>
      <c r="I65" s="277" t="e">
        <f>#REF!</f>
        <v>#REF!</v>
      </c>
      <c r="J65" s="277" t="e">
        <f>#REF!</f>
        <v>#REF!</v>
      </c>
      <c r="K65" s="277" t="e">
        <f>#REF!</f>
        <v>#REF!</v>
      </c>
      <c r="L65" s="277" t="e">
        <f>#REF!</f>
        <v>#REF!</v>
      </c>
      <c r="M65" s="277" t="e">
        <f>#REF!</f>
        <v>#REF!</v>
      </c>
      <c r="N65" s="277" t="e">
        <f>#REF!</f>
        <v>#REF!</v>
      </c>
      <c r="O65" s="277" t="e">
        <f>#REF!</f>
        <v>#REF!</v>
      </c>
      <c r="P65" s="277" t="e">
        <f>#REF!</f>
        <v>#REF!</v>
      </c>
      <c r="Q65" s="277" t="e">
        <f>#REF!</f>
        <v>#REF!</v>
      </c>
      <c r="R65" s="277" t="e">
        <f>#REF!</f>
        <v>#REF!</v>
      </c>
      <c r="S65" s="277" t="e">
        <f>#REF!</f>
        <v>#REF!</v>
      </c>
      <c r="T65" s="281" t="e">
        <f>#REF!</f>
        <v>#REF!</v>
      </c>
      <c r="U65" s="281" t="e">
        <f>#REF!</f>
        <v>#REF!</v>
      </c>
      <c r="V65" s="281" t="e">
        <f>#REF!</f>
        <v>#REF!</v>
      </c>
      <c r="W65" s="281" t="e">
        <f>#REF!</f>
        <v>#REF!</v>
      </c>
      <c r="X65" s="281" t="e">
        <f>#REF!</f>
        <v>#REF!</v>
      </c>
    </row>
    <row r="66" spans="1:24" ht="24.95" customHeight="1">
      <c r="A66" s="274" t="e">
        <f>#REF!</f>
        <v>#REF!</v>
      </c>
      <c r="B66" s="275" t="e">
        <f>#REF!</f>
        <v>#REF!</v>
      </c>
      <c r="C66" s="276" t="e">
        <f>#REF!</f>
        <v>#REF!</v>
      </c>
      <c r="D66" s="277" t="e">
        <f>#REF!</f>
        <v>#REF!</v>
      </c>
      <c r="E66" s="277" t="e">
        <f>#REF!</f>
        <v>#REF!</v>
      </c>
      <c r="F66" s="277" t="e">
        <f>#REF!</f>
        <v>#REF!</v>
      </c>
      <c r="G66" s="277" t="e">
        <f>#REF!</f>
        <v>#REF!</v>
      </c>
      <c r="H66" s="277" t="e">
        <f>#REF!</f>
        <v>#REF!</v>
      </c>
      <c r="I66" s="277" t="e">
        <f>#REF!</f>
        <v>#REF!</v>
      </c>
      <c r="J66" s="277" t="e">
        <f>#REF!</f>
        <v>#REF!</v>
      </c>
      <c r="K66" s="277" t="e">
        <f>#REF!</f>
        <v>#REF!</v>
      </c>
      <c r="L66" s="277" t="e">
        <f>#REF!</f>
        <v>#REF!</v>
      </c>
      <c r="M66" s="277" t="e">
        <f>#REF!</f>
        <v>#REF!</v>
      </c>
      <c r="N66" s="277" t="e">
        <f>#REF!</f>
        <v>#REF!</v>
      </c>
      <c r="O66" s="277" t="e">
        <f>#REF!</f>
        <v>#REF!</v>
      </c>
      <c r="P66" s="277" t="e">
        <f>#REF!</f>
        <v>#REF!</v>
      </c>
      <c r="Q66" s="277" t="e">
        <f>#REF!</f>
        <v>#REF!</v>
      </c>
      <c r="R66" s="277" t="e">
        <f>#REF!</f>
        <v>#REF!</v>
      </c>
      <c r="S66" s="277" t="e">
        <f>#REF!</f>
        <v>#REF!</v>
      </c>
      <c r="T66" s="281" t="e">
        <f>#REF!</f>
        <v>#REF!</v>
      </c>
      <c r="U66" s="281" t="e">
        <f>#REF!</f>
        <v>#REF!</v>
      </c>
      <c r="V66" s="281" t="e">
        <f>#REF!</f>
        <v>#REF!</v>
      </c>
      <c r="W66" s="281" t="e">
        <f>#REF!</f>
        <v>#REF!</v>
      </c>
      <c r="X66" s="281" t="e">
        <f>#REF!</f>
        <v>#REF!</v>
      </c>
    </row>
    <row r="67" spans="1:24" ht="24.95" customHeight="1">
      <c r="A67" s="274" t="e">
        <f>#REF!</f>
        <v>#REF!</v>
      </c>
      <c r="B67" s="275" t="e">
        <f>#REF!</f>
        <v>#REF!</v>
      </c>
      <c r="C67" s="276" t="e">
        <f>#REF!</f>
        <v>#REF!</v>
      </c>
      <c r="D67" s="277" t="e">
        <f>#REF!</f>
        <v>#REF!</v>
      </c>
      <c r="E67" s="277" t="e">
        <f>#REF!</f>
        <v>#REF!</v>
      </c>
      <c r="F67" s="277" t="e">
        <f>#REF!</f>
        <v>#REF!</v>
      </c>
      <c r="G67" s="277" t="e">
        <f>#REF!</f>
        <v>#REF!</v>
      </c>
      <c r="H67" s="277" t="e">
        <f>#REF!</f>
        <v>#REF!</v>
      </c>
      <c r="I67" s="277" t="e">
        <f>#REF!</f>
        <v>#REF!</v>
      </c>
      <c r="J67" s="277" t="e">
        <f>#REF!</f>
        <v>#REF!</v>
      </c>
      <c r="K67" s="277" t="e">
        <f>#REF!</f>
        <v>#REF!</v>
      </c>
      <c r="L67" s="277" t="e">
        <f>#REF!</f>
        <v>#REF!</v>
      </c>
      <c r="M67" s="277" t="e">
        <f>#REF!</f>
        <v>#REF!</v>
      </c>
      <c r="N67" s="277" t="e">
        <f>#REF!</f>
        <v>#REF!</v>
      </c>
      <c r="O67" s="277" t="e">
        <f>#REF!</f>
        <v>#REF!</v>
      </c>
      <c r="P67" s="277" t="e">
        <f>#REF!</f>
        <v>#REF!</v>
      </c>
      <c r="Q67" s="277" t="e">
        <f>#REF!</f>
        <v>#REF!</v>
      </c>
      <c r="R67" s="277" t="e">
        <f>#REF!</f>
        <v>#REF!</v>
      </c>
      <c r="S67" s="277" t="e">
        <f>#REF!</f>
        <v>#REF!</v>
      </c>
      <c r="T67" s="281" t="e">
        <f>#REF!</f>
        <v>#REF!</v>
      </c>
      <c r="U67" s="281" t="e">
        <f>#REF!</f>
        <v>#REF!</v>
      </c>
      <c r="V67" s="281" t="e">
        <f>#REF!</f>
        <v>#REF!</v>
      </c>
      <c r="W67" s="281" t="e">
        <f>#REF!</f>
        <v>#REF!</v>
      </c>
      <c r="X67" s="281" t="e">
        <f>#REF!</f>
        <v>#REF!</v>
      </c>
    </row>
    <row r="68" spans="1:24" ht="24.95" customHeight="1">
      <c r="A68" s="274" t="e">
        <f>#REF!</f>
        <v>#REF!</v>
      </c>
      <c r="B68" s="275" t="e">
        <f>#REF!</f>
        <v>#REF!</v>
      </c>
      <c r="C68" s="276" t="e">
        <f>#REF!</f>
        <v>#REF!</v>
      </c>
      <c r="D68" s="277" t="e">
        <f>#REF!</f>
        <v>#REF!</v>
      </c>
      <c r="E68" s="277" t="e">
        <f>#REF!</f>
        <v>#REF!</v>
      </c>
      <c r="F68" s="277" t="e">
        <f>#REF!</f>
        <v>#REF!</v>
      </c>
      <c r="G68" s="277" t="e">
        <f>#REF!</f>
        <v>#REF!</v>
      </c>
      <c r="H68" s="277" t="e">
        <f>#REF!</f>
        <v>#REF!</v>
      </c>
      <c r="I68" s="277" t="e">
        <f>#REF!</f>
        <v>#REF!</v>
      </c>
      <c r="J68" s="277" t="e">
        <f>#REF!</f>
        <v>#REF!</v>
      </c>
      <c r="K68" s="277" t="e">
        <f>#REF!</f>
        <v>#REF!</v>
      </c>
      <c r="L68" s="277" t="e">
        <f>#REF!</f>
        <v>#REF!</v>
      </c>
      <c r="M68" s="277" t="e">
        <f>#REF!</f>
        <v>#REF!</v>
      </c>
      <c r="N68" s="277" t="e">
        <f>#REF!</f>
        <v>#REF!</v>
      </c>
      <c r="O68" s="277" t="e">
        <f>#REF!</f>
        <v>#REF!</v>
      </c>
      <c r="P68" s="277" t="e">
        <f>#REF!</f>
        <v>#REF!</v>
      </c>
      <c r="Q68" s="277" t="e">
        <f>#REF!</f>
        <v>#REF!</v>
      </c>
      <c r="R68" s="277" t="e">
        <f>#REF!</f>
        <v>#REF!</v>
      </c>
      <c r="S68" s="277" t="e">
        <f>#REF!</f>
        <v>#REF!</v>
      </c>
      <c r="T68" s="281" t="e">
        <f>#REF!</f>
        <v>#REF!</v>
      </c>
      <c r="U68" s="281" t="e">
        <f>#REF!</f>
        <v>#REF!</v>
      </c>
      <c r="V68" s="281" t="e">
        <f>#REF!</f>
        <v>#REF!</v>
      </c>
      <c r="W68" s="281" t="e">
        <f>#REF!</f>
        <v>#REF!</v>
      </c>
      <c r="X68" s="281" t="e">
        <f>#REF!</f>
        <v>#REF!</v>
      </c>
    </row>
    <row r="69" spans="1:24" ht="24.95" customHeight="1">
      <c r="A69" s="274" t="e">
        <f>#REF!</f>
        <v>#REF!</v>
      </c>
      <c r="B69" s="275" t="e">
        <f>#REF!</f>
        <v>#REF!</v>
      </c>
      <c r="C69" s="276" t="e">
        <f>#REF!</f>
        <v>#REF!</v>
      </c>
      <c r="D69" s="277" t="e">
        <f>#REF!</f>
        <v>#REF!</v>
      </c>
      <c r="E69" s="277" t="e">
        <f>#REF!</f>
        <v>#REF!</v>
      </c>
      <c r="F69" s="277" t="e">
        <f>#REF!</f>
        <v>#REF!</v>
      </c>
      <c r="G69" s="277" t="e">
        <f>#REF!</f>
        <v>#REF!</v>
      </c>
      <c r="H69" s="277" t="e">
        <f>#REF!</f>
        <v>#REF!</v>
      </c>
      <c r="I69" s="277" t="e">
        <f>#REF!</f>
        <v>#REF!</v>
      </c>
      <c r="J69" s="277" t="e">
        <f>#REF!</f>
        <v>#REF!</v>
      </c>
      <c r="K69" s="277" t="e">
        <f>#REF!</f>
        <v>#REF!</v>
      </c>
      <c r="L69" s="277" t="e">
        <f>#REF!</f>
        <v>#REF!</v>
      </c>
      <c r="M69" s="277" t="e">
        <f>#REF!</f>
        <v>#REF!</v>
      </c>
      <c r="N69" s="277" t="e">
        <f>#REF!</f>
        <v>#REF!</v>
      </c>
      <c r="O69" s="277" t="e">
        <f>#REF!</f>
        <v>#REF!</v>
      </c>
      <c r="P69" s="277" t="e">
        <f>#REF!</f>
        <v>#REF!</v>
      </c>
      <c r="Q69" s="277" t="e">
        <f>#REF!</f>
        <v>#REF!</v>
      </c>
      <c r="R69" s="277" t="e">
        <f>#REF!</f>
        <v>#REF!</v>
      </c>
      <c r="S69" s="277" t="e">
        <f>#REF!</f>
        <v>#REF!</v>
      </c>
      <c r="T69" s="281" t="e">
        <f>#REF!</f>
        <v>#REF!</v>
      </c>
      <c r="U69" s="281" t="e">
        <f>#REF!</f>
        <v>#REF!</v>
      </c>
      <c r="V69" s="281" t="e">
        <f>#REF!</f>
        <v>#REF!</v>
      </c>
      <c r="W69" s="281" t="e">
        <f>#REF!</f>
        <v>#REF!</v>
      </c>
      <c r="X69" s="281" t="e">
        <f>#REF!</f>
        <v>#REF!</v>
      </c>
    </row>
    <row r="70" spans="1:24" ht="24.95" customHeight="1">
      <c r="A70" s="274" t="e">
        <f>#REF!</f>
        <v>#REF!</v>
      </c>
      <c r="B70" s="275" t="e">
        <f>#REF!</f>
        <v>#REF!</v>
      </c>
      <c r="C70" s="276" t="e">
        <f>#REF!</f>
        <v>#REF!</v>
      </c>
      <c r="D70" s="277" t="e">
        <f>#REF!</f>
        <v>#REF!</v>
      </c>
      <c r="E70" s="277" t="e">
        <f>#REF!</f>
        <v>#REF!</v>
      </c>
      <c r="F70" s="277" t="e">
        <f>#REF!</f>
        <v>#REF!</v>
      </c>
      <c r="G70" s="277" t="e">
        <f>#REF!</f>
        <v>#REF!</v>
      </c>
      <c r="H70" s="277" t="e">
        <f>#REF!</f>
        <v>#REF!</v>
      </c>
      <c r="I70" s="277" t="e">
        <f>#REF!</f>
        <v>#REF!</v>
      </c>
      <c r="J70" s="277" t="e">
        <f>#REF!</f>
        <v>#REF!</v>
      </c>
      <c r="K70" s="277" t="e">
        <f>#REF!</f>
        <v>#REF!</v>
      </c>
      <c r="L70" s="277" t="e">
        <f>#REF!</f>
        <v>#REF!</v>
      </c>
      <c r="M70" s="277" t="e">
        <f>#REF!</f>
        <v>#REF!</v>
      </c>
      <c r="N70" s="277" t="e">
        <f>#REF!</f>
        <v>#REF!</v>
      </c>
      <c r="O70" s="277" t="e">
        <f>#REF!</f>
        <v>#REF!</v>
      </c>
      <c r="P70" s="277" t="e">
        <f>#REF!</f>
        <v>#REF!</v>
      </c>
      <c r="Q70" s="277" t="e">
        <f>#REF!</f>
        <v>#REF!</v>
      </c>
      <c r="R70" s="277" t="e">
        <f>#REF!</f>
        <v>#REF!</v>
      </c>
      <c r="S70" s="277" t="e">
        <f>#REF!</f>
        <v>#REF!</v>
      </c>
      <c r="T70" s="281" t="e">
        <f>#REF!</f>
        <v>#REF!</v>
      </c>
      <c r="U70" s="281" t="e">
        <f>#REF!</f>
        <v>#REF!</v>
      </c>
      <c r="V70" s="281" t="e">
        <f>#REF!</f>
        <v>#REF!</v>
      </c>
      <c r="W70" s="281" t="e">
        <f>#REF!</f>
        <v>#REF!</v>
      </c>
      <c r="X70" s="281" t="e">
        <f>#REF!</f>
        <v>#REF!</v>
      </c>
    </row>
    <row r="71" spans="1:24" ht="24.95" customHeight="1">
      <c r="A71" s="274" t="e">
        <f>#REF!</f>
        <v>#REF!</v>
      </c>
      <c r="B71" s="275" t="e">
        <f>#REF!</f>
        <v>#REF!</v>
      </c>
      <c r="C71" s="276" t="e">
        <f>#REF!</f>
        <v>#REF!</v>
      </c>
      <c r="D71" s="277" t="e">
        <f>#REF!</f>
        <v>#REF!</v>
      </c>
      <c r="E71" s="277" t="e">
        <f>#REF!</f>
        <v>#REF!</v>
      </c>
      <c r="F71" s="277" t="e">
        <f>#REF!</f>
        <v>#REF!</v>
      </c>
      <c r="G71" s="277" t="e">
        <f>#REF!</f>
        <v>#REF!</v>
      </c>
      <c r="H71" s="277" t="e">
        <f>#REF!</f>
        <v>#REF!</v>
      </c>
      <c r="I71" s="277" t="e">
        <f>#REF!</f>
        <v>#REF!</v>
      </c>
      <c r="J71" s="277" t="e">
        <f>#REF!</f>
        <v>#REF!</v>
      </c>
      <c r="K71" s="277" t="e">
        <f>#REF!</f>
        <v>#REF!</v>
      </c>
      <c r="L71" s="277" t="e">
        <f>#REF!</f>
        <v>#REF!</v>
      </c>
      <c r="M71" s="277" t="e">
        <f>#REF!</f>
        <v>#REF!</v>
      </c>
      <c r="N71" s="277" t="e">
        <f>#REF!</f>
        <v>#REF!</v>
      </c>
      <c r="O71" s="277" t="e">
        <f>#REF!</f>
        <v>#REF!</v>
      </c>
      <c r="P71" s="277" t="e">
        <f>#REF!</f>
        <v>#REF!</v>
      </c>
      <c r="Q71" s="277" t="e">
        <f>#REF!</f>
        <v>#REF!</v>
      </c>
      <c r="R71" s="277" t="e">
        <f>#REF!</f>
        <v>#REF!</v>
      </c>
      <c r="S71" s="277" t="e">
        <f>#REF!</f>
        <v>#REF!</v>
      </c>
      <c r="T71" s="281" t="e">
        <f>#REF!</f>
        <v>#REF!</v>
      </c>
      <c r="U71" s="281" t="e">
        <f>#REF!</f>
        <v>#REF!</v>
      </c>
      <c r="V71" s="281" t="e">
        <f>#REF!</f>
        <v>#REF!</v>
      </c>
      <c r="W71" s="281" t="e">
        <f>#REF!</f>
        <v>#REF!</v>
      </c>
      <c r="X71" s="281" t="e">
        <f>#REF!</f>
        <v>#REF!</v>
      </c>
    </row>
    <row r="72" spans="1:24" ht="24.95" customHeight="1">
      <c r="A72" s="274" t="e">
        <f>#REF!</f>
        <v>#REF!</v>
      </c>
      <c r="B72" s="275" t="e">
        <f>#REF!</f>
        <v>#REF!</v>
      </c>
      <c r="C72" s="276" t="e">
        <f>#REF!</f>
        <v>#REF!</v>
      </c>
      <c r="D72" s="277" t="e">
        <f>#REF!</f>
        <v>#REF!</v>
      </c>
      <c r="E72" s="277" t="e">
        <f>#REF!</f>
        <v>#REF!</v>
      </c>
      <c r="F72" s="277" t="e">
        <f>#REF!</f>
        <v>#REF!</v>
      </c>
      <c r="G72" s="277" t="e">
        <f>#REF!</f>
        <v>#REF!</v>
      </c>
      <c r="H72" s="277" t="e">
        <f>#REF!</f>
        <v>#REF!</v>
      </c>
      <c r="I72" s="277" t="e">
        <f>#REF!</f>
        <v>#REF!</v>
      </c>
      <c r="J72" s="277" t="e">
        <f>#REF!</f>
        <v>#REF!</v>
      </c>
      <c r="K72" s="277" t="e">
        <f>#REF!</f>
        <v>#REF!</v>
      </c>
      <c r="L72" s="277" t="e">
        <f>#REF!</f>
        <v>#REF!</v>
      </c>
      <c r="M72" s="277" t="e">
        <f>#REF!</f>
        <v>#REF!</v>
      </c>
      <c r="N72" s="277" t="e">
        <f>#REF!</f>
        <v>#REF!</v>
      </c>
      <c r="O72" s="277" t="e">
        <f>#REF!</f>
        <v>#REF!</v>
      </c>
      <c r="P72" s="277" t="e">
        <f>#REF!</f>
        <v>#REF!</v>
      </c>
      <c r="Q72" s="277" t="e">
        <f>#REF!</f>
        <v>#REF!</v>
      </c>
      <c r="R72" s="277" t="e">
        <f>#REF!</f>
        <v>#REF!</v>
      </c>
      <c r="S72" s="277" t="e">
        <f>#REF!</f>
        <v>#REF!</v>
      </c>
      <c r="T72" s="281" t="e">
        <f>#REF!</f>
        <v>#REF!</v>
      </c>
      <c r="U72" s="281" t="e">
        <f>#REF!</f>
        <v>#REF!</v>
      </c>
      <c r="V72" s="281" t="e">
        <f>#REF!</f>
        <v>#REF!</v>
      </c>
      <c r="W72" s="281" t="e">
        <f>#REF!</f>
        <v>#REF!</v>
      </c>
      <c r="X72" s="281" t="e">
        <f>#REF!</f>
        <v>#REF!</v>
      </c>
    </row>
    <row r="73" spans="1:24" ht="24.95" customHeight="1">
      <c r="A73" s="274" t="e">
        <f>#REF!</f>
        <v>#REF!</v>
      </c>
      <c r="B73" s="275" t="e">
        <f>#REF!</f>
        <v>#REF!</v>
      </c>
      <c r="C73" s="276" t="e">
        <f>#REF!</f>
        <v>#REF!</v>
      </c>
      <c r="D73" s="277" t="e">
        <f>#REF!</f>
        <v>#REF!</v>
      </c>
      <c r="E73" s="277" t="e">
        <f>#REF!</f>
        <v>#REF!</v>
      </c>
      <c r="F73" s="277" t="e">
        <f>#REF!</f>
        <v>#REF!</v>
      </c>
      <c r="G73" s="277" t="e">
        <f>#REF!</f>
        <v>#REF!</v>
      </c>
      <c r="H73" s="277" t="e">
        <f>#REF!</f>
        <v>#REF!</v>
      </c>
      <c r="I73" s="277" t="e">
        <f>#REF!</f>
        <v>#REF!</v>
      </c>
      <c r="J73" s="277" t="e">
        <f>#REF!</f>
        <v>#REF!</v>
      </c>
      <c r="K73" s="277" t="e">
        <f>#REF!</f>
        <v>#REF!</v>
      </c>
      <c r="L73" s="277" t="e">
        <f>#REF!</f>
        <v>#REF!</v>
      </c>
      <c r="M73" s="277" t="e">
        <f>#REF!</f>
        <v>#REF!</v>
      </c>
      <c r="N73" s="277" t="e">
        <f>#REF!</f>
        <v>#REF!</v>
      </c>
      <c r="O73" s="277" t="e">
        <f>#REF!</f>
        <v>#REF!</v>
      </c>
      <c r="P73" s="277" t="e">
        <f>#REF!</f>
        <v>#REF!</v>
      </c>
      <c r="Q73" s="277" t="e">
        <f>#REF!</f>
        <v>#REF!</v>
      </c>
      <c r="R73" s="277" t="e">
        <f>#REF!</f>
        <v>#REF!</v>
      </c>
      <c r="S73" s="277" t="e">
        <f>#REF!</f>
        <v>#REF!</v>
      </c>
      <c r="T73" s="281" t="e">
        <f>#REF!</f>
        <v>#REF!</v>
      </c>
      <c r="U73" s="281" t="e">
        <f>#REF!</f>
        <v>#REF!</v>
      </c>
      <c r="V73" s="281" t="e">
        <f>#REF!</f>
        <v>#REF!</v>
      </c>
      <c r="W73" s="281" t="e">
        <f>#REF!</f>
        <v>#REF!</v>
      </c>
      <c r="X73" s="281" t="e">
        <f>#REF!</f>
        <v>#REF!</v>
      </c>
    </row>
    <row r="74" spans="1:24" ht="24.95" customHeight="1">
      <c r="A74" s="274" t="e">
        <f>#REF!</f>
        <v>#REF!</v>
      </c>
      <c r="B74" s="275" t="e">
        <f>#REF!</f>
        <v>#REF!</v>
      </c>
      <c r="C74" s="276" t="e">
        <f>#REF!</f>
        <v>#REF!</v>
      </c>
      <c r="D74" s="277" t="e">
        <f>#REF!</f>
        <v>#REF!</v>
      </c>
      <c r="E74" s="277" t="e">
        <f>#REF!</f>
        <v>#REF!</v>
      </c>
      <c r="F74" s="277" t="e">
        <f>#REF!</f>
        <v>#REF!</v>
      </c>
      <c r="G74" s="277" t="e">
        <f>#REF!</f>
        <v>#REF!</v>
      </c>
      <c r="H74" s="277" t="e">
        <f>#REF!</f>
        <v>#REF!</v>
      </c>
      <c r="I74" s="277" t="e">
        <f>#REF!</f>
        <v>#REF!</v>
      </c>
      <c r="J74" s="277" t="e">
        <f>#REF!</f>
        <v>#REF!</v>
      </c>
      <c r="K74" s="277" t="e">
        <f>#REF!</f>
        <v>#REF!</v>
      </c>
      <c r="L74" s="277" t="e">
        <f>#REF!</f>
        <v>#REF!</v>
      </c>
      <c r="M74" s="277" t="e">
        <f>#REF!</f>
        <v>#REF!</v>
      </c>
      <c r="N74" s="277" t="e">
        <f>#REF!</f>
        <v>#REF!</v>
      </c>
      <c r="O74" s="277" t="e">
        <f>#REF!</f>
        <v>#REF!</v>
      </c>
      <c r="P74" s="277" t="e">
        <f>#REF!</f>
        <v>#REF!</v>
      </c>
      <c r="Q74" s="277" t="e">
        <f>#REF!</f>
        <v>#REF!</v>
      </c>
      <c r="R74" s="277" t="e">
        <f>#REF!</f>
        <v>#REF!</v>
      </c>
      <c r="S74" s="277" t="e">
        <f>#REF!</f>
        <v>#REF!</v>
      </c>
      <c r="T74" s="281" t="e">
        <f>#REF!</f>
        <v>#REF!</v>
      </c>
      <c r="U74" s="281" t="e">
        <f>#REF!</f>
        <v>#REF!</v>
      </c>
      <c r="V74" s="281" t="e">
        <f>#REF!</f>
        <v>#REF!</v>
      </c>
      <c r="W74" s="281" t="e">
        <f>#REF!</f>
        <v>#REF!</v>
      </c>
      <c r="X74" s="281" t="e">
        <f>#REF!</f>
        <v>#REF!</v>
      </c>
    </row>
    <row r="75" spans="1:24" ht="24.95" customHeight="1">
      <c r="A75" s="274" t="e">
        <f>#REF!</f>
        <v>#REF!</v>
      </c>
      <c r="B75" s="275" t="e">
        <f>#REF!</f>
        <v>#REF!</v>
      </c>
      <c r="C75" s="276" t="e">
        <f>#REF!</f>
        <v>#REF!</v>
      </c>
      <c r="D75" s="277" t="e">
        <f>#REF!</f>
        <v>#REF!</v>
      </c>
      <c r="E75" s="277" t="e">
        <f>#REF!</f>
        <v>#REF!</v>
      </c>
      <c r="F75" s="277" t="e">
        <f>#REF!</f>
        <v>#REF!</v>
      </c>
      <c r="G75" s="277" t="e">
        <f>#REF!</f>
        <v>#REF!</v>
      </c>
      <c r="H75" s="277" t="e">
        <f>#REF!</f>
        <v>#REF!</v>
      </c>
      <c r="I75" s="277" t="e">
        <f>#REF!</f>
        <v>#REF!</v>
      </c>
      <c r="J75" s="277" t="e">
        <f>#REF!</f>
        <v>#REF!</v>
      </c>
      <c r="K75" s="277" t="e">
        <f>#REF!</f>
        <v>#REF!</v>
      </c>
      <c r="L75" s="277" t="e">
        <f>#REF!</f>
        <v>#REF!</v>
      </c>
      <c r="M75" s="277" t="e">
        <f>#REF!</f>
        <v>#REF!</v>
      </c>
      <c r="N75" s="277" t="e">
        <f>#REF!</f>
        <v>#REF!</v>
      </c>
      <c r="O75" s="277" t="e">
        <f>#REF!</f>
        <v>#REF!</v>
      </c>
      <c r="P75" s="277" t="e">
        <f>#REF!</f>
        <v>#REF!</v>
      </c>
      <c r="Q75" s="277" t="e">
        <f>#REF!</f>
        <v>#REF!</v>
      </c>
      <c r="R75" s="277" t="e">
        <f>#REF!</f>
        <v>#REF!</v>
      </c>
      <c r="S75" s="277" t="e">
        <f>#REF!</f>
        <v>#REF!</v>
      </c>
      <c r="T75" s="281" t="e">
        <f>#REF!</f>
        <v>#REF!</v>
      </c>
      <c r="U75" s="281" t="e">
        <f>#REF!</f>
        <v>#REF!</v>
      </c>
      <c r="V75" s="281" t="e">
        <f>#REF!</f>
        <v>#REF!</v>
      </c>
      <c r="W75" s="281" t="e">
        <f>#REF!</f>
        <v>#REF!</v>
      </c>
      <c r="X75" s="281" t="e">
        <f>#REF!</f>
        <v>#REF!</v>
      </c>
    </row>
    <row r="76" spans="1:24" ht="24.95" customHeight="1">
      <c r="A76" s="274" t="e">
        <f>#REF!</f>
        <v>#REF!</v>
      </c>
      <c r="B76" s="275" t="e">
        <f>#REF!</f>
        <v>#REF!</v>
      </c>
      <c r="C76" s="276" t="e">
        <f>#REF!</f>
        <v>#REF!</v>
      </c>
      <c r="D76" s="277" t="e">
        <f>#REF!</f>
        <v>#REF!</v>
      </c>
      <c r="E76" s="277" t="e">
        <f>#REF!</f>
        <v>#REF!</v>
      </c>
      <c r="F76" s="277" t="e">
        <f>#REF!</f>
        <v>#REF!</v>
      </c>
      <c r="G76" s="277" t="e">
        <f>#REF!</f>
        <v>#REF!</v>
      </c>
      <c r="H76" s="277" t="e">
        <f>#REF!</f>
        <v>#REF!</v>
      </c>
      <c r="I76" s="277" t="e">
        <f>#REF!</f>
        <v>#REF!</v>
      </c>
      <c r="J76" s="277" t="e">
        <f>#REF!</f>
        <v>#REF!</v>
      </c>
      <c r="K76" s="277" t="e">
        <f>#REF!</f>
        <v>#REF!</v>
      </c>
      <c r="L76" s="277" t="e">
        <f>#REF!</f>
        <v>#REF!</v>
      </c>
      <c r="M76" s="277" t="e">
        <f>#REF!</f>
        <v>#REF!</v>
      </c>
      <c r="N76" s="277" t="e">
        <f>#REF!</f>
        <v>#REF!</v>
      </c>
      <c r="O76" s="277" t="e">
        <f>#REF!</f>
        <v>#REF!</v>
      </c>
      <c r="P76" s="277" t="e">
        <f>#REF!</f>
        <v>#REF!</v>
      </c>
      <c r="Q76" s="277" t="e">
        <f>#REF!</f>
        <v>#REF!</v>
      </c>
      <c r="R76" s="277" t="e">
        <f>#REF!</f>
        <v>#REF!</v>
      </c>
      <c r="S76" s="277" t="e">
        <f>#REF!</f>
        <v>#REF!</v>
      </c>
      <c r="T76" s="281" t="e">
        <f>#REF!</f>
        <v>#REF!</v>
      </c>
      <c r="U76" s="281" t="e">
        <f>#REF!</f>
        <v>#REF!</v>
      </c>
      <c r="V76" s="281" t="e">
        <f>#REF!</f>
        <v>#REF!</v>
      </c>
      <c r="W76" s="281" t="e">
        <f>#REF!</f>
        <v>#REF!</v>
      </c>
      <c r="X76" s="281" t="e">
        <f>#REF!</f>
        <v>#REF!</v>
      </c>
    </row>
    <row r="77" spans="1:24" ht="24.95" customHeight="1">
      <c r="A77" s="274" t="e">
        <f>#REF!</f>
        <v>#REF!</v>
      </c>
      <c r="B77" s="275" t="e">
        <f>#REF!</f>
        <v>#REF!</v>
      </c>
      <c r="C77" s="276" t="e">
        <f>#REF!</f>
        <v>#REF!</v>
      </c>
      <c r="D77" s="277" t="e">
        <f>#REF!</f>
        <v>#REF!</v>
      </c>
      <c r="E77" s="277" t="e">
        <f>#REF!</f>
        <v>#REF!</v>
      </c>
      <c r="F77" s="277" t="e">
        <f>#REF!</f>
        <v>#REF!</v>
      </c>
      <c r="G77" s="277" t="e">
        <f>#REF!</f>
        <v>#REF!</v>
      </c>
      <c r="H77" s="277" t="e">
        <f>#REF!</f>
        <v>#REF!</v>
      </c>
      <c r="I77" s="277" t="e">
        <f>#REF!</f>
        <v>#REF!</v>
      </c>
      <c r="J77" s="277" t="e">
        <f>#REF!</f>
        <v>#REF!</v>
      </c>
      <c r="K77" s="277" t="e">
        <f>#REF!</f>
        <v>#REF!</v>
      </c>
      <c r="L77" s="277" t="e">
        <f>#REF!</f>
        <v>#REF!</v>
      </c>
      <c r="M77" s="277" t="e">
        <f>#REF!</f>
        <v>#REF!</v>
      </c>
      <c r="N77" s="277" t="e">
        <f>#REF!</f>
        <v>#REF!</v>
      </c>
      <c r="O77" s="277" t="e">
        <f>#REF!</f>
        <v>#REF!</v>
      </c>
      <c r="P77" s="277" t="e">
        <f>#REF!</f>
        <v>#REF!</v>
      </c>
      <c r="Q77" s="277" t="e">
        <f>#REF!</f>
        <v>#REF!</v>
      </c>
      <c r="R77" s="277" t="e">
        <f>#REF!</f>
        <v>#REF!</v>
      </c>
      <c r="S77" s="277" t="e">
        <f>#REF!</f>
        <v>#REF!</v>
      </c>
      <c r="T77" s="281" t="e">
        <f>#REF!</f>
        <v>#REF!</v>
      </c>
      <c r="U77" s="281" t="e">
        <f>#REF!</f>
        <v>#REF!</v>
      </c>
      <c r="V77" s="281" t="e">
        <f>#REF!</f>
        <v>#REF!</v>
      </c>
      <c r="W77" s="281" t="e">
        <f>#REF!</f>
        <v>#REF!</v>
      </c>
      <c r="X77" s="281" t="e">
        <f>#REF!</f>
        <v>#REF!</v>
      </c>
    </row>
    <row r="78" spans="1:24" ht="24.95" customHeight="1">
      <c r="A78" s="274" t="e">
        <f>#REF!</f>
        <v>#REF!</v>
      </c>
      <c r="B78" s="275" t="e">
        <f>#REF!</f>
        <v>#REF!</v>
      </c>
      <c r="C78" s="276" t="e">
        <f>#REF!</f>
        <v>#REF!</v>
      </c>
      <c r="D78" s="277" t="e">
        <f>#REF!</f>
        <v>#REF!</v>
      </c>
      <c r="E78" s="277" t="e">
        <f>#REF!</f>
        <v>#REF!</v>
      </c>
      <c r="F78" s="277" t="e">
        <f>#REF!</f>
        <v>#REF!</v>
      </c>
      <c r="G78" s="277" t="e">
        <f>#REF!</f>
        <v>#REF!</v>
      </c>
      <c r="H78" s="277" t="e">
        <f>#REF!</f>
        <v>#REF!</v>
      </c>
      <c r="I78" s="277" t="e">
        <f>#REF!</f>
        <v>#REF!</v>
      </c>
      <c r="J78" s="277" t="e">
        <f>#REF!</f>
        <v>#REF!</v>
      </c>
      <c r="K78" s="277" t="e">
        <f>#REF!</f>
        <v>#REF!</v>
      </c>
      <c r="L78" s="277" t="e">
        <f>#REF!</f>
        <v>#REF!</v>
      </c>
      <c r="M78" s="277" t="e">
        <f>#REF!</f>
        <v>#REF!</v>
      </c>
      <c r="N78" s="277" t="e">
        <f>#REF!</f>
        <v>#REF!</v>
      </c>
      <c r="O78" s="277" t="e">
        <f>#REF!</f>
        <v>#REF!</v>
      </c>
      <c r="P78" s="277" t="e">
        <f>#REF!</f>
        <v>#REF!</v>
      </c>
      <c r="Q78" s="277" t="e">
        <f>#REF!</f>
        <v>#REF!</v>
      </c>
      <c r="R78" s="277" t="e">
        <f>#REF!</f>
        <v>#REF!</v>
      </c>
      <c r="S78" s="277" t="e">
        <f>#REF!</f>
        <v>#REF!</v>
      </c>
      <c r="T78" s="281" t="e">
        <f>#REF!</f>
        <v>#REF!</v>
      </c>
      <c r="U78" s="281" t="e">
        <f>#REF!</f>
        <v>#REF!</v>
      </c>
      <c r="V78" s="281" t="e">
        <f>#REF!</f>
        <v>#REF!</v>
      </c>
      <c r="W78" s="281" t="e">
        <f>#REF!</f>
        <v>#REF!</v>
      </c>
      <c r="X78" s="281" t="e">
        <f>#REF!</f>
        <v>#REF!</v>
      </c>
    </row>
    <row r="79" spans="1:24" ht="24.95" customHeight="1">
      <c r="A79" s="274" t="e">
        <f>#REF!</f>
        <v>#REF!</v>
      </c>
      <c r="B79" s="275" t="e">
        <f>#REF!</f>
        <v>#REF!</v>
      </c>
      <c r="C79" s="276" t="e">
        <f>#REF!</f>
        <v>#REF!</v>
      </c>
      <c r="D79" s="277" t="e">
        <f>#REF!</f>
        <v>#REF!</v>
      </c>
      <c r="E79" s="277" t="e">
        <f>#REF!</f>
        <v>#REF!</v>
      </c>
      <c r="F79" s="277" t="e">
        <f>#REF!</f>
        <v>#REF!</v>
      </c>
      <c r="G79" s="277" t="e">
        <f>#REF!</f>
        <v>#REF!</v>
      </c>
      <c r="H79" s="277" t="e">
        <f>#REF!</f>
        <v>#REF!</v>
      </c>
      <c r="I79" s="277" t="e">
        <f>#REF!</f>
        <v>#REF!</v>
      </c>
      <c r="J79" s="277" t="e">
        <f>#REF!</f>
        <v>#REF!</v>
      </c>
      <c r="K79" s="277" t="e">
        <f>#REF!</f>
        <v>#REF!</v>
      </c>
      <c r="L79" s="277" t="e">
        <f>#REF!</f>
        <v>#REF!</v>
      </c>
      <c r="M79" s="277" t="e">
        <f>#REF!</f>
        <v>#REF!</v>
      </c>
      <c r="N79" s="277" t="e">
        <f>#REF!</f>
        <v>#REF!</v>
      </c>
      <c r="O79" s="277" t="e">
        <f>#REF!</f>
        <v>#REF!</v>
      </c>
      <c r="P79" s="277" t="e">
        <f>#REF!</f>
        <v>#REF!</v>
      </c>
      <c r="Q79" s="277" t="e">
        <f>#REF!</f>
        <v>#REF!</v>
      </c>
      <c r="R79" s="277" t="e">
        <f>#REF!</f>
        <v>#REF!</v>
      </c>
      <c r="S79" s="277" t="e">
        <f>#REF!</f>
        <v>#REF!</v>
      </c>
      <c r="T79" s="281" t="e">
        <f>#REF!</f>
        <v>#REF!</v>
      </c>
      <c r="U79" s="281" t="e">
        <f>#REF!</f>
        <v>#REF!</v>
      </c>
      <c r="V79" s="281" t="e">
        <f>#REF!</f>
        <v>#REF!</v>
      </c>
      <c r="W79" s="281" t="e">
        <f>#REF!</f>
        <v>#REF!</v>
      </c>
      <c r="X79" s="281" t="e">
        <f>#REF!</f>
        <v>#REF!</v>
      </c>
    </row>
    <row r="80" spans="1:24" ht="24.95" customHeight="1">
      <c r="A80" s="274" t="e">
        <f>#REF!</f>
        <v>#REF!</v>
      </c>
      <c r="B80" s="275" t="e">
        <f>#REF!</f>
        <v>#REF!</v>
      </c>
      <c r="C80" s="276" t="e">
        <f>#REF!</f>
        <v>#REF!</v>
      </c>
      <c r="D80" s="277" t="e">
        <f>#REF!</f>
        <v>#REF!</v>
      </c>
      <c r="E80" s="277" t="e">
        <f>#REF!</f>
        <v>#REF!</v>
      </c>
      <c r="F80" s="277" t="e">
        <f>#REF!</f>
        <v>#REF!</v>
      </c>
      <c r="G80" s="277" t="e">
        <f>#REF!</f>
        <v>#REF!</v>
      </c>
      <c r="H80" s="277" t="e">
        <f>#REF!</f>
        <v>#REF!</v>
      </c>
      <c r="I80" s="277" t="e">
        <f>#REF!</f>
        <v>#REF!</v>
      </c>
      <c r="J80" s="277" t="e">
        <f>#REF!</f>
        <v>#REF!</v>
      </c>
      <c r="K80" s="277" t="e">
        <f>#REF!</f>
        <v>#REF!</v>
      </c>
      <c r="L80" s="277" t="e">
        <f>#REF!</f>
        <v>#REF!</v>
      </c>
      <c r="M80" s="277" t="e">
        <f>#REF!</f>
        <v>#REF!</v>
      </c>
      <c r="N80" s="277" t="e">
        <f>#REF!</f>
        <v>#REF!</v>
      </c>
      <c r="O80" s="277" t="e">
        <f>#REF!</f>
        <v>#REF!</v>
      </c>
      <c r="P80" s="277" t="e">
        <f>#REF!</f>
        <v>#REF!</v>
      </c>
      <c r="Q80" s="277" t="e">
        <f>#REF!</f>
        <v>#REF!</v>
      </c>
      <c r="R80" s="277" t="e">
        <f>#REF!</f>
        <v>#REF!</v>
      </c>
      <c r="S80" s="277" t="e">
        <f>#REF!</f>
        <v>#REF!</v>
      </c>
      <c r="T80" s="281" t="e">
        <f>#REF!</f>
        <v>#REF!</v>
      </c>
      <c r="U80" s="281" t="e">
        <f>#REF!</f>
        <v>#REF!</v>
      </c>
      <c r="V80" s="281" t="e">
        <f>#REF!</f>
        <v>#REF!</v>
      </c>
      <c r="W80" s="281" t="e">
        <f>#REF!</f>
        <v>#REF!</v>
      </c>
      <c r="X80" s="281" t="e">
        <f>#REF!</f>
        <v>#REF!</v>
      </c>
    </row>
    <row r="81" spans="1:24" ht="24.95" customHeight="1">
      <c r="A81" s="274" t="e">
        <f>#REF!</f>
        <v>#REF!</v>
      </c>
      <c r="B81" s="275" t="e">
        <f>#REF!</f>
        <v>#REF!</v>
      </c>
      <c r="C81" s="276" t="e">
        <f>#REF!</f>
        <v>#REF!</v>
      </c>
      <c r="D81" s="277" t="e">
        <f>#REF!</f>
        <v>#REF!</v>
      </c>
      <c r="E81" s="277" t="e">
        <f>#REF!</f>
        <v>#REF!</v>
      </c>
      <c r="F81" s="277" t="e">
        <f>#REF!</f>
        <v>#REF!</v>
      </c>
      <c r="G81" s="277" t="e">
        <f>#REF!</f>
        <v>#REF!</v>
      </c>
      <c r="H81" s="277" t="e">
        <f>#REF!</f>
        <v>#REF!</v>
      </c>
      <c r="I81" s="277" t="e">
        <f>#REF!</f>
        <v>#REF!</v>
      </c>
      <c r="J81" s="277" t="e">
        <f>#REF!</f>
        <v>#REF!</v>
      </c>
      <c r="K81" s="277" t="e">
        <f>#REF!</f>
        <v>#REF!</v>
      </c>
      <c r="L81" s="277" t="e">
        <f>#REF!</f>
        <v>#REF!</v>
      </c>
      <c r="M81" s="277" t="e">
        <f>#REF!</f>
        <v>#REF!</v>
      </c>
      <c r="N81" s="277" t="e">
        <f>#REF!</f>
        <v>#REF!</v>
      </c>
      <c r="O81" s="277" t="e">
        <f>#REF!</f>
        <v>#REF!</v>
      </c>
      <c r="P81" s="277" t="e">
        <f>#REF!</f>
        <v>#REF!</v>
      </c>
      <c r="Q81" s="277" t="e">
        <f>#REF!</f>
        <v>#REF!</v>
      </c>
      <c r="R81" s="277" t="e">
        <f>#REF!</f>
        <v>#REF!</v>
      </c>
      <c r="S81" s="277" t="e">
        <f>#REF!</f>
        <v>#REF!</v>
      </c>
      <c r="T81" s="281" t="e">
        <f>#REF!</f>
        <v>#REF!</v>
      </c>
      <c r="U81" s="281" t="e">
        <f>#REF!</f>
        <v>#REF!</v>
      </c>
      <c r="V81" s="281" t="e">
        <f>#REF!</f>
        <v>#REF!</v>
      </c>
      <c r="W81" s="281" t="e">
        <f>#REF!</f>
        <v>#REF!</v>
      </c>
      <c r="X81" s="281" t="e">
        <f>#REF!</f>
        <v>#REF!</v>
      </c>
    </row>
    <row r="82" spans="1:24" ht="24.95" customHeight="1">
      <c r="A82" s="274" t="e">
        <f>#REF!</f>
        <v>#REF!</v>
      </c>
      <c r="B82" s="275" t="e">
        <f>#REF!</f>
        <v>#REF!</v>
      </c>
      <c r="C82" s="276" t="e">
        <f>#REF!</f>
        <v>#REF!</v>
      </c>
      <c r="D82" s="277" t="e">
        <f>#REF!</f>
        <v>#REF!</v>
      </c>
      <c r="E82" s="277" t="e">
        <f>#REF!</f>
        <v>#REF!</v>
      </c>
      <c r="F82" s="277" t="e">
        <f>#REF!</f>
        <v>#REF!</v>
      </c>
      <c r="G82" s="277" t="e">
        <f>#REF!</f>
        <v>#REF!</v>
      </c>
      <c r="H82" s="277" t="e">
        <f>#REF!</f>
        <v>#REF!</v>
      </c>
      <c r="I82" s="277" t="e">
        <f>#REF!</f>
        <v>#REF!</v>
      </c>
      <c r="J82" s="277" t="e">
        <f>#REF!</f>
        <v>#REF!</v>
      </c>
      <c r="K82" s="277" t="e">
        <f>#REF!</f>
        <v>#REF!</v>
      </c>
      <c r="L82" s="277" t="e">
        <f>#REF!</f>
        <v>#REF!</v>
      </c>
      <c r="M82" s="277" t="e">
        <f>#REF!</f>
        <v>#REF!</v>
      </c>
      <c r="N82" s="277" t="e">
        <f>#REF!</f>
        <v>#REF!</v>
      </c>
      <c r="O82" s="277" t="e">
        <f>#REF!</f>
        <v>#REF!</v>
      </c>
      <c r="P82" s="277" t="e">
        <f>#REF!</f>
        <v>#REF!</v>
      </c>
      <c r="Q82" s="277" t="e">
        <f>#REF!</f>
        <v>#REF!</v>
      </c>
      <c r="R82" s="277" t="e">
        <f>#REF!</f>
        <v>#REF!</v>
      </c>
      <c r="S82" s="277" t="e">
        <f>#REF!</f>
        <v>#REF!</v>
      </c>
      <c r="T82" s="281" t="e">
        <f>#REF!</f>
        <v>#REF!</v>
      </c>
      <c r="U82" s="281" t="e">
        <f>#REF!</f>
        <v>#REF!</v>
      </c>
      <c r="V82" s="281" t="e">
        <f>#REF!</f>
        <v>#REF!</v>
      </c>
      <c r="W82" s="281" t="e">
        <f>#REF!</f>
        <v>#REF!</v>
      </c>
      <c r="X82" s="281" t="e">
        <f>#REF!</f>
        <v>#REF!</v>
      </c>
    </row>
    <row r="83" spans="1:24" ht="24.95" customHeight="1">
      <c r="A83" s="274" t="e">
        <f>#REF!</f>
        <v>#REF!</v>
      </c>
      <c r="B83" s="275" t="e">
        <f>#REF!</f>
        <v>#REF!</v>
      </c>
      <c r="C83" s="276" t="e">
        <f>#REF!</f>
        <v>#REF!</v>
      </c>
      <c r="D83" s="277" t="e">
        <f>#REF!</f>
        <v>#REF!</v>
      </c>
      <c r="E83" s="277" t="e">
        <f>#REF!</f>
        <v>#REF!</v>
      </c>
      <c r="F83" s="277" t="e">
        <f>#REF!</f>
        <v>#REF!</v>
      </c>
      <c r="G83" s="277" t="e">
        <f>#REF!</f>
        <v>#REF!</v>
      </c>
      <c r="H83" s="277" t="e">
        <f>#REF!</f>
        <v>#REF!</v>
      </c>
      <c r="I83" s="277" t="e">
        <f>#REF!</f>
        <v>#REF!</v>
      </c>
      <c r="J83" s="277" t="e">
        <f>#REF!</f>
        <v>#REF!</v>
      </c>
      <c r="K83" s="277" t="e">
        <f>#REF!</f>
        <v>#REF!</v>
      </c>
      <c r="L83" s="277" t="e">
        <f>#REF!</f>
        <v>#REF!</v>
      </c>
      <c r="M83" s="277" t="e">
        <f>#REF!</f>
        <v>#REF!</v>
      </c>
      <c r="N83" s="277" t="e">
        <f>#REF!</f>
        <v>#REF!</v>
      </c>
      <c r="O83" s="277" t="e">
        <f>#REF!</f>
        <v>#REF!</v>
      </c>
      <c r="P83" s="277" t="e">
        <f>#REF!</f>
        <v>#REF!</v>
      </c>
      <c r="Q83" s="277" t="e">
        <f>#REF!</f>
        <v>#REF!</v>
      </c>
      <c r="R83" s="277" t="e">
        <f>#REF!</f>
        <v>#REF!</v>
      </c>
      <c r="S83" s="277" t="e">
        <f>#REF!</f>
        <v>#REF!</v>
      </c>
      <c r="T83" s="281" t="e">
        <f>#REF!</f>
        <v>#REF!</v>
      </c>
      <c r="U83" s="281" t="e">
        <f>#REF!</f>
        <v>#REF!</v>
      </c>
      <c r="V83" s="281" t="e">
        <f>#REF!</f>
        <v>#REF!</v>
      </c>
      <c r="W83" s="281" t="e">
        <f>#REF!</f>
        <v>#REF!</v>
      </c>
      <c r="X83" s="281" t="e">
        <f>#REF!</f>
        <v>#REF!</v>
      </c>
    </row>
    <row r="84" spans="1:24" ht="24.95" customHeight="1">
      <c r="A84" s="274" t="e">
        <f>#REF!</f>
        <v>#REF!</v>
      </c>
      <c r="B84" s="275" t="e">
        <f>#REF!</f>
        <v>#REF!</v>
      </c>
      <c r="C84" s="276" t="e">
        <f>#REF!</f>
        <v>#REF!</v>
      </c>
      <c r="D84" s="277" t="e">
        <f>#REF!</f>
        <v>#REF!</v>
      </c>
      <c r="E84" s="277" t="e">
        <f>#REF!</f>
        <v>#REF!</v>
      </c>
      <c r="F84" s="277" t="e">
        <f>#REF!</f>
        <v>#REF!</v>
      </c>
      <c r="G84" s="277" t="e">
        <f>#REF!</f>
        <v>#REF!</v>
      </c>
      <c r="H84" s="277" t="e">
        <f>#REF!</f>
        <v>#REF!</v>
      </c>
      <c r="I84" s="277" t="e">
        <f>#REF!</f>
        <v>#REF!</v>
      </c>
      <c r="J84" s="277" t="e">
        <f>#REF!</f>
        <v>#REF!</v>
      </c>
      <c r="K84" s="277" t="e">
        <f>#REF!</f>
        <v>#REF!</v>
      </c>
      <c r="L84" s="277" t="e">
        <f>#REF!</f>
        <v>#REF!</v>
      </c>
      <c r="M84" s="277" t="e">
        <f>#REF!</f>
        <v>#REF!</v>
      </c>
      <c r="N84" s="277" t="e">
        <f>#REF!</f>
        <v>#REF!</v>
      </c>
      <c r="O84" s="277" t="e">
        <f>#REF!</f>
        <v>#REF!</v>
      </c>
      <c r="P84" s="277" t="e">
        <f>#REF!</f>
        <v>#REF!</v>
      </c>
      <c r="Q84" s="277" t="e">
        <f>#REF!</f>
        <v>#REF!</v>
      </c>
      <c r="R84" s="277" t="e">
        <f>#REF!</f>
        <v>#REF!</v>
      </c>
      <c r="S84" s="277" t="e">
        <f>#REF!</f>
        <v>#REF!</v>
      </c>
      <c r="T84" s="281" t="e">
        <f>#REF!</f>
        <v>#REF!</v>
      </c>
      <c r="U84" s="281" t="e">
        <f>#REF!</f>
        <v>#REF!</v>
      </c>
      <c r="V84" s="281" t="e">
        <f>#REF!</f>
        <v>#REF!</v>
      </c>
      <c r="W84" s="281" t="e">
        <f>#REF!</f>
        <v>#REF!</v>
      </c>
      <c r="X84" s="281" t="e">
        <f>#REF!</f>
        <v>#REF!</v>
      </c>
    </row>
    <row r="85" spans="1:24" ht="24.95" customHeight="1">
      <c r="A85" s="274" t="e">
        <f>#REF!</f>
        <v>#REF!</v>
      </c>
      <c r="B85" s="275" t="e">
        <f>#REF!</f>
        <v>#REF!</v>
      </c>
      <c r="C85" s="276" t="e">
        <f>#REF!</f>
        <v>#REF!</v>
      </c>
      <c r="D85" s="277" t="e">
        <f>#REF!</f>
        <v>#REF!</v>
      </c>
      <c r="E85" s="277" t="e">
        <f>#REF!</f>
        <v>#REF!</v>
      </c>
      <c r="F85" s="277" t="e">
        <f>#REF!</f>
        <v>#REF!</v>
      </c>
      <c r="G85" s="277" t="e">
        <f>#REF!</f>
        <v>#REF!</v>
      </c>
      <c r="H85" s="277" t="e">
        <f>#REF!</f>
        <v>#REF!</v>
      </c>
      <c r="I85" s="277" t="e">
        <f>#REF!</f>
        <v>#REF!</v>
      </c>
      <c r="J85" s="277" t="e">
        <f>#REF!</f>
        <v>#REF!</v>
      </c>
      <c r="K85" s="277" t="e">
        <f>#REF!</f>
        <v>#REF!</v>
      </c>
      <c r="L85" s="277" t="e">
        <f>#REF!</f>
        <v>#REF!</v>
      </c>
      <c r="M85" s="277" t="e">
        <f>#REF!</f>
        <v>#REF!</v>
      </c>
      <c r="N85" s="277" t="e">
        <f>#REF!</f>
        <v>#REF!</v>
      </c>
      <c r="O85" s="277" t="e">
        <f>#REF!</f>
        <v>#REF!</v>
      </c>
      <c r="P85" s="277" t="e">
        <f>#REF!</f>
        <v>#REF!</v>
      </c>
      <c r="Q85" s="277" t="e">
        <f>#REF!</f>
        <v>#REF!</v>
      </c>
      <c r="R85" s="277" t="e">
        <f>#REF!</f>
        <v>#REF!</v>
      </c>
      <c r="S85" s="277" t="e">
        <f>#REF!</f>
        <v>#REF!</v>
      </c>
      <c r="T85" s="281" t="e">
        <f>#REF!</f>
        <v>#REF!</v>
      </c>
      <c r="U85" s="281" t="e">
        <f>#REF!</f>
        <v>#REF!</v>
      </c>
      <c r="V85" s="281" t="e">
        <f>#REF!</f>
        <v>#REF!</v>
      </c>
      <c r="W85" s="281" t="e">
        <f>#REF!</f>
        <v>#REF!</v>
      </c>
      <c r="X85" s="281" t="e">
        <f>#REF!</f>
        <v>#REF!</v>
      </c>
    </row>
    <row r="86" spans="1:24" ht="24.95" customHeight="1">
      <c r="A86" s="274" t="e">
        <f>#REF!</f>
        <v>#REF!</v>
      </c>
      <c r="B86" s="275" t="e">
        <f>#REF!</f>
        <v>#REF!</v>
      </c>
      <c r="C86" s="276" t="e">
        <f>#REF!</f>
        <v>#REF!</v>
      </c>
      <c r="D86" s="277" t="e">
        <f>#REF!</f>
        <v>#REF!</v>
      </c>
      <c r="E86" s="277" t="e">
        <f>#REF!</f>
        <v>#REF!</v>
      </c>
      <c r="F86" s="277" t="e">
        <f>#REF!</f>
        <v>#REF!</v>
      </c>
      <c r="G86" s="277" t="e">
        <f>#REF!</f>
        <v>#REF!</v>
      </c>
      <c r="H86" s="277" t="e">
        <f>#REF!</f>
        <v>#REF!</v>
      </c>
      <c r="I86" s="277" t="e">
        <f>#REF!</f>
        <v>#REF!</v>
      </c>
      <c r="J86" s="277" t="e">
        <f>#REF!</f>
        <v>#REF!</v>
      </c>
      <c r="K86" s="277" t="e">
        <f>#REF!</f>
        <v>#REF!</v>
      </c>
      <c r="L86" s="277" t="e">
        <f>#REF!</f>
        <v>#REF!</v>
      </c>
      <c r="M86" s="277" t="e">
        <f>#REF!</f>
        <v>#REF!</v>
      </c>
      <c r="N86" s="277" t="e">
        <f>#REF!</f>
        <v>#REF!</v>
      </c>
      <c r="O86" s="277" t="e">
        <f>#REF!</f>
        <v>#REF!</v>
      </c>
      <c r="P86" s="277" t="e">
        <f>#REF!</f>
        <v>#REF!</v>
      </c>
      <c r="Q86" s="277" t="e">
        <f>#REF!</f>
        <v>#REF!</v>
      </c>
      <c r="R86" s="277" t="e">
        <f>#REF!</f>
        <v>#REF!</v>
      </c>
      <c r="S86" s="277" t="e">
        <f>#REF!</f>
        <v>#REF!</v>
      </c>
      <c r="T86" s="281" t="e">
        <f>#REF!</f>
        <v>#REF!</v>
      </c>
      <c r="U86" s="281" t="e">
        <f>#REF!</f>
        <v>#REF!</v>
      </c>
      <c r="V86" s="281" t="e">
        <f>#REF!</f>
        <v>#REF!</v>
      </c>
      <c r="W86" s="281" t="e">
        <f>#REF!</f>
        <v>#REF!</v>
      </c>
      <c r="X86" s="281" t="e">
        <f>#REF!</f>
        <v>#REF!</v>
      </c>
    </row>
    <row r="87" spans="1:24" ht="24.95" customHeight="1">
      <c r="A87" s="274" t="e">
        <f>#REF!</f>
        <v>#REF!</v>
      </c>
      <c r="B87" s="275" t="e">
        <f>#REF!</f>
        <v>#REF!</v>
      </c>
      <c r="C87" s="276" t="e">
        <f>#REF!</f>
        <v>#REF!</v>
      </c>
      <c r="D87" s="277" t="e">
        <f>#REF!</f>
        <v>#REF!</v>
      </c>
      <c r="E87" s="277" t="e">
        <f>#REF!</f>
        <v>#REF!</v>
      </c>
      <c r="F87" s="277" t="e">
        <f>#REF!</f>
        <v>#REF!</v>
      </c>
      <c r="G87" s="277" t="e">
        <f>#REF!</f>
        <v>#REF!</v>
      </c>
      <c r="H87" s="277" t="e">
        <f>#REF!</f>
        <v>#REF!</v>
      </c>
      <c r="I87" s="277" t="e">
        <f>#REF!</f>
        <v>#REF!</v>
      </c>
      <c r="J87" s="277" t="e">
        <f>#REF!</f>
        <v>#REF!</v>
      </c>
      <c r="K87" s="277" t="e">
        <f>#REF!</f>
        <v>#REF!</v>
      </c>
      <c r="L87" s="277" t="e">
        <f>#REF!</f>
        <v>#REF!</v>
      </c>
      <c r="M87" s="277" t="e">
        <f>#REF!</f>
        <v>#REF!</v>
      </c>
      <c r="N87" s="277" t="e">
        <f>#REF!</f>
        <v>#REF!</v>
      </c>
      <c r="O87" s="277" t="e">
        <f>#REF!</f>
        <v>#REF!</v>
      </c>
      <c r="P87" s="277" t="e">
        <f>#REF!</f>
        <v>#REF!</v>
      </c>
      <c r="Q87" s="277" t="e">
        <f>#REF!</f>
        <v>#REF!</v>
      </c>
      <c r="R87" s="277" t="e">
        <f>#REF!</f>
        <v>#REF!</v>
      </c>
      <c r="S87" s="277" t="e">
        <f>#REF!</f>
        <v>#REF!</v>
      </c>
      <c r="T87" s="281" t="e">
        <f>#REF!</f>
        <v>#REF!</v>
      </c>
      <c r="U87" s="281" t="e">
        <f>#REF!</f>
        <v>#REF!</v>
      </c>
      <c r="V87" s="281" t="e">
        <f>#REF!</f>
        <v>#REF!</v>
      </c>
      <c r="W87" s="281" t="e">
        <f>#REF!</f>
        <v>#REF!</v>
      </c>
      <c r="X87" s="281" t="e">
        <f>#REF!</f>
        <v>#REF!</v>
      </c>
    </row>
    <row r="88" spans="1:24" ht="24.95" customHeight="1">
      <c r="A88" s="274" t="e">
        <f>#REF!</f>
        <v>#REF!</v>
      </c>
      <c r="B88" s="275" t="e">
        <f>#REF!</f>
        <v>#REF!</v>
      </c>
      <c r="C88" s="276" t="e">
        <f>#REF!</f>
        <v>#REF!</v>
      </c>
      <c r="D88" s="277" t="e">
        <f>#REF!</f>
        <v>#REF!</v>
      </c>
      <c r="E88" s="277" t="e">
        <f>#REF!</f>
        <v>#REF!</v>
      </c>
      <c r="F88" s="277" t="e">
        <f>#REF!</f>
        <v>#REF!</v>
      </c>
      <c r="G88" s="277" t="e">
        <f>#REF!</f>
        <v>#REF!</v>
      </c>
      <c r="H88" s="277" t="e">
        <f>#REF!</f>
        <v>#REF!</v>
      </c>
      <c r="I88" s="277" t="e">
        <f>#REF!</f>
        <v>#REF!</v>
      </c>
      <c r="J88" s="277" t="e">
        <f>#REF!</f>
        <v>#REF!</v>
      </c>
      <c r="K88" s="277" t="e">
        <f>#REF!</f>
        <v>#REF!</v>
      </c>
      <c r="L88" s="277" t="e">
        <f>#REF!</f>
        <v>#REF!</v>
      </c>
      <c r="M88" s="277" t="e">
        <f>#REF!</f>
        <v>#REF!</v>
      </c>
      <c r="N88" s="277" t="e">
        <f>#REF!</f>
        <v>#REF!</v>
      </c>
      <c r="O88" s="277" t="e">
        <f>#REF!</f>
        <v>#REF!</v>
      </c>
      <c r="P88" s="277" t="e">
        <f>#REF!</f>
        <v>#REF!</v>
      </c>
      <c r="Q88" s="277" t="e">
        <f>#REF!</f>
        <v>#REF!</v>
      </c>
      <c r="R88" s="277" t="e">
        <f>#REF!</f>
        <v>#REF!</v>
      </c>
      <c r="S88" s="277" t="e">
        <f>#REF!</f>
        <v>#REF!</v>
      </c>
      <c r="T88" s="281" t="e">
        <f>#REF!</f>
        <v>#REF!</v>
      </c>
      <c r="U88" s="281" t="e">
        <f>#REF!</f>
        <v>#REF!</v>
      </c>
      <c r="V88" s="281" t="e">
        <f>#REF!</f>
        <v>#REF!</v>
      </c>
      <c r="W88" s="281" t="e">
        <f>#REF!</f>
        <v>#REF!</v>
      </c>
      <c r="X88" s="281" t="e">
        <f>#REF!</f>
        <v>#REF!</v>
      </c>
    </row>
    <row r="89" spans="1:24" ht="24.95" customHeight="1">
      <c r="A89" s="274" t="e">
        <f>#REF!</f>
        <v>#REF!</v>
      </c>
      <c r="B89" s="275" t="e">
        <f>#REF!</f>
        <v>#REF!</v>
      </c>
      <c r="C89" s="276" t="e">
        <f>#REF!</f>
        <v>#REF!</v>
      </c>
      <c r="D89" s="277" t="e">
        <f>#REF!</f>
        <v>#REF!</v>
      </c>
      <c r="E89" s="277" t="e">
        <f>#REF!</f>
        <v>#REF!</v>
      </c>
      <c r="F89" s="277" t="e">
        <f>#REF!</f>
        <v>#REF!</v>
      </c>
      <c r="G89" s="277" t="e">
        <f>#REF!</f>
        <v>#REF!</v>
      </c>
      <c r="H89" s="277" t="e">
        <f>#REF!</f>
        <v>#REF!</v>
      </c>
      <c r="I89" s="277" t="e">
        <f>#REF!</f>
        <v>#REF!</v>
      </c>
      <c r="J89" s="277" t="e">
        <f>#REF!</f>
        <v>#REF!</v>
      </c>
      <c r="K89" s="277" t="e">
        <f>#REF!</f>
        <v>#REF!</v>
      </c>
      <c r="L89" s="277" t="e">
        <f>#REF!</f>
        <v>#REF!</v>
      </c>
      <c r="M89" s="277" t="e">
        <f>#REF!</f>
        <v>#REF!</v>
      </c>
      <c r="N89" s="277" t="e">
        <f>#REF!</f>
        <v>#REF!</v>
      </c>
      <c r="O89" s="277" t="e">
        <f>#REF!</f>
        <v>#REF!</v>
      </c>
      <c r="P89" s="277" t="e">
        <f>#REF!</f>
        <v>#REF!</v>
      </c>
      <c r="Q89" s="277" t="e">
        <f>#REF!</f>
        <v>#REF!</v>
      </c>
      <c r="R89" s="277" t="e">
        <f>#REF!</f>
        <v>#REF!</v>
      </c>
      <c r="S89" s="277" t="e">
        <f>#REF!</f>
        <v>#REF!</v>
      </c>
      <c r="T89" s="281" t="e">
        <f>#REF!</f>
        <v>#REF!</v>
      </c>
      <c r="U89" s="281" t="e">
        <f>#REF!</f>
        <v>#REF!</v>
      </c>
      <c r="V89" s="281" t="e">
        <f>#REF!</f>
        <v>#REF!</v>
      </c>
      <c r="W89" s="281" t="e">
        <f>#REF!</f>
        <v>#REF!</v>
      </c>
      <c r="X89" s="281" t="e">
        <f>#REF!</f>
        <v>#REF!</v>
      </c>
    </row>
    <row r="90" spans="1:24" ht="24.95" customHeight="1">
      <c r="A90" s="274" t="e">
        <f>#REF!</f>
        <v>#REF!</v>
      </c>
      <c r="B90" s="275" t="e">
        <f>#REF!</f>
        <v>#REF!</v>
      </c>
      <c r="C90" s="276" t="e">
        <f>#REF!</f>
        <v>#REF!</v>
      </c>
      <c r="D90" s="277" t="e">
        <f>#REF!</f>
        <v>#REF!</v>
      </c>
      <c r="E90" s="277" t="e">
        <f>#REF!</f>
        <v>#REF!</v>
      </c>
      <c r="F90" s="277" t="e">
        <f>#REF!</f>
        <v>#REF!</v>
      </c>
      <c r="G90" s="277" t="e">
        <f>#REF!</f>
        <v>#REF!</v>
      </c>
      <c r="H90" s="277" t="e">
        <f>#REF!</f>
        <v>#REF!</v>
      </c>
      <c r="I90" s="277" t="e">
        <f>#REF!</f>
        <v>#REF!</v>
      </c>
      <c r="J90" s="277" t="e">
        <f>#REF!</f>
        <v>#REF!</v>
      </c>
      <c r="K90" s="277" t="e">
        <f>#REF!</f>
        <v>#REF!</v>
      </c>
      <c r="L90" s="277" t="e">
        <f>#REF!</f>
        <v>#REF!</v>
      </c>
      <c r="M90" s="277" t="e">
        <f>#REF!</f>
        <v>#REF!</v>
      </c>
      <c r="N90" s="277" t="e">
        <f>#REF!</f>
        <v>#REF!</v>
      </c>
      <c r="O90" s="277" t="e">
        <f>#REF!</f>
        <v>#REF!</v>
      </c>
      <c r="P90" s="277" t="e">
        <f>#REF!</f>
        <v>#REF!</v>
      </c>
      <c r="Q90" s="277" t="e">
        <f>#REF!</f>
        <v>#REF!</v>
      </c>
      <c r="R90" s="277" t="e">
        <f>#REF!</f>
        <v>#REF!</v>
      </c>
      <c r="S90" s="277" t="e">
        <f>#REF!</f>
        <v>#REF!</v>
      </c>
      <c r="T90" s="281" t="e">
        <f>#REF!</f>
        <v>#REF!</v>
      </c>
      <c r="U90" s="281" t="e">
        <f>#REF!</f>
        <v>#REF!</v>
      </c>
      <c r="V90" s="281" t="e">
        <f>#REF!</f>
        <v>#REF!</v>
      </c>
      <c r="W90" s="281" t="e">
        <f>#REF!</f>
        <v>#REF!</v>
      </c>
      <c r="X90" s="281" t="e">
        <f>#REF!</f>
        <v>#REF!</v>
      </c>
    </row>
    <row r="91" spans="1:24" ht="24.95" customHeight="1">
      <c r="A91" s="274" t="e">
        <f>#REF!</f>
        <v>#REF!</v>
      </c>
      <c r="B91" s="275" t="e">
        <f>#REF!</f>
        <v>#REF!</v>
      </c>
      <c r="C91" s="276" t="e">
        <f>#REF!</f>
        <v>#REF!</v>
      </c>
      <c r="D91" s="277" t="e">
        <f>#REF!</f>
        <v>#REF!</v>
      </c>
      <c r="E91" s="277" t="e">
        <f>#REF!</f>
        <v>#REF!</v>
      </c>
      <c r="F91" s="277" t="e">
        <f>#REF!</f>
        <v>#REF!</v>
      </c>
      <c r="G91" s="277" t="e">
        <f>#REF!</f>
        <v>#REF!</v>
      </c>
      <c r="H91" s="277" t="e">
        <f>#REF!</f>
        <v>#REF!</v>
      </c>
      <c r="I91" s="277" t="e">
        <f>#REF!</f>
        <v>#REF!</v>
      </c>
      <c r="J91" s="277" t="e">
        <f>#REF!</f>
        <v>#REF!</v>
      </c>
      <c r="K91" s="277" t="e">
        <f>#REF!</f>
        <v>#REF!</v>
      </c>
      <c r="L91" s="277" t="e">
        <f>#REF!</f>
        <v>#REF!</v>
      </c>
      <c r="M91" s="277" t="e">
        <f>#REF!</f>
        <v>#REF!</v>
      </c>
      <c r="N91" s="277" t="e">
        <f>#REF!</f>
        <v>#REF!</v>
      </c>
      <c r="O91" s="277" t="e">
        <f>#REF!</f>
        <v>#REF!</v>
      </c>
      <c r="P91" s="277" t="e">
        <f>#REF!</f>
        <v>#REF!</v>
      </c>
      <c r="Q91" s="277" t="e">
        <f>#REF!</f>
        <v>#REF!</v>
      </c>
      <c r="R91" s="277" t="e">
        <f>#REF!</f>
        <v>#REF!</v>
      </c>
      <c r="S91" s="277" t="e">
        <f>#REF!</f>
        <v>#REF!</v>
      </c>
      <c r="T91" s="281" t="e">
        <f>#REF!</f>
        <v>#REF!</v>
      </c>
      <c r="U91" s="281" t="e">
        <f>#REF!</f>
        <v>#REF!</v>
      </c>
      <c r="V91" s="281" t="e">
        <f>#REF!</f>
        <v>#REF!</v>
      </c>
      <c r="W91" s="281" t="e">
        <f>#REF!</f>
        <v>#REF!</v>
      </c>
      <c r="X91" s="281" t="e">
        <f>#REF!</f>
        <v>#REF!</v>
      </c>
    </row>
    <row r="92" spans="1:24" ht="39.950000000000003" customHeight="1">
      <c r="A92" s="274" t="e">
        <f>#REF!</f>
        <v>#REF!</v>
      </c>
      <c r="B92" s="275" t="e">
        <f>#REF!</f>
        <v>#REF!</v>
      </c>
      <c r="C92" s="276" t="e">
        <f>#REF!</f>
        <v>#REF!</v>
      </c>
      <c r="D92" s="277" t="e">
        <f>#REF!</f>
        <v>#REF!</v>
      </c>
      <c r="E92" s="277" t="e">
        <f>#REF!</f>
        <v>#REF!</v>
      </c>
      <c r="F92" s="277" t="e">
        <f>#REF!</f>
        <v>#REF!</v>
      </c>
      <c r="G92" s="277" t="e">
        <f>#REF!</f>
        <v>#REF!</v>
      </c>
      <c r="H92" s="277" t="e">
        <f>#REF!</f>
        <v>#REF!</v>
      </c>
      <c r="I92" s="277" t="e">
        <f>#REF!</f>
        <v>#REF!</v>
      </c>
      <c r="J92" s="277" t="e">
        <f>#REF!</f>
        <v>#REF!</v>
      </c>
      <c r="K92" s="277" t="e">
        <f>#REF!</f>
        <v>#REF!</v>
      </c>
      <c r="L92" s="277" t="e">
        <f>#REF!</f>
        <v>#REF!</v>
      </c>
      <c r="M92" s="277" t="e">
        <f>#REF!</f>
        <v>#REF!</v>
      </c>
      <c r="N92" s="277" t="e">
        <f>#REF!</f>
        <v>#REF!</v>
      </c>
      <c r="O92" s="277" t="e">
        <f>#REF!</f>
        <v>#REF!</v>
      </c>
      <c r="P92" s="277" t="e">
        <f>#REF!</f>
        <v>#REF!</v>
      </c>
      <c r="Q92" s="277" t="e">
        <f>#REF!</f>
        <v>#REF!</v>
      </c>
      <c r="R92" s="277" t="e">
        <f>#REF!</f>
        <v>#REF!</v>
      </c>
      <c r="S92" s="277" t="e">
        <f>#REF!</f>
        <v>#REF!</v>
      </c>
      <c r="T92" s="281" t="e">
        <f>#REF!</f>
        <v>#REF!</v>
      </c>
      <c r="U92" s="281" t="e">
        <f>#REF!</f>
        <v>#REF!</v>
      </c>
      <c r="V92" s="281" t="e">
        <f>#REF!</f>
        <v>#REF!</v>
      </c>
      <c r="W92" s="281" t="e">
        <f>#REF!</f>
        <v>#REF!</v>
      </c>
      <c r="X92" s="281" t="e">
        <f>#REF!</f>
        <v>#REF!</v>
      </c>
    </row>
    <row r="93" spans="1:24" ht="24.95" customHeight="1">
      <c r="A93" s="274" t="e">
        <f>#REF!</f>
        <v>#REF!</v>
      </c>
      <c r="B93" s="275" t="e">
        <f>#REF!</f>
        <v>#REF!</v>
      </c>
      <c r="C93" s="276" t="e">
        <f>#REF!</f>
        <v>#REF!</v>
      </c>
      <c r="D93" s="277" t="e">
        <f>#REF!</f>
        <v>#REF!</v>
      </c>
      <c r="E93" s="277" t="e">
        <f>#REF!</f>
        <v>#REF!</v>
      </c>
      <c r="F93" s="277" t="e">
        <f>#REF!</f>
        <v>#REF!</v>
      </c>
      <c r="G93" s="277" t="e">
        <f>#REF!</f>
        <v>#REF!</v>
      </c>
      <c r="H93" s="277" t="e">
        <f>#REF!</f>
        <v>#REF!</v>
      </c>
      <c r="I93" s="277" t="e">
        <f>#REF!</f>
        <v>#REF!</v>
      </c>
      <c r="J93" s="277" t="e">
        <f>#REF!</f>
        <v>#REF!</v>
      </c>
      <c r="K93" s="277" t="e">
        <f>#REF!</f>
        <v>#REF!</v>
      </c>
      <c r="L93" s="277" t="e">
        <f>#REF!</f>
        <v>#REF!</v>
      </c>
      <c r="M93" s="277" t="e">
        <f>#REF!</f>
        <v>#REF!</v>
      </c>
      <c r="N93" s="277" t="e">
        <f>#REF!</f>
        <v>#REF!</v>
      </c>
      <c r="O93" s="277" t="e">
        <f>#REF!</f>
        <v>#REF!</v>
      </c>
      <c r="P93" s="277" t="e">
        <f>#REF!</f>
        <v>#REF!</v>
      </c>
      <c r="Q93" s="277" t="e">
        <f>#REF!</f>
        <v>#REF!</v>
      </c>
      <c r="R93" s="277" t="e">
        <f>#REF!</f>
        <v>#REF!</v>
      </c>
      <c r="S93" s="277" t="e">
        <f>#REF!</f>
        <v>#REF!</v>
      </c>
      <c r="T93" s="281" t="e">
        <f>#REF!</f>
        <v>#REF!</v>
      </c>
      <c r="U93" s="281" t="e">
        <f>#REF!</f>
        <v>#REF!</v>
      </c>
      <c r="V93" s="281" t="e">
        <f>#REF!</f>
        <v>#REF!</v>
      </c>
      <c r="W93" s="281" t="e">
        <f>#REF!</f>
        <v>#REF!</v>
      </c>
      <c r="X93" s="281" t="e">
        <f>#REF!</f>
        <v>#REF!</v>
      </c>
    </row>
    <row r="94" spans="1:24" ht="24.95" customHeight="1">
      <c r="A94" s="274" t="e">
        <f>#REF!</f>
        <v>#REF!</v>
      </c>
      <c r="B94" s="275" t="e">
        <f>#REF!</f>
        <v>#REF!</v>
      </c>
      <c r="C94" s="276" t="e">
        <f>#REF!</f>
        <v>#REF!</v>
      </c>
      <c r="D94" s="277" t="e">
        <f>#REF!</f>
        <v>#REF!</v>
      </c>
      <c r="E94" s="277" t="e">
        <f>#REF!</f>
        <v>#REF!</v>
      </c>
      <c r="F94" s="277" t="e">
        <f>#REF!</f>
        <v>#REF!</v>
      </c>
      <c r="G94" s="277" t="e">
        <f>#REF!</f>
        <v>#REF!</v>
      </c>
      <c r="H94" s="277" t="e">
        <f>#REF!</f>
        <v>#REF!</v>
      </c>
      <c r="I94" s="277" t="e">
        <f>#REF!</f>
        <v>#REF!</v>
      </c>
      <c r="J94" s="277" t="e">
        <f>#REF!</f>
        <v>#REF!</v>
      </c>
      <c r="K94" s="277" t="e">
        <f>#REF!</f>
        <v>#REF!</v>
      </c>
      <c r="L94" s="277" t="e">
        <f>#REF!</f>
        <v>#REF!</v>
      </c>
      <c r="M94" s="277" t="e">
        <f>#REF!</f>
        <v>#REF!</v>
      </c>
      <c r="N94" s="277" t="e">
        <f>#REF!</f>
        <v>#REF!</v>
      </c>
      <c r="O94" s="277" t="e">
        <f>#REF!</f>
        <v>#REF!</v>
      </c>
      <c r="P94" s="277" t="e">
        <f>#REF!</f>
        <v>#REF!</v>
      </c>
      <c r="Q94" s="277" t="e">
        <f>#REF!</f>
        <v>#REF!</v>
      </c>
      <c r="R94" s="277" t="e">
        <f>#REF!</f>
        <v>#REF!</v>
      </c>
      <c r="S94" s="277" t="e">
        <f>#REF!</f>
        <v>#REF!</v>
      </c>
      <c r="T94" s="281" t="e">
        <f>#REF!</f>
        <v>#REF!</v>
      </c>
      <c r="U94" s="281" t="e">
        <f>#REF!</f>
        <v>#REF!</v>
      </c>
      <c r="V94" s="281" t="e">
        <f>#REF!</f>
        <v>#REF!</v>
      </c>
      <c r="W94" s="281" t="e">
        <f>#REF!</f>
        <v>#REF!</v>
      </c>
      <c r="X94" s="281" t="e">
        <f>#REF!</f>
        <v>#REF!</v>
      </c>
    </row>
    <row r="95" spans="1:24" ht="24.95" customHeight="1">
      <c r="A95" s="274" t="e">
        <f>#REF!</f>
        <v>#REF!</v>
      </c>
      <c r="B95" s="275" t="e">
        <f>#REF!</f>
        <v>#REF!</v>
      </c>
      <c r="C95" s="276" t="e">
        <f>#REF!</f>
        <v>#REF!</v>
      </c>
      <c r="D95" s="277" t="e">
        <f>#REF!</f>
        <v>#REF!</v>
      </c>
      <c r="E95" s="277" t="e">
        <f>#REF!</f>
        <v>#REF!</v>
      </c>
      <c r="F95" s="277" t="e">
        <f>#REF!</f>
        <v>#REF!</v>
      </c>
      <c r="G95" s="277" t="e">
        <f>#REF!</f>
        <v>#REF!</v>
      </c>
      <c r="H95" s="277" t="e">
        <f>#REF!</f>
        <v>#REF!</v>
      </c>
      <c r="I95" s="277" t="e">
        <f>#REF!</f>
        <v>#REF!</v>
      </c>
      <c r="J95" s="277" t="e">
        <f>#REF!</f>
        <v>#REF!</v>
      </c>
      <c r="K95" s="277" t="e">
        <f>#REF!</f>
        <v>#REF!</v>
      </c>
      <c r="L95" s="277" t="e">
        <f>#REF!</f>
        <v>#REF!</v>
      </c>
      <c r="M95" s="277" t="e">
        <f>#REF!</f>
        <v>#REF!</v>
      </c>
      <c r="N95" s="277" t="e">
        <f>#REF!</f>
        <v>#REF!</v>
      </c>
      <c r="O95" s="277" t="e">
        <f>#REF!</f>
        <v>#REF!</v>
      </c>
      <c r="P95" s="277" t="e">
        <f>#REF!</f>
        <v>#REF!</v>
      </c>
      <c r="Q95" s="277" t="e">
        <f>#REF!</f>
        <v>#REF!</v>
      </c>
      <c r="R95" s="277" t="e">
        <f>#REF!</f>
        <v>#REF!</v>
      </c>
      <c r="S95" s="277" t="e">
        <f>#REF!</f>
        <v>#REF!</v>
      </c>
      <c r="T95" s="281" t="e">
        <f>#REF!</f>
        <v>#REF!</v>
      </c>
      <c r="U95" s="281" t="e">
        <f>#REF!</f>
        <v>#REF!</v>
      </c>
      <c r="V95" s="281" t="e">
        <f>#REF!</f>
        <v>#REF!</v>
      </c>
      <c r="W95" s="281" t="e">
        <f>#REF!</f>
        <v>#REF!</v>
      </c>
      <c r="X95" s="281" t="e">
        <f>#REF!</f>
        <v>#REF!</v>
      </c>
    </row>
    <row r="96" spans="1:24" ht="24.95" customHeight="1">
      <c r="A96" s="274" t="e">
        <f>#REF!</f>
        <v>#REF!</v>
      </c>
      <c r="B96" s="275" t="e">
        <f>#REF!</f>
        <v>#REF!</v>
      </c>
      <c r="C96" s="276" t="e">
        <f>#REF!</f>
        <v>#REF!</v>
      </c>
      <c r="D96" s="277" t="e">
        <f>#REF!</f>
        <v>#REF!</v>
      </c>
      <c r="E96" s="277" t="e">
        <f>#REF!</f>
        <v>#REF!</v>
      </c>
      <c r="F96" s="277" t="e">
        <f>#REF!</f>
        <v>#REF!</v>
      </c>
      <c r="G96" s="277" t="e">
        <f>#REF!</f>
        <v>#REF!</v>
      </c>
      <c r="H96" s="277" t="e">
        <f>#REF!</f>
        <v>#REF!</v>
      </c>
      <c r="I96" s="277" t="e">
        <f>#REF!</f>
        <v>#REF!</v>
      </c>
      <c r="J96" s="277" t="e">
        <f>#REF!</f>
        <v>#REF!</v>
      </c>
      <c r="K96" s="277" t="e">
        <f>#REF!</f>
        <v>#REF!</v>
      </c>
      <c r="L96" s="277" t="e">
        <f>#REF!</f>
        <v>#REF!</v>
      </c>
      <c r="M96" s="277" t="e">
        <f>#REF!</f>
        <v>#REF!</v>
      </c>
      <c r="N96" s="277" t="e">
        <f>#REF!</f>
        <v>#REF!</v>
      </c>
      <c r="O96" s="277" t="e">
        <f>#REF!</f>
        <v>#REF!</v>
      </c>
      <c r="P96" s="277" t="e">
        <f>#REF!</f>
        <v>#REF!</v>
      </c>
      <c r="Q96" s="277" t="e">
        <f>#REF!</f>
        <v>#REF!</v>
      </c>
      <c r="R96" s="277" t="e">
        <f>#REF!</f>
        <v>#REF!</v>
      </c>
      <c r="S96" s="277" t="e">
        <f>#REF!</f>
        <v>#REF!</v>
      </c>
      <c r="T96" s="281" t="e">
        <f>#REF!</f>
        <v>#REF!</v>
      </c>
      <c r="U96" s="281" t="e">
        <f>#REF!</f>
        <v>#REF!</v>
      </c>
      <c r="V96" s="281" t="e">
        <f>#REF!</f>
        <v>#REF!</v>
      </c>
      <c r="W96" s="281" t="e">
        <f>#REF!</f>
        <v>#REF!</v>
      </c>
      <c r="X96" s="281" t="e">
        <f>#REF!</f>
        <v>#REF!</v>
      </c>
    </row>
    <row r="97" spans="1:24" ht="24.95" customHeight="1">
      <c r="A97" s="274" t="e">
        <f>#REF!</f>
        <v>#REF!</v>
      </c>
      <c r="B97" s="275" t="e">
        <f>#REF!</f>
        <v>#REF!</v>
      </c>
      <c r="C97" s="276" t="e">
        <f>#REF!</f>
        <v>#REF!</v>
      </c>
      <c r="D97" s="277" t="e">
        <f>#REF!</f>
        <v>#REF!</v>
      </c>
      <c r="E97" s="277" t="e">
        <f>#REF!</f>
        <v>#REF!</v>
      </c>
      <c r="F97" s="277" t="e">
        <f>#REF!</f>
        <v>#REF!</v>
      </c>
      <c r="G97" s="277" t="e">
        <f>#REF!</f>
        <v>#REF!</v>
      </c>
      <c r="H97" s="277" t="e">
        <f>#REF!</f>
        <v>#REF!</v>
      </c>
      <c r="I97" s="277" t="e">
        <f>#REF!</f>
        <v>#REF!</v>
      </c>
      <c r="J97" s="277" t="e">
        <f>#REF!</f>
        <v>#REF!</v>
      </c>
      <c r="K97" s="277" t="e">
        <f>#REF!</f>
        <v>#REF!</v>
      </c>
      <c r="L97" s="277" t="e">
        <f>#REF!</f>
        <v>#REF!</v>
      </c>
      <c r="M97" s="277" t="e">
        <f>#REF!</f>
        <v>#REF!</v>
      </c>
      <c r="N97" s="277" t="e">
        <f>#REF!</f>
        <v>#REF!</v>
      </c>
      <c r="O97" s="277" t="e">
        <f>#REF!</f>
        <v>#REF!</v>
      </c>
      <c r="P97" s="277" t="e">
        <f>#REF!</f>
        <v>#REF!</v>
      </c>
      <c r="Q97" s="277" t="e">
        <f>#REF!</f>
        <v>#REF!</v>
      </c>
      <c r="R97" s="277" t="e">
        <f>#REF!</f>
        <v>#REF!</v>
      </c>
      <c r="S97" s="277" t="e">
        <f>#REF!</f>
        <v>#REF!</v>
      </c>
      <c r="T97" s="281" t="e">
        <f>#REF!</f>
        <v>#REF!</v>
      </c>
      <c r="U97" s="281" t="e">
        <f>#REF!</f>
        <v>#REF!</v>
      </c>
      <c r="V97" s="281" t="e">
        <f>#REF!</f>
        <v>#REF!</v>
      </c>
      <c r="W97" s="281" t="e">
        <f>#REF!</f>
        <v>#REF!</v>
      </c>
      <c r="X97" s="281" t="e">
        <f>#REF!</f>
        <v>#REF!</v>
      </c>
    </row>
    <row r="98" spans="1:24" ht="24.95" customHeight="1">
      <c r="A98" s="274" t="e">
        <f>#REF!</f>
        <v>#REF!</v>
      </c>
      <c r="B98" s="275" t="e">
        <f>#REF!</f>
        <v>#REF!</v>
      </c>
      <c r="C98" s="276" t="e">
        <f>#REF!</f>
        <v>#REF!</v>
      </c>
      <c r="D98" s="277" t="e">
        <f>#REF!</f>
        <v>#REF!</v>
      </c>
      <c r="E98" s="277" t="e">
        <f>#REF!</f>
        <v>#REF!</v>
      </c>
      <c r="F98" s="277" t="e">
        <f>#REF!</f>
        <v>#REF!</v>
      </c>
      <c r="G98" s="277" t="e">
        <f>#REF!</f>
        <v>#REF!</v>
      </c>
      <c r="H98" s="277" t="e">
        <f>#REF!</f>
        <v>#REF!</v>
      </c>
      <c r="I98" s="277" t="e">
        <f>#REF!</f>
        <v>#REF!</v>
      </c>
      <c r="J98" s="277" t="e">
        <f>#REF!</f>
        <v>#REF!</v>
      </c>
      <c r="K98" s="277" t="e">
        <f>#REF!</f>
        <v>#REF!</v>
      </c>
      <c r="L98" s="277" t="e">
        <f>#REF!</f>
        <v>#REF!</v>
      </c>
      <c r="M98" s="277" t="e">
        <f>#REF!</f>
        <v>#REF!</v>
      </c>
      <c r="N98" s="277" t="e">
        <f>#REF!</f>
        <v>#REF!</v>
      </c>
      <c r="O98" s="277" t="e">
        <f>#REF!</f>
        <v>#REF!</v>
      </c>
      <c r="P98" s="277" t="e">
        <f>#REF!</f>
        <v>#REF!</v>
      </c>
      <c r="Q98" s="277" t="e">
        <f>#REF!</f>
        <v>#REF!</v>
      </c>
      <c r="R98" s="277" t="e">
        <f>#REF!</f>
        <v>#REF!</v>
      </c>
      <c r="S98" s="277" t="e">
        <f>#REF!</f>
        <v>#REF!</v>
      </c>
      <c r="T98" s="281" t="e">
        <f>#REF!</f>
        <v>#REF!</v>
      </c>
      <c r="U98" s="281" t="e">
        <f>#REF!</f>
        <v>#REF!</v>
      </c>
      <c r="V98" s="281" t="e">
        <f>#REF!</f>
        <v>#REF!</v>
      </c>
      <c r="W98" s="281" t="e">
        <f>#REF!</f>
        <v>#REF!</v>
      </c>
      <c r="X98" s="281" t="e">
        <f>#REF!</f>
        <v>#REF!</v>
      </c>
    </row>
    <row r="99" spans="1:24" ht="24.95" customHeight="1">
      <c r="A99" s="274" t="e">
        <f>#REF!</f>
        <v>#REF!</v>
      </c>
      <c r="B99" s="275" t="e">
        <f>#REF!</f>
        <v>#REF!</v>
      </c>
      <c r="C99" s="276" t="e">
        <f>#REF!</f>
        <v>#REF!</v>
      </c>
      <c r="D99" s="277" t="e">
        <f>#REF!</f>
        <v>#REF!</v>
      </c>
      <c r="E99" s="277" t="e">
        <f>#REF!</f>
        <v>#REF!</v>
      </c>
      <c r="F99" s="277" t="e">
        <f>#REF!</f>
        <v>#REF!</v>
      </c>
      <c r="G99" s="277" t="e">
        <f>#REF!</f>
        <v>#REF!</v>
      </c>
      <c r="H99" s="277" t="e">
        <f>#REF!</f>
        <v>#REF!</v>
      </c>
      <c r="I99" s="277" t="e">
        <f>#REF!</f>
        <v>#REF!</v>
      </c>
      <c r="J99" s="277" t="e">
        <f>#REF!</f>
        <v>#REF!</v>
      </c>
      <c r="K99" s="277" t="e">
        <f>#REF!</f>
        <v>#REF!</v>
      </c>
      <c r="L99" s="277" t="e">
        <f>#REF!</f>
        <v>#REF!</v>
      </c>
      <c r="M99" s="277" t="e">
        <f>#REF!</f>
        <v>#REF!</v>
      </c>
      <c r="N99" s="277" t="e">
        <f>#REF!</f>
        <v>#REF!</v>
      </c>
      <c r="O99" s="277" t="e">
        <f>#REF!</f>
        <v>#REF!</v>
      </c>
      <c r="P99" s="277" t="e">
        <f>#REF!</f>
        <v>#REF!</v>
      </c>
      <c r="Q99" s="277" t="e">
        <f>#REF!</f>
        <v>#REF!</v>
      </c>
      <c r="R99" s="277" t="e">
        <f>#REF!</f>
        <v>#REF!</v>
      </c>
      <c r="S99" s="277" t="e">
        <f>#REF!</f>
        <v>#REF!</v>
      </c>
      <c r="T99" s="281" t="e">
        <f>#REF!</f>
        <v>#REF!</v>
      </c>
      <c r="U99" s="281" t="e">
        <f>#REF!</f>
        <v>#REF!</v>
      </c>
      <c r="V99" s="281" t="e">
        <f>#REF!</f>
        <v>#REF!</v>
      </c>
      <c r="W99" s="281" t="e">
        <f>#REF!</f>
        <v>#REF!</v>
      </c>
      <c r="X99" s="281" t="e">
        <f>#REF!</f>
        <v>#REF!</v>
      </c>
    </row>
    <row r="100" spans="1:24" ht="24.95" customHeight="1">
      <c r="A100" s="274" t="e">
        <f>#REF!</f>
        <v>#REF!</v>
      </c>
      <c r="B100" s="275" t="e">
        <f>#REF!</f>
        <v>#REF!</v>
      </c>
      <c r="C100" s="276" t="e">
        <f>#REF!</f>
        <v>#REF!</v>
      </c>
      <c r="D100" s="277" t="e">
        <f>#REF!</f>
        <v>#REF!</v>
      </c>
      <c r="E100" s="277" t="e">
        <f>#REF!</f>
        <v>#REF!</v>
      </c>
      <c r="F100" s="277" t="e">
        <f>#REF!</f>
        <v>#REF!</v>
      </c>
      <c r="G100" s="277" t="e">
        <f>#REF!</f>
        <v>#REF!</v>
      </c>
      <c r="H100" s="277" t="e">
        <f>#REF!</f>
        <v>#REF!</v>
      </c>
      <c r="I100" s="277" t="e">
        <f>#REF!</f>
        <v>#REF!</v>
      </c>
      <c r="J100" s="277" t="e">
        <f>#REF!</f>
        <v>#REF!</v>
      </c>
      <c r="K100" s="277" t="e">
        <f>#REF!</f>
        <v>#REF!</v>
      </c>
      <c r="L100" s="277" t="e">
        <f>#REF!</f>
        <v>#REF!</v>
      </c>
      <c r="M100" s="277" t="e">
        <f>#REF!</f>
        <v>#REF!</v>
      </c>
      <c r="N100" s="277" t="e">
        <f>#REF!</f>
        <v>#REF!</v>
      </c>
      <c r="O100" s="277" t="e">
        <f>#REF!</f>
        <v>#REF!</v>
      </c>
      <c r="P100" s="277" t="e">
        <f>#REF!</f>
        <v>#REF!</v>
      </c>
      <c r="Q100" s="277" t="e">
        <f>#REF!</f>
        <v>#REF!</v>
      </c>
      <c r="R100" s="277" t="e">
        <f>#REF!</f>
        <v>#REF!</v>
      </c>
      <c r="S100" s="277" t="e">
        <f>#REF!</f>
        <v>#REF!</v>
      </c>
      <c r="T100" s="281" t="e">
        <f>#REF!</f>
        <v>#REF!</v>
      </c>
      <c r="U100" s="281" t="e">
        <f>#REF!</f>
        <v>#REF!</v>
      </c>
      <c r="V100" s="281" t="e">
        <f>#REF!</f>
        <v>#REF!</v>
      </c>
      <c r="W100" s="281" t="e">
        <f>#REF!</f>
        <v>#REF!</v>
      </c>
      <c r="X100" s="281" t="e">
        <f>#REF!</f>
        <v>#REF!</v>
      </c>
    </row>
    <row r="101" spans="1:24" ht="24.95" customHeight="1">
      <c r="A101" s="274" t="e">
        <f>#REF!</f>
        <v>#REF!</v>
      </c>
      <c r="B101" s="275" t="e">
        <f>#REF!</f>
        <v>#REF!</v>
      </c>
      <c r="C101" s="276" t="e">
        <f>#REF!</f>
        <v>#REF!</v>
      </c>
      <c r="D101" s="277" t="e">
        <f>#REF!</f>
        <v>#REF!</v>
      </c>
      <c r="E101" s="277" t="e">
        <f>#REF!</f>
        <v>#REF!</v>
      </c>
      <c r="F101" s="277" t="e">
        <f>#REF!</f>
        <v>#REF!</v>
      </c>
      <c r="G101" s="277" t="e">
        <f>#REF!</f>
        <v>#REF!</v>
      </c>
      <c r="H101" s="277" t="e">
        <f>#REF!</f>
        <v>#REF!</v>
      </c>
      <c r="I101" s="277" t="e">
        <f>#REF!</f>
        <v>#REF!</v>
      </c>
      <c r="J101" s="277" t="e">
        <f>#REF!</f>
        <v>#REF!</v>
      </c>
      <c r="K101" s="277" t="e">
        <f>#REF!</f>
        <v>#REF!</v>
      </c>
      <c r="L101" s="277" t="e">
        <f>#REF!</f>
        <v>#REF!</v>
      </c>
      <c r="M101" s="277" t="e">
        <f>#REF!</f>
        <v>#REF!</v>
      </c>
      <c r="N101" s="277" t="e">
        <f>#REF!</f>
        <v>#REF!</v>
      </c>
      <c r="O101" s="277" t="e">
        <f>#REF!</f>
        <v>#REF!</v>
      </c>
      <c r="P101" s="277" t="e">
        <f>#REF!</f>
        <v>#REF!</v>
      </c>
      <c r="Q101" s="277" t="e">
        <f>#REF!</f>
        <v>#REF!</v>
      </c>
      <c r="R101" s="277" t="e">
        <f>#REF!</f>
        <v>#REF!</v>
      </c>
      <c r="S101" s="277" t="e">
        <f>#REF!</f>
        <v>#REF!</v>
      </c>
      <c r="T101" s="281" t="e">
        <f>#REF!</f>
        <v>#REF!</v>
      </c>
      <c r="U101" s="281" t="e">
        <f>#REF!</f>
        <v>#REF!</v>
      </c>
      <c r="V101" s="281" t="e">
        <f>#REF!</f>
        <v>#REF!</v>
      </c>
      <c r="W101" s="281" t="e">
        <f>#REF!</f>
        <v>#REF!</v>
      </c>
      <c r="X101" s="281" t="e">
        <f>#REF!</f>
        <v>#REF!</v>
      </c>
    </row>
    <row r="102" spans="1:24" ht="24.95" customHeight="1">
      <c r="A102" s="274" t="e">
        <f>#REF!</f>
        <v>#REF!</v>
      </c>
      <c r="B102" s="275" t="e">
        <f>#REF!</f>
        <v>#REF!</v>
      </c>
      <c r="C102" s="276" t="e">
        <f>#REF!</f>
        <v>#REF!</v>
      </c>
      <c r="D102" s="277" t="e">
        <f>#REF!</f>
        <v>#REF!</v>
      </c>
      <c r="E102" s="277" t="e">
        <f>#REF!</f>
        <v>#REF!</v>
      </c>
      <c r="F102" s="277" t="e">
        <f>#REF!</f>
        <v>#REF!</v>
      </c>
      <c r="G102" s="277" t="e">
        <f>#REF!</f>
        <v>#REF!</v>
      </c>
      <c r="H102" s="277" t="e">
        <f>#REF!</f>
        <v>#REF!</v>
      </c>
      <c r="I102" s="277" t="e">
        <f>#REF!</f>
        <v>#REF!</v>
      </c>
      <c r="J102" s="277" t="e">
        <f>#REF!</f>
        <v>#REF!</v>
      </c>
      <c r="K102" s="277" t="e">
        <f>#REF!</f>
        <v>#REF!</v>
      </c>
      <c r="L102" s="277" t="e">
        <f>#REF!</f>
        <v>#REF!</v>
      </c>
      <c r="M102" s="277" t="e">
        <f>#REF!</f>
        <v>#REF!</v>
      </c>
      <c r="N102" s="277" t="e">
        <f>#REF!</f>
        <v>#REF!</v>
      </c>
      <c r="O102" s="277" t="e">
        <f>#REF!</f>
        <v>#REF!</v>
      </c>
      <c r="P102" s="277" t="e">
        <f>#REF!</f>
        <v>#REF!</v>
      </c>
      <c r="Q102" s="277" t="e">
        <f>#REF!</f>
        <v>#REF!</v>
      </c>
      <c r="R102" s="277" t="e">
        <f>#REF!</f>
        <v>#REF!</v>
      </c>
      <c r="S102" s="277" t="e">
        <f>#REF!</f>
        <v>#REF!</v>
      </c>
      <c r="T102" s="281" t="e">
        <f>#REF!</f>
        <v>#REF!</v>
      </c>
      <c r="U102" s="281" t="e">
        <f>#REF!</f>
        <v>#REF!</v>
      </c>
      <c r="V102" s="281" t="e">
        <f>#REF!</f>
        <v>#REF!</v>
      </c>
      <c r="W102" s="281" t="e">
        <f>#REF!</f>
        <v>#REF!</v>
      </c>
      <c r="X102" s="281" t="e">
        <f>#REF!</f>
        <v>#REF!</v>
      </c>
    </row>
    <row r="103" spans="1:24" ht="24.95" customHeight="1">
      <c r="A103" s="274" t="e">
        <f>#REF!</f>
        <v>#REF!</v>
      </c>
      <c r="B103" s="275" t="e">
        <f>#REF!</f>
        <v>#REF!</v>
      </c>
      <c r="C103" s="276" t="e">
        <f>#REF!</f>
        <v>#REF!</v>
      </c>
      <c r="D103" s="277" t="e">
        <f>#REF!</f>
        <v>#REF!</v>
      </c>
      <c r="E103" s="277" t="e">
        <f>#REF!</f>
        <v>#REF!</v>
      </c>
      <c r="F103" s="277" t="e">
        <f>#REF!</f>
        <v>#REF!</v>
      </c>
      <c r="G103" s="277" t="e">
        <f>#REF!</f>
        <v>#REF!</v>
      </c>
      <c r="H103" s="277" t="e">
        <f>#REF!</f>
        <v>#REF!</v>
      </c>
      <c r="I103" s="277" t="e">
        <f>#REF!</f>
        <v>#REF!</v>
      </c>
      <c r="J103" s="277" t="e">
        <f>#REF!</f>
        <v>#REF!</v>
      </c>
      <c r="K103" s="277" t="e">
        <f>#REF!</f>
        <v>#REF!</v>
      </c>
      <c r="L103" s="277" t="e">
        <f>#REF!</f>
        <v>#REF!</v>
      </c>
      <c r="M103" s="277" t="e">
        <f>#REF!</f>
        <v>#REF!</v>
      </c>
      <c r="N103" s="277" t="e">
        <f>#REF!</f>
        <v>#REF!</v>
      </c>
      <c r="O103" s="277" t="e">
        <f>#REF!</f>
        <v>#REF!</v>
      </c>
      <c r="P103" s="277" t="e">
        <f>#REF!</f>
        <v>#REF!</v>
      </c>
      <c r="Q103" s="277" t="e">
        <f>#REF!</f>
        <v>#REF!</v>
      </c>
      <c r="R103" s="277" t="e">
        <f>#REF!</f>
        <v>#REF!</v>
      </c>
      <c r="S103" s="277" t="e">
        <f>#REF!</f>
        <v>#REF!</v>
      </c>
      <c r="T103" s="281" t="e">
        <f>#REF!</f>
        <v>#REF!</v>
      </c>
      <c r="U103" s="281" t="e">
        <f>#REF!</f>
        <v>#REF!</v>
      </c>
      <c r="V103" s="281" t="e">
        <f>#REF!</f>
        <v>#REF!</v>
      </c>
      <c r="W103" s="281" t="e">
        <f>#REF!</f>
        <v>#REF!</v>
      </c>
      <c r="X103" s="281" t="e">
        <f>#REF!</f>
        <v>#REF!</v>
      </c>
    </row>
    <row r="104" spans="1:24" ht="24.95" customHeight="1">
      <c r="A104" s="274" t="e">
        <f>#REF!</f>
        <v>#REF!</v>
      </c>
      <c r="B104" s="275" t="e">
        <f>#REF!</f>
        <v>#REF!</v>
      </c>
      <c r="C104" s="276" t="e">
        <f>#REF!</f>
        <v>#REF!</v>
      </c>
      <c r="D104" s="277" t="e">
        <f>#REF!</f>
        <v>#REF!</v>
      </c>
      <c r="E104" s="277" t="e">
        <f>#REF!</f>
        <v>#REF!</v>
      </c>
      <c r="F104" s="277" t="e">
        <f>#REF!</f>
        <v>#REF!</v>
      </c>
      <c r="G104" s="277" t="e">
        <f>#REF!</f>
        <v>#REF!</v>
      </c>
      <c r="H104" s="277" t="e">
        <f>#REF!</f>
        <v>#REF!</v>
      </c>
      <c r="I104" s="277" t="e">
        <f>#REF!</f>
        <v>#REF!</v>
      </c>
      <c r="J104" s="277" t="e">
        <f>#REF!</f>
        <v>#REF!</v>
      </c>
      <c r="K104" s="277" t="e">
        <f>#REF!</f>
        <v>#REF!</v>
      </c>
      <c r="L104" s="277" t="e">
        <f>#REF!</f>
        <v>#REF!</v>
      </c>
      <c r="M104" s="277" t="e">
        <f>#REF!</f>
        <v>#REF!</v>
      </c>
      <c r="N104" s="277" t="e">
        <f>#REF!</f>
        <v>#REF!</v>
      </c>
      <c r="O104" s="277" t="e">
        <f>#REF!</f>
        <v>#REF!</v>
      </c>
      <c r="P104" s="277" t="e">
        <f>#REF!</f>
        <v>#REF!</v>
      </c>
      <c r="Q104" s="277" t="e">
        <f>#REF!</f>
        <v>#REF!</v>
      </c>
      <c r="R104" s="277" t="e">
        <f>#REF!</f>
        <v>#REF!</v>
      </c>
      <c r="S104" s="277" t="e">
        <f>#REF!</f>
        <v>#REF!</v>
      </c>
      <c r="T104" s="281" t="e">
        <f>#REF!</f>
        <v>#REF!</v>
      </c>
      <c r="U104" s="281" t="e">
        <f>#REF!</f>
        <v>#REF!</v>
      </c>
      <c r="V104" s="281" t="e">
        <f>#REF!</f>
        <v>#REF!</v>
      </c>
      <c r="W104" s="281" t="e">
        <f>#REF!</f>
        <v>#REF!</v>
      </c>
      <c r="X104" s="281" t="e">
        <f>#REF!</f>
        <v>#REF!</v>
      </c>
    </row>
    <row r="105" spans="1:24" ht="24.95" customHeight="1">
      <c r="A105" s="274" t="e">
        <f>#REF!</f>
        <v>#REF!</v>
      </c>
      <c r="B105" s="275" t="e">
        <f>#REF!</f>
        <v>#REF!</v>
      </c>
      <c r="C105" s="276" t="e">
        <f>#REF!</f>
        <v>#REF!</v>
      </c>
      <c r="D105" s="277" t="e">
        <f>#REF!</f>
        <v>#REF!</v>
      </c>
      <c r="E105" s="277" t="e">
        <f>#REF!</f>
        <v>#REF!</v>
      </c>
      <c r="F105" s="277" t="e">
        <f>#REF!</f>
        <v>#REF!</v>
      </c>
      <c r="G105" s="277" t="e">
        <f>#REF!</f>
        <v>#REF!</v>
      </c>
      <c r="H105" s="277" t="e">
        <f>#REF!</f>
        <v>#REF!</v>
      </c>
      <c r="I105" s="277" t="e">
        <f>#REF!</f>
        <v>#REF!</v>
      </c>
      <c r="J105" s="277" t="e">
        <f>#REF!</f>
        <v>#REF!</v>
      </c>
      <c r="K105" s="277" t="e">
        <f>#REF!</f>
        <v>#REF!</v>
      </c>
      <c r="L105" s="277" t="e">
        <f>#REF!</f>
        <v>#REF!</v>
      </c>
      <c r="M105" s="277" t="e">
        <f>#REF!</f>
        <v>#REF!</v>
      </c>
      <c r="N105" s="277" t="e">
        <f>#REF!</f>
        <v>#REF!</v>
      </c>
      <c r="O105" s="277" t="e">
        <f>#REF!</f>
        <v>#REF!</v>
      </c>
      <c r="P105" s="277" t="e">
        <f>#REF!</f>
        <v>#REF!</v>
      </c>
      <c r="Q105" s="277" t="e">
        <f>#REF!</f>
        <v>#REF!</v>
      </c>
      <c r="R105" s="277" t="e">
        <f>#REF!</f>
        <v>#REF!</v>
      </c>
      <c r="S105" s="277" t="e">
        <f>#REF!</f>
        <v>#REF!</v>
      </c>
      <c r="T105" s="281" t="e">
        <f>#REF!</f>
        <v>#REF!</v>
      </c>
      <c r="U105" s="281" t="e">
        <f>#REF!</f>
        <v>#REF!</v>
      </c>
      <c r="V105" s="281" t="e">
        <f>#REF!</f>
        <v>#REF!</v>
      </c>
      <c r="W105" s="281" t="e">
        <f>#REF!</f>
        <v>#REF!</v>
      </c>
      <c r="X105" s="281" t="e">
        <f>#REF!</f>
        <v>#REF!</v>
      </c>
    </row>
    <row r="106" spans="1:24" ht="24.95" customHeight="1">
      <c r="A106" s="274" t="e">
        <f>#REF!</f>
        <v>#REF!</v>
      </c>
      <c r="B106" s="275" t="e">
        <f>#REF!</f>
        <v>#REF!</v>
      </c>
      <c r="C106" s="276" t="e">
        <f>#REF!</f>
        <v>#REF!</v>
      </c>
      <c r="D106" s="277" t="e">
        <f>#REF!</f>
        <v>#REF!</v>
      </c>
      <c r="E106" s="277" t="e">
        <f>#REF!</f>
        <v>#REF!</v>
      </c>
      <c r="F106" s="277" t="e">
        <f>#REF!</f>
        <v>#REF!</v>
      </c>
      <c r="G106" s="277" t="e">
        <f>#REF!</f>
        <v>#REF!</v>
      </c>
      <c r="H106" s="277" t="e">
        <f>#REF!</f>
        <v>#REF!</v>
      </c>
      <c r="I106" s="277" t="e">
        <f>#REF!</f>
        <v>#REF!</v>
      </c>
      <c r="J106" s="277" t="e">
        <f>#REF!</f>
        <v>#REF!</v>
      </c>
      <c r="K106" s="277" t="e">
        <f>#REF!</f>
        <v>#REF!</v>
      </c>
      <c r="L106" s="277" t="e">
        <f>#REF!</f>
        <v>#REF!</v>
      </c>
      <c r="M106" s="277" t="e">
        <f>#REF!</f>
        <v>#REF!</v>
      </c>
      <c r="N106" s="277" t="e">
        <f>#REF!</f>
        <v>#REF!</v>
      </c>
      <c r="O106" s="277" t="e">
        <f>#REF!</f>
        <v>#REF!</v>
      </c>
      <c r="P106" s="277" t="e">
        <f>#REF!</f>
        <v>#REF!</v>
      </c>
      <c r="Q106" s="277" t="e">
        <f>#REF!</f>
        <v>#REF!</v>
      </c>
      <c r="R106" s="277" t="e">
        <f>#REF!</f>
        <v>#REF!</v>
      </c>
      <c r="S106" s="277" t="e">
        <f>#REF!</f>
        <v>#REF!</v>
      </c>
      <c r="T106" s="281" t="e">
        <f>#REF!</f>
        <v>#REF!</v>
      </c>
      <c r="U106" s="281" t="e">
        <f>#REF!</f>
        <v>#REF!</v>
      </c>
      <c r="V106" s="281" t="e">
        <f>#REF!</f>
        <v>#REF!</v>
      </c>
      <c r="W106" s="281" t="e">
        <f>#REF!</f>
        <v>#REF!</v>
      </c>
      <c r="X106" s="281" t="e">
        <f>#REF!</f>
        <v>#REF!</v>
      </c>
    </row>
    <row r="107" spans="1:24" ht="24.95" customHeight="1">
      <c r="A107" s="274" t="e">
        <f>#REF!</f>
        <v>#REF!</v>
      </c>
      <c r="B107" s="275" t="e">
        <f>#REF!</f>
        <v>#REF!</v>
      </c>
      <c r="C107" s="276" t="e">
        <f>#REF!</f>
        <v>#REF!</v>
      </c>
      <c r="D107" s="277" t="e">
        <f>#REF!</f>
        <v>#REF!</v>
      </c>
      <c r="E107" s="277" t="e">
        <f>#REF!</f>
        <v>#REF!</v>
      </c>
      <c r="F107" s="277" t="e">
        <f>#REF!</f>
        <v>#REF!</v>
      </c>
      <c r="G107" s="277" t="e">
        <f>#REF!</f>
        <v>#REF!</v>
      </c>
      <c r="H107" s="277" t="e">
        <f>#REF!</f>
        <v>#REF!</v>
      </c>
      <c r="I107" s="277" t="e">
        <f>#REF!</f>
        <v>#REF!</v>
      </c>
      <c r="J107" s="277" t="e">
        <f>#REF!</f>
        <v>#REF!</v>
      </c>
      <c r="K107" s="277" t="e">
        <f>#REF!</f>
        <v>#REF!</v>
      </c>
      <c r="L107" s="277" t="e">
        <f>#REF!</f>
        <v>#REF!</v>
      </c>
      <c r="M107" s="277" t="e">
        <f>#REF!</f>
        <v>#REF!</v>
      </c>
      <c r="N107" s="277" t="e">
        <f>#REF!</f>
        <v>#REF!</v>
      </c>
      <c r="O107" s="277" t="e">
        <f>#REF!</f>
        <v>#REF!</v>
      </c>
      <c r="P107" s="277" t="e">
        <f>#REF!</f>
        <v>#REF!</v>
      </c>
      <c r="Q107" s="277" t="e">
        <f>#REF!</f>
        <v>#REF!</v>
      </c>
      <c r="R107" s="277" t="e">
        <f>#REF!</f>
        <v>#REF!</v>
      </c>
      <c r="S107" s="277" t="e">
        <f>#REF!</f>
        <v>#REF!</v>
      </c>
      <c r="T107" s="281" t="e">
        <f>#REF!</f>
        <v>#REF!</v>
      </c>
      <c r="U107" s="281" t="e">
        <f>#REF!</f>
        <v>#REF!</v>
      </c>
      <c r="V107" s="281" t="e">
        <f>#REF!</f>
        <v>#REF!</v>
      </c>
      <c r="W107" s="281" t="e">
        <f>#REF!</f>
        <v>#REF!</v>
      </c>
      <c r="X107" s="281" t="e">
        <f>#REF!</f>
        <v>#REF!</v>
      </c>
    </row>
    <row r="108" spans="1:24" ht="24.95" customHeight="1">
      <c r="A108" s="274" t="e">
        <f>#REF!</f>
        <v>#REF!</v>
      </c>
      <c r="B108" s="275" t="e">
        <f>#REF!</f>
        <v>#REF!</v>
      </c>
      <c r="C108" s="276" t="e">
        <f>#REF!</f>
        <v>#REF!</v>
      </c>
      <c r="D108" s="277" t="e">
        <f>#REF!</f>
        <v>#REF!</v>
      </c>
      <c r="E108" s="277" t="e">
        <f>#REF!</f>
        <v>#REF!</v>
      </c>
      <c r="F108" s="277" t="e">
        <f>#REF!</f>
        <v>#REF!</v>
      </c>
      <c r="G108" s="277" t="e">
        <f>#REF!</f>
        <v>#REF!</v>
      </c>
      <c r="H108" s="277" t="e">
        <f>#REF!</f>
        <v>#REF!</v>
      </c>
      <c r="I108" s="277" t="e">
        <f>#REF!</f>
        <v>#REF!</v>
      </c>
      <c r="J108" s="277" t="e">
        <f>#REF!</f>
        <v>#REF!</v>
      </c>
      <c r="K108" s="277" t="e">
        <f>#REF!</f>
        <v>#REF!</v>
      </c>
      <c r="L108" s="277" t="e">
        <f>#REF!</f>
        <v>#REF!</v>
      </c>
      <c r="M108" s="277" t="e">
        <f>#REF!</f>
        <v>#REF!</v>
      </c>
      <c r="N108" s="277" t="e">
        <f>#REF!</f>
        <v>#REF!</v>
      </c>
      <c r="O108" s="277" t="e">
        <f>#REF!</f>
        <v>#REF!</v>
      </c>
      <c r="P108" s="277" t="e">
        <f>#REF!</f>
        <v>#REF!</v>
      </c>
      <c r="Q108" s="277" t="e">
        <f>#REF!</f>
        <v>#REF!</v>
      </c>
      <c r="R108" s="277" t="e">
        <f>#REF!</f>
        <v>#REF!</v>
      </c>
      <c r="S108" s="277" t="e">
        <f>#REF!</f>
        <v>#REF!</v>
      </c>
      <c r="T108" s="281" t="e">
        <f>#REF!</f>
        <v>#REF!</v>
      </c>
      <c r="U108" s="281" t="e">
        <f>#REF!</f>
        <v>#REF!</v>
      </c>
      <c r="V108" s="281" t="e">
        <f>#REF!</f>
        <v>#REF!</v>
      </c>
      <c r="W108" s="281" t="e">
        <f>#REF!</f>
        <v>#REF!</v>
      </c>
      <c r="X108" s="281" t="e">
        <f>#REF!</f>
        <v>#REF!</v>
      </c>
    </row>
    <row r="109" spans="1:24" ht="24.95" customHeight="1">
      <c r="A109" s="274" t="e">
        <f>#REF!</f>
        <v>#REF!</v>
      </c>
      <c r="B109" s="275" t="e">
        <f>#REF!</f>
        <v>#REF!</v>
      </c>
      <c r="C109" s="276" t="e">
        <f>#REF!</f>
        <v>#REF!</v>
      </c>
      <c r="D109" s="277" t="e">
        <f>#REF!</f>
        <v>#REF!</v>
      </c>
      <c r="E109" s="277" t="e">
        <f>#REF!</f>
        <v>#REF!</v>
      </c>
      <c r="F109" s="277" t="e">
        <f>#REF!</f>
        <v>#REF!</v>
      </c>
      <c r="G109" s="277" t="e">
        <f>#REF!</f>
        <v>#REF!</v>
      </c>
      <c r="H109" s="277" t="e">
        <f>#REF!</f>
        <v>#REF!</v>
      </c>
      <c r="I109" s="277" t="e">
        <f>#REF!</f>
        <v>#REF!</v>
      </c>
      <c r="J109" s="277" t="e">
        <f>#REF!</f>
        <v>#REF!</v>
      </c>
      <c r="K109" s="277" t="e">
        <f>#REF!</f>
        <v>#REF!</v>
      </c>
      <c r="L109" s="277" t="e">
        <f>#REF!</f>
        <v>#REF!</v>
      </c>
      <c r="M109" s="277" t="e">
        <f>#REF!</f>
        <v>#REF!</v>
      </c>
      <c r="N109" s="277" t="e">
        <f>#REF!</f>
        <v>#REF!</v>
      </c>
      <c r="O109" s="277" t="e">
        <f>#REF!</f>
        <v>#REF!</v>
      </c>
      <c r="P109" s="277" t="e">
        <f>#REF!</f>
        <v>#REF!</v>
      </c>
      <c r="Q109" s="277" t="e">
        <f>#REF!</f>
        <v>#REF!</v>
      </c>
      <c r="R109" s="277" t="e">
        <f>#REF!</f>
        <v>#REF!</v>
      </c>
      <c r="S109" s="277" t="e">
        <f>#REF!</f>
        <v>#REF!</v>
      </c>
      <c r="T109" s="281" t="e">
        <f>#REF!</f>
        <v>#REF!</v>
      </c>
      <c r="U109" s="281" t="e">
        <f>#REF!</f>
        <v>#REF!</v>
      </c>
      <c r="V109" s="281" t="e">
        <f>#REF!</f>
        <v>#REF!</v>
      </c>
      <c r="W109" s="281" t="e">
        <f>#REF!</f>
        <v>#REF!</v>
      </c>
      <c r="X109" s="281" t="e">
        <f>#REF!</f>
        <v>#REF!</v>
      </c>
    </row>
    <row r="110" spans="1:24" ht="24.95" customHeight="1">
      <c r="A110" s="274" t="e">
        <f>#REF!</f>
        <v>#REF!</v>
      </c>
      <c r="B110" s="275" t="e">
        <f>#REF!</f>
        <v>#REF!</v>
      </c>
      <c r="C110" s="276" t="e">
        <f>#REF!</f>
        <v>#REF!</v>
      </c>
      <c r="D110" s="277" t="e">
        <f>#REF!</f>
        <v>#REF!</v>
      </c>
      <c r="E110" s="277" t="e">
        <f>#REF!</f>
        <v>#REF!</v>
      </c>
      <c r="F110" s="277" t="e">
        <f>#REF!</f>
        <v>#REF!</v>
      </c>
      <c r="G110" s="277" t="e">
        <f>#REF!</f>
        <v>#REF!</v>
      </c>
      <c r="H110" s="277" t="e">
        <f>#REF!</f>
        <v>#REF!</v>
      </c>
      <c r="I110" s="277" t="e">
        <f>#REF!</f>
        <v>#REF!</v>
      </c>
      <c r="J110" s="277" t="e">
        <f>#REF!</f>
        <v>#REF!</v>
      </c>
      <c r="K110" s="277" t="e">
        <f>#REF!</f>
        <v>#REF!</v>
      </c>
      <c r="L110" s="277" t="e">
        <f>#REF!</f>
        <v>#REF!</v>
      </c>
      <c r="M110" s="277" t="e">
        <f>#REF!</f>
        <v>#REF!</v>
      </c>
      <c r="N110" s="277" t="e">
        <f>#REF!</f>
        <v>#REF!</v>
      </c>
      <c r="O110" s="277" t="e">
        <f>#REF!</f>
        <v>#REF!</v>
      </c>
      <c r="P110" s="277" t="e">
        <f>#REF!</f>
        <v>#REF!</v>
      </c>
      <c r="Q110" s="277" t="e">
        <f>#REF!</f>
        <v>#REF!</v>
      </c>
      <c r="R110" s="277" t="e">
        <f>#REF!</f>
        <v>#REF!</v>
      </c>
      <c r="S110" s="277" t="e">
        <f>#REF!</f>
        <v>#REF!</v>
      </c>
      <c r="T110" s="281" t="e">
        <f>#REF!</f>
        <v>#REF!</v>
      </c>
      <c r="U110" s="281" t="e">
        <f>#REF!</f>
        <v>#REF!</v>
      </c>
      <c r="V110" s="281" t="e">
        <f>#REF!</f>
        <v>#REF!</v>
      </c>
      <c r="W110" s="281" t="e">
        <f>#REF!</f>
        <v>#REF!</v>
      </c>
      <c r="X110" s="281" t="e">
        <f>#REF!</f>
        <v>#REF!</v>
      </c>
    </row>
    <row r="111" spans="1:24" ht="24.95" customHeight="1">
      <c r="A111" s="274" t="e">
        <f>#REF!</f>
        <v>#REF!</v>
      </c>
      <c r="B111" s="275" t="e">
        <f>#REF!</f>
        <v>#REF!</v>
      </c>
      <c r="C111" s="276" t="e">
        <f>#REF!</f>
        <v>#REF!</v>
      </c>
      <c r="D111" s="277" t="e">
        <f>#REF!</f>
        <v>#REF!</v>
      </c>
      <c r="E111" s="277" t="e">
        <f>#REF!</f>
        <v>#REF!</v>
      </c>
      <c r="F111" s="277" t="e">
        <f>#REF!</f>
        <v>#REF!</v>
      </c>
      <c r="G111" s="277" t="e">
        <f>#REF!</f>
        <v>#REF!</v>
      </c>
      <c r="H111" s="277" t="e">
        <f>#REF!</f>
        <v>#REF!</v>
      </c>
      <c r="I111" s="277" t="e">
        <f>#REF!</f>
        <v>#REF!</v>
      </c>
      <c r="J111" s="277" t="e">
        <f>#REF!</f>
        <v>#REF!</v>
      </c>
      <c r="K111" s="277" t="e">
        <f>#REF!</f>
        <v>#REF!</v>
      </c>
      <c r="L111" s="277" t="e">
        <f>#REF!</f>
        <v>#REF!</v>
      </c>
      <c r="M111" s="277" t="e">
        <f>#REF!</f>
        <v>#REF!</v>
      </c>
      <c r="N111" s="277" t="e">
        <f>#REF!</f>
        <v>#REF!</v>
      </c>
      <c r="O111" s="277" t="e">
        <f>#REF!</f>
        <v>#REF!</v>
      </c>
      <c r="P111" s="277" t="e">
        <f>#REF!</f>
        <v>#REF!</v>
      </c>
      <c r="Q111" s="277" t="e">
        <f>#REF!</f>
        <v>#REF!</v>
      </c>
      <c r="R111" s="277" t="e">
        <f>#REF!</f>
        <v>#REF!</v>
      </c>
      <c r="S111" s="277" t="e">
        <f>#REF!</f>
        <v>#REF!</v>
      </c>
      <c r="T111" s="281" t="e">
        <f>#REF!</f>
        <v>#REF!</v>
      </c>
      <c r="U111" s="281" t="e">
        <f>#REF!</f>
        <v>#REF!</v>
      </c>
      <c r="V111" s="281" t="e">
        <f>#REF!</f>
        <v>#REF!</v>
      </c>
      <c r="W111" s="281" t="e">
        <f>#REF!</f>
        <v>#REF!</v>
      </c>
      <c r="X111" s="281" t="e">
        <f>#REF!</f>
        <v>#REF!</v>
      </c>
    </row>
    <row r="112" spans="1:24" ht="24.95" customHeight="1">
      <c r="A112" s="274" t="e">
        <f>#REF!</f>
        <v>#REF!</v>
      </c>
      <c r="B112" s="275" t="e">
        <f>#REF!</f>
        <v>#REF!</v>
      </c>
      <c r="C112" s="276" t="e">
        <f>#REF!</f>
        <v>#REF!</v>
      </c>
      <c r="D112" s="277" t="e">
        <f>#REF!</f>
        <v>#REF!</v>
      </c>
      <c r="E112" s="277" t="e">
        <f>#REF!</f>
        <v>#REF!</v>
      </c>
      <c r="F112" s="277" t="e">
        <f>#REF!</f>
        <v>#REF!</v>
      </c>
      <c r="G112" s="277" t="e">
        <f>#REF!</f>
        <v>#REF!</v>
      </c>
      <c r="H112" s="277" t="e">
        <f>#REF!</f>
        <v>#REF!</v>
      </c>
      <c r="I112" s="277" t="e">
        <f>#REF!</f>
        <v>#REF!</v>
      </c>
      <c r="J112" s="277" t="e">
        <f>#REF!</f>
        <v>#REF!</v>
      </c>
      <c r="K112" s="277" t="e">
        <f>#REF!</f>
        <v>#REF!</v>
      </c>
      <c r="L112" s="277" t="e">
        <f>#REF!</f>
        <v>#REF!</v>
      </c>
      <c r="M112" s="277" t="e">
        <f>#REF!</f>
        <v>#REF!</v>
      </c>
      <c r="N112" s="277" t="e">
        <f>#REF!</f>
        <v>#REF!</v>
      </c>
      <c r="O112" s="277" t="e">
        <f>#REF!</f>
        <v>#REF!</v>
      </c>
      <c r="P112" s="277" t="e">
        <f>#REF!</f>
        <v>#REF!</v>
      </c>
      <c r="Q112" s="277" t="e">
        <f>#REF!</f>
        <v>#REF!</v>
      </c>
      <c r="R112" s="277" t="e">
        <f>#REF!</f>
        <v>#REF!</v>
      </c>
      <c r="S112" s="277" t="e">
        <f>#REF!</f>
        <v>#REF!</v>
      </c>
      <c r="T112" s="281" t="e">
        <f>#REF!</f>
        <v>#REF!</v>
      </c>
      <c r="U112" s="281" t="e">
        <f>#REF!</f>
        <v>#REF!</v>
      </c>
      <c r="V112" s="281" t="e">
        <f>#REF!</f>
        <v>#REF!</v>
      </c>
      <c r="W112" s="281" t="e">
        <f>#REF!</f>
        <v>#REF!</v>
      </c>
      <c r="X112" s="281" t="e">
        <f>#REF!</f>
        <v>#REF!</v>
      </c>
    </row>
    <row r="113" spans="1:24" ht="24.95" customHeight="1">
      <c r="A113" s="274" t="e">
        <f>#REF!</f>
        <v>#REF!</v>
      </c>
      <c r="B113" s="275" t="e">
        <f>#REF!</f>
        <v>#REF!</v>
      </c>
      <c r="C113" s="276" t="e">
        <f>#REF!</f>
        <v>#REF!</v>
      </c>
      <c r="D113" s="277" t="e">
        <f>#REF!</f>
        <v>#REF!</v>
      </c>
      <c r="E113" s="277" t="e">
        <f>#REF!</f>
        <v>#REF!</v>
      </c>
      <c r="F113" s="277" t="e">
        <f>#REF!</f>
        <v>#REF!</v>
      </c>
      <c r="G113" s="277" t="e">
        <f>#REF!</f>
        <v>#REF!</v>
      </c>
      <c r="H113" s="277" t="e">
        <f>#REF!</f>
        <v>#REF!</v>
      </c>
      <c r="I113" s="277" t="e">
        <f>#REF!</f>
        <v>#REF!</v>
      </c>
      <c r="J113" s="277" t="e">
        <f>#REF!</f>
        <v>#REF!</v>
      </c>
      <c r="K113" s="277" t="e">
        <f>#REF!</f>
        <v>#REF!</v>
      </c>
      <c r="L113" s="277" t="e">
        <f>#REF!</f>
        <v>#REF!</v>
      </c>
      <c r="M113" s="277" t="e">
        <f>#REF!</f>
        <v>#REF!</v>
      </c>
      <c r="N113" s="277" t="e">
        <f>#REF!</f>
        <v>#REF!</v>
      </c>
      <c r="O113" s="277" t="e">
        <f>#REF!</f>
        <v>#REF!</v>
      </c>
      <c r="P113" s="277" t="e">
        <f>#REF!</f>
        <v>#REF!</v>
      </c>
      <c r="Q113" s="277" t="e">
        <f>#REF!</f>
        <v>#REF!</v>
      </c>
      <c r="R113" s="277" t="e">
        <f>#REF!</f>
        <v>#REF!</v>
      </c>
      <c r="S113" s="277" t="e">
        <f>#REF!</f>
        <v>#REF!</v>
      </c>
      <c r="T113" s="281" t="e">
        <f>#REF!</f>
        <v>#REF!</v>
      </c>
      <c r="U113" s="281" t="e">
        <f>#REF!</f>
        <v>#REF!</v>
      </c>
      <c r="V113" s="281" t="e">
        <f>#REF!</f>
        <v>#REF!</v>
      </c>
      <c r="W113" s="281" t="e">
        <f>#REF!</f>
        <v>#REF!</v>
      </c>
      <c r="X113" s="281" t="e">
        <f>#REF!</f>
        <v>#REF!</v>
      </c>
    </row>
    <row r="114" spans="1:24" ht="24.95" customHeight="1">
      <c r="A114" s="274" t="e">
        <f>#REF!</f>
        <v>#REF!</v>
      </c>
      <c r="B114" s="275" t="e">
        <f>#REF!</f>
        <v>#REF!</v>
      </c>
      <c r="C114" s="276" t="e">
        <f>#REF!</f>
        <v>#REF!</v>
      </c>
      <c r="D114" s="277" t="e">
        <f>#REF!</f>
        <v>#REF!</v>
      </c>
      <c r="E114" s="277" t="e">
        <f>#REF!</f>
        <v>#REF!</v>
      </c>
      <c r="F114" s="277" t="e">
        <f>#REF!</f>
        <v>#REF!</v>
      </c>
      <c r="G114" s="277" t="e">
        <f>#REF!</f>
        <v>#REF!</v>
      </c>
      <c r="H114" s="277" t="e">
        <f>#REF!</f>
        <v>#REF!</v>
      </c>
      <c r="I114" s="277" t="e">
        <f>#REF!</f>
        <v>#REF!</v>
      </c>
      <c r="J114" s="277" t="e">
        <f>#REF!</f>
        <v>#REF!</v>
      </c>
      <c r="K114" s="277" t="e">
        <f>#REF!</f>
        <v>#REF!</v>
      </c>
      <c r="L114" s="277" t="e">
        <f>#REF!</f>
        <v>#REF!</v>
      </c>
      <c r="M114" s="277" t="e">
        <f>#REF!</f>
        <v>#REF!</v>
      </c>
      <c r="N114" s="277" t="e">
        <f>#REF!</f>
        <v>#REF!</v>
      </c>
      <c r="O114" s="277" t="e">
        <f>#REF!</f>
        <v>#REF!</v>
      </c>
      <c r="P114" s="277" t="e">
        <f>#REF!</f>
        <v>#REF!</v>
      </c>
      <c r="Q114" s="277" t="e">
        <f>#REF!</f>
        <v>#REF!</v>
      </c>
      <c r="R114" s="277" t="e">
        <f>#REF!</f>
        <v>#REF!</v>
      </c>
      <c r="S114" s="277" t="e">
        <f>#REF!</f>
        <v>#REF!</v>
      </c>
      <c r="T114" s="281" t="e">
        <f>#REF!</f>
        <v>#REF!</v>
      </c>
      <c r="U114" s="281" t="e">
        <f>#REF!</f>
        <v>#REF!</v>
      </c>
      <c r="V114" s="281" t="e">
        <f>#REF!</f>
        <v>#REF!</v>
      </c>
      <c r="W114" s="281" t="e">
        <f>#REF!</f>
        <v>#REF!</v>
      </c>
      <c r="X114" s="281" t="e">
        <f>#REF!</f>
        <v>#REF!</v>
      </c>
    </row>
    <row r="115" spans="1:24" ht="24.95" customHeight="1">
      <c r="A115" s="274" t="e">
        <f>#REF!</f>
        <v>#REF!</v>
      </c>
      <c r="B115" s="275" t="e">
        <f>#REF!</f>
        <v>#REF!</v>
      </c>
      <c r="C115" s="276" t="e">
        <f>#REF!</f>
        <v>#REF!</v>
      </c>
      <c r="D115" s="277" t="e">
        <f>#REF!</f>
        <v>#REF!</v>
      </c>
      <c r="E115" s="277" t="e">
        <f>#REF!</f>
        <v>#REF!</v>
      </c>
      <c r="F115" s="277" t="e">
        <f>#REF!</f>
        <v>#REF!</v>
      </c>
      <c r="G115" s="277" t="e">
        <f>#REF!</f>
        <v>#REF!</v>
      </c>
      <c r="H115" s="277" t="e">
        <f>#REF!</f>
        <v>#REF!</v>
      </c>
      <c r="I115" s="277" t="e">
        <f>#REF!</f>
        <v>#REF!</v>
      </c>
      <c r="J115" s="277" t="e">
        <f>#REF!</f>
        <v>#REF!</v>
      </c>
      <c r="K115" s="277" t="e">
        <f>#REF!</f>
        <v>#REF!</v>
      </c>
      <c r="L115" s="277" t="e">
        <f>#REF!</f>
        <v>#REF!</v>
      </c>
      <c r="M115" s="277" t="e">
        <f>#REF!</f>
        <v>#REF!</v>
      </c>
      <c r="N115" s="277" t="e">
        <f>#REF!</f>
        <v>#REF!</v>
      </c>
      <c r="O115" s="277" t="e">
        <f>#REF!</f>
        <v>#REF!</v>
      </c>
      <c r="P115" s="277" t="e">
        <f>#REF!</f>
        <v>#REF!</v>
      </c>
      <c r="Q115" s="277" t="e">
        <f>#REF!</f>
        <v>#REF!</v>
      </c>
      <c r="R115" s="277" t="e">
        <f>#REF!</f>
        <v>#REF!</v>
      </c>
      <c r="S115" s="277" t="e">
        <f>#REF!</f>
        <v>#REF!</v>
      </c>
      <c r="T115" s="281" t="e">
        <f>#REF!</f>
        <v>#REF!</v>
      </c>
      <c r="U115" s="281" t="e">
        <f>#REF!</f>
        <v>#REF!</v>
      </c>
      <c r="V115" s="281" t="e">
        <f>#REF!</f>
        <v>#REF!</v>
      </c>
      <c r="W115" s="281" t="e">
        <f>#REF!</f>
        <v>#REF!</v>
      </c>
      <c r="X115" s="281" t="e">
        <f>#REF!</f>
        <v>#REF!</v>
      </c>
    </row>
    <row r="116" spans="1:24" ht="24.95" customHeight="1">
      <c r="A116" s="274" t="e">
        <f>#REF!</f>
        <v>#REF!</v>
      </c>
      <c r="B116" s="275" t="e">
        <f>#REF!</f>
        <v>#REF!</v>
      </c>
      <c r="C116" s="276" t="e">
        <f>#REF!</f>
        <v>#REF!</v>
      </c>
      <c r="D116" s="277" t="e">
        <f>#REF!</f>
        <v>#REF!</v>
      </c>
      <c r="E116" s="277" t="e">
        <f>#REF!</f>
        <v>#REF!</v>
      </c>
      <c r="F116" s="277" t="e">
        <f>#REF!</f>
        <v>#REF!</v>
      </c>
      <c r="G116" s="277" t="e">
        <f>#REF!</f>
        <v>#REF!</v>
      </c>
      <c r="H116" s="277" t="e">
        <f>#REF!</f>
        <v>#REF!</v>
      </c>
      <c r="I116" s="277" t="e">
        <f>#REF!</f>
        <v>#REF!</v>
      </c>
      <c r="J116" s="277" t="e">
        <f>#REF!</f>
        <v>#REF!</v>
      </c>
      <c r="K116" s="277" t="e">
        <f>#REF!</f>
        <v>#REF!</v>
      </c>
      <c r="L116" s="277" t="e">
        <f>#REF!</f>
        <v>#REF!</v>
      </c>
      <c r="M116" s="277" t="e">
        <f>#REF!</f>
        <v>#REF!</v>
      </c>
      <c r="N116" s="277" t="e">
        <f>#REF!</f>
        <v>#REF!</v>
      </c>
      <c r="O116" s="277" t="e">
        <f>#REF!</f>
        <v>#REF!</v>
      </c>
      <c r="P116" s="277" t="e">
        <f>#REF!</f>
        <v>#REF!</v>
      </c>
      <c r="Q116" s="277" t="e">
        <f>#REF!</f>
        <v>#REF!</v>
      </c>
      <c r="R116" s="277" t="e">
        <f>#REF!</f>
        <v>#REF!</v>
      </c>
      <c r="S116" s="277" t="e">
        <f>#REF!</f>
        <v>#REF!</v>
      </c>
      <c r="T116" s="281" t="e">
        <f>#REF!</f>
        <v>#REF!</v>
      </c>
      <c r="U116" s="281" t="e">
        <f>#REF!</f>
        <v>#REF!</v>
      </c>
      <c r="V116" s="281" t="e">
        <f>#REF!</f>
        <v>#REF!</v>
      </c>
      <c r="W116" s="281" t="e">
        <f>#REF!</f>
        <v>#REF!</v>
      </c>
      <c r="X116" s="281" t="e">
        <f>#REF!</f>
        <v>#REF!</v>
      </c>
    </row>
    <row r="117" spans="1:24" ht="24.95" customHeight="1">
      <c r="A117" s="274" t="e">
        <f>#REF!</f>
        <v>#REF!</v>
      </c>
      <c r="B117" s="275" t="e">
        <f>#REF!</f>
        <v>#REF!</v>
      </c>
      <c r="C117" s="276" t="e">
        <f>#REF!</f>
        <v>#REF!</v>
      </c>
      <c r="D117" s="277" t="e">
        <f>#REF!</f>
        <v>#REF!</v>
      </c>
      <c r="E117" s="277" t="e">
        <f>#REF!</f>
        <v>#REF!</v>
      </c>
      <c r="F117" s="277" t="e">
        <f>#REF!</f>
        <v>#REF!</v>
      </c>
      <c r="G117" s="277" t="e">
        <f>#REF!</f>
        <v>#REF!</v>
      </c>
      <c r="H117" s="277" t="e">
        <f>#REF!</f>
        <v>#REF!</v>
      </c>
      <c r="I117" s="277" t="e">
        <f>#REF!</f>
        <v>#REF!</v>
      </c>
      <c r="J117" s="277" t="e">
        <f>#REF!</f>
        <v>#REF!</v>
      </c>
      <c r="K117" s="277" t="e">
        <f>#REF!</f>
        <v>#REF!</v>
      </c>
      <c r="L117" s="277" t="e">
        <f>#REF!</f>
        <v>#REF!</v>
      </c>
      <c r="M117" s="277" t="e">
        <f>#REF!</f>
        <v>#REF!</v>
      </c>
      <c r="N117" s="277" t="e">
        <f>#REF!</f>
        <v>#REF!</v>
      </c>
      <c r="O117" s="277" t="e">
        <f>#REF!</f>
        <v>#REF!</v>
      </c>
      <c r="P117" s="277" t="e">
        <f>#REF!</f>
        <v>#REF!</v>
      </c>
      <c r="Q117" s="277" t="e">
        <f>#REF!</f>
        <v>#REF!</v>
      </c>
      <c r="R117" s="277" t="e">
        <f>#REF!</f>
        <v>#REF!</v>
      </c>
      <c r="S117" s="277" t="e">
        <f>#REF!</f>
        <v>#REF!</v>
      </c>
      <c r="T117" s="281" t="e">
        <f>#REF!</f>
        <v>#REF!</v>
      </c>
      <c r="U117" s="281" t="e">
        <f>#REF!</f>
        <v>#REF!</v>
      </c>
      <c r="V117" s="281" t="e">
        <f>#REF!</f>
        <v>#REF!</v>
      </c>
      <c r="W117" s="281" t="e">
        <f>#REF!</f>
        <v>#REF!</v>
      </c>
      <c r="X117" s="281" t="e">
        <f>#REF!</f>
        <v>#REF!</v>
      </c>
    </row>
    <row r="118" spans="1:24" ht="24.95" customHeight="1">
      <c r="A118" s="274" t="e">
        <f>#REF!</f>
        <v>#REF!</v>
      </c>
      <c r="B118" s="275" t="e">
        <f>#REF!</f>
        <v>#REF!</v>
      </c>
      <c r="C118" s="276" t="e">
        <f>#REF!</f>
        <v>#REF!</v>
      </c>
      <c r="D118" s="277" t="e">
        <f>#REF!</f>
        <v>#REF!</v>
      </c>
      <c r="E118" s="277" t="e">
        <f>#REF!</f>
        <v>#REF!</v>
      </c>
      <c r="F118" s="277" t="e">
        <f>#REF!</f>
        <v>#REF!</v>
      </c>
      <c r="G118" s="277" t="e">
        <f>#REF!</f>
        <v>#REF!</v>
      </c>
      <c r="H118" s="277" t="e">
        <f>#REF!</f>
        <v>#REF!</v>
      </c>
      <c r="I118" s="277" t="e">
        <f>#REF!</f>
        <v>#REF!</v>
      </c>
      <c r="J118" s="277" t="e">
        <f>#REF!</f>
        <v>#REF!</v>
      </c>
      <c r="K118" s="277" t="e">
        <f>#REF!</f>
        <v>#REF!</v>
      </c>
      <c r="L118" s="277" t="e">
        <f>#REF!</f>
        <v>#REF!</v>
      </c>
      <c r="M118" s="277" t="e">
        <f>#REF!</f>
        <v>#REF!</v>
      </c>
      <c r="N118" s="277" t="e">
        <f>#REF!</f>
        <v>#REF!</v>
      </c>
      <c r="O118" s="277" t="e">
        <f>#REF!</f>
        <v>#REF!</v>
      </c>
      <c r="P118" s="277" t="e">
        <f>#REF!</f>
        <v>#REF!</v>
      </c>
      <c r="Q118" s="277" t="e">
        <f>#REF!</f>
        <v>#REF!</v>
      </c>
      <c r="R118" s="277" t="e">
        <f>#REF!</f>
        <v>#REF!</v>
      </c>
      <c r="S118" s="277" t="e">
        <f>#REF!</f>
        <v>#REF!</v>
      </c>
      <c r="T118" s="281" t="e">
        <f>#REF!</f>
        <v>#REF!</v>
      </c>
      <c r="U118" s="281" t="e">
        <f>#REF!</f>
        <v>#REF!</v>
      </c>
      <c r="V118" s="281" t="e">
        <f>#REF!</f>
        <v>#REF!</v>
      </c>
      <c r="W118" s="281" t="e">
        <f>#REF!</f>
        <v>#REF!</v>
      </c>
      <c r="X118" s="281" t="e">
        <f>#REF!</f>
        <v>#REF!</v>
      </c>
    </row>
    <row r="119" spans="1:24" ht="24.95" customHeight="1">
      <c r="A119" s="274" t="e">
        <f>#REF!</f>
        <v>#REF!</v>
      </c>
      <c r="B119" s="275" t="e">
        <f>#REF!</f>
        <v>#REF!</v>
      </c>
      <c r="C119" s="276" t="e">
        <f>#REF!</f>
        <v>#REF!</v>
      </c>
      <c r="D119" s="277" t="e">
        <f>#REF!</f>
        <v>#REF!</v>
      </c>
      <c r="E119" s="277" t="e">
        <f>#REF!</f>
        <v>#REF!</v>
      </c>
      <c r="F119" s="277" t="e">
        <f>#REF!</f>
        <v>#REF!</v>
      </c>
      <c r="G119" s="277" t="e">
        <f>#REF!</f>
        <v>#REF!</v>
      </c>
      <c r="H119" s="277" t="e">
        <f>#REF!</f>
        <v>#REF!</v>
      </c>
      <c r="I119" s="277" t="e">
        <f>#REF!</f>
        <v>#REF!</v>
      </c>
      <c r="J119" s="277" t="e">
        <f>#REF!</f>
        <v>#REF!</v>
      </c>
      <c r="K119" s="277" t="e">
        <f>#REF!</f>
        <v>#REF!</v>
      </c>
      <c r="L119" s="277" t="e">
        <f>#REF!</f>
        <v>#REF!</v>
      </c>
      <c r="M119" s="277" t="e">
        <f>#REF!</f>
        <v>#REF!</v>
      </c>
      <c r="N119" s="277" t="e">
        <f>#REF!</f>
        <v>#REF!</v>
      </c>
      <c r="O119" s="277" t="e">
        <f>#REF!</f>
        <v>#REF!</v>
      </c>
      <c r="P119" s="277" t="e">
        <f>#REF!</f>
        <v>#REF!</v>
      </c>
      <c r="Q119" s="277" t="e">
        <f>#REF!</f>
        <v>#REF!</v>
      </c>
      <c r="R119" s="277" t="e">
        <f>#REF!</f>
        <v>#REF!</v>
      </c>
      <c r="S119" s="277" t="e">
        <f>#REF!</f>
        <v>#REF!</v>
      </c>
      <c r="T119" s="281" t="e">
        <f>#REF!</f>
        <v>#REF!</v>
      </c>
      <c r="U119" s="281" t="e">
        <f>#REF!</f>
        <v>#REF!</v>
      </c>
      <c r="V119" s="281" t="e">
        <f>#REF!</f>
        <v>#REF!</v>
      </c>
      <c r="W119" s="281" t="e">
        <f>#REF!</f>
        <v>#REF!</v>
      </c>
      <c r="X119" s="281" t="e">
        <f>#REF!</f>
        <v>#REF!</v>
      </c>
    </row>
    <row r="120" spans="1:24" ht="24.95" customHeight="1">
      <c r="A120" s="274" t="e">
        <f>#REF!</f>
        <v>#REF!</v>
      </c>
      <c r="B120" s="275" t="e">
        <f>#REF!</f>
        <v>#REF!</v>
      </c>
      <c r="C120" s="276" t="e">
        <f>#REF!</f>
        <v>#REF!</v>
      </c>
      <c r="D120" s="277" t="e">
        <f>#REF!</f>
        <v>#REF!</v>
      </c>
      <c r="E120" s="277" t="e">
        <f>#REF!</f>
        <v>#REF!</v>
      </c>
      <c r="F120" s="277" t="e">
        <f>#REF!</f>
        <v>#REF!</v>
      </c>
      <c r="G120" s="277" t="e">
        <f>#REF!</f>
        <v>#REF!</v>
      </c>
      <c r="H120" s="277" t="e">
        <f>#REF!</f>
        <v>#REF!</v>
      </c>
      <c r="I120" s="277" t="e">
        <f>#REF!</f>
        <v>#REF!</v>
      </c>
      <c r="J120" s="277" t="e">
        <f>#REF!</f>
        <v>#REF!</v>
      </c>
      <c r="K120" s="277" t="e">
        <f>#REF!</f>
        <v>#REF!</v>
      </c>
      <c r="L120" s="277" t="e">
        <f>#REF!</f>
        <v>#REF!</v>
      </c>
      <c r="M120" s="277" t="e">
        <f>#REF!</f>
        <v>#REF!</v>
      </c>
      <c r="N120" s="277" t="e">
        <f>#REF!</f>
        <v>#REF!</v>
      </c>
      <c r="O120" s="277" t="e">
        <f>#REF!</f>
        <v>#REF!</v>
      </c>
      <c r="P120" s="277" t="e">
        <f>#REF!</f>
        <v>#REF!</v>
      </c>
      <c r="Q120" s="277" t="e">
        <f>#REF!</f>
        <v>#REF!</v>
      </c>
      <c r="R120" s="277" t="e">
        <f>#REF!</f>
        <v>#REF!</v>
      </c>
      <c r="S120" s="277" t="e">
        <f>#REF!</f>
        <v>#REF!</v>
      </c>
      <c r="T120" s="281" t="e">
        <f>#REF!</f>
        <v>#REF!</v>
      </c>
      <c r="U120" s="281" t="e">
        <f>#REF!</f>
        <v>#REF!</v>
      </c>
      <c r="V120" s="281" t="e">
        <f>#REF!</f>
        <v>#REF!</v>
      </c>
      <c r="W120" s="281" t="e">
        <f>#REF!</f>
        <v>#REF!</v>
      </c>
      <c r="X120" s="281" t="e">
        <f>#REF!</f>
        <v>#REF!</v>
      </c>
    </row>
    <row r="121" spans="1:24" ht="24.95" customHeight="1">
      <c r="A121" s="274" t="e">
        <f>#REF!</f>
        <v>#REF!</v>
      </c>
      <c r="B121" s="275" t="e">
        <f>#REF!</f>
        <v>#REF!</v>
      </c>
      <c r="C121" s="276" t="e">
        <f>#REF!</f>
        <v>#REF!</v>
      </c>
      <c r="D121" s="277" t="e">
        <f>#REF!</f>
        <v>#REF!</v>
      </c>
      <c r="E121" s="277" t="e">
        <f>#REF!</f>
        <v>#REF!</v>
      </c>
      <c r="F121" s="277" t="e">
        <f>#REF!</f>
        <v>#REF!</v>
      </c>
      <c r="G121" s="277" t="e">
        <f>#REF!</f>
        <v>#REF!</v>
      </c>
      <c r="H121" s="277" t="e">
        <f>#REF!</f>
        <v>#REF!</v>
      </c>
      <c r="I121" s="277" t="e">
        <f>#REF!</f>
        <v>#REF!</v>
      </c>
      <c r="J121" s="277" t="e">
        <f>#REF!</f>
        <v>#REF!</v>
      </c>
      <c r="K121" s="277" t="e">
        <f>#REF!</f>
        <v>#REF!</v>
      </c>
      <c r="L121" s="277" t="e">
        <f>#REF!</f>
        <v>#REF!</v>
      </c>
      <c r="M121" s="277" t="e">
        <f>#REF!</f>
        <v>#REF!</v>
      </c>
      <c r="N121" s="277" t="e">
        <f>#REF!</f>
        <v>#REF!</v>
      </c>
      <c r="O121" s="277" t="e">
        <f>#REF!</f>
        <v>#REF!</v>
      </c>
      <c r="P121" s="277" t="e">
        <f>#REF!</f>
        <v>#REF!</v>
      </c>
      <c r="Q121" s="277" t="e">
        <f>#REF!</f>
        <v>#REF!</v>
      </c>
      <c r="R121" s="277" t="e">
        <f>#REF!</f>
        <v>#REF!</v>
      </c>
      <c r="S121" s="277" t="e">
        <f>#REF!</f>
        <v>#REF!</v>
      </c>
      <c r="T121" s="281" t="e">
        <f>#REF!</f>
        <v>#REF!</v>
      </c>
      <c r="U121" s="281" t="e">
        <f>#REF!</f>
        <v>#REF!</v>
      </c>
      <c r="V121" s="281" t="e">
        <f>#REF!</f>
        <v>#REF!</v>
      </c>
      <c r="W121" s="281" t="e">
        <f>#REF!</f>
        <v>#REF!</v>
      </c>
      <c r="X121" s="281" t="e">
        <f>#REF!</f>
        <v>#REF!</v>
      </c>
    </row>
    <row r="122" spans="1:24" ht="24.95" customHeight="1">
      <c r="A122" s="274" t="e">
        <f>#REF!</f>
        <v>#REF!</v>
      </c>
      <c r="B122" s="275" t="e">
        <f>#REF!</f>
        <v>#REF!</v>
      </c>
      <c r="C122" s="276" t="e">
        <f>#REF!</f>
        <v>#REF!</v>
      </c>
      <c r="D122" s="277" t="e">
        <f>#REF!</f>
        <v>#REF!</v>
      </c>
      <c r="E122" s="277" t="e">
        <f>#REF!</f>
        <v>#REF!</v>
      </c>
      <c r="F122" s="277" t="e">
        <f>#REF!</f>
        <v>#REF!</v>
      </c>
      <c r="G122" s="277" t="e">
        <f>#REF!</f>
        <v>#REF!</v>
      </c>
      <c r="H122" s="277" t="e">
        <f>#REF!</f>
        <v>#REF!</v>
      </c>
      <c r="I122" s="277" t="e">
        <f>#REF!</f>
        <v>#REF!</v>
      </c>
      <c r="J122" s="277" t="e">
        <f>#REF!</f>
        <v>#REF!</v>
      </c>
      <c r="K122" s="277" t="e">
        <f>#REF!</f>
        <v>#REF!</v>
      </c>
      <c r="L122" s="277" t="e">
        <f>#REF!</f>
        <v>#REF!</v>
      </c>
      <c r="M122" s="277" t="e">
        <f>#REF!</f>
        <v>#REF!</v>
      </c>
      <c r="N122" s="277" t="e">
        <f>#REF!</f>
        <v>#REF!</v>
      </c>
      <c r="O122" s="277" t="e">
        <f>#REF!</f>
        <v>#REF!</v>
      </c>
      <c r="P122" s="277" t="e">
        <f>#REF!</f>
        <v>#REF!</v>
      </c>
      <c r="Q122" s="277" t="e">
        <f>#REF!</f>
        <v>#REF!</v>
      </c>
      <c r="R122" s="277" t="e">
        <f>#REF!</f>
        <v>#REF!</v>
      </c>
      <c r="S122" s="277" t="e">
        <f>#REF!</f>
        <v>#REF!</v>
      </c>
      <c r="T122" s="281" t="e">
        <f>#REF!</f>
        <v>#REF!</v>
      </c>
      <c r="U122" s="281" t="e">
        <f>#REF!</f>
        <v>#REF!</v>
      </c>
      <c r="V122" s="281" t="e">
        <f>#REF!</f>
        <v>#REF!</v>
      </c>
      <c r="W122" s="281" t="e">
        <f>#REF!</f>
        <v>#REF!</v>
      </c>
      <c r="X122" s="281" t="e">
        <f>#REF!</f>
        <v>#REF!</v>
      </c>
    </row>
    <row r="123" spans="1:24" ht="24.95" customHeight="1">
      <c r="A123" s="274" t="e">
        <f>#REF!</f>
        <v>#REF!</v>
      </c>
      <c r="B123" s="275" t="e">
        <f>#REF!</f>
        <v>#REF!</v>
      </c>
      <c r="C123" s="276" t="e">
        <f>#REF!</f>
        <v>#REF!</v>
      </c>
      <c r="D123" s="277" t="e">
        <f>#REF!</f>
        <v>#REF!</v>
      </c>
      <c r="E123" s="277" t="e">
        <f>#REF!</f>
        <v>#REF!</v>
      </c>
      <c r="F123" s="277" t="e">
        <f>#REF!</f>
        <v>#REF!</v>
      </c>
      <c r="G123" s="277" t="e">
        <f>#REF!</f>
        <v>#REF!</v>
      </c>
      <c r="H123" s="277" t="e">
        <f>#REF!</f>
        <v>#REF!</v>
      </c>
      <c r="I123" s="277" t="e">
        <f>#REF!</f>
        <v>#REF!</v>
      </c>
      <c r="J123" s="277" t="e">
        <f>#REF!</f>
        <v>#REF!</v>
      </c>
      <c r="K123" s="277" t="e">
        <f>#REF!</f>
        <v>#REF!</v>
      </c>
      <c r="L123" s="277" t="e">
        <f>#REF!</f>
        <v>#REF!</v>
      </c>
      <c r="M123" s="277" t="e">
        <f>#REF!</f>
        <v>#REF!</v>
      </c>
      <c r="N123" s="277" t="e">
        <f>#REF!</f>
        <v>#REF!</v>
      </c>
      <c r="O123" s="277" t="e">
        <f>#REF!</f>
        <v>#REF!</v>
      </c>
      <c r="P123" s="277" t="e">
        <f>#REF!</f>
        <v>#REF!</v>
      </c>
      <c r="Q123" s="277" t="e">
        <f>#REF!</f>
        <v>#REF!</v>
      </c>
      <c r="R123" s="277" t="e">
        <f>#REF!</f>
        <v>#REF!</v>
      </c>
      <c r="S123" s="277" t="e">
        <f>#REF!</f>
        <v>#REF!</v>
      </c>
      <c r="T123" s="281" t="e">
        <f>#REF!</f>
        <v>#REF!</v>
      </c>
      <c r="U123" s="281" t="e">
        <f>#REF!</f>
        <v>#REF!</v>
      </c>
      <c r="V123" s="281" t="e">
        <f>#REF!</f>
        <v>#REF!</v>
      </c>
      <c r="W123" s="281" t="e">
        <f>#REF!</f>
        <v>#REF!</v>
      </c>
      <c r="X123" s="281" t="e">
        <f>#REF!</f>
        <v>#REF!</v>
      </c>
    </row>
    <row r="124" spans="1:24" ht="24.95" customHeight="1">
      <c r="A124" s="274" t="e">
        <f>#REF!</f>
        <v>#REF!</v>
      </c>
      <c r="B124" s="275" t="e">
        <f>#REF!</f>
        <v>#REF!</v>
      </c>
      <c r="C124" s="276" t="e">
        <f>#REF!</f>
        <v>#REF!</v>
      </c>
      <c r="D124" s="277" t="e">
        <f>#REF!</f>
        <v>#REF!</v>
      </c>
      <c r="E124" s="277" t="e">
        <f>#REF!</f>
        <v>#REF!</v>
      </c>
      <c r="F124" s="277" t="e">
        <f>#REF!</f>
        <v>#REF!</v>
      </c>
      <c r="G124" s="277" t="e">
        <f>#REF!</f>
        <v>#REF!</v>
      </c>
      <c r="H124" s="277" t="e">
        <f>#REF!</f>
        <v>#REF!</v>
      </c>
      <c r="I124" s="277" t="e">
        <f>#REF!</f>
        <v>#REF!</v>
      </c>
      <c r="J124" s="277" t="e">
        <f>#REF!</f>
        <v>#REF!</v>
      </c>
      <c r="K124" s="277" t="e">
        <f>#REF!</f>
        <v>#REF!</v>
      </c>
      <c r="L124" s="277" t="e">
        <f>#REF!</f>
        <v>#REF!</v>
      </c>
      <c r="M124" s="277" t="e">
        <f>#REF!</f>
        <v>#REF!</v>
      </c>
      <c r="N124" s="277" t="e">
        <f>#REF!</f>
        <v>#REF!</v>
      </c>
      <c r="O124" s="277" t="e">
        <f>#REF!</f>
        <v>#REF!</v>
      </c>
      <c r="P124" s="277" t="e">
        <f>#REF!</f>
        <v>#REF!</v>
      </c>
      <c r="Q124" s="277" t="e">
        <f>#REF!</f>
        <v>#REF!</v>
      </c>
      <c r="R124" s="277" t="e">
        <f>#REF!</f>
        <v>#REF!</v>
      </c>
      <c r="S124" s="277" t="e">
        <f>#REF!</f>
        <v>#REF!</v>
      </c>
      <c r="T124" s="281" t="e">
        <f>#REF!</f>
        <v>#REF!</v>
      </c>
      <c r="U124" s="281" t="e">
        <f>#REF!</f>
        <v>#REF!</v>
      </c>
      <c r="V124" s="281" t="e">
        <f>#REF!</f>
        <v>#REF!</v>
      </c>
      <c r="W124" s="281" t="e">
        <f>#REF!</f>
        <v>#REF!</v>
      </c>
      <c r="X124" s="281" t="e">
        <f>#REF!</f>
        <v>#REF!</v>
      </c>
    </row>
    <row r="125" spans="1:24" ht="24.95" customHeight="1">
      <c r="A125" s="274" t="e">
        <f>#REF!</f>
        <v>#REF!</v>
      </c>
      <c r="B125" s="275" t="e">
        <f>#REF!</f>
        <v>#REF!</v>
      </c>
      <c r="C125" s="276" t="e">
        <f>#REF!</f>
        <v>#REF!</v>
      </c>
      <c r="D125" s="277" t="e">
        <f>#REF!</f>
        <v>#REF!</v>
      </c>
      <c r="E125" s="277" t="e">
        <f>#REF!</f>
        <v>#REF!</v>
      </c>
      <c r="F125" s="277" t="e">
        <f>#REF!</f>
        <v>#REF!</v>
      </c>
      <c r="G125" s="277" t="e">
        <f>#REF!</f>
        <v>#REF!</v>
      </c>
      <c r="H125" s="277" t="e">
        <f>#REF!</f>
        <v>#REF!</v>
      </c>
      <c r="I125" s="277" t="e">
        <f>#REF!</f>
        <v>#REF!</v>
      </c>
      <c r="J125" s="277" t="e">
        <f>#REF!</f>
        <v>#REF!</v>
      </c>
      <c r="K125" s="277" t="e">
        <f>#REF!</f>
        <v>#REF!</v>
      </c>
      <c r="L125" s="277" t="e">
        <f>#REF!</f>
        <v>#REF!</v>
      </c>
      <c r="M125" s="277" t="e">
        <f>#REF!</f>
        <v>#REF!</v>
      </c>
      <c r="N125" s="277" t="e">
        <f>#REF!</f>
        <v>#REF!</v>
      </c>
      <c r="O125" s="277" t="e">
        <f>#REF!</f>
        <v>#REF!</v>
      </c>
      <c r="P125" s="277" t="e">
        <f>#REF!</f>
        <v>#REF!</v>
      </c>
      <c r="Q125" s="277" t="e">
        <f>#REF!</f>
        <v>#REF!</v>
      </c>
      <c r="R125" s="277" t="e">
        <f>#REF!</f>
        <v>#REF!</v>
      </c>
      <c r="S125" s="277" t="e">
        <f>#REF!</f>
        <v>#REF!</v>
      </c>
      <c r="T125" s="281" t="e">
        <f>#REF!</f>
        <v>#REF!</v>
      </c>
      <c r="U125" s="281" t="e">
        <f>#REF!</f>
        <v>#REF!</v>
      </c>
      <c r="V125" s="281" t="e">
        <f>#REF!</f>
        <v>#REF!</v>
      </c>
      <c r="W125" s="281" t="e">
        <f>#REF!</f>
        <v>#REF!</v>
      </c>
      <c r="X125" s="281" t="e">
        <f>#REF!</f>
        <v>#REF!</v>
      </c>
    </row>
    <row r="126" spans="1:24" ht="24.95" customHeight="1">
      <c r="A126" s="274" t="e">
        <f>#REF!</f>
        <v>#REF!</v>
      </c>
      <c r="B126" s="275" t="e">
        <f>#REF!</f>
        <v>#REF!</v>
      </c>
      <c r="C126" s="276" t="e">
        <f>#REF!</f>
        <v>#REF!</v>
      </c>
      <c r="D126" s="277" t="e">
        <f>#REF!</f>
        <v>#REF!</v>
      </c>
      <c r="E126" s="277" t="e">
        <f>#REF!</f>
        <v>#REF!</v>
      </c>
      <c r="F126" s="277" t="e">
        <f>#REF!</f>
        <v>#REF!</v>
      </c>
      <c r="G126" s="277" t="e">
        <f>#REF!</f>
        <v>#REF!</v>
      </c>
      <c r="H126" s="277" t="e">
        <f>#REF!</f>
        <v>#REF!</v>
      </c>
      <c r="I126" s="277" t="e">
        <f>#REF!</f>
        <v>#REF!</v>
      </c>
      <c r="J126" s="277" t="e">
        <f>#REF!</f>
        <v>#REF!</v>
      </c>
      <c r="K126" s="277" t="e">
        <f>#REF!</f>
        <v>#REF!</v>
      </c>
      <c r="L126" s="277" t="e">
        <f>#REF!</f>
        <v>#REF!</v>
      </c>
      <c r="M126" s="277" t="e">
        <f>#REF!</f>
        <v>#REF!</v>
      </c>
      <c r="N126" s="277" t="e">
        <f>#REF!</f>
        <v>#REF!</v>
      </c>
      <c r="O126" s="277" t="e">
        <f>#REF!</f>
        <v>#REF!</v>
      </c>
      <c r="P126" s="277" t="e">
        <f>#REF!</f>
        <v>#REF!</v>
      </c>
      <c r="Q126" s="277" t="e">
        <f>#REF!</f>
        <v>#REF!</v>
      </c>
      <c r="R126" s="277" t="e">
        <f>#REF!</f>
        <v>#REF!</v>
      </c>
      <c r="S126" s="277" t="e">
        <f>#REF!</f>
        <v>#REF!</v>
      </c>
      <c r="T126" s="281" t="e">
        <f>#REF!</f>
        <v>#REF!</v>
      </c>
      <c r="U126" s="281" t="e">
        <f>#REF!</f>
        <v>#REF!</v>
      </c>
      <c r="V126" s="281" t="e">
        <f>#REF!</f>
        <v>#REF!</v>
      </c>
      <c r="W126" s="281" t="e">
        <f>#REF!</f>
        <v>#REF!</v>
      </c>
      <c r="X126" s="281" t="e">
        <f>#REF!</f>
        <v>#REF!</v>
      </c>
    </row>
    <row r="127" spans="1:24" ht="24.95" customHeight="1">
      <c r="A127" s="274" t="e">
        <f>#REF!</f>
        <v>#REF!</v>
      </c>
      <c r="B127" s="275" t="e">
        <f>#REF!</f>
        <v>#REF!</v>
      </c>
      <c r="C127" s="276" t="e">
        <f>#REF!</f>
        <v>#REF!</v>
      </c>
      <c r="D127" s="277" t="e">
        <f>#REF!</f>
        <v>#REF!</v>
      </c>
      <c r="E127" s="277" t="e">
        <f>#REF!</f>
        <v>#REF!</v>
      </c>
      <c r="F127" s="277" t="e">
        <f>#REF!</f>
        <v>#REF!</v>
      </c>
      <c r="G127" s="277" t="e">
        <f>#REF!</f>
        <v>#REF!</v>
      </c>
      <c r="H127" s="277" t="e">
        <f>#REF!</f>
        <v>#REF!</v>
      </c>
      <c r="I127" s="277" t="e">
        <f>#REF!</f>
        <v>#REF!</v>
      </c>
      <c r="J127" s="277" t="e">
        <f>#REF!</f>
        <v>#REF!</v>
      </c>
      <c r="K127" s="277" t="e">
        <f>#REF!</f>
        <v>#REF!</v>
      </c>
      <c r="L127" s="277" t="e">
        <f>#REF!</f>
        <v>#REF!</v>
      </c>
      <c r="M127" s="277" t="e">
        <f>#REF!</f>
        <v>#REF!</v>
      </c>
      <c r="N127" s="277" t="e">
        <f>#REF!</f>
        <v>#REF!</v>
      </c>
      <c r="O127" s="277" t="e">
        <f>#REF!</f>
        <v>#REF!</v>
      </c>
      <c r="P127" s="277" t="e">
        <f>#REF!</f>
        <v>#REF!</v>
      </c>
      <c r="Q127" s="277" t="e">
        <f>#REF!</f>
        <v>#REF!</v>
      </c>
      <c r="R127" s="277" t="e">
        <f>#REF!</f>
        <v>#REF!</v>
      </c>
      <c r="S127" s="277" t="e">
        <f>#REF!</f>
        <v>#REF!</v>
      </c>
      <c r="T127" s="281" t="e">
        <f>#REF!</f>
        <v>#REF!</v>
      </c>
      <c r="U127" s="281" t="e">
        <f>#REF!</f>
        <v>#REF!</v>
      </c>
      <c r="V127" s="281" t="e">
        <f>#REF!</f>
        <v>#REF!</v>
      </c>
      <c r="W127" s="281" t="e">
        <f>#REF!</f>
        <v>#REF!</v>
      </c>
      <c r="X127" s="281" t="e">
        <f>#REF!</f>
        <v>#REF!</v>
      </c>
    </row>
    <row r="128" spans="1:24" ht="24.95" customHeight="1">
      <c r="A128" s="274" t="e">
        <f>#REF!</f>
        <v>#REF!</v>
      </c>
      <c r="B128" s="275" t="e">
        <f>#REF!</f>
        <v>#REF!</v>
      </c>
      <c r="C128" s="276" t="e">
        <f>#REF!</f>
        <v>#REF!</v>
      </c>
      <c r="D128" s="277" t="e">
        <f>#REF!</f>
        <v>#REF!</v>
      </c>
      <c r="E128" s="277" t="e">
        <f>#REF!</f>
        <v>#REF!</v>
      </c>
      <c r="F128" s="277" t="e">
        <f>#REF!</f>
        <v>#REF!</v>
      </c>
      <c r="G128" s="277" t="e">
        <f>#REF!</f>
        <v>#REF!</v>
      </c>
      <c r="H128" s="277" t="e">
        <f>#REF!</f>
        <v>#REF!</v>
      </c>
      <c r="I128" s="277" t="e">
        <f>#REF!</f>
        <v>#REF!</v>
      </c>
      <c r="J128" s="277" t="e">
        <f>#REF!</f>
        <v>#REF!</v>
      </c>
      <c r="K128" s="277" t="e">
        <f>#REF!</f>
        <v>#REF!</v>
      </c>
      <c r="L128" s="277" t="e">
        <f>#REF!</f>
        <v>#REF!</v>
      </c>
      <c r="M128" s="277" t="e">
        <f>#REF!</f>
        <v>#REF!</v>
      </c>
      <c r="N128" s="277" t="e">
        <f>#REF!</f>
        <v>#REF!</v>
      </c>
      <c r="O128" s="277" t="e">
        <f>#REF!</f>
        <v>#REF!</v>
      </c>
      <c r="P128" s="277" t="e">
        <f>#REF!</f>
        <v>#REF!</v>
      </c>
      <c r="Q128" s="277" t="e">
        <f>#REF!</f>
        <v>#REF!</v>
      </c>
      <c r="R128" s="277" t="e">
        <f>#REF!</f>
        <v>#REF!</v>
      </c>
      <c r="S128" s="277" t="e">
        <f>#REF!</f>
        <v>#REF!</v>
      </c>
      <c r="T128" s="281" t="e">
        <f>#REF!</f>
        <v>#REF!</v>
      </c>
      <c r="U128" s="281" t="e">
        <f>#REF!</f>
        <v>#REF!</v>
      </c>
      <c r="V128" s="281" t="e">
        <f>#REF!</f>
        <v>#REF!</v>
      </c>
      <c r="W128" s="281" t="e">
        <f>#REF!</f>
        <v>#REF!</v>
      </c>
      <c r="X128" s="281" t="e">
        <f>#REF!</f>
        <v>#REF!</v>
      </c>
    </row>
    <row r="129" spans="1:24" ht="24.95" customHeight="1">
      <c r="A129" s="274" t="e">
        <f>#REF!</f>
        <v>#REF!</v>
      </c>
      <c r="B129" s="275" t="e">
        <f>#REF!</f>
        <v>#REF!</v>
      </c>
      <c r="C129" s="276" t="e">
        <f>#REF!</f>
        <v>#REF!</v>
      </c>
      <c r="D129" s="277" t="e">
        <f>#REF!</f>
        <v>#REF!</v>
      </c>
      <c r="E129" s="277" t="e">
        <f>#REF!</f>
        <v>#REF!</v>
      </c>
      <c r="F129" s="277" t="e">
        <f>#REF!</f>
        <v>#REF!</v>
      </c>
      <c r="G129" s="277" t="e">
        <f>#REF!</f>
        <v>#REF!</v>
      </c>
      <c r="H129" s="277" t="e">
        <f>#REF!</f>
        <v>#REF!</v>
      </c>
      <c r="I129" s="277" t="e">
        <f>#REF!</f>
        <v>#REF!</v>
      </c>
      <c r="J129" s="277" t="e">
        <f>#REF!</f>
        <v>#REF!</v>
      </c>
      <c r="K129" s="277" t="e">
        <f>#REF!</f>
        <v>#REF!</v>
      </c>
      <c r="L129" s="277" t="e">
        <f>#REF!</f>
        <v>#REF!</v>
      </c>
      <c r="M129" s="277" t="e">
        <f>#REF!</f>
        <v>#REF!</v>
      </c>
      <c r="N129" s="277" t="e">
        <f>#REF!</f>
        <v>#REF!</v>
      </c>
      <c r="O129" s="277" t="e">
        <f>#REF!</f>
        <v>#REF!</v>
      </c>
      <c r="P129" s="277" t="e">
        <f>#REF!</f>
        <v>#REF!</v>
      </c>
      <c r="Q129" s="277" t="e">
        <f>#REF!</f>
        <v>#REF!</v>
      </c>
      <c r="R129" s="277" t="e">
        <f>#REF!</f>
        <v>#REF!</v>
      </c>
      <c r="S129" s="277" t="e">
        <f>#REF!</f>
        <v>#REF!</v>
      </c>
      <c r="T129" s="281" t="e">
        <f>#REF!</f>
        <v>#REF!</v>
      </c>
      <c r="U129" s="281" t="e">
        <f>#REF!</f>
        <v>#REF!</v>
      </c>
      <c r="V129" s="281" t="e">
        <f>#REF!</f>
        <v>#REF!</v>
      </c>
      <c r="W129" s="281" t="e">
        <f>#REF!</f>
        <v>#REF!</v>
      </c>
      <c r="X129" s="281" t="e">
        <f>#REF!</f>
        <v>#REF!</v>
      </c>
    </row>
    <row r="130" spans="1:24" ht="24.95" customHeight="1">
      <c r="A130" s="274" t="e">
        <f>#REF!</f>
        <v>#REF!</v>
      </c>
      <c r="B130" s="275" t="e">
        <f>#REF!</f>
        <v>#REF!</v>
      </c>
      <c r="C130" s="276" t="e">
        <f>#REF!</f>
        <v>#REF!</v>
      </c>
      <c r="D130" s="277" t="e">
        <f>#REF!</f>
        <v>#REF!</v>
      </c>
      <c r="E130" s="277" t="e">
        <f>#REF!</f>
        <v>#REF!</v>
      </c>
      <c r="F130" s="277" t="e">
        <f>#REF!</f>
        <v>#REF!</v>
      </c>
      <c r="G130" s="277" t="e">
        <f>#REF!</f>
        <v>#REF!</v>
      </c>
      <c r="H130" s="277" t="e">
        <f>#REF!</f>
        <v>#REF!</v>
      </c>
      <c r="I130" s="277" t="e">
        <f>#REF!</f>
        <v>#REF!</v>
      </c>
      <c r="J130" s="277" t="e">
        <f>#REF!</f>
        <v>#REF!</v>
      </c>
      <c r="K130" s="277" t="e">
        <f>#REF!</f>
        <v>#REF!</v>
      </c>
      <c r="L130" s="277" t="e">
        <f>#REF!</f>
        <v>#REF!</v>
      </c>
      <c r="M130" s="277" t="e">
        <f>#REF!</f>
        <v>#REF!</v>
      </c>
      <c r="N130" s="277" t="e">
        <f>#REF!</f>
        <v>#REF!</v>
      </c>
      <c r="O130" s="277" t="e">
        <f>#REF!</f>
        <v>#REF!</v>
      </c>
      <c r="P130" s="277" t="e">
        <f>#REF!</f>
        <v>#REF!</v>
      </c>
      <c r="Q130" s="277" t="e">
        <f>#REF!</f>
        <v>#REF!</v>
      </c>
      <c r="R130" s="277" t="e">
        <f>#REF!</f>
        <v>#REF!</v>
      </c>
      <c r="S130" s="277" t="e">
        <f>#REF!</f>
        <v>#REF!</v>
      </c>
      <c r="T130" s="281" t="e">
        <f>#REF!</f>
        <v>#REF!</v>
      </c>
      <c r="U130" s="281" t="e">
        <f>#REF!</f>
        <v>#REF!</v>
      </c>
      <c r="V130" s="281" t="e">
        <f>#REF!</f>
        <v>#REF!</v>
      </c>
      <c r="W130" s="281" t="e">
        <f>#REF!</f>
        <v>#REF!</v>
      </c>
      <c r="X130" s="281" t="e">
        <f>#REF!</f>
        <v>#REF!</v>
      </c>
    </row>
    <row r="131" spans="1:24" ht="24.95" customHeight="1">
      <c r="A131" s="274" t="e">
        <f>#REF!</f>
        <v>#REF!</v>
      </c>
      <c r="B131" s="275" t="e">
        <f>#REF!</f>
        <v>#REF!</v>
      </c>
      <c r="C131" s="276" t="e">
        <f>#REF!</f>
        <v>#REF!</v>
      </c>
      <c r="D131" s="277" t="e">
        <f>#REF!</f>
        <v>#REF!</v>
      </c>
      <c r="E131" s="277" t="e">
        <f>#REF!</f>
        <v>#REF!</v>
      </c>
      <c r="F131" s="277" t="e">
        <f>#REF!</f>
        <v>#REF!</v>
      </c>
      <c r="G131" s="277" t="e">
        <f>#REF!</f>
        <v>#REF!</v>
      </c>
      <c r="H131" s="277" t="e">
        <f>#REF!</f>
        <v>#REF!</v>
      </c>
      <c r="I131" s="277" t="e">
        <f>#REF!</f>
        <v>#REF!</v>
      </c>
      <c r="J131" s="277" t="e">
        <f>#REF!</f>
        <v>#REF!</v>
      </c>
      <c r="K131" s="277" t="e">
        <f>#REF!</f>
        <v>#REF!</v>
      </c>
      <c r="L131" s="277" t="e">
        <f>#REF!</f>
        <v>#REF!</v>
      </c>
      <c r="M131" s="277" t="e">
        <f>#REF!</f>
        <v>#REF!</v>
      </c>
      <c r="N131" s="277" t="e">
        <f>#REF!</f>
        <v>#REF!</v>
      </c>
      <c r="O131" s="277" t="e">
        <f>#REF!</f>
        <v>#REF!</v>
      </c>
      <c r="P131" s="277" t="e">
        <f>#REF!</f>
        <v>#REF!</v>
      </c>
      <c r="Q131" s="277" t="e">
        <f>#REF!</f>
        <v>#REF!</v>
      </c>
      <c r="R131" s="277" t="e">
        <f>#REF!</f>
        <v>#REF!</v>
      </c>
      <c r="S131" s="277" t="e">
        <f>#REF!</f>
        <v>#REF!</v>
      </c>
      <c r="T131" s="281" t="e">
        <f>#REF!</f>
        <v>#REF!</v>
      </c>
      <c r="U131" s="281" t="e">
        <f>#REF!</f>
        <v>#REF!</v>
      </c>
      <c r="V131" s="281" t="e">
        <f>#REF!</f>
        <v>#REF!</v>
      </c>
      <c r="W131" s="281" t="e">
        <f>#REF!</f>
        <v>#REF!</v>
      </c>
      <c r="X131" s="281" t="e">
        <f>#REF!</f>
        <v>#REF!</v>
      </c>
    </row>
    <row r="132" spans="1:24" ht="24.95" customHeight="1">
      <c r="A132" s="274" t="e">
        <f>#REF!</f>
        <v>#REF!</v>
      </c>
      <c r="B132" s="275" t="e">
        <f>#REF!</f>
        <v>#REF!</v>
      </c>
      <c r="C132" s="276" t="e">
        <f>#REF!</f>
        <v>#REF!</v>
      </c>
      <c r="D132" s="277" t="e">
        <f>#REF!</f>
        <v>#REF!</v>
      </c>
      <c r="E132" s="277" t="e">
        <f>#REF!</f>
        <v>#REF!</v>
      </c>
      <c r="F132" s="277" t="e">
        <f>#REF!</f>
        <v>#REF!</v>
      </c>
      <c r="G132" s="277" t="e">
        <f>#REF!</f>
        <v>#REF!</v>
      </c>
      <c r="H132" s="277" t="e">
        <f>#REF!</f>
        <v>#REF!</v>
      </c>
      <c r="I132" s="277" t="e">
        <f>#REF!</f>
        <v>#REF!</v>
      </c>
      <c r="J132" s="277" t="e">
        <f>#REF!</f>
        <v>#REF!</v>
      </c>
      <c r="K132" s="277" t="e">
        <f>#REF!</f>
        <v>#REF!</v>
      </c>
      <c r="L132" s="277" t="e">
        <f>#REF!</f>
        <v>#REF!</v>
      </c>
      <c r="M132" s="277" t="e">
        <f>#REF!</f>
        <v>#REF!</v>
      </c>
      <c r="N132" s="277" t="e">
        <f>#REF!</f>
        <v>#REF!</v>
      </c>
      <c r="O132" s="277" t="e">
        <f>#REF!</f>
        <v>#REF!</v>
      </c>
      <c r="P132" s="277" t="e">
        <f>#REF!</f>
        <v>#REF!</v>
      </c>
      <c r="Q132" s="277" t="e">
        <f>#REF!</f>
        <v>#REF!</v>
      </c>
      <c r="R132" s="277" t="e">
        <f>#REF!</f>
        <v>#REF!</v>
      </c>
      <c r="S132" s="277" t="e">
        <f>#REF!</f>
        <v>#REF!</v>
      </c>
      <c r="T132" s="281" t="e">
        <f>#REF!</f>
        <v>#REF!</v>
      </c>
      <c r="U132" s="281" t="e">
        <f>#REF!</f>
        <v>#REF!</v>
      </c>
      <c r="V132" s="281" t="e">
        <f>#REF!</f>
        <v>#REF!</v>
      </c>
      <c r="W132" s="281" t="e">
        <f>#REF!</f>
        <v>#REF!</v>
      </c>
      <c r="X132" s="281" t="e">
        <f>#REF!</f>
        <v>#REF!</v>
      </c>
    </row>
    <row r="133" spans="1:24" ht="24.95" customHeight="1">
      <c r="A133" s="274" t="e">
        <f>#REF!</f>
        <v>#REF!</v>
      </c>
      <c r="B133" s="275" t="e">
        <f>#REF!</f>
        <v>#REF!</v>
      </c>
      <c r="C133" s="276" t="e">
        <f>#REF!</f>
        <v>#REF!</v>
      </c>
      <c r="D133" s="277" t="e">
        <f>#REF!</f>
        <v>#REF!</v>
      </c>
      <c r="E133" s="277" t="e">
        <f>#REF!</f>
        <v>#REF!</v>
      </c>
      <c r="F133" s="277" t="e">
        <f>#REF!</f>
        <v>#REF!</v>
      </c>
      <c r="G133" s="277" t="e">
        <f>#REF!</f>
        <v>#REF!</v>
      </c>
      <c r="H133" s="277" t="e">
        <f>#REF!</f>
        <v>#REF!</v>
      </c>
      <c r="I133" s="277" t="e">
        <f>#REF!</f>
        <v>#REF!</v>
      </c>
      <c r="J133" s="277" t="e">
        <f>#REF!</f>
        <v>#REF!</v>
      </c>
      <c r="K133" s="277" t="e">
        <f>#REF!</f>
        <v>#REF!</v>
      </c>
      <c r="L133" s="277" t="e">
        <f>#REF!</f>
        <v>#REF!</v>
      </c>
      <c r="M133" s="277" t="e">
        <f>#REF!</f>
        <v>#REF!</v>
      </c>
      <c r="N133" s="277" t="e">
        <f>#REF!</f>
        <v>#REF!</v>
      </c>
      <c r="O133" s="277" t="e">
        <f>#REF!</f>
        <v>#REF!</v>
      </c>
      <c r="P133" s="277" t="e">
        <f>#REF!</f>
        <v>#REF!</v>
      </c>
      <c r="Q133" s="277" t="e">
        <f>#REF!</f>
        <v>#REF!</v>
      </c>
      <c r="R133" s="277" t="e">
        <f>#REF!</f>
        <v>#REF!</v>
      </c>
      <c r="S133" s="277" t="e">
        <f>#REF!</f>
        <v>#REF!</v>
      </c>
      <c r="T133" s="281" t="e">
        <f>#REF!</f>
        <v>#REF!</v>
      </c>
      <c r="U133" s="281" t="e">
        <f>#REF!</f>
        <v>#REF!</v>
      </c>
      <c r="V133" s="281" t="e">
        <f>#REF!</f>
        <v>#REF!</v>
      </c>
      <c r="W133" s="281" t="e">
        <f>#REF!</f>
        <v>#REF!</v>
      </c>
      <c r="X133" s="281" t="e">
        <f>#REF!</f>
        <v>#REF!</v>
      </c>
    </row>
    <row r="134" spans="1:24" ht="24.95" customHeight="1">
      <c r="A134" s="274" t="e">
        <f>#REF!</f>
        <v>#REF!</v>
      </c>
      <c r="B134" s="275" t="e">
        <f>#REF!</f>
        <v>#REF!</v>
      </c>
      <c r="C134" s="276" t="e">
        <f>#REF!</f>
        <v>#REF!</v>
      </c>
      <c r="D134" s="277" t="e">
        <f>#REF!</f>
        <v>#REF!</v>
      </c>
      <c r="E134" s="277" t="e">
        <f>#REF!</f>
        <v>#REF!</v>
      </c>
      <c r="F134" s="277" t="e">
        <f>#REF!</f>
        <v>#REF!</v>
      </c>
      <c r="G134" s="277" t="e">
        <f>#REF!</f>
        <v>#REF!</v>
      </c>
      <c r="H134" s="277" t="e">
        <f>#REF!</f>
        <v>#REF!</v>
      </c>
      <c r="I134" s="277" t="e">
        <f>#REF!</f>
        <v>#REF!</v>
      </c>
      <c r="J134" s="277" t="e">
        <f>#REF!</f>
        <v>#REF!</v>
      </c>
      <c r="K134" s="277" t="e">
        <f>#REF!</f>
        <v>#REF!</v>
      </c>
      <c r="L134" s="277" t="e">
        <f>#REF!</f>
        <v>#REF!</v>
      </c>
      <c r="M134" s="277" t="e">
        <f>#REF!</f>
        <v>#REF!</v>
      </c>
      <c r="N134" s="277" t="e">
        <f>#REF!</f>
        <v>#REF!</v>
      </c>
      <c r="O134" s="277" t="e">
        <f>#REF!</f>
        <v>#REF!</v>
      </c>
      <c r="P134" s="277" t="e">
        <f>#REF!</f>
        <v>#REF!</v>
      </c>
      <c r="Q134" s="277" t="e">
        <f>#REF!</f>
        <v>#REF!</v>
      </c>
      <c r="R134" s="277" t="e">
        <f>#REF!</f>
        <v>#REF!</v>
      </c>
      <c r="S134" s="277" t="e">
        <f>#REF!</f>
        <v>#REF!</v>
      </c>
      <c r="T134" s="281" t="e">
        <f>#REF!</f>
        <v>#REF!</v>
      </c>
      <c r="U134" s="281" t="e">
        <f>#REF!</f>
        <v>#REF!</v>
      </c>
      <c r="V134" s="281" t="e">
        <f>#REF!</f>
        <v>#REF!</v>
      </c>
      <c r="W134" s="281" t="e">
        <f>#REF!</f>
        <v>#REF!</v>
      </c>
      <c r="X134" s="281" t="e">
        <f>#REF!</f>
        <v>#REF!</v>
      </c>
    </row>
    <row r="135" spans="1:24" ht="24.95" customHeight="1">
      <c r="A135" s="274" t="e">
        <f>#REF!</f>
        <v>#REF!</v>
      </c>
      <c r="B135" s="275" t="e">
        <f>#REF!</f>
        <v>#REF!</v>
      </c>
      <c r="C135" s="276" t="e">
        <f>#REF!</f>
        <v>#REF!</v>
      </c>
      <c r="D135" s="277" t="e">
        <f>#REF!</f>
        <v>#REF!</v>
      </c>
      <c r="E135" s="277" t="e">
        <f>#REF!</f>
        <v>#REF!</v>
      </c>
      <c r="F135" s="277" t="e">
        <f>#REF!</f>
        <v>#REF!</v>
      </c>
      <c r="G135" s="277" t="e">
        <f>#REF!</f>
        <v>#REF!</v>
      </c>
      <c r="H135" s="277" t="e">
        <f>#REF!</f>
        <v>#REF!</v>
      </c>
      <c r="I135" s="277" t="e">
        <f>#REF!</f>
        <v>#REF!</v>
      </c>
      <c r="J135" s="277" t="e">
        <f>#REF!</f>
        <v>#REF!</v>
      </c>
      <c r="K135" s="277" t="e">
        <f>#REF!</f>
        <v>#REF!</v>
      </c>
      <c r="L135" s="277" t="e">
        <f>#REF!</f>
        <v>#REF!</v>
      </c>
      <c r="M135" s="277" t="e">
        <f>#REF!</f>
        <v>#REF!</v>
      </c>
      <c r="N135" s="277" t="e">
        <f>#REF!</f>
        <v>#REF!</v>
      </c>
      <c r="O135" s="277" t="e">
        <f>#REF!</f>
        <v>#REF!</v>
      </c>
      <c r="P135" s="277" t="e">
        <f>#REF!</f>
        <v>#REF!</v>
      </c>
      <c r="Q135" s="277" t="e">
        <f>#REF!</f>
        <v>#REF!</v>
      </c>
      <c r="R135" s="277" t="e">
        <f>#REF!</f>
        <v>#REF!</v>
      </c>
      <c r="S135" s="277" t="e">
        <f>#REF!</f>
        <v>#REF!</v>
      </c>
      <c r="T135" s="281" t="e">
        <f>#REF!</f>
        <v>#REF!</v>
      </c>
      <c r="U135" s="281" t="e">
        <f>#REF!</f>
        <v>#REF!</v>
      </c>
      <c r="V135" s="281" t="e">
        <f>#REF!</f>
        <v>#REF!</v>
      </c>
      <c r="W135" s="281" t="e">
        <f>#REF!</f>
        <v>#REF!</v>
      </c>
      <c r="X135" s="281" t="e">
        <f>#REF!</f>
        <v>#REF!</v>
      </c>
    </row>
    <row r="136" spans="1:24" ht="24.95" customHeight="1">
      <c r="A136" s="274" t="e">
        <f>#REF!</f>
        <v>#REF!</v>
      </c>
      <c r="B136" s="275" t="e">
        <f>#REF!</f>
        <v>#REF!</v>
      </c>
      <c r="C136" s="276" t="e">
        <f>#REF!</f>
        <v>#REF!</v>
      </c>
      <c r="D136" s="277" t="e">
        <f>#REF!</f>
        <v>#REF!</v>
      </c>
      <c r="E136" s="277" t="e">
        <f>#REF!</f>
        <v>#REF!</v>
      </c>
      <c r="F136" s="277" t="e">
        <f>#REF!</f>
        <v>#REF!</v>
      </c>
      <c r="G136" s="277" t="e">
        <f>#REF!</f>
        <v>#REF!</v>
      </c>
      <c r="H136" s="277" t="e">
        <f>#REF!</f>
        <v>#REF!</v>
      </c>
      <c r="I136" s="277" t="e">
        <f>#REF!</f>
        <v>#REF!</v>
      </c>
      <c r="J136" s="277" t="e">
        <f>#REF!</f>
        <v>#REF!</v>
      </c>
      <c r="K136" s="277" t="e">
        <f>#REF!</f>
        <v>#REF!</v>
      </c>
      <c r="L136" s="277" t="e">
        <f>#REF!</f>
        <v>#REF!</v>
      </c>
      <c r="M136" s="277" t="e">
        <f>#REF!</f>
        <v>#REF!</v>
      </c>
      <c r="N136" s="277" t="e">
        <f>#REF!</f>
        <v>#REF!</v>
      </c>
      <c r="O136" s="277" t="e">
        <f>#REF!</f>
        <v>#REF!</v>
      </c>
      <c r="P136" s="277" t="e">
        <f>#REF!</f>
        <v>#REF!</v>
      </c>
      <c r="Q136" s="277" t="e">
        <f>#REF!</f>
        <v>#REF!</v>
      </c>
      <c r="R136" s="277" t="e">
        <f>#REF!</f>
        <v>#REF!</v>
      </c>
      <c r="S136" s="277" t="e">
        <f>#REF!</f>
        <v>#REF!</v>
      </c>
      <c r="T136" s="281" t="e">
        <f>#REF!</f>
        <v>#REF!</v>
      </c>
      <c r="U136" s="281" t="e">
        <f>#REF!</f>
        <v>#REF!</v>
      </c>
      <c r="V136" s="281" t="e">
        <f>#REF!</f>
        <v>#REF!</v>
      </c>
      <c r="W136" s="281" t="e">
        <f>#REF!</f>
        <v>#REF!</v>
      </c>
      <c r="X136" s="281" t="e">
        <f>#REF!</f>
        <v>#REF!</v>
      </c>
    </row>
    <row r="137" spans="1:24" ht="24.95" customHeight="1">
      <c r="A137" s="274" t="e">
        <f>#REF!</f>
        <v>#REF!</v>
      </c>
      <c r="B137" s="275" t="e">
        <f>#REF!</f>
        <v>#REF!</v>
      </c>
      <c r="C137" s="276" t="e">
        <f>#REF!</f>
        <v>#REF!</v>
      </c>
      <c r="D137" s="277" t="e">
        <f>#REF!</f>
        <v>#REF!</v>
      </c>
      <c r="E137" s="277" t="e">
        <f>#REF!</f>
        <v>#REF!</v>
      </c>
      <c r="F137" s="277" t="e">
        <f>#REF!</f>
        <v>#REF!</v>
      </c>
      <c r="G137" s="277" t="e">
        <f>#REF!</f>
        <v>#REF!</v>
      </c>
      <c r="H137" s="277" t="e">
        <f>#REF!</f>
        <v>#REF!</v>
      </c>
      <c r="I137" s="277" t="e">
        <f>#REF!</f>
        <v>#REF!</v>
      </c>
      <c r="J137" s="277" t="e">
        <f>#REF!</f>
        <v>#REF!</v>
      </c>
      <c r="K137" s="277" t="e">
        <f>#REF!</f>
        <v>#REF!</v>
      </c>
      <c r="L137" s="277" t="e">
        <f>#REF!</f>
        <v>#REF!</v>
      </c>
      <c r="M137" s="277" t="e">
        <f>#REF!</f>
        <v>#REF!</v>
      </c>
      <c r="N137" s="277" t="e">
        <f>#REF!</f>
        <v>#REF!</v>
      </c>
      <c r="O137" s="277" t="e">
        <f>#REF!</f>
        <v>#REF!</v>
      </c>
      <c r="P137" s="277" t="e">
        <f>#REF!</f>
        <v>#REF!</v>
      </c>
      <c r="Q137" s="277" t="e">
        <f>#REF!</f>
        <v>#REF!</v>
      </c>
      <c r="R137" s="277" t="e">
        <f>#REF!</f>
        <v>#REF!</v>
      </c>
      <c r="S137" s="277" t="e">
        <f>#REF!</f>
        <v>#REF!</v>
      </c>
      <c r="T137" s="281" t="e">
        <f>#REF!</f>
        <v>#REF!</v>
      </c>
      <c r="U137" s="281" t="e">
        <f>#REF!</f>
        <v>#REF!</v>
      </c>
      <c r="V137" s="281" t="e">
        <f>#REF!</f>
        <v>#REF!</v>
      </c>
      <c r="W137" s="281" t="e">
        <f>#REF!</f>
        <v>#REF!</v>
      </c>
      <c r="X137" s="281" t="e">
        <f>#REF!</f>
        <v>#REF!</v>
      </c>
    </row>
    <row r="138" spans="1:24" ht="24.95" customHeight="1">
      <c r="A138" s="274" t="e">
        <f>#REF!</f>
        <v>#REF!</v>
      </c>
      <c r="B138" s="275" t="e">
        <f>#REF!</f>
        <v>#REF!</v>
      </c>
      <c r="C138" s="276" t="e">
        <f>#REF!</f>
        <v>#REF!</v>
      </c>
      <c r="D138" s="277" t="e">
        <f>#REF!</f>
        <v>#REF!</v>
      </c>
      <c r="E138" s="277" t="e">
        <f>#REF!</f>
        <v>#REF!</v>
      </c>
      <c r="F138" s="277" t="e">
        <f>#REF!</f>
        <v>#REF!</v>
      </c>
      <c r="G138" s="277" t="e">
        <f>#REF!</f>
        <v>#REF!</v>
      </c>
      <c r="H138" s="277" t="e">
        <f>#REF!</f>
        <v>#REF!</v>
      </c>
      <c r="I138" s="277" t="e">
        <f>#REF!</f>
        <v>#REF!</v>
      </c>
      <c r="J138" s="277" t="e">
        <f>#REF!</f>
        <v>#REF!</v>
      </c>
      <c r="K138" s="277" t="e">
        <f>#REF!</f>
        <v>#REF!</v>
      </c>
      <c r="L138" s="277" t="e">
        <f>#REF!</f>
        <v>#REF!</v>
      </c>
      <c r="M138" s="277" t="e">
        <f>#REF!</f>
        <v>#REF!</v>
      </c>
      <c r="N138" s="277" t="e">
        <f>#REF!</f>
        <v>#REF!</v>
      </c>
      <c r="O138" s="277" t="e">
        <f>#REF!</f>
        <v>#REF!</v>
      </c>
      <c r="P138" s="277" t="e">
        <f>#REF!</f>
        <v>#REF!</v>
      </c>
      <c r="Q138" s="277" t="e">
        <f>#REF!</f>
        <v>#REF!</v>
      </c>
      <c r="R138" s="277" t="e">
        <f>#REF!</f>
        <v>#REF!</v>
      </c>
      <c r="S138" s="277" t="e">
        <f>#REF!</f>
        <v>#REF!</v>
      </c>
      <c r="T138" s="281" t="e">
        <f>#REF!</f>
        <v>#REF!</v>
      </c>
      <c r="U138" s="281" t="e">
        <f>#REF!</f>
        <v>#REF!</v>
      </c>
      <c r="V138" s="281" t="e">
        <f>#REF!</f>
        <v>#REF!</v>
      </c>
      <c r="W138" s="281" t="e">
        <f>#REF!</f>
        <v>#REF!</v>
      </c>
      <c r="X138" s="281" t="e">
        <f>#REF!</f>
        <v>#REF!</v>
      </c>
    </row>
    <row r="139" spans="1:24" ht="24.95" customHeight="1">
      <c r="A139" s="274" t="e">
        <f>#REF!</f>
        <v>#REF!</v>
      </c>
      <c r="B139" s="275" t="e">
        <f>#REF!</f>
        <v>#REF!</v>
      </c>
      <c r="C139" s="276" t="e">
        <f>#REF!</f>
        <v>#REF!</v>
      </c>
      <c r="D139" s="277" t="e">
        <f>#REF!</f>
        <v>#REF!</v>
      </c>
      <c r="E139" s="277" t="e">
        <f>#REF!</f>
        <v>#REF!</v>
      </c>
      <c r="F139" s="277" t="e">
        <f>#REF!</f>
        <v>#REF!</v>
      </c>
      <c r="G139" s="277" t="e">
        <f>#REF!</f>
        <v>#REF!</v>
      </c>
      <c r="H139" s="277" t="e">
        <f>#REF!</f>
        <v>#REF!</v>
      </c>
      <c r="I139" s="277" t="e">
        <f>#REF!</f>
        <v>#REF!</v>
      </c>
      <c r="J139" s="277" t="e">
        <f>#REF!</f>
        <v>#REF!</v>
      </c>
      <c r="K139" s="277" t="e">
        <f>#REF!</f>
        <v>#REF!</v>
      </c>
      <c r="L139" s="277" t="e">
        <f>#REF!</f>
        <v>#REF!</v>
      </c>
      <c r="M139" s="277" t="e">
        <f>#REF!</f>
        <v>#REF!</v>
      </c>
      <c r="N139" s="277" t="e">
        <f>#REF!</f>
        <v>#REF!</v>
      </c>
      <c r="O139" s="277" t="e">
        <f>#REF!</f>
        <v>#REF!</v>
      </c>
      <c r="P139" s="277" t="e">
        <f>#REF!</f>
        <v>#REF!</v>
      </c>
      <c r="Q139" s="277" t="e">
        <f>#REF!</f>
        <v>#REF!</v>
      </c>
      <c r="R139" s="277" t="e">
        <f>#REF!</f>
        <v>#REF!</v>
      </c>
      <c r="S139" s="277" t="e">
        <f>#REF!</f>
        <v>#REF!</v>
      </c>
      <c r="T139" s="281" t="e">
        <f>#REF!</f>
        <v>#REF!</v>
      </c>
      <c r="U139" s="281" t="e">
        <f>#REF!</f>
        <v>#REF!</v>
      </c>
      <c r="V139" s="281" t="e">
        <f>#REF!</f>
        <v>#REF!</v>
      </c>
      <c r="W139" s="281" t="e">
        <f>#REF!</f>
        <v>#REF!</v>
      </c>
      <c r="X139" s="281" t="e">
        <f>#REF!</f>
        <v>#REF!</v>
      </c>
    </row>
    <row r="140" spans="1:24">
      <c r="A140" s="274" t="e">
        <f>#REF!</f>
        <v>#REF!</v>
      </c>
      <c r="B140" s="275" t="e">
        <f>#REF!</f>
        <v>#REF!</v>
      </c>
      <c r="C140" s="276" t="e">
        <f>#REF!</f>
        <v>#REF!</v>
      </c>
      <c r="D140" s="277" t="e">
        <f>#REF!</f>
        <v>#REF!</v>
      </c>
      <c r="E140" s="277" t="e">
        <f>#REF!</f>
        <v>#REF!</v>
      </c>
      <c r="F140" s="277" t="e">
        <f>#REF!</f>
        <v>#REF!</v>
      </c>
      <c r="G140" s="277" t="e">
        <f>#REF!</f>
        <v>#REF!</v>
      </c>
      <c r="H140" s="277" t="e">
        <f>#REF!</f>
        <v>#REF!</v>
      </c>
      <c r="I140" s="277" t="e">
        <f>#REF!</f>
        <v>#REF!</v>
      </c>
      <c r="J140" s="277" t="e">
        <f>#REF!</f>
        <v>#REF!</v>
      </c>
      <c r="K140" s="277" t="e">
        <f>#REF!</f>
        <v>#REF!</v>
      </c>
      <c r="L140" s="277" t="e">
        <f>#REF!</f>
        <v>#REF!</v>
      </c>
      <c r="M140" s="277" t="e">
        <f>#REF!</f>
        <v>#REF!</v>
      </c>
      <c r="N140" s="277" t="e">
        <f>#REF!</f>
        <v>#REF!</v>
      </c>
      <c r="O140" s="277" t="e">
        <f>#REF!</f>
        <v>#REF!</v>
      </c>
      <c r="P140" s="277" t="e">
        <f>#REF!</f>
        <v>#REF!</v>
      </c>
      <c r="Q140" s="277" t="e">
        <f>#REF!</f>
        <v>#REF!</v>
      </c>
      <c r="R140" s="277" t="e">
        <f>#REF!</f>
        <v>#REF!</v>
      </c>
      <c r="S140" s="277" t="e">
        <f>#REF!</f>
        <v>#REF!</v>
      </c>
      <c r="T140" s="281" t="e">
        <f>#REF!</f>
        <v>#REF!</v>
      </c>
      <c r="U140" s="281" t="e">
        <f>#REF!</f>
        <v>#REF!</v>
      </c>
      <c r="V140" s="281" t="e">
        <f>#REF!</f>
        <v>#REF!</v>
      </c>
      <c r="W140" s="281" t="e">
        <f>#REF!</f>
        <v>#REF!</v>
      </c>
      <c r="X140" s="281" t="e">
        <f>#REF!</f>
        <v>#REF!</v>
      </c>
    </row>
    <row r="141" spans="1:24" ht="24.95" customHeight="1">
      <c r="A141" s="274" t="e">
        <f>#REF!</f>
        <v>#REF!</v>
      </c>
      <c r="B141" s="275" t="e">
        <f>#REF!</f>
        <v>#REF!</v>
      </c>
      <c r="C141" s="276" t="e">
        <f>#REF!</f>
        <v>#REF!</v>
      </c>
      <c r="D141" s="277" t="e">
        <f>#REF!</f>
        <v>#REF!</v>
      </c>
      <c r="E141" s="277" t="e">
        <f>#REF!</f>
        <v>#REF!</v>
      </c>
      <c r="F141" s="277" t="e">
        <f>#REF!</f>
        <v>#REF!</v>
      </c>
      <c r="G141" s="277" t="e">
        <f>#REF!</f>
        <v>#REF!</v>
      </c>
      <c r="H141" s="277" t="e">
        <f>#REF!</f>
        <v>#REF!</v>
      </c>
      <c r="I141" s="277" t="e">
        <f>#REF!</f>
        <v>#REF!</v>
      </c>
      <c r="J141" s="277" t="e">
        <f>#REF!</f>
        <v>#REF!</v>
      </c>
      <c r="K141" s="277" t="e">
        <f>#REF!</f>
        <v>#REF!</v>
      </c>
      <c r="L141" s="277" t="e">
        <f>#REF!</f>
        <v>#REF!</v>
      </c>
      <c r="M141" s="277" t="e">
        <f>#REF!</f>
        <v>#REF!</v>
      </c>
      <c r="N141" s="277" t="e">
        <f>#REF!</f>
        <v>#REF!</v>
      </c>
      <c r="O141" s="277" t="e">
        <f>#REF!</f>
        <v>#REF!</v>
      </c>
      <c r="P141" s="277" t="e">
        <f>#REF!</f>
        <v>#REF!</v>
      </c>
      <c r="Q141" s="277" t="e">
        <f>#REF!</f>
        <v>#REF!</v>
      </c>
      <c r="R141" s="277" t="e">
        <f>#REF!</f>
        <v>#REF!</v>
      </c>
      <c r="S141" s="277" t="e">
        <f>#REF!</f>
        <v>#REF!</v>
      </c>
      <c r="T141" s="281" t="e">
        <f>#REF!</f>
        <v>#REF!</v>
      </c>
      <c r="U141" s="281" t="e">
        <f>#REF!</f>
        <v>#REF!</v>
      </c>
      <c r="V141" s="281" t="e">
        <f>#REF!</f>
        <v>#REF!</v>
      </c>
      <c r="W141" s="281" t="e">
        <f>#REF!</f>
        <v>#REF!</v>
      </c>
      <c r="X141" s="281" t="e">
        <f>#REF!</f>
        <v>#REF!</v>
      </c>
    </row>
    <row r="142" spans="1:24" ht="24.95" customHeight="1">
      <c r="A142" s="274" t="e">
        <f>#REF!</f>
        <v>#REF!</v>
      </c>
      <c r="B142" s="275" t="e">
        <f>#REF!</f>
        <v>#REF!</v>
      </c>
      <c r="C142" s="276" t="e">
        <f>#REF!</f>
        <v>#REF!</v>
      </c>
      <c r="D142" s="277" t="e">
        <f>#REF!</f>
        <v>#REF!</v>
      </c>
      <c r="E142" s="277" t="e">
        <f>#REF!</f>
        <v>#REF!</v>
      </c>
      <c r="F142" s="277" t="e">
        <f>#REF!</f>
        <v>#REF!</v>
      </c>
      <c r="G142" s="277" t="e">
        <f>#REF!</f>
        <v>#REF!</v>
      </c>
      <c r="H142" s="277" t="e">
        <f>#REF!</f>
        <v>#REF!</v>
      </c>
      <c r="I142" s="277" t="e">
        <f>#REF!</f>
        <v>#REF!</v>
      </c>
      <c r="J142" s="277" t="e">
        <f>#REF!</f>
        <v>#REF!</v>
      </c>
      <c r="K142" s="277" t="e">
        <f>#REF!</f>
        <v>#REF!</v>
      </c>
      <c r="L142" s="277" t="e">
        <f>#REF!</f>
        <v>#REF!</v>
      </c>
      <c r="M142" s="277" t="e">
        <f>#REF!</f>
        <v>#REF!</v>
      </c>
      <c r="N142" s="277" t="e">
        <f>#REF!</f>
        <v>#REF!</v>
      </c>
      <c r="O142" s="277" t="e">
        <f>#REF!</f>
        <v>#REF!</v>
      </c>
      <c r="P142" s="277" t="e">
        <f>#REF!</f>
        <v>#REF!</v>
      </c>
      <c r="Q142" s="277" t="e">
        <f>#REF!</f>
        <v>#REF!</v>
      </c>
      <c r="R142" s="277" t="e">
        <f>#REF!</f>
        <v>#REF!</v>
      </c>
      <c r="S142" s="277" t="e">
        <f>#REF!</f>
        <v>#REF!</v>
      </c>
      <c r="T142" s="281" t="e">
        <f>#REF!</f>
        <v>#REF!</v>
      </c>
      <c r="U142" s="281" t="e">
        <f>#REF!</f>
        <v>#REF!</v>
      </c>
      <c r="V142" s="281" t="e">
        <f>#REF!</f>
        <v>#REF!</v>
      </c>
      <c r="W142" s="281" t="e">
        <f>#REF!</f>
        <v>#REF!</v>
      </c>
      <c r="X142" s="281" t="e">
        <f>#REF!</f>
        <v>#REF!</v>
      </c>
    </row>
    <row r="143" spans="1:24" ht="24.95" customHeight="1">
      <c r="A143" s="274" t="e">
        <f>#REF!</f>
        <v>#REF!</v>
      </c>
      <c r="B143" s="275" t="e">
        <f>#REF!</f>
        <v>#REF!</v>
      </c>
      <c r="C143" s="276" t="e">
        <f>#REF!</f>
        <v>#REF!</v>
      </c>
      <c r="D143" s="277" t="e">
        <f>#REF!</f>
        <v>#REF!</v>
      </c>
      <c r="E143" s="277" t="e">
        <f>#REF!</f>
        <v>#REF!</v>
      </c>
      <c r="F143" s="277" t="e">
        <f>#REF!</f>
        <v>#REF!</v>
      </c>
      <c r="G143" s="277" t="e">
        <f>#REF!</f>
        <v>#REF!</v>
      </c>
      <c r="H143" s="277" t="e">
        <f>#REF!</f>
        <v>#REF!</v>
      </c>
      <c r="I143" s="277" t="e">
        <f>#REF!</f>
        <v>#REF!</v>
      </c>
      <c r="J143" s="277" t="e">
        <f>#REF!</f>
        <v>#REF!</v>
      </c>
      <c r="K143" s="277" t="e">
        <f>#REF!</f>
        <v>#REF!</v>
      </c>
      <c r="L143" s="277" t="e">
        <f>#REF!</f>
        <v>#REF!</v>
      </c>
      <c r="M143" s="277" t="e">
        <f>#REF!</f>
        <v>#REF!</v>
      </c>
      <c r="N143" s="277" t="e">
        <f>#REF!</f>
        <v>#REF!</v>
      </c>
      <c r="O143" s="277" t="e">
        <f>#REF!</f>
        <v>#REF!</v>
      </c>
      <c r="P143" s="277" t="e">
        <f>#REF!</f>
        <v>#REF!</v>
      </c>
      <c r="Q143" s="277" t="e">
        <f>#REF!</f>
        <v>#REF!</v>
      </c>
      <c r="R143" s="277" t="e">
        <f>#REF!</f>
        <v>#REF!</v>
      </c>
      <c r="S143" s="277" t="e">
        <f>#REF!</f>
        <v>#REF!</v>
      </c>
      <c r="T143" s="281" t="e">
        <f>#REF!</f>
        <v>#REF!</v>
      </c>
      <c r="U143" s="281" t="e">
        <f>#REF!</f>
        <v>#REF!</v>
      </c>
      <c r="V143" s="281" t="e">
        <f>#REF!</f>
        <v>#REF!</v>
      </c>
      <c r="W143" s="281" t="e">
        <f>#REF!</f>
        <v>#REF!</v>
      </c>
      <c r="X143" s="281" t="e">
        <f>#REF!</f>
        <v>#REF!</v>
      </c>
    </row>
    <row r="144" spans="1:24" ht="24.95" customHeight="1">
      <c r="A144" s="274" t="e">
        <f>#REF!</f>
        <v>#REF!</v>
      </c>
      <c r="B144" s="275" t="e">
        <f>#REF!</f>
        <v>#REF!</v>
      </c>
      <c r="C144" s="276" t="e">
        <f>#REF!</f>
        <v>#REF!</v>
      </c>
      <c r="D144" s="277" t="e">
        <f>#REF!</f>
        <v>#REF!</v>
      </c>
      <c r="E144" s="277" t="e">
        <f>#REF!</f>
        <v>#REF!</v>
      </c>
      <c r="F144" s="277" t="e">
        <f>#REF!</f>
        <v>#REF!</v>
      </c>
      <c r="G144" s="277" t="e">
        <f>#REF!</f>
        <v>#REF!</v>
      </c>
      <c r="H144" s="277" t="e">
        <f>#REF!</f>
        <v>#REF!</v>
      </c>
      <c r="I144" s="277" t="e">
        <f>#REF!</f>
        <v>#REF!</v>
      </c>
      <c r="J144" s="277" t="e">
        <f>#REF!</f>
        <v>#REF!</v>
      </c>
      <c r="K144" s="277" t="e">
        <f>#REF!</f>
        <v>#REF!</v>
      </c>
      <c r="L144" s="277" t="e">
        <f>#REF!</f>
        <v>#REF!</v>
      </c>
      <c r="M144" s="277" t="e">
        <f>#REF!</f>
        <v>#REF!</v>
      </c>
      <c r="N144" s="277" t="e">
        <f>#REF!</f>
        <v>#REF!</v>
      </c>
      <c r="O144" s="277" t="e">
        <f>#REF!</f>
        <v>#REF!</v>
      </c>
      <c r="P144" s="277" t="e">
        <f>#REF!</f>
        <v>#REF!</v>
      </c>
      <c r="Q144" s="277" t="e">
        <f>#REF!</f>
        <v>#REF!</v>
      </c>
      <c r="R144" s="277" t="e">
        <f>#REF!</f>
        <v>#REF!</v>
      </c>
      <c r="S144" s="277" t="e">
        <f>#REF!</f>
        <v>#REF!</v>
      </c>
      <c r="T144" s="281" t="e">
        <f>#REF!</f>
        <v>#REF!</v>
      </c>
      <c r="U144" s="281" t="e">
        <f>#REF!</f>
        <v>#REF!</v>
      </c>
      <c r="V144" s="281" t="e">
        <f>#REF!</f>
        <v>#REF!</v>
      </c>
      <c r="W144" s="281" t="e">
        <f>#REF!</f>
        <v>#REF!</v>
      </c>
      <c r="X144" s="281" t="e">
        <f>#REF!</f>
        <v>#REF!</v>
      </c>
    </row>
    <row r="145" spans="1:24" ht="24.95" customHeight="1">
      <c r="A145" s="274" t="e">
        <f>#REF!</f>
        <v>#REF!</v>
      </c>
      <c r="B145" s="275" t="e">
        <f>#REF!</f>
        <v>#REF!</v>
      </c>
      <c r="C145" s="276" t="e">
        <f>#REF!</f>
        <v>#REF!</v>
      </c>
      <c r="D145" s="277" t="e">
        <f>#REF!</f>
        <v>#REF!</v>
      </c>
      <c r="E145" s="277" t="e">
        <f>#REF!</f>
        <v>#REF!</v>
      </c>
      <c r="F145" s="277" t="e">
        <f>#REF!</f>
        <v>#REF!</v>
      </c>
      <c r="G145" s="277" t="e">
        <f>#REF!</f>
        <v>#REF!</v>
      </c>
      <c r="H145" s="277" t="e">
        <f>#REF!</f>
        <v>#REF!</v>
      </c>
      <c r="I145" s="277" t="e">
        <f>#REF!</f>
        <v>#REF!</v>
      </c>
      <c r="J145" s="277" t="e">
        <f>#REF!</f>
        <v>#REF!</v>
      </c>
      <c r="K145" s="277" t="e">
        <f>#REF!</f>
        <v>#REF!</v>
      </c>
      <c r="L145" s="277" t="e">
        <f>#REF!</f>
        <v>#REF!</v>
      </c>
      <c r="M145" s="277" t="e">
        <f>#REF!</f>
        <v>#REF!</v>
      </c>
      <c r="N145" s="277" t="e">
        <f>#REF!</f>
        <v>#REF!</v>
      </c>
      <c r="O145" s="277" t="e">
        <f>#REF!</f>
        <v>#REF!</v>
      </c>
      <c r="P145" s="277" t="e">
        <f>#REF!</f>
        <v>#REF!</v>
      </c>
      <c r="Q145" s="277" t="e">
        <f>#REF!</f>
        <v>#REF!</v>
      </c>
      <c r="R145" s="277" t="e">
        <f>#REF!</f>
        <v>#REF!</v>
      </c>
      <c r="S145" s="277" t="e">
        <f>#REF!</f>
        <v>#REF!</v>
      </c>
      <c r="T145" s="281" t="e">
        <f>#REF!</f>
        <v>#REF!</v>
      </c>
      <c r="U145" s="281" t="e">
        <f>#REF!</f>
        <v>#REF!</v>
      </c>
      <c r="V145" s="281" t="e">
        <f>#REF!</f>
        <v>#REF!</v>
      </c>
      <c r="W145" s="281" t="e">
        <f>#REF!</f>
        <v>#REF!</v>
      </c>
      <c r="X145" s="281" t="e">
        <f>#REF!</f>
        <v>#REF!</v>
      </c>
    </row>
    <row r="146" spans="1:24" ht="24.95" customHeight="1">
      <c r="A146" s="274" t="e">
        <f>#REF!</f>
        <v>#REF!</v>
      </c>
      <c r="B146" s="275" t="e">
        <f>#REF!</f>
        <v>#REF!</v>
      </c>
      <c r="C146" s="276" t="e">
        <f>#REF!</f>
        <v>#REF!</v>
      </c>
      <c r="D146" s="277" t="e">
        <f>#REF!</f>
        <v>#REF!</v>
      </c>
      <c r="E146" s="277" t="e">
        <f>#REF!</f>
        <v>#REF!</v>
      </c>
      <c r="F146" s="277" t="e">
        <f>#REF!</f>
        <v>#REF!</v>
      </c>
      <c r="G146" s="277" t="e">
        <f>#REF!</f>
        <v>#REF!</v>
      </c>
      <c r="H146" s="277" t="e">
        <f>#REF!</f>
        <v>#REF!</v>
      </c>
      <c r="I146" s="277" t="e">
        <f>#REF!</f>
        <v>#REF!</v>
      </c>
      <c r="J146" s="277" t="e">
        <f>#REF!</f>
        <v>#REF!</v>
      </c>
      <c r="K146" s="277" t="e">
        <f>#REF!</f>
        <v>#REF!</v>
      </c>
      <c r="L146" s="277" t="e">
        <f>#REF!</f>
        <v>#REF!</v>
      </c>
      <c r="M146" s="277" t="e">
        <f>#REF!</f>
        <v>#REF!</v>
      </c>
      <c r="N146" s="277" t="e">
        <f>#REF!</f>
        <v>#REF!</v>
      </c>
      <c r="O146" s="277" t="e">
        <f>#REF!</f>
        <v>#REF!</v>
      </c>
      <c r="P146" s="277" t="e">
        <f>#REF!</f>
        <v>#REF!</v>
      </c>
      <c r="Q146" s="277" t="e">
        <f>#REF!</f>
        <v>#REF!</v>
      </c>
      <c r="R146" s="277" t="e">
        <f>#REF!</f>
        <v>#REF!</v>
      </c>
      <c r="S146" s="277" t="e">
        <f>#REF!</f>
        <v>#REF!</v>
      </c>
      <c r="T146" s="281" t="e">
        <f>#REF!</f>
        <v>#REF!</v>
      </c>
      <c r="U146" s="281" t="e">
        <f>#REF!</f>
        <v>#REF!</v>
      </c>
      <c r="V146" s="281" t="e">
        <f>#REF!</f>
        <v>#REF!</v>
      </c>
      <c r="W146" s="281" t="e">
        <f>#REF!</f>
        <v>#REF!</v>
      </c>
      <c r="X146" s="281" t="e">
        <f>#REF!</f>
        <v>#REF!</v>
      </c>
    </row>
    <row r="147" spans="1:24" ht="24.95" customHeight="1">
      <c r="A147" s="274" t="e">
        <f>#REF!</f>
        <v>#REF!</v>
      </c>
      <c r="B147" s="275" t="e">
        <f>#REF!</f>
        <v>#REF!</v>
      </c>
      <c r="C147" s="276" t="e">
        <f>#REF!</f>
        <v>#REF!</v>
      </c>
      <c r="D147" s="277" t="e">
        <f>#REF!</f>
        <v>#REF!</v>
      </c>
      <c r="E147" s="277" t="e">
        <f>#REF!</f>
        <v>#REF!</v>
      </c>
      <c r="F147" s="277" t="e">
        <f>#REF!</f>
        <v>#REF!</v>
      </c>
      <c r="G147" s="277" t="e">
        <f>#REF!</f>
        <v>#REF!</v>
      </c>
      <c r="H147" s="277" t="e">
        <f>#REF!</f>
        <v>#REF!</v>
      </c>
      <c r="I147" s="277" t="e">
        <f>#REF!</f>
        <v>#REF!</v>
      </c>
      <c r="J147" s="277" t="e">
        <f>#REF!</f>
        <v>#REF!</v>
      </c>
      <c r="K147" s="277" t="e">
        <f>#REF!</f>
        <v>#REF!</v>
      </c>
      <c r="L147" s="277" t="e">
        <f>#REF!</f>
        <v>#REF!</v>
      </c>
      <c r="M147" s="277" t="e">
        <f>#REF!</f>
        <v>#REF!</v>
      </c>
      <c r="N147" s="277" t="e">
        <f>#REF!</f>
        <v>#REF!</v>
      </c>
      <c r="O147" s="277" t="e">
        <f>#REF!</f>
        <v>#REF!</v>
      </c>
      <c r="P147" s="277" t="e">
        <f>#REF!</f>
        <v>#REF!</v>
      </c>
      <c r="Q147" s="277" t="e">
        <f>#REF!</f>
        <v>#REF!</v>
      </c>
      <c r="R147" s="277" t="e">
        <f>#REF!</f>
        <v>#REF!</v>
      </c>
      <c r="S147" s="277" t="e">
        <f>#REF!</f>
        <v>#REF!</v>
      </c>
      <c r="T147" s="281" t="e">
        <f>#REF!</f>
        <v>#REF!</v>
      </c>
      <c r="U147" s="281" t="e">
        <f>#REF!</f>
        <v>#REF!</v>
      </c>
      <c r="V147" s="281" t="e">
        <f>#REF!</f>
        <v>#REF!</v>
      </c>
      <c r="W147" s="281" t="e">
        <f>#REF!</f>
        <v>#REF!</v>
      </c>
      <c r="X147" s="281" t="e">
        <f>#REF!</f>
        <v>#REF!</v>
      </c>
    </row>
    <row r="148" spans="1:24" ht="24.95" customHeight="1">
      <c r="A148" s="274" t="e">
        <f>#REF!</f>
        <v>#REF!</v>
      </c>
      <c r="B148" s="275" t="e">
        <f>#REF!</f>
        <v>#REF!</v>
      </c>
      <c r="C148" s="276" t="e">
        <f>#REF!</f>
        <v>#REF!</v>
      </c>
      <c r="D148" s="277" t="e">
        <f>#REF!</f>
        <v>#REF!</v>
      </c>
      <c r="E148" s="277" t="e">
        <f>#REF!</f>
        <v>#REF!</v>
      </c>
      <c r="F148" s="277" t="e">
        <f>#REF!</f>
        <v>#REF!</v>
      </c>
      <c r="G148" s="277" t="e">
        <f>#REF!</f>
        <v>#REF!</v>
      </c>
      <c r="H148" s="277" t="e">
        <f>#REF!</f>
        <v>#REF!</v>
      </c>
      <c r="I148" s="277" t="e">
        <f>#REF!</f>
        <v>#REF!</v>
      </c>
      <c r="J148" s="277" t="e">
        <f>#REF!</f>
        <v>#REF!</v>
      </c>
      <c r="K148" s="277" t="e">
        <f>#REF!</f>
        <v>#REF!</v>
      </c>
      <c r="L148" s="277" t="e">
        <f>#REF!</f>
        <v>#REF!</v>
      </c>
      <c r="M148" s="277" t="e">
        <f>#REF!</f>
        <v>#REF!</v>
      </c>
      <c r="N148" s="277" t="e">
        <f>#REF!</f>
        <v>#REF!</v>
      </c>
      <c r="O148" s="277" t="e">
        <f>#REF!</f>
        <v>#REF!</v>
      </c>
      <c r="P148" s="277" t="e">
        <f>#REF!</f>
        <v>#REF!</v>
      </c>
      <c r="Q148" s="277" t="e">
        <f>#REF!</f>
        <v>#REF!</v>
      </c>
      <c r="R148" s="277" t="e">
        <f>#REF!</f>
        <v>#REF!</v>
      </c>
      <c r="S148" s="277" t="e">
        <f>#REF!</f>
        <v>#REF!</v>
      </c>
      <c r="T148" s="281" t="e">
        <f>#REF!</f>
        <v>#REF!</v>
      </c>
      <c r="U148" s="281" t="e">
        <f>#REF!</f>
        <v>#REF!</v>
      </c>
      <c r="V148" s="281" t="e">
        <f>#REF!</f>
        <v>#REF!</v>
      </c>
      <c r="W148" s="281" t="e">
        <f>#REF!</f>
        <v>#REF!</v>
      </c>
      <c r="X148" s="281" t="e">
        <f>#REF!</f>
        <v>#REF!</v>
      </c>
    </row>
    <row r="149" spans="1:24" ht="24.95" customHeight="1">
      <c r="A149" s="274" t="e">
        <f>#REF!</f>
        <v>#REF!</v>
      </c>
      <c r="B149" s="275" t="e">
        <f>#REF!</f>
        <v>#REF!</v>
      </c>
      <c r="C149" s="276" t="e">
        <f>#REF!</f>
        <v>#REF!</v>
      </c>
      <c r="D149" s="277" t="e">
        <f>#REF!</f>
        <v>#REF!</v>
      </c>
      <c r="E149" s="277" t="e">
        <f>#REF!</f>
        <v>#REF!</v>
      </c>
      <c r="F149" s="277" t="e">
        <f>#REF!</f>
        <v>#REF!</v>
      </c>
      <c r="G149" s="277" t="e">
        <f>#REF!</f>
        <v>#REF!</v>
      </c>
      <c r="H149" s="277" t="e">
        <f>#REF!</f>
        <v>#REF!</v>
      </c>
      <c r="I149" s="277" t="e">
        <f>#REF!</f>
        <v>#REF!</v>
      </c>
      <c r="J149" s="277" t="e">
        <f>#REF!</f>
        <v>#REF!</v>
      </c>
      <c r="K149" s="277" t="e">
        <f>#REF!</f>
        <v>#REF!</v>
      </c>
      <c r="L149" s="277" t="e">
        <f>#REF!</f>
        <v>#REF!</v>
      </c>
      <c r="M149" s="277" t="e">
        <f>#REF!</f>
        <v>#REF!</v>
      </c>
      <c r="N149" s="277" t="e">
        <f>#REF!</f>
        <v>#REF!</v>
      </c>
      <c r="O149" s="277" t="e">
        <f>#REF!</f>
        <v>#REF!</v>
      </c>
      <c r="P149" s="277" t="e">
        <f>#REF!</f>
        <v>#REF!</v>
      </c>
      <c r="Q149" s="277" t="e">
        <f>#REF!</f>
        <v>#REF!</v>
      </c>
      <c r="R149" s="277" t="e">
        <f>#REF!</f>
        <v>#REF!</v>
      </c>
      <c r="S149" s="277" t="e">
        <f>#REF!</f>
        <v>#REF!</v>
      </c>
      <c r="T149" s="281" t="e">
        <f>#REF!</f>
        <v>#REF!</v>
      </c>
      <c r="U149" s="281" t="e">
        <f>#REF!</f>
        <v>#REF!</v>
      </c>
      <c r="V149" s="281" t="e">
        <f>#REF!</f>
        <v>#REF!</v>
      </c>
      <c r="W149" s="281" t="e">
        <f>#REF!</f>
        <v>#REF!</v>
      </c>
      <c r="X149" s="281" t="e">
        <f>#REF!</f>
        <v>#REF!</v>
      </c>
    </row>
    <row r="150" spans="1:24" ht="24.95" customHeight="1">
      <c r="A150" s="274" t="e">
        <f>#REF!</f>
        <v>#REF!</v>
      </c>
      <c r="B150" s="275" t="e">
        <f>#REF!</f>
        <v>#REF!</v>
      </c>
      <c r="C150" s="276" t="e">
        <f>#REF!</f>
        <v>#REF!</v>
      </c>
      <c r="D150" s="277" t="e">
        <f>#REF!</f>
        <v>#REF!</v>
      </c>
      <c r="E150" s="277" t="e">
        <f>#REF!</f>
        <v>#REF!</v>
      </c>
      <c r="F150" s="277" t="e">
        <f>#REF!</f>
        <v>#REF!</v>
      </c>
      <c r="G150" s="277" t="e">
        <f>#REF!</f>
        <v>#REF!</v>
      </c>
      <c r="H150" s="277" t="e">
        <f>#REF!</f>
        <v>#REF!</v>
      </c>
      <c r="I150" s="277" t="e">
        <f>#REF!</f>
        <v>#REF!</v>
      </c>
      <c r="J150" s="277" t="e">
        <f>#REF!</f>
        <v>#REF!</v>
      </c>
      <c r="K150" s="277" t="e">
        <f>#REF!</f>
        <v>#REF!</v>
      </c>
      <c r="L150" s="277" t="e">
        <f>#REF!</f>
        <v>#REF!</v>
      </c>
      <c r="M150" s="277" t="e">
        <f>#REF!</f>
        <v>#REF!</v>
      </c>
      <c r="N150" s="277" t="e">
        <f>#REF!</f>
        <v>#REF!</v>
      </c>
      <c r="O150" s="277" t="e">
        <f>#REF!</f>
        <v>#REF!</v>
      </c>
      <c r="P150" s="277" t="e">
        <f>#REF!</f>
        <v>#REF!</v>
      </c>
      <c r="Q150" s="277" t="e">
        <f>#REF!</f>
        <v>#REF!</v>
      </c>
      <c r="R150" s="277" t="e">
        <f>#REF!</f>
        <v>#REF!</v>
      </c>
      <c r="S150" s="277" t="e">
        <f>#REF!</f>
        <v>#REF!</v>
      </c>
      <c r="T150" s="281" t="e">
        <f>#REF!</f>
        <v>#REF!</v>
      </c>
      <c r="U150" s="281" t="e">
        <f>#REF!</f>
        <v>#REF!</v>
      </c>
      <c r="V150" s="281" t="e">
        <f>#REF!</f>
        <v>#REF!</v>
      </c>
      <c r="W150" s="281" t="e">
        <f>#REF!</f>
        <v>#REF!</v>
      </c>
      <c r="X150" s="281" t="e">
        <f>#REF!</f>
        <v>#REF!</v>
      </c>
    </row>
    <row r="151" spans="1:24" ht="24.95" customHeight="1">
      <c r="A151" s="274" t="e">
        <f>#REF!</f>
        <v>#REF!</v>
      </c>
      <c r="B151" s="275" t="e">
        <f>#REF!</f>
        <v>#REF!</v>
      </c>
      <c r="C151" s="276" t="e">
        <f>#REF!</f>
        <v>#REF!</v>
      </c>
      <c r="D151" s="277" t="e">
        <f>#REF!</f>
        <v>#REF!</v>
      </c>
      <c r="E151" s="277" t="e">
        <f>#REF!</f>
        <v>#REF!</v>
      </c>
      <c r="F151" s="277" t="e">
        <f>#REF!</f>
        <v>#REF!</v>
      </c>
      <c r="G151" s="277" t="e">
        <f>#REF!</f>
        <v>#REF!</v>
      </c>
      <c r="H151" s="277" t="e">
        <f>#REF!</f>
        <v>#REF!</v>
      </c>
      <c r="I151" s="277" t="e">
        <f>#REF!</f>
        <v>#REF!</v>
      </c>
      <c r="J151" s="277" t="e">
        <f>#REF!</f>
        <v>#REF!</v>
      </c>
      <c r="K151" s="277" t="e">
        <f>#REF!</f>
        <v>#REF!</v>
      </c>
      <c r="L151" s="277" t="e">
        <f>#REF!</f>
        <v>#REF!</v>
      </c>
      <c r="M151" s="277" t="e">
        <f>#REF!</f>
        <v>#REF!</v>
      </c>
      <c r="N151" s="277" t="e">
        <f>#REF!</f>
        <v>#REF!</v>
      </c>
      <c r="O151" s="277" t="e">
        <f>#REF!</f>
        <v>#REF!</v>
      </c>
      <c r="P151" s="277" t="e">
        <f>#REF!</f>
        <v>#REF!</v>
      </c>
      <c r="Q151" s="277" t="e">
        <f>#REF!</f>
        <v>#REF!</v>
      </c>
      <c r="R151" s="277" t="e">
        <f>#REF!</f>
        <v>#REF!</v>
      </c>
      <c r="S151" s="277" t="e">
        <f>#REF!</f>
        <v>#REF!</v>
      </c>
      <c r="T151" s="281" t="e">
        <f>#REF!</f>
        <v>#REF!</v>
      </c>
      <c r="U151" s="281" t="e">
        <f>#REF!</f>
        <v>#REF!</v>
      </c>
      <c r="V151" s="281" t="e">
        <f>#REF!</f>
        <v>#REF!</v>
      </c>
      <c r="W151" s="281" t="e">
        <f>#REF!</f>
        <v>#REF!</v>
      </c>
      <c r="X151" s="281" t="e">
        <f>#REF!</f>
        <v>#REF!</v>
      </c>
    </row>
    <row r="152" spans="1:24" ht="24.95" customHeight="1">
      <c r="A152" s="274" t="e">
        <f>#REF!</f>
        <v>#REF!</v>
      </c>
      <c r="B152" s="275" t="e">
        <f>#REF!</f>
        <v>#REF!</v>
      </c>
      <c r="C152" s="276" t="e">
        <f>#REF!</f>
        <v>#REF!</v>
      </c>
      <c r="D152" s="277" t="e">
        <f>#REF!</f>
        <v>#REF!</v>
      </c>
      <c r="E152" s="277" t="e">
        <f>#REF!</f>
        <v>#REF!</v>
      </c>
      <c r="F152" s="277" t="e">
        <f>#REF!</f>
        <v>#REF!</v>
      </c>
      <c r="G152" s="277" t="e">
        <f>#REF!</f>
        <v>#REF!</v>
      </c>
      <c r="H152" s="277" t="e">
        <f>#REF!</f>
        <v>#REF!</v>
      </c>
      <c r="I152" s="277" t="e">
        <f>#REF!</f>
        <v>#REF!</v>
      </c>
      <c r="J152" s="277" t="e">
        <f>#REF!</f>
        <v>#REF!</v>
      </c>
      <c r="K152" s="277" t="e">
        <f>#REF!</f>
        <v>#REF!</v>
      </c>
      <c r="L152" s="277" t="e">
        <f>#REF!</f>
        <v>#REF!</v>
      </c>
      <c r="M152" s="277" t="e">
        <f>#REF!</f>
        <v>#REF!</v>
      </c>
      <c r="N152" s="277" t="e">
        <f>#REF!</f>
        <v>#REF!</v>
      </c>
      <c r="O152" s="277" t="e">
        <f>#REF!</f>
        <v>#REF!</v>
      </c>
      <c r="P152" s="277" t="e">
        <f>#REF!</f>
        <v>#REF!</v>
      </c>
      <c r="Q152" s="277" t="e">
        <f>#REF!</f>
        <v>#REF!</v>
      </c>
      <c r="R152" s="277" t="e">
        <f>#REF!</f>
        <v>#REF!</v>
      </c>
      <c r="S152" s="277" t="e">
        <f>#REF!</f>
        <v>#REF!</v>
      </c>
      <c r="T152" s="281" t="e">
        <f>#REF!</f>
        <v>#REF!</v>
      </c>
      <c r="U152" s="281" t="e">
        <f>#REF!</f>
        <v>#REF!</v>
      </c>
      <c r="V152" s="281" t="e">
        <f>#REF!</f>
        <v>#REF!</v>
      </c>
      <c r="W152" s="281" t="e">
        <f>#REF!</f>
        <v>#REF!</v>
      </c>
      <c r="X152" s="281" t="e">
        <f>#REF!</f>
        <v>#REF!</v>
      </c>
    </row>
    <row r="153" spans="1:24" ht="24.95" customHeight="1">
      <c r="A153" s="274" t="e">
        <f>#REF!</f>
        <v>#REF!</v>
      </c>
      <c r="B153" s="275" t="e">
        <f>#REF!</f>
        <v>#REF!</v>
      </c>
      <c r="C153" s="276" t="e">
        <f>#REF!</f>
        <v>#REF!</v>
      </c>
      <c r="D153" s="277" t="e">
        <f>#REF!</f>
        <v>#REF!</v>
      </c>
      <c r="E153" s="277" t="e">
        <f>#REF!</f>
        <v>#REF!</v>
      </c>
      <c r="F153" s="277" t="e">
        <f>#REF!</f>
        <v>#REF!</v>
      </c>
      <c r="G153" s="277" t="e">
        <f>#REF!</f>
        <v>#REF!</v>
      </c>
      <c r="H153" s="277" t="e">
        <f>#REF!</f>
        <v>#REF!</v>
      </c>
      <c r="I153" s="277" t="e">
        <f>#REF!</f>
        <v>#REF!</v>
      </c>
      <c r="J153" s="277" t="e">
        <f>#REF!</f>
        <v>#REF!</v>
      </c>
      <c r="K153" s="277" t="e">
        <f>#REF!</f>
        <v>#REF!</v>
      </c>
      <c r="L153" s="277" t="e">
        <f>#REF!</f>
        <v>#REF!</v>
      </c>
      <c r="M153" s="277" t="e">
        <f>#REF!</f>
        <v>#REF!</v>
      </c>
      <c r="N153" s="277" t="e">
        <f>#REF!</f>
        <v>#REF!</v>
      </c>
      <c r="O153" s="277" t="e">
        <f>#REF!</f>
        <v>#REF!</v>
      </c>
      <c r="P153" s="277" t="e">
        <f>#REF!</f>
        <v>#REF!</v>
      </c>
      <c r="Q153" s="277" t="e">
        <f>#REF!</f>
        <v>#REF!</v>
      </c>
      <c r="R153" s="277" t="e">
        <f>#REF!</f>
        <v>#REF!</v>
      </c>
      <c r="S153" s="277" t="e">
        <f>#REF!</f>
        <v>#REF!</v>
      </c>
      <c r="T153" s="281" t="e">
        <f>#REF!</f>
        <v>#REF!</v>
      </c>
      <c r="U153" s="281" t="e">
        <f>#REF!</f>
        <v>#REF!</v>
      </c>
      <c r="V153" s="281" t="e">
        <f>#REF!</f>
        <v>#REF!</v>
      </c>
      <c r="W153" s="281" t="e">
        <f>#REF!</f>
        <v>#REF!</v>
      </c>
      <c r="X153" s="281" t="e">
        <f>#REF!</f>
        <v>#REF!</v>
      </c>
    </row>
    <row r="154" spans="1:24" ht="24.95" customHeight="1">
      <c r="A154" s="274" t="e">
        <f>#REF!</f>
        <v>#REF!</v>
      </c>
      <c r="B154" s="275" t="e">
        <f>#REF!</f>
        <v>#REF!</v>
      </c>
      <c r="C154" s="276" t="e">
        <f>#REF!</f>
        <v>#REF!</v>
      </c>
      <c r="D154" s="277" t="e">
        <f>#REF!</f>
        <v>#REF!</v>
      </c>
      <c r="E154" s="277" t="e">
        <f>#REF!</f>
        <v>#REF!</v>
      </c>
      <c r="F154" s="277" t="e">
        <f>#REF!</f>
        <v>#REF!</v>
      </c>
      <c r="G154" s="277" t="e">
        <f>#REF!</f>
        <v>#REF!</v>
      </c>
      <c r="H154" s="277" t="e">
        <f>#REF!</f>
        <v>#REF!</v>
      </c>
      <c r="I154" s="277" t="e">
        <f>#REF!</f>
        <v>#REF!</v>
      </c>
      <c r="J154" s="277" t="e">
        <f>#REF!</f>
        <v>#REF!</v>
      </c>
      <c r="K154" s="277" t="e">
        <f>#REF!</f>
        <v>#REF!</v>
      </c>
      <c r="L154" s="277" t="e">
        <f>#REF!</f>
        <v>#REF!</v>
      </c>
      <c r="M154" s="277" t="e">
        <f>#REF!</f>
        <v>#REF!</v>
      </c>
      <c r="N154" s="277" t="e">
        <f>#REF!</f>
        <v>#REF!</v>
      </c>
      <c r="O154" s="277" t="e">
        <f>#REF!</f>
        <v>#REF!</v>
      </c>
      <c r="P154" s="277" t="e">
        <f>#REF!</f>
        <v>#REF!</v>
      </c>
      <c r="Q154" s="277" t="e">
        <f>#REF!</f>
        <v>#REF!</v>
      </c>
      <c r="R154" s="277" t="e">
        <f>#REF!</f>
        <v>#REF!</v>
      </c>
      <c r="S154" s="277" t="e">
        <f>#REF!</f>
        <v>#REF!</v>
      </c>
      <c r="T154" s="281" t="e">
        <f>#REF!</f>
        <v>#REF!</v>
      </c>
      <c r="U154" s="281" t="e">
        <f>#REF!</f>
        <v>#REF!</v>
      </c>
      <c r="V154" s="281" t="e">
        <f>#REF!</f>
        <v>#REF!</v>
      </c>
      <c r="W154" s="281" t="e">
        <f>#REF!</f>
        <v>#REF!</v>
      </c>
      <c r="X154" s="281" t="e">
        <f>#REF!</f>
        <v>#REF!</v>
      </c>
    </row>
    <row r="155" spans="1:24" ht="24.95" customHeight="1">
      <c r="A155" s="274" t="e">
        <f>#REF!</f>
        <v>#REF!</v>
      </c>
      <c r="B155" s="275" t="e">
        <f>#REF!</f>
        <v>#REF!</v>
      </c>
      <c r="C155" s="276" t="e">
        <f>#REF!</f>
        <v>#REF!</v>
      </c>
      <c r="D155" s="277" t="e">
        <f>#REF!</f>
        <v>#REF!</v>
      </c>
      <c r="E155" s="277" t="e">
        <f>#REF!</f>
        <v>#REF!</v>
      </c>
      <c r="F155" s="277" t="e">
        <f>#REF!</f>
        <v>#REF!</v>
      </c>
      <c r="G155" s="277" t="e">
        <f>#REF!</f>
        <v>#REF!</v>
      </c>
      <c r="H155" s="277" t="e">
        <f>#REF!</f>
        <v>#REF!</v>
      </c>
      <c r="I155" s="277" t="e">
        <f>#REF!</f>
        <v>#REF!</v>
      </c>
      <c r="J155" s="277" t="e">
        <f>#REF!</f>
        <v>#REF!</v>
      </c>
      <c r="K155" s="277" t="e">
        <f>#REF!</f>
        <v>#REF!</v>
      </c>
      <c r="L155" s="277" t="e">
        <f>#REF!</f>
        <v>#REF!</v>
      </c>
      <c r="M155" s="277" t="e">
        <f>#REF!</f>
        <v>#REF!</v>
      </c>
      <c r="N155" s="277" t="e">
        <f>#REF!</f>
        <v>#REF!</v>
      </c>
      <c r="O155" s="277" t="e">
        <f>#REF!</f>
        <v>#REF!</v>
      </c>
      <c r="P155" s="277" t="e">
        <f>#REF!</f>
        <v>#REF!</v>
      </c>
      <c r="Q155" s="277" t="e">
        <f>#REF!</f>
        <v>#REF!</v>
      </c>
      <c r="R155" s="277" t="e">
        <f>#REF!</f>
        <v>#REF!</v>
      </c>
      <c r="S155" s="277" t="e">
        <f>#REF!</f>
        <v>#REF!</v>
      </c>
      <c r="T155" s="281" t="e">
        <f>#REF!</f>
        <v>#REF!</v>
      </c>
      <c r="U155" s="281" t="e">
        <f>#REF!</f>
        <v>#REF!</v>
      </c>
      <c r="V155" s="281" t="e">
        <f>#REF!</f>
        <v>#REF!</v>
      </c>
      <c r="W155" s="281" t="e">
        <f>#REF!</f>
        <v>#REF!</v>
      </c>
      <c r="X155" s="281" t="e">
        <f>#REF!</f>
        <v>#REF!</v>
      </c>
    </row>
    <row r="156" spans="1:24" ht="24.95" customHeight="1">
      <c r="A156" s="274" t="e">
        <f>#REF!</f>
        <v>#REF!</v>
      </c>
      <c r="B156" s="275" t="e">
        <f>#REF!</f>
        <v>#REF!</v>
      </c>
      <c r="C156" s="276" t="e">
        <f>#REF!</f>
        <v>#REF!</v>
      </c>
      <c r="D156" s="277" t="e">
        <f>#REF!</f>
        <v>#REF!</v>
      </c>
      <c r="E156" s="277" t="e">
        <f>#REF!</f>
        <v>#REF!</v>
      </c>
      <c r="F156" s="277" t="e">
        <f>#REF!</f>
        <v>#REF!</v>
      </c>
      <c r="G156" s="277" t="e">
        <f>#REF!</f>
        <v>#REF!</v>
      </c>
      <c r="H156" s="277" t="e">
        <f>#REF!</f>
        <v>#REF!</v>
      </c>
      <c r="I156" s="277" t="e">
        <f>#REF!</f>
        <v>#REF!</v>
      </c>
      <c r="J156" s="277" t="e">
        <f>#REF!</f>
        <v>#REF!</v>
      </c>
      <c r="K156" s="277" t="e">
        <f>#REF!</f>
        <v>#REF!</v>
      </c>
      <c r="L156" s="277" t="e">
        <f>#REF!</f>
        <v>#REF!</v>
      </c>
      <c r="M156" s="277" t="e">
        <f>#REF!</f>
        <v>#REF!</v>
      </c>
      <c r="N156" s="277" t="e">
        <f>#REF!</f>
        <v>#REF!</v>
      </c>
      <c r="O156" s="277" t="e">
        <f>#REF!</f>
        <v>#REF!</v>
      </c>
      <c r="P156" s="277" t="e">
        <f>#REF!</f>
        <v>#REF!</v>
      </c>
      <c r="Q156" s="277" t="e">
        <f>#REF!</f>
        <v>#REF!</v>
      </c>
      <c r="R156" s="277" t="e">
        <f>#REF!</f>
        <v>#REF!</v>
      </c>
      <c r="S156" s="277" t="e">
        <f>#REF!</f>
        <v>#REF!</v>
      </c>
      <c r="T156" s="281" t="e">
        <f>#REF!</f>
        <v>#REF!</v>
      </c>
      <c r="U156" s="281" t="e">
        <f>#REF!</f>
        <v>#REF!</v>
      </c>
      <c r="V156" s="281" t="e">
        <f>#REF!</f>
        <v>#REF!</v>
      </c>
      <c r="W156" s="281" t="e">
        <f>#REF!</f>
        <v>#REF!</v>
      </c>
      <c r="X156" s="281" t="e">
        <f>#REF!</f>
        <v>#REF!</v>
      </c>
    </row>
    <row r="157" spans="1:24" ht="24.95" customHeight="1">
      <c r="A157" s="274" t="e">
        <f>#REF!</f>
        <v>#REF!</v>
      </c>
      <c r="B157" s="275" t="e">
        <f>#REF!</f>
        <v>#REF!</v>
      </c>
      <c r="C157" s="276" t="e">
        <f>#REF!</f>
        <v>#REF!</v>
      </c>
      <c r="D157" s="277" t="e">
        <f>#REF!</f>
        <v>#REF!</v>
      </c>
      <c r="E157" s="277" t="e">
        <f>#REF!</f>
        <v>#REF!</v>
      </c>
      <c r="F157" s="277" t="e">
        <f>#REF!</f>
        <v>#REF!</v>
      </c>
      <c r="G157" s="277" t="e">
        <f>#REF!</f>
        <v>#REF!</v>
      </c>
      <c r="H157" s="277" t="e">
        <f>#REF!</f>
        <v>#REF!</v>
      </c>
      <c r="I157" s="277" t="e">
        <f>#REF!</f>
        <v>#REF!</v>
      </c>
      <c r="J157" s="277" t="e">
        <f>#REF!</f>
        <v>#REF!</v>
      </c>
      <c r="K157" s="277" t="e">
        <f>#REF!</f>
        <v>#REF!</v>
      </c>
      <c r="L157" s="277" t="e">
        <f>#REF!</f>
        <v>#REF!</v>
      </c>
      <c r="M157" s="277" t="e">
        <f>#REF!</f>
        <v>#REF!</v>
      </c>
      <c r="N157" s="277" t="e">
        <f>#REF!</f>
        <v>#REF!</v>
      </c>
      <c r="O157" s="277" t="e">
        <f>#REF!</f>
        <v>#REF!</v>
      </c>
      <c r="P157" s="277" t="e">
        <f>#REF!</f>
        <v>#REF!</v>
      </c>
      <c r="Q157" s="277" t="e">
        <f>#REF!</f>
        <v>#REF!</v>
      </c>
      <c r="R157" s="277" t="e">
        <f>#REF!</f>
        <v>#REF!</v>
      </c>
      <c r="S157" s="277" t="e">
        <f>#REF!</f>
        <v>#REF!</v>
      </c>
      <c r="T157" s="281" t="e">
        <f>#REF!</f>
        <v>#REF!</v>
      </c>
      <c r="U157" s="281" t="e">
        <f>#REF!</f>
        <v>#REF!</v>
      </c>
      <c r="V157" s="281" t="e">
        <f>#REF!</f>
        <v>#REF!</v>
      </c>
      <c r="W157" s="281" t="e">
        <f>#REF!</f>
        <v>#REF!</v>
      </c>
      <c r="X157" s="281" t="e">
        <f>#REF!</f>
        <v>#REF!</v>
      </c>
    </row>
    <row r="158" spans="1:24" ht="24.95" customHeight="1">
      <c r="A158" s="274" t="e">
        <f>#REF!</f>
        <v>#REF!</v>
      </c>
      <c r="B158" s="275" t="e">
        <f>#REF!</f>
        <v>#REF!</v>
      </c>
      <c r="C158" s="276" t="e">
        <f>#REF!</f>
        <v>#REF!</v>
      </c>
      <c r="D158" s="277" t="e">
        <f>#REF!</f>
        <v>#REF!</v>
      </c>
      <c r="E158" s="277" t="e">
        <f>#REF!</f>
        <v>#REF!</v>
      </c>
      <c r="F158" s="277" t="e">
        <f>#REF!</f>
        <v>#REF!</v>
      </c>
      <c r="G158" s="277" t="e">
        <f>#REF!</f>
        <v>#REF!</v>
      </c>
      <c r="H158" s="277" t="e">
        <f>#REF!</f>
        <v>#REF!</v>
      </c>
      <c r="I158" s="277" t="e">
        <f>#REF!</f>
        <v>#REF!</v>
      </c>
      <c r="J158" s="277" t="e">
        <f>#REF!</f>
        <v>#REF!</v>
      </c>
      <c r="K158" s="277" t="e">
        <f>#REF!</f>
        <v>#REF!</v>
      </c>
      <c r="L158" s="277" t="e">
        <f>#REF!</f>
        <v>#REF!</v>
      </c>
      <c r="M158" s="277" t="e">
        <f>#REF!</f>
        <v>#REF!</v>
      </c>
      <c r="N158" s="277" t="e">
        <f>#REF!</f>
        <v>#REF!</v>
      </c>
      <c r="O158" s="277" t="e">
        <f>#REF!</f>
        <v>#REF!</v>
      </c>
      <c r="P158" s="277" t="e">
        <f>#REF!</f>
        <v>#REF!</v>
      </c>
      <c r="Q158" s="277" t="e">
        <f>#REF!</f>
        <v>#REF!</v>
      </c>
      <c r="R158" s="277" t="e">
        <f>#REF!</f>
        <v>#REF!</v>
      </c>
      <c r="S158" s="277" t="e">
        <f>#REF!</f>
        <v>#REF!</v>
      </c>
      <c r="T158" s="281" t="e">
        <f>#REF!</f>
        <v>#REF!</v>
      </c>
      <c r="U158" s="281" t="e">
        <f>#REF!</f>
        <v>#REF!</v>
      </c>
      <c r="V158" s="281" t="e">
        <f>#REF!</f>
        <v>#REF!</v>
      </c>
      <c r="W158" s="281" t="e">
        <f>#REF!</f>
        <v>#REF!</v>
      </c>
      <c r="X158" s="281" t="e">
        <f>#REF!</f>
        <v>#REF!</v>
      </c>
    </row>
    <row r="159" spans="1:24" ht="24.95" customHeight="1">
      <c r="A159" s="274" t="e">
        <f>#REF!</f>
        <v>#REF!</v>
      </c>
      <c r="B159" s="275" t="e">
        <f>#REF!</f>
        <v>#REF!</v>
      </c>
      <c r="C159" s="276" t="e">
        <f>#REF!</f>
        <v>#REF!</v>
      </c>
      <c r="D159" s="277" t="e">
        <f>#REF!</f>
        <v>#REF!</v>
      </c>
      <c r="E159" s="277" t="e">
        <f>#REF!</f>
        <v>#REF!</v>
      </c>
      <c r="F159" s="277" t="e">
        <f>#REF!</f>
        <v>#REF!</v>
      </c>
      <c r="G159" s="277" t="e">
        <f>#REF!</f>
        <v>#REF!</v>
      </c>
      <c r="H159" s="277" t="e">
        <f>#REF!</f>
        <v>#REF!</v>
      </c>
      <c r="I159" s="277" t="e">
        <f>#REF!</f>
        <v>#REF!</v>
      </c>
      <c r="J159" s="277" t="e">
        <f>#REF!</f>
        <v>#REF!</v>
      </c>
      <c r="K159" s="277" t="e">
        <f>#REF!</f>
        <v>#REF!</v>
      </c>
      <c r="L159" s="277" t="e">
        <f>#REF!</f>
        <v>#REF!</v>
      </c>
      <c r="M159" s="277" t="e">
        <f>#REF!</f>
        <v>#REF!</v>
      </c>
      <c r="N159" s="277" t="e">
        <f>#REF!</f>
        <v>#REF!</v>
      </c>
      <c r="O159" s="277" t="e">
        <f>#REF!</f>
        <v>#REF!</v>
      </c>
      <c r="P159" s="277" t="e">
        <f>#REF!</f>
        <v>#REF!</v>
      </c>
      <c r="Q159" s="277" t="e">
        <f>#REF!</f>
        <v>#REF!</v>
      </c>
      <c r="R159" s="277" t="e">
        <f>#REF!</f>
        <v>#REF!</v>
      </c>
      <c r="S159" s="277" t="e">
        <f>#REF!</f>
        <v>#REF!</v>
      </c>
      <c r="T159" s="281" t="e">
        <f>#REF!</f>
        <v>#REF!</v>
      </c>
      <c r="U159" s="281" t="e">
        <f>#REF!</f>
        <v>#REF!</v>
      </c>
      <c r="V159" s="281" t="e">
        <f>#REF!</f>
        <v>#REF!</v>
      </c>
      <c r="W159" s="281" t="e">
        <f>#REF!</f>
        <v>#REF!</v>
      </c>
      <c r="X159" s="281" t="e">
        <f>#REF!</f>
        <v>#REF!</v>
      </c>
    </row>
    <row r="160" spans="1:24" ht="24.95" customHeight="1">
      <c r="A160" s="274" t="e">
        <f>#REF!</f>
        <v>#REF!</v>
      </c>
      <c r="B160" s="275" t="e">
        <f>#REF!</f>
        <v>#REF!</v>
      </c>
      <c r="C160" s="276" t="e">
        <f>#REF!</f>
        <v>#REF!</v>
      </c>
      <c r="D160" s="277" t="e">
        <f>#REF!</f>
        <v>#REF!</v>
      </c>
      <c r="E160" s="277" t="e">
        <f>#REF!</f>
        <v>#REF!</v>
      </c>
      <c r="F160" s="277" t="e">
        <f>#REF!</f>
        <v>#REF!</v>
      </c>
      <c r="G160" s="277" t="e">
        <f>#REF!</f>
        <v>#REF!</v>
      </c>
      <c r="H160" s="277" t="e">
        <f>#REF!</f>
        <v>#REF!</v>
      </c>
      <c r="I160" s="277" t="e">
        <f>#REF!</f>
        <v>#REF!</v>
      </c>
      <c r="J160" s="277" t="e">
        <f>#REF!</f>
        <v>#REF!</v>
      </c>
      <c r="K160" s="277" t="e">
        <f>#REF!</f>
        <v>#REF!</v>
      </c>
      <c r="L160" s="277" t="e">
        <f>#REF!</f>
        <v>#REF!</v>
      </c>
      <c r="M160" s="277" t="e">
        <f>#REF!</f>
        <v>#REF!</v>
      </c>
      <c r="N160" s="277" t="e">
        <f>#REF!</f>
        <v>#REF!</v>
      </c>
      <c r="O160" s="277" t="e">
        <f>#REF!</f>
        <v>#REF!</v>
      </c>
      <c r="P160" s="277" t="e">
        <f>#REF!</f>
        <v>#REF!</v>
      </c>
      <c r="Q160" s="277" t="e">
        <f>#REF!</f>
        <v>#REF!</v>
      </c>
      <c r="R160" s="277" t="e">
        <f>#REF!</f>
        <v>#REF!</v>
      </c>
      <c r="S160" s="277" t="e">
        <f>#REF!</f>
        <v>#REF!</v>
      </c>
      <c r="T160" s="281" t="e">
        <f>#REF!</f>
        <v>#REF!</v>
      </c>
      <c r="U160" s="281" t="e">
        <f>#REF!</f>
        <v>#REF!</v>
      </c>
      <c r="V160" s="281" t="e">
        <f>#REF!</f>
        <v>#REF!</v>
      </c>
      <c r="W160" s="281" t="e">
        <f>#REF!</f>
        <v>#REF!</v>
      </c>
      <c r="X160" s="281" t="e">
        <f>#REF!</f>
        <v>#REF!</v>
      </c>
    </row>
    <row r="161" spans="1:24" ht="24.95" customHeight="1">
      <c r="A161" s="274" t="e">
        <f>#REF!</f>
        <v>#REF!</v>
      </c>
      <c r="B161" s="275" t="e">
        <f>#REF!</f>
        <v>#REF!</v>
      </c>
      <c r="C161" s="276" t="e">
        <f>#REF!</f>
        <v>#REF!</v>
      </c>
      <c r="D161" s="277" t="e">
        <f>#REF!</f>
        <v>#REF!</v>
      </c>
      <c r="E161" s="277" t="e">
        <f>#REF!</f>
        <v>#REF!</v>
      </c>
      <c r="F161" s="277" t="e">
        <f>#REF!</f>
        <v>#REF!</v>
      </c>
      <c r="G161" s="277" t="e">
        <f>#REF!</f>
        <v>#REF!</v>
      </c>
      <c r="H161" s="277" t="e">
        <f>#REF!</f>
        <v>#REF!</v>
      </c>
      <c r="I161" s="277" t="e">
        <f>#REF!</f>
        <v>#REF!</v>
      </c>
      <c r="J161" s="277" t="e">
        <f>#REF!</f>
        <v>#REF!</v>
      </c>
      <c r="K161" s="277" t="e">
        <f>#REF!</f>
        <v>#REF!</v>
      </c>
      <c r="L161" s="277" t="e">
        <f>#REF!</f>
        <v>#REF!</v>
      </c>
      <c r="M161" s="277" t="e">
        <f>#REF!</f>
        <v>#REF!</v>
      </c>
      <c r="N161" s="277" t="e">
        <f>#REF!</f>
        <v>#REF!</v>
      </c>
      <c r="O161" s="277" t="e">
        <f>#REF!</f>
        <v>#REF!</v>
      </c>
      <c r="P161" s="277" t="e">
        <f>#REF!</f>
        <v>#REF!</v>
      </c>
      <c r="Q161" s="277" t="e">
        <f>#REF!</f>
        <v>#REF!</v>
      </c>
      <c r="R161" s="277" t="e">
        <f>#REF!</f>
        <v>#REF!</v>
      </c>
      <c r="S161" s="277" t="e">
        <f>#REF!</f>
        <v>#REF!</v>
      </c>
      <c r="T161" s="281" t="e">
        <f>#REF!</f>
        <v>#REF!</v>
      </c>
      <c r="U161" s="281" t="e">
        <f>#REF!</f>
        <v>#REF!</v>
      </c>
      <c r="V161" s="281" t="e">
        <f>#REF!</f>
        <v>#REF!</v>
      </c>
      <c r="W161" s="281" t="e">
        <f>#REF!</f>
        <v>#REF!</v>
      </c>
      <c r="X161" s="281" t="e">
        <f>#REF!</f>
        <v>#REF!</v>
      </c>
    </row>
    <row r="162" spans="1:24" ht="24.95" customHeight="1">
      <c r="A162" s="274" t="e">
        <f>#REF!</f>
        <v>#REF!</v>
      </c>
      <c r="B162" s="275" t="e">
        <f>#REF!</f>
        <v>#REF!</v>
      </c>
      <c r="C162" s="276" t="e">
        <f>#REF!</f>
        <v>#REF!</v>
      </c>
      <c r="D162" s="277" t="e">
        <f>#REF!</f>
        <v>#REF!</v>
      </c>
      <c r="E162" s="277" t="e">
        <f>#REF!</f>
        <v>#REF!</v>
      </c>
      <c r="F162" s="277" t="e">
        <f>#REF!</f>
        <v>#REF!</v>
      </c>
      <c r="G162" s="277" t="e">
        <f>#REF!</f>
        <v>#REF!</v>
      </c>
      <c r="H162" s="277" t="e">
        <f>#REF!</f>
        <v>#REF!</v>
      </c>
      <c r="I162" s="277" t="e">
        <f>#REF!</f>
        <v>#REF!</v>
      </c>
      <c r="J162" s="277" t="e">
        <f>#REF!</f>
        <v>#REF!</v>
      </c>
      <c r="K162" s="277" t="e">
        <f>#REF!</f>
        <v>#REF!</v>
      </c>
      <c r="L162" s="277" t="e">
        <f>#REF!</f>
        <v>#REF!</v>
      </c>
      <c r="M162" s="277" t="e">
        <f>#REF!</f>
        <v>#REF!</v>
      </c>
      <c r="N162" s="277" t="e">
        <f>#REF!</f>
        <v>#REF!</v>
      </c>
      <c r="O162" s="277" t="e">
        <f>#REF!</f>
        <v>#REF!</v>
      </c>
      <c r="P162" s="277" t="e">
        <f>#REF!</f>
        <v>#REF!</v>
      </c>
      <c r="Q162" s="277" t="e">
        <f>#REF!</f>
        <v>#REF!</v>
      </c>
      <c r="R162" s="277" t="e">
        <f>#REF!</f>
        <v>#REF!</v>
      </c>
      <c r="S162" s="277" t="e">
        <f>#REF!</f>
        <v>#REF!</v>
      </c>
      <c r="T162" s="281" t="e">
        <f>#REF!</f>
        <v>#REF!</v>
      </c>
      <c r="U162" s="281" t="e">
        <f>#REF!</f>
        <v>#REF!</v>
      </c>
      <c r="V162" s="281" t="e">
        <f>#REF!</f>
        <v>#REF!</v>
      </c>
      <c r="W162" s="281" t="e">
        <f>#REF!</f>
        <v>#REF!</v>
      </c>
      <c r="X162" s="281" t="e">
        <f>#REF!</f>
        <v>#REF!</v>
      </c>
    </row>
    <row r="163" spans="1:24" ht="24.95" customHeight="1">
      <c r="A163" s="274" t="e">
        <f>#REF!</f>
        <v>#REF!</v>
      </c>
      <c r="B163" s="275" t="e">
        <f>#REF!</f>
        <v>#REF!</v>
      </c>
      <c r="C163" s="276" t="e">
        <f>#REF!</f>
        <v>#REF!</v>
      </c>
      <c r="D163" s="277" t="e">
        <f>#REF!</f>
        <v>#REF!</v>
      </c>
      <c r="E163" s="277" t="e">
        <f>#REF!</f>
        <v>#REF!</v>
      </c>
      <c r="F163" s="277" t="e">
        <f>#REF!</f>
        <v>#REF!</v>
      </c>
      <c r="G163" s="277" t="e">
        <f>#REF!</f>
        <v>#REF!</v>
      </c>
      <c r="H163" s="277" t="e">
        <f>#REF!</f>
        <v>#REF!</v>
      </c>
      <c r="I163" s="277" t="e">
        <f>#REF!</f>
        <v>#REF!</v>
      </c>
      <c r="J163" s="277" t="e">
        <f>#REF!</f>
        <v>#REF!</v>
      </c>
      <c r="K163" s="277" t="e">
        <f>#REF!</f>
        <v>#REF!</v>
      </c>
      <c r="L163" s="277" t="e">
        <f>#REF!</f>
        <v>#REF!</v>
      </c>
      <c r="M163" s="277" t="e">
        <f>#REF!</f>
        <v>#REF!</v>
      </c>
      <c r="N163" s="277" t="e">
        <f>#REF!</f>
        <v>#REF!</v>
      </c>
      <c r="O163" s="277" t="e">
        <f>#REF!</f>
        <v>#REF!</v>
      </c>
      <c r="P163" s="277" t="e">
        <f>#REF!</f>
        <v>#REF!</v>
      </c>
      <c r="Q163" s="277" t="e">
        <f>#REF!</f>
        <v>#REF!</v>
      </c>
      <c r="R163" s="277" t="e">
        <f>#REF!</f>
        <v>#REF!</v>
      </c>
      <c r="S163" s="277" t="e">
        <f>#REF!</f>
        <v>#REF!</v>
      </c>
      <c r="T163" s="281" t="e">
        <f>#REF!</f>
        <v>#REF!</v>
      </c>
      <c r="U163" s="281" t="e">
        <f>#REF!</f>
        <v>#REF!</v>
      </c>
      <c r="V163" s="281" t="e">
        <f>#REF!</f>
        <v>#REF!</v>
      </c>
      <c r="W163" s="281" t="e">
        <f>#REF!</f>
        <v>#REF!</v>
      </c>
      <c r="X163" s="281" t="e">
        <f>#REF!</f>
        <v>#REF!</v>
      </c>
    </row>
    <row r="164" spans="1:24" ht="24.95" customHeight="1">
      <c r="A164" s="274" t="e">
        <f>#REF!</f>
        <v>#REF!</v>
      </c>
      <c r="B164" s="275" t="e">
        <f>#REF!</f>
        <v>#REF!</v>
      </c>
      <c r="C164" s="276" t="e">
        <f>#REF!</f>
        <v>#REF!</v>
      </c>
      <c r="D164" s="277" t="e">
        <f>#REF!</f>
        <v>#REF!</v>
      </c>
      <c r="E164" s="277" t="e">
        <f>#REF!</f>
        <v>#REF!</v>
      </c>
      <c r="F164" s="277" t="e">
        <f>#REF!</f>
        <v>#REF!</v>
      </c>
      <c r="G164" s="277" t="e">
        <f>#REF!</f>
        <v>#REF!</v>
      </c>
      <c r="H164" s="277" t="e">
        <f>#REF!</f>
        <v>#REF!</v>
      </c>
      <c r="I164" s="277" t="e">
        <f>#REF!</f>
        <v>#REF!</v>
      </c>
      <c r="J164" s="277" t="e">
        <f>#REF!</f>
        <v>#REF!</v>
      </c>
      <c r="K164" s="277" t="e">
        <f>#REF!</f>
        <v>#REF!</v>
      </c>
      <c r="L164" s="277" t="e">
        <f>#REF!</f>
        <v>#REF!</v>
      </c>
      <c r="M164" s="277" t="e">
        <f>#REF!</f>
        <v>#REF!</v>
      </c>
      <c r="N164" s="277" t="e">
        <f>#REF!</f>
        <v>#REF!</v>
      </c>
      <c r="O164" s="277" t="e">
        <f>#REF!</f>
        <v>#REF!</v>
      </c>
      <c r="P164" s="277" t="e">
        <f>#REF!</f>
        <v>#REF!</v>
      </c>
      <c r="Q164" s="277" t="e">
        <f>#REF!</f>
        <v>#REF!</v>
      </c>
      <c r="R164" s="277" t="e">
        <f>#REF!</f>
        <v>#REF!</v>
      </c>
      <c r="S164" s="277" t="e">
        <f>#REF!</f>
        <v>#REF!</v>
      </c>
      <c r="T164" s="281" t="e">
        <f>#REF!</f>
        <v>#REF!</v>
      </c>
      <c r="U164" s="281" t="e">
        <f>#REF!</f>
        <v>#REF!</v>
      </c>
      <c r="V164" s="281" t="e">
        <f>#REF!</f>
        <v>#REF!</v>
      </c>
      <c r="W164" s="281" t="e">
        <f>#REF!</f>
        <v>#REF!</v>
      </c>
      <c r="X164" s="281" t="e">
        <f>#REF!</f>
        <v>#REF!</v>
      </c>
    </row>
    <row r="165" spans="1:24" ht="24.95" customHeight="1">
      <c r="A165" s="274" t="e">
        <f>#REF!</f>
        <v>#REF!</v>
      </c>
      <c r="B165" s="275" t="e">
        <f>#REF!</f>
        <v>#REF!</v>
      </c>
      <c r="C165" s="276" t="e">
        <f>#REF!</f>
        <v>#REF!</v>
      </c>
      <c r="D165" s="277" t="e">
        <f>#REF!</f>
        <v>#REF!</v>
      </c>
      <c r="E165" s="277" t="e">
        <f>#REF!</f>
        <v>#REF!</v>
      </c>
      <c r="F165" s="277" t="e">
        <f>#REF!</f>
        <v>#REF!</v>
      </c>
      <c r="G165" s="277" t="e">
        <f>#REF!</f>
        <v>#REF!</v>
      </c>
      <c r="H165" s="277" t="e">
        <f>#REF!</f>
        <v>#REF!</v>
      </c>
      <c r="I165" s="277" t="e">
        <f>#REF!</f>
        <v>#REF!</v>
      </c>
      <c r="J165" s="277" t="e">
        <f>#REF!</f>
        <v>#REF!</v>
      </c>
      <c r="K165" s="277" t="e">
        <f>#REF!</f>
        <v>#REF!</v>
      </c>
      <c r="L165" s="277" t="e">
        <f>#REF!</f>
        <v>#REF!</v>
      </c>
      <c r="M165" s="277" t="e">
        <f>#REF!</f>
        <v>#REF!</v>
      </c>
      <c r="N165" s="277" t="e">
        <f>#REF!</f>
        <v>#REF!</v>
      </c>
      <c r="O165" s="277" t="e">
        <f>#REF!</f>
        <v>#REF!</v>
      </c>
      <c r="P165" s="277" t="e">
        <f>#REF!</f>
        <v>#REF!</v>
      </c>
      <c r="Q165" s="277" t="e">
        <f>#REF!</f>
        <v>#REF!</v>
      </c>
      <c r="R165" s="277" t="e">
        <f>#REF!</f>
        <v>#REF!</v>
      </c>
      <c r="S165" s="277" t="e">
        <f>#REF!</f>
        <v>#REF!</v>
      </c>
      <c r="T165" s="281" t="e">
        <f>#REF!</f>
        <v>#REF!</v>
      </c>
      <c r="U165" s="281" t="e">
        <f>#REF!</f>
        <v>#REF!</v>
      </c>
      <c r="V165" s="281" t="e">
        <f>#REF!</f>
        <v>#REF!</v>
      </c>
      <c r="W165" s="281" t="e">
        <f>#REF!</f>
        <v>#REF!</v>
      </c>
      <c r="X165" s="281" t="e">
        <f>#REF!</f>
        <v>#REF!</v>
      </c>
    </row>
    <row r="166" spans="1:24" ht="24.95" customHeight="1">
      <c r="A166" s="274" t="e">
        <f>#REF!</f>
        <v>#REF!</v>
      </c>
      <c r="B166" s="275" t="e">
        <f>#REF!</f>
        <v>#REF!</v>
      </c>
      <c r="C166" s="276" t="e">
        <f>#REF!</f>
        <v>#REF!</v>
      </c>
      <c r="D166" s="277" t="e">
        <f>#REF!</f>
        <v>#REF!</v>
      </c>
      <c r="E166" s="277" t="e">
        <f>#REF!</f>
        <v>#REF!</v>
      </c>
      <c r="F166" s="277" t="e">
        <f>#REF!</f>
        <v>#REF!</v>
      </c>
      <c r="G166" s="277" t="e">
        <f>#REF!</f>
        <v>#REF!</v>
      </c>
      <c r="H166" s="277" t="e">
        <f>#REF!</f>
        <v>#REF!</v>
      </c>
      <c r="I166" s="277" t="e">
        <f>#REF!</f>
        <v>#REF!</v>
      </c>
      <c r="J166" s="277" t="e">
        <f>#REF!</f>
        <v>#REF!</v>
      </c>
      <c r="K166" s="277" t="e">
        <f>#REF!</f>
        <v>#REF!</v>
      </c>
      <c r="L166" s="277" t="e">
        <f>#REF!</f>
        <v>#REF!</v>
      </c>
      <c r="M166" s="277" t="e">
        <f>#REF!</f>
        <v>#REF!</v>
      </c>
      <c r="N166" s="277" t="e">
        <f>#REF!</f>
        <v>#REF!</v>
      </c>
      <c r="O166" s="277" t="e">
        <f>#REF!</f>
        <v>#REF!</v>
      </c>
      <c r="P166" s="277" t="e">
        <f>#REF!</f>
        <v>#REF!</v>
      </c>
      <c r="Q166" s="277" t="e">
        <f>#REF!</f>
        <v>#REF!</v>
      </c>
      <c r="R166" s="277" t="e">
        <f>#REF!</f>
        <v>#REF!</v>
      </c>
      <c r="S166" s="277" t="e">
        <f>#REF!</f>
        <v>#REF!</v>
      </c>
      <c r="T166" s="281" t="e">
        <f>#REF!</f>
        <v>#REF!</v>
      </c>
      <c r="U166" s="281" t="e">
        <f>#REF!</f>
        <v>#REF!</v>
      </c>
      <c r="V166" s="281" t="e">
        <f>#REF!</f>
        <v>#REF!</v>
      </c>
      <c r="W166" s="281" t="e">
        <f>#REF!</f>
        <v>#REF!</v>
      </c>
      <c r="X166" s="281" t="e">
        <f>#REF!</f>
        <v>#REF!</v>
      </c>
    </row>
    <row r="167" spans="1:24" ht="24.95" customHeight="1">
      <c r="A167" s="274" t="e">
        <f>#REF!</f>
        <v>#REF!</v>
      </c>
      <c r="B167" s="275" t="e">
        <f>#REF!</f>
        <v>#REF!</v>
      </c>
      <c r="C167" s="276" t="e">
        <f>#REF!</f>
        <v>#REF!</v>
      </c>
      <c r="D167" s="277" t="e">
        <f>#REF!</f>
        <v>#REF!</v>
      </c>
      <c r="E167" s="277" t="e">
        <f>#REF!</f>
        <v>#REF!</v>
      </c>
      <c r="F167" s="277" t="e">
        <f>#REF!</f>
        <v>#REF!</v>
      </c>
      <c r="G167" s="277" t="e">
        <f>#REF!</f>
        <v>#REF!</v>
      </c>
      <c r="H167" s="277" t="e">
        <f>#REF!</f>
        <v>#REF!</v>
      </c>
      <c r="I167" s="277" t="e">
        <f>#REF!</f>
        <v>#REF!</v>
      </c>
      <c r="J167" s="277" t="e">
        <f>#REF!</f>
        <v>#REF!</v>
      </c>
      <c r="K167" s="277" t="e">
        <f>#REF!</f>
        <v>#REF!</v>
      </c>
      <c r="L167" s="277" t="e">
        <f>#REF!</f>
        <v>#REF!</v>
      </c>
      <c r="M167" s="277" t="e">
        <f>#REF!</f>
        <v>#REF!</v>
      </c>
      <c r="N167" s="277" t="e">
        <f>#REF!</f>
        <v>#REF!</v>
      </c>
      <c r="O167" s="277" t="e">
        <f>#REF!</f>
        <v>#REF!</v>
      </c>
      <c r="P167" s="277" t="e">
        <f>#REF!</f>
        <v>#REF!</v>
      </c>
      <c r="Q167" s="277" t="e">
        <f>#REF!</f>
        <v>#REF!</v>
      </c>
      <c r="R167" s="277" t="e">
        <f>#REF!</f>
        <v>#REF!</v>
      </c>
      <c r="S167" s="277" t="e">
        <f>#REF!</f>
        <v>#REF!</v>
      </c>
      <c r="T167" s="281" t="e">
        <f>#REF!</f>
        <v>#REF!</v>
      </c>
      <c r="U167" s="281" t="e">
        <f>#REF!</f>
        <v>#REF!</v>
      </c>
      <c r="V167" s="281" t="e">
        <f>#REF!</f>
        <v>#REF!</v>
      </c>
      <c r="W167" s="281" t="e">
        <f>#REF!</f>
        <v>#REF!</v>
      </c>
      <c r="X167" s="281" t="e">
        <f>#REF!</f>
        <v>#REF!</v>
      </c>
    </row>
    <row r="168" spans="1:24" ht="24.95" customHeight="1">
      <c r="A168" s="274" t="e">
        <f>#REF!</f>
        <v>#REF!</v>
      </c>
      <c r="B168" s="275" t="e">
        <f>#REF!</f>
        <v>#REF!</v>
      </c>
      <c r="C168" s="276" t="e">
        <f>#REF!</f>
        <v>#REF!</v>
      </c>
      <c r="D168" s="277" t="e">
        <f>#REF!</f>
        <v>#REF!</v>
      </c>
      <c r="E168" s="277" t="e">
        <f>#REF!</f>
        <v>#REF!</v>
      </c>
      <c r="F168" s="277" t="e">
        <f>#REF!</f>
        <v>#REF!</v>
      </c>
      <c r="G168" s="277" t="e">
        <f>#REF!</f>
        <v>#REF!</v>
      </c>
      <c r="H168" s="277" t="e">
        <f>#REF!</f>
        <v>#REF!</v>
      </c>
      <c r="I168" s="277" t="e">
        <f>#REF!</f>
        <v>#REF!</v>
      </c>
      <c r="J168" s="277" t="e">
        <f>#REF!</f>
        <v>#REF!</v>
      </c>
      <c r="K168" s="277" t="e">
        <f>#REF!</f>
        <v>#REF!</v>
      </c>
      <c r="L168" s="277" t="e">
        <f>#REF!</f>
        <v>#REF!</v>
      </c>
      <c r="M168" s="277" t="e">
        <f>#REF!</f>
        <v>#REF!</v>
      </c>
      <c r="N168" s="277" t="e">
        <f>#REF!</f>
        <v>#REF!</v>
      </c>
      <c r="O168" s="277" t="e">
        <f>#REF!</f>
        <v>#REF!</v>
      </c>
      <c r="P168" s="277" t="e">
        <f>#REF!</f>
        <v>#REF!</v>
      </c>
      <c r="Q168" s="277" t="e">
        <f>#REF!</f>
        <v>#REF!</v>
      </c>
      <c r="R168" s="277" t="e">
        <f>#REF!</f>
        <v>#REF!</v>
      </c>
      <c r="S168" s="277" t="e">
        <f>#REF!</f>
        <v>#REF!</v>
      </c>
      <c r="T168" s="281" t="e">
        <f>#REF!</f>
        <v>#REF!</v>
      </c>
      <c r="U168" s="281" t="e">
        <f>#REF!</f>
        <v>#REF!</v>
      </c>
      <c r="V168" s="281" t="e">
        <f>#REF!</f>
        <v>#REF!</v>
      </c>
      <c r="W168" s="281" t="e">
        <f>#REF!</f>
        <v>#REF!</v>
      </c>
      <c r="X168" s="281" t="e">
        <f>#REF!</f>
        <v>#REF!</v>
      </c>
    </row>
    <row r="169" spans="1:24" ht="24.95" customHeight="1">
      <c r="A169" s="274" t="e">
        <f>#REF!</f>
        <v>#REF!</v>
      </c>
      <c r="B169" s="275" t="e">
        <f>#REF!</f>
        <v>#REF!</v>
      </c>
      <c r="C169" s="276" t="e">
        <f>#REF!</f>
        <v>#REF!</v>
      </c>
      <c r="D169" s="277" t="e">
        <f>#REF!</f>
        <v>#REF!</v>
      </c>
      <c r="E169" s="277" t="e">
        <f>#REF!</f>
        <v>#REF!</v>
      </c>
      <c r="F169" s="277" t="e">
        <f>#REF!</f>
        <v>#REF!</v>
      </c>
      <c r="G169" s="277" t="e">
        <f>#REF!</f>
        <v>#REF!</v>
      </c>
      <c r="H169" s="277" t="e">
        <f>#REF!</f>
        <v>#REF!</v>
      </c>
      <c r="I169" s="277" t="e">
        <f>#REF!</f>
        <v>#REF!</v>
      </c>
      <c r="J169" s="277" t="e">
        <f>#REF!</f>
        <v>#REF!</v>
      </c>
      <c r="K169" s="277" t="e">
        <f>#REF!</f>
        <v>#REF!</v>
      </c>
      <c r="L169" s="277" t="e">
        <f>#REF!</f>
        <v>#REF!</v>
      </c>
      <c r="M169" s="277" t="e">
        <f>#REF!</f>
        <v>#REF!</v>
      </c>
      <c r="N169" s="277" t="e">
        <f>#REF!</f>
        <v>#REF!</v>
      </c>
      <c r="O169" s="277" t="e">
        <f>#REF!</f>
        <v>#REF!</v>
      </c>
      <c r="P169" s="277" t="e">
        <f>#REF!</f>
        <v>#REF!</v>
      </c>
      <c r="Q169" s="277" t="e">
        <f>#REF!</f>
        <v>#REF!</v>
      </c>
      <c r="R169" s="277" t="e">
        <f>#REF!</f>
        <v>#REF!</v>
      </c>
      <c r="S169" s="277" t="e">
        <f>#REF!</f>
        <v>#REF!</v>
      </c>
      <c r="T169" s="281" t="e">
        <f>#REF!</f>
        <v>#REF!</v>
      </c>
      <c r="U169" s="281" t="e">
        <f>#REF!</f>
        <v>#REF!</v>
      </c>
      <c r="V169" s="281" t="e">
        <f>#REF!</f>
        <v>#REF!</v>
      </c>
      <c r="W169" s="281" t="e">
        <f>#REF!</f>
        <v>#REF!</v>
      </c>
      <c r="X169" s="281" t="e">
        <f>#REF!</f>
        <v>#REF!</v>
      </c>
    </row>
    <row r="170" spans="1:24" ht="24.95" customHeight="1">
      <c r="A170" s="274" t="e">
        <f>#REF!</f>
        <v>#REF!</v>
      </c>
      <c r="B170" s="275" t="e">
        <f>#REF!</f>
        <v>#REF!</v>
      </c>
      <c r="C170" s="276" t="e">
        <f>#REF!</f>
        <v>#REF!</v>
      </c>
      <c r="D170" s="277" t="e">
        <f>#REF!</f>
        <v>#REF!</v>
      </c>
      <c r="E170" s="277" t="e">
        <f>#REF!</f>
        <v>#REF!</v>
      </c>
      <c r="F170" s="277" t="e">
        <f>#REF!</f>
        <v>#REF!</v>
      </c>
      <c r="G170" s="277" t="e">
        <f>#REF!</f>
        <v>#REF!</v>
      </c>
      <c r="H170" s="277" t="e">
        <f>#REF!</f>
        <v>#REF!</v>
      </c>
      <c r="I170" s="277" t="e">
        <f>#REF!</f>
        <v>#REF!</v>
      </c>
      <c r="J170" s="277" t="e">
        <f>#REF!</f>
        <v>#REF!</v>
      </c>
      <c r="K170" s="277" t="e">
        <f>#REF!</f>
        <v>#REF!</v>
      </c>
      <c r="L170" s="277" t="e">
        <f>#REF!</f>
        <v>#REF!</v>
      </c>
      <c r="M170" s="277" t="e">
        <f>#REF!</f>
        <v>#REF!</v>
      </c>
      <c r="N170" s="277" t="e">
        <f>#REF!</f>
        <v>#REF!</v>
      </c>
      <c r="O170" s="277" t="e">
        <f>#REF!</f>
        <v>#REF!</v>
      </c>
      <c r="P170" s="277" t="e">
        <f>#REF!</f>
        <v>#REF!</v>
      </c>
      <c r="Q170" s="277" t="e">
        <f>#REF!</f>
        <v>#REF!</v>
      </c>
      <c r="R170" s="277" t="e">
        <f>#REF!</f>
        <v>#REF!</v>
      </c>
      <c r="S170" s="277" t="e">
        <f>#REF!</f>
        <v>#REF!</v>
      </c>
      <c r="T170" s="281" t="e">
        <f>#REF!</f>
        <v>#REF!</v>
      </c>
      <c r="U170" s="281" t="e">
        <f>#REF!</f>
        <v>#REF!</v>
      </c>
      <c r="V170" s="281" t="e">
        <f>#REF!</f>
        <v>#REF!</v>
      </c>
      <c r="W170" s="281" t="e">
        <f>#REF!</f>
        <v>#REF!</v>
      </c>
      <c r="X170" s="281" t="e">
        <f>#REF!</f>
        <v>#REF!</v>
      </c>
    </row>
    <row r="171" spans="1:24" ht="24.95" customHeight="1">
      <c r="A171" s="274" t="e">
        <f>#REF!</f>
        <v>#REF!</v>
      </c>
      <c r="B171" s="275" t="e">
        <f>#REF!</f>
        <v>#REF!</v>
      </c>
      <c r="C171" s="276" t="e">
        <f>#REF!</f>
        <v>#REF!</v>
      </c>
      <c r="D171" s="277" t="e">
        <f>#REF!</f>
        <v>#REF!</v>
      </c>
      <c r="E171" s="277" t="e">
        <f>#REF!</f>
        <v>#REF!</v>
      </c>
      <c r="F171" s="277" t="e">
        <f>#REF!</f>
        <v>#REF!</v>
      </c>
      <c r="G171" s="277" t="e">
        <f>#REF!</f>
        <v>#REF!</v>
      </c>
      <c r="H171" s="277" t="e">
        <f>#REF!</f>
        <v>#REF!</v>
      </c>
      <c r="I171" s="277" t="e">
        <f>#REF!</f>
        <v>#REF!</v>
      </c>
      <c r="J171" s="277" t="e">
        <f>#REF!</f>
        <v>#REF!</v>
      </c>
      <c r="K171" s="277" t="e">
        <f>#REF!</f>
        <v>#REF!</v>
      </c>
      <c r="L171" s="277" t="e">
        <f>#REF!</f>
        <v>#REF!</v>
      </c>
      <c r="M171" s="277" t="e">
        <f>#REF!</f>
        <v>#REF!</v>
      </c>
      <c r="N171" s="277" t="e">
        <f>#REF!</f>
        <v>#REF!</v>
      </c>
      <c r="O171" s="277" t="e">
        <f>#REF!</f>
        <v>#REF!</v>
      </c>
      <c r="P171" s="277" t="e">
        <f>#REF!</f>
        <v>#REF!</v>
      </c>
      <c r="Q171" s="277" t="e">
        <f>#REF!</f>
        <v>#REF!</v>
      </c>
      <c r="R171" s="277" t="e">
        <f>#REF!</f>
        <v>#REF!</v>
      </c>
      <c r="S171" s="277" t="e">
        <f>#REF!</f>
        <v>#REF!</v>
      </c>
      <c r="T171" s="281" t="e">
        <f>#REF!</f>
        <v>#REF!</v>
      </c>
      <c r="U171" s="281" t="e">
        <f>#REF!</f>
        <v>#REF!</v>
      </c>
      <c r="V171" s="281" t="e">
        <f>#REF!</f>
        <v>#REF!</v>
      </c>
      <c r="W171" s="281" t="e">
        <f>#REF!</f>
        <v>#REF!</v>
      </c>
      <c r="X171" s="281" t="e">
        <f>#REF!</f>
        <v>#REF!</v>
      </c>
    </row>
    <row r="172" spans="1:24" ht="24.95" customHeight="1">
      <c r="A172" s="274" t="e">
        <f>#REF!</f>
        <v>#REF!</v>
      </c>
      <c r="B172" s="275" t="e">
        <f>#REF!</f>
        <v>#REF!</v>
      </c>
      <c r="C172" s="276" t="e">
        <f>#REF!</f>
        <v>#REF!</v>
      </c>
      <c r="D172" s="277" t="e">
        <f>#REF!</f>
        <v>#REF!</v>
      </c>
      <c r="E172" s="277" t="e">
        <f>#REF!</f>
        <v>#REF!</v>
      </c>
      <c r="F172" s="277" t="e">
        <f>#REF!</f>
        <v>#REF!</v>
      </c>
      <c r="G172" s="277" t="e">
        <f>#REF!</f>
        <v>#REF!</v>
      </c>
      <c r="H172" s="277" t="e">
        <f>#REF!</f>
        <v>#REF!</v>
      </c>
      <c r="I172" s="277" t="e">
        <f>#REF!</f>
        <v>#REF!</v>
      </c>
      <c r="J172" s="277" t="e">
        <f>#REF!</f>
        <v>#REF!</v>
      </c>
      <c r="K172" s="277" t="e">
        <f>#REF!</f>
        <v>#REF!</v>
      </c>
      <c r="L172" s="277" t="e">
        <f>#REF!</f>
        <v>#REF!</v>
      </c>
      <c r="M172" s="277" t="e">
        <f>#REF!</f>
        <v>#REF!</v>
      </c>
      <c r="N172" s="277" t="e">
        <f>#REF!</f>
        <v>#REF!</v>
      </c>
      <c r="O172" s="277" t="e">
        <f>#REF!</f>
        <v>#REF!</v>
      </c>
      <c r="P172" s="277" t="e">
        <f>#REF!</f>
        <v>#REF!</v>
      </c>
      <c r="Q172" s="277" t="e">
        <f>#REF!</f>
        <v>#REF!</v>
      </c>
      <c r="R172" s="277" t="e">
        <f>#REF!</f>
        <v>#REF!</v>
      </c>
      <c r="S172" s="277" t="e">
        <f>#REF!</f>
        <v>#REF!</v>
      </c>
      <c r="T172" s="281" t="e">
        <f>#REF!</f>
        <v>#REF!</v>
      </c>
      <c r="U172" s="281" t="e">
        <f>#REF!</f>
        <v>#REF!</v>
      </c>
      <c r="V172" s="281" t="e">
        <f>#REF!</f>
        <v>#REF!</v>
      </c>
      <c r="W172" s="281" t="e">
        <f>#REF!</f>
        <v>#REF!</v>
      </c>
      <c r="X172" s="281" t="e">
        <f>#REF!</f>
        <v>#REF!</v>
      </c>
    </row>
    <row r="173" spans="1:24" ht="24.95" customHeight="1">
      <c r="A173" s="274" t="e">
        <f>#REF!</f>
        <v>#REF!</v>
      </c>
      <c r="B173" s="275" t="e">
        <f>#REF!</f>
        <v>#REF!</v>
      </c>
      <c r="C173" s="276" t="e">
        <f>#REF!</f>
        <v>#REF!</v>
      </c>
      <c r="D173" s="277" t="e">
        <f>#REF!</f>
        <v>#REF!</v>
      </c>
      <c r="E173" s="277" t="e">
        <f>#REF!</f>
        <v>#REF!</v>
      </c>
      <c r="F173" s="277" t="e">
        <f>#REF!</f>
        <v>#REF!</v>
      </c>
      <c r="G173" s="277" t="e">
        <f>#REF!</f>
        <v>#REF!</v>
      </c>
      <c r="H173" s="277" t="e">
        <f>#REF!</f>
        <v>#REF!</v>
      </c>
      <c r="I173" s="277" t="e">
        <f>#REF!</f>
        <v>#REF!</v>
      </c>
      <c r="J173" s="277" t="e">
        <f>#REF!</f>
        <v>#REF!</v>
      </c>
      <c r="K173" s="277" t="e">
        <f>#REF!</f>
        <v>#REF!</v>
      </c>
      <c r="L173" s="277" t="e">
        <f>#REF!</f>
        <v>#REF!</v>
      </c>
      <c r="M173" s="277" t="e">
        <f>#REF!</f>
        <v>#REF!</v>
      </c>
      <c r="N173" s="277" t="e">
        <f>#REF!</f>
        <v>#REF!</v>
      </c>
      <c r="O173" s="277" t="e">
        <f>#REF!</f>
        <v>#REF!</v>
      </c>
      <c r="P173" s="277" t="e">
        <f>#REF!</f>
        <v>#REF!</v>
      </c>
      <c r="Q173" s="277" t="e">
        <f>#REF!</f>
        <v>#REF!</v>
      </c>
      <c r="R173" s="277" t="e">
        <f>#REF!</f>
        <v>#REF!</v>
      </c>
      <c r="S173" s="277" t="e">
        <f>#REF!</f>
        <v>#REF!</v>
      </c>
      <c r="T173" s="281" t="e">
        <f>#REF!</f>
        <v>#REF!</v>
      </c>
      <c r="U173" s="281" t="e">
        <f>#REF!</f>
        <v>#REF!</v>
      </c>
      <c r="V173" s="281" t="e">
        <f>#REF!</f>
        <v>#REF!</v>
      </c>
      <c r="W173" s="281" t="e">
        <f>#REF!</f>
        <v>#REF!</v>
      </c>
      <c r="X173" s="281" t="e">
        <f>#REF!</f>
        <v>#REF!</v>
      </c>
    </row>
    <row r="174" spans="1:24" ht="24.95" customHeight="1">
      <c r="A174" s="274" t="e">
        <f>#REF!</f>
        <v>#REF!</v>
      </c>
      <c r="B174" s="275" t="e">
        <f>#REF!</f>
        <v>#REF!</v>
      </c>
      <c r="C174" s="276" t="e">
        <f>#REF!</f>
        <v>#REF!</v>
      </c>
      <c r="D174" s="277" t="e">
        <f>#REF!</f>
        <v>#REF!</v>
      </c>
      <c r="E174" s="277" t="e">
        <f>#REF!</f>
        <v>#REF!</v>
      </c>
      <c r="F174" s="277" t="e">
        <f>#REF!</f>
        <v>#REF!</v>
      </c>
      <c r="G174" s="277" t="e">
        <f>#REF!</f>
        <v>#REF!</v>
      </c>
      <c r="H174" s="277" t="e">
        <f>#REF!</f>
        <v>#REF!</v>
      </c>
      <c r="I174" s="277" t="e">
        <f>#REF!</f>
        <v>#REF!</v>
      </c>
      <c r="J174" s="277" t="e">
        <f>#REF!</f>
        <v>#REF!</v>
      </c>
      <c r="K174" s="277" t="e">
        <f>#REF!</f>
        <v>#REF!</v>
      </c>
      <c r="L174" s="277" t="e">
        <f>#REF!</f>
        <v>#REF!</v>
      </c>
      <c r="M174" s="277" t="e">
        <f>#REF!</f>
        <v>#REF!</v>
      </c>
      <c r="N174" s="277" t="e">
        <f>#REF!</f>
        <v>#REF!</v>
      </c>
      <c r="O174" s="277" t="e">
        <f>#REF!</f>
        <v>#REF!</v>
      </c>
      <c r="P174" s="277" t="e">
        <f>#REF!</f>
        <v>#REF!</v>
      </c>
      <c r="Q174" s="277" t="e">
        <f>#REF!</f>
        <v>#REF!</v>
      </c>
      <c r="R174" s="277" t="e">
        <f>#REF!</f>
        <v>#REF!</v>
      </c>
      <c r="S174" s="277" t="e">
        <f>#REF!</f>
        <v>#REF!</v>
      </c>
      <c r="T174" s="281" t="e">
        <f>#REF!</f>
        <v>#REF!</v>
      </c>
      <c r="U174" s="281" t="e">
        <f>#REF!</f>
        <v>#REF!</v>
      </c>
      <c r="V174" s="281" t="e">
        <f>#REF!</f>
        <v>#REF!</v>
      </c>
      <c r="W174" s="281" t="e">
        <f>#REF!</f>
        <v>#REF!</v>
      </c>
      <c r="X174" s="281" t="e">
        <f>#REF!</f>
        <v>#REF!</v>
      </c>
    </row>
    <row r="175" spans="1:24" ht="24.95" customHeight="1">
      <c r="A175" s="274" t="e">
        <f>#REF!</f>
        <v>#REF!</v>
      </c>
      <c r="B175" s="275" t="e">
        <f>#REF!</f>
        <v>#REF!</v>
      </c>
      <c r="C175" s="276" t="e">
        <f>#REF!</f>
        <v>#REF!</v>
      </c>
      <c r="D175" s="277" t="e">
        <f>#REF!</f>
        <v>#REF!</v>
      </c>
      <c r="E175" s="277" t="e">
        <f>#REF!</f>
        <v>#REF!</v>
      </c>
      <c r="F175" s="277" t="e">
        <f>#REF!</f>
        <v>#REF!</v>
      </c>
      <c r="G175" s="277" t="e">
        <f>#REF!</f>
        <v>#REF!</v>
      </c>
      <c r="H175" s="277" t="e">
        <f>#REF!</f>
        <v>#REF!</v>
      </c>
      <c r="I175" s="277" t="e">
        <f>#REF!</f>
        <v>#REF!</v>
      </c>
      <c r="J175" s="277" t="e">
        <f>#REF!</f>
        <v>#REF!</v>
      </c>
      <c r="K175" s="277" t="e">
        <f>#REF!</f>
        <v>#REF!</v>
      </c>
      <c r="L175" s="277" t="e">
        <f>#REF!</f>
        <v>#REF!</v>
      </c>
      <c r="M175" s="277" t="e">
        <f>#REF!</f>
        <v>#REF!</v>
      </c>
      <c r="N175" s="277" t="e">
        <f>#REF!</f>
        <v>#REF!</v>
      </c>
      <c r="O175" s="277" t="e">
        <f>#REF!</f>
        <v>#REF!</v>
      </c>
      <c r="P175" s="277" t="e">
        <f>#REF!</f>
        <v>#REF!</v>
      </c>
      <c r="Q175" s="277" t="e">
        <f>#REF!</f>
        <v>#REF!</v>
      </c>
      <c r="R175" s="277" t="e">
        <f>#REF!</f>
        <v>#REF!</v>
      </c>
      <c r="S175" s="277" t="e">
        <f>#REF!</f>
        <v>#REF!</v>
      </c>
      <c r="T175" s="281" t="e">
        <f>#REF!</f>
        <v>#REF!</v>
      </c>
      <c r="U175" s="281" t="e">
        <f>#REF!</f>
        <v>#REF!</v>
      </c>
      <c r="V175" s="281" t="e">
        <f>#REF!</f>
        <v>#REF!</v>
      </c>
      <c r="W175" s="281" t="e">
        <f>#REF!</f>
        <v>#REF!</v>
      </c>
      <c r="X175" s="281" t="e">
        <f>#REF!</f>
        <v>#REF!</v>
      </c>
    </row>
    <row r="176" spans="1:24" ht="24.95" customHeight="1">
      <c r="A176" s="274" t="e">
        <f>#REF!</f>
        <v>#REF!</v>
      </c>
      <c r="B176" s="275" t="e">
        <f>#REF!</f>
        <v>#REF!</v>
      </c>
      <c r="C176" s="276" t="e">
        <f>#REF!</f>
        <v>#REF!</v>
      </c>
      <c r="D176" s="277" t="e">
        <f>#REF!</f>
        <v>#REF!</v>
      </c>
      <c r="E176" s="277" t="e">
        <f>#REF!</f>
        <v>#REF!</v>
      </c>
      <c r="F176" s="277" t="e">
        <f>#REF!</f>
        <v>#REF!</v>
      </c>
      <c r="G176" s="277" t="e">
        <f>#REF!</f>
        <v>#REF!</v>
      </c>
      <c r="H176" s="277" t="e">
        <f>#REF!</f>
        <v>#REF!</v>
      </c>
      <c r="I176" s="277" t="e">
        <f>#REF!</f>
        <v>#REF!</v>
      </c>
      <c r="J176" s="277" t="e">
        <f>#REF!</f>
        <v>#REF!</v>
      </c>
      <c r="K176" s="277" t="e">
        <f>#REF!</f>
        <v>#REF!</v>
      </c>
      <c r="L176" s="277" t="e">
        <f>#REF!</f>
        <v>#REF!</v>
      </c>
      <c r="M176" s="277" t="e">
        <f>#REF!</f>
        <v>#REF!</v>
      </c>
      <c r="N176" s="277" t="e">
        <f>#REF!</f>
        <v>#REF!</v>
      </c>
      <c r="O176" s="277" t="e">
        <f>#REF!</f>
        <v>#REF!</v>
      </c>
      <c r="P176" s="277" t="e">
        <f>#REF!</f>
        <v>#REF!</v>
      </c>
      <c r="Q176" s="277" t="e">
        <f>#REF!</f>
        <v>#REF!</v>
      </c>
      <c r="R176" s="277" t="e">
        <f>#REF!</f>
        <v>#REF!</v>
      </c>
      <c r="S176" s="277" t="e">
        <f>#REF!</f>
        <v>#REF!</v>
      </c>
      <c r="T176" s="281" t="e">
        <f>#REF!</f>
        <v>#REF!</v>
      </c>
      <c r="U176" s="281" t="e">
        <f>#REF!</f>
        <v>#REF!</v>
      </c>
      <c r="V176" s="281" t="e">
        <f>#REF!</f>
        <v>#REF!</v>
      </c>
      <c r="W176" s="281" t="e">
        <f>#REF!</f>
        <v>#REF!</v>
      </c>
      <c r="X176" s="281" t="e">
        <f>#REF!</f>
        <v>#REF!</v>
      </c>
    </row>
    <row r="177" spans="1:24" ht="24.95" customHeight="1">
      <c r="A177" s="274" t="e">
        <f>#REF!</f>
        <v>#REF!</v>
      </c>
      <c r="B177" s="275" t="e">
        <f>#REF!</f>
        <v>#REF!</v>
      </c>
      <c r="C177" s="276" t="e">
        <f>#REF!</f>
        <v>#REF!</v>
      </c>
      <c r="D177" s="277" t="e">
        <f>#REF!</f>
        <v>#REF!</v>
      </c>
      <c r="E177" s="277" t="e">
        <f>#REF!</f>
        <v>#REF!</v>
      </c>
      <c r="F177" s="277" t="e">
        <f>#REF!</f>
        <v>#REF!</v>
      </c>
      <c r="G177" s="277" t="e">
        <f>#REF!</f>
        <v>#REF!</v>
      </c>
      <c r="H177" s="277" t="e">
        <f>#REF!</f>
        <v>#REF!</v>
      </c>
      <c r="I177" s="277" t="e">
        <f>#REF!</f>
        <v>#REF!</v>
      </c>
      <c r="J177" s="277" t="e">
        <f>#REF!</f>
        <v>#REF!</v>
      </c>
      <c r="K177" s="277" t="e">
        <f>#REF!</f>
        <v>#REF!</v>
      </c>
      <c r="L177" s="277" t="e">
        <f>#REF!</f>
        <v>#REF!</v>
      </c>
      <c r="M177" s="277" t="e">
        <f>#REF!</f>
        <v>#REF!</v>
      </c>
      <c r="N177" s="277" t="e">
        <f>#REF!</f>
        <v>#REF!</v>
      </c>
      <c r="O177" s="277" t="e">
        <f>#REF!</f>
        <v>#REF!</v>
      </c>
      <c r="P177" s="277" t="e">
        <f>#REF!</f>
        <v>#REF!</v>
      </c>
      <c r="Q177" s="277" t="e">
        <f>#REF!</f>
        <v>#REF!</v>
      </c>
      <c r="R177" s="277" t="e">
        <f>#REF!</f>
        <v>#REF!</v>
      </c>
      <c r="S177" s="277" t="e">
        <f>#REF!</f>
        <v>#REF!</v>
      </c>
      <c r="T177" s="281" t="e">
        <f>#REF!</f>
        <v>#REF!</v>
      </c>
      <c r="U177" s="281" t="e">
        <f>#REF!</f>
        <v>#REF!</v>
      </c>
      <c r="V177" s="281" t="e">
        <f>#REF!</f>
        <v>#REF!</v>
      </c>
      <c r="W177" s="281" t="e">
        <f>#REF!</f>
        <v>#REF!</v>
      </c>
      <c r="X177" s="281" t="e">
        <f>#REF!</f>
        <v>#REF!</v>
      </c>
    </row>
    <row r="178" spans="1:24" ht="24.95" customHeight="1">
      <c r="A178" s="274" t="e">
        <f>#REF!</f>
        <v>#REF!</v>
      </c>
      <c r="B178" s="275" t="e">
        <f>#REF!</f>
        <v>#REF!</v>
      </c>
      <c r="C178" s="276" t="e">
        <f>#REF!</f>
        <v>#REF!</v>
      </c>
      <c r="D178" s="277" t="e">
        <f>#REF!</f>
        <v>#REF!</v>
      </c>
      <c r="E178" s="277" t="e">
        <f>#REF!</f>
        <v>#REF!</v>
      </c>
      <c r="F178" s="277" t="e">
        <f>#REF!</f>
        <v>#REF!</v>
      </c>
      <c r="G178" s="277" t="e">
        <f>#REF!</f>
        <v>#REF!</v>
      </c>
      <c r="H178" s="277" t="e">
        <f>#REF!</f>
        <v>#REF!</v>
      </c>
      <c r="I178" s="277" t="e">
        <f>#REF!</f>
        <v>#REF!</v>
      </c>
      <c r="J178" s="277" t="e">
        <f>#REF!</f>
        <v>#REF!</v>
      </c>
      <c r="K178" s="277" t="e">
        <f>#REF!</f>
        <v>#REF!</v>
      </c>
      <c r="L178" s="277" t="e">
        <f>#REF!</f>
        <v>#REF!</v>
      </c>
      <c r="M178" s="277" t="e">
        <f>#REF!</f>
        <v>#REF!</v>
      </c>
      <c r="N178" s="277" t="e">
        <f>#REF!</f>
        <v>#REF!</v>
      </c>
      <c r="O178" s="277" t="e">
        <f>#REF!</f>
        <v>#REF!</v>
      </c>
      <c r="P178" s="277" t="e">
        <f>#REF!</f>
        <v>#REF!</v>
      </c>
      <c r="Q178" s="277" t="e">
        <f>#REF!</f>
        <v>#REF!</v>
      </c>
      <c r="R178" s="277" t="e">
        <f>#REF!</f>
        <v>#REF!</v>
      </c>
      <c r="S178" s="277" t="e">
        <f>#REF!</f>
        <v>#REF!</v>
      </c>
      <c r="T178" s="281" t="e">
        <f>#REF!</f>
        <v>#REF!</v>
      </c>
      <c r="U178" s="281" t="e">
        <f>#REF!</f>
        <v>#REF!</v>
      </c>
      <c r="V178" s="281" t="e">
        <f>#REF!</f>
        <v>#REF!</v>
      </c>
      <c r="W178" s="281" t="e">
        <f>#REF!</f>
        <v>#REF!</v>
      </c>
      <c r="X178" s="281" t="e">
        <f>#REF!</f>
        <v>#REF!</v>
      </c>
    </row>
    <row r="179" spans="1:24" ht="24.95" customHeight="1">
      <c r="A179" s="274" t="e">
        <f>#REF!</f>
        <v>#REF!</v>
      </c>
      <c r="B179" s="275" t="e">
        <f>#REF!</f>
        <v>#REF!</v>
      </c>
      <c r="C179" s="276" t="e">
        <f>#REF!</f>
        <v>#REF!</v>
      </c>
      <c r="D179" s="277" t="e">
        <f>#REF!</f>
        <v>#REF!</v>
      </c>
      <c r="E179" s="277" t="e">
        <f>#REF!</f>
        <v>#REF!</v>
      </c>
      <c r="F179" s="277" t="e">
        <f>#REF!</f>
        <v>#REF!</v>
      </c>
      <c r="G179" s="277" t="e">
        <f>#REF!</f>
        <v>#REF!</v>
      </c>
      <c r="H179" s="277" t="e">
        <f>#REF!</f>
        <v>#REF!</v>
      </c>
      <c r="I179" s="277" t="e">
        <f>#REF!</f>
        <v>#REF!</v>
      </c>
      <c r="J179" s="277" t="e">
        <f>#REF!</f>
        <v>#REF!</v>
      </c>
      <c r="K179" s="277" t="e">
        <f>#REF!</f>
        <v>#REF!</v>
      </c>
      <c r="L179" s="277" t="e">
        <f>#REF!</f>
        <v>#REF!</v>
      </c>
      <c r="M179" s="277" t="e">
        <f>#REF!</f>
        <v>#REF!</v>
      </c>
      <c r="N179" s="277" t="e">
        <f>#REF!</f>
        <v>#REF!</v>
      </c>
      <c r="O179" s="277" t="e">
        <f>#REF!</f>
        <v>#REF!</v>
      </c>
      <c r="P179" s="277" t="e">
        <f>#REF!</f>
        <v>#REF!</v>
      </c>
      <c r="Q179" s="277" t="e">
        <f>#REF!</f>
        <v>#REF!</v>
      </c>
      <c r="R179" s="277" t="e">
        <f>#REF!</f>
        <v>#REF!</v>
      </c>
      <c r="S179" s="277" t="e">
        <f>#REF!</f>
        <v>#REF!</v>
      </c>
      <c r="T179" s="281" t="e">
        <f>#REF!</f>
        <v>#REF!</v>
      </c>
      <c r="U179" s="281" t="e">
        <f>#REF!</f>
        <v>#REF!</v>
      </c>
      <c r="V179" s="281" t="e">
        <f>#REF!</f>
        <v>#REF!</v>
      </c>
      <c r="W179" s="281" t="e">
        <f>#REF!</f>
        <v>#REF!</v>
      </c>
      <c r="X179" s="281" t="e">
        <f>#REF!</f>
        <v>#REF!</v>
      </c>
    </row>
    <row r="180" spans="1:24" ht="24.95" customHeight="1">
      <c r="A180" s="274" t="e">
        <f>#REF!</f>
        <v>#REF!</v>
      </c>
      <c r="B180" s="275" t="e">
        <f>#REF!</f>
        <v>#REF!</v>
      </c>
      <c r="C180" s="276" t="e">
        <f>#REF!</f>
        <v>#REF!</v>
      </c>
      <c r="D180" s="277" t="e">
        <f>#REF!</f>
        <v>#REF!</v>
      </c>
      <c r="E180" s="277" t="e">
        <f>#REF!</f>
        <v>#REF!</v>
      </c>
      <c r="F180" s="277" t="e">
        <f>#REF!</f>
        <v>#REF!</v>
      </c>
      <c r="G180" s="277" t="e">
        <f>#REF!</f>
        <v>#REF!</v>
      </c>
      <c r="H180" s="277" t="e">
        <f>#REF!</f>
        <v>#REF!</v>
      </c>
      <c r="I180" s="277" t="e">
        <f>#REF!</f>
        <v>#REF!</v>
      </c>
      <c r="J180" s="277" t="e">
        <f>#REF!</f>
        <v>#REF!</v>
      </c>
      <c r="K180" s="277" t="e">
        <f>#REF!</f>
        <v>#REF!</v>
      </c>
      <c r="L180" s="277" t="e">
        <f>#REF!</f>
        <v>#REF!</v>
      </c>
      <c r="M180" s="277" t="e">
        <f>#REF!</f>
        <v>#REF!</v>
      </c>
      <c r="N180" s="277" t="e">
        <f>#REF!</f>
        <v>#REF!</v>
      </c>
      <c r="O180" s="277" t="e">
        <f>#REF!</f>
        <v>#REF!</v>
      </c>
      <c r="P180" s="277" t="e">
        <f>#REF!</f>
        <v>#REF!</v>
      </c>
      <c r="Q180" s="277" t="e">
        <f>#REF!</f>
        <v>#REF!</v>
      </c>
      <c r="R180" s="277" t="e">
        <f>#REF!</f>
        <v>#REF!</v>
      </c>
      <c r="S180" s="277" t="e">
        <f>#REF!</f>
        <v>#REF!</v>
      </c>
      <c r="T180" s="281" t="e">
        <f>#REF!</f>
        <v>#REF!</v>
      </c>
      <c r="U180" s="281" t="e">
        <f>#REF!</f>
        <v>#REF!</v>
      </c>
      <c r="V180" s="281" t="e">
        <f>#REF!</f>
        <v>#REF!</v>
      </c>
      <c r="W180" s="281" t="e">
        <f>#REF!</f>
        <v>#REF!</v>
      </c>
      <c r="X180" s="281" t="e">
        <f>#REF!</f>
        <v>#REF!</v>
      </c>
    </row>
    <row r="181" spans="1:24" ht="24.95" customHeight="1">
      <c r="A181" s="274" t="e">
        <f>#REF!</f>
        <v>#REF!</v>
      </c>
      <c r="B181" s="275" t="e">
        <f>#REF!</f>
        <v>#REF!</v>
      </c>
      <c r="C181" s="276" t="e">
        <f>#REF!</f>
        <v>#REF!</v>
      </c>
      <c r="D181" s="277" t="e">
        <f>#REF!</f>
        <v>#REF!</v>
      </c>
      <c r="E181" s="277" t="e">
        <f>#REF!</f>
        <v>#REF!</v>
      </c>
      <c r="F181" s="277" t="e">
        <f>#REF!</f>
        <v>#REF!</v>
      </c>
      <c r="G181" s="277" t="e">
        <f>#REF!</f>
        <v>#REF!</v>
      </c>
      <c r="H181" s="277" t="e">
        <f>#REF!</f>
        <v>#REF!</v>
      </c>
      <c r="I181" s="277" t="e">
        <f>#REF!</f>
        <v>#REF!</v>
      </c>
      <c r="J181" s="277" t="e">
        <f>#REF!</f>
        <v>#REF!</v>
      </c>
      <c r="K181" s="277" t="e">
        <f>#REF!</f>
        <v>#REF!</v>
      </c>
      <c r="L181" s="277" t="e">
        <f>#REF!</f>
        <v>#REF!</v>
      </c>
      <c r="M181" s="277" t="e">
        <f>#REF!</f>
        <v>#REF!</v>
      </c>
      <c r="N181" s="277" t="e">
        <f>#REF!</f>
        <v>#REF!</v>
      </c>
      <c r="O181" s="277" t="e">
        <f>#REF!</f>
        <v>#REF!</v>
      </c>
      <c r="P181" s="277" t="e">
        <f>#REF!</f>
        <v>#REF!</v>
      </c>
      <c r="Q181" s="277" t="e">
        <f>#REF!</f>
        <v>#REF!</v>
      </c>
      <c r="R181" s="277" t="e">
        <f>#REF!</f>
        <v>#REF!</v>
      </c>
      <c r="S181" s="277" t="e">
        <f>#REF!</f>
        <v>#REF!</v>
      </c>
      <c r="T181" s="281" t="e">
        <f>#REF!</f>
        <v>#REF!</v>
      </c>
      <c r="U181" s="281" t="e">
        <f>#REF!</f>
        <v>#REF!</v>
      </c>
      <c r="V181" s="281" t="e">
        <f>#REF!</f>
        <v>#REF!</v>
      </c>
      <c r="W181" s="281" t="e">
        <f>#REF!</f>
        <v>#REF!</v>
      </c>
      <c r="X181" s="281" t="e">
        <f>#REF!</f>
        <v>#REF!</v>
      </c>
    </row>
    <row r="182" spans="1:24" ht="24.95" customHeight="1">
      <c r="A182" s="274" t="e">
        <f>#REF!</f>
        <v>#REF!</v>
      </c>
      <c r="B182" s="275" t="e">
        <f>#REF!</f>
        <v>#REF!</v>
      </c>
      <c r="C182" s="276" t="e">
        <f>#REF!</f>
        <v>#REF!</v>
      </c>
      <c r="D182" s="277" t="e">
        <f>#REF!</f>
        <v>#REF!</v>
      </c>
      <c r="E182" s="277" t="e">
        <f>#REF!</f>
        <v>#REF!</v>
      </c>
      <c r="F182" s="277" t="e">
        <f>#REF!</f>
        <v>#REF!</v>
      </c>
      <c r="G182" s="277" t="e">
        <f>#REF!</f>
        <v>#REF!</v>
      </c>
      <c r="H182" s="277" t="e">
        <f>#REF!</f>
        <v>#REF!</v>
      </c>
      <c r="I182" s="277" t="e">
        <f>#REF!</f>
        <v>#REF!</v>
      </c>
      <c r="J182" s="277" t="e">
        <f>#REF!</f>
        <v>#REF!</v>
      </c>
      <c r="K182" s="277" t="e">
        <f>#REF!</f>
        <v>#REF!</v>
      </c>
      <c r="L182" s="277" t="e">
        <f>#REF!</f>
        <v>#REF!</v>
      </c>
      <c r="M182" s="277" t="e">
        <f>#REF!</f>
        <v>#REF!</v>
      </c>
      <c r="N182" s="277" t="e">
        <f>#REF!</f>
        <v>#REF!</v>
      </c>
      <c r="O182" s="277" t="e">
        <f>#REF!</f>
        <v>#REF!</v>
      </c>
      <c r="P182" s="277" t="e">
        <f>#REF!</f>
        <v>#REF!</v>
      </c>
      <c r="Q182" s="277" t="e">
        <f>#REF!</f>
        <v>#REF!</v>
      </c>
      <c r="R182" s="277" t="e">
        <f>#REF!</f>
        <v>#REF!</v>
      </c>
      <c r="S182" s="277" t="e">
        <f>#REF!</f>
        <v>#REF!</v>
      </c>
      <c r="T182" s="281" t="e">
        <f>#REF!</f>
        <v>#REF!</v>
      </c>
      <c r="U182" s="281" t="e">
        <f>#REF!</f>
        <v>#REF!</v>
      </c>
      <c r="V182" s="281" t="e">
        <f>#REF!</f>
        <v>#REF!</v>
      </c>
      <c r="W182" s="281" t="e">
        <f>#REF!</f>
        <v>#REF!</v>
      </c>
      <c r="X182" s="281" t="e">
        <f>#REF!</f>
        <v>#REF!</v>
      </c>
    </row>
    <row r="183" spans="1:24" ht="24.95" customHeight="1">
      <c r="A183" s="274" t="e">
        <f>#REF!</f>
        <v>#REF!</v>
      </c>
      <c r="B183" s="275" t="e">
        <f>#REF!</f>
        <v>#REF!</v>
      </c>
      <c r="C183" s="276" t="e">
        <f>#REF!</f>
        <v>#REF!</v>
      </c>
      <c r="D183" s="277" t="e">
        <f>#REF!</f>
        <v>#REF!</v>
      </c>
      <c r="E183" s="277" t="e">
        <f>#REF!</f>
        <v>#REF!</v>
      </c>
      <c r="F183" s="277" t="e">
        <f>#REF!</f>
        <v>#REF!</v>
      </c>
      <c r="G183" s="277" t="e">
        <f>#REF!</f>
        <v>#REF!</v>
      </c>
      <c r="H183" s="277" t="e">
        <f>#REF!</f>
        <v>#REF!</v>
      </c>
      <c r="I183" s="277" t="e">
        <f>#REF!</f>
        <v>#REF!</v>
      </c>
      <c r="J183" s="277" t="e">
        <f>#REF!</f>
        <v>#REF!</v>
      </c>
      <c r="K183" s="277" t="e">
        <f>#REF!</f>
        <v>#REF!</v>
      </c>
      <c r="L183" s="277" t="e">
        <f>#REF!</f>
        <v>#REF!</v>
      </c>
      <c r="M183" s="277" t="e">
        <f>#REF!</f>
        <v>#REF!</v>
      </c>
      <c r="N183" s="277" t="e">
        <f>#REF!</f>
        <v>#REF!</v>
      </c>
      <c r="O183" s="277" t="e">
        <f>#REF!</f>
        <v>#REF!</v>
      </c>
      <c r="P183" s="277" t="e">
        <f>#REF!</f>
        <v>#REF!</v>
      </c>
      <c r="Q183" s="277" t="e">
        <f>#REF!</f>
        <v>#REF!</v>
      </c>
      <c r="R183" s="277" t="e">
        <f>#REF!</f>
        <v>#REF!</v>
      </c>
      <c r="S183" s="277" t="e">
        <f>#REF!</f>
        <v>#REF!</v>
      </c>
      <c r="T183" s="281" t="e">
        <f>#REF!</f>
        <v>#REF!</v>
      </c>
      <c r="U183" s="281" t="e">
        <f>#REF!</f>
        <v>#REF!</v>
      </c>
      <c r="V183" s="281" t="e">
        <f>#REF!</f>
        <v>#REF!</v>
      </c>
      <c r="W183" s="281" t="e">
        <f>#REF!</f>
        <v>#REF!</v>
      </c>
      <c r="X183" s="281" t="e">
        <f>#REF!</f>
        <v>#REF!</v>
      </c>
    </row>
    <row r="184" spans="1:24" ht="24.95" customHeight="1">
      <c r="A184" s="274" t="e">
        <f>#REF!</f>
        <v>#REF!</v>
      </c>
      <c r="B184" s="275" t="e">
        <f>#REF!</f>
        <v>#REF!</v>
      </c>
      <c r="C184" s="276" t="e">
        <f>#REF!</f>
        <v>#REF!</v>
      </c>
      <c r="D184" s="277" t="e">
        <f>#REF!</f>
        <v>#REF!</v>
      </c>
      <c r="E184" s="277" t="e">
        <f>#REF!</f>
        <v>#REF!</v>
      </c>
      <c r="F184" s="277" t="e">
        <f>#REF!</f>
        <v>#REF!</v>
      </c>
      <c r="G184" s="277" t="e">
        <f>#REF!</f>
        <v>#REF!</v>
      </c>
      <c r="H184" s="277" t="e">
        <f>#REF!</f>
        <v>#REF!</v>
      </c>
      <c r="I184" s="277" t="e">
        <f>#REF!</f>
        <v>#REF!</v>
      </c>
      <c r="J184" s="277" t="e">
        <f>#REF!</f>
        <v>#REF!</v>
      </c>
      <c r="K184" s="277" t="e">
        <f>#REF!</f>
        <v>#REF!</v>
      </c>
      <c r="L184" s="277" t="e">
        <f>#REF!</f>
        <v>#REF!</v>
      </c>
      <c r="M184" s="277" t="e">
        <f>#REF!</f>
        <v>#REF!</v>
      </c>
      <c r="N184" s="277" t="e">
        <f>#REF!</f>
        <v>#REF!</v>
      </c>
      <c r="O184" s="277" t="e">
        <f>#REF!</f>
        <v>#REF!</v>
      </c>
      <c r="P184" s="277" t="e">
        <f>#REF!</f>
        <v>#REF!</v>
      </c>
      <c r="Q184" s="277" t="e">
        <f>#REF!</f>
        <v>#REF!</v>
      </c>
      <c r="R184" s="277" t="e">
        <f>#REF!</f>
        <v>#REF!</v>
      </c>
      <c r="S184" s="277" t="e">
        <f>#REF!</f>
        <v>#REF!</v>
      </c>
      <c r="T184" s="281" t="e">
        <f>#REF!</f>
        <v>#REF!</v>
      </c>
      <c r="U184" s="281" t="e">
        <f>#REF!</f>
        <v>#REF!</v>
      </c>
      <c r="V184" s="281" t="e">
        <f>#REF!</f>
        <v>#REF!</v>
      </c>
      <c r="W184" s="281" t="e">
        <f>#REF!</f>
        <v>#REF!</v>
      </c>
      <c r="X184" s="281" t="e">
        <f>#REF!</f>
        <v>#REF!</v>
      </c>
    </row>
    <row r="185" spans="1:24" ht="24.95" customHeight="1">
      <c r="A185" s="274" t="e">
        <f>#REF!</f>
        <v>#REF!</v>
      </c>
      <c r="B185" s="275" t="e">
        <f>#REF!</f>
        <v>#REF!</v>
      </c>
      <c r="C185" s="276" t="e">
        <f>#REF!</f>
        <v>#REF!</v>
      </c>
      <c r="D185" s="277" t="e">
        <f>#REF!</f>
        <v>#REF!</v>
      </c>
      <c r="E185" s="277" t="e">
        <f>#REF!</f>
        <v>#REF!</v>
      </c>
      <c r="F185" s="277" t="e">
        <f>#REF!</f>
        <v>#REF!</v>
      </c>
      <c r="G185" s="277" t="e">
        <f>#REF!</f>
        <v>#REF!</v>
      </c>
      <c r="H185" s="277" t="e">
        <f>#REF!</f>
        <v>#REF!</v>
      </c>
      <c r="I185" s="277" t="e">
        <f>#REF!</f>
        <v>#REF!</v>
      </c>
      <c r="J185" s="277" t="e">
        <f>#REF!</f>
        <v>#REF!</v>
      </c>
      <c r="K185" s="277" t="e">
        <f>#REF!</f>
        <v>#REF!</v>
      </c>
      <c r="L185" s="277" t="e">
        <f>#REF!</f>
        <v>#REF!</v>
      </c>
      <c r="M185" s="277" t="e">
        <f>#REF!</f>
        <v>#REF!</v>
      </c>
      <c r="N185" s="277" t="e">
        <f>#REF!</f>
        <v>#REF!</v>
      </c>
      <c r="O185" s="277" t="e">
        <f>#REF!</f>
        <v>#REF!</v>
      </c>
      <c r="P185" s="277" t="e">
        <f>#REF!</f>
        <v>#REF!</v>
      </c>
      <c r="Q185" s="277" t="e">
        <f>#REF!</f>
        <v>#REF!</v>
      </c>
      <c r="R185" s="277" t="e">
        <f>#REF!</f>
        <v>#REF!</v>
      </c>
      <c r="S185" s="277" t="e">
        <f>#REF!</f>
        <v>#REF!</v>
      </c>
      <c r="T185" s="281" t="e">
        <f>#REF!</f>
        <v>#REF!</v>
      </c>
      <c r="U185" s="281" t="e">
        <f>#REF!</f>
        <v>#REF!</v>
      </c>
      <c r="V185" s="281" t="e">
        <f>#REF!</f>
        <v>#REF!</v>
      </c>
      <c r="W185" s="281" t="e">
        <f>#REF!</f>
        <v>#REF!</v>
      </c>
      <c r="X185" s="281" t="e">
        <f>#REF!</f>
        <v>#REF!</v>
      </c>
    </row>
    <row r="186" spans="1:24" ht="24.95" customHeight="1">
      <c r="A186" s="274" t="e">
        <f>#REF!</f>
        <v>#REF!</v>
      </c>
      <c r="B186" s="275" t="e">
        <f>#REF!</f>
        <v>#REF!</v>
      </c>
      <c r="C186" s="276" t="e">
        <f>#REF!</f>
        <v>#REF!</v>
      </c>
      <c r="D186" s="277" t="e">
        <f>#REF!</f>
        <v>#REF!</v>
      </c>
      <c r="E186" s="277" t="e">
        <f>#REF!</f>
        <v>#REF!</v>
      </c>
      <c r="F186" s="277" t="e">
        <f>#REF!</f>
        <v>#REF!</v>
      </c>
      <c r="G186" s="277" t="e">
        <f>#REF!</f>
        <v>#REF!</v>
      </c>
      <c r="H186" s="277" t="e">
        <f>#REF!</f>
        <v>#REF!</v>
      </c>
      <c r="I186" s="277" t="e">
        <f>#REF!</f>
        <v>#REF!</v>
      </c>
      <c r="J186" s="277" t="e">
        <f>#REF!</f>
        <v>#REF!</v>
      </c>
      <c r="K186" s="277" t="e">
        <f>#REF!</f>
        <v>#REF!</v>
      </c>
      <c r="L186" s="277" t="e">
        <f>#REF!</f>
        <v>#REF!</v>
      </c>
      <c r="M186" s="277" t="e">
        <f>#REF!</f>
        <v>#REF!</v>
      </c>
      <c r="N186" s="277" t="e">
        <f>#REF!</f>
        <v>#REF!</v>
      </c>
      <c r="O186" s="277" t="e">
        <f>#REF!</f>
        <v>#REF!</v>
      </c>
      <c r="P186" s="277" t="e">
        <f>#REF!</f>
        <v>#REF!</v>
      </c>
      <c r="Q186" s="277" t="e">
        <f>#REF!</f>
        <v>#REF!</v>
      </c>
      <c r="R186" s="277" t="e">
        <f>#REF!</f>
        <v>#REF!</v>
      </c>
      <c r="S186" s="277" t="e">
        <f>#REF!</f>
        <v>#REF!</v>
      </c>
      <c r="T186" s="281" t="e">
        <f>#REF!</f>
        <v>#REF!</v>
      </c>
      <c r="U186" s="281" t="e">
        <f>#REF!</f>
        <v>#REF!</v>
      </c>
      <c r="V186" s="281" t="e">
        <f>#REF!</f>
        <v>#REF!</v>
      </c>
      <c r="W186" s="281" t="e">
        <f>#REF!</f>
        <v>#REF!</v>
      </c>
      <c r="X186" s="281" t="e">
        <f>#REF!</f>
        <v>#REF!</v>
      </c>
    </row>
    <row r="187" spans="1:24" ht="24.95" customHeight="1">
      <c r="A187" s="274" t="e">
        <f>#REF!</f>
        <v>#REF!</v>
      </c>
      <c r="B187" s="275" t="e">
        <f>#REF!</f>
        <v>#REF!</v>
      </c>
      <c r="C187" s="276" t="e">
        <f>#REF!</f>
        <v>#REF!</v>
      </c>
      <c r="D187" s="277" t="e">
        <f>#REF!</f>
        <v>#REF!</v>
      </c>
      <c r="E187" s="277" t="e">
        <f>#REF!</f>
        <v>#REF!</v>
      </c>
      <c r="F187" s="277" t="e">
        <f>#REF!</f>
        <v>#REF!</v>
      </c>
      <c r="G187" s="277" t="e">
        <f>#REF!</f>
        <v>#REF!</v>
      </c>
      <c r="H187" s="277" t="e">
        <f>#REF!</f>
        <v>#REF!</v>
      </c>
      <c r="I187" s="277" t="e">
        <f>#REF!</f>
        <v>#REF!</v>
      </c>
      <c r="J187" s="277" t="e">
        <f>#REF!</f>
        <v>#REF!</v>
      </c>
      <c r="K187" s="277" t="e">
        <f>#REF!</f>
        <v>#REF!</v>
      </c>
      <c r="L187" s="277" t="e">
        <f>#REF!</f>
        <v>#REF!</v>
      </c>
      <c r="M187" s="277" t="e">
        <f>#REF!</f>
        <v>#REF!</v>
      </c>
      <c r="N187" s="277" t="e">
        <f>#REF!</f>
        <v>#REF!</v>
      </c>
      <c r="O187" s="277" t="e">
        <f>#REF!</f>
        <v>#REF!</v>
      </c>
      <c r="P187" s="277" t="e">
        <f>#REF!</f>
        <v>#REF!</v>
      </c>
      <c r="Q187" s="277" t="e">
        <f>#REF!</f>
        <v>#REF!</v>
      </c>
      <c r="R187" s="277" t="e">
        <f>#REF!</f>
        <v>#REF!</v>
      </c>
      <c r="S187" s="277" t="e">
        <f>#REF!</f>
        <v>#REF!</v>
      </c>
      <c r="T187" s="281" t="e">
        <f>#REF!</f>
        <v>#REF!</v>
      </c>
      <c r="U187" s="281" t="e">
        <f>#REF!</f>
        <v>#REF!</v>
      </c>
      <c r="V187" s="281" t="e">
        <f>#REF!</f>
        <v>#REF!</v>
      </c>
      <c r="W187" s="281" t="e">
        <f>#REF!</f>
        <v>#REF!</v>
      </c>
      <c r="X187" s="281" t="e">
        <f>#REF!</f>
        <v>#REF!</v>
      </c>
    </row>
    <row r="188" spans="1:24" ht="24.95" customHeight="1">
      <c r="A188" s="274" t="e">
        <f>#REF!</f>
        <v>#REF!</v>
      </c>
      <c r="B188" s="275" t="e">
        <f>#REF!</f>
        <v>#REF!</v>
      </c>
      <c r="C188" s="276" t="e">
        <f>#REF!</f>
        <v>#REF!</v>
      </c>
      <c r="D188" s="277" t="e">
        <f>#REF!</f>
        <v>#REF!</v>
      </c>
      <c r="E188" s="277" t="e">
        <f>#REF!</f>
        <v>#REF!</v>
      </c>
      <c r="F188" s="277" t="e">
        <f>#REF!</f>
        <v>#REF!</v>
      </c>
      <c r="G188" s="277" t="e">
        <f>#REF!</f>
        <v>#REF!</v>
      </c>
      <c r="H188" s="277" t="e">
        <f>#REF!</f>
        <v>#REF!</v>
      </c>
      <c r="I188" s="277" t="e">
        <f>#REF!</f>
        <v>#REF!</v>
      </c>
      <c r="J188" s="277" t="e">
        <f>#REF!</f>
        <v>#REF!</v>
      </c>
      <c r="K188" s="277" t="e">
        <f>#REF!</f>
        <v>#REF!</v>
      </c>
      <c r="L188" s="277" t="e">
        <f>#REF!</f>
        <v>#REF!</v>
      </c>
      <c r="M188" s="277" t="e">
        <f>#REF!</f>
        <v>#REF!</v>
      </c>
      <c r="N188" s="277" t="e">
        <f>#REF!</f>
        <v>#REF!</v>
      </c>
      <c r="O188" s="277" t="e">
        <f>#REF!</f>
        <v>#REF!</v>
      </c>
      <c r="P188" s="277" t="e">
        <f>#REF!</f>
        <v>#REF!</v>
      </c>
      <c r="Q188" s="277" t="e">
        <f>#REF!</f>
        <v>#REF!</v>
      </c>
      <c r="R188" s="277" t="e">
        <f>#REF!</f>
        <v>#REF!</v>
      </c>
      <c r="S188" s="277" t="e">
        <f>#REF!</f>
        <v>#REF!</v>
      </c>
      <c r="T188" s="281" t="e">
        <f>#REF!</f>
        <v>#REF!</v>
      </c>
      <c r="U188" s="281" t="e">
        <f>#REF!</f>
        <v>#REF!</v>
      </c>
      <c r="V188" s="281" t="e">
        <f>#REF!</f>
        <v>#REF!</v>
      </c>
      <c r="W188" s="281" t="e">
        <f>#REF!</f>
        <v>#REF!</v>
      </c>
      <c r="X188" s="281" t="e">
        <f>#REF!</f>
        <v>#REF!</v>
      </c>
    </row>
    <row r="189" spans="1:24" ht="24.95" customHeight="1">
      <c r="A189" s="274" t="e">
        <f>#REF!</f>
        <v>#REF!</v>
      </c>
      <c r="B189" s="275" t="e">
        <f>#REF!</f>
        <v>#REF!</v>
      </c>
      <c r="C189" s="276" t="e">
        <f>#REF!</f>
        <v>#REF!</v>
      </c>
      <c r="D189" s="277" t="e">
        <f>#REF!</f>
        <v>#REF!</v>
      </c>
      <c r="E189" s="277" t="e">
        <f>#REF!</f>
        <v>#REF!</v>
      </c>
      <c r="F189" s="277" t="e">
        <f>#REF!</f>
        <v>#REF!</v>
      </c>
      <c r="G189" s="277" t="e">
        <f>#REF!</f>
        <v>#REF!</v>
      </c>
      <c r="H189" s="277" t="e">
        <f>#REF!</f>
        <v>#REF!</v>
      </c>
      <c r="I189" s="277" t="e">
        <f>#REF!</f>
        <v>#REF!</v>
      </c>
      <c r="J189" s="277" t="e">
        <f>#REF!</f>
        <v>#REF!</v>
      </c>
      <c r="K189" s="277" t="e">
        <f>#REF!</f>
        <v>#REF!</v>
      </c>
      <c r="L189" s="277" t="e">
        <f>#REF!</f>
        <v>#REF!</v>
      </c>
      <c r="M189" s="277" t="e">
        <f>#REF!</f>
        <v>#REF!</v>
      </c>
      <c r="N189" s="277" t="e">
        <f>#REF!</f>
        <v>#REF!</v>
      </c>
      <c r="O189" s="277" t="e">
        <f>#REF!</f>
        <v>#REF!</v>
      </c>
      <c r="P189" s="277" t="e">
        <f>#REF!</f>
        <v>#REF!</v>
      </c>
      <c r="Q189" s="277" t="e">
        <f>#REF!</f>
        <v>#REF!</v>
      </c>
      <c r="R189" s="277" t="e">
        <f>#REF!</f>
        <v>#REF!</v>
      </c>
      <c r="S189" s="277" t="e">
        <f>#REF!</f>
        <v>#REF!</v>
      </c>
      <c r="T189" s="281" t="e">
        <f>#REF!</f>
        <v>#REF!</v>
      </c>
      <c r="U189" s="281" t="e">
        <f>#REF!</f>
        <v>#REF!</v>
      </c>
      <c r="V189" s="281" t="e">
        <f>#REF!</f>
        <v>#REF!</v>
      </c>
      <c r="W189" s="281" t="e">
        <f>#REF!</f>
        <v>#REF!</v>
      </c>
      <c r="X189" s="281" t="e">
        <f>#REF!</f>
        <v>#REF!</v>
      </c>
    </row>
    <row r="190" spans="1:24" ht="24.95" customHeight="1">
      <c r="A190" s="274" t="e">
        <f>#REF!</f>
        <v>#REF!</v>
      </c>
      <c r="B190" s="275" t="e">
        <f>#REF!</f>
        <v>#REF!</v>
      </c>
      <c r="C190" s="276" t="e">
        <f>#REF!</f>
        <v>#REF!</v>
      </c>
      <c r="D190" s="277" t="e">
        <f>#REF!</f>
        <v>#REF!</v>
      </c>
      <c r="E190" s="277" t="e">
        <f>#REF!</f>
        <v>#REF!</v>
      </c>
      <c r="F190" s="277" t="e">
        <f>#REF!</f>
        <v>#REF!</v>
      </c>
      <c r="G190" s="277" t="e">
        <f>#REF!</f>
        <v>#REF!</v>
      </c>
      <c r="H190" s="277" t="e">
        <f>#REF!</f>
        <v>#REF!</v>
      </c>
      <c r="I190" s="277" t="e">
        <f>#REF!</f>
        <v>#REF!</v>
      </c>
      <c r="J190" s="277" t="e">
        <f>#REF!</f>
        <v>#REF!</v>
      </c>
      <c r="K190" s="277" t="e">
        <f>#REF!</f>
        <v>#REF!</v>
      </c>
      <c r="L190" s="277" t="e">
        <f>#REF!</f>
        <v>#REF!</v>
      </c>
      <c r="M190" s="277" t="e">
        <f>#REF!</f>
        <v>#REF!</v>
      </c>
      <c r="N190" s="277" t="e">
        <f>#REF!</f>
        <v>#REF!</v>
      </c>
      <c r="O190" s="277" t="e">
        <f>#REF!</f>
        <v>#REF!</v>
      </c>
      <c r="P190" s="277" t="e">
        <f>#REF!</f>
        <v>#REF!</v>
      </c>
      <c r="Q190" s="277" t="e">
        <f>#REF!</f>
        <v>#REF!</v>
      </c>
      <c r="R190" s="277" t="e">
        <f>#REF!</f>
        <v>#REF!</v>
      </c>
      <c r="S190" s="277" t="e">
        <f>#REF!</f>
        <v>#REF!</v>
      </c>
      <c r="T190" s="281" t="e">
        <f>#REF!</f>
        <v>#REF!</v>
      </c>
      <c r="U190" s="281" t="e">
        <f>#REF!</f>
        <v>#REF!</v>
      </c>
      <c r="V190" s="281" t="e">
        <f>#REF!</f>
        <v>#REF!</v>
      </c>
      <c r="W190" s="281" t="e">
        <f>#REF!</f>
        <v>#REF!</v>
      </c>
      <c r="X190" s="281" t="e">
        <f>#REF!</f>
        <v>#REF!</v>
      </c>
    </row>
    <row r="191" spans="1:24" ht="24.95" customHeight="1">
      <c r="A191" s="274" t="e">
        <f>#REF!</f>
        <v>#REF!</v>
      </c>
      <c r="B191" s="275" t="e">
        <f>#REF!</f>
        <v>#REF!</v>
      </c>
      <c r="C191" s="276" t="e">
        <f>#REF!</f>
        <v>#REF!</v>
      </c>
      <c r="D191" s="277" t="e">
        <f>#REF!</f>
        <v>#REF!</v>
      </c>
      <c r="E191" s="277" t="e">
        <f>#REF!</f>
        <v>#REF!</v>
      </c>
      <c r="F191" s="277" t="e">
        <f>#REF!</f>
        <v>#REF!</v>
      </c>
      <c r="G191" s="277" t="e">
        <f>#REF!</f>
        <v>#REF!</v>
      </c>
      <c r="H191" s="277" t="e">
        <f>#REF!</f>
        <v>#REF!</v>
      </c>
      <c r="I191" s="277" t="e">
        <f>#REF!</f>
        <v>#REF!</v>
      </c>
      <c r="J191" s="277" t="e">
        <f>#REF!</f>
        <v>#REF!</v>
      </c>
      <c r="K191" s="277" t="e">
        <f>#REF!</f>
        <v>#REF!</v>
      </c>
      <c r="L191" s="277" t="e">
        <f>#REF!</f>
        <v>#REF!</v>
      </c>
      <c r="M191" s="277" t="e">
        <f>#REF!</f>
        <v>#REF!</v>
      </c>
      <c r="N191" s="277" t="e">
        <f>#REF!</f>
        <v>#REF!</v>
      </c>
      <c r="O191" s="277" t="e">
        <f>#REF!</f>
        <v>#REF!</v>
      </c>
      <c r="P191" s="277" t="e">
        <f>#REF!</f>
        <v>#REF!</v>
      </c>
      <c r="Q191" s="277" t="e">
        <f>#REF!</f>
        <v>#REF!</v>
      </c>
      <c r="R191" s="277" t="e">
        <f>#REF!</f>
        <v>#REF!</v>
      </c>
      <c r="S191" s="277" t="e">
        <f>#REF!</f>
        <v>#REF!</v>
      </c>
      <c r="T191" s="281" t="e">
        <f>#REF!</f>
        <v>#REF!</v>
      </c>
      <c r="U191" s="281" t="e">
        <f>#REF!</f>
        <v>#REF!</v>
      </c>
      <c r="V191" s="281" t="e">
        <f>#REF!</f>
        <v>#REF!</v>
      </c>
      <c r="W191" s="281" t="e">
        <f>#REF!</f>
        <v>#REF!</v>
      </c>
      <c r="X191" s="281" t="e">
        <f>#REF!</f>
        <v>#REF!</v>
      </c>
    </row>
    <row r="192" spans="1:24" ht="24.95" customHeight="1">
      <c r="A192" s="274" t="e">
        <f>#REF!</f>
        <v>#REF!</v>
      </c>
      <c r="B192" s="275" t="e">
        <f>#REF!</f>
        <v>#REF!</v>
      </c>
      <c r="C192" s="276" t="e">
        <f>#REF!</f>
        <v>#REF!</v>
      </c>
      <c r="D192" s="277" t="e">
        <f>#REF!</f>
        <v>#REF!</v>
      </c>
      <c r="E192" s="277" t="e">
        <f>#REF!</f>
        <v>#REF!</v>
      </c>
      <c r="F192" s="277" t="e">
        <f>#REF!</f>
        <v>#REF!</v>
      </c>
      <c r="G192" s="277" t="e">
        <f>#REF!</f>
        <v>#REF!</v>
      </c>
      <c r="H192" s="277" t="e">
        <f>#REF!</f>
        <v>#REF!</v>
      </c>
      <c r="I192" s="277" t="e">
        <f>#REF!</f>
        <v>#REF!</v>
      </c>
      <c r="J192" s="277" t="e">
        <f>#REF!</f>
        <v>#REF!</v>
      </c>
      <c r="K192" s="277" t="e">
        <f>#REF!</f>
        <v>#REF!</v>
      </c>
      <c r="L192" s="277" t="e">
        <f>#REF!</f>
        <v>#REF!</v>
      </c>
      <c r="M192" s="277" t="e">
        <f>#REF!</f>
        <v>#REF!</v>
      </c>
      <c r="N192" s="277" t="e">
        <f>#REF!</f>
        <v>#REF!</v>
      </c>
      <c r="O192" s="277" t="e">
        <f>#REF!</f>
        <v>#REF!</v>
      </c>
      <c r="P192" s="277" t="e">
        <f>#REF!</f>
        <v>#REF!</v>
      </c>
      <c r="Q192" s="277" t="e">
        <f>#REF!</f>
        <v>#REF!</v>
      </c>
      <c r="R192" s="277" t="e">
        <f>#REF!</f>
        <v>#REF!</v>
      </c>
      <c r="S192" s="277" t="e">
        <f>#REF!</f>
        <v>#REF!</v>
      </c>
      <c r="T192" s="281" t="e">
        <f>#REF!</f>
        <v>#REF!</v>
      </c>
      <c r="U192" s="281" t="e">
        <f>#REF!</f>
        <v>#REF!</v>
      </c>
      <c r="V192" s="281" t="e">
        <f>#REF!</f>
        <v>#REF!</v>
      </c>
      <c r="W192" s="281" t="e">
        <f>#REF!</f>
        <v>#REF!</v>
      </c>
      <c r="X192" s="281" t="e">
        <f>#REF!</f>
        <v>#REF!</v>
      </c>
    </row>
    <row r="193" spans="1:24" ht="24.95" customHeight="1">
      <c r="A193" s="274" t="e">
        <f>#REF!</f>
        <v>#REF!</v>
      </c>
      <c r="B193" s="275" t="e">
        <f>#REF!</f>
        <v>#REF!</v>
      </c>
      <c r="C193" s="276" t="e">
        <f>#REF!</f>
        <v>#REF!</v>
      </c>
      <c r="D193" s="277" t="e">
        <f>#REF!</f>
        <v>#REF!</v>
      </c>
      <c r="E193" s="277" t="e">
        <f>#REF!</f>
        <v>#REF!</v>
      </c>
      <c r="F193" s="277" t="e">
        <f>#REF!</f>
        <v>#REF!</v>
      </c>
      <c r="G193" s="277" t="e">
        <f>#REF!</f>
        <v>#REF!</v>
      </c>
      <c r="H193" s="277" t="e">
        <f>#REF!</f>
        <v>#REF!</v>
      </c>
      <c r="I193" s="277" t="e">
        <f>#REF!</f>
        <v>#REF!</v>
      </c>
      <c r="J193" s="277" t="e">
        <f>#REF!</f>
        <v>#REF!</v>
      </c>
      <c r="K193" s="277" t="e">
        <f>#REF!</f>
        <v>#REF!</v>
      </c>
      <c r="L193" s="277" t="e">
        <f>#REF!</f>
        <v>#REF!</v>
      </c>
      <c r="M193" s="277" t="e">
        <f>#REF!</f>
        <v>#REF!</v>
      </c>
      <c r="N193" s="277" t="e">
        <f>#REF!</f>
        <v>#REF!</v>
      </c>
      <c r="O193" s="277" t="e">
        <f>#REF!</f>
        <v>#REF!</v>
      </c>
      <c r="P193" s="277" t="e">
        <f>#REF!</f>
        <v>#REF!</v>
      </c>
      <c r="Q193" s="277" t="e">
        <f>#REF!</f>
        <v>#REF!</v>
      </c>
      <c r="R193" s="277" t="e">
        <f>#REF!</f>
        <v>#REF!</v>
      </c>
      <c r="S193" s="277" t="e">
        <f>#REF!</f>
        <v>#REF!</v>
      </c>
      <c r="T193" s="281" t="e">
        <f>#REF!</f>
        <v>#REF!</v>
      </c>
      <c r="U193" s="281" t="e">
        <f>#REF!</f>
        <v>#REF!</v>
      </c>
      <c r="V193" s="281" t="e">
        <f>#REF!</f>
        <v>#REF!</v>
      </c>
      <c r="W193" s="281" t="e">
        <f>#REF!</f>
        <v>#REF!</v>
      </c>
      <c r="X193" s="281" t="e">
        <f>#REF!</f>
        <v>#REF!</v>
      </c>
    </row>
    <row r="194" spans="1:24" ht="24.95" customHeight="1">
      <c r="A194" s="274" t="e">
        <f>#REF!</f>
        <v>#REF!</v>
      </c>
      <c r="B194" s="275" t="e">
        <f>#REF!</f>
        <v>#REF!</v>
      </c>
      <c r="C194" s="276" t="e">
        <f>#REF!</f>
        <v>#REF!</v>
      </c>
      <c r="D194" s="277" t="e">
        <f>#REF!</f>
        <v>#REF!</v>
      </c>
      <c r="E194" s="277" t="e">
        <f>#REF!</f>
        <v>#REF!</v>
      </c>
      <c r="F194" s="277" t="e">
        <f>#REF!</f>
        <v>#REF!</v>
      </c>
      <c r="G194" s="277" t="e">
        <f>#REF!</f>
        <v>#REF!</v>
      </c>
      <c r="H194" s="277" t="e">
        <f>#REF!</f>
        <v>#REF!</v>
      </c>
      <c r="I194" s="277" t="e">
        <f>#REF!</f>
        <v>#REF!</v>
      </c>
      <c r="J194" s="277" t="e">
        <f>#REF!</f>
        <v>#REF!</v>
      </c>
      <c r="K194" s="277" t="e">
        <f>#REF!</f>
        <v>#REF!</v>
      </c>
      <c r="L194" s="277" t="e">
        <f>#REF!</f>
        <v>#REF!</v>
      </c>
      <c r="M194" s="277" t="e">
        <f>#REF!</f>
        <v>#REF!</v>
      </c>
      <c r="N194" s="277" t="e">
        <f>#REF!</f>
        <v>#REF!</v>
      </c>
      <c r="O194" s="277" t="e">
        <f>#REF!</f>
        <v>#REF!</v>
      </c>
      <c r="P194" s="277" t="e">
        <f>#REF!</f>
        <v>#REF!</v>
      </c>
      <c r="Q194" s="277" t="e">
        <f>#REF!</f>
        <v>#REF!</v>
      </c>
      <c r="R194" s="277" t="e">
        <f>#REF!</f>
        <v>#REF!</v>
      </c>
      <c r="S194" s="277" t="e">
        <f>#REF!</f>
        <v>#REF!</v>
      </c>
      <c r="T194" s="281" t="e">
        <f>#REF!</f>
        <v>#REF!</v>
      </c>
      <c r="U194" s="281" t="e">
        <f>#REF!</f>
        <v>#REF!</v>
      </c>
      <c r="V194" s="281" t="e">
        <f>#REF!</f>
        <v>#REF!</v>
      </c>
      <c r="W194" s="281" t="e">
        <f>#REF!</f>
        <v>#REF!</v>
      </c>
      <c r="X194" s="281" t="e">
        <f>#REF!</f>
        <v>#REF!</v>
      </c>
    </row>
    <row r="195" spans="1:24" ht="24.95" customHeight="1">
      <c r="A195" s="274" t="e">
        <f>#REF!</f>
        <v>#REF!</v>
      </c>
      <c r="B195" s="275" t="e">
        <f>#REF!</f>
        <v>#REF!</v>
      </c>
      <c r="C195" s="276" t="e">
        <f>#REF!</f>
        <v>#REF!</v>
      </c>
      <c r="D195" s="277" t="e">
        <f>#REF!</f>
        <v>#REF!</v>
      </c>
      <c r="E195" s="277" t="e">
        <f>#REF!</f>
        <v>#REF!</v>
      </c>
      <c r="F195" s="277" t="e">
        <f>#REF!</f>
        <v>#REF!</v>
      </c>
      <c r="G195" s="277" t="e">
        <f>#REF!</f>
        <v>#REF!</v>
      </c>
      <c r="H195" s="277" t="e">
        <f>#REF!</f>
        <v>#REF!</v>
      </c>
      <c r="I195" s="277" t="e">
        <f>#REF!</f>
        <v>#REF!</v>
      </c>
      <c r="J195" s="277" t="e">
        <f>#REF!</f>
        <v>#REF!</v>
      </c>
      <c r="K195" s="277" t="e">
        <f>#REF!</f>
        <v>#REF!</v>
      </c>
      <c r="L195" s="277" t="e">
        <f>#REF!</f>
        <v>#REF!</v>
      </c>
      <c r="M195" s="277" t="e">
        <f>#REF!</f>
        <v>#REF!</v>
      </c>
      <c r="N195" s="277" t="e">
        <f>#REF!</f>
        <v>#REF!</v>
      </c>
      <c r="O195" s="277" t="e">
        <f>#REF!</f>
        <v>#REF!</v>
      </c>
      <c r="P195" s="277" t="e">
        <f>#REF!</f>
        <v>#REF!</v>
      </c>
      <c r="Q195" s="277" t="e">
        <f>#REF!</f>
        <v>#REF!</v>
      </c>
      <c r="R195" s="277" t="e">
        <f>#REF!</f>
        <v>#REF!</v>
      </c>
      <c r="S195" s="277" t="e">
        <f>#REF!</f>
        <v>#REF!</v>
      </c>
      <c r="T195" s="281" t="e">
        <f>#REF!</f>
        <v>#REF!</v>
      </c>
      <c r="U195" s="281" t="e">
        <f>#REF!</f>
        <v>#REF!</v>
      </c>
      <c r="V195" s="281" t="e">
        <f>#REF!</f>
        <v>#REF!</v>
      </c>
      <c r="W195" s="281" t="e">
        <f>#REF!</f>
        <v>#REF!</v>
      </c>
      <c r="X195" s="281" t="e">
        <f>#REF!</f>
        <v>#REF!</v>
      </c>
    </row>
    <row r="196" spans="1:24" ht="24.95" customHeight="1">
      <c r="A196" s="274" t="e">
        <f>#REF!</f>
        <v>#REF!</v>
      </c>
      <c r="B196" s="275" t="e">
        <f>#REF!</f>
        <v>#REF!</v>
      </c>
      <c r="C196" s="276" t="e">
        <f>#REF!</f>
        <v>#REF!</v>
      </c>
      <c r="D196" s="277" t="e">
        <f>#REF!</f>
        <v>#REF!</v>
      </c>
      <c r="E196" s="277" t="e">
        <f>#REF!</f>
        <v>#REF!</v>
      </c>
      <c r="F196" s="277" t="e">
        <f>#REF!</f>
        <v>#REF!</v>
      </c>
      <c r="G196" s="277" t="e">
        <f>#REF!</f>
        <v>#REF!</v>
      </c>
      <c r="H196" s="277" t="e">
        <f>#REF!</f>
        <v>#REF!</v>
      </c>
      <c r="I196" s="277" t="e">
        <f>#REF!</f>
        <v>#REF!</v>
      </c>
      <c r="J196" s="277" t="e">
        <f>#REF!</f>
        <v>#REF!</v>
      </c>
      <c r="K196" s="277" t="e">
        <f>#REF!</f>
        <v>#REF!</v>
      </c>
      <c r="L196" s="277" t="e">
        <f>#REF!</f>
        <v>#REF!</v>
      </c>
      <c r="M196" s="277" t="e">
        <f>#REF!</f>
        <v>#REF!</v>
      </c>
      <c r="N196" s="277" t="e">
        <f>#REF!</f>
        <v>#REF!</v>
      </c>
      <c r="O196" s="277" t="e">
        <f>#REF!</f>
        <v>#REF!</v>
      </c>
      <c r="P196" s="277" t="e">
        <f>#REF!</f>
        <v>#REF!</v>
      </c>
      <c r="Q196" s="277" t="e">
        <f>#REF!</f>
        <v>#REF!</v>
      </c>
      <c r="R196" s="277" t="e">
        <f>#REF!</f>
        <v>#REF!</v>
      </c>
      <c r="S196" s="277" t="e">
        <f>#REF!</f>
        <v>#REF!</v>
      </c>
      <c r="T196" s="281" t="e">
        <f>#REF!</f>
        <v>#REF!</v>
      </c>
      <c r="U196" s="281" t="e">
        <f>#REF!</f>
        <v>#REF!</v>
      </c>
      <c r="V196" s="281" t="e">
        <f>#REF!</f>
        <v>#REF!</v>
      </c>
      <c r="W196" s="281" t="e">
        <f>#REF!</f>
        <v>#REF!</v>
      </c>
      <c r="X196" s="281" t="e">
        <f>#REF!</f>
        <v>#REF!</v>
      </c>
    </row>
    <row r="197" spans="1:24" ht="24.95" customHeight="1">
      <c r="A197" s="274" t="e">
        <f>#REF!</f>
        <v>#REF!</v>
      </c>
      <c r="B197" s="275" t="e">
        <f>#REF!</f>
        <v>#REF!</v>
      </c>
      <c r="C197" s="276" t="e">
        <f>#REF!</f>
        <v>#REF!</v>
      </c>
      <c r="D197" s="277" t="e">
        <f>#REF!</f>
        <v>#REF!</v>
      </c>
      <c r="E197" s="277" t="e">
        <f>#REF!</f>
        <v>#REF!</v>
      </c>
      <c r="F197" s="277" t="e">
        <f>#REF!</f>
        <v>#REF!</v>
      </c>
      <c r="G197" s="277" t="e">
        <f>#REF!</f>
        <v>#REF!</v>
      </c>
      <c r="H197" s="277" t="e">
        <f>#REF!</f>
        <v>#REF!</v>
      </c>
      <c r="I197" s="277" t="e">
        <f>#REF!</f>
        <v>#REF!</v>
      </c>
      <c r="J197" s="277" t="e">
        <f>#REF!</f>
        <v>#REF!</v>
      </c>
      <c r="K197" s="277" t="e">
        <f>#REF!</f>
        <v>#REF!</v>
      </c>
      <c r="L197" s="277" t="e">
        <f>#REF!</f>
        <v>#REF!</v>
      </c>
      <c r="M197" s="277" t="e">
        <f>#REF!</f>
        <v>#REF!</v>
      </c>
      <c r="N197" s="277" t="e">
        <f>#REF!</f>
        <v>#REF!</v>
      </c>
      <c r="O197" s="277" t="e">
        <f>#REF!</f>
        <v>#REF!</v>
      </c>
      <c r="P197" s="277" t="e">
        <f>#REF!</f>
        <v>#REF!</v>
      </c>
      <c r="Q197" s="277" t="e">
        <f>#REF!</f>
        <v>#REF!</v>
      </c>
      <c r="R197" s="277" t="e">
        <f>#REF!</f>
        <v>#REF!</v>
      </c>
      <c r="S197" s="277" t="e">
        <f>#REF!</f>
        <v>#REF!</v>
      </c>
      <c r="T197" s="281" t="e">
        <f>#REF!</f>
        <v>#REF!</v>
      </c>
      <c r="U197" s="281" t="e">
        <f>#REF!</f>
        <v>#REF!</v>
      </c>
      <c r="V197" s="281" t="e">
        <f>#REF!</f>
        <v>#REF!</v>
      </c>
      <c r="W197" s="281" t="e">
        <f>#REF!</f>
        <v>#REF!</v>
      </c>
      <c r="X197" s="281" t="e">
        <f>#REF!</f>
        <v>#REF!</v>
      </c>
    </row>
    <row r="198" spans="1:24" ht="24.95" customHeight="1">
      <c r="A198" s="274" t="e">
        <f>#REF!</f>
        <v>#REF!</v>
      </c>
      <c r="B198" s="275" t="e">
        <f>#REF!</f>
        <v>#REF!</v>
      </c>
      <c r="C198" s="276" t="e">
        <f>#REF!</f>
        <v>#REF!</v>
      </c>
      <c r="D198" s="277" t="e">
        <f>#REF!</f>
        <v>#REF!</v>
      </c>
      <c r="E198" s="277" t="e">
        <f>#REF!</f>
        <v>#REF!</v>
      </c>
      <c r="F198" s="277" t="e">
        <f>#REF!</f>
        <v>#REF!</v>
      </c>
      <c r="G198" s="277" t="e">
        <f>#REF!</f>
        <v>#REF!</v>
      </c>
      <c r="H198" s="277" t="e">
        <f>#REF!</f>
        <v>#REF!</v>
      </c>
      <c r="I198" s="277" t="e">
        <f>#REF!</f>
        <v>#REF!</v>
      </c>
      <c r="J198" s="277" t="e">
        <f>#REF!</f>
        <v>#REF!</v>
      </c>
      <c r="K198" s="277" t="e">
        <f>#REF!</f>
        <v>#REF!</v>
      </c>
      <c r="L198" s="277" t="e">
        <f>#REF!</f>
        <v>#REF!</v>
      </c>
      <c r="M198" s="277" t="e">
        <f>#REF!</f>
        <v>#REF!</v>
      </c>
      <c r="N198" s="277" t="e">
        <f>#REF!</f>
        <v>#REF!</v>
      </c>
      <c r="O198" s="277" t="e">
        <f>#REF!</f>
        <v>#REF!</v>
      </c>
      <c r="P198" s="277" t="e">
        <f>#REF!</f>
        <v>#REF!</v>
      </c>
      <c r="Q198" s="277" t="e">
        <f>#REF!</f>
        <v>#REF!</v>
      </c>
      <c r="R198" s="277" t="e">
        <f>#REF!</f>
        <v>#REF!</v>
      </c>
      <c r="S198" s="277" t="e">
        <f>#REF!</f>
        <v>#REF!</v>
      </c>
      <c r="T198" s="281" t="e">
        <f>#REF!</f>
        <v>#REF!</v>
      </c>
      <c r="U198" s="281" t="e">
        <f>#REF!</f>
        <v>#REF!</v>
      </c>
      <c r="V198" s="281" t="e">
        <f>#REF!</f>
        <v>#REF!</v>
      </c>
      <c r="W198" s="281" t="e">
        <f>#REF!</f>
        <v>#REF!</v>
      </c>
      <c r="X198" s="281" t="e">
        <f>#REF!</f>
        <v>#REF!</v>
      </c>
    </row>
    <row r="199" spans="1:24" ht="24.95" customHeight="1">
      <c r="A199" s="274" t="e">
        <f>#REF!</f>
        <v>#REF!</v>
      </c>
      <c r="B199" s="275" t="e">
        <f>#REF!</f>
        <v>#REF!</v>
      </c>
      <c r="C199" s="276" t="e">
        <f>#REF!</f>
        <v>#REF!</v>
      </c>
      <c r="D199" s="277" t="e">
        <f>#REF!</f>
        <v>#REF!</v>
      </c>
      <c r="E199" s="277" t="e">
        <f>#REF!</f>
        <v>#REF!</v>
      </c>
      <c r="F199" s="277" t="e">
        <f>#REF!</f>
        <v>#REF!</v>
      </c>
      <c r="G199" s="277" t="e">
        <f>#REF!</f>
        <v>#REF!</v>
      </c>
      <c r="H199" s="277" t="e">
        <f>#REF!</f>
        <v>#REF!</v>
      </c>
      <c r="I199" s="277" t="e">
        <f>#REF!</f>
        <v>#REF!</v>
      </c>
      <c r="J199" s="277" t="e">
        <f>#REF!</f>
        <v>#REF!</v>
      </c>
      <c r="K199" s="277" t="e">
        <f>#REF!</f>
        <v>#REF!</v>
      </c>
      <c r="L199" s="277" t="e">
        <f>#REF!</f>
        <v>#REF!</v>
      </c>
      <c r="M199" s="277" t="e">
        <f>#REF!</f>
        <v>#REF!</v>
      </c>
      <c r="N199" s="277" t="e">
        <f>#REF!</f>
        <v>#REF!</v>
      </c>
      <c r="O199" s="277" t="e">
        <f>#REF!</f>
        <v>#REF!</v>
      </c>
      <c r="P199" s="277" t="e">
        <f>#REF!</f>
        <v>#REF!</v>
      </c>
      <c r="Q199" s="277" t="e">
        <f>#REF!</f>
        <v>#REF!</v>
      </c>
      <c r="R199" s="277" t="e">
        <f>#REF!</f>
        <v>#REF!</v>
      </c>
      <c r="S199" s="277" t="e">
        <f>#REF!</f>
        <v>#REF!</v>
      </c>
      <c r="T199" s="281" t="e">
        <f>#REF!</f>
        <v>#REF!</v>
      </c>
      <c r="U199" s="281" t="e">
        <f>#REF!</f>
        <v>#REF!</v>
      </c>
      <c r="V199" s="281" t="e">
        <f>#REF!</f>
        <v>#REF!</v>
      </c>
      <c r="W199" s="281" t="e">
        <f>#REF!</f>
        <v>#REF!</v>
      </c>
      <c r="X199" s="281" t="e">
        <f>#REF!</f>
        <v>#REF!</v>
      </c>
    </row>
    <row r="200" spans="1:24" ht="24.95" customHeight="1">
      <c r="A200" s="274" t="e">
        <f>#REF!</f>
        <v>#REF!</v>
      </c>
      <c r="B200" s="275" t="e">
        <f>#REF!</f>
        <v>#REF!</v>
      </c>
      <c r="C200" s="276" t="e">
        <f>#REF!</f>
        <v>#REF!</v>
      </c>
      <c r="D200" s="277" t="e">
        <f>#REF!</f>
        <v>#REF!</v>
      </c>
      <c r="E200" s="277" t="e">
        <f>#REF!</f>
        <v>#REF!</v>
      </c>
      <c r="F200" s="277" t="e">
        <f>#REF!</f>
        <v>#REF!</v>
      </c>
      <c r="G200" s="277" t="e">
        <f>#REF!</f>
        <v>#REF!</v>
      </c>
      <c r="H200" s="277" t="e">
        <f>#REF!</f>
        <v>#REF!</v>
      </c>
      <c r="I200" s="277" t="e">
        <f>#REF!</f>
        <v>#REF!</v>
      </c>
      <c r="J200" s="277" t="e">
        <f>#REF!</f>
        <v>#REF!</v>
      </c>
      <c r="K200" s="277" t="e">
        <f>#REF!</f>
        <v>#REF!</v>
      </c>
      <c r="L200" s="277" t="e">
        <f>#REF!</f>
        <v>#REF!</v>
      </c>
      <c r="M200" s="277" t="e">
        <f>#REF!</f>
        <v>#REF!</v>
      </c>
      <c r="N200" s="277" t="e">
        <f>#REF!</f>
        <v>#REF!</v>
      </c>
      <c r="O200" s="277" t="e">
        <f>#REF!</f>
        <v>#REF!</v>
      </c>
      <c r="P200" s="277" t="e">
        <f>#REF!</f>
        <v>#REF!</v>
      </c>
      <c r="Q200" s="277" t="e">
        <f>#REF!</f>
        <v>#REF!</v>
      </c>
      <c r="R200" s="277" t="e">
        <f>#REF!</f>
        <v>#REF!</v>
      </c>
      <c r="S200" s="277" t="e">
        <f>#REF!</f>
        <v>#REF!</v>
      </c>
      <c r="T200" s="281" t="e">
        <f>#REF!</f>
        <v>#REF!</v>
      </c>
      <c r="U200" s="281" t="e">
        <f>#REF!</f>
        <v>#REF!</v>
      </c>
      <c r="V200" s="281" t="e">
        <f>#REF!</f>
        <v>#REF!</v>
      </c>
      <c r="W200" s="281" t="e">
        <f>#REF!</f>
        <v>#REF!</v>
      </c>
      <c r="X200" s="281" t="e">
        <f>#REF!</f>
        <v>#REF!</v>
      </c>
    </row>
    <row r="201" spans="1:24" ht="24.95" customHeight="1">
      <c r="A201" s="274" t="e">
        <f>#REF!</f>
        <v>#REF!</v>
      </c>
      <c r="B201" s="275" t="e">
        <f>#REF!</f>
        <v>#REF!</v>
      </c>
      <c r="C201" s="276" t="e">
        <f>#REF!</f>
        <v>#REF!</v>
      </c>
      <c r="D201" s="277" t="e">
        <f>#REF!</f>
        <v>#REF!</v>
      </c>
      <c r="E201" s="277" t="e">
        <f>#REF!</f>
        <v>#REF!</v>
      </c>
      <c r="F201" s="277" t="e">
        <f>#REF!</f>
        <v>#REF!</v>
      </c>
      <c r="G201" s="277" t="e">
        <f>#REF!</f>
        <v>#REF!</v>
      </c>
      <c r="H201" s="277" t="e">
        <f>#REF!</f>
        <v>#REF!</v>
      </c>
      <c r="I201" s="277" t="e">
        <f>#REF!</f>
        <v>#REF!</v>
      </c>
      <c r="J201" s="277" t="e">
        <f>#REF!</f>
        <v>#REF!</v>
      </c>
      <c r="K201" s="277" t="e">
        <f>#REF!</f>
        <v>#REF!</v>
      </c>
      <c r="L201" s="277" t="e">
        <f>#REF!</f>
        <v>#REF!</v>
      </c>
      <c r="M201" s="277" t="e">
        <f>#REF!</f>
        <v>#REF!</v>
      </c>
      <c r="N201" s="277" t="e">
        <f>#REF!</f>
        <v>#REF!</v>
      </c>
      <c r="O201" s="277" t="e">
        <f>#REF!</f>
        <v>#REF!</v>
      </c>
      <c r="P201" s="277" t="e">
        <f>#REF!</f>
        <v>#REF!</v>
      </c>
      <c r="Q201" s="277" t="e">
        <f>#REF!</f>
        <v>#REF!</v>
      </c>
      <c r="R201" s="277" t="e">
        <f>#REF!</f>
        <v>#REF!</v>
      </c>
      <c r="S201" s="277" t="e">
        <f>#REF!</f>
        <v>#REF!</v>
      </c>
      <c r="T201" s="281" t="e">
        <f>#REF!</f>
        <v>#REF!</v>
      </c>
      <c r="U201" s="281" t="e">
        <f>#REF!</f>
        <v>#REF!</v>
      </c>
      <c r="V201" s="281" t="e">
        <f>#REF!</f>
        <v>#REF!</v>
      </c>
      <c r="W201" s="281" t="e">
        <f>#REF!</f>
        <v>#REF!</v>
      </c>
      <c r="X201" s="281" t="e">
        <f>#REF!</f>
        <v>#REF!</v>
      </c>
    </row>
    <row r="202" spans="1:24" ht="24.95" customHeight="1">
      <c r="A202" s="274" t="e">
        <f>#REF!</f>
        <v>#REF!</v>
      </c>
      <c r="B202" s="275" t="e">
        <f>#REF!</f>
        <v>#REF!</v>
      </c>
      <c r="C202" s="276" t="e">
        <f>#REF!</f>
        <v>#REF!</v>
      </c>
      <c r="D202" s="277" t="e">
        <f>#REF!</f>
        <v>#REF!</v>
      </c>
      <c r="E202" s="277" t="e">
        <f>#REF!</f>
        <v>#REF!</v>
      </c>
      <c r="F202" s="277" t="e">
        <f>#REF!</f>
        <v>#REF!</v>
      </c>
      <c r="G202" s="277" t="e">
        <f>#REF!</f>
        <v>#REF!</v>
      </c>
      <c r="H202" s="277" t="e">
        <f>#REF!</f>
        <v>#REF!</v>
      </c>
      <c r="I202" s="277" t="e">
        <f>#REF!</f>
        <v>#REF!</v>
      </c>
      <c r="J202" s="277" t="e">
        <f>#REF!</f>
        <v>#REF!</v>
      </c>
      <c r="K202" s="277" t="e">
        <f>#REF!</f>
        <v>#REF!</v>
      </c>
      <c r="L202" s="277" t="e">
        <f>#REF!</f>
        <v>#REF!</v>
      </c>
      <c r="M202" s="277" t="e">
        <f>#REF!</f>
        <v>#REF!</v>
      </c>
      <c r="N202" s="277" t="e">
        <f>#REF!</f>
        <v>#REF!</v>
      </c>
      <c r="O202" s="277" t="e">
        <f>#REF!</f>
        <v>#REF!</v>
      </c>
      <c r="P202" s="277" t="e">
        <f>#REF!</f>
        <v>#REF!</v>
      </c>
      <c r="Q202" s="277" t="e">
        <f>#REF!</f>
        <v>#REF!</v>
      </c>
      <c r="R202" s="277" t="e">
        <f>#REF!</f>
        <v>#REF!</v>
      </c>
      <c r="S202" s="277" t="e">
        <f>#REF!</f>
        <v>#REF!</v>
      </c>
      <c r="T202" s="281" t="e">
        <f>#REF!</f>
        <v>#REF!</v>
      </c>
      <c r="U202" s="281" t="e">
        <f>#REF!</f>
        <v>#REF!</v>
      </c>
      <c r="V202" s="281" t="e">
        <f>#REF!</f>
        <v>#REF!</v>
      </c>
      <c r="W202" s="281" t="e">
        <f>#REF!</f>
        <v>#REF!</v>
      </c>
      <c r="X202" s="281" t="e">
        <f>#REF!</f>
        <v>#REF!</v>
      </c>
    </row>
    <row r="203" spans="1:24" ht="24.95" customHeight="1">
      <c r="A203" s="274" t="e">
        <f>#REF!</f>
        <v>#REF!</v>
      </c>
      <c r="B203" s="275" t="e">
        <f>#REF!</f>
        <v>#REF!</v>
      </c>
      <c r="C203" s="276" t="e">
        <f>#REF!</f>
        <v>#REF!</v>
      </c>
      <c r="D203" s="277" t="e">
        <f>#REF!</f>
        <v>#REF!</v>
      </c>
      <c r="E203" s="277" t="e">
        <f>#REF!</f>
        <v>#REF!</v>
      </c>
      <c r="F203" s="277" t="e">
        <f>#REF!</f>
        <v>#REF!</v>
      </c>
      <c r="G203" s="277" t="e">
        <f>#REF!</f>
        <v>#REF!</v>
      </c>
      <c r="H203" s="277" t="e">
        <f>#REF!</f>
        <v>#REF!</v>
      </c>
      <c r="I203" s="277" t="e">
        <f>#REF!</f>
        <v>#REF!</v>
      </c>
      <c r="J203" s="277" t="e">
        <f>#REF!</f>
        <v>#REF!</v>
      </c>
      <c r="K203" s="277" t="e">
        <f>#REF!</f>
        <v>#REF!</v>
      </c>
      <c r="L203" s="277" t="e">
        <f>#REF!</f>
        <v>#REF!</v>
      </c>
      <c r="M203" s="277" t="e">
        <f>#REF!</f>
        <v>#REF!</v>
      </c>
      <c r="N203" s="277" t="e">
        <f>#REF!</f>
        <v>#REF!</v>
      </c>
      <c r="O203" s="277" t="e">
        <f>#REF!</f>
        <v>#REF!</v>
      </c>
      <c r="P203" s="277" t="e">
        <f>#REF!</f>
        <v>#REF!</v>
      </c>
      <c r="Q203" s="277" t="e">
        <f>#REF!</f>
        <v>#REF!</v>
      </c>
      <c r="R203" s="277" t="e">
        <f>#REF!</f>
        <v>#REF!</v>
      </c>
      <c r="S203" s="277" t="e">
        <f>#REF!</f>
        <v>#REF!</v>
      </c>
      <c r="T203" s="281" t="e">
        <f>#REF!</f>
        <v>#REF!</v>
      </c>
      <c r="U203" s="281" t="e">
        <f>#REF!</f>
        <v>#REF!</v>
      </c>
      <c r="V203" s="281" t="e">
        <f>#REF!</f>
        <v>#REF!</v>
      </c>
      <c r="W203" s="281" t="e">
        <f>#REF!</f>
        <v>#REF!</v>
      </c>
      <c r="X203" s="281" t="e">
        <f>#REF!</f>
        <v>#REF!</v>
      </c>
    </row>
    <row r="204" spans="1:24" ht="24.95" customHeight="1">
      <c r="A204" s="274" t="e">
        <f>#REF!</f>
        <v>#REF!</v>
      </c>
      <c r="B204" s="275" t="e">
        <f>#REF!</f>
        <v>#REF!</v>
      </c>
      <c r="C204" s="276" t="e">
        <f>#REF!</f>
        <v>#REF!</v>
      </c>
      <c r="D204" s="277" t="e">
        <f>#REF!</f>
        <v>#REF!</v>
      </c>
      <c r="E204" s="277" t="e">
        <f>#REF!</f>
        <v>#REF!</v>
      </c>
      <c r="F204" s="277" t="e">
        <f>#REF!</f>
        <v>#REF!</v>
      </c>
      <c r="G204" s="277" t="e">
        <f>#REF!</f>
        <v>#REF!</v>
      </c>
      <c r="H204" s="277" t="e">
        <f>#REF!</f>
        <v>#REF!</v>
      </c>
      <c r="I204" s="277" t="e">
        <f>#REF!</f>
        <v>#REF!</v>
      </c>
      <c r="J204" s="277" t="e">
        <f>#REF!</f>
        <v>#REF!</v>
      </c>
      <c r="K204" s="277" t="e">
        <f>#REF!</f>
        <v>#REF!</v>
      </c>
      <c r="L204" s="277" t="e">
        <f>#REF!</f>
        <v>#REF!</v>
      </c>
      <c r="M204" s="277" t="e">
        <f>#REF!</f>
        <v>#REF!</v>
      </c>
      <c r="N204" s="277" t="e">
        <f>#REF!</f>
        <v>#REF!</v>
      </c>
      <c r="O204" s="277" t="e">
        <f>#REF!</f>
        <v>#REF!</v>
      </c>
      <c r="P204" s="277" t="e">
        <f>#REF!</f>
        <v>#REF!</v>
      </c>
      <c r="Q204" s="277" t="e">
        <f>#REF!</f>
        <v>#REF!</v>
      </c>
      <c r="R204" s="277" t="e">
        <f>#REF!</f>
        <v>#REF!</v>
      </c>
      <c r="S204" s="277" t="e">
        <f>#REF!</f>
        <v>#REF!</v>
      </c>
      <c r="T204" s="281" t="e">
        <f>#REF!</f>
        <v>#REF!</v>
      </c>
      <c r="U204" s="281" t="e">
        <f>#REF!</f>
        <v>#REF!</v>
      </c>
      <c r="V204" s="281" t="e">
        <f>#REF!</f>
        <v>#REF!</v>
      </c>
      <c r="W204" s="281" t="e">
        <f>#REF!</f>
        <v>#REF!</v>
      </c>
      <c r="X204" s="281" t="e">
        <f>#REF!</f>
        <v>#REF!</v>
      </c>
    </row>
    <row r="205" spans="1:24" ht="24.95" customHeight="1">
      <c r="A205" s="274" t="e">
        <f>#REF!</f>
        <v>#REF!</v>
      </c>
      <c r="B205" s="275" t="e">
        <f>#REF!</f>
        <v>#REF!</v>
      </c>
      <c r="C205" s="276" t="e">
        <f>#REF!</f>
        <v>#REF!</v>
      </c>
      <c r="D205" s="277" t="e">
        <f>#REF!</f>
        <v>#REF!</v>
      </c>
      <c r="E205" s="277" t="e">
        <f>#REF!</f>
        <v>#REF!</v>
      </c>
      <c r="F205" s="277" t="e">
        <f>#REF!</f>
        <v>#REF!</v>
      </c>
      <c r="G205" s="277" t="e">
        <f>#REF!</f>
        <v>#REF!</v>
      </c>
      <c r="H205" s="277" t="e">
        <f>#REF!</f>
        <v>#REF!</v>
      </c>
      <c r="I205" s="277" t="e">
        <f>#REF!</f>
        <v>#REF!</v>
      </c>
      <c r="J205" s="277" t="e">
        <f>#REF!</f>
        <v>#REF!</v>
      </c>
      <c r="K205" s="277" t="e">
        <f>#REF!</f>
        <v>#REF!</v>
      </c>
      <c r="L205" s="277" t="e">
        <f>#REF!</f>
        <v>#REF!</v>
      </c>
      <c r="M205" s="277" t="e">
        <f>#REF!</f>
        <v>#REF!</v>
      </c>
      <c r="N205" s="277" t="e">
        <f>#REF!</f>
        <v>#REF!</v>
      </c>
      <c r="O205" s="277" t="e">
        <f>#REF!</f>
        <v>#REF!</v>
      </c>
      <c r="P205" s="277" t="e">
        <f>#REF!</f>
        <v>#REF!</v>
      </c>
      <c r="Q205" s="277" t="e">
        <f>#REF!</f>
        <v>#REF!</v>
      </c>
      <c r="R205" s="277" t="e">
        <f>#REF!</f>
        <v>#REF!</v>
      </c>
      <c r="S205" s="277" t="e">
        <f>#REF!</f>
        <v>#REF!</v>
      </c>
      <c r="T205" s="281" t="e">
        <f>#REF!</f>
        <v>#REF!</v>
      </c>
      <c r="U205" s="281" t="e">
        <f>#REF!</f>
        <v>#REF!</v>
      </c>
      <c r="V205" s="281" t="e">
        <f>#REF!</f>
        <v>#REF!</v>
      </c>
      <c r="W205" s="281" t="e">
        <f>#REF!</f>
        <v>#REF!</v>
      </c>
      <c r="X205" s="281" t="e">
        <f>#REF!</f>
        <v>#REF!</v>
      </c>
    </row>
    <row r="206" spans="1:24" ht="24.95" customHeight="1">
      <c r="A206" s="274" t="e">
        <f>#REF!</f>
        <v>#REF!</v>
      </c>
      <c r="B206" s="275" t="e">
        <f>#REF!</f>
        <v>#REF!</v>
      </c>
      <c r="C206" s="276" t="e">
        <f>#REF!</f>
        <v>#REF!</v>
      </c>
      <c r="D206" s="277" t="e">
        <f>#REF!</f>
        <v>#REF!</v>
      </c>
      <c r="E206" s="277" t="e">
        <f>#REF!</f>
        <v>#REF!</v>
      </c>
      <c r="F206" s="277" t="e">
        <f>#REF!</f>
        <v>#REF!</v>
      </c>
      <c r="G206" s="277" t="e">
        <f>#REF!</f>
        <v>#REF!</v>
      </c>
      <c r="H206" s="277" t="e">
        <f>#REF!</f>
        <v>#REF!</v>
      </c>
      <c r="I206" s="277" t="e">
        <f>#REF!</f>
        <v>#REF!</v>
      </c>
      <c r="J206" s="277" t="e">
        <f>#REF!</f>
        <v>#REF!</v>
      </c>
      <c r="K206" s="277" t="e">
        <f>#REF!</f>
        <v>#REF!</v>
      </c>
      <c r="L206" s="277" t="e">
        <f>#REF!</f>
        <v>#REF!</v>
      </c>
      <c r="M206" s="277" t="e">
        <f>#REF!</f>
        <v>#REF!</v>
      </c>
      <c r="N206" s="277" t="e">
        <f>#REF!</f>
        <v>#REF!</v>
      </c>
      <c r="O206" s="277" t="e">
        <f>#REF!</f>
        <v>#REF!</v>
      </c>
      <c r="P206" s="277" t="e">
        <f>#REF!</f>
        <v>#REF!</v>
      </c>
      <c r="Q206" s="277" t="e">
        <f>#REF!</f>
        <v>#REF!</v>
      </c>
      <c r="R206" s="277" t="e">
        <f>#REF!</f>
        <v>#REF!</v>
      </c>
      <c r="S206" s="277" t="e">
        <f>#REF!</f>
        <v>#REF!</v>
      </c>
      <c r="T206" s="281" t="e">
        <f>#REF!</f>
        <v>#REF!</v>
      </c>
      <c r="U206" s="281" t="e">
        <f>#REF!</f>
        <v>#REF!</v>
      </c>
      <c r="V206" s="281" t="e">
        <f>#REF!</f>
        <v>#REF!</v>
      </c>
      <c r="W206" s="281" t="e">
        <f>#REF!</f>
        <v>#REF!</v>
      </c>
      <c r="X206" s="281" t="e">
        <f>#REF!</f>
        <v>#REF!</v>
      </c>
    </row>
    <row r="207" spans="1:24" ht="24.95" customHeight="1">
      <c r="A207" s="274" t="e">
        <f>#REF!</f>
        <v>#REF!</v>
      </c>
      <c r="B207" s="275" t="e">
        <f>#REF!</f>
        <v>#REF!</v>
      </c>
      <c r="C207" s="276" t="e">
        <f>#REF!</f>
        <v>#REF!</v>
      </c>
      <c r="D207" s="277" t="e">
        <f>#REF!</f>
        <v>#REF!</v>
      </c>
      <c r="E207" s="277" t="e">
        <f>#REF!</f>
        <v>#REF!</v>
      </c>
      <c r="F207" s="277" t="e">
        <f>#REF!</f>
        <v>#REF!</v>
      </c>
      <c r="G207" s="277" t="e">
        <f>#REF!</f>
        <v>#REF!</v>
      </c>
      <c r="H207" s="277" t="e">
        <f>#REF!</f>
        <v>#REF!</v>
      </c>
      <c r="I207" s="277" t="e">
        <f>#REF!</f>
        <v>#REF!</v>
      </c>
      <c r="J207" s="277" t="e">
        <f>#REF!</f>
        <v>#REF!</v>
      </c>
      <c r="K207" s="277" t="e">
        <f>#REF!</f>
        <v>#REF!</v>
      </c>
      <c r="L207" s="277" t="e">
        <f>#REF!</f>
        <v>#REF!</v>
      </c>
      <c r="M207" s="277" t="e">
        <f>#REF!</f>
        <v>#REF!</v>
      </c>
      <c r="N207" s="277" t="e">
        <f>#REF!</f>
        <v>#REF!</v>
      </c>
      <c r="O207" s="277" t="e">
        <f>#REF!</f>
        <v>#REF!</v>
      </c>
      <c r="P207" s="277" t="e">
        <f>#REF!</f>
        <v>#REF!</v>
      </c>
      <c r="Q207" s="277" t="e">
        <f>#REF!</f>
        <v>#REF!</v>
      </c>
      <c r="R207" s="277" t="e">
        <f>#REF!</f>
        <v>#REF!</v>
      </c>
      <c r="S207" s="277" t="e">
        <f>#REF!</f>
        <v>#REF!</v>
      </c>
      <c r="T207" s="281" t="e">
        <f>#REF!</f>
        <v>#REF!</v>
      </c>
      <c r="U207" s="281" t="e">
        <f>#REF!</f>
        <v>#REF!</v>
      </c>
      <c r="V207" s="281" t="e">
        <f>#REF!</f>
        <v>#REF!</v>
      </c>
      <c r="W207" s="281" t="e">
        <f>#REF!</f>
        <v>#REF!</v>
      </c>
      <c r="X207" s="281" t="e">
        <f>#REF!</f>
        <v>#REF!</v>
      </c>
    </row>
    <row r="208" spans="1:24" ht="24.95" customHeight="1">
      <c r="A208" s="274" t="e">
        <f>#REF!</f>
        <v>#REF!</v>
      </c>
      <c r="B208" s="275" t="e">
        <f>#REF!</f>
        <v>#REF!</v>
      </c>
      <c r="C208" s="276" t="e">
        <f>#REF!</f>
        <v>#REF!</v>
      </c>
      <c r="D208" s="277" t="e">
        <f>#REF!</f>
        <v>#REF!</v>
      </c>
      <c r="E208" s="277" t="e">
        <f>#REF!</f>
        <v>#REF!</v>
      </c>
      <c r="F208" s="277" t="e">
        <f>#REF!</f>
        <v>#REF!</v>
      </c>
      <c r="G208" s="277" t="e">
        <f>#REF!</f>
        <v>#REF!</v>
      </c>
      <c r="H208" s="277" t="e">
        <f>#REF!</f>
        <v>#REF!</v>
      </c>
      <c r="I208" s="277" t="e">
        <f>#REF!</f>
        <v>#REF!</v>
      </c>
      <c r="J208" s="277" t="e">
        <f>#REF!</f>
        <v>#REF!</v>
      </c>
      <c r="K208" s="277" t="e">
        <f>#REF!</f>
        <v>#REF!</v>
      </c>
      <c r="L208" s="277" t="e">
        <f>#REF!</f>
        <v>#REF!</v>
      </c>
      <c r="M208" s="277" t="e">
        <f>#REF!</f>
        <v>#REF!</v>
      </c>
      <c r="N208" s="277" t="e">
        <f>#REF!</f>
        <v>#REF!</v>
      </c>
      <c r="O208" s="277" t="e">
        <f>#REF!</f>
        <v>#REF!</v>
      </c>
      <c r="P208" s="277" t="e">
        <f>#REF!</f>
        <v>#REF!</v>
      </c>
      <c r="Q208" s="277" t="e">
        <f>#REF!</f>
        <v>#REF!</v>
      </c>
      <c r="R208" s="277" t="e">
        <f>#REF!</f>
        <v>#REF!</v>
      </c>
      <c r="S208" s="277" t="e">
        <f>#REF!</f>
        <v>#REF!</v>
      </c>
      <c r="T208" s="281" t="e">
        <f>#REF!</f>
        <v>#REF!</v>
      </c>
      <c r="U208" s="281" t="e">
        <f>#REF!</f>
        <v>#REF!</v>
      </c>
      <c r="V208" s="281" t="e">
        <f>#REF!</f>
        <v>#REF!</v>
      </c>
      <c r="W208" s="281" t="e">
        <f>#REF!</f>
        <v>#REF!</v>
      </c>
      <c r="X208" s="281" t="e">
        <f>#REF!</f>
        <v>#REF!</v>
      </c>
    </row>
    <row r="209" spans="1:24" ht="24.95" customHeight="1">
      <c r="A209" s="274" t="e">
        <f>#REF!</f>
        <v>#REF!</v>
      </c>
      <c r="B209" s="275" t="e">
        <f>#REF!</f>
        <v>#REF!</v>
      </c>
      <c r="C209" s="276" t="e">
        <f>#REF!</f>
        <v>#REF!</v>
      </c>
      <c r="D209" s="277" t="e">
        <f>#REF!</f>
        <v>#REF!</v>
      </c>
      <c r="E209" s="277" t="e">
        <f>#REF!</f>
        <v>#REF!</v>
      </c>
      <c r="F209" s="277" t="e">
        <f>#REF!</f>
        <v>#REF!</v>
      </c>
      <c r="G209" s="277" t="e">
        <f>#REF!</f>
        <v>#REF!</v>
      </c>
      <c r="H209" s="277" t="e">
        <f>#REF!</f>
        <v>#REF!</v>
      </c>
      <c r="I209" s="277" t="e">
        <f>#REF!</f>
        <v>#REF!</v>
      </c>
      <c r="J209" s="277" t="e">
        <f>#REF!</f>
        <v>#REF!</v>
      </c>
      <c r="K209" s="277" t="e">
        <f>#REF!</f>
        <v>#REF!</v>
      </c>
      <c r="L209" s="277" t="e">
        <f>#REF!</f>
        <v>#REF!</v>
      </c>
      <c r="M209" s="277" t="e">
        <f>#REF!</f>
        <v>#REF!</v>
      </c>
      <c r="N209" s="277" t="e">
        <f>#REF!</f>
        <v>#REF!</v>
      </c>
      <c r="O209" s="277" t="e">
        <f>#REF!</f>
        <v>#REF!</v>
      </c>
      <c r="P209" s="277" t="e">
        <f>#REF!</f>
        <v>#REF!</v>
      </c>
      <c r="Q209" s="277" t="e">
        <f>#REF!</f>
        <v>#REF!</v>
      </c>
      <c r="R209" s="277" t="e">
        <f>#REF!</f>
        <v>#REF!</v>
      </c>
      <c r="S209" s="277" t="e">
        <f>#REF!</f>
        <v>#REF!</v>
      </c>
      <c r="T209" s="281" t="e">
        <f>#REF!</f>
        <v>#REF!</v>
      </c>
      <c r="U209" s="281" t="e">
        <f>#REF!</f>
        <v>#REF!</v>
      </c>
      <c r="V209" s="281" t="e">
        <f>#REF!</f>
        <v>#REF!</v>
      </c>
      <c r="W209" s="281" t="e">
        <f>#REF!</f>
        <v>#REF!</v>
      </c>
      <c r="X209" s="281" t="e">
        <f>#REF!</f>
        <v>#REF!</v>
      </c>
    </row>
    <row r="210" spans="1:24" ht="24.95" customHeight="1">
      <c r="A210" s="274" t="e">
        <f>#REF!</f>
        <v>#REF!</v>
      </c>
      <c r="B210" s="275" t="e">
        <f>#REF!</f>
        <v>#REF!</v>
      </c>
      <c r="C210" s="276" t="e">
        <f>#REF!</f>
        <v>#REF!</v>
      </c>
      <c r="D210" s="277" t="e">
        <f>#REF!</f>
        <v>#REF!</v>
      </c>
      <c r="E210" s="277" t="e">
        <f>#REF!</f>
        <v>#REF!</v>
      </c>
      <c r="F210" s="277" t="e">
        <f>#REF!</f>
        <v>#REF!</v>
      </c>
      <c r="G210" s="277" t="e">
        <f>#REF!</f>
        <v>#REF!</v>
      </c>
      <c r="H210" s="277" t="e">
        <f>#REF!</f>
        <v>#REF!</v>
      </c>
      <c r="I210" s="277" t="e">
        <f>#REF!</f>
        <v>#REF!</v>
      </c>
      <c r="J210" s="277" t="e">
        <f>#REF!</f>
        <v>#REF!</v>
      </c>
      <c r="K210" s="277" t="e">
        <f>#REF!</f>
        <v>#REF!</v>
      </c>
      <c r="L210" s="277" t="e">
        <f>#REF!</f>
        <v>#REF!</v>
      </c>
      <c r="M210" s="277" t="e">
        <f>#REF!</f>
        <v>#REF!</v>
      </c>
      <c r="N210" s="277" t="e">
        <f>#REF!</f>
        <v>#REF!</v>
      </c>
      <c r="O210" s="277" t="e">
        <f>#REF!</f>
        <v>#REF!</v>
      </c>
      <c r="P210" s="277" t="e">
        <f>#REF!</f>
        <v>#REF!</v>
      </c>
      <c r="Q210" s="277" t="e">
        <f>#REF!</f>
        <v>#REF!</v>
      </c>
      <c r="R210" s="277" t="e">
        <f>#REF!</f>
        <v>#REF!</v>
      </c>
      <c r="S210" s="277" t="e">
        <f>#REF!</f>
        <v>#REF!</v>
      </c>
      <c r="T210" s="281" t="e">
        <f>#REF!</f>
        <v>#REF!</v>
      </c>
      <c r="U210" s="281" t="e">
        <f>#REF!</f>
        <v>#REF!</v>
      </c>
      <c r="V210" s="281" t="e">
        <f>#REF!</f>
        <v>#REF!</v>
      </c>
      <c r="W210" s="281" t="e">
        <f>#REF!</f>
        <v>#REF!</v>
      </c>
      <c r="X210" s="281" t="e">
        <f>#REF!</f>
        <v>#REF!</v>
      </c>
    </row>
    <row r="211" spans="1:24" ht="24.95" customHeight="1">
      <c r="A211" s="274" t="e">
        <f>#REF!</f>
        <v>#REF!</v>
      </c>
      <c r="B211" s="275" t="e">
        <f>#REF!</f>
        <v>#REF!</v>
      </c>
      <c r="C211" s="276" t="e">
        <f>#REF!</f>
        <v>#REF!</v>
      </c>
      <c r="D211" s="277" t="e">
        <f>#REF!</f>
        <v>#REF!</v>
      </c>
      <c r="E211" s="277" t="e">
        <f>#REF!</f>
        <v>#REF!</v>
      </c>
      <c r="F211" s="277" t="e">
        <f>#REF!</f>
        <v>#REF!</v>
      </c>
      <c r="G211" s="277" t="e">
        <f>#REF!</f>
        <v>#REF!</v>
      </c>
      <c r="H211" s="277" t="e">
        <f>#REF!</f>
        <v>#REF!</v>
      </c>
      <c r="I211" s="277" t="e">
        <f>#REF!</f>
        <v>#REF!</v>
      </c>
      <c r="J211" s="277" t="e">
        <f>#REF!</f>
        <v>#REF!</v>
      </c>
      <c r="K211" s="277" t="e">
        <f>#REF!</f>
        <v>#REF!</v>
      </c>
      <c r="L211" s="277" t="e">
        <f>#REF!</f>
        <v>#REF!</v>
      </c>
      <c r="M211" s="277" t="e">
        <f>#REF!</f>
        <v>#REF!</v>
      </c>
      <c r="N211" s="277" t="e">
        <f>#REF!</f>
        <v>#REF!</v>
      </c>
      <c r="O211" s="277" t="e">
        <f>#REF!</f>
        <v>#REF!</v>
      </c>
      <c r="P211" s="277" t="e">
        <f>#REF!</f>
        <v>#REF!</v>
      </c>
      <c r="Q211" s="277" t="e">
        <f>#REF!</f>
        <v>#REF!</v>
      </c>
      <c r="R211" s="277" t="e">
        <f>#REF!</f>
        <v>#REF!</v>
      </c>
      <c r="S211" s="277" t="e">
        <f>#REF!</f>
        <v>#REF!</v>
      </c>
      <c r="T211" s="281" t="e">
        <f>#REF!</f>
        <v>#REF!</v>
      </c>
      <c r="U211" s="281" t="e">
        <f>#REF!</f>
        <v>#REF!</v>
      </c>
      <c r="V211" s="281" t="e">
        <f>#REF!</f>
        <v>#REF!</v>
      </c>
      <c r="W211" s="281" t="e">
        <f>#REF!</f>
        <v>#REF!</v>
      </c>
      <c r="X211" s="281" t="e">
        <f>#REF!</f>
        <v>#REF!</v>
      </c>
    </row>
    <row r="212" spans="1:24" ht="24.95" customHeight="1">
      <c r="A212" s="274" t="e">
        <f>#REF!</f>
        <v>#REF!</v>
      </c>
      <c r="B212" s="275" t="e">
        <f>#REF!</f>
        <v>#REF!</v>
      </c>
      <c r="C212" s="276" t="e">
        <f>#REF!</f>
        <v>#REF!</v>
      </c>
      <c r="D212" s="277" t="e">
        <f>#REF!</f>
        <v>#REF!</v>
      </c>
      <c r="E212" s="277" t="e">
        <f>#REF!</f>
        <v>#REF!</v>
      </c>
      <c r="F212" s="277" t="e">
        <f>#REF!</f>
        <v>#REF!</v>
      </c>
      <c r="G212" s="277" t="e">
        <f>#REF!</f>
        <v>#REF!</v>
      </c>
      <c r="H212" s="277" t="e">
        <f>#REF!</f>
        <v>#REF!</v>
      </c>
      <c r="I212" s="277" t="e">
        <f>#REF!</f>
        <v>#REF!</v>
      </c>
      <c r="J212" s="277" t="e">
        <f>#REF!</f>
        <v>#REF!</v>
      </c>
      <c r="K212" s="277" t="e">
        <f>#REF!</f>
        <v>#REF!</v>
      </c>
      <c r="L212" s="277" t="e">
        <f>#REF!</f>
        <v>#REF!</v>
      </c>
      <c r="M212" s="277" t="e">
        <f>#REF!</f>
        <v>#REF!</v>
      </c>
      <c r="N212" s="277" t="e">
        <f>#REF!</f>
        <v>#REF!</v>
      </c>
      <c r="O212" s="277" t="e">
        <f>#REF!</f>
        <v>#REF!</v>
      </c>
      <c r="P212" s="277" t="e">
        <f>#REF!</f>
        <v>#REF!</v>
      </c>
      <c r="Q212" s="277" t="e">
        <f>#REF!</f>
        <v>#REF!</v>
      </c>
      <c r="R212" s="277" t="e">
        <f>#REF!</f>
        <v>#REF!</v>
      </c>
      <c r="S212" s="277" t="e">
        <f>#REF!</f>
        <v>#REF!</v>
      </c>
      <c r="T212" s="281" t="e">
        <f>#REF!</f>
        <v>#REF!</v>
      </c>
      <c r="U212" s="281" t="e">
        <f>#REF!</f>
        <v>#REF!</v>
      </c>
      <c r="V212" s="281" t="e">
        <f>#REF!</f>
        <v>#REF!</v>
      </c>
      <c r="W212" s="281" t="e">
        <f>#REF!</f>
        <v>#REF!</v>
      </c>
      <c r="X212" s="281" t="e">
        <f>#REF!</f>
        <v>#REF!</v>
      </c>
    </row>
    <row r="213" spans="1:24" ht="24.95" customHeight="1">
      <c r="A213" s="274" t="e">
        <f>#REF!</f>
        <v>#REF!</v>
      </c>
      <c r="B213" s="275" t="e">
        <f>#REF!</f>
        <v>#REF!</v>
      </c>
      <c r="C213" s="276" t="e">
        <f>#REF!</f>
        <v>#REF!</v>
      </c>
      <c r="D213" s="277" t="e">
        <f>#REF!</f>
        <v>#REF!</v>
      </c>
      <c r="E213" s="277" t="e">
        <f>#REF!</f>
        <v>#REF!</v>
      </c>
      <c r="F213" s="277" t="e">
        <f>#REF!</f>
        <v>#REF!</v>
      </c>
      <c r="G213" s="277" t="e">
        <f>#REF!</f>
        <v>#REF!</v>
      </c>
      <c r="H213" s="277" t="e">
        <f>#REF!</f>
        <v>#REF!</v>
      </c>
      <c r="I213" s="277" t="e">
        <f>#REF!</f>
        <v>#REF!</v>
      </c>
      <c r="J213" s="277" t="e">
        <f>#REF!</f>
        <v>#REF!</v>
      </c>
      <c r="K213" s="277" t="e">
        <f>#REF!</f>
        <v>#REF!</v>
      </c>
      <c r="L213" s="277" t="e">
        <f>#REF!</f>
        <v>#REF!</v>
      </c>
      <c r="M213" s="277" t="e">
        <f>#REF!</f>
        <v>#REF!</v>
      </c>
      <c r="N213" s="277" t="e">
        <f>#REF!</f>
        <v>#REF!</v>
      </c>
      <c r="O213" s="277" t="e">
        <f>#REF!</f>
        <v>#REF!</v>
      </c>
      <c r="P213" s="277" t="e">
        <f>#REF!</f>
        <v>#REF!</v>
      </c>
      <c r="Q213" s="277" t="e">
        <f>#REF!</f>
        <v>#REF!</v>
      </c>
      <c r="R213" s="277" t="e">
        <f>#REF!</f>
        <v>#REF!</v>
      </c>
      <c r="S213" s="277" t="e">
        <f>#REF!</f>
        <v>#REF!</v>
      </c>
      <c r="T213" s="281" t="e">
        <f>#REF!</f>
        <v>#REF!</v>
      </c>
      <c r="U213" s="281" t="e">
        <f>#REF!</f>
        <v>#REF!</v>
      </c>
      <c r="V213" s="281" t="e">
        <f>#REF!</f>
        <v>#REF!</v>
      </c>
      <c r="W213" s="281" t="e">
        <f>#REF!</f>
        <v>#REF!</v>
      </c>
      <c r="X213" s="281" t="e">
        <f>#REF!</f>
        <v>#REF!</v>
      </c>
    </row>
    <row r="214" spans="1:24" ht="24.95" customHeight="1">
      <c r="A214" s="274" t="e">
        <f>#REF!</f>
        <v>#REF!</v>
      </c>
      <c r="B214" s="275" t="e">
        <f>#REF!</f>
        <v>#REF!</v>
      </c>
      <c r="C214" s="276" t="e">
        <f>#REF!</f>
        <v>#REF!</v>
      </c>
      <c r="D214" s="277" t="e">
        <f>#REF!</f>
        <v>#REF!</v>
      </c>
      <c r="E214" s="277" t="e">
        <f>#REF!</f>
        <v>#REF!</v>
      </c>
      <c r="F214" s="277" t="e">
        <f>#REF!</f>
        <v>#REF!</v>
      </c>
      <c r="G214" s="277" t="e">
        <f>#REF!</f>
        <v>#REF!</v>
      </c>
      <c r="H214" s="277" t="e">
        <f>#REF!</f>
        <v>#REF!</v>
      </c>
      <c r="I214" s="277" t="e">
        <f>#REF!</f>
        <v>#REF!</v>
      </c>
      <c r="J214" s="277" t="e">
        <f>#REF!</f>
        <v>#REF!</v>
      </c>
      <c r="K214" s="277" t="e">
        <f>#REF!</f>
        <v>#REF!</v>
      </c>
      <c r="L214" s="277" t="e">
        <f>#REF!</f>
        <v>#REF!</v>
      </c>
      <c r="M214" s="277" t="e">
        <f>#REF!</f>
        <v>#REF!</v>
      </c>
      <c r="N214" s="277" t="e">
        <f>#REF!</f>
        <v>#REF!</v>
      </c>
      <c r="O214" s="277" t="e">
        <f>#REF!</f>
        <v>#REF!</v>
      </c>
      <c r="P214" s="277" t="e">
        <f>#REF!</f>
        <v>#REF!</v>
      </c>
      <c r="Q214" s="277" t="e">
        <f>#REF!</f>
        <v>#REF!</v>
      </c>
      <c r="R214" s="277" t="e">
        <f>#REF!</f>
        <v>#REF!</v>
      </c>
      <c r="S214" s="277" t="e">
        <f>#REF!</f>
        <v>#REF!</v>
      </c>
      <c r="T214" s="281" t="e">
        <f>#REF!</f>
        <v>#REF!</v>
      </c>
      <c r="U214" s="281" t="e">
        <f>#REF!</f>
        <v>#REF!</v>
      </c>
      <c r="V214" s="281" t="e">
        <f>#REF!</f>
        <v>#REF!</v>
      </c>
      <c r="W214" s="281" t="e">
        <f>#REF!</f>
        <v>#REF!</v>
      </c>
      <c r="X214" s="281" t="e">
        <f>#REF!</f>
        <v>#REF!</v>
      </c>
    </row>
    <row r="215" spans="1:24" ht="24.95" customHeight="1">
      <c r="A215" s="274" t="e">
        <f>#REF!</f>
        <v>#REF!</v>
      </c>
      <c r="B215" s="275" t="e">
        <f>#REF!</f>
        <v>#REF!</v>
      </c>
      <c r="C215" s="276" t="e">
        <f>#REF!</f>
        <v>#REF!</v>
      </c>
      <c r="D215" s="277" t="e">
        <f>#REF!</f>
        <v>#REF!</v>
      </c>
      <c r="E215" s="277" t="e">
        <f>#REF!</f>
        <v>#REF!</v>
      </c>
      <c r="F215" s="277" t="e">
        <f>#REF!</f>
        <v>#REF!</v>
      </c>
      <c r="G215" s="277" t="e">
        <f>#REF!</f>
        <v>#REF!</v>
      </c>
      <c r="H215" s="277" t="e">
        <f>#REF!</f>
        <v>#REF!</v>
      </c>
      <c r="I215" s="277" t="e">
        <f>#REF!</f>
        <v>#REF!</v>
      </c>
      <c r="J215" s="277" t="e">
        <f>#REF!</f>
        <v>#REF!</v>
      </c>
      <c r="K215" s="277" t="e">
        <f>#REF!</f>
        <v>#REF!</v>
      </c>
      <c r="L215" s="277" t="e">
        <f>#REF!</f>
        <v>#REF!</v>
      </c>
      <c r="M215" s="277" t="e">
        <f>#REF!</f>
        <v>#REF!</v>
      </c>
      <c r="N215" s="277" t="e">
        <f>#REF!</f>
        <v>#REF!</v>
      </c>
      <c r="O215" s="277" t="e">
        <f>#REF!</f>
        <v>#REF!</v>
      </c>
      <c r="P215" s="277" t="e">
        <f>#REF!</f>
        <v>#REF!</v>
      </c>
      <c r="Q215" s="277" t="e">
        <f>#REF!</f>
        <v>#REF!</v>
      </c>
      <c r="R215" s="277" t="e">
        <f>#REF!</f>
        <v>#REF!</v>
      </c>
      <c r="S215" s="277" t="e">
        <f>#REF!</f>
        <v>#REF!</v>
      </c>
      <c r="T215" s="281" t="e">
        <f>#REF!</f>
        <v>#REF!</v>
      </c>
      <c r="U215" s="281" t="e">
        <f>#REF!</f>
        <v>#REF!</v>
      </c>
      <c r="V215" s="281" t="e">
        <f>#REF!</f>
        <v>#REF!</v>
      </c>
      <c r="W215" s="281" t="e">
        <f>#REF!</f>
        <v>#REF!</v>
      </c>
      <c r="X215" s="281" t="e">
        <f>#REF!</f>
        <v>#REF!</v>
      </c>
    </row>
    <row r="216" spans="1:24" ht="24.95" customHeight="1">
      <c r="A216" s="274" t="e">
        <f>#REF!</f>
        <v>#REF!</v>
      </c>
      <c r="B216" s="275" t="e">
        <f>#REF!</f>
        <v>#REF!</v>
      </c>
      <c r="C216" s="276" t="e">
        <f>#REF!</f>
        <v>#REF!</v>
      </c>
      <c r="D216" s="277" t="e">
        <f>#REF!</f>
        <v>#REF!</v>
      </c>
      <c r="E216" s="277" t="e">
        <f>#REF!</f>
        <v>#REF!</v>
      </c>
      <c r="F216" s="277" t="e">
        <f>#REF!</f>
        <v>#REF!</v>
      </c>
      <c r="G216" s="277" t="e">
        <f>#REF!</f>
        <v>#REF!</v>
      </c>
      <c r="H216" s="277" t="e">
        <f>#REF!</f>
        <v>#REF!</v>
      </c>
      <c r="I216" s="277" t="e">
        <f>#REF!</f>
        <v>#REF!</v>
      </c>
      <c r="J216" s="277" t="e">
        <f>#REF!</f>
        <v>#REF!</v>
      </c>
      <c r="K216" s="277" t="e">
        <f>#REF!</f>
        <v>#REF!</v>
      </c>
      <c r="L216" s="277" t="e">
        <f>#REF!</f>
        <v>#REF!</v>
      </c>
      <c r="M216" s="277" t="e">
        <f>#REF!</f>
        <v>#REF!</v>
      </c>
      <c r="N216" s="277" t="e">
        <f>#REF!</f>
        <v>#REF!</v>
      </c>
      <c r="O216" s="277" t="e">
        <f>#REF!</f>
        <v>#REF!</v>
      </c>
      <c r="P216" s="277" t="e">
        <f>#REF!</f>
        <v>#REF!</v>
      </c>
      <c r="Q216" s="277" t="e">
        <f>#REF!</f>
        <v>#REF!</v>
      </c>
      <c r="R216" s="277" t="e">
        <f>#REF!</f>
        <v>#REF!</v>
      </c>
      <c r="S216" s="277" t="e">
        <f>#REF!</f>
        <v>#REF!</v>
      </c>
      <c r="T216" s="281" t="e">
        <f>#REF!</f>
        <v>#REF!</v>
      </c>
      <c r="U216" s="281" t="e">
        <f>#REF!</f>
        <v>#REF!</v>
      </c>
      <c r="V216" s="281" t="e">
        <f>#REF!</f>
        <v>#REF!</v>
      </c>
      <c r="W216" s="281" t="e">
        <f>#REF!</f>
        <v>#REF!</v>
      </c>
      <c r="X216" s="281" t="e">
        <f>#REF!</f>
        <v>#REF!</v>
      </c>
    </row>
    <row r="217" spans="1:24" ht="24.95" customHeight="1">
      <c r="A217" s="274" t="e">
        <f>#REF!</f>
        <v>#REF!</v>
      </c>
      <c r="B217" s="275" t="e">
        <f>#REF!</f>
        <v>#REF!</v>
      </c>
      <c r="C217" s="276" t="e">
        <f>#REF!</f>
        <v>#REF!</v>
      </c>
      <c r="D217" s="277" t="e">
        <f>#REF!</f>
        <v>#REF!</v>
      </c>
      <c r="E217" s="277" t="e">
        <f>#REF!</f>
        <v>#REF!</v>
      </c>
      <c r="F217" s="277" t="e">
        <f>#REF!</f>
        <v>#REF!</v>
      </c>
      <c r="G217" s="277" t="e">
        <f>#REF!</f>
        <v>#REF!</v>
      </c>
      <c r="H217" s="277" t="e">
        <f>#REF!</f>
        <v>#REF!</v>
      </c>
      <c r="I217" s="277" t="e">
        <f>#REF!</f>
        <v>#REF!</v>
      </c>
      <c r="J217" s="277" t="e">
        <f>#REF!</f>
        <v>#REF!</v>
      </c>
      <c r="K217" s="277" t="e">
        <f>#REF!</f>
        <v>#REF!</v>
      </c>
      <c r="L217" s="277" t="e">
        <f>#REF!</f>
        <v>#REF!</v>
      </c>
      <c r="M217" s="277" t="e">
        <f>#REF!</f>
        <v>#REF!</v>
      </c>
      <c r="N217" s="277" t="e">
        <f>#REF!</f>
        <v>#REF!</v>
      </c>
      <c r="O217" s="277" t="e">
        <f>#REF!</f>
        <v>#REF!</v>
      </c>
      <c r="P217" s="277" t="e">
        <f>#REF!</f>
        <v>#REF!</v>
      </c>
      <c r="Q217" s="277" t="e">
        <f>#REF!</f>
        <v>#REF!</v>
      </c>
      <c r="R217" s="277" t="e">
        <f>#REF!</f>
        <v>#REF!</v>
      </c>
      <c r="S217" s="277" t="e">
        <f>#REF!</f>
        <v>#REF!</v>
      </c>
      <c r="T217" s="281" t="e">
        <f>#REF!</f>
        <v>#REF!</v>
      </c>
      <c r="U217" s="281" t="e">
        <f>#REF!</f>
        <v>#REF!</v>
      </c>
      <c r="V217" s="281" t="e">
        <f>#REF!</f>
        <v>#REF!</v>
      </c>
      <c r="W217" s="281" t="e">
        <f>#REF!</f>
        <v>#REF!</v>
      </c>
      <c r="X217" s="281" t="e">
        <f>#REF!</f>
        <v>#REF!</v>
      </c>
    </row>
    <row r="218" spans="1:24" ht="24.95" customHeight="1">
      <c r="A218" s="274" t="e">
        <f>#REF!</f>
        <v>#REF!</v>
      </c>
      <c r="B218" s="275" t="e">
        <f>#REF!</f>
        <v>#REF!</v>
      </c>
      <c r="C218" s="276" t="e">
        <f>#REF!</f>
        <v>#REF!</v>
      </c>
      <c r="D218" s="277" t="e">
        <f>#REF!</f>
        <v>#REF!</v>
      </c>
      <c r="E218" s="277" t="e">
        <f>#REF!</f>
        <v>#REF!</v>
      </c>
      <c r="F218" s="277" t="e">
        <f>#REF!</f>
        <v>#REF!</v>
      </c>
      <c r="G218" s="277" t="e">
        <f>#REF!</f>
        <v>#REF!</v>
      </c>
      <c r="H218" s="277" t="e">
        <f>#REF!</f>
        <v>#REF!</v>
      </c>
      <c r="I218" s="277" t="e">
        <f>#REF!</f>
        <v>#REF!</v>
      </c>
      <c r="J218" s="277" t="e">
        <f>#REF!</f>
        <v>#REF!</v>
      </c>
      <c r="K218" s="277" t="e">
        <f>#REF!</f>
        <v>#REF!</v>
      </c>
      <c r="L218" s="277" t="e">
        <f>#REF!</f>
        <v>#REF!</v>
      </c>
      <c r="M218" s="277" t="e">
        <f>#REF!</f>
        <v>#REF!</v>
      </c>
      <c r="N218" s="277" t="e">
        <f>#REF!</f>
        <v>#REF!</v>
      </c>
      <c r="O218" s="277" t="e">
        <f>#REF!</f>
        <v>#REF!</v>
      </c>
      <c r="P218" s="277" t="e">
        <f>#REF!</f>
        <v>#REF!</v>
      </c>
      <c r="Q218" s="277" t="e">
        <f>#REF!</f>
        <v>#REF!</v>
      </c>
      <c r="R218" s="277" t="e">
        <f>#REF!</f>
        <v>#REF!</v>
      </c>
      <c r="S218" s="277" t="e">
        <f>#REF!</f>
        <v>#REF!</v>
      </c>
      <c r="T218" s="281" t="e">
        <f>#REF!</f>
        <v>#REF!</v>
      </c>
      <c r="U218" s="281" t="e">
        <f>#REF!</f>
        <v>#REF!</v>
      </c>
      <c r="V218" s="281" t="e">
        <f>#REF!</f>
        <v>#REF!</v>
      </c>
      <c r="W218" s="281" t="e">
        <f>#REF!</f>
        <v>#REF!</v>
      </c>
      <c r="X218" s="281" t="e">
        <f>#REF!</f>
        <v>#REF!</v>
      </c>
    </row>
    <row r="219" spans="1:24" ht="24.95" customHeight="1">
      <c r="A219" s="274" t="e">
        <f>#REF!</f>
        <v>#REF!</v>
      </c>
      <c r="B219" s="275" t="e">
        <f>#REF!</f>
        <v>#REF!</v>
      </c>
      <c r="C219" s="276" t="e">
        <f>#REF!</f>
        <v>#REF!</v>
      </c>
      <c r="D219" s="277" t="e">
        <f>#REF!</f>
        <v>#REF!</v>
      </c>
      <c r="E219" s="277" t="e">
        <f>#REF!</f>
        <v>#REF!</v>
      </c>
      <c r="F219" s="277" t="e">
        <f>#REF!</f>
        <v>#REF!</v>
      </c>
      <c r="G219" s="277" t="e">
        <f>#REF!</f>
        <v>#REF!</v>
      </c>
      <c r="H219" s="277" t="e">
        <f>#REF!</f>
        <v>#REF!</v>
      </c>
      <c r="I219" s="277" t="e">
        <f>#REF!</f>
        <v>#REF!</v>
      </c>
      <c r="J219" s="277" t="e">
        <f>#REF!</f>
        <v>#REF!</v>
      </c>
      <c r="K219" s="277" t="e">
        <f>#REF!</f>
        <v>#REF!</v>
      </c>
      <c r="L219" s="277" t="e">
        <f>#REF!</f>
        <v>#REF!</v>
      </c>
      <c r="M219" s="277" t="e">
        <f>#REF!</f>
        <v>#REF!</v>
      </c>
      <c r="N219" s="277" t="e">
        <f>#REF!</f>
        <v>#REF!</v>
      </c>
      <c r="O219" s="277" t="e">
        <f>#REF!</f>
        <v>#REF!</v>
      </c>
      <c r="P219" s="277" t="e">
        <f>#REF!</f>
        <v>#REF!</v>
      </c>
      <c r="Q219" s="277" t="e">
        <f>#REF!</f>
        <v>#REF!</v>
      </c>
      <c r="R219" s="277" t="e">
        <f>#REF!</f>
        <v>#REF!</v>
      </c>
      <c r="S219" s="277" t="e">
        <f>#REF!</f>
        <v>#REF!</v>
      </c>
      <c r="T219" s="281" t="e">
        <f>#REF!</f>
        <v>#REF!</v>
      </c>
      <c r="U219" s="281" t="e">
        <f>#REF!</f>
        <v>#REF!</v>
      </c>
      <c r="V219" s="281" t="e">
        <f>#REF!</f>
        <v>#REF!</v>
      </c>
      <c r="W219" s="281" t="e">
        <f>#REF!</f>
        <v>#REF!</v>
      </c>
      <c r="X219" s="281" t="e">
        <f>#REF!</f>
        <v>#REF!</v>
      </c>
    </row>
    <row r="220" spans="1:24" ht="24.95" customHeight="1">
      <c r="A220" s="274" t="e">
        <f>#REF!</f>
        <v>#REF!</v>
      </c>
      <c r="B220" s="275" t="e">
        <f>#REF!</f>
        <v>#REF!</v>
      </c>
      <c r="C220" s="276" t="e">
        <f>#REF!</f>
        <v>#REF!</v>
      </c>
      <c r="D220" s="277" t="e">
        <f>#REF!</f>
        <v>#REF!</v>
      </c>
      <c r="E220" s="277" t="e">
        <f>#REF!</f>
        <v>#REF!</v>
      </c>
      <c r="F220" s="277" t="e">
        <f>#REF!</f>
        <v>#REF!</v>
      </c>
      <c r="G220" s="277" t="e">
        <f>#REF!</f>
        <v>#REF!</v>
      </c>
      <c r="H220" s="277" t="e">
        <f>#REF!</f>
        <v>#REF!</v>
      </c>
      <c r="I220" s="277" t="e">
        <f>#REF!</f>
        <v>#REF!</v>
      </c>
      <c r="J220" s="277" t="e">
        <f>#REF!</f>
        <v>#REF!</v>
      </c>
      <c r="K220" s="277" t="e">
        <f>#REF!</f>
        <v>#REF!</v>
      </c>
      <c r="L220" s="277" t="e">
        <f>#REF!</f>
        <v>#REF!</v>
      </c>
      <c r="M220" s="277" t="e">
        <f>#REF!</f>
        <v>#REF!</v>
      </c>
      <c r="N220" s="277" t="e">
        <f>#REF!</f>
        <v>#REF!</v>
      </c>
      <c r="O220" s="277" t="e">
        <f>#REF!</f>
        <v>#REF!</v>
      </c>
      <c r="P220" s="277" t="e">
        <f>#REF!</f>
        <v>#REF!</v>
      </c>
      <c r="Q220" s="277" t="e">
        <f>#REF!</f>
        <v>#REF!</v>
      </c>
      <c r="R220" s="277" t="e">
        <f>#REF!</f>
        <v>#REF!</v>
      </c>
      <c r="S220" s="277" t="e">
        <f>#REF!</f>
        <v>#REF!</v>
      </c>
      <c r="T220" s="281" t="e">
        <f>#REF!</f>
        <v>#REF!</v>
      </c>
      <c r="U220" s="281" t="e">
        <f>#REF!</f>
        <v>#REF!</v>
      </c>
      <c r="V220" s="281" t="e">
        <f>#REF!</f>
        <v>#REF!</v>
      </c>
      <c r="W220" s="281" t="e">
        <f>#REF!</f>
        <v>#REF!</v>
      </c>
      <c r="X220" s="281" t="e">
        <f>#REF!</f>
        <v>#REF!</v>
      </c>
    </row>
    <row r="221" spans="1:24" ht="24.95" customHeight="1">
      <c r="A221" s="274" t="e">
        <f>#REF!</f>
        <v>#REF!</v>
      </c>
      <c r="B221" s="275" t="e">
        <f>#REF!</f>
        <v>#REF!</v>
      </c>
      <c r="C221" s="276" t="e">
        <f>#REF!</f>
        <v>#REF!</v>
      </c>
      <c r="D221" s="277" t="e">
        <f>#REF!</f>
        <v>#REF!</v>
      </c>
      <c r="E221" s="277" t="e">
        <f>#REF!</f>
        <v>#REF!</v>
      </c>
      <c r="F221" s="277" t="e">
        <f>#REF!</f>
        <v>#REF!</v>
      </c>
      <c r="G221" s="277" t="e">
        <f>#REF!</f>
        <v>#REF!</v>
      </c>
      <c r="H221" s="277" t="e">
        <f>#REF!</f>
        <v>#REF!</v>
      </c>
      <c r="I221" s="277" t="e">
        <f>#REF!</f>
        <v>#REF!</v>
      </c>
      <c r="J221" s="277" t="e">
        <f>#REF!</f>
        <v>#REF!</v>
      </c>
      <c r="K221" s="277" t="e">
        <f>#REF!</f>
        <v>#REF!</v>
      </c>
      <c r="L221" s="277" t="e">
        <f>#REF!</f>
        <v>#REF!</v>
      </c>
      <c r="M221" s="277" t="e">
        <f>#REF!</f>
        <v>#REF!</v>
      </c>
      <c r="N221" s="277" t="e">
        <f>#REF!</f>
        <v>#REF!</v>
      </c>
      <c r="O221" s="277" t="e">
        <f>#REF!</f>
        <v>#REF!</v>
      </c>
      <c r="P221" s="277" t="e">
        <f>#REF!</f>
        <v>#REF!</v>
      </c>
      <c r="Q221" s="277" t="e">
        <f>#REF!</f>
        <v>#REF!</v>
      </c>
      <c r="R221" s="277" t="e">
        <f>#REF!</f>
        <v>#REF!</v>
      </c>
      <c r="S221" s="277" t="e">
        <f>#REF!</f>
        <v>#REF!</v>
      </c>
      <c r="T221" s="281" t="e">
        <f>#REF!</f>
        <v>#REF!</v>
      </c>
      <c r="U221" s="281" t="e">
        <f>#REF!</f>
        <v>#REF!</v>
      </c>
      <c r="V221" s="281" t="e">
        <f>#REF!</f>
        <v>#REF!</v>
      </c>
      <c r="W221" s="281" t="e">
        <f>#REF!</f>
        <v>#REF!</v>
      </c>
      <c r="X221" s="281" t="e">
        <f>#REF!</f>
        <v>#REF!</v>
      </c>
    </row>
    <row r="222" spans="1:24" ht="24.95" customHeight="1">
      <c r="A222" s="274" t="e">
        <f>#REF!</f>
        <v>#REF!</v>
      </c>
      <c r="B222" s="275" t="e">
        <f>#REF!</f>
        <v>#REF!</v>
      </c>
      <c r="C222" s="276" t="e">
        <f>#REF!</f>
        <v>#REF!</v>
      </c>
      <c r="D222" s="277" t="e">
        <f>#REF!</f>
        <v>#REF!</v>
      </c>
      <c r="E222" s="277" t="e">
        <f>#REF!</f>
        <v>#REF!</v>
      </c>
      <c r="F222" s="277" t="e">
        <f>#REF!</f>
        <v>#REF!</v>
      </c>
      <c r="G222" s="277" t="e">
        <f>#REF!</f>
        <v>#REF!</v>
      </c>
      <c r="H222" s="277" t="e">
        <f>#REF!</f>
        <v>#REF!</v>
      </c>
      <c r="I222" s="277" t="e">
        <f>#REF!</f>
        <v>#REF!</v>
      </c>
      <c r="J222" s="277" t="e">
        <f>#REF!</f>
        <v>#REF!</v>
      </c>
      <c r="K222" s="277" t="e">
        <f>#REF!</f>
        <v>#REF!</v>
      </c>
      <c r="L222" s="277" t="e">
        <f>#REF!</f>
        <v>#REF!</v>
      </c>
      <c r="M222" s="277" t="e">
        <f>#REF!</f>
        <v>#REF!</v>
      </c>
      <c r="N222" s="277" t="e">
        <f>#REF!</f>
        <v>#REF!</v>
      </c>
      <c r="O222" s="277" t="e">
        <f>#REF!</f>
        <v>#REF!</v>
      </c>
      <c r="P222" s="277" t="e">
        <f>#REF!</f>
        <v>#REF!</v>
      </c>
      <c r="Q222" s="277" t="e">
        <f>#REF!</f>
        <v>#REF!</v>
      </c>
      <c r="R222" s="277" t="e">
        <f>#REF!</f>
        <v>#REF!</v>
      </c>
      <c r="S222" s="277" t="e">
        <f>#REF!</f>
        <v>#REF!</v>
      </c>
      <c r="T222" s="281" t="e">
        <f>#REF!</f>
        <v>#REF!</v>
      </c>
      <c r="U222" s="281" t="e">
        <f>#REF!</f>
        <v>#REF!</v>
      </c>
      <c r="V222" s="281" t="e">
        <f>#REF!</f>
        <v>#REF!</v>
      </c>
      <c r="W222" s="281" t="e">
        <f>#REF!</f>
        <v>#REF!</v>
      </c>
      <c r="X222" s="281" t="e">
        <f>#REF!</f>
        <v>#REF!</v>
      </c>
    </row>
    <row r="223" spans="1:24" ht="24.95" customHeight="1">
      <c r="A223" s="274" t="e">
        <f>#REF!</f>
        <v>#REF!</v>
      </c>
      <c r="B223" s="275" t="e">
        <f>#REF!</f>
        <v>#REF!</v>
      </c>
      <c r="C223" s="276" t="e">
        <f>#REF!</f>
        <v>#REF!</v>
      </c>
      <c r="D223" s="277" t="e">
        <f>#REF!</f>
        <v>#REF!</v>
      </c>
      <c r="E223" s="277" t="e">
        <f>#REF!</f>
        <v>#REF!</v>
      </c>
      <c r="F223" s="277" t="e">
        <f>#REF!</f>
        <v>#REF!</v>
      </c>
      <c r="G223" s="277" t="e">
        <f>#REF!</f>
        <v>#REF!</v>
      </c>
      <c r="H223" s="277" t="e">
        <f>#REF!</f>
        <v>#REF!</v>
      </c>
      <c r="I223" s="277" t="e">
        <f>#REF!</f>
        <v>#REF!</v>
      </c>
      <c r="J223" s="277" t="e">
        <f>#REF!</f>
        <v>#REF!</v>
      </c>
      <c r="K223" s="277" t="e">
        <f>#REF!</f>
        <v>#REF!</v>
      </c>
      <c r="L223" s="277" t="e">
        <f>#REF!</f>
        <v>#REF!</v>
      </c>
      <c r="M223" s="277" t="e">
        <f>#REF!</f>
        <v>#REF!</v>
      </c>
      <c r="N223" s="277" t="e">
        <f>#REF!</f>
        <v>#REF!</v>
      </c>
      <c r="O223" s="277" t="e">
        <f>#REF!</f>
        <v>#REF!</v>
      </c>
      <c r="P223" s="277" t="e">
        <f>#REF!</f>
        <v>#REF!</v>
      </c>
      <c r="Q223" s="277" t="e">
        <f>#REF!</f>
        <v>#REF!</v>
      </c>
      <c r="R223" s="277" t="e">
        <f>#REF!</f>
        <v>#REF!</v>
      </c>
      <c r="S223" s="277" t="e">
        <f>#REF!</f>
        <v>#REF!</v>
      </c>
      <c r="T223" s="281" t="e">
        <f>#REF!</f>
        <v>#REF!</v>
      </c>
      <c r="U223" s="281" t="e">
        <f>#REF!</f>
        <v>#REF!</v>
      </c>
      <c r="V223" s="281" t="e">
        <f>#REF!</f>
        <v>#REF!</v>
      </c>
      <c r="W223" s="281" t="e">
        <f>#REF!</f>
        <v>#REF!</v>
      </c>
      <c r="X223" s="281" t="e">
        <f>#REF!</f>
        <v>#REF!</v>
      </c>
    </row>
    <row r="224" spans="1:24" ht="24.95" customHeight="1">
      <c r="A224" s="274" t="e">
        <f>#REF!</f>
        <v>#REF!</v>
      </c>
      <c r="B224" s="275" t="e">
        <f>#REF!</f>
        <v>#REF!</v>
      </c>
      <c r="C224" s="276" t="e">
        <f>#REF!</f>
        <v>#REF!</v>
      </c>
      <c r="D224" s="277" t="e">
        <f>#REF!</f>
        <v>#REF!</v>
      </c>
      <c r="E224" s="277" t="e">
        <f>#REF!</f>
        <v>#REF!</v>
      </c>
      <c r="F224" s="277" t="e">
        <f>#REF!</f>
        <v>#REF!</v>
      </c>
      <c r="G224" s="277" t="e">
        <f>#REF!</f>
        <v>#REF!</v>
      </c>
      <c r="H224" s="277" t="e">
        <f>#REF!</f>
        <v>#REF!</v>
      </c>
      <c r="I224" s="277" t="e">
        <f>#REF!</f>
        <v>#REF!</v>
      </c>
      <c r="J224" s="277" t="e">
        <f>#REF!</f>
        <v>#REF!</v>
      </c>
      <c r="K224" s="277" t="e">
        <f>#REF!</f>
        <v>#REF!</v>
      </c>
      <c r="L224" s="277" t="e">
        <f>#REF!</f>
        <v>#REF!</v>
      </c>
      <c r="M224" s="277" t="e">
        <f>#REF!</f>
        <v>#REF!</v>
      </c>
      <c r="N224" s="277" t="e">
        <f>#REF!</f>
        <v>#REF!</v>
      </c>
      <c r="O224" s="277" t="e">
        <f>#REF!</f>
        <v>#REF!</v>
      </c>
      <c r="P224" s="277" t="e">
        <f>#REF!</f>
        <v>#REF!</v>
      </c>
      <c r="Q224" s="277" t="e">
        <f>#REF!</f>
        <v>#REF!</v>
      </c>
      <c r="R224" s="277" t="e">
        <f>#REF!</f>
        <v>#REF!</v>
      </c>
      <c r="S224" s="277" t="e">
        <f>#REF!</f>
        <v>#REF!</v>
      </c>
      <c r="T224" s="281" t="e">
        <f>#REF!</f>
        <v>#REF!</v>
      </c>
      <c r="U224" s="281" t="e">
        <f>#REF!</f>
        <v>#REF!</v>
      </c>
      <c r="V224" s="281" t="e">
        <f>#REF!</f>
        <v>#REF!</v>
      </c>
      <c r="W224" s="281" t="e">
        <f>#REF!</f>
        <v>#REF!</v>
      </c>
      <c r="X224" s="281" t="e">
        <f>#REF!</f>
        <v>#REF!</v>
      </c>
    </row>
    <row r="225" spans="1:24" ht="24.95" customHeight="1">
      <c r="A225" s="274" t="e">
        <f>#REF!</f>
        <v>#REF!</v>
      </c>
      <c r="B225" s="275" t="e">
        <f>#REF!</f>
        <v>#REF!</v>
      </c>
      <c r="C225" s="276" t="e">
        <f>#REF!</f>
        <v>#REF!</v>
      </c>
      <c r="D225" s="277" t="e">
        <f>#REF!</f>
        <v>#REF!</v>
      </c>
      <c r="E225" s="277" t="e">
        <f>#REF!</f>
        <v>#REF!</v>
      </c>
      <c r="F225" s="277" t="e">
        <f>#REF!</f>
        <v>#REF!</v>
      </c>
      <c r="G225" s="277" t="e">
        <f>#REF!</f>
        <v>#REF!</v>
      </c>
      <c r="H225" s="277" t="e">
        <f>#REF!</f>
        <v>#REF!</v>
      </c>
      <c r="I225" s="277" t="e">
        <f>#REF!</f>
        <v>#REF!</v>
      </c>
      <c r="J225" s="277" t="e">
        <f>#REF!</f>
        <v>#REF!</v>
      </c>
      <c r="K225" s="277" t="e">
        <f>#REF!</f>
        <v>#REF!</v>
      </c>
      <c r="L225" s="277" t="e">
        <f>#REF!</f>
        <v>#REF!</v>
      </c>
      <c r="M225" s="277" t="e">
        <f>#REF!</f>
        <v>#REF!</v>
      </c>
      <c r="N225" s="277" t="e">
        <f>#REF!</f>
        <v>#REF!</v>
      </c>
      <c r="O225" s="277" t="e">
        <f>#REF!</f>
        <v>#REF!</v>
      </c>
      <c r="P225" s="277" t="e">
        <f>#REF!</f>
        <v>#REF!</v>
      </c>
      <c r="Q225" s="277" t="e">
        <f>#REF!</f>
        <v>#REF!</v>
      </c>
      <c r="R225" s="277" t="e">
        <f>#REF!</f>
        <v>#REF!</v>
      </c>
      <c r="S225" s="277" t="e">
        <f>#REF!</f>
        <v>#REF!</v>
      </c>
      <c r="T225" s="281" t="e">
        <f>#REF!</f>
        <v>#REF!</v>
      </c>
      <c r="U225" s="281" t="e">
        <f>#REF!</f>
        <v>#REF!</v>
      </c>
      <c r="V225" s="281" t="e">
        <f>#REF!</f>
        <v>#REF!</v>
      </c>
      <c r="W225" s="281" t="e">
        <f>#REF!</f>
        <v>#REF!</v>
      </c>
      <c r="X225" s="281" t="e">
        <f>#REF!</f>
        <v>#REF!</v>
      </c>
    </row>
    <row r="226" spans="1:24" ht="24.95" customHeight="1">
      <c r="A226" s="274" t="e">
        <f>#REF!</f>
        <v>#REF!</v>
      </c>
      <c r="B226" s="275" t="e">
        <f>#REF!</f>
        <v>#REF!</v>
      </c>
      <c r="C226" s="276" t="e">
        <f>#REF!</f>
        <v>#REF!</v>
      </c>
      <c r="D226" s="277" t="e">
        <f>#REF!</f>
        <v>#REF!</v>
      </c>
      <c r="E226" s="277" t="e">
        <f>#REF!</f>
        <v>#REF!</v>
      </c>
      <c r="F226" s="277" t="e">
        <f>#REF!</f>
        <v>#REF!</v>
      </c>
      <c r="G226" s="277" t="e">
        <f>#REF!</f>
        <v>#REF!</v>
      </c>
      <c r="H226" s="277" t="e">
        <f>#REF!</f>
        <v>#REF!</v>
      </c>
      <c r="I226" s="277" t="e">
        <f>#REF!</f>
        <v>#REF!</v>
      </c>
      <c r="J226" s="277" t="e">
        <f>#REF!</f>
        <v>#REF!</v>
      </c>
      <c r="K226" s="277" t="e">
        <f>#REF!</f>
        <v>#REF!</v>
      </c>
      <c r="L226" s="277" t="e">
        <f>#REF!</f>
        <v>#REF!</v>
      </c>
      <c r="M226" s="277" t="e">
        <f>#REF!</f>
        <v>#REF!</v>
      </c>
      <c r="N226" s="277" t="e">
        <f>#REF!</f>
        <v>#REF!</v>
      </c>
      <c r="O226" s="277" t="e">
        <f>#REF!</f>
        <v>#REF!</v>
      </c>
      <c r="P226" s="277" t="e">
        <f>#REF!</f>
        <v>#REF!</v>
      </c>
      <c r="Q226" s="277" t="e">
        <f>#REF!</f>
        <v>#REF!</v>
      </c>
      <c r="R226" s="277" t="e">
        <f>#REF!</f>
        <v>#REF!</v>
      </c>
      <c r="S226" s="277" t="e">
        <f>#REF!</f>
        <v>#REF!</v>
      </c>
      <c r="T226" s="281" t="e">
        <f>#REF!</f>
        <v>#REF!</v>
      </c>
      <c r="U226" s="281" t="e">
        <f>#REF!</f>
        <v>#REF!</v>
      </c>
      <c r="V226" s="281" t="e">
        <f>#REF!</f>
        <v>#REF!</v>
      </c>
      <c r="W226" s="281" t="e">
        <f>#REF!</f>
        <v>#REF!</v>
      </c>
      <c r="X226" s="281" t="e">
        <f>#REF!</f>
        <v>#REF!</v>
      </c>
    </row>
    <row r="227" spans="1:24" ht="24.95" customHeight="1">
      <c r="A227" s="274" t="e">
        <f>#REF!</f>
        <v>#REF!</v>
      </c>
      <c r="B227" s="275" t="e">
        <f>#REF!</f>
        <v>#REF!</v>
      </c>
      <c r="C227" s="276" t="e">
        <f>#REF!</f>
        <v>#REF!</v>
      </c>
      <c r="D227" s="277" t="e">
        <f>#REF!</f>
        <v>#REF!</v>
      </c>
      <c r="E227" s="277" t="e">
        <f>#REF!</f>
        <v>#REF!</v>
      </c>
      <c r="F227" s="277" t="e">
        <f>#REF!</f>
        <v>#REF!</v>
      </c>
      <c r="G227" s="277" t="e">
        <f>#REF!</f>
        <v>#REF!</v>
      </c>
      <c r="H227" s="277" t="e">
        <f>#REF!</f>
        <v>#REF!</v>
      </c>
      <c r="I227" s="277" t="e">
        <f>#REF!</f>
        <v>#REF!</v>
      </c>
      <c r="J227" s="277" t="e">
        <f>#REF!</f>
        <v>#REF!</v>
      </c>
      <c r="K227" s="277" t="e">
        <f>#REF!</f>
        <v>#REF!</v>
      </c>
      <c r="L227" s="277" t="e">
        <f>#REF!</f>
        <v>#REF!</v>
      </c>
      <c r="M227" s="277" t="e">
        <f>#REF!</f>
        <v>#REF!</v>
      </c>
      <c r="N227" s="277" t="e">
        <f>#REF!</f>
        <v>#REF!</v>
      </c>
      <c r="O227" s="277" t="e">
        <f>#REF!</f>
        <v>#REF!</v>
      </c>
      <c r="P227" s="277" t="e">
        <f>#REF!</f>
        <v>#REF!</v>
      </c>
      <c r="Q227" s="277" t="e">
        <f>#REF!</f>
        <v>#REF!</v>
      </c>
      <c r="R227" s="277" t="e">
        <f>#REF!</f>
        <v>#REF!</v>
      </c>
      <c r="S227" s="277" t="e">
        <f>#REF!</f>
        <v>#REF!</v>
      </c>
      <c r="T227" s="281" t="e">
        <f>#REF!</f>
        <v>#REF!</v>
      </c>
      <c r="U227" s="281" t="e">
        <f>#REF!</f>
        <v>#REF!</v>
      </c>
      <c r="V227" s="281" t="e">
        <f>#REF!</f>
        <v>#REF!</v>
      </c>
      <c r="W227" s="281" t="e">
        <f>#REF!</f>
        <v>#REF!</v>
      </c>
      <c r="X227" s="281" t="e">
        <f>#REF!</f>
        <v>#REF!</v>
      </c>
    </row>
    <row r="228" spans="1:24" ht="24.95" customHeight="1">
      <c r="A228" s="274" t="e">
        <f>#REF!</f>
        <v>#REF!</v>
      </c>
      <c r="B228" s="275" t="e">
        <f>#REF!</f>
        <v>#REF!</v>
      </c>
      <c r="C228" s="276" t="e">
        <f>#REF!</f>
        <v>#REF!</v>
      </c>
      <c r="D228" s="277" t="e">
        <f>#REF!</f>
        <v>#REF!</v>
      </c>
      <c r="E228" s="277" t="e">
        <f>#REF!</f>
        <v>#REF!</v>
      </c>
      <c r="F228" s="277" t="e">
        <f>#REF!</f>
        <v>#REF!</v>
      </c>
      <c r="G228" s="277" t="e">
        <f>#REF!</f>
        <v>#REF!</v>
      </c>
      <c r="H228" s="277" t="e">
        <f>#REF!</f>
        <v>#REF!</v>
      </c>
      <c r="I228" s="277" t="e">
        <f>#REF!</f>
        <v>#REF!</v>
      </c>
      <c r="J228" s="277" t="e">
        <f>#REF!</f>
        <v>#REF!</v>
      </c>
      <c r="K228" s="277" t="e">
        <f>#REF!</f>
        <v>#REF!</v>
      </c>
      <c r="L228" s="277" t="e">
        <f>#REF!</f>
        <v>#REF!</v>
      </c>
      <c r="M228" s="277" t="e">
        <f>#REF!</f>
        <v>#REF!</v>
      </c>
      <c r="N228" s="277" t="e">
        <f>#REF!</f>
        <v>#REF!</v>
      </c>
      <c r="O228" s="277" t="e">
        <f>#REF!</f>
        <v>#REF!</v>
      </c>
      <c r="P228" s="277" t="e">
        <f>#REF!</f>
        <v>#REF!</v>
      </c>
      <c r="Q228" s="277" t="e">
        <f>#REF!</f>
        <v>#REF!</v>
      </c>
      <c r="R228" s="277" t="e">
        <f>#REF!</f>
        <v>#REF!</v>
      </c>
      <c r="S228" s="277" t="e">
        <f>#REF!</f>
        <v>#REF!</v>
      </c>
      <c r="T228" s="281" t="e">
        <f>#REF!</f>
        <v>#REF!</v>
      </c>
      <c r="U228" s="281" t="e">
        <f>#REF!</f>
        <v>#REF!</v>
      </c>
      <c r="V228" s="281" t="e">
        <f>#REF!</f>
        <v>#REF!</v>
      </c>
      <c r="W228" s="281" t="e">
        <f>#REF!</f>
        <v>#REF!</v>
      </c>
      <c r="X228" s="281" t="e">
        <f>#REF!</f>
        <v>#REF!</v>
      </c>
    </row>
    <row r="229" spans="1:24" ht="24.95" customHeight="1">
      <c r="A229" s="274" t="e">
        <f>#REF!</f>
        <v>#REF!</v>
      </c>
      <c r="B229" s="275" t="e">
        <f>#REF!</f>
        <v>#REF!</v>
      </c>
      <c r="C229" s="276" t="e">
        <f>#REF!</f>
        <v>#REF!</v>
      </c>
      <c r="D229" s="277" t="e">
        <f>#REF!</f>
        <v>#REF!</v>
      </c>
      <c r="E229" s="277" t="e">
        <f>#REF!</f>
        <v>#REF!</v>
      </c>
      <c r="F229" s="277" t="e">
        <f>#REF!</f>
        <v>#REF!</v>
      </c>
      <c r="G229" s="277" t="e">
        <f>#REF!</f>
        <v>#REF!</v>
      </c>
      <c r="H229" s="277" t="e">
        <f>#REF!</f>
        <v>#REF!</v>
      </c>
      <c r="I229" s="277" t="e">
        <f>#REF!</f>
        <v>#REF!</v>
      </c>
      <c r="J229" s="277" t="e">
        <f>#REF!</f>
        <v>#REF!</v>
      </c>
      <c r="K229" s="277" t="e">
        <f>#REF!</f>
        <v>#REF!</v>
      </c>
      <c r="L229" s="277" t="e">
        <f>#REF!</f>
        <v>#REF!</v>
      </c>
      <c r="M229" s="277" t="e">
        <f>#REF!</f>
        <v>#REF!</v>
      </c>
      <c r="N229" s="277" t="e">
        <f>#REF!</f>
        <v>#REF!</v>
      </c>
      <c r="O229" s="277" t="e">
        <f>#REF!</f>
        <v>#REF!</v>
      </c>
      <c r="P229" s="277" t="e">
        <f>#REF!</f>
        <v>#REF!</v>
      </c>
      <c r="Q229" s="277" t="e">
        <f>#REF!</f>
        <v>#REF!</v>
      </c>
      <c r="R229" s="277" t="e">
        <f>#REF!</f>
        <v>#REF!</v>
      </c>
      <c r="S229" s="277" t="e">
        <f>#REF!</f>
        <v>#REF!</v>
      </c>
      <c r="T229" s="281" t="e">
        <f>#REF!</f>
        <v>#REF!</v>
      </c>
      <c r="U229" s="281" t="e">
        <f>#REF!</f>
        <v>#REF!</v>
      </c>
      <c r="V229" s="281" t="e">
        <f>#REF!</f>
        <v>#REF!</v>
      </c>
      <c r="W229" s="281" t="e">
        <f>#REF!</f>
        <v>#REF!</v>
      </c>
      <c r="X229" s="281" t="e">
        <f>#REF!</f>
        <v>#REF!</v>
      </c>
    </row>
    <row r="230" spans="1:24" ht="24.95" customHeight="1">
      <c r="A230" s="274" t="e">
        <f>#REF!</f>
        <v>#REF!</v>
      </c>
      <c r="B230" s="275" t="e">
        <f>#REF!</f>
        <v>#REF!</v>
      </c>
      <c r="C230" s="276" t="e">
        <f>#REF!</f>
        <v>#REF!</v>
      </c>
      <c r="D230" s="277" t="e">
        <f>#REF!</f>
        <v>#REF!</v>
      </c>
      <c r="E230" s="277" t="e">
        <f>#REF!</f>
        <v>#REF!</v>
      </c>
      <c r="F230" s="277" t="e">
        <f>#REF!</f>
        <v>#REF!</v>
      </c>
      <c r="G230" s="277" t="e">
        <f>#REF!</f>
        <v>#REF!</v>
      </c>
      <c r="H230" s="277" t="e">
        <f>#REF!</f>
        <v>#REF!</v>
      </c>
      <c r="I230" s="277" t="e">
        <f>#REF!</f>
        <v>#REF!</v>
      </c>
      <c r="J230" s="277" t="e">
        <f>#REF!</f>
        <v>#REF!</v>
      </c>
      <c r="K230" s="277" t="e">
        <f>#REF!</f>
        <v>#REF!</v>
      </c>
      <c r="L230" s="277" t="e">
        <f>#REF!</f>
        <v>#REF!</v>
      </c>
      <c r="M230" s="277" t="e">
        <f>#REF!</f>
        <v>#REF!</v>
      </c>
      <c r="N230" s="277" t="e">
        <f>#REF!</f>
        <v>#REF!</v>
      </c>
      <c r="O230" s="277" t="e">
        <f>#REF!</f>
        <v>#REF!</v>
      </c>
      <c r="P230" s="277" t="e">
        <f>#REF!</f>
        <v>#REF!</v>
      </c>
      <c r="Q230" s="277" t="e">
        <f>#REF!</f>
        <v>#REF!</v>
      </c>
      <c r="R230" s="277" t="e">
        <f>#REF!</f>
        <v>#REF!</v>
      </c>
      <c r="S230" s="277" t="e">
        <f>#REF!</f>
        <v>#REF!</v>
      </c>
      <c r="T230" s="281" t="e">
        <f>#REF!</f>
        <v>#REF!</v>
      </c>
      <c r="U230" s="281" t="e">
        <f>#REF!</f>
        <v>#REF!</v>
      </c>
      <c r="V230" s="281" t="e">
        <f>#REF!</f>
        <v>#REF!</v>
      </c>
      <c r="W230" s="281" t="e">
        <f>#REF!</f>
        <v>#REF!</v>
      </c>
      <c r="X230" s="281" t="e">
        <f>#REF!</f>
        <v>#REF!</v>
      </c>
    </row>
    <row r="231" spans="1:24" ht="24.95" customHeight="1">
      <c r="A231" s="274" t="e">
        <f>#REF!</f>
        <v>#REF!</v>
      </c>
      <c r="B231" s="275" t="e">
        <f>#REF!</f>
        <v>#REF!</v>
      </c>
      <c r="C231" s="276" t="e">
        <f>#REF!</f>
        <v>#REF!</v>
      </c>
      <c r="D231" s="277" t="e">
        <f>#REF!</f>
        <v>#REF!</v>
      </c>
      <c r="E231" s="277" t="e">
        <f>#REF!</f>
        <v>#REF!</v>
      </c>
      <c r="F231" s="277" t="e">
        <f>#REF!</f>
        <v>#REF!</v>
      </c>
      <c r="G231" s="277" t="e">
        <f>#REF!</f>
        <v>#REF!</v>
      </c>
      <c r="H231" s="277" t="e">
        <f>#REF!</f>
        <v>#REF!</v>
      </c>
      <c r="I231" s="277" t="e">
        <f>#REF!</f>
        <v>#REF!</v>
      </c>
      <c r="J231" s="277" t="e">
        <f>#REF!</f>
        <v>#REF!</v>
      </c>
      <c r="K231" s="277" t="e">
        <f>#REF!</f>
        <v>#REF!</v>
      </c>
      <c r="L231" s="277" t="e">
        <f>#REF!</f>
        <v>#REF!</v>
      </c>
      <c r="M231" s="277" t="e">
        <f>#REF!</f>
        <v>#REF!</v>
      </c>
      <c r="N231" s="277" t="e">
        <f>#REF!</f>
        <v>#REF!</v>
      </c>
      <c r="O231" s="277" t="e">
        <f>#REF!</f>
        <v>#REF!</v>
      </c>
      <c r="P231" s="277" t="e">
        <f>#REF!</f>
        <v>#REF!</v>
      </c>
      <c r="Q231" s="277" t="e">
        <f>#REF!</f>
        <v>#REF!</v>
      </c>
      <c r="R231" s="277" t="e">
        <f>#REF!</f>
        <v>#REF!</v>
      </c>
      <c r="S231" s="277" t="e">
        <f>#REF!</f>
        <v>#REF!</v>
      </c>
      <c r="T231" s="281" t="e">
        <f>#REF!</f>
        <v>#REF!</v>
      </c>
      <c r="U231" s="281" t="e">
        <f>#REF!</f>
        <v>#REF!</v>
      </c>
      <c r="V231" s="281" t="e">
        <f>#REF!</f>
        <v>#REF!</v>
      </c>
      <c r="W231" s="281" t="e">
        <f>#REF!</f>
        <v>#REF!</v>
      </c>
      <c r="X231" s="281" t="e">
        <f>#REF!</f>
        <v>#REF!</v>
      </c>
    </row>
    <row r="232" spans="1:24" ht="24.95" customHeight="1">
      <c r="A232" s="274" t="e">
        <f>#REF!</f>
        <v>#REF!</v>
      </c>
      <c r="B232" s="275" t="e">
        <f>#REF!</f>
        <v>#REF!</v>
      </c>
      <c r="C232" s="276" t="e">
        <f>#REF!</f>
        <v>#REF!</v>
      </c>
      <c r="D232" s="277" t="e">
        <f>#REF!</f>
        <v>#REF!</v>
      </c>
      <c r="E232" s="277" t="e">
        <f>#REF!</f>
        <v>#REF!</v>
      </c>
      <c r="F232" s="277" t="e">
        <f>#REF!</f>
        <v>#REF!</v>
      </c>
      <c r="G232" s="277" t="e">
        <f>#REF!</f>
        <v>#REF!</v>
      </c>
      <c r="H232" s="277" t="e">
        <f>#REF!</f>
        <v>#REF!</v>
      </c>
      <c r="I232" s="277" t="e">
        <f>#REF!</f>
        <v>#REF!</v>
      </c>
      <c r="J232" s="277" t="e">
        <f>#REF!</f>
        <v>#REF!</v>
      </c>
      <c r="K232" s="277" t="e">
        <f>#REF!</f>
        <v>#REF!</v>
      </c>
      <c r="L232" s="277" t="e">
        <f>#REF!</f>
        <v>#REF!</v>
      </c>
      <c r="M232" s="277" t="e">
        <f>#REF!</f>
        <v>#REF!</v>
      </c>
      <c r="N232" s="277" t="e">
        <f>#REF!</f>
        <v>#REF!</v>
      </c>
      <c r="O232" s="277" t="e">
        <f>#REF!</f>
        <v>#REF!</v>
      </c>
      <c r="P232" s="277" t="e">
        <f>#REF!</f>
        <v>#REF!</v>
      </c>
      <c r="Q232" s="277" t="e">
        <f>#REF!</f>
        <v>#REF!</v>
      </c>
      <c r="R232" s="277" t="e">
        <f>#REF!</f>
        <v>#REF!</v>
      </c>
      <c r="S232" s="277" t="e">
        <f>#REF!</f>
        <v>#REF!</v>
      </c>
      <c r="T232" s="281" t="e">
        <f>#REF!</f>
        <v>#REF!</v>
      </c>
      <c r="U232" s="281" t="e">
        <f>#REF!</f>
        <v>#REF!</v>
      </c>
      <c r="V232" s="281" t="e">
        <f>#REF!</f>
        <v>#REF!</v>
      </c>
      <c r="W232" s="281" t="e">
        <f>#REF!</f>
        <v>#REF!</v>
      </c>
      <c r="X232" s="281" t="e">
        <f>#REF!</f>
        <v>#REF!</v>
      </c>
    </row>
    <row r="233" spans="1:24" ht="24.95" customHeight="1">
      <c r="A233" s="274" t="e">
        <f>#REF!</f>
        <v>#REF!</v>
      </c>
      <c r="B233" s="275" t="e">
        <f>#REF!</f>
        <v>#REF!</v>
      </c>
      <c r="C233" s="276" t="e">
        <f>#REF!</f>
        <v>#REF!</v>
      </c>
      <c r="D233" s="277" t="e">
        <f>#REF!</f>
        <v>#REF!</v>
      </c>
      <c r="E233" s="277" t="e">
        <f>#REF!</f>
        <v>#REF!</v>
      </c>
      <c r="F233" s="277" t="e">
        <f>#REF!</f>
        <v>#REF!</v>
      </c>
      <c r="G233" s="277" t="e">
        <f>#REF!</f>
        <v>#REF!</v>
      </c>
      <c r="H233" s="277" t="e">
        <f>#REF!</f>
        <v>#REF!</v>
      </c>
      <c r="I233" s="277" t="e">
        <f>#REF!</f>
        <v>#REF!</v>
      </c>
      <c r="J233" s="277" t="e">
        <f>#REF!</f>
        <v>#REF!</v>
      </c>
      <c r="K233" s="277" t="e">
        <f>#REF!</f>
        <v>#REF!</v>
      </c>
      <c r="L233" s="277" t="e">
        <f>#REF!</f>
        <v>#REF!</v>
      </c>
      <c r="M233" s="277" t="e">
        <f>#REF!</f>
        <v>#REF!</v>
      </c>
      <c r="N233" s="277" t="e">
        <f>#REF!</f>
        <v>#REF!</v>
      </c>
      <c r="O233" s="277" t="e">
        <f>#REF!</f>
        <v>#REF!</v>
      </c>
      <c r="P233" s="277" t="e">
        <f>#REF!</f>
        <v>#REF!</v>
      </c>
      <c r="Q233" s="277" t="e">
        <f>#REF!</f>
        <v>#REF!</v>
      </c>
      <c r="R233" s="277" t="e">
        <f>#REF!</f>
        <v>#REF!</v>
      </c>
      <c r="S233" s="277" t="e">
        <f>#REF!</f>
        <v>#REF!</v>
      </c>
      <c r="T233" s="281" t="e">
        <f>#REF!</f>
        <v>#REF!</v>
      </c>
      <c r="U233" s="281" t="e">
        <f>#REF!</f>
        <v>#REF!</v>
      </c>
      <c r="V233" s="281" t="e">
        <f>#REF!</f>
        <v>#REF!</v>
      </c>
      <c r="W233" s="281" t="e">
        <f>#REF!</f>
        <v>#REF!</v>
      </c>
      <c r="X233" s="281" t="e">
        <f>#REF!</f>
        <v>#REF!</v>
      </c>
    </row>
    <row r="234" spans="1:24" ht="24.95" customHeight="1">
      <c r="A234" s="274" t="e">
        <f>#REF!</f>
        <v>#REF!</v>
      </c>
      <c r="B234" s="275" t="e">
        <f>#REF!</f>
        <v>#REF!</v>
      </c>
      <c r="C234" s="276" t="e">
        <f>#REF!</f>
        <v>#REF!</v>
      </c>
      <c r="D234" s="277" t="e">
        <f>#REF!</f>
        <v>#REF!</v>
      </c>
      <c r="E234" s="277" t="e">
        <f>#REF!</f>
        <v>#REF!</v>
      </c>
      <c r="F234" s="277" t="e">
        <f>#REF!</f>
        <v>#REF!</v>
      </c>
      <c r="G234" s="277" t="e">
        <f>#REF!</f>
        <v>#REF!</v>
      </c>
      <c r="H234" s="277" t="e">
        <f>#REF!</f>
        <v>#REF!</v>
      </c>
      <c r="I234" s="277" t="e">
        <f>#REF!</f>
        <v>#REF!</v>
      </c>
      <c r="J234" s="277" t="e">
        <f>#REF!</f>
        <v>#REF!</v>
      </c>
      <c r="K234" s="277" t="e">
        <f>#REF!</f>
        <v>#REF!</v>
      </c>
      <c r="L234" s="277" t="e">
        <f>#REF!</f>
        <v>#REF!</v>
      </c>
      <c r="M234" s="277" t="e">
        <f>#REF!</f>
        <v>#REF!</v>
      </c>
      <c r="N234" s="277" t="e">
        <f>#REF!</f>
        <v>#REF!</v>
      </c>
      <c r="O234" s="277" t="e">
        <f>#REF!</f>
        <v>#REF!</v>
      </c>
      <c r="P234" s="277" t="e">
        <f>#REF!</f>
        <v>#REF!</v>
      </c>
      <c r="Q234" s="277" t="e">
        <f>#REF!</f>
        <v>#REF!</v>
      </c>
      <c r="R234" s="277" t="e">
        <f>#REF!</f>
        <v>#REF!</v>
      </c>
      <c r="S234" s="277" t="e">
        <f>#REF!</f>
        <v>#REF!</v>
      </c>
      <c r="T234" s="281" t="e">
        <f>#REF!</f>
        <v>#REF!</v>
      </c>
      <c r="U234" s="281" t="e">
        <f>#REF!</f>
        <v>#REF!</v>
      </c>
      <c r="V234" s="281" t="e">
        <f>#REF!</f>
        <v>#REF!</v>
      </c>
      <c r="W234" s="281" t="e">
        <f>#REF!</f>
        <v>#REF!</v>
      </c>
      <c r="X234" s="281" t="e">
        <f>#REF!</f>
        <v>#REF!</v>
      </c>
    </row>
    <row r="235" spans="1:24" ht="24.95" customHeight="1">
      <c r="A235" s="274" t="e">
        <f>#REF!</f>
        <v>#REF!</v>
      </c>
      <c r="B235" s="275" t="e">
        <f>#REF!</f>
        <v>#REF!</v>
      </c>
      <c r="C235" s="276" t="e">
        <f>#REF!</f>
        <v>#REF!</v>
      </c>
      <c r="D235" s="277" t="e">
        <f>#REF!</f>
        <v>#REF!</v>
      </c>
      <c r="E235" s="277" t="e">
        <f>#REF!</f>
        <v>#REF!</v>
      </c>
      <c r="F235" s="277" t="e">
        <f>#REF!</f>
        <v>#REF!</v>
      </c>
      <c r="G235" s="277" t="e">
        <f>#REF!</f>
        <v>#REF!</v>
      </c>
      <c r="H235" s="277" t="e">
        <f>#REF!</f>
        <v>#REF!</v>
      </c>
      <c r="I235" s="277" t="e">
        <f>#REF!</f>
        <v>#REF!</v>
      </c>
      <c r="J235" s="277" t="e">
        <f>#REF!</f>
        <v>#REF!</v>
      </c>
      <c r="K235" s="277" t="e">
        <f>#REF!</f>
        <v>#REF!</v>
      </c>
      <c r="L235" s="277" t="e">
        <f>#REF!</f>
        <v>#REF!</v>
      </c>
      <c r="M235" s="277" t="e">
        <f>#REF!</f>
        <v>#REF!</v>
      </c>
      <c r="N235" s="277" t="e">
        <f>#REF!</f>
        <v>#REF!</v>
      </c>
      <c r="O235" s="277" t="e">
        <f>#REF!</f>
        <v>#REF!</v>
      </c>
      <c r="P235" s="277" t="e">
        <f>#REF!</f>
        <v>#REF!</v>
      </c>
      <c r="Q235" s="277" t="e">
        <f>#REF!</f>
        <v>#REF!</v>
      </c>
      <c r="R235" s="277" t="e">
        <f>#REF!</f>
        <v>#REF!</v>
      </c>
      <c r="S235" s="277" t="e">
        <f>#REF!</f>
        <v>#REF!</v>
      </c>
      <c r="T235" s="281" t="e">
        <f>#REF!</f>
        <v>#REF!</v>
      </c>
      <c r="U235" s="281" t="e">
        <f>#REF!</f>
        <v>#REF!</v>
      </c>
      <c r="V235" s="281" t="e">
        <f>#REF!</f>
        <v>#REF!</v>
      </c>
      <c r="W235" s="281" t="e">
        <f>#REF!</f>
        <v>#REF!</v>
      </c>
      <c r="X235" s="281" t="e">
        <f>#REF!</f>
        <v>#REF!</v>
      </c>
    </row>
    <row r="236" spans="1:24" ht="24.95" customHeight="1">
      <c r="A236" s="274" t="e">
        <f>#REF!</f>
        <v>#REF!</v>
      </c>
      <c r="B236" s="275" t="e">
        <f>#REF!</f>
        <v>#REF!</v>
      </c>
      <c r="C236" s="276" t="e">
        <f>#REF!</f>
        <v>#REF!</v>
      </c>
      <c r="D236" s="277" t="e">
        <f>#REF!</f>
        <v>#REF!</v>
      </c>
      <c r="E236" s="277" t="e">
        <f>#REF!</f>
        <v>#REF!</v>
      </c>
      <c r="F236" s="277" t="e">
        <f>#REF!</f>
        <v>#REF!</v>
      </c>
      <c r="G236" s="277" t="e">
        <f>#REF!</f>
        <v>#REF!</v>
      </c>
      <c r="H236" s="277" t="e">
        <f>#REF!</f>
        <v>#REF!</v>
      </c>
      <c r="I236" s="277" t="e">
        <f>#REF!</f>
        <v>#REF!</v>
      </c>
      <c r="J236" s="277" t="e">
        <f>#REF!</f>
        <v>#REF!</v>
      </c>
      <c r="K236" s="277" t="e">
        <f>#REF!</f>
        <v>#REF!</v>
      </c>
      <c r="L236" s="277" t="e">
        <f>#REF!</f>
        <v>#REF!</v>
      </c>
      <c r="M236" s="277" t="e">
        <f>#REF!</f>
        <v>#REF!</v>
      </c>
      <c r="N236" s="277" t="e">
        <f>#REF!</f>
        <v>#REF!</v>
      </c>
      <c r="O236" s="277" t="e">
        <f>#REF!</f>
        <v>#REF!</v>
      </c>
      <c r="P236" s="277" t="e">
        <f>#REF!</f>
        <v>#REF!</v>
      </c>
      <c r="Q236" s="277" t="e">
        <f>#REF!</f>
        <v>#REF!</v>
      </c>
      <c r="R236" s="277" t="e">
        <f>#REF!</f>
        <v>#REF!</v>
      </c>
      <c r="S236" s="277" t="e">
        <f>#REF!</f>
        <v>#REF!</v>
      </c>
      <c r="T236" s="281" t="e">
        <f>#REF!</f>
        <v>#REF!</v>
      </c>
      <c r="U236" s="281" t="e">
        <f>#REF!</f>
        <v>#REF!</v>
      </c>
      <c r="V236" s="281" t="e">
        <f>#REF!</f>
        <v>#REF!</v>
      </c>
      <c r="W236" s="281" t="e">
        <f>#REF!</f>
        <v>#REF!</v>
      </c>
      <c r="X236" s="281" t="e">
        <f>#REF!</f>
        <v>#REF!</v>
      </c>
    </row>
    <row r="237" spans="1:24" ht="24.95" customHeight="1">
      <c r="A237" s="274" t="e">
        <f>#REF!</f>
        <v>#REF!</v>
      </c>
      <c r="B237" s="275" t="e">
        <f>#REF!</f>
        <v>#REF!</v>
      </c>
      <c r="C237" s="276" t="e">
        <f>#REF!</f>
        <v>#REF!</v>
      </c>
      <c r="D237" s="277" t="e">
        <f>#REF!</f>
        <v>#REF!</v>
      </c>
      <c r="E237" s="277" t="e">
        <f>#REF!</f>
        <v>#REF!</v>
      </c>
      <c r="F237" s="277" t="e">
        <f>#REF!</f>
        <v>#REF!</v>
      </c>
      <c r="G237" s="277" t="e">
        <f>#REF!</f>
        <v>#REF!</v>
      </c>
      <c r="H237" s="277" t="e">
        <f>#REF!</f>
        <v>#REF!</v>
      </c>
      <c r="I237" s="277" t="e">
        <f>#REF!</f>
        <v>#REF!</v>
      </c>
      <c r="J237" s="277" t="e">
        <f>#REF!</f>
        <v>#REF!</v>
      </c>
      <c r="K237" s="277" t="e">
        <f>#REF!</f>
        <v>#REF!</v>
      </c>
      <c r="L237" s="277" t="e">
        <f>#REF!</f>
        <v>#REF!</v>
      </c>
      <c r="M237" s="277" t="e">
        <f>#REF!</f>
        <v>#REF!</v>
      </c>
      <c r="N237" s="277" t="e">
        <f>#REF!</f>
        <v>#REF!</v>
      </c>
      <c r="O237" s="277" t="e">
        <f>#REF!</f>
        <v>#REF!</v>
      </c>
      <c r="P237" s="277" t="e">
        <f>#REF!</f>
        <v>#REF!</v>
      </c>
      <c r="Q237" s="277" t="e">
        <f>#REF!</f>
        <v>#REF!</v>
      </c>
      <c r="R237" s="277" t="e">
        <f>#REF!</f>
        <v>#REF!</v>
      </c>
      <c r="S237" s="277" t="e">
        <f>#REF!</f>
        <v>#REF!</v>
      </c>
      <c r="T237" s="281" t="e">
        <f>#REF!</f>
        <v>#REF!</v>
      </c>
      <c r="U237" s="281" t="e">
        <f>#REF!</f>
        <v>#REF!</v>
      </c>
      <c r="V237" s="281" t="e">
        <f>#REF!</f>
        <v>#REF!</v>
      </c>
      <c r="W237" s="281" t="e">
        <f>#REF!</f>
        <v>#REF!</v>
      </c>
      <c r="X237" s="281" t="e">
        <f>#REF!</f>
        <v>#REF!</v>
      </c>
    </row>
    <row r="238" spans="1:24" ht="24.95" customHeight="1">
      <c r="A238" s="274" t="e">
        <f>#REF!</f>
        <v>#REF!</v>
      </c>
      <c r="B238" s="275" t="e">
        <f>#REF!</f>
        <v>#REF!</v>
      </c>
      <c r="C238" s="276" t="e">
        <f>#REF!</f>
        <v>#REF!</v>
      </c>
      <c r="D238" s="277" t="e">
        <f>#REF!</f>
        <v>#REF!</v>
      </c>
      <c r="E238" s="277" t="e">
        <f>#REF!</f>
        <v>#REF!</v>
      </c>
      <c r="F238" s="277" t="e">
        <f>#REF!</f>
        <v>#REF!</v>
      </c>
      <c r="G238" s="277" t="e">
        <f>#REF!</f>
        <v>#REF!</v>
      </c>
      <c r="H238" s="277" t="e">
        <f>#REF!</f>
        <v>#REF!</v>
      </c>
      <c r="I238" s="277" t="e">
        <f>#REF!</f>
        <v>#REF!</v>
      </c>
      <c r="J238" s="277" t="e">
        <f>#REF!</f>
        <v>#REF!</v>
      </c>
      <c r="K238" s="277" t="e">
        <f>#REF!</f>
        <v>#REF!</v>
      </c>
      <c r="L238" s="277" t="e">
        <f>#REF!</f>
        <v>#REF!</v>
      </c>
      <c r="M238" s="277" t="e">
        <f>#REF!</f>
        <v>#REF!</v>
      </c>
      <c r="N238" s="277" t="e">
        <f>#REF!</f>
        <v>#REF!</v>
      </c>
      <c r="O238" s="277" t="e">
        <f>#REF!</f>
        <v>#REF!</v>
      </c>
      <c r="P238" s="277" t="e">
        <f>#REF!</f>
        <v>#REF!</v>
      </c>
      <c r="Q238" s="277" t="e">
        <f>#REF!</f>
        <v>#REF!</v>
      </c>
      <c r="R238" s="277" t="e">
        <f>#REF!</f>
        <v>#REF!</v>
      </c>
      <c r="S238" s="277" t="e">
        <f>#REF!</f>
        <v>#REF!</v>
      </c>
      <c r="T238" s="281" t="e">
        <f>#REF!</f>
        <v>#REF!</v>
      </c>
      <c r="U238" s="281" t="e">
        <f>#REF!</f>
        <v>#REF!</v>
      </c>
      <c r="V238" s="281" t="e">
        <f>#REF!</f>
        <v>#REF!</v>
      </c>
      <c r="W238" s="281" t="e">
        <f>#REF!</f>
        <v>#REF!</v>
      </c>
      <c r="X238" s="281" t="e">
        <f>#REF!</f>
        <v>#REF!</v>
      </c>
    </row>
    <row r="239" spans="1:24" ht="24.95" customHeight="1">
      <c r="A239" s="274" t="e">
        <f>#REF!</f>
        <v>#REF!</v>
      </c>
      <c r="B239" s="275" t="e">
        <f>#REF!</f>
        <v>#REF!</v>
      </c>
      <c r="C239" s="276" t="e">
        <f>#REF!</f>
        <v>#REF!</v>
      </c>
      <c r="D239" s="277" t="e">
        <f>#REF!</f>
        <v>#REF!</v>
      </c>
      <c r="E239" s="277" t="e">
        <f>#REF!</f>
        <v>#REF!</v>
      </c>
      <c r="F239" s="277" t="e">
        <f>#REF!</f>
        <v>#REF!</v>
      </c>
      <c r="G239" s="277" t="e">
        <f>#REF!</f>
        <v>#REF!</v>
      </c>
      <c r="H239" s="277" t="e">
        <f>#REF!</f>
        <v>#REF!</v>
      </c>
      <c r="I239" s="277" t="e">
        <f>#REF!</f>
        <v>#REF!</v>
      </c>
      <c r="J239" s="277" t="e">
        <f>#REF!</f>
        <v>#REF!</v>
      </c>
      <c r="K239" s="277" t="e">
        <f>#REF!</f>
        <v>#REF!</v>
      </c>
      <c r="L239" s="277" t="e">
        <f>#REF!</f>
        <v>#REF!</v>
      </c>
      <c r="M239" s="277" t="e">
        <f>#REF!</f>
        <v>#REF!</v>
      </c>
      <c r="N239" s="277" t="e">
        <f>#REF!</f>
        <v>#REF!</v>
      </c>
      <c r="O239" s="277" t="e">
        <f>#REF!</f>
        <v>#REF!</v>
      </c>
      <c r="P239" s="277" t="e">
        <f>#REF!</f>
        <v>#REF!</v>
      </c>
      <c r="Q239" s="277" t="e">
        <f>#REF!</f>
        <v>#REF!</v>
      </c>
      <c r="R239" s="277" t="e">
        <f>#REF!</f>
        <v>#REF!</v>
      </c>
      <c r="S239" s="277" t="e">
        <f>#REF!</f>
        <v>#REF!</v>
      </c>
      <c r="T239" s="281" t="e">
        <f>#REF!</f>
        <v>#REF!</v>
      </c>
      <c r="U239" s="281" t="e">
        <f>#REF!</f>
        <v>#REF!</v>
      </c>
      <c r="V239" s="281" t="e">
        <f>#REF!</f>
        <v>#REF!</v>
      </c>
      <c r="W239" s="281" t="e">
        <f>#REF!</f>
        <v>#REF!</v>
      </c>
      <c r="X239" s="281" t="e">
        <f>#REF!</f>
        <v>#REF!</v>
      </c>
    </row>
    <row r="240" spans="1:24" ht="24.95" customHeight="1">
      <c r="A240" s="274" t="e">
        <f>#REF!</f>
        <v>#REF!</v>
      </c>
      <c r="B240" s="275" t="e">
        <f>#REF!</f>
        <v>#REF!</v>
      </c>
      <c r="C240" s="276" t="e">
        <f>#REF!</f>
        <v>#REF!</v>
      </c>
      <c r="D240" s="277" t="e">
        <f>#REF!</f>
        <v>#REF!</v>
      </c>
      <c r="E240" s="277" t="e">
        <f>#REF!</f>
        <v>#REF!</v>
      </c>
      <c r="F240" s="277" t="e">
        <f>#REF!</f>
        <v>#REF!</v>
      </c>
      <c r="G240" s="277" t="e">
        <f>#REF!</f>
        <v>#REF!</v>
      </c>
      <c r="H240" s="277" t="e">
        <f>#REF!</f>
        <v>#REF!</v>
      </c>
      <c r="I240" s="277" t="e">
        <f>#REF!</f>
        <v>#REF!</v>
      </c>
      <c r="J240" s="277" t="e">
        <f>#REF!</f>
        <v>#REF!</v>
      </c>
      <c r="K240" s="277" t="e">
        <f>#REF!</f>
        <v>#REF!</v>
      </c>
      <c r="L240" s="277" t="e">
        <f>#REF!</f>
        <v>#REF!</v>
      </c>
      <c r="M240" s="277" t="e">
        <f>#REF!</f>
        <v>#REF!</v>
      </c>
      <c r="N240" s="277" t="e">
        <f>#REF!</f>
        <v>#REF!</v>
      </c>
      <c r="O240" s="277" t="e">
        <f>#REF!</f>
        <v>#REF!</v>
      </c>
      <c r="P240" s="277" t="e">
        <f>#REF!</f>
        <v>#REF!</v>
      </c>
      <c r="Q240" s="277" t="e">
        <f>#REF!</f>
        <v>#REF!</v>
      </c>
      <c r="R240" s="277" t="e">
        <f>#REF!</f>
        <v>#REF!</v>
      </c>
      <c r="S240" s="277" t="e">
        <f>#REF!</f>
        <v>#REF!</v>
      </c>
      <c r="T240" s="281" t="e">
        <f>#REF!</f>
        <v>#REF!</v>
      </c>
      <c r="U240" s="281" t="e">
        <f>#REF!</f>
        <v>#REF!</v>
      </c>
      <c r="V240" s="281" t="e">
        <f>#REF!</f>
        <v>#REF!</v>
      </c>
      <c r="W240" s="281" t="e">
        <f>#REF!</f>
        <v>#REF!</v>
      </c>
      <c r="X240" s="281" t="e">
        <f>#REF!</f>
        <v>#REF!</v>
      </c>
    </row>
    <row r="250"/>
    <row r="251"/>
    <row r="252"/>
  </sheetData>
  <sheetProtection algorithmName="SHA-512" hashValue="iXkS+KvP80xNixBtIu5iwRYxRPyYOWvarng7BlJrs5HYmHYXpzSCHVjL9rJ8saWTNCKqobiBpu9OUJt03KV8Ag==" saltValue="fN/mLIVCnRinIrNVTMavKA==" spinCount="100000" sheet="1" sort="0" autoFilter="0"/>
  <autoFilter ref="A5:D240" xr:uid="{A726FC20-CDD7-45CC-AECC-5F6D8822B0D3}"/>
  <mergeCells count="4">
    <mergeCell ref="B1:J1"/>
    <mergeCell ref="D2:J2"/>
    <mergeCell ref="D3:J3"/>
    <mergeCell ref="C4:D4"/>
  </mergeCells>
  <pageMargins left="0.25" right="0.25" top="0.75" bottom="0.75" header="0.3" footer="0.3"/>
  <pageSetup paperSize="9"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59DF4B-CDAF-429F-8FF3-E05F792A18CF}">
  <sheetPr codeName="Feuil1"/>
  <dimension ref="A1:K678"/>
  <sheetViews>
    <sheetView showGridLines="0" tabSelected="1" zoomScaleNormal="100" workbookViewId="0">
      <selection activeCell="C12" sqref="C12"/>
    </sheetView>
  </sheetViews>
  <sheetFormatPr baseColWidth="10" defaultColWidth="0" defaultRowHeight="14.25" zeroHeight="1" outlineLevelRow="1"/>
  <cols>
    <col min="1" max="1" width="4.28515625" style="114" customWidth="1"/>
    <col min="2" max="2" width="13.7109375" style="47" customWidth="1"/>
    <col min="3" max="3" width="35.7109375" style="117" customWidth="1"/>
    <col min="4" max="4" width="12.85546875" style="117" customWidth="1"/>
    <col min="5" max="5" width="12.85546875" style="114" bestFit="1" customWidth="1"/>
    <col min="6" max="6" width="14.42578125" style="114" customWidth="1"/>
    <col min="7" max="7" width="6.7109375" style="264" customWidth="1"/>
    <col min="8" max="8" width="101.7109375" style="114" customWidth="1"/>
    <col min="9" max="11" width="0" style="114" hidden="1" customWidth="1"/>
    <col min="12" max="16384" width="11.42578125" style="114" hidden="1"/>
  </cols>
  <sheetData>
    <row r="1" spans="2:7" ht="15" thickBot="1"/>
    <row r="2" spans="2:7" ht="45" customHeight="1">
      <c r="B2" s="452" t="s">
        <v>758</v>
      </c>
      <c r="C2" s="453"/>
      <c r="D2" s="453"/>
      <c r="E2" s="453"/>
      <c r="F2" s="454"/>
      <c r="G2" s="307"/>
    </row>
    <row r="3" spans="2:7" ht="75" customHeight="1">
      <c r="B3" s="455" t="s">
        <v>696</v>
      </c>
      <c r="C3" s="456"/>
      <c r="D3" s="457"/>
      <c r="E3" s="458"/>
      <c r="F3" s="459"/>
      <c r="G3" s="307"/>
    </row>
    <row r="4" spans="2:7" ht="30" customHeight="1" outlineLevel="1">
      <c r="B4" s="310" t="s">
        <v>108</v>
      </c>
      <c r="C4" s="182"/>
      <c r="D4" s="286" t="s">
        <v>106</v>
      </c>
      <c r="E4" s="460">
        <f ca="1">TODAY()</f>
        <v>44145</v>
      </c>
      <c r="F4" s="461"/>
      <c r="G4" s="308"/>
    </row>
    <row r="5" spans="2:7">
      <c r="B5" s="310" t="s">
        <v>109</v>
      </c>
      <c r="C5" s="183"/>
      <c r="D5" s="286" t="s">
        <v>81</v>
      </c>
      <c r="E5" s="462"/>
      <c r="F5" s="463"/>
      <c r="G5" s="308"/>
    </row>
    <row r="6" spans="2:7">
      <c r="B6" s="310" t="s">
        <v>110</v>
      </c>
      <c r="C6" s="183"/>
      <c r="D6" s="446"/>
      <c r="E6" s="447"/>
      <c r="F6" s="448"/>
      <c r="G6" s="309"/>
    </row>
    <row r="7" spans="2:7" ht="25.5">
      <c r="B7" s="310" t="s">
        <v>759</v>
      </c>
      <c r="C7" s="183"/>
      <c r="D7" s="449"/>
      <c r="E7" s="450"/>
      <c r="F7" s="451"/>
      <c r="G7" s="309"/>
    </row>
    <row r="8" spans="2:7" ht="34.5" customHeight="1">
      <c r="B8" s="311" t="s">
        <v>112</v>
      </c>
      <c r="C8" s="444"/>
      <c r="D8" s="444"/>
      <c r="E8" s="444"/>
      <c r="F8" s="445"/>
      <c r="G8" s="308"/>
    </row>
    <row r="9" spans="2:7">
      <c r="B9" s="312" t="s">
        <v>71</v>
      </c>
      <c r="C9" s="313" t="s">
        <v>73</v>
      </c>
      <c r="D9" s="313" t="s">
        <v>75</v>
      </c>
      <c r="E9" s="314" t="s">
        <v>755</v>
      </c>
      <c r="F9" s="315" t="s">
        <v>80</v>
      </c>
    </row>
    <row r="10" spans="2:7">
      <c r="B10" s="316"/>
      <c r="C10" s="317"/>
      <c r="D10" s="317"/>
      <c r="E10" s="318"/>
      <c r="F10" s="319"/>
    </row>
    <row r="11" spans="2:7">
      <c r="B11" s="321"/>
      <c r="C11" s="322"/>
      <c r="D11" s="322"/>
      <c r="E11" s="323"/>
      <c r="F11" s="324"/>
    </row>
    <row r="12" spans="2:7" ht="15.75" thickBot="1">
      <c r="B12" s="320"/>
      <c r="C12" s="325" t="s">
        <v>65</v>
      </c>
      <c r="D12" s="326"/>
      <c r="E12" s="326"/>
      <c r="F12" s="327">
        <f>IF($C$4=1,SUM(Tableau4[[#All],[PRIX]])*0.9,SUM(Tableau4[[#All],[PRIX]]))</f>
        <v>0</v>
      </c>
    </row>
    <row r="13" spans="2:7"/>
    <row r="14" spans="2:7"/>
    <row r="15" spans="2:7"/>
    <row r="16" spans="2:7"/>
    <row r="17"/>
    <row r="18"/>
    <row r="19"/>
    <row r="20"/>
    <row r="21"/>
    <row r="22"/>
    <row r="23"/>
    <row r="24"/>
    <row r="25"/>
    <row r="26"/>
    <row r="27"/>
    <row r="28"/>
    <row r="29"/>
    <row r="30"/>
    <row r="31"/>
    <row r="32"/>
    <row r="33"/>
    <row r="34"/>
    <row r="35"/>
    <row r="36"/>
    <row r="37"/>
    <row r="38"/>
    <row r="39"/>
    <row r="40"/>
    <row r="41"/>
    <row r="42"/>
    <row r="43"/>
    <row r="44"/>
    <row r="45"/>
    <row r="46"/>
    <row r="47"/>
    <row r="48"/>
    <row r="49"/>
    <row r="50"/>
    <row r="51"/>
    <row r="52"/>
    <row r="53"/>
    <row r="54"/>
    <row r="55"/>
    <row r="56"/>
    <row r="57"/>
    <row r="58"/>
    <row r="59"/>
    <row r="60"/>
    <row r="61"/>
    <row r="62"/>
    <row r="63"/>
    <row r="64"/>
    <row r="65"/>
    <row r="66"/>
    <row r="67"/>
    <row r="68"/>
    <row r="69"/>
    <row r="70"/>
    <row r="71"/>
    <row r="72"/>
    <row r="73"/>
    <row r="74"/>
    <row r="75"/>
    <row r="76"/>
    <row r="77"/>
    <row r="78"/>
    <row r="79"/>
    <row r="80"/>
    <row r="81"/>
    <row r="82"/>
    <row r="83"/>
    <row r="84"/>
    <row r="85"/>
    <row r="86"/>
    <row r="87"/>
    <row r="88"/>
    <row r="89"/>
    <row r="90"/>
    <row r="91"/>
    <row r="92"/>
    <row r="93"/>
    <row r="94"/>
    <row r="95"/>
    <row r="96"/>
    <row r="97"/>
    <row r="98"/>
    <row r="99"/>
    <row r="100"/>
    <row r="101"/>
    <row r="102"/>
    <row r="103"/>
    <row r="104"/>
    <row r="105"/>
    <row r="106"/>
    <row r="107"/>
    <row r="108"/>
    <row r="109"/>
    <row r="110"/>
    <row r="111"/>
    <row r="112"/>
    <row r="113"/>
    <row r="114"/>
    <row r="115"/>
    <row r="116"/>
    <row r="117"/>
    <row r="118"/>
    <row r="119"/>
    <row r="120"/>
    <row r="121"/>
    <row r="122"/>
    <row r="123"/>
    <row r="124"/>
    <row r="125"/>
    <row r="126"/>
    <row r="127"/>
    <row r="128"/>
    <row r="129"/>
    <row r="130"/>
    <row r="131"/>
    <row r="132"/>
    <row r="133"/>
    <row r="134"/>
    <row r="135"/>
    <row r="136"/>
    <row r="137"/>
    <row r="138"/>
    <row r="139"/>
    <row r="140"/>
    <row r="141"/>
    <row r="142"/>
    <row r="143"/>
    <row r="144"/>
    <row r="145"/>
    <row r="146"/>
    <row r="147"/>
    <row r="148"/>
    <row r="149"/>
    <row r="150"/>
    <row r="151"/>
    <row r="152"/>
    <row r="153"/>
    <row r="154"/>
    <row r="155"/>
    <row r="156"/>
    <row r="157"/>
    <row r="158"/>
    <row r="159"/>
    <row r="160"/>
    <row r="161"/>
    <row r="162"/>
    <row r="163"/>
    <row r="164"/>
    <row r="165"/>
    <row r="166"/>
    <row r="167"/>
    <row r="168"/>
    <row r="169"/>
    <row r="170"/>
    <row r="171"/>
    <row r="172"/>
    <row r="173"/>
    <row r="174"/>
    <row r="175"/>
    <row r="176"/>
    <row r="177"/>
    <row r="178"/>
    <row r="179"/>
    <row r="180"/>
    <row r="181"/>
    <row r="182"/>
    <row r="183"/>
    <row r="184"/>
    <row r="185"/>
    <row r="186"/>
    <row r="187"/>
    <row r="188"/>
    <row r="189"/>
    <row r="190"/>
    <row r="191"/>
    <row r="192"/>
    <row r="193"/>
    <row r="194"/>
    <row r="195"/>
    <row r="196"/>
    <row r="197"/>
    <row r="198"/>
    <row r="199"/>
    <row r="200"/>
    <row r="201"/>
    <row r="202"/>
    <row r="203"/>
    <row r="204"/>
    <row r="205"/>
    <row r="206"/>
    <row r="207"/>
    <row r="208"/>
    <row r="209"/>
    <row r="210"/>
    <row r="211"/>
    <row r="212"/>
    <row r="213"/>
    <row r="214"/>
    <row r="215"/>
    <row r="216"/>
    <row r="217"/>
    <row r="218"/>
    <row r="219"/>
    <row r="220"/>
    <row r="221"/>
    <row r="222"/>
    <row r="223"/>
    <row r="224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/>
    <row r="306"/>
    <row r="307"/>
    <row r="308"/>
    <row r="309"/>
    <row r="310"/>
    <row r="311"/>
    <row r="312"/>
    <row r="313"/>
    <row r="314"/>
    <row r="315"/>
    <row r="323"/>
    <row r="324"/>
    <row r="325"/>
    <row r="326"/>
    <row r="327"/>
    <row r="328"/>
    <row r="334"/>
    <row r="335"/>
    <row r="336"/>
    <row r="337"/>
    <row r="339"/>
    <row r="340"/>
    <row r="341"/>
    <row r="342"/>
    <row r="343"/>
    <row r="344"/>
    <row r="345"/>
    <row r="346"/>
    <row r="347"/>
    <row r="348"/>
    <row r="352"/>
    <row r="353"/>
    <row r="363"/>
    <row r="364"/>
    <row r="365"/>
    <row r="366"/>
    <row r="367"/>
    <row r="368"/>
    <row r="369"/>
    <row r="370"/>
    <row r="374"/>
    <row r="375"/>
    <row r="383"/>
    <row r="384"/>
    <row r="385"/>
    <row r="386"/>
    <row r="387"/>
    <row r="388"/>
    <row r="390"/>
    <row r="391"/>
    <row r="393"/>
    <row r="394"/>
    <row r="395"/>
    <row r="401"/>
    <row r="402"/>
    <row r="403"/>
    <row r="404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51"/>
    <row r="452"/>
    <row r="453"/>
    <row r="454"/>
    <row r="455"/>
    <row r="457"/>
    <row r="458"/>
    <row r="459"/>
    <row r="460"/>
    <row r="461"/>
    <row r="462"/>
    <row r="463"/>
    <row r="464"/>
    <row r="465"/>
    <row r="466"/>
    <row r="477"/>
    <row r="478"/>
    <row r="479"/>
    <row r="480"/>
    <row r="481"/>
    <row r="482"/>
    <row r="483"/>
    <row r="484"/>
    <row r="485"/>
    <row r="491"/>
    <row r="492"/>
    <row r="493"/>
    <row r="494"/>
    <row r="499"/>
    <row r="500"/>
    <row r="501"/>
    <row r="502"/>
    <row r="503"/>
    <row r="509"/>
    <row r="510"/>
    <row r="511"/>
    <row r="512"/>
    <row r="513"/>
    <row r="516"/>
    <row r="517"/>
    <row r="518"/>
    <row r="519"/>
    <row r="520"/>
    <row r="521"/>
    <row r="522"/>
    <row r="523"/>
    <row r="524"/>
    <row r="525"/>
    <row r="526"/>
    <row r="527"/>
    <row r="535"/>
    <row r="538"/>
    <row r="539"/>
    <row r="540"/>
    <row r="541"/>
    <row r="542"/>
    <row r="543"/>
    <row r="544"/>
    <row r="545"/>
    <row r="546"/>
    <row r="557"/>
    <row r="558"/>
    <row r="559"/>
    <row r="560"/>
    <row r="561"/>
    <row r="562"/>
    <row r="563"/>
    <row r="564"/>
    <row r="565"/>
    <row r="571"/>
    <row r="572"/>
    <row r="573"/>
    <row r="574"/>
    <row r="579"/>
    <row r="580"/>
    <row r="581"/>
    <row r="582"/>
    <row r="583"/>
    <row r="589"/>
    <row r="590"/>
    <row r="591"/>
    <row r="592"/>
    <row r="596"/>
    <row r="597"/>
    <row r="598"/>
    <row r="599"/>
    <row r="603"/>
    <row r="604"/>
    <row r="605"/>
    <row r="606"/>
    <row r="607"/>
    <row r="608"/>
    <row r="609"/>
    <row r="610"/>
    <row r="611"/>
    <row r="617"/>
    <row r="618"/>
    <row r="619"/>
    <row r="620"/>
    <row r="627"/>
    <row r="636"/>
    <row r="637"/>
    <row r="638"/>
    <row r="639"/>
    <row r="640"/>
    <row r="641"/>
    <row r="642"/>
    <row r="643"/>
    <row r="644"/>
    <row r="645"/>
    <row r="646"/>
    <row r="647"/>
    <row r="648"/>
    <row r="649"/>
    <row r="650"/>
    <row r="651"/>
    <row r="652"/>
    <row r="653"/>
    <row r="654"/>
    <row r="661"/>
    <row r="671"/>
    <row r="672"/>
    <row r="673"/>
    <row r="674"/>
    <row r="675"/>
    <row r="676"/>
    <row r="677"/>
    <row r="678"/>
  </sheetData>
  <sheetProtection autoFilter="0"/>
  <mergeCells count="7">
    <mergeCell ref="C8:F8"/>
    <mergeCell ref="D6:F7"/>
    <mergeCell ref="B2:F2"/>
    <mergeCell ref="B3:C3"/>
    <mergeCell ref="D3:F3"/>
    <mergeCell ref="E4:F4"/>
    <mergeCell ref="E5:F5"/>
  </mergeCells>
  <phoneticPr fontId="87" type="noConversion"/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  <headerFooter>
    <oddFooter>&amp;C&amp;"Calibri,Normal"&amp;K000000Immatriculation au RCS Bayonne 879 751 477 4721Z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Génére_un_bon">
                <anchor moveWithCells="1" sizeWithCells="1">
                  <from>
                    <xdr:col>7</xdr:col>
                    <xdr:colOff>2362200</xdr:colOff>
                    <xdr:row>3</xdr:row>
                    <xdr:rowOff>57150</xdr:rowOff>
                  </from>
                  <to>
                    <xdr:col>7</xdr:col>
                    <xdr:colOff>4305300</xdr:colOff>
                    <xdr:row>5</xdr:row>
                    <xdr:rowOff>66675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E4206-4954-437A-9B81-F945C6EEFEE8}">
  <sheetPr codeName="Feuil5"/>
  <dimension ref="A1:K670"/>
  <sheetViews>
    <sheetView showGridLines="0" zoomScaleNormal="100" workbookViewId="0">
      <selection activeCell="E5" sqref="E5:F5"/>
    </sheetView>
  </sheetViews>
  <sheetFormatPr baseColWidth="10" defaultColWidth="0" defaultRowHeight="0" customHeight="1" zeroHeight="1" outlineLevelRow="1"/>
  <cols>
    <col min="1" max="1" width="4.28515625" style="114" customWidth="1"/>
    <col min="2" max="2" width="13.7109375" style="47" customWidth="1"/>
    <col min="3" max="3" width="35.7109375" style="117" customWidth="1"/>
    <col min="4" max="4" width="12.85546875" style="117" customWidth="1"/>
    <col min="5" max="5" width="12.85546875" style="114" bestFit="1" customWidth="1"/>
    <col min="6" max="6" width="14.42578125" style="114" customWidth="1"/>
    <col min="7" max="7" width="6.7109375" style="264" customWidth="1"/>
    <col min="8" max="8" width="101.7109375" style="114" customWidth="1"/>
    <col min="9" max="11" width="0" style="114" hidden="1" customWidth="1"/>
    <col min="12" max="16384" width="11.42578125" style="114" hidden="1"/>
  </cols>
  <sheetData>
    <row r="1" spans="2:7" ht="15" thickBot="1"/>
    <row r="2" spans="2:7" ht="45" customHeight="1">
      <c r="B2" s="452" t="s">
        <v>695</v>
      </c>
      <c r="C2" s="453"/>
      <c r="D2" s="453"/>
      <c r="E2" s="453"/>
      <c r="F2" s="454"/>
      <c r="G2" s="307"/>
    </row>
    <row r="3" spans="2:7" ht="75" customHeight="1">
      <c r="B3" s="455" t="s">
        <v>696</v>
      </c>
      <c r="C3" s="456"/>
      <c r="D3" s="457" t="s">
        <v>792</v>
      </c>
      <c r="E3" s="458"/>
      <c r="F3" s="459"/>
      <c r="G3" s="307"/>
    </row>
    <row r="4" spans="2:7" ht="30" customHeight="1" outlineLevel="1">
      <c r="B4" s="310" t="s">
        <v>108</v>
      </c>
      <c r="C4" s="182"/>
      <c r="D4" s="286" t="s">
        <v>106</v>
      </c>
      <c r="E4" s="460">
        <f ca="1">TODAY()</f>
        <v>44145</v>
      </c>
      <c r="F4" s="461"/>
      <c r="G4" s="308"/>
    </row>
    <row r="5" spans="2:7" ht="14.25">
      <c r="B5" s="310" t="s">
        <v>109</v>
      </c>
      <c r="C5" s="183"/>
      <c r="D5" s="286" t="s">
        <v>81</v>
      </c>
      <c r="E5" s="462">
        <v>0.86605243978102198</v>
      </c>
      <c r="F5" s="463"/>
      <c r="G5" s="308"/>
    </row>
    <row r="6" spans="2:7" ht="14.25">
      <c r="B6" s="310" t="s">
        <v>110</v>
      </c>
      <c r="C6" s="183"/>
      <c r="D6" s="446"/>
      <c r="E6" s="447"/>
      <c r="F6" s="448"/>
      <c r="G6" s="309"/>
    </row>
    <row r="7" spans="2:7" ht="14.25">
      <c r="B7" s="310" t="s">
        <v>111</v>
      </c>
      <c r="C7" s="183"/>
      <c r="D7" s="449"/>
      <c r="E7" s="450"/>
      <c r="F7" s="451"/>
      <c r="G7" s="309"/>
    </row>
    <row r="8" spans="2:7" ht="34.5" customHeight="1">
      <c r="B8" s="311" t="s">
        <v>112</v>
      </c>
      <c r="C8" s="444"/>
      <c r="D8" s="444"/>
      <c r="E8" s="444"/>
      <c r="F8" s="445"/>
      <c r="G8" s="308"/>
    </row>
    <row r="9" spans="2:7" ht="15">
      <c r="B9" s="312" t="s">
        <v>71</v>
      </c>
      <c r="C9" s="313" t="s">
        <v>73</v>
      </c>
      <c r="D9" s="313" t="s">
        <v>75</v>
      </c>
      <c r="E9" s="314" t="s">
        <v>755</v>
      </c>
      <c r="F9" s="315" t="s">
        <v>80</v>
      </c>
    </row>
    <row r="10" spans="2:7" ht="14.25">
      <c r="B10" s="316"/>
      <c r="C10" s="317"/>
      <c r="D10" s="317"/>
      <c r="E10" s="318"/>
      <c r="F10" s="319"/>
    </row>
    <row r="11" spans="2:7" ht="14.25">
      <c r="B11" s="321"/>
      <c r="C11" s="322"/>
      <c r="D11" s="322"/>
      <c r="E11" s="323"/>
      <c r="F11" s="324"/>
    </row>
    <row r="12" spans="2:7" ht="15.75" thickBot="1">
      <c r="B12" s="320"/>
      <c r="C12" s="325" t="s">
        <v>65</v>
      </c>
      <c r="D12" s="326"/>
      <c r="E12" s="326"/>
      <c r="F12" s="327">
        <f>IF(C4=1, (SUM(Tableau46[PRIX])*0.9), SUM(Tableau46[PRIX]))</f>
        <v>0</v>
      </c>
    </row>
    <row r="13" spans="2:7" ht="14.25"/>
    <row r="14" spans="2:7" ht="14.25"/>
    <row r="15" spans="2:7" ht="14.25"/>
    <row r="16" spans="2:7" ht="14.25"/>
    <row r="17" ht="14.25"/>
    <row r="18" ht="14.25"/>
    <row r="19" ht="14.25"/>
    <row r="20" ht="14.25"/>
    <row r="21" ht="14.25"/>
    <row r="22" ht="14.25"/>
    <row r="23" ht="14.25"/>
    <row r="24" ht="14.25"/>
    <row r="25" ht="14.25"/>
    <row r="26" ht="14.25"/>
    <row r="27" ht="14.25"/>
    <row r="28" ht="14.25"/>
    <row r="29" ht="14.25"/>
    <row r="30" ht="14.25"/>
    <row r="31" ht="14.25"/>
    <row r="32" ht="14.25"/>
    <row r="33" ht="14.25"/>
    <row r="34" ht="14.25"/>
    <row r="35" ht="14.25"/>
    <row r="36" ht="14.25"/>
    <row r="37" ht="14.25"/>
    <row r="38" ht="14.25"/>
    <row r="39" ht="14.25"/>
    <row r="40" ht="14.25"/>
    <row r="41" ht="14.25"/>
    <row r="42" ht="14.25"/>
    <row r="43" ht="14.25"/>
    <row r="44" ht="14.25"/>
    <row r="45" ht="14.25"/>
    <row r="46" ht="14.25"/>
    <row r="47" ht="14.25"/>
    <row r="48" ht="14.25"/>
    <row r="49" ht="14.25"/>
    <row r="50" ht="14.25"/>
    <row r="51" ht="14.25"/>
    <row r="52" ht="14.25"/>
    <row r="53" ht="14.25"/>
    <row r="54" ht="14.25"/>
    <row r="55" ht="14.25"/>
    <row r="56" ht="14.25"/>
    <row r="57" ht="14.25"/>
    <row r="58" ht="14.25"/>
    <row r="59" ht="14.25"/>
    <row r="60" ht="14.25"/>
    <row r="61" ht="14.25"/>
    <row r="62" ht="14.25"/>
    <row r="63" ht="14.25"/>
    <row r="64" ht="14.25"/>
    <row r="65" ht="14.25"/>
    <row r="66" ht="14.25"/>
    <row r="67" ht="14.25"/>
    <row r="68" ht="14.25"/>
    <row r="69" ht="14.25"/>
    <row r="70" ht="14.25"/>
    <row r="71" ht="14.25"/>
    <row r="72" ht="14.25"/>
    <row r="73" ht="14.25"/>
    <row r="74" ht="14.25"/>
    <row r="75" ht="14.25"/>
    <row r="76" ht="14.25"/>
    <row r="77" ht="14.25"/>
    <row r="78" ht="14.25"/>
    <row r="79" ht="14.25"/>
    <row r="80" ht="14.25"/>
    <row r="81" ht="14.25"/>
    <row r="82" ht="14.25"/>
    <row r="83" ht="14.25"/>
    <row r="84" ht="14.25"/>
    <row r="85" ht="14.25"/>
    <row r="86" ht="14.25"/>
    <row r="87" ht="14.25"/>
    <row r="88" ht="14.25"/>
    <row r="89" ht="14.25"/>
    <row r="90" ht="14.25"/>
    <row r="91" ht="14.25"/>
    <row r="92" ht="14.25"/>
    <row r="93" ht="14.25"/>
    <row r="94" ht="14.25"/>
    <row r="95" ht="14.25"/>
    <row r="96" ht="14.25"/>
    <row r="97" ht="14.25"/>
    <row r="98" ht="14.25"/>
    <row r="99" ht="14.25"/>
    <row r="100" ht="14.25"/>
    <row r="101" ht="14.25"/>
    <row r="102" ht="14.25"/>
    <row r="103" ht="14.25"/>
    <row r="104" ht="14.25"/>
    <row r="105" ht="14.25"/>
    <row r="106" ht="14.25"/>
    <row r="107" ht="14.25"/>
    <row r="108" ht="14.25"/>
    <row r="109" ht="14.25"/>
    <row r="110" ht="14.25"/>
    <row r="111" ht="14.25"/>
    <row r="112" ht="14.25"/>
    <row r="113" ht="14.25"/>
    <row r="114" ht="14.25"/>
    <row r="115" ht="14.25"/>
    <row r="116" ht="14.25"/>
    <row r="117" ht="14.25"/>
    <row r="118" ht="14.25"/>
    <row r="119" ht="14.25"/>
    <row r="120" ht="14.25"/>
    <row r="121" ht="14.25"/>
    <row r="122" ht="14.25"/>
    <row r="123" ht="14.25"/>
    <row r="124" ht="14.25"/>
    <row r="125" ht="14.25"/>
    <row r="126" ht="14.25"/>
    <row r="127" ht="14.25"/>
    <row r="128" ht="14.25"/>
    <row r="129" ht="14.25"/>
    <row r="130" ht="14.25"/>
    <row r="131" ht="14.25"/>
    <row r="132" ht="14.25"/>
    <row r="133" ht="14.25"/>
    <row r="134" ht="14.25"/>
    <row r="135" ht="14.25"/>
    <row r="136" ht="14.25"/>
    <row r="137" ht="14.25"/>
    <row r="138" ht="14.25"/>
    <row r="139" ht="14.25"/>
    <row r="140" ht="14.25"/>
    <row r="141" ht="14.25"/>
    <row r="142" ht="14.25"/>
    <row r="143" ht="14.25"/>
    <row r="144" ht="14.25"/>
    <row r="145" ht="14.25"/>
    <row r="146" ht="14.25"/>
    <row r="147" ht="14.25"/>
    <row r="148" ht="14.25"/>
    <row r="149" ht="14.25"/>
    <row r="150" ht="14.25"/>
    <row r="151" ht="14.25"/>
    <row r="152" ht="14.25"/>
    <row r="153" ht="14.25"/>
    <row r="154" ht="14.25"/>
    <row r="155" ht="14.25"/>
    <row r="156" ht="14.25"/>
    <row r="157" ht="14.25"/>
    <row r="158" ht="14.25"/>
    <row r="159" ht="14.25"/>
    <row r="160" ht="14.25"/>
    <row r="161" ht="14.25"/>
    <row r="162" ht="14.25"/>
    <row r="163" ht="14.25"/>
    <row r="164" ht="14.25"/>
    <row r="165" ht="14.25"/>
    <row r="166" ht="14.25"/>
    <row r="167" ht="14.25"/>
    <row r="168" ht="14.25"/>
    <row r="169" ht="14.25"/>
    <row r="170" ht="14.25"/>
    <row r="171" ht="14.25"/>
    <row r="172" ht="14.25"/>
    <row r="173" ht="14.25"/>
    <row r="174" ht="14.25"/>
    <row r="175" ht="14.25"/>
    <row r="176" ht="14.25"/>
    <row r="177" ht="14.25"/>
    <row r="178" ht="14.25"/>
    <row r="179" ht="14.25"/>
    <row r="180" ht="14.25"/>
    <row r="181" ht="14.25"/>
    <row r="182" ht="14.25"/>
    <row r="183" ht="14.25"/>
    <row r="184" ht="14.25"/>
    <row r="185" ht="14.25"/>
    <row r="186" ht="14.25"/>
    <row r="187" ht="14.25"/>
    <row r="188" ht="14.25"/>
    <row r="189" ht="14.25"/>
    <row r="190" ht="14.25"/>
    <row r="191" ht="14.25"/>
    <row r="192" ht="14.25"/>
    <row r="193" ht="14.25"/>
    <row r="194" ht="14.25"/>
    <row r="195" ht="14.25"/>
    <row r="196" ht="14.25"/>
    <row r="197" ht="14.25"/>
    <row r="198" ht="14.25"/>
    <row r="199" ht="14.25"/>
    <row r="200" ht="14.25"/>
    <row r="201" ht="14.25"/>
    <row r="202" ht="14.25"/>
    <row r="203" ht="14.25"/>
    <row r="204" ht="14.25"/>
    <row r="205" ht="14.25"/>
    <row r="206" ht="14.25"/>
    <row r="207" ht="14.25"/>
    <row r="208" ht="14.25"/>
    <row r="209" ht="14.25"/>
    <row r="210" ht="14.25"/>
    <row r="211" ht="14.25"/>
    <row r="212" ht="14.25"/>
    <row r="213" ht="14.25"/>
    <row r="214" ht="14.25"/>
    <row r="215" ht="14.25"/>
    <row r="216" ht="14.25"/>
    <row r="217" ht="14.25"/>
    <row r="218" ht="14.25"/>
    <row r="219" ht="14.25"/>
    <row r="220" ht="14.25"/>
    <row r="221" ht="14.25"/>
    <row r="222" ht="14.25"/>
    <row r="223" ht="14.25"/>
    <row r="224" ht="14.25"/>
    <row r="225" ht="14.25"/>
    <row r="226" ht="14.25"/>
    <row r="227" ht="14.25"/>
    <row r="228" ht="14.25"/>
    <row r="229" ht="14.25"/>
    <row r="230" ht="14.25"/>
    <row r="231" ht="14.25"/>
    <row r="232" ht="14.25"/>
    <row r="233" ht="14.25"/>
    <row r="234" ht="14.25"/>
    <row r="235" ht="14.25"/>
    <row r="236" ht="14.25"/>
    <row r="237" ht="14.25"/>
    <row r="238" ht="14.25"/>
    <row r="239" ht="14.25"/>
    <row r="240" ht="14.25"/>
    <row r="241" ht="14.25"/>
    <row r="242" ht="14.25"/>
    <row r="243" ht="14.25"/>
    <row r="244" ht="14.25"/>
    <row r="245" ht="14.25"/>
    <row r="246" ht="14.25"/>
    <row r="247" ht="14.25"/>
    <row r="248" ht="14.25"/>
    <row r="249" ht="14.25"/>
    <row r="250" ht="14.25"/>
    <row r="251" ht="14.25"/>
    <row r="252" ht="14.25"/>
    <row r="253" ht="14.25"/>
    <row r="254" ht="14.25"/>
    <row r="255" ht="14.25"/>
    <row r="256" ht="14.25"/>
    <row r="257" ht="14.25"/>
    <row r="258" ht="14.25"/>
    <row r="259" ht="14.25"/>
    <row r="260" ht="14.25"/>
    <row r="261" ht="14.25"/>
    <row r="262" ht="14.25"/>
    <row r="263" ht="14.25"/>
    <row r="264" ht="14.25"/>
    <row r="265" ht="14.25"/>
    <row r="266" ht="14.25"/>
    <row r="267" ht="14.25"/>
    <row r="268" ht="14.25"/>
    <row r="269" ht="14.25"/>
    <row r="270" ht="14.25"/>
    <row r="271" ht="14.25"/>
    <row r="272" ht="14.25"/>
    <row r="273" ht="14.25"/>
    <row r="274" ht="14.25"/>
    <row r="275" ht="14.25"/>
    <row r="276" ht="14.25"/>
    <row r="277" ht="14.25"/>
    <row r="278" ht="14.25"/>
    <row r="279" ht="14.25"/>
    <row r="280" ht="14.25"/>
    <row r="281" ht="14.25"/>
    <row r="282" ht="14.25"/>
    <row r="283" ht="14.25"/>
    <row r="284" ht="14.25"/>
    <row r="285" ht="14.25"/>
    <row r="286" ht="14.25"/>
    <row r="287" ht="14.25"/>
    <row r="288" ht="14.25"/>
    <row r="289" ht="14.25"/>
    <row r="290" ht="14.25"/>
    <row r="291" ht="14.25"/>
    <row r="292" ht="14.25"/>
    <row r="293" ht="14.25"/>
    <row r="294" ht="14.25"/>
    <row r="295" ht="14.25"/>
    <row r="296" ht="14.25"/>
    <row r="297" ht="14.25"/>
    <row r="298" ht="14.25"/>
    <row r="299" ht="14.25"/>
    <row r="300" ht="14.25"/>
    <row r="301" ht="14.25"/>
    <row r="302" ht="14.25"/>
    <row r="303" ht="14.25"/>
    <row r="304" ht="14.25"/>
    <row r="305" ht="14.25"/>
    <row r="306" ht="14.25"/>
    <row r="307" ht="14.25"/>
    <row r="308" ht="14.25"/>
    <row r="309" ht="14.25"/>
    <row r="310" ht="14.25"/>
    <row r="311" ht="14.25"/>
    <row r="312" ht="14.25"/>
    <row r="313" ht="14.25"/>
    <row r="314" ht="14.25"/>
    <row r="315" ht="14.25"/>
    <row r="316" ht="14.25"/>
    <row r="317" ht="14.25"/>
    <row r="318" ht="14.25"/>
    <row r="319" ht="14.25"/>
    <row r="320" ht="14.25"/>
    <row r="321" ht="14.25"/>
    <row r="322" ht="14.25"/>
    <row r="323" ht="14.25"/>
    <row r="324" ht="14.25" hidden="1" customHeight="1"/>
    <row r="331" ht="14.25"/>
    <row r="332" ht="14.25"/>
    <row r="333" ht="14.25"/>
    <row r="334" ht="14.25"/>
    <row r="335" ht="14.25"/>
    <row r="336" ht="14.25"/>
    <row r="337" ht="14.25" hidden="1" customHeight="1"/>
    <row r="342" ht="14.25"/>
    <row r="343" ht="14.25"/>
    <row r="344" ht="14.25"/>
    <row r="345" ht="14.25"/>
    <row r="346" ht="14.25" hidden="1" customHeight="1"/>
    <row r="347" ht="14.25"/>
    <row r="348" ht="14.25"/>
    <row r="349" ht="14.25"/>
    <row r="350" ht="14.25"/>
    <row r="351" ht="14.25"/>
    <row r="352" ht="14.25"/>
    <row r="353" ht="14.25"/>
    <row r="354" ht="14.25"/>
    <row r="355" ht="14.25"/>
    <row r="356" ht="14.25"/>
    <row r="357" ht="14.25" hidden="1" customHeight="1"/>
    <row r="360" ht="14.25"/>
    <row r="361" ht="14.25"/>
    <row r="362" ht="14.25" hidden="1" customHeight="1"/>
    <row r="371" ht="14.25"/>
    <row r="372" ht="14.25"/>
    <row r="373" ht="14.25"/>
    <row r="374" ht="14.25"/>
    <row r="375" ht="14.25"/>
    <row r="376" ht="14.25"/>
    <row r="377" ht="14.25"/>
    <row r="378" ht="14.25"/>
    <row r="379" ht="14.25" hidden="1" customHeight="1"/>
    <row r="382" ht="14.25"/>
    <row r="383" ht="14.25"/>
    <row r="384" ht="14.25" hidden="1" customHeight="1"/>
    <row r="391" ht="14.25"/>
    <row r="392" ht="14.25"/>
    <row r="393" ht="14.25"/>
    <row r="394" ht="14.25"/>
    <row r="395" ht="14.25"/>
    <row r="396" ht="14.25"/>
    <row r="397" ht="14.25" hidden="1" customHeight="1"/>
    <row r="398" ht="14.25"/>
    <row r="399" ht="14.25"/>
    <row r="400" ht="14.25" hidden="1" customHeight="1"/>
    <row r="401" ht="14.25"/>
    <row r="402" ht="14.25"/>
    <row r="403" ht="14.25"/>
    <row r="404" ht="14.25" hidden="1" customHeight="1"/>
    <row r="409" ht="14.25"/>
    <row r="410" ht="14.25"/>
    <row r="411" ht="14.25"/>
    <row r="412" ht="14.25"/>
    <row r="413" ht="14.25" hidden="1" customHeight="1"/>
    <row r="418" ht="14.25"/>
    <row r="419" ht="14.25"/>
    <row r="420" ht="14.25"/>
    <row r="421" ht="14.25"/>
    <row r="422" ht="14.25"/>
    <row r="423" ht="14.25"/>
    <row r="424" ht="14.25"/>
    <row r="425" ht="14.25"/>
    <row r="426" ht="14.25"/>
    <row r="427" ht="14.25"/>
    <row r="428" ht="14.25"/>
    <row r="429" ht="14.25"/>
    <row r="430" ht="14.25"/>
    <row r="431" ht="14.25"/>
    <row r="432" ht="14.25"/>
    <row r="433" ht="14.25"/>
    <row r="434" ht="14.25"/>
    <row r="435" ht="14.25"/>
    <row r="436" ht="14.25"/>
    <row r="437" ht="14.25"/>
    <row r="438" ht="14.25"/>
    <row r="439" ht="14.25"/>
    <row r="440" ht="14.25"/>
    <row r="441" ht="14.25"/>
    <row r="442" ht="14.25"/>
    <row r="443" ht="14.25"/>
    <row r="444" ht="14.25"/>
    <row r="445" ht="14.25"/>
    <row r="446" ht="14.25"/>
    <row r="447" ht="14.25"/>
    <row r="448" ht="14.25"/>
    <row r="449" ht="14.25"/>
    <row r="450" ht="14.25"/>
    <row r="451" ht="14.25"/>
    <row r="452" ht="14.25"/>
    <row r="453" ht="14.25"/>
    <row r="454" ht="14.25" hidden="1" customHeight="1"/>
    <row r="459" ht="14.25"/>
    <row r="460" ht="14.25"/>
    <row r="461" ht="14.25"/>
    <row r="462" ht="14.25"/>
    <row r="463" ht="14.25"/>
    <row r="464" ht="14.25" hidden="1" customHeight="1"/>
    <row r="465" ht="14.25"/>
    <row r="466" ht="14.25"/>
    <row r="467" ht="14.25"/>
    <row r="468" ht="14.25"/>
    <row r="469" ht="14.25"/>
    <row r="470" ht="14.25"/>
    <row r="471" ht="14.25"/>
    <row r="472" ht="14.25"/>
    <row r="473" ht="14.25"/>
    <row r="474" ht="14.25"/>
    <row r="475" ht="14.25" hidden="1" customHeight="1"/>
    <row r="485" ht="14.25"/>
    <row r="486" ht="14.25"/>
    <row r="487" ht="14.25"/>
    <row r="488" ht="14.25"/>
    <row r="489" ht="14.25"/>
    <row r="490" ht="14.25"/>
    <row r="491" ht="14.25"/>
    <row r="492" ht="14.25"/>
    <row r="493" ht="14.25"/>
    <row r="494" ht="14.25" hidden="1" customHeight="1"/>
    <row r="499" ht="14.25"/>
    <row r="500" ht="14.25"/>
    <row r="501" ht="14.25"/>
    <row r="502" ht="14.25"/>
    <row r="503" ht="14.25" hidden="1" customHeight="1"/>
    <row r="507" ht="14.25"/>
    <row r="508" ht="14.25"/>
    <row r="509" ht="14.25"/>
    <row r="510" ht="14.25"/>
    <row r="511" ht="14.25"/>
    <row r="512" ht="14.25" hidden="1" customHeight="1"/>
    <row r="517" ht="14.25"/>
    <row r="518" ht="14.25"/>
    <row r="519" ht="14.25"/>
    <row r="520" ht="14.25"/>
    <row r="521" ht="14.25"/>
    <row r="522" ht="14.25" hidden="1" customHeight="1"/>
    <row r="524" ht="14.25"/>
    <row r="525" ht="14.25"/>
    <row r="526" ht="14.25"/>
    <row r="527" ht="14.25"/>
    <row r="528" ht="14.25"/>
    <row r="529" ht="14.25"/>
    <row r="530" ht="14.25"/>
    <row r="531" ht="14.25"/>
    <row r="532" ht="14.25"/>
    <row r="533" ht="14.25"/>
    <row r="534" ht="14.25"/>
    <row r="535" ht="14.25"/>
    <row r="536" ht="14.25" hidden="1" customHeight="1"/>
    <row r="543" ht="14.25"/>
    <row r="544" ht="14.25" hidden="1" customHeight="1"/>
    <row r="546" ht="14.25"/>
    <row r="547" ht="14.25"/>
    <row r="548" ht="14.25"/>
    <row r="549" ht="14.25"/>
    <row r="550" ht="14.25"/>
    <row r="551" ht="14.25"/>
    <row r="552" ht="14.25"/>
    <row r="553" ht="14.25"/>
    <row r="554" ht="14.25"/>
    <row r="555" ht="14.25" hidden="1" customHeight="1"/>
    <row r="565" ht="14.25"/>
    <row r="566" ht="14.25"/>
    <row r="567" ht="14.25"/>
    <row r="568" ht="14.25"/>
    <row r="569" ht="14.25"/>
    <row r="570" ht="14.25"/>
    <row r="571" ht="14.25"/>
    <row r="572" ht="14.25"/>
    <row r="573" ht="14.25"/>
    <row r="574" ht="14.25" hidden="1" customHeight="1"/>
    <row r="579" ht="14.25"/>
    <row r="580" ht="14.25"/>
    <row r="581" ht="14.25"/>
    <row r="582" ht="14.25"/>
    <row r="583" ht="14.25" hidden="1" customHeight="1"/>
    <row r="587" ht="14.25"/>
    <row r="588" ht="14.25"/>
    <row r="589" ht="14.25"/>
    <row r="590" ht="14.25"/>
    <row r="591" ht="14.25"/>
    <row r="592" ht="14.25" hidden="1" customHeight="1"/>
    <row r="597" ht="14.25"/>
    <row r="598" ht="14.25"/>
    <row r="599" ht="14.25"/>
    <row r="600" ht="14.25"/>
    <row r="601" ht="14.25" hidden="1" customHeight="1"/>
    <row r="604" ht="14.25"/>
    <row r="605" ht="14.25"/>
    <row r="606" ht="14.25"/>
    <row r="607" ht="14.25"/>
    <row r="608" ht="14.25" hidden="1" customHeight="1"/>
    <row r="611" ht="14.25"/>
    <row r="612" ht="14.25"/>
    <row r="613" ht="14.25"/>
    <row r="614" ht="14.25"/>
    <row r="615" ht="14.25"/>
    <row r="616" ht="14.25"/>
    <row r="617" ht="14.25"/>
    <row r="618" ht="14.25"/>
    <row r="619" ht="14.25"/>
    <row r="620" ht="14.25" hidden="1" customHeight="1"/>
    <row r="625" ht="14.25"/>
    <row r="626" ht="14.25"/>
    <row r="627" ht="14.25"/>
    <row r="628" ht="14.25"/>
    <row r="629" ht="14.25" hidden="1" customHeight="1"/>
    <row r="635" ht="14.25"/>
    <row r="636" ht="14.25" hidden="1" customHeight="1"/>
    <row r="644" ht="14.25"/>
    <row r="645" ht="14.25"/>
    <row r="646" ht="14.25"/>
    <row r="647" ht="14.25"/>
    <row r="648" ht="14.25"/>
    <row r="649" ht="14.25"/>
    <row r="650" ht="14.25"/>
    <row r="651" ht="14.25"/>
    <row r="652" ht="14.25"/>
    <row r="653" ht="14.25"/>
    <row r="654" ht="14.25"/>
    <row r="655" ht="14.25"/>
    <row r="656" ht="14.25"/>
    <row r="657" ht="14.25"/>
    <row r="658" ht="14.25"/>
    <row r="659" ht="14.25"/>
    <row r="660" ht="14.25"/>
    <row r="661" ht="14.25"/>
    <row r="662" ht="14.25"/>
    <row r="663" ht="14.25" hidden="1" customHeight="1"/>
    <row r="669" ht="14.25"/>
    <row r="670" ht="14.25" hidden="1" customHeight="1"/>
  </sheetData>
  <sheetProtection autoFilter="0"/>
  <mergeCells count="7">
    <mergeCell ref="C8:F8"/>
    <mergeCell ref="B2:F2"/>
    <mergeCell ref="B3:C3"/>
    <mergeCell ref="D3:F3"/>
    <mergeCell ref="E4:F4"/>
    <mergeCell ref="E5:F5"/>
    <mergeCell ref="D6:F7"/>
  </mergeCells>
  <printOptions horizontalCentered="1"/>
  <pageMargins left="0.23622047244094491" right="0.23622047244094491" top="0.74803149606299213" bottom="0.74803149606299213" header="0.31496062992125984" footer="0.31496062992125984"/>
  <pageSetup paperSize="9" orientation="portrait" r:id="rId1"/>
  <headerFooter>
    <oddFooter>&amp;C&amp;"Calibri,Normal"&amp;K000000Immatriculation au RCS Bayonne 879 751 477 4721Z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4" name="Button 3">
              <controlPr defaultSize="0" print="0" autoFill="0" autoPict="0" macro="[0]!Générer_factures">
                <anchor moveWithCells="1" sizeWithCells="1">
                  <from>
                    <xdr:col>7</xdr:col>
                    <xdr:colOff>1971675</xdr:colOff>
                    <xdr:row>2</xdr:row>
                    <xdr:rowOff>504825</xdr:rowOff>
                  </from>
                  <to>
                    <xdr:col>7</xdr:col>
                    <xdr:colOff>3429000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44C4CD-62BB-4096-9511-F7F59002002B}">
  <sheetPr codeName="Feuil8"/>
  <dimension ref="A1:G257"/>
  <sheetViews>
    <sheetView showGridLines="0" topLeftCell="A244" zoomScaleNormal="100" workbookViewId="0">
      <selection activeCell="D253" sqref="D253:F253"/>
    </sheetView>
  </sheetViews>
  <sheetFormatPr baseColWidth="10" defaultColWidth="11.42578125" defaultRowHeight="14.25" zeroHeight="1" outlineLevelRow="1" outlineLevelCol="1"/>
  <cols>
    <col min="1" max="1" width="7.7109375" style="114" customWidth="1" outlineLevel="1"/>
    <col min="2" max="2" width="13.7109375" style="47" customWidth="1"/>
    <col min="3" max="3" width="35.7109375" style="117" customWidth="1"/>
    <col min="4" max="4" width="9.42578125" style="117" customWidth="1"/>
    <col min="5" max="5" width="12.85546875" style="114" bestFit="1" customWidth="1"/>
    <col min="6" max="6" width="14.42578125" style="114" customWidth="1"/>
    <col min="7" max="7" width="4.140625" style="114" customWidth="1"/>
    <col min="8" max="8" width="11.42578125" style="114" customWidth="1"/>
    <col min="9" max="16384" width="11.42578125" style="114"/>
  </cols>
  <sheetData>
    <row r="1" spans="1:6" ht="45" customHeight="1">
      <c r="A1" s="234"/>
      <c r="B1" s="467" t="s">
        <v>695</v>
      </c>
      <c r="C1" s="467"/>
      <c r="D1" s="467"/>
      <c r="E1" s="467"/>
      <c r="F1" s="467"/>
    </row>
    <row r="2" spans="1:6" ht="75" customHeight="1">
      <c r="A2" s="234"/>
      <c r="B2" s="473" t="s">
        <v>696</v>
      </c>
      <c r="C2" s="456"/>
      <c r="D2" s="474"/>
      <c r="E2" s="475"/>
      <c r="F2" s="476"/>
    </row>
    <row r="3" spans="1:6" ht="30" customHeight="1" outlineLevel="1">
      <c r="A3" s="234"/>
      <c r="B3" s="235" t="s">
        <v>108</v>
      </c>
      <c r="C3" s="182">
        <v>1</v>
      </c>
      <c r="D3" s="286" t="s">
        <v>106</v>
      </c>
      <c r="E3" s="469" t="s">
        <v>107</v>
      </c>
      <c r="F3" s="470"/>
    </row>
    <row r="4" spans="1:6">
      <c r="A4" s="234"/>
      <c r="B4" s="235" t="s">
        <v>109</v>
      </c>
      <c r="C4" s="183" t="str">
        <f>_xlfn.IFS(C3=1, COMMANDE!O7, C3=2, COMMANDE!Q7, C3=3, COMMANDE!S7, C3=4, COMMANDE!U7, C3=5, COMMANDE!W7, C3=6, COMMANDE!Y7, C3=7, COMMANDE!AA7, C3=8, COMMANDE!AC7, C3=9, COMMANDE!AE7,C3=10, COMMANDE!AG7, C3=11, COMMANDE!AI7, C3=12, COMMANDE!AK7, C3=13, COMMANDE!AM7, C3=14, COMMANDE!AO7, C3=15, COMMANDE!AQ7, C3=16, COMMANDE!AS7, C3=17, COMMANDE!AU7, C3=18, COMMANDE!AW7, C3=19, COMMANDE!AY7, C3=20, COMMANDE!BA7)</f>
        <v>À REMPLIR</v>
      </c>
      <c r="D4" s="286" t="s">
        <v>81</v>
      </c>
      <c r="E4" s="469" t="e">
        <f>#REF!</f>
        <v>#REF!</v>
      </c>
      <c r="F4" s="470"/>
    </row>
    <row r="5" spans="1:6">
      <c r="A5" s="234"/>
      <c r="B5" s="235" t="s">
        <v>110</v>
      </c>
      <c r="C5" s="183" t="str">
        <f>_xlfn.IFS(C3=1, COMMANDE!E10, C3=2, COMMANDE!Q8, C3=3, COMMANDE!S8, C3=4, COMMANDE!U8, C3=5, COMMANDE!W8, C3=6, COMMANDE!Y8, C3=7, COMMANDE!AA8, C3=8, COMMANDE!AC8, C3=9, COMMANDE!AE8,C3=10, COMMANDE!AG8, C3=11, COMMANDE!AI8, C3=12, COMMANDE!AK8, C3=13, COMMANDE!AM8, C3=14, COMMANDE!AO8, C3=15, COMMANDE!AQ8, C3=16, COMMANDE!AS8, C3=17, COMMANDE!AU8, C3=18, COMMANDE!AW8, C3=19, COMMANDE!AY8, C21, COMMANDE!BA8)</f>
        <v>À REMPLIR</v>
      </c>
      <c r="D5" s="446"/>
      <c r="E5" s="447"/>
      <c r="F5" s="471"/>
    </row>
    <row r="6" spans="1:6" ht="14.1" customHeight="1">
      <c r="A6" s="234"/>
      <c r="B6" s="235" t="s">
        <v>111</v>
      </c>
      <c r="C6" s="183">
        <f>_xlfn.IFS(C3=1, COMPTA!F3, C3=2, COMPTA!F4, C3=3,COMPTA!F5, C3=4, COMPTA!F6, C3=5, COMPTA!F7, C3=6, COMPTA!F8, C3=7, COMPTA!F9, C3=8, COMPTA!F10, C3=9, COMPTA!F11,C3=10, COMPTA!F12, C3=11, COMPTA!F13, C3=12, COMPTA!F14, C3=13, COMPTA!F15, C3=14, COMPTA!F16, C3=15, COMPTA!F17, C3=11, COMPTA!F13, C3=12, COMPTA!F14, C3=13, COMPTA!F15, C3=14, COMPTA!F16, C3=15, COMPTA!F17, C3=16, COMPTA!F18, C3=17, COMPTA!F19, C3=18, COMPTA!F20, C3=19, COMPTA!F21, C3=20, COMPTA!F22)</f>
        <v>1</v>
      </c>
      <c r="D6" s="449"/>
      <c r="E6" s="450"/>
      <c r="F6" s="472"/>
    </row>
    <row r="7" spans="1:6" ht="34.5" customHeight="1">
      <c r="A7" s="234"/>
      <c r="B7" s="235" t="s">
        <v>112</v>
      </c>
      <c r="C7" s="468"/>
      <c r="D7" s="468"/>
      <c r="E7" s="468"/>
      <c r="F7" s="468"/>
    </row>
    <row r="8" spans="1:6" ht="45" customHeight="1">
      <c r="A8" s="236" t="s">
        <v>84</v>
      </c>
      <c r="B8" s="237" t="s">
        <v>71</v>
      </c>
      <c r="C8" s="237" t="s">
        <v>73</v>
      </c>
      <c r="D8" s="237" t="s">
        <v>113</v>
      </c>
      <c r="E8" s="236" t="s">
        <v>79</v>
      </c>
      <c r="F8" s="236" t="s">
        <v>80</v>
      </c>
    </row>
    <row r="9" spans="1:6" s="115" customFormat="1" ht="30" customHeight="1">
      <c r="A9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9" s="120" t="e">
        <f>#REF!</f>
        <v>#REF!</v>
      </c>
      <c r="C9" s="238" t="e">
        <f>#REF!</f>
        <v>#REF!</v>
      </c>
      <c r="D9" s="120" t="e">
        <f>#REF!</f>
        <v>#REF!</v>
      </c>
      <c r="E9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9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0" spans="1:6" s="115" customFormat="1" ht="30" customHeight="1">
      <c r="A10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0" s="120" t="e">
        <f>#REF!</f>
        <v>#REF!</v>
      </c>
      <c r="C10" s="238" t="e">
        <f>#REF!</f>
        <v>#REF!</v>
      </c>
      <c r="D10" s="120" t="e">
        <f>#REF!</f>
        <v>#REF!</v>
      </c>
      <c r="E10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0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1" spans="1:6" s="115" customFormat="1" ht="30" customHeight="1">
      <c r="A11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1" s="120" t="e">
        <f>#REF!</f>
        <v>#REF!</v>
      </c>
      <c r="C11" s="238" t="e">
        <f>#REF!</f>
        <v>#REF!</v>
      </c>
      <c r="D11" s="120" t="e">
        <f>#REF!</f>
        <v>#REF!</v>
      </c>
      <c r="E11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1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2" spans="1:6" s="115" customFormat="1" ht="30" customHeight="1">
      <c r="A12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2" s="120" t="e">
        <f>#REF!</f>
        <v>#REF!</v>
      </c>
      <c r="C12" s="238" t="e">
        <f>#REF!</f>
        <v>#REF!</v>
      </c>
      <c r="D12" s="120" t="e">
        <f>#REF!</f>
        <v>#REF!</v>
      </c>
      <c r="E12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2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3" spans="1:6" s="115" customFormat="1" ht="30" customHeight="1">
      <c r="A13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3" s="120" t="e">
        <f>#REF!</f>
        <v>#REF!</v>
      </c>
      <c r="C13" s="238" t="e">
        <f>#REF!</f>
        <v>#REF!</v>
      </c>
      <c r="D13" s="120" t="e">
        <f>#REF!</f>
        <v>#REF!</v>
      </c>
      <c r="E13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3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4" spans="1:6" s="115" customFormat="1" ht="30" customHeight="1">
      <c r="A14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4" s="120" t="e">
        <f>#REF!</f>
        <v>#REF!</v>
      </c>
      <c r="C14" s="238" t="e">
        <f>#REF!</f>
        <v>#REF!</v>
      </c>
      <c r="D14" s="120" t="e">
        <f>#REF!</f>
        <v>#REF!</v>
      </c>
      <c r="E14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4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5" spans="1:6" s="115" customFormat="1" ht="30" customHeight="1">
      <c r="A15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5" s="120" t="e">
        <f>#REF!</f>
        <v>#REF!</v>
      </c>
      <c r="C15" s="238" t="e">
        <f>#REF!</f>
        <v>#REF!</v>
      </c>
      <c r="D15" s="120" t="e">
        <f>#REF!</f>
        <v>#REF!</v>
      </c>
      <c r="E15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5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6" spans="1:6" s="115" customFormat="1" ht="30" customHeight="1">
      <c r="A16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6" s="120" t="e">
        <f>#REF!</f>
        <v>#REF!</v>
      </c>
      <c r="C16" s="238" t="e">
        <f>#REF!</f>
        <v>#REF!</v>
      </c>
      <c r="D16" s="120" t="e">
        <f>#REF!</f>
        <v>#REF!</v>
      </c>
      <c r="E16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6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7" spans="1:6" s="115" customFormat="1" ht="30" customHeight="1">
      <c r="A17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7" s="120" t="e">
        <f>#REF!</f>
        <v>#REF!</v>
      </c>
      <c r="C17" s="238" t="e">
        <f>#REF!</f>
        <v>#REF!</v>
      </c>
      <c r="D17" s="120" t="e">
        <f>#REF!</f>
        <v>#REF!</v>
      </c>
      <c r="E17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7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8" spans="1:6" s="115" customFormat="1" ht="30" customHeight="1">
      <c r="A18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8" s="120" t="e">
        <f>#REF!</f>
        <v>#REF!</v>
      </c>
      <c r="C18" s="238" t="e">
        <f>#REF!</f>
        <v>#REF!</v>
      </c>
      <c r="D18" s="120" t="e">
        <f>#REF!</f>
        <v>#REF!</v>
      </c>
      <c r="E18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8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9" spans="1:6" s="115" customFormat="1" ht="30" customHeight="1">
      <c r="A19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9" s="120" t="e">
        <f>#REF!</f>
        <v>#REF!</v>
      </c>
      <c r="C19" s="238" t="e">
        <f>#REF!</f>
        <v>#REF!</v>
      </c>
      <c r="D19" s="120" t="e">
        <f>#REF!</f>
        <v>#REF!</v>
      </c>
      <c r="E19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9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0" spans="1:6" s="115" customFormat="1" ht="30" customHeight="1">
      <c r="A20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0" s="120" t="e">
        <f>#REF!</f>
        <v>#REF!</v>
      </c>
      <c r="C20" s="238" t="e">
        <f>#REF!</f>
        <v>#REF!</v>
      </c>
      <c r="D20" s="120" t="e">
        <f>#REF!</f>
        <v>#REF!</v>
      </c>
      <c r="E20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0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1" spans="1:6" s="115" customFormat="1" ht="30" customHeight="1">
      <c r="A21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1" s="120" t="e">
        <f>#REF!</f>
        <v>#REF!</v>
      </c>
      <c r="C21" s="238" t="e">
        <f>#REF!</f>
        <v>#REF!</v>
      </c>
      <c r="D21" s="120" t="e">
        <f>#REF!</f>
        <v>#REF!</v>
      </c>
      <c r="E21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1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2" spans="1:6" s="115" customFormat="1" ht="30" customHeight="1">
      <c r="A22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2" s="120" t="e">
        <f>#REF!</f>
        <v>#REF!</v>
      </c>
      <c r="C22" s="238" t="e">
        <f>#REF!</f>
        <v>#REF!</v>
      </c>
      <c r="D22" s="120" t="e">
        <f>#REF!</f>
        <v>#REF!</v>
      </c>
      <c r="E22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2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3" spans="1:6" s="115" customFormat="1" ht="30" customHeight="1">
      <c r="A23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3" s="120" t="e">
        <f>#REF!</f>
        <v>#REF!</v>
      </c>
      <c r="C23" s="238" t="e">
        <f>#REF!</f>
        <v>#REF!</v>
      </c>
      <c r="D23" s="120" t="e">
        <f>#REF!</f>
        <v>#REF!</v>
      </c>
      <c r="E23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3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4" spans="1:6" s="115" customFormat="1" ht="30" customHeight="1">
      <c r="A24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4" s="120" t="e">
        <f>#REF!</f>
        <v>#REF!</v>
      </c>
      <c r="C24" s="238" t="e">
        <f>#REF!</f>
        <v>#REF!</v>
      </c>
      <c r="D24" s="120" t="e">
        <f>#REF!</f>
        <v>#REF!</v>
      </c>
      <c r="E24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4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5" spans="1:6" s="115" customFormat="1" ht="30" customHeight="1">
      <c r="A25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5" s="120" t="e">
        <f>#REF!</f>
        <v>#REF!</v>
      </c>
      <c r="C25" s="238" t="e">
        <f>#REF!</f>
        <v>#REF!</v>
      </c>
      <c r="D25" s="120" t="e">
        <f>#REF!</f>
        <v>#REF!</v>
      </c>
      <c r="E25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5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6" spans="1:6" s="115" customFormat="1" ht="30" customHeight="1">
      <c r="A26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6" s="120" t="e">
        <f>#REF!</f>
        <v>#REF!</v>
      </c>
      <c r="C26" s="238" t="e">
        <f>#REF!</f>
        <v>#REF!</v>
      </c>
      <c r="D26" s="120" t="e">
        <f>#REF!</f>
        <v>#REF!</v>
      </c>
      <c r="E26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6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7" spans="1:6" s="115" customFormat="1" ht="30" customHeight="1">
      <c r="A27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7" s="120" t="e">
        <f>#REF!</f>
        <v>#REF!</v>
      </c>
      <c r="C27" s="238" t="e">
        <f>#REF!</f>
        <v>#REF!</v>
      </c>
      <c r="D27" s="120" t="e">
        <f>#REF!</f>
        <v>#REF!</v>
      </c>
      <c r="E27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7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8" spans="1:6" s="115" customFormat="1" ht="30" customHeight="1">
      <c r="A28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8" s="120" t="e">
        <f>#REF!</f>
        <v>#REF!</v>
      </c>
      <c r="C28" s="238" t="e">
        <f>#REF!</f>
        <v>#REF!</v>
      </c>
      <c r="D28" s="120" t="e">
        <f>#REF!</f>
        <v>#REF!</v>
      </c>
      <c r="E28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8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9" spans="1:6" s="115" customFormat="1" ht="30" customHeight="1">
      <c r="A29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9" s="120" t="e">
        <f>#REF!</f>
        <v>#REF!</v>
      </c>
      <c r="C29" s="238" t="e">
        <f>#REF!</f>
        <v>#REF!</v>
      </c>
      <c r="D29" s="120" t="e">
        <f>#REF!</f>
        <v>#REF!</v>
      </c>
      <c r="E29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9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30" spans="1:6" s="115" customFormat="1" ht="30" customHeight="1">
      <c r="A30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30" s="120" t="e">
        <f>#REF!</f>
        <v>#REF!</v>
      </c>
      <c r="C30" s="238" t="e">
        <f>#REF!</f>
        <v>#REF!</v>
      </c>
      <c r="D30" s="120" t="e">
        <f>#REF!</f>
        <v>#REF!</v>
      </c>
      <c r="E30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30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31" spans="1:6" s="115" customFormat="1" ht="30" customHeight="1">
      <c r="A31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31" s="120" t="e">
        <f>#REF!</f>
        <v>#REF!</v>
      </c>
      <c r="C31" s="238" t="e">
        <f>#REF!</f>
        <v>#REF!</v>
      </c>
      <c r="D31" s="120" t="e">
        <f>#REF!</f>
        <v>#REF!</v>
      </c>
      <c r="E31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31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32" spans="1:6" s="115" customFormat="1" ht="30" customHeight="1">
      <c r="A32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32" s="120" t="e">
        <f>#REF!</f>
        <v>#REF!</v>
      </c>
      <c r="C32" s="238" t="e">
        <f>#REF!</f>
        <v>#REF!</v>
      </c>
      <c r="D32" s="120" t="e">
        <f>#REF!</f>
        <v>#REF!</v>
      </c>
      <c r="E32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32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33" spans="1:6" s="115" customFormat="1" ht="30" customHeight="1">
      <c r="A33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33" s="120" t="e">
        <f>#REF!</f>
        <v>#REF!</v>
      </c>
      <c r="C33" s="238" t="e">
        <f>#REF!</f>
        <v>#REF!</v>
      </c>
      <c r="D33" s="120" t="e">
        <f>#REF!</f>
        <v>#REF!</v>
      </c>
      <c r="E33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33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34" spans="1:6" s="115" customFormat="1" ht="30" customHeight="1">
      <c r="A34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34" s="120" t="e">
        <f>#REF!</f>
        <v>#REF!</v>
      </c>
      <c r="C34" s="238" t="e">
        <f>#REF!</f>
        <v>#REF!</v>
      </c>
      <c r="D34" s="120" t="e">
        <f>#REF!</f>
        <v>#REF!</v>
      </c>
      <c r="E34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34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35" spans="1:6" s="115" customFormat="1" ht="30" customHeight="1">
      <c r="A35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35" s="120" t="e">
        <f>#REF!</f>
        <v>#REF!</v>
      </c>
      <c r="C35" s="238" t="e">
        <f>#REF!</f>
        <v>#REF!</v>
      </c>
      <c r="D35" s="120" t="e">
        <f>#REF!</f>
        <v>#REF!</v>
      </c>
      <c r="E35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35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36" spans="1:6" s="115" customFormat="1" ht="30" customHeight="1">
      <c r="A36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36" s="120" t="e">
        <f>#REF!</f>
        <v>#REF!</v>
      </c>
      <c r="C36" s="238" t="e">
        <f>#REF!</f>
        <v>#REF!</v>
      </c>
      <c r="D36" s="120" t="e">
        <f>#REF!</f>
        <v>#REF!</v>
      </c>
      <c r="E36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36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37" spans="1:6" s="115" customFormat="1" ht="30" customHeight="1">
      <c r="A37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37" s="120" t="e">
        <f>#REF!</f>
        <v>#REF!</v>
      </c>
      <c r="C37" s="238" t="e">
        <f>#REF!</f>
        <v>#REF!</v>
      </c>
      <c r="D37" s="120" t="e">
        <f>#REF!</f>
        <v>#REF!</v>
      </c>
      <c r="E37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37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38" spans="1:6" s="115" customFormat="1" ht="30" customHeight="1">
      <c r="A38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38" s="120" t="e">
        <f>#REF!</f>
        <v>#REF!</v>
      </c>
      <c r="C38" s="238" t="e">
        <f>#REF!</f>
        <v>#REF!</v>
      </c>
      <c r="D38" s="120" t="e">
        <f>#REF!</f>
        <v>#REF!</v>
      </c>
      <c r="E38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38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39" spans="1:6" s="115" customFormat="1" ht="30" customHeight="1">
      <c r="A39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39" s="120" t="e">
        <f>#REF!</f>
        <v>#REF!</v>
      </c>
      <c r="C39" s="238" t="e">
        <f>#REF!</f>
        <v>#REF!</v>
      </c>
      <c r="D39" s="120" t="e">
        <f>#REF!</f>
        <v>#REF!</v>
      </c>
      <c r="E39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39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40" spans="1:6" s="115" customFormat="1" ht="30" customHeight="1">
      <c r="A40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40" s="120" t="e">
        <f>#REF!</f>
        <v>#REF!</v>
      </c>
      <c r="C40" s="238" t="e">
        <f>#REF!</f>
        <v>#REF!</v>
      </c>
      <c r="D40" s="120" t="e">
        <f>#REF!</f>
        <v>#REF!</v>
      </c>
      <c r="E40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40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41" spans="1:6" s="115" customFormat="1" ht="30" customHeight="1">
      <c r="A41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41" s="120" t="e">
        <f>#REF!</f>
        <v>#REF!</v>
      </c>
      <c r="C41" s="238" t="e">
        <f>#REF!</f>
        <v>#REF!</v>
      </c>
      <c r="D41" s="120" t="e">
        <f>#REF!</f>
        <v>#REF!</v>
      </c>
      <c r="E41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41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42" spans="1:6" s="115" customFormat="1" ht="30" customHeight="1">
      <c r="A42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42" s="120" t="e">
        <f>#REF!</f>
        <v>#REF!</v>
      </c>
      <c r="C42" s="238" t="e">
        <f>#REF!</f>
        <v>#REF!</v>
      </c>
      <c r="D42" s="120" t="e">
        <f>#REF!</f>
        <v>#REF!</v>
      </c>
      <c r="E42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42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43" spans="1:6" s="115" customFormat="1" ht="30" customHeight="1">
      <c r="A43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43" s="120" t="e">
        <f>#REF!</f>
        <v>#REF!</v>
      </c>
      <c r="C43" s="238" t="e">
        <f>#REF!</f>
        <v>#REF!</v>
      </c>
      <c r="D43" s="120" t="e">
        <f>#REF!</f>
        <v>#REF!</v>
      </c>
      <c r="E43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43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44" spans="1:6" s="115" customFormat="1" ht="30" customHeight="1">
      <c r="A44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44" s="120" t="e">
        <f>#REF!</f>
        <v>#REF!</v>
      </c>
      <c r="C44" s="238" t="e">
        <f>#REF!</f>
        <v>#REF!</v>
      </c>
      <c r="D44" s="120" t="e">
        <f>#REF!</f>
        <v>#REF!</v>
      </c>
      <c r="E44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44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45" spans="1:6" s="115" customFormat="1" ht="30" customHeight="1">
      <c r="A45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45" s="120" t="e">
        <f>#REF!</f>
        <v>#REF!</v>
      </c>
      <c r="C45" s="238" t="e">
        <f>#REF!</f>
        <v>#REF!</v>
      </c>
      <c r="D45" s="120" t="e">
        <f>#REF!</f>
        <v>#REF!</v>
      </c>
      <c r="E45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45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46" spans="1:6" s="115" customFormat="1" ht="30" customHeight="1">
      <c r="A46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46" s="120" t="e">
        <f>#REF!</f>
        <v>#REF!</v>
      </c>
      <c r="C46" s="238" t="e">
        <f>#REF!</f>
        <v>#REF!</v>
      </c>
      <c r="D46" s="120" t="e">
        <f>#REF!</f>
        <v>#REF!</v>
      </c>
      <c r="E46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46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47" spans="1:6" s="115" customFormat="1" ht="30" customHeight="1">
      <c r="A47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47" s="120" t="e">
        <f>#REF!</f>
        <v>#REF!</v>
      </c>
      <c r="C47" s="238" t="e">
        <f>#REF!</f>
        <v>#REF!</v>
      </c>
      <c r="D47" s="120" t="e">
        <f>#REF!</f>
        <v>#REF!</v>
      </c>
      <c r="E47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47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48" spans="1:6" s="115" customFormat="1" ht="30" customHeight="1">
      <c r="A48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48" s="120" t="e">
        <f>#REF!</f>
        <v>#REF!</v>
      </c>
      <c r="C48" s="238" t="e">
        <f>#REF!</f>
        <v>#REF!</v>
      </c>
      <c r="D48" s="120" t="e">
        <f>#REF!</f>
        <v>#REF!</v>
      </c>
      <c r="E48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48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49" spans="1:6" s="115" customFormat="1" ht="30" customHeight="1">
      <c r="A49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49" s="120" t="e">
        <f>#REF!</f>
        <v>#REF!</v>
      </c>
      <c r="C49" s="238" t="e">
        <f>#REF!</f>
        <v>#REF!</v>
      </c>
      <c r="D49" s="120" t="e">
        <f>#REF!</f>
        <v>#REF!</v>
      </c>
      <c r="E49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49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50" spans="1:6" s="115" customFormat="1" ht="30" customHeight="1">
      <c r="A50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50" s="120" t="e">
        <f>#REF!</f>
        <v>#REF!</v>
      </c>
      <c r="C50" s="238" t="e">
        <f>#REF!</f>
        <v>#REF!</v>
      </c>
      <c r="D50" s="120" t="e">
        <f>#REF!</f>
        <v>#REF!</v>
      </c>
      <c r="E50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50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51" spans="1:6" s="115" customFormat="1" ht="30" customHeight="1">
      <c r="A51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51" s="120" t="e">
        <f>#REF!</f>
        <v>#REF!</v>
      </c>
      <c r="C51" s="238" t="e">
        <f>#REF!</f>
        <v>#REF!</v>
      </c>
      <c r="D51" s="120" t="e">
        <f>#REF!</f>
        <v>#REF!</v>
      </c>
      <c r="E51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51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52" spans="1:6" s="115" customFormat="1" ht="30" customHeight="1">
      <c r="A52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52" s="120" t="e">
        <f>#REF!</f>
        <v>#REF!</v>
      </c>
      <c r="C52" s="238" t="e">
        <f>#REF!</f>
        <v>#REF!</v>
      </c>
      <c r="D52" s="120" t="e">
        <f>#REF!</f>
        <v>#REF!</v>
      </c>
      <c r="E52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52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53" spans="1:6" s="115" customFormat="1" ht="30" customHeight="1">
      <c r="A53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53" s="120" t="e">
        <f>#REF!</f>
        <v>#REF!</v>
      </c>
      <c r="C53" s="238" t="e">
        <f>#REF!</f>
        <v>#REF!</v>
      </c>
      <c r="D53" s="120" t="e">
        <f>#REF!</f>
        <v>#REF!</v>
      </c>
      <c r="E53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53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54" spans="1:6" s="115" customFormat="1" ht="30" customHeight="1">
      <c r="A54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54" s="120" t="e">
        <f>#REF!</f>
        <v>#REF!</v>
      </c>
      <c r="C54" s="238" t="e">
        <f>#REF!</f>
        <v>#REF!</v>
      </c>
      <c r="D54" s="120" t="e">
        <f>#REF!</f>
        <v>#REF!</v>
      </c>
      <c r="E54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54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55" spans="1:6" s="115" customFormat="1" ht="30" customHeight="1">
      <c r="A55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55" s="120" t="e">
        <f>#REF!</f>
        <v>#REF!</v>
      </c>
      <c r="C55" s="238" t="e">
        <f>#REF!</f>
        <v>#REF!</v>
      </c>
      <c r="D55" s="120" t="e">
        <f>#REF!</f>
        <v>#REF!</v>
      </c>
      <c r="E55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55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56" spans="1:6" s="115" customFormat="1" ht="30" customHeight="1">
      <c r="A56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56" s="120" t="e">
        <f>#REF!</f>
        <v>#REF!</v>
      </c>
      <c r="C56" s="238" t="e">
        <f>#REF!</f>
        <v>#REF!</v>
      </c>
      <c r="D56" s="120" t="e">
        <f>#REF!</f>
        <v>#REF!</v>
      </c>
      <c r="E56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56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57" spans="1:6" s="115" customFormat="1" ht="30" customHeight="1">
      <c r="A57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57" s="120" t="e">
        <f>#REF!</f>
        <v>#REF!</v>
      </c>
      <c r="C57" s="238" t="e">
        <f>#REF!</f>
        <v>#REF!</v>
      </c>
      <c r="D57" s="120" t="e">
        <f>#REF!</f>
        <v>#REF!</v>
      </c>
      <c r="E57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57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58" spans="1:6" s="115" customFormat="1" ht="30" customHeight="1">
      <c r="A58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58" s="120" t="e">
        <f>#REF!</f>
        <v>#REF!</v>
      </c>
      <c r="C58" s="238" t="e">
        <f>#REF!</f>
        <v>#REF!</v>
      </c>
      <c r="D58" s="120" t="e">
        <f>#REF!</f>
        <v>#REF!</v>
      </c>
      <c r="E58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58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59" spans="1:6" s="115" customFormat="1" ht="30" customHeight="1">
      <c r="A59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59" s="120" t="e">
        <f>#REF!</f>
        <v>#REF!</v>
      </c>
      <c r="C59" s="238" t="e">
        <f>#REF!</f>
        <v>#REF!</v>
      </c>
      <c r="D59" s="120" t="e">
        <f>#REF!</f>
        <v>#REF!</v>
      </c>
      <c r="E59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59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60" spans="1:6" s="115" customFormat="1" ht="30" customHeight="1">
      <c r="A60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60" s="120" t="e">
        <f>#REF!</f>
        <v>#REF!</v>
      </c>
      <c r="C60" s="238" t="e">
        <f>#REF!</f>
        <v>#REF!</v>
      </c>
      <c r="D60" s="120" t="e">
        <f>#REF!</f>
        <v>#REF!</v>
      </c>
      <c r="E60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60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61" spans="1:6" s="115" customFormat="1" ht="30" customHeight="1">
      <c r="A61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61" s="120" t="e">
        <f>#REF!</f>
        <v>#REF!</v>
      </c>
      <c r="C61" s="238" t="e">
        <f>#REF!</f>
        <v>#REF!</v>
      </c>
      <c r="D61" s="120" t="e">
        <f>#REF!</f>
        <v>#REF!</v>
      </c>
      <c r="E61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61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62" spans="1:6" s="115" customFormat="1" ht="30" customHeight="1">
      <c r="A62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62" s="120" t="e">
        <f>#REF!</f>
        <v>#REF!</v>
      </c>
      <c r="C62" s="238" t="e">
        <f>#REF!</f>
        <v>#REF!</v>
      </c>
      <c r="D62" s="120" t="e">
        <f>#REF!</f>
        <v>#REF!</v>
      </c>
      <c r="E62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62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63" spans="1:6" s="115" customFormat="1" ht="30" customHeight="1">
      <c r="A63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63" s="120" t="e">
        <f>#REF!</f>
        <v>#REF!</v>
      </c>
      <c r="C63" s="238" t="e">
        <f>#REF!</f>
        <v>#REF!</v>
      </c>
      <c r="D63" s="120" t="e">
        <f>#REF!</f>
        <v>#REF!</v>
      </c>
      <c r="E63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63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64" spans="1:6" s="115" customFormat="1" ht="30" customHeight="1">
      <c r="A64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64" s="120" t="e">
        <f>#REF!</f>
        <v>#REF!</v>
      </c>
      <c r="C64" s="238" t="e">
        <f>#REF!</f>
        <v>#REF!</v>
      </c>
      <c r="D64" s="120" t="e">
        <f>#REF!</f>
        <v>#REF!</v>
      </c>
      <c r="E64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64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65" spans="1:6" s="115" customFormat="1" ht="30" customHeight="1">
      <c r="A65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65" s="120" t="e">
        <f>#REF!</f>
        <v>#REF!</v>
      </c>
      <c r="C65" s="238" t="e">
        <f>#REF!</f>
        <v>#REF!</v>
      </c>
      <c r="D65" s="120" t="e">
        <f>#REF!</f>
        <v>#REF!</v>
      </c>
      <c r="E65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65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66" spans="1:6" s="115" customFormat="1" ht="30" customHeight="1">
      <c r="A66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66" s="120" t="e">
        <f>#REF!</f>
        <v>#REF!</v>
      </c>
      <c r="C66" s="238" t="e">
        <f>#REF!</f>
        <v>#REF!</v>
      </c>
      <c r="D66" s="120" t="e">
        <f>#REF!</f>
        <v>#REF!</v>
      </c>
      <c r="E66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66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67" spans="1:6" s="115" customFormat="1" ht="30" customHeight="1">
      <c r="A67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67" s="120" t="e">
        <f>#REF!</f>
        <v>#REF!</v>
      </c>
      <c r="C67" s="238" t="e">
        <f>#REF!</f>
        <v>#REF!</v>
      </c>
      <c r="D67" s="120" t="e">
        <f>#REF!</f>
        <v>#REF!</v>
      </c>
      <c r="E67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67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68" spans="1:6" s="115" customFormat="1" ht="30" customHeight="1">
      <c r="A68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68" s="120" t="e">
        <f>#REF!</f>
        <v>#REF!</v>
      </c>
      <c r="C68" s="238" t="e">
        <f>#REF!</f>
        <v>#REF!</v>
      </c>
      <c r="D68" s="120" t="e">
        <f>#REF!</f>
        <v>#REF!</v>
      </c>
      <c r="E68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68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69" spans="1:6" s="115" customFormat="1" ht="30" customHeight="1">
      <c r="A69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69" s="120" t="e">
        <f>#REF!</f>
        <v>#REF!</v>
      </c>
      <c r="C69" s="238" t="e">
        <f>#REF!</f>
        <v>#REF!</v>
      </c>
      <c r="D69" s="120" t="e">
        <f>#REF!</f>
        <v>#REF!</v>
      </c>
      <c r="E69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69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70" spans="1:6" s="115" customFormat="1" ht="30" customHeight="1">
      <c r="A70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70" s="120" t="e">
        <f>#REF!</f>
        <v>#REF!</v>
      </c>
      <c r="C70" s="238" t="e">
        <f>#REF!</f>
        <v>#REF!</v>
      </c>
      <c r="D70" s="120" t="e">
        <f>#REF!</f>
        <v>#REF!</v>
      </c>
      <c r="E70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70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71" spans="1:6" s="115" customFormat="1" ht="30" customHeight="1">
      <c r="A71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71" s="120" t="e">
        <f>#REF!</f>
        <v>#REF!</v>
      </c>
      <c r="C71" s="238" t="e">
        <f>#REF!</f>
        <v>#REF!</v>
      </c>
      <c r="D71" s="120" t="e">
        <f>#REF!</f>
        <v>#REF!</v>
      </c>
      <c r="E71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71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72" spans="1:6" s="115" customFormat="1" ht="30" customHeight="1">
      <c r="A72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72" s="120" t="e">
        <f>#REF!</f>
        <v>#REF!</v>
      </c>
      <c r="C72" s="238" t="e">
        <f>#REF!</f>
        <v>#REF!</v>
      </c>
      <c r="D72" s="120" t="e">
        <f>#REF!</f>
        <v>#REF!</v>
      </c>
      <c r="E72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72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73" spans="1:6" s="115" customFormat="1" ht="30" customHeight="1">
      <c r="A73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73" s="120" t="e">
        <f>#REF!</f>
        <v>#REF!</v>
      </c>
      <c r="C73" s="238" t="e">
        <f>#REF!</f>
        <v>#REF!</v>
      </c>
      <c r="D73" s="120" t="e">
        <f>#REF!</f>
        <v>#REF!</v>
      </c>
      <c r="E73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73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74" spans="1:6" s="115" customFormat="1" ht="30" customHeight="1">
      <c r="A74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74" s="120" t="e">
        <f>#REF!</f>
        <v>#REF!</v>
      </c>
      <c r="C74" s="238" t="e">
        <f>#REF!</f>
        <v>#REF!</v>
      </c>
      <c r="D74" s="120" t="e">
        <f>#REF!</f>
        <v>#REF!</v>
      </c>
      <c r="E74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74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75" spans="1:6" s="115" customFormat="1" ht="30" customHeight="1">
      <c r="A75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75" s="120" t="e">
        <f>#REF!</f>
        <v>#REF!</v>
      </c>
      <c r="C75" s="238" t="e">
        <f>#REF!</f>
        <v>#REF!</v>
      </c>
      <c r="D75" s="120" t="e">
        <f>#REF!</f>
        <v>#REF!</v>
      </c>
      <c r="E75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75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76" spans="1:6" s="115" customFormat="1" ht="30" customHeight="1">
      <c r="A76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76" s="120" t="e">
        <f>#REF!</f>
        <v>#REF!</v>
      </c>
      <c r="C76" s="238" t="e">
        <f>#REF!</f>
        <v>#REF!</v>
      </c>
      <c r="D76" s="120" t="e">
        <f>#REF!</f>
        <v>#REF!</v>
      </c>
      <c r="E76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76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77" spans="1:6" s="115" customFormat="1" ht="30" customHeight="1">
      <c r="A77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77" s="120" t="e">
        <f>#REF!</f>
        <v>#REF!</v>
      </c>
      <c r="C77" s="238" t="e">
        <f>#REF!</f>
        <v>#REF!</v>
      </c>
      <c r="D77" s="120" t="e">
        <f>#REF!</f>
        <v>#REF!</v>
      </c>
      <c r="E77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77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78" spans="1:6" s="115" customFormat="1" ht="30" customHeight="1">
      <c r="A78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78" s="120" t="e">
        <f>#REF!</f>
        <v>#REF!</v>
      </c>
      <c r="C78" s="238" t="e">
        <f>#REF!</f>
        <v>#REF!</v>
      </c>
      <c r="D78" s="120" t="e">
        <f>#REF!</f>
        <v>#REF!</v>
      </c>
      <c r="E78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78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79" spans="1:6" s="115" customFormat="1" ht="30" customHeight="1">
      <c r="A79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79" s="120" t="e">
        <f>#REF!</f>
        <v>#REF!</v>
      </c>
      <c r="C79" s="238" t="e">
        <f>#REF!</f>
        <v>#REF!</v>
      </c>
      <c r="D79" s="120" t="e">
        <f>#REF!</f>
        <v>#REF!</v>
      </c>
      <c r="E79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79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80" spans="1:6" s="115" customFormat="1" ht="30" customHeight="1">
      <c r="A80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80" s="120" t="e">
        <f>#REF!</f>
        <v>#REF!</v>
      </c>
      <c r="C80" s="238" t="e">
        <f>#REF!</f>
        <v>#REF!</v>
      </c>
      <c r="D80" s="120" t="e">
        <f>#REF!</f>
        <v>#REF!</v>
      </c>
      <c r="E80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80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81" spans="1:6" s="115" customFormat="1" ht="30" customHeight="1">
      <c r="A81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81" s="120" t="e">
        <f>#REF!</f>
        <v>#REF!</v>
      </c>
      <c r="C81" s="238" t="e">
        <f>#REF!</f>
        <v>#REF!</v>
      </c>
      <c r="D81" s="120" t="e">
        <f>#REF!</f>
        <v>#REF!</v>
      </c>
      <c r="E81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81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82" spans="1:6" s="115" customFormat="1" ht="30" customHeight="1">
      <c r="A82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82" s="120" t="e">
        <f>#REF!</f>
        <v>#REF!</v>
      </c>
      <c r="C82" s="238" t="e">
        <f>#REF!</f>
        <v>#REF!</v>
      </c>
      <c r="D82" s="120" t="e">
        <f>#REF!</f>
        <v>#REF!</v>
      </c>
      <c r="E82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82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83" spans="1:6" s="115" customFormat="1" ht="30" customHeight="1">
      <c r="A83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83" s="120" t="e">
        <f>#REF!</f>
        <v>#REF!</v>
      </c>
      <c r="C83" s="238" t="e">
        <f>#REF!</f>
        <v>#REF!</v>
      </c>
      <c r="D83" s="120" t="e">
        <f>#REF!</f>
        <v>#REF!</v>
      </c>
      <c r="E83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83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84" spans="1:6" s="115" customFormat="1" ht="30" customHeight="1">
      <c r="A84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84" s="120" t="e">
        <f>#REF!</f>
        <v>#REF!</v>
      </c>
      <c r="C84" s="238" t="e">
        <f>#REF!</f>
        <v>#REF!</v>
      </c>
      <c r="D84" s="120" t="e">
        <f>#REF!</f>
        <v>#REF!</v>
      </c>
      <c r="E84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84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85" spans="1:6" s="115" customFormat="1" ht="30" customHeight="1">
      <c r="A85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85" s="120" t="e">
        <f>#REF!</f>
        <v>#REF!</v>
      </c>
      <c r="C85" s="238" t="e">
        <f>#REF!</f>
        <v>#REF!</v>
      </c>
      <c r="D85" s="120" t="e">
        <f>#REF!</f>
        <v>#REF!</v>
      </c>
      <c r="E85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85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86" spans="1:6" s="115" customFormat="1" ht="30" customHeight="1">
      <c r="A86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86" s="120" t="e">
        <f>#REF!</f>
        <v>#REF!</v>
      </c>
      <c r="C86" s="238" t="e">
        <f>#REF!</f>
        <v>#REF!</v>
      </c>
      <c r="D86" s="120" t="e">
        <f>#REF!</f>
        <v>#REF!</v>
      </c>
      <c r="E86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86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87" spans="1:6" s="115" customFormat="1" ht="30" customHeight="1">
      <c r="A87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87" s="120" t="e">
        <f>#REF!</f>
        <v>#REF!</v>
      </c>
      <c r="C87" s="238" t="e">
        <f>#REF!</f>
        <v>#REF!</v>
      </c>
      <c r="D87" s="120" t="e">
        <f>#REF!</f>
        <v>#REF!</v>
      </c>
      <c r="E87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87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88" spans="1:6" s="115" customFormat="1" ht="30" customHeight="1">
      <c r="A88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88" s="120" t="e">
        <f>#REF!</f>
        <v>#REF!</v>
      </c>
      <c r="C88" s="238" t="e">
        <f>#REF!</f>
        <v>#REF!</v>
      </c>
      <c r="D88" s="120" t="e">
        <f>#REF!</f>
        <v>#REF!</v>
      </c>
      <c r="E88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88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89" spans="1:6" s="115" customFormat="1" ht="30" customHeight="1">
      <c r="A89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89" s="120" t="e">
        <f>#REF!</f>
        <v>#REF!</v>
      </c>
      <c r="C89" s="238" t="e">
        <f>#REF!</f>
        <v>#REF!</v>
      </c>
      <c r="D89" s="120" t="e">
        <f>#REF!</f>
        <v>#REF!</v>
      </c>
      <c r="E89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89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90" spans="1:6" s="115" customFormat="1" ht="30" customHeight="1">
      <c r="A90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90" s="120" t="e">
        <f>#REF!</f>
        <v>#REF!</v>
      </c>
      <c r="C90" s="238" t="e">
        <f>#REF!</f>
        <v>#REF!</v>
      </c>
      <c r="D90" s="120" t="e">
        <f>#REF!</f>
        <v>#REF!</v>
      </c>
      <c r="E90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90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91" spans="1:6" s="115" customFormat="1" ht="30" customHeight="1">
      <c r="A91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91" s="120" t="e">
        <f>#REF!</f>
        <v>#REF!</v>
      </c>
      <c r="C91" s="238" t="e">
        <f>#REF!</f>
        <v>#REF!</v>
      </c>
      <c r="D91" s="120" t="e">
        <f>#REF!</f>
        <v>#REF!</v>
      </c>
      <c r="E91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91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92" spans="1:6" s="115" customFormat="1" ht="30" customHeight="1">
      <c r="A92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92" s="120" t="e">
        <f>#REF!</f>
        <v>#REF!</v>
      </c>
      <c r="C92" s="238" t="e">
        <f>#REF!</f>
        <v>#REF!</v>
      </c>
      <c r="D92" s="120" t="e">
        <f>#REF!</f>
        <v>#REF!</v>
      </c>
      <c r="E92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92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93" spans="1:6" s="115" customFormat="1" ht="30" customHeight="1">
      <c r="A93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93" s="120" t="e">
        <f>#REF!</f>
        <v>#REF!</v>
      </c>
      <c r="C93" s="238" t="e">
        <f>#REF!</f>
        <v>#REF!</v>
      </c>
      <c r="D93" s="120" t="e">
        <f>#REF!</f>
        <v>#REF!</v>
      </c>
      <c r="E93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93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94" spans="1:6" s="115" customFormat="1" ht="30" customHeight="1">
      <c r="A94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94" s="120" t="e">
        <f>#REF!</f>
        <v>#REF!</v>
      </c>
      <c r="C94" s="238" t="e">
        <f>#REF!</f>
        <v>#REF!</v>
      </c>
      <c r="D94" s="120" t="e">
        <f>#REF!</f>
        <v>#REF!</v>
      </c>
      <c r="E94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94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95" spans="1:6" s="115" customFormat="1" ht="30" customHeight="1">
      <c r="A95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95" s="120" t="e">
        <f>#REF!</f>
        <v>#REF!</v>
      </c>
      <c r="C95" s="238" t="e">
        <f>#REF!</f>
        <v>#REF!</v>
      </c>
      <c r="D95" s="120" t="e">
        <f>#REF!</f>
        <v>#REF!</v>
      </c>
      <c r="E95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95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96" spans="1:6" s="115" customFormat="1" ht="30" customHeight="1">
      <c r="A96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96" s="120" t="e">
        <f>#REF!</f>
        <v>#REF!</v>
      </c>
      <c r="C96" s="238" t="e">
        <f>#REF!</f>
        <v>#REF!</v>
      </c>
      <c r="D96" s="120" t="e">
        <f>#REF!</f>
        <v>#REF!</v>
      </c>
      <c r="E96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96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97" spans="1:6" s="115" customFormat="1" ht="30" customHeight="1">
      <c r="A97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97" s="120" t="e">
        <f>#REF!</f>
        <v>#REF!</v>
      </c>
      <c r="C97" s="238" t="e">
        <f>#REF!</f>
        <v>#REF!</v>
      </c>
      <c r="D97" s="120" t="e">
        <f>#REF!</f>
        <v>#REF!</v>
      </c>
      <c r="E97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97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98" spans="1:6" s="115" customFormat="1" ht="30" customHeight="1">
      <c r="A98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98" s="120" t="e">
        <f>#REF!</f>
        <v>#REF!</v>
      </c>
      <c r="C98" s="238" t="e">
        <f>#REF!</f>
        <v>#REF!</v>
      </c>
      <c r="D98" s="120" t="e">
        <f>#REF!</f>
        <v>#REF!</v>
      </c>
      <c r="E98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98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99" spans="1:6" s="115" customFormat="1" ht="30" customHeight="1">
      <c r="A99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99" s="120" t="e">
        <f>#REF!</f>
        <v>#REF!</v>
      </c>
      <c r="C99" s="238" t="e">
        <f>#REF!</f>
        <v>#REF!</v>
      </c>
      <c r="D99" s="120" t="e">
        <f>#REF!</f>
        <v>#REF!</v>
      </c>
      <c r="E99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99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00" spans="1:6" s="115" customFormat="1" ht="30" customHeight="1">
      <c r="A100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00" s="120" t="e">
        <f>#REF!</f>
        <v>#REF!</v>
      </c>
      <c r="C100" s="238" t="e">
        <f>#REF!</f>
        <v>#REF!</v>
      </c>
      <c r="D100" s="120" t="e">
        <f>#REF!</f>
        <v>#REF!</v>
      </c>
      <c r="E100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00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01" spans="1:6" s="115" customFormat="1" ht="30" customHeight="1">
      <c r="A101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01" s="120" t="e">
        <f>#REF!</f>
        <v>#REF!</v>
      </c>
      <c r="C101" s="238" t="e">
        <f>#REF!</f>
        <v>#REF!</v>
      </c>
      <c r="D101" s="120" t="e">
        <f>#REF!</f>
        <v>#REF!</v>
      </c>
      <c r="E101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01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02" spans="1:6" s="115" customFormat="1" ht="30" customHeight="1">
      <c r="A102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02" s="120" t="e">
        <f>#REF!</f>
        <v>#REF!</v>
      </c>
      <c r="C102" s="238" t="e">
        <f>#REF!</f>
        <v>#REF!</v>
      </c>
      <c r="D102" s="120" t="e">
        <f>#REF!</f>
        <v>#REF!</v>
      </c>
      <c r="E102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02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03" spans="1:6" s="115" customFormat="1" ht="30" customHeight="1">
      <c r="A103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03" s="120" t="e">
        <f>#REF!</f>
        <v>#REF!</v>
      </c>
      <c r="C103" s="238" t="e">
        <f>#REF!</f>
        <v>#REF!</v>
      </c>
      <c r="D103" s="120" t="e">
        <f>#REF!</f>
        <v>#REF!</v>
      </c>
      <c r="E103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03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04" spans="1:6" s="115" customFormat="1" ht="30" customHeight="1">
      <c r="A104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04" s="120" t="e">
        <f>#REF!</f>
        <v>#REF!</v>
      </c>
      <c r="C104" s="238" t="e">
        <f>#REF!</f>
        <v>#REF!</v>
      </c>
      <c r="D104" s="120" t="e">
        <f>#REF!</f>
        <v>#REF!</v>
      </c>
      <c r="E104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04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05" spans="1:6" s="115" customFormat="1" ht="30" customHeight="1">
      <c r="A105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05" s="120" t="e">
        <f>#REF!</f>
        <v>#REF!</v>
      </c>
      <c r="C105" s="238" t="e">
        <f>#REF!</f>
        <v>#REF!</v>
      </c>
      <c r="D105" s="120" t="e">
        <f>#REF!</f>
        <v>#REF!</v>
      </c>
      <c r="E105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05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06" spans="1:6" s="115" customFormat="1" ht="30" customHeight="1">
      <c r="A106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06" s="120" t="e">
        <f>#REF!</f>
        <v>#REF!</v>
      </c>
      <c r="C106" s="238" t="e">
        <f>#REF!</f>
        <v>#REF!</v>
      </c>
      <c r="D106" s="120" t="e">
        <f>#REF!</f>
        <v>#REF!</v>
      </c>
      <c r="E106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06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07" spans="1:6" s="115" customFormat="1" ht="30" customHeight="1">
      <c r="A107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07" s="120" t="e">
        <f>#REF!</f>
        <v>#REF!</v>
      </c>
      <c r="C107" s="238" t="e">
        <f>#REF!</f>
        <v>#REF!</v>
      </c>
      <c r="D107" s="120" t="e">
        <f>#REF!</f>
        <v>#REF!</v>
      </c>
      <c r="E107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07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08" spans="1:6" s="115" customFormat="1" ht="30" customHeight="1">
      <c r="A108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08" s="120" t="e">
        <f>#REF!</f>
        <v>#REF!</v>
      </c>
      <c r="C108" s="238" t="e">
        <f>#REF!</f>
        <v>#REF!</v>
      </c>
      <c r="D108" s="120" t="e">
        <f>#REF!</f>
        <v>#REF!</v>
      </c>
      <c r="E108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08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09" spans="1:6" s="115" customFormat="1" ht="30" customHeight="1">
      <c r="A109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09" s="120" t="e">
        <f>#REF!</f>
        <v>#REF!</v>
      </c>
      <c r="C109" s="238" t="e">
        <f>#REF!</f>
        <v>#REF!</v>
      </c>
      <c r="D109" s="120" t="e">
        <f>#REF!</f>
        <v>#REF!</v>
      </c>
      <c r="E109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09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10" spans="1:6" s="115" customFormat="1" ht="30" customHeight="1">
      <c r="A110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10" s="120" t="e">
        <f>#REF!</f>
        <v>#REF!</v>
      </c>
      <c r="C110" s="238" t="e">
        <f>#REF!</f>
        <v>#REF!</v>
      </c>
      <c r="D110" s="120" t="e">
        <f>#REF!</f>
        <v>#REF!</v>
      </c>
      <c r="E110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10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11" spans="1:6" s="115" customFormat="1" ht="30" customHeight="1">
      <c r="A111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11" s="120" t="e">
        <f>#REF!</f>
        <v>#REF!</v>
      </c>
      <c r="C111" s="238" t="e">
        <f>#REF!</f>
        <v>#REF!</v>
      </c>
      <c r="D111" s="120" t="e">
        <f>#REF!</f>
        <v>#REF!</v>
      </c>
      <c r="E111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11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12" spans="1:6" s="115" customFormat="1" ht="30" customHeight="1">
      <c r="A112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12" s="120" t="e">
        <f>#REF!</f>
        <v>#REF!</v>
      </c>
      <c r="C112" s="238" t="e">
        <f>#REF!</f>
        <v>#REF!</v>
      </c>
      <c r="D112" s="120" t="e">
        <f>#REF!</f>
        <v>#REF!</v>
      </c>
      <c r="E112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12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13" spans="1:6" s="115" customFormat="1" ht="30" customHeight="1">
      <c r="A113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13" s="120" t="e">
        <f>#REF!</f>
        <v>#REF!</v>
      </c>
      <c r="C113" s="238" t="e">
        <f>#REF!</f>
        <v>#REF!</v>
      </c>
      <c r="D113" s="120" t="e">
        <f>#REF!</f>
        <v>#REF!</v>
      </c>
      <c r="E113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13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14" spans="1:6" s="115" customFormat="1" ht="30" customHeight="1">
      <c r="A114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14" s="120" t="e">
        <f>#REF!</f>
        <v>#REF!</v>
      </c>
      <c r="C114" s="238" t="e">
        <f>#REF!</f>
        <v>#REF!</v>
      </c>
      <c r="D114" s="120" t="e">
        <f>#REF!</f>
        <v>#REF!</v>
      </c>
      <c r="E114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14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15" spans="1:6" s="115" customFormat="1" ht="30" customHeight="1">
      <c r="A115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15" s="120" t="e">
        <f>#REF!</f>
        <v>#REF!</v>
      </c>
      <c r="C115" s="238" t="e">
        <f>#REF!</f>
        <v>#REF!</v>
      </c>
      <c r="D115" s="120" t="e">
        <f>#REF!</f>
        <v>#REF!</v>
      </c>
      <c r="E115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15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16" spans="1:6" s="115" customFormat="1" ht="30" customHeight="1">
      <c r="A116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16" s="120" t="e">
        <f>#REF!</f>
        <v>#REF!</v>
      </c>
      <c r="C116" s="238" t="e">
        <f>#REF!</f>
        <v>#REF!</v>
      </c>
      <c r="D116" s="120" t="e">
        <f>#REF!</f>
        <v>#REF!</v>
      </c>
      <c r="E116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16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17" spans="1:6" s="115" customFormat="1" ht="30" customHeight="1">
      <c r="A117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17" s="120" t="e">
        <f>#REF!</f>
        <v>#REF!</v>
      </c>
      <c r="C117" s="238" t="e">
        <f>#REF!</f>
        <v>#REF!</v>
      </c>
      <c r="D117" s="120" t="e">
        <f>#REF!</f>
        <v>#REF!</v>
      </c>
      <c r="E117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17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18" spans="1:6" s="115" customFormat="1" ht="30" customHeight="1">
      <c r="A118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18" s="120" t="e">
        <f>#REF!</f>
        <v>#REF!</v>
      </c>
      <c r="C118" s="238" t="e">
        <f>#REF!</f>
        <v>#REF!</v>
      </c>
      <c r="D118" s="120" t="e">
        <f>#REF!</f>
        <v>#REF!</v>
      </c>
      <c r="E118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18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19" spans="1:6" s="115" customFormat="1" ht="30" customHeight="1">
      <c r="A119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19" s="120" t="e">
        <f>#REF!</f>
        <v>#REF!</v>
      </c>
      <c r="C119" s="238" t="e">
        <f>#REF!</f>
        <v>#REF!</v>
      </c>
      <c r="D119" s="120" t="e">
        <f>#REF!</f>
        <v>#REF!</v>
      </c>
      <c r="E119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19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20" spans="1:6" s="115" customFormat="1" ht="30" customHeight="1">
      <c r="A120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20" s="120" t="e">
        <f>#REF!</f>
        <v>#REF!</v>
      </c>
      <c r="C120" s="238" t="e">
        <f>#REF!</f>
        <v>#REF!</v>
      </c>
      <c r="D120" s="120" t="e">
        <f>#REF!</f>
        <v>#REF!</v>
      </c>
      <c r="E120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20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21" spans="1:6" s="115" customFormat="1" ht="30" customHeight="1">
      <c r="A121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21" s="120" t="e">
        <f>#REF!</f>
        <v>#REF!</v>
      </c>
      <c r="C121" s="238" t="e">
        <f>#REF!</f>
        <v>#REF!</v>
      </c>
      <c r="D121" s="120" t="e">
        <f>#REF!</f>
        <v>#REF!</v>
      </c>
      <c r="E121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21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22" spans="1:6" s="115" customFormat="1" ht="30" customHeight="1">
      <c r="A122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22" s="120" t="e">
        <f>#REF!</f>
        <v>#REF!</v>
      </c>
      <c r="C122" s="238" t="e">
        <f>#REF!</f>
        <v>#REF!</v>
      </c>
      <c r="D122" s="120" t="e">
        <f>#REF!</f>
        <v>#REF!</v>
      </c>
      <c r="E122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22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23" spans="1:6" s="115" customFormat="1" ht="30" customHeight="1">
      <c r="A123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23" s="120" t="e">
        <f>#REF!</f>
        <v>#REF!</v>
      </c>
      <c r="C123" s="238" t="e">
        <f>#REF!</f>
        <v>#REF!</v>
      </c>
      <c r="D123" s="120" t="e">
        <f>#REF!</f>
        <v>#REF!</v>
      </c>
      <c r="E123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23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24" spans="1:6" s="115" customFormat="1" ht="30" customHeight="1">
      <c r="A124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24" s="120" t="e">
        <f>#REF!</f>
        <v>#REF!</v>
      </c>
      <c r="C124" s="238" t="e">
        <f>#REF!</f>
        <v>#REF!</v>
      </c>
      <c r="D124" s="120" t="e">
        <f>#REF!</f>
        <v>#REF!</v>
      </c>
      <c r="E124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24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25" spans="1:6" s="115" customFormat="1" ht="30" customHeight="1">
      <c r="A125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25" s="120" t="e">
        <f>#REF!</f>
        <v>#REF!</v>
      </c>
      <c r="C125" s="238" t="e">
        <f>#REF!</f>
        <v>#REF!</v>
      </c>
      <c r="D125" s="120" t="e">
        <f>#REF!</f>
        <v>#REF!</v>
      </c>
      <c r="E125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25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26" spans="1:6" s="115" customFormat="1" ht="30" customHeight="1">
      <c r="A126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26" s="120" t="e">
        <f>#REF!</f>
        <v>#REF!</v>
      </c>
      <c r="C126" s="238" t="e">
        <f>#REF!</f>
        <v>#REF!</v>
      </c>
      <c r="D126" s="120" t="e">
        <f>#REF!</f>
        <v>#REF!</v>
      </c>
      <c r="E126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26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27" spans="1:6" s="115" customFormat="1" ht="30" customHeight="1">
      <c r="A127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27" s="120" t="e">
        <f>#REF!</f>
        <v>#REF!</v>
      </c>
      <c r="C127" s="238" t="e">
        <f>#REF!</f>
        <v>#REF!</v>
      </c>
      <c r="D127" s="120" t="e">
        <f>#REF!</f>
        <v>#REF!</v>
      </c>
      <c r="E127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27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28" spans="1:6" s="115" customFormat="1" ht="30" customHeight="1">
      <c r="A128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28" s="120" t="e">
        <f>#REF!</f>
        <v>#REF!</v>
      </c>
      <c r="C128" s="238" t="e">
        <f>#REF!</f>
        <v>#REF!</v>
      </c>
      <c r="D128" s="120" t="e">
        <f>#REF!</f>
        <v>#REF!</v>
      </c>
      <c r="E128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28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29" spans="1:6" s="115" customFormat="1" ht="30" customHeight="1">
      <c r="A129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29" s="120" t="e">
        <f>#REF!</f>
        <v>#REF!</v>
      </c>
      <c r="C129" s="238" t="e">
        <f>#REF!</f>
        <v>#REF!</v>
      </c>
      <c r="D129" s="120" t="e">
        <f>#REF!</f>
        <v>#REF!</v>
      </c>
      <c r="E129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29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30" spans="1:6" s="115" customFormat="1" ht="30" customHeight="1">
      <c r="A130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30" s="120" t="e">
        <f>#REF!</f>
        <v>#REF!</v>
      </c>
      <c r="C130" s="238" t="e">
        <f>#REF!</f>
        <v>#REF!</v>
      </c>
      <c r="D130" s="120" t="e">
        <f>#REF!</f>
        <v>#REF!</v>
      </c>
      <c r="E130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30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31" spans="1:6" s="115" customFormat="1" ht="30" customHeight="1">
      <c r="A131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31" s="120" t="e">
        <f>#REF!</f>
        <v>#REF!</v>
      </c>
      <c r="C131" s="238" t="e">
        <f>#REF!</f>
        <v>#REF!</v>
      </c>
      <c r="D131" s="120" t="e">
        <f>#REF!</f>
        <v>#REF!</v>
      </c>
      <c r="E131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31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32" spans="1:6" s="115" customFormat="1" ht="30" customHeight="1">
      <c r="A132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32" s="120" t="e">
        <f>#REF!</f>
        <v>#REF!</v>
      </c>
      <c r="C132" s="238" t="e">
        <f>#REF!</f>
        <v>#REF!</v>
      </c>
      <c r="D132" s="120" t="e">
        <f>#REF!</f>
        <v>#REF!</v>
      </c>
      <c r="E132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32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33" spans="1:6" s="115" customFormat="1" ht="30" customHeight="1">
      <c r="A133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33" s="120" t="e">
        <f>#REF!</f>
        <v>#REF!</v>
      </c>
      <c r="C133" s="238" t="e">
        <f>#REF!</f>
        <v>#REF!</v>
      </c>
      <c r="D133" s="120" t="e">
        <f>#REF!</f>
        <v>#REF!</v>
      </c>
      <c r="E133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33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34" spans="1:6" s="115" customFormat="1" ht="30" customHeight="1">
      <c r="A134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34" s="120" t="e">
        <f>#REF!</f>
        <v>#REF!</v>
      </c>
      <c r="C134" s="238" t="e">
        <f>#REF!</f>
        <v>#REF!</v>
      </c>
      <c r="D134" s="120" t="e">
        <f>#REF!</f>
        <v>#REF!</v>
      </c>
      <c r="E134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34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35" spans="1:6" s="115" customFormat="1" ht="30" customHeight="1">
      <c r="A135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35" s="120" t="e">
        <f>#REF!</f>
        <v>#REF!</v>
      </c>
      <c r="C135" s="238" t="e">
        <f>#REF!</f>
        <v>#REF!</v>
      </c>
      <c r="D135" s="120" t="e">
        <f>#REF!</f>
        <v>#REF!</v>
      </c>
      <c r="E135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35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36" spans="1:6" s="115" customFormat="1" ht="30" customHeight="1">
      <c r="A136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36" s="120" t="e">
        <f>#REF!</f>
        <v>#REF!</v>
      </c>
      <c r="C136" s="238" t="e">
        <f>#REF!</f>
        <v>#REF!</v>
      </c>
      <c r="D136" s="120" t="e">
        <f>#REF!</f>
        <v>#REF!</v>
      </c>
      <c r="E136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36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37" spans="1:6" s="115" customFormat="1" ht="30" customHeight="1">
      <c r="A137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37" s="120" t="e">
        <f>#REF!</f>
        <v>#REF!</v>
      </c>
      <c r="C137" s="238" t="e">
        <f>#REF!</f>
        <v>#REF!</v>
      </c>
      <c r="D137" s="120" t="e">
        <f>#REF!</f>
        <v>#REF!</v>
      </c>
      <c r="E137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37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38" spans="1:6" s="115" customFormat="1" ht="30" customHeight="1">
      <c r="A138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38" s="120" t="e">
        <f>#REF!</f>
        <v>#REF!</v>
      </c>
      <c r="C138" s="238" t="e">
        <f>#REF!</f>
        <v>#REF!</v>
      </c>
      <c r="D138" s="120" t="e">
        <f>#REF!</f>
        <v>#REF!</v>
      </c>
      <c r="E138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38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39" spans="1:6" s="115" customFormat="1" ht="30" customHeight="1">
      <c r="A139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39" s="120" t="e">
        <f>#REF!</f>
        <v>#REF!</v>
      </c>
      <c r="C139" s="238" t="e">
        <f>#REF!</f>
        <v>#REF!</v>
      </c>
      <c r="D139" s="120" t="e">
        <f>#REF!</f>
        <v>#REF!</v>
      </c>
      <c r="E139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39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40" spans="1:6" s="115" customFormat="1" ht="30" customHeight="1">
      <c r="A140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40" s="120" t="e">
        <f>#REF!</f>
        <v>#REF!</v>
      </c>
      <c r="C140" s="238" t="e">
        <f>#REF!</f>
        <v>#REF!</v>
      </c>
      <c r="D140" s="120" t="e">
        <f>#REF!</f>
        <v>#REF!</v>
      </c>
      <c r="E140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40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41" spans="1:6" s="115" customFormat="1" ht="30" customHeight="1">
      <c r="A141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41" s="120" t="e">
        <f>#REF!</f>
        <v>#REF!</v>
      </c>
      <c r="C141" s="238" t="e">
        <f>#REF!</f>
        <v>#REF!</v>
      </c>
      <c r="D141" s="120" t="e">
        <f>#REF!</f>
        <v>#REF!</v>
      </c>
      <c r="E141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41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42" spans="1:6" s="115" customFormat="1" ht="30" customHeight="1">
      <c r="A142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42" s="120" t="e">
        <f>#REF!</f>
        <v>#REF!</v>
      </c>
      <c r="C142" s="238" t="e">
        <f>#REF!</f>
        <v>#REF!</v>
      </c>
      <c r="D142" s="120" t="e">
        <f>#REF!</f>
        <v>#REF!</v>
      </c>
      <c r="E142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42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43" spans="1:6" s="115" customFormat="1" ht="30" customHeight="1">
      <c r="A143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43" s="120" t="e">
        <f>#REF!</f>
        <v>#REF!</v>
      </c>
      <c r="C143" s="238" t="e">
        <f>#REF!</f>
        <v>#REF!</v>
      </c>
      <c r="D143" s="120" t="e">
        <f>#REF!</f>
        <v>#REF!</v>
      </c>
      <c r="E143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43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44" spans="1:6" s="115" customFormat="1" ht="30" customHeight="1">
      <c r="A144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44" s="120" t="e">
        <f>#REF!</f>
        <v>#REF!</v>
      </c>
      <c r="C144" s="238" t="e">
        <f>#REF!</f>
        <v>#REF!</v>
      </c>
      <c r="D144" s="120" t="e">
        <f>#REF!</f>
        <v>#REF!</v>
      </c>
      <c r="E144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44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45" spans="1:6" s="115" customFormat="1" ht="30" customHeight="1">
      <c r="A145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45" s="120" t="e">
        <f>#REF!</f>
        <v>#REF!</v>
      </c>
      <c r="C145" s="238" t="e">
        <f>#REF!</f>
        <v>#REF!</v>
      </c>
      <c r="D145" s="120" t="e">
        <f>#REF!</f>
        <v>#REF!</v>
      </c>
      <c r="E145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45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46" spans="1:6" s="115" customFormat="1" ht="30" customHeight="1">
      <c r="A146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46" s="120" t="e">
        <f>#REF!</f>
        <v>#REF!</v>
      </c>
      <c r="C146" s="238" t="e">
        <f>#REF!</f>
        <v>#REF!</v>
      </c>
      <c r="D146" s="120" t="e">
        <f>#REF!</f>
        <v>#REF!</v>
      </c>
      <c r="E146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46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47" spans="1:6" s="115" customFormat="1" ht="30" customHeight="1">
      <c r="A147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47" s="120" t="e">
        <f>#REF!</f>
        <v>#REF!</v>
      </c>
      <c r="C147" s="238" t="e">
        <f>#REF!</f>
        <v>#REF!</v>
      </c>
      <c r="D147" s="120" t="e">
        <f>#REF!</f>
        <v>#REF!</v>
      </c>
      <c r="E147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47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48" spans="1:6" s="115" customFormat="1" ht="30" customHeight="1">
      <c r="A148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48" s="120" t="e">
        <f>#REF!</f>
        <v>#REF!</v>
      </c>
      <c r="C148" s="238" t="e">
        <f>#REF!</f>
        <v>#REF!</v>
      </c>
      <c r="D148" s="120" t="e">
        <f>#REF!</f>
        <v>#REF!</v>
      </c>
      <c r="E148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48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49" spans="1:6" s="115" customFormat="1" ht="30" customHeight="1">
      <c r="A149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49" s="120" t="e">
        <f>#REF!</f>
        <v>#REF!</v>
      </c>
      <c r="C149" s="238" t="e">
        <f>#REF!</f>
        <v>#REF!</v>
      </c>
      <c r="D149" s="120" t="e">
        <f>#REF!</f>
        <v>#REF!</v>
      </c>
      <c r="E149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49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50" spans="1:6" s="115" customFormat="1" ht="30" customHeight="1">
      <c r="A150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50" s="120" t="e">
        <f>#REF!</f>
        <v>#REF!</v>
      </c>
      <c r="C150" s="238" t="e">
        <f>#REF!</f>
        <v>#REF!</v>
      </c>
      <c r="D150" s="120" t="e">
        <f>#REF!</f>
        <v>#REF!</v>
      </c>
      <c r="E150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50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51" spans="1:6" s="115" customFormat="1" ht="30" customHeight="1">
      <c r="A151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51" s="120" t="e">
        <f>#REF!</f>
        <v>#REF!</v>
      </c>
      <c r="C151" s="238" t="e">
        <f>#REF!</f>
        <v>#REF!</v>
      </c>
      <c r="D151" s="120" t="e">
        <f>#REF!</f>
        <v>#REF!</v>
      </c>
      <c r="E151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51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52" spans="1:6" s="115" customFormat="1" ht="30" customHeight="1">
      <c r="A152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52" s="120" t="e">
        <f>#REF!</f>
        <v>#REF!</v>
      </c>
      <c r="C152" s="238" t="e">
        <f>#REF!</f>
        <v>#REF!</v>
      </c>
      <c r="D152" s="120" t="e">
        <f>#REF!</f>
        <v>#REF!</v>
      </c>
      <c r="E152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52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53" spans="1:6" s="115" customFormat="1" ht="30" customHeight="1">
      <c r="A153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53" s="120" t="e">
        <f>#REF!</f>
        <v>#REF!</v>
      </c>
      <c r="C153" s="238" t="e">
        <f>#REF!</f>
        <v>#REF!</v>
      </c>
      <c r="D153" s="120" t="e">
        <f>#REF!</f>
        <v>#REF!</v>
      </c>
      <c r="E153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53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54" spans="1:6" s="115" customFormat="1" ht="30" customHeight="1">
      <c r="A154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54" s="120" t="e">
        <f>#REF!</f>
        <v>#REF!</v>
      </c>
      <c r="C154" s="238" t="e">
        <f>#REF!</f>
        <v>#REF!</v>
      </c>
      <c r="D154" s="120" t="e">
        <f>#REF!</f>
        <v>#REF!</v>
      </c>
      <c r="E154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54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55" spans="1:6" s="115" customFormat="1" ht="30" customHeight="1">
      <c r="A155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55" s="120" t="e">
        <f>#REF!</f>
        <v>#REF!</v>
      </c>
      <c r="C155" s="238" t="e">
        <f>#REF!</f>
        <v>#REF!</v>
      </c>
      <c r="D155" s="120" t="e">
        <f>#REF!</f>
        <v>#REF!</v>
      </c>
      <c r="E155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55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56" spans="1:6" s="115" customFormat="1" ht="30" customHeight="1">
      <c r="A156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56" s="120" t="e">
        <f>#REF!</f>
        <v>#REF!</v>
      </c>
      <c r="C156" s="238" t="e">
        <f>#REF!</f>
        <v>#REF!</v>
      </c>
      <c r="D156" s="120" t="e">
        <f>#REF!</f>
        <v>#REF!</v>
      </c>
      <c r="E156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56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57" spans="1:6" s="115" customFormat="1" ht="30" customHeight="1">
      <c r="A157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57" s="120" t="e">
        <f>#REF!</f>
        <v>#REF!</v>
      </c>
      <c r="C157" s="238" t="e">
        <f>#REF!</f>
        <v>#REF!</v>
      </c>
      <c r="D157" s="120" t="e">
        <f>#REF!</f>
        <v>#REF!</v>
      </c>
      <c r="E157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57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58" spans="1:6" s="115" customFormat="1" ht="30" customHeight="1">
      <c r="A158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58" s="120" t="e">
        <f>#REF!</f>
        <v>#REF!</v>
      </c>
      <c r="C158" s="238" t="e">
        <f>#REF!</f>
        <v>#REF!</v>
      </c>
      <c r="D158" s="120" t="e">
        <f>#REF!</f>
        <v>#REF!</v>
      </c>
      <c r="E158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58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59" spans="1:6" s="115" customFormat="1" ht="30" customHeight="1">
      <c r="A159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59" s="120" t="e">
        <f>#REF!</f>
        <v>#REF!</v>
      </c>
      <c r="C159" s="238" t="e">
        <f>#REF!</f>
        <v>#REF!</v>
      </c>
      <c r="D159" s="120" t="e">
        <f>#REF!</f>
        <v>#REF!</v>
      </c>
      <c r="E159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59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60" spans="1:6" s="115" customFormat="1" ht="30" customHeight="1">
      <c r="A160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60" s="120" t="e">
        <f>#REF!</f>
        <v>#REF!</v>
      </c>
      <c r="C160" s="238" t="e">
        <f>#REF!</f>
        <v>#REF!</v>
      </c>
      <c r="D160" s="120" t="e">
        <f>#REF!</f>
        <v>#REF!</v>
      </c>
      <c r="E160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60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61" spans="1:6" s="115" customFormat="1" ht="30" customHeight="1">
      <c r="A161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61" s="120" t="e">
        <f>#REF!</f>
        <v>#REF!</v>
      </c>
      <c r="C161" s="238" t="e">
        <f>#REF!</f>
        <v>#REF!</v>
      </c>
      <c r="D161" s="120" t="e">
        <f>#REF!</f>
        <v>#REF!</v>
      </c>
      <c r="E161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61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62" spans="1:6" s="115" customFormat="1" ht="30" customHeight="1">
      <c r="A162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62" s="120" t="e">
        <f>#REF!</f>
        <v>#REF!</v>
      </c>
      <c r="C162" s="238" t="e">
        <f>#REF!</f>
        <v>#REF!</v>
      </c>
      <c r="D162" s="120" t="e">
        <f>#REF!</f>
        <v>#REF!</v>
      </c>
      <c r="E162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62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63" spans="1:6" s="115" customFormat="1" ht="30" customHeight="1">
      <c r="A163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63" s="120" t="e">
        <f>#REF!</f>
        <v>#REF!</v>
      </c>
      <c r="C163" s="238" t="e">
        <f>#REF!</f>
        <v>#REF!</v>
      </c>
      <c r="D163" s="120" t="e">
        <f>#REF!</f>
        <v>#REF!</v>
      </c>
      <c r="E163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63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64" spans="1:6" s="115" customFormat="1" ht="30" customHeight="1">
      <c r="A164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64" s="120" t="e">
        <f>#REF!</f>
        <v>#REF!</v>
      </c>
      <c r="C164" s="238" t="e">
        <f>#REF!</f>
        <v>#REF!</v>
      </c>
      <c r="D164" s="120" t="e">
        <f>#REF!</f>
        <v>#REF!</v>
      </c>
      <c r="E164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64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65" spans="1:6" s="115" customFormat="1" ht="30" customHeight="1">
      <c r="A165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65" s="120" t="e">
        <f>#REF!</f>
        <v>#REF!</v>
      </c>
      <c r="C165" s="238" t="e">
        <f>#REF!</f>
        <v>#REF!</v>
      </c>
      <c r="D165" s="120" t="e">
        <f>#REF!</f>
        <v>#REF!</v>
      </c>
      <c r="E165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65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66" spans="1:6" s="115" customFormat="1" ht="30" customHeight="1">
      <c r="A166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66" s="120" t="e">
        <f>#REF!</f>
        <v>#REF!</v>
      </c>
      <c r="C166" s="238" t="e">
        <f>#REF!</f>
        <v>#REF!</v>
      </c>
      <c r="D166" s="120" t="e">
        <f>#REF!</f>
        <v>#REF!</v>
      </c>
      <c r="E166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66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67" spans="1:6" s="115" customFormat="1" ht="30" customHeight="1">
      <c r="A167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67" s="120" t="e">
        <f>#REF!</f>
        <v>#REF!</v>
      </c>
      <c r="C167" s="238" t="e">
        <f>#REF!</f>
        <v>#REF!</v>
      </c>
      <c r="D167" s="120" t="e">
        <f>#REF!</f>
        <v>#REF!</v>
      </c>
      <c r="E167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67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68" spans="1:6" s="115" customFormat="1" ht="30" customHeight="1">
      <c r="A168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68" s="120" t="e">
        <f>#REF!</f>
        <v>#REF!</v>
      </c>
      <c r="C168" s="238" t="e">
        <f>#REF!</f>
        <v>#REF!</v>
      </c>
      <c r="D168" s="120" t="e">
        <f>#REF!</f>
        <v>#REF!</v>
      </c>
      <c r="E168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68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69" spans="1:6" s="115" customFormat="1" ht="30" customHeight="1">
      <c r="A169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69" s="120" t="e">
        <f>#REF!</f>
        <v>#REF!</v>
      </c>
      <c r="C169" s="238" t="e">
        <f>#REF!</f>
        <v>#REF!</v>
      </c>
      <c r="D169" s="120" t="e">
        <f>#REF!</f>
        <v>#REF!</v>
      </c>
      <c r="E169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69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70" spans="1:6" s="115" customFormat="1" ht="30" customHeight="1">
      <c r="A170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70" s="120" t="e">
        <f>#REF!</f>
        <v>#REF!</v>
      </c>
      <c r="C170" s="238" t="e">
        <f>#REF!</f>
        <v>#REF!</v>
      </c>
      <c r="D170" s="120" t="e">
        <f>#REF!</f>
        <v>#REF!</v>
      </c>
      <c r="E170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70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71" spans="1:6" s="115" customFormat="1" ht="30" customHeight="1">
      <c r="A171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71" s="120" t="e">
        <f>#REF!</f>
        <v>#REF!</v>
      </c>
      <c r="C171" s="238" t="e">
        <f>#REF!</f>
        <v>#REF!</v>
      </c>
      <c r="D171" s="120" t="e">
        <f>#REF!</f>
        <v>#REF!</v>
      </c>
      <c r="E171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71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72" spans="1:6" s="115" customFormat="1" ht="30" customHeight="1">
      <c r="A172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72" s="120" t="e">
        <f>#REF!</f>
        <v>#REF!</v>
      </c>
      <c r="C172" s="238" t="e">
        <f>#REF!</f>
        <v>#REF!</v>
      </c>
      <c r="D172" s="120" t="e">
        <f>#REF!</f>
        <v>#REF!</v>
      </c>
      <c r="E172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72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73" spans="1:6" s="115" customFormat="1" ht="30" customHeight="1">
      <c r="A173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73" s="120" t="e">
        <f>#REF!</f>
        <v>#REF!</v>
      </c>
      <c r="C173" s="238" t="e">
        <f>#REF!</f>
        <v>#REF!</v>
      </c>
      <c r="D173" s="120" t="e">
        <f>#REF!</f>
        <v>#REF!</v>
      </c>
      <c r="E173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73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74" spans="1:6" s="115" customFormat="1" ht="30" customHeight="1">
      <c r="A174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74" s="120" t="e">
        <f>#REF!</f>
        <v>#REF!</v>
      </c>
      <c r="C174" s="238" t="e">
        <f>#REF!</f>
        <v>#REF!</v>
      </c>
      <c r="D174" s="120" t="e">
        <f>#REF!</f>
        <v>#REF!</v>
      </c>
      <c r="E174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74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75" spans="1:6" s="115" customFormat="1" ht="30" customHeight="1">
      <c r="A175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75" s="120" t="e">
        <f>#REF!</f>
        <v>#REF!</v>
      </c>
      <c r="C175" s="238" t="e">
        <f>#REF!</f>
        <v>#REF!</v>
      </c>
      <c r="D175" s="120" t="e">
        <f>#REF!</f>
        <v>#REF!</v>
      </c>
      <c r="E175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75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76" spans="1:6" s="115" customFormat="1" ht="30" customHeight="1">
      <c r="A176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76" s="120" t="e">
        <f>#REF!</f>
        <v>#REF!</v>
      </c>
      <c r="C176" s="238" t="e">
        <f>#REF!</f>
        <v>#REF!</v>
      </c>
      <c r="D176" s="120" t="e">
        <f>#REF!</f>
        <v>#REF!</v>
      </c>
      <c r="E176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76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77" spans="1:6" s="115" customFormat="1" ht="30" customHeight="1">
      <c r="A177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77" s="120" t="e">
        <f>#REF!</f>
        <v>#REF!</v>
      </c>
      <c r="C177" s="238" t="e">
        <f>#REF!</f>
        <v>#REF!</v>
      </c>
      <c r="D177" s="120" t="e">
        <f>#REF!</f>
        <v>#REF!</v>
      </c>
      <c r="E177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77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78" spans="1:6" s="115" customFormat="1" ht="30" customHeight="1">
      <c r="A178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78" s="120" t="e">
        <f>#REF!</f>
        <v>#REF!</v>
      </c>
      <c r="C178" s="238" t="e">
        <f>#REF!</f>
        <v>#REF!</v>
      </c>
      <c r="D178" s="120" t="e">
        <f>#REF!</f>
        <v>#REF!</v>
      </c>
      <c r="E178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78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79" spans="1:6" s="115" customFormat="1" ht="30" customHeight="1">
      <c r="A179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79" s="120" t="e">
        <f>#REF!</f>
        <v>#REF!</v>
      </c>
      <c r="C179" s="238" t="e">
        <f>#REF!</f>
        <v>#REF!</v>
      </c>
      <c r="D179" s="120" t="e">
        <f>#REF!</f>
        <v>#REF!</v>
      </c>
      <c r="E179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79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80" spans="1:6" s="115" customFormat="1" ht="30" customHeight="1">
      <c r="A180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80" s="120" t="e">
        <f>#REF!</f>
        <v>#REF!</v>
      </c>
      <c r="C180" s="238" t="e">
        <f>#REF!</f>
        <v>#REF!</v>
      </c>
      <c r="D180" s="120" t="e">
        <f>#REF!</f>
        <v>#REF!</v>
      </c>
      <c r="E180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80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81" spans="1:6" s="115" customFormat="1" ht="30" customHeight="1">
      <c r="A181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81" s="120" t="e">
        <f>#REF!</f>
        <v>#REF!</v>
      </c>
      <c r="C181" s="238" t="e">
        <f>#REF!</f>
        <v>#REF!</v>
      </c>
      <c r="D181" s="120" t="e">
        <f>#REF!</f>
        <v>#REF!</v>
      </c>
      <c r="E181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81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82" spans="1:6" s="115" customFormat="1" ht="30" customHeight="1">
      <c r="A182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82" s="120" t="e">
        <f>#REF!</f>
        <v>#REF!</v>
      </c>
      <c r="C182" s="238" t="e">
        <f>#REF!</f>
        <v>#REF!</v>
      </c>
      <c r="D182" s="120" t="e">
        <f>#REF!</f>
        <v>#REF!</v>
      </c>
      <c r="E182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82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83" spans="1:6" s="115" customFormat="1" ht="30" customHeight="1">
      <c r="A183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83" s="120" t="e">
        <f>#REF!</f>
        <v>#REF!</v>
      </c>
      <c r="C183" s="238" t="e">
        <f>#REF!</f>
        <v>#REF!</v>
      </c>
      <c r="D183" s="120" t="e">
        <f>#REF!</f>
        <v>#REF!</v>
      </c>
      <c r="E183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83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84" spans="1:6" s="115" customFormat="1" ht="30" customHeight="1">
      <c r="A184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84" s="120" t="e">
        <f>#REF!</f>
        <v>#REF!</v>
      </c>
      <c r="C184" s="238" t="e">
        <f>#REF!</f>
        <v>#REF!</v>
      </c>
      <c r="D184" s="120" t="e">
        <f>#REF!</f>
        <v>#REF!</v>
      </c>
      <c r="E184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84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85" spans="1:6" s="115" customFormat="1" ht="30" customHeight="1">
      <c r="A185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85" s="120" t="e">
        <f>#REF!</f>
        <v>#REF!</v>
      </c>
      <c r="C185" s="238" t="e">
        <f>#REF!</f>
        <v>#REF!</v>
      </c>
      <c r="D185" s="120" t="e">
        <f>#REF!</f>
        <v>#REF!</v>
      </c>
      <c r="E185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85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86" spans="1:6" s="115" customFormat="1" ht="30" customHeight="1">
      <c r="A186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86" s="120" t="e">
        <f>#REF!</f>
        <v>#REF!</v>
      </c>
      <c r="C186" s="238" t="e">
        <f>#REF!</f>
        <v>#REF!</v>
      </c>
      <c r="D186" s="120" t="e">
        <f>#REF!</f>
        <v>#REF!</v>
      </c>
      <c r="E186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86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87" spans="1:6" s="115" customFormat="1" ht="30" customHeight="1">
      <c r="A187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87" s="120" t="e">
        <f>#REF!</f>
        <v>#REF!</v>
      </c>
      <c r="C187" s="238" t="e">
        <f>#REF!</f>
        <v>#REF!</v>
      </c>
      <c r="D187" s="120" t="e">
        <f>#REF!</f>
        <v>#REF!</v>
      </c>
      <c r="E187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87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88" spans="1:6" s="115" customFormat="1" ht="30" customHeight="1">
      <c r="A188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88" s="120" t="e">
        <f>#REF!</f>
        <v>#REF!</v>
      </c>
      <c r="C188" s="238" t="e">
        <f>#REF!</f>
        <v>#REF!</v>
      </c>
      <c r="D188" s="120" t="e">
        <f>#REF!</f>
        <v>#REF!</v>
      </c>
      <c r="E188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88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89" spans="1:6" s="115" customFormat="1" ht="30" customHeight="1">
      <c r="A189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89" s="120" t="e">
        <f>#REF!</f>
        <v>#REF!</v>
      </c>
      <c r="C189" s="238" t="e">
        <f>#REF!</f>
        <v>#REF!</v>
      </c>
      <c r="D189" s="120" t="e">
        <f>#REF!</f>
        <v>#REF!</v>
      </c>
      <c r="E189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89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90" spans="1:6" s="115" customFormat="1" ht="30" customHeight="1">
      <c r="A190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90" s="120" t="e">
        <f>#REF!</f>
        <v>#REF!</v>
      </c>
      <c r="C190" s="238" t="e">
        <f>#REF!</f>
        <v>#REF!</v>
      </c>
      <c r="D190" s="120" t="e">
        <f>#REF!</f>
        <v>#REF!</v>
      </c>
      <c r="E190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90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91" spans="1:6" s="115" customFormat="1" ht="30" customHeight="1">
      <c r="A191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91" s="120" t="e">
        <f>#REF!</f>
        <v>#REF!</v>
      </c>
      <c r="C191" s="238" t="e">
        <f>#REF!</f>
        <v>#REF!</v>
      </c>
      <c r="D191" s="120" t="e">
        <f>#REF!</f>
        <v>#REF!</v>
      </c>
      <c r="E191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91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92" spans="1:6" s="115" customFormat="1" ht="30" customHeight="1">
      <c r="A192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92" s="120" t="e">
        <f>#REF!</f>
        <v>#REF!</v>
      </c>
      <c r="C192" s="238" t="e">
        <f>#REF!</f>
        <v>#REF!</v>
      </c>
      <c r="D192" s="120" t="e">
        <f>#REF!</f>
        <v>#REF!</v>
      </c>
      <c r="E192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92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93" spans="1:6" s="115" customFormat="1" ht="30" customHeight="1">
      <c r="A193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93" s="120" t="e">
        <f>#REF!</f>
        <v>#REF!</v>
      </c>
      <c r="C193" s="238" t="e">
        <f>#REF!</f>
        <v>#REF!</v>
      </c>
      <c r="D193" s="120" t="e">
        <f>#REF!</f>
        <v>#REF!</v>
      </c>
      <c r="E193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93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94" spans="1:6" s="115" customFormat="1" ht="30" customHeight="1">
      <c r="A194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94" s="120" t="e">
        <f>#REF!</f>
        <v>#REF!</v>
      </c>
      <c r="C194" s="238" t="e">
        <f>#REF!</f>
        <v>#REF!</v>
      </c>
      <c r="D194" s="120" t="e">
        <f>#REF!</f>
        <v>#REF!</v>
      </c>
      <c r="E194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94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95" spans="1:6" s="115" customFormat="1" ht="30" customHeight="1">
      <c r="A195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95" s="120" t="e">
        <f>#REF!</f>
        <v>#REF!</v>
      </c>
      <c r="C195" s="238" t="e">
        <f>#REF!</f>
        <v>#REF!</v>
      </c>
      <c r="D195" s="120" t="e">
        <f>#REF!</f>
        <v>#REF!</v>
      </c>
      <c r="E195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95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96" spans="1:6" s="115" customFormat="1" ht="30" customHeight="1">
      <c r="A196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96" s="120" t="e">
        <f>#REF!</f>
        <v>#REF!</v>
      </c>
      <c r="C196" s="238" t="e">
        <f>#REF!</f>
        <v>#REF!</v>
      </c>
      <c r="D196" s="120" t="e">
        <f>#REF!</f>
        <v>#REF!</v>
      </c>
      <c r="E196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96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97" spans="1:6" s="115" customFormat="1" ht="30" customHeight="1">
      <c r="A197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97" s="120" t="e">
        <f>#REF!</f>
        <v>#REF!</v>
      </c>
      <c r="C197" s="238" t="e">
        <f>#REF!</f>
        <v>#REF!</v>
      </c>
      <c r="D197" s="120" t="e">
        <f>#REF!</f>
        <v>#REF!</v>
      </c>
      <c r="E197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97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98" spans="1:6" s="115" customFormat="1" ht="30" customHeight="1">
      <c r="A198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98" s="120" t="e">
        <f>#REF!</f>
        <v>#REF!</v>
      </c>
      <c r="C198" s="238" t="e">
        <f>#REF!</f>
        <v>#REF!</v>
      </c>
      <c r="D198" s="120" t="e">
        <f>#REF!</f>
        <v>#REF!</v>
      </c>
      <c r="E198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98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199" spans="1:6" s="115" customFormat="1" ht="30" customHeight="1">
      <c r="A199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199" s="120" t="e">
        <f>#REF!</f>
        <v>#REF!</v>
      </c>
      <c r="C199" s="238" t="e">
        <f>#REF!</f>
        <v>#REF!</v>
      </c>
      <c r="D199" s="120" t="e">
        <f>#REF!</f>
        <v>#REF!</v>
      </c>
      <c r="E199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199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00" spans="1:6" s="115" customFormat="1" ht="30" customHeight="1">
      <c r="A200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00" s="120" t="e">
        <f>#REF!</f>
        <v>#REF!</v>
      </c>
      <c r="C200" s="238" t="e">
        <f>#REF!</f>
        <v>#REF!</v>
      </c>
      <c r="D200" s="120" t="e">
        <f>#REF!</f>
        <v>#REF!</v>
      </c>
      <c r="E200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00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01" spans="1:6" s="115" customFormat="1" ht="30" customHeight="1">
      <c r="A201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01" s="120" t="e">
        <f>#REF!</f>
        <v>#REF!</v>
      </c>
      <c r="C201" s="238" t="e">
        <f>#REF!</f>
        <v>#REF!</v>
      </c>
      <c r="D201" s="120" t="e">
        <f>#REF!</f>
        <v>#REF!</v>
      </c>
      <c r="E201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01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02" spans="1:6" s="115" customFormat="1" ht="30" customHeight="1">
      <c r="A202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02" s="120" t="e">
        <f>#REF!</f>
        <v>#REF!</v>
      </c>
      <c r="C202" s="238" t="e">
        <f>#REF!</f>
        <v>#REF!</v>
      </c>
      <c r="D202" s="120" t="e">
        <f>#REF!</f>
        <v>#REF!</v>
      </c>
      <c r="E202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02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03" spans="1:6" s="115" customFormat="1" ht="30" customHeight="1">
      <c r="A203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03" s="120" t="e">
        <f>#REF!</f>
        <v>#REF!</v>
      </c>
      <c r="C203" s="238" t="e">
        <f>#REF!</f>
        <v>#REF!</v>
      </c>
      <c r="D203" s="120" t="e">
        <f>#REF!</f>
        <v>#REF!</v>
      </c>
      <c r="E203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03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04" spans="1:6" s="115" customFormat="1" ht="30" customHeight="1">
      <c r="A204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04" s="120" t="e">
        <f>#REF!</f>
        <v>#REF!</v>
      </c>
      <c r="C204" s="238" t="e">
        <f>#REF!</f>
        <v>#REF!</v>
      </c>
      <c r="D204" s="120" t="e">
        <f>#REF!</f>
        <v>#REF!</v>
      </c>
      <c r="E204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04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05" spans="1:6" s="115" customFormat="1" ht="30" customHeight="1">
      <c r="A205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05" s="120" t="e">
        <f>#REF!</f>
        <v>#REF!</v>
      </c>
      <c r="C205" s="238" t="e">
        <f>#REF!</f>
        <v>#REF!</v>
      </c>
      <c r="D205" s="120" t="e">
        <f>#REF!</f>
        <v>#REF!</v>
      </c>
      <c r="E205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05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06" spans="1:6" s="115" customFormat="1" ht="30" customHeight="1">
      <c r="A206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06" s="120" t="e">
        <f>#REF!</f>
        <v>#REF!</v>
      </c>
      <c r="C206" s="238" t="e">
        <f>#REF!</f>
        <v>#REF!</v>
      </c>
      <c r="D206" s="120" t="e">
        <f>#REF!</f>
        <v>#REF!</v>
      </c>
      <c r="E206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06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07" spans="1:6" s="115" customFormat="1" ht="30" customHeight="1">
      <c r="A207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07" s="120" t="e">
        <f>#REF!</f>
        <v>#REF!</v>
      </c>
      <c r="C207" s="238" t="e">
        <f>#REF!</f>
        <v>#REF!</v>
      </c>
      <c r="D207" s="120" t="e">
        <f>#REF!</f>
        <v>#REF!</v>
      </c>
      <c r="E207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07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08" spans="1:6" s="115" customFormat="1" ht="30" customHeight="1">
      <c r="A208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08" s="120" t="e">
        <f>#REF!</f>
        <v>#REF!</v>
      </c>
      <c r="C208" s="238" t="e">
        <f>#REF!</f>
        <v>#REF!</v>
      </c>
      <c r="D208" s="120" t="e">
        <f>#REF!</f>
        <v>#REF!</v>
      </c>
      <c r="E208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08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09" spans="1:6" s="115" customFormat="1" ht="30" customHeight="1">
      <c r="A209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09" s="120" t="e">
        <f>#REF!</f>
        <v>#REF!</v>
      </c>
      <c r="C209" s="238" t="e">
        <f>#REF!</f>
        <v>#REF!</v>
      </c>
      <c r="D209" s="120" t="e">
        <f>#REF!</f>
        <v>#REF!</v>
      </c>
      <c r="E209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09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10" spans="1:6" s="115" customFormat="1" ht="30" customHeight="1">
      <c r="A210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10" s="120" t="e">
        <f>#REF!</f>
        <v>#REF!</v>
      </c>
      <c r="C210" s="238" t="e">
        <f>#REF!</f>
        <v>#REF!</v>
      </c>
      <c r="D210" s="120" t="e">
        <f>#REF!</f>
        <v>#REF!</v>
      </c>
      <c r="E210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10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11" spans="1:6" s="115" customFormat="1" ht="30" customHeight="1">
      <c r="A211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11" s="120" t="e">
        <f>#REF!</f>
        <v>#REF!</v>
      </c>
      <c r="C211" s="238" t="e">
        <f>#REF!</f>
        <v>#REF!</v>
      </c>
      <c r="D211" s="120" t="e">
        <f>#REF!</f>
        <v>#REF!</v>
      </c>
      <c r="E211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11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12" spans="1:6" s="115" customFormat="1" ht="30" customHeight="1">
      <c r="A212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12" s="120" t="e">
        <f>#REF!</f>
        <v>#REF!</v>
      </c>
      <c r="C212" s="238" t="e">
        <f>#REF!</f>
        <v>#REF!</v>
      </c>
      <c r="D212" s="120" t="e">
        <f>#REF!</f>
        <v>#REF!</v>
      </c>
      <c r="E212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12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13" spans="1:6" s="115" customFormat="1" ht="30" customHeight="1">
      <c r="A213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13" s="120" t="e">
        <f>#REF!</f>
        <v>#REF!</v>
      </c>
      <c r="C213" s="238" t="e">
        <f>#REF!</f>
        <v>#REF!</v>
      </c>
      <c r="D213" s="120" t="e">
        <f>#REF!</f>
        <v>#REF!</v>
      </c>
      <c r="E213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13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14" spans="1:6" s="115" customFormat="1" ht="30" customHeight="1">
      <c r="A214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14" s="120" t="e">
        <f>#REF!</f>
        <v>#REF!</v>
      </c>
      <c r="C214" s="238" t="e">
        <f>#REF!</f>
        <v>#REF!</v>
      </c>
      <c r="D214" s="120" t="e">
        <f>#REF!</f>
        <v>#REF!</v>
      </c>
      <c r="E214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14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15" spans="1:6" s="115" customFormat="1" ht="30" customHeight="1">
      <c r="A215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15" s="120" t="e">
        <f>#REF!</f>
        <v>#REF!</v>
      </c>
      <c r="C215" s="238" t="e">
        <f>#REF!</f>
        <v>#REF!</v>
      </c>
      <c r="D215" s="120" t="e">
        <f>#REF!</f>
        <v>#REF!</v>
      </c>
      <c r="E215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15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16" spans="1:6" s="115" customFormat="1" ht="30" customHeight="1">
      <c r="A216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16" s="120" t="e">
        <f>#REF!</f>
        <v>#REF!</v>
      </c>
      <c r="C216" s="238" t="e">
        <f>#REF!</f>
        <v>#REF!</v>
      </c>
      <c r="D216" s="120" t="e">
        <f>#REF!</f>
        <v>#REF!</v>
      </c>
      <c r="E216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16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17" spans="1:6" s="115" customFormat="1" ht="30" customHeight="1">
      <c r="A217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17" s="120" t="e">
        <f>#REF!</f>
        <v>#REF!</v>
      </c>
      <c r="C217" s="238" t="e">
        <f>#REF!</f>
        <v>#REF!</v>
      </c>
      <c r="D217" s="120" t="e">
        <f>#REF!</f>
        <v>#REF!</v>
      </c>
      <c r="E217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17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18" spans="1:6" s="115" customFormat="1" ht="30" customHeight="1">
      <c r="A218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18" s="120" t="e">
        <f>#REF!</f>
        <v>#REF!</v>
      </c>
      <c r="C218" s="238" t="e">
        <f>#REF!</f>
        <v>#REF!</v>
      </c>
      <c r="D218" s="120" t="e">
        <f>#REF!</f>
        <v>#REF!</v>
      </c>
      <c r="E218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18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19" spans="1:6" s="115" customFormat="1" ht="30" customHeight="1">
      <c r="A219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19" s="120" t="e">
        <f>#REF!</f>
        <v>#REF!</v>
      </c>
      <c r="C219" s="238" t="e">
        <f>#REF!</f>
        <v>#REF!</v>
      </c>
      <c r="D219" s="120" t="e">
        <f>#REF!</f>
        <v>#REF!</v>
      </c>
      <c r="E219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19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20" spans="1:6" s="115" customFormat="1" ht="30" customHeight="1">
      <c r="A220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20" s="120" t="e">
        <f>#REF!</f>
        <v>#REF!</v>
      </c>
      <c r="C220" s="238" t="e">
        <f>#REF!</f>
        <v>#REF!</v>
      </c>
      <c r="D220" s="120" t="e">
        <f>#REF!</f>
        <v>#REF!</v>
      </c>
      <c r="E220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20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21" spans="1:6" s="115" customFormat="1" ht="30" customHeight="1">
      <c r="A221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21" s="120" t="e">
        <f>#REF!</f>
        <v>#REF!</v>
      </c>
      <c r="C221" s="238" t="e">
        <f>#REF!</f>
        <v>#REF!</v>
      </c>
      <c r="D221" s="120" t="e">
        <f>#REF!</f>
        <v>#REF!</v>
      </c>
      <c r="E221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21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22" spans="1:6" s="115" customFormat="1" ht="30" customHeight="1">
      <c r="A222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22" s="120" t="e">
        <f>#REF!</f>
        <v>#REF!</v>
      </c>
      <c r="C222" s="238" t="e">
        <f>#REF!</f>
        <v>#REF!</v>
      </c>
      <c r="D222" s="120" t="e">
        <f>#REF!</f>
        <v>#REF!</v>
      </c>
      <c r="E222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22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23" spans="1:6" s="115" customFormat="1" ht="30" customHeight="1">
      <c r="A223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23" s="120" t="e">
        <f>#REF!</f>
        <v>#REF!</v>
      </c>
      <c r="C223" s="238" t="e">
        <f>#REF!</f>
        <v>#REF!</v>
      </c>
      <c r="D223" s="120" t="e">
        <f>#REF!</f>
        <v>#REF!</v>
      </c>
      <c r="E223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23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24" spans="1:6" s="115" customFormat="1" ht="30" customHeight="1">
      <c r="A224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24" s="120" t="e">
        <f>#REF!</f>
        <v>#REF!</v>
      </c>
      <c r="C224" s="238" t="e">
        <f>#REF!</f>
        <v>#REF!</v>
      </c>
      <c r="D224" s="120" t="e">
        <f>#REF!</f>
        <v>#REF!</v>
      </c>
      <c r="E224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24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25" spans="1:6" s="115" customFormat="1" ht="30" customHeight="1">
      <c r="A225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25" s="120" t="e">
        <f>#REF!</f>
        <v>#REF!</v>
      </c>
      <c r="C225" s="238" t="e">
        <f>#REF!</f>
        <v>#REF!</v>
      </c>
      <c r="D225" s="120" t="e">
        <f>#REF!</f>
        <v>#REF!</v>
      </c>
      <c r="E225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25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26" spans="1:6" s="115" customFormat="1" ht="30" customHeight="1">
      <c r="A226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26" s="120" t="e">
        <f>#REF!</f>
        <v>#REF!</v>
      </c>
      <c r="C226" s="238" t="e">
        <f>#REF!</f>
        <v>#REF!</v>
      </c>
      <c r="D226" s="120" t="e">
        <f>#REF!</f>
        <v>#REF!</v>
      </c>
      <c r="E226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26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27" spans="1:6" s="115" customFormat="1" ht="30" customHeight="1">
      <c r="A227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27" s="120" t="e">
        <f>#REF!</f>
        <v>#REF!</v>
      </c>
      <c r="C227" s="238" t="e">
        <f>#REF!</f>
        <v>#REF!</v>
      </c>
      <c r="D227" s="120" t="e">
        <f>#REF!</f>
        <v>#REF!</v>
      </c>
      <c r="E227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27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28" spans="1:6" s="115" customFormat="1" ht="30" customHeight="1">
      <c r="A228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28" s="120" t="e">
        <f>#REF!</f>
        <v>#REF!</v>
      </c>
      <c r="C228" s="238" t="e">
        <f>#REF!</f>
        <v>#REF!</v>
      </c>
      <c r="D228" s="120" t="e">
        <f>#REF!</f>
        <v>#REF!</v>
      </c>
      <c r="E228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28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29" spans="1:6" s="115" customFormat="1" ht="30" customHeight="1">
      <c r="A229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29" s="120" t="e">
        <f>#REF!</f>
        <v>#REF!</v>
      </c>
      <c r="C229" s="238" t="e">
        <f>#REF!</f>
        <v>#REF!</v>
      </c>
      <c r="D229" s="120" t="e">
        <f>#REF!</f>
        <v>#REF!</v>
      </c>
      <c r="E229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29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30" spans="1:6" s="115" customFormat="1" ht="30" customHeight="1">
      <c r="A230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30" s="120" t="e">
        <f>#REF!</f>
        <v>#REF!</v>
      </c>
      <c r="C230" s="238" t="e">
        <f>#REF!</f>
        <v>#REF!</v>
      </c>
      <c r="D230" s="120" t="e">
        <f>#REF!</f>
        <v>#REF!</v>
      </c>
      <c r="E230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30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31" spans="1:6" s="115" customFormat="1" ht="30" customHeight="1">
      <c r="A231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31" s="120" t="e">
        <f>#REF!</f>
        <v>#REF!</v>
      </c>
      <c r="C231" s="238" t="e">
        <f>#REF!</f>
        <v>#REF!</v>
      </c>
      <c r="D231" s="120" t="e">
        <f>#REF!</f>
        <v>#REF!</v>
      </c>
      <c r="E231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31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32" spans="1:6" s="115" customFormat="1" ht="30" customHeight="1">
      <c r="A232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32" s="120" t="e">
        <f>#REF!</f>
        <v>#REF!</v>
      </c>
      <c r="C232" s="238" t="e">
        <f>#REF!</f>
        <v>#REF!</v>
      </c>
      <c r="D232" s="120" t="e">
        <f>#REF!</f>
        <v>#REF!</v>
      </c>
      <c r="E232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32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33" spans="1:6" s="115" customFormat="1" ht="30" customHeight="1">
      <c r="A233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33" s="120" t="e">
        <f>#REF!</f>
        <v>#REF!</v>
      </c>
      <c r="C233" s="238" t="e">
        <f>#REF!</f>
        <v>#REF!</v>
      </c>
      <c r="D233" s="120" t="e">
        <f>#REF!</f>
        <v>#REF!</v>
      </c>
      <c r="E233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33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34" spans="1:6" s="115" customFormat="1" ht="30" customHeight="1">
      <c r="A234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34" s="120" t="e">
        <f>#REF!</f>
        <v>#REF!</v>
      </c>
      <c r="C234" s="238" t="e">
        <f>#REF!</f>
        <v>#REF!</v>
      </c>
      <c r="D234" s="120" t="e">
        <f>#REF!</f>
        <v>#REF!</v>
      </c>
      <c r="E234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34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35" spans="1:6" s="115" customFormat="1" ht="30" customHeight="1">
      <c r="A235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35" s="120" t="e">
        <f>#REF!</f>
        <v>#REF!</v>
      </c>
      <c r="C235" s="238" t="e">
        <f>#REF!</f>
        <v>#REF!</v>
      </c>
      <c r="D235" s="120" t="e">
        <f>#REF!</f>
        <v>#REF!</v>
      </c>
      <c r="E235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35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36" spans="1:6" s="115" customFormat="1" ht="30" customHeight="1">
      <c r="A236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36" s="120" t="e">
        <f>#REF!</f>
        <v>#REF!</v>
      </c>
      <c r="C236" s="238" t="e">
        <f>#REF!</f>
        <v>#REF!</v>
      </c>
      <c r="D236" s="120" t="e">
        <f>#REF!</f>
        <v>#REF!</v>
      </c>
      <c r="E236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36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37" spans="1:6" s="115" customFormat="1" ht="30" customHeight="1">
      <c r="A237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37" s="120" t="e">
        <f>#REF!</f>
        <v>#REF!</v>
      </c>
      <c r="C237" s="238" t="e">
        <f>#REF!</f>
        <v>#REF!</v>
      </c>
      <c r="D237" s="120" t="e">
        <f>#REF!</f>
        <v>#REF!</v>
      </c>
      <c r="E237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37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38" spans="1:6" s="115" customFormat="1" ht="30" customHeight="1">
      <c r="A238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38" s="120" t="e">
        <f>#REF!</f>
        <v>#REF!</v>
      </c>
      <c r="C238" s="238" t="e">
        <f>#REF!</f>
        <v>#REF!</v>
      </c>
      <c r="D238" s="120" t="e">
        <f>#REF!</f>
        <v>#REF!</v>
      </c>
      <c r="E238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38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39" spans="1:6" s="115" customFormat="1" ht="30" customHeight="1">
      <c r="A239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39" s="120" t="e">
        <f>#REF!</f>
        <v>#REF!</v>
      </c>
      <c r="C239" s="238" t="e">
        <f>#REF!</f>
        <v>#REF!</v>
      </c>
      <c r="D239" s="120" t="e">
        <f>#REF!</f>
        <v>#REF!</v>
      </c>
      <c r="E239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39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40" spans="1:6" s="115" customFormat="1" ht="30" customHeight="1">
      <c r="A240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40" s="120" t="e">
        <f>#REF!</f>
        <v>#REF!</v>
      </c>
      <c r="C240" s="238" t="e">
        <f>#REF!</f>
        <v>#REF!</v>
      </c>
      <c r="D240" s="120" t="e">
        <f>#REF!</f>
        <v>#REF!</v>
      </c>
      <c r="E240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40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41" spans="1:7" s="115" customFormat="1" ht="30" customHeight="1">
      <c r="A241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41" s="120" t="e">
        <f>#REF!</f>
        <v>#REF!</v>
      </c>
      <c r="C241" s="238" t="e">
        <f>#REF!</f>
        <v>#REF!</v>
      </c>
      <c r="D241" s="120" t="e">
        <f>#REF!</f>
        <v>#REF!</v>
      </c>
      <c r="E241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41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42" spans="1:7" s="115" customFormat="1" ht="30" customHeight="1">
      <c r="A242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42" s="120" t="e">
        <f>#REF!</f>
        <v>#REF!</v>
      </c>
      <c r="C242" s="238" t="e">
        <f>#REF!</f>
        <v>#REF!</v>
      </c>
      <c r="D242" s="120" t="e">
        <f>#REF!</f>
        <v>#REF!</v>
      </c>
      <c r="E242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42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43" spans="1:7" s="115" customFormat="1" ht="30" customHeight="1">
      <c r="A243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43" s="120" t="e">
        <f>#REF!</f>
        <v>#REF!</v>
      </c>
      <c r="C243" s="238" t="e">
        <f>#REF!</f>
        <v>#REF!</v>
      </c>
      <c r="D243" s="120" t="e">
        <f>#REF!</f>
        <v>#REF!</v>
      </c>
      <c r="E243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43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44" spans="1:7" s="115" customFormat="1" ht="30" customHeight="1">
      <c r="A244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44" s="120" t="e">
        <f>#REF!</f>
        <v>#REF!</v>
      </c>
      <c r="C244" s="238" t="e">
        <f>#REF!</f>
        <v>#REF!</v>
      </c>
      <c r="D244" s="120" t="e">
        <f>#REF!</f>
        <v>#REF!</v>
      </c>
      <c r="E244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44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45" spans="1:7" s="115" customFormat="1" ht="30" customHeight="1">
      <c r="A245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45" s="120" t="e">
        <f>#REF!</f>
        <v>#REF!</v>
      </c>
      <c r="C245" s="238" t="e">
        <f>#REF!</f>
        <v>#REF!</v>
      </c>
      <c r="D245" s="120" t="e">
        <f>#REF!</f>
        <v>#REF!</v>
      </c>
      <c r="E245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45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46" spans="1:7" s="115" customFormat="1" ht="30" customHeight="1">
      <c r="A246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46" s="120" t="e">
        <f>#REF!</f>
        <v>#REF!</v>
      </c>
      <c r="C246" s="238" t="e">
        <f>#REF!</f>
        <v>#REF!</v>
      </c>
      <c r="D246" s="120" t="e">
        <f>#REF!</f>
        <v>#REF!</v>
      </c>
      <c r="E246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46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47" spans="1:7" s="115" customFormat="1" ht="30" customHeight="1">
      <c r="A247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47" s="120" t="e">
        <f>#REF!</f>
        <v>#REF!</v>
      </c>
      <c r="C247" s="238" t="e">
        <f>#REF!</f>
        <v>#REF!</v>
      </c>
      <c r="D247" s="120" t="e">
        <f>#REF!</f>
        <v>#REF!</v>
      </c>
      <c r="E247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47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48" spans="1:7" s="115" customFormat="1" ht="30" customHeight="1">
      <c r="A248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48" s="120" t="e">
        <f>#REF!</f>
        <v>#REF!</v>
      </c>
      <c r="C248" s="238" t="e">
        <f>#REF!</f>
        <v>#REF!</v>
      </c>
      <c r="D248" s="120" t="e">
        <f>#REF!</f>
        <v>#REF!</v>
      </c>
      <c r="E248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48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49" spans="1:7" s="115" customFormat="1" ht="30" customHeight="1">
      <c r="A249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49" s="120" t="e">
        <f>#REF!</f>
        <v>#REF!</v>
      </c>
      <c r="C249" s="238" t="e">
        <f>#REF!</f>
        <v>#REF!</v>
      </c>
      <c r="D249" s="120" t="e">
        <f>#REF!</f>
        <v>#REF!</v>
      </c>
      <c r="E249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49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50" spans="1:7" s="115" customFormat="1" ht="30" customHeight="1">
      <c r="A250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50" s="120" t="e">
        <f>#REF!</f>
        <v>#REF!</v>
      </c>
      <c r="C250" s="238" t="e">
        <f>#REF!</f>
        <v>#REF!</v>
      </c>
      <c r="D250" s="120" t="e">
        <f>#REF!</f>
        <v>#REF!</v>
      </c>
      <c r="E250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50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51" spans="1:7" s="115" customFormat="1" ht="30" customHeight="1">
      <c r="A251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51" s="120" t="e">
        <f>#REF!</f>
        <v>#REF!</v>
      </c>
      <c r="C251" s="238" t="e">
        <f>#REF!</f>
        <v>#REF!</v>
      </c>
      <c r="D251" s="120" t="e">
        <f>#REF!</f>
        <v>#REF!</v>
      </c>
      <c r="E251" s="12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51" s="12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52" spans="1:7" s="115" customFormat="1" ht="30" customHeight="1">
      <c r="A252" s="119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B252" s="120" t="e">
        <f>#REF!</f>
        <v>#REF!</v>
      </c>
      <c r="C252" s="299" t="e">
        <f>#REF!</f>
        <v>#REF!</v>
      </c>
      <c r="D252" s="300" t="e">
        <f>#REF!</f>
        <v>#REF!</v>
      </c>
      <c r="E252" s="301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  <c r="F252" s="302" t="e">
        <f xml:space="preserve"> _xlfn.IFS($C$3=1,#REF!, $C$3=2,#REF!, $C$3=3,#REF!, $C$3=4,#REF!, $C$3=5,#REF!, $C$3=6,#REF!, $C$3=7,#REF!, $C$3=8,#REF!, $C$3=9,#REF!, $C$3=10,#REF!, $C$3=11,#REF!, $C$3=12,#REF!, $C$3=13,#REF!, $C$3=14,#REF!, $C$3=15,#REF!, $C$3=16,#REF!, $C$3=17,#REF!, $C$3=18,#REF!, $C$3=19,#REF!, $C$3=20,#REF!)</f>
        <v>#REF!</v>
      </c>
    </row>
    <row r="253" spans="1:7" ht="24.95" customHeight="1">
      <c r="A253" s="234"/>
      <c r="B253" s="479" t="str">
        <f>IF(C3=1,"TOTAL (-10%)",  "TOTAL")</f>
        <v>TOTAL (-10%)</v>
      </c>
      <c r="C253" s="480"/>
      <c r="D253" s="477" t="e">
        <f>IF(C3=1, (SUM(F9:F252)*0.9), SUM(F9:F252))</f>
        <v>#REF!</v>
      </c>
      <c r="E253" s="477"/>
      <c r="F253" s="477"/>
    </row>
    <row r="254" spans="1:7" ht="24.95" customHeight="1">
      <c r="A254" s="234"/>
      <c r="B254" s="481" t="s">
        <v>693</v>
      </c>
      <c r="C254" s="482"/>
      <c r="D254" s="478" t="s">
        <v>697</v>
      </c>
      <c r="E254" s="478"/>
      <c r="F254" s="478"/>
    </row>
    <row r="255" spans="1:7" ht="20.100000000000001" customHeight="1">
      <c r="A255" s="234"/>
      <c r="B255" s="239"/>
      <c r="C255" s="303"/>
      <c r="D255" s="304"/>
      <c r="E255" s="305"/>
      <c r="F255" s="306"/>
      <c r="G255" s="264"/>
    </row>
    <row r="256" spans="1:7" ht="20.100000000000001" customHeight="1">
      <c r="A256" s="234"/>
      <c r="B256" s="239"/>
      <c r="C256" s="261"/>
      <c r="D256" s="240"/>
      <c r="E256" s="262"/>
      <c r="F256" s="263"/>
      <c r="G256" s="264"/>
    </row>
    <row r="257" spans="1:7" ht="20.100000000000001" customHeight="1">
      <c r="A257" s="464"/>
      <c r="B257" s="465"/>
      <c r="C257" s="465"/>
      <c r="D257" s="465"/>
      <c r="E257" s="465"/>
      <c r="F257" s="466"/>
      <c r="G257" s="264"/>
    </row>
  </sheetData>
  <sheetProtection autoFilter="0"/>
  <autoFilter ref="A8:F257" xr:uid="{1D57CE33-FDB0-47BF-A579-132DF115C4EB}"/>
  <mergeCells count="12">
    <mergeCell ref="A257:F257"/>
    <mergeCell ref="B1:F1"/>
    <mergeCell ref="C7:F7"/>
    <mergeCell ref="E3:F3"/>
    <mergeCell ref="E4:F4"/>
    <mergeCell ref="D5:F6"/>
    <mergeCell ref="B2:C2"/>
    <mergeCell ref="D2:F2"/>
    <mergeCell ref="D253:F253"/>
    <mergeCell ref="D254:F254"/>
    <mergeCell ref="B253:C253"/>
    <mergeCell ref="B254:C254"/>
  </mergeCells>
  <dataValidations count="1">
    <dataValidation type="list" allowBlank="1" showInputMessage="1" showErrorMessage="1" sqref="C3" xr:uid="{7D8672D5-6BB2-4278-A7CA-AA1F12EDCA7A}">
      <formula1>"1,2,3,4,5,6,7,8,9,10,11,12,13,14,15,16,17,18,19,20"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portrait" horizontalDpi="0" verticalDpi="0"/>
  <headerFooter>
    <oddFooter>&amp;C&amp;"Calibri,Normal"&amp;K000000Immatriculation au RCS Bayonne 879 751 477 4721Z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FF665-F27C-4EB9-A354-3A483D8067F9}">
  <sheetPr codeName="Feuil22"/>
  <dimension ref="A1:M253"/>
  <sheetViews>
    <sheetView zoomScale="125" zoomScaleNormal="150" workbookViewId="0">
      <pane ySplit="1" topLeftCell="A175" activePane="bottomLeft" state="frozen"/>
      <selection activeCell="F19" sqref="F19"/>
      <selection pane="bottomLeft" activeCell="C188" sqref="C188"/>
    </sheetView>
  </sheetViews>
  <sheetFormatPr baseColWidth="10" defaultColWidth="0" defaultRowHeight="11.25" zeroHeight="1" outlineLevelCol="1"/>
  <cols>
    <col min="1" max="1" width="11.42578125" style="2" customWidth="1"/>
    <col min="2" max="2" width="31.85546875" style="1" customWidth="1"/>
    <col min="3" max="3" width="11.42578125" style="2" customWidth="1" outlineLevel="1"/>
    <col min="4" max="4" width="51.28515625" style="1" customWidth="1" outlineLevel="1"/>
    <col min="5" max="5" width="9.28515625" style="2" customWidth="1" outlineLevel="1"/>
    <col min="6" max="6" width="6.7109375" style="2" customWidth="1" outlineLevel="1"/>
    <col min="7" max="7" width="9.7109375" style="1" customWidth="1" outlineLevel="1"/>
    <col min="8" max="8" width="6.7109375" style="1" customWidth="1"/>
    <col min="9" max="12" width="5.7109375" style="1" customWidth="1"/>
    <col min="13" max="13" width="4.140625" style="1" customWidth="1"/>
    <col min="14" max="16384" width="11.42578125" style="1" hidden="1"/>
  </cols>
  <sheetData>
    <row r="1" spans="1:13" s="2" customFormat="1" ht="38.25">
      <c r="A1" s="226" t="s">
        <v>71</v>
      </c>
      <c r="B1" s="123" t="s">
        <v>73</v>
      </c>
      <c r="C1" s="123" t="s">
        <v>74</v>
      </c>
      <c r="D1" s="123" t="s">
        <v>114</v>
      </c>
      <c r="E1" s="123" t="s">
        <v>115</v>
      </c>
      <c r="F1" s="123" t="s">
        <v>72</v>
      </c>
      <c r="G1" s="123" t="s">
        <v>116</v>
      </c>
      <c r="H1" s="123" t="s">
        <v>113</v>
      </c>
      <c r="I1" s="124" t="s">
        <v>117</v>
      </c>
      <c r="J1" s="124" t="s">
        <v>118</v>
      </c>
      <c r="K1" s="124" t="s">
        <v>119</v>
      </c>
      <c r="L1" s="123" t="s">
        <v>120</v>
      </c>
    </row>
    <row r="2" spans="1:13" ht="30" customHeight="1">
      <c r="A2" s="233">
        <v>6096</v>
      </c>
      <c r="B2" s="218" t="s">
        <v>598</v>
      </c>
      <c r="C2" s="219" t="s">
        <v>121</v>
      </c>
      <c r="D2" s="218" t="s">
        <v>122</v>
      </c>
      <c r="E2" s="219" t="s">
        <v>123</v>
      </c>
      <c r="F2" s="220" t="s">
        <v>49</v>
      </c>
      <c r="G2" s="231">
        <v>30.11</v>
      </c>
      <c r="H2" s="221" t="s">
        <v>124</v>
      </c>
      <c r="I2" s="222"/>
      <c r="J2" s="222"/>
      <c r="K2" s="222"/>
      <c r="L2" s="222"/>
    </row>
    <row r="3" spans="1:13" ht="30" customHeight="1">
      <c r="A3" s="233" t="s">
        <v>532</v>
      </c>
      <c r="B3" s="218" t="s">
        <v>128</v>
      </c>
      <c r="C3" s="219" t="s">
        <v>129</v>
      </c>
      <c r="D3" s="218" t="s">
        <v>130</v>
      </c>
      <c r="E3" s="219" t="s">
        <v>131</v>
      </c>
      <c r="F3" s="220" t="s">
        <v>662</v>
      </c>
      <c r="G3" s="231">
        <v>8.19</v>
      </c>
      <c r="H3" s="221" t="s">
        <v>132</v>
      </c>
      <c r="I3" s="222" t="s">
        <v>125</v>
      </c>
      <c r="J3" s="222"/>
      <c r="K3" s="222"/>
      <c r="L3" s="222"/>
      <c r="M3" s="125"/>
    </row>
    <row r="4" spans="1:13" ht="30" customHeight="1">
      <c r="A4" s="233">
        <v>1497</v>
      </c>
      <c r="B4" s="218" t="s">
        <v>599</v>
      </c>
      <c r="C4" s="219" t="s">
        <v>133</v>
      </c>
      <c r="D4" s="218" t="s">
        <v>134</v>
      </c>
      <c r="E4" s="219" t="s">
        <v>135</v>
      </c>
      <c r="F4" s="220" t="s">
        <v>662</v>
      </c>
      <c r="G4" s="231">
        <v>52.03</v>
      </c>
      <c r="H4" s="221" t="s">
        <v>124</v>
      </c>
      <c r="I4" s="222"/>
      <c r="J4" s="222"/>
      <c r="K4" s="222"/>
      <c r="L4" s="222"/>
    </row>
    <row r="5" spans="1:13" ht="30" customHeight="1">
      <c r="A5" s="233">
        <v>1497</v>
      </c>
      <c r="B5" s="218" t="s">
        <v>600</v>
      </c>
      <c r="C5" s="219" t="s">
        <v>133</v>
      </c>
      <c r="D5" s="218" t="s">
        <v>136</v>
      </c>
      <c r="E5" s="219" t="s">
        <v>135</v>
      </c>
      <c r="F5" s="220" t="s">
        <v>49</v>
      </c>
      <c r="G5" s="231">
        <v>26.7</v>
      </c>
      <c r="H5" s="221" t="s">
        <v>124</v>
      </c>
      <c r="I5" s="222"/>
      <c r="J5" s="222"/>
      <c r="K5" s="222"/>
      <c r="L5" s="222"/>
    </row>
    <row r="6" spans="1:13" ht="30" customHeight="1">
      <c r="A6" s="233">
        <v>1189</v>
      </c>
      <c r="B6" s="218" t="s">
        <v>601</v>
      </c>
      <c r="C6" s="219" t="s">
        <v>137</v>
      </c>
      <c r="D6" s="218" t="s">
        <v>138</v>
      </c>
      <c r="E6" s="219" t="s">
        <v>137</v>
      </c>
      <c r="F6" s="220" t="s">
        <v>49</v>
      </c>
      <c r="G6" s="231">
        <v>82.17</v>
      </c>
      <c r="H6" s="221" t="s">
        <v>124</v>
      </c>
      <c r="I6" s="222"/>
      <c r="J6" s="222"/>
      <c r="K6" s="222"/>
      <c r="L6" s="222"/>
    </row>
    <row r="7" spans="1:13" ht="30" customHeight="1">
      <c r="A7" s="233">
        <v>1189</v>
      </c>
      <c r="B7" s="218" t="s">
        <v>602</v>
      </c>
      <c r="C7" s="219" t="s">
        <v>137</v>
      </c>
      <c r="D7" s="218" t="s">
        <v>139</v>
      </c>
      <c r="E7" s="219" t="s">
        <v>137</v>
      </c>
      <c r="F7" s="220" t="s">
        <v>49</v>
      </c>
      <c r="G7" s="231">
        <v>41.77</v>
      </c>
      <c r="H7" s="221" t="s">
        <v>124</v>
      </c>
      <c r="I7" s="222"/>
      <c r="J7" s="222"/>
      <c r="K7" s="222"/>
      <c r="L7" s="222"/>
    </row>
    <row r="8" spans="1:13" ht="30" customHeight="1">
      <c r="A8" s="233">
        <v>6073</v>
      </c>
      <c r="B8" s="218" t="s">
        <v>603</v>
      </c>
      <c r="C8" s="219" t="s">
        <v>140</v>
      </c>
      <c r="D8" s="218" t="s">
        <v>141</v>
      </c>
      <c r="E8" s="219" t="s">
        <v>142</v>
      </c>
      <c r="F8" s="220" t="s">
        <v>49</v>
      </c>
      <c r="G8" s="231">
        <v>37.659999999999997</v>
      </c>
      <c r="H8" s="221" t="s">
        <v>124</v>
      </c>
      <c r="I8" s="222"/>
      <c r="J8" s="222"/>
      <c r="K8" s="222"/>
      <c r="L8" s="222"/>
    </row>
    <row r="9" spans="1:13" ht="30" customHeight="1">
      <c r="A9" s="233">
        <v>6073</v>
      </c>
      <c r="B9" s="218" t="s">
        <v>604</v>
      </c>
      <c r="C9" s="219" t="s">
        <v>140</v>
      </c>
      <c r="D9" s="218" t="s">
        <v>143</v>
      </c>
      <c r="E9" s="219" t="s">
        <v>142</v>
      </c>
      <c r="F9" s="220" t="s">
        <v>49</v>
      </c>
      <c r="G9" s="231">
        <v>19.579999999999998</v>
      </c>
      <c r="H9" s="221" t="s">
        <v>124</v>
      </c>
      <c r="I9" s="222"/>
      <c r="J9" s="222"/>
      <c r="K9" s="222"/>
      <c r="L9" s="222"/>
    </row>
    <row r="10" spans="1:13" ht="30" customHeight="1">
      <c r="A10" s="233">
        <v>1096</v>
      </c>
      <c r="B10" s="218" t="s">
        <v>605</v>
      </c>
      <c r="C10" s="219" t="s">
        <v>140</v>
      </c>
      <c r="D10" s="218" t="s">
        <v>141</v>
      </c>
      <c r="E10" s="219" t="s">
        <v>142</v>
      </c>
      <c r="F10" s="220" t="s">
        <v>49</v>
      </c>
      <c r="G10" s="231">
        <v>53.4</v>
      </c>
      <c r="H10" s="221" t="s">
        <v>124</v>
      </c>
      <c r="I10" s="222"/>
      <c r="J10" s="222"/>
      <c r="K10" s="222"/>
      <c r="L10" s="222"/>
    </row>
    <row r="11" spans="1:13" ht="30" customHeight="1">
      <c r="A11" s="233">
        <v>1096</v>
      </c>
      <c r="B11" s="218" t="s">
        <v>606</v>
      </c>
      <c r="C11" s="219" t="s">
        <v>140</v>
      </c>
      <c r="D11" s="218" t="s">
        <v>144</v>
      </c>
      <c r="E11" s="219" t="s">
        <v>142</v>
      </c>
      <c r="F11" s="220" t="s">
        <v>49</v>
      </c>
      <c r="G11" s="231">
        <v>27.37</v>
      </c>
      <c r="H11" s="221" t="s">
        <v>124</v>
      </c>
      <c r="I11" s="222"/>
      <c r="J11" s="222"/>
      <c r="K11" s="222"/>
      <c r="L11" s="222"/>
    </row>
    <row r="12" spans="1:13" ht="30" customHeight="1">
      <c r="A12" s="233">
        <v>1102</v>
      </c>
      <c r="B12" s="218" t="s">
        <v>665</v>
      </c>
      <c r="C12" s="219" t="s">
        <v>129</v>
      </c>
      <c r="D12" s="218" t="s">
        <v>145</v>
      </c>
      <c r="E12" s="219" t="s">
        <v>131</v>
      </c>
      <c r="F12" s="220" t="s">
        <v>49</v>
      </c>
      <c r="G12" s="231">
        <v>3.55</v>
      </c>
      <c r="H12" s="221" t="s">
        <v>124</v>
      </c>
      <c r="I12" s="222" t="s">
        <v>125</v>
      </c>
      <c r="J12" s="222" t="s">
        <v>125</v>
      </c>
      <c r="K12" s="222" t="s">
        <v>125</v>
      </c>
      <c r="L12" s="222"/>
    </row>
    <row r="13" spans="1:13" ht="30" customHeight="1">
      <c r="A13" s="233">
        <v>5035</v>
      </c>
      <c r="B13" s="218" t="s">
        <v>146</v>
      </c>
      <c r="C13" s="219" t="s">
        <v>126</v>
      </c>
      <c r="D13" s="218" t="s">
        <v>533</v>
      </c>
      <c r="E13" s="219" t="s">
        <v>127</v>
      </c>
      <c r="F13" s="220" t="s">
        <v>49</v>
      </c>
      <c r="G13" s="231">
        <v>4.08</v>
      </c>
      <c r="H13" s="221" t="s">
        <v>132</v>
      </c>
      <c r="I13" s="222"/>
      <c r="J13" s="222"/>
      <c r="K13" s="222"/>
      <c r="L13" s="222"/>
    </row>
    <row r="14" spans="1:13" ht="30" customHeight="1">
      <c r="A14" s="233">
        <v>5147</v>
      </c>
      <c r="B14" s="218" t="s">
        <v>147</v>
      </c>
      <c r="C14" s="219" t="s">
        <v>126</v>
      </c>
      <c r="D14" s="218" t="s">
        <v>534</v>
      </c>
      <c r="E14" s="219" t="s">
        <v>127</v>
      </c>
      <c r="F14" s="220" t="s">
        <v>49</v>
      </c>
      <c r="G14" s="231">
        <v>3.41</v>
      </c>
      <c r="H14" s="221" t="s">
        <v>132</v>
      </c>
      <c r="I14" s="222" t="s">
        <v>125</v>
      </c>
      <c r="J14" s="222" t="s">
        <v>125</v>
      </c>
      <c r="K14" s="222" t="s">
        <v>125</v>
      </c>
      <c r="L14" s="222"/>
    </row>
    <row r="15" spans="1:13" ht="30" customHeight="1">
      <c r="A15" s="233">
        <v>5127</v>
      </c>
      <c r="B15" s="218" t="s">
        <v>569</v>
      </c>
      <c r="C15" s="219" t="s">
        <v>129</v>
      </c>
      <c r="D15" s="218" t="s">
        <v>570</v>
      </c>
      <c r="E15" s="219" t="s">
        <v>131</v>
      </c>
      <c r="F15" s="220"/>
      <c r="G15" s="231">
        <v>3.69</v>
      </c>
      <c r="H15" s="221" t="s">
        <v>132</v>
      </c>
      <c r="I15" s="222" t="s">
        <v>125</v>
      </c>
      <c r="J15" s="222"/>
      <c r="K15" s="222"/>
      <c r="L15" s="222"/>
    </row>
    <row r="16" spans="1:13" ht="30" customHeight="1">
      <c r="A16" s="233">
        <v>1197</v>
      </c>
      <c r="B16" s="218" t="s">
        <v>607</v>
      </c>
      <c r="C16" s="219" t="s">
        <v>126</v>
      </c>
      <c r="D16" s="218" t="s">
        <v>148</v>
      </c>
      <c r="E16" s="219" t="s">
        <v>127</v>
      </c>
      <c r="F16" s="220" t="s">
        <v>49</v>
      </c>
      <c r="G16" s="231">
        <v>24.63</v>
      </c>
      <c r="H16" s="221" t="s">
        <v>124</v>
      </c>
      <c r="I16" s="222" t="s">
        <v>125</v>
      </c>
      <c r="J16" s="222"/>
      <c r="K16" s="222"/>
      <c r="L16" s="222"/>
    </row>
    <row r="17" spans="1:12" ht="30" customHeight="1">
      <c r="A17" s="233">
        <v>3020</v>
      </c>
      <c r="B17" s="218" t="s">
        <v>698</v>
      </c>
      <c r="C17" s="219" t="s">
        <v>149</v>
      </c>
      <c r="D17" s="218" t="s">
        <v>150</v>
      </c>
      <c r="E17" s="219" t="s">
        <v>149</v>
      </c>
      <c r="F17" s="220" t="s">
        <v>49</v>
      </c>
      <c r="G17" s="231">
        <v>4.37</v>
      </c>
      <c r="H17" s="221" t="s">
        <v>132</v>
      </c>
      <c r="I17" s="222" t="s">
        <v>125</v>
      </c>
      <c r="J17" s="222" t="s">
        <v>125</v>
      </c>
      <c r="K17" s="222"/>
      <c r="L17" s="222" t="s">
        <v>125</v>
      </c>
    </row>
    <row r="18" spans="1:12" ht="30" customHeight="1">
      <c r="A18" s="233">
        <v>1338</v>
      </c>
      <c r="B18" s="218" t="s">
        <v>699</v>
      </c>
      <c r="C18" s="219" t="s">
        <v>149</v>
      </c>
      <c r="D18" s="218" t="s">
        <v>151</v>
      </c>
      <c r="E18" s="219" t="s">
        <v>149</v>
      </c>
      <c r="F18" s="220" t="s">
        <v>49</v>
      </c>
      <c r="G18" s="231">
        <v>27.37</v>
      </c>
      <c r="H18" s="221" t="s">
        <v>124</v>
      </c>
      <c r="I18" s="222"/>
      <c r="J18" s="222"/>
      <c r="K18" s="222"/>
      <c r="L18" s="222"/>
    </row>
    <row r="19" spans="1:12" ht="30" customHeight="1">
      <c r="A19" s="233">
        <v>3785</v>
      </c>
      <c r="B19" s="218" t="s">
        <v>152</v>
      </c>
      <c r="C19" s="219" t="s">
        <v>153</v>
      </c>
      <c r="D19" s="218" t="s">
        <v>154</v>
      </c>
      <c r="E19" s="219" t="s">
        <v>155</v>
      </c>
      <c r="F19" s="220" t="s">
        <v>49</v>
      </c>
      <c r="G19" s="231">
        <v>4.37</v>
      </c>
      <c r="H19" s="221" t="s">
        <v>132</v>
      </c>
      <c r="I19" s="222" t="s">
        <v>125</v>
      </c>
      <c r="J19" s="222" t="s">
        <v>125</v>
      </c>
      <c r="K19" s="222"/>
      <c r="L19" s="222"/>
    </row>
    <row r="20" spans="1:12" ht="30" customHeight="1">
      <c r="A20" s="233">
        <v>1827</v>
      </c>
      <c r="B20" s="218" t="s">
        <v>156</v>
      </c>
      <c r="C20" s="219" t="s">
        <v>153</v>
      </c>
      <c r="D20" s="218" t="s">
        <v>157</v>
      </c>
      <c r="E20" s="219" t="s">
        <v>155</v>
      </c>
      <c r="F20" s="220" t="s">
        <v>49</v>
      </c>
      <c r="G20" s="231">
        <v>7.52</v>
      </c>
      <c r="H20" s="221" t="s">
        <v>132</v>
      </c>
      <c r="I20" s="222" t="s">
        <v>125</v>
      </c>
      <c r="J20" s="222" t="s">
        <v>125</v>
      </c>
      <c r="K20" s="222"/>
      <c r="L20" s="222"/>
    </row>
    <row r="21" spans="1:12" ht="30" customHeight="1">
      <c r="A21" s="233">
        <v>1008</v>
      </c>
      <c r="B21" s="218" t="s">
        <v>700</v>
      </c>
      <c r="C21" s="219" t="s">
        <v>129</v>
      </c>
      <c r="D21" s="218" t="s">
        <v>701</v>
      </c>
      <c r="E21" s="219" t="s">
        <v>131</v>
      </c>
      <c r="F21" s="220"/>
      <c r="G21" s="231">
        <v>3.69</v>
      </c>
      <c r="H21" s="221" t="s">
        <v>132</v>
      </c>
      <c r="I21" s="222" t="s">
        <v>125</v>
      </c>
      <c r="J21" s="222" t="s">
        <v>125</v>
      </c>
      <c r="K21" s="222"/>
      <c r="L21" s="222" t="s">
        <v>125</v>
      </c>
    </row>
    <row r="22" spans="1:12" ht="30" customHeight="1">
      <c r="A22" s="233">
        <v>3001</v>
      </c>
      <c r="B22" s="218" t="s">
        <v>536</v>
      </c>
      <c r="C22" s="219" t="s">
        <v>126</v>
      </c>
      <c r="D22" s="218" t="s">
        <v>535</v>
      </c>
      <c r="E22" s="219" t="s">
        <v>127</v>
      </c>
      <c r="F22" s="220" t="s">
        <v>49</v>
      </c>
      <c r="G22" s="231">
        <v>5.33</v>
      </c>
      <c r="H22" s="221" t="s">
        <v>132</v>
      </c>
      <c r="I22" s="222" t="s">
        <v>125</v>
      </c>
      <c r="J22" s="222" t="s">
        <v>125</v>
      </c>
      <c r="K22" s="222"/>
      <c r="L22" s="222" t="s">
        <v>125</v>
      </c>
    </row>
    <row r="23" spans="1:12" ht="30" customHeight="1">
      <c r="A23" s="233">
        <v>1001</v>
      </c>
      <c r="B23" s="218" t="s">
        <v>158</v>
      </c>
      <c r="C23" s="219" t="s">
        <v>126</v>
      </c>
      <c r="D23" s="218" t="s">
        <v>159</v>
      </c>
      <c r="E23" s="219" t="s">
        <v>127</v>
      </c>
      <c r="F23" s="220"/>
      <c r="G23" s="231">
        <v>5.45</v>
      </c>
      <c r="H23" s="221" t="s">
        <v>132</v>
      </c>
      <c r="I23" s="222" t="s">
        <v>125</v>
      </c>
      <c r="J23" s="222" t="s">
        <v>125</v>
      </c>
      <c r="K23" s="222"/>
      <c r="L23" s="222" t="s">
        <v>125</v>
      </c>
    </row>
    <row r="24" spans="1:12" ht="30" customHeight="1">
      <c r="A24" s="233">
        <v>3944</v>
      </c>
      <c r="B24" s="218" t="s">
        <v>565</v>
      </c>
      <c r="C24" s="219" t="s">
        <v>126</v>
      </c>
      <c r="D24" s="218" t="s">
        <v>566</v>
      </c>
      <c r="E24" s="219" t="s">
        <v>127</v>
      </c>
      <c r="F24" s="220" t="s">
        <v>49</v>
      </c>
      <c r="G24" s="231">
        <v>5.74</v>
      </c>
      <c r="H24" s="221" t="s">
        <v>132</v>
      </c>
      <c r="I24" s="222"/>
      <c r="J24" s="222"/>
      <c r="K24" s="222"/>
      <c r="L24" s="222" t="s">
        <v>125</v>
      </c>
    </row>
    <row r="25" spans="1:12" ht="30" customHeight="1">
      <c r="A25" s="233" t="s">
        <v>702</v>
      </c>
      <c r="B25" s="218" t="s">
        <v>703</v>
      </c>
      <c r="C25" s="219" t="s">
        <v>129</v>
      </c>
      <c r="D25" s="218" t="s">
        <v>704</v>
      </c>
      <c r="E25" s="219" t="s">
        <v>131</v>
      </c>
      <c r="F25" s="220"/>
      <c r="G25" s="231">
        <v>4.08</v>
      </c>
      <c r="H25" s="221" t="s">
        <v>132</v>
      </c>
      <c r="I25" s="222" t="s">
        <v>125</v>
      </c>
      <c r="J25" s="222" t="s">
        <v>125</v>
      </c>
      <c r="K25" s="222" t="s">
        <v>125</v>
      </c>
      <c r="L25" s="222" t="s">
        <v>125</v>
      </c>
    </row>
    <row r="26" spans="1:12" ht="30" customHeight="1">
      <c r="A26" s="233">
        <v>3048</v>
      </c>
      <c r="B26" s="218" t="s">
        <v>608</v>
      </c>
      <c r="C26" s="219" t="s">
        <v>129</v>
      </c>
      <c r="D26" s="218" t="s">
        <v>609</v>
      </c>
      <c r="E26" s="219" t="s">
        <v>131</v>
      </c>
      <c r="F26" s="220" t="s">
        <v>49</v>
      </c>
      <c r="G26" s="231">
        <v>5.45</v>
      </c>
      <c r="H26" s="221" t="s">
        <v>132</v>
      </c>
      <c r="I26" s="222" t="s">
        <v>125</v>
      </c>
      <c r="J26" s="222" t="s">
        <v>125</v>
      </c>
      <c r="K26" s="222"/>
      <c r="L26" s="222" t="s">
        <v>125</v>
      </c>
    </row>
    <row r="27" spans="1:12" ht="30" customHeight="1">
      <c r="A27" s="233">
        <v>1200</v>
      </c>
      <c r="B27" s="218" t="s">
        <v>610</v>
      </c>
      <c r="C27" s="219" t="s">
        <v>126</v>
      </c>
      <c r="D27" s="218" t="s">
        <v>611</v>
      </c>
      <c r="E27" s="219" t="s">
        <v>127</v>
      </c>
      <c r="F27" s="220" t="s">
        <v>49</v>
      </c>
      <c r="G27" s="231">
        <v>6.15</v>
      </c>
      <c r="H27" s="221" t="s">
        <v>132</v>
      </c>
      <c r="I27" s="222" t="s">
        <v>125</v>
      </c>
      <c r="J27" s="222" t="s">
        <v>125</v>
      </c>
      <c r="K27" s="222"/>
      <c r="L27" s="222" t="s">
        <v>125</v>
      </c>
    </row>
    <row r="28" spans="1:12" ht="30" customHeight="1">
      <c r="A28" s="233">
        <v>1527</v>
      </c>
      <c r="B28" s="218" t="s">
        <v>517</v>
      </c>
      <c r="C28" s="219" t="s">
        <v>160</v>
      </c>
      <c r="D28" s="218" t="s">
        <v>161</v>
      </c>
      <c r="E28" s="219" t="s">
        <v>162</v>
      </c>
      <c r="F28" s="220" t="s">
        <v>49</v>
      </c>
      <c r="G28" s="231">
        <v>28.74</v>
      </c>
      <c r="H28" s="221" t="s">
        <v>124</v>
      </c>
      <c r="I28" s="222"/>
      <c r="J28" s="222"/>
      <c r="K28" s="222"/>
      <c r="L28" s="222"/>
    </row>
    <row r="29" spans="1:12" ht="30" customHeight="1">
      <c r="A29" s="233">
        <v>1527</v>
      </c>
      <c r="B29" s="218" t="s">
        <v>518</v>
      </c>
      <c r="C29" s="219" t="s">
        <v>160</v>
      </c>
      <c r="D29" s="218" t="s">
        <v>163</v>
      </c>
      <c r="E29" s="219" t="s">
        <v>162</v>
      </c>
      <c r="F29" s="220" t="s">
        <v>49</v>
      </c>
      <c r="G29" s="231">
        <v>15.04</v>
      </c>
      <c r="H29" s="221" t="s">
        <v>124</v>
      </c>
      <c r="I29" s="222"/>
      <c r="J29" s="222"/>
      <c r="K29" s="222"/>
      <c r="L29" s="222"/>
    </row>
    <row r="30" spans="1:12" ht="30" customHeight="1">
      <c r="A30" s="233">
        <v>3033</v>
      </c>
      <c r="B30" s="218" t="s">
        <v>537</v>
      </c>
      <c r="C30" s="219" t="s">
        <v>126</v>
      </c>
      <c r="D30" s="218" t="s">
        <v>164</v>
      </c>
      <c r="E30" s="219" t="s">
        <v>127</v>
      </c>
      <c r="F30" s="220" t="s">
        <v>49</v>
      </c>
      <c r="G30" s="231">
        <v>4.08</v>
      </c>
      <c r="H30" s="223" t="s">
        <v>132</v>
      </c>
      <c r="I30" s="222" t="s">
        <v>125</v>
      </c>
      <c r="J30" s="222" t="s">
        <v>125</v>
      </c>
      <c r="K30" s="222" t="s">
        <v>125</v>
      </c>
      <c r="L30" s="222" t="s">
        <v>125</v>
      </c>
    </row>
    <row r="31" spans="1:12" ht="30" customHeight="1">
      <c r="A31" s="233" t="s">
        <v>577</v>
      </c>
      <c r="B31" s="218" t="s">
        <v>666</v>
      </c>
      <c r="C31" s="219" t="s">
        <v>578</v>
      </c>
      <c r="D31" s="218" t="s">
        <v>579</v>
      </c>
      <c r="E31" s="219" t="s">
        <v>580</v>
      </c>
      <c r="F31" s="220" t="s">
        <v>49</v>
      </c>
      <c r="G31" s="231">
        <v>4.78</v>
      </c>
      <c r="H31" s="221" t="s">
        <v>132</v>
      </c>
      <c r="I31" s="222" t="s">
        <v>125</v>
      </c>
      <c r="J31" s="222"/>
      <c r="K31" s="222"/>
      <c r="L31" s="222" t="s">
        <v>125</v>
      </c>
    </row>
    <row r="32" spans="1:12" ht="30" customHeight="1">
      <c r="A32" s="233">
        <v>3746</v>
      </c>
      <c r="B32" s="218" t="s">
        <v>667</v>
      </c>
      <c r="C32" s="219" t="s">
        <v>126</v>
      </c>
      <c r="D32" s="218" t="s">
        <v>165</v>
      </c>
      <c r="E32" s="219" t="s">
        <v>127</v>
      </c>
      <c r="F32" s="220" t="s">
        <v>49</v>
      </c>
      <c r="G32" s="231">
        <v>4.78</v>
      </c>
      <c r="H32" s="221" t="s">
        <v>124</v>
      </c>
      <c r="I32" s="222"/>
      <c r="J32" s="222"/>
      <c r="K32" s="222"/>
      <c r="L32" s="222"/>
    </row>
    <row r="33" spans="1:12" ht="30" customHeight="1">
      <c r="A33" s="233">
        <v>1458</v>
      </c>
      <c r="B33" s="218" t="s">
        <v>612</v>
      </c>
      <c r="C33" s="219" t="s">
        <v>133</v>
      </c>
      <c r="D33" s="218" t="s">
        <v>613</v>
      </c>
      <c r="E33" s="219" t="s">
        <v>135</v>
      </c>
      <c r="F33" s="220"/>
      <c r="G33" s="231">
        <v>8.07</v>
      </c>
      <c r="H33" s="223" t="s">
        <v>124</v>
      </c>
      <c r="I33" s="222"/>
      <c r="J33" s="222"/>
      <c r="K33" s="222"/>
      <c r="L33" s="222"/>
    </row>
    <row r="34" spans="1:12" ht="30" customHeight="1">
      <c r="A34" s="233" t="s">
        <v>166</v>
      </c>
      <c r="B34" s="218" t="s">
        <v>167</v>
      </c>
      <c r="C34" s="219" t="s">
        <v>129</v>
      </c>
      <c r="D34" s="218" t="s">
        <v>168</v>
      </c>
      <c r="E34" s="219" t="s">
        <v>131</v>
      </c>
      <c r="F34" s="220"/>
      <c r="G34" s="231">
        <v>2.3199999999999998</v>
      </c>
      <c r="H34" s="221" t="s">
        <v>132</v>
      </c>
      <c r="I34" s="222" t="s">
        <v>125</v>
      </c>
      <c r="J34" s="222"/>
      <c r="K34" s="222"/>
      <c r="L34" s="222" t="s">
        <v>125</v>
      </c>
    </row>
    <row r="35" spans="1:12" ht="30" customHeight="1">
      <c r="A35" s="233">
        <v>1696</v>
      </c>
      <c r="B35" s="224" t="s">
        <v>614</v>
      </c>
      <c r="C35" s="229" t="s">
        <v>169</v>
      </c>
      <c r="D35" s="224" t="s">
        <v>170</v>
      </c>
      <c r="E35" s="229" t="s">
        <v>171</v>
      </c>
      <c r="F35" s="230" t="s">
        <v>49</v>
      </c>
      <c r="G35" s="232">
        <v>23.96</v>
      </c>
      <c r="H35" s="221" t="s">
        <v>124</v>
      </c>
      <c r="I35" s="228"/>
      <c r="J35" s="228"/>
      <c r="K35" s="228"/>
      <c r="L35" s="228"/>
    </row>
    <row r="36" spans="1:12" ht="30" customHeight="1">
      <c r="A36" s="233">
        <v>1696</v>
      </c>
      <c r="B36" s="218" t="s">
        <v>615</v>
      </c>
      <c r="C36" s="219" t="s">
        <v>169</v>
      </c>
      <c r="D36" s="218" t="s">
        <v>172</v>
      </c>
      <c r="E36" s="219" t="s">
        <v>171</v>
      </c>
      <c r="F36" s="220" t="s">
        <v>49</v>
      </c>
      <c r="G36" s="231">
        <v>12.73</v>
      </c>
      <c r="H36" s="221" t="s">
        <v>124</v>
      </c>
      <c r="I36" s="222"/>
      <c r="J36" s="222"/>
      <c r="K36" s="222"/>
      <c r="L36" s="222"/>
    </row>
    <row r="37" spans="1:12" ht="30" customHeight="1">
      <c r="A37" s="233">
        <v>1758</v>
      </c>
      <c r="B37" s="218" t="s">
        <v>616</v>
      </c>
      <c r="C37" s="219" t="s">
        <v>173</v>
      </c>
      <c r="D37" s="218" t="s">
        <v>617</v>
      </c>
      <c r="E37" s="219" t="s">
        <v>175</v>
      </c>
      <c r="F37" s="220"/>
      <c r="G37" s="231">
        <v>23.26</v>
      </c>
      <c r="H37" s="221" t="s">
        <v>124</v>
      </c>
      <c r="I37" s="222"/>
      <c r="J37" s="222"/>
      <c r="K37" s="222"/>
      <c r="L37" s="222"/>
    </row>
    <row r="38" spans="1:12" ht="30" customHeight="1">
      <c r="A38" s="233">
        <v>1257</v>
      </c>
      <c r="B38" s="218" t="s">
        <v>538</v>
      </c>
      <c r="C38" s="219" t="s">
        <v>126</v>
      </c>
      <c r="D38" s="218" t="s">
        <v>531</v>
      </c>
      <c r="E38" s="219" t="s">
        <v>127</v>
      </c>
      <c r="F38" s="220"/>
      <c r="G38" s="231">
        <v>5.45</v>
      </c>
      <c r="H38" s="221" t="s">
        <v>132</v>
      </c>
      <c r="I38" s="222"/>
      <c r="J38" s="222"/>
      <c r="K38" s="222"/>
      <c r="L38" s="222" t="s">
        <v>125</v>
      </c>
    </row>
    <row r="39" spans="1:12" ht="30" customHeight="1">
      <c r="A39" s="233">
        <v>1597</v>
      </c>
      <c r="B39" s="218" t="s">
        <v>705</v>
      </c>
      <c r="C39" s="219" t="s">
        <v>173</v>
      </c>
      <c r="D39" s="218" t="s">
        <v>618</v>
      </c>
      <c r="E39" s="219" t="s">
        <v>175</v>
      </c>
      <c r="F39" s="220"/>
      <c r="G39" s="231">
        <v>14.65</v>
      </c>
      <c r="H39" s="221" t="s">
        <v>124</v>
      </c>
      <c r="I39" s="222" t="s">
        <v>125</v>
      </c>
      <c r="J39" s="222"/>
      <c r="K39" s="222"/>
      <c r="L39" s="222"/>
    </row>
    <row r="40" spans="1:12" ht="30" customHeight="1">
      <c r="A40" s="233">
        <v>6099</v>
      </c>
      <c r="B40" s="218" t="s">
        <v>619</v>
      </c>
      <c r="C40" s="219" t="s">
        <v>173</v>
      </c>
      <c r="D40" s="218" t="s">
        <v>176</v>
      </c>
      <c r="E40" s="219" t="s">
        <v>175</v>
      </c>
      <c r="F40" s="220"/>
      <c r="G40" s="231">
        <v>18.48</v>
      </c>
      <c r="H40" s="221" t="s">
        <v>124</v>
      </c>
      <c r="I40" s="222"/>
      <c r="J40" s="222"/>
      <c r="K40" s="222"/>
      <c r="L40" s="222"/>
    </row>
    <row r="41" spans="1:12" ht="30" customHeight="1">
      <c r="A41" s="233">
        <v>3210</v>
      </c>
      <c r="B41" s="218" t="s">
        <v>177</v>
      </c>
      <c r="C41" s="219" t="s">
        <v>126</v>
      </c>
      <c r="D41" s="218" t="s">
        <v>178</v>
      </c>
      <c r="E41" s="219" t="s">
        <v>127</v>
      </c>
      <c r="F41" s="220"/>
      <c r="G41" s="231">
        <v>4.92</v>
      </c>
      <c r="H41" s="223" t="s">
        <v>132</v>
      </c>
      <c r="I41" s="222" t="s">
        <v>125</v>
      </c>
      <c r="J41" s="222" t="s">
        <v>125</v>
      </c>
      <c r="K41" s="222"/>
      <c r="L41" s="222" t="s">
        <v>125</v>
      </c>
    </row>
    <row r="42" spans="1:12" ht="30" customHeight="1">
      <c r="A42" s="233">
        <v>5075</v>
      </c>
      <c r="B42" s="218" t="s">
        <v>179</v>
      </c>
      <c r="C42" s="219" t="s">
        <v>126</v>
      </c>
      <c r="D42" s="218" t="s">
        <v>180</v>
      </c>
      <c r="E42" s="219" t="s">
        <v>127</v>
      </c>
      <c r="F42" s="220"/>
      <c r="G42" s="231">
        <v>3.14</v>
      </c>
      <c r="H42" s="221" t="s">
        <v>132</v>
      </c>
      <c r="I42" s="222" t="s">
        <v>125</v>
      </c>
      <c r="J42" s="222"/>
      <c r="K42" s="222"/>
      <c r="L42" s="222" t="s">
        <v>125</v>
      </c>
    </row>
    <row r="43" spans="1:12" ht="30" customHeight="1">
      <c r="A43" s="233">
        <v>3017</v>
      </c>
      <c r="B43" s="218" t="s">
        <v>182</v>
      </c>
      <c r="C43" s="219" t="s">
        <v>126</v>
      </c>
      <c r="D43" s="218" t="s">
        <v>183</v>
      </c>
      <c r="E43" s="219" t="s">
        <v>127</v>
      </c>
      <c r="F43" s="220"/>
      <c r="G43" s="231">
        <v>1.9</v>
      </c>
      <c r="H43" s="221" t="s">
        <v>132</v>
      </c>
      <c r="I43" s="222" t="s">
        <v>125</v>
      </c>
      <c r="J43" s="222" t="s">
        <v>125</v>
      </c>
      <c r="K43" s="222" t="s">
        <v>125</v>
      </c>
      <c r="L43" s="222" t="s">
        <v>125</v>
      </c>
    </row>
    <row r="44" spans="1:12" ht="30" customHeight="1">
      <c r="A44" s="217">
        <v>1034</v>
      </c>
      <c r="B44" s="218" t="s">
        <v>670</v>
      </c>
      <c r="C44" s="219" t="s">
        <v>129</v>
      </c>
      <c r="D44" s="218" t="s">
        <v>181</v>
      </c>
      <c r="E44" s="219" t="s">
        <v>129</v>
      </c>
      <c r="F44" s="220"/>
      <c r="G44" s="231">
        <v>2.3199999999999998</v>
      </c>
      <c r="H44" s="221" t="s">
        <v>132</v>
      </c>
      <c r="I44" s="222" t="s">
        <v>125</v>
      </c>
      <c r="J44" s="222" t="s">
        <v>125</v>
      </c>
      <c r="K44" s="222"/>
      <c r="L44" s="222" t="s">
        <v>125</v>
      </c>
    </row>
    <row r="45" spans="1:12" ht="30" customHeight="1">
      <c r="A45" s="217">
        <v>6117</v>
      </c>
      <c r="B45" s="218" t="s">
        <v>671</v>
      </c>
      <c r="C45" s="219" t="s">
        <v>126</v>
      </c>
      <c r="D45" s="218" t="s">
        <v>620</v>
      </c>
      <c r="E45" s="219" t="s">
        <v>127</v>
      </c>
      <c r="F45" s="220" t="s">
        <v>49</v>
      </c>
      <c r="G45" s="231">
        <v>1.34</v>
      </c>
      <c r="H45" s="223" t="s">
        <v>124</v>
      </c>
      <c r="I45" s="222"/>
      <c r="J45" s="222"/>
      <c r="K45" s="222"/>
      <c r="L45" s="222"/>
    </row>
    <row r="46" spans="1:12" ht="30" customHeight="1">
      <c r="A46" s="217">
        <v>3023</v>
      </c>
      <c r="B46" s="218" t="s">
        <v>672</v>
      </c>
      <c r="C46" s="219" t="s">
        <v>126</v>
      </c>
      <c r="D46" s="218" t="s">
        <v>184</v>
      </c>
      <c r="E46" s="219" t="s">
        <v>127</v>
      </c>
      <c r="F46" s="220"/>
      <c r="G46" s="231">
        <v>3.41</v>
      </c>
      <c r="H46" s="221" t="s">
        <v>132</v>
      </c>
      <c r="I46" s="222" t="s">
        <v>125</v>
      </c>
      <c r="J46" s="222"/>
      <c r="K46" s="222"/>
      <c r="L46" s="222" t="s">
        <v>125</v>
      </c>
    </row>
    <row r="47" spans="1:12" ht="30" customHeight="1">
      <c r="A47" s="233">
        <v>1117</v>
      </c>
      <c r="B47" s="218" t="s">
        <v>185</v>
      </c>
      <c r="C47" s="219" t="s">
        <v>129</v>
      </c>
      <c r="D47" s="218" t="s">
        <v>186</v>
      </c>
      <c r="E47" s="219" t="s">
        <v>131</v>
      </c>
      <c r="F47" s="220"/>
      <c r="G47" s="231">
        <v>3.69</v>
      </c>
      <c r="H47" s="221" t="s">
        <v>132</v>
      </c>
      <c r="I47" s="222" t="s">
        <v>125</v>
      </c>
      <c r="J47" s="222"/>
      <c r="K47" s="222"/>
      <c r="L47" s="222" t="s">
        <v>125</v>
      </c>
    </row>
    <row r="48" spans="1:12" ht="30" customHeight="1">
      <c r="A48" s="233">
        <v>1572</v>
      </c>
      <c r="B48" s="218" t="s">
        <v>621</v>
      </c>
      <c r="C48" s="219" t="s">
        <v>187</v>
      </c>
      <c r="D48" s="218" t="s">
        <v>188</v>
      </c>
      <c r="E48" s="219" t="s">
        <v>189</v>
      </c>
      <c r="F48" s="220" t="s">
        <v>49</v>
      </c>
      <c r="G48" s="231">
        <v>6.15</v>
      </c>
      <c r="H48" s="221" t="s">
        <v>124</v>
      </c>
      <c r="I48" s="222" t="s">
        <v>125</v>
      </c>
      <c r="J48" s="222"/>
      <c r="K48" s="222"/>
      <c r="L48" s="222"/>
    </row>
    <row r="49" spans="1:12" ht="30" customHeight="1">
      <c r="A49" s="233">
        <v>1611</v>
      </c>
      <c r="B49" s="218" t="s">
        <v>622</v>
      </c>
      <c r="C49" s="219" t="s">
        <v>190</v>
      </c>
      <c r="D49" s="218" t="s">
        <v>191</v>
      </c>
      <c r="E49" s="219" t="s">
        <v>190</v>
      </c>
      <c r="F49" s="220" t="s">
        <v>49</v>
      </c>
      <c r="G49" s="231">
        <v>9.3000000000000007</v>
      </c>
      <c r="H49" s="221" t="s">
        <v>124</v>
      </c>
      <c r="I49" s="222" t="s">
        <v>125</v>
      </c>
      <c r="J49" s="222" t="s">
        <v>125</v>
      </c>
      <c r="K49" s="222"/>
      <c r="L49" s="222"/>
    </row>
    <row r="50" spans="1:12" ht="30" customHeight="1">
      <c r="A50" s="233">
        <v>3032</v>
      </c>
      <c r="B50" s="218" t="s">
        <v>588</v>
      </c>
      <c r="C50" s="219" t="s">
        <v>126</v>
      </c>
      <c r="D50" s="218" t="s">
        <v>706</v>
      </c>
      <c r="E50" s="219" t="s">
        <v>127</v>
      </c>
      <c r="F50" s="220"/>
      <c r="G50" s="231">
        <v>4.08</v>
      </c>
      <c r="H50" s="221" t="s">
        <v>132</v>
      </c>
      <c r="I50" s="222" t="s">
        <v>125</v>
      </c>
      <c r="J50" s="222" t="s">
        <v>125</v>
      </c>
      <c r="K50" s="222" t="s">
        <v>125</v>
      </c>
      <c r="L50" s="222" t="s">
        <v>125</v>
      </c>
    </row>
    <row r="51" spans="1:12" ht="30" customHeight="1">
      <c r="A51" s="233">
        <v>1178</v>
      </c>
      <c r="B51" s="218" t="s">
        <v>589</v>
      </c>
      <c r="C51" s="219" t="s">
        <v>126</v>
      </c>
      <c r="D51" s="218" t="s">
        <v>587</v>
      </c>
      <c r="E51" s="219" t="s">
        <v>127</v>
      </c>
      <c r="F51" s="220"/>
      <c r="G51" s="231">
        <v>5.0599999999999996</v>
      </c>
      <c r="H51" s="223" t="s">
        <v>132</v>
      </c>
      <c r="I51" s="222" t="s">
        <v>125</v>
      </c>
      <c r="J51" s="222" t="s">
        <v>125</v>
      </c>
      <c r="K51" s="222" t="s">
        <v>125</v>
      </c>
      <c r="L51" s="222" t="s">
        <v>125</v>
      </c>
    </row>
    <row r="52" spans="1:12" ht="30" customHeight="1">
      <c r="A52" s="233">
        <v>1209</v>
      </c>
      <c r="B52" s="218" t="s">
        <v>707</v>
      </c>
      <c r="C52" s="219" t="s">
        <v>126</v>
      </c>
      <c r="D52" s="218" t="s">
        <v>708</v>
      </c>
      <c r="E52" s="219" t="s">
        <v>127</v>
      </c>
      <c r="F52" s="220"/>
      <c r="G52" s="231">
        <v>6.56</v>
      </c>
      <c r="H52" s="223" t="s">
        <v>132</v>
      </c>
      <c r="I52" s="222" t="s">
        <v>125</v>
      </c>
      <c r="J52" s="222"/>
      <c r="K52" s="222"/>
      <c r="L52" s="222"/>
    </row>
    <row r="53" spans="1:12" ht="30" customHeight="1">
      <c r="A53" s="233">
        <v>1626</v>
      </c>
      <c r="B53" s="218" t="s">
        <v>585</v>
      </c>
      <c r="C53" s="219" t="s">
        <v>126</v>
      </c>
      <c r="D53" s="218" t="s">
        <v>574</v>
      </c>
      <c r="E53" s="219" t="s">
        <v>127</v>
      </c>
      <c r="F53" s="220"/>
      <c r="G53" s="231">
        <v>6.15</v>
      </c>
      <c r="H53" s="221" t="s">
        <v>132</v>
      </c>
      <c r="I53" s="222" t="s">
        <v>125</v>
      </c>
      <c r="J53" s="222"/>
      <c r="K53" s="222"/>
      <c r="L53" s="222" t="s">
        <v>125</v>
      </c>
    </row>
    <row r="54" spans="1:12" ht="30" customHeight="1">
      <c r="A54" s="233">
        <v>1006</v>
      </c>
      <c r="B54" s="218" t="s">
        <v>192</v>
      </c>
      <c r="C54" s="219" t="s">
        <v>129</v>
      </c>
      <c r="D54" s="218" t="s">
        <v>193</v>
      </c>
      <c r="E54" s="219" t="s">
        <v>131</v>
      </c>
      <c r="F54" s="220"/>
      <c r="G54" s="231">
        <v>3</v>
      </c>
      <c r="H54" s="221" t="s">
        <v>132</v>
      </c>
      <c r="I54" s="222" t="s">
        <v>125</v>
      </c>
      <c r="J54" s="222"/>
      <c r="K54" s="222"/>
      <c r="L54" s="222" t="s">
        <v>125</v>
      </c>
    </row>
    <row r="55" spans="1:12" ht="30" customHeight="1">
      <c r="A55" s="233">
        <v>5037</v>
      </c>
      <c r="B55" s="218" t="s">
        <v>709</v>
      </c>
      <c r="C55" s="219" t="s">
        <v>194</v>
      </c>
      <c r="D55" s="218" t="s">
        <v>195</v>
      </c>
      <c r="E55" s="219" t="s">
        <v>539</v>
      </c>
      <c r="F55" s="220"/>
      <c r="G55" s="231">
        <v>10.93</v>
      </c>
      <c r="H55" s="221" t="s">
        <v>124</v>
      </c>
      <c r="I55" s="222"/>
      <c r="J55" s="222"/>
      <c r="K55" s="222"/>
      <c r="L55" s="222"/>
    </row>
    <row r="56" spans="1:12" ht="30" customHeight="1">
      <c r="A56" s="233">
        <v>5037</v>
      </c>
      <c r="B56" s="218" t="s">
        <v>710</v>
      </c>
      <c r="C56" s="219" t="s">
        <v>194</v>
      </c>
      <c r="D56" s="218" t="s">
        <v>196</v>
      </c>
      <c r="E56" s="219" t="s">
        <v>539</v>
      </c>
      <c r="F56" s="220"/>
      <c r="G56" s="231">
        <v>23.26</v>
      </c>
      <c r="H56" s="221" t="s">
        <v>124</v>
      </c>
      <c r="I56" s="222"/>
      <c r="J56" s="222"/>
      <c r="K56" s="222"/>
      <c r="L56" s="222"/>
    </row>
    <row r="57" spans="1:12" ht="30" customHeight="1">
      <c r="A57" s="233">
        <v>6019</v>
      </c>
      <c r="B57" s="218" t="s">
        <v>674</v>
      </c>
      <c r="C57" s="219" t="s">
        <v>126</v>
      </c>
      <c r="D57" s="218" t="s">
        <v>529</v>
      </c>
      <c r="E57" s="219" t="s">
        <v>127</v>
      </c>
      <c r="F57" s="220" t="s">
        <v>49</v>
      </c>
      <c r="G57" s="231">
        <v>12.3</v>
      </c>
      <c r="H57" s="221" t="s">
        <v>360</v>
      </c>
      <c r="I57" s="222"/>
      <c r="J57" s="222"/>
      <c r="K57" s="222"/>
      <c r="L57" s="222"/>
    </row>
    <row r="58" spans="1:12" ht="30" customHeight="1">
      <c r="A58" s="233">
        <v>6019</v>
      </c>
      <c r="B58" s="218" t="s">
        <v>673</v>
      </c>
      <c r="C58" s="219" t="s">
        <v>126</v>
      </c>
      <c r="D58" s="218" t="s">
        <v>530</v>
      </c>
      <c r="E58" s="219" t="s">
        <v>127</v>
      </c>
      <c r="F58" s="220" t="s">
        <v>49</v>
      </c>
      <c r="G58" s="231">
        <v>26</v>
      </c>
      <c r="H58" s="221" t="s">
        <v>348</v>
      </c>
      <c r="I58" s="222"/>
      <c r="J58" s="222"/>
      <c r="K58" s="222"/>
      <c r="L58" s="222"/>
    </row>
    <row r="59" spans="1:12" ht="30" customHeight="1">
      <c r="A59" s="233">
        <v>3421</v>
      </c>
      <c r="B59" s="218" t="s">
        <v>675</v>
      </c>
      <c r="C59" s="219" t="s">
        <v>126</v>
      </c>
      <c r="D59" s="218" t="s">
        <v>540</v>
      </c>
      <c r="E59" s="219" t="s">
        <v>127</v>
      </c>
      <c r="F59" s="220" t="s">
        <v>49</v>
      </c>
      <c r="G59" s="231">
        <v>2.93</v>
      </c>
      <c r="H59" s="221" t="s">
        <v>132</v>
      </c>
      <c r="I59" s="222" t="s">
        <v>125</v>
      </c>
      <c r="J59" s="222" t="s">
        <v>125</v>
      </c>
      <c r="K59" s="222" t="s">
        <v>125</v>
      </c>
      <c r="L59" s="222" t="s">
        <v>125</v>
      </c>
    </row>
    <row r="60" spans="1:12" ht="30" customHeight="1">
      <c r="A60" s="233">
        <v>6094</v>
      </c>
      <c r="B60" s="218" t="s">
        <v>197</v>
      </c>
      <c r="C60" s="219" t="s">
        <v>129</v>
      </c>
      <c r="D60" s="218" t="s">
        <v>198</v>
      </c>
      <c r="E60" s="219" t="s">
        <v>131</v>
      </c>
      <c r="F60" s="220"/>
      <c r="G60" s="231">
        <v>1.77</v>
      </c>
      <c r="H60" s="221" t="s">
        <v>132</v>
      </c>
      <c r="I60" s="222" t="s">
        <v>125</v>
      </c>
      <c r="J60" s="222" t="s">
        <v>125</v>
      </c>
      <c r="K60" s="222" t="s">
        <v>125</v>
      </c>
      <c r="L60" s="222" t="s">
        <v>125</v>
      </c>
    </row>
    <row r="61" spans="1:12" ht="30" customHeight="1">
      <c r="A61" s="233">
        <v>1023</v>
      </c>
      <c r="B61" s="218" t="s">
        <v>541</v>
      </c>
      <c r="C61" s="219" t="s">
        <v>129</v>
      </c>
      <c r="D61" s="218" t="s">
        <v>199</v>
      </c>
      <c r="E61" s="219" t="s">
        <v>131</v>
      </c>
      <c r="F61" s="220" t="s">
        <v>49</v>
      </c>
      <c r="G61" s="231">
        <v>3.14</v>
      </c>
      <c r="H61" s="221" t="s">
        <v>132</v>
      </c>
      <c r="I61" s="222" t="s">
        <v>125</v>
      </c>
      <c r="J61" s="222" t="s">
        <v>125</v>
      </c>
      <c r="K61" s="222" t="s">
        <v>125</v>
      </c>
      <c r="L61" s="222" t="s">
        <v>125</v>
      </c>
    </row>
    <row r="62" spans="1:12" ht="30" customHeight="1">
      <c r="A62" s="233">
        <v>3169</v>
      </c>
      <c r="B62" s="218" t="s">
        <v>200</v>
      </c>
      <c r="C62" s="219" t="s">
        <v>126</v>
      </c>
      <c r="D62" s="218" t="s">
        <v>201</v>
      </c>
      <c r="E62" s="219" t="s">
        <v>127</v>
      </c>
      <c r="F62" s="220" t="s">
        <v>49</v>
      </c>
      <c r="G62" s="231">
        <v>3.14</v>
      </c>
      <c r="H62" s="221" t="s">
        <v>132</v>
      </c>
      <c r="I62" s="222" t="s">
        <v>125</v>
      </c>
      <c r="J62" s="222" t="s">
        <v>125</v>
      </c>
      <c r="K62" s="222"/>
      <c r="L62" s="222" t="s">
        <v>125</v>
      </c>
    </row>
    <row r="63" spans="1:12" ht="30" customHeight="1">
      <c r="A63" s="233">
        <v>3725</v>
      </c>
      <c r="B63" s="218" t="s">
        <v>544</v>
      </c>
      <c r="C63" s="219" t="s">
        <v>126</v>
      </c>
      <c r="D63" s="218" t="s">
        <v>543</v>
      </c>
      <c r="E63" s="219" t="s">
        <v>127</v>
      </c>
      <c r="F63" s="220"/>
      <c r="G63" s="231">
        <v>2.59</v>
      </c>
      <c r="H63" s="221" t="s">
        <v>124</v>
      </c>
      <c r="I63" s="222"/>
      <c r="J63" s="222"/>
      <c r="K63" s="222"/>
      <c r="L63" s="222"/>
    </row>
    <row r="64" spans="1:12" ht="30" customHeight="1">
      <c r="A64" s="233">
        <v>3391</v>
      </c>
      <c r="B64" s="218" t="s">
        <v>202</v>
      </c>
      <c r="C64" s="219" t="s">
        <v>203</v>
      </c>
      <c r="D64" s="218" t="s">
        <v>204</v>
      </c>
      <c r="E64" s="219" t="s">
        <v>205</v>
      </c>
      <c r="F64" s="220" t="s">
        <v>49</v>
      </c>
      <c r="G64" s="231">
        <v>4.51</v>
      </c>
      <c r="H64" s="221" t="s">
        <v>124</v>
      </c>
      <c r="I64" s="222" t="s">
        <v>125</v>
      </c>
      <c r="J64" s="222" t="s">
        <v>125</v>
      </c>
      <c r="K64" s="222"/>
      <c r="L64" s="222"/>
    </row>
    <row r="65" spans="1:12" ht="30" customHeight="1">
      <c r="A65" s="233">
        <v>3678</v>
      </c>
      <c r="B65" s="218" t="s">
        <v>711</v>
      </c>
      <c r="C65" s="219" t="s">
        <v>129</v>
      </c>
      <c r="D65" s="218" t="s">
        <v>712</v>
      </c>
      <c r="E65" s="219" t="s">
        <v>131</v>
      </c>
      <c r="F65" s="220"/>
      <c r="G65" s="231">
        <v>2.3199999999999998</v>
      </c>
      <c r="H65" s="221" t="s">
        <v>132</v>
      </c>
      <c r="I65" s="222" t="s">
        <v>125</v>
      </c>
      <c r="J65" s="222" t="s">
        <v>125</v>
      </c>
      <c r="K65" s="222"/>
      <c r="L65" s="222" t="s">
        <v>125</v>
      </c>
    </row>
    <row r="66" spans="1:12" ht="30" customHeight="1">
      <c r="A66" s="233">
        <v>3924</v>
      </c>
      <c r="B66" s="218" t="s">
        <v>206</v>
      </c>
      <c r="C66" s="219" t="s">
        <v>126</v>
      </c>
      <c r="D66" s="218" t="s">
        <v>207</v>
      </c>
      <c r="E66" s="219" t="s">
        <v>127</v>
      </c>
      <c r="F66" s="220" t="s">
        <v>49</v>
      </c>
      <c r="G66" s="231">
        <v>2.71</v>
      </c>
      <c r="H66" s="221" t="s">
        <v>132</v>
      </c>
      <c r="I66" s="222" t="s">
        <v>125</v>
      </c>
      <c r="J66" s="222" t="s">
        <v>125</v>
      </c>
      <c r="K66" s="222"/>
      <c r="L66" s="222" t="s">
        <v>125</v>
      </c>
    </row>
    <row r="67" spans="1:12" ht="30" customHeight="1">
      <c r="A67" s="233">
        <v>6077</v>
      </c>
      <c r="B67" s="218" t="s">
        <v>208</v>
      </c>
      <c r="C67" s="219" t="s">
        <v>129</v>
      </c>
      <c r="D67" s="218" t="s">
        <v>209</v>
      </c>
      <c r="E67" s="219" t="s">
        <v>129</v>
      </c>
      <c r="F67" s="220"/>
      <c r="G67" s="231">
        <v>1.63</v>
      </c>
      <c r="H67" s="221" t="s">
        <v>132</v>
      </c>
      <c r="I67" s="222" t="s">
        <v>125</v>
      </c>
      <c r="J67" s="222"/>
      <c r="K67" s="222"/>
      <c r="L67" s="222" t="s">
        <v>125</v>
      </c>
    </row>
    <row r="68" spans="1:12" ht="30" customHeight="1">
      <c r="A68" s="233" t="s">
        <v>713</v>
      </c>
      <c r="B68" s="218" t="s">
        <v>714</v>
      </c>
      <c r="C68" s="219" t="s">
        <v>129</v>
      </c>
      <c r="D68" s="218" t="s">
        <v>715</v>
      </c>
      <c r="E68" s="219" t="s">
        <v>131</v>
      </c>
      <c r="F68" s="220"/>
      <c r="G68" s="231">
        <v>3.14</v>
      </c>
      <c r="H68" s="221" t="s">
        <v>132</v>
      </c>
      <c r="I68" s="222" t="s">
        <v>125</v>
      </c>
      <c r="J68" s="222" t="s">
        <v>125</v>
      </c>
      <c r="K68" s="222" t="s">
        <v>125</v>
      </c>
      <c r="L68" s="222" t="s">
        <v>125</v>
      </c>
    </row>
    <row r="69" spans="1:12" ht="30" customHeight="1">
      <c r="A69" s="233">
        <v>6111</v>
      </c>
      <c r="B69" s="218" t="s">
        <v>623</v>
      </c>
      <c r="C69" s="219" t="s">
        <v>210</v>
      </c>
      <c r="D69" s="218" t="s">
        <v>211</v>
      </c>
      <c r="E69" s="219" t="s">
        <v>212</v>
      </c>
      <c r="F69" s="220"/>
      <c r="G69" s="231">
        <v>7.38</v>
      </c>
      <c r="H69" s="221" t="s">
        <v>124</v>
      </c>
      <c r="I69" s="222"/>
      <c r="J69" s="222"/>
      <c r="K69" s="222"/>
      <c r="L69" s="222"/>
    </row>
    <row r="70" spans="1:12" ht="30" customHeight="1">
      <c r="A70" s="233">
        <v>1393</v>
      </c>
      <c r="B70" s="218" t="s">
        <v>519</v>
      </c>
      <c r="C70" s="219" t="s">
        <v>173</v>
      </c>
      <c r="D70" s="218" t="s">
        <v>213</v>
      </c>
      <c r="E70" s="219" t="s">
        <v>175</v>
      </c>
      <c r="F70" s="220" t="s">
        <v>49</v>
      </c>
      <c r="G70" s="231">
        <v>9.56</v>
      </c>
      <c r="H70" s="221" t="s">
        <v>124</v>
      </c>
      <c r="I70" s="222" t="s">
        <v>125</v>
      </c>
      <c r="J70" s="222"/>
      <c r="K70" s="222"/>
      <c r="L70" s="222"/>
    </row>
    <row r="71" spans="1:12" ht="30" customHeight="1">
      <c r="A71" s="233">
        <v>6018</v>
      </c>
      <c r="B71" s="218" t="s">
        <v>677</v>
      </c>
      <c r="C71" s="219" t="s">
        <v>214</v>
      </c>
      <c r="D71" s="218" t="s">
        <v>216</v>
      </c>
      <c r="E71" s="219" t="s">
        <v>215</v>
      </c>
      <c r="F71" s="220" t="s">
        <v>49</v>
      </c>
      <c r="G71" s="231">
        <v>12.3</v>
      </c>
      <c r="H71" s="221" t="s">
        <v>132</v>
      </c>
      <c r="I71" s="222" t="s">
        <v>125</v>
      </c>
      <c r="J71" s="222" t="s">
        <v>125</v>
      </c>
      <c r="K71" s="222"/>
      <c r="L71" s="222"/>
    </row>
    <row r="72" spans="1:12" ht="30" customHeight="1">
      <c r="A72" s="233">
        <v>1485</v>
      </c>
      <c r="B72" s="218" t="s">
        <v>663</v>
      </c>
      <c r="C72" s="219" t="s">
        <v>218</v>
      </c>
      <c r="D72" s="218" t="s">
        <v>567</v>
      </c>
      <c r="E72" s="219" t="s">
        <v>220</v>
      </c>
      <c r="F72" s="220"/>
      <c r="G72" s="231">
        <v>9.56</v>
      </c>
      <c r="H72" s="221" t="s">
        <v>132</v>
      </c>
      <c r="I72" s="222" t="s">
        <v>125</v>
      </c>
      <c r="J72" s="222" t="s">
        <v>125</v>
      </c>
      <c r="K72" s="222"/>
      <c r="L72" s="222"/>
    </row>
    <row r="73" spans="1:12" ht="30" customHeight="1">
      <c r="A73" s="233">
        <v>1320</v>
      </c>
      <c r="B73" s="218" t="s">
        <v>217</v>
      </c>
      <c r="C73" s="219" t="s">
        <v>218</v>
      </c>
      <c r="D73" s="218" t="s">
        <v>219</v>
      </c>
      <c r="E73" s="219" t="s">
        <v>220</v>
      </c>
      <c r="F73" s="220" t="s">
        <v>49</v>
      </c>
      <c r="G73" s="231">
        <v>10.93</v>
      </c>
      <c r="H73" s="221" t="s">
        <v>132</v>
      </c>
      <c r="I73" s="222" t="s">
        <v>125</v>
      </c>
      <c r="J73" s="222"/>
      <c r="K73" s="222"/>
      <c r="L73" s="222"/>
    </row>
    <row r="74" spans="1:12" ht="30" customHeight="1">
      <c r="A74" s="233">
        <v>1399</v>
      </c>
      <c r="B74" s="218" t="s">
        <v>716</v>
      </c>
      <c r="C74" s="219" t="s">
        <v>221</v>
      </c>
      <c r="D74" s="218" t="s">
        <v>222</v>
      </c>
      <c r="E74" s="219" t="s">
        <v>223</v>
      </c>
      <c r="F74" s="220" t="s">
        <v>49</v>
      </c>
      <c r="G74" s="231">
        <v>4.6399999999999997</v>
      </c>
      <c r="H74" s="221" t="s">
        <v>124</v>
      </c>
      <c r="I74" s="222" t="s">
        <v>125</v>
      </c>
      <c r="J74" s="222" t="s">
        <v>125</v>
      </c>
      <c r="K74" s="222" t="s">
        <v>125</v>
      </c>
      <c r="L74" s="222"/>
    </row>
    <row r="75" spans="1:12" ht="30" customHeight="1">
      <c r="A75" s="233" t="s">
        <v>224</v>
      </c>
      <c r="B75" s="218" t="s">
        <v>678</v>
      </c>
      <c r="C75" s="219" t="s">
        <v>214</v>
      </c>
      <c r="D75" s="218" t="s">
        <v>225</v>
      </c>
      <c r="E75" s="219" t="s">
        <v>215</v>
      </c>
      <c r="F75" s="220" t="s">
        <v>49</v>
      </c>
      <c r="G75" s="231">
        <v>25.19</v>
      </c>
      <c r="H75" s="221" t="s">
        <v>132</v>
      </c>
      <c r="I75" s="222" t="s">
        <v>125</v>
      </c>
      <c r="J75" s="222"/>
      <c r="K75" s="222"/>
      <c r="L75" s="222"/>
    </row>
    <row r="76" spans="1:12" ht="30" customHeight="1">
      <c r="A76" s="233">
        <v>3377</v>
      </c>
      <c r="B76" s="218" t="s">
        <v>683</v>
      </c>
      <c r="C76" s="219" t="s">
        <v>226</v>
      </c>
      <c r="D76" s="218" t="s">
        <v>624</v>
      </c>
      <c r="E76" s="219" t="s">
        <v>228</v>
      </c>
      <c r="F76" s="220"/>
      <c r="G76" s="231">
        <v>7.47</v>
      </c>
      <c r="H76" s="221" t="s">
        <v>124</v>
      </c>
      <c r="I76" s="222"/>
      <c r="J76" s="222"/>
      <c r="K76" s="222"/>
      <c r="L76" s="222"/>
    </row>
    <row r="77" spans="1:12" ht="30" customHeight="1">
      <c r="A77" s="233">
        <v>3720</v>
      </c>
      <c r="B77" s="218" t="s">
        <v>515</v>
      </c>
      <c r="C77" s="219" t="s">
        <v>226</v>
      </c>
      <c r="D77" s="218" t="s">
        <v>227</v>
      </c>
      <c r="E77" s="219" t="s">
        <v>228</v>
      </c>
      <c r="F77" s="220" t="s">
        <v>49</v>
      </c>
      <c r="G77" s="231">
        <v>30</v>
      </c>
      <c r="H77" s="221" t="s">
        <v>124</v>
      </c>
      <c r="I77" s="222"/>
      <c r="J77" s="222"/>
      <c r="K77" s="222"/>
      <c r="L77" s="222"/>
    </row>
    <row r="78" spans="1:12" ht="30" customHeight="1">
      <c r="A78" s="233">
        <v>3379</v>
      </c>
      <c r="B78" s="218" t="s">
        <v>516</v>
      </c>
      <c r="C78" s="219" t="s">
        <v>226</v>
      </c>
      <c r="D78" s="218" t="s">
        <v>229</v>
      </c>
      <c r="E78" s="219" t="s">
        <v>228</v>
      </c>
      <c r="F78" s="220" t="s">
        <v>49</v>
      </c>
      <c r="G78" s="231">
        <v>45</v>
      </c>
      <c r="H78" s="221" t="s">
        <v>124</v>
      </c>
      <c r="I78" s="222"/>
      <c r="J78" s="222"/>
      <c r="K78" s="222"/>
      <c r="L78" s="222"/>
    </row>
    <row r="79" spans="1:12" ht="30" customHeight="1">
      <c r="A79" s="233">
        <v>3550</v>
      </c>
      <c r="B79" s="218" t="s">
        <v>230</v>
      </c>
      <c r="C79" s="219" t="s">
        <v>129</v>
      </c>
      <c r="D79" s="218" t="s">
        <v>545</v>
      </c>
      <c r="E79" s="219" t="s">
        <v>131</v>
      </c>
      <c r="F79" s="220"/>
      <c r="G79" s="231">
        <v>1.34</v>
      </c>
      <c r="H79" s="221" t="s">
        <v>124</v>
      </c>
      <c r="I79" s="222"/>
      <c r="J79" s="222"/>
      <c r="K79" s="222"/>
      <c r="L79" s="222"/>
    </row>
    <row r="80" spans="1:12" ht="30" customHeight="1">
      <c r="A80" s="233">
        <v>4025</v>
      </c>
      <c r="B80" s="218" t="s">
        <v>231</v>
      </c>
      <c r="C80" s="219" t="s">
        <v>232</v>
      </c>
      <c r="D80" s="218" t="s">
        <v>233</v>
      </c>
      <c r="E80" s="219" t="s">
        <v>234</v>
      </c>
      <c r="F80" s="220" t="s">
        <v>49</v>
      </c>
      <c r="G80" s="231">
        <v>1000</v>
      </c>
      <c r="H80" s="221" t="s">
        <v>124</v>
      </c>
      <c r="I80" s="222"/>
      <c r="J80" s="222"/>
      <c r="K80" s="222"/>
      <c r="L80" s="222"/>
    </row>
    <row r="81" spans="1:12" ht="30" customHeight="1">
      <c r="A81" s="233">
        <v>6059</v>
      </c>
      <c r="B81" s="218" t="s">
        <v>668</v>
      </c>
      <c r="C81" s="219" t="s">
        <v>126</v>
      </c>
      <c r="D81" s="218" t="s">
        <v>573</v>
      </c>
      <c r="E81" s="219" t="s">
        <v>127</v>
      </c>
      <c r="F81" s="220" t="s">
        <v>49</v>
      </c>
      <c r="G81" s="231">
        <v>5.19</v>
      </c>
      <c r="H81" s="221" t="s">
        <v>132</v>
      </c>
      <c r="I81" s="222"/>
      <c r="J81" s="222"/>
      <c r="K81" s="222"/>
      <c r="L81" s="222" t="s">
        <v>125</v>
      </c>
    </row>
    <row r="82" spans="1:12" ht="30" customHeight="1">
      <c r="A82" s="233">
        <v>6059</v>
      </c>
      <c r="B82" s="218" t="s">
        <v>717</v>
      </c>
      <c r="C82" s="219" t="s">
        <v>126</v>
      </c>
      <c r="D82" s="218" t="s">
        <v>718</v>
      </c>
      <c r="E82" s="219" t="s">
        <v>127</v>
      </c>
      <c r="F82" s="220"/>
      <c r="G82" s="231">
        <v>5.19</v>
      </c>
      <c r="H82" s="221" t="s">
        <v>132</v>
      </c>
      <c r="I82" s="222"/>
      <c r="J82" s="222"/>
      <c r="K82" s="222"/>
      <c r="L82" s="222"/>
    </row>
    <row r="83" spans="1:12" ht="30" customHeight="1">
      <c r="A83" s="233">
        <v>1647</v>
      </c>
      <c r="B83" s="218" t="s">
        <v>625</v>
      </c>
      <c r="C83" s="219" t="s">
        <v>190</v>
      </c>
      <c r="D83" s="218" t="s">
        <v>626</v>
      </c>
      <c r="E83" s="219" t="s">
        <v>190</v>
      </c>
      <c r="F83" s="220"/>
      <c r="G83" s="231">
        <v>8.48</v>
      </c>
      <c r="H83" s="221" t="s">
        <v>124</v>
      </c>
      <c r="I83" s="222"/>
      <c r="J83" s="222"/>
      <c r="K83" s="222"/>
      <c r="L83" s="222"/>
    </row>
    <row r="84" spans="1:12" ht="30" customHeight="1">
      <c r="A84" s="233">
        <v>6106</v>
      </c>
      <c r="B84" s="218" t="s">
        <v>627</v>
      </c>
      <c r="C84" s="219" t="s">
        <v>235</v>
      </c>
      <c r="D84" s="218" t="s">
        <v>236</v>
      </c>
      <c r="E84" s="219" t="s">
        <v>237</v>
      </c>
      <c r="F84" s="220" t="s">
        <v>49</v>
      </c>
      <c r="G84" s="231">
        <v>12.3</v>
      </c>
      <c r="H84" s="221" t="s">
        <v>124</v>
      </c>
      <c r="I84" s="222"/>
      <c r="J84" s="222"/>
      <c r="K84" s="222"/>
      <c r="L84" s="222"/>
    </row>
    <row r="85" spans="1:12" ht="30" customHeight="1">
      <c r="A85" s="233">
        <v>1937</v>
      </c>
      <c r="B85" s="218" t="s">
        <v>669</v>
      </c>
      <c r="C85" s="219" t="s">
        <v>173</v>
      </c>
      <c r="D85" s="218" t="s">
        <v>174</v>
      </c>
      <c r="E85" s="219" t="s">
        <v>175</v>
      </c>
      <c r="F85" s="220" t="s">
        <v>49</v>
      </c>
      <c r="G85" s="231">
        <v>21.89</v>
      </c>
      <c r="H85" s="221" t="s">
        <v>124</v>
      </c>
      <c r="I85" s="222" t="s">
        <v>125</v>
      </c>
      <c r="J85" s="222"/>
      <c r="K85" s="222"/>
      <c r="L85" s="222"/>
    </row>
    <row r="86" spans="1:12" ht="30" customHeight="1">
      <c r="A86" s="233">
        <v>3138</v>
      </c>
      <c r="B86" s="218" t="s">
        <v>238</v>
      </c>
      <c r="C86" s="219" t="s">
        <v>126</v>
      </c>
      <c r="D86" s="218" t="s">
        <v>239</v>
      </c>
      <c r="E86" s="219" t="s">
        <v>127</v>
      </c>
      <c r="F86" s="220" t="s">
        <v>49</v>
      </c>
      <c r="G86" s="231">
        <v>6.7</v>
      </c>
      <c r="H86" s="221" t="s">
        <v>132</v>
      </c>
      <c r="I86" s="222" t="s">
        <v>125</v>
      </c>
      <c r="J86" s="222" t="s">
        <v>125</v>
      </c>
      <c r="K86" s="222"/>
      <c r="L86" s="222"/>
    </row>
    <row r="87" spans="1:12" ht="30" customHeight="1">
      <c r="A87" s="233">
        <v>1548</v>
      </c>
      <c r="B87" s="218" t="s">
        <v>240</v>
      </c>
      <c r="C87" s="219" t="s">
        <v>241</v>
      </c>
      <c r="D87" s="218" t="s">
        <v>242</v>
      </c>
      <c r="E87" s="219" t="s">
        <v>243</v>
      </c>
      <c r="F87" s="220" t="s">
        <v>49</v>
      </c>
      <c r="G87" s="231">
        <v>11.63</v>
      </c>
      <c r="H87" s="221" t="s">
        <v>132</v>
      </c>
      <c r="I87" s="222" t="s">
        <v>125</v>
      </c>
      <c r="J87" s="222"/>
      <c r="K87" s="222"/>
      <c r="L87" s="222"/>
    </row>
    <row r="88" spans="1:12" ht="30" customHeight="1">
      <c r="A88" s="229">
        <v>1220</v>
      </c>
      <c r="B88" s="218" t="s">
        <v>244</v>
      </c>
      <c r="C88" s="219" t="s">
        <v>245</v>
      </c>
      <c r="D88" s="218" t="s">
        <v>246</v>
      </c>
      <c r="E88" s="219" t="s">
        <v>247</v>
      </c>
      <c r="F88" s="220" t="s">
        <v>49</v>
      </c>
      <c r="G88" s="231">
        <v>36.5</v>
      </c>
      <c r="H88" s="223" t="s">
        <v>132</v>
      </c>
      <c r="I88" s="222"/>
      <c r="J88" s="222"/>
      <c r="K88" s="222"/>
      <c r="L88" s="222"/>
    </row>
    <row r="89" spans="1:12" ht="30" customHeight="1">
      <c r="A89" s="229">
        <v>1967</v>
      </c>
      <c r="B89" s="218" t="s">
        <v>248</v>
      </c>
      <c r="C89" s="219" t="s">
        <v>173</v>
      </c>
      <c r="D89" s="218" t="s">
        <v>249</v>
      </c>
      <c r="E89" s="219" t="s">
        <v>175</v>
      </c>
      <c r="F89" s="220" t="s">
        <v>49</v>
      </c>
      <c r="G89" s="231">
        <v>7.25</v>
      </c>
      <c r="H89" s="223" t="s">
        <v>132</v>
      </c>
      <c r="I89" s="222" t="s">
        <v>125</v>
      </c>
      <c r="J89" s="222" t="s">
        <v>125</v>
      </c>
      <c r="K89" s="222"/>
      <c r="L89" s="222"/>
    </row>
    <row r="90" spans="1:12" ht="30" customHeight="1">
      <c r="A90" s="233">
        <v>3217</v>
      </c>
      <c r="B90" s="218" t="s">
        <v>250</v>
      </c>
      <c r="C90" s="219" t="s">
        <v>126</v>
      </c>
      <c r="D90" s="218" t="s">
        <v>251</v>
      </c>
      <c r="E90" s="219" t="s">
        <v>127</v>
      </c>
      <c r="F90" s="220" t="s">
        <v>47</v>
      </c>
      <c r="G90" s="231">
        <v>4.08</v>
      </c>
      <c r="H90" s="221" t="s">
        <v>132</v>
      </c>
      <c r="I90" s="222" t="s">
        <v>125</v>
      </c>
      <c r="J90" s="222" t="s">
        <v>125</v>
      </c>
      <c r="K90" s="222" t="s">
        <v>125</v>
      </c>
      <c r="L90" s="222"/>
    </row>
    <row r="91" spans="1:12" ht="30" customHeight="1">
      <c r="A91" s="233">
        <v>1607</v>
      </c>
      <c r="B91" s="218" t="s">
        <v>679</v>
      </c>
      <c r="C91" s="219" t="s">
        <v>153</v>
      </c>
      <c r="D91" s="218" t="s">
        <v>252</v>
      </c>
      <c r="E91" s="219" t="s">
        <v>155</v>
      </c>
      <c r="F91" s="220" t="s">
        <v>49</v>
      </c>
      <c r="G91" s="231">
        <v>17.78</v>
      </c>
      <c r="H91" s="221" t="s">
        <v>132</v>
      </c>
      <c r="I91" s="222" t="s">
        <v>125</v>
      </c>
      <c r="J91" s="222"/>
      <c r="K91" s="222"/>
      <c r="L91" s="222"/>
    </row>
    <row r="92" spans="1:12" ht="30" customHeight="1">
      <c r="A92" s="233">
        <v>1356</v>
      </c>
      <c r="B92" s="218" t="s">
        <v>680</v>
      </c>
      <c r="C92" s="219" t="s">
        <v>581</v>
      </c>
      <c r="D92" s="218" t="s">
        <v>584</v>
      </c>
      <c r="E92" s="219" t="s">
        <v>583</v>
      </c>
      <c r="F92" s="220"/>
      <c r="G92" s="231">
        <v>4.51</v>
      </c>
      <c r="H92" s="221" t="s">
        <v>132</v>
      </c>
      <c r="I92" s="222" t="s">
        <v>125</v>
      </c>
      <c r="J92" s="222" t="s">
        <v>125</v>
      </c>
      <c r="K92" s="222"/>
      <c r="L92" s="222"/>
    </row>
    <row r="93" spans="1:12" ht="30" customHeight="1">
      <c r="A93" s="233">
        <v>1356</v>
      </c>
      <c r="B93" s="218" t="s">
        <v>681</v>
      </c>
      <c r="C93" s="219" t="s">
        <v>581</v>
      </c>
      <c r="D93" s="218" t="s">
        <v>582</v>
      </c>
      <c r="E93" s="219" t="s">
        <v>583</v>
      </c>
      <c r="F93" s="220"/>
      <c r="G93" s="231">
        <v>2.95</v>
      </c>
      <c r="H93" s="223" t="s">
        <v>124</v>
      </c>
      <c r="I93" s="222"/>
      <c r="J93" s="222"/>
      <c r="K93" s="222"/>
      <c r="L93" s="222"/>
    </row>
    <row r="94" spans="1:12" ht="30" customHeight="1">
      <c r="A94" s="233">
        <v>3209</v>
      </c>
      <c r="B94" s="218" t="s">
        <v>126</v>
      </c>
      <c r="C94" s="219" t="s">
        <v>126</v>
      </c>
      <c r="D94" s="218" t="s">
        <v>719</v>
      </c>
      <c r="E94" s="219" t="s">
        <v>127</v>
      </c>
      <c r="F94" s="220" t="s">
        <v>49</v>
      </c>
      <c r="G94" s="231">
        <v>2.4500000000000002</v>
      </c>
      <c r="H94" s="221" t="s">
        <v>132</v>
      </c>
      <c r="I94" s="222" t="s">
        <v>125</v>
      </c>
      <c r="J94" s="222" t="s">
        <v>125</v>
      </c>
      <c r="K94" s="222" t="s">
        <v>125</v>
      </c>
      <c r="L94" s="222" t="s">
        <v>125</v>
      </c>
    </row>
    <row r="95" spans="1:12" ht="30" customHeight="1">
      <c r="A95" s="233">
        <v>1121</v>
      </c>
      <c r="B95" s="218" t="s">
        <v>253</v>
      </c>
      <c r="C95" s="219" t="s">
        <v>126</v>
      </c>
      <c r="D95" s="218" t="s">
        <v>720</v>
      </c>
      <c r="E95" s="219" t="s">
        <v>127</v>
      </c>
      <c r="F95" s="220" t="s">
        <v>47</v>
      </c>
      <c r="G95" s="231">
        <v>3</v>
      </c>
      <c r="H95" s="221" t="s">
        <v>132</v>
      </c>
      <c r="I95" s="222" t="s">
        <v>125</v>
      </c>
      <c r="J95" s="222" t="s">
        <v>125</v>
      </c>
      <c r="K95" s="222" t="s">
        <v>125</v>
      </c>
      <c r="L95" s="222" t="s">
        <v>125</v>
      </c>
    </row>
    <row r="96" spans="1:12" ht="30" customHeight="1">
      <c r="A96" s="233">
        <v>6120</v>
      </c>
      <c r="B96" s="218" t="s">
        <v>563</v>
      </c>
      <c r="C96" s="219" t="s">
        <v>129</v>
      </c>
      <c r="D96" s="218" t="s">
        <v>564</v>
      </c>
      <c r="E96" s="219" t="s">
        <v>131</v>
      </c>
      <c r="F96" s="220"/>
      <c r="G96" s="231">
        <v>3.27</v>
      </c>
      <c r="H96" s="221" t="s">
        <v>132</v>
      </c>
      <c r="I96" s="222" t="s">
        <v>125</v>
      </c>
      <c r="J96" s="222" t="s">
        <v>125</v>
      </c>
      <c r="K96" s="222" t="s">
        <v>125</v>
      </c>
      <c r="L96" s="222" t="s">
        <v>125</v>
      </c>
    </row>
    <row r="97" spans="1:12" ht="30" customHeight="1">
      <c r="A97" s="233">
        <v>6063</v>
      </c>
      <c r="B97" s="218" t="s">
        <v>682</v>
      </c>
      <c r="C97" s="219" t="s">
        <v>129</v>
      </c>
      <c r="D97" s="218" t="s">
        <v>628</v>
      </c>
      <c r="E97" s="219" t="s">
        <v>131</v>
      </c>
      <c r="F97" s="220"/>
      <c r="G97" s="231">
        <v>9.3000000000000007</v>
      </c>
      <c r="H97" s="221" t="s">
        <v>132</v>
      </c>
      <c r="I97" s="222"/>
      <c r="J97" s="222"/>
      <c r="K97" s="222"/>
      <c r="L97" s="222"/>
    </row>
    <row r="98" spans="1:12" ht="30" customHeight="1">
      <c r="A98" s="233">
        <v>6064</v>
      </c>
      <c r="B98" s="218" t="s">
        <v>254</v>
      </c>
      <c r="C98" s="219" t="s">
        <v>129</v>
      </c>
      <c r="D98" s="218" t="s">
        <v>255</v>
      </c>
      <c r="E98" s="219" t="s">
        <v>131</v>
      </c>
      <c r="F98" s="220" t="s">
        <v>49</v>
      </c>
      <c r="G98" s="231">
        <v>41.07</v>
      </c>
      <c r="H98" s="221" t="s">
        <v>256</v>
      </c>
      <c r="I98" s="222"/>
      <c r="J98" s="222"/>
      <c r="K98" s="222"/>
      <c r="L98" s="222"/>
    </row>
    <row r="99" spans="1:12" ht="30" customHeight="1">
      <c r="A99" s="233" t="s">
        <v>522</v>
      </c>
      <c r="B99" s="218" t="s">
        <v>684</v>
      </c>
      <c r="C99" s="219" t="s">
        <v>126</v>
      </c>
      <c r="D99" s="218" t="s">
        <v>257</v>
      </c>
      <c r="E99" s="219" t="s">
        <v>127</v>
      </c>
      <c r="F99" s="220" t="s">
        <v>49</v>
      </c>
      <c r="G99" s="231">
        <v>3.27</v>
      </c>
      <c r="H99" s="221" t="s">
        <v>132</v>
      </c>
      <c r="I99" s="222" t="s">
        <v>125</v>
      </c>
      <c r="J99" s="222" t="s">
        <v>125</v>
      </c>
      <c r="K99" s="222"/>
      <c r="L99" s="222" t="s">
        <v>125</v>
      </c>
    </row>
    <row r="100" spans="1:12" ht="30" customHeight="1">
      <c r="A100" s="233">
        <v>3265</v>
      </c>
      <c r="B100" s="218" t="s">
        <v>526</v>
      </c>
      <c r="C100" s="219" t="s">
        <v>126</v>
      </c>
      <c r="D100" s="218" t="s">
        <v>721</v>
      </c>
      <c r="E100" s="219" t="s">
        <v>127</v>
      </c>
      <c r="F100" s="220" t="s">
        <v>49</v>
      </c>
      <c r="G100" s="231">
        <v>3.69</v>
      </c>
      <c r="H100" s="223" t="s">
        <v>132</v>
      </c>
      <c r="I100" s="222" t="s">
        <v>125</v>
      </c>
      <c r="J100" s="222" t="s">
        <v>125</v>
      </c>
      <c r="K100" s="222" t="s">
        <v>125</v>
      </c>
      <c r="L100" s="222" t="s">
        <v>125</v>
      </c>
    </row>
    <row r="101" spans="1:12" ht="30" customHeight="1">
      <c r="A101" s="233">
        <v>3276</v>
      </c>
      <c r="B101" s="218" t="s">
        <v>571</v>
      </c>
      <c r="C101" s="219" t="s">
        <v>126</v>
      </c>
      <c r="D101" s="218" t="s">
        <v>572</v>
      </c>
      <c r="E101" s="219" t="s">
        <v>127</v>
      </c>
      <c r="F101" s="220"/>
      <c r="G101" s="231">
        <v>5.45</v>
      </c>
      <c r="H101" s="221" t="s">
        <v>132</v>
      </c>
      <c r="I101" s="222" t="s">
        <v>125</v>
      </c>
      <c r="J101" s="222" t="s">
        <v>125</v>
      </c>
      <c r="K101" s="222"/>
      <c r="L101" s="222" t="s">
        <v>125</v>
      </c>
    </row>
    <row r="102" spans="1:12" ht="30" customHeight="1">
      <c r="A102" s="233">
        <v>1961</v>
      </c>
      <c r="B102" s="218" t="s">
        <v>722</v>
      </c>
      <c r="C102" s="219" t="s">
        <v>723</v>
      </c>
      <c r="D102" s="218" t="s">
        <v>722</v>
      </c>
      <c r="E102" s="219" t="s">
        <v>723</v>
      </c>
      <c r="F102" s="220"/>
      <c r="G102" s="231">
        <v>6.01</v>
      </c>
      <c r="H102" s="221" t="s">
        <v>132</v>
      </c>
      <c r="I102" s="222" t="s">
        <v>125</v>
      </c>
      <c r="J102" s="222" t="s">
        <v>125</v>
      </c>
      <c r="K102" s="222"/>
      <c r="L102" s="222" t="s">
        <v>125</v>
      </c>
    </row>
    <row r="103" spans="1:12" ht="30" customHeight="1">
      <c r="A103" s="233">
        <v>3941</v>
      </c>
      <c r="B103" s="218" t="s">
        <v>260</v>
      </c>
      <c r="C103" s="219" t="s">
        <v>258</v>
      </c>
      <c r="D103" s="218" t="s">
        <v>261</v>
      </c>
      <c r="E103" s="219" t="s">
        <v>259</v>
      </c>
      <c r="F103" s="220" t="s">
        <v>49</v>
      </c>
      <c r="G103" s="231">
        <v>9.44</v>
      </c>
      <c r="H103" s="221" t="s">
        <v>132</v>
      </c>
      <c r="I103" s="222"/>
      <c r="J103" s="222"/>
      <c r="K103" s="222"/>
      <c r="L103" s="222" t="s">
        <v>125</v>
      </c>
    </row>
    <row r="104" spans="1:12" ht="30" customHeight="1">
      <c r="A104" s="233">
        <v>1755</v>
      </c>
      <c r="B104" s="218" t="s">
        <v>686</v>
      </c>
      <c r="C104" s="219" t="s">
        <v>190</v>
      </c>
      <c r="D104" s="218" t="s">
        <v>262</v>
      </c>
      <c r="E104" s="219" t="s">
        <v>190</v>
      </c>
      <c r="F104" s="220" t="s">
        <v>49</v>
      </c>
      <c r="G104" s="231">
        <v>34.22</v>
      </c>
      <c r="H104" s="221" t="s">
        <v>132</v>
      </c>
      <c r="I104" s="222" t="s">
        <v>125</v>
      </c>
      <c r="J104" s="222"/>
      <c r="K104" s="222"/>
      <c r="L104" s="222"/>
    </row>
    <row r="105" spans="1:12" ht="30" customHeight="1">
      <c r="A105" s="233">
        <v>1755</v>
      </c>
      <c r="B105" s="218" t="s">
        <v>687</v>
      </c>
      <c r="C105" s="219" t="s">
        <v>190</v>
      </c>
      <c r="D105" s="218" t="s">
        <v>263</v>
      </c>
      <c r="E105" s="219" t="s">
        <v>190</v>
      </c>
      <c r="F105" s="220" t="s">
        <v>49</v>
      </c>
      <c r="G105" s="231">
        <v>17.78</v>
      </c>
      <c r="H105" s="221" t="s">
        <v>132</v>
      </c>
      <c r="I105" s="222"/>
      <c r="J105" s="222"/>
      <c r="K105" s="222"/>
      <c r="L105" s="222"/>
    </row>
    <row r="106" spans="1:12" ht="30" customHeight="1">
      <c r="A106" s="233">
        <v>1103</v>
      </c>
      <c r="B106" s="218" t="s">
        <v>676</v>
      </c>
      <c r="C106" s="219" t="s">
        <v>129</v>
      </c>
      <c r="D106" s="218" t="s">
        <v>542</v>
      </c>
      <c r="E106" s="219" t="s">
        <v>131</v>
      </c>
      <c r="F106" s="220" t="s">
        <v>49</v>
      </c>
      <c r="G106" s="231">
        <v>3.14</v>
      </c>
      <c r="H106" s="221" t="s">
        <v>132</v>
      </c>
      <c r="I106" s="222" t="s">
        <v>125</v>
      </c>
      <c r="J106" s="222" t="s">
        <v>125</v>
      </c>
      <c r="K106" s="222" t="s">
        <v>125</v>
      </c>
      <c r="L106" s="222" t="s">
        <v>125</v>
      </c>
    </row>
    <row r="107" spans="1:12" ht="30" customHeight="1">
      <c r="A107" s="233">
        <v>1606</v>
      </c>
      <c r="B107" s="218" t="s">
        <v>685</v>
      </c>
      <c r="C107" s="219" t="s">
        <v>173</v>
      </c>
      <c r="D107" s="218" t="s">
        <v>264</v>
      </c>
      <c r="E107" s="219" t="s">
        <v>175</v>
      </c>
      <c r="F107" s="220" t="s">
        <v>47</v>
      </c>
      <c r="G107" s="231">
        <v>30.11</v>
      </c>
      <c r="H107" s="221" t="s">
        <v>124</v>
      </c>
      <c r="I107" s="222"/>
      <c r="J107" s="222"/>
      <c r="K107" s="222"/>
      <c r="L107" s="222"/>
    </row>
    <row r="108" spans="1:12" ht="30" customHeight="1">
      <c r="A108" s="233">
        <v>1640</v>
      </c>
      <c r="B108" s="218" t="s">
        <v>689</v>
      </c>
      <c r="C108" s="219" t="s">
        <v>173</v>
      </c>
      <c r="D108" s="218" t="s">
        <v>265</v>
      </c>
      <c r="E108" s="219" t="s">
        <v>175</v>
      </c>
      <c r="F108" s="220" t="s">
        <v>47</v>
      </c>
      <c r="G108" s="231">
        <v>16.41</v>
      </c>
      <c r="H108" s="221" t="s">
        <v>124</v>
      </c>
      <c r="I108" s="222" t="s">
        <v>125</v>
      </c>
      <c r="J108" s="222"/>
      <c r="K108" s="222"/>
      <c r="L108" s="222"/>
    </row>
    <row r="109" spans="1:12" ht="30" customHeight="1">
      <c r="A109" s="233">
        <v>1640</v>
      </c>
      <c r="B109" s="218" t="s">
        <v>688</v>
      </c>
      <c r="C109" s="219" t="s">
        <v>173</v>
      </c>
      <c r="D109" s="218" t="s">
        <v>266</v>
      </c>
      <c r="E109" s="219" t="s">
        <v>175</v>
      </c>
      <c r="F109" s="220" t="s">
        <v>49</v>
      </c>
      <c r="G109" s="231">
        <v>8.89</v>
      </c>
      <c r="H109" s="221" t="s">
        <v>124</v>
      </c>
      <c r="I109" s="222"/>
      <c r="J109" s="222"/>
      <c r="K109" s="222"/>
      <c r="L109" s="222"/>
    </row>
    <row r="110" spans="1:12" ht="30" customHeight="1">
      <c r="A110" s="233">
        <v>1639</v>
      </c>
      <c r="B110" s="218" t="s">
        <v>520</v>
      </c>
      <c r="C110" s="219" t="s">
        <v>173</v>
      </c>
      <c r="D110" s="218" t="s">
        <v>267</v>
      </c>
      <c r="E110" s="219" t="s">
        <v>175</v>
      </c>
      <c r="F110" s="220" t="s">
        <v>47</v>
      </c>
      <c r="G110" s="231">
        <v>27.37</v>
      </c>
      <c r="H110" s="221" t="s">
        <v>124</v>
      </c>
      <c r="I110" s="222"/>
      <c r="J110" s="222"/>
      <c r="K110" s="222"/>
      <c r="L110" s="222"/>
    </row>
    <row r="111" spans="1:12" ht="30" customHeight="1">
      <c r="A111" s="233">
        <v>1639</v>
      </c>
      <c r="B111" s="218" t="s">
        <v>268</v>
      </c>
      <c r="C111" s="219" t="s">
        <v>173</v>
      </c>
      <c r="D111" s="218" t="s">
        <v>269</v>
      </c>
      <c r="E111" s="219" t="s">
        <v>175</v>
      </c>
      <c r="F111" s="220" t="s">
        <v>47</v>
      </c>
      <c r="G111" s="231">
        <v>14.37</v>
      </c>
      <c r="H111" s="221" t="s">
        <v>124</v>
      </c>
      <c r="I111" s="222"/>
      <c r="J111" s="222"/>
      <c r="K111" s="222"/>
      <c r="L111" s="222"/>
    </row>
    <row r="112" spans="1:12" ht="30" customHeight="1">
      <c r="A112" s="233">
        <v>3146</v>
      </c>
      <c r="B112" s="218" t="s">
        <v>270</v>
      </c>
      <c r="C112" s="219" t="s">
        <v>129</v>
      </c>
      <c r="D112" s="218" t="s">
        <v>271</v>
      </c>
      <c r="E112" s="219" t="s">
        <v>131</v>
      </c>
      <c r="F112" s="220"/>
      <c r="G112" s="231">
        <v>2.71</v>
      </c>
      <c r="H112" s="221" t="s">
        <v>124</v>
      </c>
      <c r="I112" s="222"/>
      <c r="J112" s="222"/>
      <c r="K112" s="222"/>
      <c r="L112" s="222"/>
    </row>
    <row r="113" spans="1:12" ht="30" customHeight="1">
      <c r="A113" s="233">
        <v>5215</v>
      </c>
      <c r="B113" s="218" t="s">
        <v>752</v>
      </c>
      <c r="C113" s="219" t="s">
        <v>126</v>
      </c>
      <c r="D113" s="218" t="s">
        <v>272</v>
      </c>
      <c r="E113" s="219" t="s">
        <v>127</v>
      </c>
      <c r="F113" s="220" t="s">
        <v>49</v>
      </c>
      <c r="G113" s="231">
        <v>53.4</v>
      </c>
      <c r="H113" s="221" t="s">
        <v>132</v>
      </c>
      <c r="I113" s="222"/>
      <c r="J113" s="222"/>
      <c r="K113" s="222"/>
      <c r="L113" s="222" t="s">
        <v>125</v>
      </c>
    </row>
    <row r="114" spans="1:12" ht="30" customHeight="1">
      <c r="A114" s="233">
        <v>3868</v>
      </c>
      <c r="B114" s="218" t="s">
        <v>753</v>
      </c>
      <c r="C114" s="219" t="s">
        <v>126</v>
      </c>
      <c r="D114" s="218" t="s">
        <v>280</v>
      </c>
      <c r="E114" s="219" t="s">
        <v>127</v>
      </c>
      <c r="F114" s="220"/>
      <c r="G114" s="231">
        <v>11.63</v>
      </c>
      <c r="H114" s="221" t="s">
        <v>124</v>
      </c>
      <c r="I114" s="222"/>
      <c r="J114" s="222"/>
      <c r="K114" s="222"/>
      <c r="L114" s="222" t="s">
        <v>125</v>
      </c>
    </row>
    <row r="115" spans="1:12" ht="30" customHeight="1">
      <c r="A115" s="233">
        <v>3174</v>
      </c>
      <c r="B115" s="218" t="s">
        <v>273</v>
      </c>
      <c r="C115" s="219" t="s">
        <v>129</v>
      </c>
      <c r="D115" s="218" t="s">
        <v>274</v>
      </c>
      <c r="E115" s="219" t="s">
        <v>131</v>
      </c>
      <c r="F115" s="220" t="s">
        <v>49</v>
      </c>
      <c r="G115" s="231">
        <v>7.25</v>
      </c>
      <c r="H115" s="221" t="s">
        <v>132</v>
      </c>
      <c r="I115" s="222" t="s">
        <v>125</v>
      </c>
      <c r="J115" s="222" t="s">
        <v>125</v>
      </c>
      <c r="K115" s="222"/>
      <c r="L115" s="222" t="s">
        <v>125</v>
      </c>
    </row>
    <row r="116" spans="1:12" ht="30" customHeight="1">
      <c r="A116" s="233">
        <v>3255</v>
      </c>
      <c r="B116" s="218" t="s">
        <v>575</v>
      </c>
      <c r="C116" s="219" t="s">
        <v>126</v>
      </c>
      <c r="D116" s="218" t="s">
        <v>576</v>
      </c>
      <c r="E116" s="219" t="s">
        <v>127</v>
      </c>
      <c r="F116" s="220" t="s">
        <v>49</v>
      </c>
      <c r="G116" s="231">
        <v>4.37</v>
      </c>
      <c r="H116" s="221" t="s">
        <v>132</v>
      </c>
      <c r="I116" s="222" t="s">
        <v>125</v>
      </c>
      <c r="J116" s="222" t="s">
        <v>125</v>
      </c>
      <c r="K116" s="222" t="s">
        <v>125</v>
      </c>
      <c r="L116" s="222" t="s">
        <v>125</v>
      </c>
    </row>
    <row r="117" spans="1:12" ht="30" customHeight="1">
      <c r="A117" s="233">
        <v>1171</v>
      </c>
      <c r="B117" s="218" t="s">
        <v>527</v>
      </c>
      <c r="C117" s="219" t="s">
        <v>126</v>
      </c>
      <c r="D117" s="218" t="s">
        <v>528</v>
      </c>
      <c r="E117" s="219" t="s">
        <v>127</v>
      </c>
      <c r="F117" s="220" t="s">
        <v>49</v>
      </c>
      <c r="G117" s="231">
        <v>5.33</v>
      </c>
      <c r="H117" s="221" t="s">
        <v>132</v>
      </c>
      <c r="I117" s="222" t="s">
        <v>125</v>
      </c>
      <c r="J117" s="222" t="s">
        <v>125</v>
      </c>
      <c r="K117" s="222" t="s">
        <v>125</v>
      </c>
      <c r="L117" s="222" t="s">
        <v>125</v>
      </c>
    </row>
    <row r="118" spans="1:12" ht="30" customHeight="1">
      <c r="A118" s="233">
        <v>6198</v>
      </c>
      <c r="B118" s="218" t="s">
        <v>629</v>
      </c>
      <c r="C118" s="219" t="s">
        <v>129</v>
      </c>
      <c r="D118" s="218" t="s">
        <v>630</v>
      </c>
      <c r="E118" s="219" t="s">
        <v>131</v>
      </c>
      <c r="F118" s="220" t="s">
        <v>47</v>
      </c>
      <c r="G118" s="231">
        <v>3</v>
      </c>
      <c r="H118" s="221" t="s">
        <v>132</v>
      </c>
      <c r="I118" s="222" t="s">
        <v>125</v>
      </c>
      <c r="J118" s="222" t="s">
        <v>125</v>
      </c>
      <c r="K118" s="222" t="s">
        <v>125</v>
      </c>
      <c r="L118" s="222" t="s">
        <v>125</v>
      </c>
    </row>
    <row r="119" spans="1:12" ht="30" customHeight="1">
      <c r="A119" s="233">
        <v>6127</v>
      </c>
      <c r="B119" s="218" t="s">
        <v>724</v>
      </c>
      <c r="C119" s="219" t="s">
        <v>129</v>
      </c>
      <c r="D119" s="218" t="s">
        <v>725</v>
      </c>
      <c r="E119" s="219" t="s">
        <v>131</v>
      </c>
      <c r="F119" s="220" t="s">
        <v>49</v>
      </c>
      <c r="G119" s="231">
        <v>4.08</v>
      </c>
      <c r="H119" s="221" t="s">
        <v>132</v>
      </c>
      <c r="I119" s="222" t="s">
        <v>125</v>
      </c>
      <c r="J119" s="222" t="s">
        <v>125</v>
      </c>
      <c r="K119" s="222" t="s">
        <v>125</v>
      </c>
      <c r="L119" s="222" t="s">
        <v>125</v>
      </c>
    </row>
    <row r="120" spans="1:12" ht="30" customHeight="1">
      <c r="A120" s="233">
        <v>3225</v>
      </c>
      <c r="B120" s="218" t="s">
        <v>726</v>
      </c>
      <c r="C120" s="219" t="s">
        <v>129</v>
      </c>
      <c r="D120" s="218" t="s">
        <v>727</v>
      </c>
      <c r="E120" s="219" t="s">
        <v>131</v>
      </c>
      <c r="F120" s="220" t="s">
        <v>49</v>
      </c>
      <c r="G120" s="231">
        <v>3.96</v>
      </c>
      <c r="H120" s="221" t="s">
        <v>132</v>
      </c>
      <c r="I120" s="222" t="s">
        <v>125</v>
      </c>
      <c r="J120" s="222" t="s">
        <v>125</v>
      </c>
      <c r="K120" s="222" t="s">
        <v>125</v>
      </c>
      <c r="L120" s="222" t="s">
        <v>125</v>
      </c>
    </row>
    <row r="121" spans="1:12" ht="30" customHeight="1">
      <c r="A121" s="233">
        <v>6198</v>
      </c>
      <c r="B121" s="218" t="s">
        <v>546</v>
      </c>
      <c r="C121" s="219" t="s">
        <v>129</v>
      </c>
      <c r="D121" s="218" t="s">
        <v>275</v>
      </c>
      <c r="E121" s="219" t="s">
        <v>131</v>
      </c>
      <c r="F121" s="220" t="s">
        <v>47</v>
      </c>
      <c r="G121" s="231">
        <v>3</v>
      </c>
      <c r="H121" s="223" t="s">
        <v>132</v>
      </c>
      <c r="I121" s="222" t="s">
        <v>125</v>
      </c>
      <c r="J121" s="222" t="s">
        <v>125</v>
      </c>
      <c r="K121" s="222" t="s">
        <v>125</v>
      </c>
      <c r="L121" s="222" t="s">
        <v>125</v>
      </c>
    </row>
    <row r="122" spans="1:12" ht="30" customHeight="1">
      <c r="A122" s="233">
        <v>3194</v>
      </c>
      <c r="B122" s="218" t="s">
        <v>276</v>
      </c>
      <c r="C122" s="219" t="s">
        <v>126</v>
      </c>
      <c r="D122" s="218" t="s">
        <v>277</v>
      </c>
      <c r="E122" s="219" t="s">
        <v>127</v>
      </c>
      <c r="F122" s="220" t="s">
        <v>49</v>
      </c>
      <c r="G122" s="231">
        <v>2.71</v>
      </c>
      <c r="H122" s="221" t="s">
        <v>132</v>
      </c>
      <c r="I122" s="222" t="s">
        <v>125</v>
      </c>
      <c r="J122" s="222"/>
      <c r="K122" s="222"/>
      <c r="L122" s="222" t="s">
        <v>125</v>
      </c>
    </row>
    <row r="123" spans="1:12" ht="30" customHeight="1">
      <c r="A123" s="233">
        <v>3190</v>
      </c>
      <c r="B123" s="218" t="s">
        <v>691</v>
      </c>
      <c r="C123" s="219" t="s">
        <v>126</v>
      </c>
      <c r="D123" s="218" t="s">
        <v>548</v>
      </c>
      <c r="E123" s="219" t="s">
        <v>127</v>
      </c>
      <c r="F123" s="220" t="s">
        <v>49</v>
      </c>
      <c r="G123" s="231">
        <v>4.78</v>
      </c>
      <c r="H123" s="221" t="s">
        <v>132</v>
      </c>
      <c r="I123" s="222" t="s">
        <v>125</v>
      </c>
      <c r="J123" s="222" t="s">
        <v>125</v>
      </c>
      <c r="K123" s="222" t="s">
        <v>125</v>
      </c>
      <c r="L123" s="222" t="s">
        <v>125</v>
      </c>
    </row>
    <row r="124" spans="1:12" ht="30" customHeight="1">
      <c r="A124" s="233" t="s">
        <v>278</v>
      </c>
      <c r="B124" s="218" t="s">
        <v>690</v>
      </c>
      <c r="C124" s="219" t="s">
        <v>126</v>
      </c>
      <c r="D124" s="218" t="s">
        <v>547</v>
      </c>
      <c r="E124" s="219" t="s">
        <v>127</v>
      </c>
      <c r="F124" s="220" t="s">
        <v>49</v>
      </c>
      <c r="G124" s="231">
        <v>5.45</v>
      </c>
      <c r="H124" s="221" t="s">
        <v>132</v>
      </c>
      <c r="I124" s="222" t="s">
        <v>125</v>
      </c>
      <c r="J124" s="222" t="s">
        <v>125</v>
      </c>
      <c r="K124" s="222" t="s">
        <v>125</v>
      </c>
      <c r="L124" s="222" t="s">
        <v>125</v>
      </c>
    </row>
    <row r="125" spans="1:12" ht="30" customHeight="1">
      <c r="A125" s="233">
        <v>1115</v>
      </c>
      <c r="B125" s="218" t="s">
        <v>631</v>
      </c>
      <c r="C125" s="219" t="s">
        <v>194</v>
      </c>
      <c r="D125" s="218" t="s">
        <v>279</v>
      </c>
      <c r="E125" s="219" t="s">
        <v>194</v>
      </c>
      <c r="F125" s="220" t="s">
        <v>49</v>
      </c>
      <c r="G125" s="231">
        <v>5.19</v>
      </c>
      <c r="H125" s="221" t="s">
        <v>132</v>
      </c>
      <c r="I125" s="222" t="s">
        <v>125</v>
      </c>
      <c r="J125" s="222" t="s">
        <v>125</v>
      </c>
      <c r="K125" s="222"/>
      <c r="L125" s="222" t="s">
        <v>125</v>
      </c>
    </row>
    <row r="126" spans="1:12" ht="30" customHeight="1">
      <c r="A126" s="233">
        <v>3703</v>
      </c>
      <c r="B126" s="218" t="s">
        <v>728</v>
      </c>
      <c r="C126" s="219" t="s">
        <v>126</v>
      </c>
      <c r="D126" s="218" t="s">
        <v>729</v>
      </c>
      <c r="E126" s="219" t="s">
        <v>127</v>
      </c>
      <c r="F126" s="220"/>
      <c r="G126" s="231">
        <v>3.82</v>
      </c>
      <c r="H126" s="221" t="s">
        <v>132</v>
      </c>
      <c r="I126" s="222" t="s">
        <v>125</v>
      </c>
      <c r="J126" s="222" t="s">
        <v>125</v>
      </c>
      <c r="K126" s="222"/>
      <c r="L126" s="222" t="s">
        <v>125</v>
      </c>
    </row>
    <row r="127" spans="1:12" ht="30" customHeight="1">
      <c r="A127" s="233">
        <v>1843</v>
      </c>
      <c r="B127" s="218" t="s">
        <v>550</v>
      </c>
      <c r="C127" s="219" t="s">
        <v>126</v>
      </c>
      <c r="D127" s="218" t="s">
        <v>549</v>
      </c>
      <c r="E127" s="219" t="s">
        <v>127</v>
      </c>
      <c r="F127" s="220"/>
      <c r="G127" s="231">
        <v>5.0599999999999996</v>
      </c>
      <c r="H127" s="221" t="s">
        <v>132</v>
      </c>
      <c r="I127" s="222" t="s">
        <v>125</v>
      </c>
      <c r="J127" s="222" t="s">
        <v>125</v>
      </c>
      <c r="K127" s="222"/>
      <c r="L127" s="222" t="s">
        <v>125</v>
      </c>
    </row>
    <row r="128" spans="1:12" ht="30" customHeight="1">
      <c r="A128" s="233">
        <v>6269</v>
      </c>
      <c r="B128" s="218" t="s">
        <v>730</v>
      </c>
      <c r="C128" s="219" t="s">
        <v>126</v>
      </c>
      <c r="D128" s="218" t="s">
        <v>731</v>
      </c>
      <c r="E128" s="219" t="s">
        <v>127</v>
      </c>
      <c r="F128" s="220"/>
      <c r="G128" s="231">
        <v>3.41</v>
      </c>
      <c r="H128" s="221" t="s">
        <v>132</v>
      </c>
      <c r="I128" s="222" t="s">
        <v>125</v>
      </c>
      <c r="J128" s="222" t="s">
        <v>125</v>
      </c>
      <c r="K128" s="222" t="s">
        <v>125</v>
      </c>
      <c r="L128" s="222" t="s">
        <v>125</v>
      </c>
    </row>
    <row r="129" spans="1:12" ht="30" customHeight="1">
      <c r="A129" s="233" t="s">
        <v>632</v>
      </c>
      <c r="B129" s="218" t="s">
        <v>633</v>
      </c>
      <c r="C129" s="219" t="s">
        <v>126</v>
      </c>
      <c r="D129" s="218" t="s">
        <v>634</v>
      </c>
      <c r="E129" s="219" t="s">
        <v>127</v>
      </c>
      <c r="F129" s="220"/>
      <c r="G129" s="231">
        <v>2.71</v>
      </c>
      <c r="H129" s="223" t="s">
        <v>132</v>
      </c>
      <c r="I129" s="222"/>
      <c r="J129" s="222"/>
      <c r="K129" s="222"/>
      <c r="L129" s="222" t="s">
        <v>125</v>
      </c>
    </row>
    <row r="130" spans="1:12" ht="30" customHeight="1">
      <c r="A130" s="233">
        <v>3112</v>
      </c>
      <c r="B130" s="218" t="s">
        <v>281</v>
      </c>
      <c r="C130" s="219" t="s">
        <v>282</v>
      </c>
      <c r="D130" s="218" t="s">
        <v>283</v>
      </c>
      <c r="E130" s="219" t="s">
        <v>284</v>
      </c>
      <c r="F130" s="220" t="s">
        <v>49</v>
      </c>
      <c r="G130" s="231">
        <v>1.77</v>
      </c>
      <c r="H130" s="221" t="s">
        <v>132</v>
      </c>
      <c r="I130" s="222" t="s">
        <v>125</v>
      </c>
      <c r="J130" s="222" t="s">
        <v>125</v>
      </c>
      <c r="K130" s="222" t="s">
        <v>125</v>
      </c>
      <c r="L130" s="222"/>
    </row>
    <row r="131" spans="1:12" ht="30" customHeight="1">
      <c r="A131" s="233">
        <v>1052</v>
      </c>
      <c r="B131" s="218" t="s">
        <v>285</v>
      </c>
      <c r="C131" s="219" t="s">
        <v>286</v>
      </c>
      <c r="D131" s="218" t="s">
        <v>287</v>
      </c>
      <c r="E131" s="219" t="s">
        <v>288</v>
      </c>
      <c r="F131" s="220"/>
      <c r="G131" s="231">
        <v>2.59</v>
      </c>
      <c r="H131" s="221" t="s">
        <v>132</v>
      </c>
      <c r="I131" s="222" t="s">
        <v>125</v>
      </c>
      <c r="J131" s="222" t="s">
        <v>125</v>
      </c>
      <c r="K131" s="222"/>
      <c r="L131" s="222"/>
    </row>
    <row r="132" spans="1:12" ht="30" customHeight="1">
      <c r="A132" s="233">
        <v>3925</v>
      </c>
      <c r="B132" s="218" t="s">
        <v>552</v>
      </c>
      <c r="C132" s="219" t="s">
        <v>126</v>
      </c>
      <c r="D132" s="218" t="s">
        <v>289</v>
      </c>
      <c r="E132" s="219" t="s">
        <v>127</v>
      </c>
      <c r="F132" s="220" t="s">
        <v>49</v>
      </c>
      <c r="G132" s="231">
        <v>12.73</v>
      </c>
      <c r="H132" s="221" t="s">
        <v>124</v>
      </c>
      <c r="I132" s="222" t="s">
        <v>125</v>
      </c>
      <c r="J132" s="222"/>
      <c r="K132" s="222"/>
      <c r="L132" s="222"/>
    </row>
    <row r="133" spans="1:12" ht="30" customHeight="1">
      <c r="A133" s="233">
        <v>1324</v>
      </c>
      <c r="B133" s="218" t="s">
        <v>556</v>
      </c>
      <c r="C133" s="219" t="s">
        <v>291</v>
      </c>
      <c r="D133" s="218" t="s">
        <v>295</v>
      </c>
      <c r="E133" s="219" t="s">
        <v>291</v>
      </c>
      <c r="F133" s="220" t="s">
        <v>49</v>
      </c>
      <c r="G133" s="231">
        <v>19.850000000000001</v>
      </c>
      <c r="H133" s="221" t="s">
        <v>124</v>
      </c>
      <c r="I133" s="222" t="s">
        <v>125</v>
      </c>
      <c r="J133" s="222"/>
      <c r="K133" s="222"/>
      <c r="L133" s="222"/>
    </row>
    <row r="134" spans="1:12" ht="30" customHeight="1">
      <c r="A134" s="233">
        <v>5113</v>
      </c>
      <c r="B134" s="218" t="s">
        <v>551</v>
      </c>
      <c r="C134" s="219" t="s">
        <v>126</v>
      </c>
      <c r="D134" s="218" t="s">
        <v>290</v>
      </c>
      <c r="E134" s="219" t="s">
        <v>127</v>
      </c>
      <c r="F134" s="220" t="s">
        <v>49</v>
      </c>
      <c r="G134" s="231">
        <v>12.73</v>
      </c>
      <c r="H134" s="221" t="s">
        <v>124</v>
      </c>
      <c r="I134" s="222" t="s">
        <v>125</v>
      </c>
      <c r="J134" s="222"/>
      <c r="K134" s="222"/>
      <c r="L134" s="222"/>
    </row>
    <row r="135" spans="1:12" ht="30" customHeight="1">
      <c r="A135" s="233">
        <v>1444</v>
      </c>
      <c r="B135" s="224" t="s">
        <v>553</v>
      </c>
      <c r="C135" s="219" t="s">
        <v>291</v>
      </c>
      <c r="D135" s="218" t="s">
        <v>292</v>
      </c>
      <c r="E135" s="219" t="s">
        <v>291</v>
      </c>
      <c r="F135" s="220" t="s">
        <v>49</v>
      </c>
      <c r="G135" s="231">
        <v>15.04</v>
      </c>
      <c r="H135" s="221" t="s">
        <v>124</v>
      </c>
      <c r="I135" s="222" t="s">
        <v>125</v>
      </c>
      <c r="J135" s="222"/>
      <c r="K135" s="222"/>
      <c r="L135" s="222"/>
    </row>
    <row r="136" spans="1:12" ht="30" customHeight="1">
      <c r="A136" s="233">
        <v>5107</v>
      </c>
      <c r="B136" s="218" t="s">
        <v>554</v>
      </c>
      <c r="C136" s="219" t="s">
        <v>126</v>
      </c>
      <c r="D136" s="218" t="s">
        <v>293</v>
      </c>
      <c r="E136" s="219" t="s">
        <v>127</v>
      </c>
      <c r="F136" s="220" t="s">
        <v>49</v>
      </c>
      <c r="G136" s="231">
        <v>12.73</v>
      </c>
      <c r="H136" s="223" t="s">
        <v>124</v>
      </c>
      <c r="I136" s="222" t="s">
        <v>125</v>
      </c>
      <c r="J136" s="222"/>
      <c r="K136" s="222"/>
      <c r="L136" s="222"/>
    </row>
    <row r="137" spans="1:12" ht="30" customHeight="1">
      <c r="A137" s="233">
        <v>3585</v>
      </c>
      <c r="B137" s="218" t="s">
        <v>555</v>
      </c>
      <c r="C137" s="219" t="s">
        <v>126</v>
      </c>
      <c r="D137" s="218" t="s">
        <v>294</v>
      </c>
      <c r="E137" s="219" t="s">
        <v>127</v>
      </c>
      <c r="F137" s="220" t="s">
        <v>49</v>
      </c>
      <c r="G137" s="231">
        <v>12.73</v>
      </c>
      <c r="H137" s="221" t="s">
        <v>124</v>
      </c>
      <c r="I137" s="222" t="s">
        <v>125</v>
      </c>
      <c r="J137" s="222"/>
      <c r="K137" s="222"/>
      <c r="L137" s="222"/>
    </row>
    <row r="138" spans="1:12" ht="30" customHeight="1">
      <c r="A138" s="233">
        <v>5114</v>
      </c>
      <c r="B138" s="218" t="s">
        <v>557</v>
      </c>
      <c r="C138" s="219" t="s">
        <v>126</v>
      </c>
      <c r="D138" s="218" t="s">
        <v>296</v>
      </c>
      <c r="E138" s="219" t="s">
        <v>127</v>
      </c>
      <c r="F138" s="220" t="s">
        <v>49</v>
      </c>
      <c r="G138" s="231">
        <v>10.67</v>
      </c>
      <c r="H138" s="221" t="s">
        <v>124</v>
      </c>
      <c r="I138" s="222" t="s">
        <v>125</v>
      </c>
      <c r="J138" s="222"/>
      <c r="K138" s="222"/>
      <c r="L138" s="222"/>
    </row>
    <row r="139" spans="1:12" ht="30" customHeight="1">
      <c r="A139" s="233">
        <v>3626</v>
      </c>
      <c r="B139" s="218" t="s">
        <v>732</v>
      </c>
      <c r="C139" s="219" t="s">
        <v>126</v>
      </c>
      <c r="D139" s="218" t="s">
        <v>733</v>
      </c>
      <c r="E139" s="219" t="s">
        <v>127</v>
      </c>
      <c r="F139" s="220"/>
      <c r="G139" s="231">
        <v>2.71</v>
      </c>
      <c r="H139" s="221" t="s">
        <v>132</v>
      </c>
      <c r="I139" s="222" t="s">
        <v>125</v>
      </c>
      <c r="J139" s="222"/>
      <c r="K139" s="222"/>
      <c r="L139" s="222" t="s">
        <v>125</v>
      </c>
    </row>
    <row r="140" spans="1:12" ht="30" customHeight="1">
      <c r="A140" s="233">
        <v>1154</v>
      </c>
      <c r="B140" s="218" t="s">
        <v>635</v>
      </c>
      <c r="C140" s="219" t="s">
        <v>297</v>
      </c>
      <c r="D140" s="218" t="s">
        <v>298</v>
      </c>
      <c r="E140" s="219" t="s">
        <v>212</v>
      </c>
      <c r="F140" s="220" t="s">
        <v>49</v>
      </c>
      <c r="G140" s="231">
        <v>19.850000000000001</v>
      </c>
      <c r="H140" s="221" t="s">
        <v>124</v>
      </c>
      <c r="I140" s="222" t="s">
        <v>125</v>
      </c>
      <c r="J140" s="222"/>
      <c r="K140" s="222"/>
      <c r="L140" s="222"/>
    </row>
    <row r="141" spans="1:12" ht="30" customHeight="1">
      <c r="A141" s="233">
        <v>1027</v>
      </c>
      <c r="B141" s="218" t="s">
        <v>636</v>
      </c>
      <c r="C141" s="219" t="s">
        <v>299</v>
      </c>
      <c r="D141" s="218" t="s">
        <v>300</v>
      </c>
      <c r="E141" s="219" t="s">
        <v>135</v>
      </c>
      <c r="F141" s="220" t="s">
        <v>49</v>
      </c>
      <c r="G141" s="231">
        <v>20.52</v>
      </c>
      <c r="H141" s="221" t="s">
        <v>124</v>
      </c>
      <c r="I141" s="222" t="s">
        <v>125</v>
      </c>
      <c r="J141" s="222" t="s">
        <v>125</v>
      </c>
      <c r="K141" s="222"/>
      <c r="L141" s="222"/>
    </row>
    <row r="142" spans="1:12" ht="30" customHeight="1">
      <c r="A142" s="233" t="s">
        <v>301</v>
      </c>
      <c r="B142" s="218" t="s">
        <v>637</v>
      </c>
      <c r="C142" s="219" t="s">
        <v>302</v>
      </c>
      <c r="D142" s="218" t="s">
        <v>305</v>
      </c>
      <c r="E142" s="219" t="s">
        <v>304</v>
      </c>
      <c r="F142" s="220" t="s">
        <v>49</v>
      </c>
      <c r="G142" s="231">
        <v>43.81</v>
      </c>
      <c r="H142" s="221" t="s">
        <v>124</v>
      </c>
      <c r="I142" s="222"/>
      <c r="J142" s="222"/>
      <c r="K142" s="222"/>
      <c r="L142" s="222"/>
    </row>
    <row r="143" spans="1:12" ht="30" customHeight="1">
      <c r="A143" s="233" t="s">
        <v>301</v>
      </c>
      <c r="B143" s="218" t="s">
        <v>638</v>
      </c>
      <c r="C143" s="219" t="s">
        <v>302</v>
      </c>
      <c r="D143" s="218" t="s">
        <v>303</v>
      </c>
      <c r="E143" s="219" t="s">
        <v>304</v>
      </c>
      <c r="F143" s="220" t="s">
        <v>49</v>
      </c>
      <c r="G143" s="231">
        <v>22.59</v>
      </c>
      <c r="H143" s="221" t="s">
        <v>124</v>
      </c>
      <c r="I143" s="222"/>
      <c r="J143" s="222"/>
      <c r="K143" s="222"/>
      <c r="L143" s="222"/>
    </row>
    <row r="144" spans="1:12" ht="30" customHeight="1">
      <c r="A144" s="233">
        <v>6005</v>
      </c>
      <c r="B144" s="218" t="s">
        <v>639</v>
      </c>
      <c r="C144" s="219" t="s">
        <v>306</v>
      </c>
      <c r="D144" s="218" t="s">
        <v>309</v>
      </c>
      <c r="E144" s="219" t="s">
        <v>308</v>
      </c>
      <c r="F144" s="220" t="s">
        <v>49</v>
      </c>
      <c r="G144" s="231">
        <v>35.880000000000003</v>
      </c>
      <c r="H144" s="221" t="s">
        <v>124</v>
      </c>
      <c r="I144" s="222" t="s">
        <v>125</v>
      </c>
      <c r="J144" s="222"/>
      <c r="K144" s="222"/>
      <c r="L144" s="222"/>
    </row>
    <row r="145" spans="1:12" ht="30" customHeight="1">
      <c r="A145" s="233">
        <v>6005</v>
      </c>
      <c r="B145" s="218" t="s">
        <v>640</v>
      </c>
      <c r="C145" s="219" t="s">
        <v>306</v>
      </c>
      <c r="D145" s="218" t="s">
        <v>307</v>
      </c>
      <c r="E145" s="219" t="s">
        <v>308</v>
      </c>
      <c r="F145" s="220" t="s">
        <v>49</v>
      </c>
      <c r="G145" s="231">
        <v>18.62</v>
      </c>
      <c r="H145" s="221" t="s">
        <v>124</v>
      </c>
      <c r="I145" s="222"/>
      <c r="J145" s="222"/>
      <c r="K145" s="222"/>
      <c r="L145" s="222"/>
    </row>
    <row r="146" spans="1:12" ht="30" customHeight="1">
      <c r="A146" s="233">
        <v>1101</v>
      </c>
      <c r="B146" s="218" t="s">
        <v>310</v>
      </c>
      <c r="C146" s="219" t="s">
        <v>129</v>
      </c>
      <c r="D146" s="218" t="s">
        <v>311</v>
      </c>
      <c r="E146" s="219" t="s">
        <v>131</v>
      </c>
      <c r="F146" s="220"/>
      <c r="G146" s="231">
        <v>1.77</v>
      </c>
      <c r="H146" s="221" t="s">
        <v>132</v>
      </c>
      <c r="I146" s="222" t="s">
        <v>125</v>
      </c>
      <c r="J146" s="222" t="s">
        <v>125</v>
      </c>
      <c r="K146" s="222"/>
      <c r="L146" s="222"/>
    </row>
    <row r="147" spans="1:12" ht="30" customHeight="1">
      <c r="A147" s="233">
        <v>1151</v>
      </c>
      <c r="B147" s="218" t="s">
        <v>312</v>
      </c>
      <c r="C147" s="219" t="s">
        <v>129</v>
      </c>
      <c r="D147" s="218" t="s">
        <v>313</v>
      </c>
      <c r="E147" s="219" t="s">
        <v>129</v>
      </c>
      <c r="F147" s="220"/>
      <c r="G147" s="231">
        <v>2.04</v>
      </c>
      <c r="H147" s="221" t="s">
        <v>132</v>
      </c>
      <c r="I147" s="222" t="s">
        <v>125</v>
      </c>
      <c r="J147" s="222" t="s">
        <v>125</v>
      </c>
      <c r="K147" s="222"/>
      <c r="L147" s="222"/>
    </row>
    <row r="148" spans="1:12" ht="30" customHeight="1">
      <c r="A148" s="233">
        <v>6025</v>
      </c>
      <c r="B148" s="218" t="s">
        <v>664</v>
      </c>
      <c r="C148" s="219" t="s">
        <v>129</v>
      </c>
      <c r="D148" s="218" t="s">
        <v>314</v>
      </c>
      <c r="E148" s="219" t="s">
        <v>131</v>
      </c>
      <c r="F148" s="220"/>
      <c r="G148" s="231">
        <v>5.45</v>
      </c>
      <c r="H148" s="221" t="s">
        <v>124</v>
      </c>
      <c r="I148" s="222" t="s">
        <v>125</v>
      </c>
      <c r="J148" s="222"/>
      <c r="K148" s="222"/>
      <c r="L148" s="222"/>
    </row>
    <row r="149" spans="1:12" ht="30" customHeight="1">
      <c r="A149" s="233">
        <v>5119</v>
      </c>
      <c r="B149" s="218" t="s">
        <v>734</v>
      </c>
      <c r="C149" s="219" t="s">
        <v>315</v>
      </c>
      <c r="D149" s="218" t="s">
        <v>316</v>
      </c>
      <c r="E149" s="219" t="s">
        <v>317</v>
      </c>
      <c r="F149" s="220"/>
      <c r="G149" s="231">
        <v>10.119999999999999</v>
      </c>
      <c r="H149" s="221" t="s">
        <v>124</v>
      </c>
      <c r="I149" s="222"/>
      <c r="J149" s="222"/>
      <c r="K149" s="222"/>
      <c r="L149" s="222"/>
    </row>
    <row r="150" spans="1:12" ht="30" customHeight="1">
      <c r="A150" s="233">
        <v>1541</v>
      </c>
      <c r="B150" s="218" t="s">
        <v>735</v>
      </c>
      <c r="C150" s="219" t="s">
        <v>245</v>
      </c>
      <c r="D150" s="218" t="s">
        <v>318</v>
      </c>
      <c r="E150" s="219" t="s">
        <v>247</v>
      </c>
      <c r="F150" s="220" t="s">
        <v>49</v>
      </c>
      <c r="G150" s="231">
        <v>9.0299999999999994</v>
      </c>
      <c r="H150" s="221" t="s">
        <v>124</v>
      </c>
      <c r="I150" s="222"/>
      <c r="J150" s="222"/>
      <c r="K150" s="222"/>
      <c r="L150" s="222"/>
    </row>
    <row r="151" spans="1:12" ht="30" customHeight="1">
      <c r="A151" s="233">
        <v>5159</v>
      </c>
      <c r="B151" s="218" t="s">
        <v>319</v>
      </c>
      <c r="C151" s="219" t="s">
        <v>126</v>
      </c>
      <c r="D151" s="218" t="s">
        <v>320</v>
      </c>
      <c r="E151" s="219" t="s">
        <v>127</v>
      </c>
      <c r="F151" s="220"/>
      <c r="G151" s="231">
        <v>4.08</v>
      </c>
      <c r="H151" s="221" t="s">
        <v>132</v>
      </c>
      <c r="I151" s="222" t="s">
        <v>125</v>
      </c>
      <c r="J151" s="222"/>
      <c r="K151" s="222"/>
      <c r="L151" s="222" t="s">
        <v>125</v>
      </c>
    </row>
    <row r="152" spans="1:12" ht="30" customHeight="1">
      <c r="A152" s="233">
        <v>3073</v>
      </c>
      <c r="B152" s="218" t="s">
        <v>321</v>
      </c>
      <c r="C152" s="219" t="s">
        <v>286</v>
      </c>
      <c r="D152" s="218" t="s">
        <v>322</v>
      </c>
      <c r="E152" s="219" t="s">
        <v>288</v>
      </c>
      <c r="F152" s="220"/>
      <c r="G152" s="231">
        <v>3.27</v>
      </c>
      <c r="H152" s="221" t="s">
        <v>132</v>
      </c>
      <c r="I152" s="222" t="s">
        <v>125</v>
      </c>
      <c r="J152" s="222" t="s">
        <v>125</v>
      </c>
      <c r="K152" s="222"/>
      <c r="L152" s="222" t="s">
        <v>125</v>
      </c>
    </row>
    <row r="153" spans="1:12" ht="30" customHeight="1">
      <c r="A153" s="233">
        <v>6584</v>
      </c>
      <c r="B153" s="218" t="s">
        <v>641</v>
      </c>
      <c r="C153" s="219" t="s">
        <v>642</v>
      </c>
      <c r="D153" s="218" t="s">
        <v>643</v>
      </c>
      <c r="E153" s="219" t="s">
        <v>644</v>
      </c>
      <c r="F153" s="220"/>
      <c r="G153" s="231">
        <v>16.41</v>
      </c>
      <c r="H153" s="221" t="s">
        <v>124</v>
      </c>
      <c r="I153" s="222"/>
      <c r="J153" s="222"/>
      <c r="K153" s="222"/>
      <c r="L153" s="222"/>
    </row>
    <row r="154" spans="1:12" ht="30" customHeight="1">
      <c r="A154" s="233">
        <v>1576</v>
      </c>
      <c r="B154" s="218" t="s">
        <v>559</v>
      </c>
      <c r="C154" s="219" t="s">
        <v>129</v>
      </c>
      <c r="D154" s="218" t="s">
        <v>323</v>
      </c>
      <c r="E154" s="219" t="s">
        <v>131</v>
      </c>
      <c r="F154" s="220" t="s">
        <v>49</v>
      </c>
      <c r="G154" s="231">
        <v>2.59</v>
      </c>
      <c r="H154" s="221" t="s">
        <v>132</v>
      </c>
      <c r="I154" s="222" t="s">
        <v>125</v>
      </c>
      <c r="J154" s="222" t="s">
        <v>125</v>
      </c>
      <c r="K154" s="222" t="s">
        <v>125</v>
      </c>
      <c r="L154" s="222" t="s">
        <v>125</v>
      </c>
    </row>
    <row r="155" spans="1:12" ht="30" customHeight="1">
      <c r="A155" s="233">
        <v>1015</v>
      </c>
      <c r="B155" s="218" t="s">
        <v>558</v>
      </c>
      <c r="C155" s="219" t="s">
        <v>129</v>
      </c>
      <c r="D155" s="218" t="s">
        <v>324</v>
      </c>
      <c r="E155" s="219" t="s">
        <v>131</v>
      </c>
      <c r="F155" s="220" t="s">
        <v>49</v>
      </c>
      <c r="G155" s="231">
        <v>2.04</v>
      </c>
      <c r="H155" s="221" t="s">
        <v>132</v>
      </c>
      <c r="I155" s="222" t="s">
        <v>125</v>
      </c>
      <c r="J155" s="222" t="s">
        <v>125</v>
      </c>
      <c r="K155" s="222" t="s">
        <v>125</v>
      </c>
      <c r="L155" s="222" t="s">
        <v>125</v>
      </c>
    </row>
    <row r="156" spans="1:12" ht="30" customHeight="1">
      <c r="A156" s="233">
        <v>1761</v>
      </c>
      <c r="B156" s="218" t="s">
        <v>645</v>
      </c>
      <c r="C156" s="219" t="s">
        <v>129</v>
      </c>
      <c r="D156" s="218" t="s">
        <v>560</v>
      </c>
      <c r="E156" s="219" t="s">
        <v>131</v>
      </c>
      <c r="F156" s="220"/>
      <c r="G156" s="231">
        <v>3.41</v>
      </c>
      <c r="H156" s="221" t="s">
        <v>132</v>
      </c>
      <c r="I156" s="222" t="s">
        <v>125</v>
      </c>
      <c r="J156" s="222" t="s">
        <v>125</v>
      </c>
      <c r="K156" s="222" t="s">
        <v>125</v>
      </c>
      <c r="L156" s="222" t="s">
        <v>125</v>
      </c>
    </row>
    <row r="157" spans="1:12" ht="30" customHeight="1">
      <c r="A157" s="233">
        <v>3615</v>
      </c>
      <c r="B157" s="218" t="s">
        <v>646</v>
      </c>
      <c r="C157" s="219" t="s">
        <v>210</v>
      </c>
      <c r="D157" s="218" t="s">
        <v>647</v>
      </c>
      <c r="E157" s="219" t="s">
        <v>212</v>
      </c>
      <c r="F157" s="220" t="s">
        <v>49</v>
      </c>
      <c r="G157" s="231">
        <v>34.22</v>
      </c>
      <c r="H157" s="221" t="s">
        <v>124</v>
      </c>
      <c r="I157" s="222"/>
      <c r="J157" s="222"/>
      <c r="K157" s="222"/>
      <c r="L157" s="222"/>
    </row>
    <row r="158" spans="1:12" ht="30" customHeight="1">
      <c r="A158" s="233">
        <v>3615</v>
      </c>
      <c r="B158" s="218" t="s">
        <v>648</v>
      </c>
      <c r="C158" s="219" t="s">
        <v>210</v>
      </c>
      <c r="D158" s="218" t="s">
        <v>649</v>
      </c>
      <c r="E158" s="219" t="s">
        <v>212</v>
      </c>
      <c r="F158" s="220" t="s">
        <v>49</v>
      </c>
      <c r="G158" s="231">
        <v>17.78</v>
      </c>
      <c r="H158" s="221" t="s">
        <v>124</v>
      </c>
      <c r="I158" s="222"/>
      <c r="J158" s="222"/>
      <c r="K158" s="222"/>
      <c r="L158" s="222"/>
    </row>
    <row r="159" spans="1:12" ht="30" customHeight="1">
      <c r="A159" s="233">
        <v>3967</v>
      </c>
      <c r="B159" s="218" t="s">
        <v>736</v>
      </c>
      <c r="C159" s="219" t="s">
        <v>126</v>
      </c>
      <c r="D159" s="218" t="s">
        <v>737</v>
      </c>
      <c r="E159" s="219" t="s">
        <v>127</v>
      </c>
      <c r="F159" s="220"/>
      <c r="G159" s="231">
        <v>9.56</v>
      </c>
      <c r="H159" s="221" t="s">
        <v>132</v>
      </c>
      <c r="I159" s="222"/>
      <c r="J159" s="222"/>
      <c r="K159" s="222"/>
      <c r="L159" s="222" t="s">
        <v>125</v>
      </c>
    </row>
    <row r="160" spans="1:12" ht="30" customHeight="1">
      <c r="A160" s="233">
        <v>1982</v>
      </c>
      <c r="B160" s="218" t="s">
        <v>738</v>
      </c>
      <c r="C160" s="219" t="s">
        <v>126</v>
      </c>
      <c r="D160" s="218" t="s">
        <v>568</v>
      </c>
      <c r="E160" s="219" t="s">
        <v>127</v>
      </c>
      <c r="F160" s="220" t="s">
        <v>49</v>
      </c>
      <c r="G160" s="231">
        <v>11.91</v>
      </c>
      <c r="H160" s="221" t="s">
        <v>132</v>
      </c>
      <c r="I160" s="222" t="s">
        <v>125</v>
      </c>
      <c r="J160" s="222"/>
      <c r="K160" s="222"/>
      <c r="L160" s="222" t="s">
        <v>125</v>
      </c>
    </row>
    <row r="161" spans="1:12" ht="30" customHeight="1">
      <c r="A161" s="233">
        <v>3043</v>
      </c>
      <c r="B161" s="218" t="s">
        <v>325</v>
      </c>
      <c r="C161" s="219" t="s">
        <v>210</v>
      </c>
      <c r="D161" s="218" t="s">
        <v>326</v>
      </c>
      <c r="E161" s="219" t="s">
        <v>212</v>
      </c>
      <c r="F161" s="220"/>
      <c r="G161" s="231">
        <v>3.41</v>
      </c>
      <c r="H161" s="221" t="s">
        <v>132</v>
      </c>
      <c r="I161" s="222" t="s">
        <v>125</v>
      </c>
      <c r="J161" s="222" t="s">
        <v>125</v>
      </c>
      <c r="K161" s="222"/>
      <c r="L161" s="222" t="s">
        <v>125</v>
      </c>
    </row>
    <row r="162" spans="1:12" ht="30" customHeight="1">
      <c r="A162" s="233">
        <v>1123</v>
      </c>
      <c r="B162" s="218" t="s">
        <v>327</v>
      </c>
      <c r="C162" s="219" t="s">
        <v>210</v>
      </c>
      <c r="D162" s="218" t="s">
        <v>328</v>
      </c>
      <c r="E162" s="219" t="s">
        <v>212</v>
      </c>
      <c r="F162" s="220"/>
      <c r="G162" s="231">
        <v>3.82</v>
      </c>
      <c r="H162" s="221" t="s">
        <v>132</v>
      </c>
      <c r="I162" s="222" t="s">
        <v>125</v>
      </c>
      <c r="J162" s="222" t="s">
        <v>125</v>
      </c>
      <c r="K162" s="222"/>
      <c r="L162" s="222" t="s">
        <v>125</v>
      </c>
    </row>
    <row r="163" spans="1:12" ht="30" customHeight="1">
      <c r="A163" s="233">
        <v>1062</v>
      </c>
      <c r="B163" s="218" t="s">
        <v>329</v>
      </c>
      <c r="C163" s="219" t="s">
        <v>129</v>
      </c>
      <c r="D163" s="218" t="s">
        <v>330</v>
      </c>
      <c r="E163" s="219" t="s">
        <v>131</v>
      </c>
      <c r="F163" s="220"/>
      <c r="G163" s="231">
        <v>3.41</v>
      </c>
      <c r="H163" s="221" t="s">
        <v>132</v>
      </c>
      <c r="I163" s="222" t="s">
        <v>125</v>
      </c>
      <c r="J163" s="222"/>
      <c r="K163" s="222"/>
      <c r="L163" s="222" t="s">
        <v>125</v>
      </c>
    </row>
    <row r="164" spans="1:12" ht="30" customHeight="1">
      <c r="A164" s="233">
        <v>3313</v>
      </c>
      <c r="B164" s="218" t="s">
        <v>331</v>
      </c>
      <c r="C164" s="219" t="s">
        <v>126</v>
      </c>
      <c r="D164" s="218" t="s">
        <v>332</v>
      </c>
      <c r="E164" s="219" t="s">
        <v>127</v>
      </c>
      <c r="F164" s="220" t="s">
        <v>49</v>
      </c>
      <c r="G164" s="231">
        <v>3.14</v>
      </c>
      <c r="H164" s="221" t="s">
        <v>132</v>
      </c>
      <c r="I164" s="222" t="s">
        <v>125</v>
      </c>
      <c r="J164" s="222" t="s">
        <v>125</v>
      </c>
      <c r="K164" s="222"/>
      <c r="L164" s="222" t="s">
        <v>125</v>
      </c>
    </row>
    <row r="165" spans="1:12" ht="30" customHeight="1">
      <c r="A165" s="233">
        <v>1043</v>
      </c>
      <c r="B165" s="218" t="s">
        <v>524</v>
      </c>
      <c r="C165" s="219" t="s">
        <v>129</v>
      </c>
      <c r="D165" s="218" t="s">
        <v>525</v>
      </c>
      <c r="E165" s="219" t="s">
        <v>131</v>
      </c>
      <c r="F165" s="220"/>
      <c r="G165" s="231">
        <v>5.19</v>
      </c>
      <c r="H165" s="221" t="s">
        <v>132</v>
      </c>
      <c r="I165" s="222" t="s">
        <v>125</v>
      </c>
      <c r="J165" s="222"/>
      <c r="K165" s="222"/>
      <c r="L165" s="222" t="s">
        <v>125</v>
      </c>
    </row>
    <row r="166" spans="1:12" ht="30" customHeight="1">
      <c r="A166" s="233">
        <v>6041</v>
      </c>
      <c r="B166" s="218" t="s">
        <v>739</v>
      </c>
      <c r="C166" s="219" t="s">
        <v>333</v>
      </c>
      <c r="D166" s="218" t="s">
        <v>334</v>
      </c>
      <c r="E166" s="219" t="s">
        <v>284</v>
      </c>
      <c r="F166" s="220" t="s">
        <v>49</v>
      </c>
      <c r="G166" s="231">
        <v>17.78</v>
      </c>
      <c r="H166" s="221" t="s">
        <v>124</v>
      </c>
      <c r="I166" s="222"/>
      <c r="J166" s="222"/>
      <c r="K166" s="222"/>
      <c r="L166" s="222"/>
    </row>
    <row r="167" spans="1:12" ht="30" customHeight="1">
      <c r="A167" s="233" t="s">
        <v>335</v>
      </c>
      <c r="B167" s="218" t="s">
        <v>740</v>
      </c>
      <c r="C167" s="219" t="s">
        <v>291</v>
      </c>
      <c r="D167" s="218" t="s">
        <v>336</v>
      </c>
      <c r="E167" s="219" t="s">
        <v>291</v>
      </c>
      <c r="F167" s="220" t="s">
        <v>49</v>
      </c>
      <c r="G167" s="231">
        <v>18.48</v>
      </c>
      <c r="H167" s="221" t="s">
        <v>124</v>
      </c>
      <c r="I167" s="222"/>
      <c r="J167" s="222"/>
      <c r="K167" s="222"/>
      <c r="L167" s="222"/>
    </row>
    <row r="168" spans="1:12" ht="30" customHeight="1">
      <c r="A168" s="233">
        <v>6121</v>
      </c>
      <c r="B168" s="218" t="s">
        <v>741</v>
      </c>
      <c r="C168" s="219" t="s">
        <v>129</v>
      </c>
      <c r="D168" s="218" t="s">
        <v>742</v>
      </c>
      <c r="E168" s="219" t="s">
        <v>131</v>
      </c>
      <c r="F168" s="220"/>
      <c r="G168" s="231">
        <v>1.9</v>
      </c>
      <c r="H168" s="221" t="s">
        <v>132</v>
      </c>
      <c r="I168" s="222" t="s">
        <v>125</v>
      </c>
      <c r="J168" s="222" t="s">
        <v>125</v>
      </c>
      <c r="K168" s="222"/>
      <c r="L168" s="222" t="s">
        <v>125</v>
      </c>
    </row>
    <row r="169" spans="1:12" ht="30" customHeight="1">
      <c r="A169" s="233">
        <v>1147</v>
      </c>
      <c r="B169" s="218" t="s">
        <v>337</v>
      </c>
      <c r="C169" s="219" t="s">
        <v>126</v>
      </c>
      <c r="D169" s="218" t="s">
        <v>338</v>
      </c>
      <c r="E169" s="219" t="s">
        <v>127</v>
      </c>
      <c r="F169" s="220"/>
      <c r="G169" s="231">
        <v>2.3199999999999998</v>
      </c>
      <c r="H169" s="221" t="s">
        <v>132</v>
      </c>
      <c r="I169" s="222" t="s">
        <v>125</v>
      </c>
      <c r="J169" s="222" t="s">
        <v>125</v>
      </c>
      <c r="K169" s="222"/>
      <c r="L169" s="222" t="s">
        <v>125</v>
      </c>
    </row>
    <row r="170" spans="1:12" ht="30" customHeight="1">
      <c r="A170" s="233" t="s">
        <v>339</v>
      </c>
      <c r="B170" s="218" t="s">
        <v>743</v>
      </c>
      <c r="C170" s="219" t="s">
        <v>126</v>
      </c>
      <c r="D170" s="218" t="s">
        <v>340</v>
      </c>
      <c r="E170" s="219" t="s">
        <v>127</v>
      </c>
      <c r="F170" s="220"/>
      <c r="G170" s="231">
        <v>2.1800000000000002</v>
      </c>
      <c r="H170" s="221" t="s">
        <v>132</v>
      </c>
      <c r="I170" s="222" t="s">
        <v>125</v>
      </c>
      <c r="J170" s="222" t="s">
        <v>125</v>
      </c>
      <c r="K170" s="222" t="s">
        <v>125</v>
      </c>
      <c r="L170" s="222" t="s">
        <v>125</v>
      </c>
    </row>
    <row r="171" spans="1:12" ht="30" customHeight="1">
      <c r="A171" s="233">
        <v>3973</v>
      </c>
      <c r="B171" s="218" t="s">
        <v>744</v>
      </c>
      <c r="C171" s="219" t="s">
        <v>126</v>
      </c>
      <c r="D171" s="218" t="s">
        <v>650</v>
      </c>
      <c r="E171" s="219" t="s">
        <v>127</v>
      </c>
      <c r="F171" s="220"/>
      <c r="G171" s="231">
        <v>2.3199999999999998</v>
      </c>
      <c r="H171" s="221" t="s">
        <v>132</v>
      </c>
      <c r="I171" s="222" t="s">
        <v>125</v>
      </c>
      <c r="J171" s="222" t="s">
        <v>125</v>
      </c>
      <c r="K171" s="222" t="s">
        <v>125</v>
      </c>
      <c r="L171" s="222" t="s">
        <v>125</v>
      </c>
    </row>
    <row r="172" spans="1:12" ht="30" customHeight="1">
      <c r="A172" s="233">
        <v>3706</v>
      </c>
      <c r="B172" s="218" t="s">
        <v>745</v>
      </c>
      <c r="C172" s="219" t="s">
        <v>126</v>
      </c>
      <c r="D172" s="218" t="s">
        <v>341</v>
      </c>
      <c r="E172" s="219" t="s">
        <v>127</v>
      </c>
      <c r="F172" s="220"/>
      <c r="G172" s="231">
        <v>2.4500000000000002</v>
      </c>
      <c r="H172" s="221" t="s">
        <v>132</v>
      </c>
      <c r="I172" s="222" t="s">
        <v>125</v>
      </c>
      <c r="J172" s="222" t="s">
        <v>125</v>
      </c>
      <c r="K172" s="222"/>
      <c r="L172" s="222" t="s">
        <v>125</v>
      </c>
    </row>
    <row r="173" spans="1:12" ht="30" customHeight="1">
      <c r="A173" s="233">
        <v>3145</v>
      </c>
      <c r="B173" s="218" t="s">
        <v>746</v>
      </c>
      <c r="C173" s="219" t="s">
        <v>126</v>
      </c>
      <c r="D173" s="218" t="s">
        <v>342</v>
      </c>
      <c r="E173" s="219" t="s">
        <v>127</v>
      </c>
      <c r="F173" s="220"/>
      <c r="G173" s="231">
        <v>2.3199999999999998</v>
      </c>
      <c r="H173" s="221" t="s">
        <v>132</v>
      </c>
      <c r="I173" s="222" t="s">
        <v>125</v>
      </c>
      <c r="J173" s="222" t="s">
        <v>125</v>
      </c>
      <c r="K173" s="222" t="s">
        <v>125</v>
      </c>
      <c r="L173" s="222" t="s">
        <v>125</v>
      </c>
    </row>
    <row r="174" spans="1:12" ht="30" customHeight="1">
      <c r="A174" s="233">
        <v>5149</v>
      </c>
      <c r="B174" s="218" t="s">
        <v>747</v>
      </c>
      <c r="C174" s="219" t="s">
        <v>126</v>
      </c>
      <c r="D174" s="218" t="s">
        <v>343</v>
      </c>
      <c r="E174" s="219" t="s">
        <v>127</v>
      </c>
      <c r="F174" s="220"/>
      <c r="G174" s="231">
        <v>2.4500000000000002</v>
      </c>
      <c r="H174" s="221" t="s">
        <v>132</v>
      </c>
      <c r="I174" s="222"/>
      <c r="J174" s="222"/>
      <c r="K174" s="222"/>
      <c r="L174" s="222" t="s">
        <v>125</v>
      </c>
    </row>
    <row r="175" spans="1:12" ht="30" customHeight="1">
      <c r="A175" s="233">
        <v>3876</v>
      </c>
      <c r="B175" s="218" t="s">
        <v>748</v>
      </c>
      <c r="C175" s="219" t="s">
        <v>126</v>
      </c>
      <c r="D175" s="218" t="s">
        <v>749</v>
      </c>
      <c r="E175" s="219" t="s">
        <v>127</v>
      </c>
      <c r="F175" s="220"/>
      <c r="G175" s="231">
        <v>2.4500000000000002</v>
      </c>
      <c r="H175" s="221" t="s">
        <v>132</v>
      </c>
      <c r="I175" s="222" t="s">
        <v>125</v>
      </c>
      <c r="J175" s="222" t="s">
        <v>125</v>
      </c>
      <c r="K175" s="222"/>
      <c r="L175" s="222" t="s">
        <v>125</v>
      </c>
    </row>
    <row r="176" spans="1:12" ht="30" customHeight="1">
      <c r="A176" s="233">
        <v>3824</v>
      </c>
      <c r="B176" s="218" t="s">
        <v>344</v>
      </c>
      <c r="C176" s="219" t="s">
        <v>210</v>
      </c>
      <c r="D176" s="218" t="s">
        <v>345</v>
      </c>
      <c r="E176" s="219" t="s">
        <v>212</v>
      </c>
      <c r="F176" s="220" t="s">
        <v>49</v>
      </c>
      <c r="G176" s="231">
        <v>2.4500000000000002</v>
      </c>
      <c r="H176" s="221" t="s">
        <v>132</v>
      </c>
      <c r="I176" s="222" t="s">
        <v>125</v>
      </c>
      <c r="J176" s="222"/>
      <c r="K176" s="222"/>
      <c r="L176" s="222" t="s">
        <v>125</v>
      </c>
    </row>
    <row r="177" spans="1:12" ht="30" customHeight="1">
      <c r="A177" s="233">
        <v>1073</v>
      </c>
      <c r="B177" s="218" t="s">
        <v>651</v>
      </c>
      <c r="C177" s="219" t="s">
        <v>241</v>
      </c>
      <c r="D177" s="218" t="s">
        <v>346</v>
      </c>
      <c r="E177" s="219" t="s">
        <v>243</v>
      </c>
      <c r="F177" s="220" t="s">
        <v>49</v>
      </c>
      <c r="G177" s="231">
        <v>6.82</v>
      </c>
      <c r="H177" s="221" t="s">
        <v>124</v>
      </c>
      <c r="I177" s="222" t="s">
        <v>125</v>
      </c>
      <c r="J177" s="222" t="s">
        <v>125</v>
      </c>
      <c r="K177" s="222"/>
      <c r="L177" s="222"/>
    </row>
    <row r="178" spans="1:12" ht="30" customHeight="1">
      <c r="A178" s="233">
        <v>3752</v>
      </c>
      <c r="B178" s="218" t="s">
        <v>652</v>
      </c>
      <c r="C178" s="219" t="s">
        <v>129</v>
      </c>
      <c r="D178" s="218" t="s">
        <v>347</v>
      </c>
      <c r="E178" s="219" t="s">
        <v>131</v>
      </c>
      <c r="F178" s="220" t="s">
        <v>49</v>
      </c>
      <c r="G178" s="231">
        <v>5.88</v>
      </c>
      <c r="H178" s="221" t="s">
        <v>124</v>
      </c>
      <c r="I178" s="222"/>
      <c r="J178" s="222"/>
      <c r="K178" s="222"/>
      <c r="L178" s="222"/>
    </row>
    <row r="179" spans="1:12" ht="30" customHeight="1">
      <c r="A179" s="233">
        <v>3713</v>
      </c>
      <c r="B179" s="218" t="s">
        <v>692</v>
      </c>
      <c r="C179" s="219" t="s">
        <v>349</v>
      </c>
      <c r="D179" s="218" t="s">
        <v>350</v>
      </c>
      <c r="E179" s="219" t="s">
        <v>351</v>
      </c>
      <c r="F179" s="220" t="s">
        <v>49</v>
      </c>
      <c r="G179" s="231">
        <v>2.71</v>
      </c>
      <c r="H179" s="221" t="s">
        <v>132</v>
      </c>
      <c r="I179" s="222" t="s">
        <v>125</v>
      </c>
      <c r="J179" s="222"/>
      <c r="K179" s="222"/>
      <c r="L179" s="222"/>
    </row>
    <row r="180" spans="1:12" ht="30" customHeight="1">
      <c r="A180" s="233">
        <v>1358</v>
      </c>
      <c r="B180" s="218" t="s">
        <v>653</v>
      </c>
      <c r="C180" s="219" t="s">
        <v>562</v>
      </c>
      <c r="D180" s="224" t="s">
        <v>352</v>
      </c>
      <c r="E180" s="219" t="s">
        <v>561</v>
      </c>
      <c r="F180" s="220" t="s">
        <v>49</v>
      </c>
      <c r="G180" s="231">
        <v>6.7</v>
      </c>
      <c r="H180" s="221" t="s">
        <v>124</v>
      </c>
      <c r="I180" s="222" t="s">
        <v>125</v>
      </c>
      <c r="J180" s="222"/>
      <c r="K180" s="222"/>
      <c r="L180" s="222"/>
    </row>
    <row r="181" spans="1:12" ht="30" customHeight="1">
      <c r="A181" s="233">
        <v>1860</v>
      </c>
      <c r="B181" s="218" t="s">
        <v>654</v>
      </c>
      <c r="C181" s="219" t="s">
        <v>245</v>
      </c>
      <c r="D181" s="218" t="s">
        <v>353</v>
      </c>
      <c r="E181" s="219" t="s">
        <v>523</v>
      </c>
      <c r="F181" s="220" t="s">
        <v>49</v>
      </c>
      <c r="G181" s="231">
        <v>8.19</v>
      </c>
      <c r="H181" s="221" t="s">
        <v>124</v>
      </c>
      <c r="I181" s="222" t="s">
        <v>125</v>
      </c>
      <c r="J181" s="222" t="s">
        <v>125</v>
      </c>
      <c r="K181" s="222"/>
      <c r="L181" s="222"/>
    </row>
    <row r="182" spans="1:12" ht="30" customHeight="1">
      <c r="A182" s="233">
        <v>1496</v>
      </c>
      <c r="B182" s="218" t="s">
        <v>655</v>
      </c>
      <c r="C182" s="219" t="s">
        <v>140</v>
      </c>
      <c r="D182" s="218" t="s">
        <v>355</v>
      </c>
      <c r="E182" s="219" t="s">
        <v>140</v>
      </c>
      <c r="F182" s="220" t="s">
        <v>49</v>
      </c>
      <c r="G182" s="231">
        <v>37.659999999999997</v>
      </c>
      <c r="H182" s="223" t="s">
        <v>124</v>
      </c>
      <c r="I182" s="222"/>
      <c r="J182" s="222"/>
      <c r="K182" s="222"/>
      <c r="L182" s="222"/>
    </row>
    <row r="183" spans="1:12" ht="30" customHeight="1">
      <c r="A183" s="233">
        <v>1496</v>
      </c>
      <c r="B183" s="218" t="s">
        <v>656</v>
      </c>
      <c r="C183" s="219" t="s">
        <v>140</v>
      </c>
      <c r="D183" s="218" t="s">
        <v>354</v>
      </c>
      <c r="E183" s="219" t="s">
        <v>140</v>
      </c>
      <c r="F183" s="220" t="s">
        <v>49</v>
      </c>
      <c r="G183" s="231">
        <v>19.579999999999998</v>
      </c>
      <c r="H183" s="221" t="s">
        <v>124</v>
      </c>
      <c r="I183" s="222"/>
      <c r="J183" s="222"/>
      <c r="K183" s="222"/>
      <c r="L183" s="222"/>
    </row>
    <row r="184" spans="1:12" ht="30" customHeight="1">
      <c r="A184" s="233">
        <v>1612</v>
      </c>
      <c r="B184" s="218" t="s">
        <v>657</v>
      </c>
      <c r="C184" s="219" t="s">
        <v>133</v>
      </c>
      <c r="D184" s="218" t="s">
        <v>658</v>
      </c>
      <c r="E184" s="219" t="s">
        <v>135</v>
      </c>
      <c r="F184" s="220" t="s">
        <v>49</v>
      </c>
      <c r="G184" s="231">
        <v>35.590000000000003</v>
      </c>
      <c r="H184" s="221" t="s">
        <v>124</v>
      </c>
      <c r="I184" s="222"/>
      <c r="J184" s="222"/>
      <c r="K184" s="222"/>
      <c r="L184" s="222"/>
    </row>
    <row r="185" spans="1:12" ht="30" customHeight="1">
      <c r="A185" s="233">
        <v>1575</v>
      </c>
      <c r="B185" s="218" t="s">
        <v>659</v>
      </c>
      <c r="C185" s="219" t="s">
        <v>356</v>
      </c>
      <c r="D185" s="218" t="s">
        <v>357</v>
      </c>
      <c r="E185" s="219" t="s">
        <v>358</v>
      </c>
      <c r="F185" s="220" t="s">
        <v>49</v>
      </c>
      <c r="G185" s="231">
        <v>11.91</v>
      </c>
      <c r="H185" s="221" t="s">
        <v>124</v>
      </c>
      <c r="I185" s="222" t="s">
        <v>125</v>
      </c>
      <c r="J185" s="222"/>
      <c r="K185" s="222"/>
      <c r="L185" s="222"/>
    </row>
    <row r="186" spans="1:12" ht="30" customHeight="1">
      <c r="A186" s="233">
        <v>6110</v>
      </c>
      <c r="B186" s="218" t="s">
        <v>750</v>
      </c>
      <c r="C186" s="219" t="s">
        <v>210</v>
      </c>
      <c r="D186" s="218" t="s">
        <v>361</v>
      </c>
      <c r="E186" s="219" t="s">
        <v>297</v>
      </c>
      <c r="F186" s="220" t="s">
        <v>49</v>
      </c>
      <c r="G186" s="231">
        <v>32.85</v>
      </c>
      <c r="H186" s="221" t="s">
        <v>124</v>
      </c>
      <c r="I186" s="222"/>
      <c r="J186" s="222"/>
      <c r="K186" s="222"/>
      <c r="L186" s="222"/>
    </row>
    <row r="187" spans="1:12" ht="30" customHeight="1">
      <c r="A187" s="233">
        <v>6110</v>
      </c>
      <c r="B187" s="218" t="s">
        <v>751</v>
      </c>
      <c r="C187" s="219" t="s">
        <v>210</v>
      </c>
      <c r="D187" s="218" t="s">
        <v>359</v>
      </c>
      <c r="E187" s="219" t="s">
        <v>297</v>
      </c>
      <c r="F187" s="220" t="s">
        <v>49</v>
      </c>
      <c r="G187" s="231">
        <v>7.25</v>
      </c>
      <c r="H187" s="221" t="s">
        <v>124</v>
      </c>
      <c r="I187" s="222"/>
      <c r="J187" s="222"/>
      <c r="K187" s="222"/>
      <c r="L187" s="222"/>
    </row>
    <row r="188" spans="1:12" ht="30" customHeight="1">
      <c r="A188" s="233">
        <v>3783</v>
      </c>
      <c r="B188" s="218" t="s">
        <v>660</v>
      </c>
      <c r="C188" s="219" t="s">
        <v>173</v>
      </c>
      <c r="D188" s="218" t="s">
        <v>661</v>
      </c>
      <c r="E188" s="219" t="s">
        <v>175</v>
      </c>
      <c r="F188" s="220"/>
      <c r="G188" s="231">
        <v>24.63</v>
      </c>
      <c r="H188" s="221" t="s">
        <v>124</v>
      </c>
      <c r="I188" s="222" t="s">
        <v>125</v>
      </c>
      <c r="J188" s="222"/>
      <c r="K188" s="222"/>
      <c r="L188" s="222"/>
    </row>
    <row r="189" spans="1:12" ht="30" customHeight="1">
      <c r="A189" s="233"/>
      <c r="B189" s="218"/>
      <c r="C189" s="219"/>
      <c r="D189" s="218"/>
      <c r="E189" s="219"/>
      <c r="F189" s="220"/>
      <c r="G189" s="231"/>
      <c r="H189" s="221"/>
      <c r="I189" s="222"/>
      <c r="J189" s="222"/>
      <c r="K189" s="222"/>
      <c r="L189" s="222"/>
    </row>
    <row r="190" spans="1:12" ht="30" customHeight="1">
      <c r="A190" s="233"/>
      <c r="B190" s="218"/>
      <c r="C190" s="219"/>
      <c r="D190" s="218"/>
      <c r="E190" s="219"/>
      <c r="F190" s="220"/>
      <c r="G190" s="231"/>
      <c r="H190" s="221"/>
      <c r="I190" s="222"/>
      <c r="J190" s="222"/>
      <c r="K190" s="222"/>
      <c r="L190" s="222"/>
    </row>
    <row r="191" spans="1:12" ht="30" customHeight="1">
      <c r="A191" s="233"/>
      <c r="B191" s="218"/>
      <c r="C191" s="219"/>
      <c r="D191" s="218"/>
      <c r="E191" s="219"/>
      <c r="F191" s="220"/>
      <c r="G191" s="231"/>
      <c r="H191" s="221"/>
      <c r="I191" s="222"/>
      <c r="J191" s="222"/>
      <c r="K191" s="222"/>
      <c r="L191" s="222"/>
    </row>
    <row r="192" spans="1:12" ht="30" customHeight="1">
      <c r="A192" s="233"/>
      <c r="B192" s="218"/>
      <c r="C192" s="219"/>
      <c r="D192" s="218"/>
      <c r="E192" s="219"/>
      <c r="F192" s="220"/>
      <c r="G192" s="231"/>
      <c r="H192" s="221"/>
      <c r="I192" s="222"/>
      <c r="J192" s="222"/>
      <c r="K192" s="222"/>
      <c r="L192" s="222"/>
    </row>
    <row r="193" spans="1:12" ht="30" customHeight="1">
      <c r="A193" s="233"/>
      <c r="B193" s="218"/>
      <c r="C193" s="219"/>
      <c r="D193" s="218"/>
      <c r="E193" s="219"/>
      <c r="F193" s="220"/>
      <c r="G193" s="231"/>
      <c r="H193" s="221"/>
      <c r="I193" s="222"/>
      <c r="J193" s="222"/>
      <c r="K193" s="222"/>
      <c r="L193" s="222"/>
    </row>
    <row r="194" spans="1:12" ht="30" customHeight="1">
      <c r="A194" s="233"/>
      <c r="B194" s="218"/>
      <c r="C194" s="219"/>
      <c r="D194" s="218"/>
      <c r="E194" s="219"/>
      <c r="F194" s="220"/>
      <c r="G194" s="231"/>
      <c r="H194" s="221"/>
      <c r="I194" s="222"/>
      <c r="J194" s="222"/>
      <c r="K194" s="222"/>
      <c r="L194" s="222"/>
    </row>
    <row r="195" spans="1:12" ht="30" customHeight="1">
      <c r="A195" s="233"/>
      <c r="B195" s="218"/>
      <c r="C195" s="219"/>
      <c r="D195" s="218"/>
      <c r="E195" s="219"/>
      <c r="F195" s="220"/>
      <c r="G195" s="231"/>
      <c r="H195" s="221"/>
      <c r="I195" s="222"/>
      <c r="J195" s="222"/>
      <c r="K195" s="222"/>
      <c r="L195" s="222"/>
    </row>
    <row r="196" spans="1:12" ht="30" customHeight="1">
      <c r="A196" s="233"/>
      <c r="B196" s="218"/>
      <c r="C196" s="219"/>
      <c r="D196" s="218"/>
      <c r="E196" s="219"/>
      <c r="F196" s="220"/>
      <c r="G196" s="231"/>
      <c r="H196" s="221"/>
      <c r="I196" s="222"/>
      <c r="J196" s="222"/>
      <c r="K196" s="222"/>
      <c r="L196" s="222"/>
    </row>
    <row r="197" spans="1:12" ht="30" customHeight="1">
      <c r="A197" s="233"/>
      <c r="B197" s="218"/>
      <c r="C197" s="219"/>
      <c r="D197" s="218"/>
      <c r="E197" s="219"/>
      <c r="F197" s="220"/>
      <c r="G197" s="231"/>
      <c r="H197" s="221"/>
      <c r="I197" s="222"/>
      <c r="J197" s="222"/>
      <c r="K197" s="222"/>
      <c r="L197" s="222"/>
    </row>
    <row r="198" spans="1:12" ht="30" customHeight="1">
      <c r="A198" s="233"/>
      <c r="B198" s="218"/>
      <c r="C198" s="219"/>
      <c r="D198" s="218"/>
      <c r="E198" s="219"/>
      <c r="F198" s="220"/>
      <c r="G198" s="231"/>
      <c r="H198" s="221"/>
      <c r="I198" s="222"/>
      <c r="J198" s="222"/>
      <c r="K198" s="222"/>
      <c r="L198" s="222"/>
    </row>
    <row r="199" spans="1:12" ht="30" customHeight="1">
      <c r="A199" s="233"/>
      <c r="B199" s="218"/>
      <c r="C199" s="219"/>
      <c r="D199" s="218"/>
      <c r="E199" s="219"/>
      <c r="F199" s="220"/>
      <c r="G199" s="231"/>
      <c r="H199" s="221"/>
      <c r="I199" s="222"/>
      <c r="J199" s="222"/>
      <c r="K199" s="222"/>
      <c r="L199" s="222"/>
    </row>
    <row r="200" spans="1:12" ht="30" customHeight="1">
      <c r="A200" s="217"/>
      <c r="B200" s="218"/>
      <c r="C200" s="219"/>
      <c r="D200" s="218"/>
      <c r="E200" s="219"/>
      <c r="F200" s="220"/>
      <c r="G200" s="231"/>
      <c r="H200" s="221"/>
      <c r="I200" s="222"/>
      <c r="J200" s="222"/>
      <c r="K200" s="222"/>
      <c r="L200" s="222"/>
    </row>
    <row r="201" spans="1:12" ht="30" customHeight="1">
      <c r="A201" s="217"/>
      <c r="B201" s="218"/>
      <c r="C201" s="219"/>
      <c r="D201" s="218"/>
      <c r="E201" s="219"/>
      <c r="F201" s="220"/>
      <c r="G201" s="231"/>
      <c r="H201" s="221"/>
      <c r="I201" s="222"/>
      <c r="J201" s="222"/>
      <c r="K201" s="222"/>
      <c r="L201" s="222"/>
    </row>
    <row r="202" spans="1:12" ht="30" customHeight="1">
      <c r="A202" s="217"/>
      <c r="B202" s="218"/>
      <c r="C202" s="219"/>
      <c r="D202" s="218"/>
      <c r="E202" s="219"/>
      <c r="F202" s="220"/>
      <c r="G202" s="231"/>
      <c r="H202" s="221"/>
      <c r="I202" s="222"/>
      <c r="J202" s="222"/>
      <c r="K202" s="222"/>
      <c r="L202" s="222"/>
    </row>
    <row r="203" spans="1:12" ht="30" customHeight="1">
      <c r="A203" s="217"/>
      <c r="B203" s="218"/>
      <c r="C203" s="219"/>
      <c r="D203" s="218"/>
      <c r="E203" s="219"/>
      <c r="F203" s="220"/>
      <c r="G203" s="231"/>
      <c r="H203" s="221"/>
      <c r="I203" s="222"/>
      <c r="J203" s="222"/>
      <c r="K203" s="222"/>
      <c r="L203" s="222"/>
    </row>
    <row r="204" spans="1:12" ht="30" customHeight="1">
      <c r="A204" s="217"/>
      <c r="B204" s="218"/>
      <c r="C204" s="219"/>
      <c r="D204" s="218"/>
      <c r="E204" s="219"/>
      <c r="F204" s="220"/>
      <c r="G204" s="231"/>
      <c r="H204" s="221"/>
      <c r="I204" s="222"/>
      <c r="J204" s="222"/>
      <c r="K204" s="222"/>
      <c r="L204" s="222"/>
    </row>
    <row r="205" spans="1:12" ht="30" customHeight="1">
      <c r="A205" s="217"/>
      <c r="B205" s="218"/>
      <c r="C205" s="219"/>
      <c r="D205" s="218"/>
      <c r="E205" s="219"/>
      <c r="F205" s="220"/>
      <c r="G205" s="231"/>
      <c r="H205" s="221"/>
      <c r="I205" s="222"/>
      <c r="J205" s="222"/>
      <c r="K205" s="222"/>
      <c r="L205" s="222"/>
    </row>
    <row r="206" spans="1:12" ht="30" customHeight="1">
      <c r="A206" s="217"/>
      <c r="B206" s="218"/>
      <c r="C206" s="219"/>
      <c r="D206" s="218"/>
      <c r="E206" s="219"/>
      <c r="F206" s="220"/>
      <c r="G206" s="231"/>
      <c r="H206" s="221"/>
      <c r="I206" s="222"/>
      <c r="J206" s="222"/>
      <c r="K206" s="222"/>
      <c r="L206" s="222"/>
    </row>
    <row r="207" spans="1:12" ht="30" customHeight="1">
      <c r="A207" s="217"/>
      <c r="B207" s="218"/>
      <c r="C207" s="219"/>
      <c r="D207" s="218"/>
      <c r="E207" s="219"/>
      <c r="F207" s="220"/>
      <c r="G207" s="231"/>
      <c r="H207" s="221"/>
      <c r="I207" s="222"/>
      <c r="J207" s="222"/>
      <c r="K207" s="222"/>
      <c r="L207" s="222"/>
    </row>
    <row r="208" spans="1:12" ht="30" customHeight="1">
      <c r="A208" s="217"/>
      <c r="B208" s="218"/>
      <c r="C208" s="219"/>
      <c r="D208" s="218"/>
      <c r="E208" s="219"/>
      <c r="F208" s="220"/>
      <c r="G208" s="231"/>
      <c r="H208" s="221"/>
      <c r="I208" s="222"/>
      <c r="J208" s="222"/>
      <c r="K208" s="222"/>
      <c r="L208" s="222"/>
    </row>
    <row r="209" spans="1:12" ht="30" customHeight="1">
      <c r="A209" s="217"/>
      <c r="B209" s="218"/>
      <c r="C209" s="219"/>
      <c r="D209" s="218"/>
      <c r="E209" s="219"/>
      <c r="F209" s="220"/>
      <c r="G209" s="231"/>
      <c r="H209" s="223"/>
      <c r="I209" s="222"/>
      <c r="J209" s="222"/>
      <c r="K209" s="222"/>
      <c r="L209" s="222"/>
    </row>
    <row r="210" spans="1:12" ht="30" customHeight="1">
      <c r="A210" s="217"/>
      <c r="B210" s="218"/>
      <c r="C210" s="219"/>
      <c r="D210" s="218"/>
      <c r="E210" s="219"/>
      <c r="F210" s="220"/>
      <c r="G210" s="231"/>
      <c r="H210" s="221"/>
      <c r="I210" s="222"/>
      <c r="J210" s="222"/>
      <c r="K210" s="222"/>
      <c r="L210" s="222"/>
    </row>
    <row r="211" spans="1:12" ht="30" customHeight="1">
      <c r="A211" s="217"/>
      <c r="B211" s="218"/>
      <c r="C211" s="219"/>
      <c r="D211" s="218"/>
      <c r="E211" s="219"/>
      <c r="F211" s="220"/>
      <c r="G211" s="231"/>
      <c r="H211" s="221"/>
      <c r="I211" s="222"/>
      <c r="J211" s="222"/>
      <c r="K211" s="222"/>
      <c r="L211" s="222"/>
    </row>
    <row r="212" spans="1:12" ht="30" customHeight="1">
      <c r="A212" s="217"/>
      <c r="B212" s="218"/>
      <c r="C212" s="219"/>
      <c r="D212" s="218"/>
      <c r="E212" s="219"/>
      <c r="F212" s="220"/>
      <c r="G212" s="231"/>
      <c r="H212" s="221"/>
      <c r="I212" s="222"/>
      <c r="J212" s="222"/>
      <c r="K212" s="222"/>
      <c r="L212" s="222"/>
    </row>
    <row r="213" spans="1:12" ht="30" customHeight="1">
      <c r="A213" s="217"/>
      <c r="B213" s="218"/>
      <c r="C213" s="219"/>
      <c r="D213" s="218"/>
      <c r="E213" s="219"/>
      <c r="F213" s="220"/>
      <c r="G213" s="231"/>
      <c r="H213" s="221"/>
      <c r="I213" s="222"/>
      <c r="J213" s="222"/>
      <c r="K213" s="222"/>
      <c r="L213" s="222"/>
    </row>
    <row r="214" spans="1:12" ht="30" customHeight="1">
      <c r="A214" s="227"/>
      <c r="B214" s="218"/>
      <c r="C214" s="219"/>
      <c r="D214" s="218"/>
      <c r="E214" s="219"/>
      <c r="F214" s="220"/>
      <c r="G214" s="231"/>
      <c r="H214" s="221"/>
      <c r="I214" s="222"/>
      <c r="J214" s="222"/>
      <c r="K214" s="222"/>
      <c r="L214" s="222"/>
    </row>
    <row r="215" spans="1:12" ht="30" customHeight="1">
      <c r="A215" s="227"/>
      <c r="B215" s="218"/>
      <c r="C215" s="219"/>
      <c r="D215" s="218"/>
      <c r="E215" s="219"/>
      <c r="F215" s="220"/>
      <c r="G215" s="231"/>
      <c r="H215" s="221"/>
      <c r="I215" s="222"/>
      <c r="J215" s="222"/>
      <c r="K215" s="222"/>
      <c r="L215" s="222"/>
    </row>
    <row r="216" spans="1:12" ht="30" customHeight="1">
      <c r="A216" s="227"/>
      <c r="B216" s="218"/>
      <c r="C216" s="219"/>
      <c r="D216" s="218"/>
      <c r="E216" s="219"/>
      <c r="F216" s="220"/>
      <c r="G216" s="231"/>
      <c r="H216" s="221"/>
      <c r="I216" s="222"/>
      <c r="J216" s="222"/>
      <c r="K216" s="222"/>
      <c r="L216" s="222"/>
    </row>
    <row r="217" spans="1:12" ht="30" customHeight="1">
      <c r="A217" s="217"/>
      <c r="B217" s="218"/>
      <c r="C217" s="219"/>
      <c r="D217" s="218"/>
      <c r="E217" s="219"/>
      <c r="F217" s="220"/>
      <c r="G217" s="231"/>
      <c r="H217" s="221"/>
      <c r="I217" s="222"/>
      <c r="J217" s="222"/>
      <c r="K217" s="222"/>
      <c r="L217" s="222"/>
    </row>
    <row r="218" spans="1:12" ht="30" customHeight="1">
      <c r="A218" s="217"/>
      <c r="B218" s="218"/>
      <c r="C218" s="219"/>
      <c r="D218" s="218"/>
      <c r="E218" s="219"/>
      <c r="F218" s="220"/>
      <c r="G218" s="231"/>
      <c r="H218" s="221"/>
      <c r="I218" s="222"/>
      <c r="J218" s="222"/>
      <c r="K218" s="222"/>
      <c r="L218" s="222"/>
    </row>
    <row r="219" spans="1:12" ht="30" customHeight="1">
      <c r="A219" s="217"/>
      <c r="B219" s="218"/>
      <c r="C219" s="219"/>
      <c r="D219" s="218"/>
      <c r="E219" s="219"/>
      <c r="F219" s="220"/>
      <c r="G219" s="231"/>
      <c r="H219" s="221"/>
      <c r="I219" s="222"/>
      <c r="J219" s="222"/>
      <c r="K219" s="222"/>
      <c r="L219" s="222"/>
    </row>
    <row r="220" spans="1:12" ht="30" customHeight="1">
      <c r="A220" s="217"/>
      <c r="B220" s="218"/>
      <c r="C220" s="219"/>
      <c r="D220" s="218"/>
      <c r="E220" s="219"/>
      <c r="F220" s="220"/>
      <c r="G220" s="231"/>
      <c r="H220" s="221"/>
      <c r="I220" s="222"/>
      <c r="J220" s="222"/>
      <c r="K220" s="222"/>
      <c r="L220" s="222"/>
    </row>
    <row r="221" spans="1:12" ht="30" customHeight="1">
      <c r="A221" s="217"/>
      <c r="B221" s="218"/>
      <c r="C221" s="219"/>
      <c r="D221" s="218"/>
      <c r="E221" s="219"/>
      <c r="F221" s="220"/>
      <c r="G221" s="231"/>
      <c r="H221" s="221"/>
      <c r="I221" s="222"/>
      <c r="J221" s="222"/>
      <c r="K221" s="222"/>
      <c r="L221" s="222"/>
    </row>
    <row r="222" spans="1:12" ht="30" customHeight="1">
      <c r="A222" s="217"/>
      <c r="B222" s="218"/>
      <c r="C222" s="219"/>
      <c r="D222" s="218"/>
      <c r="E222" s="219"/>
      <c r="F222" s="220"/>
      <c r="G222" s="231"/>
      <c r="H222" s="221"/>
      <c r="I222" s="222"/>
      <c r="J222" s="222"/>
      <c r="K222" s="222"/>
      <c r="L222" s="222"/>
    </row>
    <row r="223" spans="1:12" ht="30" customHeight="1">
      <c r="A223" s="219"/>
      <c r="B223" s="218"/>
      <c r="C223" s="219"/>
      <c r="D223" s="218"/>
      <c r="E223" s="219"/>
      <c r="F223" s="220"/>
      <c r="G223" s="231"/>
      <c r="H223" s="223"/>
      <c r="I223" s="222"/>
      <c r="J223" s="222"/>
      <c r="K223" s="222"/>
      <c r="L223" s="222"/>
    </row>
    <row r="224" spans="1:12" ht="30" customHeight="1">
      <c r="A224" s="219"/>
      <c r="B224" s="218"/>
      <c r="C224" s="219"/>
      <c r="D224" s="218"/>
      <c r="E224" s="219"/>
      <c r="F224" s="220"/>
      <c r="G224" s="231"/>
      <c r="H224" s="223"/>
      <c r="I224" s="222"/>
      <c r="J224" s="222"/>
      <c r="K224" s="222"/>
      <c r="L224" s="222"/>
    </row>
    <row r="225" spans="1:12" ht="30" customHeight="1">
      <c r="A225" s="219"/>
      <c r="B225" s="218"/>
      <c r="C225" s="219"/>
      <c r="D225" s="218"/>
      <c r="E225" s="219"/>
      <c r="F225" s="220"/>
      <c r="G225" s="231"/>
      <c r="H225" s="223"/>
      <c r="I225" s="222"/>
      <c r="J225" s="222"/>
      <c r="K225" s="222"/>
      <c r="L225" s="222"/>
    </row>
    <row r="226" spans="1:12" ht="30" customHeight="1">
      <c r="A226" s="219"/>
      <c r="B226" s="218"/>
      <c r="C226" s="219"/>
      <c r="D226" s="218"/>
      <c r="E226" s="219"/>
      <c r="F226" s="220"/>
      <c r="G226" s="231"/>
      <c r="H226" s="223"/>
      <c r="I226" s="222"/>
      <c r="J226" s="222"/>
      <c r="K226" s="222"/>
      <c r="L226" s="222"/>
    </row>
    <row r="227" spans="1:12" ht="30" customHeight="1">
      <c r="A227" s="219"/>
      <c r="B227" s="218"/>
      <c r="C227" s="219"/>
      <c r="D227" s="218"/>
      <c r="E227" s="219"/>
      <c r="F227" s="220"/>
      <c r="G227" s="231"/>
      <c r="H227" s="223"/>
      <c r="I227" s="222"/>
      <c r="J227" s="222"/>
      <c r="K227" s="222"/>
      <c r="L227" s="222"/>
    </row>
    <row r="228" spans="1:12" ht="30" customHeight="1">
      <c r="A228" s="219"/>
      <c r="B228" s="218"/>
      <c r="C228" s="219"/>
      <c r="D228" s="218"/>
      <c r="E228" s="219"/>
      <c r="F228" s="220"/>
      <c r="G228" s="231"/>
      <c r="H228" s="223"/>
      <c r="I228" s="222"/>
      <c r="J228" s="222"/>
      <c r="K228" s="222"/>
      <c r="L228" s="222"/>
    </row>
    <row r="229" spans="1:12" ht="30" customHeight="1">
      <c r="A229" s="219"/>
      <c r="B229" s="218"/>
      <c r="C229" s="219"/>
      <c r="D229" s="218"/>
      <c r="E229" s="219"/>
      <c r="F229" s="220"/>
      <c r="G229" s="231"/>
      <c r="H229" s="223"/>
      <c r="I229" s="222"/>
      <c r="J229" s="222"/>
      <c r="K229" s="222"/>
      <c r="L229" s="222"/>
    </row>
    <row r="230" spans="1:12" ht="30" customHeight="1">
      <c r="A230" s="219"/>
      <c r="B230" s="218"/>
      <c r="C230" s="219"/>
      <c r="D230" s="218"/>
      <c r="E230" s="219"/>
      <c r="F230" s="220"/>
      <c r="G230" s="231"/>
      <c r="H230" s="223"/>
      <c r="I230" s="222"/>
      <c r="J230" s="222"/>
      <c r="K230" s="222"/>
      <c r="L230" s="222"/>
    </row>
    <row r="231" spans="1:12" ht="30" customHeight="1">
      <c r="A231" s="219"/>
      <c r="B231" s="218"/>
      <c r="C231" s="219"/>
      <c r="D231" s="218"/>
      <c r="E231" s="219"/>
      <c r="F231" s="220"/>
      <c r="G231" s="231"/>
      <c r="H231" s="223"/>
      <c r="I231" s="222"/>
      <c r="J231" s="222"/>
      <c r="K231" s="222"/>
      <c r="L231" s="222"/>
    </row>
    <row r="232" spans="1:12" ht="30" customHeight="1">
      <c r="A232" s="219"/>
      <c r="B232" s="218"/>
      <c r="C232" s="219"/>
      <c r="D232" s="218"/>
      <c r="E232" s="219"/>
      <c r="F232" s="220"/>
      <c r="G232" s="231"/>
      <c r="H232" s="223"/>
      <c r="I232" s="222"/>
      <c r="J232" s="222"/>
      <c r="K232" s="222"/>
      <c r="L232" s="222"/>
    </row>
    <row r="233" spans="1:12" ht="30" customHeight="1">
      <c r="A233" s="219"/>
      <c r="B233" s="218"/>
      <c r="C233" s="219"/>
      <c r="D233" s="218"/>
      <c r="E233" s="219"/>
      <c r="F233" s="220"/>
      <c r="G233" s="231"/>
      <c r="H233" s="223"/>
      <c r="I233" s="222"/>
      <c r="J233" s="222"/>
      <c r="K233" s="222"/>
      <c r="L233" s="222"/>
    </row>
    <row r="234" spans="1:12" ht="30" customHeight="1">
      <c r="A234" s="219"/>
      <c r="B234" s="218"/>
      <c r="C234" s="219"/>
      <c r="D234" s="218"/>
      <c r="E234" s="219"/>
      <c r="F234" s="220"/>
      <c r="G234" s="231"/>
      <c r="H234" s="223"/>
      <c r="I234" s="222"/>
      <c r="J234" s="222"/>
      <c r="K234" s="222"/>
      <c r="L234" s="222"/>
    </row>
    <row r="235" spans="1:12" ht="30" customHeight="1">
      <c r="A235" s="219"/>
      <c r="B235" s="218"/>
      <c r="C235" s="219"/>
      <c r="D235" s="218"/>
      <c r="E235" s="219"/>
      <c r="F235" s="220"/>
      <c r="G235" s="231"/>
      <c r="H235" s="223"/>
      <c r="I235" s="222"/>
      <c r="J235" s="222"/>
      <c r="K235" s="222"/>
      <c r="L235" s="222"/>
    </row>
    <row r="236" spans="1:12" ht="30" customHeight="1">
      <c r="A236" s="219"/>
      <c r="B236" s="218"/>
      <c r="C236" s="219"/>
      <c r="D236" s="218"/>
      <c r="E236" s="219"/>
      <c r="F236" s="220"/>
      <c r="G236" s="231"/>
      <c r="H236" s="223"/>
      <c r="I236" s="222"/>
      <c r="J236" s="222"/>
      <c r="K236" s="222"/>
      <c r="L236" s="222"/>
    </row>
    <row r="237" spans="1:12" ht="30" customHeight="1">
      <c r="A237" s="219"/>
      <c r="B237" s="218"/>
      <c r="C237" s="219"/>
      <c r="D237" s="218"/>
      <c r="E237" s="219"/>
      <c r="F237" s="220"/>
      <c r="G237" s="231"/>
      <c r="H237" s="223"/>
      <c r="I237" s="222"/>
      <c r="J237" s="222"/>
      <c r="K237" s="222"/>
      <c r="L237" s="222"/>
    </row>
    <row r="238" spans="1:12" ht="30" customHeight="1">
      <c r="A238" s="219"/>
      <c r="B238" s="218"/>
      <c r="C238" s="219"/>
      <c r="D238" s="218"/>
      <c r="E238" s="219"/>
      <c r="F238" s="220"/>
      <c r="G238" s="231"/>
      <c r="H238" s="223"/>
      <c r="I238" s="222"/>
      <c r="J238" s="222"/>
      <c r="K238" s="222"/>
      <c r="L238" s="222"/>
    </row>
    <row r="239" spans="1:12" ht="30" customHeight="1">
      <c r="A239" s="219"/>
      <c r="B239" s="218"/>
      <c r="C239" s="219"/>
      <c r="D239" s="218"/>
      <c r="E239" s="219"/>
      <c r="F239" s="220"/>
      <c r="G239" s="231"/>
      <c r="H239" s="223"/>
      <c r="I239" s="222"/>
      <c r="J239" s="222"/>
      <c r="K239" s="222"/>
      <c r="L239" s="222"/>
    </row>
    <row r="240" spans="1:12" ht="30" customHeight="1">
      <c r="A240" s="219"/>
      <c r="B240" s="218"/>
      <c r="C240" s="219"/>
      <c r="D240" s="218"/>
      <c r="E240" s="219"/>
      <c r="F240" s="220"/>
      <c r="G240" s="231"/>
      <c r="H240" s="223"/>
      <c r="I240" s="222"/>
      <c r="J240" s="222"/>
      <c r="K240" s="222"/>
      <c r="L240" s="222"/>
    </row>
    <row r="241" spans="1:12" ht="30" customHeight="1">
      <c r="A241" s="219"/>
      <c r="B241" s="218"/>
      <c r="C241" s="219"/>
      <c r="D241" s="218"/>
      <c r="E241" s="219"/>
      <c r="F241" s="220"/>
      <c r="G241" s="231"/>
      <c r="H241" s="223"/>
      <c r="I241" s="222"/>
      <c r="J241" s="222"/>
      <c r="K241" s="222"/>
      <c r="L241" s="222"/>
    </row>
    <row r="242" spans="1:12" ht="30" customHeight="1">
      <c r="A242" s="219"/>
      <c r="B242" s="218"/>
      <c r="C242" s="219"/>
      <c r="D242" s="218"/>
      <c r="E242" s="219"/>
      <c r="F242" s="220"/>
      <c r="G242" s="231"/>
      <c r="H242" s="223"/>
      <c r="I242" s="222"/>
      <c r="J242" s="222"/>
      <c r="K242" s="222"/>
      <c r="L242" s="222"/>
    </row>
    <row r="243" spans="1:12" ht="30" customHeight="1">
      <c r="A243" s="219"/>
      <c r="B243" s="218"/>
      <c r="C243" s="219"/>
      <c r="D243" s="218"/>
      <c r="E243" s="219"/>
      <c r="F243" s="220"/>
      <c r="G243" s="231"/>
      <c r="H243" s="223"/>
      <c r="I243" s="222"/>
      <c r="J243" s="222"/>
      <c r="K243" s="222"/>
      <c r="L243" s="222"/>
    </row>
    <row r="244" spans="1:12" ht="30" customHeight="1">
      <c r="A244" s="219"/>
      <c r="B244" s="218"/>
      <c r="C244" s="219"/>
      <c r="D244" s="218"/>
      <c r="E244" s="219"/>
      <c r="F244" s="220"/>
      <c r="G244" s="231"/>
      <c r="H244" s="223"/>
      <c r="I244" s="222"/>
      <c r="J244" s="222"/>
      <c r="K244" s="222"/>
      <c r="L244" s="222"/>
    </row>
    <row r="245" spans="1:12" ht="30" customHeight="1">
      <c r="A245" s="219"/>
      <c r="B245" s="218"/>
      <c r="C245" s="219"/>
      <c r="D245" s="218"/>
      <c r="E245" s="219"/>
      <c r="F245" s="220"/>
      <c r="G245" s="231"/>
      <c r="H245" s="223"/>
      <c r="I245" s="222"/>
      <c r="J245" s="222"/>
      <c r="K245" s="222"/>
      <c r="L245" s="222"/>
    </row>
    <row r="246" spans="1:12" ht="30" customHeight="1">
      <c r="A246" s="219"/>
      <c r="B246" s="218"/>
      <c r="C246" s="219"/>
      <c r="D246" s="218"/>
      <c r="E246" s="219"/>
      <c r="F246" s="220"/>
      <c r="G246" s="231"/>
      <c r="H246" s="223"/>
      <c r="I246" s="222"/>
      <c r="J246" s="222"/>
      <c r="K246" s="222"/>
      <c r="L246" s="222"/>
    </row>
    <row r="247" spans="1:12" ht="30" customHeight="1">
      <c r="A247" s="219"/>
      <c r="B247" s="218"/>
      <c r="C247" s="219"/>
      <c r="D247" s="218"/>
      <c r="E247" s="219"/>
      <c r="F247" s="220"/>
      <c r="G247" s="231"/>
      <c r="H247" s="223"/>
      <c r="I247" s="222"/>
      <c r="J247" s="222"/>
      <c r="K247" s="222"/>
      <c r="L247" s="222"/>
    </row>
    <row r="248" spans="1:12" ht="30" customHeight="1">
      <c r="A248" s="219"/>
      <c r="B248" s="218"/>
      <c r="C248" s="219"/>
      <c r="D248" s="218"/>
      <c r="E248" s="219"/>
      <c r="F248" s="220"/>
      <c r="G248" s="231"/>
      <c r="H248" s="223"/>
      <c r="I248" s="222"/>
      <c r="J248" s="222"/>
      <c r="K248" s="222"/>
      <c r="L248" s="222"/>
    </row>
    <row r="249" spans="1:12" ht="30" customHeight="1">
      <c r="A249" s="219"/>
      <c r="B249" s="218"/>
      <c r="C249" s="219"/>
      <c r="D249" s="218"/>
      <c r="E249" s="219"/>
      <c r="F249" s="220"/>
      <c r="G249" s="231"/>
      <c r="H249" s="223"/>
      <c r="I249" s="222"/>
      <c r="J249" s="222"/>
      <c r="K249" s="222"/>
      <c r="L249" s="222"/>
    </row>
    <row r="250" spans="1:12" ht="30" customHeight="1">
      <c r="A250" s="219"/>
      <c r="B250" s="218"/>
      <c r="C250" s="219"/>
      <c r="D250" s="218"/>
      <c r="E250" s="219"/>
      <c r="F250" s="220"/>
      <c r="G250" s="231"/>
      <c r="H250" s="223"/>
      <c r="I250" s="222"/>
      <c r="J250" s="222"/>
      <c r="K250" s="222"/>
      <c r="L250" s="222"/>
    </row>
    <row r="251" spans="1:12" ht="30" customHeight="1">
      <c r="A251" s="219"/>
      <c r="B251" s="218"/>
      <c r="C251" s="219"/>
      <c r="D251" s="218"/>
      <c r="E251" s="219"/>
      <c r="F251" s="220"/>
      <c r="G251" s="231"/>
      <c r="H251" s="223"/>
      <c r="I251" s="222"/>
      <c r="J251" s="222"/>
      <c r="K251" s="222"/>
      <c r="L251" s="222"/>
    </row>
    <row r="252" spans="1:12"/>
    <row r="253" spans="1:12"/>
  </sheetData>
  <sheetProtection algorithmName="SHA-512" hashValue="jOkURRfKfkgkKtNu1T6D9USaMCg5UwbGNG09jv3DkHkPw/icXD2wB/K8n/BunHiBgwU97Ljd5rCH1XVQ6rtuJA==" saltValue="EPt2Rxo6jfhVZRXE4l1Fgw==" spinCount="100000" sheet="1" sort="0"/>
  <conditionalFormatting sqref="H69">
    <cfRule type="expression" dxfId="6" priority="2">
      <formula>COUNTIF($C69,"*BIO*")&gt;0</formula>
    </cfRule>
  </conditionalFormatting>
  <conditionalFormatting sqref="H2:H68 H70:H207">
    <cfRule type="expression" dxfId="5" priority="3">
      <formula>COUNTIF($C2,"*BIO*")&gt;0</formula>
    </cfRule>
  </conditionalFormatting>
  <dataValidations disablePrompts="1" count="1">
    <dataValidation type="list" allowBlank="1" showInputMessage="1" showErrorMessage="1" sqref="H2:H251" xr:uid="{B5A2998F-9607-4F98-B4A1-43D037F16DCC}">
      <formula1>"250ml, 500ml, 3l, 5l, 11l, 20l, 100g, 125g, 200g, 225g, 250g, 300g, 380g, 400g, 450g, 500g, 800g, kg, 3kg, Pièce"</formula1>
    </dataValidation>
  </dataValidations>
  <pageMargins left="0.7" right="0.7" top="0.75" bottom="0.75" header="0.3" footer="0.3"/>
  <pageSetup paperSize="0" orientation="portrait" horizontalDpi="0" verticalDpi="0" copies="0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D3F11-DCF2-49AE-BB1A-344CFD42798D}">
  <sheetPr codeName="Feuil23"/>
  <dimension ref="A1:J254"/>
  <sheetViews>
    <sheetView workbookViewId="0">
      <pane ySplit="4" topLeftCell="A186" activePane="bottomLeft" state="frozen"/>
      <selection pane="bottomLeft" sqref="A1:H191"/>
    </sheetView>
  </sheetViews>
  <sheetFormatPr baseColWidth="10" defaultColWidth="0" defaultRowHeight="11.25" zeroHeight="1"/>
  <cols>
    <col min="1" max="1" width="6.7109375" style="241" customWidth="1"/>
    <col min="2" max="2" width="35.85546875" style="241" customWidth="1"/>
    <col min="3" max="3" width="10.42578125" style="249" customWidth="1"/>
    <col min="4" max="4" width="6.7109375" style="249" customWidth="1"/>
    <col min="5" max="5" width="8" style="249" bestFit="1" customWidth="1"/>
    <col min="6" max="7" width="7.42578125" style="249" bestFit="1" customWidth="1"/>
    <col min="8" max="8" width="14.28515625" style="249" customWidth="1"/>
    <col min="9" max="9" width="1.7109375" style="241" customWidth="1"/>
    <col min="10" max="10" width="0" style="241" hidden="1" customWidth="1"/>
    <col min="11" max="16384" width="11.42578125" style="241" hidden="1"/>
  </cols>
  <sheetData>
    <row r="1" spans="1:9" ht="24.95" customHeight="1">
      <c r="A1" s="483" t="s">
        <v>362</v>
      </c>
      <c r="B1" s="483"/>
      <c r="C1" s="483"/>
      <c r="D1" s="483"/>
      <c r="E1" s="483"/>
      <c r="F1" s="483"/>
      <c r="G1" s="483"/>
      <c r="H1" s="483"/>
    </row>
    <row r="2" spans="1:9" ht="20.100000000000001" customHeight="1">
      <c r="A2" s="484" t="str">
        <f>COMMANDE!K1</f>
        <v>S44</v>
      </c>
      <c r="B2" s="484"/>
      <c r="C2" s="484"/>
      <c r="D2" s="484"/>
      <c r="E2" s="484"/>
      <c r="F2" s="484"/>
      <c r="G2" s="484"/>
      <c r="H2" s="484"/>
    </row>
    <row r="3" spans="1:9" ht="15" customHeight="1">
      <c r="A3" s="485" t="s">
        <v>363</v>
      </c>
      <c r="B3" s="485"/>
      <c r="C3" s="485"/>
      <c r="D3" s="485"/>
      <c r="E3" s="485"/>
      <c r="F3" s="485"/>
      <c r="G3" s="485"/>
      <c r="H3" s="485"/>
    </row>
    <row r="4" spans="1:9" ht="69.95" customHeight="1">
      <c r="A4" s="242" t="s">
        <v>72</v>
      </c>
      <c r="B4" s="242" t="s">
        <v>73</v>
      </c>
      <c r="C4" s="242" t="s">
        <v>364</v>
      </c>
      <c r="D4" s="242" t="s">
        <v>113</v>
      </c>
      <c r="E4" s="243" t="s">
        <v>586</v>
      </c>
      <c r="F4" s="243" t="s">
        <v>365</v>
      </c>
      <c r="G4" s="243" t="s">
        <v>366</v>
      </c>
      <c r="H4" s="242" t="s">
        <v>74</v>
      </c>
      <c r="I4" s="244"/>
    </row>
    <row r="5" spans="1:9" ht="30" customHeight="1">
      <c r="A5" s="268" t="e">
        <f xml:space="preserve"> IF(#REF!=0, "",#REF!)</f>
        <v>#REF!</v>
      </c>
      <c r="B5" s="245" t="str">
        <f>BDD!B2</f>
        <v>Açaï en poudre iofilisée BIO (env. 250g)</v>
      </c>
      <c r="C5" s="246">
        <f>BDD!G2</f>
        <v>30.11</v>
      </c>
      <c r="D5" s="247" t="str">
        <f>BDD!H2</f>
        <v>Pièce</v>
      </c>
      <c r="E5" s="248" t="str">
        <f>IF(BDD!I2="", "", "X")</f>
        <v/>
      </c>
      <c r="F5" s="248" t="str">
        <f>IF(BDD!J2="", "", "X")</f>
        <v/>
      </c>
      <c r="G5" s="248" t="str">
        <f>IF(BDD!K2="", "", "X")</f>
        <v/>
      </c>
      <c r="H5" s="248" t="str">
        <f>BDD!C2</f>
        <v>Brésil</v>
      </c>
    </row>
    <row r="6" spans="1:9" ht="30" customHeight="1">
      <c r="A6" s="268" t="e">
        <f xml:space="preserve"> IF(#REF!=0, "",#REF!)</f>
        <v>#REF!</v>
      </c>
      <c r="B6" s="245" t="str">
        <f>BDD!B3</f>
        <v>Ail blanc ou violet BIO</v>
      </c>
      <c r="C6" s="246">
        <f>BDD!G3</f>
        <v>8.19</v>
      </c>
      <c r="D6" s="247" t="str">
        <f>BDD!H3</f>
        <v>kg</v>
      </c>
      <c r="E6" s="248" t="str">
        <f>IF(BDD!I3="", "", "X")</f>
        <v>X</v>
      </c>
      <c r="F6" s="248" t="str">
        <f>IF(BDD!J3="", "", "X")</f>
        <v/>
      </c>
      <c r="G6" s="248" t="str">
        <f>IF(BDD!K3="", "", "X")</f>
        <v/>
      </c>
      <c r="H6" s="248" t="str">
        <f>BDD!C3</f>
        <v>Malaga</v>
      </c>
    </row>
    <row r="7" spans="1:9" ht="30" customHeight="1">
      <c r="A7" s="268" t="e">
        <f xml:space="preserve"> IF(#REF!=0, "",#REF!)</f>
        <v>#REF!</v>
      </c>
      <c r="B7" s="245" t="str">
        <f>BDD!B4</f>
        <v>Algue Chlorella en poudre BIO (env. 1kg)</v>
      </c>
      <c r="C7" s="246">
        <f>BDD!G4</f>
        <v>52.03</v>
      </c>
      <c r="D7" s="247" t="str">
        <f>BDD!H4</f>
        <v>Pièce</v>
      </c>
      <c r="E7" s="248" t="str">
        <f>IF(BDD!I4="", "", "X")</f>
        <v/>
      </c>
      <c r="F7" s="248" t="str">
        <f>IF(BDD!J4="", "", "X")</f>
        <v/>
      </c>
      <c r="G7" s="248" t="str">
        <f>IF(BDD!K4="", "", "X")</f>
        <v/>
      </c>
      <c r="H7" s="248" t="str">
        <f>BDD!C4</f>
        <v>Inde</v>
      </c>
    </row>
    <row r="8" spans="1:9" ht="30" customHeight="1">
      <c r="A8" s="268" t="e">
        <f xml:space="preserve"> IF(#REF!=0, "",#REF!)</f>
        <v>#REF!</v>
      </c>
      <c r="B8" s="245" t="str">
        <f>BDD!B5</f>
        <v>Algue Chlorella en poudre BIO (env. 500g)</v>
      </c>
      <c r="C8" s="246">
        <f>BDD!G5</f>
        <v>26.7</v>
      </c>
      <c r="D8" s="247" t="str">
        <f>BDD!H5</f>
        <v>Pièce</v>
      </c>
      <c r="E8" s="248" t="str">
        <f>IF(BDD!I5="", "", "X")</f>
        <v/>
      </c>
      <c r="F8" s="248" t="str">
        <f>IF(BDD!J5="", "", "X")</f>
        <v/>
      </c>
      <c r="G8" s="248" t="str">
        <f>IF(BDD!K5="", "", "X")</f>
        <v/>
      </c>
      <c r="H8" s="248" t="str">
        <f>BDD!C5</f>
        <v>Inde</v>
      </c>
    </row>
    <row r="9" spans="1:9" ht="30" customHeight="1">
      <c r="A9" s="268" t="e">
        <f xml:space="preserve"> IF(#REF!=0, "",#REF!)</f>
        <v>#REF!</v>
      </c>
      <c r="B9" s="245" t="str">
        <f>BDD!B6</f>
        <v>Algue Dulse déshydratée BIO (env. 1kg)</v>
      </c>
      <c r="C9" s="246">
        <f>BDD!G6</f>
        <v>82.17</v>
      </c>
      <c r="D9" s="247" t="str">
        <f>BDD!H6</f>
        <v>Pièce</v>
      </c>
      <c r="E9" s="248" t="str">
        <f>IF(BDD!I6="", "", "X")</f>
        <v/>
      </c>
      <c r="F9" s="248" t="str">
        <f>IF(BDD!J6="", "", "X")</f>
        <v/>
      </c>
      <c r="G9" s="248" t="str">
        <f>IF(BDD!K6="", "", "X")</f>
        <v/>
      </c>
      <c r="H9" s="248" t="str">
        <f>BDD!C6</f>
        <v>Irlande</v>
      </c>
    </row>
    <row r="10" spans="1:9" ht="30" customHeight="1">
      <c r="A10" s="268" t="e">
        <f xml:space="preserve"> IF(#REF!=0, "",#REF!)</f>
        <v>#REF!</v>
      </c>
      <c r="B10" s="245" t="str">
        <f>BDD!B7</f>
        <v>Algue Dulse déshydratée BIO (env. 500g)</v>
      </c>
      <c r="C10" s="246">
        <f>BDD!G7</f>
        <v>41.77</v>
      </c>
      <c r="D10" s="247" t="str">
        <f>BDD!H7</f>
        <v>Pièce</v>
      </c>
      <c r="E10" s="248" t="str">
        <f>IF(BDD!I7="", "", "X")</f>
        <v/>
      </c>
      <c r="F10" s="248" t="str">
        <f>IF(BDD!J7="", "", "X")</f>
        <v/>
      </c>
      <c r="G10" s="248" t="str">
        <f>IF(BDD!K7="", "", "X")</f>
        <v/>
      </c>
      <c r="H10" s="248" t="str">
        <f>BDD!C7</f>
        <v>Irlande</v>
      </c>
    </row>
    <row r="11" spans="1:9" ht="30" customHeight="1">
      <c r="A11" s="268" t="e">
        <f xml:space="preserve"> IF(#REF!=0, "",#REF!)</f>
        <v>#REF!</v>
      </c>
      <c r="B11" s="245" t="str">
        <f>BDD!B8</f>
        <v>Algue Kombu déshydratées BIO (env. 1kg)</v>
      </c>
      <c r="C11" s="246">
        <f>BDD!G8</f>
        <v>37.659999999999997</v>
      </c>
      <c r="D11" s="247" t="str">
        <f>BDD!H8</f>
        <v>Pièce</v>
      </c>
      <c r="E11" s="248" t="str">
        <f>IF(BDD!I8="", "", "X")</f>
        <v/>
      </c>
      <c r="F11" s="248" t="str">
        <f>IF(BDD!J8="", "", "X")</f>
        <v/>
      </c>
      <c r="G11" s="248" t="str">
        <f>IF(BDD!K8="", "", "X")</f>
        <v/>
      </c>
      <c r="H11" s="248" t="str">
        <f>BDD!C8</f>
        <v>Galice</v>
      </c>
    </row>
    <row r="12" spans="1:9" ht="30" customHeight="1">
      <c r="A12" s="268" t="e">
        <f xml:space="preserve"> IF(#REF!=0, "",#REF!)</f>
        <v>#REF!</v>
      </c>
      <c r="B12" s="245" t="str">
        <f>BDD!B9</f>
        <v>Algue Kombu déshydratées BIO (env. 500g)</v>
      </c>
      <c r="C12" s="246">
        <f>BDD!G9</f>
        <v>19.579999999999998</v>
      </c>
      <c r="D12" s="247" t="str">
        <f>BDD!H9</f>
        <v>Pièce</v>
      </c>
      <c r="E12" s="248" t="str">
        <f>IF(BDD!I9="", "", "X")</f>
        <v/>
      </c>
      <c r="F12" s="248" t="str">
        <f>IF(BDD!J9="", "", "X")</f>
        <v/>
      </c>
      <c r="G12" s="248" t="str">
        <f>IF(BDD!K9="", "", "X")</f>
        <v/>
      </c>
      <c r="H12" s="248" t="str">
        <f>BDD!C9</f>
        <v>Galice</v>
      </c>
    </row>
    <row r="13" spans="1:9" ht="30" customHeight="1">
      <c r="A13" s="268" t="e">
        <f xml:space="preserve"> IF(#REF!=0, "",#REF!)</f>
        <v>#REF!</v>
      </c>
      <c r="B13" s="245" t="str">
        <f>BDD!B10</f>
        <v>Algue Nori entière déshydratées BIO (env. 1kg)</v>
      </c>
      <c r="C13" s="246">
        <f>BDD!G10</f>
        <v>53.4</v>
      </c>
      <c r="D13" s="247" t="str">
        <f>BDD!H10</f>
        <v>Pièce</v>
      </c>
      <c r="E13" s="248" t="str">
        <f>IF(BDD!I10="", "", "X")</f>
        <v/>
      </c>
      <c r="F13" s="248" t="str">
        <f>IF(BDD!J10="", "", "X")</f>
        <v/>
      </c>
      <c r="G13" s="248" t="str">
        <f>IF(BDD!K10="", "", "X")</f>
        <v/>
      </c>
      <c r="H13" s="248" t="str">
        <f>BDD!C10</f>
        <v>Galice</v>
      </c>
    </row>
    <row r="14" spans="1:9" ht="30" customHeight="1">
      <c r="A14" s="268" t="e">
        <f xml:space="preserve"> IF(#REF!=0, "",#REF!)</f>
        <v>#REF!</v>
      </c>
      <c r="B14" s="245" t="str">
        <f>BDD!B11</f>
        <v>Algue Nori entière déshydratées BIO (env. 500g)</v>
      </c>
      <c r="C14" s="246">
        <f>BDD!G11</f>
        <v>27.37</v>
      </c>
      <c r="D14" s="247" t="str">
        <f>BDD!H11</f>
        <v>Pièce</v>
      </c>
      <c r="E14" s="248" t="str">
        <f>IF(BDD!I11="", "", "X")</f>
        <v/>
      </c>
      <c r="F14" s="248" t="str">
        <f>IF(BDD!J11="", "", "X")</f>
        <v/>
      </c>
      <c r="G14" s="248" t="str">
        <f>IF(BDD!K11="", "", "X")</f>
        <v/>
      </c>
      <c r="H14" s="248" t="str">
        <f>BDD!C11</f>
        <v>Galice</v>
      </c>
    </row>
    <row r="15" spans="1:9" ht="30" customHeight="1">
      <c r="A15" s="268" t="e">
        <f xml:space="preserve"> IF(#REF!=0, "",#REF!)</f>
        <v>#REF!</v>
      </c>
      <c r="B15" s="245" t="str">
        <f>BDD!B12</f>
        <v>Aloe Vera (feuille fraîche) BIO</v>
      </c>
      <c r="C15" s="246">
        <f>BDD!G12</f>
        <v>3.55</v>
      </c>
      <c r="D15" s="247" t="str">
        <f>BDD!H12</f>
        <v>Pièce</v>
      </c>
      <c r="E15" s="248" t="str">
        <f>IF(BDD!I12="", "", "X")</f>
        <v>X</v>
      </c>
      <c r="F15" s="248" t="str">
        <f>IF(BDD!J12="", "", "X")</f>
        <v>X</v>
      </c>
      <c r="G15" s="248" t="str">
        <f>IF(BDD!K12="", "", "X")</f>
        <v>X</v>
      </c>
      <c r="H15" s="248" t="str">
        <f>BDD!C12</f>
        <v>Malaga</v>
      </c>
    </row>
    <row r="16" spans="1:9" ht="30" customHeight="1">
      <c r="A16" s="268" t="e">
        <f xml:space="preserve"> IF(#REF!=0, "",#REF!)</f>
        <v>#REF!</v>
      </c>
      <c r="B16" s="245" t="str">
        <f>BDD!B13</f>
        <v>Amande Desmayo avec coque</v>
      </c>
      <c r="C16" s="246">
        <f>BDD!G13</f>
        <v>4.08</v>
      </c>
      <c r="D16" s="247" t="str">
        <f>BDD!H13</f>
        <v>kg</v>
      </c>
      <c r="E16" s="248" t="str">
        <f>IF(BDD!I13="", "", "X")</f>
        <v/>
      </c>
      <c r="F16" s="248" t="str">
        <f>IF(BDD!J13="", "", "X")</f>
        <v/>
      </c>
      <c r="G16" s="248" t="str">
        <f>IF(BDD!K13="", "", "X")</f>
        <v/>
      </c>
      <c r="H16" s="248" t="str">
        <f>BDD!C13</f>
        <v>Grenade</v>
      </c>
    </row>
    <row r="17" spans="1:8" ht="30" customHeight="1">
      <c r="A17" s="268" t="e">
        <f xml:space="preserve"> IF(#REF!=0, "",#REF!)</f>
        <v>#REF!</v>
      </c>
      <c r="B17" s="245" t="str">
        <f>BDD!B14</f>
        <v>Amande Lauren avec coque (saveur sucrée)</v>
      </c>
      <c r="C17" s="246">
        <f>BDD!G14</f>
        <v>3.41</v>
      </c>
      <c r="D17" s="247" t="str">
        <f>BDD!H14</f>
        <v>kg</v>
      </c>
      <c r="E17" s="248" t="str">
        <f>IF(BDD!I14="", "", "X")</f>
        <v>X</v>
      </c>
      <c r="F17" s="248" t="str">
        <f>IF(BDD!J14="", "", "X")</f>
        <v>X</v>
      </c>
      <c r="G17" s="248" t="str">
        <f>IF(BDD!K14="", "", "X")</f>
        <v>X</v>
      </c>
      <c r="H17" s="248" t="str">
        <f>BDD!C14</f>
        <v>Grenade</v>
      </c>
    </row>
    <row r="18" spans="1:8" ht="30" customHeight="1">
      <c r="A18" s="268" t="e">
        <f xml:space="preserve"> IF(#REF!=0, "",#REF!)</f>
        <v>#REF!</v>
      </c>
      <c r="B18" s="245" t="str">
        <f>BDD!B15</f>
        <v>Amande Romera avec coque</v>
      </c>
      <c r="C18" s="246">
        <f>BDD!G15</f>
        <v>3.69</v>
      </c>
      <c r="D18" s="247" t="str">
        <f>BDD!H15</f>
        <v>kg</v>
      </c>
      <c r="E18" s="248" t="str">
        <f>IF(BDD!I15="", "", "X")</f>
        <v>X</v>
      </c>
      <c r="F18" s="248" t="str">
        <f>IF(BDD!J15="", "", "X")</f>
        <v/>
      </c>
      <c r="G18" s="248" t="str">
        <f>IF(BDD!K15="", "", "X")</f>
        <v/>
      </c>
      <c r="H18" s="248" t="str">
        <f>BDD!C15</f>
        <v>Malaga</v>
      </c>
    </row>
    <row r="19" spans="1:8" ht="30" customHeight="1">
      <c r="A19" s="268" t="e">
        <f xml:space="preserve"> IF(#REF!=0, "",#REF!)</f>
        <v>#REF!</v>
      </c>
      <c r="B19" s="245" t="str">
        <f>BDD!B16</f>
        <v>Amande sans coque CRU BIO (env. 1kg)</v>
      </c>
      <c r="C19" s="246">
        <f>BDD!G16</f>
        <v>24.63</v>
      </c>
      <c r="D19" s="247" t="str">
        <f>BDD!H16</f>
        <v>Pièce</v>
      </c>
      <c r="E19" s="248" t="str">
        <f>IF(BDD!I16="", "", "X")</f>
        <v>X</v>
      </c>
      <c r="F19" s="248" t="str">
        <f>IF(BDD!J16="", "", "X")</f>
        <v/>
      </c>
      <c r="G19" s="248" t="str">
        <f>IF(BDD!K16="", "", "X")</f>
        <v/>
      </c>
      <c r="H19" s="248" t="str">
        <f>BDD!C16</f>
        <v>Grenade</v>
      </c>
    </row>
    <row r="20" spans="1:8" ht="30" customHeight="1">
      <c r="A20" s="268" t="e">
        <f xml:space="preserve"> IF(#REF!=0, "",#REF!)</f>
        <v>#REF!</v>
      </c>
      <c r="B20" s="245" t="str">
        <f>BDD!B17</f>
        <v>Ananas (mûri sur plante, env. 2kg)
Super bon, couleur intense, très aromatique</v>
      </c>
      <c r="C20" s="246">
        <f>BDD!G17</f>
        <v>4.37</v>
      </c>
      <c r="D20" s="247" t="str">
        <f>BDD!H17</f>
        <v>kg</v>
      </c>
      <c r="E20" s="248" t="str">
        <f>IF(BDD!I17="", "", "X")</f>
        <v>X</v>
      </c>
      <c r="F20" s="248" t="str">
        <f>IF(BDD!J17="", "", "X")</f>
        <v>X</v>
      </c>
      <c r="G20" s="248" t="str">
        <f>IF(BDD!K17="", "", "X")</f>
        <v/>
      </c>
      <c r="H20" s="248" t="str">
        <f>BDD!C17</f>
        <v>Costa Rica</v>
      </c>
    </row>
    <row r="21" spans="1:8" ht="30" customHeight="1">
      <c r="A21" s="268" t="e">
        <f xml:space="preserve"> IF(#REF!=0, "",#REF!)</f>
        <v>#REF!</v>
      </c>
      <c r="B21" s="245" t="str">
        <f>BDD!B18</f>
        <v>Ananas deshydraté BIO (env. 1kg)</v>
      </c>
      <c r="C21" s="246">
        <f>BDD!G18</f>
        <v>27.37</v>
      </c>
      <c r="D21" s="247" t="str">
        <f>BDD!H18</f>
        <v>Pièce</v>
      </c>
      <c r="E21" s="248" t="str">
        <f>IF(BDD!I18="", "", "X")</f>
        <v/>
      </c>
      <c r="F21" s="248" t="str">
        <f>IF(BDD!J18="", "", "X")</f>
        <v/>
      </c>
      <c r="G21" s="248" t="str">
        <f>IF(BDD!K18="", "", "X")</f>
        <v/>
      </c>
      <c r="H21" s="248" t="str">
        <f>BDD!C18</f>
        <v>Costa Rica</v>
      </c>
    </row>
    <row r="22" spans="1:8" ht="30" customHeight="1">
      <c r="A22" s="268" t="e">
        <f xml:space="preserve"> IF(#REF!=0, "",#REF!)</f>
        <v>#REF!</v>
      </c>
      <c r="B22" s="245" t="str">
        <f>BDD!B19</f>
        <v>Arachides crues avec coque</v>
      </c>
      <c r="C22" s="246">
        <f>BDD!G19</f>
        <v>4.37</v>
      </c>
      <c r="D22" s="247" t="str">
        <f>BDD!H19</f>
        <v>kg</v>
      </c>
      <c r="E22" s="248" t="str">
        <f>IF(BDD!I19="", "", "X")</f>
        <v>X</v>
      </c>
      <c r="F22" s="248" t="str">
        <f>IF(BDD!J19="", "", "X")</f>
        <v>X</v>
      </c>
      <c r="G22" s="248" t="str">
        <f>IF(BDD!K19="", "", "X")</f>
        <v/>
      </c>
      <c r="H22" s="248" t="str">
        <f>BDD!C19</f>
        <v>Chine</v>
      </c>
    </row>
    <row r="23" spans="1:8" ht="30" customHeight="1">
      <c r="A23" s="268" t="e">
        <f xml:space="preserve"> IF(#REF!=0, "",#REF!)</f>
        <v>#REF!</v>
      </c>
      <c r="B23" s="245" t="str">
        <f>BDD!B20</f>
        <v>Arachides sans coque pelé CRU BIO</v>
      </c>
      <c r="C23" s="246">
        <f>BDD!G20</f>
        <v>7.52</v>
      </c>
      <c r="D23" s="247" t="str">
        <f>BDD!H20</f>
        <v>kg</v>
      </c>
      <c r="E23" s="248" t="str">
        <f>IF(BDD!I20="", "", "X")</f>
        <v>X</v>
      </c>
      <c r="F23" s="248" t="str">
        <f>IF(BDD!J20="", "", "X")</f>
        <v>X</v>
      </c>
      <c r="G23" s="248" t="str">
        <f>IF(BDD!K20="", "", "X")</f>
        <v/>
      </c>
      <c r="H23" s="248" t="str">
        <f>BDD!C20</f>
        <v>Chine</v>
      </c>
    </row>
    <row r="24" spans="1:8" ht="30" customHeight="1">
      <c r="A24" s="268" t="e">
        <f xml:space="preserve"> IF(#REF!=0, "",#REF!)</f>
        <v>#REF!</v>
      </c>
      <c r="B24" s="245" t="str">
        <f>BDD!B21</f>
        <v>Aubergine</v>
      </c>
      <c r="C24" s="246">
        <f>BDD!G21</f>
        <v>3.69</v>
      </c>
      <c r="D24" s="247" t="str">
        <f>BDD!H21</f>
        <v>kg</v>
      </c>
      <c r="E24" s="248" t="str">
        <f>IF(BDD!I21="", "", "X")</f>
        <v>X</v>
      </c>
      <c r="F24" s="248" t="str">
        <f>IF(BDD!J21="", "", "X")</f>
        <v>X</v>
      </c>
      <c r="G24" s="248" t="str">
        <f>IF(BDD!K21="", "", "X")</f>
        <v/>
      </c>
      <c r="H24" s="248" t="str">
        <f>BDD!C21</f>
        <v>Malaga</v>
      </c>
    </row>
    <row r="25" spans="1:8" ht="30" customHeight="1">
      <c r="A25" s="268" t="e">
        <f xml:space="preserve"> IF(#REF!=0, "",#REF!)</f>
        <v>#REF!</v>
      </c>
      <c r="B25" s="245" t="str">
        <f>BDD!B22</f>
        <v>Avocat Bacon (grand)</v>
      </c>
      <c r="C25" s="246">
        <f>BDD!G22</f>
        <v>5.33</v>
      </c>
      <c r="D25" s="247" t="str">
        <f>BDD!H22</f>
        <v>kg</v>
      </c>
      <c r="E25" s="248" t="str">
        <f>IF(BDD!I22="", "", "X")</f>
        <v>X</v>
      </c>
      <c r="F25" s="248" t="str">
        <f>IF(BDD!J22="", "", "X")</f>
        <v>X</v>
      </c>
      <c r="G25" s="248" t="str">
        <f>IF(BDD!K22="", "", "X")</f>
        <v/>
      </c>
      <c r="H25" s="248" t="str">
        <f>BDD!C22</f>
        <v>Grenade</v>
      </c>
    </row>
    <row r="26" spans="1:8" ht="30" customHeight="1">
      <c r="A26" s="268" t="e">
        <f xml:space="preserve"> IF(#REF!=0, "",#REF!)</f>
        <v>#REF!</v>
      </c>
      <c r="B26" s="245" t="str">
        <f>BDD!B23</f>
        <v>Avocat Bacon BIO</v>
      </c>
      <c r="C26" s="246">
        <f>BDD!G23</f>
        <v>5.45</v>
      </c>
      <c r="D26" s="247" t="str">
        <f>BDD!H23</f>
        <v>kg</v>
      </c>
      <c r="E26" s="248" t="str">
        <f>IF(BDD!I23="", "", "X")</f>
        <v>X</v>
      </c>
      <c r="F26" s="248" t="str">
        <f>IF(BDD!J23="", "", "X")</f>
        <v>X</v>
      </c>
      <c r="G26" s="248" t="str">
        <f>IF(BDD!K23="", "", "X")</f>
        <v/>
      </c>
      <c r="H26" s="248" t="str">
        <f>BDD!C23</f>
        <v>Grenade</v>
      </c>
    </row>
    <row r="27" spans="1:8" ht="30" customHeight="1">
      <c r="A27" s="268" t="e">
        <f xml:space="preserve"> IF(#REF!=0, "",#REF!)</f>
        <v>#REF!</v>
      </c>
      <c r="B27" s="245" t="str">
        <f>BDD!B24</f>
        <v>Avocat Bacon Cocktail (petit calibre)</v>
      </c>
      <c r="C27" s="246">
        <f>BDD!G24</f>
        <v>5.74</v>
      </c>
      <c r="D27" s="247" t="str">
        <f>BDD!H24</f>
        <v>kg</v>
      </c>
      <c r="E27" s="248" t="str">
        <f>IF(BDD!I24="", "", "X")</f>
        <v/>
      </c>
      <c r="F27" s="248" t="str">
        <f>IF(BDD!J24="", "", "X")</f>
        <v/>
      </c>
      <c r="G27" s="248" t="str">
        <f>IF(BDD!K24="", "", "X")</f>
        <v/>
      </c>
      <c r="H27" s="248" t="str">
        <f>BDD!C24</f>
        <v>Grenade</v>
      </c>
    </row>
    <row r="28" spans="1:8" ht="30" customHeight="1">
      <c r="A28" s="268" t="e">
        <f xml:space="preserve"> IF(#REF!=0, "",#REF!)</f>
        <v>#REF!</v>
      </c>
      <c r="B28" s="245" t="str">
        <f>BDD!B25</f>
        <v>Avocat Bacon médium BIO</v>
      </c>
      <c r="C28" s="246">
        <f>BDD!G25</f>
        <v>4.08</v>
      </c>
      <c r="D28" s="247" t="str">
        <f>BDD!H25</f>
        <v>kg</v>
      </c>
      <c r="E28" s="248" t="str">
        <f>IF(BDD!I25="", "", "X")</f>
        <v>X</v>
      </c>
      <c r="F28" s="248" t="str">
        <f>IF(BDD!J25="", "", "X")</f>
        <v>X</v>
      </c>
      <c r="G28" s="248" t="str">
        <f>IF(BDD!K25="", "", "X")</f>
        <v>X</v>
      </c>
      <c r="H28" s="248" t="str">
        <f>BDD!C25</f>
        <v>Malaga</v>
      </c>
    </row>
    <row r="29" spans="1:8" ht="30" customHeight="1">
      <c r="A29" s="268" t="e">
        <f xml:space="preserve"> IF(#REF!=0, "",#REF!)</f>
        <v>#REF!</v>
      </c>
      <c r="B29" s="245" t="str">
        <f>BDD!B26</f>
        <v>Avocat Fuerte</v>
      </c>
      <c r="C29" s="246">
        <f>BDD!G26</f>
        <v>5.45</v>
      </c>
      <c r="D29" s="247" t="str">
        <f>BDD!H26</f>
        <v>kg</v>
      </c>
      <c r="E29" s="248" t="str">
        <f>IF(BDD!I26="", "", "X")</f>
        <v>X</v>
      </c>
      <c r="F29" s="248" t="str">
        <f>IF(BDD!J26="", "", "X")</f>
        <v>X</v>
      </c>
      <c r="G29" s="248" t="str">
        <f>IF(BDD!K26="", "", "X")</f>
        <v/>
      </c>
      <c r="H29" s="248" t="str">
        <f>BDD!C26</f>
        <v>Malaga</v>
      </c>
    </row>
    <row r="30" spans="1:8" ht="30" customHeight="1">
      <c r="A30" s="268" t="e">
        <f xml:space="preserve"> IF(#REF!=0, "",#REF!)</f>
        <v>#REF!</v>
      </c>
      <c r="B30" s="245" t="str">
        <f>BDD!B27</f>
        <v>Avocat Fuerte BIO</v>
      </c>
      <c r="C30" s="246">
        <f>BDD!G27</f>
        <v>6.15</v>
      </c>
      <c r="D30" s="247" t="str">
        <f>BDD!H27</f>
        <v>kg</v>
      </c>
      <c r="E30" s="248" t="str">
        <f>IF(BDD!I27="", "", "X")</f>
        <v>X</v>
      </c>
      <c r="F30" s="248" t="str">
        <f>IF(BDD!J27="", "", "X")</f>
        <v>X</v>
      </c>
      <c r="G30" s="248" t="str">
        <f>IF(BDD!K27="", "", "X")</f>
        <v/>
      </c>
      <c r="H30" s="248" t="str">
        <f>BDD!C27</f>
        <v>Grenade</v>
      </c>
    </row>
    <row r="31" spans="1:8" ht="30" customHeight="1">
      <c r="A31" s="268" t="e">
        <f xml:space="preserve"> IF(#REF!=0, "",#REF!)</f>
        <v>#REF!</v>
      </c>
      <c r="B31" s="245" t="str">
        <f>BDD!B28</f>
        <v>Baie de Goji BIO (env. 1kg)</v>
      </c>
      <c r="C31" s="246">
        <f>BDD!G28</f>
        <v>28.74</v>
      </c>
      <c r="D31" s="247" t="str">
        <f>BDD!H28</f>
        <v>Pièce</v>
      </c>
      <c r="E31" s="248" t="str">
        <f>IF(BDD!I28="", "", "X")</f>
        <v/>
      </c>
      <c r="F31" s="248" t="str">
        <f>IF(BDD!J28="", "", "X")</f>
        <v/>
      </c>
      <c r="G31" s="248" t="str">
        <f>IF(BDD!K28="", "", "X")</f>
        <v/>
      </c>
      <c r="H31" s="248" t="str">
        <f>BDD!C28</f>
        <v>Tibet</v>
      </c>
    </row>
    <row r="32" spans="1:8" ht="30" customHeight="1">
      <c r="A32" s="268" t="e">
        <f xml:space="preserve"> IF(#REF!=0, "",#REF!)</f>
        <v>#REF!</v>
      </c>
      <c r="B32" s="245" t="str">
        <f>BDD!B29</f>
        <v>Baie de Goji BIO (envi. 500g)</v>
      </c>
      <c r="C32" s="246">
        <f>BDD!G29</f>
        <v>15.04</v>
      </c>
      <c r="D32" s="247" t="str">
        <f>BDD!H29</f>
        <v>Pièce</v>
      </c>
      <c r="E32" s="248" t="str">
        <f>IF(BDD!I29="", "", "X")</f>
        <v/>
      </c>
      <c r="F32" s="248" t="str">
        <f>IF(BDD!J29="", "", "X")</f>
        <v/>
      </c>
      <c r="G32" s="248" t="str">
        <f>IF(BDD!K29="", "", "X")</f>
        <v/>
      </c>
      <c r="H32" s="248" t="str">
        <f>BDD!C29</f>
        <v>Tibet</v>
      </c>
    </row>
    <row r="33" spans="1:8" ht="30" customHeight="1">
      <c r="A33" s="268" t="e">
        <f xml:space="preserve"> IF(#REF!=0, "",#REF!)</f>
        <v>#REF!</v>
      </c>
      <c r="B33" s="245" t="str">
        <f>BDD!B30</f>
        <v>Banane Cavendish (mûri sur plante)</v>
      </c>
      <c r="C33" s="246">
        <f>BDD!G30</f>
        <v>4.08</v>
      </c>
      <c r="D33" s="247" t="str">
        <f>BDD!H30</f>
        <v>kg</v>
      </c>
      <c r="E33" s="248" t="str">
        <f>IF(BDD!I30="", "", "X")</f>
        <v>X</v>
      </c>
      <c r="F33" s="248" t="str">
        <f>IF(BDD!J30="", "", "X")</f>
        <v>X</v>
      </c>
      <c r="G33" s="248" t="str">
        <f>IF(BDD!K30="", "", "X")</f>
        <v>X</v>
      </c>
      <c r="H33" s="248" t="str">
        <f>BDD!C30</f>
        <v>Grenade</v>
      </c>
    </row>
    <row r="34" spans="1:8" ht="30" customHeight="1">
      <c r="A34" s="268" t="e">
        <f xml:space="preserve"> IF(#REF!=0, "",#REF!)</f>
        <v>#REF!</v>
      </c>
      <c r="B34" s="245" t="str">
        <f>BDD!B31</f>
        <v>Banane Cavendish BIO/RECO
    - (robuste et ferme)</v>
      </c>
      <c r="C34" s="246">
        <f>BDD!G31</f>
        <v>4.78</v>
      </c>
      <c r="D34" s="247" t="str">
        <f>BDD!H31</f>
        <v>kg</v>
      </c>
      <c r="E34" s="248" t="str">
        <f>IF(BDD!I31="", "", "X")</f>
        <v>X</v>
      </c>
      <c r="F34" s="248" t="str">
        <f>IF(BDD!J31="", "", "X")</f>
        <v/>
      </c>
      <c r="G34" s="248" t="str">
        <f>IF(BDD!K31="", "", "X")</f>
        <v/>
      </c>
      <c r="H34" s="248" t="str">
        <f>BDD!C31</f>
        <v>Iles Canaries</v>
      </c>
    </row>
    <row r="35" spans="1:8" ht="30" customHeight="1">
      <c r="A35" s="268" t="e">
        <f xml:space="preserve"> IF(#REF!=0, "",#REF!)</f>
        <v>#REF!</v>
      </c>
      <c r="B35" s="245" t="str">
        <f>BDD!B32</f>
        <v>Banane deshydratée BIO semi-sèche
    - (Production Rufino, env. 200g)</v>
      </c>
      <c r="C35" s="246">
        <f>BDD!G32</f>
        <v>4.78</v>
      </c>
      <c r="D35" s="247" t="str">
        <f>BDD!H32</f>
        <v>Pièce</v>
      </c>
      <c r="E35" s="248" t="str">
        <f>IF(BDD!I32="", "", "X")</f>
        <v/>
      </c>
      <c r="F35" s="248" t="str">
        <f>IF(BDD!J32="", "", "X")</f>
        <v/>
      </c>
      <c r="G35" s="248" t="str">
        <f>IF(BDD!K32="", "", "X")</f>
        <v/>
      </c>
      <c r="H35" s="248" t="str">
        <f>BDD!C32</f>
        <v>Grenade</v>
      </c>
    </row>
    <row r="36" spans="1:8" ht="30" customHeight="1">
      <c r="A36" s="268" t="e">
        <f xml:space="preserve"> IF(#REF!=0, "",#REF!)</f>
        <v>#REF!</v>
      </c>
      <c r="B36" s="245" t="str">
        <f>BDD!B33</f>
        <v>Bâtons de cannelle BIO (env. 100g)</v>
      </c>
      <c r="C36" s="246">
        <f>BDD!G33</f>
        <v>8.07</v>
      </c>
      <c r="D36" s="247" t="str">
        <f>BDD!H33</f>
        <v>Pièce</v>
      </c>
      <c r="E36" s="248" t="str">
        <f>IF(BDD!I33="", "", "X")</f>
        <v/>
      </c>
      <c r="F36" s="248" t="str">
        <f>IF(BDD!J33="", "", "X")</f>
        <v/>
      </c>
      <c r="G36" s="248" t="str">
        <f>IF(BDD!K33="", "", "X")</f>
        <v/>
      </c>
      <c r="H36" s="248" t="str">
        <f>BDD!C33</f>
        <v>Inde</v>
      </c>
    </row>
    <row r="37" spans="1:8" ht="30" customHeight="1">
      <c r="A37" s="268" t="e">
        <f xml:space="preserve"> IF(#REF!=0, "",#REF!)</f>
        <v>#REF!</v>
      </c>
      <c r="B37" s="245" t="str">
        <f>BDD!B34</f>
        <v>Betterave BIO</v>
      </c>
      <c r="C37" s="246">
        <f>BDD!G34</f>
        <v>2.3199999999999998</v>
      </c>
      <c r="D37" s="247" t="str">
        <f>BDD!H34</f>
        <v>kg</v>
      </c>
      <c r="E37" s="248" t="str">
        <f>IF(BDD!I34="", "", "X")</f>
        <v>X</v>
      </c>
      <c r="F37" s="248" t="str">
        <f>IF(BDD!J34="", "", "X")</f>
        <v/>
      </c>
      <c r="G37" s="248" t="str">
        <f>IF(BDD!K34="", "", "X")</f>
        <v/>
      </c>
      <c r="H37" s="248" t="str">
        <f>BDD!C34</f>
        <v>Malaga</v>
      </c>
    </row>
    <row r="38" spans="1:8" ht="30" customHeight="1">
      <c r="A38" s="268" t="e">
        <f xml:space="preserve"> IF(#REF!=0, "",#REF!)</f>
        <v>#REF!</v>
      </c>
      <c r="B38" s="245" t="str">
        <f>BDD!B35</f>
        <v>Betterave en poudre BIO (env. 1kg)</v>
      </c>
      <c r="C38" s="246">
        <f>BDD!G35</f>
        <v>23.96</v>
      </c>
      <c r="D38" s="247" t="str">
        <f>BDD!H35</f>
        <v>Pièce</v>
      </c>
      <c r="E38" s="248" t="str">
        <f>IF(BDD!I35="", "", "X")</f>
        <v/>
      </c>
      <c r="F38" s="248" t="str">
        <f>IF(BDD!J35="", "", "X")</f>
        <v/>
      </c>
      <c r="G38" s="248" t="str">
        <f>IF(BDD!K35="", "", "X")</f>
        <v/>
      </c>
      <c r="H38" s="248" t="str">
        <f>BDD!C35</f>
        <v>Hongrie</v>
      </c>
    </row>
    <row r="39" spans="1:8" ht="30" customHeight="1">
      <c r="A39" s="268" t="e">
        <f xml:space="preserve"> IF(#REF!=0, "",#REF!)</f>
        <v>#REF!</v>
      </c>
      <c r="B39" s="245" t="str">
        <f>BDD!B36</f>
        <v>Betterave en poudre BIO (env. 500g)</v>
      </c>
      <c r="C39" s="246">
        <f>BDD!G36</f>
        <v>12.73</v>
      </c>
      <c r="D39" s="247" t="str">
        <f>BDD!H36</f>
        <v>Pièce</v>
      </c>
      <c r="E39" s="248" t="str">
        <f>IF(BDD!I36="", "", "X")</f>
        <v/>
      </c>
      <c r="F39" s="248" t="str">
        <f>IF(BDD!J36="", "", "X")</f>
        <v/>
      </c>
      <c r="G39" s="248" t="str">
        <f>IF(BDD!K36="", "", "X")</f>
        <v/>
      </c>
      <c r="H39" s="248" t="str">
        <f>BDD!C36</f>
        <v>Hongrie</v>
      </c>
    </row>
    <row r="40" spans="1:8" ht="30" customHeight="1">
      <c r="A40" s="268" t="e">
        <f xml:space="preserve"> IF(#REF!=0, "",#REF!)</f>
        <v>#REF!</v>
      </c>
      <c r="B40" s="245" t="str">
        <f>BDD!B37</f>
        <v>Beurre de cacao BIO (env. 1kg)</v>
      </c>
      <c r="C40" s="246">
        <f>BDD!G37</f>
        <v>23.26</v>
      </c>
      <c r="D40" s="247" t="str">
        <f>BDD!H37</f>
        <v>Pièce</v>
      </c>
      <c r="E40" s="248" t="str">
        <f>IF(BDD!I37="", "", "X")</f>
        <v/>
      </c>
      <c r="F40" s="248" t="str">
        <f>IF(BDD!J37="", "", "X")</f>
        <v/>
      </c>
      <c r="G40" s="248" t="str">
        <f>IF(BDD!K37="", "", "X")</f>
        <v/>
      </c>
      <c r="H40" s="248" t="str">
        <f>BDD!C37</f>
        <v>Pérou</v>
      </c>
    </row>
    <row r="41" spans="1:8" ht="30" customHeight="1">
      <c r="A41" s="268" t="e">
        <f xml:space="preserve"> IF(#REF!=0, "",#REF!)</f>
        <v>#REF!</v>
      </c>
      <c r="B41" s="245" t="str">
        <f>BDD!B38</f>
        <v>Blette BIO</v>
      </c>
      <c r="C41" s="246">
        <f>BDD!G38</f>
        <v>5.45</v>
      </c>
      <c r="D41" s="247" t="str">
        <f>BDD!H38</f>
        <v>kg</v>
      </c>
      <c r="E41" s="248" t="str">
        <f>IF(BDD!I38="", "", "X")</f>
        <v/>
      </c>
      <c r="F41" s="248" t="str">
        <f>IF(BDD!J38="", "", "X")</f>
        <v/>
      </c>
      <c r="G41" s="248" t="str">
        <f>IF(BDD!K38="", "", "X")</f>
        <v/>
      </c>
      <c r="H41" s="248" t="str">
        <f>BDD!C38</f>
        <v>Grenade</v>
      </c>
    </row>
    <row r="42" spans="1:8" ht="30" customHeight="1">
      <c r="A42" s="268" t="e">
        <f xml:space="preserve"> IF(#REF!=0, "",#REF!)</f>
        <v>#REF!</v>
      </c>
      <c r="B42" s="245" t="str">
        <f>BDD!B39</f>
        <v xml:space="preserve">Cacao en poudre CRU BIO (env. 1 kg) </v>
      </c>
      <c r="C42" s="246">
        <f>BDD!G39</f>
        <v>14.65</v>
      </c>
      <c r="D42" s="247" t="str">
        <f>BDD!H39</f>
        <v>Pièce</v>
      </c>
      <c r="E42" s="248" t="str">
        <f>IF(BDD!I39="", "", "X")</f>
        <v>X</v>
      </c>
      <c r="F42" s="248" t="str">
        <f>IF(BDD!J39="", "", "X")</f>
        <v/>
      </c>
      <c r="G42" s="248" t="str">
        <f>IF(BDD!K39="", "", "X")</f>
        <v/>
      </c>
      <c r="H42" s="248" t="str">
        <f>BDD!C39</f>
        <v>Pérou</v>
      </c>
    </row>
    <row r="43" spans="1:8" ht="30" customHeight="1">
      <c r="A43" s="268" t="e">
        <f xml:space="preserve"> IF(#REF!=0, "",#REF!)</f>
        <v>#REF!</v>
      </c>
      <c r="B43" s="245" t="str">
        <f>BDD!B40</f>
        <v>Camu Camu en poudre BIO (env. 250g)</v>
      </c>
      <c r="C43" s="246">
        <f>BDD!G40</f>
        <v>18.48</v>
      </c>
      <c r="D43" s="247" t="str">
        <f>BDD!H40</f>
        <v>Pièce</v>
      </c>
      <c r="E43" s="248" t="str">
        <f>IF(BDD!I40="", "", "X")</f>
        <v/>
      </c>
      <c r="F43" s="248" t="str">
        <f>IF(BDD!J40="", "", "X")</f>
        <v/>
      </c>
      <c r="G43" s="248" t="str">
        <f>IF(BDD!K40="", "", "X")</f>
        <v/>
      </c>
      <c r="H43" s="248" t="str">
        <f>BDD!C40</f>
        <v>Pérou</v>
      </c>
    </row>
    <row r="44" spans="1:8" ht="30" customHeight="1">
      <c r="A44" s="268" t="e">
        <f xml:space="preserve"> IF(#REF!=0, "",#REF!)</f>
        <v>#REF!</v>
      </c>
      <c r="B44" s="245" t="str">
        <f>BDD!B41</f>
        <v>Carambole / fruit étoilé</v>
      </c>
      <c r="C44" s="246">
        <f>BDD!G41</f>
        <v>4.92</v>
      </c>
      <c r="D44" s="247" t="str">
        <f>BDD!H41</f>
        <v>kg</v>
      </c>
      <c r="E44" s="248" t="str">
        <f>IF(BDD!I41="", "", "X")</f>
        <v>X</v>
      </c>
      <c r="F44" s="248" t="str">
        <f>IF(BDD!J41="", "", "X")</f>
        <v>X</v>
      </c>
      <c r="G44" s="248" t="str">
        <f>IF(BDD!K41="", "", "X")</f>
        <v/>
      </c>
      <c r="H44" s="248" t="str">
        <f>BDD!C41</f>
        <v>Grenade</v>
      </c>
    </row>
    <row r="45" spans="1:8" ht="30" customHeight="1">
      <c r="A45" s="268" t="e">
        <f xml:space="preserve"> IF(#REF!=0, "",#REF!)</f>
        <v>#REF!</v>
      </c>
      <c r="B45" s="245" t="str">
        <f>BDD!B42</f>
        <v>Carotte avec fane</v>
      </c>
      <c r="C45" s="246">
        <f>BDD!G42</f>
        <v>3.14</v>
      </c>
      <c r="D45" s="247" t="str">
        <f>BDD!H42</f>
        <v>kg</v>
      </c>
      <c r="E45" s="248" t="str">
        <f>IF(BDD!I42="", "", "X")</f>
        <v>X</v>
      </c>
      <c r="F45" s="248" t="str">
        <f>IF(BDD!J42="", "", "X")</f>
        <v/>
      </c>
      <c r="G45" s="248" t="str">
        <f>IF(BDD!K42="", "", "X")</f>
        <v/>
      </c>
      <c r="H45" s="248" t="str">
        <f>BDD!C42</f>
        <v>Grenade</v>
      </c>
    </row>
    <row r="46" spans="1:8" ht="30" customHeight="1">
      <c r="A46" s="268" t="e">
        <f xml:space="preserve"> IF(#REF!=0, "",#REF!)</f>
        <v>#REF!</v>
      </c>
      <c r="B46" s="245" t="str">
        <f>BDD!B43</f>
        <v>Carotte sans fane</v>
      </c>
      <c r="C46" s="246">
        <f>BDD!G43</f>
        <v>1.9</v>
      </c>
      <c r="D46" s="247" t="str">
        <f>BDD!H43</f>
        <v>kg</v>
      </c>
      <c r="E46" s="248" t="str">
        <f>IF(BDD!I43="", "", "X")</f>
        <v>X</v>
      </c>
      <c r="F46" s="248" t="str">
        <f>IF(BDD!J43="", "", "X")</f>
        <v>X</v>
      </c>
      <c r="G46" s="248" t="str">
        <f>IF(BDD!K43="", "", "X")</f>
        <v>X</v>
      </c>
      <c r="H46" s="248" t="str">
        <f>BDD!C43</f>
        <v>Grenade</v>
      </c>
    </row>
    <row r="47" spans="1:8" ht="30" customHeight="1">
      <c r="A47" s="268" t="e">
        <f xml:space="preserve"> IF(#REF!=0, "",#REF!)</f>
        <v>#REF!</v>
      </c>
      <c r="B47" s="245" t="str">
        <f>BDD!B44</f>
        <v>Carotte sans fane BIO</v>
      </c>
      <c r="C47" s="246">
        <f>BDD!G44</f>
        <v>2.3199999999999998</v>
      </c>
      <c r="D47" s="247" t="str">
        <f>BDD!H44</f>
        <v>kg</v>
      </c>
      <c r="E47" s="248" t="str">
        <f>IF(BDD!I44="", "", "X")</f>
        <v>X</v>
      </c>
      <c r="F47" s="248" t="str">
        <f>IF(BDD!J44="", "", "X")</f>
        <v>X</v>
      </c>
      <c r="G47" s="248" t="str">
        <f>IF(BDD!K44="", "", "X")</f>
        <v/>
      </c>
      <c r="H47" s="248" t="str">
        <f>BDD!C44</f>
        <v>Malaga</v>
      </c>
    </row>
    <row r="48" spans="1:8" ht="30" customHeight="1">
      <c r="A48" s="268" t="e">
        <f xml:space="preserve"> IF(#REF!=0, "",#REF!)</f>
        <v>#REF!</v>
      </c>
      <c r="B48" s="245" t="str">
        <f>BDD!B45</f>
        <v>Caroube de l'Alpujarra BIO (env 400g)</v>
      </c>
      <c r="C48" s="246">
        <f>BDD!G45</f>
        <v>1.34</v>
      </c>
      <c r="D48" s="247" t="str">
        <f>BDD!H45</f>
        <v>Pièce</v>
      </c>
      <c r="E48" s="248" t="str">
        <f>IF(BDD!I45="", "", "X")</f>
        <v/>
      </c>
      <c r="F48" s="248" t="str">
        <f>IF(BDD!J45="", "", "X")</f>
        <v/>
      </c>
      <c r="G48" s="248" t="str">
        <f>IF(BDD!K45="", "", "X")</f>
        <v/>
      </c>
      <c r="H48" s="248" t="str">
        <f>BDD!C45</f>
        <v>Grenade</v>
      </c>
    </row>
    <row r="49" spans="1:8" ht="30" customHeight="1">
      <c r="A49" s="268" t="e">
        <f xml:space="preserve"> IF(#REF!=0, "",#REF!)</f>
        <v>#REF!</v>
      </c>
      <c r="B49" s="245" t="str">
        <f>BDD!B46</f>
        <v>Céleri vert</v>
      </c>
      <c r="C49" s="246">
        <f>BDD!G46</f>
        <v>3.41</v>
      </c>
      <c r="D49" s="247" t="str">
        <f>BDD!H46</f>
        <v>kg</v>
      </c>
      <c r="E49" s="248" t="str">
        <f>IF(BDD!I46="", "", "X")</f>
        <v>X</v>
      </c>
      <c r="F49" s="248" t="str">
        <f>IF(BDD!J46="", "", "X")</f>
        <v/>
      </c>
      <c r="G49" s="248" t="str">
        <f>IF(BDD!K46="", "", "X")</f>
        <v/>
      </c>
      <c r="H49" s="248" t="str">
        <f>BDD!C46</f>
        <v>Grenade</v>
      </c>
    </row>
    <row r="50" spans="1:8" ht="30" customHeight="1">
      <c r="A50" s="268" t="e">
        <f xml:space="preserve"> IF(#REF!=0, "",#REF!)</f>
        <v>#REF!</v>
      </c>
      <c r="B50" s="245" t="str">
        <f>BDD!B47</f>
        <v>Céleri vert BIO</v>
      </c>
      <c r="C50" s="246">
        <f>BDD!G47</f>
        <v>3.69</v>
      </c>
      <c r="D50" s="247" t="str">
        <f>BDD!H47</f>
        <v>kg</v>
      </c>
      <c r="E50" s="248" t="str">
        <f>IF(BDD!I47="", "", "X")</f>
        <v>X</v>
      </c>
      <c r="F50" s="248" t="str">
        <f>IF(BDD!J47="", "", "X")</f>
        <v/>
      </c>
      <c r="G50" s="248" t="str">
        <f>IF(BDD!K47="", "", "X")</f>
        <v/>
      </c>
      <c r="H50" s="248" t="str">
        <f>BDD!C47</f>
        <v>Malaga</v>
      </c>
    </row>
    <row r="51" spans="1:8" ht="30" customHeight="1">
      <c r="A51" s="268" t="e">
        <f xml:space="preserve"> IF(#REF!=0, "",#REF!)</f>
        <v>#REF!</v>
      </c>
      <c r="B51" s="245" t="str">
        <f>BDD!B48</f>
        <v>Chia BIO (env. 1kg)</v>
      </c>
      <c r="C51" s="246">
        <f>BDD!G48</f>
        <v>6.15</v>
      </c>
      <c r="D51" s="247" t="str">
        <f>BDD!H48</f>
        <v>Pièce</v>
      </c>
      <c r="E51" s="248" t="str">
        <f>IF(BDD!I48="", "", "X")</f>
        <v>X</v>
      </c>
      <c r="F51" s="248" t="str">
        <f>IF(BDD!J48="", "", "X")</f>
        <v/>
      </c>
      <c r="G51" s="248" t="str">
        <f>IF(BDD!K48="", "", "X")</f>
        <v/>
      </c>
      <c r="H51" s="248" t="str">
        <f>BDD!C48</f>
        <v>Bolivie</v>
      </c>
    </row>
    <row r="52" spans="1:8" ht="30" customHeight="1">
      <c r="A52" s="268" t="e">
        <f xml:space="preserve"> IF(#REF!=0, "",#REF!)</f>
        <v>#REF!</v>
      </c>
      <c r="B52" s="245" t="str">
        <f>BDD!B49</f>
        <v>Chips de coco CRU BIO (env. 1kg)</v>
      </c>
      <c r="C52" s="246">
        <f>BDD!G49</f>
        <v>9.3000000000000007</v>
      </c>
      <c r="D52" s="247" t="str">
        <f>BDD!H49</f>
        <v>Pièce</v>
      </c>
      <c r="E52" s="248" t="str">
        <f>IF(BDD!I49="", "", "X")</f>
        <v>X</v>
      </c>
      <c r="F52" s="248" t="str">
        <f>IF(BDD!J49="", "", "X")</f>
        <v>X</v>
      </c>
      <c r="G52" s="248" t="str">
        <f>IF(BDD!K49="", "", "X")</f>
        <v/>
      </c>
      <c r="H52" s="248" t="str">
        <f>BDD!C49</f>
        <v>Sri Lanka</v>
      </c>
    </row>
    <row r="53" spans="1:8" ht="30" customHeight="1">
      <c r="A53" s="268" t="e">
        <f xml:space="preserve"> IF(#REF!=0, "",#REF!)</f>
        <v>#REF!</v>
      </c>
      <c r="B53" s="245" t="str">
        <f>BDD!B50</f>
        <v>Chirimoya (grand)</v>
      </c>
      <c r="C53" s="246">
        <f>BDD!G50</f>
        <v>4.08</v>
      </c>
      <c r="D53" s="247" t="str">
        <f>BDD!H50</f>
        <v>kg</v>
      </c>
      <c r="E53" s="248" t="str">
        <f>IF(BDD!I50="", "", "X")</f>
        <v>X</v>
      </c>
      <c r="F53" s="248" t="str">
        <f>IF(BDD!J50="", "", "X")</f>
        <v>X</v>
      </c>
      <c r="G53" s="248" t="str">
        <f>IF(BDD!K50="", "", "X")</f>
        <v>X</v>
      </c>
      <c r="H53" s="248" t="str">
        <f>BDD!C50</f>
        <v>Grenade</v>
      </c>
    </row>
    <row r="54" spans="1:8" ht="30" customHeight="1">
      <c r="A54" s="268" t="e">
        <f xml:space="preserve"> IF(#REF!=0, "",#REF!)</f>
        <v>#REF!</v>
      </c>
      <c r="B54" s="245" t="str">
        <f>BDD!B51</f>
        <v>Chirimoya BIO (production Rufino)</v>
      </c>
      <c r="C54" s="246">
        <f>BDD!G51</f>
        <v>5.0599999999999996</v>
      </c>
      <c r="D54" s="247" t="str">
        <f>BDD!H51</f>
        <v>kg</v>
      </c>
      <c r="E54" s="248" t="str">
        <f>IF(BDD!I51="", "", "X")</f>
        <v>X</v>
      </c>
      <c r="F54" s="248" t="str">
        <f>IF(BDD!J51="", "", "X")</f>
        <v>X</v>
      </c>
      <c r="G54" s="248" t="str">
        <f>IF(BDD!K51="", "", "X")</f>
        <v>X</v>
      </c>
      <c r="H54" s="248" t="str">
        <f>BDD!C51</f>
        <v>Grenade</v>
      </c>
    </row>
    <row r="55" spans="1:8" ht="30" customHeight="1">
      <c r="A55" s="268" t="e">
        <f xml:space="preserve"> IF(#REF!=0, "",#REF!)</f>
        <v>#REF!</v>
      </c>
      <c r="B55" s="245" t="str">
        <f>BDD!B52</f>
        <v>Chou Kale BIO (production Rufino)</v>
      </c>
      <c r="C55" s="246">
        <f>BDD!G52</f>
        <v>6.56</v>
      </c>
      <c r="D55" s="247" t="str">
        <f>BDD!H52</f>
        <v>kg</v>
      </c>
      <c r="E55" s="248" t="str">
        <f>IF(BDD!I52="", "", "X")</f>
        <v>X</v>
      </c>
      <c r="F55" s="248" t="str">
        <f>IF(BDD!J52="", "", "X")</f>
        <v/>
      </c>
      <c r="G55" s="248" t="str">
        <f>IF(BDD!K52="", "", "X")</f>
        <v/>
      </c>
      <c r="H55" s="248" t="str">
        <f>BDD!C52</f>
        <v>Grenade</v>
      </c>
    </row>
    <row r="56" spans="1:8" ht="30" customHeight="1">
      <c r="A56" s="268" t="e">
        <f xml:space="preserve"> IF(#REF!=0, "",#REF!)</f>
        <v>#REF!</v>
      </c>
      <c r="B56" s="245" t="str">
        <f>BDD!B53</f>
        <v>Chou Kale Winterbor Crespa BIO baby (Production de Rufino)</v>
      </c>
      <c r="C56" s="246">
        <f>BDD!G53</f>
        <v>6.15</v>
      </c>
      <c r="D56" s="247" t="str">
        <f>BDD!H53</f>
        <v>kg</v>
      </c>
      <c r="E56" s="248" t="str">
        <f>IF(BDD!I53="", "", "X")</f>
        <v>X</v>
      </c>
      <c r="F56" s="248" t="str">
        <f>IF(BDD!J53="", "", "X")</f>
        <v/>
      </c>
      <c r="G56" s="248" t="str">
        <f>IF(BDD!K53="", "", "X")</f>
        <v/>
      </c>
      <c r="H56" s="248" t="str">
        <f>BDD!C53</f>
        <v>Grenade</v>
      </c>
    </row>
    <row r="57" spans="1:8" ht="30" customHeight="1">
      <c r="A57" s="268" t="e">
        <f xml:space="preserve"> IF(#REF!=0, "",#REF!)</f>
        <v>#REF!</v>
      </c>
      <c r="B57" s="245" t="str">
        <f>BDD!B54</f>
        <v>Chou vert BIO</v>
      </c>
      <c r="C57" s="246">
        <f>BDD!G54</f>
        <v>3</v>
      </c>
      <c r="D57" s="247" t="str">
        <f>BDD!H54</f>
        <v>kg</v>
      </c>
      <c r="E57" s="248" t="str">
        <f>IF(BDD!I54="", "", "X")</f>
        <v>X</v>
      </c>
      <c r="F57" s="248" t="str">
        <f>IF(BDD!J54="", "", "X")</f>
        <v/>
      </c>
      <c r="G57" s="248" t="str">
        <f>IF(BDD!K54="", "", "X")</f>
        <v/>
      </c>
      <c r="H57" s="248" t="str">
        <f>BDD!C54</f>
        <v>Malaga</v>
      </c>
    </row>
    <row r="58" spans="1:8" ht="30" customHeight="1">
      <c r="A58" s="268" t="e">
        <f xml:space="preserve"> IF(#REF!=0, "",#REF!)</f>
        <v>#REF!</v>
      </c>
      <c r="B58" s="245" t="str">
        <f>BDD!B55</f>
        <v>Citron Caviar (culture naturelle, plateau 200g)</v>
      </c>
      <c r="C58" s="246">
        <f>BDD!G55</f>
        <v>10.93</v>
      </c>
      <c r="D58" s="247" t="str">
        <f>BDD!H55</f>
        <v>Pièce</v>
      </c>
      <c r="E58" s="248" t="str">
        <f>IF(BDD!I55="", "", "X")</f>
        <v/>
      </c>
      <c r="F58" s="248" t="str">
        <f>IF(BDD!J55="", "", "X")</f>
        <v/>
      </c>
      <c r="G58" s="248" t="str">
        <f>IF(BDD!K55="", "", "X")</f>
        <v/>
      </c>
      <c r="H58" s="248" t="str">
        <f>BDD!C55</f>
        <v>Salobrena</v>
      </c>
    </row>
    <row r="59" spans="1:8" ht="30" customHeight="1">
      <c r="A59" s="268" t="e">
        <f xml:space="preserve"> IF(#REF!=0, "",#REF!)</f>
        <v>#REF!</v>
      </c>
      <c r="B59" s="245" t="str">
        <f>BDD!B56</f>
        <v>Citron Caviar (culture naturelle, plateau 500g)</v>
      </c>
      <c r="C59" s="246">
        <f>BDD!G56</f>
        <v>23.26</v>
      </c>
      <c r="D59" s="247" t="str">
        <f>BDD!H56</f>
        <v>Pièce</v>
      </c>
      <c r="E59" s="248" t="str">
        <f>IF(BDD!I56="", "", "X")</f>
        <v/>
      </c>
      <c r="F59" s="248" t="str">
        <f>IF(BDD!J56="", "", "X")</f>
        <v/>
      </c>
      <c r="G59" s="248" t="str">
        <f>IF(BDD!K56="", "", "X")</f>
        <v/>
      </c>
      <c r="H59" s="248" t="str">
        <f>BDD!C56</f>
        <v>Salobrena</v>
      </c>
    </row>
    <row r="60" spans="1:8" ht="30" customHeight="1">
      <c r="A60" s="268" t="e">
        <f xml:space="preserve"> IF(#REF!=0, "",#REF!)</f>
        <v>#REF!</v>
      </c>
      <c r="B60" s="245" t="str">
        <f>BDD!B57</f>
        <v>Citron Caviar BIO
    - (plateau de 200g)</v>
      </c>
      <c r="C60" s="246">
        <f>BDD!G57</f>
        <v>12.3</v>
      </c>
      <c r="D60" s="247" t="str">
        <f>BDD!H57</f>
        <v>200g</v>
      </c>
      <c r="E60" s="248" t="str">
        <f>IF(BDD!I57="", "", "X")</f>
        <v/>
      </c>
      <c r="F60" s="248" t="str">
        <f>IF(BDD!J57="", "", "X")</f>
        <v/>
      </c>
      <c r="G60" s="248" t="str">
        <f>IF(BDD!K57="", "", "X")</f>
        <v/>
      </c>
      <c r="H60" s="248" t="str">
        <f>BDD!C57</f>
        <v>Grenade</v>
      </c>
    </row>
    <row r="61" spans="1:8" ht="30" customHeight="1">
      <c r="A61" s="268" t="e">
        <f xml:space="preserve"> IF(#REF!=0, "",#REF!)</f>
        <v>#REF!</v>
      </c>
      <c r="B61" s="245" t="str">
        <f>BDD!B58</f>
        <v>Citron Caviar BIO
    - (plateau de 500g)</v>
      </c>
      <c r="C61" s="246">
        <f>BDD!G58</f>
        <v>26</v>
      </c>
      <c r="D61" s="247" t="str">
        <f>BDD!H58</f>
        <v>500g</v>
      </c>
      <c r="E61" s="248" t="str">
        <f>IF(BDD!I58="", "", "X")</f>
        <v/>
      </c>
      <c r="F61" s="248" t="str">
        <f>IF(BDD!J58="", "", "X")</f>
        <v/>
      </c>
      <c r="G61" s="248" t="str">
        <f>IF(BDD!K58="", "", "X")</f>
        <v/>
      </c>
      <c r="H61" s="248" t="str">
        <f>BDD!C58</f>
        <v>Grenade</v>
      </c>
    </row>
    <row r="62" spans="1:8" ht="30" customHeight="1">
      <c r="A62" s="268" t="e">
        <f xml:space="preserve"> IF(#REF!=0, "",#REF!)</f>
        <v>#REF!</v>
      </c>
      <c r="B62" s="245" t="str">
        <f>BDD!B59</f>
        <v>Citron jaune (mûri sur plante)</v>
      </c>
      <c r="C62" s="246">
        <f>BDD!G59</f>
        <v>2.93</v>
      </c>
      <c r="D62" s="247" t="str">
        <f>BDD!H59</f>
        <v>kg</v>
      </c>
      <c r="E62" s="248" t="str">
        <f>IF(BDD!I59="", "", "X")</f>
        <v>X</v>
      </c>
      <c r="F62" s="248" t="str">
        <f>IF(BDD!J59="", "", "X")</f>
        <v>X</v>
      </c>
      <c r="G62" s="248" t="str">
        <f>IF(BDD!K59="", "", "X")</f>
        <v>X</v>
      </c>
      <c r="H62" s="248" t="str">
        <f>BDD!C59</f>
        <v>Grenade</v>
      </c>
    </row>
    <row r="63" spans="1:8" ht="30" customHeight="1">
      <c r="A63" s="268" t="e">
        <f xml:space="preserve"> IF(#REF!=0, "",#REF!)</f>
        <v>#REF!</v>
      </c>
      <c r="B63" s="245" t="str">
        <f>BDD!B60</f>
        <v>Citron jaune BIO (seconde catégorie)</v>
      </c>
      <c r="C63" s="246">
        <f>BDD!G60</f>
        <v>1.77</v>
      </c>
      <c r="D63" s="247" t="str">
        <f>BDD!H60</f>
        <v>kg</v>
      </c>
      <c r="E63" s="248" t="str">
        <f>IF(BDD!I60="", "", "X")</f>
        <v>X</v>
      </c>
      <c r="F63" s="248" t="str">
        <f>IF(BDD!J60="", "", "X")</f>
        <v>X</v>
      </c>
      <c r="G63" s="248" t="str">
        <f>IF(BDD!K60="", "", "X")</f>
        <v>X</v>
      </c>
      <c r="H63" s="248" t="str">
        <f>BDD!C60</f>
        <v>Malaga</v>
      </c>
    </row>
    <row r="64" spans="1:8" ht="30" customHeight="1">
      <c r="A64" s="268" t="e">
        <f xml:space="preserve"> IF(#REF!=0, "",#REF!)</f>
        <v>#REF!</v>
      </c>
      <c r="B64" s="245" t="str">
        <f>BDD!B61</f>
        <v xml:space="preserve">Citron jaune Verna BIO (mûri sur arbre)
    - (grand/moyen) </v>
      </c>
      <c r="C64" s="246">
        <f>BDD!G61</f>
        <v>3.14</v>
      </c>
      <c r="D64" s="247" t="str">
        <f>BDD!H61</f>
        <v>kg</v>
      </c>
      <c r="E64" s="248" t="str">
        <f>IF(BDD!I61="", "", "X")</f>
        <v>X</v>
      </c>
      <c r="F64" s="248" t="str">
        <f>IF(BDD!J61="", "", "X")</f>
        <v>X</v>
      </c>
      <c r="G64" s="248" t="str">
        <f>IF(BDD!K61="", "", "X")</f>
        <v>X</v>
      </c>
      <c r="H64" s="248" t="str">
        <f>BDD!C61</f>
        <v>Malaga</v>
      </c>
    </row>
    <row r="65" spans="1:8" ht="30" customHeight="1">
      <c r="A65" s="268" t="e">
        <f xml:space="preserve"> IF(#REF!=0, "",#REF!)</f>
        <v>#REF!</v>
      </c>
      <c r="B65" s="245" t="str">
        <f>BDD!B62</f>
        <v>Citron vert</v>
      </c>
      <c r="C65" s="246">
        <f>BDD!G62</f>
        <v>3.14</v>
      </c>
      <c r="D65" s="247" t="str">
        <f>BDD!H62</f>
        <v>kg</v>
      </c>
      <c r="E65" s="248" t="str">
        <f>IF(BDD!I62="", "", "X")</f>
        <v>X</v>
      </c>
      <c r="F65" s="248" t="str">
        <f>IF(BDD!J62="", "", "X")</f>
        <v>X</v>
      </c>
      <c r="G65" s="248" t="str">
        <f>IF(BDD!K62="", "", "X")</f>
        <v/>
      </c>
      <c r="H65" s="248" t="str">
        <f>BDD!C62</f>
        <v>Grenade</v>
      </c>
    </row>
    <row r="66" spans="1:8" ht="30" customHeight="1">
      <c r="A66" s="268" t="e">
        <f xml:space="preserve"> IF(#REF!=0, "",#REF!)</f>
        <v>#REF!</v>
      </c>
      <c r="B66" s="245" t="str">
        <f>BDD!B63</f>
        <v xml:space="preserve">Citronnelle BIO
    - (bouquet de 5 tiges) </v>
      </c>
      <c r="C66" s="246">
        <f>BDD!G63</f>
        <v>2.59</v>
      </c>
      <c r="D66" s="247" t="str">
        <f>BDD!H63</f>
        <v>Pièce</v>
      </c>
      <c r="E66" s="248" t="str">
        <f>IF(BDD!I63="", "", "X")</f>
        <v/>
      </c>
      <c r="F66" s="248" t="str">
        <f>IF(BDD!J63="", "", "X")</f>
        <v/>
      </c>
      <c r="G66" s="248" t="str">
        <f>IF(BDD!K63="", "", "X")</f>
        <v/>
      </c>
      <c r="H66" s="248" t="str">
        <f>BDD!C63</f>
        <v>Grenade</v>
      </c>
    </row>
    <row r="67" spans="1:8" ht="30" customHeight="1">
      <c r="A67" s="268" t="e">
        <f xml:space="preserve"> IF(#REF!=0, "",#REF!)</f>
        <v>#REF!</v>
      </c>
      <c r="B67" s="245" t="str">
        <f>BDD!B64</f>
        <v>Coco Pagode fraîche</v>
      </c>
      <c r="C67" s="246">
        <f>BDD!G64</f>
        <v>4.51</v>
      </c>
      <c r="D67" s="247" t="str">
        <f>BDD!H64</f>
        <v>Pièce</v>
      </c>
      <c r="E67" s="248" t="str">
        <f>IF(BDD!I64="", "", "X")</f>
        <v>X</v>
      </c>
      <c r="F67" s="248" t="str">
        <f>IF(BDD!J64="", "", "X")</f>
        <v>X</v>
      </c>
      <c r="G67" s="248" t="str">
        <f>IF(BDD!K64="", "", "X")</f>
        <v/>
      </c>
      <c r="H67" s="248" t="str">
        <f>BDD!C64</f>
        <v>Taîlande</v>
      </c>
    </row>
    <row r="68" spans="1:8" ht="30" customHeight="1">
      <c r="A68" s="268" t="e">
        <f xml:space="preserve"> IF(#REF!=0, "",#REF!)</f>
        <v>#REF!</v>
      </c>
      <c r="B68" s="245" t="str">
        <f>BDD!B65</f>
        <v>Coing</v>
      </c>
      <c r="C68" s="246">
        <f>BDD!G65</f>
        <v>2.3199999999999998</v>
      </c>
      <c r="D68" s="247" t="str">
        <f>BDD!H65</f>
        <v>kg</v>
      </c>
      <c r="E68" s="248" t="str">
        <f>IF(BDD!I65="", "", "X")</f>
        <v>X</v>
      </c>
      <c r="F68" s="248" t="str">
        <f>IF(BDD!J65="", "", "X")</f>
        <v>X</v>
      </c>
      <c r="G68" s="248" t="str">
        <f>IF(BDD!K65="", "", "X")</f>
        <v/>
      </c>
      <c r="H68" s="248" t="str">
        <f>BDD!C65</f>
        <v>Malaga</v>
      </c>
    </row>
    <row r="69" spans="1:8" ht="30" customHeight="1">
      <c r="A69" s="268" t="e">
        <f xml:space="preserve"> IF(#REF!=0, "",#REF!)</f>
        <v>#REF!</v>
      </c>
      <c r="B69" s="245" t="str">
        <f>BDD!B66</f>
        <v>Concombre mini gourmet</v>
      </c>
      <c r="C69" s="246">
        <f>BDD!G66</f>
        <v>2.71</v>
      </c>
      <c r="D69" s="247" t="str">
        <f>BDD!H66</f>
        <v>kg</v>
      </c>
      <c r="E69" s="248" t="str">
        <f>IF(BDD!I66="", "", "X")</f>
        <v>X</v>
      </c>
      <c r="F69" s="248" t="str">
        <f>IF(BDD!J66="", "", "X")</f>
        <v>X</v>
      </c>
      <c r="G69" s="248" t="str">
        <f>IF(BDD!K66="", "", "X")</f>
        <v/>
      </c>
      <c r="H69" s="248" t="str">
        <f>BDD!C66</f>
        <v>Grenade</v>
      </c>
    </row>
    <row r="70" spans="1:8" ht="30" customHeight="1">
      <c r="A70" s="268" t="e">
        <f xml:space="preserve"> IF(#REF!=0, "",#REF!)</f>
        <v>#REF!</v>
      </c>
      <c r="B70" s="245" t="str">
        <f>BDD!B67</f>
        <v>Courge Butternut BIO</v>
      </c>
      <c r="C70" s="246">
        <f>BDD!G67</f>
        <v>1.63</v>
      </c>
      <c r="D70" s="247" t="str">
        <f>BDD!H67</f>
        <v>kg</v>
      </c>
      <c r="E70" s="248" t="str">
        <f>IF(BDD!I67="", "", "X")</f>
        <v>X</v>
      </c>
      <c r="F70" s="248" t="str">
        <f>IF(BDD!J67="", "", "X")</f>
        <v/>
      </c>
      <c r="G70" s="248" t="str">
        <f>IF(BDD!K67="", "", "X")</f>
        <v/>
      </c>
      <c r="H70" s="248" t="str">
        <f>BDD!C67</f>
        <v>Malaga</v>
      </c>
    </row>
    <row r="71" spans="1:8" ht="30" customHeight="1">
      <c r="A71" s="268" t="e">
        <f xml:space="preserve"> IF(#REF!=0, "",#REF!)</f>
        <v>#REF!</v>
      </c>
      <c r="B71" s="245" t="str">
        <f>BDD!B68</f>
        <v>Courgette BIO (2nd catégorie)</v>
      </c>
      <c r="C71" s="246">
        <f>BDD!G68</f>
        <v>3.14</v>
      </c>
      <c r="D71" s="247" t="str">
        <f>BDD!H68</f>
        <v>kg</v>
      </c>
      <c r="E71" s="248" t="str">
        <f>IF(BDD!I68="", "", "X")</f>
        <v>X</v>
      </c>
      <c r="F71" s="248" t="str">
        <f>IF(BDD!J68="", "", "X")</f>
        <v>X</v>
      </c>
      <c r="G71" s="248" t="str">
        <f>IF(BDD!K68="", "", "X")</f>
        <v>X</v>
      </c>
      <c r="H71" s="248" t="str">
        <f>BDD!C68</f>
        <v>Malaga</v>
      </c>
    </row>
    <row r="72" spans="1:8" ht="30" customHeight="1">
      <c r="A72" s="268" t="e">
        <f xml:space="preserve"> IF(#REF!=0, "",#REF!)</f>
        <v>#REF!</v>
      </c>
      <c r="B72" s="245" t="str">
        <f>BDD!B69</f>
        <v>Crackers déshydratés CRU BIO (env. 200g)
    - (tomate, tournesol, sarrasin, lin, oignons, ...)</v>
      </c>
      <c r="C72" s="246">
        <f>BDD!G69</f>
        <v>7.38</v>
      </c>
      <c r="D72" s="247" t="str">
        <f>BDD!H69</f>
        <v>Pièce</v>
      </c>
      <c r="E72" s="248" t="str">
        <f>IF(BDD!I69="", "", "X")</f>
        <v/>
      </c>
      <c r="F72" s="248" t="str">
        <f>IF(BDD!J69="", "", "X")</f>
        <v/>
      </c>
      <c r="G72" s="248" t="str">
        <f>IF(BDD!K69="", "", "X")</f>
        <v/>
      </c>
      <c r="H72" s="248" t="str">
        <f>BDD!C69</f>
        <v>Espagne</v>
      </c>
    </row>
    <row r="73" spans="1:8" ht="30" customHeight="1">
      <c r="A73" s="268" t="e">
        <f xml:space="preserve"> IF(#REF!=0, "",#REF!)</f>
        <v>#REF!</v>
      </c>
      <c r="B73" s="245" t="str">
        <f>BDD!B70</f>
        <v>Curcuma frais BIO (paquet 500g)</v>
      </c>
      <c r="C73" s="246">
        <f>BDD!G70</f>
        <v>9.56</v>
      </c>
      <c r="D73" s="247" t="str">
        <f>BDD!H70</f>
        <v>Pièce</v>
      </c>
      <c r="E73" s="248" t="str">
        <f>IF(BDD!I70="", "", "X")</f>
        <v>X</v>
      </c>
      <c r="F73" s="248" t="str">
        <f>IF(BDD!J70="", "", "X")</f>
        <v/>
      </c>
      <c r="G73" s="248" t="str">
        <f>IF(BDD!K70="", "", "X")</f>
        <v/>
      </c>
      <c r="H73" s="248" t="str">
        <f>BDD!C70</f>
        <v>Pérou</v>
      </c>
    </row>
    <row r="74" spans="1:8" ht="30" customHeight="1">
      <c r="A74" s="268" t="e">
        <f xml:space="preserve"> IF(#REF!=0, "",#REF!)</f>
        <v>#REF!</v>
      </c>
      <c r="B74" s="245" t="str">
        <f>BDD!B71</f>
        <v>Dattes Deglet Nour en rame BIO</v>
      </c>
      <c r="C74" s="246">
        <f>BDD!G71</f>
        <v>12.3</v>
      </c>
      <c r="D74" s="247" t="str">
        <f>BDD!H71</f>
        <v>kg</v>
      </c>
      <c r="E74" s="248" t="str">
        <f>IF(BDD!I71="", "", "X")</f>
        <v>X</v>
      </c>
      <c r="F74" s="248" t="str">
        <f>IF(BDD!J71="", "", "X")</f>
        <v>X</v>
      </c>
      <c r="G74" s="248" t="str">
        <f>IF(BDD!K71="", "", "X")</f>
        <v/>
      </c>
      <c r="H74" s="248" t="str">
        <f>BDD!C71</f>
        <v>Israël</v>
      </c>
    </row>
    <row r="75" spans="1:8" ht="30" customHeight="1">
      <c r="A75" s="268" t="e">
        <f xml:space="preserve"> IF(#REF!=0, "",#REF!)</f>
        <v>#REF!</v>
      </c>
      <c r="B75" s="245" t="str">
        <f>BDD!B72</f>
        <v>Dattes Deglet Nour sans rame BIO</v>
      </c>
      <c r="C75" s="246">
        <f>BDD!G72</f>
        <v>9.56</v>
      </c>
      <c r="D75" s="247" t="str">
        <f>BDD!H72</f>
        <v>kg</v>
      </c>
      <c r="E75" s="248" t="str">
        <f>IF(BDD!I72="", "", "X")</f>
        <v>X</v>
      </c>
      <c r="F75" s="248" t="str">
        <f>IF(BDD!J72="", "", "X")</f>
        <v>X</v>
      </c>
      <c r="G75" s="248" t="str">
        <f>IF(BDD!K72="", "", "X")</f>
        <v/>
      </c>
      <c r="H75" s="248" t="str">
        <f>BDD!C72</f>
        <v>Tunisie</v>
      </c>
    </row>
    <row r="76" spans="1:8" ht="30" customHeight="1">
      <c r="A76" s="268" t="e">
        <f xml:space="preserve"> IF(#REF!=0, "",#REF!)</f>
        <v>#REF!</v>
      </c>
      <c r="B76" s="245" t="str">
        <f>BDD!B73</f>
        <v>Dattes Deglet sans noyau BIO</v>
      </c>
      <c r="C76" s="246">
        <f>BDD!G73</f>
        <v>10.93</v>
      </c>
      <c r="D76" s="247" t="str">
        <f>BDD!H73</f>
        <v>kg</v>
      </c>
      <c r="E76" s="248" t="str">
        <f>IF(BDD!I73="", "", "X")</f>
        <v>X</v>
      </c>
      <c r="F76" s="248" t="str">
        <f>IF(BDD!J73="", "", "X")</f>
        <v/>
      </c>
      <c r="G76" s="248" t="str">
        <f>IF(BDD!K73="", "", "X")</f>
        <v/>
      </c>
      <c r="H76" s="248" t="str">
        <f>BDD!C73</f>
        <v>Tunisie</v>
      </c>
    </row>
    <row r="77" spans="1:8" ht="30" customHeight="1">
      <c r="A77" s="268" t="e">
        <f xml:space="preserve"> IF(#REF!=0, "",#REF!)</f>
        <v>#REF!</v>
      </c>
      <c r="B77" s="245" t="str">
        <f>BDD!B74</f>
        <v>Dattes Mazafati de Bam BIO (env. 250g)</v>
      </c>
      <c r="C77" s="246">
        <f>BDD!G74</f>
        <v>4.6399999999999997</v>
      </c>
      <c r="D77" s="247" t="str">
        <f>BDD!H74</f>
        <v>Pièce</v>
      </c>
      <c r="E77" s="248" t="str">
        <f>IF(BDD!I74="", "", "X")</f>
        <v>X</v>
      </c>
      <c r="F77" s="248" t="str">
        <f>IF(BDD!J74="", "", "X")</f>
        <v>X</v>
      </c>
      <c r="G77" s="248" t="str">
        <f>IF(BDD!K74="", "", "X")</f>
        <v>X</v>
      </c>
      <c r="H77" s="248" t="str">
        <f>BDD!C74</f>
        <v>Iran</v>
      </c>
    </row>
    <row r="78" spans="1:8" ht="30" customHeight="1">
      <c r="A78" s="268" t="e">
        <f xml:space="preserve"> IF(#REF!=0, "",#REF!)</f>
        <v>#REF!</v>
      </c>
      <c r="B78" s="245" t="str">
        <f>BDD!B75</f>
        <v>Dattes Medjool Jumbo semi-sèche BIO</v>
      </c>
      <c r="C78" s="246">
        <f>BDD!G75</f>
        <v>25.19</v>
      </c>
      <c r="D78" s="247" t="str">
        <f>BDD!H75</f>
        <v>kg</v>
      </c>
      <c r="E78" s="248" t="str">
        <f>IF(BDD!I75="", "", "X")</f>
        <v>X</v>
      </c>
      <c r="F78" s="248" t="str">
        <f>IF(BDD!J75="", "", "X")</f>
        <v/>
      </c>
      <c r="G78" s="248" t="str">
        <f>IF(BDD!K75="", "", "X")</f>
        <v/>
      </c>
      <c r="H78" s="248" t="str">
        <f>BDD!C75</f>
        <v>Israël</v>
      </c>
    </row>
    <row r="79" spans="1:8" ht="30" customHeight="1">
      <c r="A79" s="268" t="e">
        <f xml:space="preserve"> IF(#REF!=0, "",#REF!)</f>
        <v>#REF!</v>
      </c>
      <c r="B79" s="245" t="str">
        <f>BDD!B76</f>
        <v>Eau de mer micro-filtrée hypertonique
    - (n°1 : box 3L)</v>
      </c>
      <c r="C79" s="246">
        <f>BDD!G76</f>
        <v>7.47</v>
      </c>
      <c r="D79" s="247" t="str">
        <f>BDD!H76</f>
        <v>Pièce</v>
      </c>
      <c r="E79" s="248" t="str">
        <f>IF(BDD!I76="", "", "X")</f>
        <v/>
      </c>
      <c r="F79" s="248" t="str">
        <f>IF(BDD!J76="", "", "X")</f>
        <v/>
      </c>
      <c r="G79" s="248" t="str">
        <f>IF(BDD!K76="", "", "X")</f>
        <v/>
      </c>
      <c r="H79" s="248" t="str">
        <f>BDD!C76</f>
        <v>Ibiza</v>
      </c>
    </row>
    <row r="80" spans="1:8" ht="30" customHeight="1">
      <c r="A80" s="268" t="e">
        <f xml:space="preserve"> IF(#REF!=0, "",#REF!)</f>
        <v>#REF!</v>
      </c>
      <c r="B80" s="245" t="str">
        <f>BDD!B77</f>
        <v>Eau de mer micro-filtrée hypertonique
    - (n°2 : box 11L)</v>
      </c>
      <c r="C80" s="246">
        <f>BDD!G77</f>
        <v>30</v>
      </c>
      <c r="D80" s="247" t="str">
        <f>BDD!H77</f>
        <v>Pièce</v>
      </c>
      <c r="E80" s="248" t="str">
        <f>IF(BDD!I77="", "", "X")</f>
        <v/>
      </c>
      <c r="F80" s="248" t="str">
        <f>IF(BDD!J77="", "", "X")</f>
        <v/>
      </c>
      <c r="G80" s="248" t="str">
        <f>IF(BDD!K77="", "", "X")</f>
        <v/>
      </c>
      <c r="H80" s="248" t="str">
        <f>BDD!C77</f>
        <v>Ibiza</v>
      </c>
    </row>
    <row r="81" spans="1:8" ht="30" customHeight="1">
      <c r="A81" s="268" t="e">
        <f xml:space="preserve"> IF(#REF!=0, "",#REF!)</f>
        <v>#REF!</v>
      </c>
      <c r="B81" s="245" t="str">
        <f>BDD!B78</f>
        <v>Eau de mer micro-filtrée hypertonique
    - (n°3 : box 20L)</v>
      </c>
      <c r="C81" s="246">
        <f>BDD!G78</f>
        <v>45</v>
      </c>
      <c r="D81" s="247" t="str">
        <f>BDD!H78</f>
        <v>Pièce</v>
      </c>
      <c r="E81" s="248" t="str">
        <f>IF(BDD!I78="", "", "X")</f>
        <v/>
      </c>
      <c r="F81" s="248" t="str">
        <f>IF(BDD!J78="", "", "X")</f>
        <v/>
      </c>
      <c r="G81" s="248" t="str">
        <f>IF(BDD!K78="", "", "X")</f>
        <v/>
      </c>
      <c r="H81" s="248" t="str">
        <f>BDD!C78</f>
        <v>Ibiza</v>
      </c>
    </row>
    <row r="82" spans="1:8" ht="30" customHeight="1">
      <c r="A82" s="268" t="e">
        <f xml:space="preserve"> IF(#REF!=0, "",#REF!)</f>
        <v>#REF!</v>
      </c>
      <c r="B82" s="245" t="str">
        <f>BDD!B79</f>
        <v>Epi de maïs doux frais</v>
      </c>
      <c r="C82" s="246">
        <f>BDD!G79</f>
        <v>1.34</v>
      </c>
      <c r="D82" s="247" t="str">
        <f>BDD!H79</f>
        <v>Pièce</v>
      </c>
      <c r="E82" s="248" t="str">
        <f>IF(BDD!I79="", "", "X")</f>
        <v/>
      </c>
      <c r="F82" s="248" t="str">
        <f>IF(BDD!J79="", "", "X")</f>
        <v/>
      </c>
      <c r="G82" s="248" t="str">
        <f>IF(BDD!K79="", "", "X")</f>
        <v/>
      </c>
      <c r="H82" s="248" t="str">
        <f>BDD!C79</f>
        <v>Malaga</v>
      </c>
    </row>
    <row r="83" spans="1:8" ht="30" customHeight="1">
      <c r="A83" s="268" t="e">
        <f xml:space="preserve"> IF(#REF!=0, "",#REF!)</f>
        <v>#REF!</v>
      </c>
      <c r="B83" s="245" t="str">
        <f>BDD!B80</f>
        <v>Extracteur de jus ANGEL 5500</v>
      </c>
      <c r="C83" s="246">
        <f>BDD!G80</f>
        <v>1000</v>
      </c>
      <c r="D83" s="247" t="str">
        <f>BDD!H80</f>
        <v>Pièce</v>
      </c>
      <c r="E83" s="248" t="str">
        <f>IF(BDD!I80="", "", "X")</f>
        <v/>
      </c>
      <c r="F83" s="248" t="str">
        <f>IF(BDD!J80="", "", "X")</f>
        <v/>
      </c>
      <c r="G83" s="248" t="str">
        <f>IF(BDD!K80="", "", "X")</f>
        <v/>
      </c>
      <c r="H83" s="248" t="str">
        <f>BDD!C80</f>
        <v>Union européenne</v>
      </c>
    </row>
    <row r="84" spans="1:8" ht="30" customHeight="1">
      <c r="A84" s="268" t="e">
        <f xml:space="preserve"> IF(#REF!=0, "",#REF!)</f>
        <v>#REF!</v>
      </c>
      <c r="B84" s="245" t="str">
        <f>BDD!B81</f>
        <v>Fane de Betterave Baby BIO
    - (Production de Rufino)</v>
      </c>
      <c r="C84" s="246">
        <f>BDD!G81</f>
        <v>5.19</v>
      </c>
      <c r="D84" s="247" t="str">
        <f>BDD!H81</f>
        <v>kg</v>
      </c>
      <c r="E84" s="248" t="str">
        <f>IF(BDD!I81="", "", "X")</f>
        <v/>
      </c>
      <c r="F84" s="248" t="str">
        <f>IF(BDD!J81="", "", "X")</f>
        <v/>
      </c>
      <c r="G84" s="248" t="str">
        <f>IF(BDD!K81="", "", "X")</f>
        <v/>
      </c>
      <c r="H84" s="248" t="str">
        <f>BDD!C81</f>
        <v>Grenade</v>
      </c>
    </row>
    <row r="85" spans="1:8" ht="30" customHeight="1">
      <c r="A85" s="268" t="e">
        <f xml:space="preserve"> IF(#REF!=0, "",#REF!)</f>
        <v>#REF!</v>
      </c>
      <c r="B85" s="245" t="str">
        <f>BDD!B82</f>
        <v>Fane de betterave BIO (production Rufino)</v>
      </c>
      <c r="C85" s="246">
        <f>BDD!G82</f>
        <v>5.19</v>
      </c>
      <c r="D85" s="247" t="str">
        <f>BDD!H82</f>
        <v>kg</v>
      </c>
      <c r="E85" s="248" t="str">
        <f>IF(BDD!I82="", "", "X")</f>
        <v/>
      </c>
      <c r="F85" s="248" t="str">
        <f>IF(BDD!J82="", "", "X")</f>
        <v/>
      </c>
      <c r="G85" s="248" t="str">
        <f>IF(BDD!K82="", "", "X")</f>
        <v/>
      </c>
      <c r="H85" s="248" t="str">
        <f>BDD!C82</f>
        <v>Grenade</v>
      </c>
    </row>
    <row r="86" spans="1:8" ht="30" customHeight="1">
      <c r="A86" s="268" t="e">
        <f xml:space="preserve"> IF(#REF!=0, "",#REF!)</f>
        <v>#REF!</v>
      </c>
      <c r="B86" s="245" t="str">
        <f>BDD!B83</f>
        <v>Farine de coco (env. 1kg)</v>
      </c>
      <c r="C86" s="246">
        <f>BDD!G83</f>
        <v>8.48</v>
      </c>
      <c r="D86" s="247" t="str">
        <f>BDD!H83</f>
        <v>Pièce</v>
      </c>
      <c r="E86" s="248" t="str">
        <f>IF(BDD!I83="", "", "X")</f>
        <v/>
      </c>
      <c r="F86" s="248" t="str">
        <f>IF(BDD!J83="", "", "X")</f>
        <v/>
      </c>
      <c r="G86" s="248" t="str">
        <f>IF(BDD!K83="", "", "X")</f>
        <v/>
      </c>
      <c r="H86" s="248" t="str">
        <f>BDD!C83</f>
        <v>Sri Lanka</v>
      </c>
    </row>
    <row r="87" spans="1:8" ht="30" customHeight="1">
      <c r="A87" s="268" t="e">
        <f xml:space="preserve"> IF(#REF!=0, "",#REF!)</f>
        <v>#REF!</v>
      </c>
      <c r="B87" s="245" t="str">
        <f>BDD!B84</f>
        <v>Fenugrec en graines BIO (env. 500g)</v>
      </c>
      <c r="C87" s="246">
        <f>BDD!G84</f>
        <v>12.3</v>
      </c>
      <c r="D87" s="247" t="str">
        <f>BDD!H84</f>
        <v>Pièce</v>
      </c>
      <c r="E87" s="248" t="str">
        <f>IF(BDD!I84="", "", "X")</f>
        <v/>
      </c>
      <c r="F87" s="248" t="str">
        <f>IF(BDD!J84="", "", "X")</f>
        <v/>
      </c>
      <c r="G87" s="248" t="str">
        <f>IF(BDD!K84="", "", "X")</f>
        <v/>
      </c>
      <c r="H87" s="248" t="str">
        <f>BDD!C84</f>
        <v>Égypte</v>
      </c>
    </row>
    <row r="88" spans="1:8" ht="30" customHeight="1">
      <c r="A88" s="268" t="e">
        <f xml:space="preserve"> IF(#REF!=0, "",#REF!)</f>
        <v>#REF!</v>
      </c>
      <c r="B88" s="245" t="str">
        <f>BDD!B85</f>
        <v>Fève de Cacao entière CRU BIO (env. 1kg)</v>
      </c>
      <c r="C88" s="246">
        <f>BDD!G85</f>
        <v>21.89</v>
      </c>
      <c r="D88" s="247" t="str">
        <f>BDD!H85</f>
        <v>Pièce</v>
      </c>
      <c r="E88" s="248" t="str">
        <f>IF(BDD!I85="", "", "X")</f>
        <v>X</v>
      </c>
      <c r="F88" s="248" t="str">
        <f>IF(BDD!J85="", "", "X")</f>
        <v/>
      </c>
      <c r="G88" s="248" t="str">
        <f>IF(BDD!K85="", "", "X")</f>
        <v/>
      </c>
      <c r="H88" s="248" t="str">
        <f>BDD!C85</f>
        <v>Pérou</v>
      </c>
    </row>
    <row r="89" spans="1:8" ht="30" customHeight="1">
      <c r="A89" s="268" t="e">
        <f xml:space="preserve"> IF(#REF!=0, "",#REF!)</f>
        <v>#REF!</v>
      </c>
      <c r="B89" s="245" t="str">
        <f>BDD!B86</f>
        <v>Figue de Barbarie</v>
      </c>
      <c r="C89" s="246">
        <f>BDD!G86</f>
        <v>6.7</v>
      </c>
      <c r="D89" s="247" t="str">
        <f>BDD!H86</f>
        <v>kg</v>
      </c>
      <c r="E89" s="248" t="str">
        <f>IF(BDD!I86="", "", "X")</f>
        <v>X</v>
      </c>
      <c r="F89" s="248" t="str">
        <f>IF(BDD!J86="", "", "X")</f>
        <v>X</v>
      </c>
      <c r="G89" s="248" t="str">
        <f>IF(BDD!K86="", "", "X")</f>
        <v/>
      </c>
      <c r="H89" s="248" t="str">
        <f>BDD!C86</f>
        <v>Grenade</v>
      </c>
    </row>
    <row r="90" spans="1:8" ht="30" customHeight="1">
      <c r="A90" s="268" t="e">
        <f xml:space="preserve"> IF(#REF!=0, "",#REF!)</f>
        <v>#REF!</v>
      </c>
      <c r="B90" s="245" t="str">
        <f>BDD!B87</f>
        <v>Figues sèches BIO</v>
      </c>
      <c r="C90" s="246">
        <f>BDD!G87</f>
        <v>11.63</v>
      </c>
      <c r="D90" s="247" t="str">
        <f>BDD!H87</f>
        <v>kg</v>
      </c>
      <c r="E90" s="248" t="str">
        <f>IF(BDD!I87="", "", "X")</f>
        <v>X</v>
      </c>
      <c r="F90" s="248" t="str">
        <f>IF(BDD!J87="", "", "X")</f>
        <v/>
      </c>
      <c r="G90" s="248" t="str">
        <f>IF(BDD!K87="", "", "X")</f>
        <v/>
      </c>
      <c r="H90" s="248" t="str">
        <f>BDD!C87</f>
        <v>Turquie</v>
      </c>
    </row>
    <row r="91" spans="1:8" ht="30" customHeight="1">
      <c r="A91" s="268" t="e">
        <f xml:space="preserve"> IF(#REF!=0, "",#REF!)</f>
        <v>#REF!</v>
      </c>
      <c r="B91" s="245" t="str">
        <f>BDD!B88</f>
        <v>Fruits du Baobab en poudre BIO</v>
      </c>
      <c r="C91" s="246">
        <f>BDD!G88</f>
        <v>36.5</v>
      </c>
      <c r="D91" s="247" t="str">
        <f>BDD!H88</f>
        <v>kg</v>
      </c>
      <c r="E91" s="248" t="str">
        <f>IF(BDD!I88="", "", "X")</f>
        <v/>
      </c>
      <c r="F91" s="248" t="str">
        <f>IF(BDD!J88="", "", "X")</f>
        <v/>
      </c>
      <c r="G91" s="248" t="str">
        <f>IF(BDD!K88="", "", "X")</f>
        <v/>
      </c>
      <c r="H91" s="248" t="str">
        <f>BDD!C88</f>
        <v>Import</v>
      </c>
    </row>
    <row r="92" spans="1:8" ht="30" customHeight="1">
      <c r="A92" s="268" t="e">
        <f xml:space="preserve"> IF(#REF!=0, "",#REF!)</f>
        <v>#REF!</v>
      </c>
      <c r="B92" s="245" t="str">
        <f>BDD!B89</f>
        <v>Gingembre BIO</v>
      </c>
      <c r="C92" s="246">
        <f>BDD!G89</f>
        <v>7.25</v>
      </c>
      <c r="D92" s="247" t="str">
        <f>BDD!H89</f>
        <v>kg</v>
      </c>
      <c r="E92" s="248" t="str">
        <f>IF(BDD!I89="", "", "X")</f>
        <v>X</v>
      </c>
      <c r="F92" s="248" t="str">
        <f>IF(BDD!J89="", "", "X")</f>
        <v>X</v>
      </c>
      <c r="G92" s="248" t="str">
        <f>IF(BDD!K89="", "", "X")</f>
        <v/>
      </c>
      <c r="H92" s="248" t="str">
        <f>BDD!C89</f>
        <v>Pérou</v>
      </c>
    </row>
    <row r="93" spans="1:8" ht="30" customHeight="1">
      <c r="A93" s="268" t="e">
        <f xml:space="preserve"> IF(#REF!=0, "",#REF!)</f>
        <v>#REF!</v>
      </c>
      <c r="B93" s="245" t="str">
        <f>BDD!B90</f>
        <v>Goyave</v>
      </c>
      <c r="C93" s="246">
        <f>BDD!G90</f>
        <v>4.08</v>
      </c>
      <c r="D93" s="247" t="str">
        <f>BDD!H90</f>
        <v>kg</v>
      </c>
      <c r="E93" s="248" t="str">
        <f>IF(BDD!I90="", "", "X")</f>
        <v>X</v>
      </c>
      <c r="F93" s="248" t="str">
        <f>IF(BDD!J90="", "", "X")</f>
        <v>X</v>
      </c>
      <c r="G93" s="248" t="str">
        <f>IF(BDD!K90="", "", "X")</f>
        <v>X</v>
      </c>
      <c r="H93" s="248" t="str">
        <f>BDD!C90</f>
        <v>Grenade</v>
      </c>
    </row>
    <row r="94" spans="1:8" ht="30" customHeight="1">
      <c r="A94" s="268" t="e">
        <f xml:space="preserve"> IF(#REF!=0, "",#REF!)</f>
        <v>#REF!</v>
      </c>
      <c r="B94" s="245" t="str">
        <f>BDD!B91</f>
        <v>Graines de chanvre pelées CRU BIO
    - (env. 1 kg)</v>
      </c>
      <c r="C94" s="246">
        <f>BDD!G91</f>
        <v>17.78</v>
      </c>
      <c r="D94" s="247" t="str">
        <f>BDD!H91</f>
        <v>kg</v>
      </c>
      <c r="E94" s="248" t="str">
        <f>IF(BDD!I91="", "", "X")</f>
        <v>X</v>
      </c>
      <c r="F94" s="248" t="str">
        <f>IF(BDD!J91="", "", "X")</f>
        <v/>
      </c>
      <c r="G94" s="248" t="str">
        <f>IF(BDD!K91="", "", "X")</f>
        <v/>
      </c>
      <c r="H94" s="248" t="str">
        <f>BDD!C91</f>
        <v>Chine</v>
      </c>
    </row>
    <row r="95" spans="1:8" ht="30" customHeight="1">
      <c r="A95" s="268" t="e">
        <f xml:space="preserve"> IF(#REF!=0, "",#REF!)</f>
        <v>#REF!</v>
      </c>
      <c r="B95" s="245" t="str">
        <f>BDD!B92</f>
        <v>Graines de tournesol sans coque CRU BIO
    - (env. 1kg)</v>
      </c>
      <c r="C95" s="246">
        <f>BDD!G92</f>
        <v>4.51</v>
      </c>
      <c r="D95" s="247" t="str">
        <f>BDD!H92</f>
        <v>kg</v>
      </c>
      <c r="E95" s="248" t="str">
        <f>IF(BDD!I92="", "", "X")</f>
        <v>X</v>
      </c>
      <c r="F95" s="248" t="str">
        <f>IF(BDD!J92="", "", "X")</f>
        <v>X</v>
      </c>
      <c r="G95" s="248" t="str">
        <f>IF(BDD!K92="", "", "X")</f>
        <v/>
      </c>
      <c r="H95" s="248" t="str">
        <f>BDD!C92</f>
        <v>Bulgarie</v>
      </c>
    </row>
    <row r="96" spans="1:8" ht="30" customHeight="1">
      <c r="A96" s="268" t="e">
        <f xml:space="preserve"> IF(#REF!=0, "",#REF!)</f>
        <v>#REF!</v>
      </c>
      <c r="B96" s="245" t="str">
        <f>BDD!B93</f>
        <v>Graines de tournesol sans coque CRU BIO
    - (env. 500g)</v>
      </c>
      <c r="C96" s="246">
        <f>BDD!G93</f>
        <v>2.95</v>
      </c>
      <c r="D96" s="247" t="str">
        <f>BDD!H93</f>
        <v>Pièce</v>
      </c>
      <c r="E96" s="248" t="str">
        <f>IF(BDD!I93="", "", "X")</f>
        <v/>
      </c>
      <c r="F96" s="248" t="str">
        <f>IF(BDD!J93="", "", "X")</f>
        <v/>
      </c>
      <c r="G96" s="248" t="str">
        <f>IF(BDD!K93="", "", "X")</f>
        <v/>
      </c>
      <c r="H96" s="248" t="str">
        <f>BDD!C93</f>
        <v>Bulgarie</v>
      </c>
    </row>
    <row r="97" spans="1:8" ht="30" customHeight="1">
      <c r="A97" s="268" t="e">
        <f xml:space="preserve"> IF(#REF!=0, "",#REF!)</f>
        <v>#REF!</v>
      </c>
      <c r="B97" s="245" t="str">
        <f>BDD!B94</f>
        <v>Grenade</v>
      </c>
      <c r="C97" s="246">
        <f>BDD!G94</f>
        <v>2.4500000000000002</v>
      </c>
      <c r="D97" s="247" t="str">
        <f>BDD!H94</f>
        <v>kg</v>
      </c>
      <c r="E97" s="248" t="str">
        <f>IF(BDD!I94="", "", "X")</f>
        <v>X</v>
      </c>
      <c r="F97" s="248" t="str">
        <f>IF(BDD!J94="", "", "X")</f>
        <v>X</v>
      </c>
      <c r="G97" s="248" t="str">
        <f>IF(BDD!K94="", "", "X")</f>
        <v>X</v>
      </c>
      <c r="H97" s="248" t="str">
        <f>BDD!C94</f>
        <v>Grenade</v>
      </c>
    </row>
    <row r="98" spans="1:8" ht="30" customHeight="1">
      <c r="A98" s="268" t="e">
        <f xml:space="preserve"> IF(#REF!=0, "",#REF!)</f>
        <v>#REF!</v>
      </c>
      <c r="B98" s="245" t="str">
        <f>BDD!B95</f>
        <v>Grenade BIO</v>
      </c>
      <c r="C98" s="246">
        <f>BDD!G95</f>
        <v>3</v>
      </c>
      <c r="D98" s="247" t="str">
        <f>BDD!H95</f>
        <v>kg</v>
      </c>
      <c r="E98" s="248" t="str">
        <f>IF(BDD!I95="", "", "X")</f>
        <v>X</v>
      </c>
      <c r="F98" s="248" t="str">
        <f>IF(BDD!J95="", "", "X")</f>
        <v>X</v>
      </c>
      <c r="G98" s="248" t="str">
        <f>IF(BDD!K95="", "", "X")</f>
        <v>X</v>
      </c>
      <c r="H98" s="248" t="str">
        <f>BDD!C95</f>
        <v>Grenade</v>
      </c>
    </row>
    <row r="99" spans="1:8" ht="30" customHeight="1">
      <c r="A99" s="268" t="e">
        <f xml:space="preserve"> IF(#REF!=0, "",#REF!)</f>
        <v>#REF!</v>
      </c>
      <c r="B99" s="245" t="str">
        <f>BDD!B96</f>
        <v xml:space="preserve">Grenade Purple Queen BIO </v>
      </c>
      <c r="C99" s="246">
        <f>BDD!G96</f>
        <v>3.27</v>
      </c>
      <c r="D99" s="247" t="str">
        <f>BDD!H96</f>
        <v>kg</v>
      </c>
      <c r="E99" s="248" t="str">
        <f>IF(BDD!I96="", "", "X")</f>
        <v>X</v>
      </c>
      <c r="F99" s="248" t="str">
        <f>IF(BDD!J96="", "", "X")</f>
        <v>X</v>
      </c>
      <c r="G99" s="248" t="str">
        <f>IF(BDD!K96="", "", "X")</f>
        <v>X</v>
      </c>
      <c r="H99" s="248" t="str">
        <f>BDD!C96</f>
        <v>Malaga</v>
      </c>
    </row>
    <row r="100" spans="1:8" ht="30" customHeight="1">
      <c r="A100" s="268" t="e">
        <f xml:space="preserve"> IF(#REF!=0, "",#REF!)</f>
        <v>#REF!</v>
      </c>
      <c r="B100" s="245" t="str">
        <f>BDD!B97</f>
        <v>Huile d'olive Alorena 1L BIO</v>
      </c>
      <c r="C100" s="246">
        <f>BDD!G97</f>
        <v>9.3000000000000007</v>
      </c>
      <c r="D100" s="247" t="str">
        <f>BDD!H97</f>
        <v>kg</v>
      </c>
      <c r="E100" s="248" t="str">
        <f>IF(BDD!I97="", "", "X")</f>
        <v/>
      </c>
      <c r="F100" s="248" t="str">
        <f>IF(BDD!J97="", "", "X")</f>
        <v/>
      </c>
      <c r="G100" s="248" t="str">
        <f>IF(BDD!K97="", "", "X")</f>
        <v/>
      </c>
      <c r="H100" s="248" t="str">
        <f>BDD!C97</f>
        <v>Malaga</v>
      </c>
    </row>
    <row r="101" spans="1:8" ht="30" customHeight="1">
      <c r="A101" s="268" t="e">
        <f xml:space="preserve"> IF(#REF!=0, "",#REF!)</f>
        <v>#REF!</v>
      </c>
      <c r="B101" s="245" t="str">
        <f>BDD!B98</f>
        <v>Huile d'olive Aloreña 5L BIO</v>
      </c>
      <c r="C101" s="246">
        <f>BDD!G98</f>
        <v>41.07</v>
      </c>
      <c r="D101" s="247" t="str">
        <f>BDD!H98</f>
        <v>5l</v>
      </c>
      <c r="E101" s="248" t="str">
        <f>IF(BDD!I98="", "", "X")</f>
        <v/>
      </c>
      <c r="F101" s="248" t="str">
        <f>IF(BDD!J98="", "", "X")</f>
        <v/>
      </c>
      <c r="G101" s="248" t="str">
        <f>IF(BDD!K98="", "", "X")</f>
        <v/>
      </c>
      <c r="H101" s="248" t="str">
        <f>BDD!C98</f>
        <v>Malaga</v>
      </c>
    </row>
    <row r="102" spans="1:8" ht="30" customHeight="1">
      <c r="A102" s="268" t="e">
        <f xml:space="preserve"> IF(#REF!=0, "",#REF!)</f>
        <v>#REF!</v>
      </c>
      <c r="B102" s="245" t="str">
        <f>BDD!B99</f>
        <v>Kaki différentes variétés
    - (persimon, rouge brillant, tomatero)</v>
      </c>
      <c r="C102" s="246">
        <f>BDD!G99</f>
        <v>3.27</v>
      </c>
      <c r="D102" s="247" t="str">
        <f>BDD!H99</f>
        <v>kg</v>
      </c>
      <c r="E102" s="248" t="str">
        <f>IF(BDD!I99="", "", "X")</f>
        <v>X</v>
      </c>
      <c r="F102" s="248" t="str">
        <f>IF(BDD!J99="", "", "X")</f>
        <v>X</v>
      </c>
      <c r="G102" s="248" t="str">
        <f>IF(BDD!K99="", "", "X")</f>
        <v/>
      </c>
      <c r="H102" s="248" t="str">
        <f>BDD!C99</f>
        <v>Grenade</v>
      </c>
    </row>
    <row r="103" spans="1:8" ht="30" customHeight="1">
      <c r="A103" s="268" t="e">
        <f xml:space="preserve"> IF(#REF!=0, "",#REF!)</f>
        <v>#REF!</v>
      </c>
      <c r="B103" s="245" t="str">
        <f>BDD!B100</f>
        <v>Kaki Fuyu</v>
      </c>
      <c r="C103" s="246">
        <f>BDD!G100</f>
        <v>3.69</v>
      </c>
      <c r="D103" s="247" t="str">
        <f>BDD!H100</f>
        <v>kg</v>
      </c>
      <c r="E103" s="248" t="str">
        <f>IF(BDD!I100="", "", "X")</f>
        <v>X</v>
      </c>
      <c r="F103" s="248" t="str">
        <f>IF(BDD!J100="", "", "X")</f>
        <v>X</v>
      </c>
      <c r="G103" s="248" t="str">
        <f>IF(BDD!K100="", "", "X")</f>
        <v>X</v>
      </c>
      <c r="H103" s="248" t="str">
        <f>BDD!C100</f>
        <v>Grenade</v>
      </c>
    </row>
    <row r="104" spans="1:8" ht="30" customHeight="1">
      <c r="A104" s="268" t="e">
        <f xml:space="preserve"> IF(#REF!=0, "",#REF!)</f>
        <v>#REF!</v>
      </c>
      <c r="B104" s="245" t="str">
        <f>BDD!B101</f>
        <v xml:space="preserve">Kiwi </v>
      </c>
      <c r="C104" s="246">
        <f>BDD!G101</f>
        <v>5.45</v>
      </c>
      <c r="D104" s="247" t="str">
        <f>BDD!H101</f>
        <v>kg</v>
      </c>
      <c r="E104" s="248" t="str">
        <f>IF(BDD!I101="", "", "X")</f>
        <v>X</v>
      </c>
      <c r="F104" s="248" t="str">
        <f>IF(BDD!J101="", "", "X")</f>
        <v>X</v>
      </c>
      <c r="G104" s="248" t="str">
        <f>IF(BDD!K101="", "", "X")</f>
        <v/>
      </c>
      <c r="H104" s="248" t="str">
        <f>BDD!C101</f>
        <v>Grenade</v>
      </c>
    </row>
    <row r="105" spans="1:8" ht="30" customHeight="1">
      <c r="A105" s="268" t="e">
        <f xml:space="preserve"> IF(#REF!=0, "",#REF!)</f>
        <v>#REF!</v>
      </c>
      <c r="B105" s="245" t="str">
        <f>BDD!B102</f>
        <v>Kiwi  BIO</v>
      </c>
      <c r="C105" s="246">
        <f>BDD!G102</f>
        <v>6.01</v>
      </c>
      <c r="D105" s="247" t="str">
        <f>BDD!H102</f>
        <v>kg</v>
      </c>
      <c r="E105" s="248" t="str">
        <f>IF(BDD!I102="", "", "X")</f>
        <v>X</v>
      </c>
      <c r="F105" s="248" t="str">
        <f>IF(BDD!J102="", "", "X")</f>
        <v>X</v>
      </c>
      <c r="G105" s="248" t="str">
        <f>IF(BDD!K102="", "", "X")</f>
        <v/>
      </c>
      <c r="H105" s="248" t="str">
        <f>BDD!C102</f>
        <v>Portugal</v>
      </c>
    </row>
    <row r="106" spans="1:8" ht="30" customHeight="1">
      <c r="A106" s="268" t="e">
        <f xml:space="preserve"> IF(#REF!=0, "",#REF!)</f>
        <v>#REF!</v>
      </c>
      <c r="B106" s="245" t="str">
        <f>BDD!B103</f>
        <v>Kiwi Sun Gold</v>
      </c>
      <c r="C106" s="246">
        <f>BDD!G103</f>
        <v>9.44</v>
      </c>
      <c r="D106" s="247" t="str">
        <f>BDD!H103</f>
        <v>kg</v>
      </c>
      <c r="E106" s="248" t="str">
        <f>IF(BDD!I103="", "", "X")</f>
        <v/>
      </c>
      <c r="F106" s="248" t="str">
        <f>IF(BDD!J103="", "", "X")</f>
        <v/>
      </c>
      <c r="G106" s="248" t="str">
        <f>IF(BDD!K103="", "", "X")</f>
        <v/>
      </c>
      <c r="H106" s="248" t="str">
        <f>BDD!C103</f>
        <v>Nouvelle
Zélande</v>
      </c>
    </row>
    <row r="107" spans="1:8" ht="30" customHeight="1">
      <c r="A107" s="268" t="e">
        <f xml:space="preserve"> IF(#REF!=0, "",#REF!)</f>
        <v>#REF!</v>
      </c>
      <c r="B107" s="245" t="str">
        <f>BDD!B104</f>
        <v>Lait de coco en poudre CRU BIO (1kg)</v>
      </c>
      <c r="C107" s="246">
        <f>BDD!G104</f>
        <v>34.22</v>
      </c>
      <c r="D107" s="247" t="str">
        <f>BDD!H104</f>
        <v>kg</v>
      </c>
      <c r="E107" s="248" t="str">
        <f>IF(BDD!I104="", "", "X")</f>
        <v>X</v>
      </c>
      <c r="F107" s="248" t="str">
        <f>IF(BDD!J104="", "", "X")</f>
        <v/>
      </c>
      <c r="G107" s="248" t="str">
        <f>IF(BDD!K104="", "", "X")</f>
        <v/>
      </c>
      <c r="H107" s="248" t="str">
        <f>BDD!C104</f>
        <v>Sri Lanka</v>
      </c>
    </row>
    <row r="108" spans="1:8" ht="30" customHeight="1">
      <c r="A108" s="268" t="e">
        <f xml:space="preserve"> IF(#REF!=0, "",#REF!)</f>
        <v>#REF!</v>
      </c>
      <c r="B108" s="245" t="str">
        <f>BDD!B105</f>
        <v>Lait de coco en poudre CRU BIO (500g)</v>
      </c>
      <c r="C108" s="246">
        <f>BDD!G105</f>
        <v>17.78</v>
      </c>
      <c r="D108" s="247" t="str">
        <f>BDD!H105</f>
        <v>kg</v>
      </c>
      <c r="E108" s="248" t="str">
        <f>IF(BDD!I105="", "", "X")</f>
        <v/>
      </c>
      <c r="F108" s="248" t="str">
        <f>IF(BDD!J105="", "", "X")</f>
        <v/>
      </c>
      <c r="G108" s="248" t="str">
        <f>IF(BDD!K105="", "", "X")</f>
        <v/>
      </c>
      <c r="H108" s="248" t="str">
        <f>BDD!C105</f>
        <v>Sri Lanka</v>
      </c>
    </row>
    <row r="109" spans="1:8" ht="30" customHeight="1">
      <c r="A109" s="268" t="e">
        <f xml:space="preserve"> IF(#REF!=0, "",#REF!)</f>
        <v>#REF!</v>
      </c>
      <c r="B109" s="245" t="str">
        <f>BDD!B106</f>
        <v>Lima-Limon BIO (entre citron vert et jaune)
    - (Variété indienne)</v>
      </c>
      <c r="C109" s="246">
        <f>BDD!G106</f>
        <v>3.14</v>
      </c>
      <c r="D109" s="247" t="str">
        <f>BDD!H106</f>
        <v>kg</v>
      </c>
      <c r="E109" s="248" t="str">
        <f>IF(BDD!I106="", "", "X")</f>
        <v>X</v>
      </c>
      <c r="F109" s="248" t="str">
        <f>IF(BDD!J106="", "", "X")</f>
        <v>X</v>
      </c>
      <c r="G109" s="248" t="str">
        <f>IF(BDD!K106="", "", "X")</f>
        <v>X</v>
      </c>
      <c r="H109" s="248" t="str">
        <f>BDD!C106</f>
        <v>Malaga</v>
      </c>
    </row>
    <row r="110" spans="1:8" ht="30" customHeight="1">
      <c r="A110" s="268" t="e">
        <f xml:space="preserve"> IF(#REF!=0, "",#REF!)</f>
        <v>#REF!</v>
      </c>
      <c r="B110" s="245" t="str">
        <f>BDD!B107</f>
        <v>Lucuma cru en poudre CRU BIO (env. 1 kg)</v>
      </c>
      <c r="C110" s="246">
        <f>BDD!G107</f>
        <v>30.11</v>
      </c>
      <c r="D110" s="247" t="str">
        <f>BDD!H107</f>
        <v>Pièce</v>
      </c>
      <c r="E110" s="248" t="str">
        <f>IF(BDD!I107="", "", "X")</f>
        <v/>
      </c>
      <c r="F110" s="248" t="str">
        <f>IF(BDD!J107="", "", "X")</f>
        <v/>
      </c>
      <c r="G110" s="248" t="str">
        <f>IF(BDD!K107="", "", "X")</f>
        <v/>
      </c>
      <c r="H110" s="248" t="str">
        <f>BDD!C107</f>
        <v>Pérou</v>
      </c>
    </row>
    <row r="111" spans="1:8" ht="30" customHeight="1">
      <c r="A111" s="268" t="e">
        <f xml:space="preserve"> IF(#REF!=0, "",#REF!)</f>
        <v>#REF!</v>
      </c>
      <c r="B111" s="245" t="str">
        <f>BDD!B108</f>
        <v>Maca brute en poudre CRU BIO (env. 1kg)</v>
      </c>
      <c r="C111" s="246">
        <f>BDD!G108</f>
        <v>16.41</v>
      </c>
      <c r="D111" s="247" t="str">
        <f>BDD!H108</f>
        <v>Pièce</v>
      </c>
      <c r="E111" s="248" t="str">
        <f>IF(BDD!I108="", "", "X")</f>
        <v>X</v>
      </c>
      <c r="F111" s="248" t="str">
        <f>IF(BDD!J108="", "", "X")</f>
        <v/>
      </c>
      <c r="G111" s="248" t="str">
        <f>IF(BDD!K108="", "", "X")</f>
        <v/>
      </c>
      <c r="H111" s="248" t="str">
        <f>BDD!C108</f>
        <v>Pérou</v>
      </c>
    </row>
    <row r="112" spans="1:8" ht="30" customHeight="1">
      <c r="A112" s="268" t="e">
        <f xml:space="preserve"> IF(#REF!=0, "",#REF!)</f>
        <v>#REF!</v>
      </c>
      <c r="B112" s="245" t="str">
        <f>BDD!B109</f>
        <v>Maca brute en poudre CRU BIO (env. 500g)</v>
      </c>
      <c r="C112" s="246">
        <f>BDD!G109</f>
        <v>8.89</v>
      </c>
      <c r="D112" s="247" t="str">
        <f>BDD!H109</f>
        <v>Pièce</v>
      </c>
      <c r="E112" s="248" t="str">
        <f>IF(BDD!I109="", "", "X")</f>
        <v/>
      </c>
      <c r="F112" s="248" t="str">
        <f>IF(BDD!J109="", "", "X")</f>
        <v/>
      </c>
      <c r="G112" s="248" t="str">
        <f>IF(BDD!K109="", "", "X")</f>
        <v/>
      </c>
      <c r="H112" s="248" t="str">
        <f>BDD!C109</f>
        <v>Pérou</v>
      </c>
    </row>
    <row r="113" spans="1:8" ht="30" customHeight="1">
      <c r="A113" s="268" t="e">
        <f xml:space="preserve"> IF(#REF!=0, "",#REF!)</f>
        <v>#REF!</v>
      </c>
      <c r="B113" s="245" t="str">
        <f>BDD!B110</f>
        <v>Maca noire BIO (env. 1kg)</v>
      </c>
      <c r="C113" s="246">
        <f>BDD!G110</f>
        <v>27.37</v>
      </c>
      <c r="D113" s="247" t="str">
        <f>BDD!H110</f>
        <v>Pièce</v>
      </c>
      <c r="E113" s="248" t="str">
        <f>IF(BDD!I110="", "", "X")</f>
        <v/>
      </c>
      <c r="F113" s="248" t="str">
        <f>IF(BDD!J110="", "", "X")</f>
        <v/>
      </c>
      <c r="G113" s="248" t="str">
        <f>IF(BDD!K110="", "", "X")</f>
        <v/>
      </c>
      <c r="H113" s="248" t="str">
        <f>BDD!C110</f>
        <v>Pérou</v>
      </c>
    </row>
    <row r="114" spans="1:8" ht="30" customHeight="1">
      <c r="A114" s="268" t="e">
        <f xml:space="preserve"> IF(#REF!=0, "",#REF!)</f>
        <v>#REF!</v>
      </c>
      <c r="B114" s="245" t="str">
        <f>BDD!B111</f>
        <v>Maca noire BIO (env. 500g)</v>
      </c>
      <c r="C114" s="246">
        <f>BDD!G111</f>
        <v>14.37</v>
      </c>
      <c r="D114" s="247" t="str">
        <f>BDD!H111</f>
        <v>Pièce</v>
      </c>
      <c r="E114" s="248" t="str">
        <f>IF(BDD!I111="", "", "X")</f>
        <v/>
      </c>
      <c r="F114" s="248" t="str">
        <f>IF(BDD!J111="", "", "X")</f>
        <v/>
      </c>
      <c r="G114" s="248" t="str">
        <f>IF(BDD!K111="", "", "X")</f>
        <v/>
      </c>
      <c r="H114" s="248" t="str">
        <f>BDD!C111</f>
        <v>Pérou</v>
      </c>
    </row>
    <row r="115" spans="1:8" ht="30" customHeight="1">
      <c r="A115" s="268" t="e">
        <f xml:space="preserve"> IF(#REF!=0, "",#REF!)</f>
        <v>#REF!</v>
      </c>
      <c r="B115" s="245" t="str">
        <f>BDD!B112</f>
        <v>Maïs doux frais (plateau de 2 pièces)</v>
      </c>
      <c r="C115" s="246">
        <f>BDD!G112</f>
        <v>2.71</v>
      </c>
      <c r="D115" s="247" t="str">
        <f>BDD!H112</f>
        <v>Pièce</v>
      </c>
      <c r="E115" s="248" t="str">
        <f>IF(BDD!I112="", "", "X")</f>
        <v/>
      </c>
      <c r="F115" s="248" t="str">
        <f>IF(BDD!J112="", "", "X")</f>
        <v/>
      </c>
      <c r="G115" s="248" t="str">
        <f>IF(BDD!K112="", "", "X")</f>
        <v/>
      </c>
      <c r="H115" s="248" t="str">
        <f>BDD!C112</f>
        <v>Malaga</v>
      </c>
    </row>
    <row r="116" spans="1:8" ht="30" customHeight="1">
      <c r="A116" s="268" t="e">
        <f xml:space="preserve"> IF(#REF!=0, "",#REF!)</f>
        <v>#REF!</v>
      </c>
      <c r="B116" s="245" t="str">
        <f>BDD!B113</f>
        <v>Mangue déshydratée Irwin gourmet (à basse température, tranches)</v>
      </c>
      <c r="C116" s="246">
        <f>BDD!G113</f>
        <v>53.4</v>
      </c>
      <c r="D116" s="247" t="str">
        <f>BDD!H113</f>
        <v>kg</v>
      </c>
      <c r="E116" s="248" t="str">
        <f>IF(BDD!I113="", "", "X")</f>
        <v/>
      </c>
      <c r="F116" s="248" t="str">
        <f>IF(BDD!J113="", "", "X")</f>
        <v/>
      </c>
      <c r="G116" s="248" t="str">
        <f>IF(BDD!K113="", "", "X")</f>
        <v/>
      </c>
      <c r="H116" s="248" t="str">
        <f>BDD!C113</f>
        <v>Grenade</v>
      </c>
    </row>
    <row r="117" spans="1:8" ht="30" customHeight="1">
      <c r="A117" s="268" t="e">
        <f xml:space="preserve"> IF(#REF!=0, "",#REF!)</f>
        <v>#REF!</v>
      </c>
      <c r="B117" s="245" t="str">
        <f>BDD!B114</f>
        <v>Mangue déshydratée rouge Palmer (semi-sèche  de fabrication artisanale, env. 500g)</v>
      </c>
      <c r="C117" s="246">
        <f>BDD!G114</f>
        <v>11.63</v>
      </c>
      <c r="D117" s="247" t="str">
        <f>BDD!H114</f>
        <v>Pièce</v>
      </c>
      <c r="E117" s="248" t="str">
        <f>IF(BDD!I114="", "", "X")</f>
        <v/>
      </c>
      <c r="F117" s="248" t="str">
        <f>IF(BDD!J114="", "", "X")</f>
        <v/>
      </c>
      <c r="G117" s="248" t="str">
        <f>IF(BDD!K114="", "", "X")</f>
        <v/>
      </c>
      <c r="H117" s="248" t="str">
        <f>BDD!C114</f>
        <v>Grenade</v>
      </c>
    </row>
    <row r="118" spans="1:8" ht="30" customHeight="1">
      <c r="A118" s="268" t="e">
        <f xml:space="preserve"> IF(#REF!=0, "",#REF!)</f>
        <v>#REF!</v>
      </c>
      <c r="B118" s="245" t="str">
        <f>BDD!B115</f>
        <v>Mangue Irwin (grande)</v>
      </c>
      <c r="C118" s="246">
        <f>BDD!G115</f>
        <v>7.25</v>
      </c>
      <c r="D118" s="247" t="str">
        <f>BDD!H115</f>
        <v>kg</v>
      </c>
      <c r="E118" s="248" t="str">
        <f>IF(BDD!I115="", "", "X")</f>
        <v>X</v>
      </c>
      <c r="F118" s="248" t="str">
        <f>IF(BDD!J115="", "", "X")</f>
        <v>X</v>
      </c>
      <c r="G118" s="248" t="str">
        <f>IF(BDD!K115="", "", "X")</f>
        <v/>
      </c>
      <c r="H118" s="248" t="str">
        <f>BDD!C115</f>
        <v>Malaga</v>
      </c>
    </row>
    <row r="119" spans="1:8" ht="30" customHeight="1">
      <c r="A119" s="268" t="e">
        <f xml:space="preserve"> IF(#REF!=0, "",#REF!)</f>
        <v>#REF!</v>
      </c>
      <c r="B119" s="245" t="str">
        <f>BDD!B116</f>
        <v>Mangue Keitt</v>
      </c>
      <c r="C119" s="246">
        <f>BDD!G116</f>
        <v>4.37</v>
      </c>
      <c r="D119" s="247" t="str">
        <f>BDD!H116</f>
        <v>kg</v>
      </c>
      <c r="E119" s="248" t="str">
        <f>IF(BDD!I116="", "", "X")</f>
        <v>X</v>
      </c>
      <c r="F119" s="248" t="str">
        <f>IF(BDD!J116="", "", "X")</f>
        <v>X</v>
      </c>
      <c r="G119" s="248" t="str">
        <f>IF(BDD!K116="", "", "X")</f>
        <v>X</v>
      </c>
      <c r="H119" s="248" t="str">
        <f>BDD!C116</f>
        <v>Grenade</v>
      </c>
    </row>
    <row r="120" spans="1:8" ht="30" customHeight="1">
      <c r="A120" s="268" t="e">
        <f xml:space="preserve"> IF(#REF!=0, "",#REF!)</f>
        <v>#REF!</v>
      </c>
      <c r="B120" s="245" t="str">
        <f>BDD!B117</f>
        <v>Mangue Keitt BIO</v>
      </c>
      <c r="C120" s="246">
        <f>BDD!G117</f>
        <v>5.33</v>
      </c>
      <c r="D120" s="247" t="str">
        <f>BDD!H117</f>
        <v>kg</v>
      </c>
      <c r="E120" s="248" t="str">
        <f>IF(BDD!I117="", "", "X")</f>
        <v>X</v>
      </c>
      <c r="F120" s="248" t="str">
        <f>IF(BDD!J117="", "", "X")</f>
        <v>X</v>
      </c>
      <c r="G120" s="248" t="str">
        <f>IF(BDD!K117="", "", "X")</f>
        <v>X</v>
      </c>
      <c r="H120" s="248" t="str">
        <f>BDD!C117</f>
        <v>Grenade</v>
      </c>
    </row>
    <row r="121" spans="1:8" ht="30" customHeight="1">
      <c r="A121" s="268" t="e">
        <f xml:space="preserve"> IF(#REF!=0, "",#REF!)</f>
        <v>#REF!</v>
      </c>
      <c r="B121" s="245" t="str">
        <f>BDD!B118</f>
        <v>Mangue Keitt BIO (légères brûlures superficielles à côté du pédoncule causées par le soleil)</v>
      </c>
      <c r="C121" s="246">
        <f>BDD!G118</f>
        <v>3</v>
      </c>
      <c r="D121" s="247" t="str">
        <f>BDD!H118</f>
        <v>kg</v>
      </c>
      <c r="E121" s="248" t="str">
        <f>IF(BDD!I118="", "", "X")</f>
        <v>X</v>
      </c>
      <c r="F121" s="248" t="str">
        <f>IF(BDD!J118="", "", "X")</f>
        <v>X</v>
      </c>
      <c r="G121" s="248" t="str">
        <f>IF(BDD!K118="", "", "X")</f>
        <v>X</v>
      </c>
      <c r="H121" s="248" t="str">
        <f>BDD!C118</f>
        <v>Malaga</v>
      </c>
    </row>
    <row r="122" spans="1:8" ht="30" customHeight="1">
      <c r="A122" s="268" t="e">
        <f xml:space="preserve"> IF(#REF!=0, "",#REF!)</f>
        <v>#REF!</v>
      </c>
      <c r="B122" s="245" t="str">
        <f>BDD!B119</f>
        <v>Mangue Keitt BIO (petit)</v>
      </c>
      <c r="C122" s="246">
        <f>BDD!G119</f>
        <v>4.08</v>
      </c>
      <c r="D122" s="247" t="str">
        <f>BDD!H119</f>
        <v>kg</v>
      </c>
      <c r="E122" s="248" t="str">
        <f>IF(BDD!I119="", "", "X")</f>
        <v>X</v>
      </c>
      <c r="F122" s="248" t="str">
        <f>IF(BDD!J119="", "", "X")</f>
        <v>X</v>
      </c>
      <c r="G122" s="248" t="str">
        <f>IF(BDD!K119="", "", "X")</f>
        <v>X</v>
      </c>
      <c r="H122" s="248" t="str">
        <f>BDD!C119</f>
        <v>Malaga</v>
      </c>
    </row>
    <row r="123" spans="1:8" ht="30" customHeight="1">
      <c r="A123" s="268" t="e">
        <f xml:space="preserve"> IF(#REF!=0, "",#REF!)</f>
        <v>#REF!</v>
      </c>
      <c r="B123" s="245" t="str">
        <f>BDD!B120</f>
        <v>Mangue Kent (moyen) murie sur l'arbre</v>
      </c>
      <c r="C123" s="246">
        <f>BDD!G120</f>
        <v>3.96</v>
      </c>
      <c r="D123" s="247" t="str">
        <f>BDD!H120</f>
        <v>kg</v>
      </c>
      <c r="E123" s="248" t="str">
        <f>IF(BDD!I120="", "", "X")</f>
        <v>X</v>
      </c>
      <c r="F123" s="248" t="str">
        <f>IF(BDD!J120="", "", "X")</f>
        <v>X</v>
      </c>
      <c r="G123" s="248" t="str">
        <f>IF(BDD!K120="", "", "X")</f>
        <v>X</v>
      </c>
      <c r="H123" s="248" t="str">
        <f>BDD!C120</f>
        <v>Malaga</v>
      </c>
    </row>
    <row r="124" spans="1:8" ht="30" customHeight="1">
      <c r="A124" s="268" t="e">
        <f xml:space="preserve"> IF(#REF!=0, "",#REF!)</f>
        <v>#REF!</v>
      </c>
      <c r="B124" s="245" t="str">
        <f>BDD!B121</f>
        <v>Mangue Kent Bio (légères brûlures superficielles à côté de la tige produites par le soleil)</v>
      </c>
      <c r="C124" s="246">
        <f>BDD!G121</f>
        <v>3</v>
      </c>
      <c r="D124" s="247" t="str">
        <f>BDD!H121</f>
        <v>kg</v>
      </c>
      <c r="E124" s="248" t="str">
        <f>IF(BDD!I121="", "", "X")</f>
        <v>X</v>
      </c>
      <c r="F124" s="248" t="str">
        <f>IF(BDD!J121="", "", "X")</f>
        <v>X</v>
      </c>
      <c r="G124" s="248" t="str">
        <f>IF(BDD!K121="", "", "X")</f>
        <v>X</v>
      </c>
      <c r="H124" s="248" t="str">
        <f>BDD!C121</f>
        <v>Malaga</v>
      </c>
    </row>
    <row r="125" spans="1:8" ht="30" customHeight="1">
      <c r="A125" s="268" t="e">
        <f xml:space="preserve"> IF(#REF!=0, "",#REF!)</f>
        <v>#REF!</v>
      </c>
      <c r="B125" s="245" t="str">
        <f>BDD!B122</f>
        <v>Mangue Lipens</v>
      </c>
      <c r="C125" s="246">
        <f>BDD!G122</f>
        <v>2.71</v>
      </c>
      <c r="D125" s="247" t="str">
        <f>BDD!H122</f>
        <v>kg</v>
      </c>
      <c r="E125" s="248" t="str">
        <f>IF(BDD!I122="", "", "X")</f>
        <v>X</v>
      </c>
      <c r="F125" s="248" t="str">
        <f>IF(BDD!J122="", "", "X")</f>
        <v/>
      </c>
      <c r="G125" s="248" t="str">
        <f>IF(BDD!K122="", "", "X")</f>
        <v/>
      </c>
      <c r="H125" s="248" t="str">
        <f>BDD!C122</f>
        <v>Grenade</v>
      </c>
    </row>
    <row r="126" spans="1:8" ht="30" customHeight="1">
      <c r="A126" s="268" t="e">
        <f xml:space="preserve"> IF(#REF!=0, "",#REF!)</f>
        <v>#REF!</v>
      </c>
      <c r="B126" s="245" t="str">
        <f>BDD!B123</f>
        <v>Mangue Osteen</v>
      </c>
      <c r="C126" s="246">
        <f>BDD!G123</f>
        <v>4.78</v>
      </c>
      <c r="D126" s="247" t="str">
        <f>BDD!H123</f>
        <v>kg</v>
      </c>
      <c r="E126" s="248" t="str">
        <f>IF(BDD!I123="", "", "X")</f>
        <v>X</v>
      </c>
      <c r="F126" s="248" t="str">
        <f>IF(BDD!J123="", "", "X")</f>
        <v>X</v>
      </c>
      <c r="G126" s="248" t="str">
        <f>IF(BDD!K123="", "", "X")</f>
        <v>X</v>
      </c>
      <c r="H126" s="248" t="str">
        <f>BDD!C123</f>
        <v>Grenade</v>
      </c>
    </row>
    <row r="127" spans="1:8" ht="30" customHeight="1">
      <c r="A127" s="268" t="e">
        <f xml:space="preserve"> IF(#REF!=0, "",#REF!)</f>
        <v>#REF!</v>
      </c>
      <c r="B127" s="245" t="str">
        <f>BDD!B124</f>
        <v>Mangue Osteen (Ferme Eparadise, mûrie sur plante, récoltée quotidiennement)</v>
      </c>
      <c r="C127" s="246">
        <f>BDD!G124</f>
        <v>5.45</v>
      </c>
      <c r="D127" s="247" t="str">
        <f>BDD!H124</f>
        <v>kg</v>
      </c>
      <c r="E127" s="248" t="str">
        <f>IF(BDD!I124="", "", "X")</f>
        <v>X</v>
      </c>
      <c r="F127" s="248" t="str">
        <f>IF(BDD!J124="", "", "X")</f>
        <v>X</v>
      </c>
      <c r="G127" s="248" t="str">
        <f>IF(BDD!K124="", "", "X")</f>
        <v>X</v>
      </c>
      <c r="H127" s="248" t="str">
        <f>BDD!C124</f>
        <v>Grenade</v>
      </c>
    </row>
    <row r="128" spans="1:8" ht="30" customHeight="1">
      <c r="A128" s="268" t="e">
        <f xml:space="preserve"> IF(#REF!=0, "",#REF!)</f>
        <v>#REF!</v>
      </c>
      <c r="B128" s="245" t="str">
        <f>BDD!B125</f>
        <v>Mangue Osteen BIO (Qualité supérieure, mûrie sur plante)</v>
      </c>
      <c r="C128" s="246">
        <f>BDD!G125</f>
        <v>5.19</v>
      </c>
      <c r="D128" s="247" t="str">
        <f>BDD!H125</f>
        <v>kg</v>
      </c>
      <c r="E128" s="248" t="str">
        <f>IF(BDD!I125="", "", "X")</f>
        <v>X</v>
      </c>
      <c r="F128" s="248" t="str">
        <f>IF(BDD!J125="", "", "X")</f>
        <v>X</v>
      </c>
      <c r="G128" s="248" t="str">
        <f>IF(BDD!K125="", "", "X")</f>
        <v/>
      </c>
      <c r="H128" s="248" t="str">
        <f>BDD!C125</f>
        <v>Salobrena</v>
      </c>
    </row>
    <row r="129" spans="1:8" ht="30" customHeight="1">
      <c r="A129" s="268" t="e">
        <f xml:space="preserve"> IF(#REF!=0, "",#REF!)</f>
        <v>#REF!</v>
      </c>
      <c r="B129" s="245" t="str">
        <f>BDD!B126</f>
        <v>Mangue Osteen mini gourmet</v>
      </c>
      <c r="C129" s="246">
        <f>BDD!G126</f>
        <v>3.82</v>
      </c>
      <c r="D129" s="247" t="str">
        <f>BDD!H126</f>
        <v>kg</v>
      </c>
      <c r="E129" s="248" t="str">
        <f>IF(BDD!I126="", "", "X")</f>
        <v>X</v>
      </c>
      <c r="F129" s="248" t="str">
        <f>IF(BDD!J126="", "", "X")</f>
        <v>X</v>
      </c>
      <c r="G129" s="248" t="str">
        <f>IF(BDD!K126="", "", "X")</f>
        <v/>
      </c>
      <c r="H129" s="248" t="str">
        <f>BDD!C126</f>
        <v>Grenade</v>
      </c>
    </row>
    <row r="130" spans="1:8" ht="30" customHeight="1">
      <c r="A130" s="268" t="e">
        <f xml:space="preserve"> IF(#REF!=0, "",#REF!)</f>
        <v>#REF!</v>
      </c>
      <c r="B130" s="245" t="str">
        <f>BDD!B127</f>
        <v>Mangue Palmer Rouge BIO (Grand)</v>
      </c>
      <c r="C130" s="246">
        <f>BDD!G127</f>
        <v>5.0599999999999996</v>
      </c>
      <c r="D130" s="247" t="str">
        <f>BDD!H127</f>
        <v>kg</v>
      </c>
      <c r="E130" s="248" t="str">
        <f>IF(BDD!I127="", "", "X")</f>
        <v>X</v>
      </c>
      <c r="F130" s="248" t="str">
        <f>IF(BDD!J127="", "", "X")</f>
        <v>X</v>
      </c>
      <c r="G130" s="248" t="str">
        <f>IF(BDD!K127="", "", "X")</f>
        <v/>
      </c>
      <c r="H130" s="248" t="str">
        <f>BDD!C127</f>
        <v>Grenade</v>
      </c>
    </row>
    <row r="131" spans="1:8" ht="30" customHeight="1">
      <c r="A131" s="268" t="e">
        <f xml:space="preserve"> IF(#REF!=0, "",#REF!)</f>
        <v>#REF!</v>
      </c>
      <c r="B131" s="245" t="str">
        <f>BDD!B128</f>
        <v>Mangue Palmer rouge gourmet BIO</v>
      </c>
      <c r="C131" s="246">
        <f>BDD!G128</f>
        <v>3.41</v>
      </c>
      <c r="D131" s="247" t="str">
        <f>BDD!H128</f>
        <v>kg</v>
      </c>
      <c r="E131" s="248" t="str">
        <f>IF(BDD!I128="", "", "X")</f>
        <v>X</v>
      </c>
      <c r="F131" s="248" t="str">
        <f>IF(BDD!J128="", "", "X")</f>
        <v>X</v>
      </c>
      <c r="G131" s="248" t="str">
        <f>IF(BDD!K128="", "", "X")</f>
        <v>X</v>
      </c>
      <c r="H131" s="248" t="str">
        <f>BDD!C128</f>
        <v>Grenade</v>
      </c>
    </row>
    <row r="132" spans="1:8" ht="30" customHeight="1">
      <c r="A132" s="268" t="e">
        <f xml:space="preserve"> IF(#REF!=0, "",#REF!)</f>
        <v>#REF!</v>
      </c>
      <c r="B132" s="245" t="str">
        <f>BDD!B129</f>
        <v>Mangue plusieurs variétés
    - (Haden, Irwin, Lipens, Osteen, Tommy Atkins)</v>
      </c>
      <c r="C132" s="246">
        <f>BDD!G129</f>
        <v>2.71</v>
      </c>
      <c r="D132" s="247" t="str">
        <f>BDD!H129</f>
        <v>kg</v>
      </c>
      <c r="E132" s="248" t="str">
        <f>IF(BDD!I129="", "", "X")</f>
        <v/>
      </c>
      <c r="F132" s="248" t="str">
        <f>IF(BDD!J129="", "", "X")</f>
        <v/>
      </c>
      <c r="G132" s="248" t="str">
        <f>IF(BDD!K129="", "", "X")</f>
        <v/>
      </c>
      <c r="H132" s="248" t="str">
        <f>BDD!C129</f>
        <v>Grenade</v>
      </c>
    </row>
    <row r="133" spans="1:8" ht="30" customHeight="1">
      <c r="A133" s="268" t="e">
        <f xml:space="preserve"> IF(#REF!=0, "",#REF!)</f>
        <v>#REF!</v>
      </c>
      <c r="B133" s="245" t="str">
        <f>BDD!B130</f>
        <v>Melon peau de crapaud</v>
      </c>
      <c r="C133" s="246">
        <f>BDD!G130</f>
        <v>1.77</v>
      </c>
      <c r="D133" s="247" t="str">
        <f>BDD!H130</f>
        <v>kg</v>
      </c>
      <c r="E133" s="248" t="str">
        <f>IF(BDD!I130="", "", "X")</f>
        <v>X</v>
      </c>
      <c r="F133" s="248" t="str">
        <f>IF(BDD!J130="", "", "X")</f>
        <v>X</v>
      </c>
      <c r="G133" s="248" t="str">
        <f>IF(BDD!K130="", "", "X")</f>
        <v>X</v>
      </c>
      <c r="H133" s="248" t="str">
        <f>BDD!C130</f>
        <v>Cordova</v>
      </c>
    </row>
    <row r="134" spans="1:8" ht="30" customHeight="1">
      <c r="A134" s="268" t="e">
        <f xml:space="preserve"> IF(#REF!=0, "",#REF!)</f>
        <v>#REF!</v>
      </c>
      <c r="B134" s="245" t="str">
        <f>BDD!B131</f>
        <v>Melon peau de crapaud BIO</v>
      </c>
      <c r="C134" s="246">
        <f>BDD!G131</f>
        <v>2.59</v>
      </c>
      <c r="D134" s="247" t="str">
        <f>BDD!H131</f>
        <v>kg</v>
      </c>
      <c r="E134" s="248" t="str">
        <f>IF(BDD!I131="", "", "X")</f>
        <v>X</v>
      </c>
      <c r="F134" s="248" t="str">
        <f>IF(BDD!J131="", "", "X")</f>
        <v>X</v>
      </c>
      <c r="G134" s="248" t="str">
        <f>IF(BDD!K131="", "", "X")</f>
        <v/>
      </c>
      <c r="H134" s="248" t="str">
        <f>BDD!C131</f>
        <v>Andalousie</v>
      </c>
    </row>
    <row r="135" spans="1:8" ht="30" customHeight="1">
      <c r="A135" s="268" t="e">
        <f xml:space="preserve"> IF(#REF!=0, "",#REF!)</f>
        <v>#REF!</v>
      </c>
      <c r="B135" s="245" t="str">
        <f>BDD!B132</f>
        <v>Miel d'avocat (Bocal en verre 1kg)</v>
      </c>
      <c r="C135" s="246">
        <f>BDD!G132</f>
        <v>12.73</v>
      </c>
      <c r="D135" s="247" t="str">
        <f>BDD!H132</f>
        <v>Pièce</v>
      </c>
      <c r="E135" s="248" t="str">
        <f>IF(BDD!I132="", "", "X")</f>
        <v>X</v>
      </c>
      <c r="F135" s="248" t="str">
        <f>IF(BDD!J132="", "", "X")</f>
        <v/>
      </c>
      <c r="G135" s="248" t="str">
        <f>IF(BDD!K132="", "", "X")</f>
        <v/>
      </c>
      <c r="H135" s="248" t="str">
        <f>BDD!C132</f>
        <v>Grenade</v>
      </c>
    </row>
    <row r="136" spans="1:8" ht="30" customHeight="1">
      <c r="A136" s="268" t="e">
        <f xml:space="preserve"> IF(#REF!=0, "",#REF!)</f>
        <v>#REF!</v>
      </c>
      <c r="B136" s="245" t="str">
        <f>BDD!B133</f>
        <v>Miel d'eucalyptus BIO (Bocal en verre 1kg)</v>
      </c>
      <c r="C136" s="246">
        <f>BDD!G133</f>
        <v>19.850000000000001</v>
      </c>
      <c r="D136" s="247" t="str">
        <f>BDD!H133</f>
        <v>Pièce</v>
      </c>
      <c r="E136" s="248" t="str">
        <f>IF(BDD!I133="", "", "X")</f>
        <v>X</v>
      </c>
      <c r="F136" s="248" t="str">
        <f>IF(BDD!J133="", "", "X")</f>
        <v/>
      </c>
      <c r="G136" s="248" t="str">
        <f>IF(BDD!K133="", "", "X")</f>
        <v/>
      </c>
      <c r="H136" s="248" t="str">
        <f>BDD!C133</f>
        <v>Huelva</v>
      </c>
    </row>
    <row r="137" spans="1:8" ht="30" customHeight="1">
      <c r="A137" s="268" t="e">
        <f xml:space="preserve"> IF(#REF!=0, "",#REF!)</f>
        <v>#REF!</v>
      </c>
      <c r="B137" s="245" t="str">
        <f>BDD!B134</f>
        <v>Miel de Fleur d'oranger (Bocal en verre 1kg)</v>
      </c>
      <c r="C137" s="246">
        <f>BDD!G134</f>
        <v>12.73</v>
      </c>
      <c r="D137" s="247" t="str">
        <f>BDD!H134</f>
        <v>Pièce</v>
      </c>
      <c r="E137" s="248" t="str">
        <f>IF(BDD!I134="", "", "X")</f>
        <v>X</v>
      </c>
      <c r="F137" s="248" t="str">
        <f>IF(BDD!J134="", "", "X")</f>
        <v/>
      </c>
      <c r="G137" s="248" t="str">
        <f>IF(BDD!K134="", "", "X")</f>
        <v/>
      </c>
      <c r="H137" s="248" t="str">
        <f>BDD!C134</f>
        <v>Grenade</v>
      </c>
    </row>
    <row r="138" spans="1:8" ht="30" customHeight="1">
      <c r="A138" s="268" t="e">
        <f xml:space="preserve"> IF(#REF!=0, "",#REF!)</f>
        <v>#REF!</v>
      </c>
      <c r="B138" s="245" t="str">
        <f>BDD!B135</f>
        <v>Miel de Huelva multifleurs sans filtration CRU BIO  
    - (Bocal en verre 1kg)</v>
      </c>
      <c r="C138" s="246">
        <f>BDD!G135</f>
        <v>15.04</v>
      </c>
      <c r="D138" s="247" t="str">
        <f>BDD!H135</f>
        <v>Pièce</v>
      </c>
      <c r="E138" s="248" t="str">
        <f>IF(BDD!I135="", "", "X")</f>
        <v>X</v>
      </c>
      <c r="F138" s="248" t="str">
        <f>IF(BDD!J135="", "", "X")</f>
        <v/>
      </c>
      <c r="G138" s="248" t="str">
        <f>IF(BDD!K135="", "", "X")</f>
        <v/>
      </c>
      <c r="H138" s="248" t="str">
        <f>BDD!C135</f>
        <v>Huelva</v>
      </c>
    </row>
    <row r="139" spans="1:8" ht="30" customHeight="1">
      <c r="A139" s="268" t="e">
        <f xml:space="preserve"> IF(#REF!=0, "",#REF!)</f>
        <v>#REF!</v>
      </c>
      <c r="B139" s="245" t="str">
        <f>BDD!B136</f>
        <v>Miel de montagne (Bocal en verre 1kg)</v>
      </c>
      <c r="C139" s="246">
        <f>BDD!G136</f>
        <v>12.73</v>
      </c>
      <c r="D139" s="247" t="str">
        <f>BDD!H136</f>
        <v>Pièce</v>
      </c>
      <c r="E139" s="248" t="str">
        <f>IF(BDD!I136="", "", "X")</f>
        <v>X</v>
      </c>
      <c r="F139" s="248" t="str">
        <f>IF(BDD!J136="", "", "X")</f>
        <v/>
      </c>
      <c r="G139" s="248" t="str">
        <f>IF(BDD!K136="", "", "X")</f>
        <v/>
      </c>
      <c r="H139" s="248" t="str">
        <f>BDD!C136</f>
        <v>Grenade</v>
      </c>
    </row>
    <row r="140" spans="1:8" ht="30" customHeight="1">
      <c r="A140" s="268" t="e">
        <f xml:space="preserve"> IF(#REF!=0, "",#REF!)</f>
        <v>#REF!</v>
      </c>
      <c r="B140" s="245" t="str">
        <f>BDD!B137</f>
        <v>Miel de Romarin (Bocal en verre 1kg)</v>
      </c>
      <c r="C140" s="246">
        <f>BDD!G137</f>
        <v>12.73</v>
      </c>
      <c r="D140" s="247" t="str">
        <f>BDD!H137</f>
        <v>Pièce</v>
      </c>
      <c r="E140" s="248" t="str">
        <f>IF(BDD!I137="", "", "X")</f>
        <v>X</v>
      </c>
      <c r="F140" s="248" t="str">
        <f>IF(BDD!J137="", "", "X")</f>
        <v/>
      </c>
      <c r="G140" s="248" t="str">
        <f>IF(BDD!K137="", "", "X")</f>
        <v/>
      </c>
      <c r="H140" s="248" t="str">
        <f>BDD!C137</f>
        <v>Grenade</v>
      </c>
    </row>
    <row r="141" spans="1:8" ht="30" customHeight="1">
      <c r="A141" s="268" t="e">
        <f xml:space="preserve"> IF(#REF!=0, "",#REF!)</f>
        <v>#REF!</v>
      </c>
      <c r="B141" s="245" t="str">
        <f>BDD!B138</f>
        <v>Miel Multi-fleurs (Bocal en verre 1kg)</v>
      </c>
      <c r="C141" s="246">
        <f>BDD!G138</f>
        <v>10.67</v>
      </c>
      <c r="D141" s="247" t="str">
        <f>BDD!H138</f>
        <v>Pièce</v>
      </c>
      <c r="E141" s="248" t="str">
        <f>IF(BDD!I138="", "", "X")</f>
        <v>X</v>
      </c>
      <c r="F141" s="248" t="str">
        <f>IF(BDD!J138="", "", "X")</f>
        <v/>
      </c>
      <c r="G141" s="248" t="str">
        <f>IF(BDD!K138="", "", "X")</f>
        <v/>
      </c>
      <c r="H141" s="248" t="str">
        <f>BDD!C138</f>
        <v>Grenade</v>
      </c>
    </row>
    <row r="142" spans="1:8" ht="30" customHeight="1">
      <c r="A142" s="268" t="e">
        <f xml:space="preserve"> IF(#REF!=0, "",#REF!)</f>
        <v>#REF!</v>
      </c>
      <c r="B142" s="245" t="str">
        <f>BDD!B139</f>
        <v>Néfle d'hiver</v>
      </c>
      <c r="C142" s="246">
        <f>BDD!G139</f>
        <v>2.71</v>
      </c>
      <c r="D142" s="247" t="str">
        <f>BDD!H139</f>
        <v>kg</v>
      </c>
      <c r="E142" s="248" t="str">
        <f>IF(BDD!I139="", "", "X")</f>
        <v>X</v>
      </c>
      <c r="F142" s="248" t="str">
        <f>IF(BDD!J139="", "", "X")</f>
        <v/>
      </c>
      <c r="G142" s="248" t="str">
        <f>IF(BDD!K139="", "", "X")</f>
        <v/>
      </c>
      <c r="H142" s="248" t="str">
        <f>BDD!C139</f>
        <v>Grenade</v>
      </c>
    </row>
    <row r="143" spans="1:8" ht="30" customHeight="1">
      <c r="A143" s="268" t="e">
        <f xml:space="preserve"> IF(#REF!=0, "",#REF!)</f>
        <v>#REF!</v>
      </c>
      <c r="B143" s="245" t="str">
        <f>BDD!B140</f>
        <v>Noisette sans coque CRU BIO (env. 1kg)</v>
      </c>
      <c r="C143" s="246">
        <f>BDD!G140</f>
        <v>19.850000000000001</v>
      </c>
      <c r="D143" s="247" t="str">
        <f>BDD!H140</f>
        <v>Pièce</v>
      </c>
      <c r="E143" s="248" t="str">
        <f>IF(BDD!I140="", "", "X")</f>
        <v>X</v>
      </c>
      <c r="F143" s="248" t="str">
        <f>IF(BDD!J140="", "", "X")</f>
        <v/>
      </c>
      <c r="G143" s="248" t="str">
        <f>IF(BDD!K140="", "", "X")</f>
        <v/>
      </c>
      <c r="H143" s="248" t="str">
        <f>BDD!C140</f>
        <v>National</v>
      </c>
    </row>
    <row r="144" spans="1:8" ht="30" customHeight="1">
      <c r="A144" s="268" t="e">
        <f xml:space="preserve"> IF(#REF!=0, "",#REF!)</f>
        <v>#REF!</v>
      </c>
      <c r="B144" s="245" t="str">
        <f>BDD!B141</f>
        <v>Noix de cajou BIO (env. 1kg)</v>
      </c>
      <c r="C144" s="246">
        <f>BDD!G141</f>
        <v>20.52</v>
      </c>
      <c r="D144" s="247" t="str">
        <f>BDD!H141</f>
        <v>Pièce</v>
      </c>
      <c r="E144" s="248" t="str">
        <f>IF(BDD!I141="", "", "X")</f>
        <v>X</v>
      </c>
      <c r="F144" s="248" t="str">
        <f>IF(BDD!J141="", "", "X")</f>
        <v>X</v>
      </c>
      <c r="G144" s="248" t="str">
        <f>IF(BDD!K141="", "", "X")</f>
        <v/>
      </c>
      <c r="H144" s="248" t="str">
        <f>BDD!C141</f>
        <v>Indes</v>
      </c>
    </row>
    <row r="145" spans="1:8" ht="30" customHeight="1">
      <c r="A145" s="268" t="e">
        <f xml:space="preserve"> IF(#REF!=0, "",#REF!)</f>
        <v>#REF!</v>
      </c>
      <c r="B145" s="245" t="str">
        <f>BDD!B142</f>
        <v>Noix de Macadamia sans coque BIO
    - (env. 1kg)</v>
      </c>
      <c r="C145" s="246">
        <f>BDD!G142</f>
        <v>43.81</v>
      </c>
      <c r="D145" s="247" t="str">
        <f>BDD!H142</f>
        <v>Pièce</v>
      </c>
      <c r="E145" s="248" t="str">
        <f>IF(BDD!I142="", "", "X")</f>
        <v/>
      </c>
      <c r="F145" s="248" t="str">
        <f>IF(BDD!J142="", "", "X")</f>
        <v/>
      </c>
      <c r="G145" s="248" t="str">
        <f>IF(BDD!K142="", "", "X")</f>
        <v/>
      </c>
      <c r="H145" s="248" t="str">
        <f>BDD!C142</f>
        <v>Kenya</v>
      </c>
    </row>
    <row r="146" spans="1:8" ht="30" customHeight="1">
      <c r="A146" s="268" t="e">
        <f xml:space="preserve"> IF(#REF!=0, "",#REF!)</f>
        <v>#REF!</v>
      </c>
      <c r="B146" s="245" t="str">
        <f>BDD!B143</f>
        <v>Noix de Macadamia sans coque BIO
    - (env. 500g)</v>
      </c>
      <c r="C146" s="246">
        <f>BDD!G143</f>
        <v>22.59</v>
      </c>
      <c r="D146" s="247" t="str">
        <f>BDD!H143</f>
        <v>Pièce</v>
      </c>
      <c r="E146" s="248" t="str">
        <f>IF(BDD!I143="", "", "X")</f>
        <v/>
      </c>
      <c r="F146" s="248" t="str">
        <f>IF(BDD!J143="", "", "X")</f>
        <v/>
      </c>
      <c r="G146" s="248" t="str">
        <f>IF(BDD!K143="", "", "X")</f>
        <v/>
      </c>
      <c r="H146" s="248" t="str">
        <f>BDD!C143</f>
        <v>Kenya</v>
      </c>
    </row>
    <row r="147" spans="1:8" ht="30" customHeight="1">
      <c r="A147" s="268" t="e">
        <f xml:space="preserve"> IF(#REF!=0, "",#REF!)</f>
        <v>#REF!</v>
      </c>
      <c r="B147" s="245" t="str">
        <f>BDD!B144</f>
        <v>Noix de Pécan sans coque BIO (env. 1kg)</v>
      </c>
      <c r="C147" s="246">
        <f>BDD!G144</f>
        <v>35.880000000000003</v>
      </c>
      <c r="D147" s="247" t="str">
        <f>BDD!H144</f>
        <v>Pièce</v>
      </c>
      <c r="E147" s="248" t="str">
        <f>IF(BDD!I144="", "", "X")</f>
        <v>X</v>
      </c>
      <c r="F147" s="248" t="str">
        <f>IF(BDD!J144="", "", "X")</f>
        <v/>
      </c>
      <c r="G147" s="248" t="str">
        <f>IF(BDD!K144="", "", "X")</f>
        <v/>
      </c>
      <c r="H147" s="248" t="str">
        <f>BDD!C144</f>
        <v>Mexique</v>
      </c>
    </row>
    <row r="148" spans="1:8" ht="30" customHeight="1">
      <c r="A148" s="268" t="e">
        <f xml:space="preserve"> IF(#REF!=0, "",#REF!)</f>
        <v>#REF!</v>
      </c>
      <c r="B148" s="245" t="str">
        <f>BDD!B145</f>
        <v>Noix de Pécan sans coque BIO (env. 500g)</v>
      </c>
      <c r="C148" s="246">
        <f>BDD!G145</f>
        <v>18.62</v>
      </c>
      <c r="D148" s="247" t="str">
        <f>BDD!H145</f>
        <v>Pièce</v>
      </c>
      <c r="E148" s="248" t="str">
        <f>IF(BDD!I145="", "", "X")</f>
        <v/>
      </c>
      <c r="F148" s="248" t="str">
        <f>IF(BDD!J145="", "", "X")</f>
        <v/>
      </c>
      <c r="G148" s="248" t="str">
        <f>IF(BDD!K145="", "", "X")</f>
        <v/>
      </c>
      <c r="H148" s="248" t="str">
        <f>BDD!C145</f>
        <v>Mexique</v>
      </c>
    </row>
    <row r="149" spans="1:8" ht="30" customHeight="1">
      <c r="A149" s="268" t="e">
        <f xml:space="preserve"> IF(#REF!=0, "",#REF!)</f>
        <v>#REF!</v>
      </c>
      <c r="B149" s="245" t="str">
        <f>BDD!B146</f>
        <v>Oignon blanc BIO</v>
      </c>
      <c r="C149" s="246">
        <f>BDD!G146</f>
        <v>1.77</v>
      </c>
      <c r="D149" s="247" t="str">
        <f>BDD!H146</f>
        <v>kg</v>
      </c>
      <c r="E149" s="248" t="str">
        <f>IF(BDD!I146="", "", "X")</f>
        <v>X</v>
      </c>
      <c r="F149" s="248" t="str">
        <f>IF(BDD!J146="", "", "X")</f>
        <v>X</v>
      </c>
      <c r="G149" s="248" t="str">
        <f>IF(BDD!K146="", "", "X")</f>
        <v/>
      </c>
      <c r="H149" s="248" t="str">
        <f>BDD!C146</f>
        <v>Malaga</v>
      </c>
    </row>
    <row r="150" spans="1:8" ht="30" customHeight="1">
      <c r="A150" s="268" t="e">
        <f xml:space="preserve"> IF(#REF!=0, "",#REF!)</f>
        <v>#REF!</v>
      </c>
      <c r="B150" s="245" t="str">
        <f>BDD!B147</f>
        <v>Oignon rouge BIO</v>
      </c>
      <c r="C150" s="246">
        <f>BDD!G147</f>
        <v>2.04</v>
      </c>
      <c r="D150" s="247" t="str">
        <f>BDD!H147</f>
        <v>kg</v>
      </c>
      <c r="E150" s="248" t="str">
        <f>IF(BDD!I147="", "", "X")</f>
        <v>X</v>
      </c>
      <c r="F150" s="248" t="str">
        <f>IF(BDD!J147="", "", "X")</f>
        <v>X</v>
      </c>
      <c r="G150" s="248" t="str">
        <f>IF(BDD!K147="", "", "X")</f>
        <v/>
      </c>
      <c r="H150" s="248" t="str">
        <f>BDD!C147</f>
        <v>Malaga</v>
      </c>
    </row>
    <row r="151" spans="1:8" ht="30" customHeight="1">
      <c r="A151" s="268" t="e">
        <f xml:space="preserve"> IF(#REF!=0, "",#REF!)</f>
        <v>#REF!</v>
      </c>
      <c r="B151" s="245" t="str">
        <f>BDD!B148</f>
        <v>Olives Aloreña BIO non pasteurisées (Bocal 800g)</v>
      </c>
      <c r="C151" s="246">
        <f>BDD!G148</f>
        <v>5.45</v>
      </c>
      <c r="D151" s="247" t="str">
        <f>BDD!H148</f>
        <v>Pièce</v>
      </c>
      <c r="E151" s="248" t="str">
        <f>IF(BDD!I148="", "", "X")</f>
        <v>X</v>
      </c>
      <c r="F151" s="248" t="str">
        <f>IF(BDD!J148="", "", "X")</f>
        <v/>
      </c>
      <c r="G151" s="248" t="str">
        <f>IF(BDD!K148="", "", "X")</f>
        <v/>
      </c>
      <c r="H151" s="248" t="str">
        <f>BDD!C148</f>
        <v>Malaga</v>
      </c>
    </row>
    <row r="152" spans="1:8" ht="30" customHeight="1">
      <c r="A152" s="268" t="e">
        <f xml:space="preserve"> IF(#REF!=0, "",#REF!)</f>
        <v>#REF!</v>
      </c>
      <c r="B152" s="245" t="str">
        <f>BDD!B149</f>
        <v>Olives fermentées BIO non pasteurisées (env. 450g, Fraîches, semi-sèches, sèches, au choix, sans sel, sans eau et sans autres ajouts)</v>
      </c>
      <c r="C152" s="246">
        <f>BDD!G149</f>
        <v>10.119999999999999</v>
      </c>
      <c r="D152" s="247" t="str">
        <f>BDD!H149</f>
        <v>Pièce</v>
      </c>
      <c r="E152" s="248" t="str">
        <f>IF(BDD!I149="", "", "X")</f>
        <v/>
      </c>
      <c r="F152" s="248" t="str">
        <f>IF(BDD!J149="", "", "X")</f>
        <v/>
      </c>
      <c r="G152" s="248" t="str">
        <f>IF(BDD!K149="", "", "X")</f>
        <v/>
      </c>
      <c r="H152" s="248" t="str">
        <f>BDD!C149</f>
        <v>Valence</v>
      </c>
    </row>
    <row r="153" spans="1:8" ht="30" customHeight="1">
      <c r="A153" s="268" t="e">
        <f xml:space="preserve"> IF(#REF!=0, "",#REF!)</f>
        <v>#REF!</v>
      </c>
      <c r="B153" s="245" t="str">
        <f>BDD!B150</f>
        <v>Olives noires BIO (bocal 500g, sans noyau, semi-séchées, non pasteurisées)</v>
      </c>
      <c r="C153" s="246">
        <f>BDD!G150</f>
        <v>9.0299999999999994</v>
      </c>
      <c r="D153" s="247" t="str">
        <f>BDD!H150</f>
        <v>Pièce</v>
      </c>
      <c r="E153" s="248" t="str">
        <f>IF(BDD!I150="", "", "X")</f>
        <v/>
      </c>
      <c r="F153" s="248" t="str">
        <f>IF(BDD!J150="", "", "X")</f>
        <v/>
      </c>
      <c r="G153" s="248" t="str">
        <f>IF(BDD!K150="", "", "X")</f>
        <v/>
      </c>
      <c r="H153" s="248" t="str">
        <f>BDD!C150</f>
        <v>Import</v>
      </c>
    </row>
    <row r="154" spans="1:8" ht="30" customHeight="1">
      <c r="A154" s="268" t="e">
        <f xml:space="preserve"> IF(#REF!=0, "",#REF!)</f>
        <v>#REF!</v>
      </c>
      <c r="B154" s="245" t="str">
        <f>BDD!B151</f>
        <v>Olives vertes Gordal Manzanilla fraîches</v>
      </c>
      <c r="C154" s="246">
        <f>BDD!G151</f>
        <v>4.08</v>
      </c>
      <c r="D154" s="247" t="str">
        <f>BDD!H151</f>
        <v>kg</v>
      </c>
      <c r="E154" s="248" t="str">
        <f>IF(BDD!I151="", "", "X")</f>
        <v>X</v>
      </c>
      <c r="F154" s="248" t="str">
        <f>IF(BDD!J151="", "", "X")</f>
        <v/>
      </c>
      <c r="G154" s="248" t="str">
        <f>IF(BDD!K151="", "", "X")</f>
        <v/>
      </c>
      <c r="H154" s="248" t="str">
        <f>BDD!C151</f>
        <v>Grenade</v>
      </c>
    </row>
    <row r="155" spans="1:8" ht="30" customHeight="1">
      <c r="A155" s="268" t="e">
        <f xml:space="preserve"> IF(#REF!=0, "",#REF!)</f>
        <v>#REF!</v>
      </c>
      <c r="B155" s="245" t="str">
        <f>BDD!B152</f>
        <v>Orange Valencialate</v>
      </c>
      <c r="C155" s="246">
        <f>BDD!G152</f>
        <v>3.27</v>
      </c>
      <c r="D155" s="247" t="str">
        <f>BDD!H152</f>
        <v>kg</v>
      </c>
      <c r="E155" s="248" t="str">
        <f>IF(BDD!I152="", "", "X")</f>
        <v>X</v>
      </c>
      <c r="F155" s="248" t="str">
        <f>IF(BDD!J152="", "", "X")</f>
        <v>X</v>
      </c>
      <c r="G155" s="248" t="str">
        <f>IF(BDD!K152="", "", "X")</f>
        <v/>
      </c>
      <c r="H155" s="248" t="str">
        <f>BDD!C152</f>
        <v>Andalousie</v>
      </c>
    </row>
    <row r="156" spans="1:8" ht="30" customHeight="1">
      <c r="A156" s="268" t="e">
        <f xml:space="preserve"> IF(#REF!=0, "",#REF!)</f>
        <v>#REF!</v>
      </c>
      <c r="B156" s="245" t="str">
        <f>BDD!B153</f>
        <v>Paprika épicé de la Vera BIO (env. 1kg)</v>
      </c>
      <c r="C156" s="246">
        <f>BDD!G153</f>
        <v>16.41</v>
      </c>
      <c r="D156" s="247" t="str">
        <f>BDD!H153</f>
        <v>Pièce</v>
      </c>
      <c r="E156" s="248" t="str">
        <f>IF(BDD!I153="", "", "X")</f>
        <v/>
      </c>
      <c r="F156" s="248" t="str">
        <f>IF(BDD!J153="", "", "X")</f>
        <v/>
      </c>
      <c r="G156" s="248" t="str">
        <f>IF(BDD!K153="", "", "X")</f>
        <v/>
      </c>
      <c r="H156" s="248" t="str">
        <f>BDD!C153</f>
        <v>Espagne
Sierra de Gredos</v>
      </c>
    </row>
    <row r="157" spans="1:8" ht="30" customHeight="1">
      <c r="A157" s="268" t="e">
        <f xml:space="preserve"> IF(#REF!=0, "",#REF!)</f>
        <v>#REF!</v>
      </c>
      <c r="B157" s="245" t="str">
        <f>BDD!B154</f>
        <v>Patate douce BIO (Grande)</v>
      </c>
      <c r="C157" s="246">
        <f>BDD!G154</f>
        <v>2.59</v>
      </c>
      <c r="D157" s="247" t="str">
        <f>BDD!H154</f>
        <v>kg</v>
      </c>
      <c r="E157" s="248" t="str">
        <f>IF(BDD!I154="", "", "X")</f>
        <v>X</v>
      </c>
      <c r="F157" s="248" t="str">
        <f>IF(BDD!J154="", "", "X")</f>
        <v>X</v>
      </c>
      <c r="G157" s="248" t="str">
        <f>IF(BDD!K154="", "", "X")</f>
        <v>X</v>
      </c>
      <c r="H157" s="248" t="str">
        <f>BDD!C154</f>
        <v>Malaga</v>
      </c>
    </row>
    <row r="158" spans="1:8" ht="30" customHeight="1">
      <c r="A158" s="268" t="e">
        <f xml:space="preserve"> IF(#REF!=0, "",#REF!)</f>
        <v>#REF!</v>
      </c>
      <c r="B158" s="245" t="str">
        <f>BDD!B155</f>
        <v>Patate douce BIO (Moyenne)</v>
      </c>
      <c r="C158" s="246">
        <f>BDD!G155</f>
        <v>2.04</v>
      </c>
      <c r="D158" s="247" t="str">
        <f>BDD!H155</f>
        <v>kg</v>
      </c>
      <c r="E158" s="248" t="str">
        <f>IF(BDD!I155="", "", "X")</f>
        <v>X</v>
      </c>
      <c r="F158" s="248" t="str">
        <f>IF(BDD!J155="", "", "X")</f>
        <v>X</v>
      </c>
      <c r="G158" s="248" t="str">
        <f>IF(BDD!K155="", "", "X")</f>
        <v>X</v>
      </c>
      <c r="H158" s="248" t="str">
        <f>BDD!C155</f>
        <v>Malaga</v>
      </c>
    </row>
    <row r="159" spans="1:8" ht="30" customHeight="1">
      <c r="A159" s="268" t="e">
        <f xml:space="preserve"> IF(#REF!=0, "",#REF!)</f>
        <v>#REF!</v>
      </c>
      <c r="B159" s="245" t="str">
        <f>BDD!B156</f>
        <v>Patate Douce Violette BIO (Moyenne, grande) Nouvelle récolte</v>
      </c>
      <c r="C159" s="246">
        <f>BDD!G156</f>
        <v>3.41</v>
      </c>
      <c r="D159" s="247" t="str">
        <f>BDD!H156</f>
        <v>kg</v>
      </c>
      <c r="E159" s="248" t="str">
        <f>IF(BDD!I156="", "", "X")</f>
        <v>X</v>
      </c>
      <c r="F159" s="248" t="str">
        <f>IF(BDD!J156="", "", "X")</f>
        <v>X</v>
      </c>
      <c r="G159" s="248" t="str">
        <f>IF(BDD!K156="", "", "X")</f>
        <v>X</v>
      </c>
      <c r="H159" s="248" t="str">
        <f>BDD!C156</f>
        <v>Malaga</v>
      </c>
    </row>
    <row r="160" spans="1:8" ht="30" customHeight="1">
      <c r="A160" s="268" t="e">
        <f xml:space="preserve"> IF(#REF!=0, "",#REF!)</f>
        <v>#REF!</v>
      </c>
      <c r="B160" s="245" t="str">
        <f>BDD!B157</f>
        <v>Pistache avec coque CRU (env. 1kg)</v>
      </c>
      <c r="C160" s="246">
        <f>BDD!G157</f>
        <v>34.22</v>
      </c>
      <c r="D160" s="247" t="str">
        <f>BDD!H157</f>
        <v>Pièce</v>
      </c>
      <c r="E160" s="248" t="str">
        <f>IF(BDD!I157="", "", "X")</f>
        <v/>
      </c>
      <c r="F160" s="248" t="str">
        <f>IF(BDD!J157="", "", "X")</f>
        <v/>
      </c>
      <c r="G160" s="248" t="str">
        <f>IF(BDD!K157="", "", "X")</f>
        <v/>
      </c>
      <c r="H160" s="248" t="str">
        <f>BDD!C157</f>
        <v>Espagne</v>
      </c>
    </row>
    <row r="161" spans="1:8" ht="30" customHeight="1">
      <c r="A161" s="268" t="e">
        <f xml:space="preserve"> IF(#REF!=0, "",#REF!)</f>
        <v>#REF!</v>
      </c>
      <c r="B161" s="245" t="str">
        <f>BDD!B158</f>
        <v>Pistache avec coque CRU (env. 500g)</v>
      </c>
      <c r="C161" s="246">
        <f>BDD!G158</f>
        <v>17.78</v>
      </c>
      <c r="D161" s="247" t="str">
        <f>BDD!H158</f>
        <v>Pièce</v>
      </c>
      <c r="E161" s="248" t="str">
        <f>IF(BDD!I158="", "", "X")</f>
        <v/>
      </c>
      <c r="F161" s="248" t="str">
        <f>IF(BDD!J158="", "", "X")</f>
        <v/>
      </c>
      <c r="G161" s="248" t="str">
        <f>IF(BDD!K158="", "", "X")</f>
        <v/>
      </c>
      <c r="H161" s="248" t="str">
        <f>BDD!C158</f>
        <v>Espagne</v>
      </c>
    </row>
    <row r="162" spans="1:8" ht="30" customHeight="1">
      <c r="A162" s="268" t="e">
        <f xml:space="preserve"> IF(#REF!=0, "",#REF!)</f>
        <v>#REF!</v>
      </c>
      <c r="B162" s="245" t="str">
        <f>BDD!B159</f>
        <v>Pitaya (fruit du dragon, jaune à l'extérieur et pulpe blanche)</v>
      </c>
      <c r="C162" s="246">
        <f>BDD!G159</f>
        <v>9.56</v>
      </c>
      <c r="D162" s="247" t="str">
        <f>BDD!H159</f>
        <v>kg</v>
      </c>
      <c r="E162" s="248" t="str">
        <f>IF(BDD!I159="", "", "X")</f>
        <v/>
      </c>
      <c r="F162" s="248" t="str">
        <f>IF(BDD!J159="", "", "X")</f>
        <v/>
      </c>
      <c r="G162" s="248" t="str">
        <f>IF(BDD!K159="", "", "X")</f>
        <v/>
      </c>
      <c r="H162" s="248" t="str">
        <f>BDD!C159</f>
        <v>Grenade</v>
      </c>
    </row>
    <row r="163" spans="1:8" ht="30" customHeight="1">
      <c r="A163" s="268" t="e">
        <f xml:space="preserve"> IF(#REF!=0, "",#REF!)</f>
        <v>#REF!</v>
      </c>
      <c r="B163" s="245" t="str">
        <f>BDD!B160</f>
        <v>Pitaya rouge BIO</v>
      </c>
      <c r="C163" s="246">
        <f>BDD!G160</f>
        <v>11.91</v>
      </c>
      <c r="D163" s="247" t="str">
        <f>BDD!H160</f>
        <v>kg</v>
      </c>
      <c r="E163" s="248" t="str">
        <f>IF(BDD!I160="", "", "X")</f>
        <v>X</v>
      </c>
      <c r="F163" s="248" t="str">
        <f>IF(BDD!J160="", "", "X")</f>
        <v/>
      </c>
      <c r="G163" s="248" t="str">
        <f>IF(BDD!K160="", "", "X")</f>
        <v/>
      </c>
      <c r="H163" s="248" t="str">
        <f>BDD!C160</f>
        <v>Grenade</v>
      </c>
    </row>
    <row r="164" spans="1:8" ht="30" customHeight="1">
      <c r="A164" s="268" t="e">
        <f xml:space="preserve"> IF(#REF!=0, "",#REF!)</f>
        <v>#REF!</v>
      </c>
      <c r="B164" s="245" t="str">
        <f>BDD!B161</f>
        <v xml:space="preserve">Poire Conférence  </v>
      </c>
      <c r="C164" s="246">
        <f>BDD!G161</f>
        <v>3.41</v>
      </c>
      <c r="D164" s="247" t="str">
        <f>BDD!H161</f>
        <v>kg</v>
      </c>
      <c r="E164" s="248" t="str">
        <f>IF(BDD!I161="", "", "X")</f>
        <v>X</v>
      </c>
      <c r="F164" s="248" t="str">
        <f>IF(BDD!J161="", "", "X")</f>
        <v>X</v>
      </c>
      <c r="G164" s="248" t="str">
        <f>IF(BDD!K161="", "", "X")</f>
        <v/>
      </c>
      <c r="H164" s="248" t="str">
        <f>BDD!C161</f>
        <v>Espagne</v>
      </c>
    </row>
    <row r="165" spans="1:8" ht="30" customHeight="1">
      <c r="A165" s="268" t="e">
        <f xml:space="preserve"> IF(#REF!=0, "",#REF!)</f>
        <v>#REF!</v>
      </c>
      <c r="B165" s="245" t="str">
        <f>BDD!B162</f>
        <v>Poire Conférence BIO</v>
      </c>
      <c r="C165" s="246">
        <f>BDD!G162</f>
        <v>3.82</v>
      </c>
      <c r="D165" s="247" t="str">
        <f>BDD!H162</f>
        <v>kg</v>
      </c>
      <c r="E165" s="248" t="str">
        <f>IF(BDD!I162="", "", "X")</f>
        <v>X</v>
      </c>
      <c r="F165" s="248" t="str">
        <f>IF(BDD!J162="", "", "X")</f>
        <v>X</v>
      </c>
      <c r="G165" s="248" t="str">
        <f>IF(BDD!K162="", "", "X")</f>
        <v/>
      </c>
      <c r="H165" s="248" t="str">
        <f>BDD!C162</f>
        <v>Espagne</v>
      </c>
    </row>
    <row r="166" spans="1:8" ht="30" customHeight="1">
      <c r="A166" s="268" t="e">
        <f xml:space="preserve"> IF(#REF!=0, "",#REF!)</f>
        <v>#REF!</v>
      </c>
      <c r="B166" s="245" t="str">
        <f>BDD!B163</f>
        <v>Poireau BIO</v>
      </c>
      <c r="C166" s="246">
        <f>BDD!G163</f>
        <v>3.41</v>
      </c>
      <c r="D166" s="247" t="str">
        <f>BDD!H163</f>
        <v>kg</v>
      </c>
      <c r="E166" s="248" t="str">
        <f>IF(BDD!I163="", "", "X")</f>
        <v>X</v>
      </c>
      <c r="F166" s="248" t="str">
        <f>IF(BDD!J163="", "", "X")</f>
        <v/>
      </c>
      <c r="G166" s="248" t="str">
        <f>IF(BDD!K163="", "", "X")</f>
        <v/>
      </c>
      <c r="H166" s="248" t="str">
        <f>BDD!C163</f>
        <v>Malaga</v>
      </c>
    </row>
    <row r="167" spans="1:8" ht="30" customHeight="1">
      <c r="A167" s="268" t="e">
        <f xml:space="preserve"> IF(#REF!=0, "",#REF!)</f>
        <v>#REF!</v>
      </c>
      <c r="B167" s="245" t="str">
        <f>BDD!B164</f>
        <v>Poivron mini en couleur</v>
      </c>
      <c r="C167" s="246">
        <f>BDD!G164</f>
        <v>3.14</v>
      </c>
      <c r="D167" s="247" t="str">
        <f>BDD!H164</f>
        <v>kg</v>
      </c>
      <c r="E167" s="248" t="str">
        <f>IF(BDD!I164="", "", "X")</f>
        <v>X</v>
      </c>
      <c r="F167" s="248" t="str">
        <f>IF(BDD!J164="", "", "X")</f>
        <v>X</v>
      </c>
      <c r="G167" s="248" t="str">
        <f>IF(BDD!K164="", "", "X")</f>
        <v/>
      </c>
      <c r="H167" s="248" t="str">
        <f>BDD!C164</f>
        <v>Grenade</v>
      </c>
    </row>
    <row r="168" spans="1:8" ht="30" customHeight="1">
      <c r="A168" s="268" t="e">
        <f xml:space="preserve"> IF(#REF!=0, "",#REF!)</f>
        <v>#REF!</v>
      </c>
      <c r="B168" s="245" t="str">
        <f>BDD!B165</f>
        <v>Poivron rouge Ramiro BIO</v>
      </c>
      <c r="C168" s="246">
        <f>BDD!G165</f>
        <v>5.19</v>
      </c>
      <c r="D168" s="247" t="str">
        <f>BDD!H165</f>
        <v>kg</v>
      </c>
      <c r="E168" s="248" t="str">
        <f>IF(BDD!I165="", "", "X")</f>
        <v>X</v>
      </c>
      <c r="F168" s="248" t="str">
        <f>IF(BDD!J165="", "", "X")</f>
        <v/>
      </c>
      <c r="G168" s="248" t="str">
        <f>IF(BDD!K165="", "", "X")</f>
        <v/>
      </c>
      <c r="H168" s="248" t="str">
        <f>BDD!C165</f>
        <v>Malaga</v>
      </c>
    </row>
    <row r="169" spans="1:8" ht="30" customHeight="1">
      <c r="A169" s="268" t="e">
        <f xml:space="preserve"> IF(#REF!=0, "",#REF!)</f>
        <v>#REF!</v>
      </c>
      <c r="B169" s="245" t="str">
        <f>BDD!B166</f>
        <v>Polen Frais BIO (bocal 500g)</v>
      </c>
      <c r="C169" s="246">
        <f>BDD!G166</f>
        <v>17.78</v>
      </c>
      <c r="D169" s="247" t="str">
        <f>BDD!H166</f>
        <v>Pièce</v>
      </c>
      <c r="E169" s="248" t="str">
        <f>IF(BDD!I166="", "", "X")</f>
        <v/>
      </c>
      <c r="F169" s="248" t="str">
        <f>IF(BDD!J166="", "", "X")</f>
        <v/>
      </c>
      <c r="G169" s="248" t="str">
        <f>IF(BDD!K166="", "", "X")</f>
        <v/>
      </c>
      <c r="H169" s="248" t="str">
        <f>BDD!C166</f>
        <v>Cordoue</v>
      </c>
    </row>
    <row r="170" spans="1:8" ht="30" customHeight="1">
      <c r="A170" s="268" t="e">
        <f xml:space="preserve"> IF(#REF!=0, "",#REF!)</f>
        <v>#REF!</v>
      </c>
      <c r="B170" s="245" t="str">
        <f>BDD!B167</f>
        <v>Polen sec BIO (bocal 500g)</v>
      </c>
      <c r="C170" s="246">
        <f>BDD!G167</f>
        <v>18.48</v>
      </c>
      <c r="D170" s="247" t="str">
        <f>BDD!H167</f>
        <v>Pièce</v>
      </c>
      <c r="E170" s="248" t="str">
        <f>IF(BDD!I167="", "", "X")</f>
        <v/>
      </c>
      <c r="F170" s="248" t="str">
        <f>IF(BDD!J167="", "", "X")</f>
        <v/>
      </c>
      <c r="G170" s="248" t="str">
        <f>IF(BDD!K167="", "", "X")</f>
        <v/>
      </c>
      <c r="H170" s="248" t="str">
        <f>BDD!C167</f>
        <v>Huelva</v>
      </c>
    </row>
    <row r="171" spans="1:8" ht="30" customHeight="1">
      <c r="A171" s="268" t="e">
        <f xml:space="preserve"> IF(#REF!=0, "",#REF!)</f>
        <v>#REF!</v>
      </c>
      <c r="B171" s="245" t="str">
        <f>BDD!B168</f>
        <v>Pomme de terre Lucinda blanche BIO</v>
      </c>
      <c r="C171" s="246">
        <f>BDD!G168</f>
        <v>1.9</v>
      </c>
      <c r="D171" s="247" t="str">
        <f>BDD!H168</f>
        <v>kg</v>
      </c>
      <c r="E171" s="248" t="str">
        <f>IF(BDD!I168="", "", "X")</f>
        <v>X</v>
      </c>
      <c r="F171" s="248" t="str">
        <f>IF(BDD!J168="", "", "X")</f>
        <v>X</v>
      </c>
      <c r="G171" s="248" t="str">
        <f>IF(BDD!K168="", "", "X")</f>
        <v/>
      </c>
      <c r="H171" s="248" t="str">
        <f>BDD!C168</f>
        <v>Malaga</v>
      </c>
    </row>
    <row r="172" spans="1:8" ht="30" customHeight="1">
      <c r="A172" s="268" t="e">
        <f xml:space="preserve"> IF(#REF!=0, "",#REF!)</f>
        <v>#REF!</v>
      </c>
      <c r="B172" s="245" t="str">
        <f>BDD!B169</f>
        <v>Pomme de terre rouge BIO</v>
      </c>
      <c r="C172" s="246">
        <f>BDD!G169</f>
        <v>2.3199999999999998</v>
      </c>
      <c r="D172" s="247" t="str">
        <f>BDD!H169</f>
        <v>kg</v>
      </c>
      <c r="E172" s="248" t="str">
        <f>IF(BDD!I169="", "", "X")</f>
        <v>X</v>
      </c>
      <c r="F172" s="248" t="str">
        <f>IF(BDD!J169="", "", "X")</f>
        <v>X</v>
      </c>
      <c r="G172" s="248" t="str">
        <f>IF(BDD!K169="", "", "X")</f>
        <v/>
      </c>
      <c r="H172" s="248" t="str">
        <f>BDD!C169</f>
        <v>Grenade</v>
      </c>
    </row>
    <row r="173" spans="1:8" ht="30" customHeight="1">
      <c r="A173" s="268" t="e">
        <f xml:space="preserve"> IF(#REF!=0, "",#REF!)</f>
        <v>#REF!</v>
      </c>
      <c r="B173" s="245" t="str">
        <f>BDD!B170</f>
        <v>Pomme Golden</v>
      </c>
      <c r="C173" s="246">
        <f>BDD!G170</f>
        <v>2.1800000000000002</v>
      </c>
      <c r="D173" s="247" t="str">
        <f>BDD!H170</f>
        <v>kg</v>
      </c>
      <c r="E173" s="248" t="str">
        <f>IF(BDD!I170="", "", "X")</f>
        <v>X</v>
      </c>
      <c r="F173" s="248" t="str">
        <f>IF(BDD!J170="", "", "X")</f>
        <v>X</v>
      </c>
      <c r="G173" s="248" t="str">
        <f>IF(BDD!K170="", "", "X")</f>
        <v>X</v>
      </c>
      <c r="H173" s="248" t="str">
        <f>BDD!C170</f>
        <v>Grenade</v>
      </c>
    </row>
    <row r="174" spans="1:8" ht="30" customHeight="1">
      <c r="A174" s="268" t="e">
        <f xml:space="preserve"> IF(#REF!=0, "",#REF!)</f>
        <v>#REF!</v>
      </c>
      <c r="B174" s="245" t="str">
        <f>BDD!B171</f>
        <v>Pomme Granny Smith</v>
      </c>
      <c r="C174" s="246">
        <f>BDD!G171</f>
        <v>2.3199999999999998</v>
      </c>
      <c r="D174" s="247" t="str">
        <f>BDD!H171</f>
        <v>kg</v>
      </c>
      <c r="E174" s="248" t="str">
        <f>IF(BDD!I171="", "", "X")</f>
        <v>X</v>
      </c>
      <c r="F174" s="248" t="str">
        <f>IF(BDD!J171="", "", "X")</f>
        <v>X</v>
      </c>
      <c r="G174" s="248" t="str">
        <f>IF(BDD!K171="", "", "X")</f>
        <v>X</v>
      </c>
      <c r="H174" s="248" t="str">
        <f>BDD!C171</f>
        <v>Grenade</v>
      </c>
    </row>
    <row r="175" spans="1:8" ht="30" customHeight="1">
      <c r="A175" s="268" t="e">
        <f xml:space="preserve"> IF(#REF!=0, "",#REF!)</f>
        <v>#REF!</v>
      </c>
      <c r="B175" s="245" t="str">
        <f>BDD!B172</f>
        <v>Pomme Reineta</v>
      </c>
      <c r="C175" s="246">
        <f>BDD!G172</f>
        <v>2.4500000000000002</v>
      </c>
      <c r="D175" s="247" t="str">
        <f>BDD!H172</f>
        <v>kg</v>
      </c>
      <c r="E175" s="248" t="str">
        <f>IF(BDD!I172="", "", "X")</f>
        <v>X</v>
      </c>
      <c r="F175" s="248" t="str">
        <f>IF(BDD!J172="", "", "X")</f>
        <v>X</v>
      </c>
      <c r="G175" s="248" t="str">
        <f>IF(BDD!K172="", "", "X")</f>
        <v/>
      </c>
      <c r="H175" s="248" t="str">
        <f>BDD!C172</f>
        <v>Grenade</v>
      </c>
    </row>
    <row r="176" spans="1:8" ht="30" customHeight="1">
      <c r="A176" s="268" t="e">
        <f xml:space="preserve"> IF(#REF!=0, "",#REF!)</f>
        <v>#REF!</v>
      </c>
      <c r="B176" s="245" t="str">
        <f>BDD!B173</f>
        <v>Pomme rouge Starky</v>
      </c>
      <c r="C176" s="246">
        <f>BDD!G173</f>
        <v>2.3199999999999998</v>
      </c>
      <c r="D176" s="247" t="str">
        <f>BDD!H173</f>
        <v>kg</v>
      </c>
      <c r="E176" s="248" t="str">
        <f>IF(BDD!I173="", "", "X")</f>
        <v>X</v>
      </c>
      <c r="F176" s="248" t="str">
        <f>IF(BDD!J173="", "", "X")</f>
        <v>X</v>
      </c>
      <c r="G176" s="248" t="str">
        <f>IF(BDD!K173="", "", "X")</f>
        <v>X</v>
      </c>
      <c r="H176" s="248" t="str">
        <f>BDD!C173</f>
        <v>Grenade</v>
      </c>
    </row>
    <row r="177" spans="1:8" ht="30" customHeight="1">
      <c r="A177" s="268" t="e">
        <f xml:space="preserve"> IF(#REF!=0, "",#REF!)</f>
        <v>#REF!</v>
      </c>
      <c r="B177" s="245" t="str">
        <f>BDD!B174</f>
        <v>Pomme rouge Top Red</v>
      </c>
      <c r="C177" s="246">
        <f>BDD!G174</f>
        <v>2.4500000000000002</v>
      </c>
      <c r="D177" s="247" t="str">
        <f>BDD!H174</f>
        <v>kg</v>
      </c>
      <c r="E177" s="248" t="str">
        <f>IF(BDD!I174="", "", "X")</f>
        <v/>
      </c>
      <c r="F177" s="248" t="str">
        <f>IF(BDD!J174="", "", "X")</f>
        <v/>
      </c>
      <c r="G177" s="248" t="str">
        <f>IF(BDD!K174="", "", "X")</f>
        <v/>
      </c>
      <c r="H177" s="248" t="str">
        <f>BDD!C174</f>
        <v>Grenade</v>
      </c>
    </row>
    <row r="178" spans="1:8" ht="30" customHeight="1">
      <c r="A178" s="268" t="e">
        <f xml:space="preserve"> IF(#REF!=0, "",#REF!)</f>
        <v>#REF!</v>
      </c>
      <c r="B178" s="245" t="str">
        <f>BDD!B175</f>
        <v>Pomme verte Doncella</v>
      </c>
      <c r="C178" s="246">
        <f>BDD!G175</f>
        <v>2.4500000000000002</v>
      </c>
      <c r="D178" s="247" t="str">
        <f>BDD!H175</f>
        <v>kg</v>
      </c>
      <c r="E178" s="248" t="str">
        <f>IF(BDD!I175="", "", "X")</f>
        <v>X</v>
      </c>
      <c r="F178" s="248" t="str">
        <f>IF(BDD!J175="", "", "X")</f>
        <v>X</v>
      </c>
      <c r="G178" s="248" t="str">
        <f>IF(BDD!K175="", "", "X")</f>
        <v/>
      </c>
      <c r="H178" s="248" t="str">
        <f>BDD!C175</f>
        <v>Grenade</v>
      </c>
    </row>
    <row r="179" spans="1:8" ht="30" customHeight="1">
      <c r="A179" s="268" t="e">
        <f xml:space="preserve"> IF(#REF!=0, "",#REF!)</f>
        <v>#REF!</v>
      </c>
      <c r="B179" s="245" t="str">
        <f>BDD!B176</f>
        <v>Radis Daikon</v>
      </c>
      <c r="C179" s="246">
        <f>BDD!G176</f>
        <v>2.4500000000000002</v>
      </c>
      <c r="D179" s="247" t="str">
        <f>BDD!H176</f>
        <v>kg</v>
      </c>
      <c r="E179" s="248" t="str">
        <f>IF(BDD!I176="", "", "X")</f>
        <v>X</v>
      </c>
      <c r="F179" s="248" t="str">
        <f>IF(BDD!J176="", "", "X")</f>
        <v/>
      </c>
      <c r="G179" s="248" t="str">
        <f>IF(BDD!K176="", "", "X")</f>
        <v/>
      </c>
      <c r="H179" s="248" t="str">
        <f>BDD!C176</f>
        <v>Espagne</v>
      </c>
    </row>
    <row r="180" spans="1:8" ht="30" customHeight="1">
      <c r="A180" s="268" t="e">
        <f xml:space="preserve"> IF(#REF!=0, "",#REF!)</f>
        <v>#REF!</v>
      </c>
      <c r="B180" s="245" t="str">
        <f>BDD!B177</f>
        <v>Raisin sec Sultana BIO
    - (env. 1kg)</v>
      </c>
      <c r="C180" s="246">
        <f>BDD!G177</f>
        <v>6.82</v>
      </c>
      <c r="D180" s="247" t="str">
        <f>BDD!H177</f>
        <v>Pièce</v>
      </c>
      <c r="E180" s="248" t="str">
        <f>IF(BDD!I177="", "", "X")</f>
        <v>X</v>
      </c>
      <c r="F180" s="248" t="str">
        <f>IF(BDD!J177="", "", "X")</f>
        <v>X</v>
      </c>
      <c r="G180" s="248" t="str">
        <f>IF(BDD!K177="", "", "X")</f>
        <v/>
      </c>
      <c r="H180" s="248" t="str">
        <f>BDD!C177</f>
        <v>Turquie</v>
      </c>
    </row>
    <row r="181" spans="1:8" ht="30" customHeight="1">
      <c r="A181" s="268" t="e">
        <f xml:space="preserve"> IF(#REF!=0, "",#REF!)</f>
        <v>#REF!</v>
      </c>
      <c r="B181" s="245" t="str">
        <f>BDD!B178</f>
        <v>Raisins secs Muscat en grains
    - (env. 500g)</v>
      </c>
      <c r="C181" s="246">
        <f>BDD!G178</f>
        <v>5.88</v>
      </c>
      <c r="D181" s="247" t="str">
        <f>BDD!H178</f>
        <v>Pièce</v>
      </c>
      <c r="E181" s="248" t="str">
        <f>IF(BDD!I178="", "", "X")</f>
        <v/>
      </c>
      <c r="F181" s="248" t="str">
        <f>IF(BDD!J178="", "", "X")</f>
        <v/>
      </c>
      <c r="G181" s="248" t="str">
        <f>IF(BDD!K178="", "", "X")</f>
        <v/>
      </c>
      <c r="H181" s="248" t="str">
        <f>BDD!C178</f>
        <v>Malaga</v>
      </c>
    </row>
    <row r="182" spans="1:8" ht="30" customHeight="1">
      <c r="A182" s="268" t="e">
        <f xml:space="preserve"> IF(#REF!=0, "",#REF!)</f>
        <v>#REF!</v>
      </c>
      <c r="B182" s="245" t="str">
        <f>BDD!B179</f>
        <v>Sel rose de l'Himalaya moulu
    - (sous vide, env. 1kg)</v>
      </c>
      <c r="C182" s="246">
        <f>BDD!G179</f>
        <v>2.71</v>
      </c>
      <c r="D182" s="247" t="str">
        <f>BDD!H179</f>
        <v>kg</v>
      </c>
      <c r="E182" s="248" t="str">
        <f>IF(BDD!I179="", "", "X")</f>
        <v>X</v>
      </c>
      <c r="F182" s="248" t="str">
        <f>IF(BDD!J179="", "", "X")</f>
        <v/>
      </c>
      <c r="G182" s="248" t="str">
        <f>IF(BDD!K179="", "", "X")</f>
        <v/>
      </c>
      <c r="H182" s="248" t="str">
        <f>BDD!C179</f>
        <v>Pakistan</v>
      </c>
    </row>
    <row r="183" spans="1:8" ht="30" customHeight="1">
      <c r="A183" s="268" t="e">
        <f xml:space="preserve"> IF(#REF!=0, "",#REF!)</f>
        <v>#REF!</v>
      </c>
      <c r="B183" s="245" t="str">
        <f>BDD!B180</f>
        <v>Sésame CRU BIO (env. 1kg)</v>
      </c>
      <c r="C183" s="246">
        <f>BDD!G180</f>
        <v>6.7</v>
      </c>
      <c r="D183" s="247" t="str">
        <f>BDD!H180</f>
        <v>Pièce</v>
      </c>
      <c r="E183" s="248" t="str">
        <f>IF(BDD!I180="", "", "X")</f>
        <v>X</v>
      </c>
      <c r="F183" s="248" t="str">
        <f>IF(BDD!J180="", "", "X")</f>
        <v/>
      </c>
      <c r="G183" s="248" t="str">
        <f>IF(BDD!K180="", "", "X")</f>
        <v/>
      </c>
      <c r="H183" s="248" t="str">
        <f>BDD!C180</f>
        <v>Paraguay
Egypte</v>
      </c>
    </row>
    <row r="184" spans="1:8" ht="30" customHeight="1">
      <c r="A184" s="268" t="e">
        <f xml:space="preserve"> IF(#REF!=0, "",#REF!)</f>
        <v>#REF!</v>
      </c>
      <c r="B184" s="245" t="str">
        <f>BDD!B181</f>
        <v>Souchet BIO (env. 1kg)</v>
      </c>
      <c r="C184" s="246">
        <f>BDD!G181</f>
        <v>8.19</v>
      </c>
      <c r="D184" s="247" t="str">
        <f>BDD!H181</f>
        <v>Pièce</v>
      </c>
      <c r="E184" s="248" t="str">
        <f>IF(BDD!I181="", "", "X")</f>
        <v>X</v>
      </c>
      <c r="F184" s="248" t="str">
        <f>IF(BDD!J181="", "", "X")</f>
        <v>X</v>
      </c>
      <c r="G184" s="248" t="str">
        <f>IF(BDD!K181="", "", "X")</f>
        <v/>
      </c>
      <c r="H184" s="248" t="str">
        <f>BDD!C181</f>
        <v>Import</v>
      </c>
    </row>
    <row r="185" spans="1:8" ht="30" customHeight="1">
      <c r="A185" s="268" t="e">
        <f xml:space="preserve"> IF(#REF!=0, "",#REF!)</f>
        <v>#REF!</v>
      </c>
      <c r="B185" s="245" t="str">
        <f>BDD!B182</f>
        <v>Spaguetti de mer déshydraté BIO (env. 1kg)</v>
      </c>
      <c r="C185" s="246">
        <f>BDD!G182</f>
        <v>37.659999999999997</v>
      </c>
      <c r="D185" s="247" t="str">
        <f>BDD!H182</f>
        <v>Pièce</v>
      </c>
      <c r="E185" s="248" t="str">
        <f>IF(BDD!I182="", "", "X")</f>
        <v/>
      </c>
      <c r="F185" s="248" t="str">
        <f>IF(BDD!J182="", "", "X")</f>
        <v/>
      </c>
      <c r="G185" s="248" t="str">
        <f>IF(BDD!K182="", "", "X")</f>
        <v/>
      </c>
      <c r="H185" s="248" t="str">
        <f>BDD!C182</f>
        <v>Galice</v>
      </c>
    </row>
    <row r="186" spans="1:8" ht="30" customHeight="1">
      <c r="A186" s="268" t="e">
        <f xml:space="preserve"> IF(#REF!=0, "",#REF!)</f>
        <v>#REF!</v>
      </c>
      <c r="B186" s="245" t="str">
        <f>BDD!B183</f>
        <v>Spaguetti de mer déshydraté BIO (env. 500g)</v>
      </c>
      <c r="C186" s="246">
        <f>BDD!G183</f>
        <v>19.579999999999998</v>
      </c>
      <c r="D186" s="247" t="str">
        <f>BDD!H183</f>
        <v>Pièce</v>
      </c>
      <c r="E186" s="248" t="str">
        <f>IF(BDD!I183="", "", "X")</f>
        <v/>
      </c>
      <c r="F186" s="248" t="str">
        <f>IF(BDD!J183="", "", "X")</f>
        <v/>
      </c>
      <c r="G186" s="248" t="str">
        <f>IF(BDD!K183="", "", "X")</f>
        <v/>
      </c>
      <c r="H186" s="248" t="str">
        <f>BDD!C183</f>
        <v>Galice</v>
      </c>
    </row>
    <row r="187" spans="1:8" ht="30" customHeight="1">
      <c r="A187" s="268" t="e">
        <f xml:space="preserve"> IF(#REF!=0, "",#REF!)</f>
        <v>#REF!</v>
      </c>
      <c r="B187" s="245" t="str">
        <f>BDD!B184</f>
        <v>Spiruline en poudre</v>
      </c>
      <c r="C187" s="246">
        <f>BDD!G184</f>
        <v>35.590000000000003</v>
      </c>
      <c r="D187" s="247" t="str">
        <f>BDD!H184</f>
        <v>Pièce</v>
      </c>
      <c r="E187" s="248" t="str">
        <f>IF(BDD!I184="", "", "X")</f>
        <v/>
      </c>
      <c r="F187" s="248" t="str">
        <f>IF(BDD!J184="", "", "X")</f>
        <v/>
      </c>
      <c r="G187" s="248" t="str">
        <f>IF(BDD!K184="", "", "X")</f>
        <v/>
      </c>
      <c r="H187" s="248" t="str">
        <f>BDD!C184</f>
        <v>Inde</v>
      </c>
    </row>
    <row r="188" spans="1:8" ht="30" customHeight="1">
      <c r="A188" s="268" t="e">
        <f xml:space="preserve"> IF(#REF!=0, "",#REF!)</f>
        <v>#REF!</v>
      </c>
      <c r="B188" s="245" t="str">
        <f>BDD!B185</f>
        <v>Sucre de coco BIO (env. 1kg)</v>
      </c>
      <c r="C188" s="246">
        <f>BDD!G185</f>
        <v>11.91</v>
      </c>
      <c r="D188" s="247" t="str">
        <f>BDD!H185</f>
        <v>Pièce</v>
      </c>
      <c r="E188" s="248" t="str">
        <f>IF(BDD!I185="", "", "X")</f>
        <v>X</v>
      </c>
      <c r="F188" s="248" t="str">
        <f>IF(BDD!J185="", "", "X")</f>
        <v/>
      </c>
      <c r="G188" s="248" t="str">
        <f>IF(BDD!K185="", "", "X")</f>
        <v/>
      </c>
      <c r="H188" s="248" t="str">
        <f>BDD!C185</f>
        <v>Indonésie</v>
      </c>
    </row>
    <row r="189" spans="1:8" ht="30" customHeight="1">
      <c r="A189" s="268" t="e">
        <f xml:space="preserve"> IF(#REF!=0, "",#REF!)</f>
        <v>#REF!</v>
      </c>
      <c r="B189" s="245" t="str">
        <f>BDD!B186</f>
        <v>Tomate déshydratée CRU BIO (env. 1kg, à basse température 35º, qualité supérieure)</v>
      </c>
      <c r="C189" s="246">
        <f>BDD!G186</f>
        <v>32.85</v>
      </c>
      <c r="D189" s="247" t="str">
        <f>BDD!H186</f>
        <v>Pièce</v>
      </c>
      <c r="E189" s="248" t="str">
        <f>IF(BDD!I186="", "", "X")</f>
        <v/>
      </c>
      <c r="F189" s="248" t="str">
        <f>IF(BDD!J186="", "", "X")</f>
        <v/>
      </c>
      <c r="G189" s="248" t="str">
        <f>IF(BDD!K186="", "", "X")</f>
        <v/>
      </c>
      <c r="H189" s="248" t="str">
        <f>BDD!C186</f>
        <v>Espagne</v>
      </c>
    </row>
    <row r="190" spans="1:8" ht="30" customHeight="1">
      <c r="A190" s="268" t="e">
        <f xml:space="preserve"> IF(#REF!=0, "",#REF!)</f>
        <v>#REF!</v>
      </c>
      <c r="B190" s="245" t="str">
        <f>BDD!B187</f>
        <v>Tomate déshydratée CRU BIO (env. 200g, à basse température 35º, qualité supérieure)</v>
      </c>
      <c r="C190" s="246">
        <f>BDD!G187</f>
        <v>7.25</v>
      </c>
      <c r="D190" s="247" t="str">
        <f>BDD!H187</f>
        <v>Pièce</v>
      </c>
      <c r="E190" s="248" t="str">
        <f>IF(BDD!I187="", "", "X")</f>
        <v/>
      </c>
      <c r="F190" s="248" t="str">
        <f>IF(BDD!J187="", "", "X")</f>
        <v/>
      </c>
      <c r="G190" s="248" t="str">
        <f>IF(BDD!K187="", "", "X")</f>
        <v/>
      </c>
      <c r="H190" s="248" t="str">
        <f>BDD!C187</f>
        <v>Espagne</v>
      </c>
    </row>
    <row r="191" spans="1:8" ht="30" customHeight="1">
      <c r="A191" s="268" t="e">
        <f xml:space="preserve"> IF(#REF!=0, "",#REF!)</f>
        <v>#REF!</v>
      </c>
      <c r="B191" s="245" t="str">
        <f>BDD!B188</f>
        <v>Xylitol (sucre de bouleau) (env. 1kg)</v>
      </c>
      <c r="C191" s="246">
        <f>BDD!G188</f>
        <v>24.63</v>
      </c>
      <c r="D191" s="247" t="str">
        <f>BDD!H188</f>
        <v>Pièce</v>
      </c>
      <c r="E191" s="248" t="str">
        <f>IF(BDD!I188="", "", "X")</f>
        <v>X</v>
      </c>
      <c r="F191" s="248" t="str">
        <f>IF(BDD!J188="", "", "X")</f>
        <v/>
      </c>
      <c r="G191" s="248" t="str">
        <f>IF(BDD!K188="", "", "X")</f>
        <v/>
      </c>
      <c r="H191" s="248" t="str">
        <f>BDD!C188</f>
        <v>Pérou</v>
      </c>
    </row>
    <row r="192" spans="1:8" ht="30" customHeight="1">
      <c r="A192" s="268" t="e">
        <f xml:space="preserve"> IF(#REF!=0, "",#REF!)</f>
        <v>#REF!</v>
      </c>
      <c r="B192" s="245">
        <f>BDD!B189</f>
        <v>0</v>
      </c>
      <c r="C192" s="246">
        <f>BDD!G189</f>
        <v>0</v>
      </c>
      <c r="D192" s="247">
        <f>BDD!H189</f>
        <v>0</v>
      </c>
      <c r="E192" s="248" t="str">
        <f>IF(BDD!I189="", "", "X")</f>
        <v/>
      </c>
      <c r="F192" s="248" t="str">
        <f>IF(BDD!J189="", "", "X")</f>
        <v/>
      </c>
      <c r="G192" s="248" t="str">
        <f>IF(BDD!K189="", "", "X")</f>
        <v/>
      </c>
      <c r="H192" s="248">
        <f>BDD!C189</f>
        <v>0</v>
      </c>
    </row>
    <row r="193" spans="1:8" ht="30" customHeight="1">
      <c r="A193" s="268" t="e">
        <f xml:space="preserve"> IF(#REF!=0, "",#REF!)</f>
        <v>#REF!</v>
      </c>
      <c r="B193" s="245">
        <f>BDD!B190</f>
        <v>0</v>
      </c>
      <c r="C193" s="246">
        <f>BDD!G190</f>
        <v>0</v>
      </c>
      <c r="D193" s="247">
        <f>BDD!H190</f>
        <v>0</v>
      </c>
      <c r="E193" s="248" t="str">
        <f>IF(BDD!I190="", "", "X")</f>
        <v/>
      </c>
      <c r="F193" s="248" t="str">
        <f>IF(BDD!J190="", "", "X")</f>
        <v/>
      </c>
      <c r="G193" s="248" t="str">
        <f>IF(BDD!K190="", "", "X")</f>
        <v/>
      </c>
      <c r="H193" s="248">
        <f>BDD!C190</f>
        <v>0</v>
      </c>
    </row>
    <row r="194" spans="1:8" ht="30" customHeight="1">
      <c r="A194" s="268" t="e">
        <f xml:space="preserve"> IF(#REF!=0, "",#REF!)</f>
        <v>#REF!</v>
      </c>
      <c r="B194" s="245">
        <f>BDD!B191</f>
        <v>0</v>
      </c>
      <c r="C194" s="246">
        <f>BDD!G191</f>
        <v>0</v>
      </c>
      <c r="D194" s="247">
        <f>BDD!H191</f>
        <v>0</v>
      </c>
      <c r="E194" s="248" t="str">
        <f>IF(BDD!I191="", "", "X")</f>
        <v/>
      </c>
      <c r="F194" s="248" t="str">
        <f>IF(BDD!J191="", "", "X")</f>
        <v/>
      </c>
      <c r="G194" s="248" t="str">
        <f>IF(BDD!K191="", "", "X")</f>
        <v/>
      </c>
      <c r="H194" s="248">
        <f>BDD!C191</f>
        <v>0</v>
      </c>
    </row>
    <row r="195" spans="1:8" ht="30" customHeight="1">
      <c r="A195" s="268" t="e">
        <f xml:space="preserve"> IF(#REF!=0, "",#REF!)</f>
        <v>#REF!</v>
      </c>
      <c r="B195" s="245">
        <f>BDD!B192</f>
        <v>0</v>
      </c>
      <c r="C195" s="246">
        <f>BDD!G192</f>
        <v>0</v>
      </c>
      <c r="D195" s="247">
        <f>BDD!H192</f>
        <v>0</v>
      </c>
      <c r="E195" s="248" t="str">
        <f>IF(BDD!I192="", "", "X")</f>
        <v/>
      </c>
      <c r="F195" s="248" t="str">
        <f>IF(BDD!J192="", "", "X")</f>
        <v/>
      </c>
      <c r="G195" s="248" t="str">
        <f>IF(BDD!K192="", "", "X")</f>
        <v/>
      </c>
      <c r="H195" s="248">
        <f>BDD!C192</f>
        <v>0</v>
      </c>
    </row>
    <row r="196" spans="1:8" ht="30" customHeight="1">
      <c r="A196" s="268" t="e">
        <f xml:space="preserve"> IF(#REF!=0, "",#REF!)</f>
        <v>#REF!</v>
      </c>
      <c r="B196" s="245">
        <f>BDD!B193</f>
        <v>0</v>
      </c>
      <c r="C196" s="246">
        <f>BDD!G193</f>
        <v>0</v>
      </c>
      <c r="D196" s="247">
        <f>BDD!H193</f>
        <v>0</v>
      </c>
      <c r="E196" s="248" t="str">
        <f>IF(BDD!I193="", "", "X")</f>
        <v/>
      </c>
      <c r="F196" s="248" t="str">
        <f>IF(BDD!J193="", "", "X")</f>
        <v/>
      </c>
      <c r="G196" s="248" t="str">
        <f>IF(BDD!K193="", "", "X")</f>
        <v/>
      </c>
      <c r="H196" s="248">
        <f>BDD!C193</f>
        <v>0</v>
      </c>
    </row>
    <row r="197" spans="1:8" ht="30" customHeight="1">
      <c r="A197" s="268" t="e">
        <f xml:space="preserve"> IF(#REF!=0, "",#REF!)</f>
        <v>#REF!</v>
      </c>
      <c r="B197" s="245">
        <f>BDD!B194</f>
        <v>0</v>
      </c>
      <c r="C197" s="246">
        <f>BDD!G194</f>
        <v>0</v>
      </c>
      <c r="D197" s="247">
        <f>BDD!H194</f>
        <v>0</v>
      </c>
      <c r="E197" s="248" t="str">
        <f>IF(BDD!I194="", "", "X")</f>
        <v/>
      </c>
      <c r="F197" s="248" t="str">
        <f>IF(BDD!J194="", "", "X")</f>
        <v/>
      </c>
      <c r="G197" s="248" t="str">
        <f>IF(BDD!K194="", "", "X")</f>
        <v/>
      </c>
      <c r="H197" s="248">
        <f>BDD!C194</f>
        <v>0</v>
      </c>
    </row>
    <row r="198" spans="1:8" ht="30" customHeight="1">
      <c r="A198" s="268" t="e">
        <f xml:space="preserve"> IF(#REF!=0, "",#REF!)</f>
        <v>#REF!</v>
      </c>
      <c r="B198" s="245">
        <f>BDD!B195</f>
        <v>0</v>
      </c>
      <c r="C198" s="246">
        <f>BDD!G195</f>
        <v>0</v>
      </c>
      <c r="D198" s="247">
        <f>BDD!H195</f>
        <v>0</v>
      </c>
      <c r="E198" s="248" t="str">
        <f>IF(BDD!I195="", "", "X")</f>
        <v/>
      </c>
      <c r="F198" s="248" t="str">
        <f>IF(BDD!J195="", "", "X")</f>
        <v/>
      </c>
      <c r="G198" s="248" t="str">
        <f>IF(BDD!K195="", "", "X")</f>
        <v/>
      </c>
      <c r="H198" s="248">
        <f>BDD!C195</f>
        <v>0</v>
      </c>
    </row>
    <row r="199" spans="1:8" ht="30" customHeight="1">
      <c r="A199" s="268" t="e">
        <f xml:space="preserve"> IF(#REF!=0, "",#REF!)</f>
        <v>#REF!</v>
      </c>
      <c r="B199" s="245">
        <f>BDD!B196</f>
        <v>0</v>
      </c>
      <c r="C199" s="246">
        <f>BDD!G196</f>
        <v>0</v>
      </c>
      <c r="D199" s="247">
        <f>BDD!H196</f>
        <v>0</v>
      </c>
      <c r="E199" s="248" t="str">
        <f>IF(BDD!I196="", "", "X")</f>
        <v/>
      </c>
      <c r="F199" s="248" t="str">
        <f>IF(BDD!J196="", "", "X")</f>
        <v/>
      </c>
      <c r="G199" s="248" t="str">
        <f>IF(BDD!K196="", "", "X")</f>
        <v/>
      </c>
      <c r="H199" s="248">
        <f>BDD!C196</f>
        <v>0</v>
      </c>
    </row>
    <row r="200" spans="1:8" ht="30" customHeight="1">
      <c r="A200" s="268" t="e">
        <f xml:space="preserve"> IF(#REF!=0, "",#REF!)</f>
        <v>#REF!</v>
      </c>
      <c r="B200" s="245">
        <f>BDD!B197</f>
        <v>0</v>
      </c>
      <c r="C200" s="246">
        <f>BDD!G197</f>
        <v>0</v>
      </c>
      <c r="D200" s="247">
        <f>BDD!H197</f>
        <v>0</v>
      </c>
      <c r="E200" s="248" t="str">
        <f>IF(BDD!I197="", "", "X")</f>
        <v/>
      </c>
      <c r="F200" s="248" t="str">
        <f>IF(BDD!J197="", "", "X")</f>
        <v/>
      </c>
      <c r="G200" s="248" t="str">
        <f>IF(BDD!K197="", "", "X")</f>
        <v/>
      </c>
      <c r="H200" s="248">
        <f>BDD!C197</f>
        <v>0</v>
      </c>
    </row>
    <row r="201" spans="1:8" ht="30" customHeight="1">
      <c r="A201" s="268" t="e">
        <f xml:space="preserve"> IF(#REF!=0, "",#REF!)</f>
        <v>#REF!</v>
      </c>
      <c r="B201" s="245">
        <f>BDD!B198</f>
        <v>0</v>
      </c>
      <c r="C201" s="246">
        <f>BDD!G198</f>
        <v>0</v>
      </c>
      <c r="D201" s="247">
        <f>BDD!H198</f>
        <v>0</v>
      </c>
      <c r="E201" s="248" t="str">
        <f>IF(BDD!I198="", "", "X")</f>
        <v/>
      </c>
      <c r="F201" s="248" t="str">
        <f>IF(BDD!J198="", "", "X")</f>
        <v/>
      </c>
      <c r="G201" s="248" t="str">
        <f>IF(BDD!K198="", "", "X")</f>
        <v/>
      </c>
      <c r="H201" s="248">
        <f>BDD!C198</f>
        <v>0</v>
      </c>
    </row>
    <row r="202" spans="1:8" ht="30" customHeight="1">
      <c r="A202" s="268" t="e">
        <f xml:space="preserve"> IF(#REF!=0, "",#REF!)</f>
        <v>#REF!</v>
      </c>
      <c r="B202" s="245">
        <f>BDD!B199</f>
        <v>0</v>
      </c>
      <c r="C202" s="246">
        <f>BDD!G199</f>
        <v>0</v>
      </c>
      <c r="D202" s="247">
        <f>BDD!H199</f>
        <v>0</v>
      </c>
      <c r="E202" s="248" t="str">
        <f>IF(BDD!I199="", "", "X")</f>
        <v/>
      </c>
      <c r="F202" s="248" t="str">
        <f>IF(BDD!J199="", "", "X")</f>
        <v/>
      </c>
      <c r="G202" s="248" t="str">
        <f>IF(BDD!K199="", "", "X")</f>
        <v/>
      </c>
      <c r="H202" s="248">
        <f>BDD!C199</f>
        <v>0</v>
      </c>
    </row>
    <row r="203" spans="1:8" ht="30" customHeight="1">
      <c r="A203" s="268" t="e">
        <f xml:space="preserve"> IF(#REF!=0, "",#REF!)</f>
        <v>#REF!</v>
      </c>
      <c r="B203" s="245">
        <f>BDD!B200</f>
        <v>0</v>
      </c>
      <c r="C203" s="246">
        <f>BDD!G200</f>
        <v>0</v>
      </c>
      <c r="D203" s="247">
        <f>BDD!H200</f>
        <v>0</v>
      </c>
      <c r="E203" s="248" t="str">
        <f>IF(BDD!I200="", "", "X")</f>
        <v/>
      </c>
      <c r="F203" s="248" t="str">
        <f>IF(BDD!J200="", "", "X")</f>
        <v/>
      </c>
      <c r="G203" s="248" t="str">
        <f>IF(BDD!K200="", "", "X")</f>
        <v/>
      </c>
      <c r="H203" s="248">
        <f>BDD!C200</f>
        <v>0</v>
      </c>
    </row>
    <row r="204" spans="1:8" ht="30" customHeight="1">
      <c r="A204" s="268" t="e">
        <f xml:space="preserve"> IF(#REF!=0, "",#REF!)</f>
        <v>#REF!</v>
      </c>
      <c r="B204" s="245">
        <f>BDD!B201</f>
        <v>0</v>
      </c>
      <c r="C204" s="246">
        <f>BDD!G201</f>
        <v>0</v>
      </c>
      <c r="D204" s="247">
        <f>BDD!H201</f>
        <v>0</v>
      </c>
      <c r="E204" s="248" t="str">
        <f>IF(BDD!I201="", "", "X")</f>
        <v/>
      </c>
      <c r="F204" s="248" t="str">
        <f>IF(BDD!J201="", "", "X")</f>
        <v/>
      </c>
      <c r="G204" s="248" t="str">
        <f>IF(BDD!K201="", "", "X")</f>
        <v/>
      </c>
      <c r="H204" s="248">
        <f>BDD!C201</f>
        <v>0</v>
      </c>
    </row>
    <row r="205" spans="1:8" ht="30" customHeight="1">
      <c r="A205" s="268" t="e">
        <f xml:space="preserve"> IF(#REF!=0, "",#REF!)</f>
        <v>#REF!</v>
      </c>
      <c r="B205" s="245">
        <f>BDD!B202</f>
        <v>0</v>
      </c>
      <c r="C205" s="246">
        <f>BDD!G202</f>
        <v>0</v>
      </c>
      <c r="D205" s="247">
        <f>BDD!H202</f>
        <v>0</v>
      </c>
      <c r="E205" s="248" t="str">
        <f>IF(BDD!I202="", "", "X")</f>
        <v/>
      </c>
      <c r="F205" s="248" t="str">
        <f>IF(BDD!J202="", "", "X")</f>
        <v/>
      </c>
      <c r="G205" s="248" t="str">
        <f>IF(BDD!K202="", "", "X")</f>
        <v/>
      </c>
      <c r="H205" s="248">
        <f>BDD!C202</f>
        <v>0</v>
      </c>
    </row>
    <row r="206" spans="1:8" ht="30" customHeight="1">
      <c r="A206" s="268" t="e">
        <f xml:space="preserve"> IF(#REF!=0, "",#REF!)</f>
        <v>#REF!</v>
      </c>
      <c r="B206" s="245">
        <f>BDD!B203</f>
        <v>0</v>
      </c>
      <c r="C206" s="246">
        <f>BDD!G203</f>
        <v>0</v>
      </c>
      <c r="D206" s="247">
        <f>BDD!H203</f>
        <v>0</v>
      </c>
      <c r="E206" s="248" t="str">
        <f>IF(BDD!I203="", "", "X")</f>
        <v/>
      </c>
      <c r="F206" s="248" t="str">
        <f>IF(BDD!J203="", "", "X")</f>
        <v/>
      </c>
      <c r="G206" s="248" t="str">
        <f>IF(BDD!K203="", "", "X")</f>
        <v/>
      </c>
      <c r="H206" s="248">
        <f>BDD!C203</f>
        <v>0</v>
      </c>
    </row>
    <row r="207" spans="1:8" ht="30" customHeight="1">
      <c r="A207" s="268" t="e">
        <f xml:space="preserve"> IF(#REF!=0, "",#REF!)</f>
        <v>#REF!</v>
      </c>
      <c r="B207" s="245">
        <f>BDD!B204</f>
        <v>0</v>
      </c>
      <c r="C207" s="246">
        <f>BDD!G204</f>
        <v>0</v>
      </c>
      <c r="D207" s="247">
        <f>BDD!H204</f>
        <v>0</v>
      </c>
      <c r="E207" s="248" t="str">
        <f>IF(BDD!I204="", "", "X")</f>
        <v/>
      </c>
      <c r="F207" s="248" t="str">
        <f>IF(BDD!J204="", "", "X")</f>
        <v/>
      </c>
      <c r="G207" s="248" t="str">
        <f>IF(BDD!K204="", "", "X")</f>
        <v/>
      </c>
      <c r="H207" s="248">
        <f>BDD!C204</f>
        <v>0</v>
      </c>
    </row>
    <row r="208" spans="1:8" ht="30" customHeight="1">
      <c r="A208" s="268" t="e">
        <f xml:space="preserve"> IF(#REF!=0, "",#REF!)</f>
        <v>#REF!</v>
      </c>
      <c r="B208" s="245">
        <f>BDD!B205</f>
        <v>0</v>
      </c>
      <c r="C208" s="246">
        <f>BDD!G205</f>
        <v>0</v>
      </c>
      <c r="D208" s="247">
        <f>BDD!H205</f>
        <v>0</v>
      </c>
      <c r="E208" s="248" t="str">
        <f>IF(BDD!I205="", "", "X")</f>
        <v/>
      </c>
      <c r="F208" s="248" t="str">
        <f>IF(BDD!J205="", "", "X")</f>
        <v/>
      </c>
      <c r="G208" s="248" t="str">
        <f>IF(BDD!K205="", "", "X")</f>
        <v/>
      </c>
      <c r="H208" s="248">
        <f>BDD!C205</f>
        <v>0</v>
      </c>
    </row>
    <row r="209" spans="1:8" ht="30" customHeight="1">
      <c r="A209" s="268" t="e">
        <f xml:space="preserve"> IF(#REF!=0, "",#REF!)</f>
        <v>#REF!</v>
      </c>
      <c r="B209" s="245">
        <f>BDD!B206</f>
        <v>0</v>
      </c>
      <c r="C209" s="246">
        <f>BDD!G206</f>
        <v>0</v>
      </c>
      <c r="D209" s="247">
        <f>BDD!H206</f>
        <v>0</v>
      </c>
      <c r="E209" s="248" t="str">
        <f>IF(BDD!I206="", "", "X")</f>
        <v/>
      </c>
      <c r="F209" s="248" t="str">
        <f>IF(BDD!J206="", "", "X")</f>
        <v/>
      </c>
      <c r="G209" s="248" t="str">
        <f>IF(BDD!K206="", "", "X")</f>
        <v/>
      </c>
      <c r="H209" s="248">
        <f>BDD!C206</f>
        <v>0</v>
      </c>
    </row>
    <row r="210" spans="1:8" ht="30" customHeight="1">
      <c r="A210" s="268" t="e">
        <f xml:space="preserve"> IF(#REF!=0, "",#REF!)</f>
        <v>#REF!</v>
      </c>
      <c r="B210" s="245">
        <f>BDD!B207</f>
        <v>0</v>
      </c>
      <c r="C210" s="246">
        <f>BDD!G207</f>
        <v>0</v>
      </c>
      <c r="D210" s="247">
        <f>BDD!H207</f>
        <v>0</v>
      </c>
      <c r="E210" s="248" t="str">
        <f>IF(BDD!I207="", "", "X")</f>
        <v/>
      </c>
      <c r="F210" s="248" t="str">
        <f>IF(BDD!J207="", "", "X")</f>
        <v/>
      </c>
      <c r="G210" s="248" t="str">
        <f>IF(BDD!K207="", "", "X")</f>
        <v/>
      </c>
      <c r="H210" s="248">
        <f>BDD!C207</f>
        <v>0</v>
      </c>
    </row>
    <row r="211" spans="1:8" ht="30" customHeight="1">
      <c r="A211" s="268" t="e">
        <f xml:space="preserve"> IF(#REF!=0, "",#REF!)</f>
        <v>#REF!</v>
      </c>
      <c r="B211" s="245">
        <f>BDD!B208</f>
        <v>0</v>
      </c>
      <c r="C211" s="246">
        <f>BDD!G208</f>
        <v>0</v>
      </c>
      <c r="D211" s="247">
        <f>BDD!H208</f>
        <v>0</v>
      </c>
      <c r="E211" s="248" t="str">
        <f>IF(BDD!I208="", "", "X")</f>
        <v/>
      </c>
      <c r="F211" s="248" t="str">
        <f>IF(BDD!J208="", "", "X")</f>
        <v/>
      </c>
      <c r="G211" s="248" t="str">
        <f>IF(BDD!K208="", "", "X")</f>
        <v/>
      </c>
      <c r="H211" s="248">
        <f>BDD!C208</f>
        <v>0</v>
      </c>
    </row>
    <row r="212" spans="1:8" ht="30" customHeight="1">
      <c r="A212" s="268" t="e">
        <f xml:space="preserve"> IF(#REF!=0, "",#REF!)</f>
        <v>#REF!</v>
      </c>
      <c r="B212" s="245">
        <f>BDD!B209</f>
        <v>0</v>
      </c>
      <c r="C212" s="246">
        <f>BDD!G209</f>
        <v>0</v>
      </c>
      <c r="D212" s="247">
        <f>BDD!H209</f>
        <v>0</v>
      </c>
      <c r="E212" s="248" t="str">
        <f>IF(BDD!I209="", "", "X")</f>
        <v/>
      </c>
      <c r="F212" s="248" t="str">
        <f>IF(BDD!J209="", "", "X")</f>
        <v/>
      </c>
      <c r="G212" s="248" t="str">
        <f>IF(BDD!K209="", "", "X")</f>
        <v/>
      </c>
      <c r="H212" s="248">
        <f>BDD!C209</f>
        <v>0</v>
      </c>
    </row>
    <row r="213" spans="1:8" ht="30" customHeight="1">
      <c r="A213" s="268" t="e">
        <f xml:space="preserve"> IF(#REF!=0, "",#REF!)</f>
        <v>#REF!</v>
      </c>
      <c r="B213" s="245">
        <f>BDD!B210</f>
        <v>0</v>
      </c>
      <c r="C213" s="246">
        <f>BDD!G210</f>
        <v>0</v>
      </c>
      <c r="D213" s="247">
        <f>BDD!H210</f>
        <v>0</v>
      </c>
      <c r="E213" s="248" t="str">
        <f>IF(BDD!I210="", "", "X")</f>
        <v/>
      </c>
      <c r="F213" s="248" t="str">
        <f>IF(BDD!J210="", "", "X")</f>
        <v/>
      </c>
      <c r="G213" s="248" t="str">
        <f>IF(BDD!K210="", "", "X")</f>
        <v/>
      </c>
      <c r="H213" s="248">
        <f>BDD!C210</f>
        <v>0</v>
      </c>
    </row>
    <row r="214" spans="1:8" ht="30" customHeight="1">
      <c r="A214" s="268" t="e">
        <f xml:space="preserve"> IF(#REF!=0, "",#REF!)</f>
        <v>#REF!</v>
      </c>
      <c r="B214" s="245">
        <f>BDD!B211</f>
        <v>0</v>
      </c>
      <c r="C214" s="246">
        <f>BDD!G211</f>
        <v>0</v>
      </c>
      <c r="D214" s="247">
        <f>BDD!H211</f>
        <v>0</v>
      </c>
      <c r="E214" s="248" t="str">
        <f>IF(BDD!I211="", "", "X")</f>
        <v/>
      </c>
      <c r="F214" s="248" t="str">
        <f>IF(BDD!J211="", "", "X")</f>
        <v/>
      </c>
      <c r="G214" s="248" t="str">
        <f>IF(BDD!K211="", "", "X")</f>
        <v/>
      </c>
      <c r="H214" s="248">
        <f>BDD!C211</f>
        <v>0</v>
      </c>
    </row>
    <row r="215" spans="1:8" ht="30" customHeight="1">
      <c r="A215" s="268" t="e">
        <f xml:space="preserve"> IF(#REF!=0, "",#REF!)</f>
        <v>#REF!</v>
      </c>
      <c r="B215" s="245">
        <f>BDD!B212</f>
        <v>0</v>
      </c>
      <c r="C215" s="246">
        <f>BDD!G212</f>
        <v>0</v>
      </c>
      <c r="D215" s="247">
        <f>BDD!H212</f>
        <v>0</v>
      </c>
      <c r="E215" s="248" t="str">
        <f>IF(BDD!I212="", "", "X")</f>
        <v/>
      </c>
      <c r="F215" s="248" t="str">
        <f>IF(BDD!J212="", "", "X")</f>
        <v/>
      </c>
      <c r="G215" s="248" t="str">
        <f>IF(BDD!K212="", "", "X")</f>
        <v/>
      </c>
      <c r="H215" s="248">
        <f>BDD!C212</f>
        <v>0</v>
      </c>
    </row>
    <row r="216" spans="1:8" ht="30" customHeight="1">
      <c r="A216" s="268" t="e">
        <f xml:space="preserve"> IF(#REF!=0, "",#REF!)</f>
        <v>#REF!</v>
      </c>
      <c r="B216" s="245">
        <f>BDD!B213</f>
        <v>0</v>
      </c>
      <c r="C216" s="246">
        <f>BDD!G213</f>
        <v>0</v>
      </c>
      <c r="D216" s="247">
        <f>BDD!H213</f>
        <v>0</v>
      </c>
      <c r="E216" s="248" t="str">
        <f>IF(BDD!I213="", "", "X")</f>
        <v/>
      </c>
      <c r="F216" s="248" t="str">
        <f>IF(BDD!J213="", "", "X")</f>
        <v/>
      </c>
      <c r="G216" s="248" t="str">
        <f>IF(BDD!K213="", "", "X")</f>
        <v/>
      </c>
      <c r="H216" s="248">
        <f>BDD!C213</f>
        <v>0</v>
      </c>
    </row>
    <row r="217" spans="1:8">
      <c r="A217" s="268" t="e">
        <f xml:space="preserve"> IF(#REF!=0, "",#REF!)</f>
        <v>#REF!</v>
      </c>
      <c r="B217" s="245">
        <f>BDD!B214</f>
        <v>0</v>
      </c>
      <c r="C217" s="246">
        <f>BDD!G214</f>
        <v>0</v>
      </c>
      <c r="D217" s="247">
        <f>BDD!H214</f>
        <v>0</v>
      </c>
      <c r="E217" s="248" t="str">
        <f>IF(BDD!I214="", "", "X")</f>
        <v/>
      </c>
      <c r="F217" s="248" t="str">
        <f>IF(BDD!J214="", "", "X")</f>
        <v/>
      </c>
      <c r="G217" s="248" t="str">
        <f>IF(BDD!K214="", "", "X")</f>
        <v/>
      </c>
      <c r="H217" s="248">
        <f>BDD!C214</f>
        <v>0</v>
      </c>
    </row>
    <row r="218" spans="1:8">
      <c r="A218" s="268" t="e">
        <f xml:space="preserve"> IF(#REF!=0, "",#REF!)</f>
        <v>#REF!</v>
      </c>
      <c r="B218" s="245">
        <f>BDD!B215</f>
        <v>0</v>
      </c>
      <c r="C218" s="246">
        <f>BDD!G215</f>
        <v>0</v>
      </c>
      <c r="D218" s="247">
        <f>BDD!H215</f>
        <v>0</v>
      </c>
      <c r="E218" s="248" t="str">
        <f>IF(BDD!I215="", "", "X")</f>
        <v/>
      </c>
      <c r="F218" s="248" t="str">
        <f>IF(BDD!J215="", "", "X")</f>
        <v/>
      </c>
      <c r="G218" s="248" t="str">
        <f>IF(BDD!K215="", "", "X")</f>
        <v/>
      </c>
      <c r="H218" s="248">
        <f>BDD!C215</f>
        <v>0</v>
      </c>
    </row>
    <row r="219" spans="1:8">
      <c r="A219" s="268" t="e">
        <f xml:space="preserve"> IF(#REF!=0, "",#REF!)</f>
        <v>#REF!</v>
      </c>
      <c r="B219" s="245">
        <f>BDD!B216</f>
        <v>0</v>
      </c>
      <c r="C219" s="246">
        <f>BDD!G216</f>
        <v>0</v>
      </c>
      <c r="D219" s="247">
        <f>BDD!H216</f>
        <v>0</v>
      </c>
      <c r="E219" s="248" t="str">
        <f>IF(BDD!I216="", "", "X")</f>
        <v/>
      </c>
      <c r="F219" s="248" t="str">
        <f>IF(BDD!J216="", "", "X")</f>
        <v/>
      </c>
      <c r="G219" s="248" t="str">
        <f>IF(BDD!K216="", "", "X")</f>
        <v/>
      </c>
      <c r="H219" s="248">
        <f>BDD!C216</f>
        <v>0</v>
      </c>
    </row>
    <row r="220" spans="1:8">
      <c r="A220" s="268" t="e">
        <f xml:space="preserve"> IF(#REF!=0, "",#REF!)</f>
        <v>#REF!</v>
      </c>
      <c r="B220" s="245">
        <f>BDD!B217</f>
        <v>0</v>
      </c>
      <c r="C220" s="246">
        <f>BDD!G217</f>
        <v>0</v>
      </c>
      <c r="D220" s="247">
        <f>BDD!H217</f>
        <v>0</v>
      </c>
      <c r="E220" s="248" t="str">
        <f>IF(BDD!I217="", "", "X")</f>
        <v/>
      </c>
      <c r="F220" s="248" t="str">
        <f>IF(BDD!J217="", "", "X")</f>
        <v/>
      </c>
      <c r="G220" s="248" t="str">
        <f>IF(BDD!K217="", "", "X")</f>
        <v/>
      </c>
      <c r="H220" s="248">
        <f>BDD!C217</f>
        <v>0</v>
      </c>
    </row>
    <row r="221" spans="1:8">
      <c r="A221" s="268" t="e">
        <f xml:space="preserve"> IF(#REF!=0, "",#REF!)</f>
        <v>#REF!</v>
      </c>
      <c r="B221" s="245">
        <f>BDD!B218</f>
        <v>0</v>
      </c>
      <c r="C221" s="246">
        <f>BDD!G218</f>
        <v>0</v>
      </c>
      <c r="D221" s="247">
        <f>BDD!H218</f>
        <v>0</v>
      </c>
      <c r="E221" s="248" t="str">
        <f>IF(BDD!I218="", "", "X")</f>
        <v/>
      </c>
      <c r="F221" s="248" t="str">
        <f>IF(BDD!J218="", "", "X")</f>
        <v/>
      </c>
      <c r="G221" s="248" t="str">
        <f>IF(BDD!K218="", "", "X")</f>
        <v/>
      </c>
      <c r="H221" s="248">
        <f>BDD!C218</f>
        <v>0</v>
      </c>
    </row>
    <row r="222" spans="1:8">
      <c r="A222" s="268" t="e">
        <f xml:space="preserve"> IF(#REF!=0, "",#REF!)</f>
        <v>#REF!</v>
      </c>
      <c r="B222" s="245">
        <f>BDD!B219</f>
        <v>0</v>
      </c>
      <c r="C222" s="246">
        <f>BDD!G219</f>
        <v>0</v>
      </c>
      <c r="D222" s="247">
        <f>BDD!H219</f>
        <v>0</v>
      </c>
      <c r="E222" s="248" t="str">
        <f>IF(BDD!I219="", "", "X")</f>
        <v/>
      </c>
      <c r="F222" s="248" t="str">
        <f>IF(BDD!J219="", "", "X")</f>
        <v/>
      </c>
      <c r="G222" s="248" t="str">
        <f>IF(BDD!K219="", "", "X")</f>
        <v/>
      </c>
      <c r="H222" s="248">
        <f>BDD!C219</f>
        <v>0</v>
      </c>
    </row>
    <row r="223" spans="1:8">
      <c r="A223" s="268" t="e">
        <f xml:space="preserve"> IF(#REF!=0, "",#REF!)</f>
        <v>#REF!</v>
      </c>
      <c r="B223" s="245">
        <f>BDD!B220</f>
        <v>0</v>
      </c>
      <c r="C223" s="246">
        <f>BDD!G220</f>
        <v>0</v>
      </c>
      <c r="D223" s="247">
        <f>BDD!H220</f>
        <v>0</v>
      </c>
      <c r="E223" s="248" t="str">
        <f>IF(BDD!I220="", "", "X")</f>
        <v/>
      </c>
      <c r="F223" s="248" t="str">
        <f>IF(BDD!J220="", "", "X")</f>
        <v/>
      </c>
      <c r="G223" s="248" t="str">
        <f>IF(BDD!K220="", "", "X")</f>
        <v/>
      </c>
      <c r="H223" s="248">
        <f>BDD!C220</f>
        <v>0</v>
      </c>
    </row>
    <row r="224" spans="1:8">
      <c r="A224" s="268" t="e">
        <f xml:space="preserve"> IF(#REF!=0, "",#REF!)</f>
        <v>#REF!</v>
      </c>
      <c r="B224" s="245">
        <f>BDD!B221</f>
        <v>0</v>
      </c>
      <c r="C224" s="246">
        <f>BDD!G221</f>
        <v>0</v>
      </c>
      <c r="D224" s="247">
        <f>BDD!H221</f>
        <v>0</v>
      </c>
      <c r="E224" s="248" t="str">
        <f>IF(BDD!I221="", "", "X")</f>
        <v/>
      </c>
      <c r="F224" s="248" t="str">
        <f>IF(BDD!J221="", "", "X")</f>
        <v/>
      </c>
      <c r="G224" s="248" t="str">
        <f>IF(BDD!K221="", "", "X")</f>
        <v/>
      </c>
      <c r="H224" s="248">
        <f>BDD!C221</f>
        <v>0</v>
      </c>
    </row>
    <row r="225" spans="1:8">
      <c r="A225" s="268" t="e">
        <f xml:space="preserve"> IF(#REF!=0, "",#REF!)</f>
        <v>#REF!</v>
      </c>
      <c r="B225" s="245">
        <f>BDD!B222</f>
        <v>0</v>
      </c>
      <c r="C225" s="246">
        <f>BDD!G222</f>
        <v>0</v>
      </c>
      <c r="D225" s="247">
        <f>BDD!H222</f>
        <v>0</v>
      </c>
      <c r="E225" s="248" t="str">
        <f>IF(BDD!I222="", "", "X")</f>
        <v/>
      </c>
      <c r="F225" s="248" t="str">
        <f>IF(BDD!J222="", "", "X")</f>
        <v/>
      </c>
      <c r="G225" s="248" t="str">
        <f>IF(BDD!K222="", "", "X")</f>
        <v/>
      </c>
      <c r="H225" s="248">
        <f>BDD!C222</f>
        <v>0</v>
      </c>
    </row>
    <row r="226" spans="1:8">
      <c r="A226" s="268" t="e">
        <f xml:space="preserve"> IF(#REF!=0, "",#REF!)</f>
        <v>#REF!</v>
      </c>
      <c r="B226" s="245">
        <f>BDD!B223</f>
        <v>0</v>
      </c>
      <c r="C226" s="246">
        <f>BDD!G223</f>
        <v>0</v>
      </c>
      <c r="D226" s="247">
        <f>BDD!H223</f>
        <v>0</v>
      </c>
      <c r="E226" s="248" t="str">
        <f>IF(BDD!I223="", "", "X")</f>
        <v/>
      </c>
      <c r="F226" s="248" t="str">
        <f>IF(BDD!J223="", "", "X")</f>
        <v/>
      </c>
      <c r="G226" s="248" t="str">
        <f>IF(BDD!K223="", "", "X")</f>
        <v/>
      </c>
      <c r="H226" s="248">
        <f>BDD!C223</f>
        <v>0</v>
      </c>
    </row>
    <row r="227" spans="1:8">
      <c r="A227" s="268" t="e">
        <f xml:space="preserve"> IF(#REF!=0, "",#REF!)</f>
        <v>#REF!</v>
      </c>
      <c r="B227" s="245">
        <f>BDD!B224</f>
        <v>0</v>
      </c>
      <c r="C227" s="246">
        <f>BDD!G224</f>
        <v>0</v>
      </c>
      <c r="D227" s="247">
        <f>BDD!H224</f>
        <v>0</v>
      </c>
      <c r="E227" s="248" t="str">
        <f>IF(BDD!I224="", "", "X")</f>
        <v/>
      </c>
      <c r="F227" s="248" t="str">
        <f>IF(BDD!J224="", "", "X")</f>
        <v/>
      </c>
      <c r="G227" s="248" t="str">
        <f>IF(BDD!K224="", "", "X")</f>
        <v/>
      </c>
      <c r="H227" s="248">
        <f>BDD!C224</f>
        <v>0</v>
      </c>
    </row>
    <row r="228" spans="1:8">
      <c r="A228" s="268" t="e">
        <f xml:space="preserve"> IF(#REF!=0, "",#REF!)</f>
        <v>#REF!</v>
      </c>
      <c r="B228" s="245">
        <f>BDD!B225</f>
        <v>0</v>
      </c>
      <c r="C228" s="246">
        <f>BDD!G225</f>
        <v>0</v>
      </c>
      <c r="D228" s="247">
        <f>BDD!H225</f>
        <v>0</v>
      </c>
      <c r="E228" s="248" t="str">
        <f>IF(BDD!I225="", "", "X")</f>
        <v/>
      </c>
      <c r="F228" s="248" t="str">
        <f>IF(BDD!J225="", "", "X")</f>
        <v/>
      </c>
      <c r="G228" s="248" t="str">
        <f>IF(BDD!K225="", "", "X")</f>
        <v/>
      </c>
      <c r="H228" s="248">
        <f>BDD!C225</f>
        <v>0</v>
      </c>
    </row>
    <row r="229" spans="1:8">
      <c r="A229" s="268" t="e">
        <f xml:space="preserve"> IF(#REF!=0, "",#REF!)</f>
        <v>#REF!</v>
      </c>
      <c r="B229" s="245">
        <f>BDD!B226</f>
        <v>0</v>
      </c>
      <c r="C229" s="246">
        <f>BDD!G226</f>
        <v>0</v>
      </c>
      <c r="D229" s="247">
        <f>BDD!H226</f>
        <v>0</v>
      </c>
      <c r="E229" s="248" t="str">
        <f>IF(BDD!I226="", "", "X")</f>
        <v/>
      </c>
      <c r="F229" s="248" t="str">
        <f>IF(BDD!J226="", "", "X")</f>
        <v/>
      </c>
      <c r="G229" s="248" t="str">
        <f>IF(BDD!K226="", "", "X")</f>
        <v/>
      </c>
      <c r="H229" s="248">
        <f>BDD!C226</f>
        <v>0</v>
      </c>
    </row>
    <row r="230" spans="1:8">
      <c r="A230" s="268" t="e">
        <f xml:space="preserve"> IF(#REF!=0, "",#REF!)</f>
        <v>#REF!</v>
      </c>
      <c r="B230" s="245">
        <f>BDD!B227</f>
        <v>0</v>
      </c>
      <c r="C230" s="246">
        <f>BDD!G227</f>
        <v>0</v>
      </c>
      <c r="D230" s="247">
        <f>BDD!H227</f>
        <v>0</v>
      </c>
      <c r="E230" s="248" t="str">
        <f>IF(BDD!I227="", "", "X")</f>
        <v/>
      </c>
      <c r="F230" s="248" t="str">
        <f>IF(BDD!J227="", "", "X")</f>
        <v/>
      </c>
      <c r="G230" s="248" t="str">
        <f>IF(BDD!K227="", "", "X")</f>
        <v/>
      </c>
      <c r="H230" s="248">
        <f>BDD!C227</f>
        <v>0</v>
      </c>
    </row>
    <row r="231" spans="1:8">
      <c r="A231" s="268" t="e">
        <f xml:space="preserve"> IF(#REF!=0, "",#REF!)</f>
        <v>#REF!</v>
      </c>
      <c r="B231" s="245">
        <f>BDD!B228</f>
        <v>0</v>
      </c>
      <c r="C231" s="246">
        <f>BDD!G228</f>
        <v>0</v>
      </c>
      <c r="D231" s="247">
        <f>BDD!H228</f>
        <v>0</v>
      </c>
      <c r="E231" s="248" t="str">
        <f>IF(BDD!I228="", "", "X")</f>
        <v/>
      </c>
      <c r="F231" s="248" t="str">
        <f>IF(BDD!J228="", "", "X")</f>
        <v/>
      </c>
      <c r="G231" s="248" t="str">
        <f>IF(BDD!K228="", "", "X")</f>
        <v/>
      </c>
      <c r="H231" s="248">
        <f>BDD!C228</f>
        <v>0</v>
      </c>
    </row>
    <row r="232" spans="1:8">
      <c r="A232" s="268" t="e">
        <f xml:space="preserve"> IF(#REF!=0, "",#REF!)</f>
        <v>#REF!</v>
      </c>
      <c r="B232" s="245">
        <f>BDD!B229</f>
        <v>0</v>
      </c>
      <c r="C232" s="246">
        <f>BDD!G229</f>
        <v>0</v>
      </c>
      <c r="D232" s="247">
        <f>BDD!H229</f>
        <v>0</v>
      </c>
      <c r="E232" s="248" t="str">
        <f>IF(BDD!I229="", "", "X")</f>
        <v/>
      </c>
      <c r="F232" s="248" t="str">
        <f>IF(BDD!J229="", "", "X")</f>
        <v/>
      </c>
      <c r="G232" s="248" t="str">
        <f>IF(BDD!K229="", "", "X")</f>
        <v/>
      </c>
      <c r="H232" s="248">
        <f>BDD!C229</f>
        <v>0</v>
      </c>
    </row>
    <row r="233" spans="1:8">
      <c r="A233" s="268" t="e">
        <f xml:space="preserve"> IF(#REF!=0, "",#REF!)</f>
        <v>#REF!</v>
      </c>
      <c r="B233" s="245">
        <f>BDD!B230</f>
        <v>0</v>
      </c>
      <c r="C233" s="246">
        <f>BDD!G230</f>
        <v>0</v>
      </c>
      <c r="D233" s="247">
        <f>BDD!H230</f>
        <v>0</v>
      </c>
      <c r="E233" s="248" t="str">
        <f>IF(BDD!I230="", "", "X")</f>
        <v/>
      </c>
      <c r="F233" s="248" t="str">
        <f>IF(BDD!J230="", "", "X")</f>
        <v/>
      </c>
      <c r="G233" s="248" t="str">
        <f>IF(BDD!K230="", "", "X")</f>
        <v/>
      </c>
      <c r="H233" s="248">
        <f>BDD!C230</f>
        <v>0</v>
      </c>
    </row>
    <row r="234" spans="1:8">
      <c r="A234" s="268" t="e">
        <f xml:space="preserve"> IF(#REF!=0, "",#REF!)</f>
        <v>#REF!</v>
      </c>
      <c r="B234" s="245">
        <f>BDD!B231</f>
        <v>0</v>
      </c>
      <c r="C234" s="246">
        <f>BDD!G231</f>
        <v>0</v>
      </c>
      <c r="D234" s="247">
        <f>BDD!H231</f>
        <v>0</v>
      </c>
      <c r="E234" s="248" t="str">
        <f>IF(BDD!I231="", "", "X")</f>
        <v/>
      </c>
      <c r="F234" s="248" t="str">
        <f>IF(BDD!J231="", "", "X")</f>
        <v/>
      </c>
      <c r="G234" s="248" t="str">
        <f>IF(BDD!K231="", "", "X")</f>
        <v/>
      </c>
      <c r="H234" s="248">
        <f>BDD!C231</f>
        <v>0</v>
      </c>
    </row>
    <row r="235" spans="1:8">
      <c r="A235" s="268" t="e">
        <f xml:space="preserve"> IF(#REF!=0, "",#REF!)</f>
        <v>#REF!</v>
      </c>
      <c r="B235" s="245">
        <f>BDD!B232</f>
        <v>0</v>
      </c>
      <c r="C235" s="246">
        <f>BDD!G232</f>
        <v>0</v>
      </c>
      <c r="D235" s="247">
        <f>BDD!H232</f>
        <v>0</v>
      </c>
      <c r="E235" s="248" t="str">
        <f>IF(BDD!I232="", "", "X")</f>
        <v/>
      </c>
      <c r="F235" s="248" t="str">
        <f>IF(BDD!J232="", "", "X")</f>
        <v/>
      </c>
      <c r="G235" s="248" t="str">
        <f>IF(BDD!K232="", "", "X")</f>
        <v/>
      </c>
      <c r="H235" s="248">
        <f>BDD!C232</f>
        <v>0</v>
      </c>
    </row>
    <row r="236" spans="1:8">
      <c r="A236" s="268" t="e">
        <f xml:space="preserve"> IF(#REF!=0, "",#REF!)</f>
        <v>#REF!</v>
      </c>
      <c r="B236" s="245">
        <f>BDD!B233</f>
        <v>0</v>
      </c>
      <c r="C236" s="246">
        <f>BDD!G233</f>
        <v>0</v>
      </c>
      <c r="D236" s="247">
        <f>BDD!H233</f>
        <v>0</v>
      </c>
      <c r="E236" s="248" t="str">
        <f>IF(BDD!I233="", "", "X")</f>
        <v/>
      </c>
      <c r="F236" s="248" t="str">
        <f>IF(BDD!J233="", "", "X")</f>
        <v/>
      </c>
      <c r="G236" s="248" t="str">
        <f>IF(BDD!K233="", "", "X")</f>
        <v/>
      </c>
      <c r="H236" s="248">
        <f>BDD!C233</f>
        <v>0</v>
      </c>
    </row>
    <row r="237" spans="1:8">
      <c r="A237" s="268" t="e">
        <f xml:space="preserve"> IF(#REF!=0, "",#REF!)</f>
        <v>#REF!</v>
      </c>
      <c r="B237" s="245">
        <f>BDD!B234</f>
        <v>0</v>
      </c>
      <c r="C237" s="246">
        <f>BDD!G234</f>
        <v>0</v>
      </c>
      <c r="D237" s="247">
        <f>BDD!H234</f>
        <v>0</v>
      </c>
      <c r="E237" s="248" t="str">
        <f>IF(BDD!I234="", "", "X")</f>
        <v/>
      </c>
      <c r="F237" s="248" t="str">
        <f>IF(BDD!J234="", "", "X")</f>
        <v/>
      </c>
      <c r="G237" s="248" t="str">
        <f>IF(BDD!K234="", "", "X")</f>
        <v/>
      </c>
      <c r="H237" s="248">
        <f>BDD!C234</f>
        <v>0</v>
      </c>
    </row>
    <row r="238" spans="1:8">
      <c r="A238" s="268" t="e">
        <f xml:space="preserve"> IF(#REF!=0, "",#REF!)</f>
        <v>#REF!</v>
      </c>
      <c r="B238" s="245">
        <f>BDD!B235</f>
        <v>0</v>
      </c>
      <c r="C238" s="246">
        <f>BDD!G235</f>
        <v>0</v>
      </c>
      <c r="D238" s="247">
        <f>BDD!H235</f>
        <v>0</v>
      </c>
      <c r="E238" s="248" t="str">
        <f>IF(BDD!I235="", "", "X")</f>
        <v/>
      </c>
      <c r="F238" s="248" t="str">
        <f>IF(BDD!J235="", "", "X")</f>
        <v/>
      </c>
      <c r="G238" s="248" t="str">
        <f>IF(BDD!K235="", "", "X")</f>
        <v/>
      </c>
      <c r="H238" s="248">
        <f>BDD!C235</f>
        <v>0</v>
      </c>
    </row>
    <row r="239" spans="1:8">
      <c r="A239" s="268" t="e">
        <f xml:space="preserve"> IF(#REF!=0, "",#REF!)</f>
        <v>#REF!</v>
      </c>
      <c r="B239" s="245">
        <f>BDD!B236</f>
        <v>0</v>
      </c>
      <c r="C239" s="246">
        <f>BDD!G236</f>
        <v>0</v>
      </c>
      <c r="D239" s="247">
        <f>BDD!H236</f>
        <v>0</v>
      </c>
      <c r="E239" s="248" t="str">
        <f>IF(BDD!I236="", "", "X")</f>
        <v/>
      </c>
      <c r="F239" s="248" t="str">
        <f>IF(BDD!J236="", "", "X")</f>
        <v/>
      </c>
      <c r="G239" s="248" t="str">
        <f>IF(BDD!K236="", "", "X")</f>
        <v/>
      </c>
      <c r="H239" s="248">
        <f>BDD!C236</f>
        <v>0</v>
      </c>
    </row>
    <row r="240" spans="1:8">
      <c r="A240" s="268" t="e">
        <f xml:space="preserve"> IF(#REF!=0, "",#REF!)</f>
        <v>#REF!</v>
      </c>
      <c r="B240" s="245">
        <f>BDD!B237</f>
        <v>0</v>
      </c>
      <c r="C240" s="246">
        <f>BDD!G237</f>
        <v>0</v>
      </c>
      <c r="D240" s="247">
        <f>BDD!H237</f>
        <v>0</v>
      </c>
      <c r="E240" s="248" t="str">
        <f>IF(BDD!I237="", "", "X")</f>
        <v/>
      </c>
      <c r="F240" s="248" t="str">
        <f>IF(BDD!J237="", "", "X")</f>
        <v/>
      </c>
      <c r="G240" s="248" t="str">
        <f>IF(BDD!K237="", "", "X")</f>
        <v/>
      </c>
      <c r="H240" s="248">
        <f>BDD!C237</f>
        <v>0</v>
      </c>
    </row>
    <row r="241" spans="1:8">
      <c r="A241" s="268" t="e">
        <f xml:space="preserve"> IF(#REF!=0, "",#REF!)</f>
        <v>#REF!</v>
      </c>
      <c r="B241" s="245">
        <f>BDD!B238</f>
        <v>0</v>
      </c>
      <c r="C241" s="246">
        <f>BDD!G238</f>
        <v>0</v>
      </c>
      <c r="D241" s="247">
        <f>BDD!H238</f>
        <v>0</v>
      </c>
      <c r="E241" s="248" t="str">
        <f>IF(BDD!I238="", "", "X")</f>
        <v/>
      </c>
      <c r="F241" s="248" t="str">
        <f>IF(BDD!J238="", "", "X")</f>
        <v/>
      </c>
      <c r="G241" s="248" t="str">
        <f>IF(BDD!K238="", "", "X")</f>
        <v/>
      </c>
      <c r="H241" s="248">
        <f>BDD!C238</f>
        <v>0</v>
      </c>
    </row>
    <row r="242" spans="1:8">
      <c r="A242" s="268" t="e">
        <f xml:space="preserve"> IF(#REF!=0, "",#REF!)</f>
        <v>#REF!</v>
      </c>
      <c r="B242" s="245">
        <f>BDD!B239</f>
        <v>0</v>
      </c>
      <c r="C242" s="246">
        <f>BDD!G239</f>
        <v>0</v>
      </c>
      <c r="D242" s="247">
        <f>BDD!H239</f>
        <v>0</v>
      </c>
      <c r="E242" s="248" t="str">
        <f>IF(BDD!I239="", "", "X")</f>
        <v/>
      </c>
      <c r="F242" s="248" t="str">
        <f>IF(BDD!J239="", "", "X")</f>
        <v/>
      </c>
      <c r="G242" s="248" t="str">
        <f>IF(BDD!K239="", "", "X")</f>
        <v/>
      </c>
      <c r="H242" s="248">
        <f>BDD!C239</f>
        <v>0</v>
      </c>
    </row>
    <row r="243" spans="1:8">
      <c r="A243" s="268" t="e">
        <f xml:space="preserve"> IF(#REF!=0, "",#REF!)</f>
        <v>#REF!</v>
      </c>
      <c r="B243" s="245">
        <f>BDD!B240</f>
        <v>0</v>
      </c>
      <c r="C243" s="246">
        <f>BDD!G240</f>
        <v>0</v>
      </c>
      <c r="D243" s="247">
        <f>BDD!H240</f>
        <v>0</v>
      </c>
      <c r="E243" s="248" t="str">
        <f>IF(BDD!I240="", "", "X")</f>
        <v/>
      </c>
      <c r="F243" s="248" t="str">
        <f>IF(BDD!J240="", "", "X")</f>
        <v/>
      </c>
      <c r="G243" s="248" t="str">
        <f>IF(BDD!K240="", "", "X")</f>
        <v/>
      </c>
      <c r="H243" s="248">
        <f>BDD!C240</f>
        <v>0</v>
      </c>
    </row>
    <row r="244" spans="1:8">
      <c r="A244" s="268" t="e">
        <f xml:space="preserve"> IF(#REF!=0, "",#REF!)</f>
        <v>#REF!</v>
      </c>
      <c r="B244" s="245">
        <f>BDD!B241</f>
        <v>0</v>
      </c>
      <c r="C244" s="246">
        <f>BDD!G241</f>
        <v>0</v>
      </c>
      <c r="D244" s="247">
        <f>BDD!H241</f>
        <v>0</v>
      </c>
      <c r="E244" s="248" t="str">
        <f>IF(BDD!I241="", "", "X")</f>
        <v/>
      </c>
      <c r="F244" s="248" t="str">
        <f>IF(BDD!J241="", "", "X")</f>
        <v/>
      </c>
      <c r="G244" s="248" t="str">
        <f>IF(BDD!K241="", "", "X")</f>
        <v/>
      </c>
      <c r="H244" s="248">
        <f>BDD!C241</f>
        <v>0</v>
      </c>
    </row>
    <row r="245" spans="1:8">
      <c r="A245" s="268" t="e">
        <f xml:space="preserve"> IF(#REF!=0, "",#REF!)</f>
        <v>#REF!</v>
      </c>
      <c r="B245" s="245">
        <f>BDD!B242</f>
        <v>0</v>
      </c>
      <c r="C245" s="246">
        <f>BDD!G242</f>
        <v>0</v>
      </c>
      <c r="D245" s="247">
        <f>BDD!H242</f>
        <v>0</v>
      </c>
      <c r="E245" s="248" t="str">
        <f>IF(BDD!I242="", "", "X")</f>
        <v/>
      </c>
      <c r="F245" s="248" t="str">
        <f>IF(BDD!J242="", "", "X")</f>
        <v/>
      </c>
      <c r="G245" s="248" t="str">
        <f>IF(BDD!K242="", "", "X")</f>
        <v/>
      </c>
      <c r="H245" s="248">
        <f>BDD!C242</f>
        <v>0</v>
      </c>
    </row>
    <row r="246" spans="1:8">
      <c r="A246" s="268" t="e">
        <f xml:space="preserve"> IF(#REF!=0, "",#REF!)</f>
        <v>#REF!</v>
      </c>
      <c r="B246" s="245">
        <f>BDD!B243</f>
        <v>0</v>
      </c>
      <c r="C246" s="246">
        <f>BDD!G243</f>
        <v>0</v>
      </c>
      <c r="D246" s="247">
        <f>BDD!H243</f>
        <v>0</v>
      </c>
      <c r="E246" s="248" t="str">
        <f>IF(BDD!I243="", "", "X")</f>
        <v/>
      </c>
      <c r="F246" s="248" t="str">
        <f>IF(BDD!J243="", "", "X")</f>
        <v/>
      </c>
      <c r="G246" s="248" t="str">
        <f>IF(BDD!K243="", "", "X")</f>
        <v/>
      </c>
      <c r="H246" s="248">
        <f>BDD!C243</f>
        <v>0</v>
      </c>
    </row>
    <row r="247" spans="1:8">
      <c r="A247" s="268" t="e">
        <f xml:space="preserve"> IF(#REF!=0, "",#REF!)</f>
        <v>#REF!</v>
      </c>
      <c r="B247" s="245">
        <f>BDD!B244</f>
        <v>0</v>
      </c>
      <c r="C247" s="246">
        <f>BDD!G244</f>
        <v>0</v>
      </c>
      <c r="D247" s="247">
        <f>BDD!H244</f>
        <v>0</v>
      </c>
      <c r="E247" s="248" t="str">
        <f>IF(BDD!I244="", "", "X")</f>
        <v/>
      </c>
      <c r="F247" s="248" t="str">
        <f>IF(BDD!J244="", "", "X")</f>
        <v/>
      </c>
      <c r="G247" s="248" t="str">
        <f>IF(BDD!K244="", "", "X")</f>
        <v/>
      </c>
      <c r="H247" s="248">
        <f>BDD!C244</f>
        <v>0</v>
      </c>
    </row>
    <row r="248" spans="1:8">
      <c r="A248" s="268" t="e">
        <f xml:space="preserve"> IF(#REF!=0, "",#REF!)</f>
        <v>#REF!</v>
      </c>
      <c r="B248" s="245">
        <f>BDD!B245</f>
        <v>0</v>
      </c>
      <c r="C248" s="246">
        <f>BDD!G245</f>
        <v>0</v>
      </c>
      <c r="D248" s="247">
        <f>BDD!H245</f>
        <v>0</v>
      </c>
      <c r="E248" s="248" t="str">
        <f>IF(BDD!I245="", "", "X")</f>
        <v/>
      </c>
      <c r="F248" s="248" t="str">
        <f>IF(BDD!J245="", "", "X")</f>
        <v/>
      </c>
      <c r="G248" s="248" t="str">
        <f>IF(BDD!K245="", "", "X")</f>
        <v/>
      </c>
      <c r="H248" s="248">
        <f>BDD!C245</f>
        <v>0</v>
      </c>
    </row>
    <row r="249" spans="1:8">
      <c r="A249" s="268" t="e">
        <f xml:space="preserve"> IF(#REF!=0, "",#REF!)</f>
        <v>#REF!</v>
      </c>
      <c r="B249" s="245">
        <f>BDD!B246</f>
        <v>0</v>
      </c>
      <c r="C249" s="246">
        <f>BDD!G246</f>
        <v>0</v>
      </c>
      <c r="D249" s="247">
        <f>BDD!H246</f>
        <v>0</v>
      </c>
      <c r="E249" s="248" t="str">
        <f>IF(BDD!I246="", "", "X")</f>
        <v/>
      </c>
      <c r="F249" s="248" t="str">
        <f>IF(BDD!J246="", "", "X")</f>
        <v/>
      </c>
      <c r="G249" s="248" t="str">
        <f>IF(BDD!K246="", "", "X")</f>
        <v/>
      </c>
      <c r="H249" s="248">
        <f>BDD!C246</f>
        <v>0</v>
      </c>
    </row>
    <row r="250" spans="1:8">
      <c r="A250" s="268" t="e">
        <f xml:space="preserve"> IF(#REF!=0, "",#REF!)</f>
        <v>#REF!</v>
      </c>
      <c r="B250" s="245">
        <f>BDD!B247</f>
        <v>0</v>
      </c>
      <c r="C250" s="246">
        <f>BDD!G247</f>
        <v>0</v>
      </c>
      <c r="D250" s="247">
        <f>BDD!H247</f>
        <v>0</v>
      </c>
      <c r="E250" s="248" t="str">
        <f>IF(BDD!I247="", "", "X")</f>
        <v/>
      </c>
      <c r="F250" s="248" t="str">
        <f>IF(BDD!J247="", "", "X")</f>
        <v/>
      </c>
      <c r="G250" s="248" t="str">
        <f>IF(BDD!K247="", "", "X")</f>
        <v/>
      </c>
      <c r="H250" s="248">
        <f>BDD!C247</f>
        <v>0</v>
      </c>
    </row>
    <row r="251" spans="1:8">
      <c r="A251" s="268" t="e">
        <f xml:space="preserve"> IF(#REF!=0, "",#REF!)</f>
        <v>#REF!</v>
      </c>
      <c r="B251" s="245">
        <f>BDD!B248</f>
        <v>0</v>
      </c>
      <c r="C251" s="246">
        <f>BDD!G248</f>
        <v>0</v>
      </c>
      <c r="D251" s="247">
        <f>BDD!H248</f>
        <v>0</v>
      </c>
      <c r="E251" s="248" t="str">
        <f>IF(BDD!I248="", "", "X")</f>
        <v/>
      </c>
      <c r="F251" s="248" t="str">
        <f>IF(BDD!J248="", "", "X")</f>
        <v/>
      </c>
      <c r="G251" s="248" t="str">
        <f>IF(BDD!K248="", "", "X")</f>
        <v/>
      </c>
      <c r="H251" s="248">
        <f>BDD!C248</f>
        <v>0</v>
      </c>
    </row>
    <row r="252" spans="1:8">
      <c r="A252" s="268" t="e">
        <f xml:space="preserve"> IF(#REF!=0, "",#REF!)</f>
        <v>#REF!</v>
      </c>
      <c r="B252" s="245">
        <f>BDD!B249</f>
        <v>0</v>
      </c>
      <c r="C252" s="246">
        <f>BDD!G249</f>
        <v>0</v>
      </c>
      <c r="D252" s="247">
        <f>BDD!H249</f>
        <v>0</v>
      </c>
      <c r="E252" s="248" t="str">
        <f>IF(BDD!I249="", "", "X")</f>
        <v/>
      </c>
      <c r="F252" s="248" t="str">
        <f>IF(BDD!J249="", "", "X")</f>
        <v/>
      </c>
      <c r="G252" s="248" t="str">
        <f>IF(BDD!K249="", "", "X")</f>
        <v/>
      </c>
      <c r="H252" s="248">
        <f>BDD!C249</f>
        <v>0</v>
      </c>
    </row>
    <row r="253" spans="1:8">
      <c r="A253" s="268" t="e">
        <f xml:space="preserve"> IF(#REF!=0, "",#REF!)</f>
        <v>#REF!</v>
      </c>
      <c r="B253" s="245">
        <f>BDD!B250</f>
        <v>0</v>
      </c>
      <c r="C253" s="246">
        <f>BDD!G250</f>
        <v>0</v>
      </c>
      <c r="D253" s="247">
        <f>BDD!H250</f>
        <v>0</v>
      </c>
      <c r="E253" s="248" t="str">
        <f>IF(BDD!I250="", "", "X")</f>
        <v/>
      </c>
      <c r="F253" s="248" t="str">
        <f>IF(BDD!J250="", "", "X")</f>
        <v/>
      </c>
      <c r="G253" s="248" t="str">
        <f>IF(BDD!K250="", "", "X")</f>
        <v/>
      </c>
      <c r="H253" s="248">
        <f>BDD!C250</f>
        <v>0</v>
      </c>
    </row>
    <row r="254" spans="1:8">
      <c r="A254" s="268" t="e">
        <f xml:space="preserve"> IF(#REF!=0, "",#REF!)</f>
        <v>#REF!</v>
      </c>
      <c r="E254" s="248" t="str">
        <f>IF(BDD!I250="", "", "X")</f>
        <v/>
      </c>
    </row>
  </sheetData>
  <sheetProtection algorithmName="SHA-512" hashValue="0bci31txJg1BVQ6d9Xb551kF0L5cvQXLZKixRBWiRmeuRB7rPkffcELGQJshgjqA7x3fvXT1xz2zr8wdasJCrQ==" saltValue="tp6jXXxqGDQh2idZX+Bg6Q==" spinCount="100000" sheet="1" objects="1" scenarios="1"/>
  <autoFilter ref="B4:G254" xr:uid="{F8ACE538-B882-3B44-8157-5B9F231EF8A5}"/>
  <mergeCells count="3">
    <mergeCell ref="A1:H1"/>
    <mergeCell ref="A2:H2"/>
    <mergeCell ref="A3:H3"/>
  </mergeCells>
  <printOptions horizontalCentered="1"/>
  <pageMargins left="0" right="0" top="0" bottom="0" header="0" footer="0"/>
  <pageSetup paperSize="0" scale="13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4"/>
  <dimension ref="A1:I24"/>
  <sheetViews>
    <sheetView showGridLines="0" zoomScale="150" workbookViewId="0">
      <selection activeCell="G24" sqref="G24"/>
    </sheetView>
  </sheetViews>
  <sheetFormatPr baseColWidth="10" defaultColWidth="0" defaultRowHeight="15" zeroHeight="1"/>
  <cols>
    <col min="1" max="1" width="12.28515625" style="4" bestFit="1" customWidth="1"/>
    <col min="2" max="2" width="12" style="4" bestFit="1" customWidth="1"/>
    <col min="3" max="3" width="27.42578125" bestFit="1" customWidth="1"/>
    <col min="4" max="4" width="2.42578125" customWidth="1"/>
    <col min="5" max="5" width="13.85546875" style="3" customWidth="1"/>
    <col min="6" max="6" width="11.42578125" style="3" customWidth="1"/>
    <col min="7" max="7" width="27.42578125" style="3" customWidth="1"/>
    <col min="8" max="8" width="11.42578125" style="3" customWidth="1"/>
    <col min="9" max="9" width="0" hidden="1" customWidth="1"/>
    <col min="10" max="16384" width="11.42578125" hidden="1"/>
  </cols>
  <sheetData>
    <row r="1" spans="1:8" s="4" customFormat="1">
      <c r="B1" s="486" t="s">
        <v>108</v>
      </c>
      <c r="C1" s="180" t="s">
        <v>83</v>
      </c>
      <c r="E1" s="3"/>
      <c r="F1" s="487" t="s">
        <v>367</v>
      </c>
      <c r="G1" s="489" t="s">
        <v>110</v>
      </c>
      <c r="H1" s="3"/>
    </row>
    <row r="2" spans="1:8">
      <c r="B2" s="486"/>
      <c r="C2" s="216" t="e">
        <f>#REF!</f>
        <v>#REF!</v>
      </c>
      <c r="D2" s="4"/>
      <c r="F2" s="488"/>
      <c r="G2" s="490"/>
      <c r="H2" s="73"/>
    </row>
    <row r="3" spans="1:8">
      <c r="A3" s="206" t="s">
        <v>368</v>
      </c>
      <c r="B3" s="206">
        <v>1</v>
      </c>
      <c r="C3" s="207" t="e">
        <f>#REF!</f>
        <v>#REF!</v>
      </c>
      <c r="D3" s="208"/>
      <c r="E3" s="209" t="e">
        <f>#REF!</f>
        <v>#REF!</v>
      </c>
      <c r="F3" s="210">
        <v>1</v>
      </c>
      <c r="G3" s="297" t="str">
        <f>COMMANDE!E10</f>
        <v>À REMPLIR</v>
      </c>
      <c r="H3" s="181"/>
    </row>
    <row r="4" spans="1:8">
      <c r="A4" s="491" t="s">
        <v>521</v>
      </c>
      <c r="B4" s="211">
        <v>2</v>
      </c>
      <c r="C4" s="212" t="e">
        <f>#REF!</f>
        <v>#REF!</v>
      </c>
      <c r="D4" s="213"/>
      <c r="E4" s="214" t="e">
        <f>#REF!</f>
        <v>#REF!</v>
      </c>
      <c r="F4" s="215">
        <v>2</v>
      </c>
      <c r="G4" s="294" t="str">
        <f>COMMANDE!Q$8</f>
        <v>Email</v>
      </c>
      <c r="H4" s="181"/>
    </row>
    <row r="5" spans="1:8">
      <c r="A5" s="492"/>
      <c r="B5" s="206">
        <v>3</v>
      </c>
      <c r="C5" s="207" t="e">
        <f>#REF!</f>
        <v>#REF!</v>
      </c>
      <c r="D5" s="208"/>
      <c r="E5" s="209" t="e">
        <f>#REF!</f>
        <v>#REF!</v>
      </c>
      <c r="F5" s="210">
        <v>3</v>
      </c>
      <c r="G5" s="295" t="str">
        <f>COMMANDE!S8</f>
        <v>Email</v>
      </c>
      <c r="H5" s="181"/>
    </row>
    <row r="6" spans="1:8">
      <c r="A6" s="492"/>
      <c r="B6" s="211">
        <v>4</v>
      </c>
      <c r="C6" s="212" t="e">
        <f>#REF!</f>
        <v>#REF!</v>
      </c>
      <c r="D6" s="213"/>
      <c r="E6" s="214" t="e">
        <f>#REF!</f>
        <v>#REF!</v>
      </c>
      <c r="F6" s="215">
        <v>4</v>
      </c>
      <c r="G6" s="294" t="str">
        <f>COMMANDE!U8</f>
        <v>Email</v>
      </c>
      <c r="H6" s="181"/>
    </row>
    <row r="7" spans="1:8">
      <c r="A7" s="492"/>
      <c r="B7" s="206">
        <v>5</v>
      </c>
      <c r="C7" s="207" t="e">
        <f>#REF!</f>
        <v>#REF!</v>
      </c>
      <c r="D7" s="208"/>
      <c r="E7" s="209" t="e">
        <f>#REF!</f>
        <v>#REF!</v>
      </c>
      <c r="F7" s="210">
        <v>5</v>
      </c>
      <c r="G7" s="295" t="str">
        <f>COMMANDE!W8</f>
        <v>Email</v>
      </c>
      <c r="H7" s="181"/>
    </row>
    <row r="8" spans="1:8">
      <c r="A8" s="492"/>
      <c r="B8" s="211">
        <v>6</v>
      </c>
      <c r="C8" s="212" t="e">
        <f>#REF!</f>
        <v>#REF!</v>
      </c>
      <c r="D8" s="213"/>
      <c r="E8" s="214" t="e">
        <f>#REF!</f>
        <v>#REF!</v>
      </c>
      <c r="F8" s="215">
        <v>6</v>
      </c>
      <c r="G8" s="294" t="str">
        <f>COMMANDE!Y8</f>
        <v>Email</v>
      </c>
      <c r="H8" s="181"/>
    </row>
    <row r="9" spans="1:8">
      <c r="A9" s="492"/>
      <c r="B9" s="206">
        <v>7</v>
      </c>
      <c r="C9" s="207" t="e">
        <f>#REF!</f>
        <v>#REF!</v>
      </c>
      <c r="D9" s="208"/>
      <c r="E9" s="209" t="e">
        <f>#REF!</f>
        <v>#REF!</v>
      </c>
      <c r="F9" s="210">
        <v>7</v>
      </c>
      <c r="G9" s="295" t="str">
        <f>COMMANDE!AA8</f>
        <v>Email</v>
      </c>
      <c r="H9" s="181"/>
    </row>
    <row r="10" spans="1:8">
      <c r="A10" s="492"/>
      <c r="B10" s="211">
        <v>8</v>
      </c>
      <c r="C10" s="212" t="e">
        <f>#REF!</f>
        <v>#REF!</v>
      </c>
      <c r="D10" s="213"/>
      <c r="E10" s="214" t="e">
        <f>#REF!</f>
        <v>#REF!</v>
      </c>
      <c r="F10" s="215">
        <v>8</v>
      </c>
      <c r="G10" s="294" t="str">
        <f>COMMANDE!AC8</f>
        <v>Email</v>
      </c>
      <c r="H10" s="181"/>
    </row>
    <row r="11" spans="1:8">
      <c r="A11" s="492"/>
      <c r="B11" s="206">
        <v>9</v>
      </c>
      <c r="C11" s="207" t="e">
        <f>#REF!</f>
        <v>#REF!</v>
      </c>
      <c r="D11" s="208"/>
      <c r="E11" s="209" t="e">
        <f>#REF!</f>
        <v>#REF!</v>
      </c>
      <c r="F11" s="210">
        <v>9</v>
      </c>
      <c r="G11" s="295" t="str">
        <f>COMMANDE!AE8</f>
        <v>Email</v>
      </c>
      <c r="H11" s="181"/>
    </row>
    <row r="12" spans="1:8">
      <c r="A12" s="492"/>
      <c r="B12" s="211">
        <v>10</v>
      </c>
      <c r="C12" s="212" t="e">
        <f>#REF!</f>
        <v>#REF!</v>
      </c>
      <c r="D12" s="213"/>
      <c r="E12" s="214" t="e">
        <f>#REF!</f>
        <v>#REF!</v>
      </c>
      <c r="F12" s="215">
        <v>10</v>
      </c>
      <c r="G12" s="294" t="str">
        <f>COMMANDE!AG8</f>
        <v>Email</v>
      </c>
      <c r="H12" s="181"/>
    </row>
    <row r="13" spans="1:8">
      <c r="A13" s="492"/>
      <c r="B13" s="206">
        <v>11</v>
      </c>
      <c r="C13" s="207" t="e">
        <f>#REF!</f>
        <v>#REF!</v>
      </c>
      <c r="D13" s="208"/>
      <c r="E13" s="209" t="e">
        <f>#REF!</f>
        <v>#REF!</v>
      </c>
      <c r="F13" s="210">
        <v>11</v>
      </c>
      <c r="G13" s="295" t="str">
        <f>COMMANDE!AI8</f>
        <v>Email</v>
      </c>
      <c r="H13" s="181"/>
    </row>
    <row r="14" spans="1:8">
      <c r="A14" s="492"/>
      <c r="B14" s="211">
        <v>12</v>
      </c>
      <c r="C14" s="212" t="e">
        <f>#REF!</f>
        <v>#REF!</v>
      </c>
      <c r="D14" s="213"/>
      <c r="E14" s="214" t="e">
        <f>#REF!</f>
        <v>#REF!</v>
      </c>
      <c r="F14" s="215">
        <v>12</v>
      </c>
      <c r="G14" s="294" t="str">
        <f>COMMANDE!AK8</f>
        <v>Email</v>
      </c>
      <c r="H14" s="181"/>
    </row>
    <row r="15" spans="1:8">
      <c r="A15" s="492"/>
      <c r="B15" s="206">
        <v>13</v>
      </c>
      <c r="C15" s="207" t="e">
        <f>#REF!</f>
        <v>#REF!</v>
      </c>
      <c r="D15" s="208"/>
      <c r="E15" s="209" t="e">
        <f>#REF!</f>
        <v>#REF!</v>
      </c>
      <c r="F15" s="210">
        <v>13</v>
      </c>
      <c r="G15" s="295" t="str">
        <f>COMMANDE!AM8</f>
        <v>Email</v>
      </c>
      <c r="H15" s="181"/>
    </row>
    <row r="16" spans="1:8">
      <c r="A16" s="492"/>
      <c r="B16" s="211">
        <v>14</v>
      </c>
      <c r="C16" s="212" t="e">
        <f>#REF!</f>
        <v>#REF!</v>
      </c>
      <c r="D16" s="213"/>
      <c r="E16" s="214" t="e">
        <f>#REF!</f>
        <v>#REF!</v>
      </c>
      <c r="F16" s="215">
        <v>14</v>
      </c>
      <c r="G16" s="294" t="str">
        <f>COMMANDE!AO8</f>
        <v>Email</v>
      </c>
      <c r="H16" s="181"/>
    </row>
    <row r="17" spans="1:8">
      <c r="A17" s="492"/>
      <c r="B17" s="206">
        <v>15</v>
      </c>
      <c r="C17" s="207" t="e">
        <f>#REF!</f>
        <v>#REF!</v>
      </c>
      <c r="D17" s="208"/>
      <c r="E17" s="209" t="e">
        <f>#REF!</f>
        <v>#REF!</v>
      </c>
      <c r="F17" s="210">
        <v>15</v>
      </c>
      <c r="G17" s="295" t="str">
        <f>COMMANDE!AQ8</f>
        <v>Email</v>
      </c>
      <c r="H17" s="181"/>
    </row>
    <row r="18" spans="1:8" s="4" customFormat="1">
      <c r="A18" s="492"/>
      <c r="B18" s="211">
        <v>16</v>
      </c>
      <c r="C18" s="212" t="str">
        <f>COMMANDE!AS7</f>
        <v>Prénom NOM</v>
      </c>
      <c r="D18" s="213"/>
      <c r="E18" s="214" t="e">
        <f>#REF!</f>
        <v>#REF!</v>
      </c>
      <c r="F18" s="215">
        <v>16</v>
      </c>
      <c r="G18" s="294" t="str">
        <f>COMMANDE!AS8</f>
        <v>Email</v>
      </c>
      <c r="H18" s="181"/>
    </row>
    <row r="19" spans="1:8" s="4" customFormat="1">
      <c r="A19" s="492"/>
      <c r="B19" s="206">
        <v>17</v>
      </c>
      <c r="C19" s="207" t="str">
        <f>COMMANDE!AU7</f>
        <v>Prénom NOM</v>
      </c>
      <c r="D19" s="208"/>
      <c r="E19" s="209" t="e">
        <f>#REF!</f>
        <v>#REF!</v>
      </c>
      <c r="F19" s="210">
        <v>17</v>
      </c>
      <c r="G19" s="295" t="str">
        <f>COMMANDE!AU8</f>
        <v>Email</v>
      </c>
      <c r="H19" s="181"/>
    </row>
    <row r="20" spans="1:8" s="4" customFormat="1">
      <c r="A20" s="492"/>
      <c r="B20" s="211">
        <v>18</v>
      </c>
      <c r="C20" s="212" t="str">
        <f>COMMANDE!AW7</f>
        <v>Prénom NOM</v>
      </c>
      <c r="D20" s="213"/>
      <c r="E20" s="214" t="e">
        <f>#REF!</f>
        <v>#REF!</v>
      </c>
      <c r="F20" s="215">
        <v>18</v>
      </c>
      <c r="G20" s="294" t="str">
        <f>COMMANDE!AW8</f>
        <v>Email</v>
      </c>
      <c r="H20" s="181"/>
    </row>
    <row r="21" spans="1:8" s="4" customFormat="1">
      <c r="A21" s="492"/>
      <c r="B21" s="206">
        <v>19</v>
      </c>
      <c r="C21" s="207" t="str">
        <f>COMMANDE!AY7</f>
        <v>Prénom NOM</v>
      </c>
      <c r="D21" s="208"/>
      <c r="E21" s="209" t="e">
        <f>#REF!</f>
        <v>#REF!</v>
      </c>
      <c r="F21" s="210">
        <v>19</v>
      </c>
      <c r="G21" s="295" t="str">
        <f>COMMANDE!AY8</f>
        <v>Email</v>
      </c>
      <c r="H21" s="181"/>
    </row>
    <row r="22" spans="1:8" s="4" customFormat="1">
      <c r="A22" s="492"/>
      <c r="B22" s="211">
        <v>20</v>
      </c>
      <c r="C22" s="212" t="str">
        <f>COMMANDE!BA7</f>
        <v>Prénom NOM</v>
      </c>
      <c r="D22" s="213"/>
      <c r="E22" s="214" t="e">
        <f>#REF!</f>
        <v>#REF!</v>
      </c>
      <c r="F22" s="215">
        <v>20</v>
      </c>
      <c r="G22" s="294" t="str">
        <f>COMMANDE!BA8</f>
        <v>Email</v>
      </c>
      <c r="H22" s="181"/>
    </row>
    <row r="23" spans="1:8" hidden="1">
      <c r="C23" s="4"/>
      <c r="D23" s="4"/>
    </row>
    <row r="24" spans="1:8"/>
  </sheetData>
  <sheetProtection algorithmName="SHA-512" hashValue="SQrT/F04iuhd0sYv8rJU6m1GIRWI11rj3cW/bQeaVaxFTTDy0ex7w8n8NpyZItTX/6M+EE3pG9sznPmKJ3s8/Q==" saltValue="MU2ckedW70rozX3mynWfvw==" spinCount="100000" sheet="1" objects="1" scenarios="1"/>
  <mergeCells count="4">
    <mergeCell ref="B1:B2"/>
    <mergeCell ref="F1:F2"/>
    <mergeCell ref="G1:G2"/>
    <mergeCell ref="A4:A22"/>
  </mergeCells>
  <pageMargins left="0.7" right="0.7" top="0.75" bottom="0.75" header="0.3" footer="0.3"/>
  <pageSetup paperSize="9" orientation="portrait" horizontalDpi="0" verticalDpi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25">
    <pageSetUpPr fitToPage="1"/>
  </sheetPr>
  <dimension ref="A1:D111"/>
  <sheetViews>
    <sheetView showGridLines="0" topLeftCell="A71" workbookViewId="0">
      <selection activeCell="E117" sqref="E117"/>
    </sheetView>
  </sheetViews>
  <sheetFormatPr baseColWidth="10" defaultColWidth="11.42578125" defaultRowHeight="14.25" outlineLevelCol="1"/>
  <cols>
    <col min="1" max="1" width="34.42578125" style="15" customWidth="1" outlineLevel="1"/>
    <col min="2" max="2" width="55.42578125" style="16" customWidth="1" outlineLevel="1"/>
    <col min="3" max="3" width="15.42578125" style="15" customWidth="1" outlineLevel="1"/>
    <col min="4" max="4" width="17.7109375" style="15" customWidth="1" outlineLevel="1"/>
    <col min="5" max="16384" width="11.42578125" style="15"/>
  </cols>
  <sheetData>
    <row r="1" spans="1:4" ht="15">
      <c r="A1" s="17" t="s">
        <v>369</v>
      </c>
      <c r="C1" s="18" t="s">
        <v>370</v>
      </c>
      <c r="D1" s="18" t="s">
        <v>371</v>
      </c>
    </row>
    <row r="2" spans="1:4" ht="15">
      <c r="A2" s="19" t="s">
        <v>372</v>
      </c>
      <c r="B2" s="20" t="s">
        <v>373</v>
      </c>
      <c r="C2" s="21" t="s">
        <v>374</v>
      </c>
      <c r="D2" s="22" t="s">
        <v>375</v>
      </c>
    </row>
    <row r="3" spans="1:4">
      <c r="A3" s="23" t="s">
        <v>376</v>
      </c>
      <c r="B3" s="16">
        <v>1</v>
      </c>
      <c r="C3" s="24">
        <v>86.25</v>
      </c>
      <c r="D3" s="24">
        <v>857.91</v>
      </c>
    </row>
    <row r="4" spans="1:4">
      <c r="A4" s="23" t="s">
        <v>377</v>
      </c>
      <c r="B4" s="16">
        <v>2</v>
      </c>
      <c r="C4" s="24">
        <v>104.01</v>
      </c>
      <c r="D4" s="24">
        <v>1025.8699999999999</v>
      </c>
    </row>
    <row r="5" spans="1:4">
      <c r="A5" s="23" t="s">
        <v>378</v>
      </c>
      <c r="B5" s="16">
        <v>3</v>
      </c>
      <c r="C5" s="24">
        <v>95.57</v>
      </c>
      <c r="D5" s="24">
        <v>940.78</v>
      </c>
    </row>
    <row r="6" spans="1:4">
      <c r="A6" s="23" t="s">
        <v>379</v>
      </c>
      <c r="B6" s="16">
        <v>4</v>
      </c>
      <c r="C6" s="24">
        <v>112.56</v>
      </c>
      <c r="D6" s="24">
        <v>1142.8399999999999</v>
      </c>
    </row>
    <row r="7" spans="1:4">
      <c r="A7" s="23" t="s">
        <v>380</v>
      </c>
      <c r="B7" s="16">
        <v>5</v>
      </c>
      <c r="C7" s="24">
        <v>121.71</v>
      </c>
      <c r="D7" s="24">
        <v>1208.1099999999999</v>
      </c>
    </row>
    <row r="8" spans="1:4">
      <c r="A8" s="23" t="s">
        <v>381</v>
      </c>
      <c r="B8" s="16">
        <v>6</v>
      </c>
      <c r="C8" s="24">
        <v>124.01</v>
      </c>
      <c r="D8" s="24">
        <v>1223.32</v>
      </c>
    </row>
    <row r="9" spans="1:4">
      <c r="A9" s="23" t="s">
        <v>382</v>
      </c>
      <c r="B9" s="16">
        <v>7</v>
      </c>
      <c r="C9" s="24">
        <v>95.02</v>
      </c>
      <c r="D9" s="24">
        <v>943.59</v>
      </c>
    </row>
    <row r="10" spans="1:4">
      <c r="A10" s="23" t="s">
        <v>383</v>
      </c>
      <c r="B10" s="16">
        <v>8</v>
      </c>
      <c r="C10" s="24">
        <v>100.7</v>
      </c>
      <c r="D10" s="24">
        <v>997.57</v>
      </c>
    </row>
    <row r="11" spans="1:4">
      <c r="A11" s="23" t="s">
        <v>384</v>
      </c>
      <c r="B11" s="16" t="s">
        <v>385</v>
      </c>
      <c r="C11" s="24">
        <v>137.27000000000001</v>
      </c>
      <c r="D11" s="24">
        <v>1372.73</v>
      </c>
    </row>
    <row r="12" spans="1:4">
      <c r="A12" s="23" t="s">
        <v>386</v>
      </c>
      <c r="B12" s="16">
        <v>9</v>
      </c>
      <c r="C12" s="24">
        <v>93.52</v>
      </c>
      <c r="D12" s="24">
        <v>829.21</v>
      </c>
    </row>
    <row r="13" spans="1:4">
      <c r="A13" s="23" t="s">
        <v>387</v>
      </c>
      <c r="B13" s="16">
        <v>10</v>
      </c>
      <c r="C13" s="24">
        <v>109.13</v>
      </c>
      <c r="D13" s="24">
        <v>1090.26</v>
      </c>
    </row>
    <row r="14" spans="1:4">
      <c r="A14" s="23" t="s">
        <v>388</v>
      </c>
      <c r="B14" s="16">
        <v>11</v>
      </c>
      <c r="C14" s="24">
        <v>87.99</v>
      </c>
      <c r="D14" s="24">
        <v>849.64</v>
      </c>
    </row>
    <row r="15" spans="1:4">
      <c r="A15" s="23" t="s">
        <v>389</v>
      </c>
      <c r="B15" s="16">
        <v>12</v>
      </c>
      <c r="C15" s="24">
        <v>113.85</v>
      </c>
      <c r="D15" s="24">
        <v>1138.57</v>
      </c>
    </row>
    <row r="16" spans="1:4">
      <c r="A16" s="23" t="s">
        <v>390</v>
      </c>
      <c r="B16" s="16">
        <v>13</v>
      </c>
      <c r="C16" s="24">
        <v>113.12</v>
      </c>
      <c r="D16" s="24">
        <v>1094.58</v>
      </c>
    </row>
    <row r="17" spans="1:4">
      <c r="A17" s="23" t="s">
        <v>391</v>
      </c>
      <c r="B17" s="16">
        <v>14</v>
      </c>
      <c r="C17" s="24">
        <v>89.01</v>
      </c>
      <c r="D17" s="24">
        <v>885.07</v>
      </c>
    </row>
    <row r="18" spans="1:4">
      <c r="A18" s="23" t="s">
        <v>392</v>
      </c>
      <c r="B18" s="16" t="s">
        <v>393</v>
      </c>
      <c r="C18" s="24">
        <v>141.84</v>
      </c>
      <c r="D18" s="24">
        <v>1274.28</v>
      </c>
    </row>
    <row r="19" spans="1:4">
      <c r="A19" s="23" t="s">
        <v>394</v>
      </c>
      <c r="B19" s="16">
        <v>15</v>
      </c>
      <c r="C19" s="24">
        <v>98.97</v>
      </c>
      <c r="D19" s="24">
        <v>983.84</v>
      </c>
    </row>
    <row r="20" spans="1:4">
      <c r="A20" s="23" t="s">
        <v>395</v>
      </c>
      <c r="B20" s="16">
        <v>16</v>
      </c>
      <c r="C20" s="24">
        <v>77.23</v>
      </c>
      <c r="D20" s="24">
        <v>762.22</v>
      </c>
    </row>
    <row r="21" spans="1:4">
      <c r="A21" s="23" t="s">
        <v>396</v>
      </c>
      <c r="B21" s="16">
        <v>17</v>
      </c>
      <c r="C21" s="24">
        <v>78.16</v>
      </c>
      <c r="D21" s="24">
        <v>773.08</v>
      </c>
    </row>
    <row r="22" spans="1:4">
      <c r="A22" s="23" t="s">
        <v>397</v>
      </c>
      <c r="B22" s="16">
        <v>18</v>
      </c>
      <c r="C22" s="24">
        <v>145.44</v>
      </c>
      <c r="D22" s="24">
        <v>1454.53</v>
      </c>
    </row>
    <row r="23" spans="1:4">
      <c r="A23" s="23" t="s">
        <v>398</v>
      </c>
      <c r="B23" s="16">
        <v>19</v>
      </c>
      <c r="C23" s="24">
        <v>93.17</v>
      </c>
      <c r="D23" s="24">
        <v>930.44</v>
      </c>
    </row>
    <row r="24" spans="1:4">
      <c r="A24" s="23" t="s">
        <v>399</v>
      </c>
      <c r="B24" s="16">
        <v>21</v>
      </c>
      <c r="C24" s="24">
        <v>94</v>
      </c>
      <c r="D24" s="24">
        <v>940.43</v>
      </c>
    </row>
    <row r="25" spans="1:4">
      <c r="A25" s="23" t="s">
        <v>400</v>
      </c>
      <c r="B25" s="16">
        <v>22</v>
      </c>
      <c r="C25" s="24">
        <v>92.52</v>
      </c>
      <c r="D25" s="24">
        <v>921.46</v>
      </c>
    </row>
    <row r="26" spans="1:4">
      <c r="A26" s="23" t="s">
        <v>401</v>
      </c>
      <c r="B26" s="16">
        <v>23</v>
      </c>
      <c r="C26" s="24">
        <v>93.17</v>
      </c>
      <c r="D26" s="24">
        <v>930.44</v>
      </c>
    </row>
    <row r="27" spans="1:4">
      <c r="A27" s="23" t="s">
        <v>402</v>
      </c>
      <c r="B27" s="16">
        <v>24</v>
      </c>
      <c r="C27" s="24">
        <v>103.86</v>
      </c>
      <c r="D27" s="24">
        <v>1012.09</v>
      </c>
    </row>
    <row r="28" spans="1:4">
      <c r="A28" s="23" t="s">
        <v>403</v>
      </c>
      <c r="B28" s="16">
        <v>25</v>
      </c>
      <c r="C28" s="24">
        <v>99.65</v>
      </c>
      <c r="D28" s="24">
        <v>995.84</v>
      </c>
    </row>
    <row r="29" spans="1:4">
      <c r="A29" s="23" t="s">
        <v>404</v>
      </c>
      <c r="B29" s="16">
        <v>26</v>
      </c>
      <c r="C29" s="24">
        <v>89.06</v>
      </c>
      <c r="D29" s="24">
        <v>897.05</v>
      </c>
    </row>
    <row r="30" spans="1:4">
      <c r="A30" s="23" t="s">
        <v>405</v>
      </c>
      <c r="B30" s="16">
        <v>27</v>
      </c>
      <c r="C30" s="24">
        <v>98.81</v>
      </c>
      <c r="D30" s="24">
        <v>976.29</v>
      </c>
    </row>
    <row r="31" spans="1:4">
      <c r="A31" s="23" t="s">
        <v>406</v>
      </c>
      <c r="B31" s="16">
        <v>28</v>
      </c>
      <c r="C31" s="24">
        <v>99.09</v>
      </c>
      <c r="D31" s="24">
        <v>1009.52</v>
      </c>
    </row>
    <row r="32" spans="1:4">
      <c r="A32" s="23" t="s">
        <v>407</v>
      </c>
      <c r="B32" s="16">
        <v>29</v>
      </c>
      <c r="C32" s="24">
        <v>93.58</v>
      </c>
      <c r="D32" s="24">
        <v>929.2</v>
      </c>
    </row>
    <row r="33" spans="1:4">
      <c r="A33" s="23" t="s">
        <v>408</v>
      </c>
      <c r="B33" s="16">
        <v>30</v>
      </c>
      <c r="C33" s="24">
        <v>113.12</v>
      </c>
      <c r="D33" s="24">
        <v>1094.58</v>
      </c>
    </row>
    <row r="34" spans="1:4">
      <c r="A34" s="23" t="s">
        <v>409</v>
      </c>
      <c r="B34" s="16" t="s">
        <v>410</v>
      </c>
      <c r="C34" s="24">
        <v>121.8</v>
      </c>
      <c r="D34" s="24">
        <v>1076.72</v>
      </c>
    </row>
    <row r="35" spans="1:4">
      <c r="A35" s="23" t="s">
        <v>411</v>
      </c>
      <c r="B35" s="16">
        <v>31</v>
      </c>
      <c r="C35" s="24">
        <v>80.25</v>
      </c>
      <c r="D35" s="24">
        <v>799.8</v>
      </c>
    </row>
    <row r="36" spans="1:4">
      <c r="A36" s="23" t="s">
        <v>412</v>
      </c>
      <c r="B36" s="16">
        <v>32</v>
      </c>
      <c r="C36" s="24">
        <v>94.13</v>
      </c>
      <c r="D36" s="24">
        <v>923.26</v>
      </c>
    </row>
    <row r="37" spans="1:4">
      <c r="A37" s="23" t="s">
        <v>413</v>
      </c>
      <c r="B37" s="16">
        <v>33</v>
      </c>
      <c r="C37" s="24">
        <v>89.04</v>
      </c>
      <c r="D37" s="24">
        <v>890.43</v>
      </c>
    </row>
    <row r="38" spans="1:4">
      <c r="A38" s="23" t="s">
        <v>414</v>
      </c>
      <c r="B38" s="16">
        <v>34</v>
      </c>
      <c r="C38" s="24">
        <v>115.64</v>
      </c>
      <c r="D38" s="24">
        <v>1174.98</v>
      </c>
    </row>
    <row r="39" spans="1:4">
      <c r="A39" s="23" t="s">
        <v>415</v>
      </c>
      <c r="B39" s="16">
        <v>35</v>
      </c>
      <c r="C39" s="24">
        <v>84.94</v>
      </c>
      <c r="D39" s="24">
        <v>844.69</v>
      </c>
    </row>
    <row r="40" spans="1:4">
      <c r="A40" s="23" t="s">
        <v>416</v>
      </c>
      <c r="B40" s="16">
        <v>36</v>
      </c>
      <c r="C40" s="24">
        <v>93.76</v>
      </c>
      <c r="D40" s="24">
        <v>936.32</v>
      </c>
    </row>
    <row r="41" spans="1:4">
      <c r="A41" s="23" t="s">
        <v>417</v>
      </c>
      <c r="B41" s="16">
        <v>37</v>
      </c>
      <c r="C41" s="24">
        <v>88.65</v>
      </c>
      <c r="D41" s="24">
        <v>886.43</v>
      </c>
    </row>
    <row r="42" spans="1:4">
      <c r="A42" s="23" t="s">
        <v>418</v>
      </c>
      <c r="B42" s="16" t="s">
        <v>419</v>
      </c>
      <c r="C42" s="24">
        <v>136.24</v>
      </c>
      <c r="D42" s="24">
        <v>1215</v>
      </c>
    </row>
    <row r="43" spans="1:4">
      <c r="A43" s="23" t="s">
        <v>420</v>
      </c>
      <c r="B43" s="16">
        <v>38</v>
      </c>
      <c r="C43" s="24">
        <v>93.36</v>
      </c>
      <c r="D43" s="24">
        <v>924.56</v>
      </c>
    </row>
    <row r="44" spans="1:4">
      <c r="A44" s="23" t="s">
        <v>421</v>
      </c>
      <c r="B44" s="16">
        <v>39</v>
      </c>
      <c r="C44" s="24">
        <v>94</v>
      </c>
      <c r="D44" s="24">
        <v>940.43</v>
      </c>
    </row>
    <row r="45" spans="1:4">
      <c r="A45" s="23" t="s">
        <v>422</v>
      </c>
      <c r="B45" s="16">
        <v>40</v>
      </c>
      <c r="C45" s="24">
        <v>64.42</v>
      </c>
      <c r="D45" s="24">
        <v>629.47</v>
      </c>
    </row>
    <row r="46" spans="1:4">
      <c r="A46" s="23" t="s">
        <v>423</v>
      </c>
      <c r="B46" s="16">
        <v>41</v>
      </c>
      <c r="C46" s="24">
        <v>83.67</v>
      </c>
      <c r="D46" s="24">
        <v>848.9</v>
      </c>
    </row>
    <row r="47" spans="1:4">
      <c r="A47" s="23" t="s">
        <v>424</v>
      </c>
      <c r="B47" s="16">
        <v>42</v>
      </c>
      <c r="C47" s="24">
        <v>87.95</v>
      </c>
      <c r="D47" s="24">
        <v>865.6</v>
      </c>
    </row>
    <row r="48" spans="1:4">
      <c r="A48" s="23" t="s">
        <v>425</v>
      </c>
      <c r="B48" s="16">
        <v>43</v>
      </c>
      <c r="C48" s="24">
        <v>97.67</v>
      </c>
      <c r="D48" s="24">
        <v>963.12</v>
      </c>
    </row>
    <row r="49" spans="1:4">
      <c r="A49" s="23" t="s">
        <v>426</v>
      </c>
      <c r="B49" s="16">
        <v>44</v>
      </c>
      <c r="C49" s="24">
        <v>93.1</v>
      </c>
      <c r="D49" s="24">
        <v>918.97</v>
      </c>
    </row>
    <row r="50" spans="1:4">
      <c r="A50" s="23" t="s">
        <v>427</v>
      </c>
      <c r="B50" s="16">
        <v>45</v>
      </c>
      <c r="C50" s="24">
        <v>77.28</v>
      </c>
      <c r="D50" s="24">
        <v>784.59</v>
      </c>
    </row>
    <row r="51" spans="1:4">
      <c r="A51" s="23" t="s">
        <v>428</v>
      </c>
      <c r="B51" s="16">
        <v>46</v>
      </c>
      <c r="C51" s="24">
        <v>117.53</v>
      </c>
      <c r="D51" s="24">
        <v>877.31</v>
      </c>
    </row>
    <row r="52" spans="1:4">
      <c r="A52" s="23" t="s">
        <v>429</v>
      </c>
      <c r="B52" s="16">
        <v>47</v>
      </c>
      <c r="C52" s="24">
        <v>103.86</v>
      </c>
      <c r="D52" s="24">
        <v>1012.09</v>
      </c>
    </row>
    <row r="53" spans="1:4">
      <c r="A53" s="23" t="s">
        <v>430</v>
      </c>
      <c r="B53" s="16">
        <v>48</v>
      </c>
      <c r="C53" s="24">
        <v>113.85</v>
      </c>
      <c r="D53" s="24">
        <v>1161.8699999999999</v>
      </c>
    </row>
    <row r="54" spans="1:4">
      <c r="A54" s="23" t="s">
        <v>431</v>
      </c>
      <c r="B54" s="16">
        <v>49</v>
      </c>
      <c r="C54" s="24">
        <v>85.44</v>
      </c>
      <c r="D54" s="24">
        <v>843.5</v>
      </c>
    </row>
    <row r="55" spans="1:4">
      <c r="A55" s="23" t="s">
        <v>432</v>
      </c>
      <c r="B55" s="16">
        <v>50</v>
      </c>
      <c r="C55" s="24">
        <v>102.1</v>
      </c>
      <c r="D55" s="24">
        <v>1014.18</v>
      </c>
    </row>
    <row r="56" spans="1:4">
      <c r="A56" s="23" t="s">
        <v>433</v>
      </c>
      <c r="B56" s="16">
        <v>51</v>
      </c>
      <c r="C56" s="24">
        <v>94.55</v>
      </c>
      <c r="D56" s="24">
        <v>941.09</v>
      </c>
    </row>
    <row r="57" spans="1:4">
      <c r="A57" s="23" t="s">
        <v>434</v>
      </c>
      <c r="B57" s="16">
        <v>52</v>
      </c>
      <c r="C57" s="24">
        <v>112.39</v>
      </c>
      <c r="D57" s="24">
        <v>1123.04</v>
      </c>
    </row>
    <row r="58" spans="1:4">
      <c r="A58" s="23" t="s">
        <v>435</v>
      </c>
      <c r="B58" s="16">
        <v>53</v>
      </c>
      <c r="C58" s="24">
        <v>93.39</v>
      </c>
      <c r="D58" s="24">
        <v>919.13</v>
      </c>
    </row>
    <row r="59" spans="1:4">
      <c r="A59" s="23" t="s">
        <v>436</v>
      </c>
      <c r="B59" s="16">
        <v>54</v>
      </c>
      <c r="C59" s="24">
        <v>96.78</v>
      </c>
      <c r="D59" s="24">
        <v>967.17</v>
      </c>
    </row>
    <row r="60" spans="1:4">
      <c r="A60" s="23" t="s">
        <v>437</v>
      </c>
      <c r="B60" s="16">
        <v>55</v>
      </c>
      <c r="C60" s="24">
        <v>108.66</v>
      </c>
      <c r="D60" s="24">
        <v>1072.46</v>
      </c>
    </row>
    <row r="61" spans="1:4">
      <c r="A61" s="23" t="s">
        <v>438</v>
      </c>
      <c r="B61" s="16">
        <v>56</v>
      </c>
      <c r="C61" s="24">
        <v>94.2</v>
      </c>
      <c r="D61" s="24">
        <v>934.63</v>
      </c>
    </row>
    <row r="62" spans="1:4">
      <c r="A62" s="23" t="s">
        <v>439</v>
      </c>
      <c r="B62" s="16">
        <v>57</v>
      </c>
      <c r="C62" s="24">
        <v>107.22</v>
      </c>
      <c r="D62" s="24">
        <v>1057.69</v>
      </c>
    </row>
    <row r="63" spans="1:4">
      <c r="A63" s="23" t="s">
        <v>440</v>
      </c>
      <c r="B63" s="16">
        <v>58</v>
      </c>
      <c r="C63" s="24">
        <v>133.86000000000001</v>
      </c>
      <c r="D63" s="24">
        <v>1338.54</v>
      </c>
    </row>
    <row r="64" spans="1:4">
      <c r="A64" s="23" t="s">
        <v>441</v>
      </c>
      <c r="B64" s="16">
        <v>59</v>
      </c>
      <c r="C64" s="24">
        <v>96.97</v>
      </c>
      <c r="D64" s="24">
        <v>965.16</v>
      </c>
    </row>
    <row r="65" spans="1:4">
      <c r="A65" s="23" t="s">
        <v>442</v>
      </c>
      <c r="B65" s="16">
        <v>60</v>
      </c>
      <c r="C65" s="24">
        <v>116.63</v>
      </c>
      <c r="D65" s="24">
        <v>962.22</v>
      </c>
    </row>
    <row r="66" spans="1:4">
      <c r="A66" s="23" t="s">
        <v>443</v>
      </c>
      <c r="B66" s="16">
        <v>61</v>
      </c>
      <c r="C66" s="24">
        <v>96.83</v>
      </c>
      <c r="D66" s="24">
        <v>953.66</v>
      </c>
    </row>
    <row r="67" spans="1:4">
      <c r="A67" s="23" t="s">
        <v>444</v>
      </c>
      <c r="B67" s="16">
        <v>62</v>
      </c>
      <c r="C67" s="24">
        <v>98.03</v>
      </c>
      <c r="D67" s="24">
        <v>978.35</v>
      </c>
    </row>
    <row r="68" spans="1:4">
      <c r="A68" s="23" t="s">
        <v>445</v>
      </c>
      <c r="B68" s="16" t="s">
        <v>446</v>
      </c>
      <c r="C68" s="24">
        <v>125.65</v>
      </c>
      <c r="D68" s="24">
        <v>1117.6099999999999</v>
      </c>
    </row>
    <row r="69" spans="1:4">
      <c r="A69" s="23" t="s">
        <v>447</v>
      </c>
      <c r="B69" s="16">
        <v>63</v>
      </c>
      <c r="C69" s="24">
        <v>82.75</v>
      </c>
      <c r="D69" s="24">
        <v>827.17</v>
      </c>
    </row>
    <row r="70" spans="1:4">
      <c r="A70" s="23" t="s">
        <v>448</v>
      </c>
      <c r="B70" s="16" t="s">
        <v>449</v>
      </c>
      <c r="C70" s="24">
        <v>102.29</v>
      </c>
      <c r="D70" s="24">
        <v>860.75</v>
      </c>
    </row>
    <row r="71" spans="1:4">
      <c r="A71" s="23" t="s">
        <v>450</v>
      </c>
      <c r="B71" s="16">
        <v>64</v>
      </c>
      <c r="C71" s="24">
        <v>49.41</v>
      </c>
      <c r="D71" s="24">
        <v>487.13</v>
      </c>
    </row>
    <row r="72" spans="1:4">
      <c r="A72" s="23" t="s">
        <v>451</v>
      </c>
      <c r="B72" s="16" t="s">
        <v>452</v>
      </c>
      <c r="C72" s="24">
        <v>92.53</v>
      </c>
      <c r="D72" s="24">
        <v>781.13</v>
      </c>
    </row>
    <row r="73" spans="1:4">
      <c r="A73" s="23" t="s">
        <v>453</v>
      </c>
      <c r="B73" s="16">
        <v>65</v>
      </c>
      <c r="C73" s="24">
        <v>60.73</v>
      </c>
      <c r="D73" s="24">
        <v>591.12</v>
      </c>
    </row>
    <row r="74" spans="1:4">
      <c r="A74" s="23" t="s">
        <v>454</v>
      </c>
      <c r="B74" s="16">
        <v>66</v>
      </c>
      <c r="C74" s="24">
        <v>95.89</v>
      </c>
      <c r="D74" s="24">
        <v>922.25</v>
      </c>
    </row>
    <row r="75" spans="1:4">
      <c r="A75" s="23" t="s">
        <v>455</v>
      </c>
      <c r="B75" s="16">
        <v>67</v>
      </c>
      <c r="C75" s="24">
        <v>94.88</v>
      </c>
      <c r="D75" s="24">
        <v>945.6</v>
      </c>
    </row>
    <row r="76" spans="1:4">
      <c r="A76" s="23" t="s">
        <v>456</v>
      </c>
      <c r="B76" s="16">
        <v>68</v>
      </c>
      <c r="C76" s="24">
        <v>104.82</v>
      </c>
      <c r="D76" s="24">
        <v>1033.8699999999999</v>
      </c>
    </row>
    <row r="77" spans="1:4">
      <c r="A77" s="23" t="s">
        <v>457</v>
      </c>
      <c r="B77" s="16">
        <v>69</v>
      </c>
      <c r="C77" s="24">
        <v>83.63</v>
      </c>
      <c r="D77" s="24">
        <v>834.62</v>
      </c>
    </row>
    <row r="78" spans="1:4">
      <c r="A78" s="23" t="s">
        <v>458</v>
      </c>
      <c r="B78" s="16">
        <v>70</v>
      </c>
      <c r="C78" s="24">
        <v>100.18</v>
      </c>
      <c r="D78" s="24">
        <v>923.68</v>
      </c>
    </row>
    <row r="79" spans="1:4">
      <c r="A79" s="23" t="s">
        <v>459</v>
      </c>
      <c r="B79" s="16">
        <v>71</v>
      </c>
      <c r="C79" s="24">
        <v>94.81</v>
      </c>
      <c r="D79" s="24">
        <v>936.03</v>
      </c>
    </row>
    <row r="80" spans="1:4">
      <c r="A80" s="23" t="s">
        <v>460</v>
      </c>
      <c r="B80" s="16">
        <v>72</v>
      </c>
      <c r="C80" s="24">
        <v>80.319999999999993</v>
      </c>
      <c r="D80" s="24">
        <v>805.92</v>
      </c>
    </row>
    <row r="81" spans="1:4">
      <c r="A81" s="23" t="s">
        <v>461</v>
      </c>
      <c r="B81" s="16" t="s">
        <v>462</v>
      </c>
      <c r="C81" s="24">
        <v>128.49</v>
      </c>
      <c r="D81" s="24">
        <v>1143.8499999999999</v>
      </c>
    </row>
    <row r="82" spans="1:4">
      <c r="A82" s="23" t="s">
        <v>463</v>
      </c>
      <c r="B82" s="16">
        <v>73</v>
      </c>
      <c r="C82" s="24">
        <v>85.61</v>
      </c>
      <c r="D82" s="24">
        <v>853.41</v>
      </c>
    </row>
    <row r="83" spans="1:4">
      <c r="A83" s="23" t="s">
        <v>464</v>
      </c>
      <c r="B83" s="16" t="s">
        <v>465</v>
      </c>
      <c r="C83" s="24">
        <v>138.87</v>
      </c>
      <c r="D83" s="24">
        <v>1236.6500000000001</v>
      </c>
    </row>
    <row r="84" spans="1:4">
      <c r="A84" s="23" t="s">
        <v>466</v>
      </c>
      <c r="B84" s="16">
        <v>74</v>
      </c>
      <c r="C84" s="24">
        <v>96</v>
      </c>
      <c r="D84" s="24">
        <v>946.21</v>
      </c>
    </row>
    <row r="85" spans="1:4">
      <c r="A85" s="23" t="s">
        <v>467</v>
      </c>
      <c r="B85" s="16">
        <v>75</v>
      </c>
      <c r="C85" s="24">
        <v>116.63</v>
      </c>
      <c r="D85" s="24">
        <v>925.67</v>
      </c>
    </row>
    <row r="86" spans="1:4">
      <c r="A86" s="23" t="s">
        <v>468</v>
      </c>
      <c r="B86" s="16">
        <v>76</v>
      </c>
      <c r="C86" s="24">
        <v>100.03</v>
      </c>
      <c r="D86" s="24">
        <v>989.48</v>
      </c>
    </row>
    <row r="87" spans="1:4">
      <c r="A87" s="23" t="s">
        <v>469</v>
      </c>
      <c r="B87" s="16">
        <v>77</v>
      </c>
      <c r="C87" s="24">
        <v>116.63</v>
      </c>
      <c r="D87" s="24">
        <v>926.15</v>
      </c>
    </row>
    <row r="88" spans="1:4">
      <c r="A88" s="23" t="s">
        <v>470</v>
      </c>
      <c r="B88" s="16">
        <v>78</v>
      </c>
      <c r="C88" s="24">
        <v>110.14</v>
      </c>
      <c r="D88" s="24">
        <v>925.67</v>
      </c>
    </row>
    <row r="89" spans="1:4">
      <c r="A89" s="23" t="s">
        <v>471</v>
      </c>
      <c r="B89" s="16">
        <v>79</v>
      </c>
      <c r="C89" s="24">
        <v>93.76</v>
      </c>
      <c r="D89" s="24">
        <v>936.32</v>
      </c>
    </row>
    <row r="90" spans="1:4">
      <c r="A90" s="23" t="s">
        <v>472</v>
      </c>
      <c r="B90" s="16">
        <v>80</v>
      </c>
      <c r="C90" s="24">
        <v>105.34</v>
      </c>
      <c r="D90" s="24">
        <v>1041.69</v>
      </c>
    </row>
    <row r="91" spans="1:4">
      <c r="A91" s="23" t="s">
        <v>473</v>
      </c>
      <c r="B91" s="16">
        <v>81</v>
      </c>
      <c r="C91" s="24">
        <v>96.33</v>
      </c>
      <c r="D91" s="24">
        <v>945.73</v>
      </c>
    </row>
    <row r="92" spans="1:4">
      <c r="A92" s="23" t="s">
        <v>474</v>
      </c>
      <c r="B92" s="16">
        <v>82</v>
      </c>
      <c r="C92" s="24">
        <v>73.64</v>
      </c>
      <c r="D92" s="24">
        <v>736.38</v>
      </c>
    </row>
    <row r="93" spans="1:4">
      <c r="A93" s="23" t="s">
        <v>475</v>
      </c>
      <c r="B93" s="16">
        <v>83</v>
      </c>
      <c r="C93" s="24">
        <v>127.17</v>
      </c>
      <c r="D93" s="24">
        <v>1223.32</v>
      </c>
    </row>
    <row r="94" spans="1:4">
      <c r="A94" s="23" t="s">
        <v>476</v>
      </c>
      <c r="B94" s="16">
        <v>84</v>
      </c>
      <c r="C94" s="24">
        <v>105.22</v>
      </c>
      <c r="D94" s="24">
        <v>1021.97</v>
      </c>
    </row>
    <row r="95" spans="1:4">
      <c r="A95" s="23" t="s">
        <v>477</v>
      </c>
      <c r="B95" s="16">
        <v>85</v>
      </c>
      <c r="C95" s="24">
        <v>84.7</v>
      </c>
      <c r="D95" s="24">
        <v>837.53</v>
      </c>
    </row>
    <row r="96" spans="1:4">
      <c r="A96" s="23" t="s">
        <v>478</v>
      </c>
      <c r="B96" s="16">
        <v>86</v>
      </c>
      <c r="C96" s="24">
        <v>84.96</v>
      </c>
      <c r="D96" s="24">
        <v>849.72</v>
      </c>
    </row>
    <row r="97" spans="1:4">
      <c r="A97" s="23" t="s">
        <v>479</v>
      </c>
      <c r="B97" s="16">
        <v>87</v>
      </c>
      <c r="C97" s="24">
        <v>84.38</v>
      </c>
      <c r="D97" s="24">
        <v>843.84</v>
      </c>
    </row>
    <row r="98" spans="1:4">
      <c r="A98" s="23" t="s">
        <v>480</v>
      </c>
      <c r="B98" s="16">
        <v>88</v>
      </c>
      <c r="C98" s="24">
        <v>105.98</v>
      </c>
      <c r="D98" s="24">
        <v>1046.27</v>
      </c>
    </row>
    <row r="99" spans="1:4">
      <c r="A99" s="23" t="s">
        <v>481</v>
      </c>
      <c r="B99" s="16">
        <v>89</v>
      </c>
      <c r="C99" s="24">
        <v>136.06</v>
      </c>
      <c r="D99" s="24">
        <v>1360.59</v>
      </c>
    </row>
    <row r="100" spans="1:4">
      <c r="A100" s="23" t="s">
        <v>482</v>
      </c>
      <c r="B100" s="16">
        <v>90</v>
      </c>
      <c r="C100" s="24">
        <v>92.47</v>
      </c>
      <c r="D100" s="24">
        <v>876.54</v>
      </c>
    </row>
    <row r="101" spans="1:4">
      <c r="A101" s="23" t="s">
        <v>483</v>
      </c>
      <c r="B101" s="16">
        <v>91</v>
      </c>
      <c r="C101" s="24">
        <v>110.14</v>
      </c>
      <c r="D101" s="24">
        <v>925.67</v>
      </c>
    </row>
    <row r="102" spans="1:4">
      <c r="A102" s="23" t="s">
        <v>484</v>
      </c>
      <c r="B102" s="16">
        <v>92</v>
      </c>
      <c r="C102" s="24">
        <v>110.14</v>
      </c>
      <c r="D102" s="24">
        <v>925.67</v>
      </c>
    </row>
    <row r="103" spans="1:4">
      <c r="A103" s="23" t="s">
        <v>485</v>
      </c>
      <c r="B103" s="16">
        <v>93</v>
      </c>
      <c r="C103" s="24">
        <v>110.14</v>
      </c>
      <c r="D103" s="24">
        <v>925.67</v>
      </c>
    </row>
    <row r="104" spans="1:4">
      <c r="A104" s="23" t="s">
        <v>486</v>
      </c>
      <c r="B104" s="16">
        <v>94</v>
      </c>
      <c r="C104" s="24">
        <v>110.14</v>
      </c>
      <c r="D104" s="24">
        <v>925.67</v>
      </c>
    </row>
    <row r="105" spans="1:4">
      <c r="A105" s="23" t="s">
        <v>487</v>
      </c>
      <c r="B105" s="16">
        <v>95</v>
      </c>
      <c r="C105" s="24">
        <v>110.14</v>
      </c>
      <c r="D105" s="24">
        <v>925.67</v>
      </c>
    </row>
    <row r="106" spans="1:4">
      <c r="A106" s="23" t="s">
        <v>488</v>
      </c>
      <c r="B106" s="16">
        <v>98</v>
      </c>
      <c r="C106" s="24">
        <v>134.93</v>
      </c>
      <c r="D106" s="24">
        <v>1329.53</v>
      </c>
    </row>
    <row r="107" spans="1:4">
      <c r="A107" s="23" t="s">
        <v>591</v>
      </c>
      <c r="B107" s="16" t="s">
        <v>489</v>
      </c>
      <c r="C107" s="24">
        <v>100</v>
      </c>
      <c r="D107" s="24">
        <v>1000</v>
      </c>
    </row>
    <row r="108" spans="1:4">
      <c r="A108" s="23" t="s">
        <v>592</v>
      </c>
      <c r="B108" s="265" t="s">
        <v>590</v>
      </c>
      <c r="C108" s="24">
        <v>429.62</v>
      </c>
      <c r="D108" s="24">
        <v>429.62</v>
      </c>
    </row>
    <row r="109" spans="1:4">
      <c r="A109" s="23" t="s">
        <v>595</v>
      </c>
      <c r="B109" s="16" t="s">
        <v>597</v>
      </c>
      <c r="C109" s="24">
        <v>337.74</v>
      </c>
      <c r="D109" s="24">
        <v>337.74</v>
      </c>
    </row>
    <row r="110" spans="1:4">
      <c r="A110" s="266" t="s">
        <v>596</v>
      </c>
      <c r="B110" s="265" t="s">
        <v>594</v>
      </c>
      <c r="C110" s="267">
        <v>308.89</v>
      </c>
      <c r="D110" s="267">
        <v>308.89</v>
      </c>
    </row>
    <row r="111" spans="1:4">
      <c r="A111" s="23"/>
      <c r="B111" s="16" t="s">
        <v>490</v>
      </c>
      <c r="C111" s="24"/>
      <c r="D111" s="24"/>
    </row>
  </sheetData>
  <sheetProtection algorithmName="SHA-512" hashValue="dTwDMziTnJalords4fumd2FDVqAXuea/8sLu9fWrpEl+EsbAk13/uYCLbDUZckeR9HK0KyIZ5D7Cz8u5/kA1sg==" saltValue="R0MnUnHLQS/VZqMdybKJ5Q==" spinCount="100000" sheet="1" objects="1" scenarios="1"/>
  <pageMargins left="0" right="0" top="0.90551181102362177" bottom="0.90551181102362177" header="0" footer="0"/>
  <pageSetup paperSize="9" fitToHeight="0" orientation="portrait" verticalDpi="0"/>
  <headerFooter>
    <oddHeader>&amp;L&amp;G&amp;R&amp;"Arial,Italique"&amp;8Edité le &amp;D à &amp;T</oddHeader>
    <oddFooter>&amp;R&amp;9&amp;P / &amp;N&amp;C&amp;"Arial,Italique"&amp;6DOCUMENT CONFIDENTIEL_x000D_Toute reproduction, traduction, adaptation et divulgation est strictement interdite sauf accord écrit de son émetteur._x000D_</oddFooter>
  </headerFooter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26">
    <pageSetUpPr fitToPage="1"/>
  </sheetPr>
  <dimension ref="A1:C101"/>
  <sheetViews>
    <sheetView showGridLines="0" topLeftCell="A66" workbookViewId="0">
      <selection activeCell="C106" sqref="C106"/>
    </sheetView>
  </sheetViews>
  <sheetFormatPr baseColWidth="10" defaultColWidth="11.42578125" defaultRowHeight="14.25" outlineLevelCol="1"/>
  <cols>
    <col min="1" max="1" width="34.42578125" style="15" customWidth="1" outlineLevel="1"/>
    <col min="2" max="2" width="7.42578125" style="16" customWidth="1" outlineLevel="1"/>
    <col min="3" max="3" width="24.42578125" style="15" customWidth="1" outlineLevel="1"/>
    <col min="4" max="16384" width="11.42578125" style="15"/>
  </cols>
  <sheetData>
    <row r="1" spans="1:3" ht="15.75">
      <c r="A1" s="17" t="s">
        <v>369</v>
      </c>
      <c r="B1" s="4"/>
      <c r="C1" s="18" t="s">
        <v>491</v>
      </c>
    </row>
    <row r="2" spans="1:3" ht="15">
      <c r="A2" s="25" t="s">
        <v>372</v>
      </c>
      <c r="B2" s="26" t="s">
        <v>373</v>
      </c>
      <c r="C2" s="27" t="s">
        <v>492</v>
      </c>
    </row>
    <row r="3" spans="1:3">
      <c r="A3" s="23" t="s">
        <v>376</v>
      </c>
      <c r="B3" s="16">
        <v>1</v>
      </c>
      <c r="C3" s="24">
        <v>241.9</v>
      </c>
    </row>
    <row r="4" spans="1:3">
      <c r="A4" s="23" t="s">
        <v>377</v>
      </c>
      <c r="B4" s="16">
        <v>2</v>
      </c>
      <c r="C4" s="24">
        <v>303.3</v>
      </c>
    </row>
    <row r="5" spans="1:3">
      <c r="A5" s="23" t="s">
        <v>378</v>
      </c>
      <c r="B5" s="16">
        <v>3</v>
      </c>
      <c r="C5" s="24">
        <v>255.7</v>
      </c>
    </row>
    <row r="6" spans="1:3">
      <c r="A6" s="23" t="s">
        <v>379</v>
      </c>
      <c r="B6" s="16">
        <v>4</v>
      </c>
      <c r="C6" s="24">
        <v>262.7</v>
      </c>
    </row>
    <row r="7" spans="1:3">
      <c r="A7" s="23" t="s">
        <v>380</v>
      </c>
      <c r="B7" s="16">
        <v>5</v>
      </c>
      <c r="C7" s="24">
        <v>295.60000000000002</v>
      </c>
    </row>
    <row r="8" spans="1:3">
      <c r="A8" s="23" t="s">
        <v>381</v>
      </c>
      <c r="B8" s="16">
        <v>6</v>
      </c>
      <c r="C8" s="24">
        <v>295.60000000000002</v>
      </c>
    </row>
    <row r="9" spans="1:3">
      <c r="A9" s="23" t="s">
        <v>382</v>
      </c>
      <c r="B9" s="16">
        <v>7</v>
      </c>
      <c r="C9" s="24">
        <v>286.3</v>
      </c>
    </row>
    <row r="10" spans="1:3">
      <c r="A10" s="23" t="s">
        <v>383</v>
      </c>
      <c r="B10" s="16">
        <v>8</v>
      </c>
      <c r="C10" s="24">
        <v>298.3</v>
      </c>
    </row>
    <row r="11" spans="1:3">
      <c r="A11" s="23" t="s">
        <v>386</v>
      </c>
      <c r="B11" s="16">
        <v>9</v>
      </c>
      <c r="C11" s="24">
        <v>197.3</v>
      </c>
    </row>
    <row r="12" spans="1:3">
      <c r="A12" s="23" t="s">
        <v>387</v>
      </c>
      <c r="B12" s="16">
        <v>10</v>
      </c>
      <c r="C12" s="24">
        <v>316</v>
      </c>
    </row>
    <row r="13" spans="1:3">
      <c r="A13" s="23" t="s">
        <v>388</v>
      </c>
      <c r="B13" s="16">
        <v>11</v>
      </c>
      <c r="C13" s="24">
        <v>179.7</v>
      </c>
    </row>
    <row r="14" spans="1:3">
      <c r="A14" s="23" t="s">
        <v>389</v>
      </c>
      <c r="B14" s="16">
        <v>12</v>
      </c>
      <c r="C14" s="24">
        <v>268.8</v>
      </c>
    </row>
    <row r="15" spans="1:3">
      <c r="A15" s="23" t="s">
        <v>390</v>
      </c>
      <c r="B15" s="16">
        <v>13</v>
      </c>
      <c r="C15" s="24">
        <v>239.6</v>
      </c>
    </row>
    <row r="16" spans="1:3">
      <c r="A16" s="23" t="s">
        <v>391</v>
      </c>
      <c r="B16" s="16">
        <v>14</v>
      </c>
      <c r="C16" s="24">
        <v>258.89999999999998</v>
      </c>
    </row>
    <row r="17" spans="1:3">
      <c r="A17" s="23" t="s">
        <v>394</v>
      </c>
      <c r="B17" s="16">
        <v>15</v>
      </c>
      <c r="C17" s="24">
        <v>264.10000000000002</v>
      </c>
    </row>
    <row r="18" spans="1:3">
      <c r="A18" s="23" t="s">
        <v>395</v>
      </c>
      <c r="B18" s="16">
        <v>16</v>
      </c>
      <c r="C18" s="24">
        <v>180.1</v>
      </c>
    </row>
    <row r="19" spans="1:3">
      <c r="A19" s="23" t="s">
        <v>396</v>
      </c>
      <c r="B19" s="16">
        <v>17</v>
      </c>
      <c r="C19" s="24">
        <v>181.7</v>
      </c>
    </row>
    <row r="20" spans="1:3">
      <c r="A20" s="23" t="s">
        <v>397</v>
      </c>
      <c r="B20" s="16">
        <v>18</v>
      </c>
      <c r="C20" s="24">
        <v>383.8</v>
      </c>
    </row>
    <row r="21" spans="1:3">
      <c r="A21" s="23" t="s">
        <v>398</v>
      </c>
      <c r="B21" s="16">
        <v>19</v>
      </c>
      <c r="C21" s="24">
        <v>221.8</v>
      </c>
    </row>
    <row r="22" spans="1:3">
      <c r="A22" s="23" t="s">
        <v>399</v>
      </c>
      <c r="B22" s="16">
        <v>21</v>
      </c>
      <c r="C22" s="24">
        <v>266.7</v>
      </c>
    </row>
    <row r="23" spans="1:3">
      <c r="A23" s="23" t="s">
        <v>400</v>
      </c>
      <c r="B23" s="16">
        <v>22</v>
      </c>
      <c r="C23" s="24">
        <v>267.39999999999998</v>
      </c>
    </row>
    <row r="24" spans="1:3">
      <c r="A24" s="23" t="s">
        <v>401</v>
      </c>
      <c r="B24" s="16">
        <v>23</v>
      </c>
      <c r="C24" s="24">
        <v>221.8</v>
      </c>
    </row>
    <row r="25" spans="1:3">
      <c r="A25" s="23" t="s">
        <v>402</v>
      </c>
      <c r="B25" s="16">
        <v>24</v>
      </c>
      <c r="C25" s="24">
        <v>259.8</v>
      </c>
    </row>
    <row r="26" spans="1:3">
      <c r="A26" s="23" t="s">
        <v>403</v>
      </c>
      <c r="B26" s="16">
        <v>25</v>
      </c>
      <c r="C26" s="24">
        <v>279.7</v>
      </c>
    </row>
    <row r="27" spans="1:3">
      <c r="A27" s="23" t="s">
        <v>404</v>
      </c>
      <c r="B27" s="16">
        <v>26</v>
      </c>
      <c r="C27" s="24">
        <v>286.3</v>
      </c>
    </row>
    <row r="28" spans="1:3">
      <c r="A28" s="23" t="s">
        <v>405</v>
      </c>
      <c r="B28" s="16">
        <v>27</v>
      </c>
      <c r="C28" s="24">
        <v>293.60000000000002</v>
      </c>
    </row>
    <row r="29" spans="1:3">
      <c r="A29" s="23" t="s">
        <v>406</v>
      </c>
      <c r="B29" s="16">
        <v>28</v>
      </c>
      <c r="C29" s="24">
        <v>243.7</v>
      </c>
    </row>
    <row r="30" spans="1:3">
      <c r="A30" s="23" t="s">
        <v>407</v>
      </c>
      <c r="B30" s="16">
        <v>29</v>
      </c>
      <c r="C30" s="24">
        <v>273.7</v>
      </c>
    </row>
    <row r="31" spans="1:3">
      <c r="A31" s="23" t="s">
        <v>408</v>
      </c>
      <c r="B31" s="16">
        <v>30</v>
      </c>
      <c r="C31" s="24">
        <v>262.7</v>
      </c>
    </row>
    <row r="32" spans="1:3">
      <c r="A32" s="23" t="s">
        <v>411</v>
      </c>
      <c r="B32" s="16">
        <v>31</v>
      </c>
      <c r="C32" s="24">
        <v>182.5</v>
      </c>
    </row>
    <row r="33" spans="1:3">
      <c r="A33" s="23" t="s">
        <v>412</v>
      </c>
      <c r="B33" s="16">
        <v>32</v>
      </c>
      <c r="C33" s="24">
        <v>203.3</v>
      </c>
    </row>
    <row r="34" spans="1:3">
      <c r="A34" s="23" t="s">
        <v>413</v>
      </c>
      <c r="B34" s="16">
        <v>33</v>
      </c>
      <c r="C34" s="24">
        <v>195.5</v>
      </c>
    </row>
    <row r="35" spans="1:3">
      <c r="A35" s="23" t="s">
        <v>414</v>
      </c>
      <c r="B35" s="16">
        <v>34</v>
      </c>
      <c r="C35" s="24">
        <v>262.7</v>
      </c>
    </row>
    <row r="36" spans="1:3">
      <c r="A36" s="23" t="s">
        <v>415</v>
      </c>
      <c r="B36" s="16">
        <v>35</v>
      </c>
      <c r="C36" s="24">
        <v>236.2</v>
      </c>
    </row>
    <row r="37" spans="1:3">
      <c r="A37" s="23" t="s">
        <v>416</v>
      </c>
      <c r="B37" s="16">
        <v>36</v>
      </c>
      <c r="C37" s="24">
        <v>225</v>
      </c>
    </row>
    <row r="38" spans="1:3">
      <c r="A38" s="23" t="s">
        <v>417</v>
      </c>
      <c r="B38" s="16">
        <v>37</v>
      </c>
      <c r="C38" s="24">
        <v>229.6</v>
      </c>
    </row>
    <row r="39" spans="1:3">
      <c r="A39" s="23" t="s">
        <v>420</v>
      </c>
      <c r="B39" s="16">
        <v>38</v>
      </c>
      <c r="C39" s="24">
        <v>262.3</v>
      </c>
    </row>
    <row r="40" spans="1:3">
      <c r="A40" s="23" t="s">
        <v>421</v>
      </c>
      <c r="B40" s="16">
        <v>39</v>
      </c>
      <c r="C40" s="24">
        <v>269.7</v>
      </c>
    </row>
    <row r="41" spans="1:3">
      <c r="A41" s="23" t="s">
        <v>422</v>
      </c>
      <c r="B41" s="16">
        <v>40</v>
      </c>
      <c r="C41" s="24">
        <v>157.30000000000001</v>
      </c>
    </row>
    <row r="42" spans="1:3">
      <c r="A42" s="23" t="s">
        <v>423</v>
      </c>
      <c r="B42" s="16">
        <v>41</v>
      </c>
      <c r="C42" s="24">
        <v>243.7</v>
      </c>
    </row>
    <row r="43" spans="1:3">
      <c r="A43" s="23" t="s">
        <v>424</v>
      </c>
      <c r="B43" s="16">
        <v>42</v>
      </c>
      <c r="C43" s="24">
        <v>229.1</v>
      </c>
    </row>
    <row r="44" spans="1:3">
      <c r="A44" s="23" t="s">
        <v>425</v>
      </c>
      <c r="B44" s="16">
        <v>43</v>
      </c>
      <c r="C44" s="24">
        <v>259.60000000000002</v>
      </c>
    </row>
    <row r="45" spans="1:3">
      <c r="A45" s="23" t="s">
        <v>426</v>
      </c>
      <c r="B45" s="16">
        <v>44</v>
      </c>
      <c r="C45" s="24">
        <v>249.2</v>
      </c>
    </row>
    <row r="46" spans="1:3">
      <c r="A46" s="23" t="s">
        <v>427</v>
      </c>
      <c r="B46" s="16">
        <v>45</v>
      </c>
      <c r="C46" s="24">
        <v>229.2</v>
      </c>
    </row>
    <row r="47" spans="1:3">
      <c r="A47" s="23" t="s">
        <v>428</v>
      </c>
      <c r="B47" s="16">
        <v>46</v>
      </c>
      <c r="C47" s="24">
        <v>232.4</v>
      </c>
    </row>
    <row r="48" spans="1:3">
      <c r="A48" s="23" t="s">
        <v>429</v>
      </c>
      <c r="B48" s="16">
        <v>47</v>
      </c>
      <c r="C48" s="24">
        <v>259.8</v>
      </c>
    </row>
    <row r="49" spans="1:3">
      <c r="A49" s="23" t="s">
        <v>430</v>
      </c>
      <c r="B49" s="16">
        <v>48</v>
      </c>
      <c r="C49" s="24">
        <v>325.89999999999998</v>
      </c>
    </row>
    <row r="50" spans="1:3">
      <c r="A50" s="23" t="s">
        <v>431</v>
      </c>
      <c r="B50" s="16">
        <v>49</v>
      </c>
      <c r="C50" s="24">
        <v>219.7</v>
      </c>
    </row>
    <row r="51" spans="1:3">
      <c r="A51" s="23" t="s">
        <v>432</v>
      </c>
      <c r="B51" s="16">
        <v>50</v>
      </c>
      <c r="C51" s="24">
        <v>281.8</v>
      </c>
    </row>
    <row r="52" spans="1:3">
      <c r="A52" s="23" t="s">
        <v>433</v>
      </c>
      <c r="B52" s="16">
        <v>51</v>
      </c>
      <c r="C52" s="24">
        <v>288.89999999999998</v>
      </c>
    </row>
    <row r="53" spans="1:3">
      <c r="A53" s="23" t="s">
        <v>434</v>
      </c>
      <c r="B53" s="16">
        <v>52</v>
      </c>
      <c r="C53" s="24">
        <v>333.9</v>
      </c>
    </row>
    <row r="54" spans="1:3">
      <c r="A54" s="23" t="s">
        <v>435</v>
      </c>
      <c r="B54" s="16">
        <v>53</v>
      </c>
      <c r="C54" s="24">
        <v>248.8</v>
      </c>
    </row>
    <row r="55" spans="1:3">
      <c r="A55" s="23" t="s">
        <v>436</v>
      </c>
      <c r="B55" s="16">
        <v>54</v>
      </c>
      <c r="C55" s="24">
        <v>305.7</v>
      </c>
    </row>
    <row r="56" spans="1:3">
      <c r="A56" s="23" t="s">
        <v>437</v>
      </c>
      <c r="B56" s="16">
        <v>55</v>
      </c>
      <c r="C56" s="24">
        <v>323.5</v>
      </c>
    </row>
    <row r="57" spans="1:3">
      <c r="A57" s="23" t="s">
        <v>438</v>
      </c>
      <c r="B57" s="16">
        <v>56</v>
      </c>
      <c r="C57" s="24">
        <v>272</v>
      </c>
    </row>
    <row r="58" spans="1:3">
      <c r="A58" s="23" t="s">
        <v>439</v>
      </c>
      <c r="B58" s="16">
        <v>57</v>
      </c>
      <c r="C58" s="24">
        <v>321</v>
      </c>
    </row>
    <row r="59" spans="1:3">
      <c r="A59" s="23" t="s">
        <v>440</v>
      </c>
      <c r="B59" s="16">
        <v>58</v>
      </c>
      <c r="C59" s="24">
        <v>368.3</v>
      </c>
    </row>
    <row r="60" spans="1:3">
      <c r="A60" s="23" t="s">
        <v>441</v>
      </c>
      <c r="B60" s="16">
        <v>59</v>
      </c>
      <c r="C60" s="24">
        <v>290.7</v>
      </c>
    </row>
    <row r="61" spans="1:3">
      <c r="A61" s="23" t="s">
        <v>442</v>
      </c>
      <c r="B61" s="16">
        <v>60</v>
      </c>
      <c r="C61" s="24">
        <v>269.2</v>
      </c>
    </row>
    <row r="62" spans="1:3">
      <c r="A62" s="23" t="s">
        <v>443</v>
      </c>
      <c r="B62" s="16">
        <v>61</v>
      </c>
      <c r="C62" s="24">
        <v>270.60000000000002</v>
      </c>
    </row>
    <row r="63" spans="1:3">
      <c r="A63" s="23" t="s">
        <v>444</v>
      </c>
      <c r="B63" s="16">
        <v>62</v>
      </c>
      <c r="C63" s="24">
        <v>293.3</v>
      </c>
    </row>
    <row r="64" spans="1:3">
      <c r="A64" s="23" t="s">
        <v>447</v>
      </c>
      <c r="B64" s="16">
        <v>63</v>
      </c>
      <c r="C64" s="24">
        <v>236.4</v>
      </c>
    </row>
    <row r="65" spans="1:3">
      <c r="A65" s="23" t="s">
        <v>450</v>
      </c>
      <c r="B65" s="16">
        <v>64</v>
      </c>
      <c r="C65" s="24">
        <v>141.1</v>
      </c>
    </row>
    <row r="66" spans="1:3">
      <c r="A66" s="23" t="s">
        <v>453</v>
      </c>
      <c r="B66" s="16">
        <v>65</v>
      </c>
      <c r="C66" s="24">
        <v>147.30000000000001</v>
      </c>
    </row>
    <row r="67" spans="1:3">
      <c r="A67" s="23" t="s">
        <v>454</v>
      </c>
      <c r="B67" s="16">
        <v>66</v>
      </c>
      <c r="C67" s="24">
        <v>192.9</v>
      </c>
    </row>
    <row r="68" spans="1:3">
      <c r="A68" s="23" t="s">
        <v>455</v>
      </c>
      <c r="B68" s="16">
        <v>67</v>
      </c>
      <c r="C68" s="24">
        <v>294.7</v>
      </c>
    </row>
    <row r="69" spans="1:3">
      <c r="A69" s="23" t="s">
        <v>456</v>
      </c>
      <c r="B69" s="16">
        <v>68</v>
      </c>
      <c r="C69" s="24">
        <v>309.8</v>
      </c>
    </row>
    <row r="70" spans="1:3">
      <c r="A70" s="23" t="s">
        <v>457</v>
      </c>
      <c r="B70" s="16">
        <v>69</v>
      </c>
      <c r="C70" s="24">
        <v>225.6</v>
      </c>
    </row>
    <row r="71" spans="1:3">
      <c r="A71" s="23" t="s">
        <v>458</v>
      </c>
      <c r="B71" s="16">
        <v>70</v>
      </c>
      <c r="C71" s="24">
        <v>314.2</v>
      </c>
    </row>
    <row r="72" spans="1:3">
      <c r="A72" s="23" t="s">
        <v>459</v>
      </c>
      <c r="B72" s="16">
        <v>71</v>
      </c>
      <c r="C72" s="24">
        <v>255.5</v>
      </c>
    </row>
    <row r="73" spans="1:3">
      <c r="A73" s="23" t="s">
        <v>460</v>
      </c>
      <c r="B73" s="16">
        <v>72</v>
      </c>
      <c r="C73" s="24">
        <v>228.6</v>
      </c>
    </row>
    <row r="74" spans="1:3">
      <c r="A74" s="23" t="s">
        <v>463</v>
      </c>
      <c r="B74" s="16">
        <v>73</v>
      </c>
      <c r="C74" s="24">
        <v>245.7</v>
      </c>
    </row>
    <row r="75" spans="1:3">
      <c r="A75" s="23" t="s">
        <v>466</v>
      </c>
      <c r="B75" s="16">
        <v>74</v>
      </c>
      <c r="C75" s="24">
        <v>261.7</v>
      </c>
    </row>
    <row r="76" spans="1:3">
      <c r="A76" s="23" t="s">
        <v>467</v>
      </c>
      <c r="B76" s="16">
        <v>75</v>
      </c>
      <c r="C76" s="24">
        <v>263.10000000000002</v>
      </c>
    </row>
    <row r="77" spans="1:3">
      <c r="A77" s="23" t="s">
        <v>468</v>
      </c>
      <c r="B77" s="16">
        <v>76</v>
      </c>
      <c r="C77" s="24">
        <v>295.7</v>
      </c>
    </row>
    <row r="78" spans="1:3">
      <c r="A78" s="23" t="s">
        <v>469</v>
      </c>
      <c r="B78" s="16">
        <v>77</v>
      </c>
      <c r="C78" s="24">
        <v>263.2</v>
      </c>
    </row>
    <row r="79" spans="1:3">
      <c r="A79" s="23" t="s">
        <v>470</v>
      </c>
      <c r="B79" s="16">
        <v>78</v>
      </c>
      <c r="C79" s="24">
        <v>263.10000000000002</v>
      </c>
    </row>
    <row r="80" spans="1:3">
      <c r="A80" s="23" t="s">
        <v>471</v>
      </c>
      <c r="B80" s="16">
        <v>79</v>
      </c>
      <c r="C80" s="24">
        <v>225</v>
      </c>
    </row>
    <row r="81" spans="1:3">
      <c r="A81" s="23" t="s">
        <v>472</v>
      </c>
      <c r="B81" s="16">
        <v>80</v>
      </c>
      <c r="C81" s="24">
        <v>302</v>
      </c>
    </row>
    <row r="82" spans="1:3">
      <c r="A82" s="23" t="s">
        <v>473</v>
      </c>
      <c r="B82" s="16">
        <v>81</v>
      </c>
      <c r="C82" s="24">
        <v>207.3</v>
      </c>
    </row>
    <row r="83" spans="1:3">
      <c r="A83" s="23" t="s">
        <v>474</v>
      </c>
      <c r="B83" s="16">
        <v>82</v>
      </c>
      <c r="C83" s="24">
        <v>172.2</v>
      </c>
    </row>
    <row r="84" spans="1:3">
      <c r="A84" s="23" t="s">
        <v>475</v>
      </c>
      <c r="B84" s="16">
        <v>83</v>
      </c>
      <c r="C84" s="24">
        <v>262.7</v>
      </c>
    </row>
    <row r="85" spans="1:3">
      <c r="A85" s="23" t="s">
        <v>476</v>
      </c>
      <c r="B85" s="16">
        <v>84</v>
      </c>
      <c r="C85" s="24">
        <v>226.5</v>
      </c>
    </row>
    <row r="86" spans="1:3">
      <c r="A86" s="23" t="s">
        <v>477</v>
      </c>
      <c r="B86" s="16">
        <v>85</v>
      </c>
      <c r="C86" s="24">
        <v>218.6</v>
      </c>
    </row>
    <row r="87" spans="1:3">
      <c r="A87" s="23" t="s">
        <v>478</v>
      </c>
      <c r="B87" s="16">
        <v>86</v>
      </c>
      <c r="C87" s="24">
        <v>208.9</v>
      </c>
    </row>
    <row r="88" spans="1:3">
      <c r="A88" s="23" t="s">
        <v>479</v>
      </c>
      <c r="B88" s="16">
        <v>87</v>
      </c>
      <c r="C88" s="24">
        <v>205.7</v>
      </c>
    </row>
    <row r="89" spans="1:3">
      <c r="A89" s="23" t="s">
        <v>480</v>
      </c>
      <c r="B89" s="16">
        <v>88</v>
      </c>
      <c r="C89" s="24">
        <v>319</v>
      </c>
    </row>
    <row r="90" spans="1:3">
      <c r="A90" s="23" t="s">
        <v>481</v>
      </c>
      <c r="B90" s="16">
        <v>89</v>
      </c>
      <c r="C90" s="24">
        <v>364.6</v>
      </c>
    </row>
    <row r="91" spans="1:3">
      <c r="A91" s="23" t="s">
        <v>482</v>
      </c>
      <c r="B91" s="16">
        <v>90</v>
      </c>
      <c r="C91" s="24">
        <v>294.2</v>
      </c>
    </row>
    <row r="92" spans="1:3">
      <c r="A92" s="23" t="s">
        <v>483</v>
      </c>
      <c r="B92" s="16">
        <v>91</v>
      </c>
      <c r="C92" s="24">
        <v>263.10000000000002</v>
      </c>
    </row>
    <row r="93" spans="1:3">
      <c r="A93" s="23" t="s">
        <v>484</v>
      </c>
      <c r="B93" s="16">
        <v>92</v>
      </c>
      <c r="C93" s="24">
        <v>263.10000000000002</v>
      </c>
    </row>
    <row r="94" spans="1:3">
      <c r="A94" s="23" t="s">
        <v>485</v>
      </c>
      <c r="B94" s="16">
        <v>93</v>
      </c>
      <c r="C94" s="24">
        <v>263.10000000000002</v>
      </c>
    </row>
    <row r="95" spans="1:3">
      <c r="A95" s="23" t="s">
        <v>486</v>
      </c>
      <c r="B95" s="16">
        <v>94</v>
      </c>
      <c r="C95" s="24">
        <v>263.10000000000002</v>
      </c>
    </row>
    <row r="96" spans="1:3">
      <c r="A96" s="23" t="s">
        <v>487</v>
      </c>
      <c r="B96" s="16">
        <v>95</v>
      </c>
      <c r="C96" s="24">
        <v>263.10000000000002</v>
      </c>
    </row>
    <row r="97" spans="1:3">
      <c r="A97" s="23" t="s">
        <v>488</v>
      </c>
      <c r="B97" s="16">
        <v>98</v>
      </c>
      <c r="C97" s="24">
        <v>321.89999999999998</v>
      </c>
    </row>
    <row r="98" spans="1:3">
      <c r="A98" s="23" t="s">
        <v>593</v>
      </c>
      <c r="B98" s="16" t="s">
        <v>489</v>
      </c>
      <c r="C98" s="24">
        <v>270</v>
      </c>
    </row>
    <row r="99" spans="1:3">
      <c r="A99" s="23" t="s">
        <v>592</v>
      </c>
      <c r="B99" s="16" t="s">
        <v>590</v>
      </c>
      <c r="C99" s="24">
        <v>429.62</v>
      </c>
    </row>
    <row r="100" spans="1:3">
      <c r="A100" s="23" t="s">
        <v>595</v>
      </c>
      <c r="B100" s="16" t="s">
        <v>597</v>
      </c>
      <c r="C100" s="24">
        <v>337.74</v>
      </c>
    </row>
    <row r="101" spans="1:3">
      <c r="A101" s="266" t="s">
        <v>596</v>
      </c>
      <c r="B101" s="265" t="s">
        <v>594</v>
      </c>
      <c r="C101" s="267">
        <v>308.89</v>
      </c>
    </row>
  </sheetData>
  <sheetProtection algorithmName="SHA-512" hashValue="roV3BFJ9cDUO/oVBL2dBliFxkR3sDQGlErFiq2ZnHjlcGs6YA80Xi/6Zm8SQlVeEg0xxNG5MNDpCoNO8Y8SwmA==" saltValue="IX/0+vOUg1BkSnR9N81fPw==" spinCount="100000" sheet="1" objects="1" scenarios="1"/>
  <pageMargins left="0" right="0" top="0.90551181102362177" bottom="0.90551181102362177" header="0" footer="0"/>
  <pageSetup paperSize="9" fitToHeight="0" orientation="portrait" verticalDpi="0"/>
  <headerFooter>
    <oddHeader>&amp;L&amp;G&amp;R&amp;"Arial,Italique"&amp;8Edité le &amp;D à &amp;T</oddHeader>
    <oddFooter>&amp;R&amp;9&amp;P / &amp;N&amp;C&amp;"Arial,Italique"&amp;6DOCUMENT CONFIDENTIEL_x000D_Toute reproduction, traduction, adaptation et divulgation est strictement interdite sauf accord écrit de son émetteur._x000D_</oddFooter>
  </headerFooter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27"/>
  <dimension ref="A1:F270"/>
  <sheetViews>
    <sheetView showGridLines="0" zoomScale="75" workbookViewId="0">
      <pane ySplit="3" topLeftCell="A184" activePane="bottomLeft" state="frozen"/>
      <selection activeCell="F19" sqref="F19"/>
      <selection pane="bottomLeft" activeCell="D2" sqref="D2"/>
    </sheetView>
  </sheetViews>
  <sheetFormatPr baseColWidth="10" defaultColWidth="0" defaultRowHeight="18" zeroHeight="1" outlineLevelRow="1" outlineLevelCol="1"/>
  <cols>
    <col min="1" max="1" width="22.140625" style="29" customWidth="1" outlineLevel="1"/>
    <col min="2" max="2" width="89.85546875" style="28" customWidth="1" outlineLevel="1"/>
    <col min="3" max="3" width="31.42578125" style="30" customWidth="1" outlineLevel="1"/>
    <col min="4" max="4" width="27" style="31" customWidth="1" outlineLevel="1"/>
    <col min="5" max="5" width="3.85546875" style="32" customWidth="1"/>
    <col min="6" max="6" width="0" style="28" hidden="1" customWidth="1"/>
    <col min="7" max="16384" width="11.42578125" style="28" hidden="1"/>
  </cols>
  <sheetData>
    <row r="1" spans="1:5" s="33" customFormat="1" ht="43.5" outlineLevel="1" thickTop="1">
      <c r="A1" s="71" t="s">
        <v>493</v>
      </c>
      <c r="B1" s="493" t="s">
        <v>494</v>
      </c>
      <c r="C1" s="494"/>
      <c r="D1" s="494"/>
      <c r="E1" s="34"/>
    </row>
    <row r="2" spans="1:5" s="35" customFormat="1" ht="33.75" customHeight="1" outlineLevel="1" thickBot="1">
      <c r="A2" s="72" t="e">
        <f>#REF!</f>
        <v>#REF!</v>
      </c>
      <c r="B2" s="97" t="s">
        <v>495</v>
      </c>
      <c r="C2" s="98" t="s">
        <v>496</v>
      </c>
      <c r="D2" s="36" t="e">
        <f>SUM(D4:D250)</f>
        <v>#REF!</v>
      </c>
      <c r="E2" s="37"/>
    </row>
    <row r="3" spans="1:5" s="38" customFormat="1" ht="24" outlineLevel="1" thickTop="1">
      <c r="A3" s="70" t="s">
        <v>497</v>
      </c>
      <c r="B3" s="39" t="s">
        <v>498</v>
      </c>
      <c r="C3" s="39" t="s">
        <v>499</v>
      </c>
      <c r="D3" s="40" t="s">
        <v>500</v>
      </c>
      <c r="E3" s="41"/>
    </row>
    <row r="4" spans="1:5" ht="36">
      <c r="A4" s="68">
        <f>BDD!A2</f>
        <v>6096</v>
      </c>
      <c r="B4" s="42" t="str">
        <f>BDD!D2</f>
        <v>Acai Iofilizado en polvo BIO (env. 250 grs.) ¡¡¡Calidad superior!!! Conservacion refrigerada</v>
      </c>
      <c r="C4" s="43" t="str">
        <f>BDD!E2</f>
        <v>Brasil</v>
      </c>
      <c r="D4" s="44" t="e">
        <f>COMMANDE!K12</f>
        <v>#REF!</v>
      </c>
      <c r="E4" s="28"/>
    </row>
    <row r="5" spans="1:5">
      <c r="A5" s="68" t="str">
        <f>BDD!A3</f>
        <v>1100-1312</v>
      </c>
      <c r="B5" s="42" t="str">
        <f>BDD!D3</f>
        <v>Ajo blanco o morado BIO</v>
      </c>
      <c r="C5" s="43" t="str">
        <f>BDD!E3</f>
        <v>Málaga</v>
      </c>
      <c r="D5" s="44" t="e">
        <f>COMMANDE!K13</f>
        <v>#REF!</v>
      </c>
      <c r="E5" s="28"/>
    </row>
    <row r="6" spans="1:5">
      <c r="A6" s="68">
        <f>BDD!A4</f>
        <v>1497</v>
      </c>
      <c r="B6" s="42" t="str">
        <f>BDD!D4</f>
        <v>Alga Chlorella polvo BIO (env. 1 kg.)</v>
      </c>
      <c r="C6" s="43" t="str">
        <f>BDD!E4</f>
        <v>India</v>
      </c>
      <c r="D6" s="44" t="e">
        <f>COMMANDE!K14</f>
        <v>#REF!</v>
      </c>
      <c r="E6" s="28"/>
    </row>
    <row r="7" spans="1:5">
      <c r="A7" s="68">
        <f>BDD!A5</f>
        <v>1497</v>
      </c>
      <c r="B7" s="42" t="str">
        <f>BDD!D5</f>
        <v>Alga Chlorella polvo BIO (env. 500 grs.)</v>
      </c>
      <c r="C7" s="43" t="str">
        <f>BDD!E5</f>
        <v>India</v>
      </c>
      <c r="D7" s="44" t="e">
        <f>COMMANDE!K15</f>
        <v>#REF!</v>
      </c>
      <c r="E7" s="28"/>
    </row>
    <row r="8" spans="1:5">
      <c r="A8" s="68">
        <f>BDD!A6</f>
        <v>1189</v>
      </c>
      <c r="B8" s="42" t="str">
        <f>BDD!D6</f>
        <v>Alga Dulse deshidratada BIO (env. 1 kg.)</v>
      </c>
      <c r="C8" s="43" t="str">
        <f>BDD!E6</f>
        <v>Irlande</v>
      </c>
      <c r="D8" s="44" t="e">
        <f>COMMANDE!K16</f>
        <v>#REF!</v>
      </c>
      <c r="E8" s="28"/>
    </row>
    <row r="9" spans="1:5" s="45" customFormat="1" ht="19.5">
      <c r="A9" s="68">
        <f>BDD!A7</f>
        <v>1189</v>
      </c>
      <c r="B9" s="42" t="str">
        <f>BDD!D7</f>
        <v>Alga Dulse deshidratada BIO (env. 500 grs.)</v>
      </c>
      <c r="C9" s="43" t="str">
        <f>BDD!E7</f>
        <v>Irlande</v>
      </c>
      <c r="D9" s="44" t="e">
        <f>COMMANDE!K17</f>
        <v>#REF!</v>
      </c>
      <c r="E9" s="46"/>
    </row>
    <row r="10" spans="1:5" s="45" customFormat="1" ht="19.5">
      <c r="A10" s="68">
        <f>BDD!A8</f>
        <v>6073</v>
      </c>
      <c r="B10" s="42" t="str">
        <f>BDD!D8</f>
        <v>Alga Kombu deshidratada BIO (env. 1 kg.)</v>
      </c>
      <c r="C10" s="43" t="str">
        <f>BDD!E8</f>
        <v>Galicia</v>
      </c>
      <c r="D10" s="44" t="e">
        <f>COMMANDE!K18</f>
        <v>#REF!</v>
      </c>
      <c r="E10" s="46"/>
    </row>
    <row r="11" spans="1:5">
      <c r="A11" s="68">
        <f>BDD!A9</f>
        <v>6073</v>
      </c>
      <c r="B11" s="42" t="str">
        <f>BDD!D9</f>
        <v>Alga Kombu deshidratada BIO (env. 500 grs.)</v>
      </c>
      <c r="C11" s="43" t="str">
        <f>BDD!E9</f>
        <v>Galicia</v>
      </c>
      <c r="D11" s="44" t="e">
        <f>COMMANDE!K19</f>
        <v>#REF!</v>
      </c>
      <c r="E11" s="28"/>
    </row>
    <row r="12" spans="1:5">
      <c r="A12" s="68">
        <f>BDD!A10</f>
        <v>1096</v>
      </c>
      <c r="B12" s="42" t="str">
        <f>BDD!D10</f>
        <v>Alga Kombu deshidratada BIO (env. 1 kg.)</v>
      </c>
      <c r="C12" s="43" t="str">
        <f>BDD!E10</f>
        <v>Galicia</v>
      </c>
      <c r="D12" s="44" t="e">
        <f>COMMANDE!K20</f>
        <v>#REF!</v>
      </c>
      <c r="E12" s="28"/>
    </row>
    <row r="13" spans="1:5" s="38" customFormat="1">
      <c r="A13" s="68">
        <f>BDD!A11</f>
        <v>1096</v>
      </c>
      <c r="B13" s="42" t="str">
        <f>BDD!D11</f>
        <v>Alga Nori entera deshidratada BIO (env. 500 grs.)</v>
      </c>
      <c r="C13" s="43" t="str">
        <f>BDD!E11</f>
        <v>Galicia</v>
      </c>
      <c r="D13" s="44" t="e">
        <f>COMMANDE!K21</f>
        <v>#REF!</v>
      </c>
      <c r="E13" s="41"/>
    </row>
    <row r="14" spans="1:5" ht="36">
      <c r="A14" s="68">
        <f>BDD!A12</f>
        <v>1102</v>
      </c>
      <c r="B14" s="42" t="str">
        <f>BDD!D12</f>
        <v>Aloe Vera hoja fresca BIO (por pieza) ¡¡¡Plantas con más de 40 años!!!</v>
      </c>
      <c r="C14" s="43" t="str">
        <f>BDD!E12</f>
        <v>Málaga</v>
      </c>
      <c r="D14" s="44" t="e">
        <f>COMMANDE!K22</f>
        <v>#REF!</v>
      </c>
      <c r="E14" s="28"/>
    </row>
    <row r="15" spans="1:5" s="45" customFormat="1" ht="19.5">
      <c r="A15" s="68">
        <f>BDD!A13</f>
        <v>5035</v>
      </c>
      <c r="B15" s="42" t="str">
        <f>BDD!D13</f>
        <v>Almendra Desmayo con cáscara local</v>
      </c>
      <c r="C15" s="43" t="str">
        <f>BDD!E13</f>
        <v>Granada</v>
      </c>
      <c r="D15" s="44" t="e">
        <f>COMMANDE!K23</f>
        <v>#REF!</v>
      </c>
      <c r="E15" s="46"/>
    </row>
    <row r="16" spans="1:5" ht="54">
      <c r="A16" s="68">
        <f>BDD!A14</f>
        <v>5147</v>
      </c>
      <c r="B16" s="42" t="str">
        <f>BDD!D14</f>
        <v>Almendra Lauren con cáscara semimollar. Sabor dulce, nueva cosecha, local (procedente de finca con cultivo orgánico sin certificar)</v>
      </c>
      <c r="C16" s="43" t="str">
        <f>BDD!E14</f>
        <v>Granada</v>
      </c>
      <c r="D16" s="44" t="e">
        <f>COMMANDE!K24</f>
        <v>#REF!</v>
      </c>
      <c r="E16" s="28"/>
    </row>
    <row r="17" spans="1:5">
      <c r="A17" s="68">
        <f>BDD!A15</f>
        <v>5127</v>
      </c>
      <c r="B17" s="42" t="str">
        <f>BDD!D15</f>
        <v>Almendra Romera con cáscara local</v>
      </c>
      <c r="C17" s="43" t="str">
        <f>BDD!E15</f>
        <v>Málaga</v>
      </c>
      <c r="D17" s="44" t="e">
        <f>COMMANDE!K25</f>
        <v>#REF!</v>
      </c>
      <c r="E17" s="28"/>
    </row>
    <row r="18" spans="1:5">
      <c r="A18" s="68">
        <f>BDD!A16</f>
        <v>1197</v>
      </c>
      <c r="B18" s="42" t="str">
        <f>BDD!D16</f>
        <v>Almendra Comuna cruda sin cáscara BIO (env. 1 kg.)</v>
      </c>
      <c r="C18" s="43" t="str">
        <f>BDD!E16</f>
        <v>Granada</v>
      </c>
      <c r="D18" s="44" t="e">
        <f>COMMANDE!K26</f>
        <v>#REF!</v>
      </c>
      <c r="E18" s="28"/>
    </row>
    <row r="19" spans="1:5" ht="36">
      <c r="A19" s="68">
        <f>BDD!A17</f>
        <v>3020</v>
      </c>
      <c r="B19" s="42" t="str">
        <f>BDD!D17</f>
        <v>Piña madurada en planta (recibida por avión) ¡¡¡Súper buena, color intenso, muy aromática!!!</v>
      </c>
      <c r="C19" s="43" t="str">
        <f>BDD!E17</f>
        <v>Costa Rica</v>
      </c>
      <c r="D19" s="44" t="e">
        <f>COMMANDE!K27</f>
        <v>#REF!</v>
      </c>
      <c r="E19" s="28"/>
    </row>
    <row r="20" spans="1:5" s="45" customFormat="1" ht="19.5">
      <c r="A20" s="68">
        <f>BDD!A18</f>
        <v>1338</v>
      </c>
      <c r="B20" s="42" t="str">
        <f>BDD!D18</f>
        <v>Piña deshidratada BIO (env. 1 kg.)</v>
      </c>
      <c r="C20" s="43" t="str">
        <f>BDD!E18</f>
        <v>Costa Rica</v>
      </c>
      <c r="D20" s="44" t="e">
        <f>COMMANDE!K28</f>
        <v>#REF!</v>
      </c>
      <c r="E20" s="46"/>
    </row>
    <row r="21" spans="1:5">
      <c r="A21" s="68">
        <f>BDD!A19</f>
        <v>3785</v>
      </c>
      <c r="B21" s="42" t="str">
        <f>BDD!D19</f>
        <v>Cacahuete crudo con cáscara</v>
      </c>
      <c r="C21" s="43" t="str">
        <f>BDD!E19</f>
        <v>China</v>
      </c>
      <c r="D21" s="44" t="e">
        <f>COMMANDE!K29</f>
        <v>#REF!</v>
      </c>
      <c r="E21" s="28"/>
    </row>
    <row r="22" spans="1:5">
      <c r="A22" s="68">
        <f>BDD!A20</f>
        <v>1827</v>
      </c>
      <c r="B22" s="42" t="str">
        <f>BDD!D20</f>
        <v>Cacahuete crudo sin cáscara repelado BIO</v>
      </c>
      <c r="C22" s="43" t="str">
        <f>BDD!E20</f>
        <v>China</v>
      </c>
      <c r="D22" s="44" t="e">
        <f>COMMANDE!K30</f>
        <v>#REF!</v>
      </c>
      <c r="E22" s="28"/>
    </row>
    <row r="23" spans="1:5">
      <c r="A23" s="68">
        <f>BDD!A21</f>
        <v>1008</v>
      </c>
      <c r="B23" s="42" t="str">
        <f>BDD!D21</f>
        <v>Berenjena BIO ¡¡¡Súper oferta!!!</v>
      </c>
      <c r="C23" s="43" t="str">
        <f>BDD!E21</f>
        <v>Málaga</v>
      </c>
      <c r="D23" s="44" t="e">
        <f>COMMANDE!K31</f>
        <v>#REF!</v>
      </c>
      <c r="E23" s="28"/>
    </row>
    <row r="24" spans="1:5">
      <c r="A24" s="68">
        <f>BDD!A22</f>
        <v>3001</v>
      </c>
      <c r="B24" s="42" t="str">
        <f>BDD!D22</f>
        <v>Aguacate Bacon local (nueva temporada, calibre grande)</v>
      </c>
      <c r="C24" s="43" t="str">
        <f>BDD!E22</f>
        <v>Granada</v>
      </c>
      <c r="D24" s="44" t="e">
        <f>COMMANDE!K32</f>
        <v>#REF!</v>
      </c>
      <c r="E24" s="28"/>
    </row>
    <row r="25" spans="1:5">
      <c r="A25" s="68">
        <f>BDD!A23</f>
        <v>1001</v>
      </c>
      <c r="B25" s="42" t="str">
        <f>BDD!D23</f>
        <v>Aguacate Bacon BIO</v>
      </c>
      <c r="C25" s="43" t="str">
        <f>BDD!E23</f>
        <v>Granada</v>
      </c>
      <c r="D25" s="44" t="e">
        <f>COMMANDE!K33</f>
        <v>#REF!</v>
      </c>
      <c r="E25" s="28"/>
    </row>
    <row r="26" spans="1:5" s="45" customFormat="1" ht="19.5">
      <c r="A26" s="68">
        <f>BDD!A24</f>
        <v>3944</v>
      </c>
      <c r="B26" s="42" t="str">
        <f>BDD!D24</f>
        <v>Aguacate Bacon cocktail local</v>
      </c>
      <c r="C26" s="43" t="str">
        <f>BDD!E24</f>
        <v>Granada</v>
      </c>
      <c r="D26" s="44" t="e">
        <f>COMMANDE!K34</f>
        <v>#REF!</v>
      </c>
      <c r="E26" s="46"/>
    </row>
    <row r="27" spans="1:5" ht="36">
      <c r="A27" s="68" t="str">
        <f>BDD!A25</f>
        <v>6119-1265</v>
      </c>
      <c r="B27" s="42" t="str">
        <f>BDD!D25</f>
        <v>Aguacate Bacon BIO Mediano (piezas 100 a 150 grs.) Finca con certificado ecológico desde 1985 ¡¡¡Oferta!!!</v>
      </c>
      <c r="C27" s="43" t="str">
        <f>BDD!E25</f>
        <v>Málaga</v>
      </c>
      <c r="D27" s="44" t="e">
        <f>COMMANDE!K35</f>
        <v>#REF!</v>
      </c>
      <c r="E27" s="28"/>
    </row>
    <row r="28" spans="1:5">
      <c r="A28" s="68">
        <f>BDD!A26</f>
        <v>3048</v>
      </c>
      <c r="B28" s="42" t="str">
        <f>BDD!D26</f>
        <v>Aguacate Fuerte local</v>
      </c>
      <c r="C28" s="43" t="str">
        <f>BDD!E26</f>
        <v>Málaga</v>
      </c>
      <c r="D28" s="44" t="e">
        <f>COMMANDE!K36</f>
        <v>#REF!</v>
      </c>
      <c r="E28" s="28"/>
    </row>
    <row r="29" spans="1:5">
      <c r="A29" s="68">
        <f>BDD!A27</f>
        <v>1200</v>
      </c>
      <c r="B29" s="42" t="str">
        <f>BDD!D27</f>
        <v>Aguacate Fuerte BIO</v>
      </c>
      <c r="C29" s="43" t="str">
        <f>BDD!E27</f>
        <v>Granada</v>
      </c>
      <c r="D29" s="44" t="e">
        <f>COMMANDE!K37</f>
        <v>#REF!</v>
      </c>
      <c r="E29" s="28"/>
    </row>
    <row r="30" spans="1:5" s="38" customFormat="1">
      <c r="A30" s="68">
        <f>BDD!A28</f>
        <v>1527</v>
      </c>
      <c r="B30" s="42" t="str">
        <f>BDD!D28</f>
        <v>Bayas de Goji BIO (env. 1 kg.)</v>
      </c>
      <c r="C30" s="43" t="str">
        <f>BDD!E28</f>
        <v>Tíbet</v>
      </c>
      <c r="D30" s="44" t="e">
        <f>COMMANDE!K38</f>
        <v>#REF!</v>
      </c>
      <c r="E30" s="41"/>
    </row>
    <row r="31" spans="1:5">
      <c r="A31" s="68">
        <f>BDD!A29</f>
        <v>1527</v>
      </c>
      <c r="B31" s="42" t="str">
        <f>BDD!D29</f>
        <v>Bayas de Goji BIO (env. 500 grs.)</v>
      </c>
      <c r="C31" s="43" t="str">
        <f>BDD!E29</f>
        <v>Tíbet</v>
      </c>
      <c r="D31" s="44" t="e">
        <f>COMMANDE!K39</f>
        <v>#REF!</v>
      </c>
      <c r="E31" s="28"/>
    </row>
    <row r="32" spans="1:5">
      <c r="A32" s="68">
        <f>BDD!A30</f>
        <v>3033</v>
      </c>
      <c r="B32" s="42" t="str">
        <f>BDD!D30</f>
        <v>Plátano Cavendish local (madurado en la planta) ¡¡¡Excelente!!!</v>
      </c>
      <c r="C32" s="43" t="str">
        <f>BDD!E30</f>
        <v>Granada</v>
      </c>
      <c r="D32" s="44" t="e">
        <f>COMMANDE!K40</f>
        <v>#REF!</v>
      </c>
      <c r="E32" s="28"/>
    </row>
    <row r="33" spans="1:5">
      <c r="A33" s="68" t="str">
        <f>BDD!A31</f>
        <v>1007-2364</v>
      </c>
      <c r="B33" s="42" t="str">
        <f>BDD!D31</f>
        <v>Plátano Cavendish de las Islas BIO/RECO</v>
      </c>
      <c r="C33" s="43" t="str">
        <f>BDD!E31</f>
        <v>Canarias</v>
      </c>
      <c r="D33" s="44" t="e">
        <f>COMMANDE!K41</f>
        <v>#REF!</v>
      </c>
      <c r="E33" s="28"/>
    </row>
    <row r="34" spans="1:5" ht="36">
      <c r="A34" s="68">
        <f>BDD!A32</f>
        <v>3746</v>
      </c>
      <c r="B34" s="42" t="str">
        <f>BDD!D32</f>
        <v>Plátano deshidratado semi-seco artesanal, escogidos de nuestra propia producción ecológica (env. 200 grs.)</v>
      </c>
      <c r="C34" s="43" t="str">
        <f>BDD!E32</f>
        <v>Granada</v>
      </c>
      <c r="D34" s="44" t="e">
        <f>COMMANDE!K42</f>
        <v>#REF!</v>
      </c>
      <c r="E34" s="28"/>
    </row>
    <row r="35" spans="1:5">
      <c r="A35" s="68">
        <f>BDD!A33</f>
        <v>1458</v>
      </c>
      <c r="B35" s="42" t="str">
        <f>BDD!D33</f>
        <v>Canela en rama BIO (env. 100 grs.)</v>
      </c>
      <c r="C35" s="43" t="str">
        <f>BDD!E33</f>
        <v>India</v>
      </c>
      <c r="D35" s="44" t="e">
        <f>COMMANDE!K43</f>
        <v>#REF!</v>
      </c>
      <c r="E35" s="28"/>
    </row>
    <row r="36" spans="1:5">
      <c r="A36" s="68" t="str">
        <f>BDD!A34</f>
        <v>1124-1275-1679</v>
      </c>
      <c r="B36" s="42" t="str">
        <f>BDD!D34</f>
        <v>Remolacha BIO</v>
      </c>
      <c r="C36" s="43" t="str">
        <f>BDD!E34</f>
        <v>Málaga</v>
      </c>
      <c r="D36" s="44" t="e">
        <f>COMMANDE!K44</f>
        <v>#REF!</v>
      </c>
      <c r="E36" s="28"/>
    </row>
    <row r="37" spans="1:5">
      <c r="A37" s="68">
        <f>BDD!A35</f>
        <v>1696</v>
      </c>
      <c r="B37" s="42" t="str">
        <f>BDD!D35</f>
        <v>Remolacha en polvo BIO (env. 1 kg.)</v>
      </c>
      <c r="C37" s="43" t="str">
        <f>BDD!E35</f>
        <v>Hungría</v>
      </c>
      <c r="D37" s="44" t="e">
        <f>COMMANDE!K45</f>
        <v>#REF!</v>
      </c>
      <c r="E37" s="28"/>
    </row>
    <row r="38" spans="1:5">
      <c r="A38" s="68">
        <f>BDD!A36</f>
        <v>1696</v>
      </c>
      <c r="B38" s="42" t="str">
        <f>BDD!D36</f>
        <v>Remolacha en polvo BIO (env. 500 grs.)</v>
      </c>
      <c r="C38" s="43" t="str">
        <f>BDD!E36</f>
        <v>Hungría</v>
      </c>
      <c r="D38" s="44" t="e">
        <f>COMMANDE!K46</f>
        <v>#REF!</v>
      </c>
      <c r="E38" s="28"/>
    </row>
    <row r="39" spans="1:5">
      <c r="A39" s="68">
        <f>BDD!A37</f>
        <v>1758</v>
      </c>
      <c r="B39" s="42" t="str">
        <f>BDD!D37</f>
        <v>Manteca de cacao BIO (env. 1 kg.)</v>
      </c>
      <c r="C39" s="43" t="str">
        <f>BDD!E37</f>
        <v>Perú</v>
      </c>
      <c r="D39" s="44" t="e">
        <f>COMMANDE!K47</f>
        <v>#REF!</v>
      </c>
      <c r="E39" s="28"/>
    </row>
    <row r="40" spans="1:5" ht="36">
      <c r="A40" s="68">
        <f>BDD!A38</f>
        <v>1257</v>
      </c>
      <c r="B40" s="42" t="str">
        <f>BDD!D38</f>
        <v>Acelga Baby verde BIO producción propia (ideal para ensaladas o batidos)</v>
      </c>
      <c r="C40" s="43" t="str">
        <f>BDD!E38</f>
        <v>Granada</v>
      </c>
      <c r="D40" s="44" t="e">
        <f>COMMANDE!K48</f>
        <v>#REF!</v>
      </c>
      <c r="E40" s="28"/>
    </row>
    <row r="41" spans="1:5">
      <c r="A41" s="68">
        <f>BDD!A39</f>
        <v>1597</v>
      </c>
      <c r="B41" s="42" t="str">
        <f>BDD!D39</f>
        <v>Cacao en polvo crudo BIO (env. 1 kg.)</v>
      </c>
      <c r="C41" s="43" t="str">
        <f>BDD!E39</f>
        <v>Perú</v>
      </c>
      <c r="D41" s="44" t="e">
        <f>COMMANDE!K49</f>
        <v>#REF!</v>
      </c>
      <c r="E41" s="28"/>
    </row>
    <row r="42" spans="1:5" ht="36">
      <c r="A42" s="68">
        <f>BDD!A40</f>
        <v>6099</v>
      </c>
      <c r="B42" s="42" t="str">
        <f>BDD!D40</f>
        <v>Camu Camu en polvo BIO (env. 250 grs.) Conservacion refrigerada</v>
      </c>
      <c r="C42" s="43" t="str">
        <f>BDD!E40</f>
        <v>Perú</v>
      </c>
      <c r="D42" s="44" t="e">
        <f>COMMANDE!K50</f>
        <v>#REF!</v>
      </c>
      <c r="E42" s="28"/>
    </row>
    <row r="43" spans="1:5">
      <c r="A43" s="68">
        <f>BDD!A41</f>
        <v>3210</v>
      </c>
      <c r="B43" s="42" t="str">
        <f>BDD!D41</f>
        <v>Carambola/Star Fruit local</v>
      </c>
      <c r="C43" s="43" t="str">
        <f>BDD!E41</f>
        <v>Granada</v>
      </c>
      <c r="D43" s="44" t="e">
        <f>COMMANDE!K51</f>
        <v>#REF!</v>
      </c>
      <c r="E43" s="28"/>
    </row>
    <row r="44" spans="1:5">
      <c r="A44" s="68">
        <f>BDD!A42</f>
        <v>5075</v>
      </c>
      <c r="B44" s="42" t="str">
        <f>BDD!D42</f>
        <v>Zanahoria con rama local</v>
      </c>
      <c r="C44" s="43" t="str">
        <f>BDD!E42</f>
        <v>Granada</v>
      </c>
      <c r="D44" s="44" t="e">
        <f>COMMANDE!K52</f>
        <v>#REF!</v>
      </c>
      <c r="E44" s="28"/>
    </row>
    <row r="45" spans="1:5">
      <c r="A45" s="68">
        <f>BDD!A43</f>
        <v>3017</v>
      </c>
      <c r="B45" s="42" t="str">
        <f>BDD!D43</f>
        <v>Zanahoria sin rama local</v>
      </c>
      <c r="C45" s="43" t="str">
        <f>BDD!E43</f>
        <v>Granada</v>
      </c>
      <c r="D45" s="44" t="e">
        <f>COMMANDE!K53</f>
        <v>#REF!</v>
      </c>
      <c r="E45" s="28"/>
    </row>
    <row r="46" spans="1:5">
      <c r="A46" s="68">
        <f>BDD!A44</f>
        <v>1034</v>
      </c>
      <c r="B46" s="42" t="str">
        <f>BDD!D44</f>
        <v>Zanahoria sin rama BIO</v>
      </c>
      <c r="C46" s="43" t="str">
        <f>BDD!E44</f>
        <v>Malaga</v>
      </c>
      <c r="D46" s="44" t="e">
        <f>COMMANDE!K54</f>
        <v>#REF!</v>
      </c>
      <c r="E46" s="28"/>
    </row>
    <row r="47" spans="1:5" ht="36">
      <c r="A47" s="68">
        <f>BDD!A45</f>
        <v>6117</v>
      </c>
      <c r="B47" s="42" t="str">
        <f>BDD!D45</f>
        <v>Algarroba BIO de la Alpujarra al natural en vaina (nueva cosecha) (env. 400 grs.)</v>
      </c>
      <c r="C47" s="43" t="str">
        <f>BDD!E45</f>
        <v>Granada</v>
      </c>
      <c r="D47" s="44" t="e">
        <f>COMMANDE!K55</f>
        <v>#REF!</v>
      </c>
      <c r="E47" s="28"/>
    </row>
    <row r="48" spans="1:5" s="45" customFormat="1" ht="19.5">
      <c r="A48" s="68">
        <f>BDD!A46</f>
        <v>3023</v>
      </c>
      <c r="B48" s="42" t="str">
        <f>BDD!D46</f>
        <v>Apio verde local</v>
      </c>
      <c r="C48" s="43" t="str">
        <f>BDD!E46</f>
        <v>Granada</v>
      </c>
      <c r="D48" s="44" t="e">
        <f>COMMANDE!K56</f>
        <v>#REF!</v>
      </c>
      <c r="E48" s="46"/>
    </row>
    <row r="49" spans="1:5" s="45" customFormat="1" ht="19.5">
      <c r="A49" s="68">
        <f>BDD!A47</f>
        <v>1117</v>
      </c>
      <c r="B49" s="42" t="str">
        <f>BDD!D47</f>
        <v>Apio verde BIO</v>
      </c>
      <c r="C49" s="43" t="str">
        <f>BDD!E47</f>
        <v>Málaga</v>
      </c>
      <c r="D49" s="44" t="e">
        <f>COMMANDE!K57</f>
        <v>#REF!</v>
      </c>
      <c r="E49" s="46"/>
    </row>
    <row r="50" spans="1:5">
      <c r="A50" s="68">
        <f>BDD!A48</f>
        <v>1572</v>
      </c>
      <c r="B50" s="42" t="str">
        <f>BDD!D48</f>
        <v>Chía semillas BIO (env. 1 kg.)</v>
      </c>
      <c r="C50" s="43" t="str">
        <f>BDD!E48</f>
        <v>Bolivia</v>
      </c>
      <c r="D50" s="44" t="e">
        <f>COMMANDE!K58</f>
        <v>#REF!</v>
      </c>
      <c r="E50" s="28"/>
    </row>
    <row r="51" spans="1:5">
      <c r="A51" s="68">
        <f>BDD!A49</f>
        <v>1611</v>
      </c>
      <c r="B51" s="42" t="str">
        <f>BDD!D49</f>
        <v>Chips de coco crudo BIO (env. 1 kg.)</v>
      </c>
      <c r="C51" s="43" t="str">
        <f>BDD!E49</f>
        <v>Sri Lanka</v>
      </c>
      <c r="D51" s="44" t="e">
        <f>COMMANDE!K59</f>
        <v>#REF!</v>
      </c>
      <c r="E51" s="28"/>
    </row>
    <row r="52" spans="1:5" s="45" customFormat="1" ht="36">
      <c r="A52" s="68">
        <f>BDD!A50</f>
        <v>3032</v>
      </c>
      <c r="B52" s="42" t="str">
        <f>BDD!D50</f>
        <v>Chirimoya local ( producción propia en proceso de reconversión a la agricultura ecológica). Piezas grandes</v>
      </c>
      <c r="C52" s="43" t="str">
        <f>BDD!E50</f>
        <v>Granada</v>
      </c>
      <c r="D52" s="44" t="e">
        <f>COMMANDE!K60</f>
        <v>#REF!</v>
      </c>
      <c r="E52" s="46"/>
    </row>
    <row r="53" spans="1:5" s="38" customFormat="1">
      <c r="A53" s="68">
        <f>BDD!A51</f>
        <v>1178</v>
      </c>
      <c r="B53" s="42" t="str">
        <f>BDD!D51</f>
        <v>Chirimoya BIO (produción propia, nueva temporada)</v>
      </c>
      <c r="C53" s="43" t="str">
        <f>BDD!E51</f>
        <v>Granada</v>
      </c>
      <c r="D53" s="44" t="e">
        <f>COMMANDE!K61</f>
        <v>#REF!</v>
      </c>
      <c r="E53" s="41"/>
    </row>
    <row r="54" spans="1:5">
      <c r="A54" s="68">
        <f>BDD!A52</f>
        <v>1209</v>
      </c>
      <c r="B54" s="42" t="str">
        <f>BDD!D52</f>
        <v>Col Kale Lacitano/Cavolo Nero BIO baby (producción propia)</v>
      </c>
      <c r="C54" s="43" t="str">
        <f>BDD!E52</f>
        <v>Granada</v>
      </c>
      <c r="D54" s="44" t="e">
        <f>COMMANDE!K62</f>
        <v>#REF!</v>
      </c>
      <c r="E54" s="28"/>
    </row>
    <row r="55" spans="1:5">
      <c r="A55" s="68">
        <f>BDD!A53</f>
        <v>1626</v>
      </c>
      <c r="B55" s="42" t="str">
        <f>BDD!D53</f>
        <v>Col Kale Winterbor Crespa BIO baby. Producción Propia</v>
      </c>
      <c r="C55" s="43" t="str">
        <f>BDD!E53</f>
        <v>Granada</v>
      </c>
      <c r="D55" s="44" t="e">
        <f>COMMANDE!K63</f>
        <v>#REF!</v>
      </c>
      <c r="E55" s="28"/>
    </row>
    <row r="56" spans="1:5">
      <c r="A56" s="68">
        <f>BDD!A54</f>
        <v>1006</v>
      </c>
      <c r="B56" s="42" t="str">
        <f>BDD!D54</f>
        <v>Col verde lisa BIO</v>
      </c>
      <c r="C56" s="43" t="str">
        <f>BDD!E54</f>
        <v>Málaga</v>
      </c>
      <c r="D56" s="44" t="e">
        <f>COMMANDE!K64</f>
        <v>#REF!</v>
      </c>
      <c r="E56" s="28"/>
    </row>
    <row r="57" spans="1:5" ht="36">
      <c r="A57" s="68">
        <f>BDD!A55</f>
        <v>5037</v>
      </c>
      <c r="B57" s="42" t="str">
        <f>BDD!D55</f>
        <v>Caviar cítrico/citrus australasica local, piezas de 0,10/0,15 grs., cultivo natural .Precio por bandeja de 200 grs.</v>
      </c>
      <c r="C57" s="43" t="str">
        <f>BDD!E55</f>
        <v>Salobreña</v>
      </c>
      <c r="D57" s="44" t="e">
        <f>COMMANDE!K65</f>
        <v>#REF!</v>
      </c>
      <c r="E57" s="28"/>
    </row>
    <row r="58" spans="1:5" ht="36">
      <c r="A58" s="68">
        <f>BDD!A56</f>
        <v>5037</v>
      </c>
      <c r="B58" s="42" t="str">
        <f>BDD!D56</f>
        <v>Caviar cítrico/citrus australasica local, piezas de 0,10/0,15 grs., cultivo natural (precio por bandeja de 500 grs.)</v>
      </c>
      <c r="C58" s="43" t="str">
        <f>BDD!E56</f>
        <v>Salobreña</v>
      </c>
      <c r="D58" s="44" t="e">
        <f>COMMANDE!K66</f>
        <v>#REF!</v>
      </c>
      <c r="E58" s="28"/>
    </row>
    <row r="59" spans="1:5" ht="36">
      <c r="A59" s="68">
        <f>BDD!A57</f>
        <v>6019</v>
      </c>
      <c r="B59" s="42" t="str">
        <f>BDD!D57</f>
        <v>Caviar cítrico/citrus australasica BIO, piezas de 0,10/0,15 grs. (precio por bandeja de 200 grs.)</v>
      </c>
      <c r="C59" s="43" t="str">
        <f>BDD!E57</f>
        <v>Granada</v>
      </c>
      <c r="D59" s="44" t="e">
        <f>COMMANDE!K67</f>
        <v>#REF!</v>
      </c>
      <c r="E59" s="28"/>
    </row>
    <row r="60" spans="1:5" ht="36">
      <c r="A60" s="68">
        <f>BDD!A58</f>
        <v>6019</v>
      </c>
      <c r="B60" s="42" t="str">
        <f>BDD!D58</f>
        <v>Caviar cítrico/citrus australasica BIO, piezas de 0,10/0,15 grs. (precio por bandeja de 500 grs.)</v>
      </c>
      <c r="C60" s="43" t="str">
        <f>BDD!E58</f>
        <v>Granada</v>
      </c>
      <c r="D60" s="44" t="e">
        <f>COMMANDE!K68</f>
        <v>#REF!</v>
      </c>
      <c r="E60" s="28"/>
    </row>
    <row r="61" spans="1:5">
      <c r="A61" s="68">
        <f>BDD!A59</f>
        <v>3421</v>
      </c>
      <c r="B61" s="42" t="str">
        <f>BDD!D59</f>
        <v>Limón local amarillo madurado en el árbol</v>
      </c>
      <c r="C61" s="43" t="str">
        <f>BDD!E59</f>
        <v>Granada</v>
      </c>
      <c r="D61" s="44" t="e">
        <f>COMMANDE!K69</f>
        <v>#REF!</v>
      </c>
      <c r="E61" s="28"/>
    </row>
    <row r="62" spans="1:5" s="47" customFormat="1">
      <c r="A62" s="68">
        <f>BDD!A60</f>
        <v>6094</v>
      </c>
      <c r="B62" s="42" t="str">
        <f>BDD!D60</f>
        <v>Limón BIO de 2ª categoría</v>
      </c>
      <c r="C62" s="43" t="str">
        <f>BDD!E60</f>
        <v>Málaga</v>
      </c>
      <c r="D62" s="44" t="e">
        <f>COMMANDE!K70</f>
        <v>#REF!</v>
      </c>
    </row>
    <row r="63" spans="1:5">
      <c r="A63" s="68">
        <f>BDD!A61</f>
        <v>1023</v>
      </c>
      <c r="B63" s="42" t="str">
        <f>BDD!D61</f>
        <v>Limón Verna BIO calibre grande, madurado en  planta</v>
      </c>
      <c r="C63" s="43" t="str">
        <f>BDD!E61</f>
        <v>Málaga</v>
      </c>
      <c r="D63" s="44" t="e">
        <f>COMMANDE!K71</f>
        <v>#REF!</v>
      </c>
      <c r="E63" s="28"/>
    </row>
    <row r="64" spans="1:5">
      <c r="A64" s="68">
        <f>BDD!A62</f>
        <v>3169</v>
      </c>
      <c r="B64" s="42" t="str">
        <f>BDD!D62</f>
        <v>Lima verde local</v>
      </c>
      <c r="C64" s="43" t="str">
        <f>BDD!E62</f>
        <v>Granada</v>
      </c>
      <c r="D64" s="44" t="e">
        <f>COMMANDE!K72</f>
        <v>#REF!</v>
      </c>
      <c r="E64" s="28"/>
    </row>
    <row r="65" spans="1:5" s="38" customFormat="1" ht="54">
      <c r="A65" s="68">
        <f>BDD!A63</f>
        <v>3725</v>
      </c>
      <c r="B65" s="42" t="str">
        <f>BDD!D63</f>
        <v>Citronela local (manojo de 5 piezas) producción propia. Cultivo orgánico en finca certificada, pero hemos olvidado darla de alta en la certificadora ecológica</v>
      </c>
      <c r="C65" s="43" t="str">
        <f>BDD!E63</f>
        <v>Granada</v>
      </c>
      <c r="D65" s="44" t="e">
        <f>COMMANDE!K73</f>
        <v>#REF!</v>
      </c>
      <c r="E65" s="41"/>
    </row>
    <row r="66" spans="1:5" s="38" customFormat="1">
      <c r="A66" s="68">
        <f>BDD!A64</f>
        <v>3391</v>
      </c>
      <c r="B66" s="42" t="str">
        <f>BDD!D64</f>
        <v>Coco Pagode fresco (pieza) ¡¡¡Delicioso y especial!!!</v>
      </c>
      <c r="C66" s="43" t="str">
        <f>BDD!E64</f>
        <v>Tailandia</v>
      </c>
      <c r="D66" s="44" t="e">
        <f>COMMANDE!K74</f>
        <v>#REF!</v>
      </c>
      <c r="E66" s="41"/>
    </row>
    <row r="67" spans="1:5">
      <c r="A67" s="68">
        <f>BDD!A65</f>
        <v>3678</v>
      </c>
      <c r="B67" s="42" t="str">
        <f>BDD!D65</f>
        <v>Membrillo local</v>
      </c>
      <c r="C67" s="43" t="str">
        <f>BDD!E65</f>
        <v>Málaga</v>
      </c>
      <c r="D67" s="44" t="e">
        <f>COMMANDE!K75</f>
        <v>#REF!</v>
      </c>
      <c r="E67" s="28"/>
    </row>
    <row r="68" spans="1:5">
      <c r="A68" s="68">
        <f>BDD!A66</f>
        <v>3924</v>
      </c>
      <c r="B68" s="42" t="str">
        <f>BDD!D66</f>
        <v>Pepino mini gourmet local</v>
      </c>
      <c r="C68" s="43" t="str">
        <f>BDD!E66</f>
        <v>Granada</v>
      </c>
      <c r="D68" s="44" t="e">
        <f>COMMANDE!K76</f>
        <v>#REF!</v>
      </c>
      <c r="E68" s="28"/>
    </row>
    <row r="69" spans="1:5">
      <c r="A69" s="68">
        <f>BDD!A67</f>
        <v>6077</v>
      </c>
      <c r="B69" s="42" t="str">
        <f>BDD!D67</f>
        <v>Calabaza Butternut BIO</v>
      </c>
      <c r="C69" s="43" t="str">
        <f>BDD!E67</f>
        <v>Malaga</v>
      </c>
      <c r="D69" s="44" t="e">
        <f>COMMANDE!K77</f>
        <v>#REF!</v>
      </c>
      <c r="E69" s="28"/>
    </row>
    <row r="70" spans="1:5">
      <c r="A70" s="68" t="str">
        <f>BDD!A68</f>
        <v>1002.133</v>
      </c>
      <c r="B70" s="42" t="str">
        <f>BDD!D68</f>
        <v>Calabacín verde BIO 2ª (calibres Variados)</v>
      </c>
      <c r="C70" s="43" t="str">
        <f>BDD!E68</f>
        <v>Málaga</v>
      </c>
      <c r="D70" s="44" t="e">
        <f>COMMANDE!K78</f>
        <v>#REF!</v>
      </c>
      <c r="E70" s="28"/>
    </row>
    <row r="71" spans="1:5" ht="54">
      <c r="A71" s="68">
        <f>BDD!A69</f>
        <v>6111</v>
      </c>
      <c r="B71" s="42" t="str">
        <f>BDD!D69</f>
        <v>Crackers deshidratados BIO de tomate, pipa de girasol, trigo sarraceno, lino, cebolla y moringa de cultivo ecológico (env. 200 grs.) RAW</v>
      </c>
      <c r="C71" s="43" t="str">
        <f>BDD!E69</f>
        <v>Nacional</v>
      </c>
      <c r="D71" s="44" t="e">
        <f>COMMANDE!K79</f>
        <v>#REF!</v>
      </c>
      <c r="E71" s="28"/>
    </row>
    <row r="72" spans="1:5">
      <c r="A72" s="68">
        <f>BDD!A70</f>
        <v>1393</v>
      </c>
      <c r="B72" s="42" t="str">
        <f>BDD!D70</f>
        <v>Cúrcuma fresca BIO (pedido mínimo 500 grs.)</v>
      </c>
      <c r="C72" s="43" t="str">
        <f>BDD!E70</f>
        <v>Perú</v>
      </c>
      <c r="D72" s="44" t="e">
        <f>COMMANDE!K80</f>
        <v>#REF!</v>
      </c>
      <c r="E72" s="28"/>
    </row>
    <row r="73" spans="1:5">
      <c r="A73" s="68">
        <f>BDD!A71</f>
        <v>6018</v>
      </c>
      <c r="B73" s="42" t="str">
        <f>BDD!D71</f>
        <v>Dátil Deglet Nour en rama de Israel BIO</v>
      </c>
      <c r="C73" s="43" t="str">
        <f>BDD!E71</f>
        <v>Israel</v>
      </c>
      <c r="D73" s="44" t="e">
        <f>COMMANDE!K81</f>
        <v>#REF!</v>
      </c>
      <c r="E73" s="28"/>
    </row>
    <row r="74" spans="1:5">
      <c r="A74" s="68">
        <f>BDD!A72</f>
        <v>1485</v>
      </c>
      <c r="B74" s="42" t="str">
        <f>BDD!D72</f>
        <v>Dátil Deglet Nour sin rama BIO</v>
      </c>
      <c r="C74" s="43" t="str">
        <f>BDD!E72</f>
        <v>Túnez</v>
      </c>
      <c r="D74" s="44" t="e">
        <f>COMMANDE!K82</f>
        <v>#REF!</v>
      </c>
      <c r="E74" s="28"/>
    </row>
    <row r="75" spans="1:5">
      <c r="A75" s="68">
        <f>BDD!A73</f>
        <v>1320</v>
      </c>
      <c r="B75" s="42" t="str">
        <f>BDD!D73</f>
        <v>Dátil Deglet sin hueso BIO</v>
      </c>
      <c r="C75" s="43" t="str">
        <f>BDD!E73</f>
        <v>Túnez</v>
      </c>
      <c r="D75" s="44" t="e">
        <f>COMMANDE!K83</f>
        <v>#REF!</v>
      </c>
      <c r="E75" s="28"/>
    </row>
    <row r="76" spans="1:5">
      <c r="A76" s="68">
        <f>BDD!A74</f>
        <v>1399</v>
      </c>
      <c r="B76" s="42" t="str">
        <f>BDD!D74</f>
        <v>Datil Mazafati de Bam BIO nueva cosecha (env. 250 grs.)</v>
      </c>
      <c r="C76" s="43" t="str">
        <f>BDD!E74</f>
        <v>Irán</v>
      </c>
      <c r="D76" s="44" t="e">
        <f>COMMANDE!K84</f>
        <v>#REF!</v>
      </c>
      <c r="E76" s="28"/>
    </row>
    <row r="77" spans="1:5">
      <c r="A77" s="68" t="str">
        <f>BDD!A75</f>
        <v>1997</v>
      </c>
      <c r="B77" s="42" t="str">
        <f>BDD!D75</f>
        <v>Dátil Medjool Súper Jumbo semi-seco BIO</v>
      </c>
      <c r="C77" s="43" t="str">
        <f>BDD!E75</f>
        <v>Israel</v>
      </c>
      <c r="D77" s="44" t="e">
        <f>COMMANDE!K85</f>
        <v>#REF!</v>
      </c>
      <c r="E77" s="28"/>
    </row>
    <row r="78" spans="1:5" ht="36">
      <c r="A78" s="68">
        <f>BDD!A76</f>
        <v>3377</v>
      </c>
      <c r="B78" s="42" t="str">
        <f>BDD!D76</f>
        <v>Agua de mar micro-filtrada hipertónica (bag in box 3 litros) (pendientes de recibir en esta semana)</v>
      </c>
      <c r="C78" s="43" t="str">
        <f>BDD!E76</f>
        <v>Mar Mediterráneo (Ibiza)</v>
      </c>
      <c r="D78" s="44" t="e">
        <f>COMMANDE!K86</f>
        <v>#REF!</v>
      </c>
      <c r="E78" s="28"/>
    </row>
    <row r="79" spans="1:5" ht="36">
      <c r="A79" s="68">
        <f>BDD!A77</f>
        <v>3720</v>
      </c>
      <c r="B79" s="42" t="str">
        <f>BDD!D77</f>
        <v>Agua de mar micro-filtrada hipertónica (bag in box 11 litros)</v>
      </c>
      <c r="C79" s="43" t="str">
        <f>BDD!E77</f>
        <v>Mar Mediterráneo (Ibiza)</v>
      </c>
      <c r="D79" s="44" t="e">
        <f>COMMANDE!K87</f>
        <v>#REF!</v>
      </c>
      <c r="E79" s="28"/>
    </row>
    <row r="80" spans="1:5" ht="36">
      <c r="A80" s="68">
        <f>BDD!A78</f>
        <v>3379</v>
      </c>
      <c r="B80" s="42" t="str">
        <f>BDD!D78</f>
        <v>Agua de mar micro-filtrada hipertónica (bag in box 20 litros)</v>
      </c>
      <c r="C80" s="43" t="str">
        <f>BDD!E78</f>
        <v>Mar Mediterráneo (Ibiza)</v>
      </c>
      <c r="D80" s="44" t="e">
        <f>COMMANDE!K88</f>
        <v>#REF!</v>
      </c>
      <c r="E80" s="28"/>
    </row>
    <row r="81" spans="1:5" s="45" customFormat="1" ht="36">
      <c r="A81" s="68">
        <f>BDD!A79</f>
        <v>3550</v>
      </c>
      <c r="B81" s="42" t="str">
        <f>BDD!D79</f>
        <v>Mazorca maiz dulce fresca (piezas grandes y jugosas, con toda la hoja alrededor de la mazorca)</v>
      </c>
      <c r="C81" s="43" t="str">
        <f>BDD!E79</f>
        <v>Málaga</v>
      </c>
      <c r="D81" s="44" t="e">
        <f>COMMANDE!K89</f>
        <v>#REF!</v>
      </c>
      <c r="E81" s="46"/>
    </row>
    <row r="82" spans="1:5">
      <c r="A82" s="68">
        <f>BDD!A80</f>
        <v>4025</v>
      </c>
      <c r="B82" s="42" t="str">
        <f>BDD!D80</f>
        <v>Extractor de zumo ANGEL JUICER Cool Press 5500 Luxury</v>
      </c>
      <c r="C82" s="43" t="str">
        <f>BDD!E80</f>
        <v>Unión Europea</v>
      </c>
      <c r="D82" s="44" t="e">
        <f>COMMANDE!K90</f>
        <v>#REF!</v>
      </c>
    </row>
    <row r="83" spans="1:5">
      <c r="A83" s="68">
        <f>BDD!A81</f>
        <v>6059</v>
      </c>
      <c r="B83" s="42" t="str">
        <f>BDD!D81</f>
        <v>Hoja de Remolacha Baby BIO Producción Producción</v>
      </c>
      <c r="C83" s="43" t="str">
        <f>BDD!E81</f>
        <v>Granada</v>
      </c>
      <c r="D83" s="44" t="e">
        <f>COMMANDE!K91</f>
        <v>#REF!</v>
      </c>
      <c r="E83" s="28"/>
    </row>
    <row r="84" spans="1:5">
      <c r="A84" s="68">
        <f>BDD!A82</f>
        <v>6059</v>
      </c>
      <c r="B84" s="42" t="str">
        <f>BDD!D82</f>
        <v>Hoja de Remolacha Baby BIO (producción propia)</v>
      </c>
      <c r="C84" s="43" t="str">
        <f>BDD!E82</f>
        <v>Granada</v>
      </c>
      <c r="D84" s="44" t="e">
        <f>COMMANDE!K92</f>
        <v>#REF!</v>
      </c>
      <c r="E84" s="28"/>
    </row>
    <row r="85" spans="1:5">
      <c r="A85" s="68">
        <f>BDD!A83</f>
        <v>1647</v>
      </c>
      <c r="B85" s="42" t="str">
        <f>BDD!D83</f>
        <v>Harina de coco BIO (env. 1 kg.)</v>
      </c>
      <c r="C85" s="43" t="str">
        <f>BDD!E83</f>
        <v>Sri Lanka</v>
      </c>
      <c r="D85" s="44" t="e">
        <f>COMMANDE!K93</f>
        <v>#REF!</v>
      </c>
    </row>
    <row r="86" spans="1:5">
      <c r="A86" s="68">
        <f>BDD!A84</f>
        <v>6106</v>
      </c>
      <c r="B86" s="42" t="str">
        <f>BDD!D84</f>
        <v>Fenogreco en semillas BIO (env. 500 grs.)</v>
      </c>
      <c r="C86" s="43" t="str">
        <f>BDD!E84</f>
        <v>Egipto</v>
      </c>
      <c r="D86" s="44" t="e">
        <f>COMMANDE!K94</f>
        <v>#REF!</v>
      </c>
      <c r="E86" s="28"/>
    </row>
    <row r="87" spans="1:5">
      <c r="A87" s="68">
        <f>BDD!A85</f>
        <v>1937</v>
      </c>
      <c r="B87" s="42" t="str">
        <f>BDD!D85</f>
        <v>Cacao BIO semilla grano crudo entero (env. 1 kg.)</v>
      </c>
      <c r="C87" s="43" t="str">
        <f>BDD!E85</f>
        <v>Perú</v>
      </c>
      <c r="D87" s="44" t="e">
        <f>COMMANDE!K95</f>
        <v>#REF!</v>
      </c>
      <c r="E87" s="28"/>
    </row>
    <row r="88" spans="1:5">
      <c r="A88" s="68">
        <f>BDD!A86</f>
        <v>3138</v>
      </c>
      <c r="B88" s="42" t="str">
        <f>BDD!D86</f>
        <v>Higo chumbo local ¡¡ máxima calidad!!</v>
      </c>
      <c r="C88" s="43" t="str">
        <f>BDD!E86</f>
        <v>Granada</v>
      </c>
      <c r="D88" s="44" t="e">
        <f>COMMANDE!K96</f>
        <v>#REF!</v>
      </c>
      <c r="E88" s="28"/>
    </row>
    <row r="89" spans="1:5">
      <c r="A89" s="68">
        <f>BDD!A87</f>
        <v>1548</v>
      </c>
      <c r="B89" s="42" t="str">
        <f>BDD!D87</f>
        <v>Higo seco turco BIO</v>
      </c>
      <c r="C89" s="43" t="str">
        <f>BDD!E87</f>
        <v>Turquía</v>
      </c>
      <c r="D89" s="44" t="e">
        <f>COMMANDE!K97</f>
        <v>#REF!</v>
      </c>
      <c r="E89" s="28"/>
    </row>
    <row r="90" spans="1:5">
      <c r="A90" s="68">
        <f>BDD!A88</f>
        <v>1220</v>
      </c>
      <c r="B90" s="42" t="str">
        <f>BDD!D88</f>
        <v>Fruto del Baobad BIO (sólo pulpa en polvo)</v>
      </c>
      <c r="C90" s="43" t="str">
        <f>BDD!E88</f>
        <v>Importación</v>
      </c>
      <c r="D90" s="44" t="e">
        <f>COMMANDE!K98</f>
        <v>#REF!</v>
      </c>
      <c r="E90" s="28"/>
    </row>
    <row r="91" spans="1:5" s="38" customFormat="1">
      <c r="A91" s="68">
        <f>BDD!A89</f>
        <v>1967</v>
      </c>
      <c r="B91" s="42" t="str">
        <f>BDD!D89</f>
        <v>Jengibre BIO (pedido mínimo 500 grs.)</v>
      </c>
      <c r="C91" s="43" t="str">
        <f>BDD!E89</f>
        <v>Perú</v>
      </c>
      <c r="D91" s="44" t="e">
        <f>COMMANDE!K99</f>
        <v>#REF!</v>
      </c>
      <c r="E91" s="41"/>
    </row>
    <row r="92" spans="1:5">
      <c r="A92" s="68">
        <f>BDD!A90</f>
        <v>3217</v>
      </c>
      <c r="B92" s="42" t="str">
        <f>BDD!D90</f>
        <v>Guayaba local</v>
      </c>
      <c r="C92" s="43" t="str">
        <f>BDD!E90</f>
        <v>Granada</v>
      </c>
      <c r="D92" s="44" t="e">
        <f>COMMANDE!K100</f>
        <v>#REF!</v>
      </c>
      <c r="E92" s="28"/>
    </row>
    <row r="93" spans="1:5" s="45" customFormat="1" ht="19.5">
      <c r="A93" s="68">
        <f>BDD!A91</f>
        <v>1607</v>
      </c>
      <c r="B93" s="42" t="str">
        <f>BDD!D91</f>
        <v>Semillas de cáñamo pelado crudo BIO (env. 1 kg.)</v>
      </c>
      <c r="C93" s="43" t="str">
        <f>BDD!E91</f>
        <v>China</v>
      </c>
      <c r="D93" s="44" t="e">
        <f>COMMANDE!K101</f>
        <v>#REF!</v>
      </c>
      <c r="E93" s="46"/>
    </row>
    <row r="94" spans="1:5">
      <c r="A94" s="68">
        <f>BDD!A92</f>
        <v>1356</v>
      </c>
      <c r="B94" s="42" t="str">
        <f>BDD!D92</f>
        <v>Girasol pipa sin cáscara BIO (env. 1kg)</v>
      </c>
      <c r="C94" s="43" t="str">
        <f>BDD!E92</f>
        <v>Bulgaria</v>
      </c>
      <c r="D94" s="44" t="e">
        <f>COMMANDE!K102</f>
        <v>#REF!</v>
      </c>
      <c r="E94" s="28"/>
    </row>
    <row r="95" spans="1:5" s="45" customFormat="1" ht="19.5">
      <c r="A95" s="68">
        <f>BDD!A93</f>
        <v>1356</v>
      </c>
      <c r="B95" s="42" t="str">
        <f>BDD!D93</f>
        <v>Girasol pipa sin cáscara BIO (env. 500 grs.)</v>
      </c>
      <c r="C95" s="43" t="str">
        <f>BDD!E93</f>
        <v>Bulgaria</v>
      </c>
      <c r="D95" s="44" t="e">
        <f>COMMANDE!K103</f>
        <v>#REF!</v>
      </c>
      <c r="E95" s="46"/>
    </row>
    <row r="96" spans="1:5">
      <c r="A96" s="68">
        <f>BDD!A94</f>
        <v>3209</v>
      </c>
      <c r="B96" s="42" t="str">
        <f>BDD!D94</f>
        <v>Granada local ¡¡¡Muy roja, excelente!!!</v>
      </c>
      <c r="C96" s="43" t="str">
        <f>BDD!E94</f>
        <v>Granada</v>
      </c>
      <c r="D96" s="44" t="e">
        <f>COMMANDE!K104</f>
        <v>#REF!</v>
      </c>
      <c r="E96" s="28"/>
    </row>
    <row r="97" spans="1:5">
      <c r="A97" s="68">
        <f>BDD!A95</f>
        <v>1121</v>
      </c>
      <c r="B97" s="42" t="str">
        <f>BDD!D95</f>
        <v>Granada mollar BIO (piezas grandes y rosadas)</v>
      </c>
      <c r="C97" s="43" t="str">
        <f>BDD!E95</f>
        <v>Granada</v>
      </c>
      <c r="D97" s="44" t="e">
        <f>COMMANDE!K105</f>
        <v>#REF!</v>
      </c>
      <c r="E97" s="28"/>
    </row>
    <row r="98" spans="1:5">
      <c r="A98" s="68">
        <f>BDD!A96</f>
        <v>6120</v>
      </c>
      <c r="B98" s="42" t="str">
        <f>BDD!D96</f>
        <v>Granada Purple Queen BIO</v>
      </c>
      <c r="C98" s="43" t="str">
        <f>BDD!E96</f>
        <v>Málaga</v>
      </c>
      <c r="D98" s="44" t="e">
        <f>COMMANDE!K106</f>
        <v>#REF!</v>
      </c>
      <c r="E98" s="28"/>
    </row>
    <row r="99" spans="1:5">
      <c r="A99" s="68">
        <f>BDD!A97</f>
        <v>6063</v>
      </c>
      <c r="B99" s="42" t="str">
        <f>BDD!D97</f>
        <v>Aceite de oliva BIO variedad Aloreña (env. 1 litro cristal)</v>
      </c>
      <c r="C99" s="43" t="str">
        <f>BDD!E97</f>
        <v>Málaga</v>
      </c>
      <c r="D99" s="44" t="e">
        <f>COMMANDE!K107</f>
        <v>#REF!</v>
      </c>
      <c r="E99" s="28"/>
    </row>
    <row r="100" spans="1:5">
      <c r="A100" s="68">
        <f>BDD!A98</f>
        <v>6064</v>
      </c>
      <c r="B100" s="42" t="str">
        <f>BDD!D98</f>
        <v>Aceite de oliva BIO variedad Aloreña (lata 5 litros)</v>
      </c>
      <c r="C100" s="43" t="str">
        <f>BDD!E98</f>
        <v>Málaga</v>
      </c>
      <c r="D100" s="44" t="e">
        <f>COMMANDE!K108</f>
        <v>#REF!</v>
      </c>
      <c r="E100" s="28"/>
    </row>
    <row r="101" spans="1:5">
      <c r="A101" s="68" t="str">
        <f>BDD!A99</f>
        <v>3601-5043-3261</v>
      </c>
      <c r="B101" s="42" t="str">
        <f>BDD!D99</f>
        <v>Kaki diferentes varidades local (persimon, brillante...)</v>
      </c>
      <c r="C101" s="43" t="str">
        <f>BDD!E99</f>
        <v>Granada</v>
      </c>
      <c r="D101" s="44" t="e">
        <f>COMMANDE!K109</f>
        <v>#REF!</v>
      </c>
      <c r="E101" s="28"/>
    </row>
    <row r="102" spans="1:5" s="45" customFormat="1" ht="36">
      <c r="A102" s="68">
        <f>BDD!A100</f>
        <v>3265</v>
      </c>
      <c r="B102" s="42" t="str">
        <f>BDD!D100</f>
        <v>Kaki Fuyu local  (procedente de finca con cultivo orgánico) ¡¡¡Calidad súper!!!</v>
      </c>
      <c r="C102" s="43" t="str">
        <f>BDD!E100</f>
        <v>Granada</v>
      </c>
      <c r="D102" s="44" t="e">
        <f>COMMANDE!K110</f>
        <v>#REF!</v>
      </c>
      <c r="E102" s="46"/>
    </row>
    <row r="103" spans="1:5">
      <c r="A103" s="68">
        <f>BDD!A101</f>
        <v>3276</v>
      </c>
      <c r="B103" s="42" t="str">
        <f>BDD!D101</f>
        <v>Kiwi local</v>
      </c>
      <c r="C103" s="43" t="str">
        <f>BDD!E101</f>
        <v>Granada</v>
      </c>
      <c r="D103" s="44" t="e">
        <f>COMMANDE!K111</f>
        <v>#REF!</v>
      </c>
      <c r="E103" s="28"/>
    </row>
    <row r="104" spans="1:5">
      <c r="A104" s="68">
        <f>BDD!A102</f>
        <v>1961</v>
      </c>
      <c r="B104" s="42" t="str">
        <f>BDD!D102</f>
        <v>Kiwi  BIO</v>
      </c>
      <c r="C104" s="43" t="str">
        <f>BDD!E102</f>
        <v>Portugal</v>
      </c>
      <c r="D104" s="44" t="e">
        <f>COMMANDE!K112</f>
        <v>#REF!</v>
      </c>
      <c r="E104" s="28"/>
    </row>
    <row r="105" spans="1:5" s="45" customFormat="1" ht="19.5">
      <c r="A105" s="68">
        <f>BDD!A103</f>
        <v>3941</v>
      </c>
      <c r="B105" s="42" t="str">
        <f>BDD!D103</f>
        <v xml:space="preserve">Kiwi Sun Gold </v>
      </c>
      <c r="C105" s="43" t="str">
        <f>BDD!E103</f>
        <v>Nueva Zelanda</v>
      </c>
      <c r="D105" s="44" t="e">
        <f>COMMANDE!K113</f>
        <v>#REF!</v>
      </c>
      <c r="E105" s="46"/>
    </row>
    <row r="106" spans="1:5" s="45" customFormat="1" ht="19.5">
      <c r="A106" s="68">
        <f>BDD!A104</f>
        <v>1755</v>
      </c>
      <c r="B106" s="42" t="str">
        <f>BDD!D104</f>
        <v>Leche de coco en polvo 100% cruda BIO (env. 1 kg.)</v>
      </c>
      <c r="C106" s="43" t="str">
        <f>BDD!E104</f>
        <v>Sri Lanka</v>
      </c>
      <c r="D106" s="44" t="e">
        <f>COMMANDE!K114</f>
        <v>#REF!</v>
      </c>
      <c r="E106" s="46"/>
    </row>
    <row r="107" spans="1:5">
      <c r="A107" s="68">
        <f>BDD!A105</f>
        <v>1755</v>
      </c>
      <c r="B107" s="42" t="str">
        <f>BDD!D105</f>
        <v>Leche de coco en polvo 100% cruda BIO (env. 500 grs.)</v>
      </c>
      <c r="C107" s="43" t="str">
        <f>BDD!E105</f>
        <v>Sri Lanka</v>
      </c>
      <c r="D107" s="44" t="e">
        <f>COMMANDE!K115</f>
        <v>#REF!</v>
      </c>
      <c r="E107" s="28"/>
    </row>
    <row r="108" spans="1:5">
      <c r="A108" s="68">
        <f>BDD!A106</f>
        <v>1103</v>
      </c>
      <c r="B108" s="42" t="str">
        <f>BDD!D106</f>
        <v>Lima-limón variedad india BIO (se recolecta con color)</v>
      </c>
      <c r="C108" s="43" t="str">
        <f>BDD!E106</f>
        <v>Málaga</v>
      </c>
      <c r="D108" s="44" t="e">
        <f>COMMANDE!K116</f>
        <v>#REF!</v>
      </c>
      <c r="E108" s="28"/>
    </row>
    <row r="109" spans="1:5">
      <c r="A109" s="68">
        <f>BDD!A107</f>
        <v>1606</v>
      </c>
      <c r="B109" s="42" t="str">
        <f>BDD!D107</f>
        <v>Lúcuma cruda en polvo BIO (env. 1 kg.)</v>
      </c>
      <c r="C109" s="43" t="str">
        <f>BDD!E107</f>
        <v>Perú</v>
      </c>
      <c r="D109" s="44" t="e">
        <f>COMMANDE!K117</f>
        <v>#REF!</v>
      </c>
      <c r="E109" s="28"/>
    </row>
    <row r="110" spans="1:5">
      <c r="A110" s="68">
        <f>BDD!A108</f>
        <v>1640</v>
      </c>
      <c r="B110" s="42" t="str">
        <f>BDD!D108</f>
        <v>Maca en polvo cruda BIO (env. 1 kg.)</v>
      </c>
      <c r="C110" s="43" t="str">
        <f>BDD!E108</f>
        <v>Perú</v>
      </c>
      <c r="D110" s="44" t="e">
        <f>COMMANDE!K118</f>
        <v>#REF!</v>
      </c>
      <c r="E110" s="28"/>
    </row>
    <row r="111" spans="1:5">
      <c r="A111" s="68">
        <f>BDD!A109</f>
        <v>1640</v>
      </c>
      <c r="B111" s="42" t="str">
        <f>BDD!D109</f>
        <v>Maca en polvo cruda BIO (env. 500 grs.)</v>
      </c>
      <c r="C111" s="43" t="str">
        <f>BDD!E109</f>
        <v>Perú</v>
      </c>
      <c r="D111" s="44" t="e">
        <f>COMMANDE!K119</f>
        <v>#REF!</v>
      </c>
      <c r="E111" s="28"/>
    </row>
    <row r="112" spans="1:5">
      <c r="A112" s="68">
        <f>BDD!A110</f>
        <v>1639</v>
      </c>
      <c r="B112" s="42" t="str">
        <f>BDD!D110</f>
        <v>Maca negra BIO (env. 1 kg.)</v>
      </c>
      <c r="C112" s="43" t="str">
        <f>BDD!E110</f>
        <v>Perú</v>
      </c>
      <c r="D112" s="44" t="e">
        <f>COMMANDE!K120</f>
        <v>#REF!</v>
      </c>
      <c r="E112" s="28"/>
    </row>
    <row r="113" spans="1:5" s="45" customFormat="1" ht="19.5">
      <c r="A113" s="68">
        <f>BDD!A111</f>
        <v>1639</v>
      </c>
      <c r="B113" s="42" t="str">
        <f>BDD!D111</f>
        <v>Maca negra BIO (env. 500 grs.)</v>
      </c>
      <c r="C113" s="43" t="str">
        <f>BDD!E111</f>
        <v>Perú</v>
      </c>
      <c r="D113" s="44" t="e">
        <f>COMMANDE!K121</f>
        <v>#REF!</v>
      </c>
      <c r="E113" s="46"/>
    </row>
    <row r="114" spans="1:5" s="45" customFormat="1" ht="19.5">
      <c r="A114" s="68">
        <f>BDD!A112</f>
        <v>3146</v>
      </c>
      <c r="B114" s="42" t="str">
        <f>BDD!D112</f>
        <v>Mazorca maiz dulce fresca (bandeja de 2 piezas)</v>
      </c>
      <c r="C114" s="43" t="str">
        <f>BDD!E112</f>
        <v>Málaga</v>
      </c>
      <c r="D114" s="44" t="e">
        <f>COMMANDE!K122</f>
        <v>#REF!</v>
      </c>
      <c r="E114" s="46"/>
    </row>
    <row r="115" spans="1:5" ht="36">
      <c r="A115" s="68">
        <f>BDD!A113</f>
        <v>5215</v>
      </c>
      <c r="B115" s="42" t="str">
        <f>BDD!D113</f>
        <v>Mango Irwin gourmet deshidratado a  baja temperatura. Crudo. En laminas</v>
      </c>
      <c r="C115" s="43" t="str">
        <f>BDD!E113</f>
        <v>Granada</v>
      </c>
      <c r="D115" s="44" t="e">
        <f>COMMANDE!K123</f>
        <v>#REF!</v>
      </c>
      <c r="E115" s="28"/>
    </row>
    <row r="116" spans="1:5" ht="36">
      <c r="A116" s="68">
        <f>BDD!A114</f>
        <v>3868</v>
      </c>
      <c r="B116" s="42" t="str">
        <f>BDD!D114</f>
        <v>Mango deshidratado semi-seco artesanal Palmer rojo de Brasil (env. 500 grs.)</v>
      </c>
      <c r="C116" s="43" t="str">
        <f>BDD!E114</f>
        <v>Granada</v>
      </c>
      <c r="D116" s="44" t="e">
        <f>COMMANDE!K124</f>
        <v>#REF!</v>
      </c>
      <c r="E116" s="28"/>
    </row>
    <row r="117" spans="1:5">
      <c r="A117" s="68">
        <f>BDD!A115</f>
        <v>3174</v>
      </c>
      <c r="B117" s="42" t="str">
        <f>BDD!D115</f>
        <v>Mango Irwin local (grande)</v>
      </c>
      <c r="C117" s="43" t="str">
        <f>BDD!E115</f>
        <v>Málaga</v>
      </c>
      <c r="D117" s="44" t="e">
        <f>COMMANDE!K125</f>
        <v>#REF!</v>
      </c>
      <c r="E117" s="28"/>
    </row>
    <row r="118" spans="1:5">
      <c r="A118" s="68">
        <f>BDD!A116</f>
        <v>3255</v>
      </c>
      <c r="B118" s="42" t="str">
        <f>BDD!D116</f>
        <v>Mango Keitt Local</v>
      </c>
      <c r="C118" s="43" t="str">
        <f>BDD!E116</f>
        <v>Granada</v>
      </c>
      <c r="D118" s="44" t="e">
        <f>COMMANDE!K126</f>
        <v>#REF!</v>
      </c>
      <c r="E118" s="28"/>
    </row>
    <row r="119" spans="1:5">
      <c r="A119" s="68">
        <f>BDD!A117</f>
        <v>1171</v>
      </c>
      <c r="B119" s="42" t="str">
        <f>BDD!D117</f>
        <v>Mango Keitt BIO</v>
      </c>
      <c r="C119" s="43" t="str">
        <f>BDD!E117</f>
        <v>Granada</v>
      </c>
      <c r="D119" s="44" t="e">
        <f>COMMANDE!K127</f>
        <v>#REF!</v>
      </c>
      <c r="E119" s="28"/>
    </row>
    <row r="120" spans="1:5" ht="54">
      <c r="A120" s="68">
        <f>BDD!A118</f>
        <v>6198</v>
      </c>
      <c r="B120" s="42" t="str">
        <f>BDD!D118</f>
        <v>Mango Keitt BIO (ligeras quemaduras superficiales al lado del pedúnculo producidas por el sol, pulpa perfecta). Finca con certificado ecológico desde 1985 ¡¡¡Oferta!!!</v>
      </c>
      <c r="C120" s="43" t="str">
        <f>BDD!E118</f>
        <v>Málaga</v>
      </c>
      <c r="D120" s="44" t="e">
        <f>COMMANDE!K128</f>
        <v>#REF!</v>
      </c>
      <c r="E120" s="28"/>
    </row>
    <row r="121" spans="1:5" s="45" customFormat="1" ht="36">
      <c r="A121" s="68">
        <f>BDD!A119</f>
        <v>6127</v>
      </c>
      <c r="B121" s="42" t="str">
        <f>BDD!D119</f>
        <v>Mango Keitt calibre pequeño (de 170 a 400 grs aproximadamente) BIO</v>
      </c>
      <c r="C121" s="43" t="str">
        <f>BDD!E119</f>
        <v>Málaga</v>
      </c>
      <c r="D121" s="44" t="e">
        <f>COMMANDE!K129</f>
        <v>#REF!</v>
      </c>
      <c r="E121" s="46"/>
    </row>
    <row r="122" spans="1:5">
      <c r="A122" s="68">
        <f>BDD!A120</f>
        <v>3225</v>
      </c>
      <c r="B122" s="42" t="str">
        <f>BDD!D120</f>
        <v>Mango Kent calibre mediano local madurado en árbol</v>
      </c>
      <c r="C122" s="43" t="str">
        <f>BDD!E120</f>
        <v>Málaga</v>
      </c>
      <c r="D122" s="44" t="e">
        <f>COMMANDE!K130</f>
        <v>#REF!</v>
      </c>
      <c r="E122" s="28"/>
    </row>
    <row r="123" spans="1:5" ht="54">
      <c r="A123" s="68">
        <f>BDD!A121</f>
        <v>6198</v>
      </c>
      <c r="B123" s="42" t="str">
        <f>BDD!D121</f>
        <v>Mango Kent BIO (ligeras quemaduras superficiales al lado del pedúnculo producidas por el sol, pulpa perfecta). Finca con certificado ecológico desde 1985 ¡¡¡Oferta!!!</v>
      </c>
      <c r="C123" s="43" t="str">
        <f>BDD!E121</f>
        <v>Málaga</v>
      </c>
      <c r="D123" s="44" t="e">
        <f>COMMANDE!K131</f>
        <v>#REF!</v>
      </c>
      <c r="E123" s="28"/>
    </row>
    <row r="124" spans="1:5">
      <c r="A124" s="68">
        <f>BDD!A122</f>
        <v>3194</v>
      </c>
      <c r="B124" s="42" t="str">
        <f>BDD!D122</f>
        <v>Mango Lipens local ¡¡¡Excelente!!!</v>
      </c>
      <c r="C124" s="43" t="str">
        <f>BDD!E122</f>
        <v>Granada</v>
      </c>
      <c r="D124" s="44" t="e">
        <f>COMMANDE!K132</f>
        <v>#REF!</v>
      </c>
      <c r="E124" s="28"/>
    </row>
    <row r="125" spans="1:5" ht="36">
      <c r="A125" s="68">
        <f>BDD!A123</f>
        <v>3190</v>
      </c>
      <c r="B125" s="42" t="str">
        <f>BDD!D123</f>
        <v>Mango Osteen cultivo natural local ¡¡¡Procedente de finca ecológica sin certificado!!!</v>
      </c>
      <c r="C125" s="43" t="str">
        <f>BDD!E123</f>
        <v>Granada</v>
      </c>
      <c r="D125" s="44" t="e">
        <f>COMMANDE!K133</f>
        <v>#REF!</v>
      </c>
      <c r="E125" s="28"/>
    </row>
    <row r="126" spans="1:5" ht="54">
      <c r="A126" s="68" t="str">
        <f>BDD!A124</f>
        <v>3190. 658</v>
      </c>
      <c r="B126" s="42" t="str">
        <f>BDD!D124</f>
        <v>Mango Osteen finca EParadise (certificado Global Gap) ¡¡¡Máxima selección, madurado en el árbol y recolectado a diario!!!</v>
      </c>
      <c r="C126" s="43" t="str">
        <f>BDD!E124</f>
        <v>Granada</v>
      </c>
      <c r="D126" s="44" t="e">
        <f>COMMANDE!K134</f>
        <v>#REF!</v>
      </c>
      <c r="E126" s="28"/>
    </row>
    <row r="127" spans="1:5">
      <c r="A127" s="68">
        <f>BDD!A125</f>
        <v>1115</v>
      </c>
      <c r="B127" s="42" t="str">
        <f>BDD!D125</f>
        <v>Mango Osteen BIO. Primera calidad. Madurado en la planta</v>
      </c>
      <c r="C127" s="43" t="str">
        <f>BDD!E125</f>
        <v>Salobrena</v>
      </c>
      <c r="D127" s="44" t="e">
        <f>COMMANDE!K135</f>
        <v>#REF!</v>
      </c>
      <c r="E127" s="28"/>
    </row>
    <row r="128" spans="1:5">
      <c r="A128" s="68">
        <f>BDD!A126</f>
        <v>3703</v>
      </c>
      <c r="B128" s="42" t="str">
        <f>BDD!D126</f>
        <v>Mango Osteen mini gourmet local</v>
      </c>
      <c r="C128" s="43" t="str">
        <f>BDD!E126</f>
        <v>Granada</v>
      </c>
      <c r="D128" s="44" t="e">
        <f>COMMANDE!K136</f>
        <v>#REF!</v>
      </c>
      <c r="E128" s="28"/>
    </row>
    <row r="129" spans="1:5">
      <c r="A129" s="68">
        <f>BDD!A127</f>
        <v>1843</v>
      </c>
      <c r="B129" s="42" t="str">
        <f>BDD!D127</f>
        <v>Mango Palmer rojo BIO. Recién recolectado, piezas grandes</v>
      </c>
      <c r="C129" s="43" t="str">
        <f>BDD!E127</f>
        <v>Granada</v>
      </c>
      <c r="D129" s="44" t="e">
        <f>COMMANDE!K137</f>
        <v>#REF!</v>
      </c>
      <c r="E129" s="28"/>
    </row>
    <row r="130" spans="1:5">
      <c r="A130" s="68">
        <f>BDD!A128</f>
        <v>6269</v>
      </c>
      <c r="B130" s="42" t="str">
        <f>BDD!D128</f>
        <v xml:space="preserve">Mango palmer rojo gourmet BIO </v>
      </c>
      <c r="C130" s="43" t="str">
        <f>BDD!E128</f>
        <v>Granada</v>
      </c>
      <c r="D130" s="44" t="e">
        <f>COMMANDE!K138</f>
        <v>#REF!</v>
      </c>
      <c r="E130" s="28"/>
    </row>
    <row r="131" spans="1:5" ht="36">
      <c r="A131" s="68" t="str">
        <f>BDD!A129</f>
        <v>3214-3248-3174-3194-3190-3175</v>
      </c>
      <c r="B131" s="42" t="str">
        <f>BDD!D129</f>
        <v>Mango variado local empezando a madurar (Haden, Supér Haden, Irwin, Lipens, Osteen, Tommy Atkins)</v>
      </c>
      <c r="C131" s="43" t="str">
        <f>BDD!E129</f>
        <v>Granada</v>
      </c>
      <c r="D131" s="44" t="e">
        <f>COMMANDE!K139</f>
        <v>#REF!</v>
      </c>
      <c r="E131" s="28"/>
    </row>
    <row r="132" spans="1:5">
      <c r="A132" s="68">
        <f>BDD!A130</f>
        <v>3112</v>
      </c>
      <c r="B132" s="42" t="str">
        <f>BDD!D130</f>
        <v>Melón piel de sapo</v>
      </c>
      <c r="C132" s="43" t="str">
        <f>BDD!E130</f>
        <v>Córdoba</v>
      </c>
      <c r="D132" s="44" t="e">
        <f>COMMANDE!K140</f>
        <v>#REF!</v>
      </c>
      <c r="E132" s="28"/>
    </row>
    <row r="133" spans="1:5">
      <c r="A133" s="68">
        <f>BDD!A131</f>
        <v>1052</v>
      </c>
      <c r="B133" s="42" t="str">
        <f>BDD!D131</f>
        <v>Melón piel de sapo BIO</v>
      </c>
      <c r="C133" s="43" t="str">
        <f>BDD!E131</f>
        <v>Andalucía</v>
      </c>
      <c r="D133" s="44" t="e">
        <f>COMMANDE!K141</f>
        <v>#REF!</v>
      </c>
      <c r="E133" s="28"/>
    </row>
    <row r="134" spans="1:5">
      <c r="A134" s="68">
        <f>BDD!A132</f>
        <v>3925</v>
      </c>
      <c r="B134" s="42" t="str">
        <f>BDD!D132</f>
        <v>Miel de aguacate (env. 1 kg.)</v>
      </c>
      <c r="C134" s="43" t="str">
        <f>BDD!E132</f>
        <v>Granada</v>
      </c>
      <c r="D134" s="44" t="e">
        <f>COMMANDE!K142</f>
        <v>#REF!</v>
      </c>
      <c r="E134" s="28"/>
    </row>
    <row r="135" spans="1:5">
      <c r="A135" s="68">
        <f>BDD!A133</f>
        <v>1324</v>
      </c>
      <c r="B135" s="42" t="str">
        <f>BDD!D133</f>
        <v>Miel de eucalipto BIO (env. 1 kg.)</v>
      </c>
      <c r="C135" s="43" t="str">
        <f>BDD!E133</f>
        <v>Huelva</v>
      </c>
      <c r="D135" s="44" t="e">
        <f>COMMANDE!K143</f>
        <v>#REF!</v>
      </c>
      <c r="E135" s="28"/>
    </row>
    <row r="136" spans="1:5">
      <c r="A136" s="68">
        <f>BDD!A134</f>
        <v>5113</v>
      </c>
      <c r="B136" s="42" t="str">
        <f>BDD!D134</f>
        <v>Miel de azahar (env. 1 kg.)</v>
      </c>
      <c r="C136" s="43" t="str">
        <f>BDD!E134</f>
        <v>Granada</v>
      </c>
      <c r="D136" s="44" t="e">
        <f>COMMANDE!K144</f>
        <v>#REF!</v>
      </c>
      <c r="E136" s="28"/>
    </row>
    <row r="137" spans="1:5">
      <c r="A137" s="68">
        <f>BDD!A135</f>
        <v>1444</v>
      </c>
      <c r="B137" s="42" t="str">
        <f>BDD!D135</f>
        <v>Miel Huelva multiflora BIO cruda sin filtrar (env. 1 kg.)</v>
      </c>
      <c r="C137" s="43" t="str">
        <f>BDD!E135</f>
        <v>Huelva</v>
      </c>
      <c r="D137" s="44" t="e">
        <f>COMMANDE!K145</f>
        <v>#REF!</v>
      </c>
      <c r="E137" s="28"/>
    </row>
    <row r="138" spans="1:5">
      <c r="A138" s="68">
        <f>BDD!A136</f>
        <v>5107</v>
      </c>
      <c r="B138" s="42" t="str">
        <f>BDD!D136</f>
        <v>Miel de montaña (env. 1 kg)</v>
      </c>
      <c r="C138" s="43" t="str">
        <f>BDD!E136</f>
        <v>Granada</v>
      </c>
      <c r="D138" s="44" t="e">
        <f>COMMANDE!K146</f>
        <v>#REF!</v>
      </c>
      <c r="E138" s="28"/>
    </row>
    <row r="139" spans="1:5">
      <c r="A139" s="68">
        <f>BDD!A137</f>
        <v>3585</v>
      </c>
      <c r="B139" s="42" t="str">
        <f>BDD!D137</f>
        <v>Miel de romero (env. 1 kg.)</v>
      </c>
      <c r="C139" s="43" t="str">
        <f>BDD!E137</f>
        <v>Granada</v>
      </c>
      <c r="D139" s="44" t="e">
        <f>COMMANDE!K147</f>
        <v>#REF!</v>
      </c>
      <c r="E139" s="28"/>
    </row>
    <row r="140" spans="1:5">
      <c r="A140" s="68">
        <f>BDD!A138</f>
        <v>5114</v>
      </c>
      <c r="B140" s="42" t="str">
        <f>BDD!D138</f>
        <v>Miel multiflora (env. 1 kg.)</v>
      </c>
      <c r="C140" s="43" t="str">
        <f>BDD!E138</f>
        <v>Granada</v>
      </c>
      <c r="D140" s="44" t="e">
        <f>COMMANDE!K148</f>
        <v>#REF!</v>
      </c>
      <c r="E140" s="28"/>
    </row>
    <row r="141" spans="1:5">
      <c r="A141" s="68">
        <f>BDD!A139</f>
        <v>3626</v>
      </c>
      <c r="B141" s="42" t="str">
        <f>BDD!D139</f>
        <v>Níspero de invierno local</v>
      </c>
      <c r="C141" s="43" t="str">
        <f>BDD!E139</f>
        <v>Granada</v>
      </c>
      <c r="D141" s="44" t="e">
        <f>COMMANDE!K149</f>
        <v>#REF!</v>
      </c>
      <c r="E141" s="28"/>
    </row>
    <row r="142" spans="1:5">
      <c r="A142" s="68">
        <f>BDD!A140</f>
        <v>1154</v>
      </c>
      <c r="B142" s="42" t="str">
        <f>BDD!D140</f>
        <v>Avellana cruda BIO sin cáscara (env. 1 kg.)</v>
      </c>
      <c r="C142" s="43" t="str">
        <f>BDD!E140</f>
        <v>Nacional</v>
      </c>
      <c r="D142" s="44" t="e">
        <f>COMMANDE!K150</f>
        <v>#REF!</v>
      </c>
      <c r="E142" s="28"/>
    </row>
    <row r="143" spans="1:5">
      <c r="A143" s="68">
        <f>BDD!A141</f>
        <v>1027</v>
      </c>
      <c r="B143" s="42" t="str">
        <f>BDD!D141</f>
        <v>Anacardo crudo BIO (env. 1 kg.)</v>
      </c>
      <c r="C143" s="43" t="str">
        <f>BDD!E141</f>
        <v>India</v>
      </c>
      <c r="D143" s="44" t="e">
        <f>COMMANDE!K151</f>
        <v>#REF!</v>
      </c>
      <c r="E143" s="28"/>
    </row>
    <row r="144" spans="1:5">
      <c r="A144" s="68" t="str">
        <f>BDD!A142</f>
        <v>1816</v>
      </c>
      <c r="B144" s="42" t="str">
        <f>BDD!D142</f>
        <v>Nuez de Macadamia sin cáscara BIO  (env. 1 kg.)</v>
      </c>
      <c r="C144" s="43" t="str">
        <f>BDD!E142</f>
        <v>Kenia</v>
      </c>
      <c r="D144" s="44" t="e">
        <f>COMMANDE!K152</f>
        <v>#REF!</v>
      </c>
      <c r="E144" s="28"/>
    </row>
    <row r="145" spans="1:5">
      <c r="A145" s="68" t="str">
        <f>BDD!A143</f>
        <v>1816</v>
      </c>
      <c r="B145" s="42" t="str">
        <f>BDD!D143</f>
        <v>Nuez de Macadamia sin cáscara BIO (env. 500 grs.)</v>
      </c>
      <c r="C145" s="43" t="str">
        <f>BDD!E143</f>
        <v>Kenia</v>
      </c>
      <c r="D145" s="44" t="e">
        <f>COMMANDE!K153</f>
        <v>#REF!</v>
      </c>
      <c r="E145" s="28"/>
    </row>
    <row r="146" spans="1:5">
      <c r="A146" s="68">
        <f>BDD!A144</f>
        <v>6005</v>
      </c>
      <c r="B146" s="42" t="str">
        <f>BDD!D144</f>
        <v>Nuez Pecana sin cáscara BIO  (env. 1 kg.)</v>
      </c>
      <c r="C146" s="43" t="str">
        <f>BDD!E144</f>
        <v>Mexico</v>
      </c>
      <c r="D146" s="44" t="e">
        <f>COMMANDE!K154</f>
        <v>#REF!</v>
      </c>
      <c r="E146" s="28"/>
    </row>
    <row r="147" spans="1:5">
      <c r="A147" s="68">
        <f>BDD!A145</f>
        <v>6005</v>
      </c>
      <c r="B147" s="42" t="str">
        <f>BDD!D145</f>
        <v>Nuez Pecana sin cáscara BIO (env. 500 grs.)</v>
      </c>
      <c r="C147" s="43" t="str">
        <f>BDD!E145</f>
        <v>Mexico</v>
      </c>
      <c r="D147" s="44" t="e">
        <f>COMMANDE!K155</f>
        <v>#REF!</v>
      </c>
      <c r="E147" s="28"/>
    </row>
    <row r="148" spans="1:5">
      <c r="A148" s="68">
        <f>BDD!A146</f>
        <v>1101</v>
      </c>
      <c r="B148" s="42" t="str">
        <f>BDD!D146</f>
        <v>Cebolla blanca seca BIO</v>
      </c>
      <c r="C148" s="43" t="str">
        <f>BDD!E146</f>
        <v>Málaga</v>
      </c>
      <c r="D148" s="44" t="e">
        <f>COMMANDE!K156</f>
        <v>#REF!</v>
      </c>
      <c r="E148" s="28"/>
    </row>
    <row r="149" spans="1:5">
      <c r="A149" s="68">
        <f>BDD!A147</f>
        <v>1151</v>
      </c>
      <c r="B149" s="42" t="str">
        <f>BDD!D147</f>
        <v>Cebolla roja BIO</v>
      </c>
      <c r="C149" s="43" t="str">
        <f>BDD!E147</f>
        <v>Malaga</v>
      </c>
      <c r="D149" s="44" t="e">
        <f>COMMANDE!K157</f>
        <v>#REF!</v>
      </c>
      <c r="E149" s="28"/>
    </row>
    <row r="150" spans="1:5">
      <c r="A150" s="68">
        <f>BDD!A148</f>
        <v>6025</v>
      </c>
      <c r="B150" s="42" t="str">
        <f>BDD!D148</f>
        <v>Aceituna Aloreña aliñada BIO (env.800 grs.)</v>
      </c>
      <c r="C150" s="43" t="str">
        <f>BDD!E148</f>
        <v>Málaga</v>
      </c>
      <c r="D150" s="44" t="e">
        <f>COMMANDE!K158</f>
        <v>#REF!</v>
      </c>
      <c r="E150" s="28"/>
    </row>
    <row r="151" spans="1:5" ht="54">
      <c r="A151" s="68">
        <f>BDD!A149</f>
        <v>5119</v>
      </c>
      <c r="B151" s="42" t="str">
        <f>BDD!D149</f>
        <v>Aceituna fermentada BIO (bote cristal 450 grs.) Varios tipos: frescas, semi-secas, secas, ...a elección (sin sal y sin ningún otro complemento)</v>
      </c>
      <c r="C151" s="43" t="str">
        <f>BDD!E149</f>
        <v>Valencia</v>
      </c>
      <c r="D151" s="44" t="e">
        <f>COMMANDE!K159</f>
        <v>#REF!</v>
      </c>
      <c r="E151" s="28"/>
    </row>
    <row r="152" spans="1:5">
      <c r="A152" s="68">
        <f>BDD!A150</f>
        <v>1541</v>
      </c>
      <c r="B152" s="42" t="str">
        <f>BDD!D150</f>
        <v>Aceituna negra s/hueso semi-seca BIO (env. 500 grs.)</v>
      </c>
      <c r="C152" s="43" t="str">
        <f>BDD!E150</f>
        <v>Importación</v>
      </c>
      <c r="D152" s="44" t="e">
        <f>COMMANDE!K160</f>
        <v>#REF!</v>
      </c>
      <c r="E152" s="28"/>
    </row>
    <row r="153" spans="1:5">
      <c r="A153" s="68">
        <f>BDD!A151</f>
        <v>5159</v>
      </c>
      <c r="B153" s="42" t="str">
        <f>BDD!D151</f>
        <v>Aceituna Manzanilla verde Gordal fresca local</v>
      </c>
      <c r="C153" s="43" t="str">
        <f>BDD!E151</f>
        <v>Granada</v>
      </c>
      <c r="D153" s="44" t="e">
        <f>COMMANDE!K161</f>
        <v>#REF!</v>
      </c>
      <c r="E153" s="28"/>
    </row>
    <row r="154" spans="1:5">
      <c r="A154" s="68">
        <f>BDD!A152</f>
        <v>3073</v>
      </c>
      <c r="B154" s="42" t="str">
        <f>BDD!D152</f>
        <v>Naranja Valencialate local</v>
      </c>
      <c r="C154" s="43" t="str">
        <f>BDD!E152</f>
        <v>Andalucía</v>
      </c>
      <c r="D154" s="44" t="e">
        <f>COMMANDE!K162</f>
        <v>#REF!</v>
      </c>
      <c r="E154" s="28"/>
    </row>
    <row r="155" spans="1:5">
      <c r="A155" s="68">
        <f>BDD!A153</f>
        <v>6584</v>
      </c>
      <c r="B155" s="42" t="str">
        <f>BDD!D153</f>
        <v>Pimentón Picante de la Vera BIO         (env. 1 kg.)</v>
      </c>
      <c r="C155" s="43" t="str">
        <f>BDD!E153</f>
        <v>Sierra de Gredos</v>
      </c>
      <c r="D155" s="44" t="e">
        <f>COMMANDE!K163</f>
        <v>#REF!</v>
      </c>
      <c r="E155" s="28"/>
    </row>
    <row r="156" spans="1:5">
      <c r="A156" s="68">
        <f>BDD!A154</f>
        <v>1576</v>
      </c>
      <c r="B156" s="42" t="str">
        <f>BDD!D154</f>
        <v>Boniato BIO (grande)</v>
      </c>
      <c r="C156" s="43" t="str">
        <f>BDD!E154</f>
        <v>Málaga</v>
      </c>
      <c r="D156" s="44" t="e">
        <f>COMMANDE!K164</f>
        <v>#REF!</v>
      </c>
      <c r="E156" s="28"/>
    </row>
    <row r="157" spans="1:5">
      <c r="A157" s="68">
        <f>BDD!A155</f>
        <v>1015</v>
      </c>
      <c r="B157" s="42" t="str">
        <f>BDD!D155</f>
        <v>Boniato BIO (mediano)</v>
      </c>
      <c r="C157" s="43" t="str">
        <f>BDD!E155</f>
        <v>Málaga</v>
      </c>
      <c r="D157" s="44" t="e">
        <f>COMMANDE!K165</f>
        <v>#REF!</v>
      </c>
      <c r="E157" s="28"/>
    </row>
    <row r="158" spans="1:5" ht="36">
      <c r="A158" s="68">
        <f>BDD!A156</f>
        <v>1761</v>
      </c>
      <c r="B158" s="42" t="str">
        <f>BDD!D156</f>
        <v>Boniato violeta BIO (mediano/grande, nueva cosecha)¡¡Excelente!!</v>
      </c>
      <c r="C158" s="43" t="str">
        <f>BDD!E156</f>
        <v>Málaga</v>
      </c>
      <c r="D158" s="44" t="e">
        <f>COMMANDE!K166</f>
        <v>#REF!</v>
      </c>
      <c r="E158" s="28"/>
    </row>
    <row r="159" spans="1:5">
      <c r="A159" s="68">
        <f>BDD!A157</f>
        <v>3615</v>
      </c>
      <c r="B159" s="42" t="str">
        <f>BDD!D157</f>
        <v>Pistacho en grano natural (env. 1 kg.)</v>
      </c>
      <c r="C159" s="43" t="str">
        <f>BDD!E157</f>
        <v>Nacional</v>
      </c>
      <c r="D159" s="44" t="e">
        <f>COMMANDE!K167</f>
        <v>#REF!</v>
      </c>
      <c r="E159" s="28"/>
    </row>
    <row r="160" spans="1:5">
      <c r="A160" s="68">
        <f>BDD!A158</f>
        <v>3615</v>
      </c>
      <c r="B160" s="42" t="str">
        <f>BDD!D158</f>
        <v>Pistacho en grano natural (env. 500 grs.)</v>
      </c>
      <c r="C160" s="43" t="str">
        <f>BDD!E158</f>
        <v>Nacional</v>
      </c>
      <c r="D160" s="44" t="e">
        <f>COMMANDE!K168</f>
        <v>#REF!</v>
      </c>
      <c r="E160" s="28"/>
    </row>
    <row r="161" spans="1:5">
      <c r="A161" s="68">
        <f>BDD!A159</f>
        <v>3967</v>
      </c>
      <c r="B161" s="42" t="str">
        <f>BDD!D159</f>
        <v>Pitahaya/ Dragon Fruit amarilla por fuera pulpa blanca local</v>
      </c>
      <c r="C161" s="43" t="str">
        <f>BDD!E159</f>
        <v>Granada</v>
      </c>
      <c r="D161" s="44" t="e">
        <f>COMMANDE!K169</f>
        <v>#REF!</v>
      </c>
      <c r="E161" s="28"/>
    </row>
    <row r="162" spans="1:5">
      <c r="A162" s="68">
        <f>BDD!A160</f>
        <v>1982</v>
      </c>
      <c r="B162" s="42" t="str">
        <f>BDD!D160</f>
        <v>Pitahaya roja BIO</v>
      </c>
      <c r="C162" s="43" t="str">
        <f>BDD!E160</f>
        <v>Granada</v>
      </c>
      <c r="D162" s="44" t="e">
        <f>COMMANDE!K170</f>
        <v>#REF!</v>
      </c>
      <c r="E162" s="28"/>
    </row>
    <row r="163" spans="1:5">
      <c r="A163" s="68">
        <f>BDD!A161</f>
        <v>3043</v>
      </c>
      <c r="B163" s="42" t="str">
        <f>BDD!D161</f>
        <v>Pera Conferencia</v>
      </c>
      <c r="C163" s="43" t="str">
        <f>BDD!E161</f>
        <v>Nacional</v>
      </c>
      <c r="D163" s="44" t="e">
        <f>COMMANDE!K171</f>
        <v>#REF!</v>
      </c>
      <c r="E163" s="28"/>
    </row>
    <row r="164" spans="1:5">
      <c r="A164" s="68">
        <f>BDD!A162</f>
        <v>1123</v>
      </c>
      <c r="B164" s="42" t="str">
        <f>BDD!D162</f>
        <v>Pera Conferencia BIO</v>
      </c>
      <c r="C164" s="43" t="str">
        <f>BDD!E162</f>
        <v>Nacional</v>
      </c>
      <c r="D164" s="44" t="e">
        <f>COMMANDE!K172</f>
        <v>#REF!</v>
      </c>
      <c r="E164" s="28"/>
    </row>
    <row r="165" spans="1:5">
      <c r="A165" s="68">
        <f>BDD!A163</f>
        <v>1062</v>
      </c>
      <c r="B165" s="42" t="str">
        <f>BDD!D163</f>
        <v>Puerro BIO</v>
      </c>
      <c r="C165" s="43" t="str">
        <f>BDD!E163</f>
        <v>Málaga</v>
      </c>
      <c r="D165" s="44" t="e">
        <f>COMMANDE!K173</f>
        <v>#REF!</v>
      </c>
      <c r="E165" s="28"/>
    </row>
    <row r="166" spans="1:5">
      <c r="A166" s="68">
        <f>BDD!A164</f>
        <v>3313</v>
      </c>
      <c r="B166" s="42" t="str">
        <f>BDD!D164</f>
        <v>Pimiento mini dulce de colores local</v>
      </c>
      <c r="C166" s="43" t="str">
        <f>BDD!E164</f>
        <v>Granada</v>
      </c>
      <c r="D166" s="44" t="e">
        <f>COMMANDE!K174</f>
        <v>#REF!</v>
      </c>
      <c r="E166" s="28"/>
    </row>
    <row r="167" spans="1:5">
      <c r="A167" s="68">
        <f>BDD!A165</f>
        <v>1043</v>
      </c>
      <c r="B167" s="42" t="str">
        <f>BDD!D165</f>
        <v>Pimiento Rojo Ramiro BIO</v>
      </c>
      <c r="C167" s="43" t="str">
        <f>BDD!E165</f>
        <v>Málaga</v>
      </c>
      <c r="D167" s="44" t="e">
        <f>COMMANDE!K175</f>
        <v>#REF!</v>
      </c>
      <c r="E167" s="28"/>
    </row>
    <row r="168" spans="1:5">
      <c r="A168" s="68">
        <f>BDD!A166</f>
        <v>6041</v>
      </c>
      <c r="B168" s="42" t="str">
        <f>BDD!D166</f>
        <v>Polen fresco BIO (env. 500 grs.)</v>
      </c>
      <c r="C168" s="43" t="str">
        <f>BDD!E166</f>
        <v>Córdoba</v>
      </c>
      <c r="D168" s="44" t="e">
        <f>COMMANDE!K176</f>
        <v>#REF!</v>
      </c>
      <c r="E168" s="28"/>
    </row>
    <row r="169" spans="1:5">
      <c r="A169" s="68" t="str">
        <f>BDD!A167</f>
        <v>1564</v>
      </c>
      <c r="B169" s="42" t="str">
        <f>BDD!D167</f>
        <v>Polen seco BIO (env. 500 grs.)</v>
      </c>
      <c r="C169" s="43" t="str">
        <f>BDD!E167</f>
        <v>Huelva</v>
      </c>
      <c r="D169" s="44" t="e">
        <f>COMMANDE!K177</f>
        <v>#REF!</v>
      </c>
      <c r="E169" s="28"/>
    </row>
    <row r="170" spans="1:5">
      <c r="A170" s="68">
        <f>BDD!A168</f>
        <v>6121</v>
      </c>
      <c r="B170" s="42" t="str">
        <f>BDD!D168</f>
        <v>Patata Lucinda blanca BIO</v>
      </c>
      <c r="C170" s="43" t="str">
        <f>BDD!E168</f>
        <v>Málaga</v>
      </c>
      <c r="D170" s="44" t="e">
        <f>COMMANDE!K178</f>
        <v>#REF!</v>
      </c>
      <c r="E170" s="28"/>
    </row>
    <row r="171" spans="1:5">
      <c r="A171" s="68">
        <f>BDD!A169</f>
        <v>1147</v>
      </c>
      <c r="B171" s="42" t="str">
        <f>BDD!D169</f>
        <v>Patata roja BIO</v>
      </c>
      <c r="C171" s="43" t="str">
        <f>BDD!E169</f>
        <v>Granada</v>
      </c>
      <c r="D171" s="44" t="e">
        <f>COMMANDE!K179</f>
        <v>#REF!</v>
      </c>
      <c r="E171" s="28"/>
    </row>
    <row r="172" spans="1:5">
      <c r="A172" s="68" t="str">
        <f>BDD!A170</f>
        <v>5124-3852</v>
      </c>
      <c r="B172" s="42" t="str">
        <f>BDD!D170</f>
        <v>Manzana Golden local de la Sierra (nueva cosecha)</v>
      </c>
      <c r="C172" s="43" t="str">
        <f>BDD!E170</f>
        <v>Granada</v>
      </c>
      <c r="D172" s="44" t="e">
        <f>COMMANDE!K180</f>
        <v>#REF!</v>
      </c>
      <c r="E172" s="28"/>
    </row>
    <row r="173" spans="1:5">
      <c r="A173" s="68">
        <f>BDD!A171</f>
        <v>3973</v>
      </c>
      <c r="B173" s="42" t="str">
        <f>BDD!D171</f>
        <v>Manzana Granny Smith local de Sierra Nevada</v>
      </c>
      <c r="C173" s="43" t="str">
        <f>BDD!E171</f>
        <v>Granada</v>
      </c>
      <c r="D173" s="44" t="e">
        <f>COMMANDE!K181</f>
        <v>#REF!</v>
      </c>
      <c r="E173" s="28"/>
    </row>
    <row r="174" spans="1:5">
      <c r="A174" s="68">
        <f>BDD!A172</f>
        <v>3706</v>
      </c>
      <c r="B174" s="42" t="str">
        <f>BDD!D172</f>
        <v>Manzana Reineta local Sierra Nevada</v>
      </c>
      <c r="C174" s="43" t="str">
        <f>BDD!E172</f>
        <v>Granada</v>
      </c>
      <c r="D174" s="44" t="e">
        <f>COMMANDE!K182</f>
        <v>#REF!</v>
      </c>
      <c r="E174" s="28"/>
    </row>
    <row r="175" spans="1:5">
      <c r="A175" s="68">
        <f>BDD!A173</f>
        <v>3145</v>
      </c>
      <c r="B175" s="42" t="str">
        <f>BDD!D173</f>
        <v>Manzana Starky roja local Sierra Nevada</v>
      </c>
      <c r="C175" s="43" t="str">
        <f>BDD!E173</f>
        <v>Granada</v>
      </c>
      <c r="D175" s="44" t="e">
        <f>COMMANDE!K183</f>
        <v>#REF!</v>
      </c>
      <c r="E175" s="28"/>
    </row>
    <row r="176" spans="1:5">
      <c r="A176" s="68">
        <f>BDD!A174</f>
        <v>5149</v>
      </c>
      <c r="B176" s="42" t="str">
        <f>BDD!D174</f>
        <v>Manzana roja Top Red local de Sierra Nevada</v>
      </c>
      <c r="C176" s="43" t="str">
        <f>BDD!E174</f>
        <v>Granada</v>
      </c>
      <c r="D176" s="44" t="e">
        <f>COMMANDE!K184</f>
        <v>#REF!</v>
      </c>
      <c r="E176" s="28"/>
    </row>
    <row r="177" spans="1:5">
      <c r="A177" s="68">
        <f>BDD!A175</f>
        <v>3876</v>
      </c>
      <c r="B177" s="42" t="str">
        <f>BDD!D175</f>
        <v>Manzana Verde Doncella de Sierra Nevada</v>
      </c>
      <c r="C177" s="43" t="str">
        <f>BDD!E175</f>
        <v>Granada</v>
      </c>
      <c r="D177" s="44" t="e">
        <f>COMMANDE!K185</f>
        <v>#REF!</v>
      </c>
      <c r="E177" s="28"/>
    </row>
    <row r="178" spans="1:5">
      <c r="A178" s="68">
        <f>BDD!A176</f>
        <v>3824</v>
      </c>
      <c r="B178" s="42" t="str">
        <f>BDD!D176</f>
        <v>Rábano Daikon</v>
      </c>
      <c r="C178" s="43" t="str">
        <f>BDD!E176</f>
        <v>Nacional</v>
      </c>
      <c r="D178" s="44" t="e">
        <f>COMMANDE!K186</f>
        <v>#REF!</v>
      </c>
      <c r="E178" s="28"/>
    </row>
    <row r="179" spans="1:5">
      <c r="A179" s="68">
        <f>BDD!A177</f>
        <v>1073</v>
      </c>
      <c r="B179" s="42" t="str">
        <f>BDD!D177</f>
        <v>Uva pasa Sultana BIO (env. 1 kg.)</v>
      </c>
      <c r="C179" s="43" t="str">
        <f>BDD!E177</f>
        <v>Turquía</v>
      </c>
      <c r="D179" s="44" t="e">
        <f>COMMANDE!K187</f>
        <v>#REF!</v>
      </c>
      <c r="E179" s="28"/>
    </row>
    <row r="180" spans="1:5">
      <c r="A180" s="68">
        <f>BDD!A178</f>
        <v>3752</v>
      </c>
      <c r="B180" s="42" t="str">
        <f>BDD!D178</f>
        <v>Uva pasa Moscatel en grano (nueva cosecha)en env. de 500 grs</v>
      </c>
      <c r="C180" s="43" t="str">
        <f>BDD!E178</f>
        <v>Málaga</v>
      </c>
      <c r="D180" s="44" t="e">
        <f>COMMANDE!K188</f>
        <v>#REF!</v>
      </c>
      <c r="E180" s="28"/>
    </row>
    <row r="181" spans="1:5">
      <c r="A181" s="68">
        <f>BDD!A179</f>
        <v>3713</v>
      </c>
      <c r="B181" s="42" t="str">
        <f>BDD!D179</f>
        <v>Sal del Himalaya molida (env. 1 kg.)</v>
      </c>
      <c r="C181" s="43" t="str">
        <f>BDD!E179</f>
        <v>Pakistán</v>
      </c>
      <c r="D181" s="44" t="e">
        <f>COMMANDE!K189</f>
        <v>#REF!</v>
      </c>
      <c r="E181" s="28"/>
    </row>
    <row r="182" spans="1:5" ht="36">
      <c r="A182" s="68">
        <f>BDD!A180</f>
        <v>1358</v>
      </c>
      <c r="B182" s="42" t="str">
        <f>BDD!D180</f>
        <v>Sésamo crudo BIO (env. 1 kg.)</v>
      </c>
      <c r="C182" s="43" t="str">
        <f>BDD!E180</f>
        <v>Paraguay
Egipto</v>
      </c>
      <c r="D182" s="44" t="e">
        <f>COMMANDE!K190</f>
        <v>#REF!</v>
      </c>
      <c r="E182" s="28"/>
    </row>
    <row r="183" spans="1:5">
      <c r="A183" s="68">
        <f>BDD!A181</f>
        <v>1860</v>
      </c>
      <c r="B183" s="42" t="str">
        <f>BDD!D181</f>
        <v>Chufa BIO (env. 1 kg.)</v>
      </c>
      <c r="C183" s="43" t="str">
        <f>BDD!E181</f>
        <v>Importacion</v>
      </c>
      <c r="D183" s="44" t="e">
        <f>COMMANDE!K191</f>
        <v>#REF!</v>
      </c>
      <c r="E183" s="28"/>
    </row>
    <row r="184" spans="1:5">
      <c r="A184" s="68">
        <f>BDD!A182</f>
        <v>1496</v>
      </c>
      <c r="B184" s="42" t="str">
        <f>BDD!D182</f>
        <v>Alga Espagueti de mar deshidratada BIO (env. 1 kg.)</v>
      </c>
      <c r="C184" s="43" t="str">
        <f>BDD!E182</f>
        <v>Galice</v>
      </c>
      <c r="D184" s="44" t="e">
        <f>COMMANDE!K192</f>
        <v>#REF!</v>
      </c>
      <c r="E184" s="28"/>
    </row>
    <row r="185" spans="1:5">
      <c r="A185" s="68">
        <f>BDD!A183</f>
        <v>1496</v>
      </c>
      <c r="B185" s="42" t="str">
        <f>BDD!D183</f>
        <v>Alga Espagueti de mar deshidratada BIO (env. 500 grs.)</v>
      </c>
      <c r="C185" s="43" t="str">
        <f>BDD!E183</f>
        <v>Galice</v>
      </c>
      <c r="D185" s="44" t="e">
        <f>COMMANDE!K193</f>
        <v>#REF!</v>
      </c>
      <c r="E185" s="28"/>
    </row>
    <row r="186" spans="1:5">
      <c r="A186" s="68">
        <f>BDD!A184</f>
        <v>1612</v>
      </c>
      <c r="B186" s="42" t="str">
        <f>BDD!D184</f>
        <v>Spirulina en polvo BIO (env. 1 kg.)</v>
      </c>
      <c r="C186" s="43" t="str">
        <f>BDD!E184</f>
        <v>India</v>
      </c>
      <c r="D186" s="44" t="e">
        <f>COMMANDE!K194</f>
        <v>#REF!</v>
      </c>
      <c r="E186" s="28"/>
    </row>
    <row r="187" spans="1:5">
      <c r="A187" s="68">
        <f>BDD!A185</f>
        <v>1575</v>
      </c>
      <c r="B187" s="42" t="str">
        <f>BDD!D185</f>
        <v>Azúcar de coco BIO (env. 1 kg.)</v>
      </c>
      <c r="C187" s="43" t="str">
        <f>BDD!E185</f>
        <v>Indonesia</v>
      </c>
      <c r="D187" s="44" t="e">
        <f>COMMANDE!K195</f>
        <v>#REF!</v>
      </c>
      <c r="E187" s="28"/>
    </row>
    <row r="188" spans="1:5" ht="36">
      <c r="A188" s="68">
        <f>BDD!A186</f>
        <v>6110</v>
      </c>
      <c r="B188" s="42" t="str">
        <f>BDD!D186</f>
        <v>Tomate seco BIO laminado (env. 1 kg.) ¡¡¡Deshidratado a baja temperatura 35º, calidad superior!!! RAW</v>
      </c>
      <c r="C188" s="43" t="str">
        <f>BDD!E186</f>
        <v>National</v>
      </c>
      <c r="D188" s="44" t="e">
        <f>COMMANDE!K196</f>
        <v>#REF!</v>
      </c>
      <c r="E188" s="28"/>
    </row>
    <row r="189" spans="1:5" ht="36">
      <c r="A189" s="68">
        <f>BDD!A187</f>
        <v>6110</v>
      </c>
      <c r="B189" s="42" t="str">
        <f>BDD!D187</f>
        <v>Tomate seco BIO laminado (env. 200 grs.) ¡¡¡Deshidratado a baja temperatura 35º, calidad superior!!! RAW</v>
      </c>
      <c r="C189" s="43" t="str">
        <f>BDD!E187</f>
        <v>National</v>
      </c>
      <c r="D189" s="44" t="e">
        <f>COMMANDE!K197</f>
        <v>#REF!</v>
      </c>
      <c r="E189" s="28"/>
    </row>
    <row r="190" spans="1:5">
      <c r="A190" s="68">
        <f>BDD!A188</f>
        <v>3783</v>
      </c>
      <c r="B190" s="42" t="str">
        <f>BDD!D188</f>
        <v>Xilitol (azúcar de abedul) env. 1 kg.</v>
      </c>
      <c r="C190" s="43" t="str">
        <f>BDD!E188</f>
        <v>Perú</v>
      </c>
      <c r="D190" s="44" t="e">
        <f>COMMANDE!K198</f>
        <v>#REF!</v>
      </c>
      <c r="E190" s="28"/>
    </row>
    <row r="191" spans="1:5">
      <c r="A191" s="68">
        <f>BDD!A189</f>
        <v>0</v>
      </c>
      <c r="B191" s="42">
        <f>BDD!D189</f>
        <v>0</v>
      </c>
      <c r="C191" s="43">
        <f>BDD!E189</f>
        <v>0</v>
      </c>
      <c r="D191" s="44" t="e">
        <f>COMMANDE!K199</f>
        <v>#REF!</v>
      </c>
      <c r="E191" s="28"/>
    </row>
    <row r="192" spans="1:5">
      <c r="A192" s="68">
        <f>BDD!A190</f>
        <v>0</v>
      </c>
      <c r="B192" s="42">
        <f>BDD!D190</f>
        <v>0</v>
      </c>
      <c r="C192" s="43">
        <f>BDD!E190</f>
        <v>0</v>
      </c>
      <c r="D192" s="44" t="e">
        <f>COMMANDE!K200</f>
        <v>#REF!</v>
      </c>
      <c r="E192" s="28"/>
    </row>
    <row r="193" spans="1:5">
      <c r="A193" s="68">
        <f>BDD!A191</f>
        <v>0</v>
      </c>
      <c r="B193" s="42">
        <f>BDD!D191</f>
        <v>0</v>
      </c>
      <c r="C193" s="43">
        <f>BDD!E191</f>
        <v>0</v>
      </c>
      <c r="D193" s="44" t="e">
        <f>COMMANDE!K201</f>
        <v>#REF!</v>
      </c>
      <c r="E193" s="28"/>
    </row>
    <row r="194" spans="1:5">
      <c r="A194" s="68">
        <f>BDD!A192</f>
        <v>0</v>
      </c>
      <c r="B194" s="42">
        <f>BDD!D192</f>
        <v>0</v>
      </c>
      <c r="C194" s="43">
        <f>BDD!E192</f>
        <v>0</v>
      </c>
      <c r="D194" s="44" t="e">
        <f>COMMANDE!K202</f>
        <v>#REF!</v>
      </c>
      <c r="E194" s="28"/>
    </row>
    <row r="195" spans="1:5">
      <c r="A195" s="68">
        <f>BDD!A193</f>
        <v>0</v>
      </c>
      <c r="B195" s="42">
        <f>BDD!D193</f>
        <v>0</v>
      </c>
      <c r="C195" s="43">
        <f>BDD!E193</f>
        <v>0</v>
      </c>
      <c r="D195" s="44" t="e">
        <f>COMMANDE!K203</f>
        <v>#REF!</v>
      </c>
      <c r="E195" s="28"/>
    </row>
    <row r="196" spans="1:5">
      <c r="A196" s="68">
        <f>BDD!A194</f>
        <v>0</v>
      </c>
      <c r="B196" s="42">
        <f>BDD!D194</f>
        <v>0</v>
      </c>
      <c r="C196" s="43">
        <f>BDD!E194</f>
        <v>0</v>
      </c>
      <c r="D196" s="44" t="e">
        <f>COMMANDE!K204</f>
        <v>#REF!</v>
      </c>
      <c r="E196" s="28"/>
    </row>
    <row r="197" spans="1:5">
      <c r="A197" s="68">
        <f>BDD!A195</f>
        <v>0</v>
      </c>
      <c r="B197" s="42">
        <f>BDD!D195</f>
        <v>0</v>
      </c>
      <c r="C197" s="43">
        <f>BDD!E195</f>
        <v>0</v>
      </c>
      <c r="D197" s="44" t="e">
        <f>COMMANDE!K205</f>
        <v>#REF!</v>
      </c>
      <c r="E197" s="28"/>
    </row>
    <row r="198" spans="1:5">
      <c r="A198" s="68">
        <f>BDD!A196</f>
        <v>0</v>
      </c>
      <c r="B198" s="42">
        <f>BDD!D196</f>
        <v>0</v>
      </c>
      <c r="C198" s="43">
        <f>BDD!E196</f>
        <v>0</v>
      </c>
      <c r="D198" s="44" t="e">
        <f>COMMANDE!K206</f>
        <v>#REF!</v>
      </c>
      <c r="E198" s="28"/>
    </row>
    <row r="199" spans="1:5">
      <c r="A199" s="68">
        <f>BDD!A197</f>
        <v>0</v>
      </c>
      <c r="B199" s="42">
        <f>BDD!D197</f>
        <v>0</v>
      </c>
      <c r="C199" s="43">
        <f>BDD!E197</f>
        <v>0</v>
      </c>
      <c r="D199" s="44" t="e">
        <f>COMMANDE!K207</f>
        <v>#REF!</v>
      </c>
      <c r="E199" s="28"/>
    </row>
    <row r="200" spans="1:5">
      <c r="A200" s="68">
        <f>BDD!A198</f>
        <v>0</v>
      </c>
      <c r="B200" s="42">
        <f>BDD!D198</f>
        <v>0</v>
      </c>
      <c r="C200" s="43">
        <f>BDD!E198</f>
        <v>0</v>
      </c>
      <c r="D200" s="44" t="e">
        <f>COMMANDE!K208</f>
        <v>#REF!</v>
      </c>
      <c r="E200" s="28"/>
    </row>
    <row r="201" spans="1:5">
      <c r="A201" s="68">
        <f>BDD!A199</f>
        <v>0</v>
      </c>
      <c r="B201" s="42">
        <f>BDD!D199</f>
        <v>0</v>
      </c>
      <c r="C201" s="43">
        <f>BDD!E199</f>
        <v>0</v>
      </c>
      <c r="D201" s="44" t="e">
        <f>COMMANDE!K209</f>
        <v>#REF!</v>
      </c>
      <c r="E201" s="28"/>
    </row>
    <row r="202" spans="1:5">
      <c r="A202" s="68">
        <f>BDD!A200</f>
        <v>0</v>
      </c>
      <c r="B202" s="42">
        <f>BDD!D200</f>
        <v>0</v>
      </c>
      <c r="C202" s="43">
        <f>BDD!E200</f>
        <v>0</v>
      </c>
      <c r="D202" s="44" t="e">
        <f>COMMANDE!K210</f>
        <v>#REF!</v>
      </c>
      <c r="E202" s="28"/>
    </row>
    <row r="203" spans="1:5">
      <c r="A203" s="68">
        <f>BDD!A201</f>
        <v>0</v>
      </c>
      <c r="B203" s="42">
        <f>BDD!D201</f>
        <v>0</v>
      </c>
      <c r="C203" s="43">
        <f>BDD!E201</f>
        <v>0</v>
      </c>
      <c r="D203" s="44" t="e">
        <f>COMMANDE!K211</f>
        <v>#REF!</v>
      </c>
      <c r="E203" s="28"/>
    </row>
    <row r="204" spans="1:5">
      <c r="A204" s="68">
        <f>BDD!A202</f>
        <v>0</v>
      </c>
      <c r="B204" s="42">
        <f>BDD!D202</f>
        <v>0</v>
      </c>
      <c r="C204" s="43">
        <f>BDD!E202</f>
        <v>0</v>
      </c>
      <c r="D204" s="44" t="e">
        <f>COMMANDE!K212</f>
        <v>#REF!</v>
      </c>
      <c r="E204" s="28"/>
    </row>
    <row r="205" spans="1:5">
      <c r="A205" s="68">
        <f>BDD!A203</f>
        <v>0</v>
      </c>
      <c r="B205" s="42">
        <f>BDD!D203</f>
        <v>0</v>
      </c>
      <c r="C205" s="43">
        <f>BDD!E203</f>
        <v>0</v>
      </c>
      <c r="D205" s="44" t="e">
        <f>COMMANDE!K213</f>
        <v>#REF!</v>
      </c>
      <c r="E205" s="28"/>
    </row>
    <row r="206" spans="1:5">
      <c r="A206" s="68">
        <f>BDD!A204</f>
        <v>0</v>
      </c>
      <c r="B206" s="42">
        <f>BDD!D204</f>
        <v>0</v>
      </c>
      <c r="C206" s="43">
        <f>BDD!E204</f>
        <v>0</v>
      </c>
      <c r="D206" s="44" t="e">
        <f>COMMANDE!K214</f>
        <v>#REF!</v>
      </c>
      <c r="E206" s="28"/>
    </row>
    <row r="207" spans="1:5">
      <c r="A207" s="68">
        <f>BDD!A205</f>
        <v>0</v>
      </c>
      <c r="B207" s="42">
        <f>BDD!D205</f>
        <v>0</v>
      </c>
      <c r="C207" s="43">
        <f>BDD!E205</f>
        <v>0</v>
      </c>
      <c r="D207" s="44" t="e">
        <f>COMMANDE!K215</f>
        <v>#REF!</v>
      </c>
      <c r="E207" s="28"/>
    </row>
    <row r="208" spans="1:5">
      <c r="A208" s="68">
        <f>BDD!A206</f>
        <v>0</v>
      </c>
      <c r="B208" s="42">
        <f>BDD!D206</f>
        <v>0</v>
      </c>
      <c r="C208" s="43">
        <f>BDD!E206</f>
        <v>0</v>
      </c>
      <c r="D208" s="44" t="e">
        <f>COMMANDE!K216</f>
        <v>#REF!</v>
      </c>
      <c r="E208" s="28"/>
    </row>
    <row r="209" spans="1:5">
      <c r="A209" s="68">
        <f>BDD!A207</f>
        <v>0</v>
      </c>
      <c r="B209" s="42">
        <f>BDD!D207</f>
        <v>0</v>
      </c>
      <c r="C209" s="43">
        <f>BDD!E207</f>
        <v>0</v>
      </c>
      <c r="D209" s="44" t="e">
        <f>COMMANDE!K217</f>
        <v>#REF!</v>
      </c>
      <c r="E209" s="28"/>
    </row>
    <row r="210" spans="1:5">
      <c r="A210" s="68">
        <f>BDD!A208</f>
        <v>0</v>
      </c>
      <c r="B210" s="42">
        <f>BDD!D208</f>
        <v>0</v>
      </c>
      <c r="C210" s="43">
        <f>BDD!E208</f>
        <v>0</v>
      </c>
      <c r="D210" s="44" t="e">
        <f>COMMANDE!K218</f>
        <v>#REF!</v>
      </c>
      <c r="E210" s="28"/>
    </row>
    <row r="211" spans="1:5">
      <c r="A211" s="68">
        <f>BDD!A209</f>
        <v>0</v>
      </c>
      <c r="B211" s="42">
        <f>BDD!D209</f>
        <v>0</v>
      </c>
      <c r="C211" s="43">
        <f>BDD!E209</f>
        <v>0</v>
      </c>
      <c r="D211" s="44" t="e">
        <f>COMMANDE!K219</f>
        <v>#REF!</v>
      </c>
      <c r="E211" s="28"/>
    </row>
    <row r="212" spans="1:5">
      <c r="A212" s="68">
        <f>BDD!A210</f>
        <v>0</v>
      </c>
      <c r="B212" s="42">
        <f>BDD!D210</f>
        <v>0</v>
      </c>
      <c r="C212" s="43">
        <f>BDD!E210</f>
        <v>0</v>
      </c>
      <c r="D212" s="44" t="e">
        <f>COMMANDE!K220</f>
        <v>#REF!</v>
      </c>
      <c r="E212" s="28"/>
    </row>
    <row r="213" spans="1:5">
      <c r="A213" s="68">
        <f>BDD!A211</f>
        <v>0</v>
      </c>
      <c r="B213" s="42">
        <f>BDD!D211</f>
        <v>0</v>
      </c>
      <c r="C213" s="43">
        <f>BDD!E211</f>
        <v>0</v>
      </c>
      <c r="D213" s="44" t="e">
        <f>COMMANDE!K221</f>
        <v>#REF!</v>
      </c>
      <c r="E213" s="28"/>
    </row>
    <row r="214" spans="1:5">
      <c r="A214" s="68">
        <f>BDD!A212</f>
        <v>0</v>
      </c>
      <c r="B214" s="42">
        <f>BDD!D212</f>
        <v>0</v>
      </c>
      <c r="C214" s="43">
        <f>BDD!E212</f>
        <v>0</v>
      </c>
      <c r="D214" s="44" t="e">
        <f>COMMANDE!K222</f>
        <v>#REF!</v>
      </c>
      <c r="E214" s="28"/>
    </row>
    <row r="215" spans="1:5">
      <c r="A215" s="68">
        <f>BDD!A213</f>
        <v>0</v>
      </c>
      <c r="B215" s="42">
        <f>BDD!D213</f>
        <v>0</v>
      </c>
      <c r="C215" s="43">
        <f>BDD!E213</f>
        <v>0</v>
      </c>
      <c r="D215" s="44" t="e">
        <f>COMMANDE!K223</f>
        <v>#REF!</v>
      </c>
      <c r="E215" s="28"/>
    </row>
    <row r="216" spans="1:5">
      <c r="A216" s="68">
        <f>BDD!A214</f>
        <v>0</v>
      </c>
      <c r="B216" s="42">
        <f>BDD!D214</f>
        <v>0</v>
      </c>
      <c r="C216" s="43">
        <f>BDD!E214</f>
        <v>0</v>
      </c>
      <c r="D216" s="44" t="e">
        <f>COMMANDE!K224</f>
        <v>#REF!</v>
      </c>
      <c r="E216" s="28"/>
    </row>
    <row r="217" spans="1:5">
      <c r="A217" s="68">
        <f>BDD!A215</f>
        <v>0</v>
      </c>
      <c r="B217" s="42">
        <f>BDD!D215</f>
        <v>0</v>
      </c>
      <c r="C217" s="43">
        <f>BDD!E215</f>
        <v>0</v>
      </c>
      <c r="D217" s="44" t="e">
        <f>COMMANDE!K225</f>
        <v>#REF!</v>
      </c>
      <c r="E217" s="28"/>
    </row>
    <row r="218" spans="1:5">
      <c r="A218" s="68">
        <f>BDD!A216</f>
        <v>0</v>
      </c>
      <c r="B218" s="42">
        <f>BDD!D216</f>
        <v>0</v>
      </c>
      <c r="C218" s="43">
        <f>BDD!E216</f>
        <v>0</v>
      </c>
      <c r="D218" s="44" t="e">
        <f>COMMANDE!K226</f>
        <v>#REF!</v>
      </c>
      <c r="E218" s="28"/>
    </row>
    <row r="219" spans="1:5">
      <c r="A219" s="68">
        <f>BDD!A217</f>
        <v>0</v>
      </c>
      <c r="B219" s="42">
        <f>BDD!D217</f>
        <v>0</v>
      </c>
      <c r="C219" s="43">
        <f>BDD!E217</f>
        <v>0</v>
      </c>
      <c r="D219" s="44" t="e">
        <f>COMMANDE!K227</f>
        <v>#REF!</v>
      </c>
      <c r="E219" s="28"/>
    </row>
    <row r="220" spans="1:5">
      <c r="A220" s="68">
        <f>BDD!A218</f>
        <v>0</v>
      </c>
      <c r="B220" s="42">
        <f>BDD!D218</f>
        <v>0</v>
      </c>
      <c r="C220" s="43">
        <f>BDD!E218</f>
        <v>0</v>
      </c>
      <c r="D220" s="44" t="e">
        <f>COMMANDE!K228</f>
        <v>#REF!</v>
      </c>
      <c r="E220" s="28"/>
    </row>
    <row r="221" spans="1:5">
      <c r="A221" s="68">
        <f>BDD!A219</f>
        <v>0</v>
      </c>
      <c r="B221" s="42">
        <f>BDD!D219</f>
        <v>0</v>
      </c>
      <c r="C221" s="43">
        <f>BDD!E219</f>
        <v>0</v>
      </c>
      <c r="D221" s="44" t="e">
        <f>COMMANDE!K229</f>
        <v>#REF!</v>
      </c>
      <c r="E221" s="28"/>
    </row>
    <row r="222" spans="1:5">
      <c r="A222" s="68">
        <f>BDD!A220</f>
        <v>0</v>
      </c>
      <c r="B222" s="42">
        <f>BDD!D220</f>
        <v>0</v>
      </c>
      <c r="C222" s="43">
        <f>BDD!E220</f>
        <v>0</v>
      </c>
      <c r="D222" s="44" t="e">
        <f>COMMANDE!K230</f>
        <v>#REF!</v>
      </c>
      <c r="E222" s="28"/>
    </row>
    <row r="223" spans="1:5">
      <c r="A223" s="68">
        <f>BDD!A221</f>
        <v>0</v>
      </c>
      <c r="B223" s="42">
        <f>BDD!D221</f>
        <v>0</v>
      </c>
      <c r="C223" s="43">
        <f>BDD!E221</f>
        <v>0</v>
      </c>
      <c r="D223" s="44" t="e">
        <f>COMMANDE!K231</f>
        <v>#REF!</v>
      </c>
      <c r="E223" s="28"/>
    </row>
    <row r="224" spans="1:5">
      <c r="A224" s="68">
        <f>BDD!A222</f>
        <v>0</v>
      </c>
      <c r="B224" s="42">
        <f>BDD!D222</f>
        <v>0</v>
      </c>
      <c r="C224" s="43">
        <f>BDD!E222</f>
        <v>0</v>
      </c>
      <c r="D224" s="44" t="e">
        <f>COMMANDE!K232</f>
        <v>#REF!</v>
      </c>
      <c r="E224" s="28"/>
    </row>
    <row r="225" spans="1:5">
      <c r="A225" s="68">
        <f>BDD!A223</f>
        <v>0</v>
      </c>
      <c r="B225" s="42">
        <f>BDD!D223</f>
        <v>0</v>
      </c>
      <c r="C225" s="43">
        <f>BDD!E223</f>
        <v>0</v>
      </c>
      <c r="D225" s="44" t="e">
        <f>COMMANDE!K233</f>
        <v>#REF!</v>
      </c>
      <c r="E225" s="28"/>
    </row>
    <row r="226" spans="1:5">
      <c r="A226" s="68">
        <f>BDD!A224</f>
        <v>0</v>
      </c>
      <c r="B226" s="42">
        <f>BDD!D224</f>
        <v>0</v>
      </c>
      <c r="C226" s="43">
        <f>BDD!E224</f>
        <v>0</v>
      </c>
      <c r="D226" s="44" t="e">
        <f>COMMANDE!K234</f>
        <v>#REF!</v>
      </c>
      <c r="E226" s="28"/>
    </row>
    <row r="227" spans="1:5">
      <c r="A227" s="68">
        <f>BDD!A225</f>
        <v>0</v>
      </c>
      <c r="B227" s="42">
        <f>BDD!D225</f>
        <v>0</v>
      </c>
      <c r="C227" s="43">
        <f>BDD!E225</f>
        <v>0</v>
      </c>
      <c r="D227" s="44" t="e">
        <f>COMMANDE!K235</f>
        <v>#REF!</v>
      </c>
      <c r="E227" s="28"/>
    </row>
    <row r="228" spans="1:5">
      <c r="A228" s="68">
        <f>BDD!A226</f>
        <v>0</v>
      </c>
      <c r="B228" s="42">
        <f>BDD!D226</f>
        <v>0</v>
      </c>
      <c r="C228" s="43">
        <f>BDD!E226</f>
        <v>0</v>
      </c>
      <c r="D228" s="44" t="e">
        <f>COMMANDE!K236</f>
        <v>#REF!</v>
      </c>
      <c r="E228" s="28"/>
    </row>
    <row r="229" spans="1:5">
      <c r="A229" s="68">
        <f>BDD!A227</f>
        <v>0</v>
      </c>
      <c r="B229" s="42">
        <f>BDD!D227</f>
        <v>0</v>
      </c>
      <c r="C229" s="43">
        <f>BDD!E227</f>
        <v>0</v>
      </c>
      <c r="D229" s="44" t="e">
        <f>COMMANDE!K237</f>
        <v>#REF!</v>
      </c>
      <c r="E229" s="28"/>
    </row>
    <row r="230" spans="1:5">
      <c r="A230" s="68">
        <f>BDD!A228</f>
        <v>0</v>
      </c>
      <c r="B230" s="42">
        <f>BDD!D228</f>
        <v>0</v>
      </c>
      <c r="C230" s="43">
        <f>BDD!E228</f>
        <v>0</v>
      </c>
      <c r="D230" s="44" t="e">
        <f>COMMANDE!K238</f>
        <v>#REF!</v>
      </c>
      <c r="E230" s="28"/>
    </row>
    <row r="231" spans="1:5">
      <c r="A231" s="68">
        <f>BDD!A229</f>
        <v>0</v>
      </c>
      <c r="B231" s="42">
        <f>BDD!D229</f>
        <v>0</v>
      </c>
      <c r="C231" s="43">
        <f>BDD!E229</f>
        <v>0</v>
      </c>
      <c r="D231" s="44" t="e">
        <f>COMMANDE!K239</f>
        <v>#REF!</v>
      </c>
      <c r="E231" s="28"/>
    </row>
    <row r="232" spans="1:5">
      <c r="A232" s="68">
        <f>BDD!A230</f>
        <v>0</v>
      </c>
      <c r="B232" s="42">
        <f>BDD!D230</f>
        <v>0</v>
      </c>
      <c r="C232" s="43">
        <f>BDD!E230</f>
        <v>0</v>
      </c>
      <c r="D232" s="44" t="e">
        <f>COMMANDE!K240</f>
        <v>#REF!</v>
      </c>
      <c r="E232" s="28"/>
    </row>
    <row r="233" spans="1:5">
      <c r="A233" s="68">
        <f>BDD!A231</f>
        <v>0</v>
      </c>
      <c r="B233" s="42">
        <f>BDD!D231</f>
        <v>0</v>
      </c>
      <c r="C233" s="43">
        <f>BDD!E231</f>
        <v>0</v>
      </c>
      <c r="D233" s="44" t="e">
        <f>COMMANDE!K241</f>
        <v>#REF!</v>
      </c>
      <c r="E233" s="28"/>
    </row>
    <row r="234" spans="1:5">
      <c r="A234" s="68">
        <f>BDD!A232</f>
        <v>0</v>
      </c>
      <c r="B234" s="42">
        <f>BDD!D232</f>
        <v>0</v>
      </c>
      <c r="C234" s="43">
        <f>BDD!E232</f>
        <v>0</v>
      </c>
      <c r="D234" s="44" t="e">
        <f>COMMANDE!K242</f>
        <v>#REF!</v>
      </c>
      <c r="E234" s="28"/>
    </row>
    <row r="235" spans="1:5">
      <c r="A235" s="68">
        <f>BDD!A233</f>
        <v>0</v>
      </c>
      <c r="B235" s="42">
        <f>BDD!D233</f>
        <v>0</v>
      </c>
      <c r="C235" s="43">
        <f>BDD!E233</f>
        <v>0</v>
      </c>
      <c r="D235" s="44" t="e">
        <f>COMMANDE!K243</f>
        <v>#REF!</v>
      </c>
      <c r="E235" s="28"/>
    </row>
    <row r="236" spans="1:5">
      <c r="A236" s="68">
        <f>BDD!A234</f>
        <v>0</v>
      </c>
      <c r="B236" s="42">
        <f>BDD!D234</f>
        <v>0</v>
      </c>
      <c r="C236" s="43">
        <f>BDD!E234</f>
        <v>0</v>
      </c>
      <c r="D236" s="44" t="e">
        <f>COMMANDE!K244</f>
        <v>#REF!</v>
      </c>
      <c r="E236" s="28"/>
    </row>
    <row r="237" spans="1:5">
      <c r="A237" s="68">
        <f>BDD!A235</f>
        <v>0</v>
      </c>
      <c r="B237" s="42">
        <f>BDD!D235</f>
        <v>0</v>
      </c>
      <c r="C237" s="43">
        <f>BDD!E235</f>
        <v>0</v>
      </c>
      <c r="D237" s="44" t="e">
        <f>COMMANDE!K245</f>
        <v>#REF!</v>
      </c>
      <c r="E237" s="28"/>
    </row>
    <row r="238" spans="1:5">
      <c r="A238" s="68">
        <f>BDD!A236</f>
        <v>0</v>
      </c>
      <c r="B238" s="42">
        <f>BDD!D236</f>
        <v>0</v>
      </c>
      <c r="C238" s="43">
        <f>BDD!E236</f>
        <v>0</v>
      </c>
      <c r="D238" s="44" t="e">
        <f>COMMANDE!K246</f>
        <v>#REF!</v>
      </c>
      <c r="E238" s="28"/>
    </row>
    <row r="239" spans="1:5">
      <c r="A239" s="68">
        <f>BDD!A237</f>
        <v>0</v>
      </c>
      <c r="B239" s="42">
        <f>BDD!D237</f>
        <v>0</v>
      </c>
      <c r="C239" s="43">
        <f>BDD!E237</f>
        <v>0</v>
      </c>
      <c r="D239" s="44" t="e">
        <f>COMMANDE!K247</f>
        <v>#REF!</v>
      </c>
      <c r="E239" s="28"/>
    </row>
    <row r="240" spans="1:5">
      <c r="A240" s="68">
        <f>BDD!A238</f>
        <v>0</v>
      </c>
      <c r="B240" s="42">
        <f>BDD!D238</f>
        <v>0</v>
      </c>
      <c r="C240" s="43">
        <f>BDD!E238</f>
        <v>0</v>
      </c>
      <c r="D240" s="44" t="e">
        <f>COMMANDE!K248</f>
        <v>#REF!</v>
      </c>
      <c r="E240" s="28"/>
    </row>
    <row r="241" spans="1:5">
      <c r="A241" s="68">
        <f>BDD!A239</f>
        <v>0</v>
      </c>
      <c r="B241" s="42">
        <f>BDD!D239</f>
        <v>0</v>
      </c>
      <c r="C241" s="43">
        <f>BDD!E239</f>
        <v>0</v>
      </c>
      <c r="D241" s="44" t="e">
        <f>COMMANDE!K249</f>
        <v>#REF!</v>
      </c>
      <c r="E241" s="28"/>
    </row>
    <row r="242" spans="1:5">
      <c r="A242" s="68">
        <f>BDD!A240</f>
        <v>0</v>
      </c>
      <c r="B242" s="42">
        <f>BDD!D240</f>
        <v>0</v>
      </c>
      <c r="C242" s="43">
        <f>BDD!E240</f>
        <v>0</v>
      </c>
      <c r="D242" s="44" t="e">
        <f>COMMANDE!K250</f>
        <v>#REF!</v>
      </c>
      <c r="E242" s="28"/>
    </row>
    <row r="243" spans="1:5">
      <c r="A243" s="68">
        <f>BDD!A241</f>
        <v>0</v>
      </c>
      <c r="B243" s="42">
        <f>BDD!D241</f>
        <v>0</v>
      </c>
      <c r="C243" s="43">
        <f>BDD!E241</f>
        <v>0</v>
      </c>
      <c r="D243" s="44" t="e">
        <f>COMMANDE!K251</f>
        <v>#REF!</v>
      </c>
      <c r="E243" s="28"/>
    </row>
    <row r="244" spans="1:5">
      <c r="A244" s="68">
        <f>BDD!A242</f>
        <v>0</v>
      </c>
      <c r="B244" s="42">
        <f>BDD!D242</f>
        <v>0</v>
      </c>
      <c r="C244" s="43">
        <f>BDD!E242</f>
        <v>0</v>
      </c>
      <c r="D244" s="44" t="e">
        <f>COMMANDE!K252</f>
        <v>#REF!</v>
      </c>
      <c r="E244" s="28"/>
    </row>
    <row r="245" spans="1:5">
      <c r="A245" s="68">
        <f>BDD!A243</f>
        <v>0</v>
      </c>
      <c r="B245" s="42">
        <f>BDD!D243</f>
        <v>0</v>
      </c>
      <c r="C245" s="43">
        <f>BDD!E243</f>
        <v>0</v>
      </c>
      <c r="D245" s="44" t="e">
        <f>COMMANDE!K253</f>
        <v>#REF!</v>
      </c>
      <c r="E245" s="28"/>
    </row>
    <row r="246" spans="1:5">
      <c r="A246" s="68">
        <f>BDD!A244</f>
        <v>0</v>
      </c>
      <c r="B246" s="42">
        <f>BDD!D244</f>
        <v>0</v>
      </c>
      <c r="C246" s="43">
        <f>BDD!E244</f>
        <v>0</v>
      </c>
      <c r="D246" s="44" t="e">
        <f>COMMANDE!K254</f>
        <v>#REF!</v>
      </c>
      <c r="E246" s="28"/>
    </row>
    <row r="247" spans="1:5">
      <c r="A247" s="68">
        <f>BDD!A245</f>
        <v>0</v>
      </c>
      <c r="B247" s="42">
        <f>BDD!D245</f>
        <v>0</v>
      </c>
      <c r="C247" s="43">
        <f>BDD!E245</f>
        <v>0</v>
      </c>
      <c r="D247" s="44" t="e">
        <f>COMMANDE!K255</f>
        <v>#REF!</v>
      </c>
      <c r="E247" s="28"/>
    </row>
    <row r="248" spans="1:5">
      <c r="A248" s="68">
        <f>BDD!A246</f>
        <v>0</v>
      </c>
      <c r="B248" s="42">
        <f>BDD!D246</f>
        <v>0</v>
      </c>
      <c r="C248" s="43">
        <f>BDD!E246</f>
        <v>0</v>
      </c>
      <c r="D248" s="44" t="e">
        <f>COMMANDE!K256</f>
        <v>#REF!</v>
      </c>
      <c r="E248" s="28"/>
    </row>
    <row r="249" spans="1:5">
      <c r="A249" s="68">
        <f>BDD!A247</f>
        <v>0</v>
      </c>
      <c r="B249" s="42">
        <f>BDD!D247</f>
        <v>0</v>
      </c>
      <c r="C249" s="43">
        <f>BDD!E247</f>
        <v>0</v>
      </c>
      <c r="D249" s="44" t="e">
        <f>COMMANDE!K257</f>
        <v>#REF!</v>
      </c>
      <c r="E249" s="28"/>
    </row>
    <row r="250" spans="1:5">
      <c r="A250" s="68">
        <f>BDD!A248</f>
        <v>0</v>
      </c>
      <c r="B250" s="42">
        <f>BDD!D248</f>
        <v>0</v>
      </c>
      <c r="C250" s="43">
        <f>BDD!E248</f>
        <v>0</v>
      </c>
      <c r="D250" s="44" t="e">
        <f>COMMANDE!K258</f>
        <v>#REF!</v>
      </c>
    </row>
    <row r="270"/>
  </sheetData>
  <sheetProtection algorithmName="SHA-512" hashValue="pFc/uH7xwj+79jia7V531UiOz4URZkAiHBd86xb6RDg1/QI5cPKhHid19g8FlCNphTTPOtJs2vjRezMnDJqlyA==" saltValue="wnDRQs0EPoRC6zJkdweAdg==" spinCount="100000" sheet="1" sort="0" autoFilter="0"/>
  <autoFilter ref="A3:D169" xr:uid="{00000000-0009-0000-0000-000008000000}"/>
  <mergeCells count="1">
    <mergeCell ref="B1:D1"/>
  </mergeCells>
  <conditionalFormatting sqref="B251:B858 C251:C884">
    <cfRule type="expression" dxfId="4" priority="558" stopIfTrue="1">
      <formula>#REF!=1</formula>
    </cfRule>
  </conditionalFormatting>
  <conditionalFormatting sqref="B4:C250">
    <cfRule type="expression" dxfId="3" priority="3">
      <formula>COUNTIF($B4,"*BIO*")&gt;0</formula>
    </cfRule>
  </conditionalFormatting>
  <conditionalFormatting sqref="D2">
    <cfRule type="expression" dxfId="2" priority="1">
      <formula>NOT(EXACT($D$2,#REF!))</formula>
    </cfRule>
  </conditionalFormatting>
  <conditionalFormatting sqref="A251:A269">
    <cfRule type="expression" dxfId="1" priority="16241">
      <formula>NOT(EXACT($A251,#REF!))</formula>
    </cfRule>
  </conditionalFormatting>
  <conditionalFormatting sqref="A4:A250">
    <cfRule type="expression" dxfId="0" priority="22015">
      <formula>NOT(EXACT($A4,#REF!))</formula>
    </cfRule>
  </conditionalFormatting>
  <printOptions horizontalCentered="1"/>
  <pageMargins left="0.25" right="0.25" top="0.75" bottom="0.75" header="0.3" footer="0.3"/>
  <pageSetup paperSize="9" scale="75" orientation="landscape" horizontalDpi="300" verticalDpi="300"/>
  <headerFooter>
    <oddFooter>&amp;CSalute Vestra, S.L.   Teléfono de contacto: 958610429 / 663435828      E-Mail:  solyfruta@yahoo.es                                                                       Página  &amp;P / &amp;N</oddFoot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6DC6-3587-46AF-966D-819718507824}">
  <sheetPr codeName="Feuil28"/>
  <dimension ref="A1:F18"/>
  <sheetViews>
    <sheetView showGridLines="0" zoomScaleNormal="100" workbookViewId="0">
      <selection activeCell="A17" sqref="A17:E17"/>
    </sheetView>
  </sheetViews>
  <sheetFormatPr baseColWidth="10" defaultColWidth="0" defaultRowHeight="15" zeroHeight="1"/>
  <cols>
    <col min="1" max="1" width="16.28515625" style="4" bestFit="1" customWidth="1"/>
    <col min="2" max="2" width="32.42578125" style="4" customWidth="1"/>
    <col min="3" max="3" width="21.140625" style="4" customWidth="1"/>
    <col min="4" max="4" width="6" style="4" bestFit="1" customWidth="1"/>
    <col min="5" max="5" width="11.42578125" style="4" customWidth="1"/>
    <col min="6" max="6" width="1.28515625" style="4" customWidth="1"/>
    <col min="7" max="16384" width="11.42578125" style="4" hidden="1"/>
  </cols>
  <sheetData>
    <row r="1" spans="1:6"/>
    <row r="2" spans="1:6"/>
    <row r="3" spans="1:6"/>
    <row r="4" spans="1:6"/>
    <row r="5" spans="1:6"/>
    <row r="6" spans="1:6"/>
    <row r="7" spans="1:6" ht="71.25" customHeight="1">
      <c r="A7" s="505" t="s">
        <v>501</v>
      </c>
      <c r="B7" s="505"/>
      <c r="C7" s="505"/>
      <c r="D7" s="505"/>
      <c r="E7" s="505"/>
      <c r="F7" s="49"/>
    </row>
    <row r="8" spans="1:6" ht="15.75" thickBot="1">
      <c r="A8" s="193"/>
    </row>
    <row r="9" spans="1:6" ht="33.75" customHeight="1" thickTop="1" thickBot="1">
      <c r="A9" s="503" t="s">
        <v>502</v>
      </c>
      <c r="B9" s="504"/>
      <c r="C9" s="506" t="s">
        <v>503</v>
      </c>
      <c r="D9" s="507"/>
      <c r="E9" s="508"/>
      <c r="F9" s="48"/>
    </row>
    <row r="10" spans="1:6" ht="30.75" thickTop="1">
      <c r="A10" s="194" t="s">
        <v>504</v>
      </c>
      <c r="B10" s="195" t="s">
        <v>505</v>
      </c>
      <c r="C10" s="195" t="s">
        <v>506</v>
      </c>
      <c r="D10" s="196" t="s">
        <v>507</v>
      </c>
      <c r="E10" s="197" t="s">
        <v>508</v>
      </c>
      <c r="F10" s="5"/>
    </row>
    <row r="11" spans="1:6" ht="20.25" customHeight="1">
      <c r="A11" s="509" t="s">
        <v>509</v>
      </c>
      <c r="B11" s="198" t="e">
        <f>#REF!</f>
        <v>#REF!</v>
      </c>
      <c r="C11" s="199" t="e">
        <f>#REF!</f>
        <v>#REF!</v>
      </c>
      <c r="D11" s="515" t="s">
        <v>510</v>
      </c>
      <c r="E11" s="518" t="e">
        <f>QTE_CMD</f>
        <v>#REF!</v>
      </c>
    </row>
    <row r="12" spans="1:6" ht="47.25" customHeight="1">
      <c r="A12" s="510"/>
      <c r="B12" s="200" t="e">
        <f>#REF!</f>
        <v>#REF!</v>
      </c>
      <c r="C12" s="512" t="e">
        <f>#REF!</f>
        <v>#REF!</v>
      </c>
      <c r="D12" s="516"/>
      <c r="E12" s="519"/>
    </row>
    <row r="13" spans="1:6">
      <c r="A13" s="510"/>
      <c r="B13" s="200" t="e">
        <f>#REF!</f>
        <v>#REF!</v>
      </c>
      <c r="C13" s="513"/>
      <c r="D13" s="516"/>
      <c r="E13" s="519"/>
    </row>
    <row r="14" spans="1:6" ht="15.75" thickBot="1">
      <c r="A14" s="511"/>
      <c r="B14" s="201" t="e">
        <f>#REF!</f>
        <v>#REF!</v>
      </c>
      <c r="C14" s="514"/>
      <c r="D14" s="517"/>
      <c r="E14" s="520"/>
    </row>
    <row r="15" spans="1:6" ht="16.5" thickTop="1" thickBot="1">
      <c r="A15" s="498" t="s">
        <v>511</v>
      </c>
      <c r="B15" s="499"/>
      <c r="C15" s="521" t="e">
        <f>#REF!</f>
        <v>#REF!</v>
      </c>
      <c r="D15" s="522"/>
      <c r="E15" s="523"/>
    </row>
    <row r="16" spans="1:6" ht="108" customHeight="1" thickTop="1" thickBot="1">
      <c r="A16" s="498" t="s">
        <v>512</v>
      </c>
      <c r="B16" s="499"/>
      <c r="C16" s="500"/>
      <c r="D16" s="501"/>
      <c r="E16" s="502"/>
    </row>
    <row r="17" spans="1:5" ht="48.75" customHeight="1" thickTop="1" thickBot="1">
      <c r="A17" s="495" t="s">
        <v>513</v>
      </c>
      <c r="B17" s="496"/>
      <c r="C17" s="496"/>
      <c r="D17" s="496"/>
      <c r="E17" s="497"/>
    </row>
    <row r="18" spans="1:5" ht="12" customHeight="1" thickTop="1"/>
  </sheetData>
  <sheetProtection algorithmName="SHA-512" hashValue="rpKkVDMi1ft1SjnDaMSI16RbJ2qO15prc1LOtoh+SNhvf6yXMXp2ejFzun2kmqVTooxkBKGaRYe/3V/+SOB95w==" saltValue="GXEAa3g4gl3LUaTi0Wb9fg==" spinCount="100000" sheet="1" objects="1" scenarios="1"/>
  <mergeCells count="12">
    <mergeCell ref="A17:E17"/>
    <mergeCell ref="A16:B16"/>
    <mergeCell ref="C16:E16"/>
    <mergeCell ref="A9:B9"/>
    <mergeCell ref="A7:E7"/>
    <mergeCell ref="C9:E9"/>
    <mergeCell ref="A11:A14"/>
    <mergeCell ref="C12:C14"/>
    <mergeCell ref="D11:D14"/>
    <mergeCell ref="E11:E14"/>
    <mergeCell ref="A15:B15"/>
    <mergeCell ref="C15:E15"/>
  </mergeCells>
  <printOptions horizontalCentered="1"/>
  <pageMargins left="0.23622047244094491" right="0.23622047244094491" top="0.74803149606299213" bottom="0.74803149606299213" header="0.31496062992125984" footer="0.31496062992125984"/>
  <pageSetup paperSize="0" orientation="portrait" horizontalDpi="0" verticalDpi="0" copie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15</vt:i4>
      </vt:variant>
      <vt:variant>
        <vt:lpstr>Plages nommées</vt:lpstr>
      </vt:variant>
      <vt:variant>
        <vt:i4>36</vt:i4>
      </vt:variant>
    </vt:vector>
  </HeadingPairs>
  <TitlesOfParts>
    <vt:vector size="51" baseType="lpstr">
      <vt:lpstr>ADMIN1</vt:lpstr>
      <vt:lpstr>AIDE</vt:lpstr>
      <vt:lpstr>COMMANDE</vt:lpstr>
      <vt:lpstr>ADMIN2</vt:lpstr>
      <vt:lpstr>BL</vt:lpstr>
      <vt:lpstr>BON_COMMANDE</vt:lpstr>
      <vt:lpstr>BON_FACTURE</vt:lpstr>
      <vt:lpstr>FACTURE</vt:lpstr>
      <vt:lpstr>BDD</vt:lpstr>
      <vt:lpstr>CATALOGUE</vt:lpstr>
      <vt:lpstr>COMPTA</vt:lpstr>
      <vt:lpstr>POIDS</vt:lpstr>
      <vt:lpstr>PAL</vt:lpstr>
      <vt:lpstr>PEDIDO</vt:lpstr>
      <vt:lpstr>STG</vt:lpstr>
      <vt:lpstr>BON_COMMANDE!AVOIR</vt:lpstr>
      <vt:lpstr>BON_FACTURE!AVOIR</vt:lpstr>
      <vt:lpstr>AVOIR</vt:lpstr>
      <vt:lpstr>ADMIN1!DEPT</vt:lpstr>
      <vt:lpstr>FDP_1</vt:lpstr>
      <vt:lpstr>FDP_2</vt:lpstr>
      <vt:lpstr>FDP_3</vt:lpstr>
      <vt:lpstr>FDP_CMD</vt:lpstr>
      <vt:lpstr>FDP_CMD_KG</vt:lpstr>
      <vt:lpstr>FDP_FACT_AUT</vt:lpstr>
      <vt:lpstr>FDP_FACT_KG</vt:lpstr>
      <vt:lpstr>FDP_FACT_MAN</vt:lpstr>
      <vt:lpstr>FRS_ADM</vt:lpstr>
      <vt:lpstr>CATALOGUE!Impression_des_titres</vt:lpstr>
      <vt:lpstr>FACTURE!Impression_des_titres</vt:lpstr>
      <vt:lpstr>PAL!Impression_des_titres</vt:lpstr>
      <vt:lpstr>PEDIDO!Impression_des_titres</vt:lpstr>
      <vt:lpstr>POIDS!Impression_des_titres</vt:lpstr>
      <vt:lpstr>IND_GAZ</vt:lpstr>
      <vt:lpstr>PDS_CMD_ARR</vt:lpstr>
      <vt:lpstr>PDS_FACT_ARR</vt:lpstr>
      <vt:lpstr>ADMIN1!QTE_CMD</vt:lpstr>
      <vt:lpstr>ADMIN1!QTE_FACT</vt:lpstr>
      <vt:lpstr>RDV_SAN</vt:lpstr>
      <vt:lpstr>reduc1</vt:lpstr>
      <vt:lpstr>reduc2</vt:lpstr>
      <vt:lpstr>reduc3</vt:lpstr>
      <vt:lpstr>ADMIN1!TOT_FACT</vt:lpstr>
      <vt:lpstr>TOT_FDP_1</vt:lpstr>
      <vt:lpstr>TOT_FDP_2</vt:lpstr>
      <vt:lpstr>TOT_FDP_3</vt:lpstr>
      <vt:lpstr>TOT_FDP_4</vt:lpstr>
      <vt:lpstr>TOT_FDP_5</vt:lpstr>
      <vt:lpstr>TOT_FDP_6</vt:lpstr>
      <vt:lpstr>BON_COMMANDE!Zone_d_impression</vt:lpstr>
      <vt:lpstr>BON_FACTURE!Zone_d_impression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FRUITSTOCK</dc:creator>
  <cp:keywords/>
  <dc:description/>
  <cp:lastModifiedBy>Antho</cp:lastModifiedBy>
  <cp:revision>4</cp:revision>
  <cp:lastPrinted>2020-11-10T11:55:54Z</cp:lastPrinted>
  <dcterms:created xsi:type="dcterms:W3CDTF">2019-02-13T21:12:38Z</dcterms:created>
  <dcterms:modified xsi:type="dcterms:W3CDTF">2020-11-10T12:56:08Z</dcterms:modified>
  <cp:category/>
  <cp:contentStatus/>
</cp:coreProperties>
</file>